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Small/ALNS/10-2-3/"/>
    </mc:Choice>
  </mc:AlternateContent>
  <xr:revisionPtr revIDLastSave="0" documentId="13_ncr:1_{75CF3B2B-1E25-6F42-A45B-1D9F9B046A2F}" xr6:coauthVersionLast="47" xr6:coauthVersionMax="47" xr10:uidLastSave="{00000000-0000-0000-0000-000000000000}"/>
  <bookViews>
    <workbookView xWindow="0" yWindow="760" windowWidth="34560" windowHeight="20580" activeTab="10" xr2:uid="{41E620E7-D6DF-9342-B452-EA60AB3B07C5}"/>
  </bookViews>
  <sheets>
    <sheet name="Summary" sheetId="68" r:id="rId1"/>
    <sheet name="results57" sheetId="58" r:id="rId2"/>
    <sheet name="results119" sheetId="69" r:id="rId3"/>
    <sheet name="results286" sheetId="70" r:id="rId4"/>
    <sheet name="results486" sheetId="71" r:id="rId5"/>
    <sheet name="results492" sheetId="76" r:id="rId6"/>
    <sheet name="results503" sheetId="77" r:id="rId7"/>
    <sheet name="results707" sheetId="72" r:id="rId8"/>
    <sheet name="results722" sheetId="73" r:id="rId9"/>
    <sheet name="results757" sheetId="74" r:id="rId10"/>
    <sheet name="results764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75" l="1"/>
  <c r="G14" i="75" s="1"/>
  <c r="D14" i="74"/>
  <c r="F14" i="74" s="1"/>
  <c r="D14" i="73"/>
  <c r="I14" i="73" s="1"/>
  <c r="D14" i="72"/>
  <c r="J14" i="72" s="1"/>
  <c r="D14" i="77"/>
  <c r="K14" i="77" s="1"/>
  <c r="D14" i="76"/>
  <c r="I14" i="76" s="1"/>
  <c r="F14" i="71"/>
  <c r="D14" i="71"/>
  <c r="J14" i="71" s="1"/>
  <c r="H14" i="70"/>
  <c r="G14" i="70"/>
  <c r="F14" i="70"/>
  <c r="E14" i="70"/>
  <c r="D14" i="70"/>
  <c r="I14" i="70" s="1"/>
  <c r="D14" i="69"/>
  <c r="H14" i="69" s="1"/>
  <c r="D14" i="58"/>
  <c r="J14" i="58" s="1"/>
  <c r="E14" i="75" l="1"/>
  <c r="I14" i="75"/>
  <c r="K14" i="75"/>
  <c r="H14" i="75"/>
  <c r="J14" i="75"/>
  <c r="F14" i="75"/>
  <c r="E14" i="74"/>
  <c r="H14" i="74"/>
  <c r="K14" i="74"/>
  <c r="G14" i="74"/>
  <c r="I14" i="74"/>
  <c r="J14" i="74"/>
  <c r="E14" i="73"/>
  <c r="F14" i="73"/>
  <c r="H14" i="73"/>
  <c r="J14" i="73"/>
  <c r="K14" i="73"/>
  <c r="G14" i="73"/>
  <c r="E14" i="72"/>
  <c r="H14" i="72"/>
  <c r="K14" i="72"/>
  <c r="G14" i="72"/>
  <c r="I14" i="72"/>
  <c r="F14" i="72"/>
  <c r="E14" i="77"/>
  <c r="F14" i="77"/>
  <c r="G14" i="77"/>
  <c r="J14" i="77"/>
  <c r="H14" i="77"/>
  <c r="I14" i="77"/>
  <c r="J14" i="76"/>
  <c r="G14" i="76"/>
  <c r="H14" i="76"/>
  <c r="K14" i="76"/>
  <c r="E14" i="76"/>
  <c r="F14" i="76"/>
  <c r="E14" i="71"/>
  <c r="G14" i="71"/>
  <c r="I14" i="71"/>
  <c r="K14" i="71"/>
  <c r="H14" i="71"/>
  <c r="K14" i="70"/>
  <c r="J14" i="70"/>
  <c r="J14" i="69"/>
  <c r="K14" i="69"/>
  <c r="E14" i="69"/>
  <c r="F14" i="69"/>
  <c r="I14" i="69"/>
  <c r="G14" i="69"/>
  <c r="E14" i="58"/>
  <c r="F14" i="58"/>
  <c r="H14" i="58"/>
  <c r="I14" i="58"/>
  <c r="K14" i="58"/>
  <c r="G14" i="58"/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7" i="68" a="1"/>
  <c r="H6" i="68" a="1"/>
  <c r="I8" i="68" a="1"/>
  <c r="D7" i="68" a="1"/>
  <c r="F10" i="68" a="1"/>
  <c r="C4" i="68" a="1"/>
  <c r="I11" i="68" a="1"/>
  <c r="H9" i="68" a="1"/>
  <c r="G5" i="68" a="1"/>
  <c r="I3" i="68" a="1"/>
  <c r="D4" i="68" a="1"/>
  <c r="D6" i="68" a="1"/>
  <c r="D11" i="68" a="1"/>
  <c r="F5" i="68" a="1"/>
  <c r="I9" i="68" a="1"/>
  <c r="D12" i="68" a="1"/>
  <c r="G3" i="68" a="1"/>
  <c r="F12" i="68" a="1"/>
  <c r="E7" i="68" a="1"/>
  <c r="E4" i="68" a="1"/>
  <c r="C11" i="68" a="1"/>
  <c r="I12" i="68" a="1"/>
  <c r="H3" i="68" a="1"/>
  <c r="C3" i="68" a="1"/>
  <c r="D5" i="68" a="1"/>
  <c r="D10" i="68" a="1"/>
  <c r="E5" i="68" a="1"/>
  <c r="E10" i="68" a="1"/>
  <c r="H8" i="68" a="1"/>
  <c r="H5" i="68" a="1"/>
  <c r="D9" i="68" a="1"/>
  <c r="G12" i="68" a="1"/>
  <c r="C6" i="68" a="1"/>
  <c r="I6" i="68" a="1"/>
  <c r="H4" i="68" a="1"/>
  <c r="F3" i="68" a="1"/>
  <c r="F6" i="68" a="1"/>
  <c r="C5" i="68" a="1"/>
  <c r="F4" i="68" a="1"/>
  <c r="H11" i="68" a="1"/>
  <c r="D8" i="68" a="1"/>
  <c r="C8" i="68" a="1"/>
  <c r="E6" i="68" a="1"/>
  <c r="C9" i="68" a="1"/>
  <c r="I5" i="68" a="1"/>
  <c r="I10" i="68" a="1"/>
  <c r="F11" i="68" a="1"/>
  <c r="H12" i="68" a="1"/>
  <c r="C7" i="68" a="1"/>
  <c r="G7" i="68" a="1"/>
  <c r="D3" i="68" a="1"/>
  <c r="F9" i="68" a="1"/>
  <c r="C10" i="68" a="1"/>
  <c r="E11" i="68" a="1"/>
  <c r="G8" i="68" a="1"/>
  <c r="G10" i="68" a="1"/>
  <c r="E3" i="68" a="1"/>
  <c r="G11" i="68" a="1"/>
  <c r="H7" i="68" a="1"/>
  <c r="C12" i="68" a="1"/>
  <c r="G9" i="68" a="1"/>
  <c r="I4" i="68" a="1"/>
  <c r="E9" i="68" a="1"/>
  <c r="I7" i="68" a="1"/>
  <c r="E12" i="68" a="1"/>
  <c r="G4" i="68" a="1"/>
  <c r="H10" i="68" a="1"/>
  <c r="G6" i="68" a="1"/>
  <c r="F8" i="68" a="1"/>
  <c r="E8" i="68" a="1"/>
  <c r="D11" i="68" l="1"/>
  <c r="C4" i="68"/>
  <c r="I7" i="68"/>
  <c r="G11" i="68"/>
  <c r="E8" i="68"/>
  <c r="E5" i="68"/>
  <c r="G4" i="68"/>
  <c r="H12" i="68"/>
  <c r="H4" i="68"/>
  <c r="E6" i="68"/>
  <c r="C6" i="68"/>
  <c r="I12" i="68"/>
  <c r="D6" i="68"/>
  <c r="F10" i="68"/>
  <c r="E9" i="68"/>
  <c r="E3" i="68"/>
  <c r="H10" i="68"/>
  <c r="D10" i="68"/>
  <c r="G3" i="68"/>
  <c r="I10" i="68"/>
  <c r="I11" i="68"/>
  <c r="C8" i="68"/>
  <c r="G12" i="68"/>
  <c r="C11" i="68"/>
  <c r="D4" i="68"/>
  <c r="D7" i="68"/>
  <c r="I4" i="68"/>
  <c r="G10" i="68"/>
  <c r="F6" i="68"/>
  <c r="D3" i="68"/>
  <c r="C3" i="68"/>
  <c r="G6" i="68"/>
  <c r="H3" i="68"/>
  <c r="D8" i="68"/>
  <c r="D9" i="68"/>
  <c r="E4" i="68"/>
  <c r="I3" i="68"/>
  <c r="I8" i="68"/>
  <c r="G9" i="68"/>
  <c r="G8" i="68"/>
  <c r="E10" i="68"/>
  <c r="C7" i="68"/>
  <c r="F8" i="68"/>
  <c r="I9" i="68"/>
  <c r="C9" i="68"/>
  <c r="H11" i="68"/>
  <c r="H5" i="68"/>
  <c r="E7" i="68"/>
  <c r="G5" i="68"/>
  <c r="H6" i="68"/>
  <c r="C12" i="68"/>
  <c r="E11" i="68"/>
  <c r="F9" i="68"/>
  <c r="F11" i="68"/>
  <c r="D12" i="68"/>
  <c r="F3" i="68"/>
  <c r="I6" i="68"/>
  <c r="F4" i="68"/>
  <c r="H8" i="68"/>
  <c r="F12" i="68"/>
  <c r="H9" i="68"/>
  <c r="F7" i="68"/>
  <c r="H7" i="68"/>
  <c r="C10" i="68"/>
  <c r="G7" i="68"/>
  <c r="D5" i="68"/>
  <c r="E12" i="68"/>
  <c r="I5" i="68"/>
  <c r="F5" i="68"/>
  <c r="C5" i="68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C17" i="68" l="1"/>
  <c r="T14" i="75"/>
  <c r="V14" i="75" s="1"/>
  <c r="T14" i="74"/>
  <c r="T14" i="73"/>
  <c r="T14" i="72"/>
  <c r="T14" i="77"/>
  <c r="AA14" i="77" s="1"/>
  <c r="T14" i="76"/>
  <c r="T14" i="70"/>
  <c r="T14" i="69"/>
  <c r="T14" i="71"/>
  <c r="V14" i="71" s="1"/>
  <c r="T14" i="58"/>
  <c r="L14" i="75"/>
  <c r="L14" i="74"/>
  <c r="L14" i="73"/>
  <c r="L14" i="72"/>
  <c r="Q14" i="72" s="1"/>
  <c r="L14" i="77"/>
  <c r="R14" i="77" s="1"/>
  <c r="L14" i="76"/>
  <c r="L14" i="70"/>
  <c r="L14" i="69"/>
  <c r="L14" i="58"/>
  <c r="L14" i="71"/>
  <c r="O14" i="71" s="1"/>
  <c r="AA14" i="75"/>
  <c r="Z14" i="75"/>
  <c r="Y14" i="75"/>
  <c r="U14" i="75"/>
  <c r="X14" i="75"/>
  <c r="N14" i="75"/>
  <c r="O14" i="75"/>
  <c r="M14" i="75"/>
  <c r="P14" i="75"/>
  <c r="S14" i="75"/>
  <c r="R14" i="75"/>
  <c r="Q14" i="75"/>
  <c r="O14" i="74"/>
  <c r="N14" i="74"/>
  <c r="M14" i="74"/>
  <c r="S14" i="74"/>
  <c r="R14" i="74"/>
  <c r="Q14" i="74"/>
  <c r="P14" i="74"/>
  <c r="AA14" i="74"/>
  <c r="W14" i="74"/>
  <c r="V14" i="74"/>
  <c r="Z14" i="74"/>
  <c r="U14" i="74"/>
  <c r="Y14" i="74"/>
  <c r="X14" i="74"/>
  <c r="O14" i="73"/>
  <c r="N14" i="73"/>
  <c r="R14" i="73"/>
  <c r="M14" i="73"/>
  <c r="P14" i="73"/>
  <c r="S14" i="73"/>
  <c r="Q14" i="73"/>
  <c r="AA14" i="73"/>
  <c r="Z14" i="73"/>
  <c r="Y14" i="73"/>
  <c r="U14" i="73"/>
  <c r="X14" i="73"/>
  <c r="V14" i="73"/>
  <c r="W14" i="73"/>
  <c r="AA14" i="72"/>
  <c r="Z14" i="72"/>
  <c r="W14" i="72"/>
  <c r="Y14" i="72"/>
  <c r="V14" i="72"/>
  <c r="X14" i="72"/>
  <c r="U14" i="72"/>
  <c r="O14" i="77"/>
  <c r="O14" i="76"/>
  <c r="S14" i="76"/>
  <c r="P14" i="76"/>
  <c r="N14" i="76"/>
  <c r="M14" i="76"/>
  <c r="Q14" i="76"/>
  <c r="R14" i="76"/>
  <c r="AA14" i="76"/>
  <c r="W14" i="76"/>
  <c r="V14" i="76"/>
  <c r="Z14" i="76"/>
  <c r="U14" i="76"/>
  <c r="Y14" i="76"/>
  <c r="X14" i="76"/>
  <c r="AA14" i="70"/>
  <c r="V14" i="70"/>
  <c r="Z14" i="70"/>
  <c r="Y14" i="70"/>
  <c r="X14" i="70"/>
  <c r="U14" i="70"/>
  <c r="W14" i="70"/>
  <c r="O14" i="70"/>
  <c r="S14" i="70"/>
  <c r="R14" i="70"/>
  <c r="N14" i="70"/>
  <c r="M14" i="70"/>
  <c r="Q14" i="70"/>
  <c r="P14" i="70"/>
  <c r="AA14" i="69"/>
  <c r="Z14" i="69"/>
  <c r="W14" i="69"/>
  <c r="V14" i="69"/>
  <c r="Y14" i="69"/>
  <c r="X14" i="69"/>
  <c r="U14" i="69"/>
  <c r="O14" i="69"/>
  <c r="P14" i="69"/>
  <c r="N14" i="69"/>
  <c r="S14" i="69"/>
  <c r="M14" i="69"/>
  <c r="R14" i="69"/>
  <c r="Q14" i="69"/>
  <c r="O14" i="58"/>
  <c r="N14" i="58"/>
  <c r="M14" i="58"/>
  <c r="R14" i="58"/>
  <c r="S14" i="58"/>
  <c r="Q14" i="58"/>
  <c r="P14" i="58"/>
  <c r="AA14" i="58"/>
  <c r="Z14" i="58"/>
  <c r="W14" i="58"/>
  <c r="V14" i="58"/>
  <c r="U14" i="58"/>
  <c r="Y14" i="58"/>
  <c r="X14" i="58"/>
  <c r="D13" i="68"/>
  <c r="E13" i="68"/>
  <c r="I13" i="68"/>
  <c r="F13" i="68"/>
  <c r="G13" i="68"/>
  <c r="H13" i="68"/>
  <c r="C13" i="68"/>
  <c r="J13" i="68" s="1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Y5" i="68" a="1"/>
  <c r="X3" i="68" a="1"/>
  <c r="S4" i="68" a="1"/>
  <c r="S6" i="68" a="1"/>
  <c r="U12" i="68" a="1"/>
  <c r="W9" i="68" a="1"/>
  <c r="Q10" i="68" a="1"/>
  <c r="K9" i="68" a="1"/>
  <c r="Q7" i="68" a="1"/>
  <c r="K11" i="68" a="1"/>
  <c r="Q3" i="68" a="1"/>
  <c r="T5" i="68" a="1"/>
  <c r="O3" i="68" a="1"/>
  <c r="T3" i="68" a="1"/>
  <c r="L7" i="68" a="1"/>
  <c r="W4" i="68" a="1"/>
  <c r="W11" i="68" a="1"/>
  <c r="V4" i="68" a="1"/>
  <c r="O11" i="68" a="1"/>
  <c r="Q11" i="68" a="1"/>
  <c r="T11" i="68" a="1"/>
  <c r="K8" i="68" a="1"/>
  <c r="K10" i="68" a="1"/>
  <c r="T10" i="68" a="1"/>
  <c r="L10" i="68" a="1"/>
  <c r="X7" i="68" a="1"/>
  <c r="S5" i="68" a="1"/>
  <c r="N12" i="68" a="1"/>
  <c r="V10" i="68" a="1"/>
  <c r="W7" i="68" a="1"/>
  <c r="S12" i="68" a="1"/>
  <c r="K7" i="68" a="1"/>
  <c r="S8" i="68" a="1"/>
  <c r="L3" i="68" a="1"/>
  <c r="X10" i="68" a="1"/>
  <c r="O4" i="68" a="1"/>
  <c r="M7" i="68" a="1"/>
  <c r="M12" i="68" a="1"/>
  <c r="X4" i="68" a="1"/>
  <c r="T12" i="68" a="1"/>
  <c r="U6" i="68" a="1"/>
  <c r="W12" i="68" a="1"/>
  <c r="S3" i="68" a="1"/>
  <c r="V11" i="68" a="1"/>
  <c r="K12" i="68" a="1"/>
  <c r="L12" i="68" a="1"/>
  <c r="M3" i="68" a="1"/>
  <c r="P4" i="68" a="1"/>
  <c r="P12" i="68" a="1"/>
  <c r="V5" i="68" a="1"/>
  <c r="L5" i="68" a="1"/>
  <c r="U4" i="68" a="1"/>
  <c r="X5" i="68" a="1"/>
  <c r="K5" i="68" a="1"/>
  <c r="M4" i="68" a="1"/>
  <c r="K3" i="68" a="1"/>
  <c r="P11" i="68" a="1"/>
  <c r="V9" i="68" a="1"/>
  <c r="P9" i="68" a="1"/>
  <c r="M11" i="68" a="1"/>
  <c r="P5" i="68" a="1"/>
  <c r="Y3" i="68" a="1"/>
  <c r="W10" i="68" a="1"/>
  <c r="O12" i="68" a="1"/>
  <c r="M10" i="68" a="1"/>
  <c r="K4" i="68" a="1"/>
  <c r="Q5" i="68" a="1"/>
  <c r="U9" i="68" a="1"/>
  <c r="N10" i="68" a="1"/>
  <c r="N5" i="68" a="1"/>
  <c r="X12" i="68" a="1"/>
  <c r="S9" i="68" a="1"/>
  <c r="Q8" i="68" a="1"/>
  <c r="Y11" i="68" a="1"/>
  <c r="X9" i="68" a="1"/>
  <c r="Y4" i="68" a="1"/>
  <c r="O7" i="68" a="1"/>
  <c r="N4" i="68" a="1"/>
  <c r="Y12" i="68" a="1"/>
  <c r="V7" i="68" a="1"/>
  <c r="W3" i="68" a="1"/>
  <c r="V3" i="68" a="1"/>
  <c r="U10" i="68" a="1"/>
  <c r="S7" i="68" a="1"/>
  <c r="O10" i="68" a="1"/>
  <c r="N6" i="68" a="1"/>
  <c r="P7" i="68" a="1"/>
  <c r="K6" i="68" a="1"/>
  <c r="Y9" i="68" a="1"/>
  <c r="U11" i="68" a="1"/>
  <c r="U3" i="68" a="1"/>
  <c r="T4" i="68" a="1"/>
  <c r="Y10" i="68" a="1"/>
  <c r="N8" i="68" a="1"/>
  <c r="P10" i="68" a="1"/>
  <c r="M5" i="68" a="1"/>
  <c r="U7" i="68" a="1"/>
  <c r="U5" i="68" a="1"/>
  <c r="L11" i="68" a="1"/>
  <c r="L4" i="68" a="1"/>
  <c r="P3" i="68" a="1"/>
  <c r="T9" i="68" a="1"/>
  <c r="W5" i="68" a="1"/>
  <c r="S11" i="68" a="1"/>
  <c r="Q4" i="68" a="1"/>
  <c r="N11" i="68" a="1"/>
  <c r="O5" i="68" a="1"/>
  <c r="X11" i="68" a="1"/>
  <c r="Q12" i="68" a="1"/>
  <c r="N7" i="68" a="1"/>
  <c r="S10" i="68" a="1"/>
  <c r="T7" i="68" a="1"/>
  <c r="Y7" i="68" a="1"/>
  <c r="N3" i="68" a="1"/>
  <c r="W14" i="75" l="1"/>
  <c r="V14" i="77"/>
  <c r="X14" i="77"/>
  <c r="Z14" i="77"/>
  <c r="Y14" i="77"/>
  <c r="U14" i="77"/>
  <c r="W14" i="77"/>
  <c r="W14" i="71"/>
  <c r="AA14" i="71"/>
  <c r="X14" i="71"/>
  <c r="Z14" i="71"/>
  <c r="Y14" i="71"/>
  <c r="U14" i="71"/>
  <c r="M14" i="72"/>
  <c r="R14" i="72"/>
  <c r="N14" i="72"/>
  <c r="S14" i="72"/>
  <c r="J2" i="72" s="1"/>
  <c r="O14" i="72"/>
  <c r="P14" i="72"/>
  <c r="P2" i="72" s="1"/>
  <c r="S14" i="77"/>
  <c r="M14" i="77"/>
  <c r="N14" i="77"/>
  <c r="P14" i="77"/>
  <c r="Q14" i="77"/>
  <c r="H2" i="77" s="1"/>
  <c r="Q14" i="71"/>
  <c r="H2" i="71" s="1"/>
  <c r="M14" i="71"/>
  <c r="P14" i="71"/>
  <c r="S14" i="71"/>
  <c r="J2" i="71" s="1"/>
  <c r="R14" i="71"/>
  <c r="R2" i="71" s="1"/>
  <c r="N14" i="71"/>
  <c r="N7" i="68"/>
  <c r="O5" i="68"/>
  <c r="M3" i="68"/>
  <c r="K11" i="68"/>
  <c r="O10" i="68"/>
  <c r="W3" i="68"/>
  <c r="M12" i="68"/>
  <c r="S5" i="68"/>
  <c r="X7" i="68"/>
  <c r="Q7" i="68"/>
  <c r="S11" i="68"/>
  <c r="M5" i="68"/>
  <c r="N3" i="68"/>
  <c r="P4" i="68"/>
  <c r="T3" i="68"/>
  <c r="M10" i="68"/>
  <c r="P9" i="68"/>
  <c r="V7" i="68"/>
  <c r="N12" i="68"/>
  <c r="M7" i="68"/>
  <c r="L10" i="68"/>
  <c r="K9" i="68"/>
  <c r="W5" i="68"/>
  <c r="P10" i="68"/>
  <c r="P12" i="68"/>
  <c r="N10" i="68"/>
  <c r="L12" i="68"/>
  <c r="P7" i="68"/>
  <c r="U6" i="68"/>
  <c r="Y12" i="68"/>
  <c r="K3" i="68"/>
  <c r="O4" i="68"/>
  <c r="T10" i="68"/>
  <c r="Q10" i="68"/>
  <c r="T9" i="68"/>
  <c r="N8" i="68"/>
  <c r="W11" i="68"/>
  <c r="Y7" i="68"/>
  <c r="O3" i="68"/>
  <c r="O12" i="68"/>
  <c r="S7" i="68"/>
  <c r="N4" i="68"/>
  <c r="M4" i="68"/>
  <c r="X10" i="68"/>
  <c r="K10" i="68"/>
  <c r="W9" i="68"/>
  <c r="P3" i="68"/>
  <c r="Y10" i="68"/>
  <c r="X12" i="68"/>
  <c r="N11" i="68"/>
  <c r="K4" i="68"/>
  <c r="W10" i="68"/>
  <c r="V9" i="68"/>
  <c r="O7" i="68"/>
  <c r="K5" i="68"/>
  <c r="L3" i="68"/>
  <c r="K8" i="68"/>
  <c r="U12" i="68"/>
  <c r="L4" i="68"/>
  <c r="T4" i="68"/>
  <c r="Q12" i="68"/>
  <c r="L7" i="68"/>
  <c r="K12" i="68"/>
  <c r="N6" i="68"/>
  <c r="T12" i="68"/>
  <c r="Y4" i="68"/>
  <c r="X5" i="68"/>
  <c r="S8" i="68"/>
  <c r="T11" i="68"/>
  <c r="S6" i="68"/>
  <c r="L11" i="68"/>
  <c r="U3" i="68"/>
  <c r="V10" i="68"/>
  <c r="U9" i="68"/>
  <c r="T5" i="68"/>
  <c r="Y3" i="68"/>
  <c r="U10" i="68"/>
  <c r="X9" i="68"/>
  <c r="U4" i="68"/>
  <c r="K7" i="68"/>
  <c r="Q11" i="68"/>
  <c r="S4" i="68"/>
  <c r="U5" i="68"/>
  <c r="U11" i="68"/>
  <c r="W4" i="68"/>
  <c r="T7" i="68"/>
  <c r="V11" i="68"/>
  <c r="W12" i="68"/>
  <c r="X4" i="68"/>
  <c r="Y11" i="68"/>
  <c r="L5" i="68"/>
  <c r="S12" i="68"/>
  <c r="O11" i="68"/>
  <c r="X3" i="68"/>
  <c r="S10" i="68"/>
  <c r="Y9" i="68"/>
  <c r="N5" i="68"/>
  <c r="Q4" i="68"/>
  <c r="S3" i="68"/>
  <c r="P5" i="68"/>
  <c r="P11" i="68"/>
  <c r="Q8" i="68"/>
  <c r="V5" i="68"/>
  <c r="W7" i="68"/>
  <c r="V4" i="68"/>
  <c r="Y5" i="68"/>
  <c r="U7" i="68"/>
  <c r="K6" i="68"/>
  <c r="X11" i="68"/>
  <c r="Q5" i="68"/>
  <c r="Q3" i="68"/>
  <c r="M11" i="68"/>
  <c r="V3" i="68"/>
  <c r="S9" i="68"/>
  <c r="P2" i="58"/>
  <c r="J2" i="74"/>
  <c r="P2" i="73"/>
  <c r="X2" i="69"/>
  <c r="R2" i="76"/>
  <c r="H2" i="70"/>
  <c r="H2" i="72"/>
  <c r="X2" i="58"/>
  <c r="H2" i="73"/>
  <c r="H2" i="75"/>
  <c r="H2" i="76"/>
  <c r="Z2" i="75"/>
  <c r="J2" i="69"/>
  <c r="P2" i="70"/>
  <c r="R2" i="73"/>
  <c r="X2" i="74"/>
  <c r="P2" i="77"/>
  <c r="Z2" i="76"/>
  <c r="P2" i="69"/>
  <c r="P2" i="75"/>
  <c r="J2" i="73"/>
  <c r="H2" i="69"/>
  <c r="Z2" i="73"/>
  <c r="X2" i="77"/>
  <c r="J2" i="70"/>
  <c r="X2" i="73"/>
  <c r="P2" i="76"/>
  <c r="J2" i="58"/>
  <c r="J2" i="77"/>
  <c r="R2" i="75"/>
  <c r="J2" i="75"/>
  <c r="Z2" i="70"/>
  <c r="Z2" i="69"/>
  <c r="R2" i="72"/>
  <c r="J2" i="76"/>
  <c r="R2" i="74"/>
  <c r="X2" i="70"/>
  <c r="X2" i="75"/>
  <c r="Z2" i="74"/>
  <c r="P2" i="74"/>
  <c r="Z2" i="72"/>
  <c r="R2" i="70"/>
  <c r="H2" i="58"/>
  <c r="H2" i="74"/>
  <c r="R2" i="77"/>
  <c r="X2" i="76"/>
  <c r="Z2" i="58"/>
  <c r="R2" i="58"/>
  <c r="R2" i="69"/>
  <c r="G14" i="26"/>
  <c r="E14" i="26"/>
  <c r="D14" i="26"/>
  <c r="K14" i="26"/>
  <c r="P14" i="25"/>
  <c r="N14" i="25"/>
  <c r="M14" i="25"/>
  <c r="T14" i="25"/>
  <c r="D14" i="25"/>
  <c r="V6" i="68" a="1"/>
  <c r="O8" i="68" a="1"/>
  <c r="N9" i="68" a="1"/>
  <c r="M9" i="68" a="1"/>
  <c r="W6" i="68" a="1"/>
  <c r="P8" i="68" a="1"/>
  <c r="Y6" i="68" a="1"/>
  <c r="L6" i="68" a="1"/>
  <c r="O6" i="68" a="1"/>
  <c r="L9" i="68" a="1"/>
  <c r="U8" i="68" a="1"/>
  <c r="T8" i="68" a="1"/>
  <c r="P6" i="68" a="1"/>
  <c r="Q6" i="68" a="1"/>
  <c r="W8" i="68" a="1"/>
  <c r="X6" i="68" a="1"/>
  <c r="V12" i="68" a="1"/>
  <c r="H4" i="23" a="1"/>
  <c r="Q9" i="68" a="1"/>
  <c r="T6" i="68" a="1"/>
  <c r="M6" i="68" a="1"/>
  <c r="O9" i="68" a="1"/>
  <c r="I4" i="23" a="1"/>
  <c r="X8" i="68" a="1"/>
  <c r="L8" i="68" a="1"/>
  <c r="V8" i="68" a="1"/>
  <c r="M8" i="68" a="1"/>
  <c r="Y8" i="68" a="1"/>
  <c r="S17" i="68" l="1"/>
  <c r="K17" i="68"/>
  <c r="V12" i="68"/>
  <c r="V8" i="68"/>
  <c r="X8" i="68"/>
  <c r="Y8" i="68"/>
  <c r="W8" i="68"/>
  <c r="T8" i="68"/>
  <c r="U8" i="68"/>
  <c r="U13" i="68" s="1"/>
  <c r="U14" i="68" s="1"/>
  <c r="Z2" i="77"/>
  <c r="V6" i="68"/>
  <c r="X2" i="71"/>
  <c r="S13" i="68"/>
  <c r="S14" i="68" s="1"/>
  <c r="T6" i="68"/>
  <c r="X6" i="68"/>
  <c r="Y6" i="68"/>
  <c r="W6" i="68"/>
  <c r="X2" i="72"/>
  <c r="M9" i="68"/>
  <c r="Q9" i="68"/>
  <c r="O9" i="68"/>
  <c r="N9" i="68"/>
  <c r="N13" i="68" s="1"/>
  <c r="N14" i="68" s="1"/>
  <c r="L9" i="68"/>
  <c r="P8" i="68"/>
  <c r="O8" i="68"/>
  <c r="M8" i="68"/>
  <c r="L8" i="68"/>
  <c r="K13" i="68"/>
  <c r="R13" i="68" s="1"/>
  <c r="P2" i="71"/>
  <c r="Z2" i="71"/>
  <c r="M6" i="68"/>
  <c r="Q6" i="68"/>
  <c r="O6" i="68"/>
  <c r="L6" i="68"/>
  <c r="P6" i="68"/>
  <c r="H4" i="23"/>
  <c r="I4" i="23"/>
  <c r="D13" i="23" a="1"/>
  <c r="G12" i="23" a="1"/>
  <c r="F12" i="23" a="1"/>
  <c r="E13" i="23" a="1"/>
  <c r="G4" i="23" a="1"/>
  <c r="G8" i="23" a="1"/>
  <c r="D8" i="23" a="1"/>
  <c r="F7" i="23" a="1"/>
  <c r="D9" i="23" a="1"/>
  <c r="G13" i="23" a="1"/>
  <c r="G5" i="23" a="1"/>
  <c r="G10" i="23" a="1"/>
  <c r="E6" i="23" a="1"/>
  <c r="F10" i="23" a="1"/>
  <c r="E9" i="23" a="1"/>
  <c r="G7" i="23" a="1"/>
  <c r="F13" i="23" a="1"/>
  <c r="D7" i="23" a="1"/>
  <c r="D4" i="23" a="1"/>
  <c r="E7" i="23" a="1"/>
  <c r="G6" i="23" a="1"/>
  <c r="E8" i="23" a="1"/>
  <c r="D12" i="23" a="1"/>
  <c r="F8" i="23" a="1"/>
  <c r="G9" i="23" a="1"/>
  <c r="F4" i="23" a="1"/>
  <c r="D10" i="23" a="1"/>
  <c r="D11" i="23" a="1"/>
  <c r="F5" i="23" a="1"/>
  <c r="D5" i="23" a="1"/>
  <c r="E4" i="23" a="1"/>
  <c r="F6" i="23" a="1"/>
  <c r="F9" i="23" a="1"/>
  <c r="E5" i="23" a="1"/>
  <c r="E10" i="23" a="1"/>
  <c r="G11" i="23" a="1"/>
  <c r="F11" i="23" a="1"/>
  <c r="E11" i="23" a="1"/>
  <c r="D6" i="23" a="1"/>
  <c r="E12" i="23" a="1"/>
  <c r="V13" i="68" l="1"/>
  <c r="V14" i="68" s="1"/>
  <c r="W13" i="68"/>
  <c r="W14" i="68" s="1"/>
  <c r="Y13" i="68"/>
  <c r="Y14" i="68" s="1"/>
  <c r="X13" i="68"/>
  <c r="X14" i="68" s="1"/>
  <c r="T13" i="68"/>
  <c r="T14" i="68" s="1"/>
  <c r="Z13" i="68"/>
  <c r="Q13" i="68"/>
  <c r="Q14" i="68" s="1"/>
  <c r="L13" i="68"/>
  <c r="L14" i="68" s="1"/>
  <c r="O13" i="68"/>
  <c r="O14" i="68" s="1"/>
  <c r="M13" i="68"/>
  <c r="M14" i="68" s="1"/>
  <c r="P13" i="68"/>
  <c r="P14" i="68" s="1"/>
  <c r="K14" i="68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<sst xmlns="http://schemas.openxmlformats.org/spreadsheetml/2006/main" count="677" uniqueCount="22">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</sst>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2:Z17"/>
  <sheetViews>
    <sheetView zoomScale="85" zoomScaleNormal="85" workbookViewId="0">
      <selection activeCell="A17" sqref="A17:XFD17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119</v>
      </c>
      <c r="C3" s="5" cm="1">
        <f t="array" aca="1" ref="C3" ca="1">INDIRECT("'results" &amp; $B3 &amp; "'!D$14")</f>
        <v>39573.561384198307</v>
      </c>
      <c r="D3" s="33" cm="1">
        <f t="array" aca="1" ref="D3" ca="1">INDIRECT("'results" &amp; $B3 &amp; "'!E$14")</f>
        <v>3.5117125000397209E-2</v>
      </c>
      <c r="E3" s="5" cm="1">
        <f t="array" aca="1" ref="E3" ca="1">INDIRECT("'results" &amp; $B3 &amp; "'!F$14")</f>
        <v>2</v>
      </c>
      <c r="F3" s="5" cm="1">
        <f t="array" aca="1" ref="F3" ca="1">INDIRECT("'results" &amp; $B3 &amp; "'!G$14")</f>
        <v>70</v>
      </c>
      <c r="G3" s="5" cm="1">
        <f t="array" aca="1" ref="G3" ca="1">INDIRECT("'results" &amp; $B3 &amp; "'!H$14")</f>
        <v>0</v>
      </c>
      <c r="H3" s="33" cm="1">
        <f t="array" aca="1" ref="H3" ca="1">INDIRECT("'results" &amp; $B3 &amp; "'!I$14")</f>
        <v>9.0327520040295255</v>
      </c>
      <c r="I3" s="5" cm="1">
        <f t="array" aca="1" ref="I3" ca="1">INDIRECT("'results" &amp; $B3 &amp; "'!J$14")</f>
        <v>855.22486792137317</v>
      </c>
      <c r="J3" s="5"/>
      <c r="K3" s="5" cm="1">
        <f t="array" aca="1" ref="K3" ca="1">INDIRECT("'results" &amp; $B3 &amp; "'!L$14")</f>
        <v>42675.563326865427</v>
      </c>
      <c r="L3" s="5" cm="1">
        <f t="array" aca="1" ref="L3" ca="1">INDIRECT("'results" &amp; $B3 &amp; "'!M$14")</f>
        <v>3.0224082998756781E-2</v>
      </c>
      <c r="M3" s="5" cm="1">
        <f t="array" aca="1" ref="M3" ca="1">INDIRECT("'results" &amp; $B3 &amp; "'!N$14")</f>
        <v>1</v>
      </c>
      <c r="N3" s="5" cm="1">
        <f t="array" aca="1" ref="N3" ca="1">INDIRECT("'results" &amp; $B3 &amp; "'!O$14")</f>
        <v>40</v>
      </c>
      <c r="O3" s="5" cm="1">
        <f t="array" aca="1" ref="O3" ca="1">INDIRECT("'results" &amp; $B3 &amp; "'!P$14")</f>
        <v>0</v>
      </c>
      <c r="P3" s="5" cm="1">
        <f t="array" aca="1" ref="P3" ca="1">INDIRECT("'results" &amp; $B3 &amp; "'!Q$14")</f>
        <v>8.8189588189588228</v>
      </c>
      <c r="Q3" s="5" cm="1">
        <f t="array" aca="1" ref="Q3" ca="1">INDIRECT("'results" &amp; $B3 &amp; "'!R$14")</f>
        <v>835.08432130547203</v>
      </c>
      <c r="R3" s="5"/>
      <c r="S3" s="5" cm="1">
        <f t="array" aca="1" ref="S3" ca="1">INDIRECT("'results" &amp; $B3 &amp; "'!T$14")</f>
        <v>40638.778763302107</v>
      </c>
      <c r="T3" s="5" cm="1">
        <f t="array" aca="1" ref="T3" ca="1">INDIRECT("'results" &amp; $B3 &amp; "'!U$14")</f>
        <v>3.8656167002045549E-2</v>
      </c>
      <c r="U3" s="5" cm="1">
        <f t="array" aca="1" ref="U3" ca="1">INDIRECT("'results" &amp; $B3 &amp; "'!V$14")</f>
        <v>2</v>
      </c>
      <c r="V3" s="5" cm="1">
        <f t="array" aca="1" ref="V3" ca="1">INDIRECT("'results" &amp; $B3 &amp; "'!W$14")</f>
        <v>70</v>
      </c>
      <c r="W3" s="5" cm="1">
        <f t="array" aca="1" ref="W3" ca="1">INDIRECT("'results" &amp; $B3 &amp; "'!X$14")</f>
        <v>0</v>
      </c>
      <c r="X3" s="5" cm="1">
        <f t="array" aca="1" ref="X3" ca="1">INDIRECT("'results" &amp; $B3 &amp; "'!Y$14")</f>
        <v>18.09998287334259</v>
      </c>
      <c r="Y3" s="5" cm="1">
        <f t="array" aca="1" ref="Y3" ca="1">INDIRECT("'results" &amp; $B3 &amp; "'!Z$14")</f>
        <v>1241.0098463950203</v>
      </c>
      <c r="Z3" s="5"/>
    </row>
    <row r="4" spans="2:26" x14ac:dyDescent="0.2">
      <c r="B4" s="4">
        <v>286</v>
      </c>
      <c r="C4" s="5" cm="1">
        <f t="array" aca="1" ref="C4" ca="1">INDIRECT("'results" &amp; $B4 &amp; "'!D$14")</f>
        <v>43015.711356500608</v>
      </c>
      <c r="D4" s="33" cm="1">
        <f t="array" aca="1" ref="D4" ca="1">INDIRECT("'results" &amp; $B4 &amp; "'!E$14")</f>
        <v>4.9560958000256512E-2</v>
      </c>
      <c r="E4" s="5" cm="1">
        <f t="array" aca="1" ref="E4" ca="1">INDIRECT("'results" &amp; $B4 &amp; "'!F$14")</f>
        <v>2</v>
      </c>
      <c r="F4" s="5" cm="1">
        <f t="array" aca="1" ref="F4" ca="1">INDIRECT("'results" &amp; $B4 &amp; "'!G$14")</f>
        <v>70</v>
      </c>
      <c r="G4" s="5" cm="1">
        <f t="array" aca="1" ref="G4" ca="1">INDIRECT("'results" &amp; $B4 &amp; "'!H$14")</f>
        <v>0</v>
      </c>
      <c r="H4" s="33" cm="1">
        <f t="array" aca="1" ref="H4" ca="1">INDIRECT("'results" &amp; $B4 &amp; "'!I$14")</f>
        <v>18.517615997620094</v>
      </c>
      <c r="I4" s="5" cm="1">
        <f t="array" aca="1" ref="I4" ca="1">INDIRECT("'results" &amp; $B4 &amp; "'!J$14")</f>
        <v>1665.817552494771</v>
      </c>
      <c r="J4" s="5"/>
      <c r="K4" s="5" cm="1">
        <f t="array" aca="1" ref="K4" ca="1">INDIRECT("'results" &amp; $B4 &amp; "'!L$14")</f>
        <v>45957.935857349847</v>
      </c>
      <c r="L4" s="5" cm="1">
        <f t="array" aca="1" ref="L4" ca="1">INDIRECT("'results" &amp; $B4 &amp; "'!M$14")</f>
        <v>5.2661958001408493E-2</v>
      </c>
      <c r="M4" s="5" cm="1">
        <f t="array" aca="1" ref="M4" ca="1">INDIRECT("'results" &amp; $B4 &amp; "'!N$14")</f>
        <v>1</v>
      </c>
      <c r="N4" s="5" cm="1">
        <f t="array" aca="1" ref="N4" ca="1">INDIRECT("'results" &amp; $B4 &amp; "'!O$14")</f>
        <v>30</v>
      </c>
      <c r="O4" s="5" cm="1">
        <f t="array" aca="1" ref="O4" ca="1">INDIRECT("'results" &amp; $B4 &amp; "'!P$14")</f>
        <v>0</v>
      </c>
      <c r="P4" s="5" cm="1">
        <f t="array" aca="1" ref="P4" ca="1">INDIRECT("'results" &amp; $B4 &amp; "'!Q$14")</f>
        <v>9.8408073921392507</v>
      </c>
      <c r="Q4" s="5" cm="1">
        <f t="array" aca="1" ref="Q4" ca="1">INDIRECT("'results" &amp; $B4 &amp; "'!R$14")</f>
        <v>713.97668991315413</v>
      </c>
      <c r="R4" s="5"/>
      <c r="S4" s="5" cm="1">
        <f t="array" aca="1" ref="S4" ca="1">INDIRECT("'results" &amp; $B4 &amp; "'!T$14")</f>
        <v>45174.863058173607</v>
      </c>
      <c r="T4" s="5" cm="1">
        <f t="array" aca="1" ref="T4" ca="1">INDIRECT("'results" &amp; $B4 &amp; "'!U$14")</f>
        <v>4.8384165998868411E-2</v>
      </c>
      <c r="U4" s="5" cm="1">
        <f t="array" aca="1" ref="U4" ca="1">INDIRECT("'results" &amp; $B4 &amp; "'!V$14")</f>
        <v>1</v>
      </c>
      <c r="V4" s="5" cm="1">
        <f t="array" aca="1" ref="V4" ca="1">INDIRECT("'results" &amp; $B4 &amp; "'!W$14")</f>
        <v>30</v>
      </c>
      <c r="W4" s="5" cm="1">
        <f t="array" aca="1" ref="W4" ca="1">INDIRECT("'results" &amp; $B4 &amp; "'!X$14")</f>
        <v>0</v>
      </c>
      <c r="X4" s="5" cm="1">
        <f t="array" aca="1" ref="X4" ca="1">INDIRECT("'results" &amp; $B4 &amp; "'!Y$14")</f>
        <v>22.710204613274641</v>
      </c>
      <c r="Y4" s="5" cm="1">
        <f t="array" aca="1" ref="Y4" ca="1">INDIRECT("'results" &amp; $B4 &amp; "'!Z$14")</f>
        <v>899.22188216951008</v>
      </c>
      <c r="Z4" s="5"/>
    </row>
    <row r="5" spans="2:26" x14ac:dyDescent="0.2">
      <c r="B5" s="4">
        <v>57</v>
      </c>
      <c r="C5" s="5" cm="1">
        <f t="array" aca="1" ref="C5" ca="1">INDIRECT("'results" &amp; $B5 &amp; "'!D$14")</f>
        <v>40791.588062528077</v>
      </c>
      <c r="D5" s="33" cm="1">
        <f t="array" aca="1" ref="D5" ca="1">INDIRECT("'results" &amp; $B5 &amp; "'!E$14")</f>
        <v>5.5512166999960748E-2</v>
      </c>
      <c r="E5" s="5" cm="1">
        <f t="array" aca="1" ref="E5" ca="1">INDIRECT("'results" &amp; $B5 &amp; "'!F$14")</f>
        <v>2</v>
      </c>
      <c r="F5" s="5" cm="1">
        <f t="array" aca="1" ref="F5" ca="1">INDIRECT("'results" &amp; $B5 &amp; "'!G$14")</f>
        <v>70</v>
      </c>
      <c r="G5" s="5" cm="1">
        <f t="array" aca="1" ref="G5" ca="1">INDIRECT("'results" &amp; $B5 &amp; "'!H$14")</f>
        <v>0</v>
      </c>
      <c r="H5" s="33" cm="1">
        <f t="array" aca="1" ref="H5" ca="1">INDIRECT("'results" &amp; $B5 &amp; "'!I$14")</f>
        <v>11.75623907894386</v>
      </c>
      <c r="I5" s="5" cm="1">
        <f t="array" aca="1" ref="I5" ca="1">INDIRECT("'results" &amp; $B5 &amp; "'!J$14")</f>
        <v>1093.8057200926573</v>
      </c>
      <c r="J5" s="5"/>
      <c r="K5" s="5" cm="1">
        <f t="array" aca="1" ref="K5" ca="1">INDIRECT("'results" &amp; $B5 &amp; "'!L$14")</f>
        <v>40791.588062528077</v>
      </c>
      <c r="L5" s="5" cm="1">
        <f t="array" aca="1" ref="L5" ca="1">INDIRECT("'results" &amp; $B5 &amp; "'!M$14")</f>
        <v>6.0622249999141793E-2</v>
      </c>
      <c r="M5" s="5" cm="1">
        <f t="array" aca="1" ref="M5" ca="1">INDIRECT("'results" &amp; $B5 &amp; "'!N$14")</f>
        <v>2</v>
      </c>
      <c r="N5" s="5" cm="1">
        <f t="array" aca="1" ref="N5" ca="1">INDIRECT("'results" &amp; $B5 &amp; "'!O$14")</f>
        <v>70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11.75623907894386</v>
      </c>
      <c r="Q5" s="5" cm="1">
        <f t="array" aca="1" ref="Q5" ca="1">INDIRECT("'results" &amp; $B5 &amp; "'!R$14")</f>
        <v>1093.8057200926573</v>
      </c>
      <c r="R5" s="5"/>
      <c r="S5" s="5" cm="1">
        <f t="array" aca="1" ref="S5" ca="1">INDIRECT("'results" &amp; $B5 &amp; "'!T$14")</f>
        <v>43612.037783457767</v>
      </c>
      <c r="T5" s="5" cm="1">
        <f t="array" aca="1" ref="T5" ca="1">INDIRECT("'results" &amp; $B5 &amp; "'!U$14")</f>
        <v>4.1489082999760292E-2</v>
      </c>
      <c r="U5" s="5" cm="1">
        <f t="array" aca="1" ref="U5" ca="1">INDIRECT("'results" &amp; $B5 &amp; "'!V$14")</f>
        <v>2</v>
      </c>
      <c r="V5" s="5" cm="1">
        <f t="array" aca="1" ref="V5" ca="1">INDIRECT("'results" &amp; $B5 &amp; "'!W$14")</f>
        <v>70</v>
      </c>
      <c r="W5" s="5" cm="1">
        <f t="array" aca="1" ref="W5" ca="1">INDIRECT("'results" &amp; $B5 &amp; "'!X$14")</f>
        <v>150.58395449409039</v>
      </c>
      <c r="X5" s="5" cm="1">
        <f t="array" aca="1" ref="X5" ca="1">INDIRECT("'results" &amp; $B5 &amp; "'!Y$14")</f>
        <v>25.161062080085731</v>
      </c>
      <c r="Y5" s="5" cm="1">
        <f t="array" aca="1" ref="Y5" ca="1">INDIRECT("'results" &amp; $B5 &amp; "'!Z$14")</f>
        <v>1726.3811320996028</v>
      </c>
      <c r="Z5" s="5"/>
    </row>
    <row r="6" spans="2:26" x14ac:dyDescent="0.2">
      <c r="B6" s="4">
        <v>486</v>
      </c>
      <c r="C6" s="5" cm="1">
        <f t="array" aca="1" ref="C6" ca="1">INDIRECT("'results" &amp; $B6 &amp; "'!D$14")</f>
        <v>28023.27799854114</v>
      </c>
      <c r="D6" s="33" cm="1">
        <f t="array" aca="1" ref="D6" ca="1">INDIRECT("'results" &amp; $B6 &amp; "'!E$14")</f>
        <v>5.2767000000130793E-2</v>
      </c>
      <c r="E6" s="5" cm="1">
        <f t="array" aca="1" ref="E6" ca="1">INDIRECT("'results" &amp; $B6 &amp; "'!F$14")</f>
        <v>2</v>
      </c>
      <c r="F6" s="5" cm="1">
        <f t="array" aca="1" ref="F6" ca="1">INDIRECT("'results" &amp; $B6 &amp; "'!G$14")</f>
        <v>90</v>
      </c>
      <c r="G6" s="5" cm="1">
        <f t="array" aca="1" ref="G6" ca="1">INDIRECT("'results" &amp; $B6 &amp; "'!H$14")</f>
        <v>0</v>
      </c>
      <c r="H6" s="33" cm="1">
        <f t="array" aca="1" ref="H6" ca="1">INDIRECT("'results" &amp; $B6 &amp; "'!I$14")</f>
        <v>18.485165793783889</v>
      </c>
      <c r="I6" s="5" cm="1">
        <f t="array" aca="1" ref="I6" ca="1">INDIRECT("'results" &amp; $B6 &amp; "'!J$14")</f>
        <v>726.17732182822704</v>
      </c>
      <c r="J6" s="5"/>
      <c r="K6" s="5" cm="1">
        <f t="array" aca="1" ref="K6" ca="1">INDIRECT("'results" &amp; $B6 &amp; "'!L$14")</f>
        <v>36767.721337115232</v>
      </c>
      <c r="L6" s="5" cm="1">
        <f t="array" aca="1" ref="L6" ca="1">INDIRECT("'results" &amp; $B6 &amp; "'!M$14")</f>
        <v>5.7133709000481758E-2</v>
      </c>
      <c r="M6" s="5" cm="1">
        <f t="array" aca="1" ref="M6" ca="1">INDIRECT("'results" &amp; $B6 &amp; "'!N$14")</f>
        <v>2</v>
      </c>
      <c r="N6" s="5" cm="1">
        <f t="array" aca="1" ref="N6" ca="1">INDIRECT("'results" &amp; $B6 &amp; "'!O$14")</f>
        <v>70</v>
      </c>
      <c r="O6" s="5" cm="1">
        <f t="array" aca="1" ref="O6" ca="1">INDIRECT("'results" &amp; $B6 &amp; "'!P$14")</f>
        <v>0</v>
      </c>
      <c r="P6" s="5" cm="1">
        <f t="array" aca="1" ref="P6" ca="1">INDIRECT("'results" &amp; $B6 &amp; "'!Q$14")</f>
        <v>12.637762341747639</v>
      </c>
      <c r="Q6" s="5" cm="1">
        <f t="array" aca="1" ref="Q6" ca="1">INDIRECT("'results" &amp; $B6 &amp; "'!R$14")</f>
        <v>615.01784959970519</v>
      </c>
      <c r="R6" s="5"/>
      <c r="S6" s="5" cm="1">
        <f t="array" aca="1" ref="S6" ca="1">INDIRECT("'results" &amp; $B6 &amp; "'!T$14")</f>
        <v>27218.814521760862</v>
      </c>
      <c r="T6" s="5" cm="1">
        <f t="array" aca="1" ref="T6" ca="1">INDIRECT("'results" &amp; $B6 &amp; "'!U$14")</f>
        <v>4.9708750000718283E-2</v>
      </c>
      <c r="U6" s="5" cm="1">
        <f t="array" aca="1" ref="U6" ca="1">INDIRECT("'results" &amp; $B6 &amp; "'!V$14")</f>
        <v>2</v>
      </c>
      <c r="V6" s="5" cm="1">
        <f t="array" aca="1" ref="V6" ca="1">INDIRECT("'results" &amp; $B6 &amp; "'!W$14")</f>
        <v>90</v>
      </c>
      <c r="W6" s="5" cm="1">
        <f t="array" aca="1" ref="W6" ca="1">INDIRECT("'results" &amp; $B6 &amp; "'!X$14")</f>
        <v>0</v>
      </c>
      <c r="X6" s="5" cm="1">
        <f t="array" aca="1" ref="X6" ca="1">INDIRECT("'results" &amp; $B6 &amp; "'!Y$14")</f>
        <v>35.895690918764863</v>
      </c>
      <c r="Y6" s="5" cm="1">
        <f t="array" aca="1" ref="Y6" ca="1">INDIRECT("'results" &amp; $B6 &amp; "'!Z$14")</f>
        <v>1016.756666456998</v>
      </c>
      <c r="Z6" s="5"/>
    </row>
    <row r="7" spans="2:26" x14ac:dyDescent="0.2">
      <c r="B7" s="4">
        <v>492</v>
      </c>
      <c r="C7" s="5" cm="1">
        <f t="array" aca="1" ref="C7" ca="1">INDIRECT("'results" &amp; $B7 &amp; "'!D$14")</f>
        <v>33830.49398280718</v>
      </c>
      <c r="D7" s="33" cm="1">
        <f t="array" aca="1" ref="D7" ca="1">INDIRECT("'results" &amp; $B7 &amp; "'!E$14")</f>
        <v>4.6791333999863127E-2</v>
      </c>
      <c r="E7" s="5" cm="1">
        <f t="array" aca="1" ref="E7" ca="1">INDIRECT("'results" &amp; $B7 &amp; "'!F$14")</f>
        <v>1</v>
      </c>
      <c r="F7" s="5" cm="1">
        <f t="array" aca="1" ref="F7" ca="1">INDIRECT("'results" &amp; $B7 &amp; "'!G$14")</f>
        <v>60</v>
      </c>
      <c r="G7" s="5" cm="1">
        <f t="array" aca="1" ref="G7" ca="1">INDIRECT("'results" &amp; $B7 &amp; "'!H$14")</f>
        <v>0</v>
      </c>
      <c r="H7" s="33" cm="1">
        <f t="array" aca="1" ref="H7" ca="1">INDIRECT("'results" &amp; $B7 &amp; "'!I$14")</f>
        <v>24.570896699690788</v>
      </c>
      <c r="I7" s="5" cm="1">
        <f t="array" aca="1" ref="I7" ca="1">INDIRECT("'results" &amp; $B7 &amp; "'!J$14")</f>
        <v>957.01425460825919</v>
      </c>
      <c r="J7" s="5"/>
      <c r="K7" s="5" cm="1">
        <f t="array" aca="1" ref="K7" ca="1">INDIRECT("'results" &amp; $B7 &amp; "'!L$14")</f>
        <v>41787.765062450468</v>
      </c>
      <c r="L7" s="5" cm="1">
        <f t="array" aca="1" ref="L7" ca="1">INDIRECT("'results" &amp; $B7 &amp; "'!M$14")</f>
        <v>3.7502082999708357E-2</v>
      </c>
      <c r="M7" s="5" cm="1">
        <f t="array" aca="1" ref="M7" ca="1">INDIRECT("'results" &amp; $B7 &amp; "'!N$14")</f>
        <v>1</v>
      </c>
      <c r="N7" s="5" cm="1">
        <f t="array" aca="1" ref="N7" ca="1">INDIRECT("'results" &amp; $B7 &amp; "'!O$14")</f>
        <v>40</v>
      </c>
      <c r="O7" s="5" cm="1">
        <f t="array" aca="1" ref="O7" ca="1">INDIRECT("'results" &amp; $B7 &amp; "'!P$14")</f>
        <v>0</v>
      </c>
      <c r="P7" s="5" cm="1">
        <f t="array" aca="1" ref="P7" ca="1">INDIRECT("'results" &amp; $B7 &amp; "'!Q$14")</f>
        <v>15.93361519530511</v>
      </c>
      <c r="Q7" s="5" cm="1">
        <f t="array" aca="1" ref="Q7" ca="1">INDIRECT("'results" &amp; $B7 &amp; "'!R$14")</f>
        <v>779.06142441958002</v>
      </c>
      <c r="R7" s="5"/>
      <c r="S7" s="5" cm="1">
        <f t="array" aca="1" ref="S7" ca="1">INDIRECT("'results" &amp; $B7 &amp; "'!T$14")</f>
        <v>34426.935828897687</v>
      </c>
      <c r="T7" s="5" cm="1">
        <f t="array" aca="1" ref="T7" ca="1">INDIRECT("'results" &amp; $B7 &amp; "'!U$14")</f>
        <v>4.7207584000716452E-2</v>
      </c>
      <c r="U7" s="5" cm="1">
        <f t="array" aca="1" ref="U7" ca="1">INDIRECT("'results" &amp; $B7 &amp; "'!V$14")</f>
        <v>1</v>
      </c>
      <c r="V7" s="5" cm="1">
        <f t="array" aca="1" ref="V7" ca="1">INDIRECT("'results" &amp; $B7 &amp; "'!W$14")</f>
        <v>60</v>
      </c>
      <c r="W7" s="5" cm="1">
        <f t="array" aca="1" ref="W7" ca="1">INDIRECT("'results" &amp; $B7 &amp; "'!X$14")</f>
        <v>0</v>
      </c>
      <c r="X7" s="5" cm="1">
        <f t="array" aca="1" ref="X7" ca="1">INDIRECT("'results" &amp; $B7 &amp; "'!Y$14")</f>
        <v>47.266840151595702</v>
      </c>
      <c r="Y7" s="5" cm="1">
        <f t="array" aca="1" ref="Y7" ca="1">INDIRECT("'results" &amp; $B7 &amp; "'!Z$14")</f>
        <v>1393.2450295368742</v>
      </c>
      <c r="Z7" s="5"/>
    </row>
    <row r="8" spans="2:26" x14ac:dyDescent="0.2">
      <c r="B8" s="4">
        <v>503</v>
      </c>
      <c r="C8" s="5" cm="1">
        <f t="array" aca="1" ref="C8" ca="1">INDIRECT("'results" &amp; $B8 &amp; "'!D$14")</f>
        <v>38957.849387727627</v>
      </c>
      <c r="D8" s="33" cm="1">
        <f t="array" aca="1" ref="D8" ca="1">INDIRECT("'results" &amp; $B8 &amp; "'!E$14")</f>
        <v>6.6917624999859981E-2</v>
      </c>
      <c r="E8" s="5" cm="1">
        <f t="array" aca="1" ref="E8" ca="1">INDIRECT("'results" &amp; $B8 &amp; "'!F$14")</f>
        <v>2</v>
      </c>
      <c r="F8" s="5" cm="1">
        <f t="array" aca="1" ref="F8" ca="1">INDIRECT("'results" &amp; $B8 &amp; "'!G$14")</f>
        <v>70</v>
      </c>
      <c r="G8" s="5" cm="1">
        <f t="array" aca="1" ref="G8" ca="1">INDIRECT("'results" &amp; $B8 &amp; "'!H$14")</f>
        <v>0</v>
      </c>
      <c r="H8" s="33" cm="1">
        <f t="array" aca="1" ref="H8" ca="1">INDIRECT("'results" &amp; $B8 &amp; "'!I$14")</f>
        <v>21.790435979443572</v>
      </c>
      <c r="I8" s="5" cm="1">
        <f t="array" aca="1" ref="I8" ca="1">INDIRECT("'results" &amp; $B8 &amp; "'!J$14")</f>
        <v>1104.4412927221026</v>
      </c>
      <c r="J8" s="5"/>
      <c r="K8" s="5" cm="1">
        <f t="array" aca="1" ref="K8" ca="1">INDIRECT("'results" &amp; $B8 &amp; "'!L$14")</f>
        <v>43833.766010291933</v>
      </c>
      <c r="L8" s="5" cm="1">
        <f t="array" aca="1" ref="L8" ca="1">INDIRECT("'results" &amp; $B8 &amp; "'!M$14")</f>
        <v>6.015333400137024E-2</v>
      </c>
      <c r="M8" s="5" cm="1">
        <f t="array" aca="1" ref="M8" ca="1">INDIRECT("'results" &amp; $B8 &amp; "'!N$14")</f>
        <v>1</v>
      </c>
      <c r="N8" s="5" cm="1">
        <f t="array" aca="1" ref="N8" ca="1">INDIRECT("'results" &amp; $B8 &amp; "'!O$14")</f>
        <v>40</v>
      </c>
      <c r="O8" s="5" cm="1">
        <f t="array" aca="1" ref="O8" ca="1">INDIRECT("'results" &amp; $B8 &amp; "'!P$14")</f>
        <v>0</v>
      </c>
      <c r="P8" s="5" cm="1">
        <f t="array" aca="1" ref="P8" ca="1">INDIRECT("'results" &amp; $B8 &amp; "'!Q$14")</f>
        <v>13.34483041800115</v>
      </c>
      <c r="Q8" s="5" cm="1">
        <f t="array" aca="1" ref="Q8" ca="1">INDIRECT("'results" &amp; $B8 &amp; "'!R$14")</f>
        <v>1213.2040028385079</v>
      </c>
      <c r="R8" s="5"/>
      <c r="S8" s="5" cm="1">
        <f t="array" aca="1" ref="S8" ca="1">INDIRECT("'results" &amp; $B8 &amp; "'!T$14")</f>
        <v>39089.510561480078</v>
      </c>
      <c r="T8" s="5" cm="1">
        <f t="array" aca="1" ref="T8" ca="1">INDIRECT("'results" &amp; $B8 &amp; "'!U$14")</f>
        <v>6.6169208999781404E-2</v>
      </c>
      <c r="U8" s="5" cm="1">
        <f t="array" aca="1" ref="U8" ca="1">INDIRECT("'results" &amp; $B8 &amp; "'!V$14")</f>
        <v>1</v>
      </c>
      <c r="V8" s="5" cm="1">
        <f t="array" aca="1" ref="V8" ca="1">INDIRECT("'results" &amp; $B8 &amp; "'!W$14")</f>
        <v>40</v>
      </c>
      <c r="W8" s="5" cm="1">
        <f t="array" aca="1" ref="W8" ca="1">INDIRECT("'results" &amp; $B8 &amp; "'!X$14")</f>
        <v>57.108282789177174</v>
      </c>
      <c r="X8" s="5" cm="1">
        <f t="array" aca="1" ref="X8" ca="1">INDIRECT("'results" &amp; $B8 &amp; "'!Y$14")</f>
        <v>81.022184680721281</v>
      </c>
      <c r="Y8" s="5" cm="1">
        <f t="array" aca="1" ref="Y8" ca="1">INDIRECT("'results" &amp; $B8 &amp; "'!Z$14")</f>
        <v>1733.4331311567089</v>
      </c>
      <c r="Z8" s="5"/>
    </row>
    <row r="9" spans="2:26" x14ac:dyDescent="0.2">
      <c r="B9" s="4">
        <v>707</v>
      </c>
      <c r="C9" s="5" cm="1">
        <f t="array" aca="1" ref="C9" ca="1">INDIRECT("'results" &amp; $B9 &amp; "'!D$14")</f>
        <v>36725.594484445217</v>
      </c>
      <c r="D9" s="33" cm="1">
        <f t="array" aca="1" ref="D9" ca="1">INDIRECT("'results" &amp; $B9 &amp; "'!E$14")</f>
        <v>5.4024207999646023E-2</v>
      </c>
      <c r="E9" s="5" cm="1">
        <f t="array" aca="1" ref="E9" ca="1">INDIRECT("'results" &amp; $B9 &amp; "'!F$14")</f>
        <v>1</v>
      </c>
      <c r="F9" s="5" cm="1">
        <f t="array" aca="1" ref="F9" ca="1">INDIRECT("'results" &amp; $B9 &amp; "'!G$14")</f>
        <v>60</v>
      </c>
      <c r="G9" s="5" cm="1">
        <f t="array" aca="1" ref="G9" ca="1">INDIRECT("'results" &amp; $B9 &amp; "'!H$14")</f>
        <v>0</v>
      </c>
      <c r="H9" s="33" cm="1">
        <f t="array" aca="1" ref="H9" ca="1">INDIRECT("'results" &amp; $B9 &amp; "'!I$14")</f>
        <v>13.84931940487496</v>
      </c>
      <c r="I9" s="5" cm="1">
        <f t="array" aca="1" ref="I9" ca="1">INDIRECT("'results" &amp; $B9 &amp; "'!J$14")</f>
        <v>1182.2924817686171</v>
      </c>
      <c r="J9" s="5"/>
      <c r="K9" s="5" cm="1">
        <f t="array" aca="1" ref="K9" ca="1">INDIRECT("'results" &amp; $B9 &amp; "'!L$14")</f>
        <v>42901.442849084822</v>
      </c>
      <c r="L9" s="5" cm="1">
        <f t="array" aca="1" ref="L9" ca="1">INDIRECT("'results" &amp; $B9 &amp; "'!M$14")</f>
        <v>2.2049125000194181E-2</v>
      </c>
      <c r="M9" s="5" cm="1">
        <f t="array" aca="1" ref="M9" ca="1">INDIRECT("'results" &amp; $B9 &amp; "'!N$14")</f>
        <v>1</v>
      </c>
      <c r="N9" s="5" cm="1">
        <f t="array" aca="1" ref="N9" ca="1">INDIRECT("'results" &amp; $B9 &amp; "'!O$14")</f>
        <v>40</v>
      </c>
      <c r="O9" s="5" cm="1">
        <f t="array" aca="1" ref="O9" ca="1">INDIRECT("'results" &amp; $B9 &amp; "'!P$14")</f>
        <v>0</v>
      </c>
      <c r="P9" s="5" cm="1">
        <f t="array" aca="1" ref="P9" ca="1">INDIRECT("'results" &amp; $B9 &amp; "'!Q$14")</f>
        <v>5.8185127629572069</v>
      </c>
      <c r="Q9" s="5" cm="1">
        <f t="array" aca="1" ref="Q9" ca="1">INDIRECT("'results" &amp; $B9 &amp; "'!R$14")</f>
        <v>765.55914843528342</v>
      </c>
      <c r="R9" s="5"/>
      <c r="S9" s="5" cm="1">
        <f t="array" aca="1" ref="S9" ca="1">INDIRECT("'results" &amp; $B9 &amp; "'!T$14")</f>
        <v>45203.204345494727</v>
      </c>
      <c r="T9" s="5" cm="1">
        <f t="array" aca="1" ref="T9" ca="1">INDIRECT("'results" &amp; $B9 &amp; "'!U$14")</f>
        <v>4.7814749999815831E-2</v>
      </c>
      <c r="U9" s="5" cm="1">
        <f t="array" aca="1" ref="U9" ca="1">INDIRECT("'results" &amp; $B9 &amp; "'!V$14")</f>
        <v>1</v>
      </c>
      <c r="V9" s="5" cm="1">
        <f t="array" aca="1" ref="V9" ca="1">INDIRECT("'results" &amp; $B9 &amp; "'!W$14")</f>
        <v>50</v>
      </c>
      <c r="W9" s="5" cm="1">
        <f t="array" aca="1" ref="W9" ca="1">INDIRECT("'results" &amp; $B9 &amp; "'!X$14")</f>
        <v>175.71070329868388</v>
      </c>
      <c r="X9" s="5" cm="1">
        <f t="array" aca="1" ref="X9" ca="1">INDIRECT("'results" &amp; $B9 &amp; "'!Y$14")</f>
        <v>36.208538787436893</v>
      </c>
      <c r="Y9" s="5" cm="1">
        <f t="array" aca="1" ref="Y9" ca="1">INDIRECT("'results" &amp; $B9 &amp; "'!Z$14")</f>
        <v>2342.553516493419</v>
      </c>
      <c r="Z9" s="5"/>
    </row>
    <row r="10" spans="2:26" x14ac:dyDescent="0.2">
      <c r="B10" s="4">
        <v>722</v>
      </c>
      <c r="C10" s="5" cm="1">
        <f t="array" aca="1" ref="C10" ca="1">INDIRECT("'results" &amp; $B10 &amp; "'!D$14")</f>
        <v>40677.609977786822</v>
      </c>
      <c r="D10" s="33" cm="1">
        <f t="array" aca="1" ref="D10" ca="1">INDIRECT("'results" &amp; $B10 &amp; "'!E$14")</f>
        <v>5.1698874999601678E-2</v>
      </c>
      <c r="E10" s="5" cm="1">
        <f t="array" aca="1" ref="E10" ca="1">INDIRECT("'results" &amp; $B10 &amp; "'!F$14")</f>
        <v>2</v>
      </c>
      <c r="F10" s="5" cm="1">
        <f t="array" aca="1" ref="F10" ca="1">INDIRECT("'results" &amp; $B10 &amp; "'!G$14")</f>
        <v>70</v>
      </c>
      <c r="G10" s="5" cm="1">
        <f t="array" aca="1" ref="G10" ca="1">INDIRECT("'results" &amp; $B10 &amp; "'!H$14")</f>
        <v>0</v>
      </c>
      <c r="H10" s="33" cm="1">
        <f t="array" aca="1" ref="H10" ca="1">INDIRECT("'results" &amp; $B10 &amp; "'!I$14")</f>
        <v>11.664476366695574</v>
      </c>
      <c r="I10" s="5" cm="1">
        <f t="array" aca="1" ref="I10" ca="1">INDIRECT("'results" &amp; $B10 &amp; "'!J$14")</f>
        <v>1082.8880848387666</v>
      </c>
      <c r="J10" s="5"/>
      <c r="K10" s="5" cm="1">
        <f t="array" aca="1" ref="K10" ca="1">INDIRECT("'results" &amp; $B10 &amp; "'!L$14")</f>
        <v>40677.609977786822</v>
      </c>
      <c r="L10" s="5" cm="1">
        <f t="array" aca="1" ref="L10" ca="1">INDIRECT("'results" &amp; $B10 &amp; "'!M$14")</f>
        <v>5.3247792002366623E-2</v>
      </c>
      <c r="M10" s="5" cm="1">
        <f t="array" aca="1" ref="M10" ca="1">INDIRECT("'results" &amp; $B10 &amp; "'!N$14")</f>
        <v>2</v>
      </c>
      <c r="N10" s="5" cm="1">
        <f t="array" aca="1" ref="N10" ca="1">INDIRECT("'results" &amp; $B10 &amp; "'!O$14")</f>
        <v>70</v>
      </c>
      <c r="O10" s="5" cm="1">
        <f t="array" aca="1" ref="O10" ca="1">INDIRECT("'results" &amp; $B10 &amp; "'!P$14")</f>
        <v>0</v>
      </c>
      <c r="P10" s="5" cm="1">
        <f t="array" aca="1" ref="P10" ca="1">INDIRECT("'results" &amp; $B10 &amp; "'!Q$14")</f>
        <v>11.664476366695574</v>
      </c>
      <c r="Q10" s="5" cm="1">
        <f t="array" aca="1" ref="Q10" ca="1">INDIRECT("'results" &amp; $B10 &amp; "'!R$14")</f>
        <v>1082.8880848387666</v>
      </c>
      <c r="R10" s="5"/>
      <c r="S10" s="5" cm="1">
        <f t="array" aca="1" ref="S10" ca="1">INDIRECT("'results" &amp; $B10 &amp; "'!T$14")</f>
        <v>42426.483047034519</v>
      </c>
      <c r="T10" s="5" cm="1">
        <f t="array" aca="1" ref="T10" ca="1">INDIRECT("'results" &amp; $B10 &amp; "'!U$14")</f>
        <v>4.4314499999018153E-2</v>
      </c>
      <c r="U10" s="5" cm="1">
        <f t="array" aca="1" ref="U10" ca="1">INDIRECT("'results" &amp; $B10 &amp; "'!V$14")</f>
        <v>2</v>
      </c>
      <c r="V10" s="5" cm="1">
        <f t="array" aca="1" ref="V10" ca="1">INDIRECT("'results" &amp; $B10 &amp; "'!W$14")</f>
        <v>70</v>
      </c>
      <c r="W10" s="5" cm="1">
        <f t="array" aca="1" ref="W10" ca="1">INDIRECT("'results" &amp; $B10 &amp; "'!X$14")</f>
        <v>0</v>
      </c>
      <c r="X10" s="5" cm="1">
        <f t="array" aca="1" ref="X10" ca="1">INDIRECT("'results" &amp; $B10 &amp; "'!Y$14")</f>
        <v>23.772295460943546</v>
      </c>
      <c r="Y10" s="5" cm="1">
        <f t="array" aca="1" ref="Y10" ca="1">INDIRECT("'results" &amp; $B10 &amp; "'!Z$14")</f>
        <v>1650.6885733192266</v>
      </c>
      <c r="Z10" s="5"/>
    </row>
    <row r="11" spans="2:26" x14ac:dyDescent="0.2">
      <c r="B11" s="4">
        <v>757</v>
      </c>
      <c r="C11" s="5" cm="1">
        <f t="array" aca="1" ref="C11" ca="1">INDIRECT("'results" &amp; $B11 &amp; "'!D$14")</f>
        <v>33096.705077268452</v>
      </c>
      <c r="D11" s="33" cm="1">
        <f t="array" aca="1" ref="D11" ca="1">INDIRECT("'results" &amp; $B11 &amp; "'!E$14")</f>
        <v>3.9152667000053043E-2</v>
      </c>
      <c r="E11" s="5" cm="1">
        <f t="array" aca="1" ref="E11" ca="1">INDIRECT("'results" &amp; $B11 &amp; "'!F$14")</f>
        <v>2</v>
      </c>
      <c r="F11" s="5" cm="1">
        <f t="array" aca="1" ref="F11" ca="1">INDIRECT("'results" &amp; $B11 &amp; "'!G$14")</f>
        <v>90</v>
      </c>
      <c r="G11" s="5" cm="1">
        <f t="array" aca="1" ref="G11" ca="1">INDIRECT("'results" &amp; $B11 &amp; "'!H$14")</f>
        <v>0</v>
      </c>
      <c r="H11" s="33" cm="1">
        <f t="array" aca="1" ref="H11" ca="1">INDIRECT("'results" &amp; $B11 &amp; "'!I$14")</f>
        <v>21.247245588438378</v>
      </c>
      <c r="I11" s="5" cm="1">
        <f t="array" aca="1" ref="I11" ca="1">INDIRECT("'results" &amp; $B11 &amp; "'!J$14")</f>
        <v>1310.3917496438412</v>
      </c>
      <c r="J11" s="5"/>
      <c r="K11" s="5" cm="1">
        <f t="array" aca="1" ref="K11" ca="1">INDIRECT("'results" &amp; $B11 &amp; "'!L$14")</f>
        <v>43472.934945239183</v>
      </c>
      <c r="L11" s="5" cm="1">
        <f t="array" aca="1" ref="L11" ca="1">INDIRECT("'results" &amp; $B11 &amp; "'!M$14")</f>
        <v>5.0186417000077199E-2</v>
      </c>
      <c r="M11" s="5" cm="1">
        <f t="array" aca="1" ref="M11" ca="1">INDIRECT("'results" &amp; $B11 &amp; "'!N$14")</f>
        <v>1</v>
      </c>
      <c r="N11" s="5" cm="1">
        <f t="array" aca="1" ref="N11" ca="1">INDIRECT("'results" &amp; $B11 &amp; "'!O$14")</f>
        <v>40</v>
      </c>
      <c r="O11" s="5" cm="1">
        <f t="array" aca="1" ref="O11" ca="1">INDIRECT("'results" &amp; $B11 &amp; "'!P$14")</f>
        <v>0</v>
      </c>
      <c r="P11" s="5" cm="1">
        <f t="array" aca="1" ref="P11" ca="1">INDIRECT("'results" &amp; $B11 &amp; "'!Q$14")</f>
        <v>9.2110782346472639</v>
      </c>
      <c r="Q11" s="5" cm="1">
        <f t="array" aca="1" ref="Q11" ca="1">INDIRECT("'results" &amp; $B11 &amp; "'!R$14")</f>
        <v>1051.206403996149</v>
      </c>
      <c r="R11" s="5"/>
      <c r="S11" s="5" cm="1">
        <f t="array" aca="1" ref="S11" ca="1">INDIRECT("'results" &amp; $B11 &amp; "'!T$14")</f>
        <v>41574.667116568882</v>
      </c>
      <c r="T11" s="5" cm="1">
        <f t="array" aca="1" ref="T11" ca="1">INDIRECT("'results" &amp; $B11 &amp; "'!U$14")</f>
        <v>6.5760292000049958E-2</v>
      </c>
      <c r="U11" s="5" cm="1">
        <f t="array" aca="1" ref="U11" ca="1">INDIRECT("'results" &amp; $B11 &amp; "'!V$14")</f>
        <v>2</v>
      </c>
      <c r="V11" s="5" cm="1">
        <f t="array" aca="1" ref="V11" ca="1">INDIRECT("'results" &amp; $B11 &amp; "'!W$14")</f>
        <v>70</v>
      </c>
      <c r="W11" s="5" cm="1">
        <f t="array" aca="1" ref="W11" ca="1">INDIRECT("'results" &amp; $B11 &amp; "'!X$14")</f>
        <v>102.92139752715229</v>
      </c>
      <c r="X11" s="5" cm="1">
        <f t="array" aca="1" ref="X11" ca="1">INDIRECT("'results" &amp; $B11 &amp; "'!Y$14")</f>
        <v>46.493666827512939</v>
      </c>
      <c r="Y11" s="5" cm="1">
        <f t="array" aca="1" ref="Y11" ca="1">INDIRECT("'results" &amp; $B11 &amp; "'!Z$14")</f>
        <v>2121.2381657927076</v>
      </c>
      <c r="Z11" s="5"/>
    </row>
    <row r="12" spans="2:26" x14ac:dyDescent="0.2">
      <c r="B12" s="4">
        <v>764</v>
      </c>
      <c r="C12" s="5" cm="1">
        <f t="array" aca="1" ref="C12" ca="1">INDIRECT("'results" &amp; $B12 &amp; "'!D$14")</f>
        <v>39088.534810850753</v>
      </c>
      <c r="D12" s="33" cm="1">
        <f t="array" aca="1" ref="D12" ca="1">INDIRECT("'results" &amp; $B12 &amp; "'!E$14")</f>
        <v>6.6298249999817926E-2</v>
      </c>
      <c r="E12" s="5" cm="1">
        <f t="array" aca="1" ref="E12" ca="1">INDIRECT("'results" &amp; $B12 &amp; "'!F$14")</f>
        <v>2</v>
      </c>
      <c r="F12" s="5" cm="1">
        <f t="array" aca="1" ref="F12" ca="1">INDIRECT("'results" &amp; $B12 &amp; "'!G$14")</f>
        <v>70</v>
      </c>
      <c r="G12" s="5" cm="1">
        <f t="array" aca="1" ref="G12" ca="1">INDIRECT("'results" &amp; $B12 &amp; "'!H$14")</f>
        <v>0</v>
      </c>
      <c r="H12" s="33" cm="1">
        <f t="array" aca="1" ref="H12" ca="1">INDIRECT("'results" &amp; $B12 &amp; "'!I$14")</f>
        <v>10.374110866974526</v>
      </c>
      <c r="I12" s="5" cm="1">
        <f t="array" aca="1" ref="I12" ca="1">INDIRECT("'results" &amp; $B12 &amp; "'!J$14")</f>
        <v>814.6987033405203</v>
      </c>
      <c r="J12" s="5"/>
      <c r="K12" s="5" cm="1">
        <f t="array" aca="1" ref="K12" ca="1">INDIRECT("'results" &amp; $B12 &amp; "'!L$14")</f>
        <v>39088.534810850753</v>
      </c>
      <c r="L12" s="5" cm="1">
        <f t="array" aca="1" ref="L12" ca="1">INDIRECT("'results" &amp; $B12 &amp; "'!M$14")</f>
        <v>7.0990958996844711E-2</v>
      </c>
      <c r="M12" s="5" cm="1">
        <f t="array" aca="1" ref="M12" ca="1">INDIRECT("'results" &amp; $B12 &amp; "'!N$14")</f>
        <v>2</v>
      </c>
      <c r="N12" s="5" cm="1">
        <f t="array" aca="1" ref="N12" ca="1">INDIRECT("'results" &amp; $B12 &amp; "'!O$14")</f>
        <v>70</v>
      </c>
      <c r="O12" s="5" cm="1">
        <f t="array" aca="1" ref="O12" ca="1">INDIRECT("'results" &amp; $B12 &amp; "'!P$14")</f>
        <v>0</v>
      </c>
      <c r="P12" s="5" cm="1">
        <f t="array" aca="1" ref="P12" ca="1">INDIRECT("'results" &amp; $B12 &amp; "'!Q$14")</f>
        <v>10.374110866974526</v>
      </c>
      <c r="Q12" s="5" cm="1">
        <f t="array" aca="1" ref="Q12" ca="1">INDIRECT("'results" &amp; $B12 &amp; "'!R$14")</f>
        <v>814.6987033405203</v>
      </c>
      <c r="R12" s="5"/>
      <c r="S12" s="5" cm="1">
        <f t="array" aca="1" ref="S12" ca="1">INDIRECT("'results" &amp; $B12 &amp; "'!T$14")</f>
        <v>39466.484793995252</v>
      </c>
      <c r="T12" s="5" cm="1">
        <f t="array" aca="1" ref="T12" ca="1">INDIRECT("'results" &amp; $B12 &amp; "'!U$14")</f>
        <v>6.222712499948102E-2</v>
      </c>
      <c r="U12" s="5" cm="1">
        <f t="array" aca="1" ref="U12" ca="1">INDIRECT("'results" &amp; $B12 &amp; "'!V$14")</f>
        <v>2</v>
      </c>
      <c r="V12" s="5" cm="1">
        <f t="array" aca="1" ref="V12" ca="1">INDIRECT("'results" &amp; $B12 &amp; "'!W$14")</f>
        <v>70</v>
      </c>
      <c r="W12" s="5" cm="1">
        <f t="array" aca="1" ref="W12" ca="1">INDIRECT("'results" &amp; $B12 &amp; "'!X$14")</f>
        <v>0</v>
      </c>
      <c r="X12" s="5" cm="1">
        <f t="array" aca="1" ref="X12" ca="1">INDIRECT("'results" &amp; $B12 &amp; "'!Y$14")</f>
        <v>17.693644338833913</v>
      </c>
      <c r="Y12" s="5" cm="1">
        <f t="array" aca="1" ref="Y12" ca="1">INDIRECT("'results" &amp; $B12 &amp; "'!Z$14")</f>
        <v>1045.7447436226169</v>
      </c>
      <c r="Z12" s="5"/>
    </row>
    <row r="13" spans="2:26" x14ac:dyDescent="0.2">
      <c r="B13" s="8" t="s">
        <v>3</v>
      </c>
      <c r="C13" s="9">
        <f ca="1">AVERAGE(C3:C12)</f>
        <v>37378.092652265419</v>
      </c>
      <c r="D13" s="10">
        <f t="shared" ref="D13:I13" ca="1" si="0">AVERAGE(D3:D12)</f>
        <v>5.1784020899958705E-2</v>
      </c>
      <c r="E13" s="9">
        <f t="shared" ca="1" si="0"/>
        <v>1.8</v>
      </c>
      <c r="F13" s="9">
        <f t="shared" ca="1" si="0"/>
        <v>72</v>
      </c>
      <c r="G13" s="9">
        <f t="shared" ca="1" si="0"/>
        <v>0</v>
      </c>
      <c r="H13" s="10">
        <f t="shared" ca="1" si="0"/>
        <v>16.128825778049517</v>
      </c>
      <c r="I13" s="9">
        <f t="shared" ca="1" si="0"/>
        <v>1079.2752029259134</v>
      </c>
      <c r="J13" s="32" t="e">
        <f ca="1">(C13-$D$15)/$D$15</f>
        <v>#DIV/0!</v>
      </c>
      <c r="K13" s="16">
        <f ca="1">AVERAGE(K3:K12)</f>
        <v>41795.486223956257</v>
      </c>
      <c r="L13" s="41">
        <f t="shared" ref="L13:Q13" ca="1" si="1">AVERAGE(L3:L12)</f>
        <v>4.9477171000035014E-2</v>
      </c>
      <c r="M13" s="16">
        <f t="shared" ca="1" si="1"/>
        <v>1.4</v>
      </c>
      <c r="N13" s="16">
        <f ca="1">AVERAGE(N3:N12)</f>
        <v>51</v>
      </c>
      <c r="O13" s="16">
        <f t="shared" ca="1" si="1"/>
        <v>0</v>
      </c>
      <c r="P13" s="41">
        <f t="shared" ca="1" si="1"/>
        <v>10.940039147637041</v>
      </c>
      <c r="Q13" s="16">
        <f t="shared" ca="1" si="1"/>
        <v>896.45023487797948</v>
      </c>
      <c r="R13" s="42" t="e">
        <f ca="1">(K13-$D$15)/$D$15</f>
        <v>#DIV/0!</v>
      </c>
      <c r="S13" s="38">
        <f ca="1">AVERAGE(S3:S12)</f>
        <v>39883.177982016554</v>
      </c>
      <c r="T13" s="43">
        <f t="shared" ref="T13:Y13" ca="1" si="2">AVERAGE(T3:T12)</f>
        <v>5.1173162600025537E-2</v>
      </c>
      <c r="U13" s="38">
        <f t="shared" ca="1" si="2"/>
        <v>1.6</v>
      </c>
      <c r="V13" s="38">
        <f t="shared" ca="1" si="2"/>
        <v>62</v>
      </c>
      <c r="W13" s="38">
        <f t="shared" ca="1" si="2"/>
        <v>48.632433810910371</v>
      </c>
      <c r="X13" s="43">
        <f t="shared" ca="1" si="2"/>
        <v>35.43241107325121</v>
      </c>
      <c r="Y13" s="38">
        <f t="shared" ca="1" si="2"/>
        <v>1517.0272687042684</v>
      </c>
      <c r="Z13" s="44" t="e">
        <f ca="1">(S13-$D$15)/$D$15</f>
        <v>#DIV/0!</v>
      </c>
    </row>
    <row r="14" spans="2:26" x14ac:dyDescent="0.2">
      <c r="K14" s="45">
        <f ca="1">(K13-C13)/C13</f>
        <v>0.11818135325380515</v>
      </c>
      <c r="L14" s="45">
        <f t="shared" ref="L14:Q14" ca="1" si="3">(L13-D13)/D13</f>
        <v>-4.4547523730926242E-2</v>
      </c>
      <c r="M14" s="45">
        <f t="shared" ca="1" si="3"/>
        <v>-0.22222222222222229</v>
      </c>
      <c r="N14" s="45">
        <f t="shared" ca="1" si="3"/>
        <v>-0.29166666666666669</v>
      </c>
      <c r="O14" s="45" t="e">
        <f t="shared" ca="1" si="3"/>
        <v>#DIV/0!</v>
      </c>
      <c r="P14" s="45">
        <f t="shared" ca="1" si="3"/>
        <v>-0.32170888952586629</v>
      </c>
      <c r="Q14" s="45">
        <f t="shared" ca="1" si="3"/>
        <v>-0.16939606094191334</v>
      </c>
      <c r="S14" s="45">
        <f ca="1">(S13-C13)/C13</f>
        <v>6.7020148755485148E-2</v>
      </c>
      <c r="T14" s="45">
        <f t="shared" ref="T14:Y14" ca="1" si="4">(T13-D13)/D13</f>
        <v>-1.1796270148918748E-2</v>
      </c>
      <c r="U14" s="45">
        <f t="shared" ca="1" si="4"/>
        <v>-0.11111111111111108</v>
      </c>
      <c r="V14" s="45">
        <f ca="1">(V13-F13)/F13</f>
        <v>-0.1388888888888889</v>
      </c>
      <c r="W14" s="45" t="e">
        <f t="shared" ca="1" si="4"/>
        <v>#DIV/0!</v>
      </c>
      <c r="X14" s="45">
        <f t="shared" ca="1" si="4"/>
        <v>1.1968376099314593</v>
      </c>
      <c r="Y14" s="45">
        <f t="shared" ca="1" si="4"/>
        <v>0.40559818718303714</v>
      </c>
    </row>
    <row r="17" spans="2:19" x14ac:dyDescent="0.2">
      <c r="B17" s="1" t="s">
        <v>21</v>
      </c>
      <c r="C17">
        <f ca="1">_xlfn.STDEV.S(C3:C12)</f>
        <v>4514.3829869658866</v>
      </c>
      <c r="J17" s="1" t="s">
        <v>21</v>
      </c>
      <c r="K17">
        <f ca="1">_xlfn.STDEV.S(K3:K12)</f>
        <v>2606.7349854869894</v>
      </c>
      <c r="R17" s="1" t="s">
        <v>21</v>
      </c>
      <c r="S17">
        <f ca="1">_xlfn.STDEV.S(S3:S12)</f>
        <v>5488.0647978961006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17"/>
  <sheetViews>
    <sheetView zoomScale="110" zoomScaleNormal="110" workbookViewId="0">
      <selection activeCell="A17" sqref="A17:XFD2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-1</v>
      </c>
      <c r="K2" s="28"/>
      <c r="L2" s="1" t="s">
        <v>19</v>
      </c>
      <c r="P2" s="1" t="e">
        <f>(P14-H14)/H14</f>
        <v>#DIV/0!</v>
      </c>
      <c r="R2" s="1">
        <f>(R14-J14)/J14</f>
        <v>0</v>
      </c>
      <c r="T2" s="1" t="s">
        <v>20</v>
      </c>
      <c r="X2" s="1" t="e">
        <f>(X14-P14)/P14</f>
        <v>#DIV/0!</v>
      </c>
      <c r="Z2" s="1">
        <f>(Z14-R14)/R14</f>
        <v>0.57832520015836031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378</v>
      </c>
      <c r="D4" s="23">
        <v>40791.588062528077</v>
      </c>
      <c r="E4" s="33">
        <v>5.5512166999960748E-2</v>
      </c>
      <c r="F4" s="5">
        <v>2</v>
      </c>
      <c r="G4" s="23">
        <v>70</v>
      </c>
      <c r="H4" s="33">
        <v>0</v>
      </c>
      <c r="I4" s="23">
        <v>11.75623907894386</v>
      </c>
      <c r="J4" s="5">
        <v>1093.8057200926573</v>
      </c>
      <c r="K4" s="31"/>
      <c r="L4" s="23">
        <v>40791.588062528077</v>
      </c>
      <c r="M4" s="33">
        <v>6.0622249999141793E-2</v>
      </c>
      <c r="N4" s="5">
        <v>2</v>
      </c>
      <c r="O4" s="5">
        <v>70</v>
      </c>
      <c r="P4" s="33">
        <v>0</v>
      </c>
      <c r="Q4" s="5">
        <v>11.75623907894386</v>
      </c>
      <c r="R4" s="5">
        <v>1093.8057200926573</v>
      </c>
      <c r="S4" s="31"/>
      <c r="T4" s="23">
        <v>43612.037783457767</v>
      </c>
      <c r="U4" s="33">
        <v>4.1489082999760292E-2</v>
      </c>
      <c r="V4" s="5">
        <v>2</v>
      </c>
      <c r="W4" s="5">
        <v>70</v>
      </c>
      <c r="X4" s="33">
        <v>150.58395449409039</v>
      </c>
      <c r="Y4" s="5">
        <v>25.161062080085731</v>
      </c>
      <c r="Z4" s="5">
        <v>1726.3811320996028</v>
      </c>
      <c r="AA4" s="35"/>
    </row>
    <row r="5" spans="2:27" x14ac:dyDescent="0.2">
      <c r="B5" s="4">
        <v>2</v>
      </c>
      <c r="C5" s="4">
        <v>649</v>
      </c>
      <c r="D5" s="23">
        <v>40791.588062528077</v>
      </c>
      <c r="E5" s="33">
        <v>4.5538124999893632E-2</v>
      </c>
      <c r="F5" s="5">
        <v>2</v>
      </c>
      <c r="G5" s="23">
        <v>70</v>
      </c>
      <c r="H5" s="33">
        <v>0</v>
      </c>
      <c r="I5" s="23">
        <v>11.75623907894386</v>
      </c>
      <c r="J5" s="5">
        <v>1093.8057200926573</v>
      </c>
      <c r="K5" s="31"/>
      <c r="L5" s="23">
        <v>40791.588062528077</v>
      </c>
      <c r="M5" s="33">
        <v>4.827162500077975E-2</v>
      </c>
      <c r="N5" s="5">
        <v>2</v>
      </c>
      <c r="O5" s="5">
        <v>70</v>
      </c>
      <c r="P5" s="33">
        <v>0</v>
      </c>
      <c r="Q5" s="5">
        <v>11.75623907894386</v>
      </c>
      <c r="R5" s="5">
        <v>1093.8057200926573</v>
      </c>
      <c r="S5" s="31"/>
      <c r="T5" s="23">
        <v>43612.037783457767</v>
      </c>
      <c r="U5" s="33">
        <v>8.4258291000878671E-2</v>
      </c>
      <c r="V5" s="5">
        <v>2</v>
      </c>
      <c r="W5" s="5">
        <v>70</v>
      </c>
      <c r="X5" s="33">
        <v>150.58395449409039</v>
      </c>
      <c r="Y5" s="5">
        <v>25.161062080085731</v>
      </c>
      <c r="Z5" s="5">
        <v>1726.3811320996028</v>
      </c>
      <c r="AA5" s="35"/>
    </row>
    <row r="6" spans="2:27" x14ac:dyDescent="0.2">
      <c r="B6" s="4">
        <v>3</v>
      </c>
      <c r="C6" s="4">
        <v>702</v>
      </c>
      <c r="D6" s="23">
        <v>40791.588062528077</v>
      </c>
      <c r="E6" s="33">
        <v>5.6556042000011082E-2</v>
      </c>
      <c r="F6" s="5">
        <v>2</v>
      </c>
      <c r="G6" s="23">
        <v>70</v>
      </c>
      <c r="H6" s="33">
        <v>0</v>
      </c>
      <c r="I6" s="23">
        <v>11.75623907894386</v>
      </c>
      <c r="J6" s="5">
        <v>1093.8057200926573</v>
      </c>
      <c r="K6" s="31"/>
      <c r="L6" s="23">
        <v>40791.588062528077</v>
      </c>
      <c r="M6" s="33">
        <v>5.0992749998840743E-2</v>
      </c>
      <c r="N6" s="5">
        <v>2</v>
      </c>
      <c r="O6" s="5">
        <v>70</v>
      </c>
      <c r="P6" s="33">
        <v>0</v>
      </c>
      <c r="Q6" s="5">
        <v>11.75623907894386</v>
      </c>
      <c r="R6" s="5">
        <v>1093.8057200926573</v>
      </c>
      <c r="S6" s="31"/>
      <c r="T6" s="23">
        <v>43612.037783457767</v>
      </c>
      <c r="U6" s="33">
        <v>5.0406792001012952E-2</v>
      </c>
      <c r="V6" s="5">
        <v>2</v>
      </c>
      <c r="W6" s="5">
        <v>70</v>
      </c>
      <c r="X6" s="33">
        <v>150.58395449409039</v>
      </c>
      <c r="Y6" s="5">
        <v>25.161062080085731</v>
      </c>
      <c r="Z6" s="5">
        <v>1726.3811320996028</v>
      </c>
      <c r="AA6" s="35"/>
    </row>
    <row r="7" spans="2:27" x14ac:dyDescent="0.2">
      <c r="B7" s="4">
        <v>4</v>
      </c>
      <c r="C7" s="4">
        <v>756</v>
      </c>
      <c r="D7" s="23">
        <v>40791.588062528077</v>
      </c>
      <c r="E7" s="33">
        <v>5.2565791999768408E-2</v>
      </c>
      <c r="F7" s="5">
        <v>2</v>
      </c>
      <c r="G7" s="23">
        <v>70</v>
      </c>
      <c r="H7" s="33">
        <v>0</v>
      </c>
      <c r="I7" s="23">
        <v>11.75623907894386</v>
      </c>
      <c r="J7" s="5">
        <v>1093.8057200926573</v>
      </c>
      <c r="K7" s="31"/>
      <c r="L7" s="23">
        <v>40791.588062528077</v>
      </c>
      <c r="M7" s="33">
        <v>6.0266250002314337E-2</v>
      </c>
      <c r="N7" s="5">
        <v>2</v>
      </c>
      <c r="O7" s="5">
        <v>70</v>
      </c>
      <c r="P7" s="33">
        <v>0</v>
      </c>
      <c r="Q7" s="5">
        <v>11.75623907894386</v>
      </c>
      <c r="R7" s="5">
        <v>1093.8057200926573</v>
      </c>
      <c r="S7" s="31"/>
      <c r="T7" s="23">
        <v>43612.037783457767</v>
      </c>
      <c r="U7" s="33">
        <v>6.3187291998474393E-2</v>
      </c>
      <c r="V7" s="5">
        <v>2</v>
      </c>
      <c r="W7" s="5">
        <v>70</v>
      </c>
      <c r="X7" s="33">
        <v>150.58395449409039</v>
      </c>
      <c r="Y7" s="5">
        <v>25.161062080085731</v>
      </c>
      <c r="Z7" s="5">
        <v>1726.3811320996028</v>
      </c>
      <c r="AA7" s="35"/>
    </row>
    <row r="8" spans="2:27" x14ac:dyDescent="0.2">
      <c r="B8" s="4">
        <v>5</v>
      </c>
      <c r="C8" s="4">
        <v>28</v>
      </c>
      <c r="D8" s="23">
        <v>40791.588062528077</v>
      </c>
      <c r="E8" s="33">
        <v>4.4391375000031992E-2</v>
      </c>
      <c r="F8" s="5">
        <v>2</v>
      </c>
      <c r="G8" s="23">
        <v>70</v>
      </c>
      <c r="H8" s="33">
        <v>0</v>
      </c>
      <c r="I8" s="23">
        <v>11.75623907894386</v>
      </c>
      <c r="J8" s="5">
        <v>1093.8057200926573</v>
      </c>
      <c r="K8" s="31"/>
      <c r="L8" s="23">
        <v>40791.588062528077</v>
      </c>
      <c r="M8" s="33">
        <v>5.1684166002814891E-2</v>
      </c>
      <c r="N8" s="5">
        <v>2</v>
      </c>
      <c r="O8" s="5">
        <v>70</v>
      </c>
      <c r="P8" s="33">
        <v>0</v>
      </c>
      <c r="Q8" s="5">
        <v>11.75623907894386</v>
      </c>
      <c r="R8" s="5">
        <v>1093.8057200926573</v>
      </c>
      <c r="S8" s="31"/>
      <c r="T8" s="23">
        <v>43612.037783457767</v>
      </c>
      <c r="U8" s="33">
        <v>4.6401291998336092E-2</v>
      </c>
      <c r="V8" s="5">
        <v>2</v>
      </c>
      <c r="W8" s="5">
        <v>70</v>
      </c>
      <c r="X8" s="33">
        <v>150.58395449409039</v>
      </c>
      <c r="Y8" s="5">
        <v>25.161062080085731</v>
      </c>
      <c r="Z8" s="5">
        <v>1726.3811320996028</v>
      </c>
      <c r="AA8" s="35"/>
    </row>
    <row r="9" spans="2:27" x14ac:dyDescent="0.2">
      <c r="B9" s="4">
        <v>6</v>
      </c>
      <c r="C9" s="4">
        <v>393</v>
      </c>
      <c r="D9" s="23">
        <v>40791.588062528077</v>
      </c>
      <c r="E9" s="33">
        <v>5.1615083000342572E-2</v>
      </c>
      <c r="F9" s="5">
        <v>2</v>
      </c>
      <c r="G9" s="23">
        <v>70</v>
      </c>
      <c r="H9" s="33">
        <v>0</v>
      </c>
      <c r="I9" s="23">
        <v>11.75623907894386</v>
      </c>
      <c r="J9" s="5">
        <v>1093.8057200926573</v>
      </c>
      <c r="K9" s="31"/>
      <c r="L9" s="23">
        <v>40791.588062528077</v>
      </c>
      <c r="M9" s="33">
        <v>6.5037708001909778E-2</v>
      </c>
      <c r="N9" s="5">
        <v>2</v>
      </c>
      <c r="O9" s="5">
        <v>70</v>
      </c>
      <c r="P9" s="33">
        <v>0</v>
      </c>
      <c r="Q9" s="5">
        <v>11.75623907894386</v>
      </c>
      <c r="R9" s="5">
        <v>1093.8057200926573</v>
      </c>
      <c r="S9" s="31"/>
      <c r="T9" s="23">
        <v>43612.037783457767</v>
      </c>
      <c r="U9" s="33">
        <v>7.5484875000256579E-2</v>
      </c>
      <c r="V9" s="5">
        <v>2</v>
      </c>
      <c r="W9" s="5">
        <v>70</v>
      </c>
      <c r="X9" s="33">
        <v>150.58395449409039</v>
      </c>
      <c r="Y9" s="5">
        <v>25.161062080085731</v>
      </c>
      <c r="Z9" s="5">
        <v>1726.3811320996028</v>
      </c>
      <c r="AA9" s="35"/>
    </row>
    <row r="10" spans="2:27" x14ac:dyDescent="0.2">
      <c r="B10" s="4">
        <v>7</v>
      </c>
      <c r="C10" s="4">
        <v>120</v>
      </c>
      <c r="D10" s="23">
        <v>40791.588062528077</v>
      </c>
      <c r="E10" s="33">
        <v>4.9811417000000802E-2</v>
      </c>
      <c r="F10" s="5">
        <v>2</v>
      </c>
      <c r="G10" s="23">
        <v>70</v>
      </c>
      <c r="H10" s="33">
        <v>0</v>
      </c>
      <c r="I10" s="23">
        <v>11.75623907894386</v>
      </c>
      <c r="J10" s="5">
        <v>1093.8057200926573</v>
      </c>
      <c r="K10" s="31"/>
      <c r="L10" s="23">
        <v>40791.588062528077</v>
      </c>
      <c r="M10" s="33">
        <v>5.6331084000703413E-2</v>
      </c>
      <c r="N10" s="5">
        <v>2</v>
      </c>
      <c r="O10" s="5">
        <v>70</v>
      </c>
      <c r="P10" s="33">
        <v>0</v>
      </c>
      <c r="Q10" s="5">
        <v>11.75623907894386</v>
      </c>
      <c r="R10" s="5">
        <v>1093.8057200926573</v>
      </c>
      <c r="S10" s="31"/>
      <c r="T10" s="23">
        <v>43612.037783457767</v>
      </c>
      <c r="U10" s="33">
        <v>7.8712875001656357E-2</v>
      </c>
      <c r="V10" s="5">
        <v>2</v>
      </c>
      <c r="W10" s="5">
        <v>70</v>
      </c>
      <c r="X10" s="33">
        <v>150.58395449409039</v>
      </c>
      <c r="Y10" s="5">
        <v>25.161062080085731</v>
      </c>
      <c r="Z10" s="5">
        <v>1726.3811320996028</v>
      </c>
      <c r="AA10" s="35"/>
    </row>
    <row r="11" spans="2:27" x14ac:dyDescent="0.2">
      <c r="B11" s="4">
        <v>8</v>
      </c>
      <c r="C11" s="4">
        <v>859</v>
      </c>
      <c r="D11" s="23">
        <v>40791.588062528077</v>
      </c>
      <c r="E11" s="33">
        <v>7.536500000014712E-2</v>
      </c>
      <c r="F11" s="5">
        <v>2</v>
      </c>
      <c r="G11" s="23">
        <v>70</v>
      </c>
      <c r="H11" s="33">
        <v>0</v>
      </c>
      <c r="I11" s="23">
        <v>11.75623907894386</v>
      </c>
      <c r="J11" s="5">
        <v>1093.8057200926573</v>
      </c>
      <c r="K11" s="31"/>
      <c r="L11" s="23">
        <v>40791.588062528077</v>
      </c>
      <c r="M11" s="33">
        <v>9.2841500001668464E-2</v>
      </c>
      <c r="N11" s="5">
        <v>2</v>
      </c>
      <c r="O11" s="5">
        <v>70</v>
      </c>
      <c r="P11" s="33">
        <v>0</v>
      </c>
      <c r="Q11" s="5">
        <v>11.75623907894386</v>
      </c>
      <c r="R11" s="5">
        <v>1093.8057200926573</v>
      </c>
      <c r="S11" s="31"/>
      <c r="T11" s="23">
        <v>43612.037783457767</v>
      </c>
      <c r="U11" s="33">
        <v>7.7958875001058914E-2</v>
      </c>
      <c r="V11" s="5">
        <v>2</v>
      </c>
      <c r="W11" s="5">
        <v>70</v>
      </c>
      <c r="X11" s="33">
        <v>150.58395449409039</v>
      </c>
      <c r="Y11" s="5">
        <v>25.161062080085731</v>
      </c>
      <c r="Z11" s="5">
        <v>1726.3811320996028</v>
      </c>
      <c r="AA11" s="35"/>
    </row>
    <row r="12" spans="2:27" x14ac:dyDescent="0.2">
      <c r="B12" s="4">
        <v>9</v>
      </c>
      <c r="C12" s="4">
        <v>954</v>
      </c>
      <c r="D12" s="23">
        <v>40791.588062528077</v>
      </c>
      <c r="E12" s="33">
        <v>5.1947750000181259E-2</v>
      </c>
      <c r="F12" s="5">
        <v>2</v>
      </c>
      <c r="G12" s="23">
        <v>70</v>
      </c>
      <c r="H12" s="33">
        <v>0</v>
      </c>
      <c r="I12" s="23">
        <v>11.75623907894386</v>
      </c>
      <c r="J12" s="5">
        <v>1093.8057200926573</v>
      </c>
      <c r="K12" s="31"/>
      <c r="L12" s="23">
        <v>40791.588062528077</v>
      </c>
      <c r="M12" s="33">
        <v>5.2918499997758772E-2</v>
      </c>
      <c r="N12" s="5">
        <v>2</v>
      </c>
      <c r="O12" s="5">
        <v>70</v>
      </c>
      <c r="P12" s="33">
        <v>0</v>
      </c>
      <c r="Q12" s="5">
        <v>11.75623907894386</v>
      </c>
      <c r="R12" s="5">
        <v>1093.8057200926573</v>
      </c>
      <c r="S12" s="31"/>
      <c r="T12" s="23">
        <v>43612.037783457767</v>
      </c>
      <c r="U12" s="33">
        <v>5.8837708002101863E-2</v>
      </c>
      <c r="V12" s="5">
        <v>2</v>
      </c>
      <c r="W12" s="5">
        <v>70</v>
      </c>
      <c r="X12" s="33">
        <v>150.58395449409039</v>
      </c>
      <c r="Y12" s="5">
        <v>25.161062080085731</v>
      </c>
      <c r="Z12" s="5">
        <v>1726.3811320996028</v>
      </c>
      <c r="AA12" s="35"/>
    </row>
    <row r="13" spans="2:27" x14ac:dyDescent="0.2">
      <c r="B13" s="4">
        <v>10</v>
      </c>
      <c r="C13" s="4">
        <v>659</v>
      </c>
      <c r="D13" s="23">
        <v>40791.588062528077</v>
      </c>
      <c r="E13" s="33">
        <v>6.9708665999769437E-2</v>
      </c>
      <c r="F13" s="5">
        <v>2</v>
      </c>
      <c r="G13" s="23">
        <v>70</v>
      </c>
      <c r="H13" s="33">
        <v>0</v>
      </c>
      <c r="I13" s="23">
        <v>11.75623907894386</v>
      </c>
      <c r="J13" s="5">
        <v>1093.8057200926573</v>
      </c>
      <c r="K13" s="31"/>
      <c r="L13" s="23">
        <v>40791.588062528077</v>
      </c>
      <c r="M13" s="33">
        <v>6.3053583999135299E-2</v>
      </c>
      <c r="N13" s="5">
        <v>2</v>
      </c>
      <c r="O13" s="5">
        <v>70</v>
      </c>
      <c r="P13" s="33">
        <v>0</v>
      </c>
      <c r="Q13" s="5">
        <v>11.75623907894386</v>
      </c>
      <c r="R13" s="5">
        <v>1093.8057200926573</v>
      </c>
      <c r="S13" s="31"/>
      <c r="T13" s="23">
        <v>43612.037783457767</v>
      </c>
      <c r="U13" s="33">
        <v>6.0737957999663188E-2</v>
      </c>
      <c r="V13" s="5">
        <v>2</v>
      </c>
      <c r="W13" s="5">
        <v>70</v>
      </c>
      <c r="X13" s="33">
        <v>150.58395449409039</v>
      </c>
      <c r="Y13" s="5">
        <v>25.161062080085731</v>
      </c>
      <c r="Z13" s="5">
        <v>1726.3811320996028</v>
      </c>
      <c r="AA13" s="35"/>
    </row>
    <row r="14" spans="2:27" x14ac:dyDescent="0.2">
      <c r="B14" s="46" t="s">
        <v>3</v>
      </c>
      <c r="C14" s="47"/>
      <c r="D14" s="9">
        <f>MIN(D4:D13)</f>
        <v>40791.588062528077</v>
      </c>
      <c r="E14" s="22">
        <f>INDEX(E4:E13, MATCH($D$14, D4:D13, 0))</f>
        <v>5.5512166999960748E-2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11.75623907894386</v>
      </c>
      <c r="J14" s="22">
        <f>INDEX(J4:J13, MATCH($D$14, D4:D13, 0))</f>
        <v>1093.8057200926573</v>
      </c>
      <c r="K14" s="32">
        <f>(D14-$D$15)/$D$15</f>
        <v>0</v>
      </c>
      <c r="L14" s="16">
        <f>MIN(L4:L13)</f>
        <v>40791.588062528077</v>
      </c>
      <c r="M14" s="21">
        <f>INDEX(M4:M13, MATCH($L$14, L4:L13, 0))</f>
        <v>6.0622249999141793E-2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11.75623907894386</v>
      </c>
      <c r="R14" s="21">
        <f>INDEX(R4:R13, MATCH($L$14, L4:L13, 0))</f>
        <v>1093.8057200926573</v>
      </c>
      <c r="S14" s="36">
        <f>(L14-$D$15)/$D$15</f>
        <v>0</v>
      </c>
      <c r="T14" s="38">
        <f>MIN(T4:T13)</f>
        <v>43612.037783457767</v>
      </c>
      <c r="U14" s="39">
        <f>INDEX(U4:U13, MATCH($T$14, T4:T13, 0))</f>
        <v>4.1489082999760292E-2</v>
      </c>
      <c r="V14" s="38">
        <f>INDEX(V4:V13, MATCH($T$14, T4:T13, 0))</f>
        <v>2</v>
      </c>
      <c r="W14" s="38">
        <f>INDEX(W4:W13, MATCH($T$14, T4:T13, 0))</f>
        <v>70</v>
      </c>
      <c r="X14" s="39">
        <f>INDEX(X4:X13, MATCH($T$14, T4:T13, 0))</f>
        <v>150.58395449409039</v>
      </c>
      <c r="Y14" s="39">
        <f>INDEX(Y4:Y13, MATCH($T$14, T4:T13, 0))</f>
        <v>25.161062080085731</v>
      </c>
      <c r="Z14" s="39">
        <f>INDEX(Z4:Z13, MATCH($T$14, T4:T13, 0))</f>
        <v>1726.3811320996028</v>
      </c>
      <c r="AA14" s="40">
        <f>(T14-$D$15)/$D$15</f>
        <v>6.9142925168942077E-2</v>
      </c>
    </row>
    <row r="15" spans="2:27" x14ac:dyDescent="0.2">
      <c r="C15" s="1" t="s">
        <v>17</v>
      </c>
      <c r="D15" s="34">
        <v>40791.588062528077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89" priority="7"/>
    <cfRule type="duplicateValues" dxfId="88" priority="8"/>
  </conditionalFormatting>
  <conditionalFormatting sqref="C14">
    <cfRule type="duplicateValues" dxfId="87" priority="1"/>
    <cfRule type="duplicateValues" dxfId="86" priority="2"/>
  </conditionalFormatting>
  <conditionalFormatting sqref="C17">
    <cfRule type="duplicateValues" dxfId="85" priority="3"/>
    <cfRule type="duplicateValues" dxfId="84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11DA-A9EB-284F-AAAC-FBBBD66134AF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-0.99990834490563563</v>
      </c>
      <c r="K2" s="28"/>
      <c r="L2" s="1" t="s">
        <v>19</v>
      </c>
      <c r="P2" s="1" t="e">
        <f>(P14-H14)/H14</f>
        <v>#DIV/0!</v>
      </c>
      <c r="R2" s="1">
        <f>(R14-J14)/J14</f>
        <v>-2.3550001141632852E-2</v>
      </c>
      <c r="T2" s="1" t="s">
        <v>20</v>
      </c>
      <c r="X2" s="1" t="e">
        <f>(X14-P14)/P14</f>
        <v>#DIV/0!</v>
      </c>
      <c r="Z2" s="1">
        <f>(Z14-R14)/R14</f>
        <v>0.4860892663569259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33</v>
      </c>
      <c r="D4" s="23">
        <v>39573.561384198307</v>
      </c>
      <c r="E4" s="33">
        <v>3.5117125000397209E-2</v>
      </c>
      <c r="F4" s="5">
        <v>2</v>
      </c>
      <c r="G4" s="23">
        <v>70</v>
      </c>
      <c r="H4" s="33">
        <v>0</v>
      </c>
      <c r="I4" s="23">
        <v>9.0327520040295255</v>
      </c>
      <c r="J4" s="5">
        <v>855.22486792137317</v>
      </c>
      <c r="K4" s="31"/>
      <c r="L4" s="23">
        <v>42675.563326865427</v>
      </c>
      <c r="M4" s="33">
        <v>3.0224082998756781E-2</v>
      </c>
      <c r="N4" s="5">
        <v>1</v>
      </c>
      <c r="O4" s="5">
        <v>40</v>
      </c>
      <c r="P4" s="33">
        <v>0</v>
      </c>
      <c r="Q4" s="5">
        <v>8.8189588189588228</v>
      </c>
      <c r="R4" s="5">
        <v>835.08432130547203</v>
      </c>
      <c r="S4" s="31"/>
      <c r="T4" s="23">
        <v>40638.778763302107</v>
      </c>
      <c r="U4" s="33">
        <v>3.8656167002045549E-2</v>
      </c>
      <c r="V4" s="5">
        <v>2</v>
      </c>
      <c r="W4" s="5">
        <v>70</v>
      </c>
      <c r="X4" s="33">
        <v>0</v>
      </c>
      <c r="Y4" s="5">
        <v>18.09998287334259</v>
      </c>
      <c r="Z4" s="5">
        <v>1241.0098463950203</v>
      </c>
      <c r="AA4" s="35"/>
    </row>
    <row r="5" spans="2:27" x14ac:dyDescent="0.2">
      <c r="B5" s="4">
        <v>2</v>
      </c>
      <c r="C5" s="4">
        <v>60</v>
      </c>
      <c r="D5" s="23">
        <v>39573.561384198307</v>
      </c>
      <c r="E5" s="33">
        <v>4.9313417000121262E-2</v>
      </c>
      <c r="F5" s="5">
        <v>2</v>
      </c>
      <c r="G5" s="23">
        <v>70</v>
      </c>
      <c r="H5" s="33">
        <v>0</v>
      </c>
      <c r="I5" s="23">
        <v>9.0327520040295255</v>
      </c>
      <c r="J5" s="5">
        <v>855.22486792137317</v>
      </c>
      <c r="K5" s="31"/>
      <c r="L5" s="23">
        <v>43546.425967433373</v>
      </c>
      <c r="M5" s="33">
        <v>3.4875374996772728E-2</v>
      </c>
      <c r="N5" s="5">
        <v>2</v>
      </c>
      <c r="O5" s="5">
        <v>60</v>
      </c>
      <c r="P5" s="33">
        <v>0</v>
      </c>
      <c r="Q5" s="5">
        <v>7.4180340632640789</v>
      </c>
      <c r="R5" s="5">
        <v>781.88703550714627</v>
      </c>
      <c r="S5" s="31"/>
      <c r="T5" s="23">
        <v>40638.778763302107</v>
      </c>
      <c r="U5" s="33">
        <v>4.3825042001117247E-2</v>
      </c>
      <c r="V5" s="5">
        <v>2</v>
      </c>
      <c r="W5" s="5">
        <v>70</v>
      </c>
      <c r="X5" s="33">
        <v>0</v>
      </c>
      <c r="Y5" s="5">
        <v>18.09998287334259</v>
      </c>
      <c r="Z5" s="5">
        <v>1241.0098463950203</v>
      </c>
      <c r="AA5" s="35"/>
    </row>
    <row r="6" spans="2:27" x14ac:dyDescent="0.2">
      <c r="B6" s="4">
        <v>3</v>
      </c>
      <c r="C6" s="4">
        <v>83</v>
      </c>
      <c r="D6" s="23">
        <v>39573.561384198307</v>
      </c>
      <c r="E6" s="33">
        <v>3.4703416999946057E-2</v>
      </c>
      <c r="F6" s="5">
        <v>2</v>
      </c>
      <c r="G6" s="23">
        <v>70</v>
      </c>
      <c r="H6" s="33">
        <v>0</v>
      </c>
      <c r="I6" s="23">
        <v>9.0327520040295255</v>
      </c>
      <c r="J6" s="5">
        <v>855.22486792137317</v>
      </c>
      <c r="K6" s="31"/>
      <c r="L6" s="23">
        <v>42675.563326865427</v>
      </c>
      <c r="M6" s="33">
        <v>4.0908250000939013E-2</v>
      </c>
      <c r="N6" s="5">
        <v>1</v>
      </c>
      <c r="O6" s="5">
        <v>40</v>
      </c>
      <c r="P6" s="33">
        <v>0</v>
      </c>
      <c r="Q6" s="5">
        <v>8.8189588189588228</v>
      </c>
      <c r="R6" s="5">
        <v>835.08432130547203</v>
      </c>
      <c r="S6" s="31"/>
      <c r="T6" s="23">
        <v>40638.778763302107</v>
      </c>
      <c r="U6" s="33">
        <v>3.9601458000106497E-2</v>
      </c>
      <c r="V6" s="5">
        <v>2</v>
      </c>
      <c r="W6" s="5">
        <v>70</v>
      </c>
      <c r="X6" s="33">
        <v>0</v>
      </c>
      <c r="Y6" s="5">
        <v>18.09998287334259</v>
      </c>
      <c r="Z6" s="5">
        <v>1241.0098463950203</v>
      </c>
      <c r="AA6" s="35"/>
    </row>
    <row r="7" spans="2:27" x14ac:dyDescent="0.2">
      <c r="B7" s="4">
        <v>4</v>
      </c>
      <c r="C7" s="4">
        <v>417</v>
      </c>
      <c r="D7" s="23">
        <v>39573.561384198307</v>
      </c>
      <c r="E7" s="33">
        <v>3.096616699986043E-2</v>
      </c>
      <c r="F7" s="5">
        <v>2</v>
      </c>
      <c r="G7" s="23">
        <v>70</v>
      </c>
      <c r="H7" s="33">
        <v>0</v>
      </c>
      <c r="I7" s="23">
        <v>9.0327520040295255</v>
      </c>
      <c r="J7" s="5">
        <v>855.22486792137317</v>
      </c>
      <c r="K7" s="31"/>
      <c r="L7" s="23">
        <v>42675.563326865427</v>
      </c>
      <c r="M7" s="33">
        <v>3.6911457998940023E-2</v>
      </c>
      <c r="N7" s="5">
        <v>1</v>
      </c>
      <c r="O7" s="5">
        <v>40</v>
      </c>
      <c r="P7" s="33">
        <v>0</v>
      </c>
      <c r="Q7" s="5">
        <v>8.8189588189588228</v>
      </c>
      <c r="R7" s="5">
        <v>835.08432130547203</v>
      </c>
      <c r="S7" s="31"/>
      <c r="T7" s="23">
        <v>40638.778763302107</v>
      </c>
      <c r="U7" s="33">
        <v>3.1903707997116733E-2</v>
      </c>
      <c r="V7" s="5">
        <v>2</v>
      </c>
      <c r="W7" s="5">
        <v>70</v>
      </c>
      <c r="X7" s="33">
        <v>0</v>
      </c>
      <c r="Y7" s="5">
        <v>18.09998287334259</v>
      </c>
      <c r="Z7" s="5">
        <v>1241.0098463950203</v>
      </c>
      <c r="AA7" s="35"/>
    </row>
    <row r="8" spans="2:27" x14ac:dyDescent="0.2">
      <c r="B8" s="4">
        <v>5</v>
      </c>
      <c r="C8" s="4">
        <v>499</v>
      </c>
      <c r="D8" s="23">
        <v>39573.561384198307</v>
      </c>
      <c r="E8" s="33">
        <v>4.5657499999833817E-2</v>
      </c>
      <c r="F8" s="5">
        <v>2</v>
      </c>
      <c r="G8" s="23">
        <v>70</v>
      </c>
      <c r="H8" s="33">
        <v>0</v>
      </c>
      <c r="I8" s="23">
        <v>9.0327520040295255</v>
      </c>
      <c r="J8" s="5">
        <v>855.22486792137317</v>
      </c>
      <c r="K8" s="31"/>
      <c r="L8" s="23">
        <v>42675.563326865427</v>
      </c>
      <c r="M8" s="33">
        <v>4.688920899934601E-2</v>
      </c>
      <c r="N8" s="5">
        <v>1</v>
      </c>
      <c r="O8" s="5">
        <v>40</v>
      </c>
      <c r="P8" s="33">
        <v>0</v>
      </c>
      <c r="Q8" s="5">
        <v>8.8189588189588228</v>
      </c>
      <c r="R8" s="5">
        <v>835.08432130547203</v>
      </c>
      <c r="S8" s="31"/>
      <c r="T8" s="23">
        <v>40638.778763302107</v>
      </c>
      <c r="U8" s="33">
        <v>4.9137124999106163E-2</v>
      </c>
      <c r="V8" s="5">
        <v>2</v>
      </c>
      <c r="W8" s="5">
        <v>70</v>
      </c>
      <c r="X8" s="33">
        <v>0</v>
      </c>
      <c r="Y8" s="5">
        <v>18.09998287334259</v>
      </c>
      <c r="Z8" s="5">
        <v>1241.0098463950203</v>
      </c>
      <c r="AA8" s="35"/>
    </row>
    <row r="9" spans="2:27" x14ac:dyDescent="0.2">
      <c r="B9" s="4">
        <v>6</v>
      </c>
      <c r="C9" s="4">
        <v>405</v>
      </c>
      <c r="D9" s="23">
        <v>39573.561384198307</v>
      </c>
      <c r="E9" s="33">
        <v>4.701604199999565E-2</v>
      </c>
      <c r="F9" s="5">
        <v>2</v>
      </c>
      <c r="G9" s="23">
        <v>70</v>
      </c>
      <c r="H9" s="33">
        <v>0</v>
      </c>
      <c r="I9" s="23">
        <v>9.0327520040295255</v>
      </c>
      <c r="J9" s="5">
        <v>855.22486792137317</v>
      </c>
      <c r="K9" s="31"/>
      <c r="L9" s="23">
        <v>42675.563326865427</v>
      </c>
      <c r="M9" s="33">
        <v>4.3625124999380198E-2</v>
      </c>
      <c r="N9" s="5">
        <v>1</v>
      </c>
      <c r="O9" s="5">
        <v>40</v>
      </c>
      <c r="P9" s="33">
        <v>0</v>
      </c>
      <c r="Q9" s="5">
        <v>8.8189588189588228</v>
      </c>
      <c r="R9" s="5">
        <v>835.08432130547203</v>
      </c>
      <c r="S9" s="31"/>
      <c r="T9" s="23">
        <v>40638.778763302107</v>
      </c>
      <c r="U9" s="33">
        <v>3.7543084003118572E-2</v>
      </c>
      <c r="V9" s="5">
        <v>2</v>
      </c>
      <c r="W9" s="5">
        <v>70</v>
      </c>
      <c r="X9" s="33">
        <v>0</v>
      </c>
      <c r="Y9" s="5">
        <v>18.09998287334259</v>
      </c>
      <c r="Z9" s="5">
        <v>1241.0098463950203</v>
      </c>
      <c r="AA9" s="35"/>
    </row>
    <row r="10" spans="2:27" x14ac:dyDescent="0.2">
      <c r="B10" s="4">
        <v>7</v>
      </c>
      <c r="C10" s="4">
        <v>998</v>
      </c>
      <c r="D10" s="23">
        <v>39573.561384198307</v>
      </c>
      <c r="E10" s="33">
        <v>3.9158250000127737E-2</v>
      </c>
      <c r="F10" s="5">
        <v>2</v>
      </c>
      <c r="G10" s="23">
        <v>70</v>
      </c>
      <c r="H10" s="33">
        <v>0</v>
      </c>
      <c r="I10" s="23">
        <v>9.0327520040295255</v>
      </c>
      <c r="J10" s="5">
        <v>855.22486792137317</v>
      </c>
      <c r="K10" s="31"/>
      <c r="L10" s="23">
        <v>42675.563326865427</v>
      </c>
      <c r="M10" s="33">
        <v>4.496212499725516E-2</v>
      </c>
      <c r="N10" s="5">
        <v>1</v>
      </c>
      <c r="O10" s="5">
        <v>40</v>
      </c>
      <c r="P10" s="33">
        <v>0</v>
      </c>
      <c r="Q10" s="5">
        <v>8.8189588189588228</v>
      </c>
      <c r="R10" s="5">
        <v>835.08432130547203</v>
      </c>
      <c r="S10" s="31"/>
      <c r="T10" s="23">
        <v>40638.778763302107</v>
      </c>
      <c r="U10" s="33">
        <v>4.6135624997987179E-2</v>
      </c>
      <c r="V10" s="5">
        <v>2</v>
      </c>
      <c r="W10" s="5">
        <v>70</v>
      </c>
      <c r="X10" s="33">
        <v>0</v>
      </c>
      <c r="Y10" s="5">
        <v>18.09998287334259</v>
      </c>
      <c r="Z10" s="5">
        <v>1241.0098463950203</v>
      </c>
      <c r="AA10" s="35"/>
    </row>
    <row r="11" spans="2:27" x14ac:dyDescent="0.2">
      <c r="B11" s="4">
        <v>8</v>
      </c>
      <c r="C11" s="4">
        <v>867</v>
      </c>
      <c r="D11" s="23">
        <v>39573.561384198307</v>
      </c>
      <c r="E11" s="33">
        <v>4.1421040999921388E-2</v>
      </c>
      <c r="F11" s="5">
        <v>2</v>
      </c>
      <c r="G11" s="23">
        <v>70</v>
      </c>
      <c r="H11" s="33">
        <v>0</v>
      </c>
      <c r="I11" s="23">
        <v>9.0327520040295255</v>
      </c>
      <c r="J11" s="5">
        <v>855.22486792137317</v>
      </c>
      <c r="K11" s="31"/>
      <c r="L11" s="23">
        <v>43546.425967433373</v>
      </c>
      <c r="M11" s="33">
        <v>3.2683542001905153E-2</v>
      </c>
      <c r="N11" s="5">
        <v>2</v>
      </c>
      <c r="O11" s="5">
        <v>60</v>
      </c>
      <c r="P11" s="33">
        <v>0</v>
      </c>
      <c r="Q11" s="5">
        <v>7.4180340632640789</v>
      </c>
      <c r="R11" s="5">
        <v>781.88703550714627</v>
      </c>
      <c r="S11" s="31"/>
      <c r="T11" s="23">
        <v>40638.778763302107</v>
      </c>
      <c r="U11" s="33">
        <v>3.6517000000458211E-2</v>
      </c>
      <c r="V11" s="5">
        <v>2</v>
      </c>
      <c r="W11" s="5">
        <v>70</v>
      </c>
      <c r="X11" s="33">
        <v>0</v>
      </c>
      <c r="Y11" s="5">
        <v>18.09998287334259</v>
      </c>
      <c r="Z11" s="5">
        <v>1241.0098463950203</v>
      </c>
      <c r="AA11" s="35"/>
    </row>
    <row r="12" spans="2:27" x14ac:dyDescent="0.2">
      <c r="B12" s="4">
        <v>9</v>
      </c>
      <c r="C12" s="4">
        <v>871</v>
      </c>
      <c r="D12" s="23">
        <v>39573.561384198307</v>
      </c>
      <c r="E12" s="33">
        <v>5.3762374999678293E-2</v>
      </c>
      <c r="F12" s="5">
        <v>2</v>
      </c>
      <c r="G12" s="23">
        <v>70</v>
      </c>
      <c r="H12" s="33">
        <v>0</v>
      </c>
      <c r="I12" s="23">
        <v>9.0327520040295255</v>
      </c>
      <c r="J12" s="5">
        <v>855.22486792137317</v>
      </c>
      <c r="K12" s="31"/>
      <c r="L12" s="23">
        <v>42675.563326865427</v>
      </c>
      <c r="M12" s="33">
        <v>4.5303874998353422E-2</v>
      </c>
      <c r="N12" s="5">
        <v>1</v>
      </c>
      <c r="O12" s="5">
        <v>40</v>
      </c>
      <c r="P12" s="33">
        <v>0</v>
      </c>
      <c r="Q12" s="5">
        <v>8.8189588189588228</v>
      </c>
      <c r="R12" s="5">
        <v>835.08432130547203</v>
      </c>
      <c r="S12" s="31"/>
      <c r="T12" s="23">
        <v>40638.778763302107</v>
      </c>
      <c r="U12" s="33">
        <v>4.670641600023373E-2</v>
      </c>
      <c r="V12" s="5">
        <v>2</v>
      </c>
      <c r="W12" s="5">
        <v>70</v>
      </c>
      <c r="X12" s="33">
        <v>0</v>
      </c>
      <c r="Y12" s="5">
        <v>18.09998287334259</v>
      </c>
      <c r="Z12" s="5">
        <v>1241.0098463950203</v>
      </c>
      <c r="AA12" s="35"/>
    </row>
    <row r="13" spans="2:27" x14ac:dyDescent="0.2">
      <c r="B13" s="4">
        <v>10</v>
      </c>
      <c r="C13" s="4">
        <v>790</v>
      </c>
      <c r="D13" s="23">
        <v>39573.561384198307</v>
      </c>
      <c r="E13" s="33">
        <v>6.5387916999952722E-2</v>
      </c>
      <c r="F13" s="5">
        <v>2</v>
      </c>
      <c r="G13" s="23">
        <v>70</v>
      </c>
      <c r="H13" s="33">
        <v>0</v>
      </c>
      <c r="I13" s="23">
        <v>9.0327520040295255</v>
      </c>
      <c r="J13" s="5">
        <v>855.22486792137317</v>
      </c>
      <c r="K13" s="31"/>
      <c r="L13" s="23">
        <v>42675.563326865427</v>
      </c>
      <c r="M13" s="33">
        <v>5.5051041999831803E-2</v>
      </c>
      <c r="N13" s="5">
        <v>1</v>
      </c>
      <c r="O13" s="5">
        <v>40</v>
      </c>
      <c r="P13" s="33">
        <v>0</v>
      </c>
      <c r="Q13" s="5">
        <v>8.8189588189588228</v>
      </c>
      <c r="R13" s="5">
        <v>835.08432130547203</v>
      </c>
      <c r="S13" s="31"/>
      <c r="T13" s="23">
        <v>40638.778763302107</v>
      </c>
      <c r="U13" s="33">
        <v>5.6000541000685189E-2</v>
      </c>
      <c r="V13" s="5">
        <v>2</v>
      </c>
      <c r="W13" s="5">
        <v>70</v>
      </c>
      <c r="X13" s="33">
        <v>0</v>
      </c>
      <c r="Y13" s="5">
        <v>18.09998287334259</v>
      </c>
      <c r="Z13" s="5">
        <v>1241.0098463950203</v>
      </c>
      <c r="AA13" s="35"/>
    </row>
    <row r="14" spans="2:27" x14ac:dyDescent="0.2">
      <c r="B14" s="46" t="s">
        <v>3</v>
      </c>
      <c r="C14" s="47"/>
      <c r="D14" s="9">
        <f>MIN(D4:D13)</f>
        <v>39573.561384198307</v>
      </c>
      <c r="E14" s="22">
        <f>INDEX(E4:E13, MATCH($D$14, D4:D13, 0))</f>
        <v>3.5117125000397209E-2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9.0327520040295255</v>
      </c>
      <c r="J14" s="22">
        <f>INDEX(J4:J13, MATCH($D$14, D4:D13, 0))</f>
        <v>855.22486792137317</v>
      </c>
      <c r="K14" s="32">
        <f>(D14-$D$15)/$D$15</f>
        <v>0</v>
      </c>
      <c r="L14" s="16">
        <f>MIN(L4:L13)</f>
        <v>42675.563326865427</v>
      </c>
      <c r="M14" s="21">
        <f>INDEX(M4:M13, MATCH($L$14, L4:L13, 0))</f>
        <v>3.0224082998756781E-2</v>
      </c>
      <c r="N14" s="16">
        <f>INDEX(N4:N13, MATCH($L$14, L4:L13, 0))</f>
        <v>1</v>
      </c>
      <c r="O14" s="16">
        <f>INDEX(O4:O13, MATCH($L$14, L4:L13, 0))</f>
        <v>40</v>
      </c>
      <c r="P14" s="21">
        <f>INDEX(P4:P13, MATCH($L$14, L4:L13, 0))</f>
        <v>0</v>
      </c>
      <c r="Q14" s="21">
        <f>INDEX(Q4:Q13, MATCH($L$14, L4:L13, 0))</f>
        <v>8.8189588189588228</v>
      </c>
      <c r="R14" s="21">
        <f>INDEX(R4:R13, MATCH($L$14, L4:L13, 0))</f>
        <v>835.08432130547203</v>
      </c>
      <c r="S14" s="36">
        <f>(L14-$D$15)/$D$15</f>
        <v>7.8385715972122433E-2</v>
      </c>
      <c r="T14" s="38">
        <f>MIN(T4:T13)</f>
        <v>40638.778763302107</v>
      </c>
      <c r="U14" s="39">
        <f>INDEX(U4:U13, MATCH($T$14, T4:T13, 0))</f>
        <v>3.8656167002045549E-2</v>
      </c>
      <c r="V14" s="38">
        <f>INDEX(V4:V13, MATCH($T$14, T4:T13, 0))</f>
        <v>2</v>
      </c>
      <c r="W14" s="38">
        <f>INDEX(W4:W13, MATCH($T$14, T4:T13, 0))</f>
        <v>70</v>
      </c>
      <c r="X14" s="39">
        <f>INDEX(X4:X13, MATCH($T$14, T4:T13, 0))</f>
        <v>0</v>
      </c>
      <c r="Y14" s="39">
        <f>INDEX(Y4:Y13, MATCH($T$14, T4:T13, 0))</f>
        <v>18.09998287334259</v>
      </c>
      <c r="Z14" s="39">
        <f>INDEX(Z4:Z13, MATCH($T$14, T4:T13, 0))</f>
        <v>1241.0098463950203</v>
      </c>
      <c r="AA14" s="40">
        <f>(T14-$D$15)/$D$15</f>
        <v>2.6917399946953999E-2</v>
      </c>
    </row>
    <row r="15" spans="2:27" x14ac:dyDescent="0.2">
      <c r="C15" s="1" t="s">
        <v>17</v>
      </c>
      <c r="D15" s="34">
        <v>39573.561384198307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83" priority="7"/>
    <cfRule type="duplicateValues" dxfId="82" priority="8"/>
  </conditionalFormatting>
  <conditionalFormatting sqref="C14">
    <cfRule type="duplicateValues" dxfId="81" priority="1"/>
    <cfRule type="duplicateValues" dxfId="80" priority="2"/>
  </conditionalFormatting>
  <conditionalFormatting sqref="C17">
    <cfRule type="duplicateValues" dxfId="79" priority="3"/>
    <cfRule type="duplicateValues" dxfId="78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C8203-478E-DC44-ACB7-B1A4CE6C5873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-0.99995893978070616</v>
      </c>
      <c r="K2" s="28"/>
      <c r="L2" s="1" t="s">
        <v>19</v>
      </c>
      <c r="P2" s="1" t="e">
        <f>(P14-H14)/H14</f>
        <v>#DIV/0!</v>
      </c>
      <c r="R2" s="1">
        <f>(R14-J14)/J14</f>
        <v>-0.57139562562305557</v>
      </c>
      <c r="T2" s="1" t="s">
        <v>20</v>
      </c>
      <c r="X2" s="1" t="e">
        <f>(X14-P14)/P14</f>
        <v>#DIV/0!</v>
      </c>
      <c r="Z2" s="1">
        <f>(Z14-R14)/R14</f>
        <v>0.25945551846922144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40</v>
      </c>
      <c r="D4" s="23">
        <v>43015.711356500608</v>
      </c>
      <c r="E4" s="33">
        <v>4.9560958000256512E-2</v>
      </c>
      <c r="F4" s="5">
        <v>2</v>
      </c>
      <c r="G4" s="23">
        <v>70</v>
      </c>
      <c r="H4" s="33">
        <v>0</v>
      </c>
      <c r="I4" s="23">
        <v>18.517615997620094</v>
      </c>
      <c r="J4" s="5">
        <v>1665.817552494771</v>
      </c>
      <c r="K4" s="31"/>
      <c r="L4" s="23">
        <v>45957.935857349847</v>
      </c>
      <c r="M4" s="33">
        <v>5.2661958001408493E-2</v>
      </c>
      <c r="N4" s="5">
        <v>1</v>
      </c>
      <c r="O4" s="5">
        <v>30</v>
      </c>
      <c r="P4" s="33">
        <v>0</v>
      </c>
      <c r="Q4" s="5">
        <v>9.8408073921392507</v>
      </c>
      <c r="R4" s="5">
        <v>713.97668991315413</v>
      </c>
      <c r="S4" s="31"/>
      <c r="T4" s="23">
        <v>45174.863058173607</v>
      </c>
      <c r="U4" s="33">
        <v>4.8384165998868411E-2</v>
      </c>
      <c r="V4" s="5">
        <v>1</v>
      </c>
      <c r="W4" s="5">
        <v>30</v>
      </c>
      <c r="X4" s="33">
        <v>0</v>
      </c>
      <c r="Y4" s="5">
        <v>22.710204613274641</v>
      </c>
      <c r="Z4" s="5">
        <v>899.22188216951008</v>
      </c>
      <c r="AA4" s="35"/>
    </row>
    <row r="5" spans="2:27" x14ac:dyDescent="0.2">
      <c r="B5" s="4">
        <v>2</v>
      </c>
      <c r="C5" s="4">
        <v>112</v>
      </c>
      <c r="D5" s="23">
        <v>43015.711356500608</v>
      </c>
      <c r="E5" s="33">
        <v>5.1876125000035238E-2</v>
      </c>
      <c r="F5" s="5">
        <v>2</v>
      </c>
      <c r="G5" s="23">
        <v>70</v>
      </c>
      <c r="H5" s="33">
        <v>0</v>
      </c>
      <c r="I5" s="23">
        <v>18.517615997620094</v>
      </c>
      <c r="J5" s="5">
        <v>1665.817552494771</v>
      </c>
      <c r="K5" s="31"/>
      <c r="L5" s="23">
        <v>45957.935857349847</v>
      </c>
      <c r="M5" s="33">
        <v>3.1955458998709219E-2</v>
      </c>
      <c r="N5" s="5">
        <v>1</v>
      </c>
      <c r="O5" s="5">
        <v>30</v>
      </c>
      <c r="P5" s="33">
        <v>0</v>
      </c>
      <c r="Q5" s="5">
        <v>9.8408073921392507</v>
      </c>
      <c r="R5" s="5">
        <v>713.97668991315413</v>
      </c>
      <c r="S5" s="31"/>
      <c r="T5" s="23">
        <v>45174.863058173607</v>
      </c>
      <c r="U5" s="33">
        <v>3.867016599906492E-2</v>
      </c>
      <c r="V5" s="5">
        <v>1</v>
      </c>
      <c r="W5" s="5">
        <v>30</v>
      </c>
      <c r="X5" s="33">
        <v>0</v>
      </c>
      <c r="Y5" s="5">
        <v>22.710204613274641</v>
      </c>
      <c r="Z5" s="5">
        <v>899.22188216951008</v>
      </c>
      <c r="AA5" s="35"/>
    </row>
    <row r="6" spans="2:27" x14ac:dyDescent="0.2">
      <c r="B6" s="4">
        <v>3</v>
      </c>
      <c r="C6" s="4">
        <v>147</v>
      </c>
      <c r="D6" s="23">
        <v>43015.711356500608</v>
      </c>
      <c r="E6" s="33">
        <v>5.7495208000091218E-2</v>
      </c>
      <c r="F6" s="5">
        <v>2</v>
      </c>
      <c r="G6" s="23">
        <v>70</v>
      </c>
      <c r="H6" s="33">
        <v>0</v>
      </c>
      <c r="I6" s="23">
        <v>18.517615997620094</v>
      </c>
      <c r="J6" s="5">
        <v>1665.817552494771</v>
      </c>
      <c r="K6" s="31"/>
      <c r="L6" s="23">
        <v>45957.935857349847</v>
      </c>
      <c r="M6" s="33">
        <v>5.3876499998295913E-2</v>
      </c>
      <c r="N6" s="5">
        <v>1</v>
      </c>
      <c r="O6" s="5">
        <v>30</v>
      </c>
      <c r="P6" s="33">
        <v>0</v>
      </c>
      <c r="Q6" s="5">
        <v>9.8408073921392507</v>
      </c>
      <c r="R6" s="5">
        <v>713.97668991315413</v>
      </c>
      <c r="S6" s="31"/>
      <c r="T6" s="23">
        <v>45174.863058173607</v>
      </c>
      <c r="U6" s="33">
        <v>5.6697790998441633E-2</v>
      </c>
      <c r="V6" s="5">
        <v>1</v>
      </c>
      <c r="W6" s="5">
        <v>30</v>
      </c>
      <c r="X6" s="33">
        <v>0</v>
      </c>
      <c r="Y6" s="5">
        <v>22.710204613274641</v>
      </c>
      <c r="Z6" s="5">
        <v>899.22188216951008</v>
      </c>
      <c r="AA6" s="35"/>
    </row>
    <row r="7" spans="2:27" x14ac:dyDescent="0.2">
      <c r="B7" s="4">
        <v>4</v>
      </c>
      <c r="C7" s="4">
        <v>160</v>
      </c>
      <c r="D7" s="23">
        <v>43015.711356500608</v>
      </c>
      <c r="E7" s="33">
        <v>3.8138333999995673E-2</v>
      </c>
      <c r="F7" s="5">
        <v>2</v>
      </c>
      <c r="G7" s="23">
        <v>70</v>
      </c>
      <c r="H7" s="33">
        <v>0</v>
      </c>
      <c r="I7" s="23">
        <v>18.517615997620094</v>
      </c>
      <c r="J7" s="5">
        <v>1665.817552494771</v>
      </c>
      <c r="K7" s="31"/>
      <c r="L7" s="23">
        <v>45957.935857349847</v>
      </c>
      <c r="M7" s="33">
        <v>5.0723542000923771E-2</v>
      </c>
      <c r="N7" s="5">
        <v>1</v>
      </c>
      <c r="O7" s="5">
        <v>30</v>
      </c>
      <c r="P7" s="33">
        <v>0</v>
      </c>
      <c r="Q7" s="5">
        <v>9.8408073921392507</v>
      </c>
      <c r="R7" s="5">
        <v>713.97668991315413</v>
      </c>
      <c r="S7" s="31"/>
      <c r="T7" s="23">
        <v>45174.863058173607</v>
      </c>
      <c r="U7" s="33">
        <v>4.1996708001533989E-2</v>
      </c>
      <c r="V7" s="5">
        <v>1</v>
      </c>
      <c r="W7" s="5">
        <v>30</v>
      </c>
      <c r="X7" s="33">
        <v>0</v>
      </c>
      <c r="Y7" s="5">
        <v>22.710204613274641</v>
      </c>
      <c r="Z7" s="5">
        <v>899.22188216951008</v>
      </c>
      <c r="AA7" s="35"/>
    </row>
    <row r="8" spans="2:27" x14ac:dyDescent="0.2">
      <c r="B8" s="4">
        <v>5</v>
      </c>
      <c r="C8" s="4">
        <v>224</v>
      </c>
      <c r="D8" s="23">
        <v>43015.711356500608</v>
      </c>
      <c r="E8" s="33">
        <v>4.6707333000085782E-2</v>
      </c>
      <c r="F8" s="5">
        <v>2</v>
      </c>
      <c r="G8" s="23">
        <v>70</v>
      </c>
      <c r="H8" s="33">
        <v>0</v>
      </c>
      <c r="I8" s="23">
        <v>18.517615997620094</v>
      </c>
      <c r="J8" s="5">
        <v>1665.817552494771</v>
      </c>
      <c r="K8" s="31"/>
      <c r="L8" s="23">
        <v>45957.935857349847</v>
      </c>
      <c r="M8" s="33">
        <v>4.4146041997009888E-2</v>
      </c>
      <c r="N8" s="5">
        <v>1</v>
      </c>
      <c r="O8" s="5">
        <v>30</v>
      </c>
      <c r="P8" s="33">
        <v>0</v>
      </c>
      <c r="Q8" s="5">
        <v>9.8408073921392507</v>
      </c>
      <c r="R8" s="5">
        <v>713.97668991315413</v>
      </c>
      <c r="S8" s="31"/>
      <c r="T8" s="23">
        <v>45174.863058173607</v>
      </c>
      <c r="U8" s="33">
        <v>4.4943166998564273E-2</v>
      </c>
      <c r="V8" s="5">
        <v>1</v>
      </c>
      <c r="W8" s="5">
        <v>30</v>
      </c>
      <c r="X8" s="33">
        <v>0</v>
      </c>
      <c r="Y8" s="5">
        <v>22.710204613274641</v>
      </c>
      <c r="Z8" s="5">
        <v>899.22188216951008</v>
      </c>
      <c r="AA8" s="35"/>
    </row>
    <row r="9" spans="2:27" x14ac:dyDescent="0.2">
      <c r="B9" s="4">
        <v>6</v>
      </c>
      <c r="C9" s="4">
        <v>239</v>
      </c>
      <c r="D9" s="23">
        <v>43015.711356500608</v>
      </c>
      <c r="E9" s="33">
        <v>3.4344625000358057E-2</v>
      </c>
      <c r="F9" s="5">
        <v>2</v>
      </c>
      <c r="G9" s="23">
        <v>70</v>
      </c>
      <c r="H9" s="33">
        <v>0</v>
      </c>
      <c r="I9" s="23">
        <v>18.517615997620094</v>
      </c>
      <c r="J9" s="5">
        <v>1665.817552494771</v>
      </c>
      <c r="K9" s="31"/>
      <c r="L9" s="23">
        <v>45957.935857349847</v>
      </c>
      <c r="M9" s="33">
        <v>6.278583400126081E-2</v>
      </c>
      <c r="N9" s="5">
        <v>1</v>
      </c>
      <c r="O9" s="5">
        <v>30</v>
      </c>
      <c r="P9" s="33">
        <v>0</v>
      </c>
      <c r="Q9" s="5">
        <v>9.8408073921392507</v>
      </c>
      <c r="R9" s="5">
        <v>713.97668991315413</v>
      </c>
      <c r="S9" s="31"/>
      <c r="T9" s="23">
        <v>45373.905819786713</v>
      </c>
      <c r="U9" s="33">
        <v>3.1057417003466981E-2</v>
      </c>
      <c r="V9" s="5">
        <v>2</v>
      </c>
      <c r="W9" s="5">
        <v>50</v>
      </c>
      <c r="X9" s="33">
        <v>0</v>
      </c>
      <c r="Y9" s="5">
        <v>16.460242044460713</v>
      </c>
      <c r="Z9" s="5">
        <v>777.5957067022498</v>
      </c>
      <c r="AA9" s="35"/>
    </row>
    <row r="10" spans="2:27" x14ac:dyDescent="0.2">
      <c r="B10" s="4">
        <v>7</v>
      </c>
      <c r="C10" s="4">
        <v>306</v>
      </c>
      <c r="D10" s="23">
        <v>43015.711356500608</v>
      </c>
      <c r="E10" s="33">
        <v>6.3235583000277984E-2</v>
      </c>
      <c r="F10" s="5">
        <v>2</v>
      </c>
      <c r="G10" s="23">
        <v>70</v>
      </c>
      <c r="H10" s="33">
        <v>0</v>
      </c>
      <c r="I10" s="23">
        <v>18.517615997620094</v>
      </c>
      <c r="J10" s="5">
        <v>1665.817552494771</v>
      </c>
      <c r="K10" s="31"/>
      <c r="L10" s="23">
        <v>45957.935857349847</v>
      </c>
      <c r="M10" s="33">
        <v>3.9368417001242051E-2</v>
      </c>
      <c r="N10" s="5">
        <v>1</v>
      </c>
      <c r="O10" s="5">
        <v>30</v>
      </c>
      <c r="P10" s="33">
        <v>0</v>
      </c>
      <c r="Q10" s="5">
        <v>9.8408073921392507</v>
      </c>
      <c r="R10" s="5">
        <v>713.97668991315413</v>
      </c>
      <c r="S10" s="31"/>
      <c r="T10" s="23">
        <v>45174.863058173607</v>
      </c>
      <c r="U10" s="33">
        <v>7.4297374998423038E-2</v>
      </c>
      <c r="V10" s="5">
        <v>1</v>
      </c>
      <c r="W10" s="5">
        <v>30</v>
      </c>
      <c r="X10" s="33">
        <v>0</v>
      </c>
      <c r="Y10" s="5">
        <v>22.710204613274641</v>
      </c>
      <c r="Z10" s="5">
        <v>899.22188216951008</v>
      </c>
      <c r="AA10" s="35"/>
    </row>
    <row r="11" spans="2:27" x14ac:dyDescent="0.2">
      <c r="B11" s="4">
        <v>8</v>
      </c>
      <c r="C11" s="4">
        <v>483</v>
      </c>
      <c r="D11" s="23">
        <v>43015.711356500608</v>
      </c>
      <c r="E11" s="33">
        <v>5.7999041999664769E-2</v>
      </c>
      <c r="F11" s="5">
        <v>2</v>
      </c>
      <c r="G11" s="23">
        <v>70</v>
      </c>
      <c r="H11" s="33">
        <v>0</v>
      </c>
      <c r="I11" s="23">
        <v>18.517615997620094</v>
      </c>
      <c r="J11" s="5">
        <v>1665.817552494771</v>
      </c>
      <c r="K11" s="31"/>
      <c r="L11" s="23">
        <v>45957.935857349847</v>
      </c>
      <c r="M11" s="33">
        <v>3.8110000001324813E-2</v>
      </c>
      <c r="N11" s="5">
        <v>1</v>
      </c>
      <c r="O11" s="5">
        <v>30</v>
      </c>
      <c r="P11" s="33">
        <v>0</v>
      </c>
      <c r="Q11" s="5">
        <v>9.8408073921392507</v>
      </c>
      <c r="R11" s="5">
        <v>713.97668991315413</v>
      </c>
      <c r="S11" s="31"/>
      <c r="T11" s="23">
        <v>45174.863058173607</v>
      </c>
      <c r="U11" s="33">
        <v>5.4771834002167452E-2</v>
      </c>
      <c r="V11" s="5">
        <v>1</v>
      </c>
      <c r="W11" s="5">
        <v>30</v>
      </c>
      <c r="X11" s="33">
        <v>0</v>
      </c>
      <c r="Y11" s="5">
        <v>22.710204613274641</v>
      </c>
      <c r="Z11" s="5">
        <v>899.22188216951008</v>
      </c>
      <c r="AA11" s="35"/>
    </row>
    <row r="12" spans="2:27" x14ac:dyDescent="0.2">
      <c r="B12" s="4">
        <v>9</v>
      </c>
      <c r="C12" s="4">
        <v>747</v>
      </c>
      <c r="D12" s="23">
        <v>43172.017423410143</v>
      </c>
      <c r="E12" s="33">
        <v>3.6986875000366133E-2</v>
      </c>
      <c r="F12" s="5">
        <v>2</v>
      </c>
      <c r="G12" s="23">
        <v>70</v>
      </c>
      <c r="H12" s="33">
        <v>83.953822364621118</v>
      </c>
      <c r="I12" s="23">
        <v>19.057695811596972</v>
      </c>
      <c r="J12" s="5">
        <v>1705.1637063409248</v>
      </c>
      <c r="K12" s="31"/>
      <c r="L12" s="23">
        <v>45957.935857349847</v>
      </c>
      <c r="M12" s="33">
        <v>3.5088750002614688E-2</v>
      </c>
      <c r="N12" s="5">
        <v>1</v>
      </c>
      <c r="O12" s="5">
        <v>30</v>
      </c>
      <c r="P12" s="33">
        <v>0</v>
      </c>
      <c r="Q12" s="5">
        <v>9.8408073921392507</v>
      </c>
      <c r="R12" s="5">
        <v>713.97668991315413</v>
      </c>
      <c r="S12" s="31"/>
      <c r="T12" s="23">
        <v>45174.863058173607</v>
      </c>
      <c r="U12" s="33">
        <v>4.5997791999980109E-2</v>
      </c>
      <c r="V12" s="5">
        <v>1</v>
      </c>
      <c r="W12" s="5">
        <v>30</v>
      </c>
      <c r="X12" s="33">
        <v>0</v>
      </c>
      <c r="Y12" s="5">
        <v>22.710204613274641</v>
      </c>
      <c r="Z12" s="5">
        <v>899.22188216951008</v>
      </c>
      <c r="AA12" s="35"/>
    </row>
    <row r="13" spans="2:27" x14ac:dyDescent="0.2">
      <c r="B13" s="4">
        <v>10</v>
      </c>
      <c r="C13" s="4">
        <v>816</v>
      </c>
      <c r="D13" s="23">
        <v>43015.711356500608</v>
      </c>
      <c r="E13" s="33">
        <v>3.984745900015696E-2</v>
      </c>
      <c r="F13" s="5">
        <v>2</v>
      </c>
      <c r="G13" s="23">
        <v>70</v>
      </c>
      <c r="H13" s="33">
        <v>0</v>
      </c>
      <c r="I13" s="23">
        <v>18.517615997620094</v>
      </c>
      <c r="J13" s="5">
        <v>1665.817552494771</v>
      </c>
      <c r="K13" s="31"/>
      <c r="L13" s="23">
        <v>45957.935857349847</v>
      </c>
      <c r="M13" s="33">
        <v>4.4910041000548517E-2</v>
      </c>
      <c r="N13" s="5">
        <v>1</v>
      </c>
      <c r="O13" s="5">
        <v>30</v>
      </c>
      <c r="P13" s="33">
        <v>0</v>
      </c>
      <c r="Q13" s="5">
        <v>9.8408073921392507</v>
      </c>
      <c r="R13" s="5">
        <v>713.97668991315413</v>
      </c>
      <c r="S13" s="31"/>
      <c r="T13" s="23">
        <v>45174.863058173607</v>
      </c>
      <c r="U13" s="33">
        <v>3.9175292000436457E-2</v>
      </c>
      <c r="V13" s="5">
        <v>1</v>
      </c>
      <c r="W13" s="5">
        <v>30</v>
      </c>
      <c r="X13" s="33">
        <v>0</v>
      </c>
      <c r="Y13" s="5">
        <v>22.710204613274641</v>
      </c>
      <c r="Z13" s="5">
        <v>899.22188216951008</v>
      </c>
      <c r="AA13" s="35"/>
    </row>
    <row r="14" spans="2:27" x14ac:dyDescent="0.2">
      <c r="B14" s="46" t="s">
        <v>3</v>
      </c>
      <c r="C14" s="47"/>
      <c r="D14" s="9">
        <f>MIN(D4:D13)</f>
        <v>43015.711356500608</v>
      </c>
      <c r="E14" s="22">
        <f>INDEX(E4:E13, MATCH($D$14, D4:D13, 0))</f>
        <v>4.9560958000256512E-2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18.517615997620094</v>
      </c>
      <c r="J14" s="22">
        <f>INDEX(J4:J13, MATCH($D$14, D4:D13, 0))</f>
        <v>1665.817552494771</v>
      </c>
      <c r="K14" s="32">
        <f>(D14-$D$15)/$D$15</f>
        <v>0</v>
      </c>
      <c r="L14" s="16">
        <f>MIN(L4:L13)</f>
        <v>45957.935857349847</v>
      </c>
      <c r="M14" s="21">
        <f>INDEX(M4:M13, MATCH($L$14, L4:L13, 0))</f>
        <v>5.2661958001408493E-2</v>
      </c>
      <c r="N14" s="16">
        <f>INDEX(N4:N13, MATCH($L$14, L4:L13, 0))</f>
        <v>1</v>
      </c>
      <c r="O14" s="16">
        <f>INDEX(O4:O13, MATCH($L$14, L4:L13, 0))</f>
        <v>30</v>
      </c>
      <c r="P14" s="21">
        <f>INDEX(P4:P13, MATCH($L$14, L4:L13, 0))</f>
        <v>0</v>
      </c>
      <c r="Q14" s="21">
        <f>INDEX(Q4:Q13, MATCH($L$14, L4:L13, 0))</f>
        <v>9.8408073921392507</v>
      </c>
      <c r="R14" s="21">
        <f>INDEX(R4:R13, MATCH($L$14, L4:L13, 0))</f>
        <v>713.97668991315413</v>
      </c>
      <c r="S14" s="36">
        <f>(L14-$D$15)/$D$15</f>
        <v>6.8398834008927878E-2</v>
      </c>
      <c r="T14" s="38">
        <f>MIN(T4:T13)</f>
        <v>45174.863058173607</v>
      </c>
      <c r="U14" s="39">
        <f>INDEX(U4:U13, MATCH($T$14, T4:T13, 0))</f>
        <v>4.8384165998868411E-2</v>
      </c>
      <c r="V14" s="38">
        <f>INDEX(V4:V13, MATCH($T$14, T4:T13, 0))</f>
        <v>1</v>
      </c>
      <c r="W14" s="38">
        <f>INDEX(W4:W13, MATCH($T$14, T4:T13, 0))</f>
        <v>30</v>
      </c>
      <c r="X14" s="39">
        <f>INDEX(X4:X13, MATCH($T$14, T4:T13, 0))</f>
        <v>0</v>
      </c>
      <c r="Y14" s="39">
        <f>INDEX(Y4:Y13, MATCH($T$14, T4:T13, 0))</f>
        <v>22.710204613274641</v>
      </c>
      <c r="Z14" s="39">
        <f>INDEX(Z4:Z13, MATCH($T$14, T4:T13, 0))</f>
        <v>899.22188216951008</v>
      </c>
      <c r="AA14" s="40">
        <f>(T14-$D$15)/$D$15</f>
        <v>5.0194490189378327E-2</v>
      </c>
    </row>
    <row r="15" spans="2:27" x14ac:dyDescent="0.2">
      <c r="C15" s="1" t="s">
        <v>17</v>
      </c>
      <c r="D15" s="34">
        <v>43015.711356500608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77" priority="7"/>
    <cfRule type="duplicateValues" dxfId="76" priority="8"/>
  </conditionalFormatting>
  <conditionalFormatting sqref="C14">
    <cfRule type="duplicateValues" dxfId="75" priority="1"/>
    <cfRule type="duplicateValues" dxfId="74" priority="2"/>
  </conditionalFormatting>
  <conditionalFormatting sqref="C17">
    <cfRule type="duplicateValues" dxfId="73" priority="3"/>
    <cfRule type="duplicateValues" dxfId="72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9B96-1A9A-1247-A9D4-A8FAFEEA4797}">
  <dimension ref="B1:AA17"/>
  <sheetViews>
    <sheetView zoomScale="110" zoomScaleNormal="110" workbookViewId="0">
      <selection activeCell="Q16" sqref="A16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-0.99957029485785176</v>
      </c>
      <c r="K2" s="28"/>
      <c r="L2" s="1" t="s">
        <v>19</v>
      </c>
      <c r="P2" s="1" t="e">
        <f>(P14-H14)/H14</f>
        <v>#DIV/0!</v>
      </c>
      <c r="R2" s="1">
        <f>(R14-J14)/J14</f>
        <v>-0.15307483294667795</v>
      </c>
      <c r="T2" s="1" t="s">
        <v>20</v>
      </c>
      <c r="X2" s="1" t="e">
        <f>(X14-P14)/P14</f>
        <v>#DIV/0!</v>
      </c>
      <c r="Z2" s="1">
        <f>(Z14-R14)/R14</f>
        <v>0.65321488980973696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28</v>
      </c>
      <c r="D4" s="23">
        <v>28023.27799854114</v>
      </c>
      <c r="E4" s="33">
        <v>5.2767000000130793E-2</v>
      </c>
      <c r="F4" s="5">
        <v>2</v>
      </c>
      <c r="G4" s="23">
        <v>90</v>
      </c>
      <c r="H4" s="33">
        <v>0</v>
      </c>
      <c r="I4" s="23">
        <v>18.485165793783889</v>
      </c>
      <c r="J4" s="5">
        <v>726.17732182822704</v>
      </c>
      <c r="K4" s="31"/>
      <c r="L4" s="23">
        <v>36767.721337115232</v>
      </c>
      <c r="M4" s="33">
        <v>5.7133709000481758E-2</v>
      </c>
      <c r="N4" s="5">
        <v>2</v>
      </c>
      <c r="O4" s="5">
        <v>70</v>
      </c>
      <c r="P4" s="33">
        <v>0</v>
      </c>
      <c r="Q4" s="5">
        <v>12.637762341747639</v>
      </c>
      <c r="R4" s="5">
        <v>615.01784959970519</v>
      </c>
      <c r="S4" s="31"/>
      <c r="T4" s="23">
        <v>27218.814521760862</v>
      </c>
      <c r="U4" s="33">
        <v>4.9708750000718283E-2</v>
      </c>
      <c r="V4" s="5">
        <v>2</v>
      </c>
      <c r="W4" s="5">
        <v>90</v>
      </c>
      <c r="X4" s="33">
        <v>0</v>
      </c>
      <c r="Y4" s="5">
        <v>35.895690918764863</v>
      </c>
      <c r="Z4" s="5">
        <v>1016.756666456998</v>
      </c>
      <c r="AA4" s="35"/>
    </row>
    <row r="5" spans="2:27" x14ac:dyDescent="0.2">
      <c r="B5" s="4">
        <v>2</v>
      </c>
      <c r="C5" s="4">
        <v>109</v>
      </c>
      <c r="D5" s="23">
        <v>28023.27799854114</v>
      </c>
      <c r="E5" s="33">
        <v>5.6751292000171823E-2</v>
      </c>
      <c r="F5" s="5">
        <v>2</v>
      </c>
      <c r="G5" s="23">
        <v>90</v>
      </c>
      <c r="H5" s="33">
        <v>0</v>
      </c>
      <c r="I5" s="23">
        <v>18.485165793783889</v>
      </c>
      <c r="J5" s="5">
        <v>726.17732182822704</v>
      </c>
      <c r="K5" s="31"/>
      <c r="L5" s="23">
        <v>36863.418351542343</v>
      </c>
      <c r="M5" s="33">
        <v>4.5405749999190448E-2</v>
      </c>
      <c r="N5" s="5">
        <v>2</v>
      </c>
      <c r="O5" s="5">
        <v>70</v>
      </c>
      <c r="P5" s="33">
        <v>0</v>
      </c>
      <c r="Q5" s="5">
        <v>13.220622492915243</v>
      </c>
      <c r="R5" s="5">
        <v>623.94260423438357</v>
      </c>
      <c r="S5" s="31"/>
      <c r="T5" s="23">
        <v>27218.814521760862</v>
      </c>
      <c r="U5" s="33">
        <v>5.848725000032573E-2</v>
      </c>
      <c r="V5" s="5">
        <v>2</v>
      </c>
      <c r="W5" s="5">
        <v>90</v>
      </c>
      <c r="X5" s="33">
        <v>0</v>
      </c>
      <c r="Y5" s="5">
        <v>35.895690918764863</v>
      </c>
      <c r="Z5" s="5">
        <v>1016.756666456998</v>
      </c>
      <c r="AA5" s="35"/>
    </row>
    <row r="6" spans="2:27" x14ac:dyDescent="0.2">
      <c r="B6" s="4">
        <v>3</v>
      </c>
      <c r="C6" s="4">
        <v>351</v>
      </c>
      <c r="D6" s="23">
        <v>28023.27799854114</v>
      </c>
      <c r="E6" s="33">
        <v>7.899287500003993E-2</v>
      </c>
      <c r="F6" s="5">
        <v>2</v>
      </c>
      <c r="G6" s="23">
        <v>90</v>
      </c>
      <c r="H6" s="33">
        <v>0</v>
      </c>
      <c r="I6" s="23">
        <v>18.485165793783889</v>
      </c>
      <c r="J6" s="5">
        <v>726.17732182822704</v>
      </c>
      <c r="K6" s="31"/>
      <c r="L6" s="23">
        <v>36767.721337115232</v>
      </c>
      <c r="M6" s="33">
        <v>9.6186791000945959E-2</v>
      </c>
      <c r="N6" s="5">
        <v>2</v>
      </c>
      <c r="O6" s="5">
        <v>70</v>
      </c>
      <c r="P6" s="33">
        <v>0</v>
      </c>
      <c r="Q6" s="5">
        <v>12.637762341747639</v>
      </c>
      <c r="R6" s="5">
        <v>615.01784959970519</v>
      </c>
      <c r="S6" s="31"/>
      <c r="T6" s="23">
        <v>27218.814521760862</v>
      </c>
      <c r="U6" s="33">
        <v>8.6580625000351574E-2</v>
      </c>
      <c r="V6" s="5">
        <v>2</v>
      </c>
      <c r="W6" s="5">
        <v>90</v>
      </c>
      <c r="X6" s="33">
        <v>0</v>
      </c>
      <c r="Y6" s="5">
        <v>35.895690918764863</v>
      </c>
      <c r="Z6" s="5">
        <v>1016.756666456998</v>
      </c>
      <c r="AA6" s="35"/>
    </row>
    <row r="7" spans="2:27" x14ac:dyDescent="0.2">
      <c r="B7" s="4">
        <v>4</v>
      </c>
      <c r="C7" s="4">
        <v>399</v>
      </c>
      <c r="D7" s="23">
        <v>28023.27799854114</v>
      </c>
      <c r="E7" s="33">
        <v>5.481641699998363E-2</v>
      </c>
      <c r="F7" s="5">
        <v>2</v>
      </c>
      <c r="G7" s="23">
        <v>90</v>
      </c>
      <c r="H7" s="33">
        <v>0</v>
      </c>
      <c r="I7" s="23">
        <v>18.485165793783889</v>
      </c>
      <c r="J7" s="5">
        <v>726.17732182822704</v>
      </c>
      <c r="K7" s="31"/>
      <c r="L7" s="23">
        <v>36767.721337115232</v>
      </c>
      <c r="M7" s="33">
        <v>6.5442749997600913E-2</v>
      </c>
      <c r="N7" s="5">
        <v>2</v>
      </c>
      <c r="O7" s="5">
        <v>70</v>
      </c>
      <c r="P7" s="33">
        <v>0</v>
      </c>
      <c r="Q7" s="5">
        <v>12.637762341747639</v>
      </c>
      <c r="R7" s="5">
        <v>615.01784959970519</v>
      </c>
      <c r="S7" s="31"/>
      <c r="T7" s="23">
        <v>27218.814521760862</v>
      </c>
      <c r="U7" s="33">
        <v>6.2795791000098689E-2</v>
      </c>
      <c r="V7" s="5">
        <v>2</v>
      </c>
      <c r="W7" s="5">
        <v>90</v>
      </c>
      <c r="X7" s="33">
        <v>0</v>
      </c>
      <c r="Y7" s="5">
        <v>35.895690918764863</v>
      </c>
      <c r="Z7" s="5">
        <v>1016.756666456998</v>
      </c>
      <c r="AA7" s="35"/>
    </row>
    <row r="8" spans="2:27" x14ac:dyDescent="0.2">
      <c r="B8" s="4">
        <v>5</v>
      </c>
      <c r="C8" s="4">
        <v>432</v>
      </c>
      <c r="D8" s="23">
        <v>28023.27799854114</v>
      </c>
      <c r="E8" s="33">
        <v>7.2303207999993901E-2</v>
      </c>
      <c r="F8" s="5">
        <v>2</v>
      </c>
      <c r="G8" s="23">
        <v>90</v>
      </c>
      <c r="H8" s="33">
        <v>0</v>
      </c>
      <c r="I8" s="23">
        <v>18.485165793783889</v>
      </c>
      <c r="J8" s="5">
        <v>726.17732182822704</v>
      </c>
      <c r="K8" s="31"/>
      <c r="L8" s="23">
        <v>36767.721337115232</v>
      </c>
      <c r="M8" s="33">
        <v>6.3533917000313522E-2</v>
      </c>
      <c r="N8" s="5">
        <v>2</v>
      </c>
      <c r="O8" s="5">
        <v>70</v>
      </c>
      <c r="P8" s="33">
        <v>0</v>
      </c>
      <c r="Q8" s="5">
        <v>12.637762341747639</v>
      </c>
      <c r="R8" s="5">
        <v>615.01784959970519</v>
      </c>
      <c r="S8" s="31"/>
      <c r="T8" s="23">
        <v>27218.814521760862</v>
      </c>
      <c r="U8" s="33">
        <v>7.5893875000474509E-2</v>
      </c>
      <c r="V8" s="5">
        <v>2</v>
      </c>
      <c r="W8" s="5">
        <v>90</v>
      </c>
      <c r="X8" s="33">
        <v>0</v>
      </c>
      <c r="Y8" s="5">
        <v>35.895690918764863</v>
      </c>
      <c r="Z8" s="5">
        <v>1016.756666456998</v>
      </c>
      <c r="AA8" s="35"/>
    </row>
    <row r="9" spans="2:27" x14ac:dyDescent="0.2">
      <c r="B9" s="4">
        <v>6</v>
      </c>
      <c r="C9" s="4">
        <v>699</v>
      </c>
      <c r="D9" s="23">
        <v>28023.27799854114</v>
      </c>
      <c r="E9" s="33">
        <v>7.021795899981953E-2</v>
      </c>
      <c r="F9" s="5">
        <v>2</v>
      </c>
      <c r="G9" s="23">
        <v>90</v>
      </c>
      <c r="H9" s="33">
        <v>0</v>
      </c>
      <c r="I9" s="23">
        <v>18.485165793783889</v>
      </c>
      <c r="J9" s="5">
        <v>726.17732182822704</v>
      </c>
      <c r="K9" s="31"/>
      <c r="L9" s="23">
        <v>36767.721337115232</v>
      </c>
      <c r="M9" s="33">
        <v>5.2653417002147762E-2</v>
      </c>
      <c r="N9" s="5">
        <v>2</v>
      </c>
      <c r="O9" s="5">
        <v>70</v>
      </c>
      <c r="P9" s="33">
        <v>0</v>
      </c>
      <c r="Q9" s="5">
        <v>12.637762341747639</v>
      </c>
      <c r="R9" s="5">
        <v>615.01784959970519</v>
      </c>
      <c r="S9" s="31"/>
      <c r="T9" s="23">
        <v>27218.814521760862</v>
      </c>
      <c r="U9" s="33">
        <v>7.2521292000601534E-2</v>
      </c>
      <c r="V9" s="5">
        <v>2</v>
      </c>
      <c r="W9" s="5">
        <v>90</v>
      </c>
      <c r="X9" s="33">
        <v>0</v>
      </c>
      <c r="Y9" s="5">
        <v>35.895690918764863</v>
      </c>
      <c r="Z9" s="5">
        <v>1016.756666456998</v>
      </c>
      <c r="AA9" s="35"/>
    </row>
    <row r="10" spans="2:27" x14ac:dyDescent="0.2">
      <c r="B10" s="4">
        <v>7</v>
      </c>
      <c r="C10" s="4">
        <v>708</v>
      </c>
      <c r="D10" s="23">
        <v>28023.27799854114</v>
      </c>
      <c r="E10" s="33">
        <v>7.887437499994121E-2</v>
      </c>
      <c r="F10" s="5">
        <v>2</v>
      </c>
      <c r="G10" s="23">
        <v>90</v>
      </c>
      <c r="H10" s="33">
        <v>0</v>
      </c>
      <c r="I10" s="23">
        <v>18.485165793783889</v>
      </c>
      <c r="J10" s="5">
        <v>726.17732182822704</v>
      </c>
      <c r="K10" s="31"/>
      <c r="L10" s="23">
        <v>36767.721337115232</v>
      </c>
      <c r="M10" s="33">
        <v>3.4715374997176703E-2</v>
      </c>
      <c r="N10" s="5">
        <v>2</v>
      </c>
      <c r="O10" s="5">
        <v>70</v>
      </c>
      <c r="P10" s="33">
        <v>0</v>
      </c>
      <c r="Q10" s="5">
        <v>12.637762341747639</v>
      </c>
      <c r="R10" s="5">
        <v>615.01784959970519</v>
      </c>
      <c r="S10" s="31"/>
      <c r="T10" s="23">
        <v>27218.814521760862</v>
      </c>
      <c r="U10" s="33">
        <v>7.6063917000283254E-2</v>
      </c>
      <c r="V10" s="5">
        <v>2</v>
      </c>
      <c r="W10" s="5">
        <v>90</v>
      </c>
      <c r="X10" s="33">
        <v>0</v>
      </c>
      <c r="Y10" s="5">
        <v>35.895690918764863</v>
      </c>
      <c r="Z10" s="5">
        <v>1016.756666456998</v>
      </c>
      <c r="AA10" s="35"/>
    </row>
    <row r="11" spans="2:27" x14ac:dyDescent="0.2">
      <c r="B11" s="4">
        <v>8</v>
      </c>
      <c r="C11" s="4">
        <v>849</v>
      </c>
      <c r="D11" s="23">
        <v>28023.27799854114</v>
      </c>
      <c r="E11" s="33">
        <v>4.6466208999845549E-2</v>
      </c>
      <c r="F11" s="5">
        <v>2</v>
      </c>
      <c r="G11" s="23">
        <v>90</v>
      </c>
      <c r="H11" s="33">
        <v>0</v>
      </c>
      <c r="I11" s="23">
        <v>18.485165793783889</v>
      </c>
      <c r="J11" s="5">
        <v>726.17732182822704</v>
      </c>
      <c r="K11" s="31"/>
      <c r="L11" s="23">
        <v>36767.721337115232</v>
      </c>
      <c r="M11" s="33">
        <v>4.8606083000777289E-2</v>
      </c>
      <c r="N11" s="5">
        <v>2</v>
      </c>
      <c r="O11" s="5">
        <v>70</v>
      </c>
      <c r="P11" s="33">
        <v>0</v>
      </c>
      <c r="Q11" s="5">
        <v>12.637762341747639</v>
      </c>
      <c r="R11" s="5">
        <v>615.01784959970519</v>
      </c>
      <c r="S11" s="31"/>
      <c r="T11" s="23">
        <v>27218.814521760862</v>
      </c>
      <c r="U11" s="33">
        <v>3.6822207999648533E-2</v>
      </c>
      <c r="V11" s="5">
        <v>2</v>
      </c>
      <c r="W11" s="5">
        <v>90</v>
      </c>
      <c r="X11" s="33">
        <v>0</v>
      </c>
      <c r="Y11" s="5">
        <v>35.895690918764863</v>
      </c>
      <c r="Z11" s="5">
        <v>1016.756666456998</v>
      </c>
      <c r="AA11" s="35"/>
    </row>
    <row r="12" spans="2:27" x14ac:dyDescent="0.2">
      <c r="B12" s="4">
        <v>9</v>
      </c>
      <c r="C12" s="4">
        <v>875</v>
      </c>
      <c r="D12" s="23">
        <v>28023.27799854114</v>
      </c>
      <c r="E12" s="33">
        <v>6.3244666000173311E-2</v>
      </c>
      <c r="F12" s="5">
        <v>2</v>
      </c>
      <c r="G12" s="23">
        <v>90</v>
      </c>
      <c r="H12" s="33">
        <v>0</v>
      </c>
      <c r="I12" s="23">
        <v>18.485165793783889</v>
      </c>
      <c r="J12" s="5">
        <v>726.17732182822704</v>
      </c>
      <c r="K12" s="31"/>
      <c r="L12" s="23">
        <v>36767.721337115232</v>
      </c>
      <c r="M12" s="33">
        <v>6.7669125000975328E-2</v>
      </c>
      <c r="N12" s="5">
        <v>2</v>
      </c>
      <c r="O12" s="5">
        <v>70</v>
      </c>
      <c r="P12" s="33">
        <v>0</v>
      </c>
      <c r="Q12" s="5">
        <v>12.637762341747639</v>
      </c>
      <c r="R12" s="5">
        <v>615.01784959970519</v>
      </c>
      <c r="S12" s="31"/>
      <c r="T12" s="23">
        <v>27218.814521760862</v>
      </c>
      <c r="U12" s="33">
        <v>5.1671625002200017E-2</v>
      </c>
      <c r="V12" s="5">
        <v>2</v>
      </c>
      <c r="W12" s="5">
        <v>90</v>
      </c>
      <c r="X12" s="33">
        <v>0</v>
      </c>
      <c r="Y12" s="5">
        <v>35.895690918764863</v>
      </c>
      <c r="Z12" s="5">
        <v>1016.756666456998</v>
      </c>
      <c r="AA12" s="35"/>
    </row>
    <row r="13" spans="2:27" x14ac:dyDescent="0.2">
      <c r="B13" s="4">
        <v>10</v>
      </c>
      <c r="C13" s="4">
        <v>905</v>
      </c>
      <c r="D13" s="23">
        <v>28023.27799854114</v>
      </c>
      <c r="E13" s="33">
        <v>6.3608166999983951E-2</v>
      </c>
      <c r="F13" s="5">
        <v>2</v>
      </c>
      <c r="G13" s="23">
        <v>90</v>
      </c>
      <c r="H13" s="33">
        <v>0</v>
      </c>
      <c r="I13" s="23">
        <v>18.485165793783889</v>
      </c>
      <c r="J13" s="5">
        <v>726.17732182822704</v>
      </c>
      <c r="K13" s="31"/>
      <c r="L13" s="23">
        <v>36767.721337115232</v>
      </c>
      <c r="M13" s="33">
        <v>6.177570799991372E-2</v>
      </c>
      <c r="N13" s="5">
        <v>2</v>
      </c>
      <c r="O13" s="5">
        <v>70</v>
      </c>
      <c r="P13" s="33">
        <v>0</v>
      </c>
      <c r="Q13" s="5">
        <v>12.637762341747639</v>
      </c>
      <c r="R13" s="5">
        <v>615.01784959970519</v>
      </c>
      <c r="S13" s="31"/>
      <c r="T13" s="23">
        <v>27218.814521760862</v>
      </c>
      <c r="U13" s="33">
        <v>7.1426915998017648E-2</v>
      </c>
      <c r="V13" s="5">
        <v>2</v>
      </c>
      <c r="W13" s="5">
        <v>90</v>
      </c>
      <c r="X13" s="33">
        <v>0</v>
      </c>
      <c r="Y13" s="5">
        <v>35.895690918764863</v>
      </c>
      <c r="Z13" s="5">
        <v>1016.756666456998</v>
      </c>
      <c r="AA13" s="35"/>
    </row>
    <row r="14" spans="2:27" x14ac:dyDescent="0.2">
      <c r="B14" s="46" t="s">
        <v>3</v>
      </c>
      <c r="C14" s="47"/>
      <c r="D14" s="9">
        <f>MIN(D4:D13)</f>
        <v>28023.27799854114</v>
      </c>
      <c r="E14" s="22">
        <f>INDEX(E4:E13, MATCH($D$14, D4:D13, 0))</f>
        <v>5.2767000000130793E-2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18.485165793783889</v>
      </c>
      <c r="J14" s="22">
        <f>INDEX(J4:J13, MATCH($D$14, D4:D13, 0))</f>
        <v>726.17732182822704</v>
      </c>
      <c r="K14" s="32">
        <f>(D14-$D$15)/$D$15</f>
        <v>-5.2058813586127709E-11</v>
      </c>
      <c r="L14" s="16">
        <f>MIN(L4:L13)</f>
        <v>36767.721337115232</v>
      </c>
      <c r="M14" s="21">
        <f>INDEX(M4:M13, MATCH($L$14, L4:L13, 0))</f>
        <v>5.7133709000481758E-2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12.637762341747639</v>
      </c>
      <c r="R14" s="21">
        <f>INDEX(R4:R13, MATCH($L$14, L4:L13, 0))</f>
        <v>615.01784959970519</v>
      </c>
      <c r="S14" s="36">
        <f>(L14-$D$15)/$D$15</f>
        <v>0.31204212930104874</v>
      </c>
      <c r="T14" s="38">
        <f>MIN(T4:T13)</f>
        <v>27218.814521760862</v>
      </c>
      <c r="U14" s="39">
        <f>INDEX(U4:U13, MATCH($T$14, T4:T13, 0))</f>
        <v>4.9708750000718283E-2</v>
      </c>
      <c r="V14" s="38">
        <f>INDEX(V4:V13, MATCH($T$14, T4:T13, 0))</f>
        <v>2</v>
      </c>
      <c r="W14" s="38">
        <f>INDEX(W4:W13, MATCH($T$14, T4:T13, 0))</f>
        <v>90</v>
      </c>
      <c r="X14" s="39">
        <f>INDEX(X4:X13, MATCH($T$14, T4:T13, 0))</f>
        <v>0</v>
      </c>
      <c r="Y14" s="39">
        <f>INDEX(Y4:Y13, MATCH($T$14, T4:T13, 0))</f>
        <v>35.895690918764863</v>
      </c>
      <c r="Z14" s="39">
        <f>INDEX(Z4:Z13, MATCH($T$14, T4:T13, 0))</f>
        <v>1016.756666456998</v>
      </c>
      <c r="AA14" s="40">
        <f>(T14-$D$15)/$D$15</f>
        <v>-2.8706972761685368E-2</v>
      </c>
    </row>
    <row r="15" spans="2:27" x14ac:dyDescent="0.2">
      <c r="C15" s="1" t="s">
        <v>17</v>
      </c>
      <c r="D15" s="34">
        <v>28023.277999999998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71" priority="7"/>
    <cfRule type="duplicateValues" dxfId="70" priority="8"/>
  </conditionalFormatting>
  <conditionalFormatting sqref="C14">
    <cfRule type="duplicateValues" dxfId="69" priority="1"/>
    <cfRule type="duplicateValues" dxfId="68" priority="2"/>
  </conditionalFormatting>
  <conditionalFormatting sqref="C17">
    <cfRule type="duplicateValues" dxfId="67" priority="3"/>
    <cfRule type="duplicateValues" dxfId="66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ED97-A32E-A545-917D-A0FB22F4A286}">
  <dimension ref="B1:AA17"/>
  <sheetViews>
    <sheetView zoomScale="110" zoomScaleNormal="110" workbookViewId="0">
      <selection activeCell="A17" sqref="A17:XFD3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-0.99975422516811197</v>
      </c>
      <c r="K2" s="28"/>
      <c r="L2" s="1" t="s">
        <v>19</v>
      </c>
      <c r="P2" s="1" t="e">
        <f>(P14-H14)/H14</f>
        <v>#DIV/0!</v>
      </c>
      <c r="R2" s="1">
        <f>(R14-J14)/J14</f>
        <v>-0.18594585120523804</v>
      </c>
      <c r="T2" s="1" t="s">
        <v>20</v>
      </c>
      <c r="X2" s="1" t="e">
        <f>(X14-P14)/P14</f>
        <v>#DIV/0!</v>
      </c>
      <c r="Z2" s="1">
        <f>(Z14-R14)/R14</f>
        <v>0.78836351777380853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108</v>
      </c>
      <c r="D4" s="23">
        <v>33830.49398280718</v>
      </c>
      <c r="E4" s="33">
        <v>4.6791333999863127E-2</v>
      </c>
      <c r="F4" s="5">
        <v>1</v>
      </c>
      <c r="G4" s="23">
        <v>60</v>
      </c>
      <c r="H4" s="33">
        <v>0</v>
      </c>
      <c r="I4" s="23">
        <v>24.570896699690788</v>
      </c>
      <c r="J4" s="5">
        <v>957.01425460825919</v>
      </c>
      <c r="K4" s="31"/>
      <c r="L4" s="23">
        <v>41787.765062450468</v>
      </c>
      <c r="M4" s="33">
        <v>3.7502082999708357E-2</v>
      </c>
      <c r="N4" s="5">
        <v>1</v>
      </c>
      <c r="O4" s="5">
        <v>40</v>
      </c>
      <c r="P4" s="33">
        <v>0</v>
      </c>
      <c r="Q4" s="5">
        <v>15.93361519530511</v>
      </c>
      <c r="R4" s="5">
        <v>779.06142441958002</v>
      </c>
      <c r="S4" s="31"/>
      <c r="T4" s="23">
        <v>34426.935828897687</v>
      </c>
      <c r="U4" s="33">
        <v>4.7207584000716452E-2</v>
      </c>
      <c r="V4" s="5">
        <v>1</v>
      </c>
      <c r="W4" s="5">
        <v>60</v>
      </c>
      <c r="X4" s="33">
        <v>0</v>
      </c>
      <c r="Y4" s="5">
        <v>47.266840151595702</v>
      </c>
      <c r="Z4" s="5">
        <v>1393.2450295368742</v>
      </c>
      <c r="AA4" s="35"/>
    </row>
    <row r="5" spans="2:27" x14ac:dyDescent="0.2">
      <c r="B5" s="4">
        <v>2</v>
      </c>
      <c r="C5" s="4">
        <v>261</v>
      </c>
      <c r="D5" s="23">
        <v>33830.49398280718</v>
      </c>
      <c r="E5" s="33">
        <v>6.2933375000284286E-2</v>
      </c>
      <c r="F5" s="5">
        <v>1</v>
      </c>
      <c r="G5" s="23">
        <v>60</v>
      </c>
      <c r="H5" s="33">
        <v>0</v>
      </c>
      <c r="I5" s="23">
        <v>24.570896699690788</v>
      </c>
      <c r="J5" s="5">
        <v>957.01425460825919</v>
      </c>
      <c r="K5" s="31"/>
      <c r="L5" s="23">
        <v>41787.765062450468</v>
      </c>
      <c r="M5" s="33">
        <v>4.3095165998238372E-2</v>
      </c>
      <c r="N5" s="5">
        <v>1</v>
      </c>
      <c r="O5" s="5">
        <v>40</v>
      </c>
      <c r="P5" s="33">
        <v>0</v>
      </c>
      <c r="Q5" s="5">
        <v>15.93361519530511</v>
      </c>
      <c r="R5" s="5">
        <v>779.06142441958002</v>
      </c>
      <c r="S5" s="31"/>
      <c r="T5" s="23">
        <v>35150.453588982527</v>
      </c>
      <c r="U5" s="33">
        <v>5.5567957999301143E-2</v>
      </c>
      <c r="V5" s="5">
        <v>2</v>
      </c>
      <c r="W5" s="5">
        <v>80</v>
      </c>
      <c r="X5" s="33">
        <v>0</v>
      </c>
      <c r="Y5" s="5">
        <v>26.559843325145486</v>
      </c>
      <c r="Z5" s="5">
        <v>1204.5438221470902</v>
      </c>
      <c r="AA5" s="35"/>
    </row>
    <row r="6" spans="2:27" x14ac:dyDescent="0.2">
      <c r="B6" s="4">
        <v>3</v>
      </c>
      <c r="C6" s="4">
        <v>375</v>
      </c>
      <c r="D6" s="23">
        <v>33830.49398280718</v>
      </c>
      <c r="E6" s="33">
        <v>4.8103750000336731E-2</v>
      </c>
      <c r="F6" s="5">
        <v>1</v>
      </c>
      <c r="G6" s="23">
        <v>60</v>
      </c>
      <c r="H6" s="33">
        <v>0</v>
      </c>
      <c r="I6" s="23">
        <v>24.570896699690788</v>
      </c>
      <c r="J6" s="5">
        <v>957.01425460825919</v>
      </c>
      <c r="K6" s="31"/>
      <c r="L6" s="23">
        <v>41787.765062450468</v>
      </c>
      <c r="M6" s="33">
        <v>5.175858299844549E-2</v>
      </c>
      <c r="N6" s="5">
        <v>1</v>
      </c>
      <c r="O6" s="5">
        <v>40</v>
      </c>
      <c r="P6" s="33">
        <v>0</v>
      </c>
      <c r="Q6" s="5">
        <v>15.93361519530511</v>
      </c>
      <c r="R6" s="5">
        <v>779.06142441958002</v>
      </c>
      <c r="S6" s="31"/>
      <c r="T6" s="23">
        <v>34426.935828897687</v>
      </c>
      <c r="U6" s="33">
        <v>4.93939580010192E-2</v>
      </c>
      <c r="V6" s="5">
        <v>1</v>
      </c>
      <c r="W6" s="5">
        <v>60</v>
      </c>
      <c r="X6" s="33">
        <v>0</v>
      </c>
      <c r="Y6" s="5">
        <v>47.266840151595702</v>
      </c>
      <c r="Z6" s="5">
        <v>1393.2450295368742</v>
      </c>
      <c r="AA6" s="35"/>
    </row>
    <row r="7" spans="2:27" x14ac:dyDescent="0.2">
      <c r="B7" s="4">
        <v>4</v>
      </c>
      <c r="C7" s="4">
        <v>434</v>
      </c>
      <c r="D7" s="23">
        <v>33830.49398280718</v>
      </c>
      <c r="E7" s="33">
        <v>7.6218416999836336E-2</v>
      </c>
      <c r="F7" s="5">
        <v>1</v>
      </c>
      <c r="G7" s="23">
        <v>60</v>
      </c>
      <c r="H7" s="33">
        <v>0</v>
      </c>
      <c r="I7" s="23">
        <v>24.570896699690788</v>
      </c>
      <c r="J7" s="5">
        <v>957.01425460825919</v>
      </c>
      <c r="K7" s="31"/>
      <c r="L7" s="23">
        <v>41787.765062450468</v>
      </c>
      <c r="M7" s="33">
        <v>5.6023708999418893E-2</v>
      </c>
      <c r="N7" s="5">
        <v>1</v>
      </c>
      <c r="O7" s="5">
        <v>40</v>
      </c>
      <c r="P7" s="33">
        <v>0</v>
      </c>
      <c r="Q7" s="5">
        <v>15.93361519530511</v>
      </c>
      <c r="R7" s="5">
        <v>779.06142441958002</v>
      </c>
      <c r="S7" s="31"/>
      <c r="T7" s="23">
        <v>34426.935828897687</v>
      </c>
      <c r="U7" s="33">
        <v>7.5977583997882903E-2</v>
      </c>
      <c r="V7" s="5">
        <v>1</v>
      </c>
      <c r="W7" s="5">
        <v>60</v>
      </c>
      <c r="X7" s="33">
        <v>0</v>
      </c>
      <c r="Y7" s="5">
        <v>47.266840151595702</v>
      </c>
      <c r="Z7" s="5">
        <v>1393.2450295368742</v>
      </c>
      <c r="AA7" s="35"/>
    </row>
    <row r="8" spans="2:27" x14ac:dyDescent="0.2">
      <c r="B8" s="4">
        <v>5</v>
      </c>
      <c r="C8" s="4">
        <v>508</v>
      </c>
      <c r="D8" s="23">
        <v>33830.49398280718</v>
      </c>
      <c r="E8" s="33">
        <v>4.1509375000259752E-2</v>
      </c>
      <c r="F8" s="5">
        <v>1</v>
      </c>
      <c r="G8" s="23">
        <v>60</v>
      </c>
      <c r="H8" s="33">
        <v>0</v>
      </c>
      <c r="I8" s="23">
        <v>24.570896699690788</v>
      </c>
      <c r="J8" s="5">
        <v>957.01425460825919</v>
      </c>
      <c r="K8" s="31"/>
      <c r="L8" s="23">
        <v>41791.605824814877</v>
      </c>
      <c r="M8" s="33">
        <v>3.4802124999259831E-2</v>
      </c>
      <c r="N8" s="5">
        <v>1</v>
      </c>
      <c r="O8" s="5">
        <v>40</v>
      </c>
      <c r="P8" s="33">
        <v>0</v>
      </c>
      <c r="Q8" s="5">
        <v>16.472623630129782</v>
      </c>
      <c r="R8" s="5">
        <v>788.7312357403348</v>
      </c>
      <c r="S8" s="31"/>
      <c r="T8" s="23">
        <v>34426.935828897687</v>
      </c>
      <c r="U8" s="33">
        <v>4.1904292000253918E-2</v>
      </c>
      <c r="V8" s="5">
        <v>1</v>
      </c>
      <c r="W8" s="5">
        <v>60</v>
      </c>
      <c r="X8" s="33">
        <v>0</v>
      </c>
      <c r="Y8" s="5">
        <v>47.266840151595702</v>
      </c>
      <c r="Z8" s="5">
        <v>1393.2450295368742</v>
      </c>
      <c r="AA8" s="35"/>
    </row>
    <row r="9" spans="2:27" x14ac:dyDescent="0.2">
      <c r="B9" s="4">
        <v>6</v>
      </c>
      <c r="C9" s="4">
        <v>630</v>
      </c>
      <c r="D9" s="23">
        <v>33830.49398280718</v>
      </c>
      <c r="E9" s="33">
        <v>4.3884167000214802E-2</v>
      </c>
      <c r="F9" s="5">
        <v>1</v>
      </c>
      <c r="G9" s="23">
        <v>60</v>
      </c>
      <c r="H9" s="33">
        <v>0</v>
      </c>
      <c r="I9" s="23">
        <v>24.570896699690788</v>
      </c>
      <c r="J9" s="5">
        <v>957.01425460825919</v>
      </c>
      <c r="K9" s="31"/>
      <c r="L9" s="23">
        <v>41791.605824814877</v>
      </c>
      <c r="M9" s="33">
        <v>4.2844209001486888E-2</v>
      </c>
      <c r="N9" s="5">
        <v>1</v>
      </c>
      <c r="O9" s="5">
        <v>40</v>
      </c>
      <c r="P9" s="33">
        <v>0</v>
      </c>
      <c r="Q9" s="5">
        <v>16.472623630129782</v>
      </c>
      <c r="R9" s="5">
        <v>788.7312357403348</v>
      </c>
      <c r="S9" s="31"/>
      <c r="T9" s="23">
        <v>34426.935828897687</v>
      </c>
      <c r="U9" s="33">
        <v>4.601333300161059E-2</v>
      </c>
      <c r="V9" s="5">
        <v>1</v>
      </c>
      <c r="W9" s="5">
        <v>60</v>
      </c>
      <c r="X9" s="33">
        <v>0</v>
      </c>
      <c r="Y9" s="5">
        <v>47.266840151595702</v>
      </c>
      <c r="Z9" s="5">
        <v>1393.2450295368742</v>
      </c>
      <c r="AA9" s="35"/>
    </row>
    <row r="10" spans="2:27" x14ac:dyDescent="0.2">
      <c r="B10" s="4">
        <v>7</v>
      </c>
      <c r="C10" s="4">
        <v>729</v>
      </c>
      <c r="D10" s="23">
        <v>33830.49398280718</v>
      </c>
      <c r="E10" s="33">
        <v>3.0918665999706722E-2</v>
      </c>
      <c r="F10" s="5">
        <v>1</v>
      </c>
      <c r="G10" s="23">
        <v>60</v>
      </c>
      <c r="H10" s="33">
        <v>0</v>
      </c>
      <c r="I10" s="23">
        <v>24.570896699690788</v>
      </c>
      <c r="J10" s="5">
        <v>957.01425460825919</v>
      </c>
      <c r="K10" s="31"/>
      <c r="L10" s="23">
        <v>41791.605824814877</v>
      </c>
      <c r="M10" s="33">
        <v>5.221170799995889E-2</v>
      </c>
      <c r="N10" s="5">
        <v>1</v>
      </c>
      <c r="O10" s="5">
        <v>40</v>
      </c>
      <c r="P10" s="33">
        <v>0</v>
      </c>
      <c r="Q10" s="5">
        <v>16.472623630129782</v>
      </c>
      <c r="R10" s="5">
        <v>788.7312357403348</v>
      </c>
      <c r="S10" s="31"/>
      <c r="T10" s="23">
        <v>34426.935828897687</v>
      </c>
      <c r="U10" s="33">
        <v>3.3047917000658338E-2</v>
      </c>
      <c r="V10" s="5">
        <v>1</v>
      </c>
      <c r="W10" s="5">
        <v>60</v>
      </c>
      <c r="X10" s="33">
        <v>0</v>
      </c>
      <c r="Y10" s="5">
        <v>47.266840151595702</v>
      </c>
      <c r="Z10" s="5">
        <v>1393.2450295368742</v>
      </c>
      <c r="AA10" s="35"/>
    </row>
    <row r="11" spans="2:27" x14ac:dyDescent="0.2">
      <c r="B11" s="4">
        <v>8</v>
      </c>
      <c r="C11" s="4">
        <v>840</v>
      </c>
      <c r="D11" s="23">
        <v>33830.49398280718</v>
      </c>
      <c r="E11" s="33">
        <v>5.6565458000022772E-2</v>
      </c>
      <c r="F11" s="5">
        <v>1</v>
      </c>
      <c r="G11" s="23">
        <v>60</v>
      </c>
      <c r="H11" s="33">
        <v>0</v>
      </c>
      <c r="I11" s="23">
        <v>24.570896699690788</v>
      </c>
      <c r="J11" s="5">
        <v>957.01425460825919</v>
      </c>
      <c r="K11" s="31"/>
      <c r="L11" s="23">
        <v>41787.765062450468</v>
      </c>
      <c r="M11" s="33">
        <v>5.202787500093109E-2</v>
      </c>
      <c r="N11" s="5">
        <v>1</v>
      </c>
      <c r="O11" s="5">
        <v>40</v>
      </c>
      <c r="P11" s="33">
        <v>0</v>
      </c>
      <c r="Q11" s="5">
        <v>15.93361519530511</v>
      </c>
      <c r="R11" s="5">
        <v>779.06142441958002</v>
      </c>
      <c r="S11" s="31"/>
      <c r="T11" s="23">
        <v>34426.935828897687</v>
      </c>
      <c r="U11" s="33">
        <v>5.9271958998579073E-2</v>
      </c>
      <c r="V11" s="5">
        <v>1</v>
      </c>
      <c r="W11" s="5">
        <v>60</v>
      </c>
      <c r="X11" s="33">
        <v>0</v>
      </c>
      <c r="Y11" s="5">
        <v>47.266840151595702</v>
      </c>
      <c r="Z11" s="5">
        <v>1393.2450295368742</v>
      </c>
      <c r="AA11" s="35"/>
    </row>
    <row r="12" spans="2:27" x14ac:dyDescent="0.2">
      <c r="B12" s="4">
        <v>9</v>
      </c>
      <c r="C12" s="4">
        <v>846</v>
      </c>
      <c r="D12" s="23">
        <v>34628.423696258636</v>
      </c>
      <c r="E12" s="33">
        <v>4.2589707999923121E-2</v>
      </c>
      <c r="F12" s="5">
        <v>2</v>
      </c>
      <c r="G12" s="23">
        <v>80</v>
      </c>
      <c r="H12" s="33">
        <v>0</v>
      </c>
      <c r="I12" s="23">
        <v>14.697758750712135</v>
      </c>
      <c r="J12" s="5">
        <v>873.90603164214644</v>
      </c>
      <c r="K12" s="31"/>
      <c r="L12" s="23">
        <v>42585.694775901917</v>
      </c>
      <c r="M12" s="33">
        <v>3.1743624997034203E-2</v>
      </c>
      <c r="N12" s="5">
        <v>2</v>
      </c>
      <c r="O12" s="5">
        <v>60</v>
      </c>
      <c r="P12" s="33">
        <v>0</v>
      </c>
      <c r="Q12" s="5">
        <v>10.379117998519295</v>
      </c>
      <c r="R12" s="5">
        <v>727.568070527656</v>
      </c>
      <c r="S12" s="31"/>
      <c r="T12" s="23">
        <v>34426.935828897687</v>
      </c>
      <c r="U12" s="33">
        <v>4.9715124998328968E-2</v>
      </c>
      <c r="V12" s="5">
        <v>1</v>
      </c>
      <c r="W12" s="5">
        <v>60</v>
      </c>
      <c r="X12" s="33">
        <v>0</v>
      </c>
      <c r="Y12" s="5">
        <v>47.266840151595702</v>
      </c>
      <c r="Z12" s="5">
        <v>1393.2450295368742</v>
      </c>
      <c r="AA12" s="35"/>
    </row>
    <row r="13" spans="2:27" x14ac:dyDescent="0.2">
      <c r="B13" s="4">
        <v>10</v>
      </c>
      <c r="C13" s="4">
        <v>939</v>
      </c>
      <c r="D13" s="23">
        <v>33830.49398280718</v>
      </c>
      <c r="E13" s="33">
        <v>7.067158300014853E-2</v>
      </c>
      <c r="F13" s="5">
        <v>1</v>
      </c>
      <c r="G13" s="23">
        <v>60</v>
      </c>
      <c r="H13" s="33">
        <v>0</v>
      </c>
      <c r="I13" s="23">
        <v>24.570896699690788</v>
      </c>
      <c r="J13" s="5">
        <v>957.01425460825919</v>
      </c>
      <c r="K13" s="31"/>
      <c r="L13" s="23">
        <v>41904.015384292667</v>
      </c>
      <c r="M13" s="33">
        <v>3.395887500300887E-2</v>
      </c>
      <c r="N13" s="5">
        <v>1</v>
      </c>
      <c r="O13" s="5">
        <v>40</v>
      </c>
      <c r="P13" s="33">
        <v>0</v>
      </c>
      <c r="Q13" s="5">
        <v>12.63383185040281</v>
      </c>
      <c r="R13" s="5">
        <v>719.86331121203284</v>
      </c>
      <c r="S13" s="31"/>
      <c r="T13" s="23">
        <v>34426.935828897687</v>
      </c>
      <c r="U13" s="33">
        <v>6.3620582997828024E-2</v>
      </c>
      <c r="V13" s="5">
        <v>1</v>
      </c>
      <c r="W13" s="5">
        <v>60</v>
      </c>
      <c r="X13" s="33">
        <v>0</v>
      </c>
      <c r="Y13" s="5">
        <v>47.266840151595702</v>
      </c>
      <c r="Z13" s="5">
        <v>1393.2450295368742</v>
      </c>
      <c r="AA13" s="35"/>
    </row>
    <row r="14" spans="2:27" x14ac:dyDescent="0.2">
      <c r="B14" s="46" t="s">
        <v>3</v>
      </c>
      <c r="C14" s="47"/>
      <c r="D14" s="9">
        <f>MIN(D4:D13)</f>
        <v>33830.49398280718</v>
      </c>
      <c r="E14" s="22">
        <f>INDEX(E4:E13, MATCH($D$14, D4:D13, 0))</f>
        <v>4.6791333999863127E-2</v>
      </c>
      <c r="F14" s="9">
        <f>INDEX(F4:F13, MATCH($D$14, D4:D13, 0))</f>
        <v>1</v>
      </c>
      <c r="G14" s="9">
        <f>INDEX(G4:G13, MATCH($D$14, D4:D13, 0))</f>
        <v>60</v>
      </c>
      <c r="H14" s="22">
        <f>INDEX(H4:H13, MATCH($D$14, D4:D13, 0))</f>
        <v>0</v>
      </c>
      <c r="I14" s="22">
        <f>INDEX(I4:I13, MATCH($D$14, D4:D13, 0))</f>
        <v>24.570896699690788</v>
      </c>
      <c r="J14" s="22">
        <f>INDEX(J4:J13, MATCH($D$14, D4:D13, 0))</f>
        <v>957.01425460825919</v>
      </c>
      <c r="K14" s="32">
        <f>(D14-$D$15)/$D$15</f>
        <v>8.2977826588442645E-11</v>
      </c>
      <c r="L14" s="16">
        <f>MIN(L4:L13)</f>
        <v>41787.765062450468</v>
      </c>
      <c r="M14" s="21">
        <f>INDEX(M4:M13, MATCH($L$14, L4:L13, 0))</f>
        <v>3.7502082999708357E-2</v>
      </c>
      <c r="N14" s="16">
        <f>INDEX(N4:N13, MATCH($L$14, L4:L13, 0))</f>
        <v>1</v>
      </c>
      <c r="O14" s="16">
        <f>INDEX(O4:O13, MATCH($L$14, L4:L13, 0))</f>
        <v>40</v>
      </c>
      <c r="P14" s="21">
        <f>INDEX(P4:P13, MATCH($L$14, L4:L13, 0))</f>
        <v>0</v>
      </c>
      <c r="Q14" s="21">
        <f>INDEX(Q4:Q13, MATCH($L$14, L4:L13, 0))</f>
        <v>15.93361519530511</v>
      </c>
      <c r="R14" s="21">
        <f>INDEX(R4:R13, MATCH($L$14, L4:L13, 0))</f>
        <v>779.06142441958002</v>
      </c>
      <c r="S14" s="36">
        <f>(L14-$D$15)/$D$15</f>
        <v>0.23521001754082185</v>
      </c>
      <c r="T14" s="38">
        <f>MIN(T4:T13)</f>
        <v>34426.935828897687</v>
      </c>
      <c r="U14" s="39">
        <f>INDEX(U4:U13, MATCH($T$14, T4:T13, 0))</f>
        <v>4.7207584000716452E-2</v>
      </c>
      <c r="V14" s="38">
        <f>INDEX(V4:V13, MATCH($T$14, T4:T13, 0))</f>
        <v>1</v>
      </c>
      <c r="W14" s="38">
        <f>INDEX(W4:W13, MATCH($T$14, T4:T13, 0))</f>
        <v>60</v>
      </c>
      <c r="X14" s="39">
        <f>INDEX(X4:X13, MATCH($T$14, T4:T13, 0))</f>
        <v>0</v>
      </c>
      <c r="Y14" s="39">
        <f>INDEX(Y4:Y13, MATCH($T$14, T4:T13, 0))</f>
        <v>47.266840151595702</v>
      </c>
      <c r="Z14" s="39">
        <f>INDEX(Z4:Z13, MATCH($T$14, T4:T13, 0))</f>
        <v>1393.2450295368742</v>
      </c>
      <c r="AA14" s="40">
        <f>(T14-$D$15)/$D$15</f>
        <v>1.7630302686395715E-2</v>
      </c>
    </row>
    <row r="15" spans="2:27" x14ac:dyDescent="0.2">
      <c r="C15" s="1" t="s">
        <v>17</v>
      </c>
      <c r="D15" s="34">
        <v>33830.493979999999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65" priority="5"/>
    <cfRule type="duplicateValues" dxfId="64" priority="6"/>
  </conditionalFormatting>
  <conditionalFormatting sqref="C14">
    <cfRule type="duplicateValues" dxfId="63" priority="1"/>
    <cfRule type="duplicateValues" dxfId="62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89B5-6A95-684F-9F9C-44993F205361}">
  <dimension ref="B1:AA17"/>
  <sheetViews>
    <sheetView zoomScale="110" zoomScaleNormal="110" workbookViewId="0">
      <selection activeCell="A17" sqref="A17:XFD32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-0.99988667684404509</v>
      </c>
      <c r="K2" s="28"/>
      <c r="L2" s="1" t="s">
        <v>19</v>
      </c>
      <c r="P2" s="1" t="e">
        <f>(P14-H14)/H14</f>
        <v>#DIV/0!</v>
      </c>
      <c r="R2" s="1">
        <f>(R14-J14)/J14</f>
        <v>9.8477583945036321E-2</v>
      </c>
      <c r="T2" s="1" t="s">
        <v>20</v>
      </c>
      <c r="X2" s="1" t="e">
        <f>(X14-P14)/P14</f>
        <v>#DIV/0!</v>
      </c>
      <c r="Z2" s="1">
        <f>(Z14-R14)/R14</f>
        <v>0.42880597747866955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169</v>
      </c>
      <c r="D4" s="23">
        <v>38957.849387727627</v>
      </c>
      <c r="E4" s="33">
        <v>6.6917624999859981E-2</v>
      </c>
      <c r="F4" s="5">
        <v>2</v>
      </c>
      <c r="G4" s="23">
        <v>70</v>
      </c>
      <c r="H4" s="33">
        <v>0</v>
      </c>
      <c r="I4" s="23">
        <v>21.790435979443572</v>
      </c>
      <c r="J4" s="5">
        <v>1104.4412927221026</v>
      </c>
      <c r="K4" s="31"/>
      <c r="L4" s="23">
        <v>43833.766010291933</v>
      </c>
      <c r="M4" s="33">
        <v>6.015333400137024E-2</v>
      </c>
      <c r="N4" s="5">
        <v>1</v>
      </c>
      <c r="O4" s="5">
        <v>40</v>
      </c>
      <c r="P4" s="33">
        <v>0</v>
      </c>
      <c r="Q4" s="5">
        <v>13.34483041800115</v>
      </c>
      <c r="R4" s="5">
        <v>1213.2040028385079</v>
      </c>
      <c r="S4" s="31"/>
      <c r="T4" s="23">
        <v>39089.510561480078</v>
      </c>
      <c r="U4" s="33">
        <v>6.6169208999781404E-2</v>
      </c>
      <c r="V4" s="5">
        <v>1</v>
      </c>
      <c r="W4" s="5">
        <v>40</v>
      </c>
      <c r="X4" s="33">
        <v>57.108282789177174</v>
      </c>
      <c r="Y4" s="5">
        <v>81.022184680721281</v>
      </c>
      <c r="Z4" s="5">
        <v>1733.4331311567089</v>
      </c>
      <c r="AA4" s="35"/>
    </row>
    <row r="5" spans="2:27" x14ac:dyDescent="0.2">
      <c r="B5" s="4">
        <v>2</v>
      </c>
      <c r="C5" s="4">
        <v>327</v>
      </c>
      <c r="D5" s="23">
        <v>38957.849387727627</v>
      </c>
      <c r="E5" s="33">
        <v>3.7531417000082001E-2</v>
      </c>
      <c r="F5" s="5">
        <v>2</v>
      </c>
      <c r="G5" s="23">
        <v>70</v>
      </c>
      <c r="H5" s="33">
        <v>0</v>
      </c>
      <c r="I5" s="23">
        <v>21.790435979443572</v>
      </c>
      <c r="J5" s="5">
        <v>1104.4412927221026</v>
      </c>
      <c r="K5" s="31"/>
      <c r="L5" s="23">
        <v>43833.766010291933</v>
      </c>
      <c r="M5" s="33">
        <v>3.680295800222666E-2</v>
      </c>
      <c r="N5" s="5">
        <v>1</v>
      </c>
      <c r="O5" s="5">
        <v>40</v>
      </c>
      <c r="P5" s="33">
        <v>0</v>
      </c>
      <c r="Q5" s="5">
        <v>13.34483041800115</v>
      </c>
      <c r="R5" s="5">
        <v>1213.2040028385079</v>
      </c>
      <c r="S5" s="31"/>
      <c r="T5" s="23">
        <v>39089.510561480078</v>
      </c>
      <c r="U5" s="33">
        <v>4.2256665998138487E-2</v>
      </c>
      <c r="V5" s="5">
        <v>1</v>
      </c>
      <c r="W5" s="5">
        <v>40</v>
      </c>
      <c r="X5" s="33">
        <v>57.108282789177174</v>
      </c>
      <c r="Y5" s="5">
        <v>81.022184680721281</v>
      </c>
      <c r="Z5" s="5">
        <v>1733.4331311567089</v>
      </c>
      <c r="AA5" s="35"/>
    </row>
    <row r="6" spans="2:27" x14ac:dyDescent="0.2">
      <c r="B6" s="4">
        <v>3</v>
      </c>
      <c r="C6" s="4">
        <v>387</v>
      </c>
      <c r="D6" s="23">
        <v>41020.798780580219</v>
      </c>
      <c r="E6" s="33">
        <v>6.7912209000041912E-2</v>
      </c>
      <c r="F6" s="5">
        <v>2</v>
      </c>
      <c r="G6" s="23">
        <v>70</v>
      </c>
      <c r="H6" s="33">
        <v>0</v>
      </c>
      <c r="I6" s="23">
        <v>19.764522825901579</v>
      </c>
      <c r="J6" s="5">
        <v>1300.7757757899556</v>
      </c>
      <c r="K6" s="31"/>
      <c r="L6" s="23">
        <v>43833.766010291933</v>
      </c>
      <c r="M6" s="33">
        <v>8.9619082998979138E-2</v>
      </c>
      <c r="N6" s="5">
        <v>1</v>
      </c>
      <c r="O6" s="5">
        <v>40</v>
      </c>
      <c r="P6" s="33">
        <v>0</v>
      </c>
      <c r="Q6" s="5">
        <v>13.34483041800115</v>
      </c>
      <c r="R6" s="5">
        <v>1213.2040028385079</v>
      </c>
      <c r="S6" s="31"/>
      <c r="T6" s="23">
        <v>40102.336645420452</v>
      </c>
      <c r="U6" s="33">
        <v>4.6100125000521068E-2</v>
      </c>
      <c r="V6" s="5">
        <v>2</v>
      </c>
      <c r="W6" s="5">
        <v>70</v>
      </c>
      <c r="X6" s="33">
        <v>86.508643829978794</v>
      </c>
      <c r="Y6" s="5">
        <v>57.288322272409758</v>
      </c>
      <c r="Z6" s="5">
        <v>2145.56051258665</v>
      </c>
      <c r="AA6" s="35"/>
    </row>
    <row r="7" spans="2:27" x14ac:dyDescent="0.2">
      <c r="B7" s="4">
        <v>4</v>
      </c>
      <c r="C7" s="4">
        <v>523</v>
      </c>
      <c r="D7" s="23">
        <v>38957.849387727627</v>
      </c>
      <c r="E7" s="33">
        <v>3.6969415999919868E-2</v>
      </c>
      <c r="F7" s="5">
        <v>2</v>
      </c>
      <c r="G7" s="23">
        <v>70</v>
      </c>
      <c r="H7" s="33">
        <v>0</v>
      </c>
      <c r="I7" s="23">
        <v>21.790435979443572</v>
      </c>
      <c r="J7" s="5">
        <v>1104.4412927221026</v>
      </c>
      <c r="K7" s="31"/>
      <c r="L7" s="23">
        <v>43833.766010291933</v>
      </c>
      <c r="M7" s="33">
        <v>4.6303750001243323E-2</v>
      </c>
      <c r="N7" s="5">
        <v>1</v>
      </c>
      <c r="O7" s="5">
        <v>40</v>
      </c>
      <c r="P7" s="33">
        <v>0</v>
      </c>
      <c r="Q7" s="5">
        <v>13.34483041800115</v>
      </c>
      <c r="R7" s="5">
        <v>1213.2040028385079</v>
      </c>
      <c r="S7" s="31"/>
      <c r="T7" s="23">
        <v>39089.510561480078</v>
      </c>
      <c r="U7" s="33">
        <v>4.2025875001854729E-2</v>
      </c>
      <c r="V7" s="5">
        <v>1</v>
      </c>
      <c r="W7" s="5">
        <v>40</v>
      </c>
      <c r="X7" s="33">
        <v>57.108282789177174</v>
      </c>
      <c r="Y7" s="5">
        <v>81.022184680721281</v>
      </c>
      <c r="Z7" s="5">
        <v>1733.4331311567089</v>
      </c>
      <c r="AA7" s="35"/>
    </row>
    <row r="8" spans="2:27" x14ac:dyDescent="0.2">
      <c r="B8" s="4">
        <v>5</v>
      </c>
      <c r="C8" s="4">
        <v>787</v>
      </c>
      <c r="D8" s="23">
        <v>38957.849387727627</v>
      </c>
      <c r="E8" s="33">
        <v>4.3351542000436893E-2</v>
      </c>
      <c r="F8" s="5">
        <v>2</v>
      </c>
      <c r="G8" s="23">
        <v>70</v>
      </c>
      <c r="H8" s="33">
        <v>0</v>
      </c>
      <c r="I8" s="23">
        <v>21.790435979443572</v>
      </c>
      <c r="J8" s="5">
        <v>1104.4412927221026</v>
      </c>
      <c r="K8" s="31"/>
      <c r="L8" s="23">
        <v>43833.766010291933</v>
      </c>
      <c r="M8" s="33">
        <v>2.8232750002644021E-2</v>
      </c>
      <c r="N8" s="5">
        <v>1</v>
      </c>
      <c r="O8" s="5">
        <v>40</v>
      </c>
      <c r="P8" s="33">
        <v>0</v>
      </c>
      <c r="Q8" s="5">
        <v>13.34483041800115</v>
      </c>
      <c r="R8" s="5">
        <v>1213.2040028385079</v>
      </c>
      <c r="S8" s="31"/>
      <c r="T8" s="23">
        <v>39613.821521860948</v>
      </c>
      <c r="U8" s="33">
        <v>3.9099542002077207E-2</v>
      </c>
      <c r="V8" s="5">
        <v>1</v>
      </c>
      <c r="W8" s="5">
        <v>40</v>
      </c>
      <c r="X8" s="33">
        <v>0</v>
      </c>
      <c r="Y8" s="5">
        <v>64.70907222213846</v>
      </c>
      <c r="Z8" s="5">
        <v>1498.701661102165</v>
      </c>
      <c r="AA8" s="35"/>
    </row>
    <row r="9" spans="2:27" x14ac:dyDescent="0.2">
      <c r="B9" s="4">
        <v>6</v>
      </c>
      <c r="C9" s="4">
        <v>793</v>
      </c>
      <c r="D9" s="23">
        <v>38957.849387727627</v>
      </c>
      <c r="E9" s="33">
        <v>3.5376958000142622E-2</v>
      </c>
      <c r="F9" s="5">
        <v>2</v>
      </c>
      <c r="G9" s="23">
        <v>70</v>
      </c>
      <c r="H9" s="33">
        <v>0</v>
      </c>
      <c r="I9" s="23">
        <v>21.790435979443572</v>
      </c>
      <c r="J9" s="5">
        <v>1104.4412927221026</v>
      </c>
      <c r="K9" s="31"/>
      <c r="L9" s="23">
        <v>43833.766010291933</v>
      </c>
      <c r="M9" s="33">
        <v>3.7826208001206403E-2</v>
      </c>
      <c r="N9" s="5">
        <v>1</v>
      </c>
      <c r="O9" s="5">
        <v>40</v>
      </c>
      <c r="P9" s="33">
        <v>0</v>
      </c>
      <c r="Q9" s="5">
        <v>13.34483041800115</v>
      </c>
      <c r="R9" s="5">
        <v>1213.2040028385079</v>
      </c>
      <c r="S9" s="31"/>
      <c r="T9" s="23">
        <v>39089.510561480078</v>
      </c>
      <c r="U9" s="33">
        <v>3.3288958002231077E-2</v>
      </c>
      <c r="V9" s="5">
        <v>1</v>
      </c>
      <c r="W9" s="5">
        <v>40</v>
      </c>
      <c r="X9" s="33">
        <v>57.108282789177174</v>
      </c>
      <c r="Y9" s="5">
        <v>81.022184680721281</v>
      </c>
      <c r="Z9" s="5">
        <v>1733.4331311567089</v>
      </c>
      <c r="AA9" s="35"/>
    </row>
    <row r="10" spans="2:27" x14ac:dyDescent="0.2">
      <c r="B10" s="4">
        <v>7</v>
      </c>
      <c r="C10" s="4">
        <v>802</v>
      </c>
      <c r="D10" s="23">
        <v>38957.849387727627</v>
      </c>
      <c r="E10" s="33">
        <v>6.4746250000098371E-2</v>
      </c>
      <c r="F10" s="5">
        <v>2</v>
      </c>
      <c r="G10" s="23">
        <v>70</v>
      </c>
      <c r="H10" s="33">
        <v>0</v>
      </c>
      <c r="I10" s="23">
        <v>21.790435979443572</v>
      </c>
      <c r="J10" s="5">
        <v>1104.4412927221026</v>
      </c>
      <c r="K10" s="31"/>
      <c r="L10" s="23">
        <v>43833.766010291933</v>
      </c>
      <c r="M10" s="33">
        <v>5.8098208999581402E-2</v>
      </c>
      <c r="N10" s="5">
        <v>1</v>
      </c>
      <c r="O10" s="5">
        <v>40</v>
      </c>
      <c r="P10" s="33">
        <v>0</v>
      </c>
      <c r="Q10" s="5">
        <v>13.34483041800115</v>
      </c>
      <c r="R10" s="5">
        <v>1213.2040028385079</v>
      </c>
      <c r="S10" s="31"/>
      <c r="T10" s="23">
        <v>39089.510561480078</v>
      </c>
      <c r="U10" s="33">
        <v>8.7100000000646105E-2</v>
      </c>
      <c r="V10" s="5">
        <v>1</v>
      </c>
      <c r="W10" s="5">
        <v>40</v>
      </c>
      <c r="X10" s="33">
        <v>57.108282789177174</v>
      </c>
      <c r="Y10" s="5">
        <v>81.022184680721281</v>
      </c>
      <c r="Z10" s="5">
        <v>1733.4331311567089</v>
      </c>
      <c r="AA10" s="35"/>
    </row>
    <row r="11" spans="2:27" x14ac:dyDescent="0.2">
      <c r="B11" s="4">
        <v>8</v>
      </c>
      <c r="C11" s="4">
        <v>832</v>
      </c>
      <c r="D11" s="23">
        <v>38957.849387727627</v>
      </c>
      <c r="E11" s="33">
        <v>3.6642292000124137E-2</v>
      </c>
      <c r="F11" s="5">
        <v>2</v>
      </c>
      <c r="G11" s="23">
        <v>70</v>
      </c>
      <c r="H11" s="33">
        <v>0</v>
      </c>
      <c r="I11" s="23">
        <v>21.790435979443572</v>
      </c>
      <c r="J11" s="5">
        <v>1104.4412927221026</v>
      </c>
      <c r="K11" s="31"/>
      <c r="L11" s="23">
        <v>43833.766010291933</v>
      </c>
      <c r="M11" s="33">
        <v>3.3869209000840783E-2</v>
      </c>
      <c r="N11" s="5">
        <v>1</v>
      </c>
      <c r="O11" s="5">
        <v>40</v>
      </c>
      <c r="P11" s="33">
        <v>0</v>
      </c>
      <c r="Q11" s="5">
        <v>13.34483041800115</v>
      </c>
      <c r="R11" s="5">
        <v>1213.2040028385079</v>
      </c>
      <c r="S11" s="31"/>
      <c r="T11" s="23">
        <v>39089.510561480078</v>
      </c>
      <c r="U11" s="33">
        <v>7.4208791000273777E-2</v>
      </c>
      <c r="V11" s="5">
        <v>1</v>
      </c>
      <c r="W11" s="5">
        <v>40</v>
      </c>
      <c r="X11" s="33">
        <v>57.108282789177174</v>
      </c>
      <c r="Y11" s="5">
        <v>81.022184680721281</v>
      </c>
      <c r="Z11" s="5">
        <v>1733.4331311567089</v>
      </c>
      <c r="AA11" s="35"/>
    </row>
    <row r="12" spans="2:27" x14ac:dyDescent="0.2">
      <c r="B12" s="4">
        <v>9</v>
      </c>
      <c r="C12" s="4">
        <v>836</v>
      </c>
      <c r="D12" s="23">
        <v>38957.849387727627</v>
      </c>
      <c r="E12" s="33">
        <v>7.8303249999862601E-2</v>
      </c>
      <c r="F12" s="5">
        <v>2</v>
      </c>
      <c r="G12" s="23">
        <v>70</v>
      </c>
      <c r="H12" s="33">
        <v>0</v>
      </c>
      <c r="I12" s="23">
        <v>21.790435979443572</v>
      </c>
      <c r="J12" s="5">
        <v>1104.4412927221026</v>
      </c>
      <c r="K12" s="31"/>
      <c r="L12" s="23">
        <v>45233.331749411038</v>
      </c>
      <c r="M12" s="33">
        <v>6.4685000001190929E-2</v>
      </c>
      <c r="N12" s="5">
        <v>1</v>
      </c>
      <c r="O12" s="5">
        <v>30</v>
      </c>
      <c r="P12" s="33">
        <v>0</v>
      </c>
      <c r="Q12" s="5">
        <v>20.435188118114951</v>
      </c>
      <c r="R12" s="5">
        <v>718.24938839827655</v>
      </c>
      <c r="S12" s="31"/>
      <c r="T12" s="23">
        <v>39089.510561480078</v>
      </c>
      <c r="U12" s="33">
        <v>8.7500416000693804E-2</v>
      </c>
      <c r="V12" s="5">
        <v>1</v>
      </c>
      <c r="W12" s="5">
        <v>40</v>
      </c>
      <c r="X12" s="33">
        <v>57.108282789177174</v>
      </c>
      <c r="Y12" s="5">
        <v>81.022184680721281</v>
      </c>
      <c r="Z12" s="5">
        <v>1733.4331311567089</v>
      </c>
      <c r="AA12" s="35"/>
    </row>
    <row r="13" spans="2:27" x14ac:dyDescent="0.2">
      <c r="B13" s="4">
        <v>10</v>
      </c>
      <c r="C13" s="4">
        <v>919</v>
      </c>
      <c r="D13" s="23">
        <v>38957.849387727627</v>
      </c>
      <c r="E13" s="33">
        <v>3.9479709000261209E-2</v>
      </c>
      <c r="F13" s="5">
        <v>2</v>
      </c>
      <c r="G13" s="23">
        <v>70</v>
      </c>
      <c r="H13" s="33">
        <v>0</v>
      </c>
      <c r="I13" s="23">
        <v>21.790435979443572</v>
      </c>
      <c r="J13" s="5">
        <v>1104.4412927221026</v>
      </c>
      <c r="K13" s="31"/>
      <c r="L13" s="23">
        <v>45233.331749411038</v>
      </c>
      <c r="M13" s="33">
        <v>3.2002333002310479E-2</v>
      </c>
      <c r="N13" s="5">
        <v>1</v>
      </c>
      <c r="O13" s="5">
        <v>30</v>
      </c>
      <c r="P13" s="33">
        <v>0</v>
      </c>
      <c r="Q13" s="5">
        <v>20.435188118114951</v>
      </c>
      <c r="R13" s="5">
        <v>718.24938839827655</v>
      </c>
      <c r="S13" s="31"/>
      <c r="T13" s="23">
        <v>39354.937367515253</v>
      </c>
      <c r="U13" s="33">
        <v>4.8103416997037129E-2</v>
      </c>
      <c r="V13" s="5">
        <v>1</v>
      </c>
      <c r="W13" s="5">
        <v>40</v>
      </c>
      <c r="X13" s="33">
        <v>0</v>
      </c>
      <c r="Y13" s="5">
        <v>72.17756836659278</v>
      </c>
      <c r="Z13" s="5">
        <v>1595.314127226826</v>
      </c>
      <c r="AA13" s="35"/>
    </row>
    <row r="14" spans="2:27" x14ac:dyDescent="0.2">
      <c r="B14" s="46" t="s">
        <v>3</v>
      </c>
      <c r="C14" s="47"/>
      <c r="D14" s="9">
        <f>MIN(D4:D13)</f>
        <v>38957.849387727627</v>
      </c>
      <c r="E14" s="22">
        <f>INDEX(E4:E13, MATCH($D$14, D4:D13, 0))</f>
        <v>6.6917624999859981E-2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21.790435979443572</v>
      </c>
      <c r="J14" s="22">
        <f>INDEX(J4:J13, MATCH($D$14, D4:D13, 0))</f>
        <v>1104.4412927221026</v>
      </c>
      <c r="K14" s="32">
        <f>(D14-$D$15)/$D$15</f>
        <v>0</v>
      </c>
      <c r="L14" s="16">
        <f>MIN(L4:L13)</f>
        <v>43833.766010291933</v>
      </c>
      <c r="M14" s="21">
        <f>INDEX(M4:M13, MATCH($L$14, L4:L13, 0))</f>
        <v>6.015333400137024E-2</v>
      </c>
      <c r="N14" s="16">
        <f>INDEX(N4:N13, MATCH($L$14, L4:L13, 0))</f>
        <v>1</v>
      </c>
      <c r="O14" s="16">
        <f>INDEX(O4:O13, MATCH($L$14, L4:L13, 0))</f>
        <v>40</v>
      </c>
      <c r="P14" s="21">
        <f>INDEX(P4:P13, MATCH($L$14, L4:L13, 0))</f>
        <v>0</v>
      </c>
      <c r="Q14" s="21">
        <f>INDEX(Q4:Q13, MATCH($L$14, L4:L13, 0))</f>
        <v>13.34483041800115</v>
      </c>
      <c r="R14" s="21">
        <f>INDEX(R4:R13, MATCH($L$14, L4:L13, 0))</f>
        <v>1213.2040028385079</v>
      </c>
      <c r="S14" s="36">
        <f>(L14-$D$15)/$D$15</f>
        <v>0.12515877285824462</v>
      </c>
      <c r="T14" s="38">
        <f>MIN(T4:T13)</f>
        <v>39089.510561480078</v>
      </c>
      <c r="U14" s="39">
        <f>INDEX(U4:U13, MATCH($T$14, T4:T13, 0))</f>
        <v>6.6169208999781404E-2</v>
      </c>
      <c r="V14" s="38">
        <f>INDEX(V4:V13, MATCH($T$14, T4:T13, 0))</f>
        <v>1</v>
      </c>
      <c r="W14" s="38">
        <f>INDEX(W4:W13, MATCH($T$14, T4:T13, 0))</f>
        <v>40</v>
      </c>
      <c r="X14" s="39">
        <f>INDEX(X4:X13, MATCH($T$14, T4:T13, 0))</f>
        <v>57.108282789177174</v>
      </c>
      <c r="Y14" s="39">
        <f>INDEX(Y4:Y13, MATCH($T$14, T4:T13, 0))</f>
        <v>81.022184680721281</v>
      </c>
      <c r="Z14" s="39">
        <f>INDEX(Z4:Z13, MATCH($T$14, T4:T13, 0))</f>
        <v>1733.4331311567089</v>
      </c>
      <c r="AA14" s="40">
        <f>(T14-$D$15)/$D$15</f>
        <v>3.3795801313900638E-3</v>
      </c>
    </row>
    <row r="15" spans="2:27" x14ac:dyDescent="0.2">
      <c r="C15" s="1" t="s">
        <v>17</v>
      </c>
      <c r="D15" s="34">
        <v>38957.849387727627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61" priority="7"/>
    <cfRule type="duplicateValues" dxfId="60" priority="8"/>
  </conditionalFormatting>
  <conditionalFormatting sqref="C14">
    <cfRule type="duplicateValues" dxfId="59" priority="1"/>
    <cfRule type="duplicateValues" dxfId="58" priority="2"/>
  </conditionalFormatting>
  <conditionalFormatting sqref="C17">
    <cfRule type="duplicateValues" dxfId="57" priority="3"/>
    <cfRule type="duplicateValues" dxfId="56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1E95-7E39-8548-BFE7-A079B0F2EF94}">
  <dimension ref="B1:AA17"/>
  <sheetViews>
    <sheetView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-0.99985776618403222</v>
      </c>
      <c r="K2" s="28"/>
      <c r="L2" s="1" t="s">
        <v>19</v>
      </c>
      <c r="P2" s="1" t="e">
        <f>(P14-H14)/H14</f>
        <v>#DIV/0!</v>
      </c>
      <c r="R2" s="1">
        <f>(R14-J14)/J14</f>
        <v>-0.35247905214616032</v>
      </c>
      <c r="T2" s="1" t="s">
        <v>20</v>
      </c>
      <c r="X2" s="1" t="e">
        <f>(X14-P14)/P14</f>
        <v>#DIV/0!</v>
      </c>
      <c r="Z2" s="1">
        <f>(Z14-R14)/R14</f>
        <v>2.0599249206038936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38</v>
      </c>
      <c r="D4" s="23">
        <v>36725.594484445217</v>
      </c>
      <c r="E4" s="33">
        <v>5.4024207999646023E-2</v>
      </c>
      <c r="F4" s="5">
        <v>1</v>
      </c>
      <c r="G4" s="23">
        <v>60</v>
      </c>
      <c r="H4" s="33">
        <v>0</v>
      </c>
      <c r="I4" s="23">
        <v>13.84931940487496</v>
      </c>
      <c r="J4" s="5">
        <v>1182.2924817686171</v>
      </c>
      <c r="K4" s="31"/>
      <c r="L4" s="23">
        <v>42901.442849084822</v>
      </c>
      <c r="M4" s="33">
        <v>2.2049125000194181E-2</v>
      </c>
      <c r="N4" s="5">
        <v>1</v>
      </c>
      <c r="O4" s="5">
        <v>40</v>
      </c>
      <c r="P4" s="33">
        <v>0</v>
      </c>
      <c r="Q4" s="5">
        <v>5.8185127629572069</v>
      </c>
      <c r="R4" s="5">
        <v>765.55914843528342</v>
      </c>
      <c r="S4" s="31"/>
      <c r="T4" s="23">
        <v>45289.154794913768</v>
      </c>
      <c r="U4" s="33">
        <v>4.1772749998926877E-2</v>
      </c>
      <c r="V4" s="5">
        <v>1</v>
      </c>
      <c r="W4" s="5">
        <v>40</v>
      </c>
      <c r="X4" s="33">
        <v>0</v>
      </c>
      <c r="Y4" s="5">
        <v>23.361303717979599</v>
      </c>
      <c r="Z4" s="5">
        <v>1675.886849826753</v>
      </c>
      <c r="AA4" s="35"/>
    </row>
    <row r="5" spans="2:27" x14ac:dyDescent="0.2">
      <c r="B5" s="4">
        <v>2</v>
      </c>
      <c r="C5" s="4">
        <v>114</v>
      </c>
      <c r="D5" s="23">
        <v>36725.594484445217</v>
      </c>
      <c r="E5" s="33">
        <v>5.8644040999752178E-2</v>
      </c>
      <c r="F5" s="5">
        <v>1</v>
      </c>
      <c r="G5" s="23">
        <v>60</v>
      </c>
      <c r="H5" s="33">
        <v>0</v>
      </c>
      <c r="I5" s="23">
        <v>13.84931940487496</v>
      </c>
      <c r="J5" s="5">
        <v>1182.2924817686171</v>
      </c>
      <c r="K5" s="31"/>
      <c r="L5" s="23">
        <v>42901.442849084822</v>
      </c>
      <c r="M5" s="33">
        <v>4.49505409997073E-2</v>
      </c>
      <c r="N5" s="5">
        <v>1</v>
      </c>
      <c r="O5" s="5">
        <v>40</v>
      </c>
      <c r="P5" s="33">
        <v>0</v>
      </c>
      <c r="Q5" s="5">
        <v>5.8185127629572069</v>
      </c>
      <c r="R5" s="5">
        <v>765.55914843528342</v>
      </c>
      <c r="S5" s="31"/>
      <c r="T5" s="23">
        <v>45289.154794913768</v>
      </c>
      <c r="U5" s="33">
        <v>5.4510792000655783E-2</v>
      </c>
      <c r="V5" s="5">
        <v>1</v>
      </c>
      <c r="W5" s="5">
        <v>40</v>
      </c>
      <c r="X5" s="33">
        <v>0</v>
      </c>
      <c r="Y5" s="5">
        <v>23.361303717979599</v>
      </c>
      <c r="Z5" s="5">
        <v>1675.886849826753</v>
      </c>
      <c r="AA5" s="35"/>
    </row>
    <row r="6" spans="2:27" x14ac:dyDescent="0.2">
      <c r="B6" s="4">
        <v>3</v>
      </c>
      <c r="C6" s="4">
        <v>195</v>
      </c>
      <c r="D6" s="23">
        <v>36725.594484445217</v>
      </c>
      <c r="E6" s="33">
        <v>4.8718791999817768E-2</v>
      </c>
      <c r="F6" s="5">
        <v>1</v>
      </c>
      <c r="G6" s="23">
        <v>60</v>
      </c>
      <c r="H6" s="33">
        <v>0</v>
      </c>
      <c r="I6" s="23">
        <v>13.84931940487496</v>
      </c>
      <c r="J6" s="5">
        <v>1182.2924817686171</v>
      </c>
      <c r="K6" s="31"/>
      <c r="L6" s="23">
        <v>42901.442849084822</v>
      </c>
      <c r="M6" s="33">
        <v>4.1133500002615619E-2</v>
      </c>
      <c r="N6" s="5">
        <v>1</v>
      </c>
      <c r="O6" s="5">
        <v>40</v>
      </c>
      <c r="P6" s="33">
        <v>0</v>
      </c>
      <c r="Q6" s="5">
        <v>5.8185127629572069</v>
      </c>
      <c r="R6" s="5">
        <v>765.55914843528342</v>
      </c>
      <c r="S6" s="31"/>
      <c r="T6" s="23">
        <v>45203.204345494727</v>
      </c>
      <c r="U6" s="33">
        <v>4.7814749999815831E-2</v>
      </c>
      <c r="V6" s="5">
        <v>1</v>
      </c>
      <c r="W6" s="5">
        <v>50</v>
      </c>
      <c r="X6" s="33">
        <v>175.71070329868388</v>
      </c>
      <c r="Y6" s="5">
        <v>36.208538787436893</v>
      </c>
      <c r="Z6" s="5">
        <v>2342.553516493419</v>
      </c>
      <c r="AA6" s="35"/>
    </row>
    <row r="7" spans="2:27" x14ac:dyDescent="0.2">
      <c r="B7" s="4">
        <v>4</v>
      </c>
      <c r="C7" s="4">
        <v>208</v>
      </c>
      <c r="D7" s="23">
        <v>36725.594484445217</v>
      </c>
      <c r="E7" s="33">
        <v>6.7805624999891734E-2</v>
      </c>
      <c r="F7" s="5">
        <v>1</v>
      </c>
      <c r="G7" s="23">
        <v>60</v>
      </c>
      <c r="H7" s="33">
        <v>0</v>
      </c>
      <c r="I7" s="23">
        <v>13.84931940487496</v>
      </c>
      <c r="J7" s="5">
        <v>1182.2924817686171</v>
      </c>
      <c r="K7" s="31"/>
      <c r="L7" s="23">
        <v>42901.442849084822</v>
      </c>
      <c r="M7" s="33">
        <v>3.7427458002639469E-2</v>
      </c>
      <c r="N7" s="5">
        <v>1</v>
      </c>
      <c r="O7" s="5">
        <v>40</v>
      </c>
      <c r="P7" s="33">
        <v>0</v>
      </c>
      <c r="Q7" s="5">
        <v>5.8185127629572069</v>
      </c>
      <c r="R7" s="5">
        <v>765.55914843528342</v>
      </c>
      <c r="S7" s="31"/>
      <c r="T7" s="23">
        <v>45203.204345494727</v>
      </c>
      <c r="U7" s="33">
        <v>6.5174333001777995E-2</v>
      </c>
      <c r="V7" s="5">
        <v>1</v>
      </c>
      <c r="W7" s="5">
        <v>50</v>
      </c>
      <c r="X7" s="33">
        <v>175.71070329868388</v>
      </c>
      <c r="Y7" s="5">
        <v>36.208538787436893</v>
      </c>
      <c r="Z7" s="5">
        <v>2342.553516493419</v>
      </c>
      <c r="AA7" s="35"/>
    </row>
    <row r="8" spans="2:27" x14ac:dyDescent="0.2">
      <c r="B8" s="4">
        <v>5</v>
      </c>
      <c r="C8" s="4">
        <v>241</v>
      </c>
      <c r="D8" s="23">
        <v>36725.594484445217</v>
      </c>
      <c r="E8" s="33">
        <v>5.7673667000017297E-2</v>
      </c>
      <c r="F8" s="5">
        <v>1</v>
      </c>
      <c r="G8" s="23">
        <v>60</v>
      </c>
      <c r="H8" s="33">
        <v>0</v>
      </c>
      <c r="I8" s="23">
        <v>13.84931940487496</v>
      </c>
      <c r="J8" s="5">
        <v>1182.2924817686171</v>
      </c>
      <c r="K8" s="31"/>
      <c r="L8" s="23">
        <v>42901.442849084822</v>
      </c>
      <c r="M8" s="33">
        <v>3.0602874998294279E-2</v>
      </c>
      <c r="N8" s="5">
        <v>1</v>
      </c>
      <c r="O8" s="5">
        <v>40</v>
      </c>
      <c r="P8" s="33">
        <v>0</v>
      </c>
      <c r="Q8" s="5">
        <v>5.8185127629572069</v>
      </c>
      <c r="R8" s="5">
        <v>765.55914843528342</v>
      </c>
      <c r="S8" s="31"/>
      <c r="T8" s="23">
        <v>45203.204345494727</v>
      </c>
      <c r="U8" s="33">
        <v>5.2068375000089873E-2</v>
      </c>
      <c r="V8" s="5">
        <v>1</v>
      </c>
      <c r="W8" s="5">
        <v>50</v>
      </c>
      <c r="X8" s="33">
        <v>175.71070329868388</v>
      </c>
      <c r="Y8" s="5">
        <v>36.208538787436893</v>
      </c>
      <c r="Z8" s="5">
        <v>2342.553516493419</v>
      </c>
      <c r="AA8" s="35"/>
    </row>
    <row r="9" spans="2:27" x14ac:dyDescent="0.2">
      <c r="B9" s="4">
        <v>6</v>
      </c>
      <c r="C9" s="4">
        <v>383</v>
      </c>
      <c r="D9" s="23">
        <v>39306.113925842823</v>
      </c>
      <c r="E9" s="33">
        <v>4.1118957999970007E-2</v>
      </c>
      <c r="F9" s="5">
        <v>1</v>
      </c>
      <c r="G9" s="23">
        <v>60</v>
      </c>
      <c r="H9" s="33">
        <v>23.448492312208984</v>
      </c>
      <c r="I9" s="23">
        <v>17.96328956822784</v>
      </c>
      <c r="J9" s="5">
        <v>1604.6909538732541</v>
      </c>
      <c r="K9" s="31"/>
      <c r="L9" s="23">
        <v>42901.442849084822</v>
      </c>
      <c r="M9" s="33">
        <v>3.588925000076415E-2</v>
      </c>
      <c r="N9" s="5">
        <v>1</v>
      </c>
      <c r="O9" s="5">
        <v>40</v>
      </c>
      <c r="P9" s="33">
        <v>0</v>
      </c>
      <c r="Q9" s="5">
        <v>5.8185127629572069</v>
      </c>
      <c r="R9" s="5">
        <v>765.55914843528342</v>
      </c>
      <c r="S9" s="31"/>
      <c r="T9" s="23">
        <v>45203.204345494727</v>
      </c>
      <c r="U9" s="33">
        <v>5.5890958999953E-2</v>
      </c>
      <c r="V9" s="5">
        <v>1</v>
      </c>
      <c r="W9" s="5">
        <v>50</v>
      </c>
      <c r="X9" s="33">
        <v>175.71070329868388</v>
      </c>
      <c r="Y9" s="5">
        <v>36.208538787436893</v>
      </c>
      <c r="Z9" s="5">
        <v>2342.553516493419</v>
      </c>
      <c r="AA9" s="35"/>
    </row>
    <row r="10" spans="2:27" x14ac:dyDescent="0.2">
      <c r="B10" s="4">
        <v>7</v>
      </c>
      <c r="C10" s="4">
        <v>435</v>
      </c>
      <c r="D10" s="23">
        <v>36725.594484445217</v>
      </c>
      <c r="E10" s="33">
        <v>4.8000541999499553E-2</v>
      </c>
      <c r="F10" s="5">
        <v>1</v>
      </c>
      <c r="G10" s="23">
        <v>60</v>
      </c>
      <c r="H10" s="33">
        <v>0</v>
      </c>
      <c r="I10" s="23">
        <v>13.84931940487496</v>
      </c>
      <c r="J10" s="5">
        <v>1182.2924817686171</v>
      </c>
      <c r="K10" s="31"/>
      <c r="L10" s="23">
        <v>42901.442849084822</v>
      </c>
      <c r="M10" s="33">
        <v>4.3752625002525747E-2</v>
      </c>
      <c r="N10" s="5">
        <v>1</v>
      </c>
      <c r="O10" s="5">
        <v>40</v>
      </c>
      <c r="P10" s="33">
        <v>0</v>
      </c>
      <c r="Q10" s="5">
        <v>5.8185127629572069</v>
      </c>
      <c r="R10" s="5">
        <v>765.55914843528342</v>
      </c>
      <c r="S10" s="31"/>
      <c r="T10" s="23">
        <v>45203.204345494727</v>
      </c>
      <c r="U10" s="33">
        <v>4.2799334001756513E-2</v>
      </c>
      <c r="V10" s="5">
        <v>1</v>
      </c>
      <c r="W10" s="5">
        <v>50</v>
      </c>
      <c r="X10" s="33">
        <v>175.71070329868388</v>
      </c>
      <c r="Y10" s="5">
        <v>36.208538787436893</v>
      </c>
      <c r="Z10" s="5">
        <v>2342.553516493419</v>
      </c>
      <c r="AA10" s="35"/>
    </row>
    <row r="11" spans="2:27" x14ac:dyDescent="0.2">
      <c r="B11" s="4">
        <v>8</v>
      </c>
      <c r="C11" s="4">
        <v>590</v>
      </c>
      <c r="D11" s="23">
        <v>36725.594484445217</v>
      </c>
      <c r="E11" s="33">
        <v>3.9727207999931118E-2</v>
      </c>
      <c r="F11" s="5">
        <v>1</v>
      </c>
      <c r="G11" s="23">
        <v>60</v>
      </c>
      <c r="H11" s="33">
        <v>0</v>
      </c>
      <c r="I11" s="23">
        <v>13.84931940487496</v>
      </c>
      <c r="J11" s="5">
        <v>1182.2924817686171</v>
      </c>
      <c r="K11" s="31"/>
      <c r="L11" s="23">
        <v>42901.442849084822</v>
      </c>
      <c r="M11" s="33">
        <v>3.4499083001719548E-2</v>
      </c>
      <c r="N11" s="5">
        <v>1</v>
      </c>
      <c r="O11" s="5">
        <v>40</v>
      </c>
      <c r="P11" s="33">
        <v>0</v>
      </c>
      <c r="Q11" s="5">
        <v>5.8185127629572069</v>
      </c>
      <c r="R11" s="5">
        <v>765.55914843528342</v>
      </c>
      <c r="S11" s="31"/>
      <c r="T11" s="23">
        <v>45203.204345494727</v>
      </c>
      <c r="U11" s="33">
        <v>4.5164249997469597E-2</v>
      </c>
      <c r="V11" s="5">
        <v>1</v>
      </c>
      <c r="W11" s="5">
        <v>50</v>
      </c>
      <c r="X11" s="33">
        <v>175.71070329868388</v>
      </c>
      <c r="Y11" s="5">
        <v>36.208538787436893</v>
      </c>
      <c r="Z11" s="5">
        <v>2342.553516493419</v>
      </c>
      <c r="AA11" s="35"/>
    </row>
    <row r="12" spans="2:27" x14ac:dyDescent="0.2">
      <c r="B12" s="4">
        <v>9</v>
      </c>
      <c r="C12" s="4">
        <v>628</v>
      </c>
      <c r="D12" s="23">
        <v>36725.594484445217</v>
      </c>
      <c r="E12" s="33">
        <v>4.7770584000318188E-2</v>
      </c>
      <c r="F12" s="5">
        <v>1</v>
      </c>
      <c r="G12" s="23">
        <v>60</v>
      </c>
      <c r="H12" s="33">
        <v>0</v>
      </c>
      <c r="I12" s="23">
        <v>13.84931940487496</v>
      </c>
      <c r="J12" s="5">
        <v>1182.2924817686171</v>
      </c>
      <c r="K12" s="31"/>
      <c r="L12" s="23">
        <v>42901.442849084822</v>
      </c>
      <c r="M12" s="33">
        <v>3.4912750001240063E-2</v>
      </c>
      <c r="N12" s="5">
        <v>1</v>
      </c>
      <c r="O12" s="5">
        <v>40</v>
      </c>
      <c r="P12" s="33">
        <v>0</v>
      </c>
      <c r="Q12" s="5">
        <v>5.8185127629572069</v>
      </c>
      <c r="R12" s="5">
        <v>765.55914843528342</v>
      </c>
      <c r="S12" s="31"/>
      <c r="T12" s="23">
        <v>45203.204345494727</v>
      </c>
      <c r="U12" s="33">
        <v>5.4836832998262253E-2</v>
      </c>
      <c r="V12" s="5">
        <v>1</v>
      </c>
      <c r="W12" s="5">
        <v>50</v>
      </c>
      <c r="X12" s="33">
        <v>175.71070329868388</v>
      </c>
      <c r="Y12" s="5">
        <v>36.208538787436893</v>
      </c>
      <c r="Z12" s="5">
        <v>2342.553516493419</v>
      </c>
      <c r="AA12" s="35"/>
    </row>
    <row r="13" spans="2:27" x14ac:dyDescent="0.2">
      <c r="B13" s="4">
        <v>10</v>
      </c>
      <c r="C13" s="4">
        <v>786</v>
      </c>
      <c r="D13" s="23">
        <v>36725.594484445217</v>
      </c>
      <c r="E13" s="33">
        <v>7.463562499924592E-2</v>
      </c>
      <c r="F13" s="5">
        <v>1</v>
      </c>
      <c r="G13" s="23">
        <v>60</v>
      </c>
      <c r="H13" s="33">
        <v>0</v>
      </c>
      <c r="I13" s="23">
        <v>13.84931940487496</v>
      </c>
      <c r="J13" s="5">
        <v>1182.2924817686171</v>
      </c>
      <c r="K13" s="31"/>
      <c r="L13" s="23">
        <v>42901.442849084822</v>
      </c>
      <c r="M13" s="33">
        <v>3.8207165998755947E-2</v>
      </c>
      <c r="N13" s="5">
        <v>1</v>
      </c>
      <c r="O13" s="5">
        <v>40</v>
      </c>
      <c r="P13" s="33">
        <v>0</v>
      </c>
      <c r="Q13" s="5">
        <v>5.8185127629572069</v>
      </c>
      <c r="R13" s="5">
        <v>765.55914843528342</v>
      </c>
      <c r="S13" s="31"/>
      <c r="T13" s="23">
        <v>45203.204345494727</v>
      </c>
      <c r="U13" s="33">
        <v>7.5467041999218054E-2</v>
      </c>
      <c r="V13" s="5">
        <v>1</v>
      </c>
      <c r="W13" s="5">
        <v>50</v>
      </c>
      <c r="X13" s="33">
        <v>175.71070329868388</v>
      </c>
      <c r="Y13" s="5">
        <v>36.208538787436893</v>
      </c>
      <c r="Z13" s="5">
        <v>2342.553516493419</v>
      </c>
      <c r="AA13" s="35"/>
    </row>
    <row r="14" spans="2:27" x14ac:dyDescent="0.2">
      <c r="B14" s="46" t="s">
        <v>3</v>
      </c>
      <c r="C14" s="47"/>
      <c r="D14" s="9">
        <f>MIN(D4:D13)</f>
        <v>36725.594484445217</v>
      </c>
      <c r="E14" s="22">
        <f>INDEX(E4:E13, MATCH($D$14, D4:D13, 0))</f>
        <v>5.4024207999646023E-2</v>
      </c>
      <c r="F14" s="9">
        <f>INDEX(F4:F13, MATCH($D$14, D4:D13, 0))</f>
        <v>1</v>
      </c>
      <c r="G14" s="9">
        <f>INDEX(G4:G13, MATCH($D$14, D4:D13, 0))</f>
        <v>60</v>
      </c>
      <c r="H14" s="22">
        <f>INDEX(H4:H13, MATCH($D$14, D4:D13, 0))</f>
        <v>0</v>
      </c>
      <c r="I14" s="22">
        <f>INDEX(I4:I13, MATCH($D$14, D4:D13, 0))</f>
        <v>13.84931940487496</v>
      </c>
      <c r="J14" s="22">
        <f>INDEX(J4:J13, MATCH($D$14, D4:D13, 0))</f>
        <v>1182.2924817686171</v>
      </c>
      <c r="K14" s="32">
        <f>(D14-$D$15)/$D$15</f>
        <v>0</v>
      </c>
      <c r="L14" s="16">
        <f>MIN(L4:L13)</f>
        <v>42901.442849084822</v>
      </c>
      <c r="M14" s="21">
        <f>INDEX(M4:M13, MATCH($L$14, L4:L13, 0))</f>
        <v>2.2049125000194181E-2</v>
      </c>
      <c r="N14" s="16">
        <f>INDEX(N4:N13, MATCH($L$14, L4:L13, 0))</f>
        <v>1</v>
      </c>
      <c r="O14" s="16">
        <f>INDEX(O4:O13, MATCH($L$14, L4:L13, 0))</f>
        <v>40</v>
      </c>
      <c r="P14" s="21">
        <f>INDEX(P4:P13, MATCH($L$14, L4:L13, 0))</f>
        <v>0</v>
      </c>
      <c r="Q14" s="21">
        <f>INDEX(Q4:Q13, MATCH($L$14, L4:L13, 0))</f>
        <v>5.8185127629572069</v>
      </c>
      <c r="R14" s="21">
        <f>INDEX(R4:R13, MATCH($L$14, L4:L13, 0))</f>
        <v>765.55914843528342</v>
      </c>
      <c r="S14" s="36">
        <f>(L14-$D$15)/$D$15</f>
        <v>0.16816197127197841</v>
      </c>
      <c r="T14" s="38">
        <f>MIN(T4:T13)</f>
        <v>45203.204345494727</v>
      </c>
      <c r="U14" s="39">
        <f>INDEX(U4:U13, MATCH($T$14, T4:T13, 0))</f>
        <v>4.7814749999815831E-2</v>
      </c>
      <c r="V14" s="38">
        <f>INDEX(V4:V13, MATCH($T$14, T4:T13, 0))</f>
        <v>1</v>
      </c>
      <c r="W14" s="38">
        <f>INDEX(W4:W13, MATCH($T$14, T4:T13, 0))</f>
        <v>50</v>
      </c>
      <c r="X14" s="39">
        <f>INDEX(X4:X13, MATCH($T$14, T4:T13, 0))</f>
        <v>175.71070329868388</v>
      </c>
      <c r="Y14" s="39">
        <f>INDEX(Y4:Y13, MATCH($T$14, T4:T13, 0))</f>
        <v>36.208538787436893</v>
      </c>
      <c r="Z14" s="39">
        <f>INDEX(Z4:Z13, MATCH($T$14, T4:T13, 0))</f>
        <v>2342.553516493419</v>
      </c>
      <c r="AA14" s="40">
        <f>(T14-$D$15)/$D$15</f>
        <v>0.23083655908252548</v>
      </c>
    </row>
    <row r="15" spans="2:27" x14ac:dyDescent="0.2">
      <c r="C15" s="1" t="s">
        <v>17</v>
      </c>
      <c r="D15" s="34">
        <v>36725.594484445217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55" priority="7"/>
    <cfRule type="duplicateValues" dxfId="54" priority="8"/>
  </conditionalFormatting>
  <conditionalFormatting sqref="C14">
    <cfRule type="duplicateValues" dxfId="53" priority="1"/>
    <cfRule type="duplicateValues" dxfId="52" priority="2"/>
  </conditionalFormatting>
  <conditionalFormatting sqref="C17">
    <cfRule type="duplicateValues" dxfId="51" priority="3"/>
    <cfRule type="duplicateValues" dxfId="50" priority="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3C2A-E680-824F-ABB8-A81D8E4C9E2F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-1</v>
      </c>
      <c r="K2" s="28"/>
      <c r="L2" s="1" t="s">
        <v>19</v>
      </c>
      <c r="P2" s="1" t="e">
        <f>(P14-H14)/H14</f>
        <v>#DIV/0!</v>
      </c>
      <c r="R2" s="1">
        <f>(R14-J14)/J14</f>
        <v>0</v>
      </c>
      <c r="T2" s="1" t="s">
        <v>20</v>
      </c>
      <c r="X2" s="1" t="e">
        <f>(X14-P14)/P14</f>
        <v>#DIV/0!</v>
      </c>
      <c r="Z2" s="1">
        <f>(Z14-R14)/R14</f>
        <v>0.52433903044099051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671</v>
      </c>
      <c r="D4" s="23">
        <v>40677.609977786822</v>
      </c>
      <c r="E4" s="33">
        <v>5.1698874999601678E-2</v>
      </c>
      <c r="F4" s="5">
        <v>2</v>
      </c>
      <c r="G4" s="23">
        <v>70</v>
      </c>
      <c r="H4" s="33">
        <v>0</v>
      </c>
      <c r="I4" s="23">
        <v>11.664476366695574</v>
      </c>
      <c r="J4" s="5">
        <v>1082.8880848387666</v>
      </c>
      <c r="K4" s="31"/>
      <c r="L4" s="23">
        <v>40677.609977786822</v>
      </c>
      <c r="M4" s="33">
        <v>5.3247792002366623E-2</v>
      </c>
      <c r="N4" s="5">
        <v>2</v>
      </c>
      <c r="O4" s="5">
        <v>70</v>
      </c>
      <c r="P4" s="33">
        <v>0</v>
      </c>
      <c r="Q4" s="5">
        <v>11.664476366695574</v>
      </c>
      <c r="R4" s="5">
        <v>1082.8880848387666</v>
      </c>
      <c r="S4" s="31"/>
      <c r="T4" s="23">
        <v>42426.483047034519</v>
      </c>
      <c r="U4" s="33">
        <v>4.4314499999018153E-2</v>
      </c>
      <c r="V4" s="5">
        <v>2</v>
      </c>
      <c r="W4" s="5">
        <v>70</v>
      </c>
      <c r="X4" s="33">
        <v>0</v>
      </c>
      <c r="Y4" s="5">
        <v>23.772295460943546</v>
      </c>
      <c r="Z4" s="5">
        <v>1650.6885733192266</v>
      </c>
      <c r="AA4" s="35"/>
    </row>
    <row r="5" spans="2:27" x14ac:dyDescent="0.2">
      <c r="B5" s="4">
        <v>2</v>
      </c>
      <c r="C5" s="4">
        <v>211</v>
      </c>
      <c r="D5" s="23">
        <v>40677.609977786822</v>
      </c>
      <c r="E5" s="33">
        <v>4.4770250000510707E-2</v>
      </c>
      <c r="F5" s="5">
        <v>2</v>
      </c>
      <c r="G5" s="23">
        <v>70</v>
      </c>
      <c r="H5" s="33">
        <v>0</v>
      </c>
      <c r="I5" s="23">
        <v>11.664476366695574</v>
      </c>
      <c r="J5" s="5">
        <v>1082.8880848387666</v>
      </c>
      <c r="K5" s="31"/>
      <c r="L5" s="23">
        <v>40677.609977786822</v>
      </c>
      <c r="M5" s="33">
        <v>4.7776417002751259E-2</v>
      </c>
      <c r="N5" s="5">
        <v>2</v>
      </c>
      <c r="O5" s="5">
        <v>70</v>
      </c>
      <c r="P5" s="33">
        <v>0</v>
      </c>
      <c r="Q5" s="5">
        <v>11.664476366695574</v>
      </c>
      <c r="R5" s="5">
        <v>1082.8880848387666</v>
      </c>
      <c r="S5" s="31"/>
      <c r="T5" s="23">
        <v>42426.483047034519</v>
      </c>
      <c r="U5" s="33">
        <v>4.3868458000360988E-2</v>
      </c>
      <c r="V5" s="5">
        <v>2</v>
      </c>
      <c r="W5" s="5">
        <v>70</v>
      </c>
      <c r="X5" s="33">
        <v>0</v>
      </c>
      <c r="Y5" s="5">
        <v>23.772295460943546</v>
      </c>
      <c r="Z5" s="5">
        <v>1650.6885733192266</v>
      </c>
      <c r="AA5" s="35"/>
    </row>
    <row r="6" spans="2:27" x14ac:dyDescent="0.2">
      <c r="B6" s="4">
        <v>3</v>
      </c>
      <c r="C6" s="4">
        <v>246</v>
      </c>
      <c r="D6" s="23">
        <v>40677.609977786822</v>
      </c>
      <c r="E6" s="33">
        <v>6.1077958999703703E-2</v>
      </c>
      <c r="F6" s="5">
        <v>2</v>
      </c>
      <c r="G6" s="23">
        <v>70</v>
      </c>
      <c r="H6" s="33">
        <v>0</v>
      </c>
      <c r="I6" s="23">
        <v>11.664476366695574</v>
      </c>
      <c r="J6" s="5">
        <v>1082.8880848387666</v>
      </c>
      <c r="K6" s="31"/>
      <c r="L6" s="23">
        <v>40677.609977786822</v>
      </c>
      <c r="M6" s="33">
        <v>6.6804040998249548E-2</v>
      </c>
      <c r="N6" s="5">
        <v>2</v>
      </c>
      <c r="O6" s="5">
        <v>70</v>
      </c>
      <c r="P6" s="33">
        <v>0</v>
      </c>
      <c r="Q6" s="5">
        <v>11.664476366695574</v>
      </c>
      <c r="R6" s="5">
        <v>1082.8880848387666</v>
      </c>
      <c r="S6" s="31"/>
      <c r="T6" s="23">
        <v>42426.483047034519</v>
      </c>
      <c r="U6" s="33">
        <v>6.1669499998970423E-2</v>
      </c>
      <c r="V6" s="5">
        <v>2</v>
      </c>
      <c r="W6" s="5">
        <v>70</v>
      </c>
      <c r="X6" s="33">
        <v>0</v>
      </c>
      <c r="Y6" s="5">
        <v>23.772295460943546</v>
      </c>
      <c r="Z6" s="5">
        <v>1650.6885733192266</v>
      </c>
      <c r="AA6" s="35"/>
    </row>
    <row r="7" spans="2:27" x14ac:dyDescent="0.2">
      <c r="B7" s="4">
        <v>4</v>
      </c>
      <c r="C7" s="4">
        <v>332</v>
      </c>
      <c r="D7" s="23">
        <v>42431.458981576223</v>
      </c>
      <c r="E7" s="33">
        <v>6.0064875000534812E-2</v>
      </c>
      <c r="F7" s="5">
        <v>1</v>
      </c>
      <c r="G7" s="23">
        <v>40</v>
      </c>
      <c r="H7" s="33">
        <v>0</v>
      </c>
      <c r="I7" s="23">
        <v>7.7936292270531453</v>
      </c>
      <c r="J7" s="5">
        <v>744.97027941566921</v>
      </c>
      <c r="K7" s="31"/>
      <c r="L7" s="23">
        <v>42431.458981576223</v>
      </c>
      <c r="M7" s="33">
        <v>6.594420800320222E-2</v>
      </c>
      <c r="N7" s="5">
        <v>1</v>
      </c>
      <c r="O7" s="5">
        <v>40</v>
      </c>
      <c r="P7" s="33">
        <v>0</v>
      </c>
      <c r="Q7" s="5">
        <v>7.7936292270531453</v>
      </c>
      <c r="R7" s="5">
        <v>744.97027941566921</v>
      </c>
      <c r="S7" s="31"/>
      <c r="T7" s="23">
        <v>42560.039979571091</v>
      </c>
      <c r="U7" s="33">
        <v>6.6252583997993497E-2</v>
      </c>
      <c r="V7" s="5">
        <v>2</v>
      </c>
      <c r="W7" s="5">
        <v>60</v>
      </c>
      <c r="X7" s="33">
        <v>0</v>
      </c>
      <c r="Y7" s="5">
        <v>11.92930744902983</v>
      </c>
      <c r="Z7" s="5">
        <v>811.9327067931564</v>
      </c>
      <c r="AA7" s="35"/>
    </row>
    <row r="8" spans="2:27" x14ac:dyDescent="0.2">
      <c r="B8" s="4">
        <v>5</v>
      </c>
      <c r="C8" s="4">
        <v>460</v>
      </c>
      <c r="D8" s="23">
        <v>40677.609977786822</v>
      </c>
      <c r="E8" s="33">
        <v>8.2183832999362494E-2</v>
      </c>
      <c r="F8" s="5">
        <v>2</v>
      </c>
      <c r="G8" s="23">
        <v>70</v>
      </c>
      <c r="H8" s="33">
        <v>0</v>
      </c>
      <c r="I8" s="23">
        <v>11.664476366695574</v>
      </c>
      <c r="J8" s="5">
        <v>1082.8880848387666</v>
      </c>
      <c r="K8" s="31"/>
      <c r="L8" s="23">
        <v>40677.609977786822</v>
      </c>
      <c r="M8" s="33">
        <v>8.9098791999276727E-2</v>
      </c>
      <c r="N8" s="5">
        <v>2</v>
      </c>
      <c r="O8" s="5">
        <v>70</v>
      </c>
      <c r="P8" s="33">
        <v>0</v>
      </c>
      <c r="Q8" s="5">
        <v>11.664476366695574</v>
      </c>
      <c r="R8" s="5">
        <v>1082.8880848387666</v>
      </c>
      <c r="S8" s="31"/>
      <c r="T8" s="23">
        <v>42426.483047034519</v>
      </c>
      <c r="U8" s="33">
        <v>0.10102904099767331</v>
      </c>
      <c r="V8" s="5">
        <v>2</v>
      </c>
      <c r="W8" s="5">
        <v>70</v>
      </c>
      <c r="X8" s="33">
        <v>0</v>
      </c>
      <c r="Y8" s="5">
        <v>23.772295460943546</v>
      </c>
      <c r="Z8" s="5">
        <v>1650.6885733192266</v>
      </c>
      <c r="AA8" s="35"/>
    </row>
    <row r="9" spans="2:27" x14ac:dyDescent="0.2">
      <c r="B9" s="4">
        <v>6</v>
      </c>
      <c r="C9" s="4">
        <v>476</v>
      </c>
      <c r="D9" s="23">
        <v>40677.609977786822</v>
      </c>
      <c r="E9" s="33">
        <v>5.0170208000054117E-2</v>
      </c>
      <c r="F9" s="5">
        <v>2</v>
      </c>
      <c r="G9" s="23">
        <v>70</v>
      </c>
      <c r="H9" s="33">
        <v>0</v>
      </c>
      <c r="I9" s="23">
        <v>11.664476366695574</v>
      </c>
      <c r="J9" s="5">
        <v>1082.8880848387666</v>
      </c>
      <c r="K9" s="31"/>
      <c r="L9" s="23">
        <v>40677.609977786822</v>
      </c>
      <c r="M9" s="33">
        <v>5.5399458000465529E-2</v>
      </c>
      <c r="N9" s="5">
        <v>2</v>
      </c>
      <c r="O9" s="5">
        <v>70</v>
      </c>
      <c r="P9" s="33">
        <v>0</v>
      </c>
      <c r="Q9" s="5">
        <v>11.664476366695574</v>
      </c>
      <c r="R9" s="5">
        <v>1082.8880848387666</v>
      </c>
      <c r="S9" s="31"/>
      <c r="T9" s="23">
        <v>42426.483047034519</v>
      </c>
      <c r="U9" s="33">
        <v>5.7238250003138091E-2</v>
      </c>
      <c r="V9" s="5">
        <v>2</v>
      </c>
      <c r="W9" s="5">
        <v>70</v>
      </c>
      <c r="X9" s="33">
        <v>0</v>
      </c>
      <c r="Y9" s="5">
        <v>23.772295460943546</v>
      </c>
      <c r="Z9" s="5">
        <v>1650.6885733192266</v>
      </c>
      <c r="AA9" s="35"/>
    </row>
    <row r="10" spans="2:27" x14ac:dyDescent="0.2">
      <c r="B10" s="4">
        <v>7</v>
      </c>
      <c r="C10" s="4">
        <v>502</v>
      </c>
      <c r="D10" s="23">
        <v>40677.609977786822</v>
      </c>
      <c r="E10" s="33">
        <v>7.9704708000463143E-2</v>
      </c>
      <c r="F10" s="5">
        <v>2</v>
      </c>
      <c r="G10" s="23">
        <v>70</v>
      </c>
      <c r="H10" s="33">
        <v>0</v>
      </c>
      <c r="I10" s="23">
        <v>11.664476366695574</v>
      </c>
      <c r="J10" s="5">
        <v>1082.8880848387666</v>
      </c>
      <c r="K10" s="31"/>
      <c r="L10" s="23">
        <v>40677.609977786822</v>
      </c>
      <c r="M10" s="33">
        <v>8.7962458001129562E-2</v>
      </c>
      <c r="N10" s="5">
        <v>2</v>
      </c>
      <c r="O10" s="5">
        <v>70</v>
      </c>
      <c r="P10" s="33">
        <v>0</v>
      </c>
      <c r="Q10" s="5">
        <v>11.664476366695574</v>
      </c>
      <c r="R10" s="5">
        <v>1082.8880848387666</v>
      </c>
      <c r="S10" s="31"/>
      <c r="T10" s="23">
        <v>42426.483047034519</v>
      </c>
      <c r="U10" s="33">
        <v>9.9662917000387097E-2</v>
      </c>
      <c r="V10" s="5">
        <v>2</v>
      </c>
      <c r="W10" s="5">
        <v>70</v>
      </c>
      <c r="X10" s="33">
        <v>0</v>
      </c>
      <c r="Y10" s="5">
        <v>23.772295460943546</v>
      </c>
      <c r="Z10" s="5">
        <v>1650.6885733192266</v>
      </c>
      <c r="AA10" s="35"/>
    </row>
    <row r="11" spans="2:27" x14ac:dyDescent="0.2">
      <c r="B11" s="4">
        <v>8</v>
      </c>
      <c r="C11" s="4">
        <v>956</v>
      </c>
      <c r="D11" s="23">
        <v>40677.609977786822</v>
      </c>
      <c r="E11" s="33">
        <v>4.7259542000574577E-2</v>
      </c>
      <c r="F11" s="5">
        <v>2</v>
      </c>
      <c r="G11" s="23">
        <v>70</v>
      </c>
      <c r="H11" s="33">
        <v>0</v>
      </c>
      <c r="I11" s="23">
        <v>11.664476366695574</v>
      </c>
      <c r="J11" s="5">
        <v>1082.8880848387666</v>
      </c>
      <c r="K11" s="31"/>
      <c r="L11" s="23">
        <v>40677.609977786822</v>
      </c>
      <c r="M11" s="33">
        <v>5.1586416997452027E-2</v>
      </c>
      <c r="N11" s="5">
        <v>2</v>
      </c>
      <c r="O11" s="5">
        <v>70</v>
      </c>
      <c r="P11" s="33">
        <v>0</v>
      </c>
      <c r="Q11" s="5">
        <v>11.664476366695574</v>
      </c>
      <c r="R11" s="5">
        <v>1082.8880848387666</v>
      </c>
      <c r="S11" s="31"/>
      <c r="T11" s="23">
        <v>42426.483047034519</v>
      </c>
      <c r="U11" s="33">
        <v>5.4066249998868443E-2</v>
      </c>
      <c r="V11" s="5">
        <v>2</v>
      </c>
      <c r="W11" s="5">
        <v>70</v>
      </c>
      <c r="X11" s="33">
        <v>0</v>
      </c>
      <c r="Y11" s="5">
        <v>23.772295460943546</v>
      </c>
      <c r="Z11" s="5">
        <v>1650.6885733192266</v>
      </c>
      <c r="AA11" s="35"/>
    </row>
    <row r="12" spans="2:27" x14ac:dyDescent="0.2">
      <c r="B12" s="4">
        <v>9</v>
      </c>
      <c r="C12" s="4">
        <v>589</v>
      </c>
      <c r="D12" s="23">
        <v>40677.609977786822</v>
      </c>
      <c r="E12" s="33">
        <v>3.8433875000009721E-2</v>
      </c>
      <c r="F12" s="5">
        <v>2</v>
      </c>
      <c r="G12" s="23">
        <v>70</v>
      </c>
      <c r="H12" s="33">
        <v>0</v>
      </c>
      <c r="I12" s="23">
        <v>11.664476366695574</v>
      </c>
      <c r="J12" s="5">
        <v>1082.8880848387666</v>
      </c>
      <c r="K12" s="31"/>
      <c r="L12" s="23">
        <v>40677.609977786822</v>
      </c>
      <c r="M12" s="33">
        <v>4.1657874997326871E-2</v>
      </c>
      <c r="N12" s="5">
        <v>2</v>
      </c>
      <c r="O12" s="5">
        <v>70</v>
      </c>
      <c r="P12" s="33">
        <v>0</v>
      </c>
      <c r="Q12" s="5">
        <v>11.664476366695574</v>
      </c>
      <c r="R12" s="5">
        <v>1082.8880848387666</v>
      </c>
      <c r="S12" s="31"/>
      <c r="T12" s="23">
        <v>42426.483047034519</v>
      </c>
      <c r="U12" s="33">
        <v>4.0140707998943981E-2</v>
      </c>
      <c r="V12" s="5">
        <v>2</v>
      </c>
      <c r="W12" s="5">
        <v>70</v>
      </c>
      <c r="X12" s="33">
        <v>0</v>
      </c>
      <c r="Y12" s="5">
        <v>23.772295460943546</v>
      </c>
      <c r="Z12" s="5">
        <v>1650.6885733192266</v>
      </c>
      <c r="AA12" s="35"/>
    </row>
    <row r="13" spans="2:27" x14ac:dyDescent="0.2">
      <c r="B13" s="4">
        <v>10</v>
      </c>
      <c r="C13" s="4">
        <v>819</v>
      </c>
      <c r="D13" s="23">
        <v>40677.609977786822</v>
      </c>
      <c r="E13" s="33">
        <v>6.3017875000696222E-2</v>
      </c>
      <c r="F13" s="5">
        <v>2</v>
      </c>
      <c r="G13" s="23">
        <v>70</v>
      </c>
      <c r="H13" s="33">
        <v>0</v>
      </c>
      <c r="I13" s="23">
        <v>11.664476366695574</v>
      </c>
      <c r="J13" s="5">
        <v>1082.8880848387666</v>
      </c>
      <c r="K13" s="31"/>
      <c r="L13" s="23">
        <v>40677.609977786822</v>
      </c>
      <c r="M13" s="33">
        <v>6.7470250000042142E-2</v>
      </c>
      <c r="N13" s="5">
        <v>2</v>
      </c>
      <c r="O13" s="5">
        <v>70</v>
      </c>
      <c r="P13" s="33">
        <v>0</v>
      </c>
      <c r="Q13" s="5">
        <v>11.664476366695574</v>
      </c>
      <c r="R13" s="5">
        <v>1082.8880848387666</v>
      </c>
      <c r="S13" s="31"/>
      <c r="T13" s="23">
        <v>42426.483047034519</v>
      </c>
      <c r="U13" s="33">
        <v>7.0007959002396092E-2</v>
      </c>
      <c r="V13" s="5">
        <v>2</v>
      </c>
      <c r="W13" s="5">
        <v>70</v>
      </c>
      <c r="X13" s="33">
        <v>0</v>
      </c>
      <c r="Y13" s="5">
        <v>23.772295460943546</v>
      </c>
      <c r="Z13" s="5">
        <v>1650.6885733192266</v>
      </c>
      <c r="AA13" s="35"/>
    </row>
    <row r="14" spans="2:27" x14ac:dyDescent="0.2">
      <c r="B14" s="46" t="s">
        <v>3</v>
      </c>
      <c r="C14" s="47"/>
      <c r="D14" s="9">
        <f>MIN(D4:D13)</f>
        <v>40677.609977786822</v>
      </c>
      <c r="E14" s="22">
        <f>INDEX(E4:E13, MATCH($D$14, D4:D13, 0))</f>
        <v>5.1698874999601678E-2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11.664476366695574</v>
      </c>
      <c r="J14" s="22">
        <f>INDEX(J4:J13, MATCH($D$14, D4:D13, 0))</f>
        <v>1082.8880848387666</v>
      </c>
      <c r="K14" s="32">
        <f>(D14-$D$15)/$D$15</f>
        <v>0</v>
      </c>
      <c r="L14" s="16">
        <f>MIN(L4:L13)</f>
        <v>40677.609977786822</v>
      </c>
      <c r="M14" s="21">
        <f>INDEX(M4:M13, MATCH($L$14, L4:L13, 0))</f>
        <v>5.3247792002366623E-2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11.664476366695574</v>
      </c>
      <c r="R14" s="21">
        <f>INDEX(R4:R13, MATCH($L$14, L4:L13, 0))</f>
        <v>1082.8880848387666</v>
      </c>
      <c r="S14" s="36">
        <f>(L14-$D$15)/$D$15</f>
        <v>0</v>
      </c>
      <c r="T14" s="38">
        <f>MIN(T4:T13)</f>
        <v>42426.483047034519</v>
      </c>
      <c r="U14" s="39">
        <f>INDEX(U4:U13, MATCH($T$14, T4:T13, 0))</f>
        <v>4.4314499999018153E-2</v>
      </c>
      <c r="V14" s="38">
        <f>INDEX(V4:V13, MATCH($T$14, T4:T13, 0))</f>
        <v>2</v>
      </c>
      <c r="W14" s="38">
        <f>INDEX(W4:W13, MATCH($T$14, T4:T13, 0))</f>
        <v>70</v>
      </c>
      <c r="X14" s="39">
        <f>INDEX(X4:X13, MATCH($T$14, T4:T13, 0))</f>
        <v>0</v>
      </c>
      <c r="Y14" s="39">
        <f>INDEX(Y4:Y13, MATCH($T$14, T4:T13, 0))</f>
        <v>23.772295460943546</v>
      </c>
      <c r="Z14" s="39">
        <f>INDEX(Z4:Z13, MATCH($T$14, T4:T13, 0))</f>
        <v>1650.6885733192266</v>
      </c>
      <c r="AA14" s="40">
        <f>(T14-$D$15)/$D$15</f>
        <v>4.2993506014800745E-2</v>
      </c>
    </row>
    <row r="15" spans="2:27" x14ac:dyDescent="0.2">
      <c r="C15" s="1" t="s">
        <v>17</v>
      </c>
      <c r="D15" s="34">
        <v>40677.609977786822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49" priority="7"/>
    <cfRule type="duplicateValues" dxfId="48" priority="8"/>
  </conditionalFormatting>
  <conditionalFormatting sqref="C14">
    <cfRule type="duplicateValues" dxfId="47" priority="1"/>
    <cfRule type="duplicateValues" dxfId="46" priority="2"/>
  </conditionalFormatting>
  <conditionalFormatting sqref="C17">
    <cfRule type="duplicateValues" dxfId="45" priority="3"/>
    <cfRule type="duplicateValues" dxfId="44" priority="4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BE6D1-5391-1A4B-A093-47B1B08B6839}">
  <dimension ref="B1:AA17"/>
  <sheetViews>
    <sheetView zoomScale="110" zoomScaleNormal="110" workbookViewId="0">
      <selection activeCell="A17" sqref="A17:XFD29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-0.99976074904819956</v>
      </c>
      <c r="K2" s="28"/>
      <c r="L2" s="1" t="s">
        <v>19</v>
      </c>
      <c r="P2" s="1" t="e">
        <f>(P14-H14)/H14</f>
        <v>#DIV/0!</v>
      </c>
      <c r="R2" s="1">
        <f>(R14-J14)/J14</f>
        <v>-0.19779226000021571</v>
      </c>
      <c r="T2" s="1" t="s">
        <v>20</v>
      </c>
      <c r="X2" s="1" t="e">
        <f>(X14-P14)/P14</f>
        <v>#DIV/0!</v>
      </c>
      <c r="Z2" s="1">
        <f>(Z14-R14)/R14</f>
        <v>1.0179083362970822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131</v>
      </c>
      <c r="D4" s="23">
        <v>33096.705077268452</v>
      </c>
      <c r="E4" s="33">
        <v>3.9152667000053043E-2</v>
      </c>
      <c r="F4" s="5">
        <v>2</v>
      </c>
      <c r="G4" s="23">
        <v>90</v>
      </c>
      <c r="H4" s="33">
        <v>0</v>
      </c>
      <c r="I4" s="23">
        <v>21.247245588438378</v>
      </c>
      <c r="J4" s="5">
        <v>1310.3917496438412</v>
      </c>
      <c r="K4" s="31"/>
      <c r="L4" s="23">
        <v>46292.714097594551</v>
      </c>
      <c r="M4" s="33">
        <v>4.0839999997842817E-2</v>
      </c>
      <c r="N4" s="5">
        <v>1</v>
      </c>
      <c r="O4" s="5">
        <v>30</v>
      </c>
      <c r="P4" s="33">
        <v>0</v>
      </c>
      <c r="Q4" s="5">
        <v>17.092695664124239</v>
      </c>
      <c r="R4" s="5">
        <v>981.04041307417492</v>
      </c>
      <c r="S4" s="31"/>
      <c r="T4" s="23">
        <v>41659.864482110279</v>
      </c>
      <c r="U4" s="33">
        <v>4.147604100216995E-2</v>
      </c>
      <c r="V4" s="5">
        <v>2</v>
      </c>
      <c r="W4" s="5">
        <v>70</v>
      </c>
      <c r="X4" s="33">
        <v>89.160176431460314</v>
      </c>
      <c r="Y4" s="5">
        <v>43.8927001996312</v>
      </c>
      <c r="Z4" s="5">
        <v>2066.1932814099391</v>
      </c>
      <c r="AA4" s="35"/>
    </row>
    <row r="5" spans="2:27" x14ac:dyDescent="0.2">
      <c r="B5" s="4">
        <v>2</v>
      </c>
      <c r="C5" s="4">
        <v>171</v>
      </c>
      <c r="D5" s="23">
        <v>33096.705077268452</v>
      </c>
      <c r="E5" s="33">
        <v>6.1401791999742272E-2</v>
      </c>
      <c r="F5" s="5">
        <v>2</v>
      </c>
      <c r="G5" s="23">
        <v>90</v>
      </c>
      <c r="H5" s="33">
        <v>0</v>
      </c>
      <c r="I5" s="23">
        <v>21.247245588438378</v>
      </c>
      <c r="J5" s="5">
        <v>1310.3917496438412</v>
      </c>
      <c r="K5" s="31"/>
      <c r="L5" s="23">
        <v>46292.714097594551</v>
      </c>
      <c r="M5" s="33">
        <v>5.8661584000219591E-2</v>
      </c>
      <c r="N5" s="5">
        <v>1</v>
      </c>
      <c r="O5" s="5">
        <v>30</v>
      </c>
      <c r="P5" s="33">
        <v>0</v>
      </c>
      <c r="Q5" s="5">
        <v>17.092695664124239</v>
      </c>
      <c r="R5" s="5">
        <v>981.04041307417492</v>
      </c>
      <c r="S5" s="31"/>
      <c r="T5" s="23">
        <v>41574.667116568882</v>
      </c>
      <c r="U5" s="33">
        <v>6.5760292000049958E-2</v>
      </c>
      <c r="V5" s="5">
        <v>2</v>
      </c>
      <c r="W5" s="5">
        <v>70</v>
      </c>
      <c r="X5" s="33">
        <v>102.92139752715229</v>
      </c>
      <c r="Y5" s="5">
        <v>46.493666827512939</v>
      </c>
      <c r="Z5" s="5">
        <v>2121.2381657927076</v>
      </c>
      <c r="AA5" s="35"/>
    </row>
    <row r="6" spans="2:27" x14ac:dyDescent="0.2">
      <c r="B6" s="4">
        <v>3</v>
      </c>
      <c r="C6" s="4">
        <v>219</v>
      </c>
      <c r="D6" s="23">
        <v>33096.705077268452</v>
      </c>
      <c r="E6" s="33">
        <v>5.0365167000563822E-2</v>
      </c>
      <c r="F6" s="5">
        <v>2</v>
      </c>
      <c r="G6" s="23">
        <v>90</v>
      </c>
      <c r="H6" s="33">
        <v>0</v>
      </c>
      <c r="I6" s="23">
        <v>21.247245588438378</v>
      </c>
      <c r="J6" s="5">
        <v>1310.3917496438412</v>
      </c>
      <c r="K6" s="31"/>
      <c r="L6" s="23">
        <v>43472.934945239183</v>
      </c>
      <c r="M6" s="33">
        <v>5.0186417000077199E-2</v>
      </c>
      <c r="N6" s="5">
        <v>1</v>
      </c>
      <c r="O6" s="5">
        <v>40</v>
      </c>
      <c r="P6" s="33">
        <v>0</v>
      </c>
      <c r="Q6" s="5">
        <v>9.2110782346472639</v>
      </c>
      <c r="R6" s="5">
        <v>1051.206403996149</v>
      </c>
      <c r="S6" s="31"/>
      <c r="T6" s="23">
        <v>41574.667116568882</v>
      </c>
      <c r="U6" s="33">
        <v>4.6773874997597893E-2</v>
      </c>
      <c r="V6" s="5">
        <v>2</v>
      </c>
      <c r="W6" s="5">
        <v>70</v>
      </c>
      <c r="X6" s="33">
        <v>102.92139752715229</v>
      </c>
      <c r="Y6" s="5">
        <v>46.493666827512939</v>
      </c>
      <c r="Z6" s="5">
        <v>2121.2381657927076</v>
      </c>
      <c r="AA6" s="35"/>
    </row>
    <row r="7" spans="2:27" x14ac:dyDescent="0.2">
      <c r="B7" s="4">
        <v>4</v>
      </c>
      <c r="C7" s="4">
        <v>274</v>
      </c>
      <c r="D7" s="23">
        <v>33096.705077268452</v>
      </c>
      <c r="E7" s="33">
        <v>4.7241166999810957E-2</v>
      </c>
      <c r="F7" s="5">
        <v>2</v>
      </c>
      <c r="G7" s="23">
        <v>90</v>
      </c>
      <c r="H7" s="33">
        <v>0</v>
      </c>
      <c r="I7" s="23">
        <v>21.247245588438378</v>
      </c>
      <c r="J7" s="5">
        <v>1310.3917496438412</v>
      </c>
      <c r="K7" s="31"/>
      <c r="L7" s="23">
        <v>43472.934945239183</v>
      </c>
      <c r="M7" s="33">
        <v>4.9158625002746703E-2</v>
      </c>
      <c r="N7" s="5">
        <v>1</v>
      </c>
      <c r="O7" s="5">
        <v>40</v>
      </c>
      <c r="P7" s="33">
        <v>0</v>
      </c>
      <c r="Q7" s="5">
        <v>9.2110782346472639</v>
      </c>
      <c r="R7" s="5">
        <v>1051.206403996149</v>
      </c>
      <c r="S7" s="31"/>
      <c r="T7" s="23">
        <v>41574.667116568882</v>
      </c>
      <c r="U7" s="33">
        <v>4.9491957997815923E-2</v>
      </c>
      <c r="V7" s="5">
        <v>2</v>
      </c>
      <c r="W7" s="5">
        <v>70</v>
      </c>
      <c r="X7" s="33">
        <v>102.92139752715229</v>
      </c>
      <c r="Y7" s="5">
        <v>46.493666827512939</v>
      </c>
      <c r="Z7" s="5">
        <v>2121.2381657927076</v>
      </c>
      <c r="AA7" s="35"/>
    </row>
    <row r="8" spans="2:27" x14ac:dyDescent="0.2">
      <c r="B8" s="4">
        <v>5</v>
      </c>
      <c r="C8" s="4">
        <v>361</v>
      </c>
      <c r="D8" s="23">
        <v>33096.705077268452</v>
      </c>
      <c r="E8" s="33">
        <v>4.9654250000457978E-2</v>
      </c>
      <c r="F8" s="5">
        <v>2</v>
      </c>
      <c r="G8" s="23">
        <v>90</v>
      </c>
      <c r="H8" s="33">
        <v>0</v>
      </c>
      <c r="I8" s="23">
        <v>21.247245588438378</v>
      </c>
      <c r="J8" s="5">
        <v>1310.3917496438412</v>
      </c>
      <c r="K8" s="31"/>
      <c r="L8" s="23">
        <v>43472.934945239183</v>
      </c>
      <c r="M8" s="33">
        <v>3.4524708000390092E-2</v>
      </c>
      <c r="N8" s="5">
        <v>1</v>
      </c>
      <c r="O8" s="5">
        <v>40</v>
      </c>
      <c r="P8" s="33">
        <v>0</v>
      </c>
      <c r="Q8" s="5">
        <v>9.2110782346472639</v>
      </c>
      <c r="R8" s="5">
        <v>1051.206403996149</v>
      </c>
      <c r="S8" s="31"/>
      <c r="T8" s="23">
        <v>41574.667116568882</v>
      </c>
      <c r="U8" s="33">
        <v>7.7824874999350868E-2</v>
      </c>
      <c r="V8" s="5">
        <v>2</v>
      </c>
      <c r="W8" s="5">
        <v>70</v>
      </c>
      <c r="X8" s="33">
        <v>102.92139752715229</v>
      </c>
      <c r="Y8" s="5">
        <v>46.493666827512939</v>
      </c>
      <c r="Z8" s="5">
        <v>2121.2381657927076</v>
      </c>
      <c r="AA8" s="35"/>
    </row>
    <row r="9" spans="2:27" x14ac:dyDescent="0.2">
      <c r="B9" s="4">
        <v>6</v>
      </c>
      <c r="C9" s="4">
        <v>484</v>
      </c>
      <c r="D9" s="23">
        <v>33096.705077268452</v>
      </c>
      <c r="E9" s="33">
        <v>3.780941700006224E-2</v>
      </c>
      <c r="F9" s="5">
        <v>2</v>
      </c>
      <c r="G9" s="23">
        <v>90</v>
      </c>
      <c r="H9" s="33">
        <v>0</v>
      </c>
      <c r="I9" s="23">
        <v>21.247245588438378</v>
      </c>
      <c r="J9" s="5">
        <v>1310.3917496438412</v>
      </c>
      <c r="K9" s="31"/>
      <c r="L9" s="23">
        <v>43621.075985339368</v>
      </c>
      <c r="M9" s="33">
        <v>4.0804249998473097E-2</v>
      </c>
      <c r="N9" s="5">
        <v>1</v>
      </c>
      <c r="O9" s="5">
        <v>40</v>
      </c>
      <c r="P9" s="33">
        <v>0</v>
      </c>
      <c r="Q9" s="5">
        <v>10.433317461936991</v>
      </c>
      <c r="R9" s="5">
        <v>1121.251858541603</v>
      </c>
      <c r="S9" s="31"/>
      <c r="T9" s="23">
        <v>41574.667116568882</v>
      </c>
      <c r="U9" s="33">
        <v>5.6203916003141792E-2</v>
      </c>
      <c r="V9" s="5">
        <v>2</v>
      </c>
      <c r="W9" s="5">
        <v>70</v>
      </c>
      <c r="X9" s="33">
        <v>102.92139752715229</v>
      </c>
      <c r="Y9" s="5">
        <v>46.493666827512939</v>
      </c>
      <c r="Z9" s="5">
        <v>2121.2381657927076</v>
      </c>
      <c r="AA9" s="35"/>
    </row>
    <row r="10" spans="2:27" x14ac:dyDescent="0.2">
      <c r="B10" s="4">
        <v>7</v>
      </c>
      <c r="C10" s="4">
        <v>509</v>
      </c>
      <c r="D10" s="23">
        <v>33096.705077268452</v>
      </c>
      <c r="E10" s="33">
        <v>6.2525458000891376E-2</v>
      </c>
      <c r="F10" s="5">
        <v>2</v>
      </c>
      <c r="G10" s="23">
        <v>90</v>
      </c>
      <c r="H10" s="33">
        <v>0</v>
      </c>
      <c r="I10" s="23">
        <v>21.247245588438378</v>
      </c>
      <c r="J10" s="5">
        <v>1310.3917496438412</v>
      </c>
      <c r="K10" s="31"/>
      <c r="L10" s="23">
        <v>43472.934945239183</v>
      </c>
      <c r="M10" s="33">
        <v>5.0456541001040023E-2</v>
      </c>
      <c r="N10" s="5">
        <v>1</v>
      </c>
      <c r="O10" s="5">
        <v>40</v>
      </c>
      <c r="P10" s="33">
        <v>0</v>
      </c>
      <c r="Q10" s="5">
        <v>9.2110782346472639</v>
      </c>
      <c r="R10" s="5">
        <v>1051.206403996149</v>
      </c>
      <c r="S10" s="31"/>
      <c r="T10" s="23">
        <v>41659.864482110279</v>
      </c>
      <c r="U10" s="33">
        <v>5.2390791999641813E-2</v>
      </c>
      <c r="V10" s="5">
        <v>2</v>
      </c>
      <c r="W10" s="5">
        <v>70</v>
      </c>
      <c r="X10" s="33">
        <v>89.160176431460314</v>
      </c>
      <c r="Y10" s="5">
        <v>43.8927001996312</v>
      </c>
      <c r="Z10" s="5">
        <v>2066.1932814099391</v>
      </c>
      <c r="AA10" s="35"/>
    </row>
    <row r="11" spans="2:27" x14ac:dyDescent="0.2">
      <c r="B11" s="4">
        <v>8</v>
      </c>
      <c r="C11" s="4">
        <v>766</v>
      </c>
      <c r="D11" s="23">
        <v>33096.705077268452</v>
      </c>
      <c r="E11" s="33">
        <v>3.1423624999661108E-2</v>
      </c>
      <c r="F11" s="5">
        <v>2</v>
      </c>
      <c r="G11" s="23">
        <v>90</v>
      </c>
      <c r="H11" s="33">
        <v>0</v>
      </c>
      <c r="I11" s="23">
        <v>21.247245588438378</v>
      </c>
      <c r="J11" s="5">
        <v>1310.3917496438412</v>
      </c>
      <c r="K11" s="31"/>
      <c r="L11" s="23">
        <v>46292.714097594551</v>
      </c>
      <c r="M11" s="33">
        <v>4.0333875000214903E-2</v>
      </c>
      <c r="N11" s="5">
        <v>1</v>
      </c>
      <c r="O11" s="5">
        <v>30</v>
      </c>
      <c r="P11" s="33">
        <v>0</v>
      </c>
      <c r="Q11" s="5">
        <v>17.092695664124239</v>
      </c>
      <c r="R11" s="5">
        <v>981.04041307417492</v>
      </c>
      <c r="S11" s="31"/>
      <c r="T11" s="23">
        <v>41659.864482110279</v>
      </c>
      <c r="U11" s="33">
        <v>3.0236334001529031E-2</v>
      </c>
      <c r="V11" s="5">
        <v>2</v>
      </c>
      <c r="W11" s="5">
        <v>70</v>
      </c>
      <c r="X11" s="33">
        <v>89.160176431460314</v>
      </c>
      <c r="Y11" s="5">
        <v>43.8927001996312</v>
      </c>
      <c r="Z11" s="5">
        <v>2066.1932814099391</v>
      </c>
      <c r="AA11" s="35"/>
    </row>
    <row r="12" spans="2:27" x14ac:dyDescent="0.2">
      <c r="B12" s="4">
        <v>9</v>
      </c>
      <c r="C12" s="4">
        <v>777</v>
      </c>
      <c r="D12" s="23">
        <v>33096.705077268452</v>
      </c>
      <c r="E12" s="33">
        <v>5.5290207999860293E-2</v>
      </c>
      <c r="F12" s="5">
        <v>2</v>
      </c>
      <c r="G12" s="23">
        <v>90</v>
      </c>
      <c r="H12" s="33">
        <v>0</v>
      </c>
      <c r="I12" s="23">
        <v>21.247245588438378</v>
      </c>
      <c r="J12" s="5">
        <v>1310.3917496438412</v>
      </c>
      <c r="K12" s="31"/>
      <c r="L12" s="23">
        <v>43472.934945239183</v>
      </c>
      <c r="M12" s="33">
        <v>4.0302666999195942E-2</v>
      </c>
      <c r="N12" s="5">
        <v>1</v>
      </c>
      <c r="O12" s="5">
        <v>40</v>
      </c>
      <c r="P12" s="33">
        <v>0</v>
      </c>
      <c r="Q12" s="5">
        <v>9.2110782346472639</v>
      </c>
      <c r="R12" s="5">
        <v>1051.206403996149</v>
      </c>
      <c r="S12" s="31"/>
      <c r="T12" s="23">
        <v>41574.667116568882</v>
      </c>
      <c r="U12" s="33">
        <v>5.3946707997965859E-2</v>
      </c>
      <c r="V12" s="5">
        <v>2</v>
      </c>
      <c r="W12" s="5">
        <v>70</v>
      </c>
      <c r="X12" s="33">
        <v>102.92139752715229</v>
      </c>
      <c r="Y12" s="5">
        <v>46.493666827512939</v>
      </c>
      <c r="Z12" s="5">
        <v>2121.2381657927076</v>
      </c>
      <c r="AA12" s="35"/>
    </row>
    <row r="13" spans="2:27" x14ac:dyDescent="0.2">
      <c r="B13" s="4">
        <v>10</v>
      </c>
      <c r="C13" s="4">
        <v>814</v>
      </c>
      <c r="D13" s="23">
        <v>33096.705077268452</v>
      </c>
      <c r="E13" s="33">
        <v>4.7545207999974082E-2</v>
      </c>
      <c r="F13" s="5">
        <v>2</v>
      </c>
      <c r="G13" s="23">
        <v>90</v>
      </c>
      <c r="H13" s="33">
        <v>0</v>
      </c>
      <c r="I13" s="23">
        <v>21.247245588438378</v>
      </c>
      <c r="J13" s="5">
        <v>1310.3917496438412</v>
      </c>
      <c r="K13" s="31"/>
      <c r="L13" s="23">
        <v>43621.075985339368</v>
      </c>
      <c r="M13" s="33">
        <v>4.0846833002433407E-2</v>
      </c>
      <c r="N13" s="5">
        <v>1</v>
      </c>
      <c r="O13" s="5">
        <v>40</v>
      </c>
      <c r="P13" s="33">
        <v>0</v>
      </c>
      <c r="Q13" s="5">
        <v>10.433317461936991</v>
      </c>
      <c r="R13" s="5">
        <v>1121.251858541603</v>
      </c>
      <c r="S13" s="31"/>
      <c r="T13" s="23">
        <v>41574.667116568882</v>
      </c>
      <c r="U13" s="33">
        <v>4.2269624998880317E-2</v>
      </c>
      <c r="V13" s="5">
        <v>2</v>
      </c>
      <c r="W13" s="5">
        <v>70</v>
      </c>
      <c r="X13" s="33">
        <v>102.92139752715229</v>
      </c>
      <c r="Y13" s="5">
        <v>46.493666827512939</v>
      </c>
      <c r="Z13" s="5">
        <v>2121.2381657927076</v>
      </c>
      <c r="AA13" s="35"/>
    </row>
    <row r="14" spans="2:27" x14ac:dyDescent="0.2">
      <c r="B14" s="46" t="s">
        <v>3</v>
      </c>
      <c r="C14" s="47"/>
      <c r="D14" s="9">
        <f>MIN(D4:D13)</f>
        <v>33096.705077268452</v>
      </c>
      <c r="E14" s="22">
        <f>INDEX(E4:E13, MATCH($D$14, D4:D13, 0))</f>
        <v>3.9152667000053043E-2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21.247245588438378</v>
      </c>
      <c r="J14" s="22">
        <f>INDEX(J4:J13, MATCH($D$14, D4:D13, 0))</f>
        <v>1310.3917496438412</v>
      </c>
      <c r="K14" s="32">
        <f>(D14-$D$15)/$D$15</f>
        <v>0</v>
      </c>
      <c r="L14" s="16">
        <f>MIN(L4:L13)</f>
        <v>43472.934945239183</v>
      </c>
      <c r="M14" s="21">
        <f>INDEX(M4:M13, MATCH($L$14, L4:L13, 0))</f>
        <v>5.0186417000077199E-2</v>
      </c>
      <c r="N14" s="16">
        <f>INDEX(N4:N13, MATCH($L$14, L4:L13, 0))</f>
        <v>1</v>
      </c>
      <c r="O14" s="16">
        <f>INDEX(O4:O13, MATCH($L$14, L4:L13, 0))</f>
        <v>40</v>
      </c>
      <c r="P14" s="21">
        <f>INDEX(P4:P13, MATCH($L$14, L4:L13, 0))</f>
        <v>0</v>
      </c>
      <c r="Q14" s="21">
        <f>INDEX(Q4:Q13, MATCH($L$14, L4:L13, 0))</f>
        <v>9.2110782346472639</v>
      </c>
      <c r="R14" s="21">
        <f>INDEX(R4:R13, MATCH($L$14, L4:L13, 0))</f>
        <v>1051.206403996149</v>
      </c>
      <c r="S14" s="36">
        <f>(L14-$D$15)/$D$15</f>
        <v>0.31351247333370824</v>
      </c>
      <c r="T14" s="38">
        <f>MIN(T4:T13)</f>
        <v>41574.667116568882</v>
      </c>
      <c r="U14" s="39">
        <f>INDEX(U4:U13, MATCH($T$14, T4:T13, 0))</f>
        <v>6.5760292000049958E-2</v>
      </c>
      <c r="V14" s="38">
        <f>INDEX(V4:V13, MATCH($T$14, T4:T13, 0))</f>
        <v>2</v>
      </c>
      <c r="W14" s="38">
        <f>INDEX(W4:W13, MATCH($T$14, T4:T13, 0))</f>
        <v>70</v>
      </c>
      <c r="X14" s="39">
        <f>INDEX(X4:X13, MATCH($T$14, T4:T13, 0))</f>
        <v>102.92139752715229</v>
      </c>
      <c r="Y14" s="39">
        <f>INDEX(Y4:Y13, MATCH($T$14, T4:T13, 0))</f>
        <v>46.493666827512939</v>
      </c>
      <c r="Z14" s="39">
        <f>INDEX(Z4:Z13, MATCH($T$14, T4:T13, 0))</f>
        <v>2121.2381657927076</v>
      </c>
      <c r="AA14" s="40">
        <f>(T14-$D$15)/$D$15</f>
        <v>0.25615728271160387</v>
      </c>
    </row>
    <row r="15" spans="2:27" x14ac:dyDescent="0.2">
      <c r="C15" s="1" t="s">
        <v>17</v>
      </c>
      <c r="D15" s="34">
        <v>33096.705077268452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43" priority="7"/>
    <cfRule type="duplicateValues" dxfId="42" priority="8"/>
  </conditionalFormatting>
  <conditionalFormatting sqref="C14">
    <cfRule type="duplicateValues" dxfId="41" priority="1"/>
    <cfRule type="duplicateValues" dxfId="40" priority="2"/>
  </conditionalFormatting>
  <conditionalFormatting sqref="C17">
    <cfRule type="duplicateValues" dxfId="39" priority="3"/>
    <cfRule type="duplicateValues" dxfId="38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04FA-B4AC-9840-8ADC-3CB08EEFC74D}">
  <dimension ref="B1:AA17"/>
  <sheetViews>
    <sheetView tabSelected="1"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</v>
      </c>
      <c r="H2" s="28" t="e">
        <f>(Q14-H14)/H14</f>
        <v>#DIV/0!</v>
      </c>
      <c r="J2" s="28">
        <f>(S14-J14)/J14</f>
        <v>-1</v>
      </c>
      <c r="K2" s="28"/>
      <c r="L2" s="1" t="s">
        <v>19</v>
      </c>
      <c r="P2" s="1" t="e">
        <f>(P14-H14)/H14</f>
        <v>#DIV/0!</v>
      </c>
      <c r="R2" s="1">
        <f>(R14-J14)/J14</f>
        <v>0</v>
      </c>
      <c r="T2" s="1" t="s">
        <v>20</v>
      </c>
      <c r="X2" s="1" t="e">
        <f>(X14-P14)/P14</f>
        <v>#DIV/0!</v>
      </c>
      <c r="Z2" s="1">
        <f>(Z14-R14)/R14</f>
        <v>0.28359691666960474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95</v>
      </c>
      <c r="D4" s="23">
        <v>39088.534810850753</v>
      </c>
      <c r="E4" s="33">
        <v>6.6298249999817926E-2</v>
      </c>
      <c r="F4" s="5">
        <v>2</v>
      </c>
      <c r="G4" s="23">
        <v>70</v>
      </c>
      <c r="H4" s="33">
        <v>0</v>
      </c>
      <c r="I4" s="23">
        <v>10.374110866974526</v>
      </c>
      <c r="J4" s="5">
        <v>814.6987033405203</v>
      </c>
      <c r="K4" s="31"/>
      <c r="L4" s="23">
        <v>39088.534810850753</v>
      </c>
      <c r="M4" s="33">
        <v>7.0990958996844711E-2</v>
      </c>
      <c r="N4" s="5">
        <v>2</v>
      </c>
      <c r="O4" s="5">
        <v>70</v>
      </c>
      <c r="P4" s="33">
        <v>0</v>
      </c>
      <c r="Q4" s="5">
        <v>10.374110866974526</v>
      </c>
      <c r="R4" s="5">
        <v>814.6987033405203</v>
      </c>
      <c r="S4" s="31"/>
      <c r="T4" s="23">
        <v>39466.484793995252</v>
      </c>
      <c r="U4" s="33">
        <v>6.222712499948102E-2</v>
      </c>
      <c r="V4" s="5">
        <v>2</v>
      </c>
      <c r="W4" s="5">
        <v>70</v>
      </c>
      <c r="X4" s="33">
        <v>0</v>
      </c>
      <c r="Y4" s="5">
        <v>17.693644338833913</v>
      </c>
      <c r="Z4" s="5">
        <v>1045.7447436226169</v>
      </c>
      <c r="AA4" s="35"/>
    </row>
    <row r="5" spans="2:27" x14ac:dyDescent="0.2">
      <c r="B5" s="4">
        <v>2</v>
      </c>
      <c r="C5" s="4">
        <v>199</v>
      </c>
      <c r="D5" s="23">
        <v>39088.534810850753</v>
      </c>
      <c r="E5" s="33">
        <v>5.5033291000654572E-2</v>
      </c>
      <c r="F5" s="5">
        <v>2</v>
      </c>
      <c r="G5" s="23">
        <v>70</v>
      </c>
      <c r="H5" s="33">
        <v>0</v>
      </c>
      <c r="I5" s="23">
        <v>10.374110866974526</v>
      </c>
      <c r="J5" s="5">
        <v>814.6987033405203</v>
      </c>
      <c r="K5" s="31"/>
      <c r="L5" s="23">
        <v>39088.534810850753</v>
      </c>
      <c r="M5" s="33">
        <v>5.813533299806295E-2</v>
      </c>
      <c r="N5" s="5">
        <v>2</v>
      </c>
      <c r="O5" s="5">
        <v>70</v>
      </c>
      <c r="P5" s="33">
        <v>0</v>
      </c>
      <c r="Q5" s="5">
        <v>10.374110866974526</v>
      </c>
      <c r="R5" s="5">
        <v>814.6987033405203</v>
      </c>
      <c r="S5" s="31"/>
      <c r="T5" s="23">
        <v>39828.256317671869</v>
      </c>
      <c r="U5" s="33">
        <v>5.58002090001537E-2</v>
      </c>
      <c r="V5" s="5">
        <v>2</v>
      </c>
      <c r="W5" s="5">
        <v>70</v>
      </c>
      <c r="X5" s="33">
        <v>0</v>
      </c>
      <c r="Y5" s="5">
        <v>16.990075607860334</v>
      </c>
      <c r="Z5" s="5">
        <v>1062.1135973499888</v>
      </c>
      <c r="AA5" s="35"/>
    </row>
    <row r="6" spans="2:27" x14ac:dyDescent="0.2">
      <c r="B6" s="4">
        <v>3</v>
      </c>
      <c r="C6" s="4">
        <v>225</v>
      </c>
      <c r="D6" s="23">
        <v>39088.534810850753</v>
      </c>
      <c r="E6" s="33">
        <v>4.8908124999798019E-2</v>
      </c>
      <c r="F6" s="5">
        <v>2</v>
      </c>
      <c r="G6" s="23">
        <v>70</v>
      </c>
      <c r="H6" s="33">
        <v>0</v>
      </c>
      <c r="I6" s="23">
        <v>10.374110866974526</v>
      </c>
      <c r="J6" s="5">
        <v>814.6987033405203</v>
      </c>
      <c r="K6" s="31"/>
      <c r="L6" s="23">
        <v>39088.534810850753</v>
      </c>
      <c r="M6" s="33">
        <v>5.1389874999586027E-2</v>
      </c>
      <c r="N6" s="5">
        <v>2</v>
      </c>
      <c r="O6" s="5">
        <v>70</v>
      </c>
      <c r="P6" s="33">
        <v>0</v>
      </c>
      <c r="Q6" s="5">
        <v>10.374110866974526</v>
      </c>
      <c r="R6" s="5">
        <v>814.6987033405203</v>
      </c>
      <c r="S6" s="31"/>
      <c r="T6" s="23">
        <v>39466.484793995252</v>
      </c>
      <c r="U6" s="33">
        <v>5.9482250002474757E-2</v>
      </c>
      <c r="V6" s="5">
        <v>2</v>
      </c>
      <c r="W6" s="5">
        <v>70</v>
      </c>
      <c r="X6" s="33">
        <v>0</v>
      </c>
      <c r="Y6" s="5">
        <v>17.693644338833913</v>
      </c>
      <c r="Z6" s="5">
        <v>1045.7447436226169</v>
      </c>
      <c r="AA6" s="35"/>
    </row>
    <row r="7" spans="2:27" x14ac:dyDescent="0.2">
      <c r="B7" s="4">
        <v>4</v>
      </c>
      <c r="C7" s="4">
        <v>249</v>
      </c>
      <c r="D7" s="23">
        <v>39508.429838666008</v>
      </c>
      <c r="E7" s="33">
        <v>3.9740458000778738E-2</v>
      </c>
      <c r="F7" s="5">
        <v>2</v>
      </c>
      <c r="G7" s="23">
        <v>70</v>
      </c>
      <c r="H7" s="33">
        <v>0</v>
      </c>
      <c r="I7" s="23">
        <v>10.386330627141367</v>
      </c>
      <c r="J7" s="5">
        <v>852.54477119891271</v>
      </c>
      <c r="K7" s="31"/>
      <c r="L7" s="23">
        <v>39508.429838666008</v>
      </c>
      <c r="M7" s="33">
        <v>4.3163374997675419E-2</v>
      </c>
      <c r="N7" s="5">
        <v>2</v>
      </c>
      <c r="O7" s="5">
        <v>70</v>
      </c>
      <c r="P7" s="33">
        <v>0</v>
      </c>
      <c r="Q7" s="5">
        <v>10.386330627141367</v>
      </c>
      <c r="R7" s="5">
        <v>852.54477119891271</v>
      </c>
      <c r="S7" s="31"/>
      <c r="T7" s="23">
        <v>41194.562963328317</v>
      </c>
      <c r="U7" s="33">
        <v>4.353708300186554E-2</v>
      </c>
      <c r="V7" s="5">
        <v>2</v>
      </c>
      <c r="W7" s="5">
        <v>70</v>
      </c>
      <c r="X7" s="33">
        <v>0</v>
      </c>
      <c r="Y7" s="5">
        <v>11.232782725367478</v>
      </c>
      <c r="Z7" s="5">
        <v>1094.2319557167016</v>
      </c>
      <c r="AA7" s="35"/>
    </row>
    <row r="8" spans="2:27" x14ac:dyDescent="0.2">
      <c r="B8" s="4">
        <v>5</v>
      </c>
      <c r="C8" s="4">
        <v>279</v>
      </c>
      <c r="D8" s="23">
        <v>39088.534810850753</v>
      </c>
      <c r="E8" s="33">
        <v>3.7915333999990253E-2</v>
      </c>
      <c r="F8" s="5">
        <v>2</v>
      </c>
      <c r="G8" s="23">
        <v>70</v>
      </c>
      <c r="H8" s="33">
        <v>0</v>
      </c>
      <c r="I8" s="23">
        <v>10.374110866974526</v>
      </c>
      <c r="J8" s="5">
        <v>814.6987033405203</v>
      </c>
      <c r="K8" s="31"/>
      <c r="L8" s="23">
        <v>39088.534810850753</v>
      </c>
      <c r="M8" s="33">
        <v>4.0847959000529947E-2</v>
      </c>
      <c r="N8" s="5">
        <v>2</v>
      </c>
      <c r="O8" s="5">
        <v>70</v>
      </c>
      <c r="P8" s="33">
        <v>0</v>
      </c>
      <c r="Q8" s="5">
        <v>10.374110866974526</v>
      </c>
      <c r="R8" s="5">
        <v>814.6987033405203</v>
      </c>
      <c r="S8" s="31"/>
      <c r="T8" s="23">
        <v>39466.484793995252</v>
      </c>
      <c r="U8" s="33">
        <v>3.9179540999612072E-2</v>
      </c>
      <c r="V8" s="5">
        <v>2</v>
      </c>
      <c r="W8" s="5">
        <v>70</v>
      </c>
      <c r="X8" s="33">
        <v>0</v>
      </c>
      <c r="Y8" s="5">
        <v>17.693644338833913</v>
      </c>
      <c r="Z8" s="5">
        <v>1045.7447436226169</v>
      </c>
      <c r="AA8" s="35"/>
    </row>
    <row r="9" spans="2:27" x14ac:dyDescent="0.2">
      <c r="B9" s="4">
        <v>6</v>
      </c>
      <c r="C9" s="4">
        <v>340</v>
      </c>
      <c r="D9" s="23">
        <v>39088.534810850753</v>
      </c>
      <c r="E9" s="33">
        <v>6.0617582999839208E-2</v>
      </c>
      <c r="F9" s="5">
        <v>2</v>
      </c>
      <c r="G9" s="23">
        <v>70</v>
      </c>
      <c r="H9" s="33">
        <v>0</v>
      </c>
      <c r="I9" s="23">
        <v>10.374110866974526</v>
      </c>
      <c r="J9" s="5">
        <v>814.6987033405203</v>
      </c>
      <c r="K9" s="31"/>
      <c r="L9" s="23">
        <v>39088.534810850753</v>
      </c>
      <c r="M9" s="33">
        <v>6.4123167001525871E-2</v>
      </c>
      <c r="N9" s="5">
        <v>2</v>
      </c>
      <c r="O9" s="5">
        <v>70</v>
      </c>
      <c r="P9" s="33">
        <v>0</v>
      </c>
      <c r="Q9" s="5">
        <v>10.374110866974526</v>
      </c>
      <c r="R9" s="5">
        <v>814.6987033405203</v>
      </c>
      <c r="S9" s="31"/>
      <c r="T9" s="23">
        <v>39466.484793995252</v>
      </c>
      <c r="U9" s="33">
        <v>6.461841700001969E-2</v>
      </c>
      <c r="V9" s="5">
        <v>2</v>
      </c>
      <c r="W9" s="5">
        <v>70</v>
      </c>
      <c r="X9" s="33">
        <v>0</v>
      </c>
      <c r="Y9" s="5">
        <v>17.693644338833913</v>
      </c>
      <c r="Z9" s="5">
        <v>1045.7447436226169</v>
      </c>
      <c r="AA9" s="35"/>
    </row>
    <row r="10" spans="2:27" x14ac:dyDescent="0.2">
      <c r="B10" s="4">
        <v>7</v>
      </c>
      <c r="C10" s="4">
        <v>215</v>
      </c>
      <c r="D10" s="23">
        <v>39088.534810850753</v>
      </c>
      <c r="E10" s="33">
        <v>4.1445666000072379E-2</v>
      </c>
      <c r="F10" s="5">
        <v>2</v>
      </c>
      <c r="G10" s="23">
        <v>70</v>
      </c>
      <c r="H10" s="33">
        <v>0</v>
      </c>
      <c r="I10" s="23">
        <v>10.374110866974526</v>
      </c>
      <c r="J10" s="5">
        <v>814.6987033405203</v>
      </c>
      <c r="K10" s="31"/>
      <c r="L10" s="23">
        <v>39088.534810850753</v>
      </c>
      <c r="M10" s="33">
        <v>4.4740875000570668E-2</v>
      </c>
      <c r="N10" s="5">
        <v>2</v>
      </c>
      <c r="O10" s="5">
        <v>70</v>
      </c>
      <c r="P10" s="33">
        <v>0</v>
      </c>
      <c r="Q10" s="5">
        <v>10.374110866974526</v>
      </c>
      <c r="R10" s="5">
        <v>814.6987033405203</v>
      </c>
      <c r="S10" s="31"/>
      <c r="T10" s="23">
        <v>39466.484793995252</v>
      </c>
      <c r="U10" s="33">
        <v>4.6448667002550792E-2</v>
      </c>
      <c r="V10" s="5">
        <v>2</v>
      </c>
      <c r="W10" s="5">
        <v>70</v>
      </c>
      <c r="X10" s="33">
        <v>0</v>
      </c>
      <c r="Y10" s="5">
        <v>17.693644338833913</v>
      </c>
      <c r="Z10" s="5">
        <v>1045.7447436226169</v>
      </c>
      <c r="AA10" s="35"/>
    </row>
    <row r="11" spans="2:27" x14ac:dyDescent="0.2">
      <c r="B11" s="4">
        <v>8</v>
      </c>
      <c r="C11" s="4">
        <v>844</v>
      </c>
      <c r="D11" s="23">
        <v>39088.534810850753</v>
      </c>
      <c r="E11" s="33">
        <v>3.8939500000196858E-2</v>
      </c>
      <c r="F11" s="5">
        <v>2</v>
      </c>
      <c r="G11" s="23">
        <v>70</v>
      </c>
      <c r="H11" s="33">
        <v>0</v>
      </c>
      <c r="I11" s="23">
        <v>10.374110866974526</v>
      </c>
      <c r="J11" s="5">
        <v>814.6987033405203</v>
      </c>
      <c r="K11" s="31"/>
      <c r="L11" s="23">
        <v>39088.534810850753</v>
      </c>
      <c r="M11" s="33">
        <v>4.2424332998052712E-2</v>
      </c>
      <c r="N11" s="5">
        <v>2</v>
      </c>
      <c r="O11" s="5">
        <v>70</v>
      </c>
      <c r="P11" s="33">
        <v>0</v>
      </c>
      <c r="Q11" s="5">
        <v>10.374110866974526</v>
      </c>
      <c r="R11" s="5">
        <v>814.6987033405203</v>
      </c>
      <c r="S11" s="31"/>
      <c r="T11" s="23">
        <v>39466.484793995252</v>
      </c>
      <c r="U11" s="33">
        <v>3.6201582999638049E-2</v>
      </c>
      <c r="V11" s="5">
        <v>2</v>
      </c>
      <c r="W11" s="5">
        <v>70</v>
      </c>
      <c r="X11" s="33">
        <v>0</v>
      </c>
      <c r="Y11" s="5">
        <v>17.693644338833913</v>
      </c>
      <c r="Z11" s="5">
        <v>1045.7447436226169</v>
      </c>
      <c r="AA11" s="35"/>
    </row>
    <row r="12" spans="2:27" x14ac:dyDescent="0.2">
      <c r="B12" s="4">
        <v>9</v>
      </c>
      <c r="C12" s="4">
        <v>859</v>
      </c>
      <c r="D12" s="23">
        <v>40120.528497002997</v>
      </c>
      <c r="E12" s="33">
        <v>6.1138333000599232E-2</v>
      </c>
      <c r="F12" s="5">
        <v>2</v>
      </c>
      <c r="G12" s="23">
        <v>70</v>
      </c>
      <c r="H12" s="33">
        <v>0</v>
      </c>
      <c r="I12" s="23">
        <v>8.0037101519439879</v>
      </c>
      <c r="J12" s="5">
        <v>873.44798103922881</v>
      </c>
      <c r="K12" s="31"/>
      <c r="L12" s="23">
        <v>40120.528497002997</v>
      </c>
      <c r="M12" s="33">
        <v>6.6456958000344457E-2</v>
      </c>
      <c r="N12" s="5">
        <v>2</v>
      </c>
      <c r="O12" s="5">
        <v>70</v>
      </c>
      <c r="P12" s="33">
        <v>0</v>
      </c>
      <c r="Q12" s="5">
        <v>8.0037101519439879</v>
      </c>
      <c r="R12" s="5">
        <v>873.44798103922881</v>
      </c>
      <c r="S12" s="31"/>
      <c r="T12" s="23">
        <v>39911.059789124643</v>
      </c>
      <c r="U12" s="33">
        <v>6.2070916999800829E-2</v>
      </c>
      <c r="V12" s="5">
        <v>2</v>
      </c>
      <c r="W12" s="5">
        <v>70</v>
      </c>
      <c r="X12" s="33">
        <v>0</v>
      </c>
      <c r="Y12" s="5">
        <v>17.759634417029584</v>
      </c>
      <c r="Z12" s="5">
        <v>1085.9446609230392</v>
      </c>
      <c r="AA12" s="35"/>
    </row>
    <row r="13" spans="2:27" x14ac:dyDescent="0.2">
      <c r="B13" s="4">
        <v>10</v>
      </c>
      <c r="C13" s="4">
        <v>957</v>
      </c>
      <c r="D13" s="23">
        <v>39088.534810850753</v>
      </c>
      <c r="E13" s="33">
        <v>5.4852917000062007E-2</v>
      </c>
      <c r="F13" s="5">
        <v>2</v>
      </c>
      <c r="G13" s="23">
        <v>70</v>
      </c>
      <c r="H13" s="33">
        <v>0</v>
      </c>
      <c r="I13" s="23">
        <v>10.374110866974526</v>
      </c>
      <c r="J13" s="5">
        <v>814.6987033405203</v>
      </c>
      <c r="K13" s="31"/>
      <c r="L13" s="23">
        <v>39088.534810850753</v>
      </c>
      <c r="M13" s="33">
        <v>5.6949166999402223E-2</v>
      </c>
      <c r="N13" s="5">
        <v>2</v>
      </c>
      <c r="O13" s="5">
        <v>70</v>
      </c>
      <c r="P13" s="33">
        <v>0</v>
      </c>
      <c r="Q13" s="5">
        <v>10.374110866974526</v>
      </c>
      <c r="R13" s="5">
        <v>814.6987033405203</v>
      </c>
      <c r="S13" s="31"/>
      <c r="T13" s="23">
        <v>39466.484793995252</v>
      </c>
      <c r="U13" s="33">
        <v>4.8156834000110393E-2</v>
      </c>
      <c r="V13" s="5">
        <v>2</v>
      </c>
      <c r="W13" s="5">
        <v>70</v>
      </c>
      <c r="X13" s="33">
        <v>0</v>
      </c>
      <c r="Y13" s="5">
        <v>17.693644338833913</v>
      </c>
      <c r="Z13" s="5">
        <v>1045.7447436226169</v>
      </c>
      <c r="AA13" s="35"/>
    </row>
    <row r="14" spans="2:27" x14ac:dyDescent="0.2">
      <c r="B14" s="46" t="s">
        <v>3</v>
      </c>
      <c r="C14" s="47"/>
      <c r="D14" s="9">
        <f>MIN(D4:D13)</f>
        <v>39088.534810850753</v>
      </c>
      <c r="E14" s="22">
        <f>INDEX(E4:E13, MATCH($D$14, D4:D13, 0))</f>
        <v>6.6298249999817926E-2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10.374110866974526</v>
      </c>
      <c r="J14" s="22">
        <f>INDEX(J4:J13, MATCH($D$14, D4:D13, 0))</f>
        <v>814.6987033405203</v>
      </c>
      <c r="K14" s="32">
        <f>(D14-$D$15)/$D$15</f>
        <v>0</v>
      </c>
      <c r="L14" s="16">
        <f>MIN(L4:L13)</f>
        <v>39088.534810850753</v>
      </c>
      <c r="M14" s="21">
        <f>INDEX(M4:M13, MATCH($L$14, L4:L13, 0))</f>
        <v>7.0990958996844711E-2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10.374110866974526</v>
      </c>
      <c r="R14" s="21">
        <f>INDEX(R4:R13, MATCH($L$14, L4:L13, 0))</f>
        <v>814.6987033405203</v>
      </c>
      <c r="S14" s="36">
        <f>(L14-$D$15)/$D$15</f>
        <v>0</v>
      </c>
      <c r="T14" s="38">
        <f>MIN(T4:T13)</f>
        <v>39466.484793995252</v>
      </c>
      <c r="U14" s="39">
        <f>INDEX(U4:U13, MATCH($T$14, T4:T13, 0))</f>
        <v>6.222712499948102E-2</v>
      </c>
      <c r="V14" s="38">
        <f>INDEX(V4:V13, MATCH($T$14, T4:T13, 0))</f>
        <v>2</v>
      </c>
      <c r="W14" s="38">
        <f>INDEX(W4:W13, MATCH($T$14, T4:T13, 0))</f>
        <v>70</v>
      </c>
      <c r="X14" s="39">
        <f>INDEX(X4:X13, MATCH($T$14, T4:T13, 0))</f>
        <v>0</v>
      </c>
      <c r="Y14" s="39">
        <f>INDEX(Y4:Y13, MATCH($T$14, T4:T13, 0))</f>
        <v>17.693644338833913</v>
      </c>
      <c r="Z14" s="39">
        <f>INDEX(Z4:Z13, MATCH($T$14, T4:T13, 0))</f>
        <v>1045.7447436226169</v>
      </c>
      <c r="AA14" s="40">
        <f>(T14-$D$15)/$D$15</f>
        <v>9.6690752153642343E-3</v>
      </c>
    </row>
    <row r="15" spans="2:27" x14ac:dyDescent="0.2">
      <c r="C15" s="1" t="s">
        <v>17</v>
      </c>
      <c r="D15" s="34">
        <v>39088.534810850753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37" priority="7"/>
    <cfRule type="duplicateValues" dxfId="36" priority="8"/>
  </conditionalFormatting>
  <conditionalFormatting sqref="C14">
    <cfRule type="duplicateValues" dxfId="35" priority="1"/>
    <cfRule type="duplicateValues" dxfId="34" priority="2"/>
  </conditionalFormatting>
  <conditionalFormatting sqref="C17">
    <cfRule type="duplicateValues" dxfId="33" priority="3"/>
    <cfRule type="duplicateValues" dxfId="32" priority="4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31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30" priority="1"/>
  </conditionalFormatting>
  <conditionalFormatting sqref="L14">
    <cfRule type="duplicateValues" dxfId="29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28" priority="1"/>
  </conditionalFormatting>
  <conditionalFormatting sqref="L14">
    <cfRule type="duplicateValues" dxfId="27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6" priority="1"/>
  </conditionalFormatting>
  <conditionalFormatting sqref="L14">
    <cfRule type="duplicateValues" dxfId="25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4" priority="1"/>
  </conditionalFormatting>
  <conditionalFormatting sqref="L14">
    <cfRule type="duplicateValues" dxfId="23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2" priority="1"/>
  </conditionalFormatting>
  <conditionalFormatting sqref="L14">
    <cfRule type="duplicateValues" dxfId="21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0" priority="1"/>
    <cfRule type="duplicateValues" dxfId="19" priority="2"/>
  </conditionalFormatting>
  <conditionalFormatting sqref="L14">
    <cfRule type="duplicateValues" dxfId="18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17" priority="1"/>
  </conditionalFormatting>
  <conditionalFormatting sqref="L14">
    <cfRule type="duplicateValues" dxfId="16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15" priority="1"/>
  </conditionalFormatting>
  <conditionalFormatting sqref="L14">
    <cfRule type="duplicateValues" dxfId="14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13" priority="1"/>
  </conditionalFormatting>
  <conditionalFormatting sqref="L14">
    <cfRule type="duplicateValues" dxfId="12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11" priority="1"/>
  </conditionalFormatting>
  <conditionalFormatting sqref="L14">
    <cfRule type="duplicateValues" dxfId="10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9" priority="1"/>
  </conditionalFormatting>
  <conditionalFormatting sqref="L14">
    <cfRule type="duplicateValues" dxfId="8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7" priority="1"/>
  </conditionalFormatting>
  <conditionalFormatting sqref="L14">
    <cfRule type="duplicateValues" dxfId="6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5" priority="1"/>
  </conditionalFormatting>
  <conditionalFormatting sqref="L14">
    <cfRule type="duplicateValues" dxfId="4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3" priority="1"/>
  </conditionalFormatting>
  <conditionalFormatting sqref="L14">
    <cfRule type="duplicateValues" dxfId="2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" priority="1"/>
  </conditionalFormatting>
  <conditionalFormatting sqref="L1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results57</vt:lpstr>
      <vt:lpstr>results119</vt:lpstr>
      <vt:lpstr>results286</vt:lpstr>
      <vt:lpstr>results486</vt:lpstr>
      <vt:lpstr>results492</vt:lpstr>
      <vt:lpstr>results503</vt:lpstr>
      <vt:lpstr>results707</vt:lpstr>
      <vt:lpstr>results722</vt:lpstr>
      <vt:lpstr>results757</vt:lpstr>
      <vt:lpstr>results764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2026-10-16T18:18:29Z</dcterms:modified>
</cp:coreProperties>
</file>