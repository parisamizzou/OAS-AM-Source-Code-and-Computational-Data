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Small/20-3-3/"/>
    </mc:Choice>
  </mc:AlternateContent>
  <xr:revisionPtr revIDLastSave="0" documentId="13_ncr:1_{9DEF79AC-756D-1840-93ED-8112604390E7}" xr6:coauthVersionLast="47" xr6:coauthVersionMax="47" xr10:uidLastSave="{00000000-0000-0000-0000-000000000000}"/>
  <bookViews>
    <workbookView xWindow="0" yWindow="760" windowWidth="34560" windowHeight="20520" activeTab="7" xr2:uid="{41E620E7-D6DF-9342-B452-EA60AB3B07C5}"/>
  </bookViews>
  <sheets>
    <sheet name="Summary" sheetId="74" r:id="rId1"/>
    <sheet name="Base" sheetId="67" r:id="rId2"/>
    <sheet name="Due Date" sheetId="68" r:id="rId3"/>
    <sheet name="Rejection" sheetId="69" r:id="rId4"/>
    <sheet name="Utilization" sheetId="73" r:id="rId5"/>
    <sheet name="Tardiness" sheetId="71" r:id="rId6"/>
    <sheet name="Flow cost" sheetId="72" r:id="rId7"/>
    <sheet name="Inventory" sheetId="7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2" l="1"/>
  <c r="F24" i="73"/>
  <c r="E24" i="73"/>
  <c r="F23" i="73"/>
  <c r="E23" i="73"/>
  <c r="F22" i="73"/>
  <c r="E22" i="73"/>
  <c r="F21" i="73"/>
  <c r="E21" i="73"/>
  <c r="F20" i="73"/>
  <c r="E20" i="73"/>
  <c r="F19" i="73"/>
  <c r="E19" i="73"/>
  <c r="F24" i="72"/>
  <c r="E24" i="72"/>
  <c r="E23" i="72"/>
  <c r="F22" i="72"/>
  <c r="E22" i="72"/>
  <c r="F21" i="72"/>
  <c r="E21" i="72"/>
  <c r="F20" i="72"/>
  <c r="E20" i="72"/>
  <c r="F19" i="72"/>
  <c r="E19" i="72"/>
  <c r="F24" i="71"/>
  <c r="E24" i="71"/>
  <c r="F23" i="71"/>
  <c r="E23" i="71"/>
  <c r="F22" i="71"/>
  <c r="E22" i="71"/>
  <c r="F21" i="71"/>
  <c r="E21" i="71"/>
  <c r="F20" i="71"/>
  <c r="E20" i="71"/>
  <c r="F19" i="71"/>
  <c r="E19" i="71"/>
  <c r="F24" i="69"/>
  <c r="E24" i="69"/>
  <c r="F23" i="69"/>
  <c r="E23" i="69"/>
  <c r="F22" i="69"/>
  <c r="E22" i="69"/>
  <c r="F21" i="69"/>
  <c r="E21" i="69"/>
  <c r="F20" i="69"/>
  <c r="E20" i="69"/>
  <c r="F19" i="69"/>
  <c r="E19" i="69"/>
  <c r="F24" i="70"/>
  <c r="F23" i="70"/>
  <c r="E24" i="70"/>
  <c r="E23" i="70"/>
  <c r="E22" i="70"/>
  <c r="E21" i="70"/>
  <c r="E20" i="70"/>
  <c r="E19" i="70"/>
  <c r="F22" i="70"/>
  <c r="F21" i="70"/>
  <c r="F20" i="70"/>
  <c r="F19" i="70"/>
  <c r="F24" i="68"/>
  <c r="F23" i="68"/>
  <c r="F22" i="68"/>
  <c r="F21" i="68"/>
  <c r="F20" i="68"/>
  <c r="F19" i="68"/>
  <c r="E24" i="68"/>
  <c r="E22" i="68"/>
  <c r="E21" i="68"/>
  <c r="E20" i="68"/>
  <c r="E19" i="68"/>
  <c r="U15" i="68" l="1"/>
  <c r="V15" i="68"/>
  <c r="W15" i="68"/>
  <c r="X15" i="68"/>
  <c r="Y15" i="68"/>
  <c r="Z15" i="68"/>
  <c r="T15" i="68"/>
  <c r="M15" i="68"/>
  <c r="N15" i="68"/>
  <c r="O15" i="68"/>
  <c r="Q15" i="68"/>
  <c r="R15" i="68"/>
  <c r="L15" i="68"/>
  <c r="T11" i="67" a="1"/>
  <c r="W8" i="67" a="1"/>
  <c r="N10" i="67"/>
  <c r="V13" i="67"/>
  <c r="Z5" i="67" a="1"/>
  <c r="S8" i="67" a="1"/>
  <c r="Y12" i="67"/>
  <c r="W5" i="67" a="1"/>
  <c r="Q12" i="67"/>
  <c r="Y4" i="67"/>
  <c r="Q5" i="67"/>
  <c r="S6" i="67" a="1"/>
  <c r="S10" i="67" a="1"/>
  <c r="U9" i="67" a="1"/>
  <c r="AA6" i="67" a="1"/>
  <c r="Y7" i="67"/>
  <c r="S9" i="67" a="1"/>
  <c r="Q7" i="67"/>
  <c r="N4" i="67"/>
  <c r="M8" i="67" a="1"/>
  <c r="U10" i="67" a="1"/>
  <c r="U7" i="67" a="1"/>
  <c r="X13" i="67"/>
  <c r="W11" i="67" a="1"/>
  <c r="O5" i="67" a="1"/>
  <c r="P5" i="67"/>
  <c r="V11" i="67"/>
  <c r="V9" i="67"/>
  <c r="T12" i="67" a="1"/>
  <c r="X6" i="67"/>
  <c r="N5" i="67"/>
  <c r="P9" i="67"/>
  <c r="AA12" i="67" a="1"/>
  <c r="W9" i="67" a="1"/>
  <c r="Q8" i="67"/>
  <c r="Z12" i="67" a="1"/>
  <c r="S4" i="67" a="1"/>
  <c r="Q13" i="67"/>
  <c r="X12" i="67"/>
  <c r="L13" i="67" a="1"/>
  <c r="N7" i="67"/>
  <c r="Z4" i="67" a="1"/>
  <c r="M12" i="67" a="1"/>
  <c r="X4" i="67"/>
  <c r="U6" i="67" a="1"/>
  <c r="AA5" i="67" a="1"/>
  <c r="P8" i="67"/>
  <c r="N8" i="67"/>
  <c r="W13" i="67" a="1"/>
  <c r="O8" i="67" a="1"/>
  <c r="Z8" i="67" a="1"/>
  <c r="N11" i="67"/>
  <c r="R13" i="67" a="1"/>
  <c r="L7" i="67" a="1"/>
  <c r="O10" i="67" a="1"/>
  <c r="R6" i="67" a="1"/>
  <c r="P4" i="67"/>
  <c r="T5" i="67" a="1"/>
  <c r="Z11" i="67" a="1"/>
  <c r="O4" i="67" a="1"/>
  <c r="X7" i="67"/>
  <c r="L12" i="67" a="1"/>
  <c r="P10" i="67"/>
  <c r="Q11" i="67"/>
  <c r="T8" i="67" a="1"/>
  <c r="T10" i="67" a="1"/>
  <c r="AA7" i="67" a="1"/>
  <c r="W4" i="67" a="1"/>
  <c r="S13" i="67" a="1"/>
  <c r="V6" i="67"/>
  <c r="V12" i="67"/>
  <c r="Y9" i="67"/>
  <c r="U4" i="67" a="1"/>
  <c r="Y6" i="67"/>
  <c r="S7" i="67" a="1"/>
  <c r="U11" i="67" a="1"/>
  <c r="M4" i="67" a="1"/>
  <c r="T4" i="67" a="1"/>
  <c r="Q10" i="67"/>
  <c r="Z6" i="67" a="1"/>
  <c r="W7" i="67" a="1"/>
  <c r="N12" i="67"/>
  <c r="Z10" i="67" a="1"/>
  <c r="R9" i="67" a="1"/>
  <c r="R11" i="67" a="1"/>
  <c r="Y5" i="67"/>
  <c r="P7" i="67"/>
  <c r="V5" i="67"/>
  <c r="V10" i="67"/>
  <c r="W10" i="67" a="1"/>
  <c r="P6" i="67"/>
  <c r="O12" i="67" a="1"/>
  <c r="R8" i="67" a="1"/>
  <c r="M10" i="67" a="1"/>
  <c r="P13" i="67"/>
  <c r="M6" i="67" a="1"/>
  <c r="O9" i="67" a="1"/>
  <c r="W6" i="67" a="1"/>
  <c r="N9" i="67"/>
  <c r="S5" i="67" a="1"/>
  <c r="AA13" i="67" a="1"/>
  <c r="Q9" i="67"/>
  <c r="M13" i="67" a="1"/>
  <c r="Q4" i="67"/>
  <c r="U5" i="67" a="1"/>
  <c r="AA11" i="67" a="1"/>
  <c r="L10" i="67" a="1"/>
  <c r="O11" i="67" a="1"/>
  <c r="V7" i="67"/>
  <c r="P12" i="67"/>
  <c r="AA8" i="67" a="1"/>
  <c r="L5" i="67" a="1"/>
  <c r="M7" i="67" a="1"/>
  <c r="S11" i="67" a="1"/>
  <c r="X9" i="67"/>
  <c r="L6" i="67" a="1"/>
  <c r="X5" i="67"/>
  <c r="Z7" i="67" a="1"/>
  <c r="T6" i="67" a="1"/>
  <c r="N13" i="67"/>
  <c r="S12" i="67" a="1"/>
  <c r="AA9" i="67" a="1"/>
  <c r="V4" i="67"/>
  <c r="W12" i="67" a="1"/>
  <c r="Y13" i="67"/>
  <c r="T13" i="67" a="1"/>
  <c r="AA4" i="67" a="1"/>
  <c r="Z13" i="67" a="1"/>
  <c r="T7" i="67" a="1"/>
  <c r="R5" i="67" a="1"/>
  <c r="M11" i="67" a="1"/>
  <c r="O6" i="67" a="1"/>
  <c r="R10" i="67" a="1"/>
  <c r="Z9" i="67" a="1"/>
  <c r="M5" i="67" a="1"/>
  <c r="U13" i="67" a="1"/>
  <c r="X10" i="67"/>
  <c r="V8" i="67"/>
  <c r="L9" i="67" a="1"/>
  <c r="Y8" i="67"/>
  <c r="R4" i="67" a="1"/>
  <c r="L4" i="67" a="1"/>
  <c r="R12" i="67" a="1"/>
  <c r="Y11" i="67"/>
  <c r="N6" i="67"/>
  <c r="U8" i="67" a="1"/>
  <c r="L11" i="67" a="1"/>
  <c r="M9" i="67" a="1"/>
  <c r="X11" i="67"/>
  <c r="R7" i="67" a="1"/>
  <c r="U12" i="67" a="1"/>
  <c r="L8" i="67" a="1"/>
  <c r="AA10" i="67" a="1"/>
  <c r="P11" i="67"/>
  <c r="T9" i="67" a="1"/>
  <c r="O7" i="67" a="1"/>
  <c r="X8" i="67"/>
  <c r="Q6" i="67"/>
  <c r="O13" i="67" a="1"/>
  <c r="Y10" i="67"/>
  <c r="N14" i="73" l="1"/>
  <c r="N15" i="73" s="1"/>
  <c r="Y14" i="73"/>
  <c r="Y15" i="73" s="1"/>
  <c r="D14" i="73"/>
  <c r="P14" i="73"/>
  <c r="P15" i="73" s="1"/>
  <c r="Q14" i="73"/>
  <c r="Q15" i="73" s="1"/>
  <c r="E14" i="73"/>
  <c r="F14" i="73"/>
  <c r="I14" i="73"/>
  <c r="H14" i="73"/>
  <c r="V14" i="73"/>
  <c r="V15" i="73" s="1"/>
  <c r="K14" i="73"/>
  <c r="X14" i="73"/>
  <c r="X15" i="73" s="1"/>
  <c r="I14" i="71"/>
  <c r="Y14" i="72"/>
  <c r="Y15" i="72" s="1"/>
  <c r="V14" i="71"/>
  <c r="V15" i="71" s="1"/>
  <c r="K14" i="71"/>
  <c r="N14" i="72"/>
  <c r="N15" i="72" s="1"/>
  <c r="X14" i="71"/>
  <c r="X15" i="71" s="1"/>
  <c r="Y14" i="71"/>
  <c r="Y15" i="71" s="1"/>
  <c r="P14" i="72"/>
  <c r="P15" i="72" s="1"/>
  <c r="Q14" i="72"/>
  <c r="Q15" i="72" s="1"/>
  <c r="E14" i="72"/>
  <c r="D14" i="72"/>
  <c r="N14" i="71"/>
  <c r="N15" i="71" s="1"/>
  <c r="F14" i="72"/>
  <c r="P14" i="71"/>
  <c r="P15" i="71" s="1"/>
  <c r="Q14" i="71"/>
  <c r="Q15" i="71" s="1"/>
  <c r="H14" i="72"/>
  <c r="D14" i="71"/>
  <c r="E14" i="71"/>
  <c r="I14" i="72"/>
  <c r="F14" i="71"/>
  <c r="K14" i="72"/>
  <c r="V14" i="72"/>
  <c r="V15" i="72" s="1"/>
  <c r="H14" i="71"/>
  <c r="X14" i="72"/>
  <c r="X15" i="72" s="1"/>
  <c r="K14" i="69"/>
  <c r="I14" i="70"/>
  <c r="P14" i="69"/>
  <c r="P15" i="69" s="1"/>
  <c r="Q14" i="69"/>
  <c r="Q15" i="69" s="1"/>
  <c r="V14" i="69"/>
  <c r="V15" i="69" s="1"/>
  <c r="V14" i="70"/>
  <c r="V15" i="70" s="1"/>
  <c r="X14" i="69"/>
  <c r="X15" i="69" s="1"/>
  <c r="D14" i="69"/>
  <c r="E14" i="69"/>
  <c r="F14" i="69"/>
  <c r="I14" i="69"/>
  <c r="Y14" i="70"/>
  <c r="Y15" i="70" s="1"/>
  <c r="N14" i="70"/>
  <c r="N15" i="70" s="1"/>
  <c r="Y14" i="69"/>
  <c r="Y15" i="69" s="1"/>
  <c r="D14" i="70"/>
  <c r="P14" i="70"/>
  <c r="P15" i="70" s="1"/>
  <c r="E14" i="70"/>
  <c r="Q14" i="70"/>
  <c r="Q15" i="70" s="1"/>
  <c r="N14" i="69"/>
  <c r="N15" i="69" s="1"/>
  <c r="F14" i="70"/>
  <c r="H14" i="70"/>
  <c r="K14" i="70"/>
  <c r="H14" i="69"/>
  <c r="X14" i="70"/>
  <c r="X15" i="70" s="1"/>
  <c r="Y14" i="68"/>
  <c r="P14" i="68"/>
  <c r="D14" i="68"/>
  <c r="V14" i="68"/>
  <c r="Q14" i="68"/>
  <c r="I14" i="68"/>
  <c r="K14" i="68"/>
  <c r="N14" i="68"/>
  <c r="F14" i="68"/>
  <c r="H14" i="68"/>
  <c r="E14" i="68"/>
  <c r="X14" i="68"/>
  <c r="M7" i="67"/>
  <c r="Z5" i="67"/>
  <c r="AA7" i="67"/>
  <c r="R12" i="67"/>
  <c r="M4" i="67"/>
  <c r="Z4" i="67"/>
  <c r="AA6" i="67"/>
  <c r="O7" i="67"/>
  <c r="R11" i="67"/>
  <c r="S13" i="67"/>
  <c r="AA5" i="67"/>
  <c r="O6" i="67"/>
  <c r="R10" i="67"/>
  <c r="S12" i="67"/>
  <c r="N14" i="67"/>
  <c r="AA4" i="67"/>
  <c r="O5" i="67"/>
  <c r="R9" i="67"/>
  <c r="S11" i="67"/>
  <c r="T13" i="67"/>
  <c r="U13" i="67"/>
  <c r="R8" i="67"/>
  <c r="S10" i="67"/>
  <c r="R7" i="67"/>
  <c r="S9" i="67"/>
  <c r="P14" i="67"/>
  <c r="R6" i="67"/>
  <c r="S8" i="67"/>
  <c r="T10" i="67"/>
  <c r="U12" i="67"/>
  <c r="M5" i="67"/>
  <c r="U11" i="67"/>
  <c r="T8" i="67"/>
  <c r="U10" i="67"/>
  <c r="W13" i="67"/>
  <c r="AA9" i="67"/>
  <c r="S7" i="67"/>
  <c r="T7" i="67"/>
  <c r="S4" i="67"/>
  <c r="W11" i="67"/>
  <c r="L13" i="67"/>
  <c r="L5" i="67"/>
  <c r="O8" i="67"/>
  <c r="O4" i="67"/>
  <c r="T12" i="67"/>
  <c r="T11" i="67"/>
  <c r="Q14" i="67"/>
  <c r="R5" i="67"/>
  <c r="T9" i="67"/>
  <c r="R4" i="67"/>
  <c r="S6" i="67"/>
  <c r="S5" i="67"/>
  <c r="U9" i="67"/>
  <c r="W12" i="67"/>
  <c r="F14" i="67"/>
  <c r="T6" i="67"/>
  <c r="U8" i="67"/>
  <c r="T5" i="67"/>
  <c r="U7" i="67"/>
  <c r="W10" i="67"/>
  <c r="L12" i="67"/>
  <c r="T4" i="67"/>
  <c r="U6" i="67"/>
  <c r="W9" i="67"/>
  <c r="L11" i="67"/>
  <c r="M13" i="67"/>
  <c r="Z13" i="67"/>
  <c r="O10" i="67"/>
  <c r="Y14" i="67"/>
  <c r="H14" i="67"/>
  <c r="U5" i="67"/>
  <c r="W8" i="67"/>
  <c r="L10" i="67"/>
  <c r="M12" i="67"/>
  <c r="Z12" i="67"/>
  <c r="I14" i="67"/>
  <c r="AA13" i="67"/>
  <c r="W7" i="67"/>
  <c r="L9" i="67"/>
  <c r="Z11" i="67"/>
  <c r="L8" i="67"/>
  <c r="Z10" i="67"/>
  <c r="O13" i="67"/>
  <c r="V14" i="67"/>
  <c r="W5" i="67"/>
  <c r="L7" i="67"/>
  <c r="M9" i="67"/>
  <c r="Z9" i="67"/>
  <c r="AA11" i="67"/>
  <c r="O12" i="67"/>
  <c r="U4" i="67"/>
  <c r="M11" i="67"/>
  <c r="W6" i="67"/>
  <c r="M10" i="67"/>
  <c r="AA12" i="67"/>
  <c r="W4" i="67"/>
  <c r="L6" i="67"/>
  <c r="M8" i="67"/>
  <c r="Z8" i="67"/>
  <c r="AA10" i="67"/>
  <c r="O11" i="67"/>
  <c r="Z7" i="67"/>
  <c r="L4" i="67"/>
  <c r="X14" i="67"/>
  <c r="M6" i="67"/>
  <c r="Z6" i="67"/>
  <c r="AA8" i="67"/>
  <c r="O9" i="67"/>
  <c r="R13" i="67"/>
  <c r="E23" i="68" l="1"/>
  <c r="P15" i="68"/>
  <c r="U14" i="73"/>
  <c r="U15" i="73" s="1"/>
  <c r="M14" i="73"/>
  <c r="M15" i="73" s="1"/>
  <c r="AA14" i="73"/>
  <c r="S14" i="73"/>
  <c r="L14" i="73"/>
  <c r="L15" i="73" s="1"/>
  <c r="T14" i="73"/>
  <c r="T15" i="73" s="1"/>
  <c r="T14" i="72"/>
  <c r="T15" i="72" s="1"/>
  <c r="AA14" i="71"/>
  <c r="L14" i="72"/>
  <c r="L15" i="72" s="1"/>
  <c r="AA14" i="72"/>
  <c r="U14" i="72"/>
  <c r="U15" i="72" s="1"/>
  <c r="S14" i="72"/>
  <c r="M14" i="72"/>
  <c r="M15" i="72" s="1"/>
  <c r="U14" i="71"/>
  <c r="U15" i="71" s="1"/>
  <c r="T14" i="71"/>
  <c r="T15" i="71" s="1"/>
  <c r="M14" i="71"/>
  <c r="M15" i="71" s="1"/>
  <c r="AA14" i="69"/>
  <c r="S14" i="71"/>
  <c r="S14" i="70"/>
  <c r="L14" i="71"/>
  <c r="L15" i="71" s="1"/>
  <c r="T14" i="69"/>
  <c r="T15" i="69" s="1"/>
  <c r="L14" i="69"/>
  <c r="L15" i="69" s="1"/>
  <c r="M14" i="69"/>
  <c r="M15" i="69" s="1"/>
  <c r="S14" i="69"/>
  <c r="U14" i="69"/>
  <c r="U15" i="69" s="1"/>
  <c r="M14" i="70"/>
  <c r="M15" i="70" s="1"/>
  <c r="L14" i="70"/>
  <c r="L15" i="70" s="1"/>
  <c r="U14" i="70"/>
  <c r="U15" i="70" s="1"/>
  <c r="L14" i="68"/>
  <c r="T14" i="70"/>
  <c r="T15" i="70" s="1"/>
  <c r="AA14" i="70"/>
  <c r="U14" i="68"/>
  <c r="T14" i="68"/>
  <c r="S14" i="68"/>
  <c r="M14" i="68"/>
  <c r="AA14" i="68"/>
  <c r="U14" i="67"/>
  <c r="M14" i="67"/>
  <c r="AA14" i="67"/>
  <c r="K14" i="67"/>
  <c r="T14" i="67"/>
  <c r="E14" i="67"/>
  <c r="S14" i="67"/>
  <c r="D14" i="67"/>
  <c r="L14" i="67"/>
  <c r="W14" i="73"/>
  <c r="W15" i="73" s="1"/>
  <c r="J14" i="73"/>
  <c r="R14" i="73"/>
  <c r="R15" i="73" s="1"/>
  <c r="G14" i="73"/>
  <c r="Z14" i="73"/>
  <c r="Z15" i="73" s="1"/>
  <c r="O14" i="73"/>
  <c r="O15" i="73" s="1"/>
  <c r="R14" i="71"/>
  <c r="R15" i="71" s="1"/>
  <c r="O14" i="71"/>
  <c r="O15" i="71" s="1"/>
  <c r="W14" i="72"/>
  <c r="W15" i="72" s="1"/>
  <c r="W14" i="71"/>
  <c r="W15" i="71" s="1"/>
  <c r="G14" i="72"/>
  <c r="O14" i="72"/>
  <c r="O15" i="72" s="1"/>
  <c r="Z14" i="72"/>
  <c r="Z15" i="72" s="1"/>
  <c r="Z14" i="71"/>
  <c r="Z15" i="71" s="1"/>
  <c r="G14" i="71"/>
  <c r="G14" i="70"/>
  <c r="J14" i="71"/>
  <c r="J14" i="72"/>
  <c r="R14" i="72"/>
  <c r="R15" i="72" s="1"/>
  <c r="Z14" i="69"/>
  <c r="Z15" i="69" s="1"/>
  <c r="G14" i="69"/>
  <c r="W14" i="70"/>
  <c r="W15" i="70" s="1"/>
  <c r="O14" i="70"/>
  <c r="O15" i="70" s="1"/>
  <c r="Z14" i="70"/>
  <c r="Z15" i="70" s="1"/>
  <c r="W14" i="68"/>
  <c r="R14" i="70"/>
  <c r="R15" i="70" s="1"/>
  <c r="W14" i="69"/>
  <c r="W15" i="69" s="1"/>
  <c r="R14" i="69"/>
  <c r="R15" i="69" s="1"/>
  <c r="J14" i="69"/>
  <c r="O14" i="69"/>
  <c r="O15" i="69" s="1"/>
  <c r="J14" i="70"/>
  <c r="O14" i="68"/>
  <c r="J14" i="68"/>
  <c r="G14" i="68"/>
  <c r="R14" i="68"/>
  <c r="Z14" i="68"/>
  <c r="W14" i="67"/>
  <c r="J14" i="67"/>
  <c r="R14" i="67"/>
  <c r="G14" i="67"/>
  <c r="Z14" i="67"/>
  <c r="O14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<sst xmlns="http://schemas.openxmlformats.org/spreadsheetml/2006/main" count="287" uniqueCount="27">
  <si>
    <t>Obj</t>
  </si>
  <si>
    <t>Gap%</t>
  </si>
  <si>
    <t>Average</t>
  </si>
  <si>
    <t>Seed</t>
  </si>
  <si>
    <t>Time (sec)</t>
  </si>
  <si>
    <t>Instance</t>
  </si>
  <si>
    <t>Ave Completion time</t>
  </si>
  <si>
    <t>Ave Tardiness</t>
  </si>
  <si>
    <t># Batches</t>
  </si>
  <si>
    <t>Average Batch Utilization (%)</t>
  </si>
  <si>
    <t>Acceptance Rate (%)</t>
  </si>
  <si>
    <t>Base</t>
  </si>
  <si>
    <t>+50%</t>
  </si>
  <si>
    <t>-50%</t>
  </si>
  <si>
    <t/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</si>
  <si>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</si>
  <si>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</si>
  <si>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</si>
  <si>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</si>
  <si>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</si>
  <si>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</si>
  <si>
    <t>due date</t>
  </si>
  <si>
    <t>Rejection cost</t>
  </si>
  <si>
    <t>Batch underutilization cost</t>
  </si>
  <si>
    <t>tardiness cost</t>
  </si>
  <si>
    <t>flow-time cost</t>
  </si>
  <si>
    <t>material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</si>
</sst>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9" fontId="0" fillId="0" borderId="0" xfId="1" applyFont="1"/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B3CD-7282-0147-85A6-03066AC3A386}">
  <dimension ref="B4:H25"/>
  <sheetViews>
    <sheetView workbookViewId="0">
      <selection activeCell="M11" sqref="M11"/>
    </sheetView>
  </sheetViews>
  <sheetFormatPr baseColWidth="10" defaultRowHeight="16" x14ac:dyDescent="0.2"/>
  <cols>
    <col min="2" max="2" width="25.83203125" customWidth="1"/>
    <col min="4" max="4" width="12.83203125" bestFit="1" customWidth="1"/>
    <col min="5" max="5" width="23.33203125" bestFit="1" customWidth="1"/>
    <col min="6" max="6" width="12.5" bestFit="1" customWidth="1"/>
    <col min="7" max="7" width="12.6640625" bestFit="1" customWidth="1"/>
    <col min="8" max="8" width="15.83203125" bestFit="1" customWidth="1"/>
  </cols>
  <sheetData>
    <row r="4" spans="2:8" ht="22" x14ac:dyDescent="0.2">
      <c r="B4" s="24" t="s">
        <v>13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2:8" x14ac:dyDescent="0.2">
      <c r="B5" t="s">
        <v>15</v>
      </c>
      <c r="C5" s="25">
        <v>3.5690068621695124E-2</v>
      </c>
      <c r="D5" s="25">
        <v>-0.16545892940404633</v>
      </c>
      <c r="E5" s="25">
        <v>-0.21385144012299481</v>
      </c>
      <c r="F5" s="25">
        <v>-4.798512380630215E-4</v>
      </c>
      <c r="G5" s="25">
        <v>-0.22391759977787565</v>
      </c>
      <c r="H5" s="25">
        <v>0.35872984331541524</v>
      </c>
    </row>
    <row r="6" spans="2:8" x14ac:dyDescent="0.2">
      <c r="B6" t="s">
        <v>16</v>
      </c>
      <c r="C6" s="25">
        <v>-3.4482758620689689E-2</v>
      </c>
      <c r="D6" s="25">
        <v>-0.6206896551724137</v>
      </c>
      <c r="E6" s="25">
        <v>3.4482758620689689E-2</v>
      </c>
      <c r="F6" s="25">
        <v>0</v>
      </c>
      <c r="G6" s="25">
        <v>0</v>
      </c>
      <c r="H6" s="25">
        <v>-0.13793103448275859</v>
      </c>
    </row>
    <row r="7" spans="2:8" x14ac:dyDescent="0.2">
      <c r="B7" t="s">
        <v>17</v>
      </c>
      <c r="C7" s="25">
        <v>-2.7173913043478045E-2</v>
      </c>
      <c r="D7" s="25">
        <v>-0.54347826086956519</v>
      </c>
      <c r="E7" s="25">
        <v>1.0869565217391314E-2</v>
      </c>
      <c r="F7" s="25">
        <v>0</v>
      </c>
      <c r="G7" s="25">
        <v>0</v>
      </c>
      <c r="H7" s="25">
        <v>-0.40217391304347816</v>
      </c>
    </row>
    <row r="8" spans="2:8" x14ac:dyDescent="0.2">
      <c r="B8" t="s">
        <v>18</v>
      </c>
      <c r="C8" s="25">
        <v>-2.2871710340357895E-2</v>
      </c>
      <c r="D8" s="25">
        <v>0.34204040823013898</v>
      </c>
      <c r="E8" s="25">
        <v>-5.7603203093994387E-2</v>
      </c>
      <c r="F8" s="25">
        <v>0</v>
      </c>
      <c r="G8" s="25">
        <v>1.4514849936484627E-2</v>
      </c>
      <c r="H8" s="25">
        <v>-0.46592750285727064</v>
      </c>
    </row>
    <row r="9" spans="2:8" x14ac:dyDescent="0.2">
      <c r="B9" t="s">
        <v>19</v>
      </c>
      <c r="C9" s="25">
        <v>11.444880352034252</v>
      </c>
      <c r="D9" s="25">
        <v>-0.97256749719309743</v>
      </c>
      <c r="E9" s="25">
        <v>-4.4852547746436422E-14</v>
      </c>
      <c r="F9" s="25">
        <v>0</v>
      </c>
      <c r="G9" s="25">
        <v>1.3627765244492482E-13</v>
      </c>
      <c r="H9" s="25">
        <v>-1</v>
      </c>
    </row>
    <row r="10" spans="2:8" x14ac:dyDescent="0.2">
      <c r="B10" t="s">
        <v>20</v>
      </c>
      <c r="C10" s="25">
        <v>-3.8239635894759511E-2</v>
      </c>
      <c r="D10" s="25">
        <v>-0.10703553796927243</v>
      </c>
      <c r="E10" s="25">
        <v>-1.0733379171008637E-2</v>
      </c>
      <c r="F10" s="25">
        <v>5.3640121949804786E-15</v>
      </c>
      <c r="G10" s="25">
        <v>8.0699994149365691E-3</v>
      </c>
      <c r="H10" s="25">
        <v>-0.33640711265052831</v>
      </c>
    </row>
    <row r="19" spans="2:8" ht="22" x14ac:dyDescent="0.2">
      <c r="B19" s="24" t="s">
        <v>12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</row>
    <row r="20" spans="2:8" x14ac:dyDescent="0.2">
      <c r="B20" t="s">
        <v>15</v>
      </c>
      <c r="C20" s="25">
        <v>-9.5970247612604299E-4</v>
      </c>
      <c r="D20" s="25">
        <v>6.2951768801399244E-2</v>
      </c>
      <c r="E20" s="25">
        <v>0.19267752244994832</v>
      </c>
      <c r="F20" s="25">
        <v>4.7679596297720754E-4</v>
      </c>
      <c r="G20" s="25">
        <v>0.20950286434874252</v>
      </c>
      <c r="H20" s="25">
        <v>-6.312945306447057E-2</v>
      </c>
    </row>
    <row r="21" spans="2:8" x14ac:dyDescent="0.2">
      <c r="B21" t="s">
        <v>16</v>
      </c>
      <c r="C21" s="25">
        <v>0</v>
      </c>
      <c r="D21" s="25">
        <v>3.4482758620689689E-2</v>
      </c>
      <c r="E21" s="25">
        <v>-0.10344827586206891</v>
      </c>
      <c r="F21" s="25">
        <v>0</v>
      </c>
      <c r="G21" s="25">
        <v>-3.4482758620689689E-2</v>
      </c>
      <c r="H21" s="25">
        <v>3.4482758620689689E-2</v>
      </c>
    </row>
    <row r="22" spans="2:8" x14ac:dyDescent="0.2">
      <c r="B22" t="s">
        <v>17</v>
      </c>
      <c r="C22" s="25">
        <v>0</v>
      </c>
      <c r="D22" s="25">
        <v>1.0869565217391314E-2</v>
      </c>
      <c r="E22" s="25">
        <v>-4.8913043478260795E-2</v>
      </c>
      <c r="F22" s="25">
        <v>0</v>
      </c>
      <c r="G22" s="25">
        <v>-4.3478260869565015E-2</v>
      </c>
      <c r="H22" s="25">
        <v>8.1521739130434742E-2</v>
      </c>
    </row>
    <row r="23" spans="2:8" x14ac:dyDescent="0.2">
      <c r="B23" t="s">
        <v>18</v>
      </c>
      <c r="C23" s="25">
        <v>-2.8493679451284283E-16</v>
      </c>
      <c r="D23" s="25">
        <v>-3.2983170388760703E-2</v>
      </c>
      <c r="E23" s="25">
        <v>6.620955594953043E-2</v>
      </c>
      <c r="F23" s="25">
        <v>-5.6987358902568566E-16</v>
      </c>
      <c r="G23" s="25">
        <v>-4.8675002183887067E-2</v>
      </c>
      <c r="H23" s="25">
        <v>4.9453551957446655E-2</v>
      </c>
    </row>
    <row r="24" spans="2:8" x14ac:dyDescent="0.2">
      <c r="B24" t="s">
        <v>19</v>
      </c>
      <c r="C24" s="25">
        <v>-1</v>
      </c>
      <c r="D24" s="25">
        <v>1.3548380204233303E-13</v>
      </c>
      <c r="E24" s="25">
        <v>4.7206758706171366E-2</v>
      </c>
      <c r="F24" s="25">
        <v>0</v>
      </c>
      <c r="G24" s="25">
        <v>-0.73783514548613904</v>
      </c>
      <c r="H24" s="25">
        <v>0.63510388817559538</v>
      </c>
    </row>
    <row r="25" spans="2:8" x14ac:dyDescent="0.2">
      <c r="B25" t="s">
        <v>20</v>
      </c>
      <c r="C25" s="25">
        <v>1.9033591659608148E-15</v>
      </c>
      <c r="D25" s="25">
        <v>-5.5863579355311431E-3</v>
      </c>
      <c r="E25" s="25">
        <v>6.8822933202498807E-3</v>
      </c>
      <c r="F25" s="25">
        <v>-3.4606530290196637E-16</v>
      </c>
      <c r="G25" s="25">
        <v>-6.5265000191400552E-2</v>
      </c>
      <c r="H25" s="25">
        <v>4.6941897341190003E-2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6DFC-4253-4999-9A6B-A7A391735B41}">
  <dimension ref="B2:AA17"/>
  <sheetViews>
    <sheetView zoomScaleNormal="100" workbookViewId="0">
      <selection activeCell="E16" sqref="E16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2.1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6.6640625" style="1" bestFit="1" customWidth="1"/>
    <col min="12" max="12" width="12.6640625" style="1" bestFit="1" customWidth="1"/>
    <col min="13" max="13" width="9.5" style="1" bestFit="1" customWidth="1"/>
    <col min="14" max="14" width="9.1640625" style="1" bestFit="1" customWidth="1"/>
    <col min="15" max="15" width="18.33203125" style="1" bestFit="1" customWidth="1"/>
    <col min="16" max="16" width="12" style="1" bestFit="1" customWidth="1"/>
    <col min="17" max="17" width="24.83203125" style="1" bestFit="1" customWidth="1"/>
    <col min="18" max="18" width="18" style="1" bestFit="1" customWidth="1"/>
    <col min="19" max="19" width="6.6640625" style="1" bestFit="1" customWidth="1"/>
    <col min="20" max="20" width="12.6640625" style="1" bestFit="1" customWidth="1"/>
    <col min="21" max="21" width="9.5" style="1" bestFit="1" customWidth="1"/>
    <col min="22" max="22" width="9.1640625" style="1" bestFit="1" customWidth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27" width="6.6640625" style="1" bestFit="1" customWidth="1"/>
    <col min="28" max="16384" width="10.83203125" style="1"/>
  </cols>
  <sheetData>
    <row r="2" spans="2:27" ht="22" x14ac:dyDescent="0.2">
      <c r="D2" s="23" t="s">
        <v>11</v>
      </c>
      <c r="L2" s="24" t="s">
        <v>13</v>
      </c>
      <c r="T2" s="24" t="s">
        <v>12</v>
      </c>
    </row>
    <row r="3" spans="2:27" x14ac:dyDescent="0.2">
      <c r="B3" s="9" t="s">
        <v>5</v>
      </c>
      <c r="C3" s="9" t="s">
        <v>3</v>
      </c>
      <c r="D3" s="9" t="s">
        <v>0</v>
      </c>
      <c r="E3" s="9" t="s">
        <v>4</v>
      </c>
      <c r="F3" s="9" t="s">
        <v>8</v>
      </c>
      <c r="G3" s="9" t="s">
        <v>10</v>
      </c>
      <c r="H3" s="9" t="s">
        <v>7</v>
      </c>
      <c r="I3" s="9" t="s">
        <v>9</v>
      </c>
      <c r="J3" s="9" t="s">
        <v>6</v>
      </c>
      <c r="K3" s="9" t="s">
        <v>1</v>
      </c>
      <c r="L3" s="13" t="s">
        <v>0</v>
      </c>
      <c r="M3" s="13" t="s">
        <v>4</v>
      </c>
      <c r="N3" s="13" t="s">
        <v>8</v>
      </c>
      <c r="O3" s="13" t="s">
        <v>10</v>
      </c>
      <c r="P3" s="13" t="s">
        <v>7</v>
      </c>
      <c r="Q3" s="13" t="s">
        <v>9</v>
      </c>
      <c r="R3" s="13" t="s">
        <v>6</v>
      </c>
      <c r="S3" s="13" t="s">
        <v>1</v>
      </c>
      <c r="T3" s="8" t="s">
        <v>0</v>
      </c>
      <c r="U3" s="8" t="s">
        <v>4</v>
      </c>
      <c r="V3" s="8" t="s">
        <v>8</v>
      </c>
      <c r="W3" s="8" t="s">
        <v>10</v>
      </c>
      <c r="X3" s="8" t="s">
        <v>7</v>
      </c>
      <c r="Y3" s="8" t="s">
        <v>9</v>
      </c>
      <c r="Z3" s="8" t="s">
        <v>6</v>
      </c>
      <c r="AA3" s="8" t="s">
        <v>1</v>
      </c>
    </row>
    <row r="4" spans="2:27" x14ac:dyDescent="0.2">
      <c r="B4" s="4">
        <v>1</v>
      </c>
      <c r="C4" s="4">
        <v>61</v>
      </c>
      <c r="D4" s="12">
        <v>57759.09893</v>
      </c>
      <c r="E4" s="6">
        <v>0.20000004769999999</v>
      </c>
      <c r="F4" s="5">
        <v>2</v>
      </c>
      <c r="G4" s="19">
        <v>0.8</v>
      </c>
      <c r="H4" s="6">
        <v>0</v>
      </c>
      <c r="I4" s="19">
        <v>0.26085329106886157</v>
      </c>
      <c r="J4" s="5">
        <v>1296.3763326824628</v>
      </c>
      <c r="K4" s="7">
        <v>0</v>
      </c>
      <c r="L4" s="12" t="e" cm="1">
        <f t="array" aca="1" ref="L4" ca="1">INDIRECT("'[results" &amp; $C4 &amp; ".xlsx]Objective'!$A$2")</f>
        <v>#REF!</v>
      </c>
      <c r="M4" s="6" t="e" cm="1">
        <f t="array" aca="1" ref="M4" ca="1">INDIRECT("'[results" &amp; $C4 &amp; ".xlsx]Optimization_Time'!$A$2")</f>
        <v>#REF!</v>
      </c>
      <c r="N4" s="5" t="e">
        <f ca="1">COUNTIF(INDIRECT("'[results" &amp; $C4 &amp; ".xlsx]Y_variables'!D:D"),"&gt;0.5")</f>
        <v>#REF!</v>
      </c>
      <c r="O4" s="19" t="str" cm="1">
        <f t="array" aca="1" ref="O4" ca="1">IFERROR(COUNTIF(INDIRECT("'[results" &amp; $C4 &amp; ".xlsx]X_variables'!E:E"),"&gt;0.5")/INDIRECT("'[results" &amp; $C4 &amp; ".xlsx]n'!$A$2"),"")</f>
        <v/>
      </c>
      <c r="P4" s="6" t="str">
        <f ca="1">IFERROR(SUM(INDIRECT("'[results" &amp; $C4 &amp; ".xlsx]T'!B:B"))/COUNTIF(INDIRECT("'[results" &amp; $C4 &amp; ".xlsx]X_variables'!E:E"),"&gt;0.5"),"")</f>
        <v/>
      </c>
      <c r="Q4" s="19" t="str">
        <f ca="1">IFERROR(SUM(INDIRECT("'[results" &amp; $C4 &amp; ".xlsx]E'!C:C"))/COUNTIF(INDIRECT("'[results" &amp; $C4 &amp; ".xlsx]Y_variables'!D:D"),"&gt;0.5"),"")</f>
        <v/>
      </c>
      <c r="R4" s="5" t="str" cm="1">
        <f t="array" aca="1" ref="R4" ca="1">IFERROR(SUM(INDIRECT("'[results" &amp; $C4 &amp; ".xlsx]C_job'!B2:B" &amp; (INDIRECT("'[results" &amp; $C4 &amp; ".xlsx]n'!$A$2")+1)))/COUNTIF(INDIRECT("'[results" &amp; $C4 &amp; ".xlsx]X_variables'!E:E"),"&gt;0.5"),"")</f>
        <v/>
      </c>
      <c r="S4" s="7" t="e" cm="1">
        <f t="array" aca="1" ref="S4" ca="1">INDIRECT("'[results" &amp; $C4 &amp; ".xlsx]Optimality_Gap'!$A$2")</f>
        <v>#REF!</v>
      </c>
      <c r="T4" s="12" t="e" cm="1">
        <f t="array" aca="1" ref="T4" ca="1">INDIRECT("'[results" &amp; $C4 &amp; ".xlsx]Objective'!$A$2")</f>
        <v>#REF!</v>
      </c>
      <c r="U4" s="6" t="e" cm="1">
        <f t="array" aca="1" ref="U4" ca="1">INDIRECT("'[results" &amp; $C4 &amp; ".xlsx]Optimization_Time'!$A$2")</f>
        <v>#REF!</v>
      </c>
      <c r="V4" s="5" t="e">
        <f ca="1">COUNTIF(INDIRECT("'[results" &amp; $C4 &amp; ".xlsx]Y_variables'!D:D"),"&gt;0.5")</f>
        <v>#REF!</v>
      </c>
      <c r="W4" s="19" t="str" cm="1">
        <f t="array" aca="1" ref="W4" ca="1">IFERROR(COUNTIF(INDIRECT("'[results" &amp; $C4 &amp; ".xlsx]X_variables'!E:E"),"&gt;0.5")/INDIRECT("'[results" &amp; $C4 &amp; ".xlsx]n'!$A$2"),"")</f>
        <v/>
      </c>
      <c r="X4" s="6" t="str">
        <f ca="1">IFERROR(SUM(INDIRECT("'[results" &amp; $C4 &amp; ".xlsx]T'!B:B"))/COUNTIF(INDIRECT("'[results" &amp; $C4 &amp; ".xlsx]X_variables'!E:E"),"&gt;0.5"),"")</f>
        <v/>
      </c>
      <c r="Y4" s="19" t="str">
        <f ca="1">IFERROR(SUM(INDIRECT("'[results" &amp; $C4 &amp; ".xlsx]E'!C:C"))/COUNTIF(INDIRECT("'[results" &amp; $C4 &amp; ".xlsx]Y_variables'!D:D"),"&gt;0.5"),"")</f>
        <v/>
      </c>
      <c r="Z4" s="5" t="str" cm="1">
        <f t="array" aca="1" ref="Z4" ca="1">IFERROR(SUM(INDIRECT("'[results" &amp; $C4 &amp; ".xlsx]C_job'!B2:B" &amp; (INDIRECT("'[results" &amp; $C4 &amp; ".xlsx]n'!$A$2")+1)))/COUNTIF(INDIRECT("'[results" &amp; $C4 &amp; ".xlsx]X_variables'!E:E"),"&gt;0.5"),"")</f>
        <v/>
      </c>
      <c r="AA4" s="7" t="e" cm="1">
        <f t="array" aca="1" ref="AA4" ca="1">INDIRECT("'[results" &amp; $C4 &amp; ".xlsx]Optimality_Gap'!$A$2")</f>
        <v>#REF!</v>
      </c>
    </row>
    <row r="5" spans="2:27" x14ac:dyDescent="0.2">
      <c r="B5" s="4">
        <v>2</v>
      </c>
      <c r="C5" s="4">
        <v>339</v>
      </c>
      <c r="D5" s="12">
        <v>63309.010849999999</v>
      </c>
      <c r="E5" s="6">
        <v>0.2599999905</v>
      </c>
      <c r="F5" s="5">
        <v>3</v>
      </c>
      <c r="G5" s="19">
        <v>0.9</v>
      </c>
      <c r="H5" s="6">
        <v>0</v>
      </c>
      <c r="I5" s="19">
        <v>0.15256236853389618</v>
      </c>
      <c r="J5" s="5">
        <v>1463.2063227351093</v>
      </c>
      <c r="K5" s="7">
        <v>0</v>
      </c>
      <c r="L5" s="12" t="e" cm="1">
        <f t="array" aca="1" ref="L5" ca="1">INDIRECT("'[results" &amp; $C5 &amp; ".xlsx]Objective'!$A$2")</f>
        <v>#REF!</v>
      </c>
      <c r="M5" s="6" t="e" cm="1">
        <f t="array" aca="1" ref="M5" ca="1">INDIRECT("'[results" &amp; $C5 &amp; ".xlsx]Optimization_Time'!$A$2")</f>
        <v>#REF!</v>
      </c>
      <c r="N5" s="5" t="e">
        <f t="shared" ref="N5:N13" ca="1" si="0">COUNTIF(INDIRECT("'[results" &amp; $C5 &amp; ".xlsx]Y_variables'!D:D"),"&gt;0.5")</f>
        <v>#REF!</v>
      </c>
      <c r="O5" s="19" t="str" cm="1">
        <f t="array" aca="1" ref="O5" ca="1">IFERROR(COUNTIF(INDIRECT("'[results" &amp; $C5 &amp; ".xlsx]X_variables'!E:E"),"&gt;0.5")/INDIRECT("'[results" &amp; $C5 &amp; ".xlsx]n'!$A$2"),"")</f>
        <v/>
      </c>
      <c r="P5" s="6" t="str">
        <f t="shared" ref="P5:P13" ca="1" si="1">IFERROR(SUM(INDIRECT("'[results" &amp; $C5 &amp; ".xlsx]T'!B:B"))/COUNTIF(INDIRECT("'[results" &amp; $C5 &amp; ".xlsx]X_variables'!E:E"),"&gt;0.5"),"")</f>
        <v/>
      </c>
      <c r="Q5" s="19" t="str">
        <f t="shared" ref="Q5:Q13" ca="1" si="2">IFERROR(SUM(INDIRECT("'[results" &amp; $C5 &amp; ".xlsx]E'!C:C"))/COUNTIF(INDIRECT("'[results" &amp; $C5 &amp; ".xlsx]Y_variables'!D:D"),"&gt;0.5"),"")</f>
        <v/>
      </c>
      <c r="R5" s="5" t="str" cm="1">
        <f t="array" aca="1" ref="R5" ca="1">IFERROR(SUM(INDIRECT("'[results" &amp; $C5 &amp; ".xlsx]C_job'!B2:B" &amp; (INDIRECT("'[results" &amp; $C5 &amp; ".xlsx]n'!$A$2")+1)))/COUNTIF(INDIRECT("'[results" &amp; $C5 &amp; ".xlsx]X_variables'!E:E"),"&gt;0.5"),"")</f>
        <v/>
      </c>
      <c r="S5" s="7" t="e" cm="1">
        <f t="array" aca="1" ref="S5" ca="1">INDIRECT("'[results" &amp; $C5 &amp; ".xlsx]Optimality_Gap'!$A$2")</f>
        <v>#REF!</v>
      </c>
      <c r="T5" s="12" t="e" cm="1">
        <f t="array" aca="1" ref="T5" ca="1">INDIRECT("'[results" &amp; $C5 &amp; ".xlsx]Objective'!$A$2")</f>
        <v>#REF!</v>
      </c>
      <c r="U5" s="6" t="e" cm="1">
        <f t="array" aca="1" ref="U5" ca="1">INDIRECT("'[results" &amp; $C5 &amp; ".xlsx]Optimization_Time'!$A$2")</f>
        <v>#REF!</v>
      </c>
      <c r="V5" s="5" t="e">
        <f t="shared" ref="V5:V13" ca="1" si="3">COUNTIF(INDIRECT("'[results" &amp; $C5 &amp; ".xlsx]Y_variables'!D:D"),"&gt;0.5")</f>
        <v>#REF!</v>
      </c>
      <c r="W5" s="19" t="str" cm="1">
        <f t="array" aca="1" ref="W5" ca="1">IFERROR(COUNTIF(INDIRECT("'[results" &amp; $C5 &amp; ".xlsx]X_variables'!E:E"),"&gt;0.5")/INDIRECT("'[results" &amp; $C5 &amp; ".xlsx]n'!$A$2"),"")</f>
        <v/>
      </c>
      <c r="X5" s="6" t="str">
        <f t="shared" ref="X5:X13" ca="1" si="4">IFERROR(SUM(INDIRECT("'[results" &amp; $C5 &amp; ".xlsx]T'!B:B"))/COUNTIF(INDIRECT("'[results" &amp; $C5 &amp; ".xlsx]X_variables'!E:E"),"&gt;0.5"),"")</f>
        <v/>
      </c>
      <c r="Y5" s="19" t="str">
        <f t="shared" ref="Y5:Y13" ca="1" si="5">IFERROR(SUM(INDIRECT("'[results" &amp; $C5 &amp; ".xlsx]E'!C:C"))/COUNTIF(INDIRECT("'[results" &amp; $C5 &amp; ".xlsx]Y_variables'!D:D"),"&gt;0.5"),"")</f>
        <v/>
      </c>
      <c r="Z5" s="5" t="str" cm="1">
        <f t="array" aca="1" ref="Z5" ca="1">IFERROR(SUM(INDIRECT("'[results" &amp; $C5 &amp; ".xlsx]C_job'!B2:B" &amp; (INDIRECT("'[results" &amp; $C5 &amp; ".xlsx]n'!$A$2")+1)))/COUNTIF(INDIRECT("'[results" &amp; $C5 &amp; ".xlsx]X_variables'!E:E"),"&gt;0.5"),"")</f>
        <v/>
      </c>
      <c r="AA5" s="7" t="e" cm="1">
        <f t="array" aca="1" ref="AA5" ca="1">INDIRECT("'[results" &amp; $C5 &amp; ".xlsx]Optimality_Gap'!$A$2")</f>
        <v>#REF!</v>
      </c>
    </row>
    <row r="6" spans="2:27" x14ac:dyDescent="0.2">
      <c r="B6" s="4">
        <v>3</v>
      </c>
      <c r="C6" s="4">
        <v>460</v>
      </c>
      <c r="D6" s="12">
        <v>58657.718439999997</v>
      </c>
      <c r="E6" s="6">
        <v>0.22699999809999999</v>
      </c>
      <c r="F6" s="5">
        <v>3</v>
      </c>
      <c r="G6" s="19">
        <v>1</v>
      </c>
      <c r="H6" s="6">
        <v>24.765217150894109</v>
      </c>
      <c r="I6" s="19">
        <v>0.21147615025761327</v>
      </c>
      <c r="J6" s="5">
        <v>1661.1871426106718</v>
      </c>
      <c r="K6" s="7">
        <v>0</v>
      </c>
      <c r="L6" s="12" t="e" cm="1">
        <f t="array" aca="1" ref="L6" ca="1">INDIRECT("'[results" &amp; $C6 &amp; ".xlsx]Objective'!$A$2")</f>
        <v>#REF!</v>
      </c>
      <c r="M6" s="6" t="e" cm="1">
        <f t="array" aca="1" ref="M6" ca="1">INDIRECT("'[results" &amp; $C6 &amp; ".xlsx]Optimization_Time'!$A$2")</f>
        <v>#REF!</v>
      </c>
      <c r="N6" s="5" t="e">
        <f t="shared" ca="1" si="0"/>
        <v>#REF!</v>
      </c>
      <c r="O6" s="19" t="str" cm="1">
        <f t="array" aca="1" ref="O6" ca="1">IFERROR(COUNTIF(INDIRECT("'[results" &amp; $C6 &amp; ".xlsx]X_variables'!E:E"),"&gt;0.5")/INDIRECT("'[results" &amp; $C6 &amp; ".xlsx]n'!$A$2"),"")</f>
        <v/>
      </c>
      <c r="P6" s="6" t="str">
        <f t="shared" ca="1" si="1"/>
        <v/>
      </c>
      <c r="Q6" s="19" t="str">
        <f t="shared" ca="1" si="2"/>
        <v/>
      </c>
      <c r="R6" s="5" t="str" cm="1">
        <f t="array" aca="1" ref="R6" ca="1">IFERROR(SUM(INDIRECT("'[results" &amp; $C6 &amp; ".xlsx]C_job'!B2:B" &amp; (INDIRECT("'[results" &amp; $C6 &amp; ".xlsx]n'!$A$2")+1)))/COUNTIF(INDIRECT("'[results" &amp; $C6 &amp; ".xlsx]X_variables'!E:E"),"&gt;0.5"),"")</f>
        <v/>
      </c>
      <c r="S6" s="7" t="e" cm="1">
        <f t="array" aca="1" ref="S6" ca="1">INDIRECT("'[results" &amp; $C6 &amp; ".xlsx]Optimality_Gap'!$A$2")</f>
        <v>#REF!</v>
      </c>
      <c r="T6" s="12" t="e" cm="1">
        <f t="array" aca="1" ref="T6" ca="1">INDIRECT("'[results" &amp; $C6 &amp; ".xlsx]Objective'!$A$2")</f>
        <v>#REF!</v>
      </c>
      <c r="U6" s="6" t="e" cm="1">
        <f t="array" aca="1" ref="U6" ca="1">INDIRECT("'[results" &amp; $C6 &amp; ".xlsx]Optimization_Time'!$A$2")</f>
        <v>#REF!</v>
      </c>
      <c r="V6" s="5" t="e">
        <f t="shared" ca="1" si="3"/>
        <v>#REF!</v>
      </c>
      <c r="W6" s="19" t="str" cm="1">
        <f t="array" aca="1" ref="W6" ca="1">IFERROR(COUNTIF(INDIRECT("'[results" &amp; $C6 &amp; ".xlsx]X_variables'!E:E"),"&gt;0.5")/INDIRECT("'[results" &amp; $C6 &amp; ".xlsx]n'!$A$2"),"")</f>
        <v/>
      </c>
      <c r="X6" s="6" t="str">
        <f t="shared" ca="1" si="4"/>
        <v/>
      </c>
      <c r="Y6" s="19" t="str">
        <f t="shared" ca="1" si="5"/>
        <v/>
      </c>
      <c r="Z6" s="5" t="str" cm="1">
        <f t="array" aca="1" ref="Z6" ca="1">IFERROR(SUM(INDIRECT("'[results" &amp; $C6 &amp; ".xlsx]C_job'!B2:B" &amp; (INDIRECT("'[results" &amp; $C6 &amp; ".xlsx]n'!$A$2")+1)))/COUNTIF(INDIRECT("'[results" &amp; $C6 &amp; ".xlsx]X_variables'!E:E"),"&gt;0.5"),"")</f>
        <v/>
      </c>
      <c r="AA6" s="7" t="e" cm="1">
        <f t="array" aca="1" ref="AA6" ca="1">INDIRECT("'[results" &amp; $C6 &amp; ".xlsx]Optimality_Gap'!$A$2")</f>
        <v>#REF!</v>
      </c>
    </row>
    <row r="7" spans="2:27" x14ac:dyDescent="0.2">
      <c r="B7" s="4">
        <v>4</v>
      </c>
      <c r="C7" s="4">
        <v>688</v>
      </c>
      <c r="D7" s="12">
        <v>57097.78486</v>
      </c>
      <c r="E7" s="6">
        <v>0.14800000190000001</v>
      </c>
      <c r="F7" s="5">
        <v>3</v>
      </c>
      <c r="G7" s="19">
        <v>0.95</v>
      </c>
      <c r="H7" s="6">
        <v>8.4505643299833455</v>
      </c>
      <c r="I7" s="19">
        <v>0.19102046487626057</v>
      </c>
      <c r="J7" s="5">
        <v>1434.1655213832048</v>
      </c>
      <c r="K7" s="7">
        <v>0</v>
      </c>
      <c r="L7" s="12" t="e" cm="1">
        <f t="array" aca="1" ref="L7" ca="1">INDIRECT("'[results" &amp; $C7 &amp; ".xlsx]Objective'!$A$2")</f>
        <v>#REF!</v>
      </c>
      <c r="M7" s="6" t="e" cm="1">
        <f t="array" aca="1" ref="M7" ca="1">INDIRECT("'[results" &amp; $C7 &amp; ".xlsx]Optimization_Time'!$A$2")</f>
        <v>#REF!</v>
      </c>
      <c r="N7" s="5" t="e">
        <f t="shared" ca="1" si="0"/>
        <v>#REF!</v>
      </c>
      <c r="O7" s="19" t="str" cm="1">
        <f t="array" aca="1" ref="O7" ca="1">IFERROR(COUNTIF(INDIRECT("'[results" &amp; $C7 &amp; ".xlsx]X_variables'!E:E"),"&gt;0.5")/INDIRECT("'[results" &amp; $C7 &amp; ".xlsx]n'!$A$2"),"")</f>
        <v/>
      </c>
      <c r="P7" s="6" t="str">
        <f t="shared" ca="1" si="1"/>
        <v/>
      </c>
      <c r="Q7" s="19" t="str">
        <f t="shared" ca="1" si="2"/>
        <v/>
      </c>
      <c r="R7" s="5" t="str" cm="1">
        <f t="array" aca="1" ref="R7" ca="1">IFERROR(SUM(INDIRECT("'[results" &amp; $C7 &amp; ".xlsx]C_job'!B2:B" &amp; (INDIRECT("'[results" &amp; $C7 &amp; ".xlsx]n'!$A$2")+1)))/COUNTIF(INDIRECT("'[results" &amp; $C7 &amp; ".xlsx]X_variables'!E:E"),"&gt;0.5"),"")</f>
        <v/>
      </c>
      <c r="S7" s="7" t="e" cm="1">
        <f t="array" aca="1" ref="S7" ca="1">INDIRECT("'[results" &amp; $C7 &amp; ".xlsx]Optimality_Gap'!$A$2")</f>
        <v>#REF!</v>
      </c>
      <c r="T7" s="12" t="e" cm="1">
        <f t="array" aca="1" ref="T7" ca="1">INDIRECT("'[results" &amp; $C7 &amp; ".xlsx]Objective'!$A$2")</f>
        <v>#REF!</v>
      </c>
      <c r="U7" s="6" t="e" cm="1">
        <f t="array" aca="1" ref="U7" ca="1">INDIRECT("'[results" &amp; $C7 &amp; ".xlsx]Optimization_Time'!$A$2")</f>
        <v>#REF!</v>
      </c>
      <c r="V7" s="5" t="e">
        <f t="shared" ca="1" si="3"/>
        <v>#REF!</v>
      </c>
      <c r="W7" s="19" t="str" cm="1">
        <f t="array" aca="1" ref="W7" ca="1">IFERROR(COUNTIF(INDIRECT("'[results" &amp; $C7 &amp; ".xlsx]X_variables'!E:E"),"&gt;0.5")/INDIRECT("'[results" &amp; $C7 &amp; ".xlsx]n'!$A$2"),"")</f>
        <v/>
      </c>
      <c r="X7" s="6" t="str">
        <f t="shared" ca="1" si="4"/>
        <v/>
      </c>
      <c r="Y7" s="19" t="str">
        <f t="shared" ca="1" si="5"/>
        <v/>
      </c>
      <c r="Z7" s="5" t="str" cm="1">
        <f t="array" aca="1" ref="Z7" ca="1">IFERROR(SUM(INDIRECT("'[results" &amp; $C7 &amp; ".xlsx]C_job'!B2:B" &amp; (INDIRECT("'[results" &amp; $C7 &amp; ".xlsx]n'!$A$2")+1)))/COUNTIF(INDIRECT("'[results" &amp; $C7 &amp; ".xlsx]X_variables'!E:E"),"&gt;0.5"),"")</f>
        <v/>
      </c>
      <c r="AA7" s="7" t="e" cm="1">
        <f t="array" aca="1" ref="AA7" ca="1">INDIRECT("'[results" &amp; $C7 &amp; ".xlsx]Optimality_Gap'!$A$2")</f>
        <v>#REF!</v>
      </c>
    </row>
    <row r="8" spans="2:27" x14ac:dyDescent="0.2">
      <c r="B8" s="4">
        <v>5</v>
      </c>
      <c r="C8" s="4">
        <v>754</v>
      </c>
      <c r="D8" s="12">
        <v>60865.455549999999</v>
      </c>
      <c r="E8" s="6">
        <v>0.23500013350000001</v>
      </c>
      <c r="F8" s="5">
        <v>3</v>
      </c>
      <c r="G8" s="19">
        <v>0.85</v>
      </c>
      <c r="H8" s="6">
        <v>0</v>
      </c>
      <c r="I8" s="19">
        <v>0.13836143474649007</v>
      </c>
      <c r="J8" s="5">
        <v>1114.4459005933013</v>
      </c>
      <c r="K8" s="7">
        <v>0</v>
      </c>
      <c r="L8" s="12" t="e" cm="1">
        <f t="array" aca="1" ref="L8" ca="1">INDIRECT("'[results" &amp; $C8 &amp; ".xlsx]Objective'!$A$2")</f>
        <v>#REF!</v>
      </c>
      <c r="M8" s="6" t="e" cm="1">
        <f t="array" aca="1" ref="M8" ca="1">INDIRECT("'[results" &amp; $C8 &amp; ".xlsx]Optimization_Time'!$A$2")</f>
        <v>#REF!</v>
      </c>
      <c r="N8" s="5" t="e">
        <f t="shared" ca="1" si="0"/>
        <v>#REF!</v>
      </c>
      <c r="O8" s="19" t="str" cm="1">
        <f t="array" aca="1" ref="O8" ca="1">IFERROR(COUNTIF(INDIRECT("'[results" &amp; $C8 &amp; ".xlsx]X_variables'!E:E"),"&gt;0.5")/INDIRECT("'[results" &amp; $C8 &amp; ".xlsx]n'!$A$2"),"")</f>
        <v/>
      </c>
      <c r="P8" s="6" t="str">
        <f t="shared" ca="1" si="1"/>
        <v/>
      </c>
      <c r="Q8" s="19" t="str">
        <f t="shared" ca="1" si="2"/>
        <v/>
      </c>
      <c r="R8" s="5" t="str" cm="1">
        <f t="array" aca="1" ref="R8" ca="1">IFERROR(SUM(INDIRECT("'[results" &amp; $C8 &amp; ".xlsx]C_job'!B2:B" &amp; (INDIRECT("'[results" &amp; $C8 &amp; ".xlsx]n'!$A$2")+1)))/COUNTIF(INDIRECT("'[results" &amp; $C8 &amp; ".xlsx]X_variables'!E:E"),"&gt;0.5"),"")</f>
        <v/>
      </c>
      <c r="S8" s="7" t="e" cm="1">
        <f t="array" aca="1" ref="S8" ca="1">INDIRECT("'[results" &amp; $C8 &amp; ".xlsx]Optimality_Gap'!$A$2")</f>
        <v>#REF!</v>
      </c>
      <c r="T8" s="12" t="e" cm="1">
        <f t="array" aca="1" ref="T8" ca="1">INDIRECT("'[results" &amp; $C8 &amp; ".xlsx]Objective'!$A$2")</f>
        <v>#REF!</v>
      </c>
      <c r="U8" s="6" t="e" cm="1">
        <f t="array" aca="1" ref="U8" ca="1">INDIRECT("'[results" &amp; $C8 &amp; ".xlsx]Optimization_Time'!$A$2")</f>
        <v>#REF!</v>
      </c>
      <c r="V8" s="5" t="e">
        <f t="shared" ca="1" si="3"/>
        <v>#REF!</v>
      </c>
      <c r="W8" s="19" t="str" cm="1">
        <f t="array" aca="1" ref="W8" ca="1">IFERROR(COUNTIF(INDIRECT("'[results" &amp; $C8 &amp; ".xlsx]X_variables'!E:E"),"&gt;0.5")/INDIRECT("'[results" &amp; $C8 &amp; ".xlsx]n'!$A$2"),"")</f>
        <v/>
      </c>
      <c r="X8" s="6" t="str">
        <f t="shared" ca="1" si="4"/>
        <v/>
      </c>
      <c r="Y8" s="19" t="str">
        <f t="shared" ca="1" si="5"/>
        <v/>
      </c>
      <c r="Z8" s="5" t="str" cm="1">
        <f t="array" aca="1" ref="Z8" ca="1">IFERROR(SUM(INDIRECT("'[results" &amp; $C8 &amp; ".xlsx]C_job'!B2:B" &amp; (INDIRECT("'[results" &amp; $C8 &amp; ".xlsx]n'!$A$2")+1)))/COUNTIF(INDIRECT("'[results" &amp; $C8 &amp; ".xlsx]X_variables'!E:E"),"&gt;0.5"),"")</f>
        <v/>
      </c>
      <c r="AA8" s="7" t="e" cm="1">
        <f t="array" aca="1" ref="AA8" ca="1">INDIRECT("'[results" &amp; $C8 &amp; ".xlsx]Optimality_Gap'!$A$2")</f>
        <v>#REF!</v>
      </c>
    </row>
    <row r="9" spans="2:27" x14ac:dyDescent="0.2">
      <c r="B9" s="4">
        <v>6</v>
      </c>
      <c r="C9" s="4">
        <v>756</v>
      </c>
      <c r="D9" s="12">
        <v>45799.413849999997</v>
      </c>
      <c r="E9" s="6">
        <v>7.10000992E-2</v>
      </c>
      <c r="F9" s="5">
        <v>3</v>
      </c>
      <c r="G9" s="19">
        <v>1</v>
      </c>
      <c r="H9" s="6">
        <v>0</v>
      </c>
      <c r="I9" s="19">
        <v>0.1671301991454415</v>
      </c>
      <c r="J9" s="5">
        <v>1007.9465118778219</v>
      </c>
      <c r="K9" s="7">
        <v>0</v>
      </c>
      <c r="L9" s="12" t="e" cm="1">
        <f t="array" aca="1" ref="L9" ca="1">INDIRECT("'[results" &amp; $C9 &amp; ".xlsx]Objective'!$A$2")</f>
        <v>#REF!</v>
      </c>
      <c r="M9" s="6" t="e" cm="1">
        <f t="array" aca="1" ref="M9" ca="1">INDIRECT("'[results" &amp; $C9 &amp; ".xlsx]Optimization_Time'!$A$2")</f>
        <v>#REF!</v>
      </c>
      <c r="N9" s="5" t="e">
        <f t="shared" ca="1" si="0"/>
        <v>#REF!</v>
      </c>
      <c r="O9" s="19" t="str" cm="1">
        <f t="array" aca="1" ref="O9" ca="1">IFERROR(COUNTIF(INDIRECT("'[results" &amp; $C9 &amp; ".xlsx]X_variables'!E:E"),"&gt;0.5")/INDIRECT("'[results" &amp; $C9 &amp; ".xlsx]n'!$A$2"),"")</f>
        <v/>
      </c>
      <c r="P9" s="6" t="str">
        <f t="shared" ca="1" si="1"/>
        <v/>
      </c>
      <c r="Q9" s="19" t="str">
        <f t="shared" ca="1" si="2"/>
        <v/>
      </c>
      <c r="R9" s="5" t="str" cm="1">
        <f t="array" aca="1" ref="R9" ca="1">IFERROR(SUM(INDIRECT("'[results" &amp; $C9 &amp; ".xlsx]C_job'!B2:B" &amp; (INDIRECT("'[results" &amp; $C9 &amp; ".xlsx]n'!$A$2")+1)))/COUNTIF(INDIRECT("'[results" &amp; $C9 &amp; ".xlsx]X_variables'!E:E"),"&gt;0.5"),"")</f>
        <v/>
      </c>
      <c r="S9" s="7" t="e" cm="1">
        <f t="array" aca="1" ref="S9" ca="1">INDIRECT("'[results" &amp; $C9 &amp; ".xlsx]Optimality_Gap'!$A$2")</f>
        <v>#REF!</v>
      </c>
      <c r="T9" s="12" t="e" cm="1">
        <f t="array" aca="1" ref="T9" ca="1">INDIRECT("'[results" &amp; $C9 &amp; ".xlsx]Objective'!$A$2")</f>
        <v>#REF!</v>
      </c>
      <c r="U9" s="6" t="e" cm="1">
        <f t="array" aca="1" ref="U9" ca="1">INDIRECT("'[results" &amp; $C9 &amp; ".xlsx]Optimization_Time'!$A$2")</f>
        <v>#REF!</v>
      </c>
      <c r="V9" s="5" t="e">
        <f t="shared" ca="1" si="3"/>
        <v>#REF!</v>
      </c>
      <c r="W9" s="19" t="str" cm="1">
        <f t="array" aca="1" ref="W9" ca="1">IFERROR(COUNTIF(INDIRECT("'[results" &amp; $C9 &amp; ".xlsx]X_variables'!E:E"),"&gt;0.5")/INDIRECT("'[results" &amp; $C9 &amp; ".xlsx]n'!$A$2"),"")</f>
        <v/>
      </c>
      <c r="X9" s="6" t="str">
        <f t="shared" ca="1" si="4"/>
        <v/>
      </c>
      <c r="Y9" s="19" t="str">
        <f t="shared" ca="1" si="5"/>
        <v/>
      </c>
      <c r="Z9" s="5" t="str" cm="1">
        <f t="array" aca="1" ref="Z9" ca="1">IFERROR(SUM(INDIRECT("'[results" &amp; $C9 &amp; ".xlsx]C_job'!B2:B" &amp; (INDIRECT("'[results" &amp; $C9 &amp; ".xlsx]n'!$A$2")+1)))/COUNTIF(INDIRECT("'[results" &amp; $C9 &amp; ".xlsx]X_variables'!E:E"),"&gt;0.5"),"")</f>
        <v/>
      </c>
      <c r="AA9" s="7" t="e" cm="1">
        <f t="array" aca="1" ref="AA9" ca="1">INDIRECT("'[results" &amp; $C9 &amp; ".xlsx]Optimality_Gap'!$A$2")</f>
        <v>#REF!</v>
      </c>
    </row>
    <row r="10" spans="2:27" x14ac:dyDescent="0.2">
      <c r="B10" s="4">
        <v>7</v>
      </c>
      <c r="C10" s="4">
        <v>815</v>
      </c>
      <c r="D10" s="12">
        <v>51423.275079999999</v>
      </c>
      <c r="E10" s="6">
        <v>0.40299987790000003</v>
      </c>
      <c r="F10" s="5">
        <v>3</v>
      </c>
      <c r="G10" s="19">
        <v>1</v>
      </c>
      <c r="H10" s="6">
        <v>0</v>
      </c>
      <c r="I10" s="19">
        <v>0.29008637747952626</v>
      </c>
      <c r="J10" s="5">
        <v>1430.6972997087992</v>
      </c>
      <c r="K10" s="7">
        <v>0</v>
      </c>
      <c r="L10" s="12" t="e" cm="1">
        <f t="array" aca="1" ref="L10" ca="1">INDIRECT("'[results" &amp; $C10 &amp; ".xlsx]Objective'!$A$2")</f>
        <v>#REF!</v>
      </c>
      <c r="M10" s="6" t="e" cm="1">
        <f t="array" aca="1" ref="M10" ca="1">INDIRECT("'[results" &amp; $C10 &amp; ".xlsx]Optimization_Time'!$A$2")</f>
        <v>#REF!</v>
      </c>
      <c r="N10" s="5" t="e">
        <f t="shared" ca="1" si="0"/>
        <v>#REF!</v>
      </c>
      <c r="O10" s="19" t="str" cm="1">
        <f t="array" aca="1" ref="O10" ca="1">IFERROR(COUNTIF(INDIRECT("'[results" &amp; $C10 &amp; ".xlsx]X_variables'!E:E"),"&gt;0.5")/INDIRECT("'[results" &amp; $C10 &amp; ".xlsx]n'!$A$2"),"")</f>
        <v/>
      </c>
      <c r="P10" s="6" t="str">
        <f t="shared" ca="1" si="1"/>
        <v/>
      </c>
      <c r="Q10" s="19" t="str">
        <f t="shared" ca="1" si="2"/>
        <v/>
      </c>
      <c r="R10" s="5" t="str" cm="1">
        <f t="array" aca="1" ref="R10" ca="1">IFERROR(SUM(INDIRECT("'[results" &amp; $C10 &amp; ".xlsx]C_job'!B2:B" &amp; (INDIRECT("'[results" &amp; $C10 &amp; ".xlsx]n'!$A$2")+1)))/COUNTIF(INDIRECT("'[results" &amp; $C10 &amp; ".xlsx]X_variables'!E:E"),"&gt;0.5"),"")</f>
        <v/>
      </c>
      <c r="S10" s="7" t="e" cm="1">
        <f t="array" aca="1" ref="S10" ca="1">INDIRECT("'[results" &amp; $C10 &amp; ".xlsx]Optimality_Gap'!$A$2")</f>
        <v>#REF!</v>
      </c>
      <c r="T10" s="12" t="e" cm="1">
        <f t="array" aca="1" ref="T10" ca="1">INDIRECT("'[results" &amp; $C10 &amp; ".xlsx]Objective'!$A$2")</f>
        <v>#REF!</v>
      </c>
      <c r="U10" s="6" t="e" cm="1">
        <f t="array" aca="1" ref="U10" ca="1">INDIRECT("'[results" &amp; $C10 &amp; ".xlsx]Optimization_Time'!$A$2")</f>
        <v>#REF!</v>
      </c>
      <c r="V10" s="5" t="e">
        <f t="shared" ca="1" si="3"/>
        <v>#REF!</v>
      </c>
      <c r="W10" s="19" t="str" cm="1">
        <f t="array" aca="1" ref="W10" ca="1">IFERROR(COUNTIF(INDIRECT("'[results" &amp; $C10 &amp; ".xlsx]X_variables'!E:E"),"&gt;0.5")/INDIRECT("'[results" &amp; $C10 &amp; ".xlsx]n'!$A$2"),"")</f>
        <v/>
      </c>
      <c r="X10" s="6" t="str">
        <f t="shared" ca="1" si="4"/>
        <v/>
      </c>
      <c r="Y10" s="19" t="str">
        <f t="shared" ca="1" si="5"/>
        <v/>
      </c>
      <c r="Z10" s="5" t="str" cm="1">
        <f t="array" aca="1" ref="Z10" ca="1">IFERROR(SUM(INDIRECT("'[results" &amp; $C10 &amp; ".xlsx]C_job'!B2:B" &amp; (INDIRECT("'[results" &amp; $C10 &amp; ".xlsx]n'!$A$2")+1)))/COUNTIF(INDIRECT("'[results" &amp; $C10 &amp; ".xlsx]X_variables'!E:E"),"&gt;0.5"),"")</f>
        <v/>
      </c>
      <c r="AA10" s="7" t="e" cm="1">
        <f t="array" aca="1" ref="AA10" ca="1">INDIRECT("'[results" &amp; $C10 &amp; ".xlsx]Optimality_Gap'!$A$2")</f>
        <v>#REF!</v>
      </c>
    </row>
    <row r="11" spans="2:27" x14ac:dyDescent="0.2">
      <c r="B11" s="4">
        <v>8</v>
      </c>
      <c r="C11" s="4">
        <v>837</v>
      </c>
      <c r="D11" s="12">
        <v>50496.11535</v>
      </c>
      <c r="E11" s="6">
        <v>0.22500014309999999</v>
      </c>
      <c r="F11" s="5">
        <v>3</v>
      </c>
      <c r="G11" s="19">
        <v>0.95</v>
      </c>
      <c r="H11" s="6">
        <v>0.34892101723922725</v>
      </c>
      <c r="I11" s="19">
        <v>0.27688233758577602</v>
      </c>
      <c r="J11" s="5">
        <v>1264.296365009553</v>
      </c>
      <c r="K11" s="7">
        <v>0</v>
      </c>
      <c r="L11" s="12" t="e" cm="1">
        <f t="array" aca="1" ref="L11" ca="1">INDIRECT("'[results" &amp; $C11 &amp; ".xlsx]Objective'!$A$2")</f>
        <v>#REF!</v>
      </c>
      <c r="M11" s="6" t="e" cm="1">
        <f t="array" aca="1" ref="M11" ca="1">INDIRECT("'[results" &amp; $C11 &amp; ".xlsx]Optimization_Time'!$A$2")</f>
        <v>#REF!</v>
      </c>
      <c r="N11" s="5" t="e">
        <f t="shared" ca="1" si="0"/>
        <v>#REF!</v>
      </c>
      <c r="O11" s="19" t="str" cm="1">
        <f t="array" aca="1" ref="O11" ca="1">IFERROR(COUNTIF(INDIRECT("'[results" &amp; $C11 &amp; ".xlsx]X_variables'!E:E"),"&gt;0.5")/INDIRECT("'[results" &amp; $C11 &amp; ".xlsx]n'!$A$2"),"")</f>
        <v/>
      </c>
      <c r="P11" s="6" t="str">
        <f t="shared" ca="1" si="1"/>
        <v/>
      </c>
      <c r="Q11" s="19" t="str">
        <f t="shared" ca="1" si="2"/>
        <v/>
      </c>
      <c r="R11" s="5" t="str" cm="1">
        <f t="array" aca="1" ref="R11" ca="1">IFERROR(SUM(INDIRECT("'[results" &amp; $C11 &amp; ".xlsx]C_job'!B2:B" &amp; (INDIRECT("'[results" &amp; $C11 &amp; ".xlsx]n'!$A$2")+1)))/COUNTIF(INDIRECT("'[results" &amp; $C11 &amp; ".xlsx]X_variables'!E:E"),"&gt;0.5"),"")</f>
        <v/>
      </c>
      <c r="S11" s="7" t="e" cm="1">
        <f t="array" aca="1" ref="S11" ca="1">INDIRECT("'[results" &amp; $C11 &amp; ".xlsx]Optimality_Gap'!$A$2")</f>
        <v>#REF!</v>
      </c>
      <c r="T11" s="12" t="e" cm="1">
        <f t="array" aca="1" ref="T11" ca="1">INDIRECT("'[results" &amp; $C11 &amp; ".xlsx]Objective'!$A$2")</f>
        <v>#REF!</v>
      </c>
      <c r="U11" s="6" t="e" cm="1">
        <f t="array" aca="1" ref="U11" ca="1">INDIRECT("'[results" &amp; $C11 &amp; ".xlsx]Optimization_Time'!$A$2")</f>
        <v>#REF!</v>
      </c>
      <c r="V11" s="5" t="e">
        <f t="shared" ca="1" si="3"/>
        <v>#REF!</v>
      </c>
      <c r="W11" s="19" t="str" cm="1">
        <f t="array" aca="1" ref="W11" ca="1">IFERROR(COUNTIF(INDIRECT("'[results" &amp; $C11 &amp; ".xlsx]X_variables'!E:E"),"&gt;0.5")/INDIRECT("'[results" &amp; $C11 &amp; ".xlsx]n'!$A$2"),"")</f>
        <v/>
      </c>
      <c r="X11" s="6" t="str">
        <f t="shared" ca="1" si="4"/>
        <v/>
      </c>
      <c r="Y11" s="19" t="str">
        <f t="shared" ca="1" si="5"/>
        <v/>
      </c>
      <c r="Z11" s="5" t="str" cm="1">
        <f t="array" aca="1" ref="Z11" ca="1">IFERROR(SUM(INDIRECT("'[results" &amp; $C11 &amp; ".xlsx]C_job'!B2:B" &amp; (INDIRECT("'[results" &amp; $C11 &amp; ".xlsx]n'!$A$2")+1)))/COUNTIF(INDIRECT("'[results" &amp; $C11 &amp; ".xlsx]X_variables'!E:E"),"&gt;0.5"),"")</f>
        <v/>
      </c>
      <c r="AA11" s="7" t="e" cm="1">
        <f t="array" aca="1" ref="AA11" ca="1">INDIRECT("'[results" &amp; $C11 &amp; ".xlsx]Optimality_Gap'!$A$2")</f>
        <v>#REF!</v>
      </c>
    </row>
    <row r="12" spans="2:27" x14ac:dyDescent="0.2">
      <c r="B12" s="4">
        <v>9</v>
      </c>
      <c r="C12" s="4">
        <v>882</v>
      </c>
      <c r="D12" s="12">
        <v>66953.420289999995</v>
      </c>
      <c r="E12" s="6">
        <v>0.2239999771</v>
      </c>
      <c r="F12" s="5">
        <v>3</v>
      </c>
      <c r="G12" s="19">
        <v>0.8</v>
      </c>
      <c r="H12" s="6">
        <v>0</v>
      </c>
      <c r="I12" s="19">
        <v>0.11448768691835376</v>
      </c>
      <c r="J12" s="5">
        <v>1139.4963885475706</v>
      </c>
      <c r="K12" s="7">
        <v>0</v>
      </c>
      <c r="L12" s="12" t="e" cm="1">
        <f t="array" aca="1" ref="L12" ca="1">INDIRECT("'[results" &amp; $C12 &amp; ".xlsx]Objective'!$A$2")</f>
        <v>#REF!</v>
      </c>
      <c r="M12" s="6" t="e" cm="1">
        <f t="array" aca="1" ref="M12" ca="1">INDIRECT("'[results" &amp; $C12 &amp; ".xlsx]Optimization_Time'!$A$2")</f>
        <v>#REF!</v>
      </c>
      <c r="N12" s="5" t="e">
        <f t="shared" ca="1" si="0"/>
        <v>#REF!</v>
      </c>
      <c r="O12" s="19" t="str" cm="1">
        <f t="array" aca="1" ref="O12" ca="1">IFERROR(COUNTIF(INDIRECT("'[results" &amp; $C12 &amp; ".xlsx]X_variables'!E:E"),"&gt;0.5")/INDIRECT("'[results" &amp; $C12 &amp; ".xlsx]n'!$A$2"),"")</f>
        <v/>
      </c>
      <c r="P12" s="6" t="str">
        <f t="shared" ca="1" si="1"/>
        <v/>
      </c>
      <c r="Q12" s="19" t="str">
        <f t="shared" ca="1" si="2"/>
        <v/>
      </c>
      <c r="R12" s="5" t="str" cm="1">
        <f t="array" aca="1" ref="R12" ca="1">IFERROR(SUM(INDIRECT("'[results" &amp; $C12 &amp; ".xlsx]C_job'!B2:B" &amp; (INDIRECT("'[results" &amp; $C12 &amp; ".xlsx]n'!$A$2")+1)))/COUNTIF(INDIRECT("'[results" &amp; $C12 &amp; ".xlsx]X_variables'!E:E"),"&gt;0.5"),"")</f>
        <v/>
      </c>
      <c r="S12" s="7" t="e" cm="1">
        <f t="array" aca="1" ref="S12" ca="1">INDIRECT("'[results" &amp; $C12 &amp; ".xlsx]Optimality_Gap'!$A$2")</f>
        <v>#REF!</v>
      </c>
      <c r="T12" s="12" t="e" cm="1">
        <f t="array" aca="1" ref="T12" ca="1">INDIRECT("'[results" &amp; $C12 &amp; ".xlsx]Objective'!$A$2")</f>
        <v>#REF!</v>
      </c>
      <c r="U12" s="6" t="e" cm="1">
        <f t="array" aca="1" ref="U12" ca="1">INDIRECT("'[results" &amp; $C12 &amp; ".xlsx]Optimization_Time'!$A$2")</f>
        <v>#REF!</v>
      </c>
      <c r="V12" s="5" t="e">
        <f t="shared" ca="1" si="3"/>
        <v>#REF!</v>
      </c>
      <c r="W12" s="19" t="str" cm="1">
        <f t="array" aca="1" ref="W12" ca="1">IFERROR(COUNTIF(INDIRECT("'[results" &amp; $C12 &amp; ".xlsx]X_variables'!E:E"),"&gt;0.5")/INDIRECT("'[results" &amp; $C12 &amp; ".xlsx]n'!$A$2"),"")</f>
        <v/>
      </c>
      <c r="X12" s="6" t="str">
        <f t="shared" ca="1" si="4"/>
        <v/>
      </c>
      <c r="Y12" s="19" t="str">
        <f t="shared" ca="1" si="5"/>
        <v/>
      </c>
      <c r="Z12" s="5" t="str" cm="1">
        <f t="array" aca="1" ref="Z12" ca="1">IFERROR(SUM(INDIRECT("'[results" &amp; $C12 &amp; ".xlsx]C_job'!B2:B" &amp; (INDIRECT("'[results" &amp; $C12 &amp; ".xlsx]n'!$A$2")+1)))/COUNTIF(INDIRECT("'[results" &amp; $C12 &amp; ".xlsx]X_variables'!E:E"),"&gt;0.5"),"")</f>
        <v/>
      </c>
      <c r="AA12" s="7" t="e" cm="1">
        <f t="array" aca="1" ref="AA12" ca="1">INDIRECT("'[results" &amp; $C12 &amp; ".xlsx]Optimality_Gap'!$A$2")</f>
        <v>#REF!</v>
      </c>
    </row>
    <row r="13" spans="2:27" x14ac:dyDescent="0.2">
      <c r="B13" s="4">
        <v>10</v>
      </c>
      <c r="C13" s="4">
        <v>899</v>
      </c>
      <c r="D13" s="12">
        <v>56435.280299999999</v>
      </c>
      <c r="E13" s="6">
        <v>0.143999815</v>
      </c>
      <c r="F13" s="5">
        <v>3</v>
      </c>
      <c r="G13" s="19">
        <v>0.95</v>
      </c>
      <c r="H13" s="6">
        <v>0</v>
      </c>
      <c r="I13" s="19">
        <v>0.14533143928674996</v>
      </c>
      <c r="J13" s="5">
        <v>1328.6891386353477</v>
      </c>
      <c r="K13" s="7">
        <v>0</v>
      </c>
      <c r="L13" s="12" t="e" cm="1">
        <f t="array" aca="1" ref="L13" ca="1">INDIRECT("'[results" &amp; $C13 &amp; ".xlsx]Objective'!$A$2")</f>
        <v>#REF!</v>
      </c>
      <c r="M13" s="6" t="e" cm="1">
        <f t="array" aca="1" ref="M13" ca="1">INDIRECT("'[results" &amp; $C13 &amp; ".xlsx]Optimization_Time'!$A$2")</f>
        <v>#REF!</v>
      </c>
      <c r="N13" s="5" t="e">
        <f t="shared" ca="1" si="0"/>
        <v>#REF!</v>
      </c>
      <c r="O13" s="19" t="str" cm="1">
        <f t="array" aca="1" ref="O13" ca="1">IFERROR(COUNTIF(INDIRECT("'[results" &amp; $C13 &amp; ".xlsx]X_variables'!E:E"),"&gt;0.5")/INDIRECT("'[results" &amp; $C13 &amp; ".xlsx]n'!$A$2"),"")</f>
        <v/>
      </c>
      <c r="P13" s="6" t="str">
        <f t="shared" ca="1" si="1"/>
        <v/>
      </c>
      <c r="Q13" s="19" t="str">
        <f t="shared" ca="1" si="2"/>
        <v/>
      </c>
      <c r="R13" s="5" t="str" cm="1">
        <f t="array" aca="1" ref="R13" ca="1">IFERROR(SUM(INDIRECT("'[results" &amp; $C13 &amp; ".xlsx]C_job'!B2:B" &amp; (INDIRECT("'[results" &amp; $C13 &amp; ".xlsx]n'!$A$2")+1)))/COUNTIF(INDIRECT("'[results" &amp; $C13 &amp; ".xlsx]X_variables'!E:E"),"&gt;0.5"),"")</f>
        <v/>
      </c>
      <c r="S13" s="7" t="e" cm="1">
        <f t="array" aca="1" ref="S13" ca="1">INDIRECT("'[results" &amp; $C13 &amp; ".xlsx]Optimality_Gap'!$A$2")</f>
        <v>#REF!</v>
      </c>
      <c r="T13" s="12" t="e" cm="1">
        <f t="array" aca="1" ref="T13" ca="1">INDIRECT("'[results" &amp; $C13 &amp; ".xlsx]Objective'!$A$2")</f>
        <v>#REF!</v>
      </c>
      <c r="U13" s="6" t="e" cm="1">
        <f t="array" aca="1" ref="U13" ca="1">INDIRECT("'[results" &amp; $C13 &amp; ".xlsx]Optimization_Time'!$A$2")</f>
        <v>#REF!</v>
      </c>
      <c r="V13" s="5" t="e">
        <f t="shared" ca="1" si="3"/>
        <v>#REF!</v>
      </c>
      <c r="W13" s="19" t="str" cm="1">
        <f t="array" aca="1" ref="W13" ca="1">IFERROR(COUNTIF(INDIRECT("'[results" &amp; $C13 &amp; ".xlsx]X_variables'!E:E"),"&gt;0.5")/INDIRECT("'[results" &amp; $C13 &amp; ".xlsx]n'!$A$2"),"")</f>
        <v/>
      </c>
      <c r="X13" s="6" t="str">
        <f t="shared" ca="1" si="4"/>
        <v/>
      </c>
      <c r="Y13" s="19" t="str">
        <f t="shared" ca="1" si="5"/>
        <v/>
      </c>
      <c r="Z13" s="5" t="str" cm="1">
        <f t="array" aca="1" ref="Z13" ca="1">IFERROR(SUM(INDIRECT("'[results" &amp; $C13 &amp; ".xlsx]C_job'!B2:B" &amp; (INDIRECT("'[results" &amp; $C13 &amp; ".xlsx]n'!$A$2")+1)))/COUNTIF(INDIRECT("'[results" &amp; $C13 &amp; ".xlsx]X_variables'!E:E"),"&gt;0.5"),"")</f>
        <v/>
      </c>
      <c r="AA13" s="7" t="e" cm="1">
        <f t="array" aca="1" ref="AA13" ca="1">INDIRECT("'[results" &amp; $C13 &amp; ".xlsx]Optimality_Gap'!$A$2")</f>
        <v>#REF!</v>
      </c>
    </row>
    <row r="14" spans="2:27" x14ac:dyDescent="0.2">
      <c r="B14" s="26" t="s">
        <v>2</v>
      </c>
      <c r="C14" s="27"/>
      <c r="D14" s="10">
        <f>AVERAGE(D4:D13)</f>
        <v>56879.657349999994</v>
      </c>
      <c r="E14" s="11">
        <f>AVERAGE(E4:E13)</f>
        <v>0.21370000839999997</v>
      </c>
      <c r="F14" s="10">
        <f>AVERAGE(F4:F13)</f>
        <v>2.9</v>
      </c>
      <c r="G14" s="20">
        <f>AVERAGE(G4:G13)</f>
        <v>0.91999999999999993</v>
      </c>
      <c r="H14" s="11">
        <f>AVERAGE(H4:H13)</f>
        <v>3.3564702498116681</v>
      </c>
      <c r="I14" s="20">
        <f t="shared" ref="I14:K14" si="6">AVERAGE(I4:I13)</f>
        <v>0.19481917498989693</v>
      </c>
      <c r="J14" s="10">
        <f t="shared" si="6"/>
        <v>1314.0506923783842</v>
      </c>
      <c r="K14" s="11">
        <f t="shared" si="6"/>
        <v>0</v>
      </c>
      <c r="L14" s="14" t="e">
        <f ca="1">AVERAGE(L4:L13)</f>
        <v>#REF!</v>
      </c>
      <c r="M14" s="15" t="e">
        <f ca="1">AVERAGE(M4:M13)</f>
        <v>#REF!</v>
      </c>
      <c r="N14" s="14" t="e">
        <f ca="1">AVERAGE(N4:N13)</f>
        <v>#REF!</v>
      </c>
      <c r="O14" s="22" t="e">
        <f ca="1">AVERAGE(O4:O13)</f>
        <v>#DIV/0!</v>
      </c>
      <c r="P14" s="15" t="e">
        <f ca="1">AVERAGE(P4:P13)</f>
        <v>#DIV/0!</v>
      </c>
      <c r="Q14" s="22" t="e">
        <f t="shared" ref="Q14:S14" ca="1" si="7">AVERAGE(Q4:Q13)</f>
        <v>#DIV/0!</v>
      </c>
      <c r="R14" s="14" t="e">
        <f t="shared" ca="1" si="7"/>
        <v>#DIV/0!</v>
      </c>
      <c r="S14" s="15" t="e">
        <f t="shared" ca="1" si="7"/>
        <v>#REF!</v>
      </c>
      <c r="T14" s="16" t="e">
        <f ca="1">AVERAGE(T4:T13)</f>
        <v>#REF!</v>
      </c>
      <c r="U14" s="17" t="e">
        <f ca="1">AVERAGE(U4:U13)</f>
        <v>#REF!</v>
      </c>
      <c r="V14" s="16" t="e">
        <f ca="1">AVERAGE(V4:V13)</f>
        <v>#REF!</v>
      </c>
      <c r="W14" s="21" t="e">
        <f ca="1">AVERAGE(W4:W13)</f>
        <v>#DIV/0!</v>
      </c>
      <c r="X14" s="17" t="e">
        <f ca="1">AVERAGE(X4:X13)</f>
        <v>#DIV/0!</v>
      </c>
      <c r="Y14" s="21" t="e">
        <f t="shared" ref="Y14:AA14" ca="1" si="8">AVERAGE(Y4:Y13)</f>
        <v>#DIV/0!</v>
      </c>
      <c r="Z14" s="16" t="e">
        <f t="shared" ca="1" si="8"/>
        <v>#DIV/0!</v>
      </c>
      <c r="AA14" s="17" t="e">
        <f t="shared" ca="1" si="8"/>
        <v>#REF!</v>
      </c>
    </row>
    <row r="15" spans="2:27" x14ac:dyDescent="0.2">
      <c r="D15" s="2"/>
      <c r="E15" s="3"/>
      <c r="F15" s="3"/>
      <c r="G15" s="3"/>
      <c r="H15" s="3"/>
      <c r="I15" s="3"/>
      <c r="J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4:C1048576">
    <cfRule type="duplicateValues" dxfId="37" priority="3"/>
    <cfRule type="duplicateValues" dxfId="36" priority="4"/>
  </conditionalFormatting>
  <conditionalFormatting sqref="C4:C13">
    <cfRule type="duplicateValues" dxfId="35" priority="1"/>
    <cfRule type="duplicateValues" dxfId="34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2DFD-FBAE-4923-9042-5605FAB24318}">
  <dimension ref="B2:AA24"/>
  <sheetViews>
    <sheetView zoomScaleNormal="100" workbookViewId="0">
      <selection activeCell="H27" sqref="H2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21.1640625" style="1" bestFit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6.6640625" style="1" bestFit="1" customWidth="1"/>
    <col min="12" max="12" width="12.6640625" style="1" bestFit="1" customWidth="1"/>
    <col min="13" max="13" width="9.5" style="1" bestFit="1" customWidth="1"/>
    <col min="14" max="14" width="9.1640625" style="1" bestFit="1" customWidth="1"/>
    <col min="15" max="15" width="18.33203125" style="1" bestFit="1" customWidth="1"/>
    <col min="16" max="16" width="12" style="1" bestFit="1" customWidth="1"/>
    <col min="17" max="17" width="24.83203125" style="1" bestFit="1" customWidth="1"/>
    <col min="18" max="18" width="18" style="1" bestFit="1" customWidth="1"/>
    <col min="19" max="19" width="6.6640625" style="1" bestFit="1" customWidth="1"/>
    <col min="20" max="20" width="12.6640625" style="1" bestFit="1" customWidth="1"/>
    <col min="21" max="21" width="9.5" style="1" bestFit="1" customWidth="1"/>
    <col min="22" max="22" width="9.1640625" style="1" bestFit="1" customWidth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27" width="6.6640625" style="1" bestFit="1" customWidth="1"/>
    <col min="28" max="16384" width="10.83203125" style="1"/>
  </cols>
  <sheetData>
    <row r="2" spans="2:27" ht="22" x14ac:dyDescent="0.2">
      <c r="D2" s="23" t="s">
        <v>11</v>
      </c>
      <c r="L2" s="24" t="s">
        <v>13</v>
      </c>
      <c r="T2" s="24" t="s">
        <v>12</v>
      </c>
    </row>
    <row r="3" spans="2:27" x14ac:dyDescent="0.2">
      <c r="B3" s="9" t="s">
        <v>5</v>
      </c>
      <c r="C3" s="9" t="s">
        <v>3</v>
      </c>
      <c r="D3" s="9" t="s">
        <v>0</v>
      </c>
      <c r="E3" s="9" t="s">
        <v>4</v>
      </c>
      <c r="F3" s="9" t="s">
        <v>8</v>
      </c>
      <c r="G3" s="9" t="s">
        <v>10</v>
      </c>
      <c r="H3" s="9" t="s">
        <v>7</v>
      </c>
      <c r="I3" s="9" t="s">
        <v>9</v>
      </c>
      <c r="J3" s="9" t="s">
        <v>6</v>
      </c>
      <c r="K3" s="9" t="s">
        <v>1</v>
      </c>
      <c r="L3" s="13" t="s">
        <v>0</v>
      </c>
      <c r="M3" s="13" t="s">
        <v>4</v>
      </c>
      <c r="N3" s="13" t="s">
        <v>8</v>
      </c>
      <c r="O3" s="13" t="s">
        <v>10</v>
      </c>
      <c r="P3" s="13" t="s">
        <v>7</v>
      </c>
      <c r="Q3" s="13" t="s">
        <v>9</v>
      </c>
      <c r="R3" s="13" t="s">
        <v>6</v>
      </c>
      <c r="S3" s="13" t="s">
        <v>1</v>
      </c>
      <c r="T3" s="8" t="s">
        <v>0</v>
      </c>
      <c r="U3" s="8" t="s">
        <v>4</v>
      </c>
      <c r="V3" s="8" t="s">
        <v>8</v>
      </c>
      <c r="W3" s="8" t="s">
        <v>10</v>
      </c>
      <c r="X3" s="8" t="s">
        <v>7</v>
      </c>
      <c r="Y3" s="8" t="s">
        <v>9</v>
      </c>
      <c r="Z3" s="8" t="s">
        <v>6</v>
      </c>
      <c r="AA3" s="8" t="s">
        <v>1</v>
      </c>
    </row>
    <row r="4" spans="2:27" x14ac:dyDescent="0.2">
      <c r="B4" s="4">
        <v>1</v>
      </c>
      <c r="C4" s="4">
        <v>61</v>
      </c>
      <c r="D4" s="12">
        <v>57759.09893</v>
      </c>
      <c r="E4" s="6">
        <v>0.20000004769999999</v>
      </c>
      <c r="F4" s="5">
        <v>2</v>
      </c>
      <c r="G4" s="19">
        <v>0.8</v>
      </c>
      <c r="H4" s="6">
        <v>0</v>
      </c>
      <c r="I4" s="19">
        <v>0.26085329106886157</v>
      </c>
      <c r="J4" s="5">
        <v>1296.3763326824628</v>
      </c>
      <c r="K4" s="7">
        <v>0</v>
      </c>
      <c r="L4" s="12">
        <v>59876.632790000003</v>
      </c>
      <c r="M4" s="6">
        <v>0.2210001945</v>
      </c>
      <c r="N4" s="5">
        <v>2</v>
      </c>
      <c r="O4" s="19">
        <v>0.8</v>
      </c>
      <c r="P4" s="6">
        <v>16.726276693110002</v>
      </c>
      <c r="Q4" s="19">
        <v>0.26085329106886157</v>
      </c>
      <c r="R4" s="5">
        <v>1296.3763326824094</v>
      </c>
      <c r="S4" s="7">
        <v>0</v>
      </c>
      <c r="T4" s="12">
        <v>57759.09893</v>
      </c>
      <c r="U4" s="6">
        <v>0.13000011440000001</v>
      </c>
      <c r="V4" s="5">
        <v>2</v>
      </c>
      <c r="W4" s="19">
        <v>0.8</v>
      </c>
      <c r="X4" s="6">
        <v>0</v>
      </c>
      <c r="Y4" s="19">
        <v>0.26085329106886157</v>
      </c>
      <c r="Z4" s="5">
        <v>1296.3763326824628</v>
      </c>
      <c r="AA4" s="7">
        <v>0</v>
      </c>
    </row>
    <row r="5" spans="2:27" x14ac:dyDescent="0.2">
      <c r="B5" s="4">
        <v>2</v>
      </c>
      <c r="C5" s="4">
        <v>339</v>
      </c>
      <c r="D5" s="12">
        <v>63309.010849999999</v>
      </c>
      <c r="E5" s="6">
        <v>0.2599999905</v>
      </c>
      <c r="F5" s="5">
        <v>3</v>
      </c>
      <c r="G5" s="19">
        <v>0.9</v>
      </c>
      <c r="H5" s="6">
        <v>0</v>
      </c>
      <c r="I5" s="19">
        <v>0.15256236853389618</v>
      </c>
      <c r="J5" s="5">
        <v>1463.2063227351093</v>
      </c>
      <c r="K5" s="7">
        <v>0</v>
      </c>
      <c r="L5" s="12">
        <v>65487.990429999998</v>
      </c>
      <c r="M5" s="6">
        <v>0.30599999430000002</v>
      </c>
      <c r="N5" s="5">
        <v>3</v>
      </c>
      <c r="O5" s="19">
        <v>0.9</v>
      </c>
      <c r="P5" s="6">
        <v>54.735191476113002</v>
      </c>
      <c r="Q5" s="19">
        <v>0.15369172652709345</v>
      </c>
      <c r="R5" s="5">
        <v>1467.937866000932</v>
      </c>
      <c r="S5" s="7">
        <v>0</v>
      </c>
      <c r="T5" s="12">
        <v>63309.010849999999</v>
      </c>
      <c r="U5" s="6">
        <v>0.21700000759999999</v>
      </c>
      <c r="V5" s="5">
        <v>3</v>
      </c>
      <c r="W5" s="19">
        <v>0.9</v>
      </c>
      <c r="X5" s="6">
        <v>0</v>
      </c>
      <c r="Y5" s="19">
        <v>0.15256236853389618</v>
      </c>
      <c r="Z5" s="5">
        <v>1463.2063227351116</v>
      </c>
      <c r="AA5" s="7">
        <v>0</v>
      </c>
    </row>
    <row r="6" spans="2:27" x14ac:dyDescent="0.2">
      <c r="B6" s="4">
        <v>3</v>
      </c>
      <c r="C6" s="4">
        <v>460</v>
      </c>
      <c r="D6" s="12">
        <v>58657.718439999997</v>
      </c>
      <c r="E6" s="6">
        <v>0.22699999809999999</v>
      </c>
      <c r="F6" s="5">
        <v>3</v>
      </c>
      <c r="G6" s="19">
        <v>1</v>
      </c>
      <c r="H6" s="6">
        <v>24.765217150894109</v>
      </c>
      <c r="I6" s="19">
        <v>0.21147615025761327</v>
      </c>
      <c r="J6" s="5">
        <v>1661.1871426106718</v>
      </c>
      <c r="K6" s="7">
        <v>0</v>
      </c>
      <c r="L6" s="12">
        <v>63042.506229999999</v>
      </c>
      <c r="M6" s="6">
        <v>0.29099988939999999</v>
      </c>
      <c r="N6" s="5">
        <v>3</v>
      </c>
      <c r="O6" s="19">
        <v>0.95</v>
      </c>
      <c r="P6" s="6">
        <v>47.139634256782003</v>
      </c>
      <c r="Q6" s="19">
        <v>0.19344761281160003</v>
      </c>
      <c r="R6" s="5">
        <v>1509.9802750088811</v>
      </c>
      <c r="S6" s="7">
        <v>0</v>
      </c>
      <c r="T6" s="12">
        <v>58221.850610000001</v>
      </c>
      <c r="U6" s="6">
        <v>0.2020001411</v>
      </c>
      <c r="V6" s="5">
        <v>3</v>
      </c>
      <c r="W6" s="19">
        <v>1</v>
      </c>
      <c r="X6" s="6">
        <v>0</v>
      </c>
      <c r="Y6" s="19">
        <v>0.21147615025761327</v>
      </c>
      <c r="Z6" s="5">
        <v>1661.1871426106718</v>
      </c>
      <c r="AA6" s="7">
        <v>0</v>
      </c>
    </row>
    <row r="7" spans="2:27" x14ac:dyDescent="0.2">
      <c r="B7" s="4">
        <v>4</v>
      </c>
      <c r="C7" s="4">
        <v>688</v>
      </c>
      <c r="D7" s="12">
        <v>57097.78486</v>
      </c>
      <c r="E7" s="6">
        <v>0.14800000190000001</v>
      </c>
      <c r="F7" s="5">
        <v>3</v>
      </c>
      <c r="G7" s="19">
        <v>0.95</v>
      </c>
      <c r="H7" s="6">
        <v>8.4505643299833455</v>
      </c>
      <c r="I7" s="19">
        <v>0.19102046487626057</v>
      </c>
      <c r="J7" s="5">
        <v>1434.1655213832048</v>
      </c>
      <c r="K7" s="7">
        <v>0</v>
      </c>
      <c r="L7" s="12">
        <v>61102.50088</v>
      </c>
      <c r="M7" s="6">
        <v>0.21099996569999999</v>
      </c>
      <c r="N7" s="5">
        <v>3</v>
      </c>
      <c r="O7" s="19">
        <v>0.95</v>
      </c>
      <c r="P7" s="6">
        <v>79.074923908730995</v>
      </c>
      <c r="Q7" s="19">
        <v>0.19102046487626057</v>
      </c>
      <c r="R7" s="5">
        <v>1434.1655213832069</v>
      </c>
      <c r="S7" s="7">
        <v>0</v>
      </c>
      <c r="T7" s="12">
        <v>56993.345990000002</v>
      </c>
      <c r="U7" s="6">
        <v>0.2419998646</v>
      </c>
      <c r="V7" s="5">
        <v>3</v>
      </c>
      <c r="W7" s="19">
        <v>0.95</v>
      </c>
      <c r="X7" s="6">
        <v>0</v>
      </c>
      <c r="Y7" s="19">
        <v>0.19102046487626057</v>
      </c>
      <c r="Z7" s="5">
        <v>1434.1655213831737</v>
      </c>
      <c r="AA7" s="7">
        <v>0</v>
      </c>
    </row>
    <row r="8" spans="2:27" x14ac:dyDescent="0.2">
      <c r="B8" s="4">
        <v>5</v>
      </c>
      <c r="C8" s="4">
        <v>754</v>
      </c>
      <c r="D8" s="12">
        <v>60865.455549999999</v>
      </c>
      <c r="E8" s="6">
        <v>0.23500013350000001</v>
      </c>
      <c r="F8" s="5">
        <v>3</v>
      </c>
      <c r="G8" s="19">
        <v>0.85</v>
      </c>
      <c r="H8" s="6">
        <v>0</v>
      </c>
      <c r="I8" s="19">
        <v>0.13836143474649007</v>
      </c>
      <c r="J8" s="5">
        <v>1114.4459005933013</v>
      </c>
      <c r="K8" s="7">
        <v>0</v>
      </c>
      <c r="L8" s="12">
        <v>61487.428809999998</v>
      </c>
      <c r="M8" s="6">
        <v>0.3569998741</v>
      </c>
      <c r="N8" s="5">
        <v>3</v>
      </c>
      <c r="O8" s="19">
        <v>0.85</v>
      </c>
      <c r="P8" s="6">
        <v>38.452833483954841</v>
      </c>
      <c r="Q8" s="19">
        <v>0.13836143474648979</v>
      </c>
      <c r="R8" s="5">
        <v>1114.4459005933309</v>
      </c>
      <c r="S8" s="7">
        <v>0</v>
      </c>
      <c r="T8" s="12">
        <v>60865.455549999999</v>
      </c>
      <c r="U8" s="6">
        <v>0.3110001087</v>
      </c>
      <c r="V8" s="5">
        <v>3</v>
      </c>
      <c r="W8" s="19">
        <v>0.85</v>
      </c>
      <c r="X8" s="6">
        <v>0</v>
      </c>
      <c r="Y8" s="19">
        <v>0.13836143474648946</v>
      </c>
      <c r="Z8" s="5">
        <v>1114.4459005933047</v>
      </c>
      <c r="AA8" s="7">
        <v>0</v>
      </c>
    </row>
    <row r="9" spans="2:27" x14ac:dyDescent="0.2">
      <c r="B9" s="4">
        <v>6</v>
      </c>
      <c r="C9" s="4">
        <v>756</v>
      </c>
      <c r="D9" s="12">
        <v>45799.413849999997</v>
      </c>
      <c r="E9" s="6">
        <v>7.10000992E-2</v>
      </c>
      <c r="F9" s="5">
        <v>3</v>
      </c>
      <c r="G9" s="19">
        <v>1</v>
      </c>
      <c r="H9" s="6">
        <v>0</v>
      </c>
      <c r="I9" s="19">
        <v>0.1671301991454415</v>
      </c>
      <c r="J9" s="5">
        <v>1007.9465118778219</v>
      </c>
      <c r="K9" s="7">
        <v>0</v>
      </c>
      <c r="L9" s="12">
        <v>46225.783450000003</v>
      </c>
      <c r="M9" s="6">
        <v>0.14800000190000001</v>
      </c>
      <c r="N9" s="5">
        <v>3</v>
      </c>
      <c r="O9" s="19">
        <v>1</v>
      </c>
      <c r="P9" s="6">
        <v>29.093813540854718</v>
      </c>
      <c r="Q9" s="19">
        <v>0.1671301991454415</v>
      </c>
      <c r="R9" s="5">
        <v>1007.9465118778219</v>
      </c>
      <c r="S9" s="7">
        <v>0</v>
      </c>
      <c r="T9" s="12">
        <v>45799.413849999997</v>
      </c>
      <c r="U9" s="6">
        <v>0.13899993899999999</v>
      </c>
      <c r="V9" s="5">
        <v>3</v>
      </c>
      <c r="W9" s="19">
        <v>1</v>
      </c>
      <c r="X9" s="6">
        <v>0</v>
      </c>
      <c r="Y9" s="19">
        <v>0.1671301991454415</v>
      </c>
      <c r="Z9" s="5">
        <v>1007.9465118778093</v>
      </c>
      <c r="AA9" s="7">
        <v>0</v>
      </c>
    </row>
    <row r="10" spans="2:27" x14ac:dyDescent="0.2">
      <c r="B10" s="4">
        <v>7</v>
      </c>
      <c r="C10" s="4">
        <v>815</v>
      </c>
      <c r="D10" s="12">
        <v>51423.275079999999</v>
      </c>
      <c r="E10" s="6">
        <v>0.40299987790000003</v>
      </c>
      <c r="F10" s="5">
        <v>3</v>
      </c>
      <c r="G10" s="19">
        <v>1</v>
      </c>
      <c r="H10" s="6">
        <v>0</v>
      </c>
      <c r="I10" s="19">
        <v>0.29008637747952626</v>
      </c>
      <c r="J10" s="5">
        <v>1430.6972997087992</v>
      </c>
      <c r="K10" s="7">
        <v>0</v>
      </c>
      <c r="L10" s="12">
        <v>53734.800490000001</v>
      </c>
      <c r="M10" s="6">
        <v>0.53900003429999999</v>
      </c>
      <c r="N10" s="5">
        <v>3</v>
      </c>
      <c r="O10" s="19">
        <v>1</v>
      </c>
      <c r="P10" s="6">
        <v>57.512212656545998</v>
      </c>
      <c r="Q10" s="19">
        <v>0.2421218328809471</v>
      </c>
      <c r="R10" s="5">
        <v>1363.0628315272472</v>
      </c>
      <c r="S10" s="7">
        <v>0</v>
      </c>
      <c r="T10" s="12">
        <v>51423.275079999999</v>
      </c>
      <c r="U10" s="6">
        <v>0.41700005530000001</v>
      </c>
      <c r="V10" s="5">
        <v>3</v>
      </c>
      <c r="W10" s="19">
        <v>1</v>
      </c>
      <c r="X10" s="6">
        <v>0</v>
      </c>
      <c r="Y10" s="19">
        <v>0.29008637747952626</v>
      </c>
      <c r="Z10" s="5">
        <v>1430.6972997088646</v>
      </c>
      <c r="AA10" s="7">
        <v>0</v>
      </c>
    </row>
    <row r="11" spans="2:27" x14ac:dyDescent="0.2">
      <c r="B11" s="4">
        <v>8</v>
      </c>
      <c r="C11" s="4">
        <v>837</v>
      </c>
      <c r="D11" s="12">
        <v>50496.11535</v>
      </c>
      <c r="E11" s="6">
        <v>0.22500014309999999</v>
      </c>
      <c r="F11" s="5">
        <v>3</v>
      </c>
      <c r="G11" s="19">
        <v>0.95</v>
      </c>
      <c r="H11" s="6">
        <v>0.34892101723922725</v>
      </c>
      <c r="I11" s="19">
        <v>0.27688233758577602</v>
      </c>
      <c r="J11" s="5">
        <v>1264.296365009553</v>
      </c>
      <c r="K11" s="7">
        <v>0</v>
      </c>
      <c r="L11" s="12">
        <v>52182.680630000003</v>
      </c>
      <c r="M11" s="6">
        <v>0.28999996189999999</v>
      </c>
      <c r="N11" s="5">
        <v>3</v>
      </c>
      <c r="O11" s="19">
        <v>0.95</v>
      </c>
      <c r="P11" s="6">
        <v>11.059973554320999</v>
      </c>
      <c r="Q11" s="19">
        <v>0.27510853312997918</v>
      </c>
      <c r="R11" s="5">
        <v>1254.0703765443318</v>
      </c>
      <c r="S11" s="7">
        <v>0</v>
      </c>
      <c r="T11" s="12">
        <v>50490.546569999999</v>
      </c>
      <c r="U11" s="6">
        <v>0.34700012209999997</v>
      </c>
      <c r="V11" s="5">
        <v>3</v>
      </c>
      <c r="W11" s="19">
        <v>0.95</v>
      </c>
      <c r="X11" s="6">
        <v>0</v>
      </c>
      <c r="Y11" s="19">
        <v>0.27688233758577602</v>
      </c>
      <c r="Z11" s="5">
        <v>1264.2963650095378</v>
      </c>
      <c r="AA11" s="7">
        <v>0</v>
      </c>
    </row>
    <row r="12" spans="2:27" x14ac:dyDescent="0.2">
      <c r="B12" s="4">
        <v>9</v>
      </c>
      <c r="C12" s="4">
        <v>882</v>
      </c>
      <c r="D12" s="12">
        <v>66953.420289999995</v>
      </c>
      <c r="E12" s="6">
        <v>0.2239999771</v>
      </c>
      <c r="F12" s="5">
        <v>3</v>
      </c>
      <c r="G12" s="19">
        <v>0.8</v>
      </c>
      <c r="H12" s="6">
        <v>0</v>
      </c>
      <c r="I12" s="19">
        <v>0.11448768691835376</v>
      </c>
      <c r="J12" s="5">
        <v>1139.4963885475706</v>
      </c>
      <c r="K12" s="7">
        <v>0</v>
      </c>
      <c r="L12" s="12">
        <v>68013.535640000002</v>
      </c>
      <c r="M12" s="6">
        <v>0.31099987029999998</v>
      </c>
      <c r="N12" s="5">
        <v>2</v>
      </c>
      <c r="O12" s="19">
        <v>0.65</v>
      </c>
      <c r="P12" s="6">
        <v>48.201238040745338</v>
      </c>
      <c r="Q12" s="19">
        <v>0.14749438775857432</v>
      </c>
      <c r="R12" s="5">
        <v>1041.5472197884733</v>
      </c>
      <c r="S12" s="7">
        <v>0</v>
      </c>
      <c r="T12" s="12">
        <v>66953.420289999995</v>
      </c>
      <c r="U12" s="6">
        <v>0.28400015830000003</v>
      </c>
      <c r="V12" s="5">
        <v>3</v>
      </c>
      <c r="W12" s="19">
        <v>0.8</v>
      </c>
      <c r="X12" s="6">
        <v>0</v>
      </c>
      <c r="Y12" s="19">
        <v>0.11448768691835376</v>
      </c>
      <c r="Z12" s="5">
        <v>1139.4963885475822</v>
      </c>
      <c r="AA12" s="7">
        <v>0</v>
      </c>
    </row>
    <row r="13" spans="2:27" x14ac:dyDescent="0.2">
      <c r="B13" s="4">
        <v>10</v>
      </c>
      <c r="C13" s="4">
        <v>899</v>
      </c>
      <c r="D13" s="12">
        <v>56435.280299999999</v>
      </c>
      <c r="E13" s="6">
        <v>0.143999815</v>
      </c>
      <c r="F13" s="5">
        <v>3</v>
      </c>
      <c r="G13" s="19">
        <v>0.95</v>
      </c>
      <c r="H13" s="6">
        <v>0</v>
      </c>
      <c r="I13" s="19">
        <v>0.14533143928674996</v>
      </c>
      <c r="J13" s="5">
        <v>1328.6891386353477</v>
      </c>
      <c r="K13" s="7">
        <v>0</v>
      </c>
      <c r="L13" s="12">
        <v>57943.102890000002</v>
      </c>
      <c r="M13" s="6">
        <v>0.25</v>
      </c>
      <c r="N13" s="5">
        <v>3</v>
      </c>
      <c r="O13" s="19">
        <v>0.9</v>
      </c>
      <c r="P13" s="6">
        <v>35.712609029529361</v>
      </c>
      <c r="Q13" s="19">
        <v>0.13440378956255769</v>
      </c>
      <c r="R13" s="5">
        <v>1148.485888139146</v>
      </c>
      <c r="S13" s="7">
        <v>0</v>
      </c>
      <c r="T13" s="12">
        <v>56435.280299999999</v>
      </c>
      <c r="U13" s="6">
        <v>0.27600002289999997</v>
      </c>
      <c r="V13" s="5">
        <v>3</v>
      </c>
      <c r="W13" s="19">
        <v>0.95</v>
      </c>
      <c r="X13" s="6">
        <v>0</v>
      </c>
      <c r="Y13" s="19">
        <v>0.14533143928674996</v>
      </c>
      <c r="Z13" s="5">
        <v>1328.6891386353495</v>
      </c>
      <c r="AA13" s="7">
        <v>0</v>
      </c>
    </row>
    <row r="14" spans="2:27" x14ac:dyDescent="0.2">
      <c r="B14" s="26" t="s">
        <v>2</v>
      </c>
      <c r="C14" s="27"/>
      <c r="D14" s="10">
        <f>AVERAGE(D4:D13)</f>
        <v>56879.657349999994</v>
      </c>
      <c r="E14" s="11">
        <f>AVERAGE(E4:E13)</f>
        <v>0.21370000839999997</v>
      </c>
      <c r="F14" s="10">
        <f>AVERAGE(F4:F13)</f>
        <v>2.9</v>
      </c>
      <c r="G14" s="20">
        <f>AVERAGE(G4:G13)</f>
        <v>0.91999999999999993</v>
      </c>
      <c r="H14" s="11">
        <f>AVERAGE(H4:H13)</f>
        <v>3.3564702498116681</v>
      </c>
      <c r="I14" s="20">
        <f t="shared" ref="I14:K14" si="0">AVERAGE(I4:I13)</f>
        <v>0.19481917498989693</v>
      </c>
      <c r="J14" s="10">
        <f t="shared" si="0"/>
        <v>1314.0506923783842</v>
      </c>
      <c r="K14" s="11">
        <f t="shared" si="0"/>
        <v>0</v>
      </c>
      <c r="L14" s="14">
        <f>AVERAGE(L4:L13)</f>
        <v>58909.696223999999</v>
      </c>
      <c r="M14" s="15">
        <f>AVERAGE(M4:M13)</f>
        <v>0.29239997864</v>
      </c>
      <c r="N14" s="14">
        <f>AVERAGE(N4:N13)</f>
        <v>2.8</v>
      </c>
      <c r="O14" s="22">
        <f>AVERAGE(O4:O13)</f>
        <v>0.89500000000000013</v>
      </c>
      <c r="P14" s="15">
        <f>AVERAGE(P4:P13)</f>
        <v>41.770870664068724</v>
      </c>
      <c r="Q14" s="22">
        <f t="shared" ref="Q14:S14" si="1">AVERAGE(Q4:Q13)</f>
        <v>0.19036332725078051</v>
      </c>
      <c r="R14" s="14">
        <f t="shared" si="1"/>
        <v>1263.8018723545781</v>
      </c>
      <c r="S14" s="15">
        <f t="shared" si="1"/>
        <v>0</v>
      </c>
      <c r="T14" s="16">
        <f>AVERAGE(T4:T13)</f>
        <v>56825.069801999998</v>
      </c>
      <c r="U14" s="17">
        <f>AVERAGE(U4:U13)</f>
        <v>0.25650005339999998</v>
      </c>
      <c r="V14" s="16">
        <f>AVERAGE(V4:V13)</f>
        <v>2.9</v>
      </c>
      <c r="W14" s="21">
        <f>AVERAGE(W4:W13)</f>
        <v>0.91999999999999993</v>
      </c>
      <c r="X14" s="17">
        <f>AVERAGE(X4:X13)</f>
        <v>0</v>
      </c>
      <c r="Y14" s="21">
        <f t="shared" ref="Y14:AA14" si="2">AVERAGE(Y4:Y13)</f>
        <v>0.19481917498989687</v>
      </c>
      <c r="Z14" s="16">
        <f t="shared" si="2"/>
        <v>1314.0506923783867</v>
      </c>
      <c r="AA14" s="17">
        <f t="shared" si="2"/>
        <v>0</v>
      </c>
    </row>
    <row r="15" spans="2:27" x14ac:dyDescent="0.2">
      <c r="D15" s="2"/>
      <c r="E15" s="3"/>
      <c r="F15" s="3"/>
      <c r="G15" s="3"/>
      <c r="H15" s="3"/>
      <c r="I15" s="3"/>
      <c r="J15" s="3"/>
      <c r="L15" s="18">
        <f>(L14-D14)/D14</f>
        <v>3.5690068621695124E-2</v>
      </c>
      <c r="M15" s="18">
        <f t="shared" ref="M15:R15" si="3">(M14-E14)/E14</f>
        <v>0.36827312656296574</v>
      </c>
      <c r="N15" s="18">
        <f t="shared" si="3"/>
        <v>-3.4482758620689689E-2</v>
      </c>
      <c r="O15" s="18">
        <f t="shared" si="3"/>
        <v>-2.7173913043478045E-2</v>
      </c>
      <c r="P15" s="18">
        <f t="shared" si="3"/>
        <v>11.444880352034252</v>
      </c>
      <c r="Q15" s="18">
        <f t="shared" si="3"/>
        <v>-2.2871710340357895E-2</v>
      </c>
      <c r="R15" s="18">
        <f t="shared" si="3"/>
        <v>-3.8239635894759511E-2</v>
      </c>
      <c r="T15" s="18">
        <f>(T14-D14)/D14</f>
        <v>-9.5970247612604299E-4</v>
      </c>
      <c r="U15" s="18">
        <f t="shared" ref="U15:Z15" si="4">(U14-E14)/E14</f>
        <v>0.20028097013401902</v>
      </c>
      <c r="V15" s="18">
        <f t="shared" si="4"/>
        <v>0</v>
      </c>
      <c r="W15" s="18">
        <f t="shared" si="4"/>
        <v>0</v>
      </c>
      <c r="X15" s="18">
        <f t="shared" si="4"/>
        <v>-1</v>
      </c>
      <c r="Y15" s="18">
        <f t="shared" si="4"/>
        <v>-2.8493679451284283E-16</v>
      </c>
      <c r="Z15" s="18">
        <f t="shared" si="4"/>
        <v>1.9033591659608148E-15</v>
      </c>
    </row>
    <row r="16" spans="2:27" x14ac:dyDescent="0.2">
      <c r="D16" s="2"/>
    </row>
    <row r="17" spans="4:6" x14ac:dyDescent="0.2">
      <c r="D17" s="2"/>
    </row>
    <row r="18" spans="4:6" ht="22" x14ac:dyDescent="0.2">
      <c r="E18" s="24" t="s">
        <v>13</v>
      </c>
      <c r="F18" s="24" t="s">
        <v>12</v>
      </c>
    </row>
    <row r="19" spans="4:6" x14ac:dyDescent="0.2">
      <c r="D19" t="s">
        <v>15</v>
      </c>
      <c r="E19" s="18">
        <f>(L14-D14)/D14</f>
        <v>3.5690068621695124E-2</v>
      </c>
      <c r="F19" s="18">
        <f>(T14-D14)/D14</f>
        <v>-9.5970247612604299E-4</v>
      </c>
    </row>
    <row r="20" spans="4:6" x14ac:dyDescent="0.2">
      <c r="D20" t="s">
        <v>16</v>
      </c>
      <c r="E20" s="18">
        <f>(N14-F14)/F14</f>
        <v>-3.4482758620689689E-2</v>
      </c>
      <c r="F20" s="18">
        <f>(V14-F14)/F14</f>
        <v>0</v>
      </c>
    </row>
    <row r="21" spans="4:6" x14ac:dyDescent="0.2">
      <c r="D21" t="s">
        <v>17</v>
      </c>
      <c r="E21" s="18">
        <f>(O14-G14)/G14</f>
        <v>-2.7173913043478045E-2</v>
      </c>
      <c r="F21" s="18">
        <f>(W14-G14)/G14</f>
        <v>0</v>
      </c>
    </row>
    <row r="22" spans="4:6" x14ac:dyDescent="0.2">
      <c r="D22" t="s">
        <v>18</v>
      </c>
      <c r="E22" s="18">
        <f>(Q14-I14)/I14</f>
        <v>-2.2871710340357895E-2</v>
      </c>
      <c r="F22" s="18">
        <f>(Y14-I14)/I14</f>
        <v>-2.8493679451284283E-16</v>
      </c>
    </row>
    <row r="23" spans="4:6" x14ac:dyDescent="0.2">
      <c r="D23" t="s">
        <v>19</v>
      </c>
      <c r="E23" s="18">
        <f>(P14-H14)/H14</f>
        <v>11.444880352034252</v>
      </c>
      <c r="F23" s="18">
        <f>(X14-H14)/H14</f>
        <v>-1</v>
      </c>
    </row>
    <row r="24" spans="4:6" x14ac:dyDescent="0.2">
      <c r="D24" t="s">
        <v>20</v>
      </c>
      <c r="E24" s="18">
        <f>(R14-J14)/J14</f>
        <v>-3.8239635894759511E-2</v>
      </c>
      <c r="F24" s="18">
        <f>(Z14-J14)/J14</f>
        <v>1.9033591659608148E-15</v>
      </c>
    </row>
  </sheetData>
  <mergeCells count="1">
    <mergeCell ref="B14:C14"/>
  </mergeCells>
  <conditionalFormatting sqref="C1:C3 C14:C1048576">
    <cfRule type="duplicateValues" dxfId="33" priority="5"/>
    <cfRule type="duplicateValues" dxfId="32" priority="6"/>
  </conditionalFormatting>
  <conditionalFormatting sqref="C4:C13">
    <cfRule type="duplicateValues" dxfId="31" priority="1"/>
    <cfRule type="duplicateValues" dxfId="30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AC5B-17A1-45DB-A2F7-0562971EB633}">
  <dimension ref="B2:AA24"/>
  <sheetViews>
    <sheetView zoomScaleNormal="100" workbookViewId="0">
      <selection activeCell="F19" sqref="F19:F2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21.1640625" style="1" bestFit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6.6640625" style="1" bestFit="1" customWidth="1"/>
    <col min="12" max="12" width="12.6640625" style="1" bestFit="1" customWidth="1"/>
    <col min="13" max="13" width="9.5" style="1" bestFit="1" customWidth="1"/>
    <col min="14" max="14" width="9.1640625" style="1" bestFit="1" customWidth="1"/>
    <col min="15" max="15" width="18.33203125" style="1" bestFit="1" customWidth="1"/>
    <col min="16" max="16" width="12" style="1" bestFit="1" customWidth="1"/>
    <col min="17" max="17" width="24.83203125" style="1" bestFit="1" customWidth="1"/>
    <col min="18" max="18" width="18" style="1" bestFit="1" customWidth="1"/>
    <col min="19" max="19" width="6.6640625" style="1" bestFit="1" customWidth="1"/>
    <col min="20" max="20" width="12.6640625" style="1" bestFit="1" customWidth="1"/>
    <col min="21" max="21" width="9.5" style="1" bestFit="1" customWidth="1"/>
    <col min="22" max="22" width="9.1640625" style="1" bestFit="1" customWidth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27" width="6.6640625" style="1" bestFit="1" customWidth="1"/>
    <col min="28" max="16384" width="10.83203125" style="1"/>
  </cols>
  <sheetData>
    <row r="2" spans="2:27" ht="22" x14ac:dyDescent="0.2">
      <c r="D2" s="23" t="s">
        <v>11</v>
      </c>
      <c r="L2" s="24" t="s">
        <v>13</v>
      </c>
      <c r="T2" s="24" t="s">
        <v>12</v>
      </c>
    </row>
    <row r="3" spans="2:27" x14ac:dyDescent="0.2">
      <c r="B3" s="9" t="s">
        <v>5</v>
      </c>
      <c r="C3" s="9" t="s">
        <v>3</v>
      </c>
      <c r="D3" s="9" t="s">
        <v>0</v>
      </c>
      <c r="E3" s="9" t="s">
        <v>4</v>
      </c>
      <c r="F3" s="9" t="s">
        <v>8</v>
      </c>
      <c r="G3" s="9" t="s">
        <v>10</v>
      </c>
      <c r="H3" s="9" t="s">
        <v>7</v>
      </c>
      <c r="I3" s="9" t="s">
        <v>9</v>
      </c>
      <c r="J3" s="9" t="s">
        <v>6</v>
      </c>
      <c r="K3" s="9" t="s">
        <v>1</v>
      </c>
      <c r="L3" s="13" t="s">
        <v>0</v>
      </c>
      <c r="M3" s="13" t="s">
        <v>4</v>
      </c>
      <c r="N3" s="13" t="s">
        <v>8</v>
      </c>
      <c r="O3" s="13" t="s">
        <v>10</v>
      </c>
      <c r="P3" s="13" t="s">
        <v>7</v>
      </c>
      <c r="Q3" s="13" t="s">
        <v>9</v>
      </c>
      <c r="R3" s="13" t="s">
        <v>6</v>
      </c>
      <c r="S3" s="13" t="s">
        <v>1</v>
      </c>
      <c r="T3" s="8" t="s">
        <v>0</v>
      </c>
      <c r="U3" s="8" t="s">
        <v>4</v>
      </c>
      <c r="V3" s="8" t="s">
        <v>8</v>
      </c>
      <c r="W3" s="8" t="s">
        <v>10</v>
      </c>
      <c r="X3" s="8" t="s">
        <v>7</v>
      </c>
      <c r="Y3" s="8" t="s">
        <v>9</v>
      </c>
      <c r="Z3" s="8" t="s">
        <v>6</v>
      </c>
      <c r="AA3" s="8" t="s">
        <v>1</v>
      </c>
    </row>
    <row r="4" spans="2:27" x14ac:dyDescent="0.2">
      <c r="B4" s="4">
        <v>1</v>
      </c>
      <c r="C4" s="4">
        <v>61</v>
      </c>
      <c r="D4" s="12">
        <v>57759.09893</v>
      </c>
      <c r="E4" s="6">
        <v>0.20000004769999999</v>
      </c>
      <c r="F4" s="5">
        <v>2</v>
      </c>
      <c r="G4" s="19">
        <v>0.8</v>
      </c>
      <c r="H4" s="6">
        <v>0</v>
      </c>
      <c r="I4" s="19">
        <v>0.26085329106886157</v>
      </c>
      <c r="J4" s="5">
        <v>1296.3763326824628</v>
      </c>
      <c r="K4" s="7">
        <v>0</v>
      </c>
      <c r="L4" s="12">
        <v>46352.144010000004</v>
      </c>
      <c r="M4" s="6">
        <v>0.3129999638</v>
      </c>
      <c r="N4" s="5">
        <v>1</v>
      </c>
      <c r="O4" s="19">
        <v>0.5</v>
      </c>
      <c r="P4" s="6">
        <v>0</v>
      </c>
      <c r="Q4" s="19">
        <v>0.30269193626267499</v>
      </c>
      <c r="R4" s="5">
        <v>1332.6286725739385</v>
      </c>
      <c r="S4" s="7">
        <v>0</v>
      </c>
      <c r="T4" s="12">
        <v>63565.849320000001</v>
      </c>
      <c r="U4" s="6">
        <v>0.15999984740000001</v>
      </c>
      <c r="V4" s="5">
        <v>3</v>
      </c>
      <c r="W4" s="19">
        <v>0.9</v>
      </c>
      <c r="X4" s="6">
        <v>0</v>
      </c>
      <c r="Y4" s="19">
        <v>0.19659575063196688</v>
      </c>
      <c r="Z4" s="5">
        <v>1222.9687575518212</v>
      </c>
      <c r="AA4" s="7">
        <v>0</v>
      </c>
    </row>
    <row r="5" spans="2:27" x14ac:dyDescent="0.2">
      <c r="B5" s="4">
        <v>2</v>
      </c>
      <c r="C5" s="4">
        <v>339</v>
      </c>
      <c r="D5" s="12">
        <v>63309.010849999999</v>
      </c>
      <c r="E5" s="6">
        <v>0.2599999905</v>
      </c>
      <c r="F5" s="5">
        <v>3</v>
      </c>
      <c r="G5" s="19">
        <v>0.9</v>
      </c>
      <c r="H5" s="6">
        <v>0</v>
      </c>
      <c r="I5" s="19">
        <v>0.15256236853389618</v>
      </c>
      <c r="J5" s="5">
        <v>1463.2063227351093</v>
      </c>
      <c r="K5" s="7">
        <v>0</v>
      </c>
      <c r="L5" s="12">
        <v>50000</v>
      </c>
      <c r="M5" s="6">
        <v>0.18099999429999999</v>
      </c>
      <c r="N5" s="5">
        <v>0</v>
      </c>
      <c r="O5" s="19">
        <v>0</v>
      </c>
      <c r="P5" s="6" t="s">
        <v>14</v>
      </c>
      <c r="Q5" s="19" t="s">
        <v>14</v>
      </c>
      <c r="R5" s="5" t="s">
        <v>14</v>
      </c>
      <c r="S5" s="7">
        <v>0</v>
      </c>
      <c r="T5" s="12">
        <v>68309.010850000006</v>
      </c>
      <c r="U5" s="6">
        <v>0.21900010110000001</v>
      </c>
      <c r="V5" s="5">
        <v>3</v>
      </c>
      <c r="W5" s="19">
        <v>0.9</v>
      </c>
      <c r="X5" s="6">
        <v>0</v>
      </c>
      <c r="Y5" s="19">
        <v>0.15256236853389618</v>
      </c>
      <c r="Z5" s="5">
        <v>1463.2063227351118</v>
      </c>
      <c r="AA5" s="7">
        <v>0</v>
      </c>
    </row>
    <row r="6" spans="2:27" x14ac:dyDescent="0.2">
      <c r="B6" s="4">
        <v>3</v>
      </c>
      <c r="C6" s="4">
        <v>460</v>
      </c>
      <c r="D6" s="12">
        <v>58657.718439999997</v>
      </c>
      <c r="E6" s="6">
        <v>0.22699999809999999</v>
      </c>
      <c r="F6" s="5">
        <v>3</v>
      </c>
      <c r="G6" s="19">
        <v>1</v>
      </c>
      <c r="H6" s="6">
        <v>24.765217150894109</v>
      </c>
      <c r="I6" s="19">
        <v>0.21147615025761327</v>
      </c>
      <c r="J6" s="5">
        <v>1661.1871426106718</v>
      </c>
      <c r="K6" s="7">
        <v>0</v>
      </c>
      <c r="L6" s="12">
        <v>48243.247280000003</v>
      </c>
      <c r="M6" s="6">
        <v>0.21899986269999999</v>
      </c>
      <c r="N6" s="5">
        <v>1</v>
      </c>
      <c r="O6" s="19">
        <v>0.4</v>
      </c>
      <c r="P6" s="6">
        <v>0</v>
      </c>
      <c r="Q6" s="19">
        <v>0.1641191456006271</v>
      </c>
      <c r="R6" s="5">
        <v>1134.8379721857771</v>
      </c>
      <c r="S6" s="7">
        <v>0</v>
      </c>
      <c r="T6" s="12">
        <v>58657.718439999997</v>
      </c>
      <c r="U6" s="6">
        <v>0.19000005719999999</v>
      </c>
      <c r="V6" s="5">
        <v>3</v>
      </c>
      <c r="W6" s="19">
        <v>1</v>
      </c>
      <c r="X6" s="6">
        <v>24.76521715089866</v>
      </c>
      <c r="Y6" s="19">
        <v>0.21147615025761313</v>
      </c>
      <c r="Z6" s="5">
        <v>1661.1871426106923</v>
      </c>
      <c r="AA6" s="7">
        <v>1.49E-3</v>
      </c>
    </row>
    <row r="7" spans="2:27" x14ac:dyDescent="0.2">
      <c r="B7" s="4">
        <v>4</v>
      </c>
      <c r="C7" s="4">
        <v>688</v>
      </c>
      <c r="D7" s="12">
        <v>57097.78486</v>
      </c>
      <c r="E7" s="6">
        <v>0.14800000190000001</v>
      </c>
      <c r="F7" s="5">
        <v>3</v>
      </c>
      <c r="G7" s="19">
        <v>0.95</v>
      </c>
      <c r="H7" s="6">
        <v>8.4505643299833455</v>
      </c>
      <c r="I7" s="19">
        <v>0.19102046487626057</v>
      </c>
      <c r="J7" s="5">
        <v>1434.1655213832048</v>
      </c>
      <c r="K7" s="7">
        <v>0</v>
      </c>
      <c r="L7" s="12">
        <v>47310.800349999998</v>
      </c>
      <c r="M7" s="6">
        <v>0.27999997139999999</v>
      </c>
      <c r="N7" s="5">
        <v>1</v>
      </c>
      <c r="O7" s="19">
        <v>0.45</v>
      </c>
      <c r="P7" s="6">
        <v>0</v>
      </c>
      <c r="Q7" s="19">
        <v>0.36768049155145932</v>
      </c>
      <c r="R7" s="5">
        <v>1495.2999184830705</v>
      </c>
      <c r="S7" s="7">
        <v>0</v>
      </c>
      <c r="T7" s="12">
        <v>59597.78486</v>
      </c>
      <c r="U7" s="6">
        <v>0.19400000570000001</v>
      </c>
      <c r="V7" s="5">
        <v>3</v>
      </c>
      <c r="W7" s="19">
        <v>0.95</v>
      </c>
      <c r="X7" s="6">
        <v>8.4505643299833419</v>
      </c>
      <c r="Y7" s="19">
        <v>0.19102046487626057</v>
      </c>
      <c r="Z7" s="5">
        <v>1434.1655213832069</v>
      </c>
      <c r="AA7" s="7">
        <v>0</v>
      </c>
    </row>
    <row r="8" spans="2:27" x14ac:dyDescent="0.2">
      <c r="B8" s="4">
        <v>5</v>
      </c>
      <c r="C8" s="4">
        <v>754</v>
      </c>
      <c r="D8" s="12">
        <v>60865.455549999999</v>
      </c>
      <c r="E8" s="6">
        <v>0.23500013350000001</v>
      </c>
      <c r="F8" s="5">
        <v>3</v>
      </c>
      <c r="G8" s="19">
        <v>0.85</v>
      </c>
      <c r="H8" s="6">
        <v>0</v>
      </c>
      <c r="I8" s="19">
        <v>0.13836143474649007</v>
      </c>
      <c r="J8" s="5">
        <v>1114.4459005933013</v>
      </c>
      <c r="K8" s="7">
        <v>0</v>
      </c>
      <c r="L8" s="12">
        <v>45581.147400000002</v>
      </c>
      <c r="M8" s="6">
        <v>0.46099996570000001</v>
      </c>
      <c r="N8" s="5">
        <v>1</v>
      </c>
      <c r="O8" s="19">
        <v>0.45</v>
      </c>
      <c r="P8" s="6">
        <v>0</v>
      </c>
      <c r="Q8" s="19">
        <v>0.2161685635986221</v>
      </c>
      <c r="R8" s="5">
        <v>1109.7327230757919</v>
      </c>
      <c r="S8" s="7">
        <v>0</v>
      </c>
      <c r="T8" s="12">
        <v>68365.455549999999</v>
      </c>
      <c r="U8" s="6">
        <v>0.34999990460000002</v>
      </c>
      <c r="V8" s="5">
        <v>3</v>
      </c>
      <c r="W8" s="19">
        <v>0.85</v>
      </c>
      <c r="X8" s="6">
        <v>0</v>
      </c>
      <c r="Y8" s="19">
        <v>0.13836143474648932</v>
      </c>
      <c r="Z8" s="5">
        <v>1114.4459005933338</v>
      </c>
      <c r="AA8" s="7">
        <v>0</v>
      </c>
    </row>
    <row r="9" spans="2:27" x14ac:dyDescent="0.2">
      <c r="B9" s="4">
        <v>6</v>
      </c>
      <c r="C9" s="4">
        <v>756</v>
      </c>
      <c r="D9" s="12">
        <v>45799.413849999997</v>
      </c>
      <c r="E9" s="6">
        <v>7.10000992E-2</v>
      </c>
      <c r="F9" s="5">
        <v>3</v>
      </c>
      <c r="G9" s="19">
        <v>1</v>
      </c>
      <c r="H9" s="6">
        <v>0</v>
      </c>
      <c r="I9" s="19">
        <v>0.1671301991454415</v>
      </c>
      <c r="J9" s="5">
        <v>1007.9465118778219</v>
      </c>
      <c r="K9" s="7">
        <v>0</v>
      </c>
      <c r="L9" s="12">
        <v>44038.59347</v>
      </c>
      <c r="M9" s="6">
        <v>0.33100008959999999</v>
      </c>
      <c r="N9" s="5">
        <v>2</v>
      </c>
      <c r="O9" s="19">
        <v>0.7</v>
      </c>
      <c r="P9" s="6">
        <v>0</v>
      </c>
      <c r="Q9" s="19">
        <v>0.1239065781794417</v>
      </c>
      <c r="R9" s="5">
        <v>849.66360209105972</v>
      </c>
      <c r="S9" s="7">
        <v>0</v>
      </c>
      <c r="T9" s="12">
        <v>45799.413849999997</v>
      </c>
      <c r="U9" s="6">
        <v>0.14400005339999999</v>
      </c>
      <c r="V9" s="5">
        <v>3</v>
      </c>
      <c r="W9" s="19">
        <v>1</v>
      </c>
      <c r="X9" s="6">
        <v>0</v>
      </c>
      <c r="Y9" s="19">
        <v>0.1671301991454415</v>
      </c>
      <c r="Z9" s="5">
        <v>1007.9465118778287</v>
      </c>
      <c r="AA9" s="7">
        <v>0</v>
      </c>
    </row>
    <row r="10" spans="2:27" x14ac:dyDescent="0.2">
      <c r="B10" s="4">
        <v>7</v>
      </c>
      <c r="C10" s="4">
        <v>815</v>
      </c>
      <c r="D10" s="12">
        <v>51423.275079999999</v>
      </c>
      <c r="E10" s="6">
        <v>0.40299987790000003</v>
      </c>
      <c r="F10" s="5">
        <v>3</v>
      </c>
      <c r="G10" s="19">
        <v>1</v>
      </c>
      <c r="H10" s="6">
        <v>0</v>
      </c>
      <c r="I10" s="19">
        <v>0.29008637747952626</v>
      </c>
      <c r="J10" s="5">
        <v>1430.6972997087992</v>
      </c>
      <c r="K10" s="7">
        <v>0</v>
      </c>
      <c r="L10" s="12">
        <v>48393.56856</v>
      </c>
      <c r="M10" s="6">
        <v>0.80400013920000002</v>
      </c>
      <c r="N10" s="5">
        <v>2</v>
      </c>
      <c r="O10" s="19">
        <v>0.65</v>
      </c>
      <c r="P10" s="6">
        <v>0</v>
      </c>
      <c r="Q10" s="19">
        <v>0.32823068128928168</v>
      </c>
      <c r="R10" s="5">
        <v>1305.6968717023103</v>
      </c>
      <c r="S10" s="7">
        <v>0</v>
      </c>
      <c r="T10" s="12">
        <v>51423.275079999999</v>
      </c>
      <c r="U10" s="6">
        <v>0.42199993130000002</v>
      </c>
      <c r="V10" s="5">
        <v>3</v>
      </c>
      <c r="W10" s="19">
        <v>1</v>
      </c>
      <c r="X10" s="6">
        <v>0</v>
      </c>
      <c r="Y10" s="19">
        <v>0.29008637747952626</v>
      </c>
      <c r="Z10" s="5">
        <v>1430.6972997088294</v>
      </c>
      <c r="AA10" s="7">
        <v>0</v>
      </c>
    </row>
    <row r="11" spans="2:27" x14ac:dyDescent="0.2">
      <c r="B11" s="4">
        <v>8</v>
      </c>
      <c r="C11" s="4">
        <v>837</v>
      </c>
      <c r="D11" s="12">
        <v>50496.11535</v>
      </c>
      <c r="E11" s="6">
        <v>0.22500014309999999</v>
      </c>
      <c r="F11" s="5">
        <v>3</v>
      </c>
      <c r="G11" s="19">
        <v>0.95</v>
      </c>
      <c r="H11" s="6">
        <v>0.34892101723922725</v>
      </c>
      <c r="I11" s="19">
        <v>0.27688233758577602</v>
      </c>
      <c r="J11" s="5">
        <v>1264.296365009553</v>
      </c>
      <c r="K11" s="7">
        <v>0</v>
      </c>
      <c r="L11" s="12">
        <v>46556.41949</v>
      </c>
      <c r="M11" s="6">
        <v>0.44599986079999998</v>
      </c>
      <c r="N11" s="5">
        <v>1</v>
      </c>
      <c r="O11" s="19">
        <v>0.4</v>
      </c>
      <c r="P11" s="6">
        <v>0.82868741594319317</v>
      </c>
      <c r="Q11" s="19">
        <v>0.54395897477448274</v>
      </c>
      <c r="R11" s="5">
        <v>1521.6294993275455</v>
      </c>
      <c r="S11" s="7">
        <v>0</v>
      </c>
      <c r="T11" s="12">
        <v>52996.11535</v>
      </c>
      <c r="U11" s="6">
        <v>0.26600003239999997</v>
      </c>
      <c r="V11" s="5">
        <v>3</v>
      </c>
      <c r="W11" s="19">
        <v>0.95</v>
      </c>
      <c r="X11" s="6">
        <v>0.34892101723922725</v>
      </c>
      <c r="Y11" s="19">
        <v>0.27688233758577629</v>
      </c>
      <c r="Z11" s="5">
        <v>1264.2963650095132</v>
      </c>
      <c r="AA11" s="7">
        <v>5.64E-3</v>
      </c>
    </row>
    <row r="12" spans="2:27" x14ac:dyDescent="0.2">
      <c r="B12" s="4">
        <v>9</v>
      </c>
      <c r="C12" s="4">
        <v>882</v>
      </c>
      <c r="D12" s="12">
        <v>66953.420289999995</v>
      </c>
      <c r="E12" s="6">
        <v>0.2239999771</v>
      </c>
      <c r="F12" s="5">
        <v>3</v>
      </c>
      <c r="G12" s="19">
        <v>0.8</v>
      </c>
      <c r="H12" s="6">
        <v>0</v>
      </c>
      <c r="I12" s="19">
        <v>0.11448768691835376</v>
      </c>
      <c r="J12" s="5">
        <v>1139.4963885475706</v>
      </c>
      <c r="K12" s="7">
        <v>0</v>
      </c>
      <c r="L12" s="12">
        <v>49112.411919999999</v>
      </c>
      <c r="M12" s="6">
        <v>0.4279999733</v>
      </c>
      <c r="N12" s="5">
        <v>1</v>
      </c>
      <c r="O12" s="19">
        <v>0.35</v>
      </c>
      <c r="P12" s="6">
        <v>0</v>
      </c>
      <c r="Q12" s="19">
        <v>0.21584064109659021</v>
      </c>
      <c r="R12" s="5">
        <v>1073.5395748053761</v>
      </c>
      <c r="S12" s="7">
        <v>0</v>
      </c>
      <c r="T12" s="12">
        <v>76953.420289999995</v>
      </c>
      <c r="U12" s="6">
        <v>0.27199983599999999</v>
      </c>
      <c r="V12" s="5">
        <v>3</v>
      </c>
      <c r="W12" s="19">
        <v>0.8</v>
      </c>
      <c r="X12" s="6">
        <v>0</v>
      </c>
      <c r="Y12" s="19">
        <v>0.11448768691835376</v>
      </c>
      <c r="Z12" s="5">
        <v>1139.4963885475847</v>
      </c>
      <c r="AA12" s="7">
        <v>0</v>
      </c>
    </row>
    <row r="13" spans="2:27" x14ac:dyDescent="0.2">
      <c r="B13" s="4">
        <v>10</v>
      </c>
      <c r="C13" s="4">
        <v>899</v>
      </c>
      <c r="D13" s="12">
        <v>56435.280299999999</v>
      </c>
      <c r="E13" s="6">
        <v>0.143999815</v>
      </c>
      <c r="F13" s="5">
        <v>3</v>
      </c>
      <c r="G13" s="19">
        <v>0.95</v>
      </c>
      <c r="H13" s="6">
        <v>0</v>
      </c>
      <c r="I13" s="19">
        <v>0.14533143928674996</v>
      </c>
      <c r="J13" s="5">
        <v>1328.6891386353477</v>
      </c>
      <c r="K13" s="7">
        <v>0</v>
      </c>
      <c r="L13" s="12">
        <v>49095.768920000002</v>
      </c>
      <c r="M13" s="6">
        <v>0.231000185</v>
      </c>
      <c r="N13" s="5">
        <v>1</v>
      </c>
      <c r="O13" s="19">
        <v>0.3</v>
      </c>
      <c r="P13" s="6">
        <v>0</v>
      </c>
      <c r="Q13" s="19">
        <v>9.0499833857321785E-2</v>
      </c>
      <c r="R13" s="5">
        <v>737.57629216205089</v>
      </c>
      <c r="S13" s="7">
        <v>0</v>
      </c>
      <c r="T13" s="12">
        <v>58935.280299999999</v>
      </c>
      <c r="U13" s="6">
        <v>0.1240000725</v>
      </c>
      <c r="V13" s="5">
        <v>3</v>
      </c>
      <c r="W13" s="19">
        <v>0.95</v>
      </c>
      <c r="X13" s="6">
        <v>0</v>
      </c>
      <c r="Y13" s="19">
        <v>0.14533143928674996</v>
      </c>
      <c r="Z13" s="5">
        <v>1328.6891386353386</v>
      </c>
      <c r="AA13" s="7">
        <v>0</v>
      </c>
    </row>
    <row r="14" spans="2:27" x14ac:dyDescent="0.2">
      <c r="B14" s="26" t="s">
        <v>2</v>
      </c>
      <c r="C14" s="27"/>
      <c r="D14" s="10">
        <f>AVERAGE(D4:D13)</f>
        <v>56879.657349999994</v>
      </c>
      <c r="E14" s="11">
        <f>AVERAGE(E4:E13)</f>
        <v>0.21370000839999997</v>
      </c>
      <c r="F14" s="10">
        <f>AVERAGE(F4:F13)</f>
        <v>2.9</v>
      </c>
      <c r="G14" s="20">
        <f>AVERAGE(G4:G13)</f>
        <v>0.91999999999999993</v>
      </c>
      <c r="H14" s="11">
        <f>AVERAGE(H4:H13)</f>
        <v>3.3564702498116681</v>
      </c>
      <c r="I14" s="20">
        <f t="shared" ref="I14:K14" si="0">AVERAGE(I4:I13)</f>
        <v>0.19481917498989693</v>
      </c>
      <c r="J14" s="10">
        <f t="shared" si="0"/>
        <v>1314.0506923783842</v>
      </c>
      <c r="K14" s="11">
        <f t="shared" si="0"/>
        <v>0</v>
      </c>
      <c r="L14" s="14">
        <f>AVERAGE(L4:L13)</f>
        <v>47468.41014</v>
      </c>
      <c r="M14" s="15">
        <f>AVERAGE(M4:M13)</f>
        <v>0.36940000058</v>
      </c>
      <c r="N14" s="14">
        <f>AVERAGE(N4:N13)</f>
        <v>1.1000000000000001</v>
      </c>
      <c r="O14" s="22">
        <f>AVERAGE(O4:O13)</f>
        <v>0.42000000000000004</v>
      </c>
      <c r="P14" s="15">
        <f>AVERAGE(P4:P13)</f>
        <v>9.2076379549243692E-2</v>
      </c>
      <c r="Q14" s="22">
        <f t="shared" ref="Q14:S14" si="1">AVERAGE(Q4:Q13)</f>
        <v>0.26145520513450016</v>
      </c>
      <c r="R14" s="14">
        <f t="shared" si="1"/>
        <v>1173.4005696007689</v>
      </c>
      <c r="S14" s="15">
        <f t="shared" si="1"/>
        <v>0</v>
      </c>
      <c r="T14" s="16">
        <f>AVERAGE(T4:T13)</f>
        <v>60460.332389000003</v>
      </c>
      <c r="U14" s="17">
        <f>AVERAGE(U4:U13)</f>
        <v>0.23409998416</v>
      </c>
      <c r="V14" s="16">
        <f>AVERAGE(V4:V13)</f>
        <v>3</v>
      </c>
      <c r="W14" s="21">
        <f>AVERAGE(W4:W13)</f>
        <v>0.92999999999999994</v>
      </c>
      <c r="X14" s="17">
        <f>AVERAGE(X4:X13)</f>
        <v>3.3564702498121228</v>
      </c>
      <c r="Y14" s="21">
        <f t="shared" ref="Y14:AA14" si="2">AVERAGE(Y4:Y13)</f>
        <v>0.18839342094620737</v>
      </c>
      <c r="Z14" s="16">
        <f t="shared" si="2"/>
        <v>1306.709934865326</v>
      </c>
      <c r="AA14" s="17">
        <f t="shared" si="2"/>
        <v>7.1299999999999998E-4</v>
      </c>
    </row>
    <row r="15" spans="2:27" x14ac:dyDescent="0.2">
      <c r="D15" s="2"/>
      <c r="E15" s="3"/>
      <c r="F15" s="3"/>
      <c r="G15" s="3"/>
      <c r="H15" s="3"/>
      <c r="I15" s="3"/>
      <c r="J15" s="3"/>
      <c r="L15" s="18">
        <f>(L14-D14)/D14</f>
        <v>-0.16545892940404633</v>
      </c>
      <c r="M15" s="18">
        <f t="shared" ref="M15:R15" si="3">(M14-E14)/E14</f>
        <v>0.72859141815550832</v>
      </c>
      <c r="N15" s="18">
        <f t="shared" si="3"/>
        <v>-0.6206896551724137</v>
      </c>
      <c r="O15" s="18">
        <f t="shared" si="3"/>
        <v>-0.54347826086956519</v>
      </c>
      <c r="P15" s="18">
        <f t="shared" si="3"/>
        <v>-0.97256749719309743</v>
      </c>
      <c r="Q15" s="18">
        <f t="shared" si="3"/>
        <v>0.34204040823013898</v>
      </c>
      <c r="R15" s="18">
        <f t="shared" si="3"/>
        <v>-0.10703553796927243</v>
      </c>
      <c r="T15" s="18">
        <f>(T14-D14)/D14</f>
        <v>6.2951768801399244E-2</v>
      </c>
      <c r="U15" s="18">
        <f t="shared" ref="U15:Z15" si="4">(U14-E14)/E14</f>
        <v>9.5460809350160158E-2</v>
      </c>
      <c r="V15" s="18">
        <f t="shared" si="4"/>
        <v>3.4482758620689689E-2</v>
      </c>
      <c r="W15" s="18">
        <f t="shared" si="4"/>
        <v>1.0869565217391314E-2</v>
      </c>
      <c r="X15" s="18">
        <f t="shared" si="4"/>
        <v>1.3548380204233303E-13</v>
      </c>
      <c r="Y15" s="18">
        <f t="shared" si="4"/>
        <v>-3.2983170388760703E-2</v>
      </c>
      <c r="Z15" s="18">
        <f t="shared" si="4"/>
        <v>-5.5863579355311431E-3</v>
      </c>
    </row>
    <row r="16" spans="2:27" x14ac:dyDescent="0.2">
      <c r="D16" s="2"/>
    </row>
    <row r="17" spans="4:6" x14ac:dyDescent="0.2">
      <c r="D17" s="2"/>
    </row>
    <row r="18" spans="4:6" ht="22" x14ac:dyDescent="0.2">
      <c r="E18" s="24" t="s">
        <v>13</v>
      </c>
      <c r="F18" s="24" t="s">
        <v>12</v>
      </c>
    </row>
    <row r="19" spans="4:6" x14ac:dyDescent="0.2">
      <c r="D19" t="s">
        <v>15</v>
      </c>
      <c r="E19" s="18">
        <f>(L14-D14)/D14</f>
        <v>-0.16545892940404633</v>
      </c>
      <c r="F19" s="18">
        <f>(T14-D14)/D14</f>
        <v>6.2951768801399244E-2</v>
      </c>
    </row>
    <row r="20" spans="4:6" x14ac:dyDescent="0.2">
      <c r="D20" t="s">
        <v>16</v>
      </c>
      <c r="E20" s="18">
        <f>(N14-F14)/F14</f>
        <v>-0.6206896551724137</v>
      </c>
      <c r="F20" s="18">
        <f>(V14-F14)/F14</f>
        <v>3.4482758620689689E-2</v>
      </c>
    </row>
    <row r="21" spans="4:6" x14ac:dyDescent="0.2">
      <c r="D21" t="s">
        <v>17</v>
      </c>
      <c r="E21" s="18">
        <f>(O14-G14)/G14</f>
        <v>-0.54347826086956519</v>
      </c>
      <c r="F21" s="18">
        <f>(W14-G14)/G14</f>
        <v>1.0869565217391314E-2</v>
      </c>
    </row>
    <row r="22" spans="4:6" x14ac:dyDescent="0.2">
      <c r="D22" t="s">
        <v>18</v>
      </c>
      <c r="E22" s="18">
        <f>(Q14-I14)/I14</f>
        <v>0.34204040823013898</v>
      </c>
      <c r="F22" s="18">
        <f>(Y14-I14)/I14</f>
        <v>-3.2983170388760703E-2</v>
      </c>
    </row>
    <row r="23" spans="4:6" x14ac:dyDescent="0.2">
      <c r="D23" t="s">
        <v>19</v>
      </c>
      <c r="E23" s="18">
        <f>(P14-H14)/H14</f>
        <v>-0.97256749719309743</v>
      </c>
      <c r="F23" s="18">
        <f>(X14-H14)/H14</f>
        <v>1.3548380204233303E-13</v>
      </c>
    </row>
    <row r="24" spans="4:6" x14ac:dyDescent="0.2">
      <c r="D24" t="s">
        <v>20</v>
      </c>
      <c r="E24" s="18">
        <f>(R14-J14)/J14</f>
        <v>-0.10703553796927243</v>
      </c>
      <c r="F24" s="18">
        <f>(Z14-J14)/J14</f>
        <v>-5.5863579355311431E-3</v>
      </c>
    </row>
  </sheetData>
  <mergeCells count="1">
    <mergeCell ref="B14:C14"/>
  </mergeCells>
  <conditionalFormatting sqref="C1:C3 C14 C21:C1048576">
    <cfRule type="duplicateValues" dxfId="29" priority="7"/>
    <cfRule type="duplicateValues" dxfId="28" priority="8"/>
  </conditionalFormatting>
  <conditionalFormatting sqref="C4:C13">
    <cfRule type="duplicateValues" dxfId="27" priority="3"/>
    <cfRule type="duplicateValues" dxfId="26" priority="4"/>
  </conditionalFormatting>
  <conditionalFormatting sqref="C15:C20">
    <cfRule type="duplicateValues" dxfId="25" priority="1"/>
    <cfRule type="duplicateValues" dxfId="24" priority="2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B8FE-9EA6-49A7-8BF0-BB94DE1AB997}">
  <dimension ref="B2:AA24"/>
  <sheetViews>
    <sheetView zoomScaleNormal="100" workbookViewId="0">
      <selection activeCell="F19" sqref="F19:F2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21.1640625" style="1" bestFit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6.6640625" style="1" bestFit="1" customWidth="1"/>
    <col min="12" max="12" width="12.6640625" style="1" bestFit="1" customWidth="1"/>
    <col min="13" max="13" width="9.5" style="1" bestFit="1" customWidth="1"/>
    <col min="14" max="14" width="9.1640625" style="1" bestFit="1" customWidth="1"/>
    <col min="15" max="15" width="18.33203125" style="1" bestFit="1" customWidth="1"/>
    <col min="16" max="16" width="12" style="1" bestFit="1" customWidth="1"/>
    <col min="17" max="17" width="24.83203125" style="1" bestFit="1" customWidth="1"/>
    <col min="18" max="18" width="18" style="1" bestFit="1" customWidth="1"/>
    <col min="19" max="19" width="6.6640625" style="1" bestFit="1" customWidth="1"/>
    <col min="20" max="20" width="12.6640625" style="1" bestFit="1" customWidth="1"/>
    <col min="21" max="21" width="9.5" style="1" bestFit="1" customWidth="1"/>
    <col min="22" max="22" width="9.1640625" style="1" bestFit="1" customWidth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27" width="6.6640625" style="1" bestFit="1" customWidth="1"/>
    <col min="28" max="16384" width="10.83203125" style="1"/>
  </cols>
  <sheetData>
    <row r="2" spans="2:27" ht="22" x14ac:dyDescent="0.2">
      <c r="D2" s="23" t="s">
        <v>11</v>
      </c>
      <c r="L2" s="24" t="s">
        <v>13</v>
      </c>
      <c r="T2" s="24" t="s">
        <v>12</v>
      </c>
    </row>
    <row r="3" spans="2:27" x14ac:dyDescent="0.2">
      <c r="B3" s="9" t="s">
        <v>5</v>
      </c>
      <c r="C3" s="9" t="s">
        <v>3</v>
      </c>
      <c r="D3" s="9" t="s">
        <v>0</v>
      </c>
      <c r="E3" s="9" t="s">
        <v>4</v>
      </c>
      <c r="F3" s="9" t="s">
        <v>8</v>
      </c>
      <c r="G3" s="9" t="s">
        <v>10</v>
      </c>
      <c r="H3" s="9" t="s">
        <v>7</v>
      </c>
      <c r="I3" s="9" t="s">
        <v>9</v>
      </c>
      <c r="J3" s="9" t="s">
        <v>6</v>
      </c>
      <c r="K3" s="9" t="s">
        <v>1</v>
      </c>
      <c r="L3" s="13" t="s">
        <v>0</v>
      </c>
      <c r="M3" s="13" t="s">
        <v>4</v>
      </c>
      <c r="N3" s="13" t="s">
        <v>8</v>
      </c>
      <c r="O3" s="13" t="s">
        <v>10</v>
      </c>
      <c r="P3" s="13" t="s">
        <v>7</v>
      </c>
      <c r="Q3" s="13" t="s">
        <v>9</v>
      </c>
      <c r="R3" s="13" t="s">
        <v>6</v>
      </c>
      <c r="S3" s="13" t="s">
        <v>1</v>
      </c>
      <c r="T3" s="8" t="s">
        <v>0</v>
      </c>
      <c r="U3" s="8" t="s">
        <v>4</v>
      </c>
      <c r="V3" s="8" t="s">
        <v>8</v>
      </c>
      <c r="W3" s="8" t="s">
        <v>10</v>
      </c>
      <c r="X3" s="8" t="s">
        <v>7</v>
      </c>
      <c r="Y3" s="8" t="s">
        <v>9</v>
      </c>
      <c r="Z3" s="8" t="s">
        <v>6</v>
      </c>
      <c r="AA3" s="8" t="s">
        <v>1</v>
      </c>
    </row>
    <row r="4" spans="2:27" x14ac:dyDescent="0.2">
      <c r="B4" s="4">
        <v>1</v>
      </c>
      <c r="C4" s="4">
        <v>61</v>
      </c>
      <c r="D4" s="12">
        <v>57759.09893</v>
      </c>
      <c r="E4" s="6">
        <v>0.20000004769999999</v>
      </c>
      <c r="F4" s="5">
        <v>2</v>
      </c>
      <c r="G4" s="19">
        <v>0.8</v>
      </c>
      <c r="H4" s="6">
        <v>0</v>
      </c>
      <c r="I4" s="19">
        <v>0.26085329106886157</v>
      </c>
      <c r="J4" s="5">
        <v>1296.3763326824628</v>
      </c>
      <c r="K4" s="7">
        <v>0</v>
      </c>
      <c r="L4" s="12">
        <v>46514.78557</v>
      </c>
      <c r="M4" s="6">
        <v>0.20600008959999999</v>
      </c>
      <c r="N4" s="5">
        <v>3</v>
      </c>
      <c r="O4" s="19">
        <v>0.9</v>
      </c>
      <c r="P4" s="6">
        <v>0</v>
      </c>
      <c r="Q4" s="19">
        <v>0.19659575063196696</v>
      </c>
      <c r="R4" s="5">
        <v>1222.9687575517871</v>
      </c>
      <c r="S4" s="7">
        <v>0</v>
      </c>
      <c r="T4" s="12">
        <v>65150.566019999998</v>
      </c>
      <c r="U4" s="6">
        <v>8.8999986599999997E-2</v>
      </c>
      <c r="V4" s="5">
        <v>2</v>
      </c>
      <c r="W4" s="19">
        <v>0.8</v>
      </c>
      <c r="X4" s="6">
        <v>0</v>
      </c>
      <c r="Y4" s="19">
        <v>0.26085329106886157</v>
      </c>
      <c r="Z4" s="5">
        <v>1296.3763326824619</v>
      </c>
      <c r="AA4" s="7">
        <v>0</v>
      </c>
    </row>
    <row r="5" spans="2:27" x14ac:dyDescent="0.2">
      <c r="B5" s="4">
        <v>2</v>
      </c>
      <c r="C5" s="4">
        <v>339</v>
      </c>
      <c r="D5" s="12">
        <v>63309.010849999999</v>
      </c>
      <c r="E5" s="6">
        <v>0.2599999905</v>
      </c>
      <c r="F5" s="5">
        <v>3</v>
      </c>
      <c r="G5" s="19">
        <v>0.9</v>
      </c>
      <c r="H5" s="6">
        <v>0</v>
      </c>
      <c r="I5" s="19">
        <v>0.15256236853389618</v>
      </c>
      <c r="J5" s="5">
        <v>1463.2063227351093</v>
      </c>
      <c r="K5" s="7">
        <v>0</v>
      </c>
      <c r="L5" s="12">
        <v>50597.446369999998</v>
      </c>
      <c r="M5" s="6">
        <v>0.28399991990000001</v>
      </c>
      <c r="N5" s="5">
        <v>3</v>
      </c>
      <c r="O5" s="19">
        <v>0.9</v>
      </c>
      <c r="P5" s="6">
        <v>0</v>
      </c>
      <c r="Q5" s="19">
        <v>0.15256236853389618</v>
      </c>
      <c r="R5" s="5">
        <v>1463.2063227351011</v>
      </c>
      <c r="S5" s="7">
        <v>0</v>
      </c>
      <c r="T5" s="12">
        <v>76020.575320000004</v>
      </c>
      <c r="U5" s="6">
        <v>0.2400000095</v>
      </c>
      <c r="V5" s="5">
        <v>3</v>
      </c>
      <c r="W5" s="19">
        <v>0.9</v>
      </c>
      <c r="X5" s="6">
        <v>0</v>
      </c>
      <c r="Y5" s="19">
        <v>0.15256236853389618</v>
      </c>
      <c r="Z5" s="5">
        <v>1463.2063227350848</v>
      </c>
      <c r="AA5" s="7">
        <v>0</v>
      </c>
    </row>
    <row r="6" spans="2:27" x14ac:dyDescent="0.2">
      <c r="B6" s="4">
        <v>3</v>
      </c>
      <c r="C6" s="4">
        <v>460</v>
      </c>
      <c r="D6" s="12">
        <v>58657.718439999997</v>
      </c>
      <c r="E6" s="6">
        <v>0.22699999809999999</v>
      </c>
      <c r="F6" s="5">
        <v>3</v>
      </c>
      <c r="G6" s="19">
        <v>1</v>
      </c>
      <c r="H6" s="6">
        <v>24.765217150894109</v>
      </c>
      <c r="I6" s="19">
        <v>0.21147615025761327</v>
      </c>
      <c r="J6" s="5">
        <v>1661.1871426106718</v>
      </c>
      <c r="K6" s="7">
        <v>0</v>
      </c>
      <c r="L6" s="12">
        <v>46829.860690000001</v>
      </c>
      <c r="M6" s="6">
        <v>0.21100020410000001</v>
      </c>
      <c r="N6" s="5">
        <v>3</v>
      </c>
      <c r="O6" s="19">
        <v>1</v>
      </c>
      <c r="P6" s="6">
        <v>24.76521715089466</v>
      </c>
      <c r="Q6" s="19">
        <v>0.21147615025761313</v>
      </c>
      <c r="R6" s="5">
        <v>1661.1871426106777</v>
      </c>
      <c r="S6" s="7">
        <v>0</v>
      </c>
      <c r="T6" s="12">
        <v>70485.576180000004</v>
      </c>
      <c r="U6" s="6">
        <v>0.2139999866</v>
      </c>
      <c r="V6" s="5">
        <v>3</v>
      </c>
      <c r="W6" s="19">
        <v>1</v>
      </c>
      <c r="X6" s="6">
        <v>24.76521715089866</v>
      </c>
      <c r="Y6" s="19">
        <v>0.21147615025761313</v>
      </c>
      <c r="Z6" s="5">
        <v>1661.1871426107341</v>
      </c>
      <c r="AA6" s="7">
        <v>0</v>
      </c>
    </row>
    <row r="7" spans="2:27" x14ac:dyDescent="0.2">
      <c r="B7" s="4">
        <v>4</v>
      </c>
      <c r="C7" s="4">
        <v>688</v>
      </c>
      <c r="D7" s="12">
        <v>57097.78486</v>
      </c>
      <c r="E7" s="6">
        <v>0.14800000190000001</v>
      </c>
      <c r="F7" s="5">
        <v>3</v>
      </c>
      <c r="G7" s="19">
        <v>0.95</v>
      </c>
      <c r="H7" s="6">
        <v>8.4505643299833455</v>
      </c>
      <c r="I7" s="19">
        <v>0.19102046487626057</v>
      </c>
      <c r="J7" s="5">
        <v>1434.1655213832048</v>
      </c>
      <c r="K7" s="7">
        <v>0</v>
      </c>
      <c r="L7" s="12">
        <v>44963.091829999998</v>
      </c>
      <c r="M7" s="6">
        <v>0.24799990650000001</v>
      </c>
      <c r="N7" s="5">
        <v>3</v>
      </c>
      <c r="O7" s="19">
        <v>0.95</v>
      </c>
      <c r="P7" s="6">
        <v>8.4505643299812849</v>
      </c>
      <c r="Q7" s="19">
        <v>0.19102046487626057</v>
      </c>
      <c r="R7" s="5">
        <v>1434.1655213831953</v>
      </c>
      <c r="S7" s="7">
        <v>0</v>
      </c>
      <c r="T7" s="12">
        <v>67513.306219999999</v>
      </c>
      <c r="U7" s="6">
        <v>0.14000010490000001</v>
      </c>
      <c r="V7" s="5">
        <v>2</v>
      </c>
      <c r="W7" s="19">
        <v>0.8</v>
      </c>
      <c r="X7" s="6">
        <v>10.035045141851811</v>
      </c>
      <c r="Y7" s="19">
        <v>0.24923012361534971</v>
      </c>
      <c r="Z7" s="5">
        <v>1534.6663621432276</v>
      </c>
      <c r="AA7" s="7">
        <v>5.6600000000000001E-3</v>
      </c>
    </row>
    <row r="8" spans="2:27" x14ac:dyDescent="0.2">
      <c r="B8" s="4">
        <v>5</v>
      </c>
      <c r="C8" s="4">
        <v>754</v>
      </c>
      <c r="D8" s="12">
        <v>60865.455549999999</v>
      </c>
      <c r="E8" s="6">
        <v>0.23500013350000001</v>
      </c>
      <c r="F8" s="5">
        <v>3</v>
      </c>
      <c r="G8" s="19">
        <v>0.85</v>
      </c>
      <c r="H8" s="6">
        <v>0</v>
      </c>
      <c r="I8" s="19">
        <v>0.13836143474649007</v>
      </c>
      <c r="J8" s="5">
        <v>1114.4459005933013</v>
      </c>
      <c r="K8" s="7">
        <v>0</v>
      </c>
      <c r="L8" s="12">
        <v>47940.877070000002</v>
      </c>
      <c r="M8" s="6">
        <v>0.37000012399999999</v>
      </c>
      <c r="N8" s="5">
        <v>3</v>
      </c>
      <c r="O8" s="19">
        <v>0.85</v>
      </c>
      <c r="P8" s="6">
        <v>0</v>
      </c>
      <c r="Q8" s="19">
        <v>0.13836143474648932</v>
      </c>
      <c r="R8" s="5">
        <v>1114.4459005933209</v>
      </c>
      <c r="S8" s="7">
        <v>0</v>
      </c>
      <c r="T8" s="12">
        <v>72555.517989999993</v>
      </c>
      <c r="U8" s="6">
        <v>0.59899997709999997</v>
      </c>
      <c r="V8" s="5">
        <v>2</v>
      </c>
      <c r="W8" s="19">
        <v>0.7</v>
      </c>
      <c r="X8" s="6">
        <v>0</v>
      </c>
      <c r="Y8" s="19">
        <v>0.17613398583252976</v>
      </c>
      <c r="Z8" s="5">
        <v>1202.3310516186266</v>
      </c>
      <c r="AA8" s="7">
        <v>0</v>
      </c>
    </row>
    <row r="9" spans="2:27" x14ac:dyDescent="0.2">
      <c r="B9" s="4">
        <v>6</v>
      </c>
      <c r="C9" s="4">
        <v>756</v>
      </c>
      <c r="D9" s="12">
        <v>45799.413849999997</v>
      </c>
      <c r="E9" s="6">
        <v>7.10000992E-2</v>
      </c>
      <c r="F9" s="5">
        <v>3</v>
      </c>
      <c r="G9" s="19">
        <v>1</v>
      </c>
      <c r="H9" s="6">
        <v>0</v>
      </c>
      <c r="I9" s="19">
        <v>0.1671301991454415</v>
      </c>
      <c r="J9" s="5">
        <v>1007.9465118778219</v>
      </c>
      <c r="K9" s="7">
        <v>0</v>
      </c>
      <c r="L9" s="12">
        <v>33306.366829999999</v>
      </c>
      <c r="M9" s="6">
        <v>0.19199991229999999</v>
      </c>
      <c r="N9" s="5">
        <v>3</v>
      </c>
      <c r="O9" s="19">
        <v>1</v>
      </c>
      <c r="P9" s="6">
        <v>0</v>
      </c>
      <c r="Q9" s="19">
        <v>0.1671301991454415</v>
      </c>
      <c r="R9" s="5">
        <v>1007.9465118778147</v>
      </c>
      <c r="S9" s="7">
        <v>0</v>
      </c>
      <c r="T9" s="12">
        <v>58292.460859999999</v>
      </c>
      <c r="U9" s="6">
        <v>0.1080000401</v>
      </c>
      <c r="V9" s="5">
        <v>3</v>
      </c>
      <c r="W9" s="19">
        <v>1</v>
      </c>
      <c r="X9" s="6">
        <v>0</v>
      </c>
      <c r="Y9" s="19">
        <v>0.1671301991454415</v>
      </c>
      <c r="Z9" s="5">
        <v>1007.9465118778102</v>
      </c>
      <c r="AA9" s="7">
        <v>0</v>
      </c>
    </row>
    <row r="10" spans="2:27" x14ac:dyDescent="0.2">
      <c r="B10" s="4">
        <v>7</v>
      </c>
      <c r="C10" s="4">
        <v>815</v>
      </c>
      <c r="D10" s="12">
        <v>51423.275079999999</v>
      </c>
      <c r="E10" s="6">
        <v>0.40299987790000003</v>
      </c>
      <c r="F10" s="5">
        <v>3</v>
      </c>
      <c r="G10" s="19">
        <v>1</v>
      </c>
      <c r="H10" s="6">
        <v>0</v>
      </c>
      <c r="I10" s="19">
        <v>0.29008637747952626</v>
      </c>
      <c r="J10" s="5">
        <v>1430.6972997087992</v>
      </c>
      <c r="K10" s="7">
        <v>0</v>
      </c>
      <c r="L10" s="12">
        <v>40070.840859999997</v>
      </c>
      <c r="M10" s="6">
        <v>0.58199977869999997</v>
      </c>
      <c r="N10" s="5">
        <v>3</v>
      </c>
      <c r="O10" s="19">
        <v>1</v>
      </c>
      <c r="P10" s="6">
        <v>0</v>
      </c>
      <c r="Q10" s="19">
        <v>0.2421218328809471</v>
      </c>
      <c r="R10" s="5">
        <v>1363.0628315272231</v>
      </c>
      <c r="S10" s="7">
        <v>0</v>
      </c>
      <c r="T10" s="12">
        <v>62071.979420000003</v>
      </c>
      <c r="U10" s="6">
        <v>0.27200007440000001</v>
      </c>
      <c r="V10" s="5">
        <v>3</v>
      </c>
      <c r="W10" s="19">
        <v>1</v>
      </c>
      <c r="X10" s="6">
        <v>0</v>
      </c>
      <c r="Y10" s="19">
        <v>0.29008637747952631</v>
      </c>
      <c r="Z10" s="5">
        <v>1430.6972997088333</v>
      </c>
      <c r="AA10" s="7">
        <v>0</v>
      </c>
    </row>
    <row r="11" spans="2:27" x14ac:dyDescent="0.2">
      <c r="B11" s="4">
        <v>8</v>
      </c>
      <c r="C11" s="4">
        <v>837</v>
      </c>
      <c r="D11" s="12">
        <v>50496.11535</v>
      </c>
      <c r="E11" s="6">
        <v>0.22500014309999999</v>
      </c>
      <c r="F11" s="5">
        <v>3</v>
      </c>
      <c r="G11" s="19">
        <v>0.95</v>
      </c>
      <c r="H11" s="6">
        <v>0.34892101723922725</v>
      </c>
      <c r="I11" s="19">
        <v>0.27688233758577602</v>
      </c>
      <c r="J11" s="5">
        <v>1264.296365009553</v>
      </c>
      <c r="K11" s="7">
        <v>0</v>
      </c>
      <c r="L11" s="12">
        <v>39649.350409999999</v>
      </c>
      <c r="M11" s="6">
        <v>0.260999918</v>
      </c>
      <c r="N11" s="5">
        <v>3</v>
      </c>
      <c r="O11" s="19">
        <v>0.95</v>
      </c>
      <c r="P11" s="6">
        <v>0.34892101723922725</v>
      </c>
      <c r="Q11" s="19">
        <v>0.27688233758577602</v>
      </c>
      <c r="R11" s="5">
        <v>1264.296365009553</v>
      </c>
      <c r="S11" s="7">
        <v>0</v>
      </c>
      <c r="T11" s="12">
        <v>61342.880290000001</v>
      </c>
      <c r="U11" s="6">
        <v>0.30699992180000002</v>
      </c>
      <c r="V11" s="5">
        <v>3</v>
      </c>
      <c r="W11" s="19">
        <v>0.95</v>
      </c>
      <c r="X11" s="6">
        <v>0.34892101723922725</v>
      </c>
      <c r="Y11" s="19">
        <v>0.27688233758577602</v>
      </c>
      <c r="Z11" s="5">
        <v>1264.2963650095203</v>
      </c>
      <c r="AA11" s="7">
        <v>0</v>
      </c>
    </row>
    <row r="12" spans="2:27" x14ac:dyDescent="0.2">
      <c r="B12" s="4">
        <v>9</v>
      </c>
      <c r="C12" s="4">
        <v>882</v>
      </c>
      <c r="D12" s="12">
        <v>66953.420289999995</v>
      </c>
      <c r="E12" s="6">
        <v>0.2239999771</v>
      </c>
      <c r="F12" s="5">
        <v>3</v>
      </c>
      <c r="G12" s="19">
        <v>0.8</v>
      </c>
      <c r="H12" s="6">
        <v>0</v>
      </c>
      <c r="I12" s="19">
        <v>0.11448768691835376</v>
      </c>
      <c r="J12" s="5">
        <v>1139.4963885475706</v>
      </c>
      <c r="K12" s="7">
        <v>0</v>
      </c>
      <c r="L12" s="12">
        <v>53670.7356</v>
      </c>
      <c r="M12" s="6">
        <v>0.28999996189999999</v>
      </c>
      <c r="N12" s="5">
        <v>3</v>
      </c>
      <c r="O12" s="19">
        <v>0.8</v>
      </c>
      <c r="P12" s="6">
        <v>0</v>
      </c>
      <c r="Q12" s="19">
        <v>0.1144876869183538</v>
      </c>
      <c r="R12" s="5">
        <v>1139.4963885476041</v>
      </c>
      <c r="S12" s="7">
        <v>0</v>
      </c>
      <c r="T12" s="12">
        <v>75702.717050000007</v>
      </c>
      <c r="U12" s="6">
        <v>0.1789999008</v>
      </c>
      <c r="V12" s="5">
        <v>2</v>
      </c>
      <c r="W12" s="19">
        <v>0.65</v>
      </c>
      <c r="X12" s="6">
        <v>0</v>
      </c>
      <c r="Y12" s="19">
        <v>0.14749438775857432</v>
      </c>
      <c r="Z12" s="5">
        <v>1041.5472197884669</v>
      </c>
      <c r="AA12" s="7">
        <v>0</v>
      </c>
    </row>
    <row r="13" spans="2:27" x14ac:dyDescent="0.2">
      <c r="B13" s="4">
        <v>10</v>
      </c>
      <c r="C13" s="4">
        <v>899</v>
      </c>
      <c r="D13" s="12">
        <v>56435.280299999999</v>
      </c>
      <c r="E13" s="6">
        <v>0.143999815</v>
      </c>
      <c r="F13" s="5">
        <v>3</v>
      </c>
      <c r="G13" s="19">
        <v>0.95</v>
      </c>
      <c r="H13" s="6">
        <v>0</v>
      </c>
      <c r="I13" s="19">
        <v>0.14533143928674996</v>
      </c>
      <c r="J13" s="5">
        <v>1328.6891386353477</v>
      </c>
      <c r="K13" s="7">
        <v>0</v>
      </c>
      <c r="L13" s="12">
        <v>43615.25189</v>
      </c>
      <c r="M13" s="6">
        <v>0.22499990459999999</v>
      </c>
      <c r="N13" s="5">
        <v>3</v>
      </c>
      <c r="O13" s="19">
        <v>0.95</v>
      </c>
      <c r="P13" s="6">
        <v>0</v>
      </c>
      <c r="Q13" s="19">
        <v>0.14533143928674996</v>
      </c>
      <c r="R13" s="5">
        <v>1328.6891386353266</v>
      </c>
      <c r="S13" s="7">
        <v>0</v>
      </c>
      <c r="T13" s="12">
        <v>69255.308709999998</v>
      </c>
      <c r="U13" s="6">
        <v>0.17100000379999999</v>
      </c>
      <c r="V13" s="5">
        <v>3</v>
      </c>
      <c r="W13" s="19">
        <v>0.95</v>
      </c>
      <c r="X13" s="6">
        <v>0</v>
      </c>
      <c r="Y13" s="19">
        <v>0.14533143928674996</v>
      </c>
      <c r="Z13" s="5">
        <v>1328.6891386353313</v>
      </c>
      <c r="AA13" s="7">
        <v>0</v>
      </c>
    </row>
    <row r="14" spans="2:27" x14ac:dyDescent="0.2">
      <c r="B14" s="26" t="s">
        <v>2</v>
      </c>
      <c r="C14" s="27"/>
      <c r="D14" s="10">
        <f>AVERAGE(D4:D13)</f>
        <v>56879.657349999994</v>
      </c>
      <c r="E14" s="11">
        <f>AVERAGE(E4:E13)</f>
        <v>0.21370000839999997</v>
      </c>
      <c r="F14" s="10">
        <f>AVERAGE(F4:F13)</f>
        <v>2.9</v>
      </c>
      <c r="G14" s="20">
        <f>AVERAGE(G4:G13)</f>
        <v>0.91999999999999993</v>
      </c>
      <c r="H14" s="11">
        <f>AVERAGE(H4:H13)</f>
        <v>3.3564702498116681</v>
      </c>
      <c r="I14" s="20">
        <f t="shared" ref="I14:K14" si="0">AVERAGE(I4:I13)</f>
        <v>0.19481917498989693</v>
      </c>
      <c r="J14" s="10">
        <f t="shared" si="0"/>
        <v>1314.0506923783842</v>
      </c>
      <c r="K14" s="11">
        <f t="shared" si="0"/>
        <v>0</v>
      </c>
      <c r="L14" s="14">
        <f>AVERAGE(L4:L13)</f>
        <v>44715.860712000009</v>
      </c>
      <c r="M14" s="15">
        <f>AVERAGE(M4:M13)</f>
        <v>0.28689997196</v>
      </c>
      <c r="N14" s="14">
        <f>AVERAGE(N4:N13)</f>
        <v>3</v>
      </c>
      <c r="O14" s="22">
        <f>AVERAGE(O4:O13)</f>
        <v>0.92999999999999994</v>
      </c>
      <c r="P14" s="15">
        <f>AVERAGE(P4:P13)</f>
        <v>3.3564702498115175</v>
      </c>
      <c r="Q14" s="22">
        <f t="shared" ref="Q14:S14" si="1">AVERAGE(Q4:Q13)</f>
        <v>0.18359696648634946</v>
      </c>
      <c r="R14" s="14">
        <f t="shared" si="1"/>
        <v>1299.9464880471605</v>
      </c>
      <c r="S14" s="15">
        <f t="shared" si="1"/>
        <v>0</v>
      </c>
      <c r="T14" s="16">
        <f>AVERAGE(T4:T13)</f>
        <v>67839.088805999985</v>
      </c>
      <c r="U14" s="17">
        <f>AVERAGE(U4:U13)</f>
        <v>0.23190000056000004</v>
      </c>
      <c r="V14" s="16">
        <f>AVERAGE(V4:V13)</f>
        <v>2.6</v>
      </c>
      <c r="W14" s="21">
        <f>AVERAGE(W4:W13)</f>
        <v>0.875</v>
      </c>
      <c r="X14" s="17">
        <f>AVERAGE(X4:X13)</f>
        <v>3.5149183309989702</v>
      </c>
      <c r="Y14" s="21">
        <f t="shared" ref="Y14:AA14" si="2">AVERAGE(Y4:Y13)</f>
        <v>0.20771806605643187</v>
      </c>
      <c r="Z14" s="16">
        <f t="shared" si="2"/>
        <v>1323.0943746810096</v>
      </c>
      <c r="AA14" s="17">
        <f t="shared" si="2"/>
        <v>5.6599999999999999E-4</v>
      </c>
    </row>
    <row r="15" spans="2:27" x14ac:dyDescent="0.2">
      <c r="D15" s="2"/>
      <c r="E15" s="3"/>
      <c r="F15" s="3"/>
      <c r="G15" s="3"/>
      <c r="H15" s="3"/>
      <c r="I15" s="3"/>
      <c r="J15" s="3"/>
      <c r="L15" s="18">
        <f>(L14-D14)/D14</f>
        <v>-0.21385144012299481</v>
      </c>
      <c r="M15" s="18">
        <f t="shared" ref="M15:R15" si="3">(M14-E14)/E14</f>
        <v>0.34253608180953182</v>
      </c>
      <c r="N15" s="18">
        <f t="shared" si="3"/>
        <v>3.4482758620689689E-2</v>
      </c>
      <c r="O15" s="18">
        <f t="shared" si="3"/>
        <v>1.0869565217391314E-2</v>
      </c>
      <c r="P15" s="18">
        <f t="shared" si="3"/>
        <v>-4.4852547746436422E-14</v>
      </c>
      <c r="Q15" s="18">
        <f t="shared" si="3"/>
        <v>-5.7603203093994387E-2</v>
      </c>
      <c r="R15" s="18">
        <f t="shared" si="3"/>
        <v>-1.0733379171008637E-2</v>
      </c>
      <c r="T15" s="18">
        <f>(T14-D14)/D14</f>
        <v>0.19267752244994832</v>
      </c>
      <c r="U15" s="18">
        <f t="shared" ref="U15:Z15" si="4">(U14-E14)/E14</f>
        <v>8.5166080695390695E-2</v>
      </c>
      <c r="V15" s="18">
        <f t="shared" si="4"/>
        <v>-0.10344827586206891</v>
      </c>
      <c r="W15" s="18">
        <f t="shared" si="4"/>
        <v>-4.8913043478260795E-2</v>
      </c>
      <c r="X15" s="18">
        <f t="shared" si="4"/>
        <v>4.7206758706171366E-2</v>
      </c>
      <c r="Y15" s="18">
        <f t="shared" si="4"/>
        <v>6.620955594953043E-2</v>
      </c>
      <c r="Z15" s="18">
        <f t="shared" si="4"/>
        <v>6.8822933202498807E-3</v>
      </c>
    </row>
    <row r="16" spans="2:27" x14ac:dyDescent="0.2">
      <c r="D16" s="2"/>
    </row>
    <row r="17" spans="4:6" x14ac:dyDescent="0.2">
      <c r="D17" s="2"/>
    </row>
    <row r="18" spans="4:6" ht="22" x14ac:dyDescent="0.2">
      <c r="E18" s="24" t="s">
        <v>13</v>
      </c>
      <c r="F18" s="24" t="s">
        <v>12</v>
      </c>
    </row>
    <row r="19" spans="4:6" x14ac:dyDescent="0.2">
      <c r="D19" t="s">
        <v>15</v>
      </c>
      <c r="E19" s="18">
        <f>(L14-D14)/D14</f>
        <v>-0.21385144012299481</v>
      </c>
      <c r="F19" s="18">
        <f>(T14-D14)/D14</f>
        <v>0.19267752244994832</v>
      </c>
    </row>
    <row r="20" spans="4:6" x14ac:dyDescent="0.2">
      <c r="D20" t="s">
        <v>16</v>
      </c>
      <c r="E20" s="18">
        <f>(N14-F14)/F14</f>
        <v>3.4482758620689689E-2</v>
      </c>
      <c r="F20" s="18">
        <f>(V14-F14)/F14</f>
        <v>-0.10344827586206891</v>
      </c>
    </row>
    <row r="21" spans="4:6" x14ac:dyDescent="0.2">
      <c r="D21" t="s">
        <v>17</v>
      </c>
      <c r="E21" s="18">
        <f>(O14-G14)/G14</f>
        <v>1.0869565217391314E-2</v>
      </c>
      <c r="F21" s="18">
        <f>(W14-G14)/G14</f>
        <v>-4.8913043478260795E-2</v>
      </c>
    </row>
    <row r="22" spans="4:6" x14ac:dyDescent="0.2">
      <c r="D22" t="s">
        <v>18</v>
      </c>
      <c r="E22" s="18">
        <f>(Q14-I14)/I14</f>
        <v>-5.7603203093994387E-2</v>
      </c>
      <c r="F22" s="18">
        <f>(Y14-I14)/I14</f>
        <v>6.620955594953043E-2</v>
      </c>
    </row>
    <row r="23" spans="4:6" x14ac:dyDescent="0.2">
      <c r="D23" t="s">
        <v>19</v>
      </c>
      <c r="E23" s="18">
        <f>(P14-H14)/H14</f>
        <v>-4.4852547746436422E-14</v>
      </c>
      <c r="F23" s="18">
        <f>(X14-H14)/H14</f>
        <v>4.7206758706171366E-2</v>
      </c>
    </row>
    <row r="24" spans="4:6" x14ac:dyDescent="0.2">
      <c r="D24" t="s">
        <v>20</v>
      </c>
      <c r="E24" s="18">
        <f>(R14-J14)/J14</f>
        <v>-1.0733379171008637E-2</v>
      </c>
      <c r="F24" s="18">
        <f>(Z14-J14)/J14</f>
        <v>6.8822933202498807E-3</v>
      </c>
    </row>
  </sheetData>
  <mergeCells count="1">
    <mergeCell ref="B14:C14"/>
  </mergeCells>
  <conditionalFormatting sqref="C1:C3 C14 C21:C1048576">
    <cfRule type="duplicateValues" dxfId="23" priority="7"/>
    <cfRule type="duplicateValues" dxfId="22" priority="8"/>
  </conditionalFormatting>
  <conditionalFormatting sqref="C4:C13">
    <cfRule type="duplicateValues" dxfId="21" priority="3"/>
    <cfRule type="duplicateValues" dxfId="20" priority="4"/>
  </conditionalFormatting>
  <conditionalFormatting sqref="C15:C20">
    <cfRule type="duplicateValues" dxfId="19" priority="1"/>
    <cfRule type="duplicateValues" dxfId="18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F984-ED12-461B-A696-6DADFE205D50}">
  <dimension ref="B2:AA24"/>
  <sheetViews>
    <sheetView zoomScaleNormal="100" workbookViewId="0">
      <selection activeCell="F19" sqref="F19:F2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21.1640625" style="1" bestFit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6.6640625" style="1" bestFit="1" customWidth="1"/>
    <col min="12" max="12" width="12.6640625" style="1" bestFit="1" customWidth="1"/>
    <col min="13" max="13" width="9.5" style="1" bestFit="1" customWidth="1"/>
    <col min="14" max="14" width="9.1640625" style="1" bestFit="1" customWidth="1"/>
    <col min="15" max="15" width="18.33203125" style="1" bestFit="1" customWidth="1"/>
    <col min="16" max="16" width="12" style="1" bestFit="1" customWidth="1"/>
    <col min="17" max="17" width="24.83203125" style="1" bestFit="1" customWidth="1"/>
    <col min="18" max="18" width="18" style="1" bestFit="1" customWidth="1"/>
    <col min="19" max="19" width="6.6640625" style="1" bestFit="1" customWidth="1"/>
    <col min="20" max="20" width="12.6640625" style="1" bestFit="1" customWidth="1"/>
    <col min="21" max="21" width="9.5" style="1" bestFit="1" customWidth="1"/>
    <col min="22" max="22" width="9.1640625" style="1" bestFit="1" customWidth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27" width="6.6640625" style="1" bestFit="1" customWidth="1"/>
    <col min="28" max="16384" width="10.83203125" style="1"/>
  </cols>
  <sheetData>
    <row r="2" spans="2:27" ht="22" x14ac:dyDescent="0.2">
      <c r="D2" s="23" t="s">
        <v>11</v>
      </c>
      <c r="L2" s="24" t="s">
        <v>13</v>
      </c>
      <c r="T2" s="24" t="s">
        <v>12</v>
      </c>
    </row>
    <row r="3" spans="2:27" x14ac:dyDescent="0.2">
      <c r="B3" s="9" t="s">
        <v>5</v>
      </c>
      <c r="C3" s="9" t="s">
        <v>3</v>
      </c>
      <c r="D3" s="9" t="s">
        <v>0</v>
      </c>
      <c r="E3" s="9" t="s">
        <v>4</v>
      </c>
      <c r="F3" s="9" t="s">
        <v>8</v>
      </c>
      <c r="G3" s="9" t="s">
        <v>10</v>
      </c>
      <c r="H3" s="9" t="s">
        <v>7</v>
      </c>
      <c r="I3" s="9" t="s">
        <v>9</v>
      </c>
      <c r="J3" s="9" t="s">
        <v>6</v>
      </c>
      <c r="K3" s="9" t="s">
        <v>1</v>
      </c>
      <c r="L3" s="13" t="s">
        <v>0</v>
      </c>
      <c r="M3" s="13" t="s">
        <v>4</v>
      </c>
      <c r="N3" s="13" t="s">
        <v>8</v>
      </c>
      <c r="O3" s="13" t="s">
        <v>10</v>
      </c>
      <c r="P3" s="13" t="s">
        <v>7</v>
      </c>
      <c r="Q3" s="13" t="s">
        <v>9</v>
      </c>
      <c r="R3" s="13" t="s">
        <v>6</v>
      </c>
      <c r="S3" s="13" t="s">
        <v>1</v>
      </c>
      <c r="T3" s="8" t="s">
        <v>0</v>
      </c>
      <c r="U3" s="8" t="s">
        <v>4</v>
      </c>
      <c r="V3" s="8" t="s">
        <v>8</v>
      </c>
      <c r="W3" s="8" t="s">
        <v>10</v>
      </c>
      <c r="X3" s="8" t="s">
        <v>7</v>
      </c>
      <c r="Y3" s="8" t="s">
        <v>9</v>
      </c>
      <c r="Z3" s="8" t="s">
        <v>6</v>
      </c>
      <c r="AA3" s="8" t="s">
        <v>1</v>
      </c>
    </row>
    <row r="4" spans="2:27" x14ac:dyDescent="0.2">
      <c r="B4" s="4">
        <v>1</v>
      </c>
      <c r="C4" s="4">
        <v>61</v>
      </c>
      <c r="D4" s="12">
        <v>57759.09893</v>
      </c>
      <c r="E4" s="6">
        <v>0.20000004769999999</v>
      </c>
      <c r="F4" s="5">
        <v>2</v>
      </c>
      <c r="G4" s="19">
        <v>0.8</v>
      </c>
      <c r="H4" s="6">
        <v>0</v>
      </c>
      <c r="I4" s="19">
        <v>0.26085329106886157</v>
      </c>
      <c r="J4" s="5">
        <v>1296.3763326824628</v>
      </c>
      <c r="K4" s="7">
        <v>0</v>
      </c>
      <c r="L4" s="12">
        <v>57759.09893</v>
      </c>
      <c r="M4" s="6">
        <v>0.1949999332</v>
      </c>
      <c r="N4" s="5">
        <v>2</v>
      </c>
      <c r="O4" s="19">
        <v>0.8</v>
      </c>
      <c r="P4" s="6">
        <v>0</v>
      </c>
      <c r="Q4" s="19">
        <v>0.26085329106886157</v>
      </c>
      <c r="R4" s="5">
        <v>1296.3763326824628</v>
      </c>
      <c r="S4" s="7">
        <v>0</v>
      </c>
      <c r="T4" s="12">
        <v>57759.09893</v>
      </c>
      <c r="U4" s="6">
        <v>9.80000496E-2</v>
      </c>
      <c r="V4" s="5">
        <v>2</v>
      </c>
      <c r="W4" s="19">
        <v>0.8</v>
      </c>
      <c r="X4" s="6">
        <v>0</v>
      </c>
      <c r="Y4" s="19">
        <v>0.26085329106886157</v>
      </c>
      <c r="Z4" s="5">
        <v>1296.3763326824628</v>
      </c>
      <c r="AA4" s="7">
        <v>0</v>
      </c>
    </row>
    <row r="5" spans="2:27" x14ac:dyDescent="0.2">
      <c r="B5" s="4">
        <v>2</v>
      </c>
      <c r="C5" s="4">
        <v>339</v>
      </c>
      <c r="D5" s="12">
        <v>63309.010849999999</v>
      </c>
      <c r="E5" s="6">
        <v>0.2599999905</v>
      </c>
      <c r="F5" s="5">
        <v>3</v>
      </c>
      <c r="G5" s="19">
        <v>0.9</v>
      </c>
      <c r="H5" s="6">
        <v>0</v>
      </c>
      <c r="I5" s="19">
        <v>0.15256236853389618</v>
      </c>
      <c r="J5" s="5">
        <v>1463.2063227351093</v>
      </c>
      <c r="K5" s="7">
        <v>0</v>
      </c>
      <c r="L5" s="12">
        <v>63309.010849999999</v>
      </c>
      <c r="M5" s="6">
        <v>0.28399991990000001</v>
      </c>
      <c r="N5" s="5">
        <v>3</v>
      </c>
      <c r="O5" s="19">
        <v>0.9</v>
      </c>
      <c r="P5" s="6">
        <v>0</v>
      </c>
      <c r="Q5" s="19">
        <v>0.15256236853389618</v>
      </c>
      <c r="R5" s="5">
        <v>1463.20632273511</v>
      </c>
      <c r="S5" s="7">
        <v>0</v>
      </c>
      <c r="T5" s="12">
        <v>63309.010849999999</v>
      </c>
      <c r="U5" s="6">
        <v>0.1970000267</v>
      </c>
      <c r="V5" s="5">
        <v>3</v>
      </c>
      <c r="W5" s="19">
        <v>0.9</v>
      </c>
      <c r="X5" s="6">
        <v>0</v>
      </c>
      <c r="Y5" s="19">
        <v>0.15256236853389618</v>
      </c>
      <c r="Z5" s="5">
        <v>1463.2063227351121</v>
      </c>
      <c r="AA5" s="7">
        <v>0</v>
      </c>
    </row>
    <row r="6" spans="2:27" x14ac:dyDescent="0.2">
      <c r="B6" s="4">
        <v>3</v>
      </c>
      <c r="C6" s="4">
        <v>460</v>
      </c>
      <c r="D6" s="12">
        <v>58657.718439999997</v>
      </c>
      <c r="E6" s="6">
        <v>0.22699999809999999</v>
      </c>
      <c r="F6" s="5">
        <v>3</v>
      </c>
      <c r="G6" s="19">
        <v>1</v>
      </c>
      <c r="H6" s="6">
        <v>24.765217150894109</v>
      </c>
      <c r="I6" s="19">
        <v>0.21147615025761327</v>
      </c>
      <c r="J6" s="5">
        <v>1661.1871426106718</v>
      </c>
      <c r="K6" s="7">
        <v>0</v>
      </c>
      <c r="L6" s="12">
        <v>58439.784529999997</v>
      </c>
      <c r="M6" s="6">
        <v>0.27100014690000002</v>
      </c>
      <c r="N6" s="5">
        <v>3</v>
      </c>
      <c r="O6" s="19">
        <v>1</v>
      </c>
      <c r="P6" s="6">
        <v>24.765217150894109</v>
      </c>
      <c r="Q6" s="19">
        <v>0.21147615025761327</v>
      </c>
      <c r="R6" s="5">
        <v>1661.1871426106718</v>
      </c>
      <c r="S6" s="7">
        <v>0</v>
      </c>
      <c r="T6" s="12">
        <v>58873.98083</v>
      </c>
      <c r="U6" s="6">
        <v>0.28200006480000001</v>
      </c>
      <c r="V6" s="5">
        <v>3</v>
      </c>
      <c r="W6" s="19">
        <v>1</v>
      </c>
      <c r="X6" s="6">
        <v>24.765217150894109</v>
      </c>
      <c r="Y6" s="19">
        <v>0.21147615025761327</v>
      </c>
      <c r="Z6" s="5">
        <v>1661.1871426106718</v>
      </c>
      <c r="AA6" s="7">
        <v>0</v>
      </c>
    </row>
    <row r="7" spans="2:27" x14ac:dyDescent="0.2">
      <c r="B7" s="4">
        <v>4</v>
      </c>
      <c r="C7" s="4">
        <v>688</v>
      </c>
      <c r="D7" s="12">
        <v>57097.78486</v>
      </c>
      <c r="E7" s="6">
        <v>0.14800000190000001</v>
      </c>
      <c r="F7" s="5">
        <v>3</v>
      </c>
      <c r="G7" s="19">
        <v>0.95</v>
      </c>
      <c r="H7" s="6">
        <v>8.4505643299833455</v>
      </c>
      <c r="I7" s="19">
        <v>0.19102046487626057</v>
      </c>
      <c r="J7" s="5">
        <v>1434.1655213832048</v>
      </c>
      <c r="K7" s="7">
        <v>0</v>
      </c>
      <c r="L7" s="12">
        <v>57045.565419999999</v>
      </c>
      <c r="M7" s="6">
        <v>0.2570002079</v>
      </c>
      <c r="N7" s="5">
        <v>3</v>
      </c>
      <c r="O7" s="19">
        <v>0.95</v>
      </c>
      <c r="P7" s="6">
        <v>8.4505643299833455</v>
      </c>
      <c r="Q7" s="19">
        <v>0.19102046487626057</v>
      </c>
      <c r="R7" s="5">
        <v>1434.1655213832012</v>
      </c>
      <c r="S7" s="7">
        <v>0</v>
      </c>
      <c r="T7" s="12">
        <v>57150.004289999997</v>
      </c>
      <c r="U7" s="6">
        <v>0.14899992940000001</v>
      </c>
      <c r="V7" s="5">
        <v>3</v>
      </c>
      <c r="W7" s="19">
        <v>0.95</v>
      </c>
      <c r="X7" s="6">
        <v>8.4505643299833455</v>
      </c>
      <c r="Y7" s="19">
        <v>0.19102046487626057</v>
      </c>
      <c r="Z7" s="5">
        <v>1434.1655213832014</v>
      </c>
      <c r="AA7" s="7">
        <v>0</v>
      </c>
    </row>
    <row r="8" spans="2:27" x14ac:dyDescent="0.2">
      <c r="B8" s="4">
        <v>5</v>
      </c>
      <c r="C8" s="4">
        <v>754</v>
      </c>
      <c r="D8" s="12">
        <v>60865.455549999999</v>
      </c>
      <c r="E8" s="6">
        <v>0.23500013350000001</v>
      </c>
      <c r="F8" s="5">
        <v>3</v>
      </c>
      <c r="G8" s="19">
        <v>0.85</v>
      </c>
      <c r="H8" s="6">
        <v>0</v>
      </c>
      <c r="I8" s="19">
        <v>0.13836143474649007</v>
      </c>
      <c r="J8" s="5">
        <v>1114.4459005933013</v>
      </c>
      <c r="K8" s="7">
        <v>0</v>
      </c>
      <c r="L8" s="12">
        <v>60865.455549999999</v>
      </c>
      <c r="M8" s="6">
        <v>0.41599988939999999</v>
      </c>
      <c r="N8" s="5">
        <v>3</v>
      </c>
      <c r="O8" s="19">
        <v>0.85</v>
      </c>
      <c r="P8" s="6">
        <v>0</v>
      </c>
      <c r="Q8" s="19">
        <v>0.13836143474649007</v>
      </c>
      <c r="R8" s="5">
        <v>1114.4459005933013</v>
      </c>
      <c r="S8" s="7">
        <v>0</v>
      </c>
      <c r="T8" s="12">
        <v>60865.455549999999</v>
      </c>
      <c r="U8" s="6">
        <v>0.45000004770000002</v>
      </c>
      <c r="V8" s="5">
        <v>3</v>
      </c>
      <c r="W8" s="19">
        <v>0.85</v>
      </c>
      <c r="X8" s="6">
        <v>0</v>
      </c>
      <c r="Y8" s="19">
        <v>0.13836143474648938</v>
      </c>
      <c r="Z8" s="5">
        <v>1114.4459005932863</v>
      </c>
      <c r="AA8" s="7">
        <v>0</v>
      </c>
    </row>
    <row r="9" spans="2:27" x14ac:dyDescent="0.2">
      <c r="B9" s="4">
        <v>6</v>
      </c>
      <c r="C9" s="4">
        <v>756</v>
      </c>
      <c r="D9" s="12">
        <v>45799.413849999997</v>
      </c>
      <c r="E9" s="6">
        <v>7.10000992E-2</v>
      </c>
      <c r="F9" s="5">
        <v>3</v>
      </c>
      <c r="G9" s="19">
        <v>1</v>
      </c>
      <c r="H9" s="6">
        <v>0</v>
      </c>
      <c r="I9" s="19">
        <v>0.1671301991454415</v>
      </c>
      <c r="J9" s="5">
        <v>1007.9465118778219</v>
      </c>
      <c r="K9" s="7">
        <v>0</v>
      </c>
      <c r="L9" s="12">
        <v>45799.413849999997</v>
      </c>
      <c r="M9" s="6">
        <v>0.19299983979999999</v>
      </c>
      <c r="N9" s="5">
        <v>3</v>
      </c>
      <c r="O9" s="19">
        <v>1</v>
      </c>
      <c r="P9" s="6">
        <v>0</v>
      </c>
      <c r="Q9" s="19">
        <v>0.1671301991454415</v>
      </c>
      <c r="R9" s="5">
        <v>1007.9465118778219</v>
      </c>
      <c r="S9" s="7">
        <v>0</v>
      </c>
      <c r="T9" s="12">
        <v>45799.413849999997</v>
      </c>
      <c r="U9" s="6">
        <v>0.17700004580000001</v>
      </c>
      <c r="V9" s="5">
        <v>3</v>
      </c>
      <c r="W9" s="19">
        <v>1</v>
      </c>
      <c r="X9" s="6">
        <v>0</v>
      </c>
      <c r="Y9" s="19">
        <v>0.1671301991454415</v>
      </c>
      <c r="Z9" s="5">
        <v>1007.9465118778219</v>
      </c>
      <c r="AA9" s="7">
        <v>0</v>
      </c>
    </row>
    <row r="10" spans="2:27" x14ac:dyDescent="0.2">
      <c r="B10" s="4">
        <v>7</v>
      </c>
      <c r="C10" s="4">
        <v>815</v>
      </c>
      <c r="D10" s="12">
        <v>51423.275079999999</v>
      </c>
      <c r="E10" s="6">
        <v>0.40299987790000003</v>
      </c>
      <c r="F10" s="5">
        <v>3</v>
      </c>
      <c r="G10" s="19">
        <v>1</v>
      </c>
      <c r="H10" s="6">
        <v>0</v>
      </c>
      <c r="I10" s="19">
        <v>0.29008637747952626</v>
      </c>
      <c r="J10" s="5">
        <v>1430.6972997087992</v>
      </c>
      <c r="K10" s="7">
        <v>0</v>
      </c>
      <c r="L10" s="12">
        <v>51423.275079999999</v>
      </c>
      <c r="M10" s="6">
        <v>0.41100001339999997</v>
      </c>
      <c r="N10" s="5">
        <v>3</v>
      </c>
      <c r="O10" s="19">
        <v>1</v>
      </c>
      <c r="P10" s="6">
        <v>0</v>
      </c>
      <c r="Q10" s="19">
        <v>0.29008637747952626</v>
      </c>
      <c r="R10" s="5">
        <v>1430.697299708874</v>
      </c>
      <c r="S10" s="7">
        <v>0</v>
      </c>
      <c r="T10" s="12">
        <v>51423.275079999999</v>
      </c>
      <c r="U10" s="6">
        <v>0.4299998283</v>
      </c>
      <c r="V10" s="5">
        <v>3</v>
      </c>
      <c r="W10" s="19">
        <v>1</v>
      </c>
      <c r="X10" s="6">
        <v>0</v>
      </c>
      <c r="Y10" s="19">
        <v>0.29008637747952626</v>
      </c>
      <c r="Z10" s="5">
        <v>1430.697299708811</v>
      </c>
      <c r="AA10" s="7">
        <v>0</v>
      </c>
    </row>
    <row r="11" spans="2:27" x14ac:dyDescent="0.2">
      <c r="B11" s="4">
        <v>8</v>
      </c>
      <c r="C11" s="4">
        <v>837</v>
      </c>
      <c r="D11" s="12">
        <v>50496.11535</v>
      </c>
      <c r="E11" s="6">
        <v>0.22500014309999999</v>
      </c>
      <c r="F11" s="5">
        <v>3</v>
      </c>
      <c r="G11" s="19">
        <v>0.95</v>
      </c>
      <c r="H11" s="6">
        <v>0.34892101723922725</v>
      </c>
      <c r="I11" s="19">
        <v>0.27688233758577602</v>
      </c>
      <c r="J11" s="5">
        <v>1264.296365009553</v>
      </c>
      <c r="K11" s="7">
        <v>0</v>
      </c>
      <c r="L11" s="12">
        <v>50493.330959999999</v>
      </c>
      <c r="M11" s="6">
        <v>0.24099993710000001</v>
      </c>
      <c r="N11" s="5">
        <v>3</v>
      </c>
      <c r="O11" s="19">
        <v>0.95</v>
      </c>
      <c r="P11" s="6">
        <v>0.34892101723922725</v>
      </c>
      <c r="Q11" s="19">
        <v>0.27688233758577602</v>
      </c>
      <c r="R11" s="5">
        <v>1264.296365009553</v>
      </c>
      <c r="S11" s="7">
        <v>0</v>
      </c>
      <c r="T11" s="12">
        <v>50498.833440000002</v>
      </c>
      <c r="U11" s="6">
        <v>0.36800003050000002</v>
      </c>
      <c r="V11" s="5">
        <v>3</v>
      </c>
      <c r="W11" s="19">
        <v>0.95</v>
      </c>
      <c r="X11" s="6">
        <v>0.34892101723922725</v>
      </c>
      <c r="Y11" s="19">
        <v>0.27688233758577602</v>
      </c>
      <c r="Z11" s="5">
        <v>1264.296365009553</v>
      </c>
      <c r="AA11" s="7">
        <v>0</v>
      </c>
    </row>
    <row r="12" spans="2:27" x14ac:dyDescent="0.2">
      <c r="B12" s="4">
        <v>9</v>
      </c>
      <c r="C12" s="4">
        <v>882</v>
      </c>
      <c r="D12" s="12">
        <v>66953.420289999995</v>
      </c>
      <c r="E12" s="6">
        <v>0.2239999771</v>
      </c>
      <c r="F12" s="5">
        <v>3</v>
      </c>
      <c r="G12" s="19">
        <v>0.8</v>
      </c>
      <c r="H12" s="6">
        <v>0</v>
      </c>
      <c r="I12" s="19">
        <v>0.11448768691835376</v>
      </c>
      <c r="J12" s="5">
        <v>1139.4963885475706</v>
      </c>
      <c r="K12" s="7">
        <v>0</v>
      </c>
      <c r="L12" s="12">
        <v>66953.420289999995</v>
      </c>
      <c r="M12" s="6">
        <v>0.28199982639999999</v>
      </c>
      <c r="N12" s="5">
        <v>3</v>
      </c>
      <c r="O12" s="19">
        <v>0.8</v>
      </c>
      <c r="P12" s="6">
        <v>0</v>
      </c>
      <c r="Q12" s="19">
        <v>0.11448768691835376</v>
      </c>
      <c r="R12" s="5">
        <v>1139.4963885475706</v>
      </c>
      <c r="S12" s="7">
        <v>0</v>
      </c>
      <c r="T12" s="12">
        <v>66953.420289999995</v>
      </c>
      <c r="U12" s="6">
        <v>0.32599997520000001</v>
      </c>
      <c r="V12" s="5">
        <v>3</v>
      </c>
      <c r="W12" s="19">
        <v>0.8</v>
      </c>
      <c r="X12" s="6">
        <v>0</v>
      </c>
      <c r="Y12" s="19">
        <v>0.11448768691835376</v>
      </c>
      <c r="Z12" s="5">
        <v>1139.4963885475706</v>
      </c>
      <c r="AA12" s="7">
        <v>0</v>
      </c>
    </row>
    <row r="13" spans="2:27" x14ac:dyDescent="0.2">
      <c r="B13" s="4">
        <v>10</v>
      </c>
      <c r="C13" s="4">
        <v>899</v>
      </c>
      <c r="D13" s="12">
        <v>56435.280299999999</v>
      </c>
      <c r="E13" s="6">
        <v>0.143999815</v>
      </c>
      <c r="F13" s="5">
        <v>3</v>
      </c>
      <c r="G13" s="19">
        <v>0.95</v>
      </c>
      <c r="H13" s="6">
        <v>0</v>
      </c>
      <c r="I13" s="19">
        <v>0.14533143928674996</v>
      </c>
      <c r="J13" s="5">
        <v>1328.6891386353477</v>
      </c>
      <c r="K13" s="7">
        <v>0</v>
      </c>
      <c r="L13" s="12">
        <v>56435.280299999999</v>
      </c>
      <c r="M13" s="6">
        <v>0.18499994280000001</v>
      </c>
      <c r="N13" s="5">
        <v>3</v>
      </c>
      <c r="O13" s="19">
        <v>0.95</v>
      </c>
      <c r="P13" s="6">
        <v>0</v>
      </c>
      <c r="Q13" s="19">
        <v>0.14533143928674996</v>
      </c>
      <c r="R13" s="5">
        <v>1328.6891386353477</v>
      </c>
      <c r="S13" s="7">
        <v>0</v>
      </c>
      <c r="T13" s="12">
        <v>56435.280299999999</v>
      </c>
      <c r="U13" s="6">
        <v>0.20999979969999999</v>
      </c>
      <c r="V13" s="5">
        <v>3</v>
      </c>
      <c r="W13" s="19">
        <v>0.95</v>
      </c>
      <c r="X13" s="6">
        <v>0</v>
      </c>
      <c r="Y13" s="19">
        <v>0.14533143928674996</v>
      </c>
      <c r="Z13" s="5">
        <v>1328.6891386353477</v>
      </c>
      <c r="AA13" s="7">
        <v>0</v>
      </c>
    </row>
    <row r="14" spans="2:27" x14ac:dyDescent="0.2">
      <c r="B14" s="26" t="s">
        <v>2</v>
      </c>
      <c r="C14" s="27"/>
      <c r="D14" s="10">
        <f>AVERAGE(D4:D13)</f>
        <v>56879.657349999994</v>
      </c>
      <c r="E14" s="11">
        <f>AVERAGE(E4:E13)</f>
        <v>0.21370000839999997</v>
      </c>
      <c r="F14" s="10">
        <f>AVERAGE(F4:F13)</f>
        <v>2.9</v>
      </c>
      <c r="G14" s="20">
        <f>AVERAGE(G4:G13)</f>
        <v>0.91999999999999993</v>
      </c>
      <c r="H14" s="11">
        <f>AVERAGE(H4:H13)</f>
        <v>3.3564702498116681</v>
      </c>
      <c r="I14" s="20">
        <f t="shared" ref="I14:K14" si="0">AVERAGE(I4:I13)</f>
        <v>0.19481917498989693</v>
      </c>
      <c r="J14" s="10">
        <f t="shared" si="0"/>
        <v>1314.0506923783842</v>
      </c>
      <c r="K14" s="11">
        <f t="shared" si="0"/>
        <v>0</v>
      </c>
      <c r="L14" s="14">
        <f>AVERAGE(L4:L13)</f>
        <v>56852.363575999996</v>
      </c>
      <c r="M14" s="15">
        <f>AVERAGE(M4:M13)</f>
        <v>0.27349996568000001</v>
      </c>
      <c r="N14" s="14">
        <f>AVERAGE(N4:N13)</f>
        <v>2.9</v>
      </c>
      <c r="O14" s="22">
        <f>AVERAGE(O4:O13)</f>
        <v>0.91999999999999993</v>
      </c>
      <c r="P14" s="15">
        <f>AVERAGE(P4:P13)</f>
        <v>3.3564702498116681</v>
      </c>
      <c r="Q14" s="22">
        <f t="shared" ref="Q14:S14" si="1">AVERAGE(Q4:Q13)</f>
        <v>0.19481917498989693</v>
      </c>
      <c r="R14" s="14">
        <f t="shared" si="1"/>
        <v>1314.0506923783912</v>
      </c>
      <c r="S14" s="15">
        <f t="shared" si="1"/>
        <v>0</v>
      </c>
      <c r="T14" s="16">
        <f>AVERAGE(T4:T13)</f>
        <v>56906.777341000001</v>
      </c>
      <c r="U14" s="17">
        <f>AVERAGE(U4:U13)</f>
        <v>0.26869997976999999</v>
      </c>
      <c r="V14" s="16">
        <f>AVERAGE(V4:V13)</f>
        <v>2.9</v>
      </c>
      <c r="W14" s="21">
        <f>AVERAGE(W4:W13)</f>
        <v>0.91999999999999993</v>
      </c>
      <c r="X14" s="17">
        <f>AVERAGE(X4:X13)</f>
        <v>3.3564702498116681</v>
      </c>
      <c r="Y14" s="21">
        <f t="shared" ref="Y14:AA14" si="2">AVERAGE(Y4:Y13)</f>
        <v>0.19481917498989682</v>
      </c>
      <c r="Z14" s="16">
        <f t="shared" si="2"/>
        <v>1314.0506923783837</v>
      </c>
      <c r="AA14" s="17">
        <f t="shared" si="2"/>
        <v>0</v>
      </c>
    </row>
    <row r="15" spans="2:27" x14ac:dyDescent="0.2">
      <c r="D15" s="2"/>
      <c r="E15" s="3"/>
      <c r="F15" s="3"/>
      <c r="G15" s="3"/>
      <c r="H15" s="3"/>
      <c r="I15" s="3"/>
      <c r="J15" s="3"/>
      <c r="L15" s="18">
        <f>(L14-D14)/D14</f>
        <v>-4.798512380630215E-4</v>
      </c>
      <c r="M15" s="18">
        <f t="shared" ref="M15:R15" si="3">(M14-E14)/E14</f>
        <v>0.27983132863554927</v>
      </c>
      <c r="N15" s="18">
        <f t="shared" si="3"/>
        <v>0</v>
      </c>
      <c r="O15" s="18">
        <f t="shared" si="3"/>
        <v>0</v>
      </c>
      <c r="P15" s="18">
        <f t="shared" si="3"/>
        <v>0</v>
      </c>
      <c r="Q15" s="18">
        <f t="shared" si="3"/>
        <v>0</v>
      </c>
      <c r="R15" s="18">
        <f t="shared" si="3"/>
        <v>5.3640121949804786E-15</v>
      </c>
      <c r="T15" s="18">
        <f>(T14-D14)/D14</f>
        <v>4.7679596297720754E-4</v>
      </c>
      <c r="U15" s="18">
        <f t="shared" ref="U15:Z15" si="4">(U14-E14)/E14</f>
        <v>0.25737000097375767</v>
      </c>
      <c r="V15" s="18">
        <f t="shared" si="4"/>
        <v>0</v>
      </c>
      <c r="W15" s="18">
        <f t="shared" si="4"/>
        <v>0</v>
      </c>
      <c r="X15" s="18">
        <f t="shared" si="4"/>
        <v>0</v>
      </c>
      <c r="Y15" s="18">
        <f t="shared" si="4"/>
        <v>-5.6987358902568566E-16</v>
      </c>
      <c r="Z15" s="18">
        <f t="shared" si="4"/>
        <v>-3.4606530290196637E-16</v>
      </c>
    </row>
    <row r="16" spans="2:27" x14ac:dyDescent="0.2">
      <c r="D16" s="2"/>
    </row>
    <row r="17" spans="4:6" x14ac:dyDescent="0.2">
      <c r="D17" s="2"/>
    </row>
    <row r="18" spans="4:6" ht="22" x14ac:dyDescent="0.2">
      <c r="E18" s="24" t="s">
        <v>13</v>
      </c>
      <c r="F18" s="24" t="s">
        <v>12</v>
      </c>
    </row>
    <row r="19" spans="4:6" x14ac:dyDescent="0.2">
      <c r="D19" t="s">
        <v>15</v>
      </c>
      <c r="E19" s="18">
        <f>(L14-D14)/D14</f>
        <v>-4.798512380630215E-4</v>
      </c>
      <c r="F19" s="18">
        <f>(T14-D14)/D14</f>
        <v>4.7679596297720754E-4</v>
      </c>
    </row>
    <row r="20" spans="4:6" x14ac:dyDescent="0.2">
      <c r="D20" t="s">
        <v>16</v>
      </c>
      <c r="E20" s="18">
        <f>(N14-F14)/F14</f>
        <v>0</v>
      </c>
      <c r="F20" s="18">
        <f>(V14-F14)/F14</f>
        <v>0</v>
      </c>
    </row>
    <row r="21" spans="4:6" x14ac:dyDescent="0.2">
      <c r="D21" t="s">
        <v>17</v>
      </c>
      <c r="E21" s="18">
        <f>(O14-G14)/G14</f>
        <v>0</v>
      </c>
      <c r="F21" s="18">
        <f>(W14-G14)/G14</f>
        <v>0</v>
      </c>
    </row>
    <row r="22" spans="4:6" x14ac:dyDescent="0.2">
      <c r="D22" t="s">
        <v>18</v>
      </c>
      <c r="E22" s="18">
        <f>(Q14-I14)/I14</f>
        <v>0</v>
      </c>
      <c r="F22" s="18">
        <f>(Y14-I14)/I14</f>
        <v>-5.6987358902568566E-16</v>
      </c>
    </row>
    <row r="23" spans="4:6" x14ac:dyDescent="0.2">
      <c r="D23" t="s">
        <v>19</v>
      </c>
      <c r="E23" s="18">
        <f>(P14-H14)/H14</f>
        <v>0</v>
      </c>
      <c r="F23" s="18">
        <f>(X14-H14)/H14</f>
        <v>0</v>
      </c>
    </row>
    <row r="24" spans="4:6" x14ac:dyDescent="0.2">
      <c r="D24" t="s">
        <v>20</v>
      </c>
      <c r="E24" s="18">
        <f>(R14-J14)/J14</f>
        <v>5.3640121949804786E-15</v>
      </c>
      <c r="F24" s="18">
        <f>(Z14-J14)/J14</f>
        <v>-3.4606530290196637E-16</v>
      </c>
    </row>
  </sheetData>
  <mergeCells count="1">
    <mergeCell ref="B14:C14"/>
  </mergeCells>
  <conditionalFormatting sqref="C1:C3 C14 C21:C1048576">
    <cfRule type="duplicateValues" dxfId="17" priority="7"/>
    <cfRule type="duplicateValues" dxfId="16" priority="8"/>
  </conditionalFormatting>
  <conditionalFormatting sqref="C4:C13">
    <cfRule type="duplicateValues" dxfId="15" priority="3"/>
    <cfRule type="duplicateValues" dxfId="14" priority="4"/>
  </conditionalFormatting>
  <conditionalFormatting sqref="C15:C20">
    <cfRule type="duplicateValues" dxfId="13" priority="1"/>
    <cfRule type="duplicateValues" dxfId="12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AC33-A1D3-4849-976F-1EBC2F71DC0A}">
  <dimension ref="B2:AA24"/>
  <sheetViews>
    <sheetView zoomScaleNormal="100" workbookViewId="0">
      <selection activeCell="F19" sqref="F19:F2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21.1640625" style="1" bestFit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6.6640625" style="1" bestFit="1" customWidth="1"/>
    <col min="12" max="12" width="12.6640625" style="1" bestFit="1" customWidth="1"/>
    <col min="13" max="13" width="9.5" style="1" bestFit="1" customWidth="1"/>
    <col min="14" max="14" width="9.1640625" style="1" bestFit="1" customWidth="1"/>
    <col min="15" max="15" width="18.33203125" style="1" bestFit="1" customWidth="1"/>
    <col min="16" max="16" width="12" style="1" bestFit="1" customWidth="1"/>
    <col min="17" max="17" width="24.83203125" style="1" bestFit="1" customWidth="1"/>
    <col min="18" max="18" width="18" style="1" bestFit="1" customWidth="1"/>
    <col min="19" max="19" width="6.6640625" style="1" bestFit="1" customWidth="1"/>
    <col min="20" max="20" width="12.6640625" style="1" bestFit="1" customWidth="1"/>
    <col min="21" max="21" width="9.5" style="1" bestFit="1" customWidth="1"/>
    <col min="22" max="22" width="9.1640625" style="1" bestFit="1" customWidth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27" width="6.6640625" style="1" bestFit="1" customWidth="1"/>
    <col min="28" max="16384" width="10.83203125" style="1"/>
  </cols>
  <sheetData>
    <row r="2" spans="2:27" ht="22" x14ac:dyDescent="0.2">
      <c r="D2" s="23" t="s">
        <v>11</v>
      </c>
      <c r="L2" s="24" t="s">
        <v>13</v>
      </c>
      <c r="T2" s="24" t="s">
        <v>12</v>
      </c>
    </row>
    <row r="3" spans="2:27" x14ac:dyDescent="0.2">
      <c r="B3" s="9" t="s">
        <v>5</v>
      </c>
      <c r="C3" s="9" t="s">
        <v>3</v>
      </c>
      <c r="D3" s="9" t="s">
        <v>0</v>
      </c>
      <c r="E3" s="9" t="s">
        <v>4</v>
      </c>
      <c r="F3" s="9" t="s">
        <v>8</v>
      </c>
      <c r="G3" s="9" t="s">
        <v>10</v>
      </c>
      <c r="H3" s="9" t="s">
        <v>7</v>
      </c>
      <c r="I3" s="9" t="s">
        <v>9</v>
      </c>
      <c r="J3" s="9" t="s">
        <v>6</v>
      </c>
      <c r="K3" s="9" t="s">
        <v>1</v>
      </c>
      <c r="L3" s="13" t="s">
        <v>0</v>
      </c>
      <c r="M3" s="13" t="s">
        <v>4</v>
      </c>
      <c r="N3" s="13" t="s">
        <v>8</v>
      </c>
      <c r="O3" s="13" t="s">
        <v>10</v>
      </c>
      <c r="P3" s="13" t="s">
        <v>7</v>
      </c>
      <c r="Q3" s="13" t="s">
        <v>9</v>
      </c>
      <c r="R3" s="13" t="s">
        <v>6</v>
      </c>
      <c r="S3" s="13" t="s">
        <v>1</v>
      </c>
      <c r="T3" s="8" t="s">
        <v>0</v>
      </c>
      <c r="U3" s="8" t="s">
        <v>4</v>
      </c>
      <c r="V3" s="8" t="s">
        <v>8</v>
      </c>
      <c r="W3" s="8" t="s">
        <v>10</v>
      </c>
      <c r="X3" s="8" t="s">
        <v>7</v>
      </c>
      <c r="Y3" s="8" t="s">
        <v>9</v>
      </c>
      <c r="Z3" s="8" t="s">
        <v>6</v>
      </c>
      <c r="AA3" s="8" t="s">
        <v>1</v>
      </c>
    </row>
    <row r="4" spans="2:27" x14ac:dyDescent="0.2">
      <c r="B4" s="4">
        <v>1</v>
      </c>
      <c r="C4" s="4">
        <v>61</v>
      </c>
      <c r="D4" s="12">
        <v>57759.09893</v>
      </c>
      <c r="E4" s="6">
        <v>0.20000004769999999</v>
      </c>
      <c r="F4" s="5">
        <v>2</v>
      </c>
      <c r="G4" s="19">
        <v>0.8</v>
      </c>
      <c r="H4" s="6">
        <v>0</v>
      </c>
      <c r="I4" s="19">
        <v>0.26085329106886157</v>
      </c>
      <c r="J4" s="5">
        <v>1296.3763326824628</v>
      </c>
      <c r="K4" s="7">
        <v>0</v>
      </c>
      <c r="L4" s="12">
        <v>46293.203410000002</v>
      </c>
      <c r="M4" s="6">
        <v>0.13299989700000001</v>
      </c>
      <c r="N4" s="5">
        <v>2</v>
      </c>
      <c r="O4" s="19">
        <v>0.8</v>
      </c>
      <c r="P4" s="6">
        <v>0</v>
      </c>
      <c r="Q4" s="19">
        <v>0.26085329106886157</v>
      </c>
      <c r="R4" s="5">
        <v>1296.3763326824592</v>
      </c>
      <c r="S4" s="7">
        <v>0</v>
      </c>
      <c r="T4" s="12">
        <v>69298.950639999995</v>
      </c>
      <c r="U4" s="6">
        <v>0.20899987219999999</v>
      </c>
      <c r="V4" s="5">
        <v>2</v>
      </c>
      <c r="W4" s="19">
        <v>0.8</v>
      </c>
      <c r="X4" s="6">
        <v>0</v>
      </c>
      <c r="Y4" s="19">
        <v>0.26085329106886157</v>
      </c>
      <c r="Z4" s="5">
        <v>1296.3763326824021</v>
      </c>
      <c r="AA4" s="7">
        <v>0</v>
      </c>
    </row>
    <row r="5" spans="2:27" x14ac:dyDescent="0.2">
      <c r="B5" s="4">
        <v>2</v>
      </c>
      <c r="C5" s="4">
        <v>339</v>
      </c>
      <c r="D5" s="12">
        <v>63309.010849999999</v>
      </c>
      <c r="E5" s="6">
        <v>0.2599999905</v>
      </c>
      <c r="F5" s="5">
        <v>3</v>
      </c>
      <c r="G5" s="19">
        <v>0.9</v>
      </c>
      <c r="H5" s="6">
        <v>0</v>
      </c>
      <c r="I5" s="19">
        <v>0.15256236853389618</v>
      </c>
      <c r="J5" s="5">
        <v>1463.2063227351093</v>
      </c>
      <c r="K5" s="7">
        <v>0</v>
      </c>
      <c r="L5" s="12">
        <v>49327.975789999997</v>
      </c>
      <c r="M5" s="6">
        <v>0.25500011439999998</v>
      </c>
      <c r="N5" s="5">
        <v>3</v>
      </c>
      <c r="O5" s="19">
        <v>0.9</v>
      </c>
      <c r="P5" s="6">
        <v>0</v>
      </c>
      <c r="Q5" s="19">
        <v>0.1569469348604268</v>
      </c>
      <c r="R5" s="5">
        <v>1489.8253703541595</v>
      </c>
      <c r="S5" s="7">
        <v>0</v>
      </c>
      <c r="T5" s="12">
        <v>77246.776129999998</v>
      </c>
      <c r="U5" s="6">
        <v>0.37100005149999998</v>
      </c>
      <c r="V5" s="5">
        <v>3</v>
      </c>
      <c r="W5" s="19">
        <v>0.9</v>
      </c>
      <c r="X5" s="6">
        <v>0</v>
      </c>
      <c r="Y5" s="19">
        <v>0.15256236853389618</v>
      </c>
      <c r="Z5" s="5">
        <v>1463.2063227351111</v>
      </c>
      <c r="AA5" s="7">
        <v>0</v>
      </c>
    </row>
    <row r="6" spans="2:27" x14ac:dyDescent="0.2">
      <c r="B6" s="4">
        <v>3</v>
      </c>
      <c r="C6" s="4">
        <v>460</v>
      </c>
      <c r="D6" s="12">
        <v>58657.718439999997</v>
      </c>
      <c r="E6" s="6">
        <v>0.22699999809999999</v>
      </c>
      <c r="F6" s="5">
        <v>3</v>
      </c>
      <c r="G6" s="19">
        <v>1</v>
      </c>
      <c r="H6" s="6">
        <v>24.765217150894109</v>
      </c>
      <c r="I6" s="19">
        <v>0.21147615025761327</v>
      </c>
      <c r="J6" s="5">
        <v>1661.1871426106718</v>
      </c>
      <c r="K6" s="7">
        <v>0</v>
      </c>
      <c r="L6" s="12">
        <v>41315.833890000002</v>
      </c>
      <c r="M6" s="6">
        <v>0.15500020980000001</v>
      </c>
      <c r="N6" s="5">
        <v>3</v>
      </c>
      <c r="O6" s="19">
        <v>1</v>
      </c>
      <c r="P6" s="6">
        <v>24.76521715089866</v>
      </c>
      <c r="Q6" s="19">
        <v>0.21147615025761313</v>
      </c>
      <c r="R6" s="5">
        <v>1661.1871426107548</v>
      </c>
      <c r="S6" s="7">
        <v>3.29E-3</v>
      </c>
      <c r="T6" s="12">
        <v>72766.370739999998</v>
      </c>
      <c r="U6" s="6">
        <v>0.31400012970000002</v>
      </c>
      <c r="V6" s="5">
        <v>3</v>
      </c>
      <c r="W6" s="19">
        <v>0.9</v>
      </c>
      <c r="X6" s="6">
        <v>0</v>
      </c>
      <c r="Y6" s="19">
        <v>0.17390758976660378</v>
      </c>
      <c r="Z6" s="5">
        <v>1371.5974429301932</v>
      </c>
      <c r="AA6" s="7">
        <v>0</v>
      </c>
    </row>
    <row r="7" spans="2:27" x14ac:dyDescent="0.2">
      <c r="B7" s="4">
        <v>4</v>
      </c>
      <c r="C7" s="4">
        <v>688</v>
      </c>
      <c r="D7" s="12">
        <v>57097.78486</v>
      </c>
      <c r="E7" s="6">
        <v>0.14800000190000001</v>
      </c>
      <c r="F7" s="5">
        <v>3</v>
      </c>
      <c r="G7" s="19">
        <v>0.95</v>
      </c>
      <c r="H7" s="6">
        <v>8.4505643299833455</v>
      </c>
      <c r="I7" s="19">
        <v>0.19102046487626057</v>
      </c>
      <c r="J7" s="5">
        <v>1434.1655213832048</v>
      </c>
      <c r="K7" s="7">
        <v>0</v>
      </c>
      <c r="L7" s="12">
        <v>43170.800790000001</v>
      </c>
      <c r="M7" s="6">
        <v>0.16499996189999999</v>
      </c>
      <c r="N7" s="5">
        <v>3</v>
      </c>
      <c r="O7" s="19">
        <v>0.95</v>
      </c>
      <c r="P7" s="6">
        <v>8.4505643299833455</v>
      </c>
      <c r="Q7" s="19">
        <v>0.19950093951254619</v>
      </c>
      <c r="R7" s="5">
        <v>1454.9149168892188</v>
      </c>
      <c r="S7" s="7">
        <v>0</v>
      </c>
      <c r="T7" s="12">
        <v>70927.903810000003</v>
      </c>
      <c r="U7" s="6">
        <v>0.30200004580000001</v>
      </c>
      <c r="V7" s="5">
        <v>3</v>
      </c>
      <c r="W7" s="19">
        <v>0.95</v>
      </c>
      <c r="X7" s="6">
        <v>8.4505643299810949</v>
      </c>
      <c r="Y7" s="19">
        <v>0.19102046487626057</v>
      </c>
      <c r="Z7" s="5">
        <v>1434.1655213831621</v>
      </c>
      <c r="AA7" s="7">
        <v>0</v>
      </c>
    </row>
    <row r="8" spans="2:27" x14ac:dyDescent="0.2">
      <c r="B8" s="4">
        <v>5</v>
      </c>
      <c r="C8" s="4">
        <v>754</v>
      </c>
      <c r="D8" s="12">
        <v>60865.455549999999</v>
      </c>
      <c r="E8" s="6">
        <v>0.23500013350000001</v>
      </c>
      <c r="F8" s="5">
        <v>3</v>
      </c>
      <c r="G8" s="19">
        <v>0.85</v>
      </c>
      <c r="H8" s="6">
        <v>0</v>
      </c>
      <c r="I8" s="19">
        <v>0.13836143474649007</v>
      </c>
      <c r="J8" s="5">
        <v>1114.4459005933013</v>
      </c>
      <c r="K8" s="7">
        <v>0</v>
      </c>
      <c r="L8" s="12">
        <v>50684.123899999999</v>
      </c>
      <c r="M8" s="6">
        <v>0.35899996760000003</v>
      </c>
      <c r="N8" s="5">
        <v>3</v>
      </c>
      <c r="O8" s="19">
        <v>0.85</v>
      </c>
      <c r="P8" s="6">
        <v>0</v>
      </c>
      <c r="Q8" s="19">
        <v>0.15377410468095501</v>
      </c>
      <c r="R8" s="5">
        <v>1173.1213406549482</v>
      </c>
      <c r="S8" s="7">
        <v>0</v>
      </c>
      <c r="T8" s="12">
        <v>70836.062820000006</v>
      </c>
      <c r="U8" s="6">
        <v>0.4470000267</v>
      </c>
      <c r="V8" s="5">
        <v>3</v>
      </c>
      <c r="W8" s="19">
        <v>0.85</v>
      </c>
      <c r="X8" s="6">
        <v>0</v>
      </c>
      <c r="Y8" s="19">
        <v>0.13836143474648932</v>
      </c>
      <c r="Z8" s="5">
        <v>1114.4459005932904</v>
      </c>
      <c r="AA8" s="7">
        <v>0</v>
      </c>
    </row>
    <row r="9" spans="2:27" x14ac:dyDescent="0.2">
      <c r="B9" s="4">
        <v>6</v>
      </c>
      <c r="C9" s="4">
        <v>756</v>
      </c>
      <c r="D9" s="12">
        <v>45799.413849999997</v>
      </c>
      <c r="E9" s="6">
        <v>7.10000992E-2</v>
      </c>
      <c r="F9" s="5">
        <v>3</v>
      </c>
      <c r="G9" s="19">
        <v>1</v>
      </c>
      <c r="H9" s="6">
        <v>0</v>
      </c>
      <c r="I9" s="19">
        <v>0.1671301991454415</v>
      </c>
      <c r="J9" s="5">
        <v>1007.9465118778219</v>
      </c>
      <c r="K9" s="7">
        <v>0</v>
      </c>
      <c r="L9" s="12">
        <v>35380.750370000002</v>
      </c>
      <c r="M9" s="6">
        <v>0.19200015070000001</v>
      </c>
      <c r="N9" s="5">
        <v>3</v>
      </c>
      <c r="O9" s="19">
        <v>1</v>
      </c>
      <c r="P9" s="6">
        <v>0</v>
      </c>
      <c r="Q9" s="19">
        <v>0.1671301991454415</v>
      </c>
      <c r="R9" s="5">
        <v>1007.9465118778289</v>
      </c>
      <c r="S9" s="7">
        <v>0</v>
      </c>
      <c r="T9" s="12">
        <v>56204.463490000002</v>
      </c>
      <c r="U9" s="6">
        <v>0.27499985690000001</v>
      </c>
      <c r="V9" s="5">
        <v>3</v>
      </c>
      <c r="W9" s="19">
        <v>1</v>
      </c>
      <c r="X9" s="6">
        <v>0</v>
      </c>
      <c r="Y9" s="19">
        <v>0.16713019914544167</v>
      </c>
      <c r="Z9" s="5">
        <v>1007.9465118777682</v>
      </c>
      <c r="AA9" s="7">
        <v>0</v>
      </c>
    </row>
    <row r="10" spans="2:27" x14ac:dyDescent="0.2">
      <c r="B10" s="4">
        <v>7</v>
      </c>
      <c r="C10" s="4">
        <v>815</v>
      </c>
      <c r="D10" s="12">
        <v>51423.275079999999</v>
      </c>
      <c r="E10" s="6">
        <v>0.40299987790000003</v>
      </c>
      <c r="F10" s="5">
        <v>3</v>
      </c>
      <c r="G10" s="19">
        <v>1</v>
      </c>
      <c r="H10" s="6">
        <v>0</v>
      </c>
      <c r="I10" s="19">
        <v>0.29008637747952626</v>
      </c>
      <c r="J10" s="5">
        <v>1430.6972997087992</v>
      </c>
      <c r="K10" s="7">
        <v>0</v>
      </c>
      <c r="L10" s="12">
        <v>36358.318939999997</v>
      </c>
      <c r="M10" s="6">
        <v>0.36100006099999998</v>
      </c>
      <c r="N10" s="5">
        <v>3</v>
      </c>
      <c r="O10" s="19">
        <v>1</v>
      </c>
      <c r="P10" s="6">
        <v>0</v>
      </c>
      <c r="Q10" s="19">
        <v>0.29008637747952626</v>
      </c>
      <c r="R10" s="5">
        <v>1430.6972997088737</v>
      </c>
      <c r="S10" s="7">
        <v>0</v>
      </c>
      <c r="T10" s="12">
        <v>65531.055139999997</v>
      </c>
      <c r="U10" s="6">
        <v>0.6430001259</v>
      </c>
      <c r="V10" s="5">
        <v>3</v>
      </c>
      <c r="W10" s="19">
        <v>0.9</v>
      </c>
      <c r="X10" s="6">
        <v>0</v>
      </c>
      <c r="Y10" s="19">
        <v>0.21074764917354491</v>
      </c>
      <c r="Z10" s="5">
        <v>1140.8242317489385</v>
      </c>
      <c r="AA10" s="7">
        <v>0</v>
      </c>
    </row>
    <row r="11" spans="2:27" x14ac:dyDescent="0.2">
      <c r="B11" s="4">
        <v>8</v>
      </c>
      <c r="C11" s="4">
        <v>837</v>
      </c>
      <c r="D11" s="12">
        <v>50496.11535</v>
      </c>
      <c r="E11" s="6">
        <v>0.22500014309999999</v>
      </c>
      <c r="F11" s="5">
        <v>3</v>
      </c>
      <c r="G11" s="19">
        <v>0.95</v>
      </c>
      <c r="H11" s="6">
        <v>0.34892101723922725</v>
      </c>
      <c r="I11" s="19">
        <v>0.27688233758577602</v>
      </c>
      <c r="J11" s="5">
        <v>1264.296365009553</v>
      </c>
      <c r="K11" s="7">
        <v>0</v>
      </c>
      <c r="L11" s="12">
        <v>38617.355250000001</v>
      </c>
      <c r="M11" s="6">
        <v>0.20399999620000001</v>
      </c>
      <c r="N11" s="5">
        <v>3</v>
      </c>
      <c r="O11" s="19">
        <v>0.95</v>
      </c>
      <c r="P11" s="6">
        <v>0.34892101723925117</v>
      </c>
      <c r="Q11" s="19">
        <v>0.27688233758577602</v>
      </c>
      <c r="R11" s="5">
        <v>1264.296365009533</v>
      </c>
      <c r="S11" s="7">
        <v>4.1599999999999996E-3</v>
      </c>
      <c r="T11" s="12">
        <v>62409.899879999997</v>
      </c>
      <c r="U11" s="6">
        <v>0.36899995800000002</v>
      </c>
      <c r="V11" s="5">
        <v>3</v>
      </c>
      <c r="W11" s="19">
        <v>0.95</v>
      </c>
      <c r="X11" s="6">
        <v>0.34892101723868874</v>
      </c>
      <c r="Y11" s="19">
        <v>0.27688233758577602</v>
      </c>
      <c r="Z11" s="5">
        <v>1264.2963650095212</v>
      </c>
      <c r="AA11" s="7">
        <v>0</v>
      </c>
    </row>
    <row r="12" spans="2:27" x14ac:dyDescent="0.2">
      <c r="B12" s="4">
        <v>9</v>
      </c>
      <c r="C12" s="4">
        <v>882</v>
      </c>
      <c r="D12" s="12">
        <v>66953.420289999995</v>
      </c>
      <c r="E12" s="6">
        <v>0.2239999771</v>
      </c>
      <c r="F12" s="5">
        <v>3</v>
      </c>
      <c r="G12" s="19">
        <v>0.8</v>
      </c>
      <c r="H12" s="6">
        <v>0</v>
      </c>
      <c r="I12" s="19">
        <v>0.11448768691835376</v>
      </c>
      <c r="J12" s="5">
        <v>1139.4963885475706</v>
      </c>
      <c r="K12" s="7">
        <v>0</v>
      </c>
      <c r="L12" s="12">
        <v>56769.559500000003</v>
      </c>
      <c r="M12" s="6">
        <v>0.34400010110000001</v>
      </c>
      <c r="N12" s="5">
        <v>3</v>
      </c>
      <c r="O12" s="19">
        <v>0.8</v>
      </c>
      <c r="P12" s="6">
        <v>0</v>
      </c>
      <c r="Q12" s="19">
        <v>0.11448768691835376</v>
      </c>
      <c r="R12" s="5">
        <v>1139.4963885476022</v>
      </c>
      <c r="S12" s="7">
        <v>0</v>
      </c>
      <c r="T12" s="12">
        <v>74731.739629999996</v>
      </c>
      <c r="U12" s="6">
        <v>0.34999990460000002</v>
      </c>
      <c r="V12" s="5">
        <v>2</v>
      </c>
      <c r="W12" s="19">
        <v>0.65</v>
      </c>
      <c r="X12" s="6">
        <v>0</v>
      </c>
      <c r="Y12" s="19">
        <v>0.14749438775857432</v>
      </c>
      <c r="Z12" s="5">
        <v>1041.5472197884715</v>
      </c>
      <c r="AA12" s="7">
        <v>0</v>
      </c>
    </row>
    <row r="13" spans="2:27" x14ac:dyDescent="0.2">
      <c r="B13" s="4">
        <v>10</v>
      </c>
      <c r="C13" s="4">
        <v>899</v>
      </c>
      <c r="D13" s="12">
        <v>56435.280299999999</v>
      </c>
      <c r="E13" s="6">
        <v>0.143999815</v>
      </c>
      <c r="F13" s="5">
        <v>3</v>
      </c>
      <c r="G13" s="19">
        <v>0.95</v>
      </c>
      <c r="H13" s="6">
        <v>0</v>
      </c>
      <c r="I13" s="19">
        <v>0.14533143928674996</v>
      </c>
      <c r="J13" s="5">
        <v>1328.6891386353477</v>
      </c>
      <c r="K13" s="7">
        <v>0</v>
      </c>
      <c r="L13" s="12">
        <v>43515.088159999999</v>
      </c>
      <c r="M13" s="6">
        <v>0.16400003430000001</v>
      </c>
      <c r="N13" s="5">
        <v>3</v>
      </c>
      <c r="O13" s="19">
        <v>0.95</v>
      </c>
      <c r="P13" s="6">
        <v>0</v>
      </c>
      <c r="Q13" s="19">
        <v>0.14533143928674996</v>
      </c>
      <c r="R13" s="5">
        <v>1328.6891386353673</v>
      </c>
      <c r="S13" s="7">
        <v>0</v>
      </c>
      <c r="T13" s="12">
        <v>68007.862599999993</v>
      </c>
      <c r="U13" s="6">
        <v>0.21099996569999999</v>
      </c>
      <c r="V13" s="5">
        <v>3</v>
      </c>
      <c r="W13" s="19">
        <v>0.9</v>
      </c>
      <c r="X13" s="6">
        <v>0</v>
      </c>
      <c r="Y13" s="19">
        <v>0.13440378956255769</v>
      </c>
      <c r="Z13" s="5">
        <v>1148.4858881391306</v>
      </c>
      <c r="AA13" s="7">
        <v>0</v>
      </c>
    </row>
    <row r="14" spans="2:27" x14ac:dyDescent="0.2">
      <c r="B14" s="26" t="s">
        <v>2</v>
      </c>
      <c r="C14" s="27"/>
      <c r="D14" s="10">
        <f>AVERAGE(D4:D13)</f>
        <v>56879.657349999994</v>
      </c>
      <c r="E14" s="11">
        <f>AVERAGE(E4:E13)</f>
        <v>0.21370000839999997</v>
      </c>
      <c r="F14" s="10">
        <f>AVERAGE(F4:F13)</f>
        <v>2.9</v>
      </c>
      <c r="G14" s="20">
        <f>AVERAGE(G4:G13)</f>
        <v>0.91999999999999993</v>
      </c>
      <c r="H14" s="11">
        <f>AVERAGE(H4:H13)</f>
        <v>3.3564702498116681</v>
      </c>
      <c r="I14" s="20">
        <f t="shared" ref="I14:K14" si="0">AVERAGE(I4:I13)</f>
        <v>0.19481917498989693</v>
      </c>
      <c r="J14" s="10">
        <f t="shared" si="0"/>
        <v>1314.0506923783842</v>
      </c>
      <c r="K14" s="11">
        <f t="shared" si="0"/>
        <v>0</v>
      </c>
      <c r="L14" s="14">
        <f>AVERAGE(L4:L13)</f>
        <v>44143.300999999992</v>
      </c>
      <c r="M14" s="15">
        <f>AVERAGE(M4:M13)</f>
        <v>0.2332000494</v>
      </c>
      <c r="N14" s="14">
        <f>AVERAGE(N4:N13)</f>
        <v>2.9</v>
      </c>
      <c r="O14" s="22">
        <f>AVERAGE(O4:O13)</f>
        <v>0.91999999999999993</v>
      </c>
      <c r="P14" s="15">
        <f>AVERAGE(P4:P13)</f>
        <v>3.3564702498121255</v>
      </c>
      <c r="Q14" s="22">
        <f t="shared" ref="Q14:S14" si="1">AVERAGE(Q4:Q13)</f>
        <v>0.19764694607962502</v>
      </c>
      <c r="R14" s="14">
        <f t="shared" si="1"/>
        <v>1324.6550806970747</v>
      </c>
      <c r="S14" s="15">
        <f t="shared" si="1"/>
        <v>7.45E-4</v>
      </c>
      <c r="T14" s="16">
        <f>AVERAGE(T4:T13)</f>
        <v>68796.108487999998</v>
      </c>
      <c r="U14" s="17">
        <f>AVERAGE(U4:U13)</f>
        <v>0.3490999937</v>
      </c>
      <c r="V14" s="16">
        <f>AVERAGE(V4:V13)</f>
        <v>2.8</v>
      </c>
      <c r="W14" s="21">
        <f>AVERAGE(W4:W13)</f>
        <v>0.88000000000000012</v>
      </c>
      <c r="X14" s="17">
        <f>AVERAGE(X4:X13)</f>
        <v>0.87994853472197843</v>
      </c>
      <c r="Y14" s="21">
        <f t="shared" ref="Y14:AA14" si="2">AVERAGE(Y4:Y13)</f>
        <v>0.18533635122180062</v>
      </c>
      <c r="Z14" s="16">
        <f t="shared" si="2"/>
        <v>1228.2891736887989</v>
      </c>
      <c r="AA14" s="17">
        <f t="shared" si="2"/>
        <v>0</v>
      </c>
    </row>
    <row r="15" spans="2:27" x14ac:dyDescent="0.2">
      <c r="D15" s="2"/>
      <c r="E15" s="3"/>
      <c r="F15" s="3"/>
      <c r="G15" s="3"/>
      <c r="H15" s="3"/>
      <c r="I15" s="3"/>
      <c r="J15" s="3"/>
      <c r="L15" s="18">
        <f>(L14-D14)/D14</f>
        <v>-0.22391759977787565</v>
      </c>
      <c r="M15" s="18">
        <f t="shared" ref="M15:R15" si="3">(M14-E14)/E14</f>
        <v>9.124960333880841E-2</v>
      </c>
      <c r="N15" s="18">
        <f t="shared" si="3"/>
        <v>0</v>
      </c>
      <c r="O15" s="18">
        <f t="shared" si="3"/>
        <v>0</v>
      </c>
      <c r="P15" s="18">
        <f t="shared" si="3"/>
        <v>1.3627765244492482E-13</v>
      </c>
      <c r="Q15" s="18">
        <f t="shared" si="3"/>
        <v>1.4514849936484627E-2</v>
      </c>
      <c r="R15" s="18">
        <f t="shared" si="3"/>
        <v>8.0699994149365691E-3</v>
      </c>
      <c r="T15" s="18">
        <f>(T14-D14)/D14</f>
        <v>0.20950286434874252</v>
      </c>
      <c r="U15" s="18">
        <f t="shared" ref="U15:Z15" si="4">(U14-E14)/E14</f>
        <v>0.63359840888054941</v>
      </c>
      <c r="V15" s="18">
        <f t="shared" si="4"/>
        <v>-3.4482758620689689E-2</v>
      </c>
      <c r="W15" s="18">
        <f t="shared" si="4"/>
        <v>-4.3478260869565015E-2</v>
      </c>
      <c r="X15" s="18">
        <f t="shared" si="4"/>
        <v>-0.73783514548613904</v>
      </c>
      <c r="Y15" s="18">
        <f t="shared" si="4"/>
        <v>-4.8675002183887067E-2</v>
      </c>
      <c r="Z15" s="18">
        <f t="shared" si="4"/>
        <v>-6.5265000191400552E-2</v>
      </c>
    </row>
    <row r="16" spans="2:27" x14ac:dyDescent="0.2">
      <c r="D16" s="2"/>
    </row>
    <row r="17" spans="4:6" x14ac:dyDescent="0.2">
      <c r="D17" s="2"/>
    </row>
    <row r="18" spans="4:6" ht="22" x14ac:dyDescent="0.2">
      <c r="E18" s="24" t="s">
        <v>13</v>
      </c>
      <c r="F18" s="24" t="s">
        <v>12</v>
      </c>
    </row>
    <row r="19" spans="4:6" x14ac:dyDescent="0.2">
      <c r="D19" t="s">
        <v>15</v>
      </c>
      <c r="E19" s="18">
        <f>(L14-D14)/D14</f>
        <v>-0.22391759977787565</v>
      </c>
      <c r="F19" s="18">
        <f>(T14-D14)/D14</f>
        <v>0.20950286434874252</v>
      </c>
    </row>
    <row r="20" spans="4:6" x14ac:dyDescent="0.2">
      <c r="D20" t="s">
        <v>16</v>
      </c>
      <c r="E20" s="18">
        <f>(N14-F14)/F14</f>
        <v>0</v>
      </c>
      <c r="F20" s="18">
        <f>(V14-F14)/F14</f>
        <v>-3.4482758620689689E-2</v>
      </c>
    </row>
    <row r="21" spans="4:6" x14ac:dyDescent="0.2">
      <c r="D21" t="s">
        <v>17</v>
      </c>
      <c r="E21" s="18">
        <f>(O14-G14)/G14</f>
        <v>0</v>
      </c>
      <c r="F21" s="18">
        <f>(W14-G14)/G14</f>
        <v>-4.3478260869565015E-2</v>
      </c>
    </row>
    <row r="22" spans="4:6" x14ac:dyDescent="0.2">
      <c r="D22" t="s">
        <v>18</v>
      </c>
      <c r="E22" s="18">
        <f>(Q14-I14)/I14</f>
        <v>1.4514849936484627E-2</v>
      </c>
      <c r="F22" s="18">
        <f>(Y14-I14)/I14</f>
        <v>-4.8675002183887067E-2</v>
      </c>
    </row>
    <row r="23" spans="4:6" x14ac:dyDescent="0.2">
      <c r="D23" t="s">
        <v>19</v>
      </c>
      <c r="E23" s="18">
        <f>(P14-H14)/H14</f>
        <v>1.3627765244492482E-13</v>
      </c>
      <c r="F23" s="18">
        <f>(X14-H14)/H14</f>
        <v>-0.73783514548613904</v>
      </c>
    </row>
    <row r="24" spans="4:6" x14ac:dyDescent="0.2">
      <c r="D24" t="s">
        <v>20</v>
      </c>
      <c r="E24" s="18">
        <f>(R14-J14)/J14</f>
        <v>8.0699994149365691E-3</v>
      </c>
      <c r="F24" s="18">
        <f>(Z14-J14)/J14</f>
        <v>-6.5265000191400552E-2</v>
      </c>
    </row>
  </sheetData>
  <mergeCells count="1">
    <mergeCell ref="B14:C14"/>
  </mergeCells>
  <conditionalFormatting sqref="C1:C3 C14 C21:C1048576">
    <cfRule type="duplicateValues" dxfId="11" priority="7"/>
    <cfRule type="duplicateValues" dxfId="10" priority="8"/>
  </conditionalFormatting>
  <conditionalFormatting sqref="C4:C13">
    <cfRule type="duplicateValues" dxfId="9" priority="3"/>
    <cfRule type="duplicateValues" dxfId="8" priority="4"/>
  </conditionalFormatting>
  <conditionalFormatting sqref="C15:C20">
    <cfRule type="duplicateValues" dxfId="7" priority="1"/>
    <cfRule type="duplicateValues" dxfId="6" priority="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871D-193A-4403-9740-2759473A4D41}">
  <dimension ref="B2:AA24"/>
  <sheetViews>
    <sheetView tabSelected="1" zoomScaleNormal="100" workbookViewId="0">
      <selection activeCell="F19" sqref="F19:F2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21.1640625" style="1" bestFit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6.6640625" style="1" bestFit="1" customWidth="1"/>
    <col min="12" max="12" width="12.6640625" style="1" bestFit="1" customWidth="1"/>
    <col min="13" max="13" width="9.5" style="1" bestFit="1" customWidth="1"/>
    <col min="14" max="14" width="9.1640625" style="1" bestFit="1" customWidth="1"/>
    <col min="15" max="15" width="18.33203125" style="1" bestFit="1" customWidth="1"/>
    <col min="16" max="16" width="12" style="1" bestFit="1" customWidth="1"/>
    <col min="17" max="17" width="24.83203125" style="1" bestFit="1" customWidth="1"/>
    <col min="18" max="18" width="18" style="1" bestFit="1" customWidth="1"/>
    <col min="19" max="19" width="6.6640625" style="1" bestFit="1" customWidth="1"/>
    <col min="20" max="20" width="12.6640625" style="1" bestFit="1" customWidth="1"/>
    <col min="21" max="21" width="9.5" style="1" bestFit="1" customWidth="1"/>
    <col min="22" max="22" width="9.1640625" style="1" bestFit="1" customWidth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27" width="6.6640625" style="1" bestFit="1" customWidth="1"/>
    <col min="28" max="16384" width="10.83203125" style="1"/>
  </cols>
  <sheetData>
    <row r="2" spans="2:27" ht="22" x14ac:dyDescent="0.2">
      <c r="D2" s="23" t="s">
        <v>11</v>
      </c>
      <c r="L2" s="24" t="s">
        <v>13</v>
      </c>
      <c r="T2" s="24" t="s">
        <v>12</v>
      </c>
    </row>
    <row r="3" spans="2:27" x14ac:dyDescent="0.2">
      <c r="B3" s="9" t="s">
        <v>5</v>
      </c>
      <c r="C3" s="9" t="s">
        <v>3</v>
      </c>
      <c r="D3" s="9" t="s">
        <v>0</v>
      </c>
      <c r="E3" s="9" t="s">
        <v>4</v>
      </c>
      <c r="F3" s="9" t="s">
        <v>8</v>
      </c>
      <c r="G3" s="9" t="s">
        <v>10</v>
      </c>
      <c r="H3" s="9" t="s">
        <v>7</v>
      </c>
      <c r="I3" s="9" t="s">
        <v>9</v>
      </c>
      <c r="J3" s="9" t="s">
        <v>6</v>
      </c>
      <c r="K3" s="9" t="s">
        <v>1</v>
      </c>
      <c r="L3" s="13" t="s">
        <v>0</v>
      </c>
      <c r="M3" s="13" t="s">
        <v>4</v>
      </c>
      <c r="N3" s="13" t="s">
        <v>8</v>
      </c>
      <c r="O3" s="13" t="s">
        <v>10</v>
      </c>
      <c r="P3" s="13" t="s">
        <v>7</v>
      </c>
      <c r="Q3" s="13" t="s">
        <v>9</v>
      </c>
      <c r="R3" s="13" t="s">
        <v>6</v>
      </c>
      <c r="S3" s="13" t="s">
        <v>1</v>
      </c>
      <c r="T3" s="8" t="s">
        <v>0</v>
      </c>
      <c r="U3" s="8" t="s">
        <v>4</v>
      </c>
      <c r="V3" s="8" t="s">
        <v>8</v>
      </c>
      <c r="W3" s="8" t="s">
        <v>10</v>
      </c>
      <c r="X3" s="8" t="s">
        <v>7</v>
      </c>
      <c r="Y3" s="8" t="s">
        <v>9</v>
      </c>
      <c r="Z3" s="8" t="s">
        <v>6</v>
      </c>
      <c r="AA3" s="8" t="s">
        <v>1</v>
      </c>
    </row>
    <row r="4" spans="2:27" x14ac:dyDescent="0.2">
      <c r="B4" s="4">
        <v>1</v>
      </c>
      <c r="C4" s="4">
        <v>61</v>
      </c>
      <c r="D4" s="12">
        <v>57759.09893</v>
      </c>
      <c r="E4" s="6">
        <v>0.20000004769999999</v>
      </c>
      <c r="F4" s="5">
        <v>2</v>
      </c>
      <c r="G4" s="19">
        <v>0.8</v>
      </c>
      <c r="H4" s="6">
        <v>0</v>
      </c>
      <c r="I4" s="19">
        <v>0.26085329106886157</v>
      </c>
      <c r="J4" s="5">
        <v>1296.3763326824628</v>
      </c>
      <c r="K4" s="7">
        <v>0</v>
      </c>
      <c r="L4" s="12">
        <v>76656.314599999998</v>
      </c>
      <c r="M4" s="6">
        <v>0.1210000515</v>
      </c>
      <c r="N4" s="5">
        <v>2</v>
      </c>
      <c r="O4" s="19">
        <v>0.5</v>
      </c>
      <c r="P4" s="6">
        <v>0</v>
      </c>
      <c r="Q4" s="19">
        <v>0.13546332289175469</v>
      </c>
      <c r="R4" s="5">
        <v>863.73671880445784</v>
      </c>
      <c r="S4" s="7">
        <v>0</v>
      </c>
      <c r="T4" s="12">
        <v>51628.44124</v>
      </c>
      <c r="U4" s="6">
        <v>9.09998417E-2</v>
      </c>
      <c r="V4" s="5">
        <v>3</v>
      </c>
      <c r="W4" s="19">
        <v>1</v>
      </c>
      <c r="X4" s="6">
        <v>0</v>
      </c>
      <c r="Y4" s="19">
        <v>0.22141842460909036</v>
      </c>
      <c r="Z4" s="5">
        <v>1259.7825709526201</v>
      </c>
      <c r="AA4" s="7">
        <v>0</v>
      </c>
    </row>
    <row r="5" spans="2:27" x14ac:dyDescent="0.2">
      <c r="B5" s="4">
        <v>2</v>
      </c>
      <c r="C5" s="4">
        <v>339</v>
      </c>
      <c r="D5" s="12">
        <v>63309.010849999999</v>
      </c>
      <c r="E5" s="6">
        <v>0.2599999905</v>
      </c>
      <c r="F5" s="5">
        <v>3</v>
      </c>
      <c r="G5" s="19">
        <v>0.9</v>
      </c>
      <c r="H5" s="6">
        <v>0</v>
      </c>
      <c r="I5" s="19">
        <v>0.15256236853389618</v>
      </c>
      <c r="J5" s="5">
        <v>1463.2063227351093</v>
      </c>
      <c r="K5" s="7">
        <v>0</v>
      </c>
      <c r="L5" s="12">
        <v>80227.765190000006</v>
      </c>
      <c r="M5" s="6">
        <v>0.27399992940000001</v>
      </c>
      <c r="N5" s="5">
        <v>3</v>
      </c>
      <c r="O5" s="19">
        <v>0.6</v>
      </c>
      <c r="P5" s="6">
        <v>0</v>
      </c>
      <c r="Q5" s="19">
        <v>8.0987239951462342E-2</v>
      </c>
      <c r="R5" s="5">
        <v>1027.5688216117912</v>
      </c>
      <c r="S5" s="7">
        <v>0</v>
      </c>
      <c r="T5" s="12">
        <v>58953.228069999997</v>
      </c>
      <c r="U5" s="6">
        <v>0.2580001354</v>
      </c>
      <c r="V5" s="5">
        <v>3</v>
      </c>
      <c r="W5" s="19">
        <v>1</v>
      </c>
      <c r="X5" s="6">
        <v>8.1526048738706649</v>
      </c>
      <c r="Y5" s="19">
        <v>0.17640692724356444</v>
      </c>
      <c r="Z5" s="5">
        <v>1611.5754447314152</v>
      </c>
      <c r="AA5" s="7">
        <v>0</v>
      </c>
    </row>
    <row r="6" spans="2:27" x14ac:dyDescent="0.2">
      <c r="B6" s="4">
        <v>3</v>
      </c>
      <c r="C6" s="4">
        <v>460</v>
      </c>
      <c r="D6" s="12">
        <v>58657.718439999997</v>
      </c>
      <c r="E6" s="6">
        <v>0.22699999809999999</v>
      </c>
      <c r="F6" s="5">
        <v>3</v>
      </c>
      <c r="G6" s="19">
        <v>1</v>
      </c>
      <c r="H6" s="6">
        <v>24.765217150894109</v>
      </c>
      <c r="I6" s="19">
        <v>0.21147615025761327</v>
      </c>
      <c r="J6" s="5">
        <v>1661.1871426106718</v>
      </c>
      <c r="K6" s="7">
        <v>0</v>
      </c>
      <c r="L6" s="12">
        <v>74900.353579999995</v>
      </c>
      <c r="M6" s="6">
        <v>0.31099987029999998</v>
      </c>
      <c r="N6" s="5">
        <v>2</v>
      </c>
      <c r="O6" s="19">
        <v>0.55000000000000004</v>
      </c>
      <c r="P6" s="6">
        <v>0</v>
      </c>
      <c r="Q6" s="19">
        <v>0.10581269683211431</v>
      </c>
      <c r="R6" s="5">
        <v>1073.6623899360193</v>
      </c>
      <c r="S6" s="7">
        <v>0</v>
      </c>
      <c r="T6" s="12">
        <v>58657.718439999997</v>
      </c>
      <c r="U6" s="6">
        <v>0.24200010299999999</v>
      </c>
      <c r="V6" s="5">
        <v>3</v>
      </c>
      <c r="W6" s="19">
        <v>1</v>
      </c>
      <c r="X6" s="6">
        <v>24.765217150894109</v>
      </c>
      <c r="Y6" s="19">
        <v>0.21147615025761327</v>
      </c>
      <c r="Z6" s="5">
        <v>1661.1871426106718</v>
      </c>
      <c r="AA6" s="7">
        <v>0</v>
      </c>
    </row>
    <row r="7" spans="2:27" x14ac:dyDescent="0.2">
      <c r="B7" s="4">
        <v>4</v>
      </c>
      <c r="C7" s="4">
        <v>688</v>
      </c>
      <c r="D7" s="12">
        <v>57097.78486</v>
      </c>
      <c r="E7" s="6">
        <v>0.14800000190000001</v>
      </c>
      <c r="F7" s="5">
        <v>3</v>
      </c>
      <c r="G7" s="19">
        <v>0.95</v>
      </c>
      <c r="H7" s="6">
        <v>8.4505643299833455</v>
      </c>
      <c r="I7" s="19">
        <v>0.19102046487626057</v>
      </c>
      <c r="J7" s="5">
        <v>1434.1655213832048</v>
      </c>
      <c r="K7" s="7">
        <v>0</v>
      </c>
      <c r="L7" s="12">
        <v>77384.618340000001</v>
      </c>
      <c r="M7" s="6">
        <v>0.3210000992</v>
      </c>
      <c r="N7" s="5">
        <v>2</v>
      </c>
      <c r="O7" s="19">
        <v>0.5</v>
      </c>
      <c r="P7" s="6">
        <v>0</v>
      </c>
      <c r="Q7" s="19">
        <v>0.11982859613609217</v>
      </c>
      <c r="R7" s="5">
        <v>981.78437181471895</v>
      </c>
      <c r="S7" s="7">
        <v>0</v>
      </c>
      <c r="T7" s="12">
        <v>53758.754930000003</v>
      </c>
      <c r="U7" s="6">
        <v>0.16200017929999999</v>
      </c>
      <c r="V7" s="5">
        <v>3</v>
      </c>
      <c r="W7" s="19">
        <v>1</v>
      </c>
      <c r="X7" s="6">
        <v>8.0280361134814484</v>
      </c>
      <c r="Y7" s="19">
        <v>0.20784626714267604</v>
      </c>
      <c r="Z7" s="5">
        <v>1457.7989759325314</v>
      </c>
      <c r="AA7" s="7">
        <v>0</v>
      </c>
    </row>
    <row r="8" spans="2:27" x14ac:dyDescent="0.2">
      <c r="B8" s="4">
        <v>5</v>
      </c>
      <c r="C8" s="4">
        <v>754</v>
      </c>
      <c r="D8" s="12">
        <v>60865.455549999999</v>
      </c>
      <c r="E8" s="6">
        <v>0.23500013350000001</v>
      </c>
      <c r="F8" s="5">
        <v>3</v>
      </c>
      <c r="G8" s="19">
        <v>0.85</v>
      </c>
      <c r="H8" s="6">
        <v>0</v>
      </c>
      <c r="I8" s="19">
        <v>0.13836143474649007</v>
      </c>
      <c r="J8" s="5">
        <v>1114.4459005933013</v>
      </c>
      <c r="K8" s="7">
        <v>0</v>
      </c>
      <c r="L8" s="12">
        <v>77769.832710000002</v>
      </c>
      <c r="M8" s="6">
        <v>0.3129999638</v>
      </c>
      <c r="N8" s="5">
        <v>2</v>
      </c>
      <c r="O8" s="19">
        <v>0.5</v>
      </c>
      <c r="P8" s="6">
        <v>0</v>
      </c>
      <c r="Q8" s="19">
        <v>9.6292558942472531E-2</v>
      </c>
      <c r="R8" s="5">
        <v>892.78761623565038</v>
      </c>
      <c r="S8" s="7">
        <v>0</v>
      </c>
      <c r="T8" s="12">
        <v>52978.850079999997</v>
      </c>
      <c r="U8" s="6">
        <v>0.37899994850000002</v>
      </c>
      <c r="V8" s="5">
        <v>3</v>
      </c>
      <c r="W8" s="19">
        <v>1</v>
      </c>
      <c r="X8" s="6">
        <v>0</v>
      </c>
      <c r="Y8" s="19">
        <v>0.18887240294605698</v>
      </c>
      <c r="Z8" s="5">
        <v>1354.657842122321</v>
      </c>
      <c r="AA8" s="7">
        <v>0</v>
      </c>
    </row>
    <row r="9" spans="2:27" x14ac:dyDescent="0.2">
      <c r="B9" s="4">
        <v>6</v>
      </c>
      <c r="C9" s="4">
        <v>756</v>
      </c>
      <c r="D9" s="12">
        <v>45799.413849999997</v>
      </c>
      <c r="E9" s="6">
        <v>7.10000992E-2</v>
      </c>
      <c r="F9" s="5">
        <v>3</v>
      </c>
      <c r="G9" s="19">
        <v>1</v>
      </c>
      <c r="H9" s="6">
        <v>0</v>
      </c>
      <c r="I9" s="19">
        <v>0.1671301991454415</v>
      </c>
      <c r="J9" s="5">
        <v>1007.9465118778219</v>
      </c>
      <c r="K9" s="7">
        <v>0</v>
      </c>
      <c r="L9" s="12">
        <v>72121.094509999995</v>
      </c>
      <c r="M9" s="6">
        <v>0.32999992369999998</v>
      </c>
      <c r="N9" s="5">
        <v>3</v>
      </c>
      <c r="O9" s="19">
        <v>0.65</v>
      </c>
      <c r="P9" s="6">
        <v>0</v>
      </c>
      <c r="Q9" s="19">
        <v>8.9940070002122299E-2</v>
      </c>
      <c r="R9" s="5">
        <v>736.46909301470964</v>
      </c>
      <c r="S9" s="7">
        <v>0</v>
      </c>
      <c r="T9" s="12">
        <v>45799.413849999997</v>
      </c>
      <c r="U9" s="6">
        <v>0.1040000916</v>
      </c>
      <c r="V9" s="5">
        <v>3</v>
      </c>
      <c r="W9" s="19">
        <v>1</v>
      </c>
      <c r="X9" s="6">
        <v>0</v>
      </c>
      <c r="Y9" s="19">
        <v>0.1671301991454415</v>
      </c>
      <c r="Z9" s="5">
        <v>1007.9465118778219</v>
      </c>
      <c r="AA9" s="7">
        <v>0</v>
      </c>
    </row>
    <row r="10" spans="2:27" x14ac:dyDescent="0.2">
      <c r="B10" s="4">
        <v>7</v>
      </c>
      <c r="C10" s="4">
        <v>815</v>
      </c>
      <c r="D10" s="12">
        <v>51423.275079999999</v>
      </c>
      <c r="E10" s="6">
        <v>0.40299987790000003</v>
      </c>
      <c r="F10" s="5">
        <v>3</v>
      </c>
      <c r="G10" s="19">
        <v>1</v>
      </c>
      <c r="H10" s="6">
        <v>0</v>
      </c>
      <c r="I10" s="19">
        <v>0.29008637747952626</v>
      </c>
      <c r="J10" s="5">
        <v>1430.6972997087992</v>
      </c>
      <c r="K10" s="7">
        <v>0</v>
      </c>
      <c r="L10" s="12">
        <v>76514.618990000003</v>
      </c>
      <c r="M10" s="6">
        <v>0.71700000760000004</v>
      </c>
      <c r="N10" s="5">
        <v>3</v>
      </c>
      <c r="O10" s="19">
        <v>0.6</v>
      </c>
      <c r="P10" s="6">
        <v>0</v>
      </c>
      <c r="Q10" s="19">
        <v>0.1162093914390339</v>
      </c>
      <c r="R10" s="5">
        <v>843.00853828211541</v>
      </c>
      <c r="S10" s="7">
        <v>0</v>
      </c>
      <c r="T10" s="12">
        <v>51423.275079999999</v>
      </c>
      <c r="U10" s="6">
        <v>0.31799983980000002</v>
      </c>
      <c r="V10" s="5">
        <v>3</v>
      </c>
      <c r="W10" s="19">
        <v>1</v>
      </c>
      <c r="X10" s="6">
        <v>0</v>
      </c>
      <c r="Y10" s="19">
        <v>0.29008637747952626</v>
      </c>
      <c r="Z10" s="5">
        <v>1430.6972997087992</v>
      </c>
      <c r="AA10" s="7">
        <v>0</v>
      </c>
    </row>
    <row r="11" spans="2:27" x14ac:dyDescent="0.2">
      <c r="B11" s="4">
        <v>8</v>
      </c>
      <c r="C11" s="4">
        <v>837</v>
      </c>
      <c r="D11" s="12">
        <v>50496.11535</v>
      </c>
      <c r="E11" s="6">
        <v>0.22500014309999999</v>
      </c>
      <c r="F11" s="5">
        <v>3</v>
      </c>
      <c r="G11" s="19">
        <v>0.95</v>
      </c>
      <c r="H11" s="6">
        <v>0.34892101723922725</v>
      </c>
      <c r="I11" s="19">
        <v>0.27688233758577602</v>
      </c>
      <c r="J11" s="5">
        <v>1264.296365009553</v>
      </c>
      <c r="K11" s="7">
        <v>0</v>
      </c>
      <c r="L11" s="12">
        <v>75552.508149999994</v>
      </c>
      <c r="M11" s="6">
        <v>0.43299984930000002</v>
      </c>
      <c r="N11" s="5">
        <v>3</v>
      </c>
      <c r="O11" s="19">
        <v>0.6</v>
      </c>
      <c r="P11" s="6">
        <v>0</v>
      </c>
      <c r="Q11" s="19">
        <v>0.14297368005936148</v>
      </c>
      <c r="R11" s="5">
        <v>874.80854247658533</v>
      </c>
      <c r="S11" s="7">
        <v>0</v>
      </c>
      <c r="T11" s="12">
        <v>46968.522749999996</v>
      </c>
      <c r="U11" s="6">
        <v>0.2239999771</v>
      </c>
      <c r="V11" s="5">
        <v>3</v>
      </c>
      <c r="W11" s="19">
        <v>1</v>
      </c>
      <c r="X11" s="6">
        <v>0.33147496637726592</v>
      </c>
      <c r="Y11" s="19">
        <v>0.27893138756057573</v>
      </c>
      <c r="Z11" s="5">
        <v>1267.5867383272234</v>
      </c>
      <c r="AA11" s="7">
        <v>0</v>
      </c>
    </row>
    <row r="12" spans="2:27" x14ac:dyDescent="0.2">
      <c r="B12" s="4">
        <v>9</v>
      </c>
      <c r="C12" s="4">
        <v>882</v>
      </c>
      <c r="D12" s="12">
        <v>66953.420289999995</v>
      </c>
      <c r="E12" s="6">
        <v>0.2239999771</v>
      </c>
      <c r="F12" s="5">
        <v>3</v>
      </c>
      <c r="G12" s="19">
        <v>0.8</v>
      </c>
      <c r="H12" s="6">
        <v>0</v>
      </c>
      <c r="I12" s="19">
        <v>0.11448768691835376</v>
      </c>
      <c r="J12" s="5">
        <v>1139.4963885475706</v>
      </c>
      <c r="K12" s="7">
        <v>0</v>
      </c>
      <c r="L12" s="12">
        <v>84094.978839999996</v>
      </c>
      <c r="M12" s="6">
        <v>0.38299989699999998</v>
      </c>
      <c r="N12" s="5">
        <v>2</v>
      </c>
      <c r="O12" s="19">
        <v>0.4</v>
      </c>
      <c r="P12" s="6">
        <v>0</v>
      </c>
      <c r="Q12" s="19">
        <v>7.980744966237116E-2</v>
      </c>
      <c r="R12" s="5">
        <v>643.14478313701466</v>
      </c>
      <c r="S12" s="7">
        <v>0</v>
      </c>
      <c r="T12" s="12">
        <v>59446.18</v>
      </c>
      <c r="U12" s="6">
        <v>0.23499989509999999</v>
      </c>
      <c r="V12" s="5">
        <v>3</v>
      </c>
      <c r="W12" s="19">
        <v>0.95</v>
      </c>
      <c r="X12" s="6">
        <v>13.604442455504222</v>
      </c>
      <c r="Y12" s="19">
        <v>0.13852923360302641</v>
      </c>
      <c r="Z12" s="5">
        <v>1333.4566746826949</v>
      </c>
      <c r="AA12" s="7">
        <v>0</v>
      </c>
    </row>
    <row r="13" spans="2:27" x14ac:dyDescent="0.2">
      <c r="B13" s="4">
        <v>10</v>
      </c>
      <c r="C13" s="4">
        <v>899</v>
      </c>
      <c r="D13" s="12">
        <v>56435.280299999999</v>
      </c>
      <c r="E13" s="6">
        <v>0.143999815</v>
      </c>
      <c r="F13" s="5">
        <v>3</v>
      </c>
      <c r="G13" s="19">
        <v>0.95</v>
      </c>
      <c r="H13" s="6">
        <v>0</v>
      </c>
      <c r="I13" s="19">
        <v>0.14533143928674996</v>
      </c>
      <c r="J13" s="5">
        <v>1328.6891386353477</v>
      </c>
      <c r="K13" s="7">
        <v>0</v>
      </c>
      <c r="L13" s="12">
        <v>77618.794280000002</v>
      </c>
      <c r="M13" s="6">
        <v>0.42199993130000002</v>
      </c>
      <c r="N13" s="5">
        <v>3</v>
      </c>
      <c r="O13" s="19">
        <v>0.6</v>
      </c>
      <c r="P13" s="6">
        <v>0</v>
      </c>
      <c r="Q13" s="19">
        <v>7.316062686462127E-2</v>
      </c>
      <c r="R13" s="5">
        <v>782.97605547637988</v>
      </c>
      <c r="S13" s="7">
        <v>0</v>
      </c>
      <c r="T13" s="12">
        <v>53274.372470000002</v>
      </c>
      <c r="U13" s="6">
        <v>0.16999983790000001</v>
      </c>
      <c r="V13" s="5">
        <v>3</v>
      </c>
      <c r="W13" s="19">
        <v>1</v>
      </c>
      <c r="X13" s="6">
        <v>0</v>
      </c>
      <c r="Y13" s="19">
        <v>0.16383938183809629</v>
      </c>
      <c r="Z13" s="5">
        <v>1372.6580498652002</v>
      </c>
      <c r="AA13" s="7">
        <v>0</v>
      </c>
    </row>
    <row r="14" spans="2:27" x14ac:dyDescent="0.2">
      <c r="B14" s="26" t="s">
        <v>2</v>
      </c>
      <c r="C14" s="27"/>
      <c r="D14" s="10">
        <f>AVERAGE(D4:D13)</f>
        <v>56879.657349999994</v>
      </c>
      <c r="E14" s="11">
        <f>AVERAGE(E4:E13)</f>
        <v>0.21370000839999997</v>
      </c>
      <c r="F14" s="10">
        <f>AVERAGE(F4:F13)</f>
        <v>2.9</v>
      </c>
      <c r="G14" s="20">
        <f>AVERAGE(G4:G13)</f>
        <v>0.91999999999999993</v>
      </c>
      <c r="H14" s="11">
        <f>AVERAGE(H4:H13)</f>
        <v>3.3564702498116681</v>
      </c>
      <c r="I14" s="20">
        <f t="shared" ref="I14:K14" si="0">AVERAGE(I4:I13)</f>
        <v>0.19481917498989693</v>
      </c>
      <c r="J14" s="10">
        <f t="shared" si="0"/>
        <v>1314.0506923783842</v>
      </c>
      <c r="K14" s="11">
        <f t="shared" si="0"/>
        <v>0</v>
      </c>
      <c r="L14" s="14">
        <f>AVERAGE(L4:L13)</f>
        <v>77284.087918999998</v>
      </c>
      <c r="M14" s="15">
        <f>AVERAGE(M4:M13)</f>
        <v>0.36249995230999998</v>
      </c>
      <c r="N14" s="14">
        <f>AVERAGE(N4:N13)</f>
        <v>2.5</v>
      </c>
      <c r="O14" s="22">
        <f>AVERAGE(O4:O13)</f>
        <v>0.55000000000000004</v>
      </c>
      <c r="P14" s="15">
        <f>AVERAGE(P4:P13)</f>
        <v>0</v>
      </c>
      <c r="Q14" s="22">
        <f t="shared" ref="Q14:S14" si="1">AVERAGE(Q4:Q13)</f>
        <v>0.10404756327814062</v>
      </c>
      <c r="R14" s="14">
        <f t="shared" si="1"/>
        <v>871.99469307894435</v>
      </c>
      <c r="S14" s="15">
        <f t="shared" si="1"/>
        <v>0</v>
      </c>
      <c r="T14" s="16">
        <f>AVERAGE(T4:T13)</f>
        <v>53288.875691000001</v>
      </c>
      <c r="U14" s="17">
        <f>AVERAGE(U4:U13)</f>
        <v>0.21829998493999997</v>
      </c>
      <c r="V14" s="16">
        <f>AVERAGE(V4:V13)</f>
        <v>3</v>
      </c>
      <c r="W14" s="21">
        <f>AVERAGE(W4:W13)</f>
        <v>0.99499999999999988</v>
      </c>
      <c r="X14" s="17">
        <f>AVERAGE(X4:X13)</f>
        <v>5.4881775560127704</v>
      </c>
      <c r="Y14" s="21">
        <f t="shared" ref="Y14:AA14" si="2">AVERAGE(Y4:Y13)</f>
        <v>0.20445367518256669</v>
      </c>
      <c r="Z14" s="16">
        <f t="shared" si="2"/>
        <v>1375.7347250811299</v>
      </c>
      <c r="AA14" s="17">
        <f t="shared" si="2"/>
        <v>0</v>
      </c>
    </row>
    <row r="15" spans="2:27" x14ac:dyDescent="0.2">
      <c r="D15" s="2"/>
      <c r="E15" s="3"/>
      <c r="F15" s="3"/>
      <c r="G15" s="3"/>
      <c r="H15" s="3"/>
      <c r="I15" s="3"/>
      <c r="J15" s="3"/>
      <c r="L15" s="18">
        <f>(L14-D14)/D14</f>
        <v>0.35872984331541524</v>
      </c>
      <c r="M15" s="18">
        <f t="shared" ref="M15:R15" si="3">(M14-E14)/E14</f>
        <v>0.69630293898481677</v>
      </c>
      <c r="N15" s="18">
        <f t="shared" si="3"/>
        <v>-0.13793103448275859</v>
      </c>
      <c r="O15" s="18">
        <f t="shared" si="3"/>
        <v>-0.40217391304347816</v>
      </c>
      <c r="P15" s="18">
        <f t="shared" si="3"/>
        <v>-1</v>
      </c>
      <c r="Q15" s="18">
        <f t="shared" si="3"/>
        <v>-0.46592750285727064</v>
      </c>
      <c r="R15" s="18">
        <f t="shared" si="3"/>
        <v>-0.33640711265052831</v>
      </c>
      <c r="T15" s="18">
        <f>(T14-D14)/D14</f>
        <v>-6.312945306447057E-2</v>
      </c>
      <c r="U15" s="18">
        <f t="shared" ref="U15:Z15" si="4">(U14-E14)/E14</f>
        <v>2.1525392415473556E-2</v>
      </c>
      <c r="V15" s="18">
        <f t="shared" si="4"/>
        <v>3.4482758620689689E-2</v>
      </c>
      <c r="W15" s="18">
        <f t="shared" si="4"/>
        <v>8.1521739130434742E-2</v>
      </c>
      <c r="X15" s="18">
        <f t="shared" si="4"/>
        <v>0.63510388817559538</v>
      </c>
      <c r="Y15" s="18">
        <f t="shared" si="4"/>
        <v>4.9453551957446655E-2</v>
      </c>
      <c r="Z15" s="18">
        <f t="shared" si="4"/>
        <v>4.6941897341190003E-2</v>
      </c>
    </row>
    <row r="16" spans="2:27" x14ac:dyDescent="0.2">
      <c r="D16" s="2"/>
    </row>
    <row r="17" spans="4:6" x14ac:dyDescent="0.2">
      <c r="D17" s="2"/>
    </row>
    <row r="18" spans="4:6" ht="22" x14ac:dyDescent="0.2">
      <c r="E18" s="24" t="s">
        <v>13</v>
      </c>
      <c r="F18" s="24" t="s">
        <v>12</v>
      </c>
    </row>
    <row r="19" spans="4:6" x14ac:dyDescent="0.2">
      <c r="D19" t="s">
        <v>15</v>
      </c>
      <c r="E19" s="18">
        <f>(L14-D14)/D14</f>
        <v>0.35872984331541524</v>
      </c>
      <c r="F19" s="18">
        <f>(T14-D14)/D14</f>
        <v>-6.312945306447057E-2</v>
      </c>
    </row>
    <row r="20" spans="4:6" x14ac:dyDescent="0.2">
      <c r="D20" t="s">
        <v>16</v>
      </c>
      <c r="E20" s="18">
        <f>(N14-F14)/F14</f>
        <v>-0.13793103448275859</v>
      </c>
      <c r="F20" s="18">
        <f>(V14-F14)/F14</f>
        <v>3.4482758620689689E-2</v>
      </c>
    </row>
    <row r="21" spans="4:6" x14ac:dyDescent="0.2">
      <c r="D21" t="s">
        <v>17</v>
      </c>
      <c r="E21" s="18">
        <f>(O14-G14)/G14</f>
        <v>-0.40217391304347816</v>
      </c>
      <c r="F21" s="18">
        <f>(W14-G14)/G14</f>
        <v>8.1521739130434742E-2</v>
      </c>
    </row>
    <row r="22" spans="4:6" x14ac:dyDescent="0.2">
      <c r="D22" t="s">
        <v>18</v>
      </c>
      <c r="E22" s="18">
        <f>(Q14-I14)/I14</f>
        <v>-0.46592750285727064</v>
      </c>
      <c r="F22" s="18">
        <f>(Y14-I14)/I14</f>
        <v>4.9453551957446655E-2</v>
      </c>
    </row>
    <row r="23" spans="4:6" x14ac:dyDescent="0.2">
      <c r="D23" t="s">
        <v>19</v>
      </c>
      <c r="E23" s="18">
        <f>(P14-H14)/H14</f>
        <v>-1</v>
      </c>
      <c r="F23" s="18">
        <f>(X14-H14)/H14</f>
        <v>0.63510388817559538</v>
      </c>
    </row>
    <row r="24" spans="4:6" x14ac:dyDescent="0.2">
      <c r="D24" t="s">
        <v>20</v>
      </c>
      <c r="E24" s="18">
        <f>(R14-J14)/J14</f>
        <v>-0.33640711265052831</v>
      </c>
      <c r="F24" s="18">
        <f>(Z14-J14)/J14</f>
        <v>4.6941897341190003E-2</v>
      </c>
    </row>
  </sheetData>
  <mergeCells count="1">
    <mergeCell ref="B14:C14"/>
  </mergeCells>
  <conditionalFormatting sqref="C1:C3 C14 C21:C1048576">
    <cfRule type="duplicateValues" dxfId="5" priority="7"/>
    <cfRule type="duplicateValues" dxfId="4" priority="8"/>
  </conditionalFormatting>
  <conditionalFormatting sqref="C4:C13">
    <cfRule type="duplicateValues" dxfId="3" priority="3"/>
    <cfRule type="duplicateValues" dxfId="2" priority="4"/>
  </conditionalFormatting>
  <conditionalFormatting sqref="C15:C20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Base</vt:lpstr>
      <vt:lpstr>Due Date</vt:lpstr>
      <vt:lpstr>Rejection</vt:lpstr>
      <vt:lpstr>Utilization</vt:lpstr>
      <vt:lpstr>Tardiness</vt:lpstr>
      <vt:lpstr>Flow cost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2026-10-22T03:49:32Z</dcterms:modified>
</cp:coreProperties>
</file>