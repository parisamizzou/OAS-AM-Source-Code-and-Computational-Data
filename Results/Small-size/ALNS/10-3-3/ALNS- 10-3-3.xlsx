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10-3-3/"/>
    </mc:Choice>
  </mc:AlternateContent>
  <xr:revisionPtr revIDLastSave="0" documentId="13_ncr:1_{1408C18C-B796-E242-AC11-06B9AD239501}" xr6:coauthVersionLast="47" xr6:coauthVersionMax="47" xr10:uidLastSave="{00000000-0000-0000-0000-000000000000}"/>
  <bookViews>
    <workbookView xWindow="0" yWindow="760" windowWidth="34560" windowHeight="20580" activeTab="10" xr2:uid="{41E620E7-D6DF-9342-B452-EA60AB3B07C5}"/>
  </bookViews>
  <sheets>
    <sheet name="Summary" sheetId="68" r:id="rId1"/>
    <sheet name="results42" sheetId="58" r:id="rId2"/>
    <sheet name="results43" sheetId="69" r:id="rId3"/>
    <sheet name="results456" sheetId="70" r:id="rId4"/>
    <sheet name="results464" sheetId="71" r:id="rId5"/>
    <sheet name="results619" sheetId="76" r:id="rId6"/>
    <sheet name="results684" sheetId="77" r:id="rId7"/>
    <sheet name="results690" sheetId="72" r:id="rId8"/>
    <sheet name="results702" sheetId="73" r:id="rId9"/>
    <sheet name="results810" sheetId="74" r:id="rId10"/>
    <sheet name="results959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75" l="1"/>
  <c r="R14" i="75"/>
  <c r="Q14" i="75"/>
  <c r="P14" i="75"/>
  <c r="N14" i="75"/>
  <c r="L14" i="75"/>
  <c r="O14" i="75" s="1"/>
  <c r="D14" i="75"/>
  <c r="K14" i="75" s="1"/>
  <c r="S14" i="74"/>
  <c r="R14" i="74"/>
  <c r="Q14" i="74"/>
  <c r="P14" i="74"/>
  <c r="N14" i="74"/>
  <c r="M14" i="74"/>
  <c r="L14" i="74"/>
  <c r="O14" i="74" s="1"/>
  <c r="D14" i="74"/>
  <c r="J14" i="74" s="1"/>
  <c r="S14" i="73"/>
  <c r="R14" i="73"/>
  <c r="Q14" i="73"/>
  <c r="P14" i="73"/>
  <c r="L14" i="73"/>
  <c r="O14" i="73" s="1"/>
  <c r="D14" i="73"/>
  <c r="K14" i="73" s="1"/>
  <c r="S14" i="72"/>
  <c r="R14" i="72"/>
  <c r="Q14" i="72"/>
  <c r="P14" i="72"/>
  <c r="O14" i="72"/>
  <c r="N14" i="72"/>
  <c r="L14" i="72"/>
  <c r="M14" i="72" s="1"/>
  <c r="D14" i="72"/>
  <c r="K14" i="72" s="1"/>
  <c r="S14" i="77"/>
  <c r="R14" i="77"/>
  <c r="Q14" i="77"/>
  <c r="P14" i="77"/>
  <c r="O14" i="77"/>
  <c r="N14" i="77"/>
  <c r="L14" i="77"/>
  <c r="M14" i="77" s="1"/>
  <c r="D14" i="77"/>
  <c r="G14" i="77" s="1"/>
  <c r="S14" i="76"/>
  <c r="R14" i="76"/>
  <c r="Q14" i="76"/>
  <c r="P14" i="76"/>
  <c r="L14" i="76"/>
  <c r="O14" i="76" s="1"/>
  <c r="D14" i="76"/>
  <c r="H14" i="76" s="1"/>
  <c r="S14" i="71"/>
  <c r="R14" i="71"/>
  <c r="Q14" i="71"/>
  <c r="P14" i="71"/>
  <c r="O14" i="71"/>
  <c r="L14" i="71"/>
  <c r="N14" i="71" s="1"/>
  <c r="F14" i="71"/>
  <c r="E14" i="71"/>
  <c r="D14" i="71"/>
  <c r="J14" i="71" s="1"/>
  <c r="S14" i="70"/>
  <c r="R14" i="70"/>
  <c r="Q14" i="70"/>
  <c r="P14" i="70"/>
  <c r="L14" i="70"/>
  <c r="O14" i="70" s="1"/>
  <c r="D14" i="70"/>
  <c r="I14" i="70" s="1"/>
  <c r="S14" i="69"/>
  <c r="R14" i="69"/>
  <c r="Q14" i="69"/>
  <c r="P14" i="69"/>
  <c r="L14" i="69"/>
  <c r="O14" i="69" s="1"/>
  <c r="D14" i="69"/>
  <c r="I14" i="69" s="1"/>
  <c r="D14" i="58"/>
  <c r="E14" i="58" s="1"/>
  <c r="F14" i="75" l="1"/>
  <c r="E14" i="75"/>
  <c r="G14" i="75"/>
  <c r="H14" i="75"/>
  <c r="I14" i="75"/>
  <c r="J14" i="75"/>
  <c r="M14" i="75"/>
  <c r="E14" i="74"/>
  <c r="F14" i="74"/>
  <c r="G14" i="74"/>
  <c r="H14" i="74"/>
  <c r="K14" i="74"/>
  <c r="I14" i="74"/>
  <c r="F14" i="73"/>
  <c r="M14" i="73"/>
  <c r="G14" i="73"/>
  <c r="I14" i="73"/>
  <c r="N14" i="73"/>
  <c r="E14" i="73"/>
  <c r="H14" i="73"/>
  <c r="J14" i="73"/>
  <c r="F14" i="72"/>
  <c r="G14" i="72"/>
  <c r="H14" i="72"/>
  <c r="I14" i="72"/>
  <c r="E14" i="72"/>
  <c r="J14" i="72"/>
  <c r="E14" i="77"/>
  <c r="F14" i="77"/>
  <c r="H14" i="77"/>
  <c r="I14" i="77"/>
  <c r="J14" i="77"/>
  <c r="K14" i="77"/>
  <c r="F14" i="76"/>
  <c r="G14" i="76"/>
  <c r="J14" i="76"/>
  <c r="K14" i="76"/>
  <c r="M14" i="76"/>
  <c r="I14" i="76"/>
  <c r="N14" i="76"/>
  <c r="E14" i="76"/>
  <c r="G14" i="71"/>
  <c r="H14" i="71"/>
  <c r="K14" i="71"/>
  <c r="I14" i="71"/>
  <c r="M14" i="71"/>
  <c r="J14" i="70"/>
  <c r="M14" i="70"/>
  <c r="E14" i="70"/>
  <c r="F14" i="70"/>
  <c r="K14" i="70"/>
  <c r="N14" i="70"/>
  <c r="G14" i="70"/>
  <c r="H14" i="70"/>
  <c r="E14" i="69"/>
  <c r="F14" i="69"/>
  <c r="H14" i="69"/>
  <c r="G14" i="69"/>
  <c r="K14" i="69"/>
  <c r="M14" i="69"/>
  <c r="J14" i="69"/>
  <c r="N14" i="69"/>
  <c r="F14" i="58"/>
  <c r="I14" i="58"/>
  <c r="G14" i="58"/>
  <c r="H14" i="58"/>
  <c r="J14" i="58"/>
  <c r="K14" i="58"/>
  <c r="G7" i="68" a="1"/>
  <c r="F7" i="68" a="1"/>
  <c r="E4" i="68" a="1"/>
  <c r="D8" i="68" a="1"/>
  <c r="C11" i="68" a="1"/>
  <c r="I6" i="68" a="1"/>
  <c r="F9" i="68" a="1"/>
  <c r="G8" i="68" a="1"/>
  <c r="I11" i="68" a="1"/>
  <c r="G10" i="68" a="1"/>
  <c r="E9" i="68" a="1"/>
  <c r="I9" i="68" a="1"/>
  <c r="C10" i="68" a="1"/>
  <c r="E7" i="68" a="1"/>
  <c r="I7" i="68" a="1"/>
  <c r="E5" i="68" a="1"/>
  <c r="G5" i="68" a="1"/>
  <c r="H12" i="68" a="1"/>
  <c r="F8" i="68" a="1"/>
  <c r="F11" i="68" a="1"/>
  <c r="D10" i="68" a="1"/>
  <c r="G9" i="68" a="1"/>
  <c r="G12" i="68" a="1"/>
  <c r="D9" i="68" a="1"/>
  <c r="C5" i="68" a="1"/>
  <c r="H6" i="68" a="1"/>
  <c r="H9" i="68" a="1"/>
  <c r="E6" i="68" a="1"/>
  <c r="I4" i="68" a="1"/>
  <c r="I10" i="68" a="1"/>
  <c r="D11" i="68" a="1"/>
  <c r="C6" i="68" a="1"/>
  <c r="H5" i="68" a="1"/>
  <c r="D4" i="68" a="1"/>
  <c r="G4" i="68" a="1"/>
  <c r="H10" i="68" a="1"/>
  <c r="C9" i="68" a="1"/>
  <c r="G11" i="68" a="1"/>
  <c r="F12" i="68" a="1"/>
  <c r="C12" i="68" a="1"/>
  <c r="H8" i="68" a="1"/>
  <c r="C7" i="68" a="1"/>
  <c r="D6" i="68" a="1"/>
  <c r="I5" i="68" a="1"/>
  <c r="H4" i="68" a="1"/>
  <c r="D7" i="68" a="1"/>
  <c r="D12" i="68" a="1"/>
  <c r="E8" i="68" a="1"/>
  <c r="H7" i="68" a="1"/>
  <c r="F6" i="68" a="1"/>
  <c r="H11" i="68" a="1"/>
  <c r="F5" i="68" a="1"/>
  <c r="C8" i="68" a="1"/>
  <c r="E11" i="68" a="1"/>
  <c r="E12" i="68" a="1"/>
  <c r="F4" i="68" a="1"/>
  <c r="F10" i="68" a="1"/>
  <c r="E10" i="68" a="1"/>
  <c r="C4" i="68" a="1"/>
  <c r="I12" i="68" a="1"/>
  <c r="G6" i="68" a="1"/>
  <c r="D5" i="68" a="1"/>
  <c r="I8" i="68" a="1"/>
  <c r="E9" i="68" l="1"/>
  <c r="H6" i="68"/>
  <c r="G4" i="68"/>
  <c r="I12" i="68"/>
  <c r="I9" i="68"/>
  <c r="F5" i="68"/>
  <c r="E5" i="68"/>
  <c r="D12" i="68"/>
  <c r="I4" i="68"/>
  <c r="C7" i="68"/>
  <c r="G6" i="68"/>
  <c r="E12" i="68"/>
  <c r="D11" i="68"/>
  <c r="H4" i="68"/>
  <c r="C12" i="68"/>
  <c r="G7" i="68"/>
  <c r="I11" i="68"/>
  <c r="D10" i="68"/>
  <c r="C8" i="68"/>
  <c r="H5" i="68"/>
  <c r="E6" i="68"/>
  <c r="D8" i="68"/>
  <c r="D6" i="68"/>
  <c r="C11" i="68"/>
  <c r="G8" i="68"/>
  <c r="H9" i="68"/>
  <c r="D4" i="68"/>
  <c r="C5" i="68"/>
  <c r="D7" i="68"/>
  <c r="G11" i="68"/>
  <c r="E8" i="68"/>
  <c r="H8" i="68"/>
  <c r="H12" i="68"/>
  <c r="H10" i="68"/>
  <c r="G5" i="68"/>
  <c r="C6" i="68"/>
  <c r="I6" i="68"/>
  <c r="E4" i="68"/>
  <c r="F10" i="68"/>
  <c r="C4" i="68"/>
  <c r="F9" i="68"/>
  <c r="I10" i="68"/>
  <c r="G9" i="68"/>
  <c r="D9" i="68"/>
  <c r="D5" i="68"/>
  <c r="F7" i="68"/>
  <c r="C10" i="68"/>
  <c r="F12" i="68"/>
  <c r="F6" i="68"/>
  <c r="I5" i="68"/>
  <c r="H7" i="68"/>
  <c r="H11" i="68"/>
  <c r="G10" i="68"/>
  <c r="E7" i="68"/>
  <c r="I7" i="68"/>
  <c r="G12" i="68"/>
  <c r="E11" i="68"/>
  <c r="E10" i="68"/>
  <c r="I8" i="68"/>
  <c r="F11" i="68"/>
  <c r="F4" i="68"/>
  <c r="C9" i="68"/>
  <c r="F8" i="68"/>
  <c r="T14" i="75" l="1"/>
  <c r="U14" i="75" s="1"/>
  <c r="T14" i="74"/>
  <c r="AA14" i="74" s="1"/>
  <c r="T14" i="73"/>
  <c r="T14" i="72"/>
  <c r="T14" i="77"/>
  <c r="T14" i="76"/>
  <c r="T14" i="71"/>
  <c r="W14" i="74"/>
  <c r="AA14" i="73"/>
  <c r="Z14" i="73"/>
  <c r="W14" i="73"/>
  <c r="V14" i="73"/>
  <c r="Y14" i="73"/>
  <c r="U14" i="73"/>
  <c r="X14" i="73"/>
  <c r="AA14" i="72"/>
  <c r="Z14" i="72"/>
  <c r="Y14" i="72"/>
  <c r="W14" i="72"/>
  <c r="V14" i="72"/>
  <c r="U14" i="72"/>
  <c r="X14" i="72"/>
  <c r="AA14" i="77"/>
  <c r="Z14" i="77"/>
  <c r="Y14" i="77"/>
  <c r="V14" i="77"/>
  <c r="U14" i="77"/>
  <c r="X14" i="77"/>
  <c r="W14" i="77"/>
  <c r="AA14" i="76"/>
  <c r="Z14" i="76"/>
  <c r="W14" i="76"/>
  <c r="V14" i="76"/>
  <c r="Y14" i="76"/>
  <c r="U14" i="76"/>
  <c r="X14" i="76"/>
  <c r="AA14" i="71"/>
  <c r="Z14" i="71"/>
  <c r="Y14" i="71"/>
  <c r="X14" i="71"/>
  <c r="U14" i="71"/>
  <c r="W14" i="71"/>
  <c r="V14" i="71"/>
  <c r="T14" i="70"/>
  <c r="AA14" i="70" s="1"/>
  <c r="T14" i="69"/>
  <c r="AA14" i="69" s="1"/>
  <c r="T14" i="58"/>
  <c r="L14" i="58"/>
  <c r="AA14" i="58"/>
  <c r="W14" i="58"/>
  <c r="Z14" i="58"/>
  <c r="Y14" i="58"/>
  <c r="X14" i="58"/>
  <c r="V14" i="58"/>
  <c r="U14" i="58"/>
  <c r="O14" i="58"/>
  <c r="N14" i="58"/>
  <c r="M14" i="58"/>
  <c r="Q14" i="58"/>
  <c r="P14" i="58"/>
  <c r="S14" i="58"/>
  <c r="R14" i="58"/>
  <c r="Q5" i="68" a="1"/>
  <c r="T5" i="68" a="1"/>
  <c r="K7" i="68" a="1"/>
  <c r="N8" i="68" a="1"/>
  <c r="T12" i="68" a="1"/>
  <c r="P9" i="68" a="1"/>
  <c r="L10" i="68" a="1"/>
  <c r="C3" i="68" a="1"/>
  <c r="N4" i="68" a="1"/>
  <c r="P12" i="68" a="1"/>
  <c r="M9" i="68" a="1"/>
  <c r="V8" i="68" a="1"/>
  <c r="L9" i="68" a="1"/>
  <c r="P7" i="68" a="1"/>
  <c r="T6" i="68" a="1"/>
  <c r="O4" i="68" a="1"/>
  <c r="K11" i="68" a="1"/>
  <c r="U6" i="68" a="1"/>
  <c r="Q10" i="68" a="1"/>
  <c r="L5" i="68" a="1"/>
  <c r="X6" i="68" a="1"/>
  <c r="P11" i="68" a="1"/>
  <c r="Q7" i="68" a="1"/>
  <c r="L4" i="68" a="1"/>
  <c r="W7" i="68" a="1"/>
  <c r="Q4" i="68" a="1"/>
  <c r="K10" i="68" a="1"/>
  <c r="O12" i="68" a="1"/>
  <c r="N10" i="68" a="1"/>
  <c r="S3" i="68" a="1"/>
  <c r="O8" i="68" a="1"/>
  <c r="O11" i="68" a="1"/>
  <c r="W5" i="68" a="1"/>
  <c r="M10" i="68" a="1"/>
  <c r="N6" i="68" a="1"/>
  <c r="W8" i="68" a="1"/>
  <c r="U7" i="68" a="1"/>
  <c r="Y6" i="68" a="1"/>
  <c r="N12" i="68" a="1"/>
  <c r="M5" i="68" a="1"/>
  <c r="U8" i="68" a="1"/>
  <c r="O7" i="68" a="1"/>
  <c r="S5" i="68" a="1"/>
  <c r="K6" i="68" a="1"/>
  <c r="X5" i="68" a="1"/>
  <c r="S7" i="68" a="1"/>
  <c r="W6" i="68" a="1"/>
  <c r="O9" i="68" a="1"/>
  <c r="U11" i="68" a="1"/>
  <c r="P6" i="68" a="1"/>
  <c r="S6" i="68" a="1"/>
  <c r="K3" i="68" a="1"/>
  <c r="K4" i="68" a="1"/>
  <c r="U5" i="68" a="1"/>
  <c r="K5" i="68" a="1"/>
  <c r="Y11" i="68" a="1"/>
  <c r="O6" i="68" a="1"/>
  <c r="O10" i="68" a="1"/>
  <c r="S10" i="68" a="1"/>
  <c r="L11" i="68" a="1"/>
  <c r="X11" i="68" a="1"/>
  <c r="V7" i="68" a="1"/>
  <c r="M7" i="68" a="1"/>
  <c r="K9" i="68" a="1"/>
  <c r="Q8" i="68" a="1"/>
  <c r="P4" i="68" a="1"/>
  <c r="L6" i="68" a="1"/>
  <c r="X7" i="68" a="1"/>
  <c r="M4" i="68" a="1"/>
  <c r="Y8" i="68" a="1"/>
  <c r="V11" i="68" a="1"/>
  <c r="X8" i="68" a="1"/>
  <c r="L12" i="68" a="1"/>
  <c r="P8" i="68" a="1"/>
  <c r="S4" i="68" a="1"/>
  <c r="T7" i="68" a="1"/>
  <c r="V5" i="68" a="1"/>
  <c r="N5" i="68" a="1"/>
  <c r="Q12" i="68" a="1"/>
  <c r="M8" i="68" a="1"/>
  <c r="M12" i="68" a="1"/>
  <c r="V9" i="68" a="1"/>
  <c r="P5" i="68" a="1"/>
  <c r="Q6" i="68" a="1"/>
  <c r="K8" i="68" a="1"/>
  <c r="W11" i="68" a="1"/>
  <c r="N11" i="68" a="1"/>
  <c r="L7" i="68" a="1"/>
  <c r="P10" i="68" a="1"/>
  <c r="M6" i="68" a="1"/>
  <c r="S8" i="68" a="1"/>
  <c r="Q9" i="68" a="1"/>
  <c r="Y5" i="68" a="1"/>
  <c r="T11" i="68" a="1"/>
  <c r="S9" i="68" a="1"/>
  <c r="M11" i="68" a="1"/>
  <c r="N9" i="68" a="1"/>
  <c r="Q11" i="68" a="1"/>
  <c r="N7" i="68" a="1"/>
  <c r="S11" i="68" a="1"/>
  <c r="L8" i="68" a="1"/>
  <c r="T8" i="68" a="1"/>
  <c r="O5" i="68" a="1"/>
  <c r="V6" i="68" a="1"/>
  <c r="Y7" i="68" a="1"/>
  <c r="K12" i="68" a="1"/>
  <c r="S12" i="68" a="1"/>
  <c r="Y14" i="75" l="1"/>
  <c r="Z14" i="75"/>
  <c r="X14" i="75"/>
  <c r="X2" i="75" s="1"/>
  <c r="V14" i="75"/>
  <c r="W14" i="75"/>
  <c r="AA14" i="75"/>
  <c r="V14" i="74"/>
  <c r="X14" i="74"/>
  <c r="U14" i="74"/>
  <c r="Y14" i="74"/>
  <c r="Z14" i="74"/>
  <c r="Z2" i="74" s="1"/>
  <c r="X14" i="70"/>
  <c r="U14" i="70"/>
  <c r="Y14" i="70"/>
  <c r="Z14" i="70"/>
  <c r="Z2" i="70" s="1"/>
  <c r="W14" i="70"/>
  <c r="V14" i="70"/>
  <c r="X14" i="69"/>
  <c r="U14" i="69"/>
  <c r="V14" i="69"/>
  <c r="Y14" i="69"/>
  <c r="W14" i="69"/>
  <c r="Z14" i="69"/>
  <c r="Z2" i="69" s="1"/>
  <c r="S3" i="68"/>
  <c r="K3" i="68"/>
  <c r="Y7" i="68"/>
  <c r="P6" i="68"/>
  <c r="L8" i="68"/>
  <c r="N7" i="68"/>
  <c r="N9" i="68"/>
  <c r="Q8" i="68"/>
  <c r="L5" i="68"/>
  <c r="N12" i="68"/>
  <c r="U7" i="68"/>
  <c r="N6" i="68"/>
  <c r="V8" i="68"/>
  <c r="V6" i="68"/>
  <c r="L7" i="68"/>
  <c r="O9" i="68"/>
  <c r="K8" i="68"/>
  <c r="P5" i="68"/>
  <c r="M12" i="68"/>
  <c r="T11" i="68"/>
  <c r="U6" i="68"/>
  <c r="S10" i="68"/>
  <c r="P7" i="68"/>
  <c r="M9" i="68"/>
  <c r="L10" i="68"/>
  <c r="O5" i="68"/>
  <c r="O12" i="68"/>
  <c r="W11" i="68"/>
  <c r="S7" i="68"/>
  <c r="L6" i="68"/>
  <c r="P11" i="68"/>
  <c r="M7" i="68"/>
  <c r="X11" i="68"/>
  <c r="O4" i="68"/>
  <c r="O6" i="68"/>
  <c r="P12" i="68"/>
  <c r="P9" i="68"/>
  <c r="N10" i="68"/>
  <c r="L12" i="68"/>
  <c r="V11" i="68"/>
  <c r="M4" i="68"/>
  <c r="K6" i="68"/>
  <c r="O7" i="68"/>
  <c r="Q12" i="68"/>
  <c r="Y6" i="68"/>
  <c r="V5" i="68"/>
  <c r="L9" i="68"/>
  <c r="M10" i="68"/>
  <c r="T12" i="68"/>
  <c r="K12" i="68"/>
  <c r="U11" i="68"/>
  <c r="Q4" i="68"/>
  <c r="Q11" i="68"/>
  <c r="Q7" i="68"/>
  <c r="S9" i="68"/>
  <c r="M5" i="68"/>
  <c r="K11" i="68"/>
  <c r="W8" i="68"/>
  <c r="Y11" i="68"/>
  <c r="N4" i="68"/>
  <c r="N8" i="68"/>
  <c r="P10" i="68"/>
  <c r="T8" i="68"/>
  <c r="S11" i="68"/>
  <c r="L4" i="68"/>
  <c r="M11" i="68"/>
  <c r="X6" i="68"/>
  <c r="Y5" i="68"/>
  <c r="Q9" i="68"/>
  <c r="O10" i="68"/>
  <c r="K5" i="68"/>
  <c r="W5" i="68"/>
  <c r="K7" i="68"/>
  <c r="S6" i="68"/>
  <c r="N11" i="68"/>
  <c r="W6" i="68"/>
  <c r="X5" i="68"/>
  <c r="V9" i="68"/>
  <c r="K9" i="68"/>
  <c r="Q10" i="68"/>
  <c r="L11" i="68"/>
  <c r="T6" i="68"/>
  <c r="U5" i="68"/>
  <c r="O11" i="68"/>
  <c r="T5" i="68"/>
  <c r="P8" i="68"/>
  <c r="K10" i="68"/>
  <c r="Y8" i="68"/>
  <c r="X7" i="68"/>
  <c r="P4" i="68"/>
  <c r="M8" i="68"/>
  <c r="N5" i="68"/>
  <c r="S8" i="68"/>
  <c r="T7" i="68"/>
  <c r="K4" i="68"/>
  <c r="O8" i="68"/>
  <c r="Q5" i="68"/>
  <c r="S12" i="68"/>
  <c r="X8" i="68"/>
  <c r="W7" i="68"/>
  <c r="Q6" i="68"/>
  <c r="S5" i="68"/>
  <c r="U8" i="68"/>
  <c r="V7" i="68"/>
  <c r="M6" i="68"/>
  <c r="S4" i="68"/>
  <c r="Z2" i="73"/>
  <c r="H2" i="77"/>
  <c r="R2" i="71"/>
  <c r="P2" i="74"/>
  <c r="J2" i="71"/>
  <c r="H2" i="76"/>
  <c r="H2" i="73"/>
  <c r="P2" i="76"/>
  <c r="P2" i="75"/>
  <c r="X2" i="72"/>
  <c r="H2" i="72"/>
  <c r="P2" i="69"/>
  <c r="P2" i="77"/>
  <c r="H2" i="75"/>
  <c r="H2" i="74"/>
  <c r="J2" i="77"/>
  <c r="P2" i="73"/>
  <c r="R2" i="75"/>
  <c r="Z2" i="77"/>
  <c r="X2" i="74"/>
  <c r="J2" i="75"/>
  <c r="R2" i="69"/>
  <c r="R2" i="72"/>
  <c r="X2" i="70"/>
  <c r="R2" i="73"/>
  <c r="J2" i="72"/>
  <c r="Z2" i="75"/>
  <c r="X2" i="71"/>
  <c r="Z2" i="72"/>
  <c r="H2" i="70"/>
  <c r="Z2" i="76"/>
  <c r="R2" i="74"/>
  <c r="P2" i="70"/>
  <c r="J2" i="76"/>
  <c r="X2" i="76"/>
  <c r="J2" i="73"/>
  <c r="X2" i="77"/>
  <c r="J2" i="74"/>
  <c r="R2" i="70"/>
  <c r="P2" i="72"/>
  <c r="H2" i="71"/>
  <c r="J2" i="70"/>
  <c r="Z2" i="71"/>
  <c r="H2" i="69"/>
  <c r="X2" i="69"/>
  <c r="J2" i="69"/>
  <c r="P2" i="71"/>
  <c r="R2" i="76"/>
  <c r="X2" i="73"/>
  <c r="R2" i="77"/>
  <c r="C3" i="68"/>
  <c r="C17" i="68" s="1"/>
  <c r="X12" i="68" a="1"/>
  <c r="X10" i="68" a="1"/>
  <c r="N3" i="68" a="1"/>
  <c r="Y3" i="68" a="1"/>
  <c r="Y10" i="68" a="1"/>
  <c r="L3" i="68" a="1"/>
  <c r="O3" i="68" a="1"/>
  <c r="G3" i="68" a="1"/>
  <c r="F3" i="68" a="1"/>
  <c r="P3" i="68" a="1"/>
  <c r="Q3" i="68" a="1"/>
  <c r="V4" i="68" a="1"/>
  <c r="E3" i="68" a="1"/>
  <c r="U12" i="68" a="1"/>
  <c r="X3" i="68" a="1"/>
  <c r="W9" i="68" a="1"/>
  <c r="U3" i="68" a="1"/>
  <c r="I3" i="68" a="1"/>
  <c r="V12" i="68" a="1"/>
  <c r="V10" i="68" a="1"/>
  <c r="H3" i="68" a="1"/>
  <c r="T4" i="68" a="1"/>
  <c r="W3" i="68" a="1"/>
  <c r="Y9" i="68" a="1"/>
  <c r="D3" i="68" a="1"/>
  <c r="Y12" i="68" a="1"/>
  <c r="U10" i="68" a="1"/>
  <c r="X4" i="68" a="1"/>
  <c r="Y4" i="68" a="1"/>
  <c r="W10" i="68" a="1"/>
  <c r="M3" i="68" a="1"/>
  <c r="W12" i="68" a="1"/>
  <c r="W4" i="68" a="1"/>
  <c r="U9" i="68" a="1"/>
  <c r="U4" i="68" a="1"/>
  <c r="T9" i="68" a="1"/>
  <c r="X9" i="68" a="1"/>
  <c r="T3" i="68" a="1"/>
  <c r="T10" i="68" a="1"/>
  <c r="V3" i="68" a="1"/>
  <c r="W12" i="68" l="1"/>
  <c r="Y12" i="68"/>
  <c r="V12" i="68"/>
  <c r="U12" i="68"/>
  <c r="X12" i="68"/>
  <c r="U9" i="68"/>
  <c r="W9" i="68"/>
  <c r="X9" i="68"/>
  <c r="T9" i="68"/>
  <c r="Y9" i="68"/>
  <c r="T10" i="68"/>
  <c r="W10" i="68"/>
  <c r="Y10" i="68"/>
  <c r="X10" i="68"/>
  <c r="V10" i="68"/>
  <c r="U10" i="68"/>
  <c r="S13" i="68"/>
  <c r="Z13" i="68" s="1"/>
  <c r="W4" i="68"/>
  <c r="U4" i="68"/>
  <c r="T4" i="68"/>
  <c r="X4" i="68"/>
  <c r="Y4" i="68"/>
  <c r="V4" i="68"/>
  <c r="S17" i="68"/>
  <c r="K13" i="68"/>
  <c r="R13" i="68" s="1"/>
  <c r="K17" i="68"/>
  <c r="C13" i="68"/>
  <c r="U3" i="68"/>
  <c r="P3" i="68"/>
  <c r="P13" i="68" s="1"/>
  <c r="X3" i="68"/>
  <c r="D3" i="68"/>
  <c r="D13" i="68" s="1"/>
  <c r="H3" i="68"/>
  <c r="H13" i="68" s="1"/>
  <c r="V3" i="68"/>
  <c r="Y3" i="68"/>
  <c r="M3" i="68"/>
  <c r="M13" i="68" s="1"/>
  <c r="O3" i="68"/>
  <c r="O13" i="68" s="1"/>
  <c r="E3" i="68"/>
  <c r="E13" i="68" s="1"/>
  <c r="L3" i="68"/>
  <c r="L13" i="68" s="1"/>
  <c r="G3" i="68"/>
  <c r="G13" i="68" s="1"/>
  <c r="Q3" i="68"/>
  <c r="Q13" i="68" s="1"/>
  <c r="T3" i="68"/>
  <c r="I3" i="68"/>
  <c r="I13" i="68" s="1"/>
  <c r="W3" i="68"/>
  <c r="F3" i="68"/>
  <c r="F13" i="68" s="1"/>
  <c r="N3" i="68"/>
  <c r="N13" i="68" s="1"/>
  <c r="J2" i="58"/>
  <c r="R2" i="58"/>
  <c r="H2" i="58"/>
  <c r="Z2" i="58"/>
  <c r="P2" i="58"/>
  <c r="X2" i="58"/>
  <c r="S14" i="68" l="1"/>
  <c r="U13" i="68"/>
  <c r="Y13" i="68"/>
  <c r="T13" i="68"/>
  <c r="T14" i="68" s="1"/>
  <c r="W13" i="68"/>
  <c r="W14" i="68" s="1"/>
  <c r="X13" i="68"/>
  <c r="X14" i="68" s="1"/>
  <c r="V13" i="68"/>
  <c r="V14" i="68" s="1"/>
  <c r="J13" i="68"/>
  <c r="K14" i="68"/>
  <c r="Y14" i="68"/>
  <c r="L14" i="68"/>
  <c r="M14" i="68"/>
  <c r="O14" i="68"/>
  <c r="N14" i="68"/>
  <c r="P14" i="68"/>
  <c r="Q14" i="68"/>
  <c r="U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G4" i="23" a="1"/>
  <c r="E5" i="23" a="1"/>
  <c r="G10" i="23" a="1"/>
  <c r="G13" i="23" a="1"/>
  <c r="E4" i="23" a="1"/>
  <c r="E11" i="23" a="1"/>
  <c r="E6" i="23" a="1"/>
  <c r="F9" i="23" a="1"/>
  <c r="D5" i="23" a="1"/>
  <c r="E12" i="23" a="1"/>
  <c r="G11" i="23" a="1"/>
  <c r="F13" i="23" a="1"/>
  <c r="G6" i="23" a="1"/>
  <c r="E7" i="23" a="1"/>
  <c r="F6" i="23" a="1"/>
  <c r="E13" i="23" a="1"/>
  <c r="E8" i="23" a="1"/>
  <c r="D6" i="23" a="1"/>
  <c r="F11" i="23" a="1"/>
  <c r="E10" i="23" a="1"/>
  <c r="F7" i="23" a="1"/>
  <c r="G7" i="23" a="1"/>
  <c r="F8" i="23" a="1"/>
  <c r="G8" i="23" a="1"/>
  <c r="D9" i="23" a="1"/>
  <c r="D8" i="23" a="1"/>
  <c r="E9" i="23" a="1"/>
  <c r="D12" i="23" a="1"/>
  <c r="F10" i="23" a="1"/>
  <c r="F4" i="23" a="1"/>
  <c r="G12" i="23" a="1"/>
  <c r="G5" i="23" a="1"/>
  <c r="D11" i="23" a="1"/>
  <c r="D4" i="23" a="1"/>
  <c r="D7" i="23" a="1"/>
  <c r="F12" i="23" a="1"/>
  <c r="G9" i="23" a="1"/>
  <c r="F5" i="23" a="1"/>
  <c r="D13" i="23" a="1"/>
  <c r="D10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<sst xmlns="http://schemas.openxmlformats.org/spreadsheetml/2006/main" count="677" uniqueCount="22">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</sst>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A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42</v>
      </c>
      <c r="C3" s="5" cm="1">
        <f t="array" aca="1" ref="C3" ca="1">INDIRECT("'results" &amp; $B3 &amp; "'!D$14")</f>
        <v>35634.160398717257</v>
      </c>
      <c r="D3" s="33" cm="1">
        <f t="array" aca="1" ref="D3" ca="1">INDIRECT("'results" &amp; $B3 &amp; "'!E$14")</f>
        <v>5.6518875000620028E-2</v>
      </c>
      <c r="E3" s="5" cm="1">
        <f t="array" aca="1" ref="E3" ca="1">INDIRECT("'results" &amp; $B3 &amp; "'!F$14")</f>
        <v>1</v>
      </c>
      <c r="F3" s="5" cm="1">
        <f t="array" aca="1" ref="F3" ca="1">INDIRECT("'results" &amp; $B3 &amp; "'!G$14")</f>
        <v>60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26.45934733609905</v>
      </c>
      <c r="I3" s="5" cm="1">
        <f t="array" aca="1" ref="I3" ca="1">INDIRECT("'results" &amp; $B3 &amp; "'!J$14")</f>
        <v>1364.101339757359</v>
      </c>
      <c r="J3" s="5"/>
      <c r="K3" s="5" cm="1">
        <f t="array" aca="1" ref="K3" ca="1">INDIRECT("'results" &amp; $B3 &amp; "'!L$14")</f>
        <v>35634.160398717257</v>
      </c>
      <c r="L3" s="5" cm="1">
        <f t="array" aca="1" ref="L3" ca="1">INDIRECT("'results" &amp; $B3 &amp; "'!M$14")</f>
        <v>7.1437041999161011E-2</v>
      </c>
      <c r="M3" s="5" cm="1">
        <f t="array" aca="1" ref="M3" ca="1">INDIRECT("'results" &amp; $B3 &amp; "'!N$14")</f>
        <v>1</v>
      </c>
      <c r="N3" s="5" cm="1">
        <f t="array" aca="1" ref="N3" ca="1">INDIRECT("'results" &amp; $B3 &amp; "'!O$14")</f>
        <v>60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26.45934733609905</v>
      </c>
      <c r="Q3" s="5" cm="1">
        <f t="array" aca="1" ref="Q3" ca="1">INDIRECT("'results" &amp; $B3 &amp; "'!R$14")</f>
        <v>1364.101339757359</v>
      </c>
      <c r="R3" s="5"/>
      <c r="S3" s="5" cm="1">
        <f t="array" aca="1" ref="S3" ca="1">INDIRECT("'results" &amp; $B3 &amp; "'!T$14")</f>
        <v>36607.578322444497</v>
      </c>
      <c r="T3" s="5" cm="1">
        <f t="array" aca="1" ref="T3" ca="1">INDIRECT("'results" &amp; $B3 &amp; "'!U$14")</f>
        <v>5.7731875000172288E-2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80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27.864033138321723</v>
      </c>
      <c r="Y3" s="5" cm="1">
        <f t="array" aca="1" ref="Y3" ca="1">INDIRECT("'results" &amp; $B3 &amp; "'!Z$14")</f>
        <v>1471.3259913062316</v>
      </c>
      <c r="Z3" s="5"/>
    </row>
    <row r="4" spans="2:26" x14ac:dyDescent="0.2">
      <c r="B4" s="4">
        <v>43</v>
      </c>
      <c r="C4" s="5" cm="1">
        <f t="array" aca="1" ref="C4" ca="1">INDIRECT("'results" &amp; $B4 &amp; "'!D$14")</f>
        <v>36198.979115424831</v>
      </c>
      <c r="D4" s="33" cm="1">
        <f t="array" aca="1" ref="D4" ca="1">INDIRECT("'results" &amp; $B4 &amp; "'!E$14")</f>
        <v>4.9783000000388711E-2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100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7.611962625483975</v>
      </c>
      <c r="I4" s="5" cm="1">
        <f t="array" aca="1" ref="I4" ca="1">INDIRECT("'results" &amp; $B4 &amp; "'!J$14")</f>
        <v>826.36461685403754</v>
      </c>
      <c r="J4" s="5"/>
      <c r="K4" s="5" cm="1">
        <f t="array" aca="1" ref="K4" ca="1">INDIRECT("'results" &amp; $B4 &amp; "'!L$14")</f>
        <v>36198.979115424831</v>
      </c>
      <c r="L4" s="5" cm="1">
        <f t="array" aca="1" ref="L4" ca="1">INDIRECT("'results" &amp; $B4 &amp; "'!M$14")</f>
        <v>5.5231959002412623E-2</v>
      </c>
      <c r="M4" s="5" cm="1">
        <f t="array" aca="1" ref="M4" ca="1">INDIRECT("'results" &amp; $B4 &amp; "'!N$14")</f>
        <v>3</v>
      </c>
      <c r="N4" s="5" cm="1">
        <f t="array" aca="1" ref="N4" ca="1">INDIRECT("'results" &amp; $B4 &amp; "'!O$14")</f>
        <v>100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7.611962625483975</v>
      </c>
      <c r="Q4" s="5" cm="1">
        <f t="array" aca="1" ref="Q4" ca="1">INDIRECT("'results" &amp; $B4 &amp; "'!R$14")</f>
        <v>826.36461685403754</v>
      </c>
      <c r="R4" s="5"/>
      <c r="S4" s="5" cm="1">
        <f t="array" aca="1" ref="S4" ca="1">INDIRECT("'results" &amp; $B4 &amp; "'!T$14")</f>
        <v>38407.582651309283</v>
      </c>
      <c r="T4" s="5" cm="1">
        <f t="array" aca="1" ref="T4" ca="1">INDIRECT("'results" &amp; $B4 &amp; "'!U$14")</f>
        <v>8.9479207999829669E-2</v>
      </c>
      <c r="U4" s="5" cm="1">
        <f t="array" aca="1" ref="U4" ca="1">INDIRECT("'results" &amp; $B4 &amp; "'!V$14")</f>
        <v>1</v>
      </c>
      <c r="V4" s="5" cm="1">
        <f t="array" aca="1" ref="V4" ca="1">INDIRECT("'results" &amp; $B4 &amp; "'!W$14")</f>
        <v>50</v>
      </c>
      <c r="W4" s="5" cm="1">
        <f t="array" aca="1" ref="W4" ca="1">INDIRECT("'results" &amp; $B4 &amp; "'!X$14")</f>
        <v>0</v>
      </c>
      <c r="X4" s="5" cm="1">
        <f t="array" aca="1" ref="X4" ca="1">INDIRECT("'results" &amp; $B4 &amp; "'!Y$14")</f>
        <v>16.839553512667639</v>
      </c>
      <c r="Y4" s="5" cm="1">
        <f t="array" aca="1" ref="Y4" ca="1">INDIRECT("'results" &amp; $B4 &amp; "'!Z$14")</f>
        <v>967.9730042920246</v>
      </c>
      <c r="Z4" s="5"/>
    </row>
    <row r="5" spans="2:26" x14ac:dyDescent="0.2">
      <c r="B5" s="4">
        <v>619</v>
      </c>
      <c r="C5" s="5" cm="1">
        <f t="array" aca="1" ref="C5" ca="1">INDIRECT("'results" &amp; $B5 &amp; "'!D$14")</f>
        <v>38067.924863159162</v>
      </c>
      <c r="D5" s="33" cm="1">
        <f t="array" aca="1" ref="D5" ca="1">INDIRECT("'results" &amp; $B5 &amp; "'!E$14")</f>
        <v>4.745229099989956E-2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12.44916762991188</v>
      </c>
      <c r="I5" s="5" cm="1">
        <f t="array" aca="1" ref="I5" ca="1">INDIRECT("'results" &amp; $B5 &amp; "'!J$14")</f>
        <v>1194.4038903376927</v>
      </c>
      <c r="J5" s="5"/>
      <c r="K5" s="5" cm="1">
        <f t="array" aca="1" ref="K5" ca="1">INDIRECT("'results" &amp; $B5 &amp; "'!L$14")</f>
        <v>38067.924863159162</v>
      </c>
      <c r="L5" s="5" cm="1">
        <f t="array" aca="1" ref="L5" ca="1">INDIRECT("'results" &amp; $B5 &amp; "'!M$14")</f>
        <v>3.5472957999445498E-2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12.44916762991188</v>
      </c>
      <c r="Q5" s="5" cm="1">
        <f t="array" aca="1" ref="Q5" ca="1">INDIRECT("'results" &amp; $B5 &amp; "'!R$14")</f>
        <v>1194.4038903376927</v>
      </c>
      <c r="R5" s="5"/>
      <c r="S5" s="5" cm="1">
        <f t="array" aca="1" ref="S5" ca="1">INDIRECT("'results" &amp; $B5 &amp; "'!T$14")</f>
        <v>38555.229195905849</v>
      </c>
      <c r="T5" s="5" cm="1">
        <f t="array" aca="1" ref="T5" ca="1">INDIRECT("'results" &amp; $B5 &amp; "'!U$14")</f>
        <v>4.7378541999933077E-2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21.290853860889008</v>
      </c>
      <c r="Y5" s="5" cm="1">
        <f t="array" aca="1" ref="Y5" ca="1">INDIRECT("'results" &amp; $B5 &amp; "'!Z$14")</f>
        <v>1456.8240886035278</v>
      </c>
      <c r="Z5" s="5"/>
    </row>
    <row r="6" spans="2:26" x14ac:dyDescent="0.2">
      <c r="B6" s="4">
        <v>684</v>
      </c>
      <c r="C6" s="5" cm="1">
        <f t="array" aca="1" ref="C6" ca="1">INDIRECT("'results" &amp; $B6 &amp; "'!D$14")</f>
        <v>31553.276755353359</v>
      </c>
      <c r="D6" s="33" cm="1">
        <f t="array" aca="1" ref="D6" ca="1">INDIRECT("'results" &amp; $B6 &amp; "'!E$14")</f>
        <v>6.9457208000130777E-2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9.1205442673448669</v>
      </c>
      <c r="I6" s="5" cm="1">
        <f t="array" aca="1" ref="I6" ca="1">INDIRECT("'results" &amp; $B6 &amp; "'!J$14")</f>
        <v>898.94168943399018</v>
      </c>
      <c r="J6" s="5"/>
      <c r="K6" s="5" cm="1">
        <f t="array" aca="1" ref="K6" ca="1">INDIRECT("'results" &amp; $B6 &amp; "'!L$14")</f>
        <v>39006.564213543061</v>
      </c>
      <c r="L6" s="5" cm="1">
        <f t="array" aca="1" ref="L6" ca="1">INDIRECT("'results" &amp; $B6 &amp; "'!M$14")</f>
        <v>6.0990250000031658E-2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6.7494565620585867</v>
      </c>
      <c r="Q6" s="5" cm="1">
        <f t="array" aca="1" ref="Q6" ca="1">INDIRECT("'results" &amp; $B6 &amp; "'!R$14")</f>
        <v>741.46611082700485</v>
      </c>
      <c r="R6" s="5"/>
      <c r="S6" s="5" cm="1">
        <f t="array" aca="1" ref="S6" ca="1">INDIRECT("'results" &amp; $B6 &amp; "'!T$14")</f>
        <v>34022.561900671797</v>
      </c>
      <c r="T6" s="5" cm="1">
        <f t="array" aca="1" ref="T6" ca="1">INDIRECT("'results" &amp; $B6 &amp; "'!U$14")</f>
        <v>0.13903683299940889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20.773118818488257</v>
      </c>
      <c r="X6" s="5" cm="1">
        <f t="array" aca="1" ref="X6" ca="1">INDIRECT("'results" &amp; $B6 &amp; "'!Y$14")</f>
        <v>21.934283289791345</v>
      </c>
      <c r="Y6" s="5" cm="1">
        <f t="array" aca="1" ref="Y6" ca="1">INDIRECT("'results" &amp; $B6 &amp; "'!Z$14")</f>
        <v>1425.0697368616977</v>
      </c>
      <c r="Z6" s="5"/>
    </row>
    <row r="7" spans="2:26" x14ac:dyDescent="0.2">
      <c r="B7" s="4">
        <v>702</v>
      </c>
      <c r="C7" s="5" cm="1">
        <f t="array" aca="1" ref="C7" ca="1">INDIRECT("'results" &amp; $B7 &amp; "'!D$14")</f>
        <v>38701.860619462619</v>
      </c>
      <c r="D7" s="33" cm="1">
        <f t="array" aca="1" ref="D7" ca="1">INDIRECT("'results" &amp; $B7 &amp; "'!E$14")</f>
        <v>6.2100957999973623E-2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12.560379271624655</v>
      </c>
      <c r="I7" s="5" cm="1">
        <f t="array" aca="1" ref="I7" ca="1">INDIRECT("'results" &amp; $B7 &amp; "'!J$14")</f>
        <v>833.57566083088386</v>
      </c>
      <c r="J7" s="5"/>
      <c r="K7" s="5" cm="1">
        <f t="array" aca="1" ref="K7" ca="1">INDIRECT("'results" &amp; $B7 &amp; "'!L$14")</f>
        <v>42752.620828207771</v>
      </c>
      <c r="L7" s="5" cm="1">
        <f t="array" aca="1" ref="L7" ca="1">INDIRECT("'results" &amp; $B7 &amp; "'!M$14")</f>
        <v>5.9504124998056802E-2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6.8323603479853503</v>
      </c>
      <c r="Q7" s="5" cm="1">
        <f t="array" aca="1" ref="Q7" ca="1">INDIRECT("'results" &amp; $B7 &amp; "'!R$14")</f>
        <v>657.24078951764989</v>
      </c>
      <c r="R7" s="5"/>
      <c r="S7" s="5" cm="1">
        <f t="array" aca="1" ref="S7" ca="1">INDIRECT("'results" &amp; $B7 &amp; "'!T$14")</f>
        <v>38286.371652681701</v>
      </c>
      <c r="T7" s="5" cm="1">
        <f t="array" aca="1" ref="T7" ca="1">INDIRECT("'results" &amp; $B7 &amp; "'!U$14")</f>
        <v>9.7876915999222547E-2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30.751622988147663</v>
      </c>
      <c r="Y7" s="5" cm="1">
        <f t="array" aca="1" ref="Y7" ca="1">INDIRECT("'results" &amp; $B7 &amp; "'!Z$14")</f>
        <v>1264.4807939221184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43294.816860118</v>
      </c>
      <c r="D8" s="33" cm="1">
        <f t="array" aca="1" ref="D8" ca="1">INDIRECT("'results" &amp; $B8 &amp; "'!E$14")</f>
        <v>6.0758999999961823E-2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60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8.7371478319164488</v>
      </c>
      <c r="I8" s="5" cm="1">
        <f t="array" aca="1" ref="I8" ca="1">INDIRECT("'results" &amp; $B8 &amp; "'!J$14")</f>
        <v>852.13798200364079</v>
      </c>
      <c r="J8" s="5"/>
      <c r="K8" s="5" cm="1">
        <f t="array" aca="1" ref="K8" ca="1">INDIRECT("'results" &amp; $B8 &amp; "'!L$14")</f>
        <v>43294.816860118</v>
      </c>
      <c r="L8" s="5" cm="1">
        <f t="array" aca="1" ref="L8" ca="1">INDIRECT("'results" &amp; $B8 &amp; "'!M$14")</f>
        <v>6.4693416003137827E-2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8.7371478319164488</v>
      </c>
      <c r="Q8" s="5" cm="1">
        <f t="array" aca="1" ref="Q8" ca="1">INDIRECT("'results" &amp; $B8 &amp; "'!R$14")</f>
        <v>852.13798200364079</v>
      </c>
      <c r="R8" s="5"/>
      <c r="S8" s="5" cm="1">
        <f t="array" aca="1" ref="S8" ca="1">INDIRECT("'results" &amp; $B8 &amp; "'!T$14")</f>
        <v>43817.855599271708</v>
      </c>
      <c r="T8" s="5" cm="1">
        <f t="array" aca="1" ref="T8" ca="1">INDIRECT("'results" &amp; $B8 &amp; "'!U$14")</f>
        <v>5.7431042001553578E-2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60</v>
      </c>
      <c r="W8" s="5" cm="1">
        <f t="array" aca="1" ref="W8" ca="1">INDIRECT("'results" &amp; $B8 &amp; "'!X$14")</f>
        <v>40.76345911394818</v>
      </c>
      <c r="X8" s="5" cm="1">
        <f t="array" aca="1" ref="X8" ca="1">INDIRECT("'results" &amp; $B8 &amp; "'!Y$14")</f>
        <v>16.339150550099884</v>
      </c>
      <c r="Y8" s="5" cm="1">
        <f t="array" aca="1" ref="Y8" ca="1">INDIRECT("'results" &amp; $B8 &amp; "'!Z$14")</f>
        <v>1178.3430779587386</v>
      </c>
      <c r="Z8" s="5"/>
    </row>
    <row r="9" spans="2:26" x14ac:dyDescent="0.2">
      <c r="B9" s="4">
        <v>810</v>
      </c>
      <c r="C9" s="5" cm="1">
        <f t="array" aca="1" ref="C9" ca="1">INDIRECT("'results" &amp; $B9 &amp; "'!D$14")</f>
        <v>35292.740544844681</v>
      </c>
      <c r="D9" s="33" cm="1">
        <f t="array" aca="1" ref="D9" ca="1">INDIRECT("'results" &amp; $B9 &amp; "'!E$14")</f>
        <v>6.705162499929429E-2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100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10.987230587767863</v>
      </c>
      <c r="I9" s="5" cm="1">
        <f t="array" aca="1" ref="I9" ca="1">INDIRECT("'results" &amp; $B9 &amp; "'!J$14")</f>
        <v>858.11774828434932</v>
      </c>
      <c r="J9" s="5"/>
      <c r="K9" s="5" cm="1">
        <f t="array" aca="1" ref="K9" ca="1">INDIRECT("'results" &amp; $B9 &amp; "'!L$14")</f>
        <v>35292.740544844681</v>
      </c>
      <c r="L9" s="5" cm="1">
        <f t="array" aca="1" ref="L9" ca="1">INDIRECT("'results" &amp; $B9 &amp; "'!M$14")</f>
        <v>4.7220584001479438E-2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100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10.987230587767863</v>
      </c>
      <c r="Q9" s="5" cm="1">
        <f t="array" aca="1" ref="Q9" ca="1">INDIRECT("'results" &amp; $B9 &amp; "'!R$14")</f>
        <v>858.11774828434932</v>
      </c>
      <c r="R9" s="5"/>
      <c r="S9" s="5" cm="1">
        <f t="array" aca="1" ref="S9" ca="1">INDIRECT("'results" &amp; $B9 &amp; "'!T$14")</f>
        <v>34757.182514669403</v>
      </c>
      <c r="T9" s="5" cm="1">
        <f t="array" aca="1" ref="T9" ca="1">INDIRECT("'results" &amp; $B9 &amp; "'!U$14")</f>
        <v>6.1298166998312809E-2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100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25.435833387794471</v>
      </c>
      <c r="Y9" s="5" cm="1">
        <f t="array" aca="1" ref="Y9" ca="1">INDIRECT("'results" &amp; $B9 &amp; "'!Z$14")</f>
        <v>1260.8654221900638</v>
      </c>
      <c r="Z9" s="5"/>
    </row>
    <row r="10" spans="2:26" x14ac:dyDescent="0.2">
      <c r="B10" s="4">
        <v>456</v>
      </c>
      <c r="C10" s="5" cm="1">
        <f t="array" aca="1" ref="C10" ca="1">INDIRECT("'results" &amp; $B10 &amp; "'!D$14")</f>
        <v>39213.357590855143</v>
      </c>
      <c r="D10" s="33" cm="1">
        <f t="array" aca="1" ref="D10" ca="1">INDIRECT("'results" &amp; $B10 &amp; "'!E$14")</f>
        <v>7.6320709000356146E-2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8.5405808378697614</v>
      </c>
      <c r="I10" s="5" cm="1">
        <f t="array" aca="1" ref="I10" ca="1">INDIRECT("'results" &amp; $B10 &amp; "'!J$14")</f>
        <v>919.75972619951426</v>
      </c>
      <c r="J10" s="5"/>
      <c r="K10" s="5" cm="1">
        <f t="array" aca="1" ref="K10" ca="1">INDIRECT("'results" &amp; $B10 &amp; "'!L$14")</f>
        <v>39213.357590855143</v>
      </c>
      <c r="L10" s="5" cm="1">
        <f t="array" aca="1" ref="L10" ca="1">INDIRECT("'results" &amp; $B10 &amp; "'!M$14")</f>
        <v>7.8375916000368306E-2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8.5405808378697614</v>
      </c>
      <c r="Q10" s="5" cm="1">
        <f t="array" aca="1" ref="Q10" ca="1">INDIRECT("'results" &amp; $B10 &amp; "'!R$14")</f>
        <v>919.75972619951426</v>
      </c>
      <c r="R10" s="5"/>
      <c r="S10" s="5" cm="1">
        <f t="array" aca="1" ref="S10" ca="1">INDIRECT("'results" &amp; $B10 &amp; "'!T$14")</f>
        <v>39417.484168678697</v>
      </c>
      <c r="T10" s="5" cm="1">
        <f t="array" aca="1" ref="T10" ca="1">INDIRECT("'results" &amp; $B10 &amp; "'!U$14")</f>
        <v>4.5794041998306063E-2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14.417598777818014</v>
      </c>
      <c r="Y10" s="5" cm="1">
        <f t="array" aca="1" ref="Y10" ca="1">INDIRECT("'results" &amp; $B10 &amp; "'!Z$14")</f>
        <v>1131.5429091120577</v>
      </c>
      <c r="Z10" s="5"/>
    </row>
    <row r="11" spans="2:26" x14ac:dyDescent="0.2">
      <c r="B11" s="4">
        <v>690</v>
      </c>
      <c r="C11" s="5" cm="1">
        <f t="array" aca="1" ref="C11" ca="1">INDIRECT("'results" &amp; $B11 &amp; "'!D$14")</f>
        <v>40263.615504612782</v>
      </c>
      <c r="D11" s="33" cm="1">
        <f t="array" aca="1" ref="D11" ca="1">INDIRECT("'results" &amp; $B11 &amp; "'!E$14")</f>
        <v>3.8547333000678918E-2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10.797211556552384</v>
      </c>
      <c r="I11" s="5" cm="1">
        <f t="array" aca="1" ref="I11" ca="1">INDIRECT("'results" &amp; $B11 &amp; "'!J$14")</f>
        <v>913.60894277134014</v>
      </c>
      <c r="J11" s="5"/>
      <c r="K11" s="5" cm="1">
        <f t="array" aca="1" ref="K11" ca="1">INDIRECT("'results" &amp; $B11 &amp; "'!L$14")</f>
        <v>43013.666539279642</v>
      </c>
      <c r="L11" s="5" cm="1">
        <f t="array" aca="1" ref="L11" ca="1">INDIRECT("'results" &amp; $B11 &amp; "'!M$14")</f>
        <v>4.5370042000286048E-2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60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10.390017742806446</v>
      </c>
      <c r="Q11" s="5" cm="1">
        <f t="array" aca="1" ref="Q11" ca="1">INDIRECT("'results" &amp; $B11 &amp; "'!R$14")</f>
        <v>854.18240638594125</v>
      </c>
      <c r="R11" s="5"/>
      <c r="S11" s="5" cm="1">
        <f t="array" aca="1" ref="S11" ca="1">INDIRECT("'results" &amp; $B11 &amp; "'!T$14")</f>
        <v>40058.933795354409</v>
      </c>
      <c r="T11" s="5" cm="1">
        <f t="array" aca="1" ref="T11" ca="1">INDIRECT("'results" &amp; $B11 &amp; "'!U$14")</f>
        <v>6.126412500088918E-2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90</v>
      </c>
      <c r="W11" s="5" cm="1">
        <f t="array" aca="1" ref="W11" ca="1">INDIRECT("'results" &amp; $B11 &amp; "'!X$14")</f>
        <v>13.325063066278368</v>
      </c>
      <c r="X11" s="5" cm="1">
        <f t="array" aca="1" ref="X11" ca="1">INDIRECT("'results" &amp; $B11 &amp; "'!Y$14")</f>
        <v>20.951239115149235</v>
      </c>
      <c r="Y11" s="5" cm="1">
        <f t="array" aca="1" ref="Y11" ca="1">INDIRECT("'results" &amp; $B11 &amp; "'!Z$14")</f>
        <v>1210.9203266647235</v>
      </c>
      <c r="Z11" s="5"/>
    </row>
    <row r="12" spans="2:26" x14ac:dyDescent="0.2">
      <c r="B12" s="4">
        <v>959</v>
      </c>
      <c r="C12" s="5" cm="1">
        <f t="array" aca="1" ref="C12" ca="1">INDIRECT("'results" &amp; $B12 &amp; "'!D$14")</f>
        <v>35940.295819452047</v>
      </c>
      <c r="D12" s="33" cm="1">
        <f t="array" aca="1" ref="D12" ca="1">INDIRECT("'results" &amp; $B12 &amp; "'!E$14")</f>
        <v>4.5126125000024331E-2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10.306385978211763</v>
      </c>
      <c r="I12" s="5" cm="1">
        <f t="array" aca="1" ref="I12" ca="1">INDIRECT("'results" &amp; $B12 &amp; "'!J$14")</f>
        <v>860.19753575560446</v>
      </c>
      <c r="J12" s="5"/>
      <c r="K12" s="5" cm="1">
        <f t="array" aca="1" ref="K12" ca="1">INDIRECT("'results" &amp; $B12 &amp; "'!L$14")</f>
        <v>39501.243856769441</v>
      </c>
      <c r="L12" s="5" cm="1">
        <f t="array" aca="1" ref="L12" ca="1">INDIRECT("'results" &amp; $B12 &amp; "'!M$14")</f>
        <v>7.6672708997648442E-2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10.495124461578737</v>
      </c>
      <c r="Q12" s="5" cm="1">
        <f t="array" aca="1" ref="Q12" ca="1">INDIRECT("'results" &amp; $B12 &amp; "'!R$14")</f>
        <v>910.11930221568798</v>
      </c>
      <c r="R12" s="5"/>
      <c r="S12" s="5" cm="1">
        <f t="array" aca="1" ref="S12" ca="1">INDIRECT("'results" &amp; $B12 &amp; "'!T$14")</f>
        <v>36282.392983330908</v>
      </c>
      <c r="T12" s="5" cm="1">
        <f t="array" aca="1" ref="T12" ca="1">INDIRECT("'results" &amp; $B12 &amp; "'!U$14")</f>
        <v>4.1836042000795708E-2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100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22.314357225309703</v>
      </c>
      <c r="Y12" s="5" cm="1">
        <f t="array" aca="1" ref="Y12" ca="1">INDIRECT("'results" &amp; $B12 &amp; "'!Z$14")</f>
        <v>1237.9888633333449</v>
      </c>
      <c r="Z12" s="5"/>
    </row>
    <row r="13" spans="2:26" x14ac:dyDescent="0.2">
      <c r="B13" s="8" t="s">
        <v>3</v>
      </c>
      <c r="C13" s="9">
        <f ca="1">AVERAGE(C3:C12)</f>
        <v>37416.10280719999</v>
      </c>
      <c r="D13" s="10">
        <f t="shared" ref="D13:I13" ca="1" si="0">AVERAGE(D3:D12)</f>
        <v>5.7311712400132817E-2</v>
      </c>
      <c r="E13" s="9">
        <f t="shared" ca="1" si="0"/>
        <v>2.2999999999999998</v>
      </c>
      <c r="F13" s="9">
        <f t="shared" ca="1" si="0"/>
        <v>82</v>
      </c>
      <c r="G13" s="9">
        <f t="shared" ca="1" si="0"/>
        <v>0</v>
      </c>
      <c r="H13" s="10">
        <f t="shared" ca="1" si="0"/>
        <v>11.756995792278264</v>
      </c>
      <c r="I13" s="9">
        <f t="shared" ca="1" si="0"/>
        <v>952.12091322284118</v>
      </c>
      <c r="J13" s="32" t="e">
        <f ca="1">(C13-$D$15)/$D$15</f>
        <v>#DIV/0!</v>
      </c>
      <c r="K13" s="16">
        <f ca="1">AVERAGE(K3:K12)</f>
        <v>39197.607481091902</v>
      </c>
      <c r="L13" s="41">
        <f t="shared" ref="L13:Q13" ca="1" si="1">AVERAGE(L3:L12)</f>
        <v>5.9496900100202768E-2</v>
      </c>
      <c r="M13" s="16">
        <f t="shared" ca="1" si="1"/>
        <v>2.1</v>
      </c>
      <c r="N13" s="16">
        <f ca="1">AVERAGE(N3:N12)</f>
        <v>73</v>
      </c>
      <c r="O13" s="16">
        <f t="shared" ca="1" si="1"/>
        <v>0</v>
      </c>
      <c r="P13" s="41">
        <f t="shared" ca="1" si="1"/>
        <v>10.925239596347811</v>
      </c>
      <c r="Q13" s="16">
        <f t="shared" ca="1" si="1"/>
        <v>917.78939123828786</v>
      </c>
      <c r="R13" s="42" t="e">
        <f ca="1">(K13-$D$15)/$D$15</f>
        <v>#DIV/0!</v>
      </c>
      <c r="S13" s="38">
        <f ca="1">AVERAGE(S3:S12)</f>
        <v>38021.317278431823</v>
      </c>
      <c r="T13" s="43">
        <f t="shared" ref="T13:Y13" ca="1" si="2">AVERAGE(T3:T12)</f>
        <v>6.9912679199842384E-2</v>
      </c>
      <c r="U13" s="38">
        <f t="shared" ca="1" si="2"/>
        <v>2.2000000000000002</v>
      </c>
      <c r="V13" s="38">
        <f t="shared" ca="1" si="2"/>
        <v>79</v>
      </c>
      <c r="W13" s="38">
        <f t="shared" ca="1" si="2"/>
        <v>7.4861640998714805</v>
      </c>
      <c r="X13" s="43">
        <f t="shared" ca="1" si="2"/>
        <v>21.813852584598866</v>
      </c>
      <c r="Y13" s="38">
        <f t="shared" ca="1" si="2"/>
        <v>1260.5334214244526</v>
      </c>
      <c r="Z13" s="44" t="e">
        <f ca="1">(S13-$D$15)/$D$15</f>
        <v>#DIV/0!</v>
      </c>
    </row>
    <row r="14" spans="2:26" x14ac:dyDescent="0.2">
      <c r="K14" s="45">
        <f ca="1">(K13-C13)/C13</f>
        <v>4.7613314595369792E-2</v>
      </c>
      <c r="L14" s="45">
        <f t="shared" ref="L14:Q14" ca="1" si="3">(L13-D13)/D13</f>
        <v>3.8128117422380273E-2</v>
      </c>
      <c r="M14" s="45">
        <f t="shared" ca="1" si="3"/>
        <v>-8.6956521739130321E-2</v>
      </c>
      <c r="N14" s="45">
        <f t="shared" ca="1" si="3"/>
        <v>-0.10975609756097561</v>
      </c>
      <c r="O14" s="45" t="e">
        <f t="shared" ca="1" si="3"/>
        <v>#DIV/0!</v>
      </c>
      <c r="P14" s="45">
        <f t="shared" ca="1" si="3"/>
        <v>-7.0745640351145805E-2</v>
      </c>
      <c r="Q14" s="45">
        <f t="shared" ca="1" si="3"/>
        <v>-3.6057943384884064E-2</v>
      </c>
      <c r="S14" s="45">
        <f ca="1">(S13-C13)/C13</f>
        <v>1.617524076065377E-2</v>
      </c>
      <c r="T14" s="45">
        <f t="shared" ref="T14:Y14" ca="1" si="4">(T13-D13)/D13</f>
        <v>0.21986721861900546</v>
      </c>
      <c r="U14" s="45">
        <f t="shared" ca="1" si="4"/>
        <v>-4.3478260869565064E-2</v>
      </c>
      <c r="V14" s="45">
        <f ca="1">(V13-F13)/F13</f>
        <v>-3.6585365853658534E-2</v>
      </c>
      <c r="W14" s="45" t="e">
        <f t="shared" ca="1" si="4"/>
        <v>#DIV/0!</v>
      </c>
      <c r="X14" s="45">
        <f t="shared" ca="1" si="4"/>
        <v>0.85539341597159746</v>
      </c>
      <c r="Y14" s="45">
        <f t="shared" ca="1" si="4"/>
        <v>0.32392157752072021</v>
      </c>
    </row>
    <row r="17" spans="2:19" ht="15" customHeight="1" x14ac:dyDescent="0.2">
      <c r="B17" s="1" t="s">
        <v>21</v>
      </c>
      <c r="C17">
        <f ca="1">_xlfn.STDEV.S(C3:C12)</f>
        <v>3226.485688526981</v>
      </c>
      <c r="J17" s="1" t="s">
        <v>21</v>
      </c>
      <c r="K17">
        <f ca="1">_xlfn.STDEV.S(K3:K12)</f>
        <v>3024.5401443914607</v>
      </c>
      <c r="R17" s="1" t="s">
        <v>21</v>
      </c>
      <c r="S17">
        <f ca="1">_xlfn.STDEV.S(S3:S12)</f>
        <v>2825.925062358087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-1.0000062273653489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7.860460834086215E-2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</v>
      </c>
      <c r="D4" s="23">
        <v>35634.160398717257</v>
      </c>
      <c r="E4" s="33">
        <v>5.6518875000620028E-2</v>
      </c>
      <c r="F4" s="5">
        <v>1</v>
      </c>
      <c r="G4" s="23">
        <v>60</v>
      </c>
      <c r="H4" s="33">
        <v>0</v>
      </c>
      <c r="I4" s="23">
        <v>26.45934733609905</v>
      </c>
      <c r="J4" s="5">
        <v>1364.101339757359</v>
      </c>
      <c r="K4" s="31"/>
      <c r="L4" s="23">
        <v>35634.160398717257</v>
      </c>
      <c r="M4" s="33">
        <v>7.1437041999161011E-2</v>
      </c>
      <c r="N4" s="5">
        <v>1</v>
      </c>
      <c r="O4" s="5">
        <v>60</v>
      </c>
      <c r="P4" s="33">
        <v>0</v>
      </c>
      <c r="Q4" s="5">
        <v>26.45934733609905</v>
      </c>
      <c r="R4" s="5">
        <v>1364.101339757359</v>
      </c>
      <c r="S4" s="31"/>
      <c r="T4" s="23">
        <v>36607.578322444497</v>
      </c>
      <c r="U4" s="33">
        <v>5.7731875000172288E-2</v>
      </c>
      <c r="V4" s="5">
        <v>2</v>
      </c>
      <c r="W4" s="5">
        <v>80</v>
      </c>
      <c r="X4" s="33">
        <v>0</v>
      </c>
      <c r="Y4" s="5">
        <v>27.864033138321723</v>
      </c>
      <c r="Z4" s="5">
        <v>1471.3259913062316</v>
      </c>
      <c r="AA4" s="35"/>
    </row>
    <row r="5" spans="2:27" x14ac:dyDescent="0.2">
      <c r="B5" s="4">
        <v>2</v>
      </c>
      <c r="C5" s="4">
        <v>891</v>
      </c>
      <c r="D5" s="23">
        <v>35634.160398717257</v>
      </c>
      <c r="E5" s="33">
        <v>6.8848124999931315E-2</v>
      </c>
      <c r="F5" s="5">
        <v>1</v>
      </c>
      <c r="G5" s="23">
        <v>60</v>
      </c>
      <c r="H5" s="33">
        <v>0</v>
      </c>
      <c r="I5" s="23">
        <v>26.45934733609905</v>
      </c>
      <c r="J5" s="5">
        <v>1364.101339757359</v>
      </c>
      <c r="K5" s="31"/>
      <c r="L5" s="23">
        <v>35634.160398717257</v>
      </c>
      <c r="M5" s="33">
        <v>6.428408300052979E-2</v>
      </c>
      <c r="N5" s="5">
        <v>1</v>
      </c>
      <c r="O5" s="5">
        <v>60</v>
      </c>
      <c r="P5" s="33">
        <v>0</v>
      </c>
      <c r="Q5" s="5">
        <v>26.45934733609905</v>
      </c>
      <c r="R5" s="5">
        <v>1364.101339757359</v>
      </c>
      <c r="S5" s="31"/>
      <c r="T5" s="23">
        <v>36607.578322444497</v>
      </c>
      <c r="U5" s="33">
        <v>6.6748041997925611E-2</v>
      </c>
      <c r="V5" s="5">
        <v>2</v>
      </c>
      <c r="W5" s="5">
        <v>80</v>
      </c>
      <c r="X5" s="33">
        <v>0</v>
      </c>
      <c r="Y5" s="5">
        <v>27.864033138321723</v>
      </c>
      <c r="Z5" s="5">
        <v>1471.3259913062316</v>
      </c>
      <c r="AA5" s="35"/>
    </row>
    <row r="6" spans="2:27" x14ac:dyDescent="0.2">
      <c r="B6" s="4">
        <v>3</v>
      </c>
      <c r="C6" s="4">
        <v>443</v>
      </c>
      <c r="D6" s="23">
        <v>35634.160398717257</v>
      </c>
      <c r="E6" s="33">
        <v>6.0932999999749882E-2</v>
      </c>
      <c r="F6" s="5">
        <v>1</v>
      </c>
      <c r="G6" s="23">
        <v>60</v>
      </c>
      <c r="H6" s="33">
        <v>0</v>
      </c>
      <c r="I6" s="23">
        <v>26.45934733609905</v>
      </c>
      <c r="J6" s="5">
        <v>1364.101339757359</v>
      </c>
      <c r="K6" s="31"/>
      <c r="L6" s="23">
        <v>35634.160398717257</v>
      </c>
      <c r="M6" s="33">
        <v>6.6431999999622349E-2</v>
      </c>
      <c r="N6" s="5">
        <v>1</v>
      </c>
      <c r="O6" s="5">
        <v>60</v>
      </c>
      <c r="P6" s="33">
        <v>0</v>
      </c>
      <c r="Q6" s="5">
        <v>26.45934733609905</v>
      </c>
      <c r="R6" s="5">
        <v>1364.101339757359</v>
      </c>
      <c r="S6" s="31"/>
      <c r="T6" s="23">
        <v>36607.578322444497</v>
      </c>
      <c r="U6" s="33">
        <v>4.9596083001233637E-2</v>
      </c>
      <c r="V6" s="5">
        <v>2</v>
      </c>
      <c r="W6" s="5">
        <v>80</v>
      </c>
      <c r="X6" s="33">
        <v>0</v>
      </c>
      <c r="Y6" s="5">
        <v>27.864033138321723</v>
      </c>
      <c r="Z6" s="5">
        <v>1471.3259913062316</v>
      </c>
      <c r="AA6" s="35"/>
    </row>
    <row r="7" spans="2:27" x14ac:dyDescent="0.2">
      <c r="B7" s="4">
        <v>4</v>
      </c>
      <c r="C7" s="4">
        <v>529</v>
      </c>
      <c r="D7" s="23">
        <v>35634.160398717257</v>
      </c>
      <c r="E7" s="33">
        <v>7.0193333000133862E-2</v>
      </c>
      <c r="F7" s="5">
        <v>1</v>
      </c>
      <c r="G7" s="23">
        <v>60</v>
      </c>
      <c r="H7" s="33">
        <v>0</v>
      </c>
      <c r="I7" s="23">
        <v>26.45934733609905</v>
      </c>
      <c r="J7" s="5">
        <v>1364.101339757359</v>
      </c>
      <c r="K7" s="31"/>
      <c r="L7" s="23">
        <v>35634.160398717257</v>
      </c>
      <c r="M7" s="33">
        <v>7.0356874999561114E-2</v>
      </c>
      <c r="N7" s="5">
        <v>1</v>
      </c>
      <c r="O7" s="5">
        <v>60</v>
      </c>
      <c r="P7" s="33">
        <v>0</v>
      </c>
      <c r="Q7" s="5">
        <v>26.45934733609905</v>
      </c>
      <c r="R7" s="5">
        <v>1364.101339757359</v>
      </c>
      <c r="S7" s="31"/>
      <c r="T7" s="23">
        <v>36607.578322444497</v>
      </c>
      <c r="U7" s="33">
        <v>7.1777291999751469E-2</v>
      </c>
      <c r="V7" s="5">
        <v>2</v>
      </c>
      <c r="W7" s="5">
        <v>80</v>
      </c>
      <c r="X7" s="33">
        <v>0</v>
      </c>
      <c r="Y7" s="5">
        <v>27.864033138321723</v>
      </c>
      <c r="Z7" s="5">
        <v>1471.3259913062316</v>
      </c>
      <c r="AA7" s="35"/>
    </row>
    <row r="8" spans="2:27" x14ac:dyDescent="0.2">
      <c r="B8" s="4">
        <v>5</v>
      </c>
      <c r="C8" s="4">
        <v>249</v>
      </c>
      <c r="D8" s="23">
        <v>35634.160398717257</v>
      </c>
      <c r="E8" s="33">
        <v>4.1407790999983263E-2</v>
      </c>
      <c r="F8" s="5">
        <v>1</v>
      </c>
      <c r="G8" s="23">
        <v>60</v>
      </c>
      <c r="H8" s="33">
        <v>0</v>
      </c>
      <c r="I8" s="23">
        <v>26.45934733609905</v>
      </c>
      <c r="J8" s="5">
        <v>1364.101339757359</v>
      </c>
      <c r="K8" s="31"/>
      <c r="L8" s="23">
        <v>35634.160398717257</v>
      </c>
      <c r="M8" s="33">
        <v>5.1889291000406963E-2</v>
      </c>
      <c r="N8" s="5">
        <v>1</v>
      </c>
      <c r="O8" s="5">
        <v>60</v>
      </c>
      <c r="P8" s="33">
        <v>0</v>
      </c>
      <c r="Q8" s="5">
        <v>26.45934733609905</v>
      </c>
      <c r="R8" s="5">
        <v>1364.101339757359</v>
      </c>
      <c r="S8" s="31"/>
      <c r="T8" s="23">
        <v>36607.578322444497</v>
      </c>
      <c r="U8" s="33">
        <v>4.4151707999844803E-2</v>
      </c>
      <c r="V8" s="5">
        <v>2</v>
      </c>
      <c r="W8" s="5">
        <v>80</v>
      </c>
      <c r="X8" s="33">
        <v>0</v>
      </c>
      <c r="Y8" s="5">
        <v>27.864033138321723</v>
      </c>
      <c r="Z8" s="5">
        <v>1471.3259913062316</v>
      </c>
      <c r="AA8" s="35"/>
    </row>
    <row r="9" spans="2:27" x14ac:dyDescent="0.2">
      <c r="B9" s="4">
        <v>6</v>
      </c>
      <c r="C9" s="4">
        <v>356</v>
      </c>
      <c r="D9" s="23">
        <v>35634.160398717257</v>
      </c>
      <c r="E9" s="33">
        <v>7.1152749999782827E-2</v>
      </c>
      <c r="F9" s="5">
        <v>1</v>
      </c>
      <c r="G9" s="23">
        <v>60</v>
      </c>
      <c r="H9" s="33">
        <v>0</v>
      </c>
      <c r="I9" s="23">
        <v>26.45934733609905</v>
      </c>
      <c r="J9" s="5">
        <v>1364.101339757359</v>
      </c>
      <c r="K9" s="31"/>
      <c r="L9" s="23">
        <v>35634.160398717257</v>
      </c>
      <c r="M9" s="33">
        <v>7.4939374997484265E-2</v>
      </c>
      <c r="N9" s="5">
        <v>1</v>
      </c>
      <c r="O9" s="5">
        <v>60</v>
      </c>
      <c r="P9" s="33">
        <v>0</v>
      </c>
      <c r="Q9" s="5">
        <v>26.45934733609905</v>
      </c>
      <c r="R9" s="5">
        <v>1364.101339757359</v>
      </c>
      <c r="S9" s="31"/>
      <c r="T9" s="23">
        <v>36607.578322444497</v>
      </c>
      <c r="U9" s="33">
        <v>5.4720041000109632E-2</v>
      </c>
      <c r="V9" s="5">
        <v>2</v>
      </c>
      <c r="W9" s="5">
        <v>80</v>
      </c>
      <c r="X9" s="33">
        <v>0</v>
      </c>
      <c r="Y9" s="5">
        <v>27.864033138321723</v>
      </c>
      <c r="Z9" s="5">
        <v>1471.3259913062316</v>
      </c>
      <c r="AA9" s="35"/>
    </row>
    <row r="10" spans="2:27" x14ac:dyDescent="0.2">
      <c r="B10" s="4">
        <v>7</v>
      </c>
      <c r="C10" s="4">
        <v>214</v>
      </c>
      <c r="D10" s="23">
        <v>35634.160398717257</v>
      </c>
      <c r="E10" s="33">
        <v>5.559850000008737E-2</v>
      </c>
      <c r="F10" s="5">
        <v>1</v>
      </c>
      <c r="G10" s="23">
        <v>60</v>
      </c>
      <c r="H10" s="33">
        <v>0</v>
      </c>
      <c r="I10" s="23">
        <v>26.45934733609905</v>
      </c>
      <c r="J10" s="5">
        <v>1364.101339757359</v>
      </c>
      <c r="K10" s="31"/>
      <c r="L10" s="23">
        <v>35634.160398717257</v>
      </c>
      <c r="M10" s="33">
        <v>5.3645832998881822E-2</v>
      </c>
      <c r="N10" s="5">
        <v>1</v>
      </c>
      <c r="O10" s="5">
        <v>60</v>
      </c>
      <c r="P10" s="33">
        <v>0</v>
      </c>
      <c r="Q10" s="5">
        <v>26.45934733609905</v>
      </c>
      <c r="R10" s="5">
        <v>1364.101339757359</v>
      </c>
      <c r="S10" s="31"/>
      <c r="T10" s="23">
        <v>36607.578322444497</v>
      </c>
      <c r="U10" s="33">
        <v>6.0093582997069461E-2</v>
      </c>
      <c r="V10" s="5">
        <v>2</v>
      </c>
      <c r="W10" s="5">
        <v>80</v>
      </c>
      <c r="X10" s="33">
        <v>0</v>
      </c>
      <c r="Y10" s="5">
        <v>27.864033138321723</v>
      </c>
      <c r="Z10" s="5">
        <v>1471.3259913062316</v>
      </c>
      <c r="AA10" s="35"/>
    </row>
    <row r="11" spans="2:27" x14ac:dyDescent="0.2">
      <c r="B11" s="4">
        <v>8</v>
      </c>
      <c r="C11" s="4">
        <v>613</v>
      </c>
      <c r="D11" s="23">
        <v>35634.160398717257</v>
      </c>
      <c r="E11" s="33">
        <v>6.1638332999791601E-2</v>
      </c>
      <c r="F11" s="5">
        <v>1</v>
      </c>
      <c r="G11" s="23">
        <v>60</v>
      </c>
      <c r="H11" s="33">
        <v>0</v>
      </c>
      <c r="I11" s="23">
        <v>26.45934733609905</v>
      </c>
      <c r="J11" s="5">
        <v>1364.101339757359</v>
      </c>
      <c r="K11" s="31"/>
      <c r="L11" s="23">
        <v>35634.160398717257</v>
      </c>
      <c r="M11" s="33">
        <v>7.5290083997970214E-2</v>
      </c>
      <c r="N11" s="5">
        <v>1</v>
      </c>
      <c r="O11" s="5">
        <v>60</v>
      </c>
      <c r="P11" s="33">
        <v>0</v>
      </c>
      <c r="Q11" s="5">
        <v>26.45934733609905</v>
      </c>
      <c r="R11" s="5">
        <v>1364.101339757359</v>
      </c>
      <c r="S11" s="31"/>
      <c r="T11" s="23">
        <v>36607.578322444497</v>
      </c>
      <c r="U11" s="33">
        <v>3.364129200053867E-2</v>
      </c>
      <c r="V11" s="5">
        <v>2</v>
      </c>
      <c r="W11" s="5">
        <v>80</v>
      </c>
      <c r="X11" s="33">
        <v>0</v>
      </c>
      <c r="Y11" s="5">
        <v>27.864033138321723</v>
      </c>
      <c r="Z11" s="5">
        <v>1471.3259913062316</v>
      </c>
      <c r="AA11" s="35"/>
    </row>
    <row r="12" spans="2:27" x14ac:dyDescent="0.2">
      <c r="B12" s="4">
        <v>9</v>
      </c>
      <c r="C12" s="4">
        <v>633</v>
      </c>
      <c r="D12" s="23">
        <v>35634.160398717257</v>
      </c>
      <c r="E12" s="33">
        <v>6.220158399992215E-2</v>
      </c>
      <c r="F12" s="5">
        <v>1</v>
      </c>
      <c r="G12" s="23">
        <v>60</v>
      </c>
      <c r="H12" s="33">
        <v>0</v>
      </c>
      <c r="I12" s="23">
        <v>26.45934733609905</v>
      </c>
      <c r="J12" s="5">
        <v>1364.101339757359</v>
      </c>
      <c r="K12" s="31"/>
      <c r="L12" s="23">
        <v>35634.160398717257</v>
      </c>
      <c r="M12" s="33">
        <v>6.953724999766564E-2</v>
      </c>
      <c r="N12" s="5">
        <v>1</v>
      </c>
      <c r="O12" s="5">
        <v>60</v>
      </c>
      <c r="P12" s="33">
        <v>0</v>
      </c>
      <c r="Q12" s="5">
        <v>26.45934733609905</v>
      </c>
      <c r="R12" s="5">
        <v>1364.101339757359</v>
      </c>
      <c r="S12" s="31"/>
      <c r="T12" s="23">
        <v>36607.578322444497</v>
      </c>
      <c r="U12" s="33">
        <v>6.4124249998712912E-2</v>
      </c>
      <c r="V12" s="5">
        <v>2</v>
      </c>
      <c r="W12" s="5">
        <v>80</v>
      </c>
      <c r="X12" s="33">
        <v>0</v>
      </c>
      <c r="Y12" s="5">
        <v>27.864033138321723</v>
      </c>
      <c r="Z12" s="5">
        <v>1471.3259913062316</v>
      </c>
      <c r="AA12" s="35"/>
    </row>
    <row r="13" spans="2:27" x14ac:dyDescent="0.2">
      <c r="B13" s="4">
        <v>10</v>
      </c>
      <c r="C13" s="4">
        <v>993</v>
      </c>
      <c r="D13" s="23">
        <v>35634.160398717257</v>
      </c>
      <c r="E13" s="33">
        <v>5.2298791999419343E-2</v>
      </c>
      <c r="F13" s="5">
        <v>1</v>
      </c>
      <c r="G13" s="23">
        <v>60</v>
      </c>
      <c r="H13" s="33">
        <v>0</v>
      </c>
      <c r="I13" s="23">
        <v>26.45934733609905</v>
      </c>
      <c r="J13" s="5">
        <v>1364.101339757359</v>
      </c>
      <c r="K13" s="31"/>
      <c r="L13" s="23">
        <v>35634.160398717257</v>
      </c>
      <c r="M13" s="33">
        <v>5.0486041000112891E-2</v>
      </c>
      <c r="N13" s="5">
        <v>1</v>
      </c>
      <c r="O13" s="5">
        <v>60</v>
      </c>
      <c r="P13" s="33">
        <v>0</v>
      </c>
      <c r="Q13" s="5">
        <v>26.45934733609905</v>
      </c>
      <c r="R13" s="5">
        <v>1364.101339757359</v>
      </c>
      <c r="S13" s="31"/>
      <c r="T13" s="23">
        <v>36607.578322444497</v>
      </c>
      <c r="U13" s="33">
        <v>5.2573291999578942E-2</v>
      </c>
      <c r="V13" s="5">
        <v>2</v>
      </c>
      <c r="W13" s="5">
        <v>80</v>
      </c>
      <c r="X13" s="33">
        <v>0</v>
      </c>
      <c r="Y13" s="5">
        <v>27.864033138321723</v>
      </c>
      <c r="Z13" s="5">
        <v>1471.3259913062316</v>
      </c>
      <c r="AA13" s="35"/>
    </row>
    <row r="14" spans="2:27" x14ac:dyDescent="0.2">
      <c r="B14" s="46" t="s">
        <v>3</v>
      </c>
      <c r="C14" s="47"/>
      <c r="D14" s="9">
        <f>MIN(D4:D13)</f>
        <v>35634.160398717257</v>
      </c>
      <c r="E14" s="22">
        <f>INDEX(E4:E13, MATCH($D$14, D4:D13, 0))</f>
        <v>5.6518875000620028E-2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26.45934733609905</v>
      </c>
      <c r="J14" s="22">
        <f>INDEX(J4:J13, MATCH($D$14, D4:D13, 0))</f>
        <v>1364.101339757359</v>
      </c>
      <c r="K14" s="32">
        <f>(D14-$D$15)/$D$15</f>
        <v>-8.494757415545038E-3</v>
      </c>
      <c r="L14" s="16">
        <f>MIN(L4:L13)</f>
        <v>35634.160398717257</v>
      </c>
      <c r="M14" s="21">
        <f>INDEX(M4:M13, MATCH($L$14, L4:L13, 0))</f>
        <v>7.1437041999161011E-2</v>
      </c>
      <c r="N14" s="16">
        <f>INDEX(N4:N13, MATCH($L$14, L4:L13, 0))</f>
        <v>1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26.45934733609905</v>
      </c>
      <c r="R14" s="21">
        <f>INDEX(R4:R13, MATCH($L$14, L4:L13, 0))</f>
        <v>1364.101339757359</v>
      </c>
      <c r="S14" s="36">
        <f>(L14-$D$15)/$D$15</f>
        <v>-8.494757415545038E-3</v>
      </c>
      <c r="T14" s="38">
        <f>MIN(T4:T13)</f>
        <v>36607.578322444497</v>
      </c>
      <c r="U14" s="39">
        <f>INDEX(U4:U13, MATCH($T$14, T4:T13, 0))</f>
        <v>5.7731875000172288E-2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27.864033138321723</v>
      </c>
      <c r="Z14" s="39">
        <f>INDEX(Z4:Z13, MATCH($T$14, T4:T13, 0))</f>
        <v>1471.3259913062316</v>
      </c>
      <c r="AA14" s="40">
        <f>(T14-$D$15)/$D$15</f>
        <v>1.8590179167834564E-2</v>
      </c>
    </row>
    <row r="15" spans="2:27" x14ac:dyDescent="0.2">
      <c r="C15" s="1" t="s">
        <v>17</v>
      </c>
      <c r="D15" s="34">
        <v>35939.457370727912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91" priority="7"/>
    <cfRule type="duplicateValues" dxfId="90" priority="8"/>
  </conditionalFormatting>
  <conditionalFormatting sqref="C14">
    <cfRule type="duplicateValues" dxfId="89" priority="1"/>
    <cfRule type="duplicateValues" dxfId="88" priority="2"/>
  </conditionalFormatting>
  <conditionalFormatting sqref="C17">
    <cfRule type="duplicateValues" dxfId="87" priority="3"/>
    <cfRule type="duplicateValues" dxfId="8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CA6A-5E6A-6648-9AAA-A365A7F18A0A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0.17136308180411799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36983.056200646017</v>
      </c>
      <c r="E4" s="33">
        <v>0.1082464170003732</v>
      </c>
      <c r="F4" s="5">
        <v>3</v>
      </c>
      <c r="G4" s="23">
        <v>100</v>
      </c>
      <c r="H4" s="33">
        <v>0</v>
      </c>
      <c r="I4" s="23">
        <v>7.3795583669263722</v>
      </c>
      <c r="J4" s="5">
        <v>886.32607260335897</v>
      </c>
      <c r="K4" s="31"/>
      <c r="L4" s="23">
        <v>36983.056200646017</v>
      </c>
      <c r="M4" s="33">
        <v>0.11600916600218621</v>
      </c>
      <c r="N4" s="5">
        <v>3</v>
      </c>
      <c r="O4" s="5">
        <v>100</v>
      </c>
      <c r="P4" s="33">
        <v>0</v>
      </c>
      <c r="Q4" s="5">
        <v>7.3795583669263722</v>
      </c>
      <c r="R4" s="5">
        <v>886.32607260335897</v>
      </c>
      <c r="S4" s="31"/>
      <c r="T4" s="23">
        <v>38407.582651309283</v>
      </c>
      <c r="U4" s="33">
        <v>8.9479207999829669E-2</v>
      </c>
      <c r="V4" s="5">
        <v>1</v>
      </c>
      <c r="W4" s="5">
        <v>50</v>
      </c>
      <c r="X4" s="33">
        <v>0</v>
      </c>
      <c r="Y4" s="5">
        <v>16.839553512667639</v>
      </c>
      <c r="Z4" s="5">
        <v>967.9730042920246</v>
      </c>
      <c r="AA4" s="35"/>
    </row>
    <row r="5" spans="2:27" x14ac:dyDescent="0.2">
      <c r="B5" s="4">
        <v>2</v>
      </c>
      <c r="C5" s="4">
        <v>372</v>
      </c>
      <c r="D5" s="23">
        <v>36198.979115424831</v>
      </c>
      <c r="E5" s="33">
        <v>4.9783000000388711E-2</v>
      </c>
      <c r="F5" s="5">
        <v>3</v>
      </c>
      <c r="G5" s="23">
        <v>100</v>
      </c>
      <c r="H5" s="33">
        <v>0</v>
      </c>
      <c r="I5" s="23">
        <v>7.611962625483975</v>
      </c>
      <c r="J5" s="5">
        <v>826.36461685403754</v>
      </c>
      <c r="K5" s="31"/>
      <c r="L5" s="23">
        <v>36198.979115424831</v>
      </c>
      <c r="M5" s="33">
        <v>5.5231959002412623E-2</v>
      </c>
      <c r="N5" s="5">
        <v>3</v>
      </c>
      <c r="O5" s="5">
        <v>100</v>
      </c>
      <c r="P5" s="33">
        <v>0</v>
      </c>
      <c r="Q5" s="5">
        <v>7.611962625483975</v>
      </c>
      <c r="R5" s="5">
        <v>826.36461685403754</v>
      </c>
      <c r="S5" s="31"/>
      <c r="T5" s="23">
        <v>38407.582651309283</v>
      </c>
      <c r="U5" s="33">
        <v>7.3970165998616721E-2</v>
      </c>
      <c r="V5" s="5">
        <v>1</v>
      </c>
      <c r="W5" s="5">
        <v>50</v>
      </c>
      <c r="X5" s="33">
        <v>0</v>
      </c>
      <c r="Y5" s="5">
        <v>16.839553512667639</v>
      </c>
      <c r="Z5" s="5">
        <v>967.9730042920246</v>
      </c>
      <c r="AA5" s="35"/>
    </row>
    <row r="6" spans="2:27" x14ac:dyDescent="0.2">
      <c r="B6" s="4">
        <v>3</v>
      </c>
      <c r="C6" s="4">
        <v>460</v>
      </c>
      <c r="D6" s="23">
        <v>36198.979115424831</v>
      </c>
      <c r="E6" s="33">
        <v>9.9118334000195318E-2</v>
      </c>
      <c r="F6" s="5">
        <v>3</v>
      </c>
      <c r="G6" s="23">
        <v>100</v>
      </c>
      <c r="H6" s="33">
        <v>0</v>
      </c>
      <c r="I6" s="23">
        <v>7.611962625483975</v>
      </c>
      <c r="J6" s="5">
        <v>826.36461685403754</v>
      </c>
      <c r="K6" s="31"/>
      <c r="L6" s="23">
        <v>36198.979115424831</v>
      </c>
      <c r="M6" s="33">
        <v>0.11061104199688999</v>
      </c>
      <c r="N6" s="5">
        <v>3</v>
      </c>
      <c r="O6" s="5">
        <v>100</v>
      </c>
      <c r="P6" s="33">
        <v>0</v>
      </c>
      <c r="Q6" s="5">
        <v>7.611962625483975</v>
      </c>
      <c r="R6" s="5">
        <v>826.36461685403754</v>
      </c>
      <c r="S6" s="31"/>
      <c r="T6" s="23">
        <v>38407.582651309283</v>
      </c>
      <c r="U6" s="33">
        <v>8.1484874997840961E-2</v>
      </c>
      <c r="V6" s="5">
        <v>1</v>
      </c>
      <c r="W6" s="5">
        <v>50</v>
      </c>
      <c r="X6" s="33">
        <v>0</v>
      </c>
      <c r="Y6" s="5">
        <v>16.839553512667639</v>
      </c>
      <c r="Z6" s="5">
        <v>967.9730042920246</v>
      </c>
      <c r="AA6" s="35"/>
    </row>
    <row r="7" spans="2:27" x14ac:dyDescent="0.2">
      <c r="B7" s="4">
        <v>4</v>
      </c>
      <c r="C7" s="4">
        <v>499</v>
      </c>
      <c r="D7" s="23">
        <v>36198.979115424831</v>
      </c>
      <c r="E7" s="33">
        <v>6.4549167000222951E-2</v>
      </c>
      <c r="F7" s="5">
        <v>3</v>
      </c>
      <c r="G7" s="23">
        <v>100</v>
      </c>
      <c r="H7" s="33">
        <v>0</v>
      </c>
      <c r="I7" s="23">
        <v>7.611962625483975</v>
      </c>
      <c r="J7" s="5">
        <v>826.36461685403754</v>
      </c>
      <c r="K7" s="31"/>
      <c r="L7" s="23">
        <v>36198.979115424831</v>
      </c>
      <c r="M7" s="33">
        <v>7.2157291997427819E-2</v>
      </c>
      <c r="N7" s="5">
        <v>3</v>
      </c>
      <c r="O7" s="5">
        <v>100</v>
      </c>
      <c r="P7" s="33">
        <v>0</v>
      </c>
      <c r="Q7" s="5">
        <v>7.611962625483975</v>
      </c>
      <c r="R7" s="5">
        <v>826.36461685403754</v>
      </c>
      <c r="S7" s="31"/>
      <c r="T7" s="23">
        <v>38407.582651309283</v>
      </c>
      <c r="U7" s="33">
        <v>8.4177916000044206E-2</v>
      </c>
      <c r="V7" s="5">
        <v>1</v>
      </c>
      <c r="W7" s="5">
        <v>50</v>
      </c>
      <c r="X7" s="33">
        <v>0</v>
      </c>
      <c r="Y7" s="5">
        <v>16.839553512667639</v>
      </c>
      <c r="Z7" s="5">
        <v>967.9730042920246</v>
      </c>
      <c r="AA7" s="35"/>
    </row>
    <row r="8" spans="2:27" x14ac:dyDescent="0.2">
      <c r="B8" s="4">
        <v>5</v>
      </c>
      <c r="C8" s="4">
        <v>505</v>
      </c>
      <c r="D8" s="23">
        <v>36198.979115424831</v>
      </c>
      <c r="E8" s="33">
        <v>7.9325041000629426E-2</v>
      </c>
      <c r="F8" s="5">
        <v>3</v>
      </c>
      <c r="G8" s="23">
        <v>100</v>
      </c>
      <c r="H8" s="33">
        <v>0</v>
      </c>
      <c r="I8" s="23">
        <v>7.611962625483975</v>
      </c>
      <c r="J8" s="5">
        <v>826.36461685403754</v>
      </c>
      <c r="K8" s="31"/>
      <c r="L8" s="23">
        <v>36198.979115424831</v>
      </c>
      <c r="M8" s="33">
        <v>8.7750875001802342E-2</v>
      </c>
      <c r="N8" s="5">
        <v>3</v>
      </c>
      <c r="O8" s="5">
        <v>100</v>
      </c>
      <c r="P8" s="33">
        <v>0</v>
      </c>
      <c r="Q8" s="5">
        <v>7.611962625483975</v>
      </c>
      <c r="R8" s="5">
        <v>826.36461685403754</v>
      </c>
      <c r="S8" s="31"/>
      <c r="T8" s="23">
        <v>38407.582651309283</v>
      </c>
      <c r="U8" s="33">
        <v>8.0597750002198154E-2</v>
      </c>
      <c r="V8" s="5">
        <v>1</v>
      </c>
      <c r="W8" s="5">
        <v>50</v>
      </c>
      <c r="X8" s="33">
        <v>0</v>
      </c>
      <c r="Y8" s="5">
        <v>16.839553512667639</v>
      </c>
      <c r="Z8" s="5">
        <v>967.9730042920246</v>
      </c>
      <c r="AA8" s="35"/>
    </row>
    <row r="9" spans="2:27" x14ac:dyDescent="0.2">
      <c r="B9" s="4">
        <v>6</v>
      </c>
      <c r="C9" s="4">
        <v>524</v>
      </c>
      <c r="D9" s="23">
        <v>36983.056200646017</v>
      </c>
      <c r="E9" s="33">
        <v>5.3310915999645658E-2</v>
      </c>
      <c r="F9" s="5">
        <v>3</v>
      </c>
      <c r="G9" s="23">
        <v>100</v>
      </c>
      <c r="H9" s="33">
        <v>0</v>
      </c>
      <c r="I9" s="23">
        <v>7.3795583669263722</v>
      </c>
      <c r="J9" s="5">
        <v>886.32607260335897</v>
      </c>
      <c r="K9" s="31"/>
      <c r="L9" s="23">
        <v>36983.056200646017</v>
      </c>
      <c r="M9" s="33">
        <v>5.8743249999679392E-2</v>
      </c>
      <c r="N9" s="5">
        <v>3</v>
      </c>
      <c r="O9" s="5">
        <v>100</v>
      </c>
      <c r="P9" s="33">
        <v>0</v>
      </c>
      <c r="Q9" s="5">
        <v>7.3795583669263722</v>
      </c>
      <c r="R9" s="5">
        <v>886.32607260335897</v>
      </c>
      <c r="S9" s="31"/>
      <c r="T9" s="23">
        <v>39021.447484404744</v>
      </c>
      <c r="U9" s="33">
        <v>4.0997333999257528E-2</v>
      </c>
      <c r="V9" s="5">
        <v>2</v>
      </c>
      <c r="W9" s="5">
        <v>80</v>
      </c>
      <c r="X9" s="33">
        <v>0</v>
      </c>
      <c r="Y9" s="5">
        <v>17.262004163620972</v>
      </c>
      <c r="Z9" s="5">
        <v>1457.2115208923774</v>
      </c>
      <c r="AA9" s="35"/>
    </row>
    <row r="10" spans="2:27" x14ac:dyDescent="0.2">
      <c r="B10" s="4">
        <v>7</v>
      </c>
      <c r="C10" s="4">
        <v>559</v>
      </c>
      <c r="D10" s="23">
        <v>36198.979115424831</v>
      </c>
      <c r="E10" s="33">
        <v>4.8721500000283413E-2</v>
      </c>
      <c r="F10" s="5">
        <v>3</v>
      </c>
      <c r="G10" s="23">
        <v>100</v>
      </c>
      <c r="H10" s="33">
        <v>0</v>
      </c>
      <c r="I10" s="23">
        <v>7.611962625483975</v>
      </c>
      <c r="J10" s="5">
        <v>826.36461685403754</v>
      </c>
      <c r="K10" s="31"/>
      <c r="L10" s="23">
        <v>36198.979115424831</v>
      </c>
      <c r="M10" s="33">
        <v>5.4215542000747519E-2</v>
      </c>
      <c r="N10" s="5">
        <v>3</v>
      </c>
      <c r="O10" s="5">
        <v>100</v>
      </c>
      <c r="P10" s="33">
        <v>0</v>
      </c>
      <c r="Q10" s="5">
        <v>7.611962625483975</v>
      </c>
      <c r="R10" s="5">
        <v>826.36461685403754</v>
      </c>
      <c r="S10" s="31"/>
      <c r="T10" s="23">
        <v>38407.582651309283</v>
      </c>
      <c r="U10" s="33">
        <v>6.7491625002730871E-2</v>
      </c>
      <c r="V10" s="5">
        <v>1</v>
      </c>
      <c r="W10" s="5">
        <v>50</v>
      </c>
      <c r="X10" s="33">
        <v>0</v>
      </c>
      <c r="Y10" s="5">
        <v>16.839553512667639</v>
      </c>
      <c r="Z10" s="5">
        <v>967.9730042920246</v>
      </c>
      <c r="AA10" s="35"/>
    </row>
    <row r="11" spans="2:27" x14ac:dyDescent="0.2">
      <c r="B11" s="4">
        <v>8</v>
      </c>
      <c r="C11" s="4">
        <v>628</v>
      </c>
      <c r="D11" s="23">
        <v>36198.979115424831</v>
      </c>
      <c r="E11" s="33">
        <v>5.8276208000279439E-2</v>
      </c>
      <c r="F11" s="5">
        <v>3</v>
      </c>
      <c r="G11" s="23">
        <v>100</v>
      </c>
      <c r="H11" s="33">
        <v>0</v>
      </c>
      <c r="I11" s="23">
        <v>7.611962625483975</v>
      </c>
      <c r="J11" s="5">
        <v>826.36461685403754</v>
      </c>
      <c r="K11" s="31"/>
      <c r="L11" s="23">
        <v>36198.979115424831</v>
      </c>
      <c r="M11" s="33">
        <v>6.5108875001897104E-2</v>
      </c>
      <c r="N11" s="5">
        <v>3</v>
      </c>
      <c r="O11" s="5">
        <v>100</v>
      </c>
      <c r="P11" s="33">
        <v>0</v>
      </c>
      <c r="Q11" s="5">
        <v>7.611962625483975</v>
      </c>
      <c r="R11" s="5">
        <v>826.36461685403754</v>
      </c>
      <c r="S11" s="31"/>
      <c r="T11" s="23">
        <v>39021.447484404744</v>
      </c>
      <c r="U11" s="33">
        <v>4.9057625001296401E-2</v>
      </c>
      <c r="V11" s="5">
        <v>2</v>
      </c>
      <c r="W11" s="5">
        <v>80</v>
      </c>
      <c r="X11" s="33">
        <v>0</v>
      </c>
      <c r="Y11" s="5">
        <v>17.262004163620972</v>
      </c>
      <c r="Z11" s="5">
        <v>1457.2115208923774</v>
      </c>
      <c r="AA11" s="35"/>
    </row>
    <row r="12" spans="2:27" x14ac:dyDescent="0.2">
      <c r="B12" s="4">
        <v>9</v>
      </c>
      <c r="C12" s="4">
        <v>868</v>
      </c>
      <c r="D12" s="23">
        <v>36198.979115424831</v>
      </c>
      <c r="E12" s="33">
        <v>5.4391124999710883E-2</v>
      </c>
      <c r="F12" s="5">
        <v>3</v>
      </c>
      <c r="G12" s="23">
        <v>100</v>
      </c>
      <c r="H12" s="33">
        <v>0</v>
      </c>
      <c r="I12" s="23">
        <v>7.611962625483975</v>
      </c>
      <c r="J12" s="5">
        <v>826.36461685403754</v>
      </c>
      <c r="K12" s="31"/>
      <c r="L12" s="23">
        <v>36198.979115424831</v>
      </c>
      <c r="M12" s="33">
        <v>5.7869083000696257E-2</v>
      </c>
      <c r="N12" s="5">
        <v>3</v>
      </c>
      <c r="O12" s="5">
        <v>100</v>
      </c>
      <c r="P12" s="33">
        <v>0</v>
      </c>
      <c r="Q12" s="5">
        <v>7.611962625483975</v>
      </c>
      <c r="R12" s="5">
        <v>826.36461685403754</v>
      </c>
      <c r="S12" s="31"/>
      <c r="T12" s="23">
        <v>38407.582651309283</v>
      </c>
      <c r="U12" s="33">
        <v>7.1825082999566803E-2</v>
      </c>
      <c r="V12" s="5">
        <v>1</v>
      </c>
      <c r="W12" s="5">
        <v>50</v>
      </c>
      <c r="X12" s="33">
        <v>0</v>
      </c>
      <c r="Y12" s="5">
        <v>16.839553512667639</v>
      </c>
      <c r="Z12" s="5">
        <v>967.9730042920246</v>
      </c>
      <c r="AA12" s="35"/>
    </row>
    <row r="13" spans="2:27" x14ac:dyDescent="0.2">
      <c r="B13" s="4">
        <v>10</v>
      </c>
      <c r="C13" s="4">
        <v>882</v>
      </c>
      <c r="D13" s="23">
        <v>36353.411012778379</v>
      </c>
      <c r="E13" s="33">
        <v>4.2174750000413042E-2</v>
      </c>
      <c r="F13" s="5">
        <v>3</v>
      </c>
      <c r="G13" s="23">
        <v>100</v>
      </c>
      <c r="H13" s="33">
        <v>0</v>
      </c>
      <c r="I13" s="23">
        <v>6.8765372502382904</v>
      </c>
      <c r="J13" s="5">
        <v>820.15398189292614</v>
      </c>
      <c r="K13" s="31"/>
      <c r="L13" s="23">
        <v>36353.411012778379</v>
      </c>
      <c r="M13" s="33">
        <v>4.6075999998720363E-2</v>
      </c>
      <c r="N13" s="5">
        <v>3</v>
      </c>
      <c r="O13" s="5">
        <v>100</v>
      </c>
      <c r="P13" s="33">
        <v>0</v>
      </c>
      <c r="Q13" s="5">
        <v>6.8765372502382904</v>
      </c>
      <c r="R13" s="5">
        <v>820.15398189292614</v>
      </c>
      <c r="S13" s="31"/>
      <c r="T13" s="23">
        <v>38407.582651309283</v>
      </c>
      <c r="U13" s="33">
        <v>6.0024375001376029E-2</v>
      </c>
      <c r="V13" s="5">
        <v>1</v>
      </c>
      <c r="W13" s="5">
        <v>50</v>
      </c>
      <c r="X13" s="33">
        <v>0</v>
      </c>
      <c r="Y13" s="5">
        <v>16.839553512667639</v>
      </c>
      <c r="Z13" s="5">
        <v>967.9730042920246</v>
      </c>
      <c r="AA13" s="35"/>
    </row>
    <row r="14" spans="2:27" x14ac:dyDescent="0.2">
      <c r="B14" s="46" t="s">
        <v>3</v>
      </c>
      <c r="C14" s="47"/>
      <c r="D14" s="9">
        <f>MIN(D4:D13)</f>
        <v>36198.979115424831</v>
      </c>
      <c r="E14" s="22">
        <f>INDEX(E4:E13, MATCH($D$14, D4:D13, 0))</f>
        <v>4.9783000000388711E-2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7.611962625483975</v>
      </c>
      <c r="J14" s="22">
        <f>INDEX(J4:J13, MATCH($D$14, D4:D13, 0))</f>
        <v>826.36461685403754</v>
      </c>
      <c r="K14" s="32">
        <f>(D14-$D$15)/$D$15</f>
        <v>0</v>
      </c>
      <c r="L14" s="16">
        <f>MIN(L4:L13)</f>
        <v>36198.979115424831</v>
      </c>
      <c r="M14" s="21">
        <f>INDEX(M4:M13, MATCH($L$14, L4:L13, 0))</f>
        <v>5.5231959002412623E-2</v>
      </c>
      <c r="N14" s="16">
        <f>INDEX(N4:N13, MATCH($L$14, L4:L13, 0))</f>
        <v>3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7.611962625483975</v>
      </c>
      <c r="R14" s="21">
        <f>INDEX(R4:R13, MATCH($L$14, L4:L13, 0))</f>
        <v>826.36461685403754</v>
      </c>
      <c r="S14" s="36">
        <f>(L14-$D$15)/$D$15</f>
        <v>0</v>
      </c>
      <c r="T14" s="38">
        <f>MIN(T4:T13)</f>
        <v>38407.582651309283</v>
      </c>
      <c r="U14" s="39">
        <f>INDEX(U4:U13, MATCH($T$14, T4:T13, 0))</f>
        <v>8.9479207999829669E-2</v>
      </c>
      <c r="V14" s="38">
        <f>INDEX(V4:V13, MATCH($T$14, T4:T13, 0))</f>
        <v>1</v>
      </c>
      <c r="W14" s="38">
        <f>INDEX(W4:W13, MATCH($T$14, T4:T13, 0))</f>
        <v>50</v>
      </c>
      <c r="X14" s="39">
        <f>INDEX(X4:X13, MATCH($T$14, T4:T13, 0))</f>
        <v>0</v>
      </c>
      <c r="Y14" s="39">
        <f>INDEX(Y4:Y13, MATCH($T$14, T4:T13, 0))</f>
        <v>16.839553512667639</v>
      </c>
      <c r="Z14" s="39">
        <f>INDEX(Z4:Z13, MATCH($T$14, T4:T13, 0))</f>
        <v>967.9730042920246</v>
      </c>
      <c r="AA14" s="40">
        <f>(T14-$D$15)/$D$15</f>
        <v>6.1012868038130386E-2</v>
      </c>
    </row>
    <row r="15" spans="2:27" x14ac:dyDescent="0.2">
      <c r="C15" s="1" t="s">
        <v>17</v>
      </c>
      <c r="D15" s="34">
        <v>36198.979115424831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85" priority="7"/>
    <cfRule type="duplicateValues" dxfId="84" priority="8"/>
  </conditionalFormatting>
  <conditionalFormatting sqref="C14">
    <cfRule type="duplicateValues" dxfId="83" priority="1"/>
    <cfRule type="duplicateValues" dxfId="82" priority="2"/>
  </conditionalFormatting>
  <conditionalFormatting sqref="C17">
    <cfRule type="duplicateValues" dxfId="81" priority="3"/>
    <cfRule type="duplicateValues" dxfId="8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14D2-9924-6847-B619-31E8422AA41E}">
  <dimension ref="B1:AA17"/>
  <sheetViews>
    <sheetView zoomScale="110" zoomScaleNormal="110" workbookViewId="0">
      <selection activeCell="A17" sqref="A17:XFD2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0.23025924801865422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176</v>
      </c>
      <c r="D4" s="23">
        <v>39213.357590855143</v>
      </c>
      <c r="E4" s="33">
        <v>7.6320709000356146E-2</v>
      </c>
      <c r="F4" s="5">
        <v>2</v>
      </c>
      <c r="G4" s="23">
        <v>70</v>
      </c>
      <c r="H4" s="33">
        <v>0</v>
      </c>
      <c r="I4" s="23">
        <v>8.5405808378697614</v>
      </c>
      <c r="J4" s="5">
        <v>919.75972619951426</v>
      </c>
      <c r="K4" s="31"/>
      <c r="L4" s="23">
        <v>39213.357590855143</v>
      </c>
      <c r="M4" s="33">
        <v>7.8375916000368306E-2</v>
      </c>
      <c r="N4" s="5">
        <v>2</v>
      </c>
      <c r="O4" s="5">
        <v>70</v>
      </c>
      <c r="P4" s="33">
        <v>0</v>
      </c>
      <c r="Q4" s="5">
        <v>8.5405808378697614</v>
      </c>
      <c r="R4" s="5">
        <v>919.75972619951426</v>
      </c>
      <c r="S4" s="31"/>
      <c r="T4" s="23">
        <v>39507.30748016994</v>
      </c>
      <c r="U4" s="33">
        <v>7.0282584001688519E-2</v>
      </c>
      <c r="V4" s="5">
        <v>2</v>
      </c>
      <c r="W4" s="5">
        <v>70</v>
      </c>
      <c r="X4" s="33">
        <v>0</v>
      </c>
      <c r="Y4" s="5">
        <v>12.371970186993305</v>
      </c>
      <c r="Z4" s="5">
        <v>1084.0276700237087</v>
      </c>
      <c r="AA4" s="35"/>
    </row>
    <row r="5" spans="2:27" x14ac:dyDescent="0.2">
      <c r="B5" s="4">
        <v>2</v>
      </c>
      <c r="C5" s="4">
        <v>185</v>
      </c>
      <c r="D5" s="23">
        <v>39492.450179816631</v>
      </c>
      <c r="E5" s="33">
        <v>4.7466125000028107E-2</v>
      </c>
      <c r="F5" s="5">
        <v>2</v>
      </c>
      <c r="G5" s="23">
        <v>70</v>
      </c>
      <c r="H5" s="33">
        <v>0</v>
      </c>
      <c r="I5" s="23">
        <v>7.0962751013183993</v>
      </c>
      <c r="J5" s="5">
        <v>892.55140006062084</v>
      </c>
      <c r="K5" s="31"/>
      <c r="L5" s="23">
        <v>39492.450179816631</v>
      </c>
      <c r="M5" s="33">
        <v>5.340379199697054E-2</v>
      </c>
      <c r="N5" s="5">
        <v>2</v>
      </c>
      <c r="O5" s="5">
        <v>70</v>
      </c>
      <c r="P5" s="33">
        <v>0</v>
      </c>
      <c r="Q5" s="5">
        <v>7.0962751013183993</v>
      </c>
      <c r="R5" s="5">
        <v>892.55140006062084</v>
      </c>
      <c r="S5" s="31"/>
      <c r="T5" s="23">
        <v>39417.484168678697</v>
      </c>
      <c r="U5" s="33">
        <v>4.5794041998306063E-2</v>
      </c>
      <c r="V5" s="5">
        <v>2</v>
      </c>
      <c r="W5" s="5">
        <v>70</v>
      </c>
      <c r="X5" s="33">
        <v>0</v>
      </c>
      <c r="Y5" s="5">
        <v>14.417598777818014</v>
      </c>
      <c r="Z5" s="5">
        <v>1131.5429091120577</v>
      </c>
      <c r="AA5" s="35"/>
    </row>
    <row r="6" spans="2:27" x14ac:dyDescent="0.2">
      <c r="B6" s="4">
        <v>3</v>
      </c>
      <c r="C6" s="4">
        <v>205</v>
      </c>
      <c r="D6" s="23">
        <v>39213.357590855143</v>
      </c>
      <c r="E6" s="33">
        <v>7.0337832999939565E-2</v>
      </c>
      <c r="F6" s="5">
        <v>2</v>
      </c>
      <c r="G6" s="23">
        <v>70</v>
      </c>
      <c r="H6" s="33">
        <v>0</v>
      </c>
      <c r="I6" s="23">
        <v>8.5405808378697614</v>
      </c>
      <c r="J6" s="5">
        <v>919.75972619951426</v>
      </c>
      <c r="K6" s="31"/>
      <c r="L6" s="23">
        <v>39213.357590855143</v>
      </c>
      <c r="M6" s="33">
        <v>7.8303458998561837E-2</v>
      </c>
      <c r="N6" s="5">
        <v>2</v>
      </c>
      <c r="O6" s="5">
        <v>70</v>
      </c>
      <c r="P6" s="33">
        <v>0</v>
      </c>
      <c r="Q6" s="5">
        <v>8.5405808378697614</v>
      </c>
      <c r="R6" s="5">
        <v>919.75972619951426</v>
      </c>
      <c r="S6" s="31"/>
      <c r="T6" s="23">
        <v>39417.484168678697</v>
      </c>
      <c r="U6" s="33">
        <v>9.2461791002278915E-2</v>
      </c>
      <c r="V6" s="5">
        <v>2</v>
      </c>
      <c r="W6" s="5">
        <v>70</v>
      </c>
      <c r="X6" s="33">
        <v>0</v>
      </c>
      <c r="Y6" s="5">
        <v>14.417598777818014</v>
      </c>
      <c r="Z6" s="5">
        <v>1131.5429091120577</v>
      </c>
      <c r="AA6" s="35"/>
    </row>
    <row r="7" spans="2:27" x14ac:dyDescent="0.2">
      <c r="B7" s="4">
        <v>4</v>
      </c>
      <c r="C7" s="4">
        <v>227</v>
      </c>
      <c r="D7" s="23">
        <v>39213.357590855143</v>
      </c>
      <c r="E7" s="33">
        <v>7.1526458000334969E-2</v>
      </c>
      <c r="F7" s="5">
        <v>2</v>
      </c>
      <c r="G7" s="23">
        <v>70</v>
      </c>
      <c r="H7" s="33">
        <v>0</v>
      </c>
      <c r="I7" s="23">
        <v>8.5405808378697614</v>
      </c>
      <c r="J7" s="5">
        <v>919.75972619951426</v>
      </c>
      <c r="K7" s="31"/>
      <c r="L7" s="23">
        <v>39213.357590855143</v>
      </c>
      <c r="M7" s="33">
        <v>7.4399500001163688E-2</v>
      </c>
      <c r="N7" s="5">
        <v>2</v>
      </c>
      <c r="O7" s="5">
        <v>70</v>
      </c>
      <c r="P7" s="33">
        <v>0</v>
      </c>
      <c r="Q7" s="5">
        <v>8.5405808378697614</v>
      </c>
      <c r="R7" s="5">
        <v>919.75972619951426</v>
      </c>
      <c r="S7" s="31"/>
      <c r="T7" s="23">
        <v>39417.484168678697</v>
      </c>
      <c r="U7" s="33">
        <v>8.4509457999956794E-2</v>
      </c>
      <c r="V7" s="5">
        <v>2</v>
      </c>
      <c r="W7" s="5">
        <v>70</v>
      </c>
      <c r="X7" s="33">
        <v>0</v>
      </c>
      <c r="Y7" s="5">
        <v>14.417598777818014</v>
      </c>
      <c r="Z7" s="5">
        <v>1131.5429091120577</v>
      </c>
      <c r="AA7" s="35"/>
    </row>
    <row r="8" spans="2:27" x14ac:dyDescent="0.2">
      <c r="B8" s="4">
        <v>5</v>
      </c>
      <c r="C8" s="4">
        <v>489</v>
      </c>
      <c r="D8" s="23">
        <v>39213.357590855143</v>
      </c>
      <c r="E8" s="33">
        <v>8.0397333000291837E-2</v>
      </c>
      <c r="F8" s="5">
        <v>2</v>
      </c>
      <c r="G8" s="23">
        <v>70</v>
      </c>
      <c r="H8" s="33">
        <v>0</v>
      </c>
      <c r="I8" s="23">
        <v>8.5405808378697614</v>
      </c>
      <c r="J8" s="5">
        <v>919.75972619951426</v>
      </c>
      <c r="K8" s="31"/>
      <c r="L8" s="23">
        <v>39213.357590855143</v>
      </c>
      <c r="M8" s="33">
        <v>8.9258541996969143E-2</v>
      </c>
      <c r="N8" s="5">
        <v>2</v>
      </c>
      <c r="O8" s="5">
        <v>70</v>
      </c>
      <c r="P8" s="33">
        <v>0</v>
      </c>
      <c r="Q8" s="5">
        <v>8.5405808378697614</v>
      </c>
      <c r="R8" s="5">
        <v>919.75972619951426</v>
      </c>
      <c r="S8" s="31"/>
      <c r="T8" s="23">
        <v>39417.484168678697</v>
      </c>
      <c r="U8" s="33">
        <v>7.9494249999697786E-2</v>
      </c>
      <c r="V8" s="5">
        <v>2</v>
      </c>
      <c r="W8" s="5">
        <v>70</v>
      </c>
      <c r="X8" s="33">
        <v>0</v>
      </c>
      <c r="Y8" s="5">
        <v>14.417598777818014</v>
      </c>
      <c r="Z8" s="5">
        <v>1131.5429091120577</v>
      </c>
      <c r="AA8" s="35"/>
    </row>
    <row r="9" spans="2:27" x14ac:dyDescent="0.2">
      <c r="B9" s="4">
        <v>6</v>
      </c>
      <c r="C9" s="4">
        <v>491</v>
      </c>
      <c r="D9" s="23">
        <v>39213.357590855143</v>
      </c>
      <c r="E9" s="33">
        <v>5.2881833000355982E-2</v>
      </c>
      <c r="F9" s="5">
        <v>2</v>
      </c>
      <c r="G9" s="23">
        <v>70</v>
      </c>
      <c r="H9" s="33">
        <v>0</v>
      </c>
      <c r="I9" s="23">
        <v>8.5405808378697614</v>
      </c>
      <c r="J9" s="5">
        <v>919.75972619951426</v>
      </c>
      <c r="K9" s="31"/>
      <c r="L9" s="23">
        <v>39213.357590855143</v>
      </c>
      <c r="M9" s="33">
        <v>5.8414625000295928E-2</v>
      </c>
      <c r="N9" s="5">
        <v>2</v>
      </c>
      <c r="O9" s="5">
        <v>70</v>
      </c>
      <c r="P9" s="33">
        <v>0</v>
      </c>
      <c r="Q9" s="5">
        <v>8.5405808378697614</v>
      </c>
      <c r="R9" s="5">
        <v>919.75972619951426</v>
      </c>
      <c r="S9" s="31"/>
      <c r="T9" s="23">
        <v>39507.30748016994</v>
      </c>
      <c r="U9" s="33">
        <v>5.3841000000829808E-2</v>
      </c>
      <c r="V9" s="5">
        <v>2</v>
      </c>
      <c r="W9" s="5">
        <v>70</v>
      </c>
      <c r="X9" s="33">
        <v>0</v>
      </c>
      <c r="Y9" s="5">
        <v>12.371970186993305</v>
      </c>
      <c r="Z9" s="5">
        <v>1084.0276700237087</v>
      </c>
      <c r="AA9" s="35"/>
    </row>
    <row r="10" spans="2:27" x14ac:dyDescent="0.2">
      <c r="B10" s="4">
        <v>7</v>
      </c>
      <c r="C10" s="4">
        <v>696</v>
      </c>
      <c r="D10" s="23">
        <v>39248.408421163163</v>
      </c>
      <c r="E10" s="33">
        <v>6.5340666999873065E-2</v>
      </c>
      <c r="F10" s="5">
        <v>2</v>
      </c>
      <c r="G10" s="23">
        <v>70</v>
      </c>
      <c r="H10" s="33">
        <v>0</v>
      </c>
      <c r="I10" s="23">
        <v>7.4931519343165576</v>
      </c>
      <c r="J10" s="5">
        <v>893.80214429436182</v>
      </c>
      <c r="K10" s="31"/>
      <c r="L10" s="23">
        <v>39248.408421163163</v>
      </c>
      <c r="M10" s="33">
        <v>7.0687666000594618E-2</v>
      </c>
      <c r="N10" s="5">
        <v>2</v>
      </c>
      <c r="O10" s="5">
        <v>70</v>
      </c>
      <c r="P10" s="33">
        <v>0</v>
      </c>
      <c r="Q10" s="5">
        <v>7.4931519343165576</v>
      </c>
      <c r="R10" s="5">
        <v>893.80214429436182</v>
      </c>
      <c r="S10" s="31"/>
      <c r="T10" s="23">
        <v>39417.484168678697</v>
      </c>
      <c r="U10" s="33">
        <v>7.5183750002906891E-2</v>
      </c>
      <c r="V10" s="5">
        <v>2</v>
      </c>
      <c r="W10" s="5">
        <v>70</v>
      </c>
      <c r="X10" s="33">
        <v>0</v>
      </c>
      <c r="Y10" s="5">
        <v>14.417598777818014</v>
      </c>
      <c r="Z10" s="5">
        <v>1131.5429091120577</v>
      </c>
      <c r="AA10" s="35"/>
    </row>
    <row r="11" spans="2:27" x14ac:dyDescent="0.2">
      <c r="B11" s="4">
        <v>8</v>
      </c>
      <c r="C11" s="4">
        <v>743</v>
      </c>
      <c r="D11" s="23">
        <v>39213.357590855143</v>
      </c>
      <c r="E11" s="33">
        <v>5.8925416000420228E-2</v>
      </c>
      <c r="F11" s="5">
        <v>2</v>
      </c>
      <c r="G11" s="23">
        <v>70</v>
      </c>
      <c r="H11" s="33">
        <v>0</v>
      </c>
      <c r="I11" s="23">
        <v>8.5405808378697614</v>
      </c>
      <c r="J11" s="5">
        <v>919.75972619951426</v>
      </c>
      <c r="K11" s="31"/>
      <c r="L11" s="23">
        <v>39213.357590855143</v>
      </c>
      <c r="M11" s="33">
        <v>6.5098999999463558E-2</v>
      </c>
      <c r="N11" s="5">
        <v>2</v>
      </c>
      <c r="O11" s="5">
        <v>70</v>
      </c>
      <c r="P11" s="33">
        <v>0</v>
      </c>
      <c r="Q11" s="5">
        <v>8.5405808378697614</v>
      </c>
      <c r="R11" s="5">
        <v>919.75972619951426</v>
      </c>
      <c r="S11" s="31"/>
      <c r="T11" s="23">
        <v>39417.484168678697</v>
      </c>
      <c r="U11" s="33">
        <v>5.9250375001283828E-2</v>
      </c>
      <c r="V11" s="5">
        <v>2</v>
      </c>
      <c r="W11" s="5">
        <v>70</v>
      </c>
      <c r="X11" s="33">
        <v>0</v>
      </c>
      <c r="Y11" s="5">
        <v>14.417598777818014</v>
      </c>
      <c r="Z11" s="5">
        <v>1131.5429091120577</v>
      </c>
      <c r="AA11" s="35"/>
    </row>
    <row r="12" spans="2:27" x14ac:dyDescent="0.2">
      <c r="B12" s="4">
        <v>9</v>
      </c>
      <c r="C12" s="4">
        <v>810</v>
      </c>
      <c r="D12" s="23">
        <v>39213.357590855143</v>
      </c>
      <c r="E12" s="33">
        <v>0.1064244159997543</v>
      </c>
      <c r="F12" s="5">
        <v>2</v>
      </c>
      <c r="G12" s="23">
        <v>70</v>
      </c>
      <c r="H12" s="33">
        <v>0</v>
      </c>
      <c r="I12" s="23">
        <v>8.5405808378697614</v>
      </c>
      <c r="J12" s="5">
        <v>919.75972619951426</v>
      </c>
      <c r="K12" s="31"/>
      <c r="L12" s="23">
        <v>39213.357590855143</v>
      </c>
      <c r="M12" s="33">
        <v>0.1164731659991958</v>
      </c>
      <c r="N12" s="5">
        <v>2</v>
      </c>
      <c r="O12" s="5">
        <v>70</v>
      </c>
      <c r="P12" s="33">
        <v>0</v>
      </c>
      <c r="Q12" s="5">
        <v>8.5405808378697614</v>
      </c>
      <c r="R12" s="5">
        <v>919.75972619951426</v>
      </c>
      <c r="S12" s="31"/>
      <c r="T12" s="23">
        <v>39417.484168678697</v>
      </c>
      <c r="U12" s="33">
        <v>9.4352083000558196E-2</v>
      </c>
      <c r="V12" s="5">
        <v>2</v>
      </c>
      <c r="W12" s="5">
        <v>70</v>
      </c>
      <c r="X12" s="33">
        <v>0</v>
      </c>
      <c r="Y12" s="5">
        <v>14.417598777818014</v>
      </c>
      <c r="Z12" s="5">
        <v>1131.5429091120577</v>
      </c>
      <c r="AA12" s="35"/>
    </row>
    <row r="13" spans="2:27" x14ac:dyDescent="0.2">
      <c r="B13" s="4">
        <v>10</v>
      </c>
      <c r="C13" s="4">
        <v>838</v>
      </c>
      <c r="D13" s="23">
        <v>39505.528217884937</v>
      </c>
      <c r="E13" s="33">
        <v>5.5814416999965033E-2</v>
      </c>
      <c r="F13" s="5">
        <v>2</v>
      </c>
      <c r="G13" s="23">
        <v>70</v>
      </c>
      <c r="H13" s="33">
        <v>0</v>
      </c>
      <c r="I13" s="23">
        <v>9.5793182649919455</v>
      </c>
      <c r="J13" s="5">
        <v>970.71310877565179</v>
      </c>
      <c r="K13" s="31"/>
      <c r="L13" s="23">
        <v>39505.528217884937</v>
      </c>
      <c r="M13" s="33">
        <v>5.9937250000075437E-2</v>
      </c>
      <c r="N13" s="5">
        <v>2</v>
      </c>
      <c r="O13" s="5">
        <v>70</v>
      </c>
      <c r="P13" s="33">
        <v>0</v>
      </c>
      <c r="Q13" s="5">
        <v>9.5793182649919455</v>
      </c>
      <c r="R13" s="5">
        <v>970.71310877565179</v>
      </c>
      <c r="S13" s="31"/>
      <c r="T13" s="23">
        <v>39507.30748016994</v>
      </c>
      <c r="U13" s="33">
        <v>5.5492458999651717E-2</v>
      </c>
      <c r="V13" s="5">
        <v>2</v>
      </c>
      <c r="W13" s="5">
        <v>70</v>
      </c>
      <c r="X13" s="33">
        <v>0</v>
      </c>
      <c r="Y13" s="5">
        <v>12.371970186993305</v>
      </c>
      <c r="Z13" s="5">
        <v>1084.0276700237087</v>
      </c>
      <c r="AA13" s="35"/>
    </row>
    <row r="14" spans="2:27" x14ac:dyDescent="0.2">
      <c r="B14" s="46" t="s">
        <v>3</v>
      </c>
      <c r="C14" s="47"/>
      <c r="D14" s="9">
        <f>MIN(D4:D13)</f>
        <v>39213.357590855143</v>
      </c>
      <c r="E14" s="22">
        <f>INDEX(E4:E13, MATCH($D$14, D4:D13, 0))</f>
        <v>7.6320709000356146E-2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8.5405808378697614</v>
      </c>
      <c r="J14" s="22">
        <f>INDEX(J4:J13, MATCH($D$14, D4:D13, 0))</f>
        <v>919.75972619951426</v>
      </c>
      <c r="K14" s="32">
        <f>(D14-$D$15)/$D$15</f>
        <v>0</v>
      </c>
      <c r="L14" s="16">
        <f>MIN(L4:L13)</f>
        <v>39213.357590855143</v>
      </c>
      <c r="M14" s="21">
        <f>INDEX(M4:M13, MATCH($L$14, L4:L13, 0))</f>
        <v>7.8375916000368306E-2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8.5405808378697614</v>
      </c>
      <c r="R14" s="21">
        <f>INDEX(R4:R13, MATCH($L$14, L4:L13, 0))</f>
        <v>919.75972619951426</v>
      </c>
      <c r="S14" s="36">
        <f>(L14-$D$15)/$D$15</f>
        <v>0</v>
      </c>
      <c r="T14" s="38">
        <f>MIN(T4:T13)</f>
        <v>39417.484168678697</v>
      </c>
      <c r="U14" s="39">
        <f>INDEX(U4:U13, MATCH($T$14, T4:T13, 0))</f>
        <v>4.5794041998306063E-2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14.417598777818014</v>
      </c>
      <c r="Z14" s="39">
        <f>INDEX(Z4:Z13, MATCH($T$14, T4:T13, 0))</f>
        <v>1131.5429091120577</v>
      </c>
      <c r="AA14" s="40">
        <f>(T14-$D$15)/$D$15</f>
        <v>5.2055368467391252E-3</v>
      </c>
    </row>
    <row r="15" spans="2:27" x14ac:dyDescent="0.2">
      <c r="C15" s="1" t="s">
        <v>17</v>
      </c>
      <c r="D15" s="34">
        <v>39213.357590855143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79" priority="7"/>
    <cfRule type="duplicateValues" dxfId="78" priority="8"/>
  </conditionalFormatting>
  <conditionalFormatting sqref="C14">
    <cfRule type="duplicateValues" dxfId="77" priority="1"/>
    <cfRule type="duplicateValues" dxfId="76" priority="2"/>
  </conditionalFormatting>
  <conditionalFormatting sqref="C17">
    <cfRule type="duplicateValues" dxfId="75" priority="3"/>
    <cfRule type="duplicateValues" dxfId="7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3135-7C03-E948-9F50-A5DCEB552C15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-1.000000424989915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0.3828078349331272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30</v>
      </c>
      <c r="D4" s="23">
        <v>43294.816860118</v>
      </c>
      <c r="E4" s="33">
        <v>6.0758999999961823E-2</v>
      </c>
      <c r="F4" s="5">
        <v>2</v>
      </c>
      <c r="G4" s="23">
        <v>60</v>
      </c>
      <c r="H4" s="33">
        <v>0</v>
      </c>
      <c r="I4" s="23">
        <v>8.7371478319164488</v>
      </c>
      <c r="J4" s="5">
        <v>852.13798200364079</v>
      </c>
      <c r="K4" s="31"/>
      <c r="L4" s="23">
        <v>43294.816860118</v>
      </c>
      <c r="M4" s="33">
        <v>6.4693416003137827E-2</v>
      </c>
      <c r="N4" s="5">
        <v>2</v>
      </c>
      <c r="O4" s="5">
        <v>60</v>
      </c>
      <c r="P4" s="33">
        <v>0</v>
      </c>
      <c r="Q4" s="5">
        <v>8.7371478319164488</v>
      </c>
      <c r="R4" s="5">
        <v>852.13798200364079</v>
      </c>
      <c r="S4" s="31"/>
      <c r="T4" s="23">
        <v>43817.855599271708</v>
      </c>
      <c r="U4" s="33">
        <v>5.7431042001553578E-2</v>
      </c>
      <c r="V4" s="5">
        <v>2</v>
      </c>
      <c r="W4" s="5">
        <v>60</v>
      </c>
      <c r="X4" s="33">
        <v>40.76345911394818</v>
      </c>
      <c r="Y4" s="5">
        <v>16.339150550099884</v>
      </c>
      <c r="Z4" s="5">
        <v>1178.3430779587386</v>
      </c>
      <c r="AA4" s="35"/>
    </row>
    <row r="5" spans="2:27" x14ac:dyDescent="0.2">
      <c r="B5" s="4">
        <v>2</v>
      </c>
      <c r="C5" s="4">
        <v>126</v>
      </c>
      <c r="D5" s="23">
        <v>43310.501760430867</v>
      </c>
      <c r="E5" s="33">
        <v>4.4503209000140487E-2</v>
      </c>
      <c r="F5" s="5">
        <v>2</v>
      </c>
      <c r="G5" s="23">
        <v>60</v>
      </c>
      <c r="H5" s="33">
        <v>0</v>
      </c>
      <c r="I5" s="23">
        <v>10.091700147595338</v>
      </c>
      <c r="J5" s="5">
        <v>902.24206652263513</v>
      </c>
      <c r="K5" s="31"/>
      <c r="L5" s="23">
        <v>43310.501760430867</v>
      </c>
      <c r="M5" s="33">
        <v>4.9839041999803158E-2</v>
      </c>
      <c r="N5" s="5">
        <v>2</v>
      </c>
      <c r="O5" s="5">
        <v>60</v>
      </c>
      <c r="P5" s="33">
        <v>0</v>
      </c>
      <c r="Q5" s="5">
        <v>10.091700147595338</v>
      </c>
      <c r="R5" s="5">
        <v>902.24206652263513</v>
      </c>
      <c r="S5" s="31"/>
      <c r="T5" s="23">
        <v>43817.855599271708</v>
      </c>
      <c r="U5" s="33">
        <v>4.978379200110794E-2</v>
      </c>
      <c r="V5" s="5">
        <v>2</v>
      </c>
      <c r="W5" s="5">
        <v>60</v>
      </c>
      <c r="X5" s="33">
        <v>40.76345911394818</v>
      </c>
      <c r="Y5" s="5">
        <v>16.339150550099884</v>
      </c>
      <c r="Z5" s="5">
        <v>1178.3430779587386</v>
      </c>
      <c r="AA5" s="35"/>
    </row>
    <row r="6" spans="2:27" x14ac:dyDescent="0.2">
      <c r="B6" s="4">
        <v>3</v>
      </c>
      <c r="C6" s="4">
        <v>380</v>
      </c>
      <c r="D6" s="23">
        <v>43294.816860118</v>
      </c>
      <c r="E6" s="33">
        <v>4.0907791999416077E-2</v>
      </c>
      <c r="F6" s="5">
        <v>2</v>
      </c>
      <c r="G6" s="23">
        <v>60</v>
      </c>
      <c r="H6" s="33">
        <v>0</v>
      </c>
      <c r="I6" s="23">
        <v>8.7371478319164488</v>
      </c>
      <c r="J6" s="5">
        <v>852.13798200364079</v>
      </c>
      <c r="K6" s="31"/>
      <c r="L6" s="23">
        <v>43294.816860118</v>
      </c>
      <c r="M6" s="33">
        <v>4.5111750001524342E-2</v>
      </c>
      <c r="N6" s="5">
        <v>2</v>
      </c>
      <c r="O6" s="5">
        <v>60</v>
      </c>
      <c r="P6" s="33">
        <v>0</v>
      </c>
      <c r="Q6" s="5">
        <v>8.7371478319164488</v>
      </c>
      <c r="R6" s="5">
        <v>852.13798200364079</v>
      </c>
      <c r="S6" s="31"/>
      <c r="T6" s="23">
        <v>43817.855599271708</v>
      </c>
      <c r="U6" s="33">
        <v>4.7850499999185558E-2</v>
      </c>
      <c r="V6" s="5">
        <v>2</v>
      </c>
      <c r="W6" s="5">
        <v>60</v>
      </c>
      <c r="X6" s="33">
        <v>40.76345911394818</v>
      </c>
      <c r="Y6" s="5">
        <v>16.339150550099884</v>
      </c>
      <c r="Z6" s="5">
        <v>1178.3430779587386</v>
      </c>
      <c r="AA6" s="35"/>
    </row>
    <row r="7" spans="2:27" x14ac:dyDescent="0.2">
      <c r="B7" s="4">
        <v>4</v>
      </c>
      <c r="C7" s="4">
        <v>413</v>
      </c>
      <c r="D7" s="23">
        <v>43310.501760430867</v>
      </c>
      <c r="E7" s="33">
        <v>6.721324999944045E-2</v>
      </c>
      <c r="F7" s="5">
        <v>2</v>
      </c>
      <c r="G7" s="23">
        <v>60</v>
      </c>
      <c r="H7" s="33">
        <v>0</v>
      </c>
      <c r="I7" s="23">
        <v>10.091700147595338</v>
      </c>
      <c r="J7" s="5">
        <v>902.24206652263513</v>
      </c>
      <c r="K7" s="31"/>
      <c r="L7" s="23">
        <v>43310.501760430867</v>
      </c>
      <c r="M7" s="33">
        <v>7.5266624997311737E-2</v>
      </c>
      <c r="N7" s="5">
        <v>2</v>
      </c>
      <c r="O7" s="5">
        <v>60</v>
      </c>
      <c r="P7" s="33">
        <v>0</v>
      </c>
      <c r="Q7" s="5">
        <v>10.091700147595338</v>
      </c>
      <c r="R7" s="5">
        <v>902.24206652263513</v>
      </c>
      <c r="S7" s="31"/>
      <c r="T7" s="23">
        <v>44139.534673957838</v>
      </c>
      <c r="U7" s="33">
        <v>5.428366699925391E-2</v>
      </c>
      <c r="V7" s="5">
        <v>2</v>
      </c>
      <c r="W7" s="5">
        <v>60</v>
      </c>
      <c r="X7" s="33">
        <v>81.729904876305156</v>
      </c>
      <c r="Y7" s="5">
        <v>19.03223198171672</v>
      </c>
      <c r="Z7" s="5">
        <v>1301.2424152458095</v>
      </c>
      <c r="AA7" s="35"/>
    </row>
    <row r="8" spans="2:27" x14ac:dyDescent="0.2">
      <c r="B8" s="4">
        <v>5</v>
      </c>
      <c r="C8" s="4">
        <v>419</v>
      </c>
      <c r="D8" s="23">
        <v>43310.501760430867</v>
      </c>
      <c r="E8" s="33">
        <v>4.9839999999676372E-2</v>
      </c>
      <c r="F8" s="5">
        <v>2</v>
      </c>
      <c r="G8" s="23">
        <v>60</v>
      </c>
      <c r="H8" s="33">
        <v>0</v>
      </c>
      <c r="I8" s="23">
        <v>10.091700147595338</v>
      </c>
      <c r="J8" s="5">
        <v>902.24206652263513</v>
      </c>
      <c r="K8" s="31"/>
      <c r="L8" s="23">
        <v>43310.501760430867</v>
      </c>
      <c r="M8" s="33">
        <v>5.4646457996568643E-2</v>
      </c>
      <c r="N8" s="5">
        <v>2</v>
      </c>
      <c r="O8" s="5">
        <v>60</v>
      </c>
      <c r="P8" s="33">
        <v>0</v>
      </c>
      <c r="Q8" s="5">
        <v>10.091700147595338</v>
      </c>
      <c r="R8" s="5">
        <v>902.24206652263513</v>
      </c>
      <c r="S8" s="31"/>
      <c r="T8" s="23">
        <v>44213.865322429992</v>
      </c>
      <c r="U8" s="33">
        <v>5.7280375000118511E-2</v>
      </c>
      <c r="V8" s="5">
        <v>3</v>
      </c>
      <c r="W8" s="5">
        <v>80</v>
      </c>
      <c r="X8" s="33">
        <v>30.572594335461137</v>
      </c>
      <c r="Y8" s="5">
        <v>14.018082756624262</v>
      </c>
      <c r="Z8" s="5">
        <v>1053.8599156279299</v>
      </c>
      <c r="AA8" s="35"/>
    </row>
    <row r="9" spans="2:27" x14ac:dyDescent="0.2">
      <c r="B9" s="4">
        <v>6</v>
      </c>
      <c r="C9" s="4">
        <v>472</v>
      </c>
      <c r="D9" s="23">
        <v>43294.816860118</v>
      </c>
      <c r="E9" s="33">
        <v>6.1683916000220052E-2</v>
      </c>
      <c r="F9" s="5">
        <v>2</v>
      </c>
      <c r="G9" s="23">
        <v>60</v>
      </c>
      <c r="H9" s="33">
        <v>0</v>
      </c>
      <c r="I9" s="23">
        <v>8.7371478319164488</v>
      </c>
      <c r="J9" s="5">
        <v>852.13798200364079</v>
      </c>
      <c r="K9" s="31"/>
      <c r="L9" s="23">
        <v>43294.816860118</v>
      </c>
      <c r="M9" s="33">
        <v>6.6357124997011852E-2</v>
      </c>
      <c r="N9" s="5">
        <v>2</v>
      </c>
      <c r="O9" s="5">
        <v>60</v>
      </c>
      <c r="P9" s="33">
        <v>0</v>
      </c>
      <c r="Q9" s="5">
        <v>8.7371478319164488</v>
      </c>
      <c r="R9" s="5">
        <v>852.13798200364079</v>
      </c>
      <c r="S9" s="31"/>
      <c r="T9" s="23">
        <v>44309.73938882837</v>
      </c>
      <c r="U9" s="33">
        <v>4.7632665999117307E-2</v>
      </c>
      <c r="V9" s="5">
        <v>2</v>
      </c>
      <c r="W9" s="5">
        <v>60</v>
      </c>
      <c r="X9" s="33">
        <v>81.729904876305156</v>
      </c>
      <c r="Y9" s="5">
        <v>19.029969168394857</v>
      </c>
      <c r="Z9" s="5">
        <v>1301.1875601252611</v>
      </c>
      <c r="AA9" s="35"/>
    </row>
    <row r="10" spans="2:27" x14ac:dyDescent="0.2">
      <c r="B10" s="4">
        <v>7</v>
      </c>
      <c r="C10" s="4">
        <v>649</v>
      </c>
      <c r="D10" s="23">
        <v>43294.816860118</v>
      </c>
      <c r="E10" s="33">
        <v>6.5765250000367814E-2</v>
      </c>
      <c r="F10" s="5">
        <v>2</v>
      </c>
      <c r="G10" s="23">
        <v>60</v>
      </c>
      <c r="H10" s="33">
        <v>0</v>
      </c>
      <c r="I10" s="23">
        <v>8.7371478319164488</v>
      </c>
      <c r="J10" s="5">
        <v>852.13798200364079</v>
      </c>
      <c r="K10" s="31"/>
      <c r="L10" s="23">
        <v>43294.816860118</v>
      </c>
      <c r="M10" s="33">
        <v>7.0572332999290666E-2</v>
      </c>
      <c r="N10" s="5">
        <v>2</v>
      </c>
      <c r="O10" s="5">
        <v>60</v>
      </c>
      <c r="P10" s="33">
        <v>0</v>
      </c>
      <c r="Q10" s="5">
        <v>8.7371478319164488</v>
      </c>
      <c r="R10" s="5">
        <v>852.13798200364079</v>
      </c>
      <c r="S10" s="31"/>
      <c r="T10" s="23">
        <v>43817.855599271708</v>
      </c>
      <c r="U10" s="33">
        <v>5.8731457997055259E-2</v>
      </c>
      <c r="V10" s="5">
        <v>2</v>
      </c>
      <c r="W10" s="5">
        <v>60</v>
      </c>
      <c r="X10" s="33">
        <v>40.76345911394818</v>
      </c>
      <c r="Y10" s="5">
        <v>16.339150550099884</v>
      </c>
      <c r="Z10" s="5">
        <v>1178.3430779587386</v>
      </c>
      <c r="AA10" s="35"/>
    </row>
    <row r="11" spans="2:27" x14ac:dyDescent="0.2">
      <c r="B11" s="4">
        <v>8</v>
      </c>
      <c r="C11" s="4">
        <v>733</v>
      </c>
      <c r="D11" s="23">
        <v>43310.501760430867</v>
      </c>
      <c r="E11" s="33">
        <v>4.9759167000047462E-2</v>
      </c>
      <c r="F11" s="5">
        <v>2</v>
      </c>
      <c r="G11" s="23">
        <v>60</v>
      </c>
      <c r="H11" s="33">
        <v>0</v>
      </c>
      <c r="I11" s="23">
        <v>10.091700147595338</v>
      </c>
      <c r="J11" s="5">
        <v>902.24206652263513</v>
      </c>
      <c r="K11" s="31"/>
      <c r="L11" s="23">
        <v>43310.501760430867</v>
      </c>
      <c r="M11" s="33">
        <v>5.3700208001828287E-2</v>
      </c>
      <c r="N11" s="5">
        <v>2</v>
      </c>
      <c r="O11" s="5">
        <v>60</v>
      </c>
      <c r="P11" s="33">
        <v>0</v>
      </c>
      <c r="Q11" s="5">
        <v>10.091700147595338</v>
      </c>
      <c r="R11" s="5">
        <v>902.24206652263513</v>
      </c>
      <c r="S11" s="31"/>
      <c r="T11" s="23">
        <v>44146.583394290901</v>
      </c>
      <c r="U11" s="33">
        <v>5.6657500001165317E-2</v>
      </c>
      <c r="V11" s="5">
        <v>2</v>
      </c>
      <c r="W11" s="5">
        <v>60</v>
      </c>
      <c r="X11" s="33">
        <v>40.76345911394818</v>
      </c>
      <c r="Y11" s="5">
        <v>16.52404844007177</v>
      </c>
      <c r="Z11" s="5">
        <v>1236.208168625443</v>
      </c>
      <c r="AA11" s="35"/>
    </row>
    <row r="12" spans="2:27" x14ac:dyDescent="0.2">
      <c r="B12" s="4">
        <v>9</v>
      </c>
      <c r="C12" s="4">
        <v>777</v>
      </c>
      <c r="D12" s="23">
        <v>43310.501760430867</v>
      </c>
      <c r="E12" s="33">
        <v>5.6415749999359832E-2</v>
      </c>
      <c r="F12" s="5">
        <v>2</v>
      </c>
      <c r="G12" s="23">
        <v>60</v>
      </c>
      <c r="H12" s="33">
        <v>0</v>
      </c>
      <c r="I12" s="23">
        <v>10.091700147595338</v>
      </c>
      <c r="J12" s="5">
        <v>902.24206652263513</v>
      </c>
      <c r="K12" s="31"/>
      <c r="L12" s="23">
        <v>43310.501760430867</v>
      </c>
      <c r="M12" s="33">
        <v>5.8523250001599081E-2</v>
      </c>
      <c r="N12" s="5">
        <v>2</v>
      </c>
      <c r="O12" s="5">
        <v>60</v>
      </c>
      <c r="P12" s="33">
        <v>0</v>
      </c>
      <c r="Q12" s="5">
        <v>10.091700147595338</v>
      </c>
      <c r="R12" s="5">
        <v>902.24206652263513</v>
      </c>
      <c r="S12" s="31"/>
      <c r="T12" s="23">
        <v>43988.06031414224</v>
      </c>
      <c r="U12" s="33">
        <v>5.2668541997263667E-2</v>
      </c>
      <c r="V12" s="5">
        <v>2</v>
      </c>
      <c r="W12" s="5">
        <v>60</v>
      </c>
      <c r="X12" s="33">
        <v>40.76345911394818</v>
      </c>
      <c r="Y12" s="5">
        <v>16.336887736778021</v>
      </c>
      <c r="Z12" s="5">
        <v>1178.2882228381902</v>
      </c>
      <c r="AA12" s="35"/>
    </row>
    <row r="13" spans="2:27" x14ac:dyDescent="0.2">
      <c r="B13" s="4">
        <v>10</v>
      </c>
      <c r="C13" s="4">
        <v>871</v>
      </c>
      <c r="D13" s="23">
        <v>43294.816860118</v>
      </c>
      <c r="E13" s="33">
        <v>5.0067249999301573E-2</v>
      </c>
      <c r="F13" s="5">
        <v>2</v>
      </c>
      <c r="G13" s="23">
        <v>60</v>
      </c>
      <c r="H13" s="33">
        <v>0</v>
      </c>
      <c r="I13" s="23">
        <v>8.7371478319164488</v>
      </c>
      <c r="J13" s="5">
        <v>852.13798200364079</v>
      </c>
      <c r="K13" s="31"/>
      <c r="L13" s="23">
        <v>43294.816860118</v>
      </c>
      <c r="M13" s="33">
        <v>5.3809708999324357E-2</v>
      </c>
      <c r="N13" s="5">
        <v>2</v>
      </c>
      <c r="O13" s="5">
        <v>60</v>
      </c>
      <c r="P13" s="33">
        <v>0</v>
      </c>
      <c r="Q13" s="5">
        <v>8.7371478319164488</v>
      </c>
      <c r="R13" s="5">
        <v>852.13798200364079</v>
      </c>
      <c r="S13" s="31"/>
      <c r="T13" s="23">
        <v>43817.855599271708</v>
      </c>
      <c r="U13" s="33">
        <v>4.838029099846608E-2</v>
      </c>
      <c r="V13" s="5">
        <v>2</v>
      </c>
      <c r="W13" s="5">
        <v>60</v>
      </c>
      <c r="X13" s="33">
        <v>40.76345911394818</v>
      </c>
      <c r="Y13" s="5">
        <v>16.339150550099884</v>
      </c>
      <c r="Z13" s="5">
        <v>1178.3430779587386</v>
      </c>
      <c r="AA13" s="35"/>
    </row>
    <row r="14" spans="2:27" x14ac:dyDescent="0.2">
      <c r="B14" s="46" t="s">
        <v>3</v>
      </c>
      <c r="C14" s="47"/>
      <c r="D14" s="9">
        <f>MIN(D4:D13)</f>
        <v>43294.816860118</v>
      </c>
      <c r="E14" s="22">
        <f>INDEX(E4:E13, MATCH($D$14, D4:D13, 0))</f>
        <v>6.0758999999961823E-2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8.7371478319164488</v>
      </c>
      <c r="J14" s="22">
        <f>INDEX(J4:J13, MATCH($D$14, D4:D13, 0))</f>
        <v>852.13798200364079</v>
      </c>
      <c r="K14" s="32">
        <f>(D14-$D$15)/$D$15</f>
        <v>-3.6215004849462026E-4</v>
      </c>
      <c r="L14" s="16">
        <f>MIN(L4:L13)</f>
        <v>43294.816860118</v>
      </c>
      <c r="M14" s="21">
        <f>INDEX(M4:M13, MATCH($L$14, L4:L13, 0))</f>
        <v>6.4693416003137827E-2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8.7371478319164488</v>
      </c>
      <c r="R14" s="21">
        <f>INDEX(R4:R13, MATCH($L$14, L4:L13, 0))</f>
        <v>852.13798200364079</v>
      </c>
      <c r="S14" s="36">
        <f>(L14-$D$15)/$D$15</f>
        <v>-3.6215004849462026E-4</v>
      </c>
      <c r="T14" s="38">
        <f>MIN(T4:T13)</f>
        <v>43817.855599271708</v>
      </c>
      <c r="U14" s="39">
        <f>INDEX(U4:U13, MATCH($T$14, T4:T13, 0))</f>
        <v>5.7431042001553578E-2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40.76345911394818</v>
      </c>
      <c r="Y14" s="39">
        <f>INDEX(Y4:Y13, MATCH($T$14, T4:T13, 0))</f>
        <v>16.339150550099884</v>
      </c>
      <c r="Z14" s="39">
        <f>INDEX(Z4:Z13, MATCH($T$14, T4:T13, 0))</f>
        <v>1178.3430779587386</v>
      </c>
      <c r="AA14" s="40">
        <f>(T14-$D$15)/$D$15</f>
        <v>1.1714337590620289E-2</v>
      </c>
    </row>
    <row r="15" spans="2:27" x14ac:dyDescent="0.2">
      <c r="C15" s="1" t="s">
        <v>17</v>
      </c>
      <c r="D15" s="34">
        <v>43310.501760430867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73" priority="7"/>
    <cfRule type="duplicateValues" dxfId="72" priority="8"/>
  </conditionalFormatting>
  <conditionalFormatting sqref="C14">
    <cfRule type="duplicateValues" dxfId="71" priority="1"/>
    <cfRule type="duplicateValues" dxfId="70" priority="2"/>
  </conditionalFormatting>
  <conditionalFormatting sqref="C17">
    <cfRule type="duplicateValues" dxfId="69" priority="3"/>
    <cfRule type="duplicateValues" dxfId="68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865B-003E-CF4A-9643-E9FA9A3B2D98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0.21970809069588787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138</v>
      </c>
      <c r="D4" s="23">
        <v>38067.924863159162</v>
      </c>
      <c r="E4" s="33">
        <v>4.745229099989956E-2</v>
      </c>
      <c r="F4" s="5">
        <v>2</v>
      </c>
      <c r="G4" s="23">
        <v>80</v>
      </c>
      <c r="H4" s="33">
        <v>0</v>
      </c>
      <c r="I4" s="23">
        <v>12.44916762991188</v>
      </c>
      <c r="J4" s="5">
        <v>1194.4038903376927</v>
      </c>
      <c r="K4" s="31"/>
      <c r="L4" s="23">
        <v>38067.924863159162</v>
      </c>
      <c r="M4" s="33">
        <v>3.5472957999445498E-2</v>
      </c>
      <c r="N4" s="5">
        <v>2</v>
      </c>
      <c r="O4" s="5">
        <v>80</v>
      </c>
      <c r="P4" s="33">
        <v>0</v>
      </c>
      <c r="Q4" s="5">
        <v>12.44916762991188</v>
      </c>
      <c r="R4" s="5">
        <v>1194.4038903376927</v>
      </c>
      <c r="S4" s="31"/>
      <c r="T4" s="23">
        <v>38555.229195905849</v>
      </c>
      <c r="U4" s="33">
        <v>4.7378541999933077E-2</v>
      </c>
      <c r="V4" s="5">
        <v>2</v>
      </c>
      <c r="W4" s="5">
        <v>80</v>
      </c>
      <c r="X4" s="33">
        <v>0</v>
      </c>
      <c r="Y4" s="5">
        <v>21.290853860889008</v>
      </c>
      <c r="Z4" s="5">
        <v>1456.8240886035278</v>
      </c>
      <c r="AA4" s="35"/>
    </row>
    <row r="5" spans="2:27" x14ac:dyDescent="0.2">
      <c r="B5" s="4">
        <v>2</v>
      </c>
      <c r="C5" s="4">
        <v>772</v>
      </c>
      <c r="D5" s="23">
        <v>38067.924863159162</v>
      </c>
      <c r="E5" s="33">
        <v>6.3944708000235551E-2</v>
      </c>
      <c r="F5" s="5">
        <v>2</v>
      </c>
      <c r="G5" s="23">
        <v>80</v>
      </c>
      <c r="H5" s="33">
        <v>0</v>
      </c>
      <c r="I5" s="23">
        <v>12.44916762991188</v>
      </c>
      <c r="J5" s="5">
        <v>1194.4038903376927</v>
      </c>
      <c r="K5" s="31"/>
      <c r="L5" s="23">
        <v>38262.351671170232</v>
      </c>
      <c r="M5" s="33">
        <v>7.5434375001350418E-2</v>
      </c>
      <c r="N5" s="5">
        <v>2</v>
      </c>
      <c r="O5" s="5">
        <v>80</v>
      </c>
      <c r="P5" s="33">
        <v>0</v>
      </c>
      <c r="Q5" s="5">
        <v>12.417696070131026</v>
      </c>
      <c r="R5" s="5">
        <v>1193.9482828610571</v>
      </c>
      <c r="S5" s="31"/>
      <c r="T5" s="23">
        <v>38555.229195905849</v>
      </c>
      <c r="U5" s="33">
        <v>5.5741541997122113E-2</v>
      </c>
      <c r="V5" s="5">
        <v>2</v>
      </c>
      <c r="W5" s="5">
        <v>80</v>
      </c>
      <c r="X5" s="33">
        <v>0</v>
      </c>
      <c r="Y5" s="5">
        <v>21.290853860889008</v>
      </c>
      <c r="Z5" s="5">
        <v>1456.8240886035278</v>
      </c>
      <c r="AA5" s="35"/>
    </row>
    <row r="6" spans="2:27" x14ac:dyDescent="0.2">
      <c r="B6" s="4">
        <v>3</v>
      </c>
      <c r="C6" s="4">
        <v>806</v>
      </c>
      <c r="D6" s="23">
        <v>38067.924863159162</v>
      </c>
      <c r="E6" s="33">
        <v>5.5630500000006577E-2</v>
      </c>
      <c r="F6" s="5">
        <v>2</v>
      </c>
      <c r="G6" s="23">
        <v>80</v>
      </c>
      <c r="H6" s="33">
        <v>0</v>
      </c>
      <c r="I6" s="23">
        <v>12.44916762991188</v>
      </c>
      <c r="J6" s="5">
        <v>1194.4038903376927</v>
      </c>
      <c r="K6" s="31"/>
      <c r="L6" s="23">
        <v>38067.924863159162</v>
      </c>
      <c r="M6" s="33">
        <v>5.0945833998412127E-2</v>
      </c>
      <c r="N6" s="5">
        <v>2</v>
      </c>
      <c r="O6" s="5">
        <v>80</v>
      </c>
      <c r="P6" s="33">
        <v>0</v>
      </c>
      <c r="Q6" s="5">
        <v>12.44916762991188</v>
      </c>
      <c r="R6" s="5">
        <v>1194.4038903376927</v>
      </c>
      <c r="S6" s="31"/>
      <c r="T6" s="23">
        <v>38555.229195905849</v>
      </c>
      <c r="U6" s="33">
        <v>5.7260959001723677E-2</v>
      </c>
      <c r="V6" s="5">
        <v>2</v>
      </c>
      <c r="W6" s="5">
        <v>80</v>
      </c>
      <c r="X6" s="33">
        <v>0</v>
      </c>
      <c r="Y6" s="5">
        <v>21.290853860889008</v>
      </c>
      <c r="Z6" s="5">
        <v>1456.8240886035278</v>
      </c>
      <c r="AA6" s="35"/>
    </row>
    <row r="7" spans="2:27" x14ac:dyDescent="0.2">
      <c r="B7" s="4">
        <v>4</v>
      </c>
      <c r="C7" s="4">
        <v>118</v>
      </c>
      <c r="D7" s="23">
        <v>38067.924863159162</v>
      </c>
      <c r="E7" s="33">
        <v>5.0391750000017048E-2</v>
      </c>
      <c r="F7" s="5">
        <v>2</v>
      </c>
      <c r="G7" s="23">
        <v>80</v>
      </c>
      <c r="H7" s="33">
        <v>0</v>
      </c>
      <c r="I7" s="23">
        <v>12.44916762991188</v>
      </c>
      <c r="J7" s="5">
        <v>1194.4038903376927</v>
      </c>
      <c r="K7" s="31"/>
      <c r="L7" s="23">
        <v>38845.43682631453</v>
      </c>
      <c r="M7" s="33">
        <v>5.0811542001611087E-2</v>
      </c>
      <c r="N7" s="5">
        <v>2</v>
      </c>
      <c r="O7" s="5">
        <v>80</v>
      </c>
      <c r="P7" s="33">
        <v>0</v>
      </c>
      <c r="Q7" s="5">
        <v>12.26033827122674</v>
      </c>
      <c r="R7" s="5">
        <v>1291.0606095996716</v>
      </c>
      <c r="S7" s="31"/>
      <c r="T7" s="23">
        <v>38555.229195905849</v>
      </c>
      <c r="U7" s="33">
        <v>8.7946833002206404E-2</v>
      </c>
      <c r="V7" s="5">
        <v>2</v>
      </c>
      <c r="W7" s="5">
        <v>80</v>
      </c>
      <c r="X7" s="33">
        <v>0</v>
      </c>
      <c r="Y7" s="5">
        <v>21.290853860889008</v>
      </c>
      <c r="Z7" s="5">
        <v>1456.8240886035278</v>
      </c>
      <c r="AA7" s="35"/>
    </row>
    <row r="8" spans="2:27" x14ac:dyDescent="0.2">
      <c r="B8" s="4">
        <v>5</v>
      </c>
      <c r="C8" s="4">
        <v>182</v>
      </c>
      <c r="D8" s="23">
        <v>38067.924863159162</v>
      </c>
      <c r="E8" s="33">
        <v>8.9379416000156198E-2</v>
      </c>
      <c r="F8" s="5">
        <v>2</v>
      </c>
      <c r="G8" s="23">
        <v>80</v>
      </c>
      <c r="H8" s="33">
        <v>0</v>
      </c>
      <c r="I8" s="23">
        <v>12.44916762991188</v>
      </c>
      <c r="J8" s="5">
        <v>1194.4038903376927</v>
      </c>
      <c r="K8" s="31"/>
      <c r="L8" s="23">
        <v>38067.924863159162</v>
      </c>
      <c r="M8" s="33">
        <v>9.8279208999883849E-2</v>
      </c>
      <c r="N8" s="5">
        <v>2</v>
      </c>
      <c r="O8" s="5">
        <v>80</v>
      </c>
      <c r="P8" s="33">
        <v>0</v>
      </c>
      <c r="Q8" s="5">
        <v>12.44916762991188</v>
      </c>
      <c r="R8" s="5">
        <v>1194.4038903376927</v>
      </c>
      <c r="S8" s="31"/>
      <c r="T8" s="23">
        <v>38555.229195905849</v>
      </c>
      <c r="U8" s="33">
        <v>6.4370291998784523E-2</v>
      </c>
      <c r="V8" s="5">
        <v>2</v>
      </c>
      <c r="W8" s="5">
        <v>80</v>
      </c>
      <c r="X8" s="33">
        <v>0</v>
      </c>
      <c r="Y8" s="5">
        <v>21.290853860889008</v>
      </c>
      <c r="Z8" s="5">
        <v>1456.8240886035278</v>
      </c>
      <c r="AA8" s="35"/>
    </row>
    <row r="9" spans="2:27" x14ac:dyDescent="0.2">
      <c r="B9" s="4">
        <v>6</v>
      </c>
      <c r="C9" s="4">
        <v>228</v>
      </c>
      <c r="D9" s="23">
        <v>38067.924863159162</v>
      </c>
      <c r="E9" s="33">
        <v>5.1533166000808713E-2</v>
      </c>
      <c r="F9" s="5">
        <v>2</v>
      </c>
      <c r="G9" s="23">
        <v>80</v>
      </c>
      <c r="H9" s="33">
        <v>0</v>
      </c>
      <c r="I9" s="23">
        <v>12.44916762991188</v>
      </c>
      <c r="J9" s="5">
        <v>1194.4038903376927</v>
      </c>
      <c r="K9" s="31"/>
      <c r="L9" s="23">
        <v>38067.924863159162</v>
      </c>
      <c r="M9" s="33">
        <v>4.7559750000800698E-2</v>
      </c>
      <c r="N9" s="5">
        <v>2</v>
      </c>
      <c r="O9" s="5">
        <v>80</v>
      </c>
      <c r="P9" s="33">
        <v>0</v>
      </c>
      <c r="Q9" s="5">
        <v>12.44916762991188</v>
      </c>
      <c r="R9" s="5">
        <v>1194.4038903376927</v>
      </c>
      <c r="S9" s="31"/>
      <c r="T9" s="23">
        <v>38555.229195905849</v>
      </c>
      <c r="U9" s="33">
        <v>4.5010249999904772E-2</v>
      </c>
      <c r="V9" s="5">
        <v>2</v>
      </c>
      <c r="W9" s="5">
        <v>80</v>
      </c>
      <c r="X9" s="33">
        <v>0</v>
      </c>
      <c r="Y9" s="5">
        <v>21.290853860889008</v>
      </c>
      <c r="Z9" s="5">
        <v>1456.8240886035278</v>
      </c>
      <c r="AA9" s="35"/>
    </row>
    <row r="10" spans="2:27" x14ac:dyDescent="0.2">
      <c r="B10" s="4">
        <v>7</v>
      </c>
      <c r="C10" s="4">
        <v>269</v>
      </c>
      <c r="D10" s="23">
        <v>38067.924863159162</v>
      </c>
      <c r="E10" s="33">
        <v>0.10076512500018001</v>
      </c>
      <c r="F10" s="5">
        <v>2</v>
      </c>
      <c r="G10" s="23">
        <v>80</v>
      </c>
      <c r="H10" s="33">
        <v>0</v>
      </c>
      <c r="I10" s="23">
        <v>12.44916762991188</v>
      </c>
      <c r="J10" s="5">
        <v>1194.4038903376927</v>
      </c>
      <c r="K10" s="31"/>
      <c r="L10" s="23">
        <v>38067.924863159162</v>
      </c>
      <c r="M10" s="33">
        <v>9.7683749998395797E-2</v>
      </c>
      <c r="N10" s="5">
        <v>2</v>
      </c>
      <c r="O10" s="5">
        <v>80</v>
      </c>
      <c r="P10" s="33">
        <v>0</v>
      </c>
      <c r="Q10" s="5">
        <v>12.44916762991188</v>
      </c>
      <c r="R10" s="5">
        <v>1194.4038903376927</v>
      </c>
      <c r="S10" s="31"/>
      <c r="T10" s="23">
        <v>38555.229195905849</v>
      </c>
      <c r="U10" s="33">
        <v>9.3887625000206754E-2</v>
      </c>
      <c r="V10" s="5">
        <v>2</v>
      </c>
      <c r="W10" s="5">
        <v>80</v>
      </c>
      <c r="X10" s="33">
        <v>0</v>
      </c>
      <c r="Y10" s="5">
        <v>21.290853860889008</v>
      </c>
      <c r="Z10" s="5">
        <v>1456.8240886035278</v>
      </c>
      <c r="AA10" s="35"/>
    </row>
    <row r="11" spans="2:27" x14ac:dyDescent="0.2">
      <c r="B11" s="4">
        <v>8</v>
      </c>
      <c r="C11" s="4">
        <v>339</v>
      </c>
      <c r="D11" s="23">
        <v>38067.924863159162</v>
      </c>
      <c r="E11" s="33">
        <v>9.4304999999621941E-2</v>
      </c>
      <c r="F11" s="5">
        <v>2</v>
      </c>
      <c r="G11" s="23">
        <v>80</v>
      </c>
      <c r="H11" s="33">
        <v>0</v>
      </c>
      <c r="I11" s="23">
        <v>12.44916762991188</v>
      </c>
      <c r="J11" s="5">
        <v>1194.4038903376927</v>
      </c>
      <c r="K11" s="31"/>
      <c r="L11" s="23">
        <v>38067.924863159162</v>
      </c>
      <c r="M11" s="33">
        <v>9.520916700057569E-2</v>
      </c>
      <c r="N11" s="5">
        <v>2</v>
      </c>
      <c r="O11" s="5">
        <v>80</v>
      </c>
      <c r="P11" s="33">
        <v>0</v>
      </c>
      <c r="Q11" s="5">
        <v>12.44916762991188</v>
      </c>
      <c r="R11" s="5">
        <v>1194.4038903376927</v>
      </c>
      <c r="S11" s="31"/>
      <c r="T11" s="23">
        <v>38555.229195905849</v>
      </c>
      <c r="U11" s="33">
        <v>7.0344166000722907E-2</v>
      </c>
      <c r="V11" s="5">
        <v>2</v>
      </c>
      <c r="W11" s="5">
        <v>80</v>
      </c>
      <c r="X11" s="33">
        <v>0</v>
      </c>
      <c r="Y11" s="5">
        <v>21.290853860889008</v>
      </c>
      <c r="Z11" s="5">
        <v>1456.8240886035278</v>
      </c>
      <c r="AA11" s="35"/>
    </row>
    <row r="12" spans="2:27" x14ac:dyDescent="0.2">
      <c r="B12" s="4">
        <v>9</v>
      </c>
      <c r="C12" s="4">
        <v>535</v>
      </c>
      <c r="D12" s="23">
        <v>38067.924863159162</v>
      </c>
      <c r="E12" s="33">
        <v>8.6586874999738939E-2</v>
      </c>
      <c r="F12" s="5">
        <v>2</v>
      </c>
      <c r="G12" s="23">
        <v>80</v>
      </c>
      <c r="H12" s="33">
        <v>0</v>
      </c>
      <c r="I12" s="23">
        <v>12.44916762991188</v>
      </c>
      <c r="J12" s="5">
        <v>1194.4038903376927</v>
      </c>
      <c r="K12" s="31"/>
      <c r="L12" s="23">
        <v>38067.924863159162</v>
      </c>
      <c r="M12" s="33">
        <v>6.7444082997099031E-2</v>
      </c>
      <c r="N12" s="5">
        <v>2</v>
      </c>
      <c r="O12" s="5">
        <v>80</v>
      </c>
      <c r="P12" s="33">
        <v>0</v>
      </c>
      <c r="Q12" s="5">
        <v>12.44916762991188</v>
      </c>
      <c r="R12" s="5">
        <v>1194.4038903376927</v>
      </c>
      <c r="S12" s="31"/>
      <c r="T12" s="23">
        <v>38555.229195905849</v>
      </c>
      <c r="U12" s="33">
        <v>6.7152167001040652E-2</v>
      </c>
      <c r="V12" s="5">
        <v>2</v>
      </c>
      <c r="W12" s="5">
        <v>80</v>
      </c>
      <c r="X12" s="33">
        <v>0</v>
      </c>
      <c r="Y12" s="5">
        <v>21.290853860889008</v>
      </c>
      <c r="Z12" s="5">
        <v>1456.8240886035278</v>
      </c>
      <c r="AA12" s="35"/>
    </row>
    <row r="13" spans="2:27" x14ac:dyDescent="0.2">
      <c r="B13" s="4">
        <v>10</v>
      </c>
      <c r="C13" s="4">
        <v>762</v>
      </c>
      <c r="D13" s="23">
        <v>38067.924863159162</v>
      </c>
      <c r="E13" s="33">
        <v>6.782999999995809E-2</v>
      </c>
      <c r="F13" s="5">
        <v>2</v>
      </c>
      <c r="G13" s="23">
        <v>80</v>
      </c>
      <c r="H13" s="33">
        <v>0</v>
      </c>
      <c r="I13" s="23">
        <v>12.44916762991188</v>
      </c>
      <c r="J13" s="5">
        <v>1194.4038903376927</v>
      </c>
      <c r="K13" s="31"/>
      <c r="L13" s="23">
        <v>38067.924863159162</v>
      </c>
      <c r="M13" s="33">
        <v>5.5614124998101033E-2</v>
      </c>
      <c r="N13" s="5">
        <v>2</v>
      </c>
      <c r="O13" s="5">
        <v>80</v>
      </c>
      <c r="P13" s="33">
        <v>0</v>
      </c>
      <c r="Q13" s="5">
        <v>12.44916762991188</v>
      </c>
      <c r="R13" s="5">
        <v>1194.4038903376927</v>
      </c>
      <c r="S13" s="31"/>
      <c r="T13" s="23">
        <v>38555.229195905849</v>
      </c>
      <c r="U13" s="33">
        <v>6.0905124999408138E-2</v>
      </c>
      <c r="V13" s="5">
        <v>2</v>
      </c>
      <c r="W13" s="5">
        <v>80</v>
      </c>
      <c r="X13" s="33">
        <v>0</v>
      </c>
      <c r="Y13" s="5">
        <v>21.290853860889008</v>
      </c>
      <c r="Z13" s="5">
        <v>1456.8240886035278</v>
      </c>
      <c r="AA13" s="35"/>
    </row>
    <row r="14" spans="2:27" x14ac:dyDescent="0.2">
      <c r="B14" s="46" t="s">
        <v>3</v>
      </c>
      <c r="C14" s="47"/>
      <c r="D14" s="9">
        <f>MIN(D4:D13)</f>
        <v>38067.924863159162</v>
      </c>
      <c r="E14" s="22">
        <f>INDEX(E4:E13, MATCH($D$14, D4:D13, 0))</f>
        <v>4.745229099989956E-2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12.44916762991188</v>
      </c>
      <c r="J14" s="22">
        <f>INDEX(J4:J13, MATCH($D$14, D4:D13, 0))</f>
        <v>1194.4038903376927</v>
      </c>
      <c r="K14" s="32">
        <f>(D14-$D$15)/$D$15</f>
        <v>0</v>
      </c>
      <c r="L14" s="16">
        <f>MIN(L4:L13)</f>
        <v>38067.924863159162</v>
      </c>
      <c r="M14" s="21">
        <f>INDEX(M4:M13, MATCH($L$14, L4:L13, 0))</f>
        <v>3.5472957999445498E-2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12.44916762991188</v>
      </c>
      <c r="R14" s="21">
        <f>INDEX(R4:R13, MATCH($L$14, L4:L13, 0))</f>
        <v>1194.4038903376927</v>
      </c>
      <c r="S14" s="36">
        <f>(L14-$D$15)/$D$15</f>
        <v>0</v>
      </c>
      <c r="T14" s="38">
        <f>MIN(T4:T13)</f>
        <v>38555.229195905849</v>
      </c>
      <c r="U14" s="39">
        <f>INDEX(U4:U13, MATCH($T$14, T4:T13, 0))</f>
        <v>4.7378541999933077E-2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21.290853860889008</v>
      </c>
      <c r="Z14" s="39">
        <f>INDEX(Z4:Z13, MATCH($T$14, T4:T13, 0))</f>
        <v>1456.8240886035278</v>
      </c>
      <c r="AA14" s="40">
        <f>(T14-$D$15)/$D$15</f>
        <v>1.2800916637783009E-2</v>
      </c>
    </row>
    <row r="15" spans="2:27" x14ac:dyDescent="0.2">
      <c r="C15" s="1" t="s">
        <v>17</v>
      </c>
      <c r="D15" s="34">
        <v>38067.924863159162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67" priority="7"/>
    <cfRule type="duplicateValues" dxfId="66" priority="8"/>
  </conditionalFormatting>
  <conditionalFormatting sqref="C14">
    <cfRule type="duplicateValues" dxfId="65" priority="1"/>
    <cfRule type="duplicateValues" dxfId="64" priority="2"/>
  </conditionalFormatting>
  <conditionalFormatting sqref="C17">
    <cfRule type="duplicateValues" dxfId="63" priority="3"/>
    <cfRule type="duplicateValues" dxfId="6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7D1-94B0-3A48-8816-60B9666052F3}">
  <dimension ref="B1:AA17"/>
  <sheetViews>
    <sheetView zoomScale="110" zoomScaleNormal="11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-0.9997372323585505</v>
      </c>
      <c r="K2" s="28"/>
      <c r="L2" s="1" t="s">
        <v>19</v>
      </c>
      <c r="P2" s="1" t="e">
        <f>(P14-H14)/H14</f>
        <v>#DIV/0!</v>
      </c>
      <c r="R2" s="1">
        <f>(R14-J14)/J14</f>
        <v>-0.17517885804822145</v>
      </c>
      <c r="T2" s="1" t="s">
        <v>20</v>
      </c>
      <c r="X2" s="1" t="e">
        <f>(X14-P14)/P14</f>
        <v>#DIV/0!</v>
      </c>
      <c r="Z2" s="1">
        <f>(Z14-R14)/R14</f>
        <v>0.92196206414912985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31553.276755353359</v>
      </c>
      <c r="E4" s="33">
        <v>6.9457208000130777E-2</v>
      </c>
      <c r="F4" s="5">
        <v>2</v>
      </c>
      <c r="G4" s="23">
        <v>90</v>
      </c>
      <c r="H4" s="33">
        <v>0</v>
      </c>
      <c r="I4" s="23">
        <v>9.1205442673448669</v>
      </c>
      <c r="J4" s="5">
        <v>898.94168943399018</v>
      </c>
      <c r="K4" s="31"/>
      <c r="L4" s="23">
        <v>39072.118603299823</v>
      </c>
      <c r="M4" s="33">
        <v>9.3155833001219435E-2</v>
      </c>
      <c r="N4" s="5">
        <v>2</v>
      </c>
      <c r="O4" s="5">
        <v>70</v>
      </c>
      <c r="P4" s="33">
        <v>0</v>
      </c>
      <c r="Q4" s="5">
        <v>6.8499851343587377</v>
      </c>
      <c r="R4" s="5">
        <v>746.41280592295368</v>
      </c>
      <c r="S4" s="31"/>
      <c r="T4" s="23">
        <v>34022.561900671797</v>
      </c>
      <c r="U4" s="33">
        <v>0.13903683299940889</v>
      </c>
      <c r="V4" s="5">
        <v>2</v>
      </c>
      <c r="W4" s="5">
        <v>90</v>
      </c>
      <c r="X4" s="33">
        <v>20.773118818488257</v>
      </c>
      <c r="Y4" s="5">
        <v>21.934283289791345</v>
      </c>
      <c r="Z4" s="5">
        <v>1425.0697368616977</v>
      </c>
      <c r="AA4" s="35"/>
    </row>
    <row r="5" spans="2:27" x14ac:dyDescent="0.2">
      <c r="B5" s="4">
        <v>2</v>
      </c>
      <c r="C5" s="4">
        <v>71</v>
      </c>
      <c r="D5" s="23">
        <v>31553.276755353359</v>
      </c>
      <c r="E5" s="33">
        <v>0.1082586669999728</v>
      </c>
      <c r="F5" s="5">
        <v>2</v>
      </c>
      <c r="G5" s="23">
        <v>90</v>
      </c>
      <c r="H5" s="33">
        <v>0</v>
      </c>
      <c r="I5" s="23">
        <v>9.1205442673448669</v>
      </c>
      <c r="J5" s="5">
        <v>898.94168943399018</v>
      </c>
      <c r="K5" s="31"/>
      <c r="L5" s="23">
        <v>39027.265484622832</v>
      </c>
      <c r="M5" s="33">
        <v>9.9533417000202462E-2</v>
      </c>
      <c r="N5" s="5">
        <v>2</v>
      </c>
      <c r="O5" s="5">
        <v>70</v>
      </c>
      <c r="P5" s="33">
        <v>0</v>
      </c>
      <c r="Q5" s="5">
        <v>6.0262990278989115</v>
      </c>
      <c r="R5" s="5">
        <v>739.56479858227897</v>
      </c>
      <c r="S5" s="31"/>
      <c r="T5" s="23">
        <v>34053.727179797839</v>
      </c>
      <c r="U5" s="33">
        <v>0.12238966699806041</v>
      </c>
      <c r="V5" s="5">
        <v>2</v>
      </c>
      <c r="W5" s="5">
        <v>90</v>
      </c>
      <c r="X5" s="33">
        <v>20.773118818488257</v>
      </c>
      <c r="Y5" s="5">
        <v>18.62377593768975</v>
      </c>
      <c r="Z5" s="5">
        <v>1374.3174485162474</v>
      </c>
      <c r="AA5" s="35"/>
    </row>
    <row r="6" spans="2:27" x14ac:dyDescent="0.2">
      <c r="B6" s="4">
        <v>3</v>
      </c>
      <c r="C6" s="4">
        <v>589</v>
      </c>
      <c r="D6" s="23">
        <v>31553.276755353359</v>
      </c>
      <c r="E6" s="33">
        <v>8.4922584000196366E-2</v>
      </c>
      <c r="F6" s="5">
        <v>2</v>
      </c>
      <c r="G6" s="23">
        <v>90</v>
      </c>
      <c r="H6" s="33">
        <v>0</v>
      </c>
      <c r="I6" s="23">
        <v>9.1205442673448669</v>
      </c>
      <c r="J6" s="5">
        <v>898.94168943399018</v>
      </c>
      <c r="K6" s="31"/>
      <c r="L6" s="23">
        <v>39006.564213543061</v>
      </c>
      <c r="M6" s="33">
        <v>6.0990250000031658E-2</v>
      </c>
      <c r="N6" s="5">
        <v>2</v>
      </c>
      <c r="O6" s="5">
        <v>70</v>
      </c>
      <c r="P6" s="33">
        <v>0</v>
      </c>
      <c r="Q6" s="5">
        <v>6.7494565620585867</v>
      </c>
      <c r="R6" s="5">
        <v>741.46611082700485</v>
      </c>
      <c r="S6" s="31"/>
      <c r="T6" s="23">
        <v>34022.561900671797</v>
      </c>
      <c r="U6" s="33">
        <v>0.11231374999988469</v>
      </c>
      <c r="V6" s="5">
        <v>2</v>
      </c>
      <c r="W6" s="5">
        <v>90</v>
      </c>
      <c r="X6" s="33">
        <v>20.773118818488257</v>
      </c>
      <c r="Y6" s="5">
        <v>21.934283289791345</v>
      </c>
      <c r="Z6" s="5">
        <v>1425.0697368616977</v>
      </c>
      <c r="AA6" s="35"/>
    </row>
    <row r="7" spans="2:27" x14ac:dyDescent="0.2">
      <c r="B7" s="4">
        <v>4</v>
      </c>
      <c r="C7" s="4">
        <v>655</v>
      </c>
      <c r="D7" s="23">
        <v>31553.276755353359</v>
      </c>
      <c r="E7" s="33">
        <v>9.2638415999317658E-2</v>
      </c>
      <c r="F7" s="5">
        <v>2</v>
      </c>
      <c r="G7" s="23">
        <v>90</v>
      </c>
      <c r="H7" s="33">
        <v>0</v>
      </c>
      <c r="I7" s="23">
        <v>9.1205442673448669</v>
      </c>
      <c r="J7" s="5">
        <v>898.94168943399018</v>
      </c>
      <c r="K7" s="31"/>
      <c r="L7" s="23">
        <v>39072.118603299823</v>
      </c>
      <c r="M7" s="33">
        <v>0.1078642909997143</v>
      </c>
      <c r="N7" s="5">
        <v>2</v>
      </c>
      <c r="O7" s="5">
        <v>70</v>
      </c>
      <c r="P7" s="33">
        <v>0</v>
      </c>
      <c r="Q7" s="5">
        <v>6.8499851343587377</v>
      </c>
      <c r="R7" s="5">
        <v>746.41280592295368</v>
      </c>
      <c r="S7" s="31"/>
      <c r="T7" s="23">
        <v>34022.561900671797</v>
      </c>
      <c r="U7" s="33">
        <v>0.1069641659996705</v>
      </c>
      <c r="V7" s="5">
        <v>2</v>
      </c>
      <c r="W7" s="5">
        <v>90</v>
      </c>
      <c r="X7" s="33">
        <v>20.773118818488257</v>
      </c>
      <c r="Y7" s="5">
        <v>21.934283289791345</v>
      </c>
      <c r="Z7" s="5">
        <v>1425.0697368616977</v>
      </c>
      <c r="AA7" s="35"/>
    </row>
    <row r="8" spans="2:27" x14ac:dyDescent="0.2">
      <c r="B8" s="4">
        <v>5</v>
      </c>
      <c r="C8" s="4">
        <v>868</v>
      </c>
      <c r="D8" s="23">
        <v>31553.276755353359</v>
      </c>
      <c r="E8" s="33">
        <v>9.7047666999969806E-2</v>
      </c>
      <c r="F8" s="5">
        <v>2</v>
      </c>
      <c r="G8" s="23">
        <v>90</v>
      </c>
      <c r="H8" s="33">
        <v>0</v>
      </c>
      <c r="I8" s="23">
        <v>9.1205442673448669</v>
      </c>
      <c r="J8" s="5">
        <v>898.94168943399018</v>
      </c>
      <c r="K8" s="31"/>
      <c r="L8" s="23">
        <v>39072.118603299823</v>
      </c>
      <c r="M8" s="33">
        <v>6.5087625000160187E-2</v>
      </c>
      <c r="N8" s="5">
        <v>2</v>
      </c>
      <c r="O8" s="5">
        <v>70</v>
      </c>
      <c r="P8" s="33">
        <v>0</v>
      </c>
      <c r="Q8" s="5">
        <v>6.8499851343587377</v>
      </c>
      <c r="R8" s="5">
        <v>746.41280592295368</v>
      </c>
      <c r="S8" s="31"/>
      <c r="T8" s="23">
        <v>34022.561900671797</v>
      </c>
      <c r="U8" s="33">
        <v>6.6291374998399988E-2</v>
      </c>
      <c r="V8" s="5">
        <v>2</v>
      </c>
      <c r="W8" s="5">
        <v>90</v>
      </c>
      <c r="X8" s="33">
        <v>20.773118818488257</v>
      </c>
      <c r="Y8" s="5">
        <v>21.934283289791345</v>
      </c>
      <c r="Z8" s="5">
        <v>1425.0697368616977</v>
      </c>
      <c r="AA8" s="35"/>
    </row>
    <row r="9" spans="2:27" x14ac:dyDescent="0.2">
      <c r="B9" s="4">
        <v>6</v>
      </c>
      <c r="C9" s="4">
        <v>956</v>
      </c>
      <c r="D9" s="23">
        <v>31553.276755353359</v>
      </c>
      <c r="E9" s="33">
        <v>9.8968917000092915E-2</v>
      </c>
      <c r="F9" s="5">
        <v>2</v>
      </c>
      <c r="G9" s="23">
        <v>90</v>
      </c>
      <c r="H9" s="33">
        <v>0</v>
      </c>
      <c r="I9" s="23">
        <v>9.1205442673448669</v>
      </c>
      <c r="J9" s="5">
        <v>898.94168943399018</v>
      </c>
      <c r="K9" s="31"/>
      <c r="L9" s="23">
        <v>39006.564213543061</v>
      </c>
      <c r="M9" s="33">
        <v>0.1032846670022991</v>
      </c>
      <c r="N9" s="5">
        <v>2</v>
      </c>
      <c r="O9" s="5">
        <v>70</v>
      </c>
      <c r="P9" s="33">
        <v>0</v>
      </c>
      <c r="Q9" s="5">
        <v>6.7494565620585867</v>
      </c>
      <c r="R9" s="5">
        <v>741.46611082700485</v>
      </c>
      <c r="S9" s="31"/>
      <c r="T9" s="23">
        <v>34022.561900671797</v>
      </c>
      <c r="U9" s="33">
        <v>0.1124450000024808</v>
      </c>
      <c r="V9" s="5">
        <v>2</v>
      </c>
      <c r="W9" s="5">
        <v>90</v>
      </c>
      <c r="X9" s="33">
        <v>20.773118818488257</v>
      </c>
      <c r="Y9" s="5">
        <v>21.934283289791345</v>
      </c>
      <c r="Z9" s="5">
        <v>1425.0697368616977</v>
      </c>
      <c r="AA9" s="35"/>
    </row>
    <row r="10" spans="2:27" x14ac:dyDescent="0.2">
      <c r="B10" s="4">
        <v>7</v>
      </c>
      <c r="C10" s="4">
        <v>514</v>
      </c>
      <c r="D10" s="23">
        <v>31553.276755353359</v>
      </c>
      <c r="E10" s="33">
        <v>7.7573042000040004E-2</v>
      </c>
      <c r="F10" s="5">
        <v>2</v>
      </c>
      <c r="G10" s="23">
        <v>90</v>
      </c>
      <c r="H10" s="33">
        <v>0</v>
      </c>
      <c r="I10" s="23">
        <v>9.1205442673448669</v>
      </c>
      <c r="J10" s="5">
        <v>898.94168943399018</v>
      </c>
      <c r="K10" s="31"/>
      <c r="L10" s="23">
        <v>40090.792213121204</v>
      </c>
      <c r="M10" s="33">
        <v>4.6537707999959821E-2</v>
      </c>
      <c r="N10" s="5">
        <v>2</v>
      </c>
      <c r="O10" s="5">
        <v>70</v>
      </c>
      <c r="P10" s="33">
        <v>0</v>
      </c>
      <c r="Q10" s="5">
        <v>6.1854187944628656</v>
      </c>
      <c r="R10" s="5">
        <v>869.64055845508585</v>
      </c>
      <c r="S10" s="31"/>
      <c r="T10" s="23">
        <v>34022.561900671797</v>
      </c>
      <c r="U10" s="33">
        <v>7.9840583002805943E-2</v>
      </c>
      <c r="V10" s="5">
        <v>2</v>
      </c>
      <c r="W10" s="5">
        <v>90</v>
      </c>
      <c r="X10" s="33">
        <v>20.773118818488257</v>
      </c>
      <c r="Y10" s="5">
        <v>21.934283289791345</v>
      </c>
      <c r="Z10" s="5">
        <v>1425.0697368616977</v>
      </c>
      <c r="AA10" s="35"/>
    </row>
    <row r="11" spans="2:27" x14ac:dyDescent="0.2">
      <c r="B11" s="4">
        <v>8</v>
      </c>
      <c r="C11" s="4">
        <v>890</v>
      </c>
      <c r="D11" s="23">
        <v>31553.276755353359</v>
      </c>
      <c r="E11" s="33">
        <v>6.0418374999244413E-2</v>
      </c>
      <c r="F11" s="5">
        <v>2</v>
      </c>
      <c r="G11" s="23">
        <v>90</v>
      </c>
      <c r="H11" s="33">
        <v>0</v>
      </c>
      <c r="I11" s="23">
        <v>9.1205442673448669</v>
      </c>
      <c r="J11" s="5">
        <v>898.94168943399018</v>
      </c>
      <c r="K11" s="31"/>
      <c r="L11" s="23">
        <v>39006.564213543061</v>
      </c>
      <c r="M11" s="33">
        <v>6.9546458002150757E-2</v>
      </c>
      <c r="N11" s="5">
        <v>2</v>
      </c>
      <c r="O11" s="5">
        <v>70</v>
      </c>
      <c r="P11" s="33">
        <v>0</v>
      </c>
      <c r="Q11" s="5">
        <v>6.7494565620585867</v>
      </c>
      <c r="R11" s="5">
        <v>741.46611082700485</v>
      </c>
      <c r="S11" s="31"/>
      <c r="T11" s="23">
        <v>34022.561900671797</v>
      </c>
      <c r="U11" s="33">
        <v>5.2498249999189277E-2</v>
      </c>
      <c r="V11" s="5">
        <v>2</v>
      </c>
      <c r="W11" s="5">
        <v>90</v>
      </c>
      <c r="X11" s="33">
        <v>20.773118818488257</v>
      </c>
      <c r="Y11" s="5">
        <v>21.934283289791345</v>
      </c>
      <c r="Z11" s="5">
        <v>1425.0697368616977</v>
      </c>
      <c r="AA11" s="35"/>
    </row>
    <row r="12" spans="2:27" x14ac:dyDescent="0.2">
      <c r="B12" s="4">
        <v>9</v>
      </c>
      <c r="C12" s="4">
        <v>765</v>
      </c>
      <c r="D12" s="23">
        <v>31553.276755353359</v>
      </c>
      <c r="E12" s="33">
        <v>7.9611332999775186E-2</v>
      </c>
      <c r="F12" s="5">
        <v>2</v>
      </c>
      <c r="G12" s="23">
        <v>90</v>
      </c>
      <c r="H12" s="33">
        <v>0</v>
      </c>
      <c r="I12" s="23">
        <v>9.1205442673448669</v>
      </c>
      <c r="J12" s="5">
        <v>898.94168943399018</v>
      </c>
      <c r="K12" s="31"/>
      <c r="L12" s="23">
        <v>39072.118603299823</v>
      </c>
      <c r="M12" s="33">
        <v>7.8851083999325056E-2</v>
      </c>
      <c r="N12" s="5">
        <v>2</v>
      </c>
      <c r="O12" s="5">
        <v>70</v>
      </c>
      <c r="P12" s="33">
        <v>0</v>
      </c>
      <c r="Q12" s="5">
        <v>6.8499851343587377</v>
      </c>
      <c r="R12" s="5">
        <v>746.41280592295368</v>
      </c>
      <c r="S12" s="31"/>
      <c r="T12" s="23">
        <v>34022.561900671797</v>
      </c>
      <c r="U12" s="33">
        <v>9.5231833001889754E-2</v>
      </c>
      <c r="V12" s="5">
        <v>2</v>
      </c>
      <c r="W12" s="5">
        <v>90</v>
      </c>
      <c r="X12" s="33">
        <v>20.773118818488257</v>
      </c>
      <c r="Y12" s="5">
        <v>21.934283289791345</v>
      </c>
      <c r="Z12" s="5">
        <v>1425.0697368616977</v>
      </c>
      <c r="AA12" s="35"/>
    </row>
    <row r="13" spans="2:27" x14ac:dyDescent="0.2">
      <c r="B13" s="4">
        <v>10</v>
      </c>
      <c r="C13" s="4">
        <v>875</v>
      </c>
      <c r="D13" s="23">
        <v>31553.276755353359</v>
      </c>
      <c r="E13" s="33">
        <v>8.8796832999832986E-2</v>
      </c>
      <c r="F13" s="5">
        <v>2</v>
      </c>
      <c r="G13" s="23">
        <v>90</v>
      </c>
      <c r="H13" s="33">
        <v>0</v>
      </c>
      <c r="I13" s="23">
        <v>9.1205442673448669</v>
      </c>
      <c r="J13" s="5">
        <v>898.94168943399018</v>
      </c>
      <c r="K13" s="31"/>
      <c r="L13" s="23">
        <v>39072.118603299823</v>
      </c>
      <c r="M13" s="33">
        <v>5.1269957999465987E-2</v>
      </c>
      <c r="N13" s="5">
        <v>2</v>
      </c>
      <c r="O13" s="5">
        <v>70</v>
      </c>
      <c r="P13" s="33">
        <v>0</v>
      </c>
      <c r="Q13" s="5">
        <v>6.8499851343587377</v>
      </c>
      <c r="R13" s="5">
        <v>746.41280592295368</v>
      </c>
      <c r="S13" s="31"/>
      <c r="T13" s="23">
        <v>34022.561900671797</v>
      </c>
      <c r="U13" s="33">
        <v>8.9508584002032876E-2</v>
      </c>
      <c r="V13" s="5">
        <v>2</v>
      </c>
      <c r="W13" s="5">
        <v>90</v>
      </c>
      <c r="X13" s="33">
        <v>20.773118818488257</v>
      </c>
      <c r="Y13" s="5">
        <v>21.934283289791345</v>
      </c>
      <c r="Z13" s="5">
        <v>1425.0697368616977</v>
      </c>
      <c r="AA13" s="35"/>
    </row>
    <row r="14" spans="2:27" x14ac:dyDescent="0.2">
      <c r="B14" s="46" t="s">
        <v>3</v>
      </c>
      <c r="C14" s="47"/>
      <c r="D14" s="9">
        <f>MIN(D4:D13)</f>
        <v>31553.276755353359</v>
      </c>
      <c r="E14" s="22">
        <f>INDEX(E4:E13, MATCH($D$14, D4:D13, 0))</f>
        <v>6.9457208000130777E-2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9.1205442673448669</v>
      </c>
      <c r="J14" s="22">
        <f>INDEX(J4:J13, MATCH($D$14, D4:D13, 0))</f>
        <v>898.94168943399018</v>
      </c>
      <c r="K14" s="32">
        <f>(D14-$D$15)/$D$15</f>
        <v>0</v>
      </c>
      <c r="L14" s="16">
        <f>MIN(L4:L13)</f>
        <v>39006.564213543061</v>
      </c>
      <c r="M14" s="21">
        <f>INDEX(M4:M13, MATCH($L$14, L4:L13, 0))</f>
        <v>6.0990250000031658E-2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6.7494565620585867</v>
      </c>
      <c r="R14" s="21">
        <f>INDEX(R4:R13, MATCH($L$14, L4:L13, 0))</f>
        <v>741.46611082700485</v>
      </c>
      <c r="S14" s="36">
        <f>(L14-$D$15)/$D$15</f>
        <v>0.23621278753323677</v>
      </c>
      <c r="T14" s="38">
        <f>MIN(T4:T13)</f>
        <v>34022.561900671797</v>
      </c>
      <c r="U14" s="39">
        <f>INDEX(U4:U13, MATCH($T$14, T4:T13, 0))</f>
        <v>0.13903683299940889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20.773118818488257</v>
      </c>
      <c r="Y14" s="39">
        <f>INDEX(Y4:Y13, MATCH($T$14, T4:T13, 0))</f>
        <v>21.934283289791345</v>
      </c>
      <c r="Z14" s="39">
        <f>INDEX(Z4:Z13, MATCH($T$14, T4:T13, 0))</f>
        <v>1425.0697368616977</v>
      </c>
      <c r="AA14" s="40">
        <f>(T14-$D$15)/$D$15</f>
        <v>7.8257645456727282E-2</v>
      </c>
    </row>
    <row r="15" spans="2:27" x14ac:dyDescent="0.2">
      <c r="C15" s="1" t="s">
        <v>17</v>
      </c>
      <c r="D15" s="34">
        <v>31553.276755353359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61" priority="7"/>
    <cfRule type="duplicateValues" dxfId="60" priority="8"/>
  </conditionalFormatting>
  <conditionalFormatting sqref="C14">
    <cfRule type="duplicateValues" dxfId="59" priority="1"/>
    <cfRule type="duplicateValues" dxfId="58" priority="2"/>
  </conditionalFormatting>
  <conditionalFormatting sqref="C17"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F24A-EDDE-E948-88A9-1151A115ABB2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-0.99992524028427265</v>
      </c>
      <c r="K2" s="28"/>
      <c r="L2" s="1" t="s">
        <v>19</v>
      </c>
      <c r="P2" s="1" t="e">
        <f>(P14-H14)/H14</f>
        <v>#DIV/0!</v>
      </c>
      <c r="R2" s="1">
        <f>(R14-J14)/J14</f>
        <v>-6.5045922388997771E-2</v>
      </c>
      <c r="T2" s="1" t="s">
        <v>20</v>
      </c>
      <c r="X2" s="1" t="e">
        <f>(X14-P14)/P14</f>
        <v>#DIV/0!</v>
      </c>
      <c r="Z2" s="1">
        <f>(Z14-R14)/R14</f>
        <v>0.41763669868611059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442</v>
      </c>
      <c r="D4" s="23">
        <v>40263.615504612782</v>
      </c>
      <c r="E4" s="33">
        <v>3.8547333000678918E-2</v>
      </c>
      <c r="F4" s="5">
        <v>3</v>
      </c>
      <c r="G4" s="23">
        <v>90</v>
      </c>
      <c r="H4" s="33">
        <v>0</v>
      </c>
      <c r="I4" s="23">
        <v>10.797211556552384</v>
      </c>
      <c r="J4" s="5">
        <v>913.60894277134014</v>
      </c>
      <c r="K4" s="31"/>
      <c r="L4" s="23">
        <v>43013.666539279642</v>
      </c>
      <c r="M4" s="33">
        <v>4.5370042000286048E-2</v>
      </c>
      <c r="N4" s="5">
        <v>2</v>
      </c>
      <c r="O4" s="5">
        <v>60</v>
      </c>
      <c r="P4" s="33">
        <v>0</v>
      </c>
      <c r="Q4" s="5">
        <v>10.390017742806446</v>
      </c>
      <c r="R4" s="5">
        <v>854.18240638594125</v>
      </c>
      <c r="S4" s="31"/>
      <c r="T4" s="23">
        <v>40058.933795354409</v>
      </c>
      <c r="U4" s="33">
        <v>6.126412500088918E-2</v>
      </c>
      <c r="V4" s="5">
        <v>3</v>
      </c>
      <c r="W4" s="5">
        <v>90</v>
      </c>
      <c r="X4" s="33">
        <v>13.325063066278368</v>
      </c>
      <c r="Y4" s="5">
        <v>20.951239115149235</v>
      </c>
      <c r="Z4" s="5">
        <v>1210.9203266647235</v>
      </c>
      <c r="AA4" s="35"/>
    </row>
    <row r="5" spans="2:27" x14ac:dyDescent="0.2">
      <c r="B5" s="4">
        <v>2</v>
      </c>
      <c r="C5" s="4">
        <v>111</v>
      </c>
      <c r="D5" s="23">
        <v>40263.615504612782</v>
      </c>
      <c r="E5" s="33">
        <v>5.7303415999740537E-2</v>
      </c>
      <c r="F5" s="5">
        <v>3</v>
      </c>
      <c r="G5" s="23">
        <v>90</v>
      </c>
      <c r="H5" s="33">
        <v>0</v>
      </c>
      <c r="I5" s="23">
        <v>10.797211556552384</v>
      </c>
      <c r="J5" s="5">
        <v>913.60894277134014</v>
      </c>
      <c r="K5" s="31"/>
      <c r="L5" s="23">
        <v>43336.013508134813</v>
      </c>
      <c r="M5" s="33">
        <v>6.6651625002123183E-2</v>
      </c>
      <c r="N5" s="5">
        <v>2</v>
      </c>
      <c r="O5" s="5">
        <v>60</v>
      </c>
      <c r="P5" s="33">
        <v>0</v>
      </c>
      <c r="Q5" s="5">
        <v>10.375920038724702</v>
      </c>
      <c r="R5" s="5">
        <v>869.31327886916279</v>
      </c>
      <c r="S5" s="31"/>
      <c r="T5" s="23">
        <v>40058.933795354409</v>
      </c>
      <c r="U5" s="33">
        <v>6.1870333000115352E-2</v>
      </c>
      <c r="V5" s="5">
        <v>3</v>
      </c>
      <c r="W5" s="5">
        <v>90</v>
      </c>
      <c r="X5" s="33">
        <v>13.325063066278368</v>
      </c>
      <c r="Y5" s="5">
        <v>20.951239115149235</v>
      </c>
      <c r="Z5" s="5">
        <v>1210.9203266647235</v>
      </c>
      <c r="AA5" s="35"/>
    </row>
    <row r="6" spans="2:27" x14ac:dyDescent="0.2">
      <c r="B6" s="4">
        <v>3</v>
      </c>
      <c r="C6" s="4">
        <v>275</v>
      </c>
      <c r="D6" s="23">
        <v>40263.615504612782</v>
      </c>
      <c r="E6" s="33">
        <v>5.8252290999917022E-2</v>
      </c>
      <c r="F6" s="5">
        <v>3</v>
      </c>
      <c r="G6" s="23">
        <v>90</v>
      </c>
      <c r="H6" s="33">
        <v>0</v>
      </c>
      <c r="I6" s="23">
        <v>10.797211556552384</v>
      </c>
      <c r="J6" s="5">
        <v>913.60894277134014</v>
      </c>
      <c r="K6" s="31"/>
      <c r="L6" s="23">
        <v>43034.51337022832</v>
      </c>
      <c r="M6" s="33">
        <v>7.5995166997017805E-2</v>
      </c>
      <c r="N6" s="5">
        <v>2</v>
      </c>
      <c r="O6" s="5">
        <v>60</v>
      </c>
      <c r="P6" s="33">
        <v>0</v>
      </c>
      <c r="Q6" s="5">
        <v>9.9558084570886169</v>
      </c>
      <c r="R6" s="5">
        <v>832.8530999656108</v>
      </c>
      <c r="S6" s="31"/>
      <c r="T6" s="23">
        <v>40058.933795354409</v>
      </c>
      <c r="U6" s="33">
        <v>4.9803958998381859E-2</v>
      </c>
      <c r="V6" s="5">
        <v>3</v>
      </c>
      <c r="W6" s="5">
        <v>90</v>
      </c>
      <c r="X6" s="33">
        <v>13.325063066278368</v>
      </c>
      <c r="Y6" s="5">
        <v>20.951239115149235</v>
      </c>
      <c r="Z6" s="5">
        <v>1210.9203266647235</v>
      </c>
      <c r="AA6" s="35"/>
    </row>
    <row r="7" spans="2:27" x14ac:dyDescent="0.2">
      <c r="B7" s="4">
        <v>4</v>
      </c>
      <c r="C7" s="4">
        <v>753</v>
      </c>
      <c r="D7" s="23">
        <v>40263.615504612782</v>
      </c>
      <c r="E7" s="33">
        <v>4.597516700050619E-2</v>
      </c>
      <c r="F7" s="5">
        <v>3</v>
      </c>
      <c r="G7" s="23">
        <v>90</v>
      </c>
      <c r="H7" s="33">
        <v>0</v>
      </c>
      <c r="I7" s="23">
        <v>10.797211556552384</v>
      </c>
      <c r="J7" s="5">
        <v>913.60894277134014</v>
      </c>
      <c r="K7" s="31"/>
      <c r="L7" s="23">
        <v>43669.528411333158</v>
      </c>
      <c r="M7" s="33">
        <v>5.017279100138694E-2</v>
      </c>
      <c r="N7" s="5">
        <v>2</v>
      </c>
      <c r="O7" s="5">
        <v>60</v>
      </c>
      <c r="P7" s="33">
        <v>0</v>
      </c>
      <c r="Q7" s="5">
        <v>9.9621380579621572</v>
      </c>
      <c r="R7" s="5">
        <v>947.67190394080274</v>
      </c>
      <c r="S7" s="31"/>
      <c r="T7" s="23">
        <v>40058.933795354409</v>
      </c>
      <c r="U7" s="33">
        <v>4.8368207997555153E-2</v>
      </c>
      <c r="V7" s="5">
        <v>3</v>
      </c>
      <c r="W7" s="5">
        <v>90</v>
      </c>
      <c r="X7" s="33">
        <v>13.325063066278368</v>
      </c>
      <c r="Y7" s="5">
        <v>20.951239115149235</v>
      </c>
      <c r="Z7" s="5">
        <v>1210.9203266647235</v>
      </c>
      <c r="AA7" s="35"/>
    </row>
    <row r="8" spans="2:27" x14ac:dyDescent="0.2">
      <c r="B8" s="4">
        <v>5</v>
      </c>
      <c r="C8" s="4">
        <v>864</v>
      </c>
      <c r="D8" s="23">
        <v>40263.615504612782</v>
      </c>
      <c r="E8" s="33">
        <v>6.6573332999723789E-2</v>
      </c>
      <c r="F8" s="5">
        <v>3</v>
      </c>
      <c r="G8" s="23">
        <v>90</v>
      </c>
      <c r="H8" s="33">
        <v>0</v>
      </c>
      <c r="I8" s="23">
        <v>10.797211556552384</v>
      </c>
      <c r="J8" s="5">
        <v>913.60894277134014</v>
      </c>
      <c r="K8" s="31"/>
      <c r="L8" s="23">
        <v>43013.666539279642</v>
      </c>
      <c r="M8" s="33">
        <v>6.0008959000697359E-2</v>
      </c>
      <c r="N8" s="5">
        <v>2</v>
      </c>
      <c r="O8" s="5">
        <v>60</v>
      </c>
      <c r="P8" s="33">
        <v>0</v>
      </c>
      <c r="Q8" s="5">
        <v>10.390017742806446</v>
      </c>
      <c r="R8" s="5">
        <v>854.18240638594125</v>
      </c>
      <c r="S8" s="31"/>
      <c r="T8" s="23">
        <v>40058.933795354409</v>
      </c>
      <c r="U8" s="33">
        <v>6.2661459000082687E-2</v>
      </c>
      <c r="V8" s="5">
        <v>3</v>
      </c>
      <c r="W8" s="5">
        <v>90</v>
      </c>
      <c r="X8" s="33">
        <v>13.325063066278368</v>
      </c>
      <c r="Y8" s="5">
        <v>20.951239115149235</v>
      </c>
      <c r="Z8" s="5">
        <v>1210.9203266647235</v>
      </c>
      <c r="AA8" s="35"/>
    </row>
    <row r="9" spans="2:27" x14ac:dyDescent="0.2">
      <c r="B9" s="4">
        <v>6</v>
      </c>
      <c r="C9" s="4">
        <v>883</v>
      </c>
      <c r="D9" s="23">
        <v>40263.615504612782</v>
      </c>
      <c r="E9" s="33">
        <v>9.8112125000625383E-2</v>
      </c>
      <c r="F9" s="5">
        <v>3</v>
      </c>
      <c r="G9" s="23">
        <v>90</v>
      </c>
      <c r="H9" s="33">
        <v>0</v>
      </c>
      <c r="I9" s="23">
        <v>10.797211556552384</v>
      </c>
      <c r="J9" s="5">
        <v>913.60894277134014</v>
      </c>
      <c r="K9" s="31"/>
      <c r="L9" s="23">
        <v>43013.666539279642</v>
      </c>
      <c r="M9" s="33">
        <v>0.10894400000324821</v>
      </c>
      <c r="N9" s="5">
        <v>2</v>
      </c>
      <c r="O9" s="5">
        <v>60</v>
      </c>
      <c r="P9" s="33">
        <v>0</v>
      </c>
      <c r="Q9" s="5">
        <v>10.390017742806446</v>
      </c>
      <c r="R9" s="5">
        <v>854.18240638594125</v>
      </c>
      <c r="S9" s="31"/>
      <c r="T9" s="23">
        <v>40058.933795354409</v>
      </c>
      <c r="U9" s="33">
        <v>0.1098332499968819</v>
      </c>
      <c r="V9" s="5">
        <v>3</v>
      </c>
      <c r="W9" s="5">
        <v>90</v>
      </c>
      <c r="X9" s="33">
        <v>13.325063066278368</v>
      </c>
      <c r="Y9" s="5">
        <v>20.951239115149235</v>
      </c>
      <c r="Z9" s="5">
        <v>1210.9203266647235</v>
      </c>
      <c r="AA9" s="35"/>
    </row>
    <row r="10" spans="2:27" x14ac:dyDescent="0.2">
      <c r="B10" s="4">
        <v>7</v>
      </c>
      <c r="C10" s="4">
        <v>335</v>
      </c>
      <c r="D10" s="23">
        <v>40263.615504612782</v>
      </c>
      <c r="E10" s="33">
        <v>4.2714290999356308E-2</v>
      </c>
      <c r="F10" s="5">
        <v>3</v>
      </c>
      <c r="G10" s="23">
        <v>90</v>
      </c>
      <c r="H10" s="33">
        <v>0</v>
      </c>
      <c r="I10" s="23">
        <v>10.797211556552384</v>
      </c>
      <c r="J10" s="5">
        <v>913.60894277134014</v>
      </c>
      <c r="K10" s="31"/>
      <c r="L10" s="23">
        <v>43336.013508134813</v>
      </c>
      <c r="M10" s="33">
        <v>4.036216699751094E-2</v>
      </c>
      <c r="N10" s="5">
        <v>2</v>
      </c>
      <c r="O10" s="5">
        <v>60</v>
      </c>
      <c r="P10" s="33">
        <v>0</v>
      </c>
      <c r="Q10" s="5">
        <v>10.375920038724702</v>
      </c>
      <c r="R10" s="5">
        <v>869.31327886916279</v>
      </c>
      <c r="S10" s="31"/>
      <c r="T10" s="23">
        <v>40143.449134302617</v>
      </c>
      <c r="U10" s="33">
        <v>4.5814542001608061E-2</v>
      </c>
      <c r="V10" s="5">
        <v>3</v>
      </c>
      <c r="W10" s="5">
        <v>90</v>
      </c>
      <c r="X10" s="33">
        <v>13.325063066278368</v>
      </c>
      <c r="Y10" s="5">
        <v>20.004007664704183</v>
      </c>
      <c r="Z10" s="5">
        <v>1179.4783537683315</v>
      </c>
      <c r="AA10" s="35"/>
    </row>
    <row r="11" spans="2:27" x14ac:dyDescent="0.2">
      <c r="B11" s="4">
        <v>8</v>
      </c>
      <c r="C11" s="4">
        <v>493</v>
      </c>
      <c r="D11" s="23">
        <v>40263.615504612782</v>
      </c>
      <c r="E11" s="33">
        <v>4.8805417000039597E-2</v>
      </c>
      <c r="F11" s="5">
        <v>3</v>
      </c>
      <c r="G11" s="23">
        <v>90</v>
      </c>
      <c r="H11" s="33">
        <v>0</v>
      </c>
      <c r="I11" s="23">
        <v>10.797211556552384</v>
      </c>
      <c r="J11" s="5">
        <v>913.60894277134014</v>
      </c>
      <c r="K11" s="31"/>
      <c r="L11" s="23">
        <v>43395.321997550222</v>
      </c>
      <c r="M11" s="33">
        <v>3.4709125000517822E-2</v>
      </c>
      <c r="N11" s="5">
        <v>2</v>
      </c>
      <c r="O11" s="5">
        <v>60</v>
      </c>
      <c r="P11" s="33">
        <v>0</v>
      </c>
      <c r="Q11" s="5">
        <v>9.265020957082978</v>
      </c>
      <c r="R11" s="5">
        <v>840.22603054701506</v>
      </c>
      <c r="S11" s="31"/>
      <c r="T11" s="23">
        <v>40058.933795354409</v>
      </c>
      <c r="U11" s="33">
        <v>5.1117667000653462E-2</v>
      </c>
      <c r="V11" s="5">
        <v>3</v>
      </c>
      <c r="W11" s="5">
        <v>90</v>
      </c>
      <c r="X11" s="33">
        <v>13.325063066278368</v>
      </c>
      <c r="Y11" s="5">
        <v>20.951239115149235</v>
      </c>
      <c r="Z11" s="5">
        <v>1210.9203266647235</v>
      </c>
      <c r="AA11" s="35"/>
    </row>
    <row r="12" spans="2:27" x14ac:dyDescent="0.2">
      <c r="B12" s="4">
        <v>9</v>
      </c>
      <c r="C12" s="4">
        <v>560</v>
      </c>
      <c r="D12" s="23">
        <v>40263.615504612782</v>
      </c>
      <c r="E12" s="33">
        <v>6.0404959000152303E-2</v>
      </c>
      <c r="F12" s="5">
        <v>3</v>
      </c>
      <c r="G12" s="23">
        <v>90</v>
      </c>
      <c r="H12" s="33">
        <v>0</v>
      </c>
      <c r="I12" s="23">
        <v>10.797211556552384</v>
      </c>
      <c r="J12" s="5">
        <v>913.60894277134014</v>
      </c>
      <c r="K12" s="31"/>
      <c r="L12" s="23">
        <v>43991.875380188307</v>
      </c>
      <c r="M12" s="33">
        <v>5.3928749999613501E-2</v>
      </c>
      <c r="N12" s="5">
        <v>2</v>
      </c>
      <c r="O12" s="5">
        <v>60</v>
      </c>
      <c r="P12" s="33">
        <v>0</v>
      </c>
      <c r="Q12" s="5">
        <v>9.9480403538804119</v>
      </c>
      <c r="R12" s="5">
        <v>962.8027764240245</v>
      </c>
      <c r="S12" s="31"/>
      <c r="T12" s="23">
        <v>40058.933795354409</v>
      </c>
      <c r="U12" s="33">
        <v>4.4283625000389293E-2</v>
      </c>
      <c r="V12" s="5">
        <v>3</v>
      </c>
      <c r="W12" s="5">
        <v>90</v>
      </c>
      <c r="X12" s="33">
        <v>13.325063066278368</v>
      </c>
      <c r="Y12" s="5">
        <v>20.951239115149235</v>
      </c>
      <c r="Z12" s="5">
        <v>1210.9203266647235</v>
      </c>
      <c r="AA12" s="35"/>
    </row>
    <row r="13" spans="2:27" x14ac:dyDescent="0.2">
      <c r="B13" s="4">
        <v>10</v>
      </c>
      <c r="C13" s="4">
        <v>639</v>
      </c>
      <c r="D13" s="23">
        <v>40263.615504612782</v>
      </c>
      <c r="E13" s="33">
        <v>8.4806290999949852E-2</v>
      </c>
      <c r="F13" s="5">
        <v>3</v>
      </c>
      <c r="G13" s="23">
        <v>90</v>
      </c>
      <c r="H13" s="33">
        <v>0</v>
      </c>
      <c r="I13" s="23">
        <v>10.797211556552384</v>
      </c>
      <c r="J13" s="5">
        <v>913.60894277134014</v>
      </c>
      <c r="K13" s="31"/>
      <c r="L13" s="23">
        <v>43669.528411333158</v>
      </c>
      <c r="M13" s="33">
        <v>8.0606458999682218E-2</v>
      </c>
      <c r="N13" s="5">
        <v>2</v>
      </c>
      <c r="O13" s="5">
        <v>60</v>
      </c>
      <c r="P13" s="33">
        <v>0</v>
      </c>
      <c r="Q13" s="5">
        <v>9.9621380579621572</v>
      </c>
      <c r="R13" s="5">
        <v>947.67190394080274</v>
      </c>
      <c r="S13" s="31"/>
      <c r="T13" s="23">
        <v>40451.536831822741</v>
      </c>
      <c r="U13" s="33">
        <v>7.6442166999186156E-2</v>
      </c>
      <c r="V13" s="5">
        <v>3</v>
      </c>
      <c r="W13" s="5">
        <v>90</v>
      </c>
      <c r="X13" s="33">
        <v>13.325063066278368</v>
      </c>
      <c r="Y13" s="5">
        <v>20.892163021854291</v>
      </c>
      <c r="Z13" s="5">
        <v>1219.7068399277466</v>
      </c>
      <c r="AA13" s="35"/>
    </row>
    <row r="14" spans="2:27" x14ac:dyDescent="0.2">
      <c r="B14" s="46" t="s">
        <v>3</v>
      </c>
      <c r="C14" s="47"/>
      <c r="D14" s="9">
        <f>MIN(D4:D13)</f>
        <v>40263.615504612782</v>
      </c>
      <c r="E14" s="22">
        <f>INDEX(E4:E13, MATCH($D$14, D4:D13, 0))</f>
        <v>3.8547333000678918E-2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10.797211556552384</v>
      </c>
      <c r="J14" s="22">
        <f>INDEX(J4:J13, MATCH($D$14, D4:D13, 0))</f>
        <v>913.60894277134014</v>
      </c>
      <c r="K14" s="32">
        <f>(D14-$D$15)/$D$15</f>
        <v>0</v>
      </c>
      <c r="L14" s="16">
        <f>MIN(L4:L13)</f>
        <v>43013.666539279642</v>
      </c>
      <c r="M14" s="21">
        <f>INDEX(M4:M13, MATCH($L$14, L4:L13, 0))</f>
        <v>4.5370042000286048E-2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10.390017742806446</v>
      </c>
      <c r="R14" s="21">
        <f>INDEX(R4:R13, MATCH($L$14, L4:L13, 0))</f>
        <v>854.18240638594125</v>
      </c>
      <c r="S14" s="36">
        <f>(L14-$D$15)/$D$15</f>
        <v>6.830114484755602E-2</v>
      </c>
      <c r="T14" s="38">
        <f>MIN(T4:T13)</f>
        <v>40058.933795354409</v>
      </c>
      <c r="U14" s="39">
        <f>INDEX(U4:U13, MATCH($T$14, T4:T13, 0))</f>
        <v>6.126412500088918E-2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13.325063066278368</v>
      </c>
      <c r="Y14" s="39">
        <f>INDEX(Y4:Y13, MATCH($T$14, T4:T13, 0))</f>
        <v>20.951239115149235</v>
      </c>
      <c r="Z14" s="39">
        <f>INDEX(Z4:Z13, MATCH($T$14, T4:T13, 0))</f>
        <v>1210.9203266647235</v>
      </c>
      <c r="AA14" s="40">
        <f>(T14-$D$15)/$D$15</f>
        <v>-5.0835402308797642E-3</v>
      </c>
    </row>
    <row r="15" spans="2:27" x14ac:dyDescent="0.2">
      <c r="C15" s="1" t="s">
        <v>17</v>
      </c>
      <c r="D15" s="34">
        <v>40263.615504612782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55" priority="7"/>
    <cfRule type="duplicateValues" dxfId="54" priority="8"/>
  </conditionalFormatting>
  <conditionalFormatting sqref="C14">
    <cfRule type="duplicateValues" dxfId="53" priority="1"/>
    <cfRule type="duplicateValues" dxfId="52" priority="2"/>
  </conditionalFormatting>
  <conditionalFormatting sqref="C17">
    <cfRule type="duplicateValues" dxfId="51" priority="3"/>
    <cfRule type="duplicateValues" dxfId="50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E0BC-C309-C449-A8F3-AC228785763D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-0.99987443758350658</v>
      </c>
      <c r="K2" s="28"/>
      <c r="L2" s="1" t="s">
        <v>19</v>
      </c>
      <c r="P2" s="1" t="e">
        <f>(P14-H14)/H14</f>
        <v>#DIV/0!</v>
      </c>
      <c r="R2" s="1">
        <f>(R14-J14)/J14</f>
        <v>-0.21154033112899256</v>
      </c>
      <c r="T2" s="1" t="s">
        <v>20</v>
      </c>
      <c r="X2" s="1" t="e">
        <f>(X14-P14)/P14</f>
        <v>#DIV/0!</v>
      </c>
      <c r="Z2" s="1">
        <f>(Z14-R14)/R14</f>
        <v>0.92392318628021097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31</v>
      </c>
      <c r="D4" s="23">
        <v>38712.405645893326</v>
      </c>
      <c r="E4" s="33">
        <v>5.9501083000213839E-2</v>
      </c>
      <c r="F4" s="5">
        <v>2</v>
      </c>
      <c r="G4" s="23">
        <v>70</v>
      </c>
      <c r="H4" s="33">
        <v>0</v>
      </c>
      <c r="I4" s="23">
        <v>8.1996273402523414</v>
      </c>
      <c r="J4" s="5">
        <v>717.9690598662645</v>
      </c>
      <c r="K4" s="31"/>
      <c r="L4" s="23">
        <v>42752.620828207771</v>
      </c>
      <c r="M4" s="33">
        <v>5.9504124998056802E-2</v>
      </c>
      <c r="N4" s="5">
        <v>2</v>
      </c>
      <c r="O4" s="5">
        <v>60</v>
      </c>
      <c r="P4" s="33">
        <v>0</v>
      </c>
      <c r="Q4" s="5">
        <v>6.8323603479853503</v>
      </c>
      <c r="R4" s="5">
        <v>657.24078951764989</v>
      </c>
      <c r="S4" s="31"/>
      <c r="T4" s="23">
        <v>39202.685110412101</v>
      </c>
      <c r="U4" s="33">
        <v>5.1719833001698128E-2</v>
      </c>
      <c r="V4" s="5">
        <v>2</v>
      </c>
      <c r="W4" s="5">
        <v>70</v>
      </c>
      <c r="X4" s="33">
        <v>0</v>
      </c>
      <c r="Y4" s="5">
        <v>27.732050627737785</v>
      </c>
      <c r="Z4" s="5">
        <v>1289.401620301411</v>
      </c>
      <c r="AA4" s="35"/>
    </row>
    <row r="5" spans="2:27" x14ac:dyDescent="0.2">
      <c r="B5" s="4">
        <v>2</v>
      </c>
      <c r="C5" s="4">
        <v>294</v>
      </c>
      <c r="D5" s="23">
        <v>38701.860619462619</v>
      </c>
      <c r="E5" s="33">
        <v>6.2100957999973623E-2</v>
      </c>
      <c r="F5" s="5">
        <v>2</v>
      </c>
      <c r="G5" s="23">
        <v>70</v>
      </c>
      <c r="H5" s="33">
        <v>0</v>
      </c>
      <c r="I5" s="23">
        <v>12.560379271624655</v>
      </c>
      <c r="J5" s="5">
        <v>833.57566083088386</v>
      </c>
      <c r="K5" s="31"/>
      <c r="L5" s="23">
        <v>42891.895606012833</v>
      </c>
      <c r="M5" s="33">
        <v>5.092845900071552E-2</v>
      </c>
      <c r="N5" s="5">
        <v>2</v>
      </c>
      <c r="O5" s="5">
        <v>60</v>
      </c>
      <c r="P5" s="33">
        <v>0</v>
      </c>
      <c r="Q5" s="5">
        <v>7.430142195767198</v>
      </c>
      <c r="R5" s="5">
        <v>679.06221808907844</v>
      </c>
      <c r="S5" s="31"/>
      <c r="T5" s="23">
        <v>39202.685110412101</v>
      </c>
      <c r="U5" s="33">
        <v>5.7127832998958183E-2</v>
      </c>
      <c r="V5" s="5">
        <v>2</v>
      </c>
      <c r="W5" s="5">
        <v>70</v>
      </c>
      <c r="X5" s="33">
        <v>0</v>
      </c>
      <c r="Y5" s="5">
        <v>27.732050627737785</v>
      </c>
      <c r="Z5" s="5">
        <v>1289.401620301411</v>
      </c>
      <c r="AA5" s="35"/>
    </row>
    <row r="6" spans="2:27" x14ac:dyDescent="0.2">
      <c r="B6" s="4">
        <v>3</v>
      </c>
      <c r="C6" s="4">
        <v>346</v>
      </c>
      <c r="D6" s="23">
        <v>38701.860619462619</v>
      </c>
      <c r="E6" s="33">
        <v>9.8344250000081956E-2</v>
      </c>
      <c r="F6" s="5">
        <v>2</v>
      </c>
      <c r="G6" s="23">
        <v>70</v>
      </c>
      <c r="H6" s="33">
        <v>0</v>
      </c>
      <c r="I6" s="23">
        <v>12.560379271624655</v>
      </c>
      <c r="J6" s="5">
        <v>833.57566083088386</v>
      </c>
      <c r="K6" s="31"/>
      <c r="L6" s="23">
        <v>42752.620828207771</v>
      </c>
      <c r="M6" s="33">
        <v>0.1121280830011528</v>
      </c>
      <c r="N6" s="5">
        <v>2</v>
      </c>
      <c r="O6" s="5">
        <v>60</v>
      </c>
      <c r="P6" s="33">
        <v>0</v>
      </c>
      <c r="Q6" s="5">
        <v>6.8323603479853503</v>
      </c>
      <c r="R6" s="5">
        <v>657.24078951764989</v>
      </c>
      <c r="S6" s="31"/>
      <c r="T6" s="23">
        <v>38286.371652681701</v>
      </c>
      <c r="U6" s="33">
        <v>9.7876915999222547E-2</v>
      </c>
      <c r="V6" s="5">
        <v>2</v>
      </c>
      <c r="W6" s="5">
        <v>70</v>
      </c>
      <c r="X6" s="33">
        <v>0</v>
      </c>
      <c r="Y6" s="5">
        <v>30.751622988147663</v>
      </c>
      <c r="Z6" s="5">
        <v>1264.4807939221184</v>
      </c>
      <c r="AA6" s="35"/>
    </row>
    <row r="7" spans="2:27" x14ac:dyDescent="0.2">
      <c r="B7" s="4">
        <v>4</v>
      </c>
      <c r="C7" s="4">
        <v>347</v>
      </c>
      <c r="D7" s="23">
        <v>38701.860619462619</v>
      </c>
      <c r="E7" s="33">
        <v>6.6170999999485502E-2</v>
      </c>
      <c r="F7" s="5">
        <v>2</v>
      </c>
      <c r="G7" s="23">
        <v>70</v>
      </c>
      <c r="H7" s="33">
        <v>0</v>
      </c>
      <c r="I7" s="23">
        <v>12.560379271624655</v>
      </c>
      <c r="J7" s="5">
        <v>833.57566083088386</v>
      </c>
      <c r="K7" s="31"/>
      <c r="L7" s="23">
        <v>42752.620828207771</v>
      </c>
      <c r="M7" s="33">
        <v>4.4243708998692448E-2</v>
      </c>
      <c r="N7" s="5">
        <v>2</v>
      </c>
      <c r="O7" s="5">
        <v>60</v>
      </c>
      <c r="P7" s="33">
        <v>0</v>
      </c>
      <c r="Q7" s="5">
        <v>6.8323603479853503</v>
      </c>
      <c r="R7" s="5">
        <v>657.24078951764989</v>
      </c>
      <c r="S7" s="31"/>
      <c r="T7" s="23">
        <v>39074.643919571638</v>
      </c>
      <c r="U7" s="33">
        <v>6.5852584000822389E-2</v>
      </c>
      <c r="V7" s="5">
        <v>2</v>
      </c>
      <c r="W7" s="5">
        <v>70</v>
      </c>
      <c r="X7" s="33">
        <v>0</v>
      </c>
      <c r="Y7" s="5">
        <v>28.361938340115376</v>
      </c>
      <c r="Z7" s="5">
        <v>1306.4369008103756</v>
      </c>
      <c r="AA7" s="35"/>
    </row>
    <row r="8" spans="2:27" x14ac:dyDescent="0.2">
      <c r="B8" s="4">
        <v>5</v>
      </c>
      <c r="C8" s="4">
        <v>376</v>
      </c>
      <c r="D8" s="23">
        <v>38701.860619462619</v>
      </c>
      <c r="E8" s="33">
        <v>4.9375667000276742E-2</v>
      </c>
      <c r="F8" s="5">
        <v>2</v>
      </c>
      <c r="G8" s="23">
        <v>70</v>
      </c>
      <c r="H8" s="33">
        <v>0</v>
      </c>
      <c r="I8" s="23">
        <v>12.560379271624655</v>
      </c>
      <c r="J8" s="5">
        <v>833.57566083088386</v>
      </c>
      <c r="K8" s="31"/>
      <c r="L8" s="23">
        <v>42752.620828207771</v>
      </c>
      <c r="M8" s="33">
        <v>8.2386499998392537E-2</v>
      </c>
      <c r="N8" s="5">
        <v>2</v>
      </c>
      <c r="O8" s="5">
        <v>60</v>
      </c>
      <c r="P8" s="33">
        <v>0</v>
      </c>
      <c r="Q8" s="5">
        <v>6.8323603479853503</v>
      </c>
      <c r="R8" s="5">
        <v>657.24078951764989</v>
      </c>
      <c r="S8" s="31"/>
      <c r="T8" s="23">
        <v>38286.371652681701</v>
      </c>
      <c r="U8" s="33">
        <v>4.5470542001567082E-2</v>
      </c>
      <c r="V8" s="5">
        <v>2</v>
      </c>
      <c r="W8" s="5">
        <v>70</v>
      </c>
      <c r="X8" s="33">
        <v>0</v>
      </c>
      <c r="Y8" s="5">
        <v>30.751622988147663</v>
      </c>
      <c r="Z8" s="5">
        <v>1264.4807939221184</v>
      </c>
      <c r="AA8" s="35"/>
    </row>
    <row r="9" spans="2:27" x14ac:dyDescent="0.2">
      <c r="B9" s="4">
        <v>6</v>
      </c>
      <c r="C9" s="4">
        <v>463</v>
      </c>
      <c r="D9" s="23">
        <v>38701.860619462619</v>
      </c>
      <c r="E9" s="33">
        <v>5.1438792000226392E-2</v>
      </c>
      <c r="F9" s="5">
        <v>2</v>
      </c>
      <c r="G9" s="23">
        <v>70</v>
      </c>
      <c r="H9" s="33">
        <v>0</v>
      </c>
      <c r="I9" s="23">
        <v>12.560379271624655</v>
      </c>
      <c r="J9" s="5">
        <v>833.57566083088386</v>
      </c>
      <c r="K9" s="31"/>
      <c r="L9" s="23">
        <v>42752.620828207771</v>
      </c>
      <c r="M9" s="33">
        <v>5.9249333000479958E-2</v>
      </c>
      <c r="N9" s="5">
        <v>2</v>
      </c>
      <c r="O9" s="5">
        <v>60</v>
      </c>
      <c r="P9" s="33">
        <v>0</v>
      </c>
      <c r="Q9" s="5">
        <v>6.8323603479853503</v>
      </c>
      <c r="R9" s="5">
        <v>657.24078951764989</v>
      </c>
      <c r="S9" s="31"/>
      <c r="T9" s="23">
        <v>38286.371652681701</v>
      </c>
      <c r="U9" s="33">
        <v>5.066041700047208E-2</v>
      </c>
      <c r="V9" s="5">
        <v>2</v>
      </c>
      <c r="W9" s="5">
        <v>70</v>
      </c>
      <c r="X9" s="33">
        <v>0</v>
      </c>
      <c r="Y9" s="5">
        <v>30.751622988147663</v>
      </c>
      <c r="Z9" s="5">
        <v>1264.4807939221184</v>
      </c>
      <c r="AA9" s="35"/>
    </row>
    <row r="10" spans="2:27" x14ac:dyDescent="0.2">
      <c r="B10" s="4">
        <v>7</v>
      </c>
      <c r="C10" s="4">
        <v>528</v>
      </c>
      <c r="D10" s="23">
        <v>38701.860619462619</v>
      </c>
      <c r="E10" s="33">
        <v>7.2355624999545398E-2</v>
      </c>
      <c r="F10" s="5">
        <v>2</v>
      </c>
      <c r="G10" s="23">
        <v>70</v>
      </c>
      <c r="H10" s="33">
        <v>0</v>
      </c>
      <c r="I10" s="23">
        <v>12.560379271624655</v>
      </c>
      <c r="J10" s="5">
        <v>833.57566083088386</v>
      </c>
      <c r="K10" s="31"/>
      <c r="L10" s="23">
        <v>42752.620828207771</v>
      </c>
      <c r="M10" s="33">
        <v>6.647766700189095E-2</v>
      </c>
      <c r="N10" s="5">
        <v>2</v>
      </c>
      <c r="O10" s="5">
        <v>60</v>
      </c>
      <c r="P10" s="33">
        <v>0</v>
      </c>
      <c r="Q10" s="5">
        <v>6.8323603479853503</v>
      </c>
      <c r="R10" s="5">
        <v>657.24078951764989</v>
      </c>
      <c r="S10" s="31"/>
      <c r="T10" s="23">
        <v>38286.371652681701</v>
      </c>
      <c r="U10" s="33">
        <v>7.0064249997813022E-2</v>
      </c>
      <c r="V10" s="5">
        <v>2</v>
      </c>
      <c r="W10" s="5">
        <v>70</v>
      </c>
      <c r="X10" s="33">
        <v>0</v>
      </c>
      <c r="Y10" s="5">
        <v>30.751622988147663</v>
      </c>
      <c r="Z10" s="5">
        <v>1264.4807939221184</v>
      </c>
      <c r="AA10" s="35"/>
    </row>
    <row r="11" spans="2:27" x14ac:dyDescent="0.2">
      <c r="B11" s="4">
        <v>8</v>
      </c>
      <c r="C11" s="4">
        <v>762</v>
      </c>
      <c r="D11" s="23">
        <v>38712.405645893326</v>
      </c>
      <c r="E11" s="33">
        <v>4.6970332999990212E-2</v>
      </c>
      <c r="F11" s="5">
        <v>2</v>
      </c>
      <c r="G11" s="23">
        <v>70</v>
      </c>
      <c r="H11" s="33">
        <v>0</v>
      </c>
      <c r="I11" s="23">
        <v>8.1996273402523414</v>
      </c>
      <c r="J11" s="5">
        <v>717.9690598662645</v>
      </c>
      <c r="K11" s="31"/>
      <c r="L11" s="23">
        <v>42752.620828207771</v>
      </c>
      <c r="M11" s="33">
        <v>5.6956875003379537E-2</v>
      </c>
      <c r="N11" s="5">
        <v>2</v>
      </c>
      <c r="O11" s="5">
        <v>60</v>
      </c>
      <c r="P11" s="33">
        <v>0</v>
      </c>
      <c r="Q11" s="5">
        <v>6.8323603479853503</v>
      </c>
      <c r="R11" s="5">
        <v>657.24078951764989</v>
      </c>
      <c r="S11" s="31"/>
      <c r="T11" s="23">
        <v>38286.371652681701</v>
      </c>
      <c r="U11" s="33">
        <v>6.1659999999392312E-2</v>
      </c>
      <c r="V11" s="5">
        <v>2</v>
      </c>
      <c r="W11" s="5">
        <v>70</v>
      </c>
      <c r="X11" s="33">
        <v>0</v>
      </c>
      <c r="Y11" s="5">
        <v>30.751622988147663</v>
      </c>
      <c r="Z11" s="5">
        <v>1264.4807939221184</v>
      </c>
      <c r="AA11" s="35"/>
    </row>
    <row r="12" spans="2:27" x14ac:dyDescent="0.2">
      <c r="B12" s="4">
        <v>9</v>
      </c>
      <c r="C12" s="4">
        <v>818</v>
      </c>
      <c r="D12" s="23">
        <v>38701.860619462619</v>
      </c>
      <c r="E12" s="33">
        <v>8.8695665999694029E-2</v>
      </c>
      <c r="F12" s="5">
        <v>2</v>
      </c>
      <c r="G12" s="23">
        <v>70</v>
      </c>
      <c r="H12" s="33">
        <v>0</v>
      </c>
      <c r="I12" s="23">
        <v>12.560379271624655</v>
      </c>
      <c r="J12" s="5">
        <v>833.57566083088386</v>
      </c>
      <c r="K12" s="31"/>
      <c r="L12" s="23">
        <v>42752.620828207771</v>
      </c>
      <c r="M12" s="33">
        <v>4.4371708001563093E-2</v>
      </c>
      <c r="N12" s="5">
        <v>2</v>
      </c>
      <c r="O12" s="5">
        <v>60</v>
      </c>
      <c r="P12" s="33">
        <v>0</v>
      </c>
      <c r="Q12" s="5">
        <v>6.8323603479853503</v>
      </c>
      <c r="R12" s="5">
        <v>657.24078951764989</v>
      </c>
      <c r="S12" s="31"/>
      <c r="T12" s="23">
        <v>38286.371652681701</v>
      </c>
      <c r="U12" s="33">
        <v>7.5429083000926767E-2</v>
      </c>
      <c r="V12" s="5">
        <v>2</v>
      </c>
      <c r="W12" s="5">
        <v>70</v>
      </c>
      <c r="X12" s="33">
        <v>0</v>
      </c>
      <c r="Y12" s="5">
        <v>30.751622988147663</v>
      </c>
      <c r="Z12" s="5">
        <v>1264.4807939221184</v>
      </c>
      <c r="AA12" s="35"/>
    </row>
    <row r="13" spans="2:27" x14ac:dyDescent="0.2">
      <c r="B13" s="4">
        <v>10</v>
      </c>
      <c r="C13" s="4">
        <v>972</v>
      </c>
      <c r="D13" s="23">
        <v>38701.860619462619</v>
      </c>
      <c r="E13" s="33">
        <v>7.9999791000773257E-2</v>
      </c>
      <c r="F13" s="5">
        <v>2</v>
      </c>
      <c r="G13" s="23">
        <v>70</v>
      </c>
      <c r="H13" s="33">
        <v>0</v>
      </c>
      <c r="I13" s="23">
        <v>12.560379271624655</v>
      </c>
      <c r="J13" s="5">
        <v>833.57566083088386</v>
      </c>
      <c r="K13" s="31"/>
      <c r="L13" s="23">
        <v>42752.620828207771</v>
      </c>
      <c r="M13" s="33">
        <v>6.9369332999485778E-2</v>
      </c>
      <c r="N13" s="5">
        <v>2</v>
      </c>
      <c r="O13" s="5">
        <v>60</v>
      </c>
      <c r="P13" s="33">
        <v>0</v>
      </c>
      <c r="Q13" s="5">
        <v>6.8323603479853503</v>
      </c>
      <c r="R13" s="5">
        <v>657.24078951764989</v>
      </c>
      <c r="S13" s="31"/>
      <c r="T13" s="23">
        <v>38286.371652681701</v>
      </c>
      <c r="U13" s="33">
        <v>8.0293500002881046E-2</v>
      </c>
      <c r="V13" s="5">
        <v>2</v>
      </c>
      <c r="W13" s="5">
        <v>70</v>
      </c>
      <c r="X13" s="33">
        <v>0</v>
      </c>
      <c r="Y13" s="5">
        <v>30.751622988147663</v>
      </c>
      <c r="Z13" s="5">
        <v>1264.4807939221184</v>
      </c>
      <c r="AA13" s="35"/>
    </row>
    <row r="14" spans="2:27" x14ac:dyDescent="0.2">
      <c r="B14" s="46" t="s">
        <v>3</v>
      </c>
      <c r="C14" s="47"/>
      <c r="D14" s="9">
        <f>MIN(D4:D13)</f>
        <v>38701.860619462619</v>
      </c>
      <c r="E14" s="22">
        <f>INDEX(E4:E13, MATCH($D$14, D4:D13, 0))</f>
        <v>6.2100957999973623E-2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12.560379271624655</v>
      </c>
      <c r="J14" s="22">
        <f>INDEX(J4:J13, MATCH($D$14, D4:D13, 0))</f>
        <v>833.57566083088386</v>
      </c>
      <c r="K14" s="32">
        <f>(D14-$D$15)/$D$15</f>
        <v>0</v>
      </c>
      <c r="L14" s="16">
        <f>MIN(L4:L13)</f>
        <v>42752.620828207771</v>
      </c>
      <c r="M14" s="21">
        <f>INDEX(M4:M13, MATCH($L$14, L4:L13, 0))</f>
        <v>5.9504124998056802E-2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6.8323603479853503</v>
      </c>
      <c r="R14" s="21">
        <f>INDEX(R4:R13, MATCH($L$14, L4:L13, 0))</f>
        <v>657.24078951764989</v>
      </c>
      <c r="S14" s="36">
        <f>(L14-$D$15)/$D$15</f>
        <v>0.10466577430409334</v>
      </c>
      <c r="T14" s="38">
        <f>MIN(T4:T13)</f>
        <v>38286.371652681701</v>
      </c>
      <c r="U14" s="39">
        <f>INDEX(U4:U13, MATCH($T$14, T4:T13, 0))</f>
        <v>9.7876915999222547E-2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30.751622988147663</v>
      </c>
      <c r="Z14" s="39">
        <f>INDEX(Z4:Z13, MATCH($T$14, T4:T13, 0))</f>
        <v>1264.4807939221184</v>
      </c>
      <c r="AA14" s="40">
        <f>(T14-$D$15)/$D$15</f>
        <v>-1.073563286443068E-2</v>
      </c>
    </row>
    <row r="15" spans="2:27" x14ac:dyDescent="0.2">
      <c r="C15" s="1" t="s">
        <v>17</v>
      </c>
      <c r="D15" s="34">
        <v>38701.860619462619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49" priority="7"/>
    <cfRule type="duplicateValues" dxfId="48" priority="8"/>
  </conditionalFormatting>
  <conditionalFormatting sqref="C14">
    <cfRule type="duplicateValues" dxfId="47" priority="1"/>
    <cfRule type="duplicateValues" dxfId="46" priority="2"/>
  </conditionalFormatting>
  <conditionalFormatting sqref="C17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98C5-0360-C14A-987E-AF8614733E28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0.46933847331666934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144</v>
      </c>
      <c r="D4" s="23">
        <v>35292.740544844681</v>
      </c>
      <c r="E4" s="33">
        <v>6.705162499929429E-2</v>
      </c>
      <c r="F4" s="5">
        <v>3</v>
      </c>
      <c r="G4" s="23">
        <v>100</v>
      </c>
      <c r="H4" s="33">
        <v>0</v>
      </c>
      <c r="I4" s="23">
        <v>10.987230587767863</v>
      </c>
      <c r="J4" s="5">
        <v>858.11774828434932</v>
      </c>
      <c r="K4" s="31"/>
      <c r="L4" s="23">
        <v>35292.740544844681</v>
      </c>
      <c r="M4" s="33">
        <v>4.7220584001479438E-2</v>
      </c>
      <c r="N4" s="5">
        <v>3</v>
      </c>
      <c r="O4" s="5">
        <v>100</v>
      </c>
      <c r="P4" s="33">
        <v>0</v>
      </c>
      <c r="Q4" s="5">
        <v>10.987230587767863</v>
      </c>
      <c r="R4" s="5">
        <v>858.11774828434932</v>
      </c>
      <c r="S4" s="31"/>
      <c r="T4" s="23">
        <v>34757.182514669403</v>
      </c>
      <c r="U4" s="33">
        <v>6.1298166998312809E-2</v>
      </c>
      <c r="V4" s="5">
        <v>3</v>
      </c>
      <c r="W4" s="5">
        <v>100</v>
      </c>
      <c r="X4" s="33">
        <v>0</v>
      </c>
      <c r="Y4" s="5">
        <v>25.435833387794471</v>
      </c>
      <c r="Z4" s="5">
        <v>1260.8654221900638</v>
      </c>
      <c r="AA4" s="35"/>
    </row>
    <row r="5" spans="2:27" x14ac:dyDescent="0.2">
      <c r="B5" s="4">
        <v>2</v>
      </c>
      <c r="C5" s="4">
        <v>161</v>
      </c>
      <c r="D5" s="23">
        <v>35525.552489508067</v>
      </c>
      <c r="E5" s="33">
        <v>6.1880625000412692E-2</v>
      </c>
      <c r="F5" s="5">
        <v>3</v>
      </c>
      <c r="G5" s="23">
        <v>100</v>
      </c>
      <c r="H5" s="33">
        <v>0</v>
      </c>
      <c r="I5" s="23">
        <v>11.210802689192596</v>
      </c>
      <c r="J5" s="5">
        <v>894.70118032120297</v>
      </c>
      <c r="K5" s="31"/>
      <c r="L5" s="23">
        <v>35292.740544844681</v>
      </c>
      <c r="M5" s="33">
        <v>6.4736208001704654E-2</v>
      </c>
      <c r="N5" s="5">
        <v>3</v>
      </c>
      <c r="O5" s="5">
        <v>100</v>
      </c>
      <c r="P5" s="33">
        <v>0</v>
      </c>
      <c r="Q5" s="5">
        <v>10.987230587767863</v>
      </c>
      <c r="R5" s="5">
        <v>858.11774828434932</v>
      </c>
      <c r="S5" s="31"/>
      <c r="T5" s="23">
        <v>35848.637984140878</v>
      </c>
      <c r="U5" s="33">
        <v>6.6595874999620719E-2</v>
      </c>
      <c r="V5" s="5">
        <v>2</v>
      </c>
      <c r="W5" s="5">
        <v>70</v>
      </c>
      <c r="X5" s="33">
        <v>0</v>
      </c>
      <c r="Y5" s="5">
        <v>36.228809567750218</v>
      </c>
      <c r="Z5" s="5">
        <v>1228.5943686441512</v>
      </c>
      <c r="AA5" s="35"/>
    </row>
    <row r="6" spans="2:27" x14ac:dyDescent="0.2">
      <c r="B6" s="4">
        <v>3</v>
      </c>
      <c r="C6" s="4">
        <v>198</v>
      </c>
      <c r="D6" s="23">
        <v>35292.740544844681</v>
      </c>
      <c r="E6" s="33">
        <v>5.8130417000029411E-2</v>
      </c>
      <c r="F6" s="5">
        <v>3</v>
      </c>
      <c r="G6" s="23">
        <v>100</v>
      </c>
      <c r="H6" s="33">
        <v>0</v>
      </c>
      <c r="I6" s="23">
        <v>10.987230587767863</v>
      </c>
      <c r="J6" s="5">
        <v>858.11774828434932</v>
      </c>
      <c r="K6" s="31"/>
      <c r="L6" s="23">
        <v>35292.740544844681</v>
      </c>
      <c r="M6" s="33">
        <v>5.7804084000963478E-2</v>
      </c>
      <c r="N6" s="5">
        <v>3</v>
      </c>
      <c r="O6" s="5">
        <v>100</v>
      </c>
      <c r="P6" s="33">
        <v>0</v>
      </c>
      <c r="Q6" s="5">
        <v>10.987230587767863</v>
      </c>
      <c r="R6" s="5">
        <v>858.11774828434932</v>
      </c>
      <c r="S6" s="31"/>
      <c r="T6" s="23">
        <v>35848.637984140878</v>
      </c>
      <c r="U6" s="33">
        <v>6.2208833001932362E-2</v>
      </c>
      <c r="V6" s="5">
        <v>2</v>
      </c>
      <c r="W6" s="5">
        <v>70</v>
      </c>
      <c r="X6" s="33">
        <v>0</v>
      </c>
      <c r="Y6" s="5">
        <v>36.228809567750218</v>
      </c>
      <c r="Z6" s="5">
        <v>1228.5943686441512</v>
      </c>
      <c r="AA6" s="35"/>
    </row>
    <row r="7" spans="2:27" x14ac:dyDescent="0.2">
      <c r="B7" s="4">
        <v>4</v>
      </c>
      <c r="C7" s="4">
        <v>846</v>
      </c>
      <c r="D7" s="23">
        <v>35292.740544844681</v>
      </c>
      <c r="E7" s="33">
        <v>9.7800208000080602E-2</v>
      </c>
      <c r="F7" s="5">
        <v>3</v>
      </c>
      <c r="G7" s="23">
        <v>100</v>
      </c>
      <c r="H7" s="33">
        <v>0</v>
      </c>
      <c r="I7" s="23">
        <v>10.987230587767863</v>
      </c>
      <c r="J7" s="5">
        <v>858.11774828434932</v>
      </c>
      <c r="K7" s="31"/>
      <c r="L7" s="23">
        <v>36431.360587356801</v>
      </c>
      <c r="M7" s="33">
        <v>8.7737165998987621E-2</v>
      </c>
      <c r="N7" s="5">
        <v>3</v>
      </c>
      <c r="O7" s="5">
        <v>100</v>
      </c>
      <c r="P7" s="33">
        <v>0</v>
      </c>
      <c r="Q7" s="5">
        <v>10.959475388552141</v>
      </c>
      <c r="R7" s="5">
        <v>970.89409170817783</v>
      </c>
      <c r="S7" s="31"/>
      <c r="T7" s="23">
        <v>34757.182514669403</v>
      </c>
      <c r="U7" s="33">
        <v>8.1854833999386756E-2</v>
      </c>
      <c r="V7" s="5">
        <v>3</v>
      </c>
      <c r="W7" s="5">
        <v>100</v>
      </c>
      <c r="X7" s="33">
        <v>0</v>
      </c>
      <c r="Y7" s="5">
        <v>25.435833387794471</v>
      </c>
      <c r="Z7" s="5">
        <v>1260.8654221900638</v>
      </c>
      <c r="AA7" s="35"/>
    </row>
    <row r="8" spans="2:27" x14ac:dyDescent="0.2">
      <c r="B8" s="4">
        <v>5</v>
      </c>
      <c r="C8" s="4">
        <v>428</v>
      </c>
      <c r="D8" s="23">
        <v>35292.740544844681</v>
      </c>
      <c r="E8" s="33">
        <v>4.2292832999919483E-2</v>
      </c>
      <c r="F8" s="5">
        <v>3</v>
      </c>
      <c r="G8" s="23">
        <v>100</v>
      </c>
      <c r="H8" s="33">
        <v>0</v>
      </c>
      <c r="I8" s="23">
        <v>10.987230587767863</v>
      </c>
      <c r="J8" s="5">
        <v>858.11774828434932</v>
      </c>
      <c r="K8" s="31"/>
      <c r="L8" s="23">
        <v>35292.740544844681</v>
      </c>
      <c r="M8" s="33">
        <v>4.8980209001456387E-2</v>
      </c>
      <c r="N8" s="5">
        <v>3</v>
      </c>
      <c r="O8" s="5">
        <v>100</v>
      </c>
      <c r="P8" s="33">
        <v>0</v>
      </c>
      <c r="Q8" s="5">
        <v>10.987230587767863</v>
      </c>
      <c r="R8" s="5">
        <v>858.11774828434932</v>
      </c>
      <c r="S8" s="31"/>
      <c r="T8" s="23">
        <v>34757.182514669403</v>
      </c>
      <c r="U8" s="33">
        <v>4.9611166999966372E-2</v>
      </c>
      <c r="V8" s="5">
        <v>3</v>
      </c>
      <c r="W8" s="5">
        <v>100</v>
      </c>
      <c r="X8" s="33">
        <v>0</v>
      </c>
      <c r="Y8" s="5">
        <v>25.435833387794471</v>
      </c>
      <c r="Z8" s="5">
        <v>1260.8654221900638</v>
      </c>
      <c r="AA8" s="35"/>
    </row>
    <row r="9" spans="2:27" x14ac:dyDescent="0.2">
      <c r="B9" s="4">
        <v>6</v>
      </c>
      <c r="C9" s="4">
        <v>506</v>
      </c>
      <c r="D9" s="23">
        <v>35292.740544844681</v>
      </c>
      <c r="E9" s="33">
        <v>5.2637042000242218E-2</v>
      </c>
      <c r="F9" s="5">
        <v>3</v>
      </c>
      <c r="G9" s="23">
        <v>100</v>
      </c>
      <c r="H9" s="33">
        <v>0</v>
      </c>
      <c r="I9" s="23">
        <v>10.987230587767863</v>
      </c>
      <c r="J9" s="5">
        <v>858.11774828434932</v>
      </c>
      <c r="K9" s="31"/>
      <c r="L9" s="23">
        <v>35292.740544844681</v>
      </c>
      <c r="M9" s="33">
        <v>6.2320332999661332E-2</v>
      </c>
      <c r="N9" s="5">
        <v>3</v>
      </c>
      <c r="O9" s="5">
        <v>100</v>
      </c>
      <c r="P9" s="33">
        <v>0</v>
      </c>
      <c r="Q9" s="5">
        <v>10.987230587767863</v>
      </c>
      <c r="R9" s="5">
        <v>858.11774828434932</v>
      </c>
      <c r="S9" s="31"/>
      <c r="T9" s="23">
        <v>34757.182514669403</v>
      </c>
      <c r="U9" s="33">
        <v>5.2714624998770887E-2</v>
      </c>
      <c r="V9" s="5">
        <v>3</v>
      </c>
      <c r="W9" s="5">
        <v>100</v>
      </c>
      <c r="X9" s="33">
        <v>0</v>
      </c>
      <c r="Y9" s="5">
        <v>25.435833387794471</v>
      </c>
      <c r="Z9" s="5">
        <v>1260.8654221900638</v>
      </c>
      <c r="AA9" s="35"/>
    </row>
    <row r="10" spans="2:27" x14ac:dyDescent="0.2">
      <c r="B10" s="4">
        <v>7</v>
      </c>
      <c r="C10" s="4">
        <v>549</v>
      </c>
      <c r="D10" s="23">
        <v>35292.740544844681</v>
      </c>
      <c r="E10" s="33">
        <v>5.8545625000078871E-2</v>
      </c>
      <c r="F10" s="5">
        <v>3</v>
      </c>
      <c r="G10" s="23">
        <v>100</v>
      </c>
      <c r="H10" s="33">
        <v>0</v>
      </c>
      <c r="I10" s="23">
        <v>10.987230587767863</v>
      </c>
      <c r="J10" s="5">
        <v>858.11774828434932</v>
      </c>
      <c r="K10" s="31"/>
      <c r="L10" s="23">
        <v>35292.740544844681</v>
      </c>
      <c r="M10" s="33">
        <v>6.3529958999424707E-2</v>
      </c>
      <c r="N10" s="5">
        <v>3</v>
      </c>
      <c r="O10" s="5">
        <v>100</v>
      </c>
      <c r="P10" s="33">
        <v>0</v>
      </c>
      <c r="Q10" s="5">
        <v>10.987230587767863</v>
      </c>
      <c r="R10" s="5">
        <v>858.11774828434932</v>
      </c>
      <c r="S10" s="31"/>
      <c r="T10" s="23">
        <v>34757.182514669403</v>
      </c>
      <c r="U10" s="33">
        <v>6.6027250002662186E-2</v>
      </c>
      <c r="V10" s="5">
        <v>3</v>
      </c>
      <c r="W10" s="5">
        <v>100</v>
      </c>
      <c r="X10" s="33">
        <v>0</v>
      </c>
      <c r="Y10" s="5">
        <v>25.435833387794471</v>
      </c>
      <c r="Z10" s="5">
        <v>1260.8654221900638</v>
      </c>
      <c r="AA10" s="35"/>
    </row>
    <row r="11" spans="2:27" x14ac:dyDescent="0.2">
      <c r="B11" s="4">
        <v>8</v>
      </c>
      <c r="C11" s="4">
        <v>569</v>
      </c>
      <c r="D11" s="23">
        <v>35292.740544844681</v>
      </c>
      <c r="E11" s="33">
        <v>0.1014009580003403</v>
      </c>
      <c r="F11" s="5">
        <v>3</v>
      </c>
      <c r="G11" s="23">
        <v>100</v>
      </c>
      <c r="H11" s="33">
        <v>0</v>
      </c>
      <c r="I11" s="23">
        <v>10.987230587767863</v>
      </c>
      <c r="J11" s="5">
        <v>858.11774828434932</v>
      </c>
      <c r="K11" s="31"/>
      <c r="L11" s="23">
        <v>35292.740544844681</v>
      </c>
      <c r="M11" s="33">
        <v>0.1190522079996299</v>
      </c>
      <c r="N11" s="5">
        <v>3</v>
      </c>
      <c r="O11" s="5">
        <v>100</v>
      </c>
      <c r="P11" s="33">
        <v>0</v>
      </c>
      <c r="Q11" s="5">
        <v>10.987230587767863</v>
      </c>
      <c r="R11" s="5">
        <v>858.11774828434932</v>
      </c>
      <c r="S11" s="31"/>
      <c r="T11" s="23">
        <v>34757.182514669403</v>
      </c>
      <c r="U11" s="33">
        <v>0.1159138330003771</v>
      </c>
      <c r="V11" s="5">
        <v>3</v>
      </c>
      <c r="W11" s="5">
        <v>100</v>
      </c>
      <c r="X11" s="33">
        <v>0</v>
      </c>
      <c r="Y11" s="5">
        <v>25.435833387794471</v>
      </c>
      <c r="Z11" s="5">
        <v>1260.8654221900638</v>
      </c>
      <c r="AA11" s="35"/>
    </row>
    <row r="12" spans="2:27" x14ac:dyDescent="0.2">
      <c r="B12" s="4">
        <v>9</v>
      </c>
      <c r="C12" s="4">
        <v>984</v>
      </c>
      <c r="D12" s="23">
        <v>35292.740544844681</v>
      </c>
      <c r="E12" s="33">
        <v>4.4506291999823588E-2</v>
      </c>
      <c r="F12" s="5">
        <v>3</v>
      </c>
      <c r="G12" s="23">
        <v>100</v>
      </c>
      <c r="H12" s="33">
        <v>0</v>
      </c>
      <c r="I12" s="23">
        <v>10.987230587767863</v>
      </c>
      <c r="J12" s="5">
        <v>858.11774828434932</v>
      </c>
      <c r="K12" s="31"/>
      <c r="L12" s="23">
        <v>35292.740544844681</v>
      </c>
      <c r="M12" s="33">
        <v>5.4036917001212707E-2</v>
      </c>
      <c r="N12" s="5">
        <v>3</v>
      </c>
      <c r="O12" s="5">
        <v>100</v>
      </c>
      <c r="P12" s="33">
        <v>0</v>
      </c>
      <c r="Q12" s="5">
        <v>10.987230587767863</v>
      </c>
      <c r="R12" s="5">
        <v>858.11774828434932</v>
      </c>
      <c r="S12" s="31"/>
      <c r="T12" s="23">
        <v>34757.182514669403</v>
      </c>
      <c r="U12" s="33">
        <v>4.7130249997280771E-2</v>
      </c>
      <c r="V12" s="5">
        <v>3</v>
      </c>
      <c r="W12" s="5">
        <v>100</v>
      </c>
      <c r="X12" s="33">
        <v>0</v>
      </c>
      <c r="Y12" s="5">
        <v>25.435833387794471</v>
      </c>
      <c r="Z12" s="5">
        <v>1260.8654221900638</v>
      </c>
      <c r="AA12" s="35"/>
    </row>
    <row r="13" spans="2:27" x14ac:dyDescent="0.2">
      <c r="B13" s="4">
        <v>10</v>
      </c>
      <c r="C13" s="4">
        <v>781</v>
      </c>
      <c r="D13" s="23">
        <v>35292.740544844681</v>
      </c>
      <c r="E13" s="33">
        <v>8.7050208000619023E-2</v>
      </c>
      <c r="F13" s="5">
        <v>3</v>
      </c>
      <c r="G13" s="23">
        <v>100</v>
      </c>
      <c r="H13" s="33">
        <v>0</v>
      </c>
      <c r="I13" s="23">
        <v>10.987230587767863</v>
      </c>
      <c r="J13" s="5">
        <v>858.11774828434932</v>
      </c>
      <c r="K13" s="31"/>
      <c r="L13" s="23">
        <v>35292.740544844681</v>
      </c>
      <c r="M13" s="33">
        <v>9.1214291998767294E-2</v>
      </c>
      <c r="N13" s="5">
        <v>3</v>
      </c>
      <c r="O13" s="5">
        <v>100</v>
      </c>
      <c r="P13" s="33">
        <v>0</v>
      </c>
      <c r="Q13" s="5">
        <v>10.987230587767863</v>
      </c>
      <c r="R13" s="5">
        <v>858.11774828434932</v>
      </c>
      <c r="S13" s="31"/>
      <c r="T13" s="23">
        <v>35848.637984140878</v>
      </c>
      <c r="U13" s="33">
        <v>9.7423084000183735E-2</v>
      </c>
      <c r="V13" s="5">
        <v>2</v>
      </c>
      <c r="W13" s="5">
        <v>70</v>
      </c>
      <c r="X13" s="33">
        <v>0</v>
      </c>
      <c r="Y13" s="5">
        <v>36.228809567750218</v>
      </c>
      <c r="Z13" s="5">
        <v>1228.5943686441512</v>
      </c>
      <c r="AA13" s="35"/>
    </row>
    <row r="14" spans="2:27" x14ac:dyDescent="0.2">
      <c r="B14" s="46" t="s">
        <v>3</v>
      </c>
      <c r="C14" s="47"/>
      <c r="D14" s="9">
        <f>MIN(D4:D13)</f>
        <v>35292.740544844681</v>
      </c>
      <c r="E14" s="22">
        <f>INDEX(E4:E13, MATCH($D$14, D4:D13, 0))</f>
        <v>6.705162499929429E-2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10.987230587767863</v>
      </c>
      <c r="J14" s="22">
        <f>INDEX(J4:J13, MATCH($D$14, D4:D13, 0))</f>
        <v>858.11774828434932</v>
      </c>
      <c r="K14" s="32">
        <f>(D14-$D$15)/$D$15</f>
        <v>0</v>
      </c>
      <c r="L14" s="16">
        <f>MIN(L4:L13)</f>
        <v>35292.740544844681</v>
      </c>
      <c r="M14" s="21">
        <f>INDEX(M4:M13, MATCH($L$14, L4:L13, 0))</f>
        <v>4.7220584001479438E-2</v>
      </c>
      <c r="N14" s="16">
        <f>INDEX(N4:N13, MATCH($L$14, L4:L13, 0))</f>
        <v>3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10.987230587767863</v>
      </c>
      <c r="R14" s="21">
        <f>INDEX(R4:R13, MATCH($L$14, L4:L13, 0))</f>
        <v>858.11774828434932</v>
      </c>
      <c r="S14" s="36">
        <f>(L14-$D$15)/$D$15</f>
        <v>0</v>
      </c>
      <c r="T14" s="38">
        <f>MIN(T4:T13)</f>
        <v>34757.182514669403</v>
      </c>
      <c r="U14" s="39">
        <f>INDEX(U4:U13, MATCH($T$14, T4:T13, 0))</f>
        <v>6.1298166998312809E-2</v>
      </c>
      <c r="V14" s="38">
        <f>INDEX(V4:V13, MATCH($T$14, T4:T13, 0))</f>
        <v>3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25.435833387794471</v>
      </c>
      <c r="Z14" s="39">
        <f>INDEX(Z4:Z13, MATCH($T$14, T4:T13, 0))</f>
        <v>1260.8654221900638</v>
      </c>
      <c r="AA14" s="40">
        <f>(T14-$D$15)/$D$15</f>
        <v>-1.5174736274582355E-2</v>
      </c>
    </row>
    <row r="15" spans="2:27" x14ac:dyDescent="0.2">
      <c r="C15" s="1" t="s">
        <v>17</v>
      </c>
      <c r="D15" s="34">
        <v>35292.740544844681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43" priority="7"/>
    <cfRule type="duplicateValues" dxfId="42" priority="8"/>
  </conditionalFormatting>
  <conditionalFormatting sqref="C14">
    <cfRule type="duplicateValues" dxfId="41" priority="1"/>
    <cfRule type="duplicateValues" dxfId="40" priority="2"/>
  </conditionalFormatting>
  <conditionalFormatting sqref="C17">
    <cfRule type="duplicateValues" dxfId="39" priority="3"/>
    <cfRule type="duplicateValues" dxfId="3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857E-AAA9-6F44-8268-F35B6602FB79}">
  <dimension ref="B1:AA17"/>
  <sheetViews>
    <sheetView tabSelected="1" zoomScale="110" zoomScaleNormal="110" workbookViewId="0">
      <selection activeCell="A17" sqref="A17:XFD2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-0.99988481768715587</v>
      </c>
      <c r="K2" s="28"/>
      <c r="L2" s="1" t="s">
        <v>19</v>
      </c>
      <c r="P2" s="1" t="e">
        <f>(P14-H14)/H14</f>
        <v>#DIV/0!</v>
      </c>
      <c r="R2" s="1">
        <f>(R14-J14)/J14</f>
        <v>5.8035235379082825E-2</v>
      </c>
      <c r="T2" s="1" t="s">
        <v>20</v>
      </c>
      <c r="X2" s="1" t="e">
        <f>(X14-P14)/P14</f>
        <v>#DIV/0!</v>
      </c>
      <c r="Z2" s="1">
        <f>(Z14-R14)/R14</f>
        <v>0.36024899188431397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414</v>
      </c>
      <c r="D4" s="23">
        <v>35940.295819452047</v>
      </c>
      <c r="E4" s="33">
        <v>4.5126125000024331E-2</v>
      </c>
      <c r="F4" s="5">
        <v>3</v>
      </c>
      <c r="G4" s="23">
        <v>100</v>
      </c>
      <c r="H4" s="33">
        <v>0</v>
      </c>
      <c r="I4" s="23">
        <v>10.306385978211763</v>
      </c>
      <c r="J4" s="5">
        <v>860.19753575560446</v>
      </c>
      <c r="K4" s="31"/>
      <c r="L4" s="23">
        <v>39501.243856769441</v>
      </c>
      <c r="M4" s="33">
        <v>7.6672708997648442E-2</v>
      </c>
      <c r="N4" s="5">
        <v>2</v>
      </c>
      <c r="O4" s="5">
        <v>70</v>
      </c>
      <c r="P4" s="33">
        <v>0</v>
      </c>
      <c r="Q4" s="5">
        <v>10.495124461578737</v>
      </c>
      <c r="R4" s="5">
        <v>910.11930221568798</v>
      </c>
      <c r="S4" s="31"/>
      <c r="T4" s="23">
        <v>36282.392983330908</v>
      </c>
      <c r="U4" s="33">
        <v>4.1836042000795708E-2</v>
      </c>
      <c r="V4" s="5">
        <v>3</v>
      </c>
      <c r="W4" s="5">
        <v>100</v>
      </c>
      <c r="X4" s="33">
        <v>0</v>
      </c>
      <c r="Y4" s="5">
        <v>22.314357225309703</v>
      </c>
      <c r="Z4" s="5">
        <v>1237.9888633333449</v>
      </c>
      <c r="AA4" s="35"/>
    </row>
    <row r="5" spans="2:27" x14ac:dyDescent="0.2">
      <c r="B5" s="4">
        <v>2</v>
      </c>
      <c r="C5" s="4">
        <v>315</v>
      </c>
      <c r="D5" s="23">
        <v>35940.295819452047</v>
      </c>
      <c r="E5" s="33">
        <v>4.8267166999721667E-2</v>
      </c>
      <c r="F5" s="5">
        <v>3</v>
      </c>
      <c r="G5" s="23">
        <v>100</v>
      </c>
      <c r="H5" s="33">
        <v>0</v>
      </c>
      <c r="I5" s="23">
        <v>10.306385978211763</v>
      </c>
      <c r="J5" s="5">
        <v>860.19753575560446</v>
      </c>
      <c r="K5" s="31"/>
      <c r="L5" s="23">
        <v>39501.243856769441</v>
      </c>
      <c r="M5" s="33">
        <v>9.5213542001147289E-2</v>
      </c>
      <c r="N5" s="5">
        <v>2</v>
      </c>
      <c r="O5" s="5">
        <v>70</v>
      </c>
      <c r="P5" s="33">
        <v>0</v>
      </c>
      <c r="Q5" s="5">
        <v>10.495124461578737</v>
      </c>
      <c r="R5" s="5">
        <v>910.11930221568798</v>
      </c>
      <c r="S5" s="31"/>
      <c r="T5" s="23">
        <v>36282.392983330908</v>
      </c>
      <c r="U5" s="33">
        <v>6.0794458000600571E-2</v>
      </c>
      <c r="V5" s="5">
        <v>3</v>
      </c>
      <c r="W5" s="5">
        <v>100</v>
      </c>
      <c r="X5" s="33">
        <v>0</v>
      </c>
      <c r="Y5" s="5">
        <v>22.314357225309703</v>
      </c>
      <c r="Z5" s="5">
        <v>1237.9888633333449</v>
      </c>
      <c r="AA5" s="35"/>
    </row>
    <row r="6" spans="2:27" x14ac:dyDescent="0.2">
      <c r="B6" s="4">
        <v>3</v>
      </c>
      <c r="C6" s="4">
        <v>640</v>
      </c>
      <c r="D6" s="23">
        <v>36559.309666791647</v>
      </c>
      <c r="E6" s="33">
        <v>5.6665082998733851E-2</v>
      </c>
      <c r="F6" s="5">
        <v>3</v>
      </c>
      <c r="G6" s="23">
        <v>100</v>
      </c>
      <c r="H6" s="33">
        <v>0</v>
      </c>
      <c r="I6" s="23">
        <v>11.286841289691212</v>
      </c>
      <c r="J6" s="5">
        <v>948.45817087125545</v>
      </c>
      <c r="K6" s="31"/>
      <c r="L6" s="23">
        <v>39501.243856769441</v>
      </c>
      <c r="M6" s="33">
        <v>6.2792042001092341E-2</v>
      </c>
      <c r="N6" s="5">
        <v>2</v>
      </c>
      <c r="O6" s="5">
        <v>70</v>
      </c>
      <c r="P6" s="33">
        <v>0</v>
      </c>
      <c r="Q6" s="5">
        <v>10.495124461578737</v>
      </c>
      <c r="R6" s="5">
        <v>910.11930221568798</v>
      </c>
      <c r="S6" s="31"/>
      <c r="T6" s="23">
        <v>36282.392983330908</v>
      </c>
      <c r="U6" s="33">
        <v>0.1190033330021834</v>
      </c>
      <c r="V6" s="5">
        <v>3</v>
      </c>
      <c r="W6" s="5">
        <v>100</v>
      </c>
      <c r="X6" s="33">
        <v>0</v>
      </c>
      <c r="Y6" s="5">
        <v>22.314357225309703</v>
      </c>
      <c r="Z6" s="5">
        <v>1237.9888633333449</v>
      </c>
      <c r="AA6" s="35"/>
    </row>
    <row r="7" spans="2:27" x14ac:dyDescent="0.2">
      <c r="B7" s="4">
        <v>4</v>
      </c>
      <c r="C7" s="4">
        <v>737</v>
      </c>
      <c r="D7" s="23">
        <v>35940.295819452047</v>
      </c>
      <c r="E7" s="33">
        <v>5.6846333000066807E-2</v>
      </c>
      <c r="F7" s="5">
        <v>3</v>
      </c>
      <c r="G7" s="23">
        <v>100</v>
      </c>
      <c r="H7" s="33">
        <v>0</v>
      </c>
      <c r="I7" s="23">
        <v>10.306385978211763</v>
      </c>
      <c r="J7" s="5">
        <v>860.19753575560446</v>
      </c>
      <c r="K7" s="31"/>
      <c r="L7" s="23">
        <v>39701.911699706063</v>
      </c>
      <c r="M7" s="33">
        <v>6.5278958001727005E-2</v>
      </c>
      <c r="N7" s="5">
        <v>2</v>
      </c>
      <c r="O7" s="5">
        <v>70</v>
      </c>
      <c r="P7" s="33">
        <v>0</v>
      </c>
      <c r="Q7" s="5">
        <v>10.969217772066347</v>
      </c>
      <c r="R7" s="5">
        <v>950.80591220317888</v>
      </c>
      <c r="S7" s="31"/>
      <c r="T7" s="23">
        <v>36282.392983330908</v>
      </c>
      <c r="U7" s="33">
        <v>6.7479291999916313E-2</v>
      </c>
      <c r="V7" s="5">
        <v>3</v>
      </c>
      <c r="W7" s="5">
        <v>100</v>
      </c>
      <c r="X7" s="33">
        <v>0</v>
      </c>
      <c r="Y7" s="5">
        <v>22.314357225309703</v>
      </c>
      <c r="Z7" s="5">
        <v>1237.9888633333449</v>
      </c>
      <c r="AA7" s="35"/>
    </row>
    <row r="8" spans="2:27" x14ac:dyDescent="0.2">
      <c r="B8" s="4">
        <v>5</v>
      </c>
      <c r="C8" s="4">
        <v>853</v>
      </c>
      <c r="D8" s="23">
        <v>35940.295819452047</v>
      </c>
      <c r="E8" s="33">
        <v>7.4322458000096958E-2</v>
      </c>
      <c r="F8" s="5">
        <v>3</v>
      </c>
      <c r="G8" s="23">
        <v>100</v>
      </c>
      <c r="H8" s="33">
        <v>0</v>
      </c>
      <c r="I8" s="23">
        <v>10.306385978211763</v>
      </c>
      <c r="J8" s="5">
        <v>860.19753575560446</v>
      </c>
      <c r="K8" s="31"/>
      <c r="L8" s="23">
        <v>39701.911699706063</v>
      </c>
      <c r="M8" s="33">
        <v>3.7779083999339491E-2</v>
      </c>
      <c r="N8" s="5">
        <v>2</v>
      </c>
      <c r="O8" s="5">
        <v>70</v>
      </c>
      <c r="P8" s="33">
        <v>0</v>
      </c>
      <c r="Q8" s="5">
        <v>10.969217772066347</v>
      </c>
      <c r="R8" s="5">
        <v>950.80591220317888</v>
      </c>
      <c r="S8" s="31"/>
      <c r="T8" s="23">
        <v>36282.392983330908</v>
      </c>
      <c r="U8" s="33">
        <v>4.5758791999105597E-2</v>
      </c>
      <c r="V8" s="5">
        <v>3</v>
      </c>
      <c r="W8" s="5">
        <v>100</v>
      </c>
      <c r="X8" s="33">
        <v>0</v>
      </c>
      <c r="Y8" s="5">
        <v>22.314357225309703</v>
      </c>
      <c r="Z8" s="5">
        <v>1237.9888633333449</v>
      </c>
      <c r="AA8" s="35"/>
    </row>
    <row r="9" spans="2:27" x14ac:dyDescent="0.2">
      <c r="B9" s="4">
        <v>6</v>
      </c>
      <c r="C9" s="4">
        <v>221</v>
      </c>
      <c r="D9" s="23">
        <v>35940.295819452047</v>
      </c>
      <c r="E9" s="33">
        <v>5.2849084000627038E-2</v>
      </c>
      <c r="F9" s="5">
        <v>3</v>
      </c>
      <c r="G9" s="23">
        <v>100</v>
      </c>
      <c r="H9" s="33">
        <v>0</v>
      </c>
      <c r="I9" s="23">
        <v>10.306385978211763</v>
      </c>
      <c r="J9" s="5">
        <v>860.19753575560446</v>
      </c>
      <c r="K9" s="31"/>
      <c r="L9" s="23">
        <v>39501.243856769441</v>
      </c>
      <c r="M9" s="33">
        <v>6.4000250000390224E-2</v>
      </c>
      <c r="N9" s="5">
        <v>2</v>
      </c>
      <c r="O9" s="5">
        <v>70</v>
      </c>
      <c r="P9" s="33">
        <v>0</v>
      </c>
      <c r="Q9" s="5">
        <v>10.495124461578737</v>
      </c>
      <c r="R9" s="5">
        <v>910.11930221568798</v>
      </c>
      <c r="S9" s="31"/>
      <c r="T9" s="23">
        <v>36282.392983330908</v>
      </c>
      <c r="U9" s="33">
        <v>5.014554200170096E-2</v>
      </c>
      <c r="V9" s="5">
        <v>3</v>
      </c>
      <c r="W9" s="5">
        <v>100</v>
      </c>
      <c r="X9" s="33">
        <v>0</v>
      </c>
      <c r="Y9" s="5">
        <v>22.314357225309703</v>
      </c>
      <c r="Z9" s="5">
        <v>1237.9888633333449</v>
      </c>
      <c r="AA9" s="35"/>
    </row>
    <row r="10" spans="2:27" x14ac:dyDescent="0.2">
      <c r="B10" s="4">
        <v>7</v>
      </c>
      <c r="C10" s="4">
        <v>928</v>
      </c>
      <c r="D10" s="23">
        <v>35940.295819452047</v>
      </c>
      <c r="E10" s="33">
        <v>0.1094609589999891</v>
      </c>
      <c r="F10" s="5">
        <v>3</v>
      </c>
      <c r="G10" s="23">
        <v>100</v>
      </c>
      <c r="H10" s="33">
        <v>0</v>
      </c>
      <c r="I10" s="23">
        <v>10.306385978211763</v>
      </c>
      <c r="J10" s="5">
        <v>860.19753575560446</v>
      </c>
      <c r="K10" s="31"/>
      <c r="L10" s="23">
        <v>39501.243856769441</v>
      </c>
      <c r="M10" s="33">
        <v>4.9155000000610023E-2</v>
      </c>
      <c r="N10" s="5">
        <v>2</v>
      </c>
      <c r="O10" s="5">
        <v>70</v>
      </c>
      <c r="P10" s="33">
        <v>0</v>
      </c>
      <c r="Q10" s="5">
        <v>10.495124461578737</v>
      </c>
      <c r="R10" s="5">
        <v>910.11930221568798</v>
      </c>
      <c r="S10" s="31"/>
      <c r="T10" s="23">
        <v>36282.392983330908</v>
      </c>
      <c r="U10" s="33">
        <v>8.2024957999237813E-2</v>
      </c>
      <c r="V10" s="5">
        <v>3</v>
      </c>
      <c r="W10" s="5">
        <v>100</v>
      </c>
      <c r="X10" s="33">
        <v>0</v>
      </c>
      <c r="Y10" s="5">
        <v>22.314357225309703</v>
      </c>
      <c r="Z10" s="5">
        <v>1237.9888633333449</v>
      </c>
      <c r="AA10" s="35"/>
    </row>
    <row r="11" spans="2:27" x14ac:dyDescent="0.2">
      <c r="B11" s="4">
        <v>8</v>
      </c>
      <c r="C11" s="4">
        <v>864</v>
      </c>
      <c r="D11" s="23">
        <v>35940.295819452047</v>
      </c>
      <c r="E11" s="33">
        <v>8.1926208000368206E-2</v>
      </c>
      <c r="F11" s="5">
        <v>3</v>
      </c>
      <c r="G11" s="23">
        <v>100</v>
      </c>
      <c r="H11" s="33">
        <v>0</v>
      </c>
      <c r="I11" s="23">
        <v>10.306385978211763</v>
      </c>
      <c r="J11" s="5">
        <v>860.19753575560446</v>
      </c>
      <c r="K11" s="31"/>
      <c r="L11" s="23">
        <v>39501.243856769441</v>
      </c>
      <c r="M11" s="33">
        <v>6.3031875000888249E-2</v>
      </c>
      <c r="N11" s="5">
        <v>2</v>
      </c>
      <c r="O11" s="5">
        <v>70</v>
      </c>
      <c r="P11" s="33">
        <v>0</v>
      </c>
      <c r="Q11" s="5">
        <v>10.495124461578737</v>
      </c>
      <c r="R11" s="5">
        <v>910.11930221568798</v>
      </c>
      <c r="S11" s="31"/>
      <c r="T11" s="23">
        <v>36282.392983330908</v>
      </c>
      <c r="U11" s="33">
        <v>9.5345166999322828E-2</v>
      </c>
      <c r="V11" s="5">
        <v>3</v>
      </c>
      <c r="W11" s="5">
        <v>100</v>
      </c>
      <c r="X11" s="33">
        <v>0</v>
      </c>
      <c r="Y11" s="5">
        <v>22.314357225309703</v>
      </c>
      <c r="Z11" s="5">
        <v>1237.9888633333449</v>
      </c>
      <c r="AA11" s="35"/>
    </row>
    <row r="12" spans="2:27" x14ac:dyDescent="0.2">
      <c r="B12" s="4">
        <v>9</v>
      </c>
      <c r="C12" s="4">
        <v>73</v>
      </c>
      <c r="D12" s="23">
        <v>35940.295819452047</v>
      </c>
      <c r="E12" s="33">
        <v>7.1175250001033419E-2</v>
      </c>
      <c r="F12" s="5">
        <v>3</v>
      </c>
      <c r="G12" s="23">
        <v>100</v>
      </c>
      <c r="H12" s="33">
        <v>0</v>
      </c>
      <c r="I12" s="23">
        <v>10.306385978211763</v>
      </c>
      <c r="J12" s="5">
        <v>860.19753575560446</v>
      </c>
      <c r="K12" s="31"/>
      <c r="L12" s="23">
        <v>40675.063547974547</v>
      </c>
      <c r="M12" s="33">
        <v>5.8246915999916382E-2</v>
      </c>
      <c r="N12" s="5">
        <v>2</v>
      </c>
      <c r="O12" s="5">
        <v>70</v>
      </c>
      <c r="P12" s="33">
        <v>0</v>
      </c>
      <c r="Q12" s="5">
        <v>9.2699827221036415</v>
      </c>
      <c r="R12" s="5">
        <v>1038.3595764809595</v>
      </c>
      <c r="S12" s="31"/>
      <c r="T12" s="23">
        <v>36282.392983330908</v>
      </c>
      <c r="U12" s="33">
        <v>6.1223916000017198E-2</v>
      </c>
      <c r="V12" s="5">
        <v>3</v>
      </c>
      <c r="W12" s="5">
        <v>100</v>
      </c>
      <c r="X12" s="33">
        <v>0</v>
      </c>
      <c r="Y12" s="5">
        <v>22.314357225309703</v>
      </c>
      <c r="Z12" s="5">
        <v>1237.9888633333449</v>
      </c>
      <c r="AA12" s="35"/>
    </row>
    <row r="13" spans="2:27" x14ac:dyDescent="0.2">
      <c r="B13" s="4">
        <v>10</v>
      </c>
      <c r="C13" s="4">
        <v>958</v>
      </c>
      <c r="D13" s="23">
        <v>35940.295819452047</v>
      </c>
      <c r="E13" s="33">
        <v>4.8053667000203859E-2</v>
      </c>
      <c r="F13" s="5">
        <v>3</v>
      </c>
      <c r="G13" s="23">
        <v>100</v>
      </c>
      <c r="H13" s="33">
        <v>0</v>
      </c>
      <c r="I13" s="23">
        <v>10.306385978211763</v>
      </c>
      <c r="J13" s="5">
        <v>860.19753575560446</v>
      </c>
      <c r="K13" s="31"/>
      <c r="L13" s="23">
        <v>39501.243856769441</v>
      </c>
      <c r="M13" s="33">
        <v>5.9053416996903252E-2</v>
      </c>
      <c r="N13" s="5">
        <v>2</v>
      </c>
      <c r="O13" s="5">
        <v>70</v>
      </c>
      <c r="P13" s="33">
        <v>0</v>
      </c>
      <c r="Q13" s="5">
        <v>10.495124461578737</v>
      </c>
      <c r="R13" s="5">
        <v>910.11930221568798</v>
      </c>
      <c r="S13" s="31"/>
      <c r="T13" s="23">
        <v>36282.392983330908</v>
      </c>
      <c r="U13" s="33">
        <v>5.1022833002207342E-2</v>
      </c>
      <c r="V13" s="5">
        <v>3</v>
      </c>
      <c r="W13" s="5">
        <v>100</v>
      </c>
      <c r="X13" s="33">
        <v>0</v>
      </c>
      <c r="Y13" s="5">
        <v>22.314357225309703</v>
      </c>
      <c r="Z13" s="5">
        <v>1237.9888633333449</v>
      </c>
      <c r="AA13" s="35"/>
    </row>
    <row r="14" spans="2:27" x14ac:dyDescent="0.2">
      <c r="B14" s="46" t="s">
        <v>3</v>
      </c>
      <c r="C14" s="47"/>
      <c r="D14" s="9">
        <f>MIN(D4:D13)</f>
        <v>35940.295819452047</v>
      </c>
      <c r="E14" s="22">
        <f>INDEX(E4:E13, MATCH($D$14, D4:D13, 0))</f>
        <v>4.5126125000024331E-2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10.306385978211763</v>
      </c>
      <c r="J14" s="22">
        <f>INDEX(J4:J13, MATCH($D$14, D4:D13, 0))</f>
        <v>860.19753575560446</v>
      </c>
      <c r="K14" s="32">
        <f>(D14-$D$15)/$D$15</f>
        <v>0</v>
      </c>
      <c r="L14" s="16">
        <f>MIN(L4:L13)</f>
        <v>39501.243856769441</v>
      </c>
      <c r="M14" s="21">
        <f>INDEX(M4:M13, MATCH($L$14, L4:L13, 0))</f>
        <v>7.6672708997648442E-2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10.495124461578737</v>
      </c>
      <c r="R14" s="21">
        <f>INDEX(R4:R13, MATCH($L$14, L4:L13, 0))</f>
        <v>910.11930221568798</v>
      </c>
      <c r="S14" s="36">
        <f>(L14-$D$15)/$D$15</f>
        <v>9.9079541671164922E-2</v>
      </c>
      <c r="T14" s="38">
        <f>MIN(T4:T13)</f>
        <v>36282.392983330908</v>
      </c>
      <c r="U14" s="39">
        <f>INDEX(U4:U13, MATCH($T$14, T4:T13, 0))</f>
        <v>4.1836042000795708E-2</v>
      </c>
      <c r="V14" s="38">
        <f>INDEX(V4:V13, MATCH($T$14, T4:T13, 0))</f>
        <v>3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22.314357225309703</v>
      </c>
      <c r="Z14" s="39">
        <f>INDEX(Z4:Z13, MATCH($T$14, T4:T13, 0))</f>
        <v>1237.9888633333449</v>
      </c>
      <c r="AA14" s="40">
        <f>(T14-$D$15)/$D$15</f>
        <v>9.5184849228121121E-3</v>
      </c>
    </row>
    <row r="15" spans="2:27" x14ac:dyDescent="0.2">
      <c r="C15" s="1" t="s">
        <v>17</v>
      </c>
      <c r="D15" s="34">
        <v>35940.295819452047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37" priority="7"/>
    <cfRule type="duplicateValues" dxfId="36" priority="8"/>
  </conditionalFormatting>
  <conditionalFormatting sqref="C14">
    <cfRule type="duplicateValues" dxfId="35" priority="1"/>
    <cfRule type="duplicateValues" dxfId="34" priority="2"/>
  </conditionalFormatting>
  <conditionalFormatting sqref="C17">
    <cfRule type="duplicateValues" dxfId="33" priority="3"/>
    <cfRule type="duplicateValues" dxfId="32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</conditionalFormatting>
  <conditionalFormatting sqref="L14">
    <cfRule type="duplicateValues" dxfId="23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2" priority="1"/>
  </conditionalFormatting>
  <conditionalFormatting sqref="L14">
    <cfRule type="duplicateValues" dxfId="21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0" priority="1"/>
    <cfRule type="duplicateValues" dxfId="19" priority="2"/>
  </conditionalFormatting>
  <conditionalFormatting sqref="L14">
    <cfRule type="duplicateValues" dxfId="18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" priority="1"/>
  </conditionalFormatting>
  <conditionalFormatting sqref="L14">
    <cfRule type="duplicateValues" dxfId="2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" priority="1"/>
  </conditionalFormatting>
  <conditionalFormatting sqref="L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results42</vt:lpstr>
      <vt:lpstr>results43</vt:lpstr>
      <vt:lpstr>results456</vt:lpstr>
      <vt:lpstr>results464</vt:lpstr>
      <vt:lpstr>results619</vt:lpstr>
      <vt:lpstr>results684</vt:lpstr>
      <vt:lpstr>results690</vt:lpstr>
      <vt:lpstr>results702</vt:lpstr>
      <vt:lpstr>results810</vt:lpstr>
      <vt:lpstr>results959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2026-10-16T18:47:00Z</dcterms:modified>
</cp:coreProperties>
</file>