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20-3-3/"/>
    </mc:Choice>
  </mc:AlternateContent>
  <xr:revisionPtr revIDLastSave="0" documentId="13_ncr:1_{AF460949-3A99-4C4F-BC26-2D58AC8B6F57}" xr6:coauthVersionLast="47" xr6:coauthVersionMax="47" xr10:uidLastSave="{00000000-0000-0000-0000-000000000000}"/>
  <bookViews>
    <workbookView xWindow="0" yWindow="760" windowWidth="34560" windowHeight="20500" tabRatio="721" activeTab="10" xr2:uid="{41E620E7-D6DF-9342-B452-EA60AB3B07C5}"/>
  </bookViews>
  <sheets>
    <sheet name="Summary" sheetId="67" r:id="rId1"/>
    <sheet name="results265" sheetId="66" r:id="rId2"/>
    <sheet name="results279" sheetId="57" r:id="rId3"/>
    <sheet name="results306" sheetId="58" r:id="rId4"/>
    <sheet name="results400" sheetId="59" r:id="rId5"/>
    <sheet name="results467" sheetId="60" r:id="rId6"/>
    <sheet name="results653" sheetId="61" r:id="rId7"/>
    <sheet name="results714" sheetId="62" r:id="rId8"/>
    <sheet name="results941" sheetId="63" r:id="rId9"/>
    <sheet name="results980" sheetId="64" r:id="rId10"/>
    <sheet name="results997" sheetId="6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7" l="1" a="1"/>
  <c r="F10" i="67" a="1"/>
  <c r="G5" i="67" a="1"/>
  <c r="E10" i="67" a="1"/>
  <c r="G8" i="67" a="1"/>
  <c r="H4" i="67" a="1"/>
  <c r="H6" i="67" a="1"/>
  <c r="E7" i="67" a="1"/>
  <c r="D3" i="67" a="1"/>
  <c r="E5" i="67" a="1"/>
  <c r="D12" i="67" a="1"/>
  <c r="G9" i="67" a="1"/>
  <c r="G3" i="67" a="1"/>
  <c r="I10" i="67" a="1"/>
  <c r="F9" i="67" a="1"/>
  <c r="F11" i="67" a="1"/>
  <c r="G7" i="67" a="1"/>
  <c r="H11" i="67" a="1"/>
  <c r="H3" i="67" a="1"/>
  <c r="I9" i="67" a="1"/>
  <c r="E4" i="67" a="1"/>
  <c r="D6" i="67" a="1"/>
  <c r="C10" i="67" a="1"/>
  <c r="F6" i="67" a="1"/>
  <c r="E9" i="67" a="1"/>
  <c r="H9" i="67" a="1"/>
  <c r="E8" i="67" a="1"/>
  <c r="I11" i="67" a="1"/>
  <c r="C8" i="67" a="1"/>
  <c r="C3" i="67" a="1"/>
  <c r="I7" i="67" a="1"/>
  <c r="E3" i="67" a="1"/>
  <c r="H7" i="67" a="1"/>
  <c r="C12" i="67" a="1"/>
  <c r="D11" i="67" a="1"/>
  <c r="I5" i="67" a="1"/>
  <c r="H12" i="67" a="1"/>
  <c r="D9" i="67" a="1"/>
  <c r="E12" i="67" a="1"/>
  <c r="G6" i="67" a="1"/>
  <c r="D4" i="67" a="1"/>
  <c r="C4" i="67" a="1"/>
  <c r="G11" i="67" a="1"/>
  <c r="F4" i="67" a="1"/>
  <c r="D8" i="67" a="1"/>
  <c r="I4" i="67" a="1"/>
  <c r="C7" i="67" a="1"/>
  <c r="F5" i="67" a="1"/>
  <c r="I3" i="67" a="1"/>
  <c r="C5" i="67" a="1"/>
  <c r="D7" i="67" a="1"/>
  <c r="H10" i="67" a="1"/>
  <c r="C6" i="67" a="1"/>
  <c r="F3" i="67" a="1"/>
  <c r="D5" i="67" a="1"/>
  <c r="I8" i="67" a="1"/>
  <c r="E6" i="67" a="1"/>
  <c r="E11" i="67" a="1"/>
  <c r="I6" i="67" a="1"/>
  <c r="D10" i="67" a="1"/>
  <c r="G12" i="67" a="1"/>
  <c r="F8" i="67" a="1"/>
  <c r="F7" i="67" a="1"/>
  <c r="H8" i="67" a="1"/>
  <c r="C9" i="67" a="1"/>
  <c r="I12" i="67" a="1"/>
  <c r="G10" i="67" a="1"/>
  <c r="F12" i="67" a="1"/>
  <c r="C11" i="67" a="1"/>
  <c r="H5" i="67" a="1"/>
  <c r="T14" i="59" l="1"/>
  <c r="F5" i="67"/>
  <c r="G10" i="67"/>
  <c r="F7" i="67"/>
  <c r="E9" i="67"/>
  <c r="G12" i="67"/>
  <c r="C4" i="67"/>
  <c r="D11" i="67"/>
  <c r="C6" i="67"/>
  <c r="D7" i="67"/>
  <c r="H6" i="67"/>
  <c r="I6" i="67"/>
  <c r="H10" i="67"/>
  <c r="F3" i="67"/>
  <c r="H12" i="67"/>
  <c r="I4" i="67"/>
  <c r="G6" i="67"/>
  <c r="D3" i="67"/>
  <c r="D9" i="67"/>
  <c r="E7" i="67"/>
  <c r="E3" i="67"/>
  <c r="G8" i="67"/>
  <c r="H8" i="67"/>
  <c r="I8" i="67"/>
  <c r="G4" i="67"/>
  <c r="D5" i="67"/>
  <c r="E11" i="67"/>
  <c r="H4" i="67"/>
  <c r="E5" i="67"/>
  <c r="C8" i="67"/>
  <c r="F9" i="67"/>
  <c r="E4" i="67"/>
  <c r="C12" i="67"/>
  <c r="G7" i="67"/>
  <c r="D8" i="67"/>
  <c r="H3" i="67"/>
  <c r="H5" i="67"/>
  <c r="E6" i="67"/>
  <c r="H9" i="67"/>
  <c r="H11" i="67"/>
  <c r="E12" i="67"/>
  <c r="I10" i="67"/>
  <c r="F11" i="67"/>
  <c r="I12" i="67"/>
  <c r="G3" i="67"/>
  <c r="D4" i="67"/>
  <c r="G9" i="67"/>
  <c r="D10" i="67"/>
  <c r="G11" i="67"/>
  <c r="D12" i="67"/>
  <c r="C3" i="67"/>
  <c r="F4" i="67"/>
  <c r="C5" i="67"/>
  <c r="F6" i="67"/>
  <c r="C7" i="67"/>
  <c r="F8" i="67"/>
  <c r="C9" i="67"/>
  <c r="I9" i="67"/>
  <c r="F10" i="67"/>
  <c r="C11" i="67"/>
  <c r="I11" i="67"/>
  <c r="F12" i="67"/>
  <c r="C10" i="67"/>
  <c r="G5" i="67"/>
  <c r="D6" i="67"/>
  <c r="H7" i="67"/>
  <c r="E8" i="67"/>
  <c r="E10" i="67"/>
  <c r="I3" i="67"/>
  <c r="I5" i="67"/>
  <c r="I7" i="67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S6" i="67" a="1"/>
  <c r="C16" i="67" l="1"/>
  <c r="T14" i="65"/>
  <c r="W14" i="65" s="1"/>
  <c r="T14" i="64"/>
  <c r="W14" i="64" s="1"/>
  <c r="T14" i="63"/>
  <c r="T14" i="62"/>
  <c r="T14" i="61"/>
  <c r="V14" i="61" s="1"/>
  <c r="T14" i="60"/>
  <c r="T14" i="58"/>
  <c r="T14" i="57"/>
  <c r="T14" i="66"/>
  <c r="L14" i="65"/>
  <c r="S14" i="65" s="1"/>
  <c r="L14" i="64"/>
  <c r="P14" i="64" s="1"/>
  <c r="L14" i="63"/>
  <c r="L14" i="62"/>
  <c r="S14" i="62" s="1"/>
  <c r="L14" i="61"/>
  <c r="L14" i="60"/>
  <c r="L14" i="59"/>
  <c r="R14" i="59" s="1"/>
  <c r="L14" i="58"/>
  <c r="L14" i="57"/>
  <c r="L14" i="66"/>
  <c r="AA14" i="65"/>
  <c r="Z14" i="65"/>
  <c r="Y14" i="65"/>
  <c r="X14" i="65"/>
  <c r="V14" i="65"/>
  <c r="Q14" i="65"/>
  <c r="P14" i="65"/>
  <c r="O14" i="65"/>
  <c r="N14" i="65"/>
  <c r="M14" i="65"/>
  <c r="X14" i="64"/>
  <c r="V14" i="64"/>
  <c r="U14" i="64"/>
  <c r="Y14" i="63"/>
  <c r="X14" i="63"/>
  <c r="W14" i="63"/>
  <c r="V14" i="63"/>
  <c r="U14" i="63"/>
  <c r="AA14" i="63"/>
  <c r="Z14" i="63"/>
  <c r="Q14" i="63"/>
  <c r="O14" i="63"/>
  <c r="M14" i="63"/>
  <c r="P14" i="63"/>
  <c r="N14" i="63"/>
  <c r="S14" i="63"/>
  <c r="R14" i="63"/>
  <c r="Z14" i="62"/>
  <c r="AA14" i="62"/>
  <c r="Y14" i="62"/>
  <c r="X14" i="62"/>
  <c r="W14" i="62"/>
  <c r="V14" i="62"/>
  <c r="U14" i="62"/>
  <c r="Q14" i="62"/>
  <c r="P14" i="62"/>
  <c r="O14" i="62"/>
  <c r="N14" i="62"/>
  <c r="M14" i="62"/>
  <c r="R14" i="62"/>
  <c r="Q14" i="61"/>
  <c r="O14" i="61"/>
  <c r="P14" i="61"/>
  <c r="N14" i="61"/>
  <c r="M14" i="61"/>
  <c r="S14" i="61"/>
  <c r="R14" i="61"/>
  <c r="Z14" i="61"/>
  <c r="Y14" i="61"/>
  <c r="U14" i="61"/>
  <c r="X14" i="61"/>
  <c r="W14" i="61"/>
  <c r="Y14" i="60"/>
  <c r="X14" i="60"/>
  <c r="W14" i="60"/>
  <c r="V14" i="60"/>
  <c r="U14" i="60"/>
  <c r="AA14" i="60"/>
  <c r="Z14" i="60"/>
  <c r="P14" i="60"/>
  <c r="O14" i="60"/>
  <c r="N14" i="60"/>
  <c r="M14" i="60"/>
  <c r="S14" i="60"/>
  <c r="R14" i="60"/>
  <c r="Q14" i="60"/>
  <c r="S6" i="67"/>
  <c r="AA14" i="59"/>
  <c r="Y14" i="59"/>
  <c r="W14" i="59"/>
  <c r="Z14" i="59"/>
  <c r="X14" i="59"/>
  <c r="V14" i="59"/>
  <c r="U14" i="59"/>
  <c r="AA14" i="58"/>
  <c r="Z14" i="58"/>
  <c r="Y14" i="58"/>
  <c r="X14" i="58"/>
  <c r="W14" i="58"/>
  <c r="V14" i="58"/>
  <c r="U14" i="58"/>
  <c r="Q14" i="58"/>
  <c r="P14" i="58"/>
  <c r="O14" i="58"/>
  <c r="N14" i="58"/>
  <c r="M14" i="58"/>
  <c r="S14" i="58"/>
  <c r="R14" i="58"/>
  <c r="Q14" i="57"/>
  <c r="P14" i="57"/>
  <c r="O14" i="57"/>
  <c r="N14" i="57"/>
  <c r="S14" i="57"/>
  <c r="R14" i="57"/>
  <c r="M14" i="57"/>
  <c r="AA14" i="57"/>
  <c r="Z14" i="57"/>
  <c r="U14" i="57"/>
  <c r="Y14" i="57"/>
  <c r="X14" i="57"/>
  <c r="W14" i="57"/>
  <c r="V14" i="57"/>
  <c r="Q14" i="66"/>
  <c r="P14" i="66"/>
  <c r="O14" i="66"/>
  <c r="M14" i="66"/>
  <c r="N14" i="66"/>
  <c r="R14" i="66"/>
  <c r="S14" i="66"/>
  <c r="AA14" i="66"/>
  <c r="Z14" i="66"/>
  <c r="Y14" i="66"/>
  <c r="X14" i="66"/>
  <c r="W14" i="66"/>
  <c r="V14" i="66"/>
  <c r="U14" i="66"/>
  <c r="E13" i="67"/>
  <c r="H13" i="67"/>
  <c r="D13" i="67"/>
  <c r="I13" i="67"/>
  <c r="G13" i="67"/>
  <c r="F13" i="67"/>
  <c r="C13" i="67"/>
  <c r="J13" i="67" s="1"/>
  <c r="K10" i="66"/>
  <c r="K9" i="66"/>
  <c r="K12" i="66"/>
  <c r="K5" i="66"/>
  <c r="K8" i="66"/>
  <c r="K11" i="66"/>
  <c r="K6" i="66"/>
  <c r="K13" i="66"/>
  <c r="K7" i="66"/>
  <c r="K8" i="65"/>
  <c r="K10" i="65"/>
  <c r="K9" i="65"/>
  <c r="K11" i="65"/>
  <c r="K13" i="65"/>
  <c r="K5" i="65"/>
  <c r="K6" i="65"/>
  <c r="K12" i="65"/>
  <c r="K7" i="65"/>
  <c r="K8" i="64"/>
  <c r="K12" i="64"/>
  <c r="K9" i="64"/>
  <c r="K5" i="64"/>
  <c r="K13" i="64"/>
  <c r="K6" i="64"/>
  <c r="K10" i="64"/>
  <c r="K11" i="64"/>
  <c r="K7" i="64"/>
  <c r="K8" i="63"/>
  <c r="K9" i="63"/>
  <c r="K11" i="63"/>
  <c r="K12" i="63"/>
  <c r="K10" i="63"/>
  <c r="K13" i="63"/>
  <c r="K5" i="63"/>
  <c r="K6" i="63"/>
  <c r="K7" i="63"/>
  <c r="K11" i="62"/>
  <c r="K8" i="62"/>
  <c r="K9" i="62"/>
  <c r="K13" i="62"/>
  <c r="K5" i="62"/>
  <c r="K10" i="62"/>
  <c r="K6" i="62"/>
  <c r="K12" i="62"/>
  <c r="K7" i="62"/>
  <c r="K8" i="61"/>
  <c r="K9" i="61"/>
  <c r="K12" i="61"/>
  <c r="K13" i="61"/>
  <c r="K10" i="61"/>
  <c r="K5" i="61"/>
  <c r="K6" i="61"/>
  <c r="K11" i="61"/>
  <c r="K7" i="61"/>
  <c r="K8" i="60"/>
  <c r="K9" i="60"/>
  <c r="K11" i="60"/>
  <c r="K12" i="60"/>
  <c r="K13" i="60"/>
  <c r="K5" i="60"/>
  <c r="K6" i="60"/>
  <c r="K10" i="60"/>
  <c r="K7" i="60"/>
  <c r="K8" i="59"/>
  <c r="K10" i="59"/>
  <c r="K13" i="59"/>
  <c r="K12" i="59"/>
  <c r="K5" i="59"/>
  <c r="K11" i="59"/>
  <c r="K6" i="59"/>
  <c r="K9" i="59"/>
  <c r="K7" i="59"/>
  <c r="K10" i="58"/>
  <c r="K8" i="58"/>
  <c r="K13" i="58"/>
  <c r="K5" i="58"/>
  <c r="K6" i="58"/>
  <c r="K9" i="58"/>
  <c r="K11" i="58"/>
  <c r="K12" i="58"/>
  <c r="K7" i="58"/>
  <c r="K8" i="57"/>
  <c r="K10" i="57"/>
  <c r="K13" i="57"/>
  <c r="K5" i="57"/>
  <c r="K9" i="57"/>
  <c r="K11" i="57"/>
  <c r="K6" i="57"/>
  <c r="K12" i="57"/>
  <c r="K7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U5" i="67" a="1"/>
  <c r="S5" i="67" a="1"/>
  <c r="U10" i="67" a="1"/>
  <c r="U11" i="67" a="1"/>
  <c r="Y3" i="67" a="1"/>
  <c r="V5" i="67" a="1"/>
  <c r="K8" i="67" a="1"/>
  <c r="V6" i="67" a="1"/>
  <c r="V4" i="67" a="1"/>
  <c r="Q8" i="67" a="1"/>
  <c r="M7" i="67" a="1"/>
  <c r="S4" i="67" a="1"/>
  <c r="L3" i="67" a="1"/>
  <c r="T5" i="67" a="1"/>
  <c r="Y10" i="67" a="1"/>
  <c r="X6" i="67" a="1"/>
  <c r="L9" i="67" a="1"/>
  <c r="N4" i="67" a="1"/>
  <c r="M8" i="67" a="1"/>
  <c r="M4" i="67" a="1"/>
  <c r="T11" i="67" a="1"/>
  <c r="Q10" i="67" a="1"/>
  <c r="P9" i="67" a="1"/>
  <c r="L8" i="67" a="1"/>
  <c r="K11" i="67" a="1"/>
  <c r="X8" i="67" a="1"/>
  <c r="M9" i="67" a="1"/>
  <c r="K9" i="67" a="1"/>
  <c r="Q5" i="67" a="1"/>
  <c r="O5" i="67" a="1"/>
  <c r="W9" i="67" a="1"/>
  <c r="O11" i="67" a="1"/>
  <c r="Q4" i="67" a="1"/>
  <c r="N7" i="67" a="1"/>
  <c r="L10" i="67" a="1"/>
  <c r="V11" i="67" a="1"/>
  <c r="T4" i="67" a="1"/>
  <c r="N5" i="67" a="1"/>
  <c r="N8" i="67" a="1"/>
  <c r="L7" i="67" a="1"/>
  <c r="S8" i="67" a="1"/>
  <c r="M3" i="67" a="1"/>
  <c r="Q6" i="67" a="1"/>
  <c r="X5" i="67" a="1"/>
  <c r="Q9" i="67" a="1"/>
  <c r="X12" i="67" a="1"/>
  <c r="Y9" i="67" a="1"/>
  <c r="W5" i="67" a="1"/>
  <c r="P10" i="67" a="1"/>
  <c r="X10" i="67" a="1"/>
  <c r="V3" i="67" a="1"/>
  <c r="P7" i="67" a="1"/>
  <c r="L5" i="67" a="1"/>
  <c r="K7" i="67" a="1"/>
  <c r="Y12" i="67" a="1"/>
  <c r="X3" i="67" a="1"/>
  <c r="K5" i="67" a="1"/>
  <c r="W7" i="67" a="1"/>
  <c r="S3" i="67" a="1"/>
  <c r="Y7" i="67" a="1"/>
  <c r="S7" i="67" a="1"/>
  <c r="X9" i="67" a="1"/>
  <c r="P3" i="67" a="1"/>
  <c r="Y6" i="67" a="1"/>
  <c r="M12" i="67" a="1"/>
  <c r="S12" i="67" a="1"/>
  <c r="W10" i="67" a="1"/>
  <c r="U4" i="67" a="1"/>
  <c r="M10" i="67" a="1"/>
  <c r="V9" i="67" a="1"/>
  <c r="X7" i="67" a="1"/>
  <c r="U9" i="67" a="1"/>
  <c r="T6" i="67" a="1"/>
  <c r="Y8" i="67" a="1"/>
  <c r="N12" i="67" a="1"/>
  <c r="P5" i="67" a="1"/>
  <c r="Y5" i="67" a="1"/>
  <c r="Y4" i="67" a="1"/>
  <c r="P12" i="67" a="1"/>
  <c r="Q7" i="67" a="1"/>
  <c r="T8" i="67" a="1"/>
  <c r="N10" i="67" a="1"/>
  <c r="T9" i="67" a="1"/>
  <c r="K12" i="67" a="1"/>
  <c r="U6" i="67" a="1"/>
  <c r="V12" i="67" a="1"/>
  <c r="K3" i="67" a="1"/>
  <c r="U7" i="67" a="1"/>
  <c r="V10" i="67" a="1"/>
  <c r="L12" i="67" a="1"/>
  <c r="W11" i="67" a="1"/>
  <c r="V7" i="67" a="1"/>
  <c r="S9" i="67" a="1"/>
  <c r="K4" i="67" a="1"/>
  <c r="P4" i="67" a="1"/>
  <c r="K6" i="67" a="1"/>
  <c r="Q3" i="67" a="1"/>
  <c r="O4" i="67" a="1"/>
  <c r="W8" i="67" a="1"/>
  <c r="O9" i="67" a="1"/>
  <c r="T7" i="67" a="1"/>
  <c r="U3" i="67" a="1"/>
  <c r="O3" i="67" a="1"/>
  <c r="W4" i="67" a="1"/>
  <c r="S10" i="67" a="1"/>
  <c r="V8" i="67" a="1"/>
  <c r="N3" i="67" a="1"/>
  <c r="M5" i="67" a="1"/>
  <c r="T10" i="67" a="1"/>
  <c r="P8" i="67" a="1"/>
  <c r="O12" i="67" a="1"/>
  <c r="U12" i="67" a="1"/>
  <c r="O8" i="67" a="1"/>
  <c r="W6" i="67" a="1"/>
  <c r="O10" i="67" a="1"/>
  <c r="S11" i="67" a="1"/>
  <c r="K10" i="67" a="1"/>
  <c r="X4" i="67" a="1"/>
  <c r="O7" i="67" a="1"/>
  <c r="W12" i="67" a="1"/>
  <c r="W3" i="67" a="1"/>
  <c r="L4" i="67" a="1"/>
  <c r="T3" i="67" a="1"/>
  <c r="U8" i="67" a="1"/>
  <c r="N9" i="67" a="1"/>
  <c r="S12" i="67" l="1"/>
  <c r="U14" i="65"/>
  <c r="AA14" i="64"/>
  <c r="Z14" i="64"/>
  <c r="Y14" i="64"/>
  <c r="S11" i="67"/>
  <c r="S10" i="67"/>
  <c r="S9" i="67"/>
  <c r="S8" i="67"/>
  <c r="AA14" i="61"/>
  <c r="S7" i="67"/>
  <c r="S5" i="67"/>
  <c r="S4" i="67"/>
  <c r="S3" i="67"/>
  <c r="R14" i="65"/>
  <c r="R14" i="64"/>
  <c r="M14" i="64"/>
  <c r="N14" i="64"/>
  <c r="O14" i="64"/>
  <c r="S14" i="64"/>
  <c r="Q14" i="64"/>
  <c r="M14" i="59"/>
  <c r="O14" i="59"/>
  <c r="Q14" i="59"/>
  <c r="N14" i="59"/>
  <c r="S14" i="59"/>
  <c r="P14" i="59"/>
  <c r="X2" i="59" s="1"/>
  <c r="V12" i="67"/>
  <c r="X12" i="67"/>
  <c r="W12" i="67"/>
  <c r="Y12" i="67"/>
  <c r="U12" i="67"/>
  <c r="R2" i="65"/>
  <c r="X2" i="65"/>
  <c r="Z2" i="65"/>
  <c r="P2" i="65"/>
  <c r="U11" i="67"/>
  <c r="V11" i="67"/>
  <c r="T11" i="67"/>
  <c r="W11" i="67"/>
  <c r="P2" i="64"/>
  <c r="X2" i="64"/>
  <c r="Y10" i="67"/>
  <c r="V10" i="67"/>
  <c r="W10" i="67"/>
  <c r="X10" i="67"/>
  <c r="T10" i="67"/>
  <c r="U10" i="67"/>
  <c r="R2" i="63"/>
  <c r="Z2" i="63"/>
  <c r="X2" i="63"/>
  <c r="P2" i="63"/>
  <c r="U9" i="67"/>
  <c r="T9" i="67"/>
  <c r="V9" i="67"/>
  <c r="W9" i="67"/>
  <c r="Y9" i="67"/>
  <c r="X9" i="67"/>
  <c r="R2" i="62"/>
  <c r="X2" i="62"/>
  <c r="Z2" i="62"/>
  <c r="P2" i="62"/>
  <c r="V8" i="67"/>
  <c r="U8" i="67"/>
  <c r="Y8" i="67"/>
  <c r="W8" i="67"/>
  <c r="T8" i="67"/>
  <c r="X8" i="67"/>
  <c r="Z2" i="61"/>
  <c r="R2" i="61"/>
  <c r="X2" i="61"/>
  <c r="P2" i="61"/>
  <c r="Y7" i="67"/>
  <c r="T7" i="67"/>
  <c r="U7" i="67"/>
  <c r="V7" i="67"/>
  <c r="W7" i="67"/>
  <c r="X7" i="67"/>
  <c r="R2" i="60"/>
  <c r="P2" i="60"/>
  <c r="Z2" i="60"/>
  <c r="X2" i="60"/>
  <c r="T6" i="67"/>
  <c r="U6" i="67"/>
  <c r="W6" i="67"/>
  <c r="Y6" i="67"/>
  <c r="V6" i="67"/>
  <c r="X6" i="67"/>
  <c r="R2" i="59"/>
  <c r="Z2" i="59"/>
  <c r="T5" i="67"/>
  <c r="V5" i="67"/>
  <c r="W5" i="67"/>
  <c r="X5" i="67"/>
  <c r="U5" i="67"/>
  <c r="Y5" i="67"/>
  <c r="R2" i="58"/>
  <c r="X2" i="58"/>
  <c r="P2" i="58"/>
  <c r="Z2" i="58"/>
  <c r="U4" i="67"/>
  <c r="V4" i="67"/>
  <c r="X4" i="67"/>
  <c r="T4" i="67"/>
  <c r="Y4" i="67"/>
  <c r="W4" i="67"/>
  <c r="R2" i="57"/>
  <c r="Z2" i="57"/>
  <c r="P2" i="57"/>
  <c r="X2" i="57"/>
  <c r="T3" i="67"/>
  <c r="W3" i="67"/>
  <c r="U3" i="67"/>
  <c r="V3" i="67"/>
  <c r="X3" i="67"/>
  <c r="Y3" i="67"/>
  <c r="R2" i="66"/>
  <c r="P2" i="66"/>
  <c r="X2" i="66"/>
  <c r="Z2" i="66"/>
  <c r="Q5" i="67"/>
  <c r="O7" i="67"/>
  <c r="Q9" i="67"/>
  <c r="O11" i="67"/>
  <c r="K12" i="67"/>
  <c r="N3" i="67"/>
  <c r="N4" i="67"/>
  <c r="P5" i="67"/>
  <c r="Q10" i="67"/>
  <c r="K8" i="67"/>
  <c r="P10" i="67"/>
  <c r="Q3" i="67"/>
  <c r="K5" i="67"/>
  <c r="P7" i="67"/>
  <c r="O9" i="67"/>
  <c r="O5" i="67"/>
  <c r="M9" i="67"/>
  <c r="P12" i="67"/>
  <c r="L4" i="67"/>
  <c r="L9" i="67"/>
  <c r="N7" i="67"/>
  <c r="Q8" i="67"/>
  <c r="O10" i="67"/>
  <c r="K6" i="67"/>
  <c r="L7" i="67"/>
  <c r="M7" i="67"/>
  <c r="N10" i="67"/>
  <c r="L12" i="67"/>
  <c r="N5" i="67"/>
  <c r="M5" i="67"/>
  <c r="O12" i="67"/>
  <c r="Q7" i="67"/>
  <c r="L8" i="67"/>
  <c r="N8" i="67"/>
  <c r="L10" i="67"/>
  <c r="M3" i="67"/>
  <c r="P4" i="67"/>
  <c r="Q6" i="67"/>
  <c r="P8" i="67"/>
  <c r="M4" i="67"/>
  <c r="K11" i="67"/>
  <c r="O3" i="67"/>
  <c r="P3" i="67"/>
  <c r="P9" i="67"/>
  <c r="N12" i="67"/>
  <c r="K3" i="67"/>
  <c r="N9" i="67"/>
  <c r="M12" i="67"/>
  <c r="K4" i="67"/>
  <c r="O4" i="67"/>
  <c r="K7" i="67"/>
  <c r="M10" i="67"/>
  <c r="L5" i="67"/>
  <c r="O8" i="67"/>
  <c r="K9" i="67"/>
  <c r="K10" i="67"/>
  <c r="Q4" i="67"/>
  <c r="M8" i="67"/>
  <c r="L3" i="67"/>
  <c r="K4" i="66"/>
  <c r="D14" i="66"/>
  <c r="D14" i="65"/>
  <c r="K4" i="65"/>
  <c r="D14" i="64"/>
  <c r="K4" i="64"/>
  <c r="D14" i="63"/>
  <c r="K4" i="63"/>
  <c r="K4" i="62"/>
  <c r="D14" i="62"/>
  <c r="D14" i="61"/>
  <c r="K4" i="61"/>
  <c r="D14" i="60"/>
  <c r="K4" i="60"/>
  <c r="K4" i="59"/>
  <c r="D14" i="59"/>
  <c r="D14" i="58"/>
  <c r="K4" i="58"/>
  <c r="D14" i="57"/>
  <c r="K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O6" i="67" a="1"/>
  <c r="M6" i="67" a="1"/>
  <c r="N11" i="67" a="1"/>
  <c r="L6" i="67" a="1"/>
  <c r="L11" i="67" a="1"/>
  <c r="X11" i="67" a="1"/>
  <c r="N6" i="67" a="1"/>
  <c r="Y11" i="67" a="1"/>
  <c r="P6" i="67" a="1"/>
  <c r="P11" i="67" a="1"/>
  <c r="Q12" i="67" a="1"/>
  <c r="T12" i="67" a="1"/>
  <c r="Q11" i="67" a="1"/>
  <c r="M11" i="67" a="1"/>
  <c r="S16" i="67" l="1"/>
  <c r="K16" i="67"/>
  <c r="T12" i="67"/>
  <c r="T13" i="67" s="1"/>
  <c r="X11" i="67"/>
  <c r="X13" i="67" s="1"/>
  <c r="Y11" i="67"/>
  <c r="Y13" i="67" s="1"/>
  <c r="S13" i="67"/>
  <c r="V13" i="67"/>
  <c r="W13" i="67"/>
  <c r="U13" i="67"/>
  <c r="Q12" i="67"/>
  <c r="Q11" i="67"/>
  <c r="P11" i="67"/>
  <c r="M11" i="67"/>
  <c r="N11" i="67"/>
  <c r="L11" i="67"/>
  <c r="Z2" i="64"/>
  <c r="R2" i="64"/>
  <c r="P2" i="59"/>
  <c r="O6" i="67"/>
  <c r="O13" i="67" s="1"/>
  <c r="M6" i="67"/>
  <c r="P6" i="67"/>
  <c r="N6" i="67"/>
  <c r="L6" i="67"/>
  <c r="K13" i="67"/>
  <c r="R13" i="67" s="1"/>
  <c r="I14" i="66"/>
  <c r="H14" i="66"/>
  <c r="G14" i="66"/>
  <c r="F14" i="66"/>
  <c r="K14" i="66"/>
  <c r="E14" i="66"/>
  <c r="J14" i="66"/>
  <c r="I14" i="65"/>
  <c r="H14" i="65"/>
  <c r="G14" i="65"/>
  <c r="F14" i="65"/>
  <c r="K14" i="65"/>
  <c r="E14" i="65"/>
  <c r="J14" i="65"/>
  <c r="I14" i="64"/>
  <c r="H14" i="64"/>
  <c r="G14" i="64"/>
  <c r="F14" i="64"/>
  <c r="E14" i="64"/>
  <c r="K14" i="64"/>
  <c r="J14" i="64"/>
  <c r="I14" i="63"/>
  <c r="H14" i="63"/>
  <c r="G14" i="63"/>
  <c r="K14" i="63"/>
  <c r="F14" i="63"/>
  <c r="E14" i="63"/>
  <c r="J14" i="63"/>
  <c r="I14" i="62"/>
  <c r="H14" i="62"/>
  <c r="G14" i="62"/>
  <c r="F14" i="62"/>
  <c r="E14" i="62"/>
  <c r="K14" i="62"/>
  <c r="J14" i="62"/>
  <c r="I14" i="61"/>
  <c r="H14" i="61"/>
  <c r="G14" i="61"/>
  <c r="F14" i="61"/>
  <c r="K14" i="61"/>
  <c r="E14" i="61"/>
  <c r="J14" i="61"/>
  <c r="I14" i="60"/>
  <c r="H14" i="60"/>
  <c r="G14" i="60"/>
  <c r="K14" i="60"/>
  <c r="F14" i="60"/>
  <c r="E14" i="60"/>
  <c r="J14" i="60"/>
  <c r="I14" i="59"/>
  <c r="H14" i="59"/>
  <c r="G14" i="59"/>
  <c r="F14" i="59"/>
  <c r="E14" i="59"/>
  <c r="J14" i="59"/>
  <c r="K14" i="59"/>
  <c r="I14" i="58"/>
  <c r="H14" i="58"/>
  <c r="G14" i="58"/>
  <c r="F14" i="58"/>
  <c r="E14" i="58"/>
  <c r="J14" i="58"/>
  <c r="K14" i="58"/>
  <c r="I14" i="57"/>
  <c r="H14" i="57"/>
  <c r="K14" i="57"/>
  <c r="G14" i="57"/>
  <c r="F14" i="57"/>
  <c r="E14" i="57"/>
  <c r="J14" i="57"/>
  <c r="G14" i="26"/>
  <c r="E14" i="26"/>
  <c r="D14" i="26"/>
  <c r="K14" i="26"/>
  <c r="P14" i="25"/>
  <c r="N14" i="25"/>
  <c r="M14" i="25"/>
  <c r="T14" i="25"/>
  <c r="D14" i="25"/>
  <c r="I4" i="23" a="1"/>
  <c r="H4" i="23" a="1"/>
  <c r="M13" i="67" l="1"/>
  <c r="Z13" i="67"/>
  <c r="L13" i="67"/>
  <c r="N13" i="67"/>
  <c r="P13" i="67"/>
  <c r="Q13" i="67"/>
  <c r="J2" i="66"/>
  <c r="H2" i="66"/>
  <c r="J2" i="65"/>
  <c r="H2" i="65"/>
  <c r="J2" i="64"/>
  <c r="H2" i="64"/>
  <c r="J2" i="63"/>
  <c r="H2" i="63"/>
  <c r="J2" i="62"/>
  <c r="H2" i="62"/>
  <c r="J2" i="61"/>
  <c r="H2" i="61"/>
  <c r="J2" i="60"/>
  <c r="H2" i="60"/>
  <c r="J2" i="59"/>
  <c r="H2" i="59"/>
  <c r="J2" i="58"/>
  <c r="H2" i="58"/>
  <c r="J2" i="57"/>
  <c r="H2" i="57"/>
  <c r="H4" i="23"/>
  <c r="I4" i="23"/>
  <c r="G6" i="23" a="1"/>
  <c r="E9" i="23" a="1"/>
  <c r="F6" i="23" a="1"/>
  <c r="D10" i="23" a="1"/>
  <c r="D8" i="23" a="1"/>
  <c r="G10" i="23" a="1"/>
  <c r="D11" i="23" a="1"/>
  <c r="F12" i="23" a="1"/>
  <c r="G11" i="23" a="1"/>
  <c r="E8" i="23" a="1"/>
  <c r="E10" i="23" a="1"/>
  <c r="E4" i="23" a="1"/>
  <c r="F13" i="23" a="1"/>
  <c r="E6" i="23" a="1"/>
  <c r="F4" i="23" a="1"/>
  <c r="D13" i="23" a="1"/>
  <c r="G4" i="23" a="1"/>
  <c r="G12" i="23" a="1"/>
  <c r="D5" i="23" a="1"/>
  <c r="F11" i="23" a="1"/>
  <c r="F10" i="23" a="1"/>
  <c r="F5" i="23" a="1"/>
  <c r="G13" i="23" a="1"/>
  <c r="E12" i="23" a="1"/>
  <c r="D4" i="23" a="1"/>
  <c r="E7" i="23" a="1"/>
  <c r="D7" i="23" a="1"/>
  <c r="D9" i="23" a="1"/>
  <c r="F9" i="23" a="1"/>
  <c r="E5" i="23" a="1"/>
  <c r="G7" i="23" a="1"/>
  <c r="G8" i="23" a="1"/>
  <c r="F8" i="23" a="1"/>
  <c r="D12" i="23" a="1"/>
  <c r="E11" i="23" a="1"/>
  <c r="D6" i="23" a="1"/>
  <c r="G9" i="23" a="1"/>
  <c r="F7" i="23" a="1"/>
  <c r="E13" i="23" a="1"/>
  <c r="G5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<sst xmlns="http://schemas.openxmlformats.org/spreadsheetml/2006/main" count="670" uniqueCount="21">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</sst>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8AF0-F4BF-C645-8B8C-A4BA9C142D8E}">
  <dimension ref="B1:Z16"/>
  <sheetViews>
    <sheetView zoomScale="85" zoomScaleNormal="85" workbookViewId="0">
      <selection activeCell="S2" sqref="S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265</v>
      </c>
      <c r="C3" s="5" cm="1">
        <f t="array" aca="1" ref="C3" ca="1">INDIRECT("'results" &amp; $B3 &amp; "'!D$14")</f>
        <v>56502.026834024262</v>
      </c>
      <c r="D3" s="33" cm="1">
        <f t="array" aca="1" ref="D3" ca="1">INDIRECT("'results" &amp; $B3 &amp; "'!E$14")</f>
        <v>5.2139203330000328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14.087195634032918</v>
      </c>
      <c r="I3" s="5" cm="1">
        <f t="array" aca="1" ref="I3" ca="1">INDIRECT("'results" &amp; $B3 &amp; "'!J$14")</f>
        <v>1093.3688277079839</v>
      </c>
      <c r="J3" s="5"/>
      <c r="K3" s="5" cm="1">
        <f t="array" aca="1" ref="K3" ca="1">INDIRECT("'results" &amp; $B3 &amp; "'!L$14")</f>
        <v>67172.682133116468</v>
      </c>
      <c r="L3" s="5" cm="1">
        <f t="array" aca="1" ref="L3" ca="1">INDIRECT("'results" &amp; $B3 &amp; "'!M$14")</f>
        <v>4.7783064159993964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75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10.877063331728451</v>
      </c>
      <c r="Q3" s="5" cm="1">
        <f t="array" aca="1" ref="Q3" ca="1">INDIRECT("'results" &amp; $B3 &amp; "'!R$14")</f>
        <v>964.84335838763366</v>
      </c>
      <c r="R3" s="5"/>
      <c r="S3" s="5" cm="1">
        <f t="array" aca="1" ref="S3" ca="1">INDIRECT("'results" &amp; $B3 &amp; "'!T$14")</f>
        <v>60798.17490211402</v>
      </c>
      <c r="T3" s="5" cm="1">
        <f t="array" aca="1" ref="T3" ca="1">INDIRECT("'results" &amp; $B3 &amp; "'!U$14")</f>
        <v>2.4235445840022289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75</v>
      </c>
      <c r="W3" s="5" cm="1">
        <f t="array" aca="1" ref="W3" ca="1">INDIRECT("'results" &amp; $B3 &amp; "'!X$14")</f>
        <v>3.0540687100621962</v>
      </c>
      <c r="X3" s="5" cm="1">
        <f t="array" aca="1" ref="X3" ca="1">INDIRECT("'results" &amp; $B3 &amp; "'!Y$14")</f>
        <v>35.61369014091467</v>
      </c>
      <c r="Y3" s="5" cm="1">
        <f t="array" aca="1" ref="Y3" ca="1">INDIRECT("'results" &amp; $B3 &amp; "'!Z$14")</f>
        <v>1471.4712684326189</v>
      </c>
      <c r="Z3" s="5"/>
    </row>
    <row r="4" spans="2:26" x14ac:dyDescent="0.2">
      <c r="B4" s="4">
        <v>279</v>
      </c>
      <c r="C4" s="5" cm="1">
        <f t="array" aca="1" ref="C4" ca="1">INDIRECT("'results" &amp; $B4 &amp; "'!D$14")</f>
        <v>69081.278097380797</v>
      </c>
      <c r="D4" s="33" cm="1">
        <f t="array" aca="1" ref="D4" ca="1">INDIRECT("'results" &amp; $B4 &amp; "'!E$14")</f>
        <v>3.231522083000073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80</v>
      </c>
      <c r="G4" s="5" cm="1">
        <f t="array" aca="1" ref="G4" ca="1">INDIRECT("'results" &amp; $B4 &amp; "'!H$14")</f>
        <v>68.786488968384191</v>
      </c>
      <c r="H4" s="33" cm="1">
        <f t="array" aca="1" ref="H4" ca="1">INDIRECT("'results" &amp; $B4 &amp; "'!I$14")</f>
        <v>22.290864533455924</v>
      </c>
      <c r="I4" s="5" cm="1">
        <f t="array" aca="1" ref="I4" ca="1">INDIRECT("'results" &amp; $B4 &amp; "'!J$14")</f>
        <v>1912.2270210119955</v>
      </c>
      <c r="J4" s="5"/>
      <c r="K4" s="5" cm="1">
        <f t="array" aca="1" ref="K4" ca="1">INDIRECT("'results" &amp; $B4 &amp; "'!L$14")</f>
        <v>80129.507444753355</v>
      </c>
      <c r="L4" s="5" cm="1">
        <f t="array" aca="1" ref="L4" ca="1">INDIRECT("'results" &amp; $B4 &amp; "'!M$14")</f>
        <v>3.3094012500005192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55</v>
      </c>
      <c r="O4" s="5" cm="1">
        <f t="array" aca="1" ref="O4" ca="1">INDIRECT("'results" &amp; $B4 &amp; "'!P$14")</f>
        <v>12.373399400950428</v>
      </c>
      <c r="P4" s="5" cm="1">
        <f t="array" aca="1" ref="P4" ca="1">INDIRECT("'results" &amp; $B4 &amp; "'!Q$14")</f>
        <v>13.788833447334421</v>
      </c>
      <c r="Q4" s="5" cm="1">
        <f t="array" aca="1" ref="Q4" ca="1">INDIRECT("'results" &amp; $B4 &amp; "'!R$14")</f>
        <v>1441.6514239301725</v>
      </c>
      <c r="R4" s="5"/>
      <c r="S4" s="5" cm="1">
        <f t="array" aca="1" ref="S4" ca="1">INDIRECT("'results" &amp; $B4 &amp; "'!T$14")</f>
        <v>85303.860551245714</v>
      </c>
      <c r="T4" s="5" cm="1">
        <f t="array" aca="1" ref="T4" ca="1">INDIRECT("'results" &amp; $B4 &amp; "'!U$14")</f>
        <v>2.9411721249998659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55</v>
      </c>
      <c r="W4" s="5" cm="1">
        <f t="array" aca="1" ref="W4" ca="1">INDIRECT("'results" &amp; $B4 &amp; "'!X$14")</f>
        <v>119.1811049427828</v>
      </c>
      <c r="X4" s="5" cm="1">
        <f t="array" aca="1" ref="X4" ca="1">INDIRECT("'results" &amp; $B4 &amp; "'!Y$14")</f>
        <v>25.225285716182334</v>
      </c>
      <c r="Y4" s="5" cm="1">
        <f t="array" aca="1" ref="Y4" ca="1">INDIRECT("'results" &amp; $B4 &amp; "'!Z$14")</f>
        <v>1989.2964854601225</v>
      </c>
      <c r="Z4" s="5"/>
    </row>
    <row r="5" spans="2:26" x14ac:dyDescent="0.2">
      <c r="B5" s="4">
        <v>306</v>
      </c>
      <c r="C5" s="5" cm="1">
        <f t="array" aca="1" ref="C5" ca="1">INDIRECT("'results" &amp; $B5 &amp; "'!D$14")</f>
        <v>65509.34561354958</v>
      </c>
      <c r="D5" s="33" cm="1">
        <f t="array" aca="1" ref="D5" ca="1">INDIRECT("'results" &amp; $B5 &amp; "'!E$14")</f>
        <v>2.535859666999841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13.768091536766793</v>
      </c>
      <c r="H5" s="33" cm="1">
        <f t="array" aca="1" ref="H5" ca="1">INDIRECT("'results" &amp; $B5 &amp; "'!I$14")</f>
        <v>24.059672546809395</v>
      </c>
      <c r="I5" s="5" cm="1">
        <f t="array" aca="1" ref="I5" ca="1">INDIRECT("'results" &amp; $B5 &amp; "'!J$14")</f>
        <v>1413.7864903912246</v>
      </c>
      <c r="J5" s="5"/>
      <c r="K5" s="5" cm="1">
        <f t="array" aca="1" ref="K5" ca="1">INDIRECT("'results" &amp; $B5 &amp; "'!L$14")</f>
        <v>77710.915123754952</v>
      </c>
      <c r="L5" s="5" cm="1">
        <f t="array" aca="1" ref="L5" ca="1">INDIRECT("'results" &amp; $B5 &amp; "'!M$14")</f>
        <v>5.6618310829981056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50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16.802862661367961</v>
      </c>
      <c r="Q5" s="5" cm="1">
        <f t="array" aca="1" ref="Q5" ca="1">INDIRECT("'results" &amp; $B5 &amp; "'!R$14")</f>
        <v>1104.9674833304191</v>
      </c>
      <c r="R5" s="5"/>
      <c r="S5" s="5" cm="1">
        <f t="array" aca="1" ref="S5" ca="1">INDIRECT("'results" &amp; $B5 &amp; "'!T$14")</f>
        <v>71750.462339689548</v>
      </c>
      <c r="T5" s="5" cm="1">
        <f t="array" aca="1" ref="T5" ca="1">INDIRECT("'results" &amp; $B5 &amp; "'!U$14")</f>
        <v>2.655760790999921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65</v>
      </c>
      <c r="W5" s="5" cm="1">
        <f t="array" aca="1" ref="W5" ca="1">INDIRECT("'results" &amp; $B5 &amp; "'!X$14")</f>
        <v>45.89464260322687</v>
      </c>
      <c r="X5" s="5" cm="1">
        <f t="array" aca="1" ref="X5" ca="1">INDIRECT("'results" &amp; $B5 &amp; "'!Y$14")</f>
        <v>39.41959583779078</v>
      </c>
      <c r="Y5" s="5" cm="1">
        <f t="array" aca="1" ref="Y5" ca="1">INDIRECT("'results" &amp; $B5 &amp; "'!Z$14")</f>
        <v>1798.0797442561329</v>
      </c>
      <c r="Z5" s="5"/>
    </row>
    <row r="6" spans="2:26" x14ac:dyDescent="0.2">
      <c r="B6" s="4">
        <v>400</v>
      </c>
      <c r="C6" s="5" cm="1">
        <f t="array" aca="1" ref="C6" ca="1">INDIRECT("'results" &amp; $B6 &amp; "'!D$14")</f>
        <v>52644.290452569359</v>
      </c>
      <c r="D6" s="33" cm="1">
        <f t="array" aca="1" ref="D6" ca="1">INDIRECT("'results" &amp; $B6 &amp; "'!E$14")</f>
        <v>4.6779512920002162</v>
      </c>
      <c r="E6" s="5" cm="1">
        <f t="array" aca="1" ref="E6" ca="1">INDIRECT("'results" &amp; $B6 &amp; "'!F$14")</f>
        <v>3</v>
      </c>
      <c r="F6" s="5" cm="1">
        <f t="array" aca="1" ref="F6" ca="1">INDIRECT("'results" &amp; $B6 &amp; "'!G$14")</f>
        <v>95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14.834486978384499</v>
      </c>
      <c r="I6" s="5" cm="1">
        <f t="array" aca="1" ref="I6" ca="1">INDIRECT("'results" &amp; $B6 &amp; "'!J$14")</f>
        <v>1062.407800372667</v>
      </c>
      <c r="J6" s="5"/>
      <c r="K6" s="5" cm="1">
        <f t="array" aca="1" ref="K6" ca="1">INDIRECT("'results" &amp; $B6 &amp; "'!L$14")</f>
        <v>70714.337136845556</v>
      </c>
      <c r="L6" s="5" cm="1">
        <f t="array" aca="1" ref="L6" ca="1">INDIRECT("'results" &amp; $B6 &amp; "'!M$14")</f>
        <v>4.5489607499985141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9.4096739542909571</v>
      </c>
      <c r="Q6" s="5" cm="1">
        <f t="array" aca="1" ref="Q6" ca="1">INDIRECT("'results" &amp; $B6 &amp; "'!R$14")</f>
        <v>894.32075466364256</v>
      </c>
      <c r="R6" s="5"/>
      <c r="S6" s="5" cm="1">
        <f t="array" aca="1" ref="S6" ca="1">INDIRECT("'results" &amp; $B6 &amp; "'!T$14")</f>
        <v>55022.879414055511</v>
      </c>
      <c r="T6" s="5" cm="1">
        <f t="array" aca="1" ref="T6" ca="1">INDIRECT("'results" &amp; $B6 &amp; "'!U$14")</f>
        <v>4.5558685420000984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95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33.303346404172942</v>
      </c>
      <c r="Y6" s="5" cm="1">
        <f t="array" aca="1" ref="Y6" ca="1">INDIRECT("'results" &amp; $B6 &amp; "'!Z$14")</f>
        <v>1432.567544841701</v>
      </c>
      <c r="Z6" s="5"/>
    </row>
    <row r="7" spans="2:26" x14ac:dyDescent="0.2">
      <c r="B7" s="4">
        <v>467</v>
      </c>
      <c r="C7" s="5" cm="1">
        <f t="array" aca="1" ref="C7" ca="1">INDIRECT("'results" &amp; $B7 &amp; "'!D$14")</f>
        <v>59889.041175590362</v>
      </c>
      <c r="D7" s="33" cm="1">
        <f t="array" aca="1" ref="D7" ca="1">INDIRECT("'results" &amp; $B7 &amp; "'!E$14")</f>
        <v>3.24505845800013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30.681587484196626</v>
      </c>
      <c r="I7" s="5" cm="1">
        <f t="array" aca="1" ref="I7" ca="1">INDIRECT("'results" &amp; $B7 &amp; "'!J$14")</f>
        <v>1533.1982523729907</v>
      </c>
      <c r="J7" s="5"/>
      <c r="K7" s="5" cm="1">
        <f t="array" aca="1" ref="K7" ca="1">INDIRECT("'results" &amp; $B7 &amp; "'!L$14")</f>
        <v>70830.525605046569</v>
      </c>
      <c r="L7" s="5" cm="1">
        <f t="array" aca="1" ref="L7" ca="1">INDIRECT("'results" &amp; $B7 &amp; "'!M$14")</f>
        <v>3.7645272499976268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75</v>
      </c>
      <c r="O7" s="5" cm="1">
        <f t="array" aca="1" ref="O7" ca="1">INDIRECT("'results" &amp; $B7 &amp; "'!P$14")</f>
        <v>0.84616333525843068</v>
      </c>
      <c r="P7" s="5" cm="1">
        <f t="array" aca="1" ref="P7" ca="1">INDIRECT("'results" &amp; $B7 &amp; "'!Q$14")</f>
        <v>23.722532512037745</v>
      </c>
      <c r="Q7" s="5" cm="1">
        <f t="array" aca="1" ref="Q7" ca="1">INDIRECT("'results" &amp; $B7 &amp; "'!R$14")</f>
        <v>1439.5133783774481</v>
      </c>
      <c r="R7" s="5"/>
      <c r="S7" s="5" cm="1">
        <f t="array" aca="1" ref="S7" ca="1">INDIRECT("'results" &amp; $B7 &amp; "'!T$14")</f>
        <v>68331.378539888203</v>
      </c>
      <c r="T7" s="5" cm="1">
        <f t="array" aca="1" ref="T7" ca="1">INDIRECT("'results" &amp; $B7 &amp; "'!U$14")</f>
        <v>4.0211288339996827</v>
      </c>
      <c r="U7" s="5" cm="1">
        <f t="array" aca="1" ref="U7" ca="1">INDIRECT("'results" &amp; $B7 &amp; "'!V$14")</f>
        <v>3</v>
      </c>
      <c r="V7" s="5" cm="1">
        <f t="array" aca="1" ref="V7" ca="1">INDIRECT("'results" &amp; $B7 &amp; "'!W$14")</f>
        <v>85</v>
      </c>
      <c r="W7" s="5" cm="1">
        <f t="array" aca="1" ref="W7" ca="1">INDIRECT("'results" &amp; $B7 &amp; "'!X$14")</f>
        <v>50.740471530255888</v>
      </c>
      <c r="X7" s="5" cm="1">
        <f t="array" aca="1" ref="X7" ca="1">INDIRECT("'results" &amp; $B7 &amp; "'!Y$14")</f>
        <v>49.159390862880592</v>
      </c>
      <c r="Y7" s="5" cm="1">
        <f t="array" aca="1" ref="Y7" ca="1">INDIRECT("'results" &amp; $B7 &amp; "'!Z$14")</f>
        <v>2096.1001470820038</v>
      </c>
      <c r="Z7" s="5"/>
    </row>
    <row r="8" spans="2:26" x14ac:dyDescent="0.2">
      <c r="B8" s="4">
        <v>653</v>
      </c>
      <c r="C8" s="5" cm="1">
        <f t="array" aca="1" ref="C8" ca="1">INDIRECT("'results" &amp; $B8 &amp; "'!D$14")</f>
        <v>52178.443909618931</v>
      </c>
      <c r="D8" s="33" cm="1">
        <f t="array" aca="1" ref="D8" ca="1">INDIRECT("'results" &amp; $B8 &amp; "'!E$14")</f>
        <v>5.6316160829996988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95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14.405143637306059</v>
      </c>
      <c r="I8" s="5" cm="1">
        <f t="array" aca="1" ref="I8" ca="1">INDIRECT("'results" &amp; $B8 &amp; "'!J$14")</f>
        <v>1038.0841648290098</v>
      </c>
      <c r="J8" s="5"/>
      <c r="K8" s="5" cm="1">
        <f t="array" aca="1" ref="K8" ca="1">INDIRECT("'results" &amp; $B8 &amp; "'!L$14")</f>
        <v>69103.015398663352</v>
      </c>
      <c r="L8" s="5" cm="1">
        <f t="array" aca="1" ref="L8" ca="1">INDIRECT("'results" &amp; $B8 &amp; "'!M$14")</f>
        <v>6.0298367499999586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75</v>
      </c>
      <c r="O8" s="5" cm="1">
        <f t="array" aca="1" ref="O8" ca="1">INDIRECT("'results" &amp; $B8 &amp; "'!P$14")</f>
        <v>3.6234872625217878</v>
      </c>
      <c r="P8" s="5" cm="1">
        <f t="array" aca="1" ref="P8" ca="1">INDIRECT("'results" &amp; $B8 &amp; "'!Q$14")</f>
        <v>13.139017694743011</v>
      </c>
      <c r="Q8" s="5" cm="1">
        <f t="array" aca="1" ref="Q8" ca="1">INDIRECT("'results" &amp; $B8 &amp; "'!R$14")</f>
        <v>1112.9596147922853</v>
      </c>
      <c r="R8" s="5"/>
      <c r="S8" s="5" cm="1">
        <f t="array" aca="1" ref="S8" ca="1">INDIRECT("'results" &amp; $B8 &amp; "'!T$14")</f>
        <v>60067.175983066038</v>
      </c>
      <c r="T8" s="5" cm="1">
        <f t="array" aca="1" ref="T8" ca="1">INDIRECT("'results" &amp; $B8 &amp; "'!U$14")</f>
        <v>5.1681595830013984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90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23.491481445873617</v>
      </c>
      <c r="Y8" s="5" cm="1">
        <f t="array" aca="1" ref="Y8" ca="1">INDIRECT("'results" &amp; $B8 &amp; "'!Z$14")</f>
        <v>1401.7681044875533</v>
      </c>
      <c r="Z8" s="5"/>
    </row>
    <row r="9" spans="2:26" x14ac:dyDescent="0.2">
      <c r="B9" s="4">
        <v>714</v>
      </c>
      <c r="C9" s="5" cm="1">
        <f t="array" aca="1" ref="C9" ca="1">INDIRECT("'results" &amp; $B9 &amp; "'!D$14")</f>
        <v>58268.90132046587</v>
      </c>
      <c r="D9" s="33" cm="1">
        <f t="array" aca="1" ref="D9" ca="1">INDIRECT("'results" &amp; $B9 &amp; "'!E$14")</f>
        <v>4.9573944170001596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85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14.165014476631308</v>
      </c>
      <c r="I9" s="5" cm="1">
        <f t="array" aca="1" ref="I9" ca="1">INDIRECT("'results" &amp; $B9 &amp; "'!J$14")</f>
        <v>997.42154960533935</v>
      </c>
      <c r="J9" s="5"/>
      <c r="K9" s="5" cm="1">
        <f t="array" aca="1" ref="K9" ca="1">INDIRECT("'results" &amp; $B9 &amp; "'!L$14")</f>
        <v>58268.90132046587</v>
      </c>
      <c r="L9" s="5" cm="1">
        <f t="array" aca="1" ref="L9" ca="1">INDIRECT("'results" &amp; $B9 &amp; "'!M$14")</f>
        <v>5.0240294159993937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85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14.165014476631308</v>
      </c>
      <c r="Q9" s="5" cm="1">
        <f t="array" aca="1" ref="Q9" ca="1">INDIRECT("'results" &amp; $B9 &amp; "'!R$14")</f>
        <v>997.42154960533935</v>
      </c>
      <c r="R9" s="5"/>
      <c r="S9" s="5" cm="1">
        <f t="array" aca="1" ref="S9" ca="1">INDIRECT("'results" &amp; $B9 &amp; "'!T$14")</f>
        <v>60030.454580276833</v>
      </c>
      <c r="T9" s="5" cm="1">
        <f t="array" aca="1" ref="T9" ca="1">INDIRECT("'results" &amp; $B9 &amp; "'!U$14")</f>
        <v>4.8280234170015319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85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23.304856849482601</v>
      </c>
      <c r="Y9" s="5" cm="1">
        <f t="array" aca="1" ref="Y9" ca="1">INDIRECT("'results" &amp; $B9 &amp; "'!Z$14")</f>
        <v>1256.411883612893</v>
      </c>
      <c r="Z9" s="5"/>
    </row>
    <row r="10" spans="2:26" x14ac:dyDescent="0.2">
      <c r="B10" s="4">
        <v>941</v>
      </c>
      <c r="C10" s="5" cm="1">
        <f t="array" aca="1" ref="C10" ca="1">INDIRECT("'results" &amp; $B10 &amp; "'!D$14")</f>
        <v>55731.71449198552</v>
      </c>
      <c r="D10" s="33" cm="1">
        <f t="array" aca="1" ref="D10" ca="1">INDIRECT("'results" &amp; $B10 &amp; "'!E$14")</f>
        <v>4.8846508749993518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100</v>
      </c>
      <c r="G10" s="5" cm="1">
        <f t="array" aca="1" ref="G10" ca="1">INDIRECT("'results" &amp; $B10 &amp; "'!H$14")</f>
        <v>38.480897191426017</v>
      </c>
      <c r="H10" s="33" cm="1">
        <f t="array" aca="1" ref="H10" ca="1">INDIRECT("'results" &amp; $B10 &amp; "'!I$14")</f>
        <v>22.436576368087241</v>
      </c>
      <c r="I10" s="5" cm="1">
        <f t="array" aca="1" ref="I10" ca="1">INDIRECT("'results" &amp; $B10 &amp; "'!J$14")</f>
        <v>1505.6517122281214</v>
      </c>
      <c r="J10" s="5"/>
      <c r="K10" s="5" cm="1">
        <f t="array" aca="1" ref="K10" ca="1">INDIRECT("'results" &amp; $B10 &amp; "'!L$14")</f>
        <v>69860.808354236418</v>
      </c>
      <c r="L10" s="5" cm="1">
        <f t="array" aca="1" ref="L10" ca="1">INDIRECT("'results" &amp; $B10 &amp; "'!M$14")</f>
        <v>4.4420814590012014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0.48743101309204917</v>
      </c>
      <c r="P10" s="5" cm="1">
        <f t="array" aca="1" ref="P10" ca="1">INDIRECT("'results" &amp; $B10 &amp; "'!Q$14")</f>
        <v>14.501668762030313</v>
      </c>
      <c r="Q10" s="5" cm="1">
        <f t="array" aca="1" ref="Q10" ca="1">INDIRECT("'results" &amp; $B10 &amp; "'!R$14")</f>
        <v>1444.726370468494</v>
      </c>
      <c r="R10" s="5"/>
      <c r="S10" s="5" cm="1">
        <f t="array" aca="1" ref="S10" ca="1">INDIRECT("'results" &amp; $B10 &amp; "'!T$14")</f>
        <v>64656.210267570699</v>
      </c>
      <c r="T10" s="5" cm="1">
        <f t="array" aca="1" ref="T10" ca="1">INDIRECT("'results" &amp; $B10 &amp; "'!U$14")</f>
        <v>5.3149397080014751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31.239634685392755</v>
      </c>
      <c r="X10" s="5" cm="1">
        <f t="array" aca="1" ref="X10" ca="1">INDIRECT("'results" &amp; $B10 &amp; "'!Y$14")</f>
        <v>43.931825872023921</v>
      </c>
      <c r="Y10" s="5" cm="1">
        <f t="array" aca="1" ref="Y10" ca="1">INDIRECT("'results" &amp; $B10 &amp; "'!Z$14")</f>
        <v>2044.354721467425</v>
      </c>
      <c r="Z10" s="5"/>
    </row>
    <row r="11" spans="2:26" x14ac:dyDescent="0.2">
      <c r="B11" s="4">
        <v>980</v>
      </c>
      <c r="C11" s="5" cm="1">
        <f t="array" aca="1" ref="C11" ca="1">INDIRECT("'results" &amp; $B11 &amp; "'!D$14")</f>
        <v>58126.066672600078</v>
      </c>
      <c r="D11" s="33" cm="1">
        <f t="array" aca="1" ref="D11" ca="1">INDIRECT("'results" &amp; $B11 &amp; "'!E$14")</f>
        <v>5.3787188329997662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5.4046431729599362</v>
      </c>
      <c r="H11" s="33" cm="1">
        <f t="array" aca="1" ref="H11" ca="1">INDIRECT("'results" &amp; $B11 &amp; "'!I$14")</f>
        <v>15.286506923409201</v>
      </c>
      <c r="I11" s="5" cm="1">
        <f t="array" aca="1" ref="I11" ca="1">INDIRECT("'results" &amp; $B11 &amp; "'!J$14")</f>
        <v>1250.991205242233</v>
      </c>
      <c r="J11" s="5"/>
      <c r="K11" s="5" cm="1">
        <f t="array" aca="1" ref="K11" ca="1">INDIRECT("'results" &amp; $B11 &amp; "'!L$14")</f>
        <v>63107.306234856522</v>
      </c>
      <c r="L11" s="5" cm="1">
        <f t="array" aca="1" ref="L11" ca="1">INDIRECT("'results" &amp; $B11 &amp; "'!M$14")</f>
        <v>4.9966422079996846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12.287801137244026</v>
      </c>
      <c r="Q11" s="5" cm="1">
        <f t="array" aca="1" ref="Q11" ca="1">INDIRECT("'results" &amp; $B11 &amp; "'!R$14")</f>
        <v>1040.1668056709361</v>
      </c>
      <c r="R11" s="5"/>
      <c r="S11" s="5" cm="1">
        <f t="array" aca="1" ref="S11" ca="1">INDIRECT("'results" &amp; $B11 &amp; "'!T$14")</f>
        <v>65824.854630825896</v>
      </c>
      <c r="T11" s="5" cm="1">
        <f t="array" aca="1" ref="T11" ca="1">INDIRECT("'results" &amp; $B11 &amp; "'!U$14")</f>
        <v>5.2727715830005764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85</v>
      </c>
      <c r="W11" s="5" cm="1">
        <f t="array" aca="1" ref="W11" ca="1">INDIRECT("'results" &amp; $B11 &amp; "'!X$14")</f>
        <v>23.257433261679996</v>
      </c>
      <c r="X11" s="5" cm="1">
        <f t="array" aca="1" ref="X11" ca="1">INDIRECT("'results" &amp; $B11 &amp; "'!Y$14")</f>
        <v>26.436155729259813</v>
      </c>
      <c r="Y11" s="5" cm="1">
        <f t="array" aca="1" ref="Y11" ca="1">INDIRECT("'results" &amp; $B11 &amp; "'!Z$14")</f>
        <v>1668.747208289424</v>
      </c>
      <c r="Z11" s="5"/>
    </row>
    <row r="12" spans="2:26" x14ac:dyDescent="0.2">
      <c r="B12" s="4">
        <v>997</v>
      </c>
      <c r="C12" s="5" cm="1">
        <f t="array" aca="1" ref="C12" ca="1">INDIRECT("'results" &amp; $B12 &amp; "'!D$14")</f>
        <v>59698.785852899862</v>
      </c>
      <c r="D12" s="33" cm="1">
        <f t="array" aca="1" ref="D12" ca="1">INDIRECT("'results" &amp; $B12 &amp; "'!E$14")</f>
        <v>3.5756853749999209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85</v>
      </c>
      <c r="G12" s="5" cm="1">
        <f t="array" aca="1" ref="G12" ca="1">INDIRECT("'results" &amp; $B12 &amp; "'!H$14")</f>
        <v>44.132821139782344</v>
      </c>
      <c r="H12" s="33" cm="1">
        <f t="array" aca="1" ref="H12" ca="1">INDIRECT("'results" &amp; $B12 &amp; "'!I$14")</f>
        <v>20.195118256159756</v>
      </c>
      <c r="I12" s="5" cm="1">
        <f t="array" aca="1" ref="I12" ca="1">INDIRECT("'results" &amp; $B12 &amp; "'!J$14")</f>
        <v>1611.9788884048712</v>
      </c>
      <c r="J12" s="5"/>
      <c r="K12" s="5" cm="1">
        <f t="array" aca="1" ref="K12" ca="1">INDIRECT("'results" &amp; $B12 &amp; "'!L$14")</f>
        <v>66852.670773724356</v>
      </c>
      <c r="L12" s="5" cm="1">
        <f t="array" aca="1" ref="L12" ca="1">INDIRECT("'results" &amp; $B12 &amp; "'!M$14")</f>
        <v>4.5987648749978689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75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14.780196727479874</v>
      </c>
      <c r="Q12" s="5" cm="1">
        <f t="array" aca="1" ref="Q12" ca="1">INDIRECT("'results" &amp; $B12 &amp; "'!R$14")</f>
        <v>1086.8151173699011</v>
      </c>
      <c r="R12" s="5"/>
      <c r="S12" s="5" cm="1">
        <f t="array" aca="1" ref="S12" ca="1">INDIRECT("'results" &amp; $B12 &amp; "'!T$14")</f>
        <v>64773.783431489661</v>
      </c>
      <c r="T12" s="5" cm="1">
        <f t="array" aca="1" ref="T12" ca="1">INDIRECT("'results" &amp; $B12 &amp; "'!U$14")</f>
        <v>3.5718057919984858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85</v>
      </c>
      <c r="W12" s="5" cm="1">
        <f t="array" aca="1" ref="W12" ca="1">INDIRECT("'results" &amp; $B12 &amp; "'!X$14")</f>
        <v>65.081970439578399</v>
      </c>
      <c r="X12" s="5" cm="1">
        <f t="array" aca="1" ref="X12" ca="1">INDIRECT("'results" &amp; $B12 &amp; "'!Y$14")</f>
        <v>28.985231248436378</v>
      </c>
      <c r="Y12" s="5" cm="1">
        <f t="array" aca="1" ref="Y12" ca="1">INDIRECT("'results" &amp; $B12 &amp; "'!Z$14")</f>
        <v>1565.4143135011414</v>
      </c>
      <c r="Z12" s="5"/>
    </row>
    <row r="13" spans="2:26" x14ac:dyDescent="0.2">
      <c r="B13" s="8" t="s">
        <v>3</v>
      </c>
      <c r="C13" s="9">
        <f ca="1">AVERAGE(C3:C12)</f>
        <v>58762.989442068465</v>
      </c>
      <c r="D13" s="10">
        <f t="shared" ref="D13:I13" ca="1" si="0">AVERAGE(D3:D12)</f>
        <v>4.3332377415999188</v>
      </c>
      <c r="E13" s="9">
        <f t="shared" ca="1" si="0"/>
        <v>2.7</v>
      </c>
      <c r="F13" s="9">
        <f t="shared" ca="1" si="0"/>
        <v>88</v>
      </c>
      <c r="G13" s="9">
        <f t="shared" ca="1" si="0"/>
        <v>17.057294200931928</v>
      </c>
      <c r="H13" s="10">
        <f t="shared" ca="1" si="0"/>
        <v>19.244216683847291</v>
      </c>
      <c r="I13" s="9">
        <f t="shared" ca="1" si="0"/>
        <v>1341.911591216644</v>
      </c>
      <c r="J13" s="32" t="e">
        <f ca="1">(C13-$D$15)/$D$15</f>
        <v>#DIV/0!</v>
      </c>
      <c r="K13" s="16">
        <f ca="1">AVERAGE(K3:K12)</f>
        <v>69375.066952546331</v>
      </c>
      <c r="L13" s="36">
        <f t="shared" ref="L13:Q13" ca="1" si="1">AVERAGE(L3:L12)</f>
        <v>4.7154381456992267</v>
      </c>
      <c r="M13" s="16">
        <f t="shared" ca="1" si="1"/>
        <v>2.8</v>
      </c>
      <c r="N13" s="16">
        <f ca="1">AVERAGE(N3:N12)</f>
        <v>72</v>
      </c>
      <c r="O13" s="16">
        <f t="shared" ca="1" si="1"/>
        <v>1.7330481011822694</v>
      </c>
      <c r="P13" s="36">
        <f t="shared" ca="1" si="1"/>
        <v>14.347466470488808</v>
      </c>
      <c r="Q13" s="16">
        <f t="shared" ca="1" si="1"/>
        <v>1152.7385856596272</v>
      </c>
      <c r="R13" s="37" t="e">
        <f ca="1">(K13-$D$15)/$D$15</f>
        <v>#DIV/0!</v>
      </c>
      <c r="S13" s="38">
        <f ca="1">AVERAGE(S3:S12)</f>
        <v>65655.923464022228</v>
      </c>
      <c r="T13" s="39">
        <f t="shared" ref="T13:Y13" ca="1" si="2">AVERAGE(T3:T12)</f>
        <v>4.0753174959005261</v>
      </c>
      <c r="U13" s="38">
        <f t="shared" ca="1" si="2"/>
        <v>2.7</v>
      </c>
      <c r="V13" s="38">
        <f t="shared" ca="1" si="2"/>
        <v>81</v>
      </c>
      <c r="W13" s="38">
        <f t="shared" ca="1" si="2"/>
        <v>33.844932617297893</v>
      </c>
      <c r="X13" s="39">
        <f t="shared" ca="1" si="2"/>
        <v>32.887086010701772</v>
      </c>
      <c r="Y13" s="38">
        <f t="shared" ca="1" si="2"/>
        <v>1672.4211421431016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5269.0838378546532</v>
      </c>
      <c r="J16" s="1" t="s">
        <v>20</v>
      </c>
      <c r="K16">
        <f ca="1">_xlfn.STDEV.S(K3:K12)</f>
        <v>6352.698789089146</v>
      </c>
      <c r="R16" s="1" t="s">
        <v>20</v>
      </c>
      <c r="S16">
        <f ca="1">_xlfn.STDEV.S(S3:S12)</f>
        <v>8377.803851924522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3D1D-5C07-EE46-AF6F-44D01F7060CD}">
  <dimension ref="B1:AA17"/>
  <sheetViews>
    <sheetView zoomScale="118" zoomScaleNormal="120" workbookViewId="0">
      <selection activeCell="A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-0.11754996672968686</v>
      </c>
      <c r="T2" s="1" t="s">
        <v>19</v>
      </c>
      <c r="X2" s="1" t="e">
        <f>(X14-P14)/P14</f>
        <v>#DIV/0!</v>
      </c>
      <c r="Z2" s="1">
        <f>(Z14-R14)/R14</f>
        <v>0.52508824944560939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147</v>
      </c>
      <c r="D4" s="23">
        <v>56960.942322013332</v>
      </c>
      <c r="E4" s="33">
        <v>2.641977125000039</v>
      </c>
      <c r="F4" s="5">
        <v>2</v>
      </c>
      <c r="G4" s="23">
        <v>75</v>
      </c>
      <c r="H4" s="33">
        <v>0</v>
      </c>
      <c r="I4" s="23">
        <v>17.037899444558633</v>
      </c>
      <c r="J4" s="5">
        <v>979.50645848438705</v>
      </c>
      <c r="K4" s="31" t="e">
        <f>(D4-$D$15)/$D$15</f>
        <v>#DIV/0!</v>
      </c>
      <c r="L4" s="23">
        <v>68257.913804877986</v>
      </c>
      <c r="M4" s="33">
        <v>3.8155994169974292</v>
      </c>
      <c r="N4" s="5">
        <v>3</v>
      </c>
      <c r="O4" s="5">
        <v>70</v>
      </c>
      <c r="P4" s="33">
        <v>0</v>
      </c>
      <c r="Q4" s="5">
        <v>10.552735203433587</v>
      </c>
      <c r="R4" s="5">
        <v>776.00640481398386</v>
      </c>
      <c r="S4" s="42"/>
      <c r="T4" s="23">
        <v>60798.17490211402</v>
      </c>
      <c r="U4" s="33">
        <v>2.4235445840022289</v>
      </c>
      <c r="V4" s="5">
        <v>2</v>
      </c>
      <c r="W4" s="5">
        <v>75</v>
      </c>
      <c r="X4" s="33">
        <v>3.0540687100621962</v>
      </c>
      <c r="Y4" s="5">
        <v>35.61369014091467</v>
      </c>
      <c r="Z4" s="5">
        <v>1471.4712684326189</v>
      </c>
      <c r="AA4" s="42"/>
    </row>
    <row r="5" spans="2:27" x14ac:dyDescent="0.2">
      <c r="B5" s="4">
        <v>2</v>
      </c>
      <c r="C5" s="4">
        <v>186</v>
      </c>
      <c r="D5" s="23">
        <v>56502.026834024262</v>
      </c>
      <c r="E5" s="33">
        <v>5.2139203330000328</v>
      </c>
      <c r="F5" s="5">
        <v>3</v>
      </c>
      <c r="G5" s="23">
        <v>90</v>
      </c>
      <c r="H5" s="33">
        <v>0</v>
      </c>
      <c r="I5" s="23">
        <v>14.087195634032918</v>
      </c>
      <c r="J5" s="5">
        <v>1093.3688277079839</v>
      </c>
      <c r="K5" s="31" t="e">
        <f>(D5-$D$15)/$D$15</f>
        <v>#DIV/0!</v>
      </c>
      <c r="L5" s="23">
        <v>67172.682133116468</v>
      </c>
      <c r="M5" s="33">
        <v>4.7783064159993964</v>
      </c>
      <c r="N5" s="5">
        <v>3</v>
      </c>
      <c r="O5" s="5">
        <v>75</v>
      </c>
      <c r="P5" s="33">
        <v>0</v>
      </c>
      <c r="Q5" s="5">
        <v>10.877063331728451</v>
      </c>
      <c r="R5" s="5">
        <v>964.84335838763366</v>
      </c>
      <c r="S5" s="42"/>
      <c r="T5" s="23">
        <v>63387.4942505504</v>
      </c>
      <c r="U5" s="33">
        <v>5.0050922920017911</v>
      </c>
      <c r="V5" s="5">
        <v>3</v>
      </c>
      <c r="W5" s="5">
        <v>90</v>
      </c>
      <c r="X5" s="33">
        <v>9.4854571530492358</v>
      </c>
      <c r="Y5" s="5">
        <v>29.040122068006401</v>
      </c>
      <c r="Z5" s="5">
        <v>1704.6044568560617</v>
      </c>
      <c r="AA5" s="42"/>
    </row>
    <row r="6" spans="2:27" x14ac:dyDescent="0.2">
      <c r="B6" s="4">
        <v>3</v>
      </c>
      <c r="C6" s="4">
        <v>299</v>
      </c>
      <c r="D6" s="23">
        <v>56502.026834024262</v>
      </c>
      <c r="E6" s="33">
        <v>5.289394707999918</v>
      </c>
      <c r="F6" s="5">
        <v>3</v>
      </c>
      <c r="G6" s="23">
        <v>90</v>
      </c>
      <c r="H6" s="33">
        <v>0</v>
      </c>
      <c r="I6" s="23">
        <v>14.087195634032918</v>
      </c>
      <c r="J6" s="5">
        <v>1093.3688277079839</v>
      </c>
      <c r="K6" s="31" t="e">
        <f t="shared" ref="K6:K13" si="0">(D6-$D$15)/$D$15</f>
        <v>#DIV/0!</v>
      </c>
      <c r="L6" s="23">
        <v>67172.682133116468</v>
      </c>
      <c r="M6" s="33">
        <v>4.8082547079975484</v>
      </c>
      <c r="N6" s="5">
        <v>3</v>
      </c>
      <c r="O6" s="5">
        <v>75</v>
      </c>
      <c r="P6" s="33">
        <v>0</v>
      </c>
      <c r="Q6" s="5">
        <v>10.877063331728451</v>
      </c>
      <c r="R6" s="5">
        <v>964.84335838763366</v>
      </c>
      <c r="S6" s="42"/>
      <c r="T6" s="23">
        <v>63387.4942505504</v>
      </c>
      <c r="U6" s="33">
        <v>5.0934464169986313</v>
      </c>
      <c r="V6" s="5">
        <v>3</v>
      </c>
      <c r="W6" s="5">
        <v>90</v>
      </c>
      <c r="X6" s="33">
        <v>9.4854571530492358</v>
      </c>
      <c r="Y6" s="5">
        <v>29.040122068006401</v>
      </c>
      <c r="Z6" s="5">
        <v>1704.6044568560617</v>
      </c>
      <c r="AA6" s="42"/>
    </row>
    <row r="7" spans="2:27" x14ac:dyDescent="0.2">
      <c r="B7" s="4">
        <v>4</v>
      </c>
      <c r="C7" s="4">
        <v>384</v>
      </c>
      <c r="D7" s="23">
        <v>56502.026834024262</v>
      </c>
      <c r="E7" s="33">
        <v>5.3404975000000832</v>
      </c>
      <c r="F7" s="5">
        <v>3</v>
      </c>
      <c r="G7" s="23">
        <v>90</v>
      </c>
      <c r="H7" s="33">
        <v>0</v>
      </c>
      <c r="I7" s="23">
        <v>14.087195634032918</v>
      </c>
      <c r="J7" s="5">
        <v>1093.3688277079839</v>
      </c>
      <c r="K7" s="31" t="e">
        <f t="shared" si="0"/>
        <v>#DIV/0!</v>
      </c>
      <c r="L7" s="23">
        <v>67172.682133116468</v>
      </c>
      <c r="M7" s="33">
        <v>4.756662249998044</v>
      </c>
      <c r="N7" s="5">
        <v>3</v>
      </c>
      <c r="O7" s="5">
        <v>75</v>
      </c>
      <c r="P7" s="33">
        <v>0</v>
      </c>
      <c r="Q7" s="5">
        <v>10.877063331728451</v>
      </c>
      <c r="R7" s="5">
        <v>964.84335838763366</v>
      </c>
      <c r="S7" s="42"/>
      <c r="T7" s="23">
        <v>63387.4942505504</v>
      </c>
      <c r="U7" s="33">
        <v>5.1166804169988609</v>
      </c>
      <c r="V7" s="5">
        <v>3</v>
      </c>
      <c r="W7" s="5">
        <v>90</v>
      </c>
      <c r="X7" s="33">
        <v>9.4854571530492358</v>
      </c>
      <c r="Y7" s="5">
        <v>29.040122068006401</v>
      </c>
      <c r="Z7" s="5">
        <v>1704.6044568560617</v>
      </c>
      <c r="AA7" s="42"/>
    </row>
    <row r="8" spans="2:27" x14ac:dyDescent="0.2">
      <c r="B8" s="4">
        <v>5</v>
      </c>
      <c r="C8" s="4">
        <v>458</v>
      </c>
      <c r="D8" s="23">
        <v>56502.026834024262</v>
      </c>
      <c r="E8" s="33">
        <v>5.9002886250000302</v>
      </c>
      <c r="F8" s="5">
        <v>3</v>
      </c>
      <c r="G8" s="23">
        <v>90</v>
      </c>
      <c r="H8" s="33">
        <v>0</v>
      </c>
      <c r="I8" s="23">
        <v>14.087195634032918</v>
      </c>
      <c r="J8" s="5">
        <v>1093.3688277079839</v>
      </c>
      <c r="K8" s="31" t="e">
        <f t="shared" si="0"/>
        <v>#DIV/0!</v>
      </c>
      <c r="L8" s="23">
        <v>67172.682133116468</v>
      </c>
      <c r="M8" s="33">
        <v>4.9034861250002004</v>
      </c>
      <c r="N8" s="5">
        <v>3</v>
      </c>
      <c r="O8" s="5">
        <v>75</v>
      </c>
      <c r="P8" s="33">
        <v>0</v>
      </c>
      <c r="Q8" s="5">
        <v>10.877063331728451</v>
      </c>
      <c r="R8" s="5">
        <v>964.84335838763366</v>
      </c>
      <c r="S8" s="42"/>
      <c r="T8" s="23">
        <v>63387.4942505504</v>
      </c>
      <c r="U8" s="33">
        <v>5.1555215410007804</v>
      </c>
      <c r="V8" s="5">
        <v>3</v>
      </c>
      <c r="W8" s="5">
        <v>90</v>
      </c>
      <c r="X8" s="33">
        <v>9.4854571530492358</v>
      </c>
      <c r="Y8" s="5">
        <v>29.040122068006401</v>
      </c>
      <c r="Z8" s="5">
        <v>1704.6044568560617</v>
      </c>
      <c r="AA8" s="42"/>
    </row>
    <row r="9" spans="2:27" x14ac:dyDescent="0.2">
      <c r="B9" s="4">
        <v>6</v>
      </c>
      <c r="C9" s="4">
        <v>575</v>
      </c>
      <c r="D9" s="23">
        <v>68755.979469116748</v>
      </c>
      <c r="E9" s="33">
        <v>2.140442665999899</v>
      </c>
      <c r="F9" s="5">
        <v>2</v>
      </c>
      <c r="G9" s="23">
        <v>60</v>
      </c>
      <c r="H9" s="33">
        <v>0</v>
      </c>
      <c r="I9" s="23">
        <v>11.93624269009814</v>
      </c>
      <c r="J9" s="5">
        <v>885.65528327987056</v>
      </c>
      <c r="K9" s="31" t="e">
        <f t="shared" si="0"/>
        <v>#DIV/0!</v>
      </c>
      <c r="L9" s="23">
        <v>76685.065838061462</v>
      </c>
      <c r="M9" s="33">
        <v>3.686424625000654</v>
      </c>
      <c r="N9" s="5">
        <v>3</v>
      </c>
      <c r="O9" s="5">
        <v>60</v>
      </c>
      <c r="P9" s="33">
        <v>0</v>
      </c>
      <c r="Q9" s="5">
        <v>8.2986145577241555</v>
      </c>
      <c r="R9" s="5">
        <v>718.03190581657555</v>
      </c>
      <c r="S9" s="42"/>
      <c r="T9" s="23">
        <v>71609.593100664817</v>
      </c>
      <c r="U9" s="33">
        <v>2.3058929170001652</v>
      </c>
      <c r="V9" s="5">
        <v>2</v>
      </c>
      <c r="W9" s="5">
        <v>60</v>
      </c>
      <c r="X9" s="33">
        <v>0</v>
      </c>
      <c r="Y9" s="5">
        <v>27.321421800206238</v>
      </c>
      <c r="Z9" s="5">
        <v>1392.1009000145252</v>
      </c>
      <c r="AA9" s="42"/>
    </row>
    <row r="10" spans="2:27" x14ac:dyDescent="0.2">
      <c r="B10" s="4">
        <v>7</v>
      </c>
      <c r="C10" s="4">
        <v>665</v>
      </c>
      <c r="D10" s="23">
        <v>56502.026834024262</v>
      </c>
      <c r="E10" s="33">
        <v>5.3485129160001179</v>
      </c>
      <c r="F10" s="5">
        <v>3</v>
      </c>
      <c r="G10" s="23">
        <v>90</v>
      </c>
      <c r="H10" s="33">
        <v>0</v>
      </c>
      <c r="I10" s="23">
        <v>14.087195634032918</v>
      </c>
      <c r="J10" s="5">
        <v>1093.3688277079839</v>
      </c>
      <c r="K10" s="31" t="e">
        <f t="shared" si="0"/>
        <v>#DIV/0!</v>
      </c>
      <c r="L10" s="23">
        <v>67172.682133116468</v>
      </c>
      <c r="M10" s="33">
        <v>4.9541726669995114</v>
      </c>
      <c r="N10" s="5">
        <v>3</v>
      </c>
      <c r="O10" s="5">
        <v>75</v>
      </c>
      <c r="P10" s="33">
        <v>0</v>
      </c>
      <c r="Q10" s="5">
        <v>10.877063331728451</v>
      </c>
      <c r="R10" s="5">
        <v>964.84335838763366</v>
      </c>
      <c r="S10" s="42"/>
      <c r="T10" s="23">
        <v>63387.4942505504</v>
      </c>
      <c r="U10" s="33">
        <v>5.293841375001648</v>
      </c>
      <c r="V10" s="5">
        <v>3</v>
      </c>
      <c r="W10" s="5">
        <v>90</v>
      </c>
      <c r="X10" s="33">
        <v>9.4854571530492358</v>
      </c>
      <c r="Y10" s="5">
        <v>29.040122068006401</v>
      </c>
      <c r="Z10" s="5">
        <v>1704.6044568560617</v>
      </c>
      <c r="AA10" s="42"/>
    </row>
    <row r="11" spans="2:27" x14ac:dyDescent="0.2">
      <c r="B11" s="4">
        <v>8</v>
      </c>
      <c r="C11" s="4">
        <v>717</v>
      </c>
      <c r="D11" s="23">
        <v>56502.026834024262</v>
      </c>
      <c r="E11" s="33">
        <v>5.6182234589998643</v>
      </c>
      <c r="F11" s="5">
        <v>3</v>
      </c>
      <c r="G11" s="23">
        <v>90</v>
      </c>
      <c r="H11" s="33">
        <v>0</v>
      </c>
      <c r="I11" s="23">
        <v>14.087195634032918</v>
      </c>
      <c r="J11" s="5">
        <v>1093.3688277079839</v>
      </c>
      <c r="K11" s="31" t="e">
        <f t="shared" si="0"/>
        <v>#DIV/0!</v>
      </c>
      <c r="L11" s="23">
        <v>68257.913804877986</v>
      </c>
      <c r="M11" s="33">
        <v>4.3147222910010896</v>
      </c>
      <c r="N11" s="5">
        <v>3</v>
      </c>
      <c r="O11" s="5">
        <v>70</v>
      </c>
      <c r="P11" s="33">
        <v>0</v>
      </c>
      <c r="Q11" s="5">
        <v>10.552735203433587</v>
      </c>
      <c r="R11" s="5">
        <v>776.00640481398386</v>
      </c>
      <c r="S11" s="42"/>
      <c r="T11" s="23">
        <v>63387.4942505504</v>
      </c>
      <c r="U11" s="33">
        <v>5.3055089160006901</v>
      </c>
      <c r="V11" s="5">
        <v>3</v>
      </c>
      <c r="W11" s="5">
        <v>90</v>
      </c>
      <c r="X11" s="33">
        <v>9.4854571530492358</v>
      </c>
      <c r="Y11" s="5">
        <v>29.040122068006401</v>
      </c>
      <c r="Z11" s="5">
        <v>1704.6044568560617</v>
      </c>
      <c r="AA11" s="42"/>
    </row>
    <row r="12" spans="2:27" x14ac:dyDescent="0.2">
      <c r="B12" s="4">
        <v>9</v>
      </c>
      <c r="C12" s="4">
        <v>855</v>
      </c>
      <c r="D12" s="23">
        <v>68755.979469116748</v>
      </c>
      <c r="E12" s="33">
        <v>2.307094916999858</v>
      </c>
      <c r="F12" s="5">
        <v>2</v>
      </c>
      <c r="G12" s="23">
        <v>60</v>
      </c>
      <c r="H12" s="33">
        <v>0</v>
      </c>
      <c r="I12" s="23">
        <v>11.93624269009814</v>
      </c>
      <c r="J12" s="5">
        <v>885.65528327987056</v>
      </c>
      <c r="K12" s="31" t="e">
        <f t="shared" si="0"/>
        <v>#DIV/0!</v>
      </c>
      <c r="L12" s="23">
        <v>76685.065838061462</v>
      </c>
      <c r="M12" s="33">
        <v>3.7187874580013158</v>
      </c>
      <c r="N12" s="5">
        <v>3</v>
      </c>
      <c r="O12" s="5">
        <v>60</v>
      </c>
      <c r="P12" s="33">
        <v>0</v>
      </c>
      <c r="Q12" s="5">
        <v>8.2986145577241555</v>
      </c>
      <c r="R12" s="5">
        <v>718.03190581657555</v>
      </c>
      <c r="S12" s="42"/>
      <c r="T12" s="23">
        <v>71609.593100664817</v>
      </c>
      <c r="U12" s="33">
        <v>2.3602289999980708</v>
      </c>
      <c r="V12" s="5">
        <v>2</v>
      </c>
      <c r="W12" s="5">
        <v>60</v>
      </c>
      <c r="X12" s="33">
        <v>0</v>
      </c>
      <c r="Y12" s="5">
        <v>27.321421800206238</v>
      </c>
      <c r="Z12" s="5">
        <v>1392.1009000145252</v>
      </c>
      <c r="AA12" s="42"/>
    </row>
    <row r="13" spans="2:27" x14ac:dyDescent="0.2">
      <c r="B13" s="4">
        <v>10</v>
      </c>
      <c r="C13" s="4">
        <v>982</v>
      </c>
      <c r="D13" s="23">
        <v>56502.026834024262</v>
      </c>
      <c r="E13" s="33">
        <v>5.3679359999998724</v>
      </c>
      <c r="F13" s="5">
        <v>3</v>
      </c>
      <c r="G13" s="23">
        <v>90</v>
      </c>
      <c r="H13" s="33">
        <v>0</v>
      </c>
      <c r="I13" s="23">
        <v>14.087195634032918</v>
      </c>
      <c r="J13" s="5">
        <v>1093.3688277079839</v>
      </c>
      <c r="K13" s="31" t="e">
        <f t="shared" si="0"/>
        <v>#DIV/0!</v>
      </c>
      <c r="L13" s="23">
        <v>67172.682133116468</v>
      </c>
      <c r="M13" s="33">
        <v>4.9728067500000179</v>
      </c>
      <c r="N13" s="5">
        <v>3</v>
      </c>
      <c r="O13" s="5">
        <v>75</v>
      </c>
      <c r="P13" s="33">
        <v>0</v>
      </c>
      <c r="Q13" s="5">
        <v>10.877063331728451</v>
      </c>
      <c r="R13" s="5">
        <v>964.84335838763366</v>
      </c>
      <c r="S13" s="42"/>
      <c r="T13" s="23">
        <v>63387.4942505504</v>
      </c>
      <c r="U13" s="33">
        <v>5.3126337079993391</v>
      </c>
      <c r="V13" s="5">
        <v>3</v>
      </c>
      <c r="W13" s="5">
        <v>90</v>
      </c>
      <c r="X13" s="33">
        <v>9.4854571530492358</v>
      </c>
      <c r="Y13" s="5">
        <v>29.040122068006401</v>
      </c>
      <c r="Z13" s="5">
        <v>1704.6044568560617</v>
      </c>
      <c r="AA13" s="42"/>
    </row>
    <row r="14" spans="2:27" x14ac:dyDescent="0.2">
      <c r="B14" s="46" t="s">
        <v>3</v>
      </c>
      <c r="C14" s="47"/>
      <c r="D14" s="9">
        <f>MIN(D4:D13)</f>
        <v>56502.026834024262</v>
      </c>
      <c r="E14" s="22">
        <f>INDEX(E4:E13, MATCH($D$14, D4:D13, 0))</f>
        <v>5.2139203330000328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14.087195634032918</v>
      </c>
      <c r="J14" s="22">
        <f>INDEX(J4:J13, MATCH($D$14, D4:D13, 0))</f>
        <v>1093.3688277079839</v>
      </c>
      <c r="K14" s="32" t="e">
        <f>(D14-$D$15)/$D$15</f>
        <v>#DIV/0!</v>
      </c>
      <c r="L14" s="16">
        <f>MIN(L4:L13)</f>
        <v>67172.682133116468</v>
      </c>
      <c r="M14" s="21">
        <f>INDEX(M4:M13, MATCH($L$14, L4:L13, 0))</f>
        <v>4.7783064159993964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10.877063331728451</v>
      </c>
      <c r="R14" s="21">
        <f>INDEX(R4:R13, MATCH($L$14, L4:L13, 0))</f>
        <v>964.84335838763366</v>
      </c>
      <c r="S14" s="43" t="e">
        <f>(L14-$D$15)/$D$15</f>
        <v>#DIV/0!</v>
      </c>
      <c r="T14" s="38">
        <f>MIN(T4:T13)</f>
        <v>60798.17490211402</v>
      </c>
      <c r="U14" s="44">
        <f>INDEX(U4:U13, MATCH($T$14, T4:T13, 0))</f>
        <v>2.4235445840022289</v>
      </c>
      <c r="V14" s="38">
        <f>INDEX(V4:V13, MATCH($T$14, T4:T13, 0))</f>
        <v>2</v>
      </c>
      <c r="W14" s="38">
        <f>INDEX(W4:W13, MATCH($T$14, T4:T13, 0))</f>
        <v>75</v>
      </c>
      <c r="X14" s="44">
        <f>INDEX(X4:X13, MATCH($T$14, T4:T13, 0))</f>
        <v>3.0540687100621962</v>
      </c>
      <c r="Y14" s="44">
        <f>INDEX(Y4:Y13, MATCH($T$14, T4:T13, 0))</f>
        <v>35.61369014091467</v>
      </c>
      <c r="Z14" s="44">
        <f>INDEX(Z4:Z13, MATCH($T$14, T4:T13, 0))</f>
        <v>1471.4712684326189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3"/>
    <cfRule type="duplicateValues" dxfId="88" priority="4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DD79-79AE-774C-9F0D-CF29576C93E0}">
  <dimension ref="B1:AA17"/>
  <sheetViews>
    <sheetView topLeftCell="H1" zoomScale="118" zoomScaleNormal="120" workbookViewId="0">
      <selection activeCell="H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-0.7995415429086361</v>
      </c>
      <c r="J2" s="28" t="e">
        <f>(S14-J14)/J14</f>
        <v>#DIV/0!</v>
      </c>
      <c r="K2" s="28"/>
      <c r="L2" s="1" t="s">
        <v>18</v>
      </c>
      <c r="P2" s="1">
        <f>(P14-H14)/H14</f>
        <v>-0.8201187531662284</v>
      </c>
      <c r="R2" s="1">
        <f>(R14-J14)/J14</f>
        <v>-0.24608772489407835</v>
      </c>
      <c r="T2" s="1" t="s">
        <v>19</v>
      </c>
      <c r="X2" s="1">
        <f>(X14-P14)/P14</f>
        <v>8.6320421802296483</v>
      </c>
      <c r="Z2" s="1">
        <f>(Z14-R14)/R14</f>
        <v>0.3798734232419248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169</v>
      </c>
      <c r="D4" s="23">
        <v>69081.278097380797</v>
      </c>
      <c r="E4" s="33">
        <v>3.231522083000073</v>
      </c>
      <c r="F4" s="5">
        <v>2</v>
      </c>
      <c r="G4" s="23">
        <v>80</v>
      </c>
      <c r="H4" s="33">
        <v>68.786488968384191</v>
      </c>
      <c r="I4" s="23">
        <v>22.290864533455924</v>
      </c>
      <c r="J4" s="5">
        <v>1912.2270210119955</v>
      </c>
      <c r="K4" s="31" t="e">
        <f>(D4-$D$15)/$D$15</f>
        <v>#DIV/0!</v>
      </c>
      <c r="L4" s="23">
        <v>95167.770640364368</v>
      </c>
      <c r="M4" s="33">
        <v>2.9955887079995591</v>
      </c>
      <c r="N4" s="5">
        <v>2</v>
      </c>
      <c r="O4" s="5">
        <v>30</v>
      </c>
      <c r="P4" s="33">
        <v>0</v>
      </c>
      <c r="Q4" s="5">
        <v>7.5886885850653947</v>
      </c>
      <c r="R4" s="5">
        <v>1027.1084268684253</v>
      </c>
      <c r="S4" s="42"/>
      <c r="T4" s="23">
        <v>85303.860551245714</v>
      </c>
      <c r="U4" s="33">
        <v>2.9411721249998659</v>
      </c>
      <c r="V4" s="5">
        <v>2</v>
      </c>
      <c r="W4" s="5">
        <v>55</v>
      </c>
      <c r="X4" s="33">
        <v>119.1811049427828</v>
      </c>
      <c r="Y4" s="5">
        <v>25.225285716182334</v>
      </c>
      <c r="Z4" s="5">
        <v>1989.2964854601225</v>
      </c>
      <c r="AA4" s="42"/>
    </row>
    <row r="5" spans="2:27" x14ac:dyDescent="0.2">
      <c r="B5" s="4">
        <v>2</v>
      </c>
      <c r="C5" s="4">
        <v>304</v>
      </c>
      <c r="D5" s="23">
        <v>69081.278097380797</v>
      </c>
      <c r="E5" s="33">
        <v>3.0297407500002009</v>
      </c>
      <c r="F5" s="5">
        <v>2</v>
      </c>
      <c r="G5" s="23">
        <v>80</v>
      </c>
      <c r="H5" s="33">
        <v>68.786488968384191</v>
      </c>
      <c r="I5" s="23">
        <v>22.290864533455924</v>
      </c>
      <c r="J5" s="5">
        <v>1912.2270210119955</v>
      </c>
      <c r="K5" s="31" t="e">
        <f>(D5-$D$15)/$D$15</f>
        <v>#DIV/0!</v>
      </c>
      <c r="L5" s="23">
        <v>81984.877367326466</v>
      </c>
      <c r="M5" s="33">
        <v>4.9945911249997152</v>
      </c>
      <c r="N5" s="5">
        <v>3</v>
      </c>
      <c r="O5" s="5">
        <v>65</v>
      </c>
      <c r="P5" s="33">
        <v>10.4697994931119</v>
      </c>
      <c r="Q5" s="5">
        <v>9.7928079725648463</v>
      </c>
      <c r="R5" s="5">
        <v>1402.4150490733277</v>
      </c>
      <c r="S5" s="42"/>
      <c r="T5" s="23">
        <v>85303.860551245714</v>
      </c>
      <c r="U5" s="33">
        <v>3.0721152919977608</v>
      </c>
      <c r="V5" s="5">
        <v>2</v>
      </c>
      <c r="W5" s="5">
        <v>55</v>
      </c>
      <c r="X5" s="33">
        <v>119.1811049427828</v>
      </c>
      <c r="Y5" s="5">
        <v>25.225285716182334</v>
      </c>
      <c r="Z5" s="5">
        <v>1989.2964854601225</v>
      </c>
      <c r="AA5" s="42"/>
    </row>
    <row r="6" spans="2:27" x14ac:dyDescent="0.2">
      <c r="B6" s="4">
        <v>3</v>
      </c>
      <c r="C6" s="4">
        <v>315</v>
      </c>
      <c r="D6" s="23">
        <v>69081.278097380797</v>
      </c>
      <c r="E6" s="33">
        <v>3.0526287080001571</v>
      </c>
      <c r="F6" s="5">
        <v>2</v>
      </c>
      <c r="G6" s="23">
        <v>80</v>
      </c>
      <c r="H6" s="33">
        <v>68.786488968384191</v>
      </c>
      <c r="I6" s="23">
        <v>22.290864533455924</v>
      </c>
      <c r="J6" s="5">
        <v>1912.2270210119955</v>
      </c>
      <c r="K6" s="31" t="e">
        <f t="shared" ref="K6:K13" si="0">(D6-$D$15)/$D$15</f>
        <v>#DIV/0!</v>
      </c>
      <c r="L6" s="23">
        <v>81984.877367326466</v>
      </c>
      <c r="M6" s="33">
        <v>5.0488526250010182</v>
      </c>
      <c r="N6" s="5">
        <v>3</v>
      </c>
      <c r="O6" s="5">
        <v>65</v>
      </c>
      <c r="P6" s="33">
        <v>10.4697994931119</v>
      </c>
      <c r="Q6" s="5">
        <v>9.7928079725648463</v>
      </c>
      <c r="R6" s="5">
        <v>1402.4150490733277</v>
      </c>
      <c r="S6" s="42"/>
      <c r="T6" s="23">
        <v>85303.860551245714</v>
      </c>
      <c r="U6" s="33">
        <v>3.079227666999941</v>
      </c>
      <c r="V6" s="5">
        <v>2</v>
      </c>
      <c r="W6" s="5">
        <v>55</v>
      </c>
      <c r="X6" s="33">
        <v>119.1811049427828</v>
      </c>
      <c r="Y6" s="5">
        <v>25.225285716182334</v>
      </c>
      <c r="Z6" s="5">
        <v>1989.2964854601225</v>
      </c>
      <c r="AA6" s="42"/>
    </row>
    <row r="7" spans="2:27" x14ac:dyDescent="0.2">
      <c r="B7" s="4">
        <v>4</v>
      </c>
      <c r="C7" s="4">
        <v>337</v>
      </c>
      <c r="D7" s="23">
        <v>69081.278097380797</v>
      </c>
      <c r="E7" s="33">
        <v>3.0667847500003518</v>
      </c>
      <c r="F7" s="5">
        <v>2</v>
      </c>
      <c r="G7" s="23">
        <v>80</v>
      </c>
      <c r="H7" s="33">
        <v>68.786488968384191</v>
      </c>
      <c r="I7" s="23">
        <v>22.290864533455924</v>
      </c>
      <c r="J7" s="5">
        <v>1912.2270210119955</v>
      </c>
      <c r="K7" s="31" t="e">
        <f t="shared" si="0"/>
        <v>#DIV/0!</v>
      </c>
      <c r="L7" s="23">
        <v>81984.877367326466</v>
      </c>
      <c r="M7" s="33">
        <v>4.972536166998907</v>
      </c>
      <c r="N7" s="5">
        <v>3</v>
      </c>
      <c r="O7" s="5">
        <v>65</v>
      </c>
      <c r="P7" s="33">
        <v>10.4697994931119</v>
      </c>
      <c r="Q7" s="5">
        <v>9.7928079725648463</v>
      </c>
      <c r="R7" s="5">
        <v>1402.4150490733277</v>
      </c>
      <c r="S7" s="42"/>
      <c r="T7" s="23">
        <v>85303.860551245714</v>
      </c>
      <c r="U7" s="33">
        <v>2.8050804590020562</v>
      </c>
      <c r="V7" s="5">
        <v>2</v>
      </c>
      <c r="W7" s="5">
        <v>55</v>
      </c>
      <c r="X7" s="33">
        <v>119.1811049427828</v>
      </c>
      <c r="Y7" s="5">
        <v>25.225285716182334</v>
      </c>
      <c r="Z7" s="5">
        <v>1989.2964854601225</v>
      </c>
      <c r="AA7" s="42"/>
    </row>
    <row r="8" spans="2:27" x14ac:dyDescent="0.2">
      <c r="B8" s="4">
        <v>5</v>
      </c>
      <c r="C8" s="4">
        <v>517</v>
      </c>
      <c r="D8" s="23">
        <v>69081.278097380797</v>
      </c>
      <c r="E8" s="33">
        <v>3.0100484169997799</v>
      </c>
      <c r="F8" s="5">
        <v>2</v>
      </c>
      <c r="G8" s="23">
        <v>80</v>
      </c>
      <c r="H8" s="33">
        <v>68.786488968384191</v>
      </c>
      <c r="I8" s="23">
        <v>22.290864533455924</v>
      </c>
      <c r="J8" s="5">
        <v>1912.2270210119955</v>
      </c>
      <c r="K8" s="31" t="e">
        <f t="shared" si="0"/>
        <v>#DIV/0!</v>
      </c>
      <c r="L8" s="23">
        <v>81984.877367326466</v>
      </c>
      <c r="M8" s="33">
        <v>4.9655233750017942</v>
      </c>
      <c r="N8" s="5">
        <v>3</v>
      </c>
      <c r="O8" s="5">
        <v>65</v>
      </c>
      <c r="P8" s="33">
        <v>10.4697994931119</v>
      </c>
      <c r="Q8" s="5">
        <v>9.7928079725648463</v>
      </c>
      <c r="R8" s="5">
        <v>1402.4150490733277</v>
      </c>
      <c r="S8" s="42"/>
      <c r="T8" s="23">
        <v>85303.860551245714</v>
      </c>
      <c r="U8" s="33">
        <v>2.8125158749971888</v>
      </c>
      <c r="V8" s="5">
        <v>2</v>
      </c>
      <c r="W8" s="5">
        <v>55</v>
      </c>
      <c r="X8" s="33">
        <v>119.1811049427828</v>
      </c>
      <c r="Y8" s="5">
        <v>25.225285716182334</v>
      </c>
      <c r="Z8" s="5">
        <v>1989.2964854601225</v>
      </c>
      <c r="AA8" s="42"/>
    </row>
    <row r="9" spans="2:27" x14ac:dyDescent="0.2">
      <c r="B9" s="4">
        <v>6</v>
      </c>
      <c r="C9" s="4">
        <v>540</v>
      </c>
      <c r="D9" s="23">
        <v>69081.278097380797</v>
      </c>
      <c r="E9" s="33">
        <v>3.0731903340001741</v>
      </c>
      <c r="F9" s="5">
        <v>2</v>
      </c>
      <c r="G9" s="23">
        <v>80</v>
      </c>
      <c r="H9" s="33">
        <v>68.786488968384191</v>
      </c>
      <c r="I9" s="23">
        <v>22.290864533455924</v>
      </c>
      <c r="J9" s="5">
        <v>1912.2270210119955</v>
      </c>
      <c r="K9" s="31" t="e">
        <f t="shared" si="0"/>
        <v>#DIV/0!</v>
      </c>
      <c r="L9" s="23">
        <v>81984.877367326466</v>
      </c>
      <c r="M9" s="33">
        <v>5.0467615420020593</v>
      </c>
      <c r="N9" s="5">
        <v>3</v>
      </c>
      <c r="O9" s="5">
        <v>65</v>
      </c>
      <c r="P9" s="33">
        <v>10.4697994931119</v>
      </c>
      <c r="Q9" s="5">
        <v>9.7928079725648463</v>
      </c>
      <c r="R9" s="5">
        <v>1402.4150490733277</v>
      </c>
      <c r="S9" s="42"/>
      <c r="T9" s="23">
        <v>85303.860551245714</v>
      </c>
      <c r="U9" s="33">
        <v>2.8233486669996641</v>
      </c>
      <c r="V9" s="5">
        <v>2</v>
      </c>
      <c r="W9" s="5">
        <v>55</v>
      </c>
      <c r="X9" s="33">
        <v>119.1811049427828</v>
      </c>
      <c r="Y9" s="5">
        <v>25.225285716182334</v>
      </c>
      <c r="Z9" s="5">
        <v>1989.2964854601225</v>
      </c>
      <c r="AA9" s="42"/>
    </row>
    <row r="10" spans="2:27" x14ac:dyDescent="0.2">
      <c r="B10" s="4">
        <v>7</v>
      </c>
      <c r="C10" s="4">
        <v>552</v>
      </c>
      <c r="D10" s="23">
        <v>69081.278097380797</v>
      </c>
      <c r="E10" s="33">
        <v>3.0962649580001198</v>
      </c>
      <c r="F10" s="5">
        <v>2</v>
      </c>
      <c r="G10" s="23">
        <v>80</v>
      </c>
      <c r="H10" s="33">
        <v>68.786488968384191</v>
      </c>
      <c r="I10" s="23">
        <v>22.290864533455924</v>
      </c>
      <c r="J10" s="5">
        <v>1912.2270210119955</v>
      </c>
      <c r="K10" s="31" t="e">
        <f t="shared" si="0"/>
        <v>#DIV/0!</v>
      </c>
      <c r="L10" s="23">
        <v>81984.877367326466</v>
      </c>
      <c r="M10" s="33">
        <v>5.1736773749980776</v>
      </c>
      <c r="N10" s="5">
        <v>3</v>
      </c>
      <c r="O10" s="5">
        <v>65</v>
      </c>
      <c r="P10" s="33">
        <v>10.4697994931119</v>
      </c>
      <c r="Q10" s="5">
        <v>9.7928079725648463</v>
      </c>
      <c r="R10" s="5">
        <v>1402.4150490733277</v>
      </c>
      <c r="S10" s="42"/>
      <c r="T10" s="23">
        <v>85303.860551245714</v>
      </c>
      <c r="U10" s="33">
        <v>2.84703308400276</v>
      </c>
      <c r="V10" s="5">
        <v>2</v>
      </c>
      <c r="W10" s="5">
        <v>55</v>
      </c>
      <c r="X10" s="33">
        <v>119.1811049427828</v>
      </c>
      <c r="Y10" s="5">
        <v>25.225285716182334</v>
      </c>
      <c r="Z10" s="5">
        <v>1989.2964854601225</v>
      </c>
      <c r="AA10" s="42"/>
    </row>
    <row r="11" spans="2:27" x14ac:dyDescent="0.2">
      <c r="B11" s="4">
        <v>8</v>
      </c>
      <c r="C11" s="4">
        <v>583</v>
      </c>
      <c r="D11" s="23">
        <v>69081.278097380797</v>
      </c>
      <c r="E11" s="33">
        <v>3.0802347499998182</v>
      </c>
      <c r="F11" s="5">
        <v>2</v>
      </c>
      <c r="G11" s="23">
        <v>80</v>
      </c>
      <c r="H11" s="33">
        <v>68.786488968384191</v>
      </c>
      <c r="I11" s="23">
        <v>22.290864533455924</v>
      </c>
      <c r="J11" s="5">
        <v>1912.2270210119955</v>
      </c>
      <c r="K11" s="31" t="e">
        <f t="shared" si="0"/>
        <v>#DIV/0!</v>
      </c>
      <c r="L11" s="23">
        <v>80129.507444753355</v>
      </c>
      <c r="M11" s="33">
        <v>3.3094012500005192</v>
      </c>
      <c r="N11" s="5">
        <v>2</v>
      </c>
      <c r="O11" s="5">
        <v>55</v>
      </c>
      <c r="P11" s="33">
        <v>12.373399400950428</v>
      </c>
      <c r="Q11" s="5">
        <v>13.788833447334421</v>
      </c>
      <c r="R11" s="5">
        <v>1441.6514239301725</v>
      </c>
      <c r="S11" s="42"/>
      <c r="T11" s="23">
        <v>85303.860551245714</v>
      </c>
      <c r="U11" s="33">
        <v>2.8070751250015751</v>
      </c>
      <c r="V11" s="5">
        <v>2</v>
      </c>
      <c r="W11" s="5">
        <v>55</v>
      </c>
      <c r="X11" s="33">
        <v>119.1811049427828</v>
      </c>
      <c r="Y11" s="5">
        <v>25.225285716182334</v>
      </c>
      <c r="Z11" s="5">
        <v>1989.2964854601225</v>
      </c>
      <c r="AA11" s="42"/>
    </row>
    <row r="12" spans="2:27" x14ac:dyDescent="0.2">
      <c r="B12" s="4">
        <v>9</v>
      </c>
      <c r="C12" s="4">
        <v>826</v>
      </c>
      <c r="D12" s="23">
        <v>69081.278097380797</v>
      </c>
      <c r="E12" s="33">
        <v>3.0423080420000592</v>
      </c>
      <c r="F12" s="5">
        <v>2</v>
      </c>
      <c r="G12" s="23">
        <v>80</v>
      </c>
      <c r="H12" s="33">
        <v>68.786488968384191</v>
      </c>
      <c r="I12" s="23">
        <v>22.290864533455924</v>
      </c>
      <c r="J12" s="5">
        <v>1912.2270210119955</v>
      </c>
      <c r="K12" s="31" t="e">
        <f t="shared" si="0"/>
        <v>#DIV/0!</v>
      </c>
      <c r="L12" s="23">
        <v>81984.877367326466</v>
      </c>
      <c r="M12" s="33">
        <v>5.020455582998693</v>
      </c>
      <c r="N12" s="5">
        <v>3</v>
      </c>
      <c r="O12" s="5">
        <v>65</v>
      </c>
      <c r="P12" s="33">
        <v>10.4697994931119</v>
      </c>
      <c r="Q12" s="5">
        <v>9.7928079725648463</v>
      </c>
      <c r="R12" s="5">
        <v>1402.4150490733277</v>
      </c>
      <c r="S12" s="42"/>
      <c r="T12" s="23">
        <v>85303.860551245714</v>
      </c>
      <c r="U12" s="33">
        <v>2.797206374998495</v>
      </c>
      <c r="V12" s="5">
        <v>2</v>
      </c>
      <c r="W12" s="5">
        <v>55</v>
      </c>
      <c r="X12" s="33">
        <v>119.1811049427828</v>
      </c>
      <c r="Y12" s="5">
        <v>25.225285716182334</v>
      </c>
      <c r="Z12" s="5">
        <v>1989.2964854601225</v>
      </c>
      <c r="AA12" s="42"/>
    </row>
    <row r="13" spans="2:27" x14ac:dyDescent="0.2">
      <c r="B13" s="4">
        <v>10</v>
      </c>
      <c r="C13" s="4">
        <v>980</v>
      </c>
      <c r="D13" s="23">
        <v>69081.278097380797</v>
      </c>
      <c r="E13" s="33">
        <v>3.031918000000132</v>
      </c>
      <c r="F13" s="5">
        <v>2</v>
      </c>
      <c r="G13" s="23">
        <v>80</v>
      </c>
      <c r="H13" s="33">
        <v>68.786488968384191</v>
      </c>
      <c r="I13" s="23">
        <v>22.290864533455924</v>
      </c>
      <c r="J13" s="5">
        <v>1912.2270210119955</v>
      </c>
      <c r="K13" s="31" t="e">
        <f t="shared" si="0"/>
        <v>#DIV/0!</v>
      </c>
      <c r="L13" s="23">
        <v>81984.877367326466</v>
      </c>
      <c r="M13" s="33">
        <v>5.0092582500001299</v>
      </c>
      <c r="N13" s="5">
        <v>3</v>
      </c>
      <c r="O13" s="5">
        <v>65</v>
      </c>
      <c r="P13" s="33">
        <v>10.4697994931119</v>
      </c>
      <c r="Q13" s="5">
        <v>9.7928079725648463</v>
      </c>
      <c r="R13" s="5">
        <v>1402.4150490733277</v>
      </c>
      <c r="S13" s="42"/>
      <c r="T13" s="23">
        <v>85303.860551245714</v>
      </c>
      <c r="U13" s="33">
        <v>2.8223839589991262</v>
      </c>
      <c r="V13" s="5">
        <v>2</v>
      </c>
      <c r="W13" s="5">
        <v>55</v>
      </c>
      <c r="X13" s="33">
        <v>119.1811049427828</v>
      </c>
      <c r="Y13" s="5">
        <v>25.225285716182334</v>
      </c>
      <c r="Z13" s="5">
        <v>1989.2964854601225</v>
      </c>
      <c r="AA13" s="42"/>
    </row>
    <row r="14" spans="2:27" x14ac:dyDescent="0.2">
      <c r="B14" s="46" t="s">
        <v>3</v>
      </c>
      <c r="C14" s="47"/>
      <c r="D14" s="9">
        <f>MIN(D4:D13)</f>
        <v>69081.278097380797</v>
      </c>
      <c r="E14" s="22">
        <f>INDEX(E4:E13, MATCH($D$14, D4:D13, 0))</f>
        <v>3.231522083000073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68.786488968384191</v>
      </c>
      <c r="I14" s="22">
        <f>INDEX(I4:I13, MATCH($D$14, D4:D13, 0))</f>
        <v>22.290864533455924</v>
      </c>
      <c r="J14" s="22">
        <f>INDEX(J4:J13, MATCH($D$14, D4:D13, 0))</f>
        <v>1912.2270210119955</v>
      </c>
      <c r="K14" s="32" t="e">
        <f>(D14-$D$15)/$D$15</f>
        <v>#DIV/0!</v>
      </c>
      <c r="L14" s="16">
        <f>MIN(L4:L13)</f>
        <v>80129.507444753355</v>
      </c>
      <c r="M14" s="21">
        <f>INDEX(M4:M13, MATCH($L$14, L4:L13, 0))</f>
        <v>3.3094012500005192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12.373399400950428</v>
      </c>
      <c r="Q14" s="21">
        <f>INDEX(Q4:Q13, MATCH($L$14, L4:L13, 0))</f>
        <v>13.788833447334421</v>
      </c>
      <c r="R14" s="21">
        <f>INDEX(R4:R13, MATCH($L$14, L4:L13, 0))</f>
        <v>1441.6514239301725</v>
      </c>
      <c r="S14" s="43" t="e">
        <f>(L14-$D$15)/$D$15</f>
        <v>#DIV/0!</v>
      </c>
      <c r="T14" s="38">
        <f>MIN(T4:T13)</f>
        <v>85303.860551245714</v>
      </c>
      <c r="U14" s="44">
        <f>INDEX(U4:U13, MATCH($T$14, T4:T13, 0))</f>
        <v>2.9411721249998659</v>
      </c>
      <c r="V14" s="38">
        <f>INDEX(V4:V13, MATCH($T$14, T4:T13, 0))</f>
        <v>2</v>
      </c>
      <c r="W14" s="38">
        <f>INDEX(W4:W13, MATCH($T$14, T4:T13, 0))</f>
        <v>55</v>
      </c>
      <c r="X14" s="44">
        <f>INDEX(X4:X13, MATCH($T$14, T4:T13, 0))</f>
        <v>119.1811049427828</v>
      </c>
      <c r="Y14" s="44">
        <f>INDEX(Y4:Y13, MATCH($T$14, T4:T13, 0))</f>
        <v>25.225285716182334</v>
      </c>
      <c r="Z14" s="44">
        <f>INDEX(Z4:Z13, MATCH($T$14, T4:T13, 0))</f>
        <v>1989.2964854601225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15:C28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46EA-E662-FB47-A1B2-ED735F27B7AD}">
  <dimension ref="B1:AA17"/>
  <sheetViews>
    <sheetView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0.22042060923963272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-0.218433977944823</v>
      </c>
      <c r="T2" s="1" t="s">
        <v>19</v>
      </c>
      <c r="X2" s="1" t="e">
        <f>(X14-P14)/P14</f>
        <v>#DIV/0!</v>
      </c>
      <c r="Z2" s="1">
        <f>(Z14-R14)/R14</f>
        <v>0.62726937342684863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582</v>
      </c>
      <c r="D4" s="23">
        <v>65509.34561354958</v>
      </c>
      <c r="E4" s="33">
        <v>2.535859666999841</v>
      </c>
      <c r="F4" s="5">
        <v>2</v>
      </c>
      <c r="G4" s="23">
        <v>70</v>
      </c>
      <c r="H4" s="33">
        <v>13.768091536766793</v>
      </c>
      <c r="I4" s="23">
        <v>24.059672546809395</v>
      </c>
      <c r="J4" s="5">
        <v>1413.7864903912246</v>
      </c>
      <c r="K4" s="31" t="e">
        <f>(D4-$D$15)/$D$15</f>
        <v>#DIV/0!</v>
      </c>
      <c r="L4" s="23">
        <v>78541.95003493379</v>
      </c>
      <c r="M4" s="33">
        <v>3.750545999999304</v>
      </c>
      <c r="N4" s="5">
        <v>3</v>
      </c>
      <c r="O4" s="5">
        <v>60</v>
      </c>
      <c r="P4" s="33">
        <v>0</v>
      </c>
      <c r="Q4" s="5">
        <v>13.745004532395159</v>
      </c>
      <c r="R4" s="5">
        <v>1031.8778705846814</v>
      </c>
      <c r="S4" s="42"/>
      <c r="T4" s="23">
        <v>71750.462339689548</v>
      </c>
      <c r="U4" s="33">
        <v>2.655760790999921</v>
      </c>
      <c r="V4" s="5">
        <v>2</v>
      </c>
      <c r="W4" s="5">
        <v>65</v>
      </c>
      <c r="X4" s="33">
        <v>45.89464260322687</v>
      </c>
      <c r="Y4" s="5">
        <v>39.41959583779078</v>
      </c>
      <c r="Z4" s="5">
        <v>1798.0797442561329</v>
      </c>
      <c r="AA4" s="42"/>
    </row>
    <row r="5" spans="2:27" x14ac:dyDescent="0.2">
      <c r="B5" s="4">
        <v>2</v>
      </c>
      <c r="C5" s="4">
        <v>258</v>
      </c>
      <c r="D5" s="23">
        <v>66010.173406761925</v>
      </c>
      <c r="E5" s="33">
        <v>2.5686137500001678</v>
      </c>
      <c r="F5" s="5">
        <v>2</v>
      </c>
      <c r="G5" s="23">
        <v>70</v>
      </c>
      <c r="H5" s="33">
        <v>13.768091536766793</v>
      </c>
      <c r="I5" s="23">
        <v>24.165025030241637</v>
      </c>
      <c r="J5" s="5">
        <v>1449.2897754183527</v>
      </c>
      <c r="K5" s="31" t="e">
        <f>(D5-$D$15)/$D$15</f>
        <v>#DIV/0!</v>
      </c>
      <c r="L5" s="23">
        <v>78541.95003493379</v>
      </c>
      <c r="M5" s="33">
        <v>3.730660958000954</v>
      </c>
      <c r="N5" s="5">
        <v>3</v>
      </c>
      <c r="O5" s="5">
        <v>60</v>
      </c>
      <c r="P5" s="33">
        <v>0</v>
      </c>
      <c r="Q5" s="5">
        <v>13.745004532395159</v>
      </c>
      <c r="R5" s="5">
        <v>1031.8778705846814</v>
      </c>
      <c r="S5" s="42"/>
      <c r="T5" s="23">
        <v>72690.330088649614</v>
      </c>
      <c r="U5" s="33">
        <v>2.621778166998411</v>
      </c>
      <c r="V5" s="5">
        <v>2</v>
      </c>
      <c r="W5" s="5">
        <v>65</v>
      </c>
      <c r="X5" s="33">
        <v>45.89464260322687</v>
      </c>
      <c r="Y5" s="5">
        <v>39.653731369327687</v>
      </c>
      <c r="Z5" s="5">
        <v>1870.3650816383636</v>
      </c>
      <c r="AA5" s="42"/>
    </row>
    <row r="6" spans="2:27" x14ac:dyDescent="0.2">
      <c r="B6" s="4">
        <v>3</v>
      </c>
      <c r="C6" s="4">
        <v>317</v>
      </c>
      <c r="D6" s="23">
        <v>69511.32198439198</v>
      </c>
      <c r="E6" s="33">
        <v>5.2873574160003054</v>
      </c>
      <c r="F6" s="5">
        <v>3</v>
      </c>
      <c r="G6" s="23">
        <v>85</v>
      </c>
      <c r="H6" s="33">
        <v>49.153324505316078</v>
      </c>
      <c r="I6" s="23">
        <v>17.669123268198305</v>
      </c>
      <c r="J6" s="5">
        <v>1674.3997320071944</v>
      </c>
      <c r="K6" s="31" t="e">
        <f t="shared" ref="K6:K13" si="0">(D6-$D$15)/$D$15</f>
        <v>#DIV/0!</v>
      </c>
      <c r="L6" s="23">
        <v>78161.839657414035</v>
      </c>
      <c r="M6" s="33">
        <v>4.8639583339972887</v>
      </c>
      <c r="N6" s="5">
        <v>3</v>
      </c>
      <c r="O6" s="5">
        <v>70</v>
      </c>
      <c r="P6" s="33">
        <v>43.700411761639543</v>
      </c>
      <c r="Q6" s="5">
        <v>15.33531014337189</v>
      </c>
      <c r="R6" s="5">
        <v>1562.0866469545358</v>
      </c>
      <c r="S6" s="42"/>
      <c r="T6" s="23">
        <v>78583.15218397908</v>
      </c>
      <c r="U6" s="33">
        <v>4.7423999169986928</v>
      </c>
      <c r="V6" s="5">
        <v>3</v>
      </c>
      <c r="W6" s="5">
        <v>75</v>
      </c>
      <c r="X6" s="33">
        <v>132.06747432960546</v>
      </c>
      <c r="Y6" s="5">
        <v>27.397056381979677</v>
      </c>
      <c r="Z6" s="5">
        <v>1971.340718236914</v>
      </c>
      <c r="AA6" s="42"/>
    </row>
    <row r="7" spans="2:27" x14ac:dyDescent="0.2">
      <c r="B7" s="4">
        <v>4</v>
      </c>
      <c r="C7" s="4">
        <v>429</v>
      </c>
      <c r="D7" s="23">
        <v>66010.173406761925</v>
      </c>
      <c r="E7" s="33">
        <v>2.4937325839996451</v>
      </c>
      <c r="F7" s="5">
        <v>2</v>
      </c>
      <c r="G7" s="23">
        <v>70</v>
      </c>
      <c r="H7" s="33">
        <v>13.768091536766793</v>
      </c>
      <c r="I7" s="23">
        <v>24.165025030241637</v>
      </c>
      <c r="J7" s="5">
        <v>1449.2897754183527</v>
      </c>
      <c r="K7" s="31" t="e">
        <f t="shared" si="0"/>
        <v>#DIV/0!</v>
      </c>
      <c r="L7" s="23">
        <v>78541.95003493379</v>
      </c>
      <c r="M7" s="33">
        <v>3.7316517079998448</v>
      </c>
      <c r="N7" s="5">
        <v>3</v>
      </c>
      <c r="O7" s="5">
        <v>60</v>
      </c>
      <c r="P7" s="33">
        <v>0</v>
      </c>
      <c r="Q7" s="5">
        <v>13.745004532395159</v>
      </c>
      <c r="R7" s="5">
        <v>1031.8778705846814</v>
      </c>
      <c r="S7" s="42"/>
      <c r="T7" s="23">
        <v>72690.330088649614</v>
      </c>
      <c r="U7" s="33">
        <v>2.6466336250014142</v>
      </c>
      <c r="V7" s="5">
        <v>2</v>
      </c>
      <c r="W7" s="5">
        <v>65</v>
      </c>
      <c r="X7" s="33">
        <v>45.89464260322687</v>
      </c>
      <c r="Y7" s="5">
        <v>39.653731369327687</v>
      </c>
      <c r="Z7" s="5">
        <v>1870.3650816383636</v>
      </c>
      <c r="AA7" s="42"/>
    </row>
    <row r="8" spans="2:27" x14ac:dyDescent="0.2">
      <c r="B8" s="4">
        <v>5</v>
      </c>
      <c r="C8" s="4">
        <v>385</v>
      </c>
      <c r="D8" s="23">
        <v>66010.173406761925</v>
      </c>
      <c r="E8" s="33">
        <v>2.1842354999998861</v>
      </c>
      <c r="F8" s="5">
        <v>2</v>
      </c>
      <c r="G8" s="23">
        <v>70</v>
      </c>
      <c r="H8" s="33">
        <v>13.768091536766793</v>
      </c>
      <c r="I8" s="23">
        <v>24.165025030241637</v>
      </c>
      <c r="J8" s="5">
        <v>1449.2897754183527</v>
      </c>
      <c r="K8" s="31" t="e">
        <f t="shared" si="0"/>
        <v>#DIV/0!</v>
      </c>
      <c r="L8" s="23">
        <v>78541.95003493379</v>
      </c>
      <c r="M8" s="33">
        <v>3.7069037080000271</v>
      </c>
      <c r="N8" s="5">
        <v>3</v>
      </c>
      <c r="O8" s="5">
        <v>60</v>
      </c>
      <c r="P8" s="33">
        <v>0</v>
      </c>
      <c r="Q8" s="5">
        <v>13.745004532395159</v>
      </c>
      <c r="R8" s="5">
        <v>1031.8778705846814</v>
      </c>
      <c r="S8" s="42"/>
      <c r="T8" s="23">
        <v>72690.330088649614</v>
      </c>
      <c r="U8" s="33">
        <v>2.603407874998084</v>
      </c>
      <c r="V8" s="5">
        <v>2</v>
      </c>
      <c r="W8" s="5">
        <v>65</v>
      </c>
      <c r="X8" s="33">
        <v>45.89464260322687</v>
      </c>
      <c r="Y8" s="5">
        <v>39.653731369327687</v>
      </c>
      <c r="Z8" s="5">
        <v>1870.3650816383636</v>
      </c>
      <c r="AA8" s="42"/>
    </row>
    <row r="9" spans="2:27" x14ac:dyDescent="0.2">
      <c r="B9" s="4">
        <v>6</v>
      </c>
      <c r="C9" s="4">
        <v>891</v>
      </c>
      <c r="D9" s="23">
        <v>65509.34561354958</v>
      </c>
      <c r="E9" s="33">
        <v>2.4341167919997129</v>
      </c>
      <c r="F9" s="5">
        <v>2</v>
      </c>
      <c r="G9" s="23">
        <v>70</v>
      </c>
      <c r="H9" s="33">
        <v>13.768091536766793</v>
      </c>
      <c r="I9" s="23">
        <v>24.059672546809395</v>
      </c>
      <c r="J9" s="5">
        <v>1413.7864903912246</v>
      </c>
      <c r="K9" s="31" t="e">
        <f t="shared" si="0"/>
        <v>#DIV/0!</v>
      </c>
      <c r="L9" s="23">
        <v>77710.915123754952</v>
      </c>
      <c r="M9" s="33">
        <v>5.6618310829981056</v>
      </c>
      <c r="N9" s="5">
        <v>2</v>
      </c>
      <c r="O9" s="5">
        <v>50</v>
      </c>
      <c r="P9" s="33">
        <v>0</v>
      </c>
      <c r="Q9" s="5">
        <v>16.802862661367961</v>
      </c>
      <c r="R9" s="5">
        <v>1104.9674833304191</v>
      </c>
      <c r="S9" s="42"/>
      <c r="T9" s="23">
        <v>71750.462339689548</v>
      </c>
      <c r="U9" s="33">
        <v>2.59370566600046</v>
      </c>
      <c r="V9" s="5">
        <v>2</v>
      </c>
      <c r="W9" s="5">
        <v>65</v>
      </c>
      <c r="X9" s="33">
        <v>45.89464260322687</v>
      </c>
      <c r="Y9" s="5">
        <v>39.41959583779078</v>
      </c>
      <c r="Z9" s="5">
        <v>1798.0797442561329</v>
      </c>
      <c r="AA9" s="42"/>
    </row>
    <row r="10" spans="2:27" x14ac:dyDescent="0.2">
      <c r="B10" s="4">
        <v>7</v>
      </c>
      <c r="C10" s="4">
        <v>599</v>
      </c>
      <c r="D10" s="23">
        <v>65509.34561354958</v>
      </c>
      <c r="E10" s="33">
        <v>2.4824247500000638</v>
      </c>
      <c r="F10" s="5">
        <v>2</v>
      </c>
      <c r="G10" s="23">
        <v>70</v>
      </c>
      <c r="H10" s="33">
        <v>13.768091536766793</v>
      </c>
      <c r="I10" s="23">
        <v>24.059672546809395</v>
      </c>
      <c r="J10" s="5">
        <v>1413.7864903912246</v>
      </c>
      <c r="K10" s="31" t="e">
        <f t="shared" si="0"/>
        <v>#DIV/0!</v>
      </c>
      <c r="L10" s="23">
        <v>78541.95003493379</v>
      </c>
      <c r="M10" s="33">
        <v>3.696822207999503</v>
      </c>
      <c r="N10" s="5">
        <v>3</v>
      </c>
      <c r="O10" s="5">
        <v>60</v>
      </c>
      <c r="P10" s="33">
        <v>0</v>
      </c>
      <c r="Q10" s="5">
        <v>13.745004532395159</v>
      </c>
      <c r="R10" s="5">
        <v>1031.8778705846814</v>
      </c>
      <c r="S10" s="42"/>
      <c r="T10" s="23">
        <v>71750.462339689548</v>
      </c>
      <c r="U10" s="33">
        <v>2.5529561250004922</v>
      </c>
      <c r="V10" s="5">
        <v>2</v>
      </c>
      <c r="W10" s="5">
        <v>65</v>
      </c>
      <c r="X10" s="33">
        <v>45.89464260322687</v>
      </c>
      <c r="Y10" s="5">
        <v>39.41959583779078</v>
      </c>
      <c r="Z10" s="5">
        <v>1798.0797442561329</v>
      </c>
      <c r="AA10" s="42"/>
    </row>
    <row r="11" spans="2:27" x14ac:dyDescent="0.2">
      <c r="B11" s="4">
        <v>8</v>
      </c>
      <c r="C11" s="4">
        <v>877</v>
      </c>
      <c r="D11" s="23">
        <v>66010.173406761925</v>
      </c>
      <c r="E11" s="33">
        <v>2.436476583999593</v>
      </c>
      <c r="F11" s="5">
        <v>2</v>
      </c>
      <c r="G11" s="23">
        <v>70</v>
      </c>
      <c r="H11" s="33">
        <v>13.768091536766793</v>
      </c>
      <c r="I11" s="23">
        <v>24.165025030241637</v>
      </c>
      <c r="J11" s="5">
        <v>1449.2897754183527</v>
      </c>
      <c r="K11" s="31" t="e">
        <f t="shared" si="0"/>
        <v>#DIV/0!</v>
      </c>
      <c r="L11" s="23">
        <v>78712.97808566867</v>
      </c>
      <c r="M11" s="33">
        <v>4.3183253329989384</v>
      </c>
      <c r="N11" s="5">
        <v>3</v>
      </c>
      <c r="O11" s="5">
        <v>65</v>
      </c>
      <c r="P11" s="33">
        <v>0</v>
      </c>
      <c r="Q11" s="5">
        <v>14.349762770240908</v>
      </c>
      <c r="R11" s="5">
        <v>1334.3273668669437</v>
      </c>
      <c r="S11" s="42"/>
      <c r="T11" s="23">
        <v>71750.462339689548</v>
      </c>
      <c r="U11" s="33">
        <v>2.6051342499995371</v>
      </c>
      <c r="V11" s="5">
        <v>2</v>
      </c>
      <c r="W11" s="5">
        <v>65</v>
      </c>
      <c r="X11" s="33">
        <v>45.89464260322687</v>
      </c>
      <c r="Y11" s="5">
        <v>39.41959583779078</v>
      </c>
      <c r="Z11" s="5">
        <v>1798.0797442561329</v>
      </c>
      <c r="AA11" s="42"/>
    </row>
    <row r="12" spans="2:27" x14ac:dyDescent="0.2">
      <c r="B12" s="4">
        <v>9</v>
      </c>
      <c r="C12" s="4">
        <v>826</v>
      </c>
      <c r="D12" s="23">
        <v>66010.173406761925</v>
      </c>
      <c r="E12" s="33">
        <v>2.5470007919998352</v>
      </c>
      <c r="F12" s="5">
        <v>2</v>
      </c>
      <c r="G12" s="23">
        <v>70</v>
      </c>
      <c r="H12" s="33">
        <v>13.768091536766793</v>
      </c>
      <c r="I12" s="23">
        <v>24.165025030241637</v>
      </c>
      <c r="J12" s="5">
        <v>1449.2897754183527</v>
      </c>
      <c r="K12" s="31" t="e">
        <f t="shared" si="0"/>
        <v>#DIV/0!</v>
      </c>
      <c r="L12" s="23">
        <v>78541.95003493379</v>
      </c>
      <c r="M12" s="33">
        <v>3.739399750000302</v>
      </c>
      <c r="N12" s="5">
        <v>3</v>
      </c>
      <c r="O12" s="5">
        <v>60</v>
      </c>
      <c r="P12" s="33">
        <v>0</v>
      </c>
      <c r="Q12" s="5">
        <v>13.745004532395159</v>
      </c>
      <c r="R12" s="5">
        <v>1031.8778705846814</v>
      </c>
      <c r="S12" s="42"/>
      <c r="T12" s="23">
        <v>71750.462339689548</v>
      </c>
      <c r="U12" s="33">
        <v>3.283127874998172</v>
      </c>
      <c r="V12" s="5">
        <v>2</v>
      </c>
      <c r="W12" s="5">
        <v>65</v>
      </c>
      <c r="X12" s="33">
        <v>45.89464260322687</v>
      </c>
      <c r="Y12" s="5">
        <v>39.41959583779078</v>
      </c>
      <c r="Z12" s="5">
        <v>1798.0797442561329</v>
      </c>
      <c r="AA12" s="42"/>
    </row>
    <row r="13" spans="2:27" x14ac:dyDescent="0.2">
      <c r="B13" s="4">
        <v>10</v>
      </c>
      <c r="C13" s="4">
        <v>968</v>
      </c>
      <c r="D13" s="23">
        <v>65509.34561354958</v>
      </c>
      <c r="E13" s="33">
        <v>2.5688956250000961</v>
      </c>
      <c r="F13" s="5">
        <v>2</v>
      </c>
      <c r="G13" s="23">
        <v>70</v>
      </c>
      <c r="H13" s="33">
        <v>13.768091536766793</v>
      </c>
      <c r="I13" s="23">
        <v>24.059672546809395</v>
      </c>
      <c r="J13" s="5">
        <v>1413.7864903912246</v>
      </c>
      <c r="K13" s="31" t="e">
        <f t="shared" si="0"/>
        <v>#DIV/0!</v>
      </c>
      <c r="L13" s="23">
        <v>78712.97808566867</v>
      </c>
      <c r="M13" s="33">
        <v>4.3907909999979893</v>
      </c>
      <c r="N13" s="5">
        <v>3</v>
      </c>
      <c r="O13" s="5">
        <v>65</v>
      </c>
      <c r="P13" s="33">
        <v>0</v>
      </c>
      <c r="Q13" s="5">
        <v>14.349762770240908</v>
      </c>
      <c r="R13" s="5">
        <v>1334.3273668669437</v>
      </c>
      <c r="S13" s="42"/>
      <c r="T13" s="23">
        <v>71750.462339689548</v>
      </c>
      <c r="U13" s="33">
        <v>2.5951702080019459</v>
      </c>
      <c r="V13" s="5">
        <v>2</v>
      </c>
      <c r="W13" s="5">
        <v>65</v>
      </c>
      <c r="X13" s="33">
        <v>45.89464260322687</v>
      </c>
      <c r="Y13" s="5">
        <v>39.41959583779078</v>
      </c>
      <c r="Z13" s="5">
        <v>1798.0797442561329</v>
      </c>
      <c r="AA13" s="42"/>
    </row>
    <row r="14" spans="2:27" x14ac:dyDescent="0.2">
      <c r="B14" s="46" t="s">
        <v>3</v>
      </c>
      <c r="C14" s="47"/>
      <c r="D14" s="9">
        <f>MIN(D4:D13)</f>
        <v>65509.34561354958</v>
      </c>
      <c r="E14" s="22">
        <f>INDEX(E4:E13, MATCH($D$14, D4:D13, 0))</f>
        <v>2.535859666999841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13.768091536766793</v>
      </c>
      <c r="I14" s="22">
        <f>INDEX(I4:I13, MATCH($D$14, D4:D13, 0))</f>
        <v>24.059672546809395</v>
      </c>
      <c r="J14" s="22">
        <f>INDEX(J4:J13, MATCH($D$14, D4:D13, 0))</f>
        <v>1413.7864903912246</v>
      </c>
      <c r="K14" s="32" t="e">
        <f>(D14-$D$15)/$D$15</f>
        <v>#DIV/0!</v>
      </c>
      <c r="L14" s="16">
        <f>MIN(L4:L13)</f>
        <v>77710.915123754952</v>
      </c>
      <c r="M14" s="21">
        <f>INDEX(M4:M13, MATCH($L$14, L4:L13, 0))</f>
        <v>5.6618310829981056</v>
      </c>
      <c r="N14" s="16">
        <f>INDEX(N4:N13, MATCH($L$14, L4:L13, 0))</f>
        <v>2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16.802862661367961</v>
      </c>
      <c r="R14" s="21">
        <f>INDEX(R4:R13, MATCH($L$14, L4:L13, 0))</f>
        <v>1104.9674833304191</v>
      </c>
      <c r="S14" s="43" t="e">
        <f>(L14-$D$15)/$D$15</f>
        <v>#DIV/0!</v>
      </c>
      <c r="T14" s="38">
        <f>MIN(T4:T13)</f>
        <v>71750.462339689548</v>
      </c>
      <c r="U14" s="44">
        <f>INDEX(U4:U13, MATCH($T$14, T4:T13, 0))</f>
        <v>2.655760790999921</v>
      </c>
      <c r="V14" s="38">
        <f>INDEX(V4:V13, MATCH($T$14, T4:T13, 0))</f>
        <v>2</v>
      </c>
      <c r="W14" s="38">
        <f>INDEX(W4:W13, MATCH($T$14, T4:T13, 0))</f>
        <v>65</v>
      </c>
      <c r="X14" s="44">
        <f>INDEX(X4:X13, MATCH($T$14, T4:T13, 0))</f>
        <v>45.89464260322687</v>
      </c>
      <c r="Y14" s="44">
        <f>INDEX(Y4:Y13, MATCH($T$14, T4:T13, 0))</f>
        <v>39.41959583779078</v>
      </c>
      <c r="Z14" s="44">
        <f>INDEX(Z4:Z13, MATCH($T$14, T4:T13, 0))</f>
        <v>1798.0797442561329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1" priority="3"/>
    <cfRule type="duplicateValues" dxfId="80" priority="4"/>
  </conditionalFormatting>
  <conditionalFormatting sqref="C29:C1048576 C1:C13">
    <cfRule type="duplicateValues" dxfId="79" priority="5"/>
    <cfRule type="duplicateValues" dxfId="78" priority="6"/>
  </conditionalFormatting>
  <conditionalFormatting sqref="C15:C28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B6CA-3420-1242-982F-8F1F0DFAAA97}">
  <dimension ref="B1:AA17"/>
  <sheetViews>
    <sheetView topLeftCell="J1" zoomScale="118" zoomScaleNormal="120" workbookViewId="0">
      <selection activeCell="J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-0.15821330156844063</v>
      </c>
      <c r="T2" s="1" t="s">
        <v>19</v>
      </c>
      <c r="X2" s="1" t="e">
        <f>(X14-P14)/P14</f>
        <v>#DIV/0!</v>
      </c>
      <c r="Z2" s="1">
        <f>(Z14-R14)/R14</f>
        <v>0.60184982554776456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20</v>
      </c>
      <c r="D4" s="23">
        <v>52644.290452569359</v>
      </c>
      <c r="E4" s="33">
        <v>4.6779512920002162</v>
      </c>
      <c r="F4" s="5">
        <v>3</v>
      </c>
      <c r="G4" s="23">
        <v>95</v>
      </c>
      <c r="H4" s="33">
        <v>0</v>
      </c>
      <c r="I4" s="23">
        <v>14.834486978384499</v>
      </c>
      <c r="J4" s="5">
        <v>1062.407800372667</v>
      </c>
      <c r="K4" s="31" t="e">
        <f>(D4-$D$15)/$D$15</f>
        <v>#DIV/0!</v>
      </c>
      <c r="L4" s="23">
        <v>70714.337136845556</v>
      </c>
      <c r="M4" s="33">
        <v>4.5489607499985141</v>
      </c>
      <c r="N4" s="5">
        <v>3</v>
      </c>
      <c r="O4" s="5">
        <v>70</v>
      </c>
      <c r="P4" s="33">
        <v>0</v>
      </c>
      <c r="Q4" s="5">
        <v>9.4096739542909571</v>
      </c>
      <c r="R4" s="5">
        <v>894.32075466364256</v>
      </c>
      <c r="S4" s="42"/>
      <c r="T4" s="23">
        <v>55022.879414055511</v>
      </c>
      <c r="U4" s="33">
        <v>4.5558685420000984</v>
      </c>
      <c r="V4" s="5">
        <v>3</v>
      </c>
      <c r="W4" s="5">
        <v>95</v>
      </c>
      <c r="X4" s="33">
        <v>0</v>
      </c>
      <c r="Y4" s="5">
        <v>33.303346404172942</v>
      </c>
      <c r="Z4" s="5">
        <v>1432.567544841701</v>
      </c>
      <c r="AA4" s="42"/>
    </row>
    <row r="5" spans="2:27" x14ac:dyDescent="0.2">
      <c r="B5" s="4">
        <v>2</v>
      </c>
      <c r="C5" s="4">
        <v>136</v>
      </c>
      <c r="D5" s="23">
        <v>52644.290452569359</v>
      </c>
      <c r="E5" s="33">
        <v>5.2648422500001288</v>
      </c>
      <c r="F5" s="5">
        <v>3</v>
      </c>
      <c r="G5" s="23">
        <v>95</v>
      </c>
      <c r="H5" s="33">
        <v>0</v>
      </c>
      <c r="I5" s="23">
        <v>14.834486978384499</v>
      </c>
      <c r="J5" s="5">
        <v>1062.407800372667</v>
      </c>
      <c r="K5" s="31" t="e">
        <f>(D5-$D$15)/$D$15</f>
        <v>#DIV/0!</v>
      </c>
      <c r="L5" s="23">
        <v>70714.337136845556</v>
      </c>
      <c r="M5" s="33">
        <v>4.5830382499989346</v>
      </c>
      <c r="N5" s="5">
        <v>3</v>
      </c>
      <c r="O5" s="5">
        <v>70</v>
      </c>
      <c r="P5" s="33">
        <v>0</v>
      </c>
      <c r="Q5" s="5">
        <v>9.4096739542909571</v>
      </c>
      <c r="R5" s="5">
        <v>894.32075466364256</v>
      </c>
      <c r="S5" s="42"/>
      <c r="T5" s="23">
        <v>55022.879414055511</v>
      </c>
      <c r="U5" s="33">
        <v>5.1796309169985761</v>
      </c>
      <c r="V5" s="5">
        <v>3</v>
      </c>
      <c r="W5" s="5">
        <v>95</v>
      </c>
      <c r="X5" s="33">
        <v>0</v>
      </c>
      <c r="Y5" s="5">
        <v>33.303346404172942</v>
      </c>
      <c r="Z5" s="5">
        <v>1432.567544841701</v>
      </c>
      <c r="AA5" s="42"/>
    </row>
    <row r="6" spans="2:27" x14ac:dyDescent="0.2">
      <c r="B6" s="4">
        <v>3</v>
      </c>
      <c r="C6" s="4">
        <v>142</v>
      </c>
      <c r="D6" s="23">
        <v>52644.290452569359</v>
      </c>
      <c r="E6" s="33">
        <v>5.0897590839999793</v>
      </c>
      <c r="F6" s="5">
        <v>3</v>
      </c>
      <c r="G6" s="23">
        <v>95</v>
      </c>
      <c r="H6" s="33">
        <v>0</v>
      </c>
      <c r="I6" s="23">
        <v>14.834486978384499</v>
      </c>
      <c r="J6" s="5">
        <v>1062.407800372667</v>
      </c>
      <c r="K6" s="31" t="e">
        <f t="shared" ref="K6:K13" si="0">(D6-$D$15)/$D$15</f>
        <v>#DIV/0!</v>
      </c>
      <c r="L6" s="23">
        <v>70714.337136845556</v>
      </c>
      <c r="M6" s="33">
        <v>4.6317592499981401</v>
      </c>
      <c r="N6" s="5">
        <v>3</v>
      </c>
      <c r="O6" s="5">
        <v>70</v>
      </c>
      <c r="P6" s="33">
        <v>0</v>
      </c>
      <c r="Q6" s="5">
        <v>9.4096739542909571</v>
      </c>
      <c r="R6" s="5">
        <v>894.32075466364256</v>
      </c>
      <c r="S6" s="42"/>
      <c r="T6" s="23">
        <v>55022.879414055511</v>
      </c>
      <c r="U6" s="33">
        <v>5.1273739580028632</v>
      </c>
      <c r="V6" s="5">
        <v>3</v>
      </c>
      <c r="W6" s="5">
        <v>95</v>
      </c>
      <c r="X6" s="33">
        <v>0</v>
      </c>
      <c r="Y6" s="5">
        <v>33.303346404172942</v>
      </c>
      <c r="Z6" s="5">
        <v>1432.567544841701</v>
      </c>
      <c r="AA6" s="42"/>
    </row>
    <row r="7" spans="2:27" x14ac:dyDescent="0.2">
      <c r="B7" s="4">
        <v>4</v>
      </c>
      <c r="C7" s="4">
        <v>610</v>
      </c>
      <c r="D7" s="23">
        <v>52644.290452569359</v>
      </c>
      <c r="E7" s="33">
        <v>5.2246307499999602</v>
      </c>
      <c r="F7" s="5">
        <v>3</v>
      </c>
      <c r="G7" s="23">
        <v>95</v>
      </c>
      <c r="H7" s="33">
        <v>0</v>
      </c>
      <c r="I7" s="23">
        <v>14.834486978384499</v>
      </c>
      <c r="J7" s="5">
        <v>1062.407800372667</v>
      </c>
      <c r="K7" s="31" t="e">
        <f t="shared" si="0"/>
        <v>#DIV/0!</v>
      </c>
      <c r="L7" s="23">
        <v>70714.337136845556</v>
      </c>
      <c r="M7" s="33">
        <v>4.5768967090007209</v>
      </c>
      <c r="N7" s="5">
        <v>3</v>
      </c>
      <c r="O7" s="5">
        <v>70</v>
      </c>
      <c r="P7" s="33">
        <v>0</v>
      </c>
      <c r="Q7" s="5">
        <v>9.4096739542909571</v>
      </c>
      <c r="R7" s="5">
        <v>894.32075466364256</v>
      </c>
      <c r="S7" s="42"/>
      <c r="T7" s="23">
        <v>55022.879414055511</v>
      </c>
      <c r="U7" s="33">
        <v>5.1518742919979559</v>
      </c>
      <c r="V7" s="5">
        <v>3</v>
      </c>
      <c r="W7" s="5">
        <v>95</v>
      </c>
      <c r="X7" s="33">
        <v>0</v>
      </c>
      <c r="Y7" s="5">
        <v>33.303346404172942</v>
      </c>
      <c r="Z7" s="5">
        <v>1432.567544841701</v>
      </c>
      <c r="AA7" s="42"/>
    </row>
    <row r="8" spans="2:27" x14ac:dyDescent="0.2">
      <c r="B8" s="4">
        <v>5</v>
      </c>
      <c r="C8" s="4">
        <v>845</v>
      </c>
      <c r="D8" s="23">
        <v>52644.290452569359</v>
      </c>
      <c r="E8" s="33">
        <v>5.1777592090002136</v>
      </c>
      <c r="F8" s="5">
        <v>3</v>
      </c>
      <c r="G8" s="23">
        <v>95</v>
      </c>
      <c r="H8" s="33">
        <v>0</v>
      </c>
      <c r="I8" s="23">
        <v>14.834486978384499</v>
      </c>
      <c r="J8" s="5">
        <v>1062.407800372667</v>
      </c>
      <c r="K8" s="31" t="e">
        <f t="shared" si="0"/>
        <v>#DIV/0!</v>
      </c>
      <c r="L8" s="23">
        <v>70714.337136845556</v>
      </c>
      <c r="M8" s="33">
        <v>4.6146532910024689</v>
      </c>
      <c r="N8" s="5">
        <v>3</v>
      </c>
      <c r="O8" s="5">
        <v>70</v>
      </c>
      <c r="P8" s="33">
        <v>0</v>
      </c>
      <c r="Q8" s="5">
        <v>9.4096739542909571</v>
      </c>
      <c r="R8" s="5">
        <v>894.32075466364256</v>
      </c>
      <c r="S8" s="42"/>
      <c r="T8" s="23">
        <v>55022.879414055511</v>
      </c>
      <c r="U8" s="33">
        <v>5.1649539999998524</v>
      </c>
      <c r="V8" s="5">
        <v>3</v>
      </c>
      <c r="W8" s="5">
        <v>95</v>
      </c>
      <c r="X8" s="33">
        <v>0</v>
      </c>
      <c r="Y8" s="5">
        <v>33.303346404172942</v>
      </c>
      <c r="Z8" s="5">
        <v>1432.567544841701</v>
      </c>
      <c r="AA8" s="42"/>
    </row>
    <row r="9" spans="2:27" x14ac:dyDescent="0.2">
      <c r="B9" s="4">
        <v>6</v>
      </c>
      <c r="C9" s="4">
        <v>897</v>
      </c>
      <c r="D9" s="23">
        <v>52644.290452569359</v>
      </c>
      <c r="E9" s="33">
        <v>5.3246518750001997</v>
      </c>
      <c r="F9" s="5">
        <v>3</v>
      </c>
      <c r="G9" s="23">
        <v>95</v>
      </c>
      <c r="H9" s="33">
        <v>0</v>
      </c>
      <c r="I9" s="23">
        <v>14.834486978384499</v>
      </c>
      <c r="J9" s="5">
        <v>1062.407800372667</v>
      </c>
      <c r="K9" s="31" t="e">
        <f t="shared" si="0"/>
        <v>#DIV/0!</v>
      </c>
      <c r="L9" s="23">
        <v>70714.337136845556</v>
      </c>
      <c r="M9" s="33">
        <v>4.4447729170024104</v>
      </c>
      <c r="N9" s="5">
        <v>3</v>
      </c>
      <c r="O9" s="5">
        <v>70</v>
      </c>
      <c r="P9" s="33">
        <v>0</v>
      </c>
      <c r="Q9" s="5">
        <v>9.4096739542909571</v>
      </c>
      <c r="R9" s="5">
        <v>894.32075466364256</v>
      </c>
      <c r="S9" s="42"/>
      <c r="T9" s="23">
        <v>55022.879414055511</v>
      </c>
      <c r="U9" s="33">
        <v>5.2216640420010663</v>
      </c>
      <c r="V9" s="5">
        <v>3</v>
      </c>
      <c r="W9" s="5">
        <v>95</v>
      </c>
      <c r="X9" s="33">
        <v>0</v>
      </c>
      <c r="Y9" s="5">
        <v>33.303346404172942</v>
      </c>
      <c r="Z9" s="5">
        <v>1432.567544841701</v>
      </c>
      <c r="AA9" s="42"/>
    </row>
    <row r="10" spans="2:27" x14ac:dyDescent="0.2">
      <c r="B10" s="4">
        <v>7</v>
      </c>
      <c r="C10" s="4">
        <v>975</v>
      </c>
      <c r="D10" s="23">
        <v>52644.290452569359</v>
      </c>
      <c r="E10" s="33">
        <v>5.1618106250002711</v>
      </c>
      <c r="F10" s="5">
        <v>3</v>
      </c>
      <c r="G10" s="23">
        <v>95</v>
      </c>
      <c r="H10" s="33">
        <v>0</v>
      </c>
      <c r="I10" s="23">
        <v>14.834486978384499</v>
      </c>
      <c r="J10" s="5">
        <v>1062.407800372667</v>
      </c>
      <c r="K10" s="31" t="e">
        <f t="shared" si="0"/>
        <v>#DIV/0!</v>
      </c>
      <c r="L10" s="23">
        <v>70714.337136845556</v>
      </c>
      <c r="M10" s="33">
        <v>4.4842690410005162</v>
      </c>
      <c r="N10" s="5">
        <v>3</v>
      </c>
      <c r="O10" s="5">
        <v>70</v>
      </c>
      <c r="P10" s="33">
        <v>0</v>
      </c>
      <c r="Q10" s="5">
        <v>9.4096739542909571</v>
      </c>
      <c r="R10" s="5">
        <v>894.32075466364256</v>
      </c>
      <c r="S10" s="42"/>
      <c r="T10" s="23">
        <v>55022.879414055511</v>
      </c>
      <c r="U10" s="33">
        <v>5.2507087500016496</v>
      </c>
      <c r="V10" s="5">
        <v>3</v>
      </c>
      <c r="W10" s="5">
        <v>95</v>
      </c>
      <c r="X10" s="33">
        <v>0</v>
      </c>
      <c r="Y10" s="5">
        <v>33.303346404172942</v>
      </c>
      <c r="Z10" s="5">
        <v>1432.567544841701</v>
      </c>
      <c r="AA10" s="42"/>
    </row>
    <row r="11" spans="2:27" x14ac:dyDescent="0.2">
      <c r="B11" s="4">
        <v>8</v>
      </c>
      <c r="C11" s="4">
        <v>213</v>
      </c>
      <c r="D11" s="23">
        <v>52644.290452569359</v>
      </c>
      <c r="E11" s="33">
        <v>5.211116917000254</v>
      </c>
      <c r="F11" s="5">
        <v>3</v>
      </c>
      <c r="G11" s="23">
        <v>95</v>
      </c>
      <c r="H11" s="33">
        <v>0</v>
      </c>
      <c r="I11" s="23">
        <v>14.834486978384499</v>
      </c>
      <c r="J11" s="5">
        <v>1062.407800372667</v>
      </c>
      <c r="K11" s="31" t="e">
        <f t="shared" si="0"/>
        <v>#DIV/0!</v>
      </c>
      <c r="L11" s="23">
        <v>70714.337136845556</v>
      </c>
      <c r="M11" s="33">
        <v>4.6341538339984254</v>
      </c>
      <c r="N11" s="5">
        <v>3</v>
      </c>
      <c r="O11" s="5">
        <v>70</v>
      </c>
      <c r="P11" s="33">
        <v>0</v>
      </c>
      <c r="Q11" s="5">
        <v>9.4096739542909571</v>
      </c>
      <c r="R11" s="5">
        <v>894.32075466364256</v>
      </c>
      <c r="S11" s="42"/>
      <c r="T11" s="23">
        <v>55022.879414055511</v>
      </c>
      <c r="U11" s="33">
        <v>5.2519140420008634</v>
      </c>
      <c r="V11" s="5">
        <v>3</v>
      </c>
      <c r="W11" s="5">
        <v>95</v>
      </c>
      <c r="X11" s="33">
        <v>0</v>
      </c>
      <c r="Y11" s="5">
        <v>33.303346404172942</v>
      </c>
      <c r="Z11" s="5">
        <v>1432.567544841701</v>
      </c>
      <c r="AA11" s="42"/>
    </row>
    <row r="12" spans="2:27" x14ac:dyDescent="0.2">
      <c r="B12" s="4">
        <v>9</v>
      </c>
      <c r="C12" s="4">
        <v>268</v>
      </c>
      <c r="D12" s="23">
        <v>52644.290452569359</v>
      </c>
      <c r="E12" s="33">
        <v>5.1410702080002011</v>
      </c>
      <c r="F12" s="5">
        <v>3</v>
      </c>
      <c r="G12" s="23">
        <v>95</v>
      </c>
      <c r="H12" s="33">
        <v>0</v>
      </c>
      <c r="I12" s="23">
        <v>14.834486978384499</v>
      </c>
      <c r="J12" s="5">
        <v>1062.407800372667</v>
      </c>
      <c r="K12" s="31" t="e">
        <f t="shared" si="0"/>
        <v>#DIV/0!</v>
      </c>
      <c r="L12" s="23">
        <v>70714.337136845556</v>
      </c>
      <c r="M12" s="33">
        <v>4.5847517500005779</v>
      </c>
      <c r="N12" s="5">
        <v>3</v>
      </c>
      <c r="O12" s="5">
        <v>70</v>
      </c>
      <c r="P12" s="33">
        <v>0</v>
      </c>
      <c r="Q12" s="5">
        <v>9.4096739542909571</v>
      </c>
      <c r="R12" s="5">
        <v>894.32075466364256</v>
      </c>
      <c r="S12" s="42"/>
      <c r="T12" s="23">
        <v>55022.879414055511</v>
      </c>
      <c r="U12" s="33">
        <v>5.3418789999996079</v>
      </c>
      <c r="V12" s="5">
        <v>3</v>
      </c>
      <c r="W12" s="5">
        <v>95</v>
      </c>
      <c r="X12" s="33">
        <v>0</v>
      </c>
      <c r="Y12" s="5">
        <v>33.303346404172942</v>
      </c>
      <c r="Z12" s="5">
        <v>1432.567544841701</v>
      </c>
      <c r="AA12" s="42"/>
    </row>
    <row r="13" spans="2:27" x14ac:dyDescent="0.2">
      <c r="B13" s="4">
        <v>10</v>
      </c>
      <c r="C13" s="4">
        <v>630</v>
      </c>
      <c r="D13" s="23">
        <v>52644.290452569359</v>
      </c>
      <c r="E13" s="33">
        <v>5.1634870409998257</v>
      </c>
      <c r="F13" s="5">
        <v>3</v>
      </c>
      <c r="G13" s="23">
        <v>95</v>
      </c>
      <c r="H13" s="33">
        <v>0</v>
      </c>
      <c r="I13" s="23">
        <v>14.834486978384499</v>
      </c>
      <c r="J13" s="5">
        <v>1062.407800372667</v>
      </c>
      <c r="K13" s="31" t="e">
        <f t="shared" si="0"/>
        <v>#DIV/0!</v>
      </c>
      <c r="L13" s="23">
        <v>70714.337136845556</v>
      </c>
      <c r="M13" s="33">
        <v>4.5601030830002864</v>
      </c>
      <c r="N13" s="5">
        <v>3</v>
      </c>
      <c r="O13" s="5">
        <v>70</v>
      </c>
      <c r="P13" s="33">
        <v>0</v>
      </c>
      <c r="Q13" s="5">
        <v>9.4096739542909571</v>
      </c>
      <c r="R13" s="5">
        <v>894.32075466364256</v>
      </c>
      <c r="S13" s="42"/>
      <c r="T13" s="23">
        <v>55022.879414055511</v>
      </c>
      <c r="U13" s="33">
        <v>5.3127535829989938</v>
      </c>
      <c r="V13" s="5">
        <v>3</v>
      </c>
      <c r="W13" s="5">
        <v>95</v>
      </c>
      <c r="X13" s="33">
        <v>0</v>
      </c>
      <c r="Y13" s="5">
        <v>33.303346404172942</v>
      </c>
      <c r="Z13" s="5">
        <v>1432.567544841701</v>
      </c>
      <c r="AA13" s="42"/>
    </row>
    <row r="14" spans="2:27" x14ac:dyDescent="0.2">
      <c r="B14" s="46" t="s">
        <v>3</v>
      </c>
      <c r="C14" s="47"/>
      <c r="D14" s="9">
        <f>MIN(D4:D13)</f>
        <v>52644.290452569359</v>
      </c>
      <c r="E14" s="22">
        <f>INDEX(E4:E13, MATCH($D$14, D4:D13, 0))</f>
        <v>4.6779512920002162</v>
      </c>
      <c r="F14" s="9">
        <f>INDEX(F4:F13, MATCH($D$14, D4:D13, 0))</f>
        <v>3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14.834486978384499</v>
      </c>
      <c r="J14" s="22">
        <f>INDEX(J4:J13, MATCH($D$14, D4:D13, 0))</f>
        <v>1062.407800372667</v>
      </c>
      <c r="K14" s="32" t="e">
        <f>(D14-$D$15)/$D$15</f>
        <v>#DIV/0!</v>
      </c>
      <c r="L14" s="16">
        <f>MIN(L4:L13)</f>
        <v>70714.337136845556</v>
      </c>
      <c r="M14" s="21">
        <f>INDEX(M4:M13, MATCH($L$14, L4:L13, 0))</f>
        <v>4.5489607499985141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9.4096739542909571</v>
      </c>
      <c r="R14" s="21">
        <f>INDEX(R4:R13, MATCH($L$14, L4:L13, 0))</f>
        <v>894.32075466364256</v>
      </c>
      <c r="S14" s="43" t="e">
        <f>(L14-$D$15)/$D$15</f>
        <v>#DIV/0!</v>
      </c>
      <c r="T14" s="38">
        <f>MIN(T4:T13)</f>
        <v>55022.879414055511</v>
      </c>
      <c r="U14" s="44">
        <f>INDEX(U4:U13, MATCH($T$14, T4:T13, 0))</f>
        <v>4.5558685420000984</v>
      </c>
      <c r="V14" s="38">
        <f>INDEX(V4:V13, MATCH($T$14, T4:T13, 0))</f>
        <v>3</v>
      </c>
      <c r="W14" s="38">
        <f>INDEX(W4:W13, MATCH($T$14, T4:T13, 0))</f>
        <v>95</v>
      </c>
      <c r="X14" s="44">
        <f>INDEX(X4:X13, MATCH($T$14, T4:T13, 0))</f>
        <v>0</v>
      </c>
      <c r="Y14" s="44">
        <f>INDEX(Y4:Y13, MATCH($T$14, T4:T13, 0))</f>
        <v>33.303346404172942</v>
      </c>
      <c r="Z14" s="44">
        <f>INDEX(Z4:Z13, MATCH($T$14, T4:T13, 0))</f>
        <v>1432.567544841701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2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FF15-4942-924B-B71B-D3789CBDEC2D}">
  <dimension ref="B1:AA17"/>
  <sheetViews>
    <sheetView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-6.1104213920504323E-2</v>
      </c>
      <c r="T2" s="1" t="s">
        <v>19</v>
      </c>
      <c r="X2" s="1">
        <f>(X14-P14)/P14</f>
        <v>58.965339333403051</v>
      </c>
      <c r="Z2" s="1">
        <f>(Z14-R14)/R14</f>
        <v>0.45611717026529436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15</v>
      </c>
      <c r="D4" s="23">
        <v>59889.041175590362</v>
      </c>
      <c r="E4" s="33">
        <v>3.24505845800013</v>
      </c>
      <c r="F4" s="5">
        <v>3</v>
      </c>
      <c r="G4" s="23">
        <v>90</v>
      </c>
      <c r="H4" s="33">
        <v>0</v>
      </c>
      <c r="I4" s="23">
        <v>30.681587484196626</v>
      </c>
      <c r="J4" s="5">
        <v>1533.1982523729907</v>
      </c>
      <c r="K4" s="31" t="e">
        <f>(D4-$D$15)/$D$15</f>
        <v>#DIV/0!</v>
      </c>
      <c r="L4" s="23">
        <v>72849.96262853872</v>
      </c>
      <c r="M4" s="33">
        <v>5.3744329170003766</v>
      </c>
      <c r="N4" s="5">
        <v>4</v>
      </c>
      <c r="O4" s="5">
        <v>85</v>
      </c>
      <c r="P4" s="33">
        <v>8.6169772748113669</v>
      </c>
      <c r="Q4" s="5">
        <v>21.346945255587944</v>
      </c>
      <c r="R4" s="5">
        <v>1474.7405080545559</v>
      </c>
      <c r="S4" s="42"/>
      <c r="T4" s="23">
        <v>68331.378539888203</v>
      </c>
      <c r="U4" s="33">
        <v>4.0211288339996827</v>
      </c>
      <c r="V4" s="5">
        <v>3</v>
      </c>
      <c r="W4" s="5">
        <v>85</v>
      </c>
      <c r="X4" s="33">
        <v>50.740471530255888</v>
      </c>
      <c r="Y4" s="5">
        <v>49.159390862880592</v>
      </c>
      <c r="Z4" s="5">
        <v>2096.1001470820038</v>
      </c>
      <c r="AA4" s="42"/>
    </row>
    <row r="5" spans="2:27" x14ac:dyDescent="0.2">
      <c r="B5" s="4">
        <v>2</v>
      </c>
      <c r="C5" s="4">
        <v>63</v>
      </c>
      <c r="D5" s="23">
        <v>59889.041175590362</v>
      </c>
      <c r="E5" s="33">
        <v>3.4205814580000151</v>
      </c>
      <c r="F5" s="5">
        <v>3</v>
      </c>
      <c r="G5" s="23">
        <v>90</v>
      </c>
      <c r="H5" s="33">
        <v>0</v>
      </c>
      <c r="I5" s="23">
        <v>30.681587484196626</v>
      </c>
      <c r="J5" s="5">
        <v>1533.1982523729907</v>
      </c>
      <c r="K5" s="31" t="e">
        <f>(D5-$D$15)/$D$15</f>
        <v>#DIV/0!</v>
      </c>
      <c r="L5" s="23">
        <v>75717.41312575544</v>
      </c>
      <c r="M5" s="33">
        <v>4.4075946670018311</v>
      </c>
      <c r="N5" s="5">
        <v>3</v>
      </c>
      <c r="O5" s="5">
        <v>70</v>
      </c>
      <c r="P5" s="33">
        <v>13.923917958010277</v>
      </c>
      <c r="Q5" s="5">
        <v>22.493420363951842</v>
      </c>
      <c r="R5" s="5">
        <v>1520.2161202129485</v>
      </c>
      <c r="S5" s="42"/>
      <c r="T5" s="23">
        <v>68331.378539888203</v>
      </c>
      <c r="U5" s="33">
        <v>4.2716547080017344</v>
      </c>
      <c r="V5" s="5">
        <v>3</v>
      </c>
      <c r="W5" s="5">
        <v>85</v>
      </c>
      <c r="X5" s="33">
        <v>50.740471530255888</v>
      </c>
      <c r="Y5" s="5">
        <v>49.159390862880592</v>
      </c>
      <c r="Z5" s="5">
        <v>2096.1001470820038</v>
      </c>
      <c r="AA5" s="42"/>
    </row>
    <row r="6" spans="2:27" x14ac:dyDescent="0.2">
      <c r="B6" s="4">
        <v>3</v>
      </c>
      <c r="C6" s="4">
        <v>158</v>
      </c>
      <c r="D6" s="23">
        <v>59889.041175590362</v>
      </c>
      <c r="E6" s="33">
        <v>3.534250749999956</v>
      </c>
      <c r="F6" s="5">
        <v>3</v>
      </c>
      <c r="G6" s="23">
        <v>90</v>
      </c>
      <c r="H6" s="33">
        <v>0</v>
      </c>
      <c r="I6" s="23">
        <v>30.681587484196626</v>
      </c>
      <c r="J6" s="5">
        <v>1533.1982523729907</v>
      </c>
      <c r="K6" s="31" t="e">
        <f t="shared" ref="K6:K13" si="0">(D6-$D$15)/$D$15</f>
        <v>#DIV/0!</v>
      </c>
      <c r="L6" s="23">
        <v>70830.525605046569</v>
      </c>
      <c r="M6" s="33">
        <v>3.7645272499976268</v>
      </c>
      <c r="N6" s="5">
        <v>3</v>
      </c>
      <c r="O6" s="5">
        <v>75</v>
      </c>
      <c r="P6" s="33">
        <v>0.84616333525843068</v>
      </c>
      <c r="Q6" s="5">
        <v>23.722532512037745</v>
      </c>
      <c r="R6" s="5">
        <v>1439.5133783774481</v>
      </c>
      <c r="S6" s="42"/>
      <c r="T6" s="23">
        <v>68331.378539888203</v>
      </c>
      <c r="U6" s="33">
        <v>3.5127746670004849</v>
      </c>
      <c r="V6" s="5">
        <v>3</v>
      </c>
      <c r="W6" s="5">
        <v>85</v>
      </c>
      <c r="X6" s="33">
        <v>50.740471530255888</v>
      </c>
      <c r="Y6" s="5">
        <v>49.159390862880592</v>
      </c>
      <c r="Z6" s="5">
        <v>2096.1001470820038</v>
      </c>
      <c r="AA6" s="42"/>
    </row>
    <row r="7" spans="2:27" x14ac:dyDescent="0.2">
      <c r="B7" s="4">
        <v>4</v>
      </c>
      <c r="C7" s="4">
        <v>280</v>
      </c>
      <c r="D7" s="23">
        <v>59889.041175590362</v>
      </c>
      <c r="E7" s="33">
        <v>3.324588791999759</v>
      </c>
      <c r="F7" s="5">
        <v>3</v>
      </c>
      <c r="G7" s="23">
        <v>90</v>
      </c>
      <c r="H7" s="33">
        <v>0</v>
      </c>
      <c r="I7" s="23">
        <v>30.681587484196626</v>
      </c>
      <c r="J7" s="5">
        <v>1533.1982523729907</v>
      </c>
      <c r="K7" s="31" t="e">
        <f t="shared" si="0"/>
        <v>#DIV/0!</v>
      </c>
      <c r="L7" s="23">
        <v>74388.098927856598</v>
      </c>
      <c r="M7" s="33">
        <v>4.1965553750014806</v>
      </c>
      <c r="N7" s="5">
        <v>3</v>
      </c>
      <c r="O7" s="5">
        <v>70</v>
      </c>
      <c r="P7" s="33">
        <v>0</v>
      </c>
      <c r="Q7" s="5">
        <v>26.400467829404821</v>
      </c>
      <c r="R7" s="5">
        <v>1543.9729437631922</v>
      </c>
      <c r="S7" s="42"/>
      <c r="T7" s="23">
        <v>68331.378539888203</v>
      </c>
      <c r="U7" s="33">
        <v>3.7522962500006538</v>
      </c>
      <c r="V7" s="5">
        <v>3</v>
      </c>
      <c r="W7" s="5">
        <v>85</v>
      </c>
      <c r="X7" s="33">
        <v>50.740471530255888</v>
      </c>
      <c r="Y7" s="5">
        <v>49.159390862880592</v>
      </c>
      <c r="Z7" s="5">
        <v>2096.1001470820038</v>
      </c>
      <c r="AA7" s="42"/>
    </row>
    <row r="8" spans="2:27" x14ac:dyDescent="0.2">
      <c r="B8" s="4">
        <v>5</v>
      </c>
      <c r="C8" s="4">
        <v>332</v>
      </c>
      <c r="D8" s="23">
        <v>59889.041175590362</v>
      </c>
      <c r="E8" s="33">
        <v>3.34873108299962</v>
      </c>
      <c r="F8" s="5">
        <v>3</v>
      </c>
      <c r="G8" s="23">
        <v>90</v>
      </c>
      <c r="H8" s="33">
        <v>0</v>
      </c>
      <c r="I8" s="23">
        <v>30.681587484196626</v>
      </c>
      <c r="J8" s="5">
        <v>1533.1982523729907</v>
      </c>
      <c r="K8" s="31" t="e">
        <f t="shared" si="0"/>
        <v>#DIV/0!</v>
      </c>
      <c r="L8" s="23">
        <v>70830.525605046569</v>
      </c>
      <c r="M8" s="33">
        <v>3.5643402909990982</v>
      </c>
      <c r="N8" s="5">
        <v>3</v>
      </c>
      <c r="O8" s="5">
        <v>75</v>
      </c>
      <c r="P8" s="33">
        <v>0.84616333525843068</v>
      </c>
      <c r="Q8" s="5">
        <v>23.722532512037745</v>
      </c>
      <c r="R8" s="5">
        <v>1439.5133783774481</v>
      </c>
      <c r="S8" s="42"/>
      <c r="T8" s="23">
        <v>68331.378539888203</v>
      </c>
      <c r="U8" s="33">
        <v>4.3259777919993212</v>
      </c>
      <c r="V8" s="5">
        <v>3</v>
      </c>
      <c r="W8" s="5">
        <v>85</v>
      </c>
      <c r="X8" s="33">
        <v>50.740471530255888</v>
      </c>
      <c r="Y8" s="5">
        <v>49.159390862880592</v>
      </c>
      <c r="Z8" s="5">
        <v>2096.1001470820038</v>
      </c>
      <c r="AA8" s="42"/>
    </row>
    <row r="9" spans="2:27" x14ac:dyDescent="0.2">
      <c r="B9" s="4">
        <v>6</v>
      </c>
      <c r="C9" s="4">
        <v>655</v>
      </c>
      <c r="D9" s="23">
        <v>59889.041175590362</v>
      </c>
      <c r="E9" s="33">
        <v>3.4095139590003778</v>
      </c>
      <c r="F9" s="5">
        <v>3</v>
      </c>
      <c r="G9" s="23">
        <v>90</v>
      </c>
      <c r="H9" s="33">
        <v>0</v>
      </c>
      <c r="I9" s="23">
        <v>30.681587484196626</v>
      </c>
      <c r="J9" s="5">
        <v>1533.1982523729907</v>
      </c>
      <c r="K9" s="31" t="e">
        <f t="shared" si="0"/>
        <v>#DIV/0!</v>
      </c>
      <c r="L9" s="23">
        <v>70830.525605046569</v>
      </c>
      <c r="M9" s="33">
        <v>3.7462437079993829</v>
      </c>
      <c r="N9" s="5">
        <v>3</v>
      </c>
      <c r="O9" s="5">
        <v>75</v>
      </c>
      <c r="P9" s="33">
        <v>0.84616333525843068</v>
      </c>
      <c r="Q9" s="5">
        <v>23.722532512037745</v>
      </c>
      <c r="R9" s="5">
        <v>1439.5133783774481</v>
      </c>
      <c r="S9" s="42"/>
      <c r="T9" s="23">
        <v>68331.378539888203</v>
      </c>
      <c r="U9" s="33">
        <v>3.787616916000843</v>
      </c>
      <c r="V9" s="5">
        <v>3</v>
      </c>
      <c r="W9" s="5">
        <v>85</v>
      </c>
      <c r="X9" s="33">
        <v>50.740471530255888</v>
      </c>
      <c r="Y9" s="5">
        <v>49.159390862880592</v>
      </c>
      <c r="Z9" s="5">
        <v>2096.1001470820038</v>
      </c>
      <c r="AA9" s="42"/>
    </row>
    <row r="10" spans="2:27" x14ac:dyDescent="0.2">
      <c r="B10" s="4">
        <v>7</v>
      </c>
      <c r="C10" s="4">
        <v>782</v>
      </c>
      <c r="D10" s="23">
        <v>59889.041175590362</v>
      </c>
      <c r="E10" s="33">
        <v>4.1008084159998361</v>
      </c>
      <c r="F10" s="5">
        <v>3</v>
      </c>
      <c r="G10" s="23">
        <v>90</v>
      </c>
      <c r="H10" s="33">
        <v>0</v>
      </c>
      <c r="I10" s="23">
        <v>30.681587484196626</v>
      </c>
      <c r="J10" s="5">
        <v>1533.1982523729907</v>
      </c>
      <c r="K10" s="31" t="e">
        <f t="shared" si="0"/>
        <v>#DIV/0!</v>
      </c>
      <c r="L10" s="23">
        <v>72849.96262853872</v>
      </c>
      <c r="M10" s="33">
        <v>5.4696811670000898</v>
      </c>
      <c r="N10" s="5">
        <v>4</v>
      </c>
      <c r="O10" s="5">
        <v>85</v>
      </c>
      <c r="P10" s="33">
        <v>8.6169772748113669</v>
      </c>
      <c r="Q10" s="5">
        <v>21.346945255587944</v>
      </c>
      <c r="R10" s="5">
        <v>1474.7405080545559</v>
      </c>
      <c r="S10" s="42"/>
      <c r="T10" s="23">
        <v>80181.336073873303</v>
      </c>
      <c r="U10" s="33">
        <v>3.784569791998365</v>
      </c>
      <c r="V10" s="5">
        <v>3</v>
      </c>
      <c r="W10" s="5">
        <v>75</v>
      </c>
      <c r="X10" s="33">
        <v>129.64859136703586</v>
      </c>
      <c r="Y10" s="5">
        <v>35.734540278553361</v>
      </c>
      <c r="Z10" s="5">
        <v>2144.6214837103425</v>
      </c>
      <c r="AA10" s="42"/>
    </row>
    <row r="11" spans="2:27" x14ac:dyDescent="0.2">
      <c r="B11" s="4">
        <v>8</v>
      </c>
      <c r="C11" s="4">
        <v>802</v>
      </c>
      <c r="D11" s="23">
        <v>59889.041175590362</v>
      </c>
      <c r="E11" s="33">
        <v>3.5230904580002971</v>
      </c>
      <c r="F11" s="5">
        <v>3</v>
      </c>
      <c r="G11" s="23">
        <v>90</v>
      </c>
      <c r="H11" s="33">
        <v>0</v>
      </c>
      <c r="I11" s="23">
        <v>30.681587484196626</v>
      </c>
      <c r="J11" s="5">
        <v>1533.1982523729907</v>
      </c>
      <c r="K11" s="31" t="e">
        <f t="shared" si="0"/>
        <v>#DIV/0!</v>
      </c>
      <c r="L11" s="23">
        <v>70830.525605046569</v>
      </c>
      <c r="M11" s="33">
        <v>3.7788474999979371</v>
      </c>
      <c r="N11" s="5">
        <v>3</v>
      </c>
      <c r="O11" s="5">
        <v>75</v>
      </c>
      <c r="P11" s="33">
        <v>0.84616333525843068</v>
      </c>
      <c r="Q11" s="5">
        <v>23.722532512037745</v>
      </c>
      <c r="R11" s="5">
        <v>1439.5133783774481</v>
      </c>
      <c r="S11" s="42"/>
      <c r="T11" s="23">
        <v>68331.378539888203</v>
      </c>
      <c r="U11" s="33">
        <v>3.9224360000007441</v>
      </c>
      <c r="V11" s="5">
        <v>3</v>
      </c>
      <c r="W11" s="5">
        <v>85</v>
      </c>
      <c r="X11" s="33">
        <v>50.740471530255888</v>
      </c>
      <c r="Y11" s="5">
        <v>49.159390862880592</v>
      </c>
      <c r="Z11" s="5">
        <v>2096.1001470820038</v>
      </c>
      <c r="AA11" s="42"/>
    </row>
    <row r="12" spans="2:27" x14ac:dyDescent="0.2">
      <c r="B12" s="4">
        <v>9</v>
      </c>
      <c r="C12" s="4">
        <v>866</v>
      </c>
      <c r="D12" s="23">
        <v>59889.041175590362</v>
      </c>
      <c r="E12" s="33">
        <v>3.329057082999952</v>
      </c>
      <c r="F12" s="5">
        <v>3</v>
      </c>
      <c r="G12" s="23">
        <v>90</v>
      </c>
      <c r="H12" s="33">
        <v>0</v>
      </c>
      <c r="I12" s="23">
        <v>30.681587484196626</v>
      </c>
      <c r="J12" s="5">
        <v>1533.1982523729907</v>
      </c>
      <c r="K12" s="31" t="e">
        <f t="shared" si="0"/>
        <v>#DIV/0!</v>
      </c>
      <c r="L12" s="23">
        <v>70830.525605046569</v>
      </c>
      <c r="M12" s="33">
        <v>3.5553740840005048</v>
      </c>
      <c r="N12" s="5">
        <v>3</v>
      </c>
      <c r="O12" s="5">
        <v>75</v>
      </c>
      <c r="P12" s="33">
        <v>0.84616333525843068</v>
      </c>
      <c r="Q12" s="5">
        <v>23.722532512037745</v>
      </c>
      <c r="R12" s="5">
        <v>1439.5133783774481</v>
      </c>
      <c r="S12" s="42"/>
      <c r="T12" s="23">
        <v>68331.378539888203</v>
      </c>
      <c r="U12" s="33">
        <v>3.803090082998096</v>
      </c>
      <c r="V12" s="5">
        <v>3</v>
      </c>
      <c r="W12" s="5">
        <v>85</v>
      </c>
      <c r="X12" s="33">
        <v>50.740471530255888</v>
      </c>
      <c r="Y12" s="5">
        <v>49.159390862880592</v>
      </c>
      <c r="Z12" s="5">
        <v>2096.1001470820038</v>
      </c>
      <c r="AA12" s="42"/>
    </row>
    <row r="13" spans="2:27" x14ac:dyDescent="0.2">
      <c r="B13" s="4">
        <v>10</v>
      </c>
      <c r="C13" s="4">
        <v>901</v>
      </c>
      <c r="D13" s="23">
        <v>59889.041175590362</v>
      </c>
      <c r="E13" s="33">
        <v>3.255414582999947</v>
      </c>
      <c r="F13" s="5">
        <v>3</v>
      </c>
      <c r="G13" s="23">
        <v>90</v>
      </c>
      <c r="H13" s="33">
        <v>0</v>
      </c>
      <c r="I13" s="23">
        <v>30.681587484196626</v>
      </c>
      <c r="J13" s="5">
        <v>1533.1982523729907</v>
      </c>
      <c r="K13" s="31" t="e">
        <f t="shared" si="0"/>
        <v>#DIV/0!</v>
      </c>
      <c r="L13" s="23">
        <v>72849.96262853872</v>
      </c>
      <c r="M13" s="33">
        <v>5.5940853749998496</v>
      </c>
      <c r="N13" s="5">
        <v>4</v>
      </c>
      <c r="O13" s="5">
        <v>85</v>
      </c>
      <c r="P13" s="33">
        <v>8.6169772748113669</v>
      </c>
      <c r="Q13" s="5">
        <v>21.346945255587944</v>
      </c>
      <c r="R13" s="5">
        <v>1474.7405080545559</v>
      </c>
      <c r="S13" s="42"/>
      <c r="T13" s="23">
        <v>68331.378539888203</v>
      </c>
      <c r="U13" s="33">
        <v>3.799401874999603</v>
      </c>
      <c r="V13" s="5">
        <v>3</v>
      </c>
      <c r="W13" s="5">
        <v>85</v>
      </c>
      <c r="X13" s="33">
        <v>50.740471530255888</v>
      </c>
      <c r="Y13" s="5">
        <v>49.159390862880592</v>
      </c>
      <c r="Z13" s="5">
        <v>2096.1001470820038</v>
      </c>
      <c r="AA13" s="42"/>
    </row>
    <row r="14" spans="2:27" x14ac:dyDescent="0.2">
      <c r="B14" s="46" t="s">
        <v>3</v>
      </c>
      <c r="C14" s="47"/>
      <c r="D14" s="9">
        <f>MIN(D4:D13)</f>
        <v>59889.041175590362</v>
      </c>
      <c r="E14" s="22">
        <f>INDEX(E4:E13, MATCH($D$14, D4:D13, 0))</f>
        <v>3.24505845800013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30.681587484196626</v>
      </c>
      <c r="J14" s="22">
        <f>INDEX(J4:J13, MATCH($D$14, D4:D13, 0))</f>
        <v>1533.1982523729907</v>
      </c>
      <c r="K14" s="32" t="e">
        <f>(D14-$D$15)/$D$15</f>
        <v>#DIV/0!</v>
      </c>
      <c r="L14" s="16">
        <f>MIN(L4:L13)</f>
        <v>70830.525605046569</v>
      </c>
      <c r="M14" s="21">
        <f>INDEX(M4:M13, MATCH($L$14, L4:L13, 0))</f>
        <v>3.7645272499976268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0.84616333525843068</v>
      </c>
      <c r="Q14" s="21">
        <f>INDEX(Q4:Q13, MATCH($L$14, L4:L13, 0))</f>
        <v>23.722532512037745</v>
      </c>
      <c r="R14" s="21">
        <f>INDEX(R4:R13, MATCH($L$14, L4:L13, 0))</f>
        <v>1439.5133783774481</v>
      </c>
      <c r="S14" s="43" t="e">
        <f>(L14-$D$15)/$D$15</f>
        <v>#DIV/0!</v>
      </c>
      <c r="T14" s="38">
        <f>MIN(T4:T13)</f>
        <v>68331.378539888203</v>
      </c>
      <c r="U14" s="44">
        <f>INDEX(U4:U13, MATCH($T$14, T4:T13, 0))</f>
        <v>4.0211288339996827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50.740471530255888</v>
      </c>
      <c r="Y14" s="44">
        <f>INDEX(Y4:Y13, MATCH($T$14, T4:T13, 0))</f>
        <v>49.159390862880592</v>
      </c>
      <c r="Z14" s="44">
        <f>INDEX(Z4:Z13, MATCH($T$14, T4:T13, 0))</f>
        <v>2096.1001470820038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:C2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72EB-F6A0-174E-BC6F-FD6C706450DA}">
  <dimension ref="B1:AA17"/>
  <sheetViews>
    <sheetView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7.2128496416866916E-2</v>
      </c>
      <c r="T2" s="1" t="s">
        <v>19</v>
      </c>
      <c r="X2" s="1">
        <f>(X14-P14)/P14</f>
        <v>-1</v>
      </c>
      <c r="Z2" s="1">
        <f>(Z14-R14)/R14</f>
        <v>0.2594959294629654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</v>
      </c>
      <c r="D4" s="23">
        <v>52178.443909618931</v>
      </c>
      <c r="E4" s="33">
        <v>5.6316160829996988</v>
      </c>
      <c r="F4" s="5">
        <v>3</v>
      </c>
      <c r="G4" s="23">
        <v>95</v>
      </c>
      <c r="H4" s="33">
        <v>0</v>
      </c>
      <c r="I4" s="23">
        <v>14.405143637306059</v>
      </c>
      <c r="J4" s="5">
        <v>1038.0841648290098</v>
      </c>
      <c r="K4" s="31" t="e">
        <f>(D4-$D$15)/$D$15</f>
        <v>#DIV/0!</v>
      </c>
      <c r="L4" s="23">
        <v>69126.34243196866</v>
      </c>
      <c r="M4" s="33">
        <v>4.5438293330007582</v>
      </c>
      <c r="N4" s="5">
        <v>3</v>
      </c>
      <c r="O4" s="5">
        <v>70</v>
      </c>
      <c r="P4" s="33">
        <v>0</v>
      </c>
      <c r="Q4" s="5">
        <v>9.0276222796710623</v>
      </c>
      <c r="R4" s="5">
        <v>801.0598913738603</v>
      </c>
      <c r="S4" s="42"/>
      <c r="T4" s="23">
        <v>60067.175983066038</v>
      </c>
      <c r="U4" s="33">
        <v>5.1681595830013984</v>
      </c>
      <c r="V4" s="5">
        <v>3</v>
      </c>
      <c r="W4" s="5">
        <v>90</v>
      </c>
      <c r="X4" s="33">
        <v>0</v>
      </c>
      <c r="Y4" s="5">
        <v>23.491481445873617</v>
      </c>
      <c r="Z4" s="5">
        <v>1401.7681044875533</v>
      </c>
      <c r="AA4" s="42"/>
    </row>
    <row r="5" spans="2:27" x14ac:dyDescent="0.2">
      <c r="B5" s="4">
        <v>2</v>
      </c>
      <c r="C5" s="4">
        <v>113</v>
      </c>
      <c r="D5" s="23">
        <v>52178.443909618931</v>
      </c>
      <c r="E5" s="33">
        <v>5.5632157499999266</v>
      </c>
      <c r="F5" s="5">
        <v>3</v>
      </c>
      <c r="G5" s="23">
        <v>95</v>
      </c>
      <c r="H5" s="33">
        <v>0</v>
      </c>
      <c r="I5" s="23">
        <v>14.405143637306059</v>
      </c>
      <c r="J5" s="5">
        <v>1038.0841648290098</v>
      </c>
      <c r="K5" s="31" t="e">
        <f>(D5-$D$15)/$D$15</f>
        <v>#DIV/0!</v>
      </c>
      <c r="L5" s="23">
        <v>69126.34243196866</v>
      </c>
      <c r="M5" s="33">
        <v>4.5921450830028334</v>
      </c>
      <c r="N5" s="5">
        <v>3</v>
      </c>
      <c r="O5" s="5">
        <v>70</v>
      </c>
      <c r="P5" s="33">
        <v>0</v>
      </c>
      <c r="Q5" s="5">
        <v>9.0276222796710623</v>
      </c>
      <c r="R5" s="5">
        <v>801.0598913738603</v>
      </c>
      <c r="S5" s="42"/>
      <c r="T5" s="23">
        <v>60067.175983066038</v>
      </c>
      <c r="U5" s="33">
        <v>5.2791780000006838</v>
      </c>
      <c r="V5" s="5">
        <v>3</v>
      </c>
      <c r="W5" s="5">
        <v>90</v>
      </c>
      <c r="X5" s="33">
        <v>0</v>
      </c>
      <c r="Y5" s="5">
        <v>23.491481445873617</v>
      </c>
      <c r="Z5" s="5">
        <v>1401.7681044875533</v>
      </c>
      <c r="AA5" s="42"/>
    </row>
    <row r="6" spans="2:27" x14ac:dyDescent="0.2">
      <c r="B6" s="4">
        <v>3</v>
      </c>
      <c r="C6" s="4">
        <v>133</v>
      </c>
      <c r="D6" s="23">
        <v>58042.959943361158</v>
      </c>
      <c r="E6" s="33">
        <v>5.6166419999999562</v>
      </c>
      <c r="F6" s="5">
        <v>3</v>
      </c>
      <c r="G6" s="23">
        <v>95</v>
      </c>
      <c r="H6" s="33">
        <v>20.036323514508659</v>
      </c>
      <c r="I6" s="23">
        <v>17.663983351044326</v>
      </c>
      <c r="J6" s="5">
        <v>1360.1856827565182</v>
      </c>
      <c r="K6" s="31" t="e">
        <f t="shared" ref="K6:K13" si="0">(D6-$D$15)/$D$15</f>
        <v>#DIV/0!</v>
      </c>
      <c r="L6" s="23">
        <v>69103.015398663352</v>
      </c>
      <c r="M6" s="33">
        <v>6.0298367499999586</v>
      </c>
      <c r="N6" s="5">
        <v>3</v>
      </c>
      <c r="O6" s="5">
        <v>75</v>
      </c>
      <c r="P6" s="33">
        <v>3.6234872625217878</v>
      </c>
      <c r="Q6" s="5">
        <v>13.139017694743011</v>
      </c>
      <c r="R6" s="5">
        <v>1112.9596147922853</v>
      </c>
      <c r="S6" s="42"/>
      <c r="T6" s="23">
        <v>66783.798031039594</v>
      </c>
      <c r="U6" s="33">
        <v>5.3824647920009738</v>
      </c>
      <c r="V6" s="5">
        <v>3</v>
      </c>
      <c r="W6" s="5">
        <v>90</v>
      </c>
      <c r="X6" s="33">
        <v>48.782350090836481</v>
      </c>
      <c r="Y6" s="5">
        <v>26.422283041215763</v>
      </c>
      <c r="Z6" s="5">
        <v>1761.1608840425101</v>
      </c>
      <c r="AA6" s="42"/>
    </row>
    <row r="7" spans="2:27" x14ac:dyDescent="0.2">
      <c r="B7" s="4">
        <v>4</v>
      </c>
      <c r="C7" s="4">
        <v>353</v>
      </c>
      <c r="D7" s="23">
        <v>58042.959943361158</v>
      </c>
      <c r="E7" s="33">
        <v>5.0659424999998919</v>
      </c>
      <c r="F7" s="5">
        <v>3</v>
      </c>
      <c r="G7" s="23">
        <v>95</v>
      </c>
      <c r="H7" s="33">
        <v>20.036323514508659</v>
      </c>
      <c r="I7" s="23">
        <v>17.663983351044326</v>
      </c>
      <c r="J7" s="5">
        <v>1360.1856827565182</v>
      </c>
      <c r="K7" s="31" t="e">
        <f t="shared" si="0"/>
        <v>#DIV/0!</v>
      </c>
      <c r="L7" s="23">
        <v>76819.386419918912</v>
      </c>
      <c r="M7" s="33">
        <v>4.7487281670000812</v>
      </c>
      <c r="N7" s="5">
        <v>3</v>
      </c>
      <c r="O7" s="5">
        <v>65</v>
      </c>
      <c r="P7" s="33">
        <v>4.180946841371294</v>
      </c>
      <c r="Q7" s="5">
        <v>13.29013512213885</v>
      </c>
      <c r="R7" s="5">
        <v>1133.3265563343166</v>
      </c>
      <c r="S7" s="42"/>
      <c r="T7" s="23">
        <v>66783.798031039594</v>
      </c>
      <c r="U7" s="33">
        <v>5.2376350829981666</v>
      </c>
      <c r="V7" s="5">
        <v>3</v>
      </c>
      <c r="W7" s="5">
        <v>90</v>
      </c>
      <c r="X7" s="33">
        <v>48.782350090836481</v>
      </c>
      <c r="Y7" s="5">
        <v>26.422283041215763</v>
      </c>
      <c r="Z7" s="5">
        <v>1761.1608840425101</v>
      </c>
      <c r="AA7" s="42"/>
    </row>
    <row r="8" spans="2:27" x14ac:dyDescent="0.2">
      <c r="B8" s="4">
        <v>5</v>
      </c>
      <c r="C8" s="4">
        <v>454</v>
      </c>
      <c r="D8" s="23">
        <v>52178.443909618931</v>
      </c>
      <c r="E8" s="33">
        <v>5.5777524579998499</v>
      </c>
      <c r="F8" s="5">
        <v>3</v>
      </c>
      <c r="G8" s="23">
        <v>95</v>
      </c>
      <c r="H8" s="33">
        <v>0</v>
      </c>
      <c r="I8" s="23">
        <v>14.405143637306059</v>
      </c>
      <c r="J8" s="5">
        <v>1038.0841648290098</v>
      </c>
      <c r="K8" s="31" t="e">
        <f t="shared" si="0"/>
        <v>#DIV/0!</v>
      </c>
      <c r="L8" s="23">
        <v>69103.015398663352</v>
      </c>
      <c r="M8" s="33">
        <v>4.8049517500003276</v>
      </c>
      <c r="N8" s="5">
        <v>3</v>
      </c>
      <c r="O8" s="5">
        <v>75</v>
      </c>
      <c r="P8" s="33">
        <v>3.6234872625217878</v>
      </c>
      <c r="Q8" s="5">
        <v>13.139017694743011</v>
      </c>
      <c r="R8" s="5">
        <v>1112.9596147922853</v>
      </c>
      <c r="S8" s="42"/>
      <c r="T8" s="23">
        <v>60067.175983066038</v>
      </c>
      <c r="U8" s="33">
        <v>5.1453677089994017</v>
      </c>
      <c r="V8" s="5">
        <v>3</v>
      </c>
      <c r="W8" s="5">
        <v>90</v>
      </c>
      <c r="X8" s="33">
        <v>0</v>
      </c>
      <c r="Y8" s="5">
        <v>23.491481445873617</v>
      </c>
      <c r="Z8" s="5">
        <v>1401.7681044875533</v>
      </c>
      <c r="AA8" s="42"/>
    </row>
    <row r="9" spans="2:27" x14ac:dyDescent="0.2">
      <c r="B9" s="4">
        <v>6</v>
      </c>
      <c r="C9" s="4">
        <v>533</v>
      </c>
      <c r="D9" s="23">
        <v>52178.443909618931</v>
      </c>
      <c r="E9" s="33">
        <v>5.5833572500000628</v>
      </c>
      <c r="F9" s="5">
        <v>3</v>
      </c>
      <c r="G9" s="23">
        <v>95</v>
      </c>
      <c r="H9" s="33">
        <v>0</v>
      </c>
      <c r="I9" s="23">
        <v>14.405143637306059</v>
      </c>
      <c r="J9" s="5">
        <v>1038.0841648290098</v>
      </c>
      <c r="K9" s="31" t="e">
        <f t="shared" si="0"/>
        <v>#DIV/0!</v>
      </c>
      <c r="L9" s="23">
        <v>84425.197314505858</v>
      </c>
      <c r="M9" s="33">
        <v>2.7983240840003418</v>
      </c>
      <c r="N9" s="5">
        <v>2</v>
      </c>
      <c r="O9" s="5">
        <v>40</v>
      </c>
      <c r="P9" s="33">
        <v>0</v>
      </c>
      <c r="Q9" s="5">
        <v>8.118168940844388</v>
      </c>
      <c r="R9" s="5">
        <v>699.14292455399823</v>
      </c>
      <c r="S9" s="42"/>
      <c r="T9" s="23">
        <v>60067.175983066038</v>
      </c>
      <c r="U9" s="33">
        <v>5.1111675419997482</v>
      </c>
      <c r="V9" s="5">
        <v>3</v>
      </c>
      <c r="W9" s="5">
        <v>90</v>
      </c>
      <c r="X9" s="33">
        <v>0</v>
      </c>
      <c r="Y9" s="5">
        <v>23.491481445873617</v>
      </c>
      <c r="Z9" s="5">
        <v>1401.7681044875533</v>
      </c>
      <c r="AA9" s="42"/>
    </row>
    <row r="10" spans="2:27" x14ac:dyDescent="0.2">
      <c r="B10" s="4">
        <v>7</v>
      </c>
      <c r="C10" s="4">
        <v>678</v>
      </c>
      <c r="D10" s="23">
        <v>58042.959943361158</v>
      </c>
      <c r="E10" s="33">
        <v>5.6370018749998962</v>
      </c>
      <c r="F10" s="5">
        <v>3</v>
      </c>
      <c r="G10" s="23">
        <v>95</v>
      </c>
      <c r="H10" s="33">
        <v>20.036323514508659</v>
      </c>
      <c r="I10" s="23">
        <v>17.663983351044326</v>
      </c>
      <c r="J10" s="5">
        <v>1360.1856827565182</v>
      </c>
      <c r="K10" s="31" t="e">
        <f t="shared" si="0"/>
        <v>#DIV/0!</v>
      </c>
      <c r="L10" s="23">
        <v>69103.015398663352</v>
      </c>
      <c r="M10" s="33">
        <v>4.7458656249982596</v>
      </c>
      <c r="N10" s="5">
        <v>3</v>
      </c>
      <c r="O10" s="5">
        <v>75</v>
      </c>
      <c r="P10" s="33">
        <v>3.6234872625217878</v>
      </c>
      <c r="Q10" s="5">
        <v>13.139017694743011</v>
      </c>
      <c r="R10" s="5">
        <v>1112.9596147922853</v>
      </c>
      <c r="S10" s="42"/>
      <c r="T10" s="23">
        <v>66783.798031039594</v>
      </c>
      <c r="U10" s="33">
        <v>5.2850321249970884</v>
      </c>
      <c r="V10" s="5">
        <v>3</v>
      </c>
      <c r="W10" s="5">
        <v>90</v>
      </c>
      <c r="X10" s="33">
        <v>48.782350090836481</v>
      </c>
      <c r="Y10" s="5">
        <v>26.422283041215763</v>
      </c>
      <c r="Z10" s="5">
        <v>1761.1608840425101</v>
      </c>
      <c r="AA10" s="42"/>
    </row>
    <row r="11" spans="2:27" x14ac:dyDescent="0.2">
      <c r="B11" s="4">
        <v>8</v>
      </c>
      <c r="C11" s="4">
        <v>885</v>
      </c>
      <c r="D11" s="23">
        <v>58042.959943361158</v>
      </c>
      <c r="E11" s="33">
        <v>5.0511023750000277</v>
      </c>
      <c r="F11" s="5">
        <v>3</v>
      </c>
      <c r="G11" s="23">
        <v>95</v>
      </c>
      <c r="H11" s="33">
        <v>20.036323514508659</v>
      </c>
      <c r="I11" s="23">
        <v>17.663983351044326</v>
      </c>
      <c r="J11" s="5">
        <v>1360.1856827565182</v>
      </c>
      <c r="K11" s="31" t="e">
        <f t="shared" si="0"/>
        <v>#DIV/0!</v>
      </c>
      <c r="L11" s="23">
        <v>69103.015398663352</v>
      </c>
      <c r="M11" s="33">
        <v>4.8791652090003481</v>
      </c>
      <c r="N11" s="5">
        <v>3</v>
      </c>
      <c r="O11" s="5">
        <v>75</v>
      </c>
      <c r="P11" s="33">
        <v>3.6234872625217878</v>
      </c>
      <c r="Q11" s="5">
        <v>13.139017694743011</v>
      </c>
      <c r="R11" s="5">
        <v>1112.9596147922853</v>
      </c>
      <c r="S11" s="42"/>
      <c r="T11" s="23">
        <v>66783.798031039594</v>
      </c>
      <c r="U11" s="33">
        <v>5.3175469160014472</v>
      </c>
      <c r="V11" s="5">
        <v>3</v>
      </c>
      <c r="W11" s="5">
        <v>90</v>
      </c>
      <c r="X11" s="33">
        <v>48.782350090836481</v>
      </c>
      <c r="Y11" s="5">
        <v>26.422283041215763</v>
      </c>
      <c r="Z11" s="5">
        <v>1761.1608840425101</v>
      </c>
      <c r="AA11" s="42"/>
    </row>
    <row r="12" spans="2:27" x14ac:dyDescent="0.2">
      <c r="B12" s="4">
        <v>9</v>
      </c>
      <c r="C12" s="4">
        <v>946</v>
      </c>
      <c r="D12" s="23">
        <v>52178.443909618931</v>
      </c>
      <c r="E12" s="33">
        <v>5.5512305000002016</v>
      </c>
      <c r="F12" s="5">
        <v>3</v>
      </c>
      <c r="G12" s="23">
        <v>95</v>
      </c>
      <c r="H12" s="33">
        <v>0</v>
      </c>
      <c r="I12" s="23">
        <v>14.405143637306059</v>
      </c>
      <c r="J12" s="5">
        <v>1038.0841648290098</v>
      </c>
      <c r="K12" s="31" t="e">
        <f t="shared" si="0"/>
        <v>#DIV/0!</v>
      </c>
      <c r="L12" s="23">
        <v>69103.015398663352</v>
      </c>
      <c r="M12" s="33">
        <v>5.7078955839970149</v>
      </c>
      <c r="N12" s="5">
        <v>3</v>
      </c>
      <c r="O12" s="5">
        <v>75</v>
      </c>
      <c r="P12" s="33">
        <v>3.6234872625217878</v>
      </c>
      <c r="Q12" s="5">
        <v>13.139017694743011</v>
      </c>
      <c r="R12" s="5">
        <v>1112.9596147922853</v>
      </c>
      <c r="S12" s="42"/>
      <c r="T12" s="23">
        <v>60067.175983066038</v>
      </c>
      <c r="U12" s="33">
        <v>5.236918707996665</v>
      </c>
      <c r="V12" s="5">
        <v>3</v>
      </c>
      <c r="W12" s="5">
        <v>90</v>
      </c>
      <c r="X12" s="33">
        <v>0</v>
      </c>
      <c r="Y12" s="5">
        <v>23.491481445873617</v>
      </c>
      <c r="Z12" s="5">
        <v>1401.7681044875533</v>
      </c>
      <c r="AA12" s="42"/>
    </row>
    <row r="13" spans="2:27" x14ac:dyDescent="0.2">
      <c r="B13" s="4">
        <v>10</v>
      </c>
      <c r="C13" s="4">
        <v>977</v>
      </c>
      <c r="D13" s="23">
        <v>52178.443909618931</v>
      </c>
      <c r="E13" s="33">
        <v>5.6341377500002636</v>
      </c>
      <c r="F13" s="5">
        <v>3</v>
      </c>
      <c r="G13" s="23">
        <v>95</v>
      </c>
      <c r="H13" s="33">
        <v>0</v>
      </c>
      <c r="I13" s="23">
        <v>14.405143637306059</v>
      </c>
      <c r="J13" s="5">
        <v>1038.0841648290098</v>
      </c>
      <c r="K13" s="31" t="e">
        <f t="shared" si="0"/>
        <v>#DIV/0!</v>
      </c>
      <c r="L13" s="23">
        <v>69126.34243196866</v>
      </c>
      <c r="M13" s="33">
        <v>6.6498873749987979</v>
      </c>
      <c r="N13" s="5">
        <v>3</v>
      </c>
      <c r="O13" s="5">
        <v>70</v>
      </c>
      <c r="P13" s="33">
        <v>0</v>
      </c>
      <c r="Q13" s="5">
        <v>9.0276222796710623</v>
      </c>
      <c r="R13" s="5">
        <v>801.0598913738603</v>
      </c>
      <c r="S13" s="42"/>
      <c r="T13" s="23">
        <v>66783.798031039594</v>
      </c>
      <c r="U13" s="33">
        <v>5.4111332499996934</v>
      </c>
      <c r="V13" s="5">
        <v>3</v>
      </c>
      <c r="W13" s="5">
        <v>90</v>
      </c>
      <c r="X13" s="33">
        <v>48.782350090836481</v>
      </c>
      <c r="Y13" s="5">
        <v>26.422283041215763</v>
      </c>
      <c r="Z13" s="5">
        <v>1761.1608840425101</v>
      </c>
      <c r="AA13" s="42"/>
    </row>
    <row r="14" spans="2:27" x14ac:dyDescent="0.2">
      <c r="B14" s="46" t="s">
        <v>3</v>
      </c>
      <c r="C14" s="47"/>
      <c r="D14" s="9">
        <f>MIN(D4:D13)</f>
        <v>52178.443909618931</v>
      </c>
      <c r="E14" s="22">
        <f>INDEX(E4:E13, MATCH($D$14, D4:D13, 0))</f>
        <v>5.6316160829996988</v>
      </c>
      <c r="F14" s="9">
        <f>INDEX(F4:F13, MATCH($D$14, D4:D13, 0))</f>
        <v>3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14.405143637306059</v>
      </c>
      <c r="J14" s="22">
        <f>INDEX(J4:J13, MATCH($D$14, D4:D13, 0))</f>
        <v>1038.0841648290098</v>
      </c>
      <c r="K14" s="32" t="e">
        <f>(D14-$D$15)/$D$15</f>
        <v>#DIV/0!</v>
      </c>
      <c r="L14" s="16">
        <f>MIN(L4:L13)</f>
        <v>69103.015398663352</v>
      </c>
      <c r="M14" s="21">
        <f>INDEX(M4:M13, MATCH($L$14, L4:L13, 0))</f>
        <v>6.0298367499999586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3.6234872625217878</v>
      </c>
      <c r="Q14" s="21">
        <f>INDEX(Q4:Q13, MATCH($L$14, L4:L13, 0))</f>
        <v>13.139017694743011</v>
      </c>
      <c r="R14" s="21">
        <f>INDEX(R4:R13, MATCH($L$14, L4:L13, 0))</f>
        <v>1112.9596147922853</v>
      </c>
      <c r="S14" s="43" t="e">
        <f>(L14-$D$15)/$D$15</f>
        <v>#DIV/0!</v>
      </c>
      <c r="T14" s="38">
        <f>MIN(T4:T13)</f>
        <v>60067.175983066038</v>
      </c>
      <c r="U14" s="44">
        <f>INDEX(U4:U13, MATCH($T$14, T4:T13, 0))</f>
        <v>5.1681595830013984</v>
      </c>
      <c r="V14" s="38">
        <f>INDEX(V4:V13, MATCH($T$14, T4:T13, 0))</f>
        <v>3</v>
      </c>
      <c r="W14" s="38">
        <f>INDEX(W4:W13, MATCH($T$14, T4:T13, 0))</f>
        <v>90</v>
      </c>
      <c r="X14" s="44">
        <f>INDEX(X4:X13, MATCH($T$14, T4:T13, 0))</f>
        <v>0</v>
      </c>
      <c r="Y14" s="44">
        <f>INDEX(Y4:Y13, MATCH($T$14, T4:T13, 0))</f>
        <v>23.491481445873617</v>
      </c>
      <c r="Z14" s="44">
        <f>INDEX(Z4:Z13, MATCH($T$14, T4:T13, 0))</f>
        <v>1401.7681044875533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69" priority="5"/>
    <cfRule type="duplicateValues" dxfId="68" priority="6"/>
  </conditionalFormatting>
  <conditionalFormatting sqref="C14">
    <cfRule type="duplicateValues" dxfId="67" priority="3"/>
    <cfRule type="duplicateValues" dxfId="66" priority="4"/>
  </conditionalFormatting>
  <conditionalFormatting sqref="C15:C2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D866-3686-7F47-AF8E-935FBA3B9FCB}">
  <dimension ref="B1:AA17"/>
  <sheetViews>
    <sheetView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0.25965985406073411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68</v>
      </c>
      <c r="D4" s="23">
        <v>58268.90132046587</v>
      </c>
      <c r="E4" s="33">
        <v>4.9573944170001596</v>
      </c>
      <c r="F4" s="5">
        <v>3</v>
      </c>
      <c r="G4" s="23">
        <v>85</v>
      </c>
      <c r="H4" s="33">
        <v>0</v>
      </c>
      <c r="I4" s="23">
        <v>14.165014476631308</v>
      </c>
      <c r="J4" s="5">
        <v>997.42154960533935</v>
      </c>
      <c r="K4" s="31" t="e">
        <f>(D4-$D$15)/$D$15</f>
        <v>#DIV/0!</v>
      </c>
      <c r="L4" s="23">
        <v>58268.90132046587</v>
      </c>
      <c r="M4" s="33">
        <v>5.0240294159993937</v>
      </c>
      <c r="N4" s="5">
        <v>3</v>
      </c>
      <c r="O4" s="5">
        <v>85</v>
      </c>
      <c r="P4" s="33">
        <v>0</v>
      </c>
      <c r="Q4" s="5">
        <v>14.165014476631308</v>
      </c>
      <c r="R4" s="5">
        <v>997.42154960533935</v>
      </c>
      <c r="S4" s="42"/>
      <c r="T4" s="23">
        <v>60030.454580276833</v>
      </c>
      <c r="U4" s="33">
        <v>4.8280234170015319</v>
      </c>
      <c r="V4" s="5">
        <v>3</v>
      </c>
      <c r="W4" s="5">
        <v>85</v>
      </c>
      <c r="X4" s="33">
        <v>0</v>
      </c>
      <c r="Y4" s="5">
        <v>23.304856849482601</v>
      </c>
      <c r="Z4" s="5">
        <v>1256.411883612893</v>
      </c>
      <c r="AA4" s="42"/>
    </row>
    <row r="5" spans="2:27" x14ac:dyDescent="0.2">
      <c r="B5" s="4">
        <v>2</v>
      </c>
      <c r="C5" s="4">
        <v>241</v>
      </c>
      <c r="D5" s="23">
        <v>58268.90132046587</v>
      </c>
      <c r="E5" s="33">
        <v>4.9196687909998218</v>
      </c>
      <c r="F5" s="5">
        <v>3</v>
      </c>
      <c r="G5" s="23">
        <v>85</v>
      </c>
      <c r="H5" s="33">
        <v>0</v>
      </c>
      <c r="I5" s="23">
        <v>14.165014476631308</v>
      </c>
      <c r="J5" s="5">
        <v>997.42154960533935</v>
      </c>
      <c r="K5" s="31" t="e">
        <f>(D5-$D$15)/$D$15</f>
        <v>#DIV/0!</v>
      </c>
      <c r="L5" s="23">
        <v>58268.90132046587</v>
      </c>
      <c r="M5" s="33">
        <v>5.0370141669991426</v>
      </c>
      <c r="N5" s="5">
        <v>3</v>
      </c>
      <c r="O5" s="5">
        <v>85</v>
      </c>
      <c r="P5" s="33">
        <v>0</v>
      </c>
      <c r="Q5" s="5">
        <v>14.165014476631308</v>
      </c>
      <c r="R5" s="5">
        <v>997.42154960533935</v>
      </c>
      <c r="S5" s="42"/>
      <c r="T5" s="23">
        <v>60030.454580276833</v>
      </c>
      <c r="U5" s="33">
        <v>4.8164153750003607</v>
      </c>
      <c r="V5" s="5">
        <v>3</v>
      </c>
      <c r="W5" s="5">
        <v>85</v>
      </c>
      <c r="X5" s="33">
        <v>0</v>
      </c>
      <c r="Y5" s="5">
        <v>23.304856849482601</v>
      </c>
      <c r="Z5" s="5">
        <v>1256.411883612893</v>
      </c>
      <c r="AA5" s="42"/>
    </row>
    <row r="6" spans="2:27" x14ac:dyDescent="0.2">
      <c r="B6" s="4">
        <v>3</v>
      </c>
      <c r="C6" s="4">
        <v>453</v>
      </c>
      <c r="D6" s="23">
        <v>58268.90132046587</v>
      </c>
      <c r="E6" s="33">
        <v>4.9426327920000404</v>
      </c>
      <c r="F6" s="5">
        <v>3</v>
      </c>
      <c r="G6" s="23">
        <v>85</v>
      </c>
      <c r="H6" s="33">
        <v>0</v>
      </c>
      <c r="I6" s="23">
        <v>14.165014476631308</v>
      </c>
      <c r="J6" s="5">
        <v>997.42154960533935</v>
      </c>
      <c r="K6" s="31" t="e">
        <f t="shared" ref="K6:K13" si="0">(D6-$D$15)/$D$15</f>
        <v>#DIV/0!</v>
      </c>
      <c r="L6" s="23">
        <v>58268.90132046587</v>
      </c>
      <c r="M6" s="33">
        <v>4.9690525000005437</v>
      </c>
      <c r="N6" s="5">
        <v>3</v>
      </c>
      <c r="O6" s="5">
        <v>85</v>
      </c>
      <c r="P6" s="33">
        <v>0</v>
      </c>
      <c r="Q6" s="5">
        <v>14.165014476631308</v>
      </c>
      <c r="R6" s="5">
        <v>997.42154960533935</v>
      </c>
      <c r="S6" s="42"/>
      <c r="T6" s="23">
        <v>60030.454580276833</v>
      </c>
      <c r="U6" s="33">
        <v>4.8366536670000642</v>
      </c>
      <c r="V6" s="5">
        <v>3</v>
      </c>
      <c r="W6" s="5">
        <v>85</v>
      </c>
      <c r="X6" s="33">
        <v>0</v>
      </c>
      <c r="Y6" s="5">
        <v>23.304856849482601</v>
      </c>
      <c r="Z6" s="5">
        <v>1256.411883612893</v>
      </c>
      <c r="AA6" s="42"/>
    </row>
    <row r="7" spans="2:27" x14ac:dyDescent="0.2">
      <c r="B7" s="4">
        <v>4</v>
      </c>
      <c r="C7" s="4">
        <v>823</v>
      </c>
      <c r="D7" s="23">
        <v>58268.90132046587</v>
      </c>
      <c r="E7" s="33">
        <v>4.9840539169999829</v>
      </c>
      <c r="F7" s="5">
        <v>3</v>
      </c>
      <c r="G7" s="23">
        <v>85</v>
      </c>
      <c r="H7" s="33">
        <v>0</v>
      </c>
      <c r="I7" s="23">
        <v>14.165014476631308</v>
      </c>
      <c r="J7" s="5">
        <v>997.42154960533935</v>
      </c>
      <c r="K7" s="31" t="e">
        <f t="shared" si="0"/>
        <v>#DIV/0!</v>
      </c>
      <c r="L7" s="23">
        <v>58268.90132046587</v>
      </c>
      <c r="M7" s="33">
        <v>5.0280974590023106</v>
      </c>
      <c r="N7" s="5">
        <v>3</v>
      </c>
      <c r="O7" s="5">
        <v>85</v>
      </c>
      <c r="P7" s="33">
        <v>0</v>
      </c>
      <c r="Q7" s="5">
        <v>14.165014476631308</v>
      </c>
      <c r="R7" s="5">
        <v>997.42154960533935</v>
      </c>
      <c r="S7" s="42"/>
      <c r="T7" s="23">
        <v>60030.454580276833</v>
      </c>
      <c r="U7" s="33">
        <v>4.8402206249993469</v>
      </c>
      <c r="V7" s="5">
        <v>3</v>
      </c>
      <c r="W7" s="5">
        <v>85</v>
      </c>
      <c r="X7" s="33">
        <v>0</v>
      </c>
      <c r="Y7" s="5">
        <v>23.304856849482601</v>
      </c>
      <c r="Z7" s="5">
        <v>1256.411883612893</v>
      </c>
      <c r="AA7" s="42"/>
    </row>
    <row r="8" spans="2:27" x14ac:dyDescent="0.2">
      <c r="B8" s="4">
        <v>5</v>
      </c>
      <c r="C8" s="4">
        <v>960</v>
      </c>
      <c r="D8" s="23">
        <v>58268.90132046587</v>
      </c>
      <c r="E8" s="33">
        <v>4.9333917919998376</v>
      </c>
      <c r="F8" s="5">
        <v>3</v>
      </c>
      <c r="G8" s="23">
        <v>85</v>
      </c>
      <c r="H8" s="33">
        <v>0</v>
      </c>
      <c r="I8" s="23">
        <v>14.165014476631308</v>
      </c>
      <c r="J8" s="5">
        <v>997.42154960533935</v>
      </c>
      <c r="K8" s="31" t="e">
        <f t="shared" si="0"/>
        <v>#DIV/0!</v>
      </c>
      <c r="L8" s="23">
        <v>58268.90132046587</v>
      </c>
      <c r="M8" s="33">
        <v>5.016506333999132</v>
      </c>
      <c r="N8" s="5">
        <v>3</v>
      </c>
      <c r="O8" s="5">
        <v>85</v>
      </c>
      <c r="P8" s="33">
        <v>0</v>
      </c>
      <c r="Q8" s="5">
        <v>14.165014476631308</v>
      </c>
      <c r="R8" s="5">
        <v>997.42154960533935</v>
      </c>
      <c r="S8" s="42"/>
      <c r="T8" s="23">
        <v>60030.454580276833</v>
      </c>
      <c r="U8" s="33">
        <v>4.8555124170015924</v>
      </c>
      <c r="V8" s="5">
        <v>3</v>
      </c>
      <c r="W8" s="5">
        <v>85</v>
      </c>
      <c r="X8" s="33">
        <v>0</v>
      </c>
      <c r="Y8" s="5">
        <v>23.304856849482601</v>
      </c>
      <c r="Z8" s="5">
        <v>1256.411883612893</v>
      </c>
      <c r="AA8" s="42"/>
    </row>
    <row r="9" spans="2:27" x14ac:dyDescent="0.2">
      <c r="B9" s="4">
        <v>6</v>
      </c>
      <c r="C9" s="4">
        <v>518</v>
      </c>
      <c r="D9" s="23">
        <v>58268.90132046587</v>
      </c>
      <c r="E9" s="33">
        <v>4.8413433330001681</v>
      </c>
      <c r="F9" s="5">
        <v>3</v>
      </c>
      <c r="G9" s="23">
        <v>85</v>
      </c>
      <c r="H9" s="33">
        <v>0</v>
      </c>
      <c r="I9" s="23">
        <v>14.165014476631308</v>
      </c>
      <c r="J9" s="5">
        <v>997.42154960533935</v>
      </c>
      <c r="K9" s="31" t="e">
        <f t="shared" si="0"/>
        <v>#DIV/0!</v>
      </c>
      <c r="L9" s="23">
        <v>58268.90132046587</v>
      </c>
      <c r="M9" s="33">
        <v>5.0072156250025728</v>
      </c>
      <c r="N9" s="5">
        <v>3</v>
      </c>
      <c r="O9" s="5">
        <v>85</v>
      </c>
      <c r="P9" s="33">
        <v>0</v>
      </c>
      <c r="Q9" s="5">
        <v>14.165014476631308</v>
      </c>
      <c r="R9" s="5">
        <v>997.42154960533935</v>
      </c>
      <c r="S9" s="42"/>
      <c r="T9" s="23">
        <v>60030.454580276833</v>
      </c>
      <c r="U9" s="33">
        <v>4.8992848749985569</v>
      </c>
      <c r="V9" s="5">
        <v>3</v>
      </c>
      <c r="W9" s="5">
        <v>85</v>
      </c>
      <c r="X9" s="33">
        <v>0</v>
      </c>
      <c r="Y9" s="5">
        <v>23.304856849482601</v>
      </c>
      <c r="Z9" s="5">
        <v>1256.411883612893</v>
      </c>
      <c r="AA9" s="42"/>
    </row>
    <row r="10" spans="2:27" x14ac:dyDescent="0.2">
      <c r="B10" s="4">
        <v>7</v>
      </c>
      <c r="C10" s="4">
        <v>651</v>
      </c>
      <c r="D10" s="23">
        <v>58268.90132046587</v>
      </c>
      <c r="E10" s="33">
        <v>4.7232060420001289</v>
      </c>
      <c r="F10" s="5">
        <v>3</v>
      </c>
      <c r="G10" s="23">
        <v>85</v>
      </c>
      <c r="H10" s="33">
        <v>0</v>
      </c>
      <c r="I10" s="23">
        <v>14.165014476631308</v>
      </c>
      <c r="J10" s="5">
        <v>997.42154960533935</v>
      </c>
      <c r="K10" s="31" t="e">
        <f t="shared" si="0"/>
        <v>#DIV/0!</v>
      </c>
      <c r="L10" s="23">
        <v>58268.90132046587</v>
      </c>
      <c r="M10" s="33">
        <v>4.9397395000014512</v>
      </c>
      <c r="N10" s="5">
        <v>3</v>
      </c>
      <c r="O10" s="5">
        <v>85</v>
      </c>
      <c r="P10" s="33">
        <v>0</v>
      </c>
      <c r="Q10" s="5">
        <v>14.165014476631308</v>
      </c>
      <c r="R10" s="5">
        <v>997.42154960533935</v>
      </c>
      <c r="S10" s="42"/>
      <c r="T10" s="23">
        <v>60030.454580276833</v>
      </c>
      <c r="U10" s="33">
        <v>4.9418164999988221</v>
      </c>
      <c r="V10" s="5">
        <v>3</v>
      </c>
      <c r="W10" s="5">
        <v>85</v>
      </c>
      <c r="X10" s="33">
        <v>0</v>
      </c>
      <c r="Y10" s="5">
        <v>23.304856849482601</v>
      </c>
      <c r="Z10" s="5">
        <v>1256.411883612893</v>
      </c>
      <c r="AA10" s="42"/>
    </row>
    <row r="11" spans="2:27" x14ac:dyDescent="0.2">
      <c r="B11" s="4">
        <v>8</v>
      </c>
      <c r="C11" s="4">
        <v>839</v>
      </c>
      <c r="D11" s="23">
        <v>58268.90132046587</v>
      </c>
      <c r="E11" s="33">
        <v>4.8283268330001192</v>
      </c>
      <c r="F11" s="5">
        <v>3</v>
      </c>
      <c r="G11" s="23">
        <v>85</v>
      </c>
      <c r="H11" s="33">
        <v>0</v>
      </c>
      <c r="I11" s="23">
        <v>14.165014476631308</v>
      </c>
      <c r="J11" s="5">
        <v>997.42154960533935</v>
      </c>
      <c r="K11" s="31" t="e">
        <f t="shared" si="0"/>
        <v>#DIV/0!</v>
      </c>
      <c r="L11" s="23">
        <v>58268.90132046587</v>
      </c>
      <c r="M11" s="33">
        <v>4.9561950419993082</v>
      </c>
      <c r="N11" s="5">
        <v>3</v>
      </c>
      <c r="O11" s="5">
        <v>85</v>
      </c>
      <c r="P11" s="33">
        <v>0</v>
      </c>
      <c r="Q11" s="5">
        <v>14.165014476631308</v>
      </c>
      <c r="R11" s="5">
        <v>997.42154960533935</v>
      </c>
      <c r="S11" s="42"/>
      <c r="T11" s="23">
        <v>60030.454580276833</v>
      </c>
      <c r="U11" s="33">
        <v>4.930361416998494</v>
      </c>
      <c r="V11" s="5">
        <v>3</v>
      </c>
      <c r="W11" s="5">
        <v>85</v>
      </c>
      <c r="X11" s="33">
        <v>0</v>
      </c>
      <c r="Y11" s="5">
        <v>23.304856849482601</v>
      </c>
      <c r="Z11" s="5">
        <v>1256.411883612893</v>
      </c>
      <c r="AA11" s="42"/>
    </row>
    <row r="12" spans="2:27" x14ac:dyDescent="0.2">
      <c r="B12" s="4">
        <v>9</v>
      </c>
      <c r="C12" s="4">
        <v>846</v>
      </c>
      <c r="D12" s="23">
        <v>58268.90132046587</v>
      </c>
      <c r="E12" s="33">
        <v>4.7986459170001581</v>
      </c>
      <c r="F12" s="5">
        <v>3</v>
      </c>
      <c r="G12" s="23">
        <v>85</v>
      </c>
      <c r="H12" s="33">
        <v>0</v>
      </c>
      <c r="I12" s="23">
        <v>14.165014476631308</v>
      </c>
      <c r="J12" s="5">
        <v>997.42154960533935</v>
      </c>
      <c r="K12" s="31" t="e">
        <f t="shared" si="0"/>
        <v>#DIV/0!</v>
      </c>
      <c r="L12" s="23">
        <v>58268.90132046587</v>
      </c>
      <c r="M12" s="33">
        <v>4.9372982090026198</v>
      </c>
      <c r="N12" s="5">
        <v>3</v>
      </c>
      <c r="O12" s="5">
        <v>85</v>
      </c>
      <c r="P12" s="33">
        <v>0</v>
      </c>
      <c r="Q12" s="5">
        <v>14.165014476631308</v>
      </c>
      <c r="R12" s="5">
        <v>997.42154960533935</v>
      </c>
      <c r="S12" s="42"/>
      <c r="T12" s="23">
        <v>60030.454580276833</v>
      </c>
      <c r="U12" s="33">
        <v>4.9754376669989142</v>
      </c>
      <c r="V12" s="5">
        <v>3</v>
      </c>
      <c r="W12" s="5">
        <v>85</v>
      </c>
      <c r="X12" s="33">
        <v>0</v>
      </c>
      <c r="Y12" s="5">
        <v>23.304856849482601</v>
      </c>
      <c r="Z12" s="5">
        <v>1256.411883612893</v>
      </c>
      <c r="AA12" s="42"/>
    </row>
    <row r="13" spans="2:27" x14ac:dyDescent="0.2">
      <c r="B13" s="4">
        <v>10</v>
      </c>
      <c r="C13" s="4">
        <v>899</v>
      </c>
      <c r="D13" s="23">
        <v>58268.90132046587</v>
      </c>
      <c r="E13" s="33">
        <v>4.8424629999999516</v>
      </c>
      <c r="F13" s="5">
        <v>3</v>
      </c>
      <c r="G13" s="23">
        <v>85</v>
      </c>
      <c r="H13" s="33">
        <v>0</v>
      </c>
      <c r="I13" s="23">
        <v>14.165014476631308</v>
      </c>
      <c r="J13" s="5">
        <v>997.42154960533935</v>
      </c>
      <c r="K13" s="31" t="e">
        <f t="shared" si="0"/>
        <v>#DIV/0!</v>
      </c>
      <c r="L13" s="23">
        <v>58268.90132046587</v>
      </c>
      <c r="M13" s="33">
        <v>4.8701210830004129</v>
      </c>
      <c r="N13" s="5">
        <v>3</v>
      </c>
      <c r="O13" s="5">
        <v>85</v>
      </c>
      <c r="P13" s="33">
        <v>0</v>
      </c>
      <c r="Q13" s="5">
        <v>14.165014476631308</v>
      </c>
      <c r="R13" s="5">
        <v>997.42154960533935</v>
      </c>
      <c r="S13" s="42"/>
      <c r="T13" s="23">
        <v>60030.454580276833</v>
      </c>
      <c r="U13" s="33">
        <v>5.008460125001875</v>
      </c>
      <c r="V13" s="5">
        <v>3</v>
      </c>
      <c r="W13" s="5">
        <v>85</v>
      </c>
      <c r="X13" s="33">
        <v>0</v>
      </c>
      <c r="Y13" s="5">
        <v>23.304856849482601</v>
      </c>
      <c r="Z13" s="5">
        <v>1256.411883612893</v>
      </c>
      <c r="AA13" s="42"/>
    </row>
    <row r="14" spans="2:27" x14ac:dyDescent="0.2">
      <c r="B14" s="46" t="s">
        <v>3</v>
      </c>
      <c r="C14" s="47"/>
      <c r="D14" s="9">
        <f>MIN(D4:D13)</f>
        <v>58268.90132046587</v>
      </c>
      <c r="E14" s="22">
        <f>INDEX(E4:E13, MATCH($D$14, D4:D13, 0))</f>
        <v>4.9573944170001596</v>
      </c>
      <c r="F14" s="9">
        <f>INDEX(F4:F13, MATCH($D$14, D4:D13, 0))</f>
        <v>3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14.165014476631308</v>
      </c>
      <c r="J14" s="22">
        <f>INDEX(J4:J13, MATCH($D$14, D4:D13, 0))</f>
        <v>997.42154960533935</v>
      </c>
      <c r="K14" s="32" t="e">
        <f>(D14-$D$15)/$D$15</f>
        <v>#DIV/0!</v>
      </c>
      <c r="L14" s="16">
        <f>MIN(L4:L13)</f>
        <v>58268.90132046587</v>
      </c>
      <c r="M14" s="21">
        <f>INDEX(M4:M13, MATCH($L$14, L4:L13, 0))</f>
        <v>5.0240294159993937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14.165014476631308</v>
      </c>
      <c r="R14" s="21">
        <f>INDEX(R4:R13, MATCH($L$14, L4:L13, 0))</f>
        <v>997.42154960533935</v>
      </c>
      <c r="S14" s="43" t="e">
        <f>(L14-$D$15)/$D$15</f>
        <v>#DIV/0!</v>
      </c>
      <c r="T14" s="38">
        <f>MIN(T4:T13)</f>
        <v>60030.454580276833</v>
      </c>
      <c r="U14" s="44">
        <f>INDEX(U4:U13, MATCH($T$14, T4:T13, 0))</f>
        <v>4.8280234170015319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0</v>
      </c>
      <c r="Y14" s="44">
        <f>INDEX(Y4:Y13, MATCH($T$14, T4:T13, 0))</f>
        <v>23.304856849482601</v>
      </c>
      <c r="Z14" s="44">
        <f>INDEX(Z4:Z13, MATCH($T$14, T4:T13, 0))</f>
        <v>1256.411883612893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5" priority="3"/>
    <cfRule type="duplicateValues" dxfId="64" priority="4"/>
  </conditionalFormatting>
  <conditionalFormatting sqref="C29:C1048576 C1:C13">
    <cfRule type="duplicateValues" dxfId="63" priority="5"/>
    <cfRule type="duplicateValues" dxfId="62" priority="6"/>
  </conditionalFormatting>
  <conditionalFormatting sqref="C15:C2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3508-F1FD-4042-9A10-F70791C1C43D}">
  <dimension ref="B1:AA17"/>
  <sheetViews>
    <sheetView topLeftCell="J1" zoomScale="118" zoomScaleNormal="120" workbookViewId="0">
      <selection activeCell="J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-0.62314629282444456</v>
      </c>
      <c r="J2" s="28" t="e">
        <f>(S14-J14)/J14</f>
        <v>#DIV/0!</v>
      </c>
      <c r="K2" s="28"/>
      <c r="L2" s="1" t="s">
        <v>18</v>
      </c>
      <c r="P2" s="1">
        <f>(P14-H14)/H14</f>
        <v>-0.98733316921725378</v>
      </c>
      <c r="R2" s="1">
        <f>(R14-J14)/J14</f>
        <v>-4.0464432288572043E-2</v>
      </c>
      <c r="T2" s="1" t="s">
        <v>19</v>
      </c>
      <c r="X2" s="1">
        <f>(X14-P14)/P14</f>
        <v>63.090371450150812</v>
      </c>
      <c r="Z2" s="1">
        <f>(Z14-R14)/R14</f>
        <v>0.41504631136793346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66</v>
      </c>
      <c r="D4" s="23">
        <v>55731.71449198552</v>
      </c>
      <c r="E4" s="33">
        <v>4.8846508749993518</v>
      </c>
      <c r="F4" s="5">
        <v>3</v>
      </c>
      <c r="G4" s="23">
        <v>100</v>
      </c>
      <c r="H4" s="33">
        <v>38.480897191426017</v>
      </c>
      <c r="I4" s="23">
        <v>22.436576368087241</v>
      </c>
      <c r="J4" s="5">
        <v>1505.6517122281214</v>
      </c>
      <c r="K4" s="31" t="e">
        <f>(D4-$D$15)/$D$15</f>
        <v>#DIV/0!</v>
      </c>
      <c r="L4" s="23">
        <v>69860.808354236418</v>
      </c>
      <c r="M4" s="33">
        <v>4.4420814590012014</v>
      </c>
      <c r="N4" s="5">
        <v>3</v>
      </c>
      <c r="O4" s="5">
        <v>80</v>
      </c>
      <c r="P4" s="33">
        <v>0.48743101309204917</v>
      </c>
      <c r="Q4" s="5">
        <v>14.501668762030313</v>
      </c>
      <c r="R4" s="5">
        <v>1444.726370468494</v>
      </c>
      <c r="S4" s="42"/>
      <c r="T4" s="23">
        <v>64656.210267570699</v>
      </c>
      <c r="U4" s="33">
        <v>5.3149397080014751</v>
      </c>
      <c r="V4" s="5">
        <v>3</v>
      </c>
      <c r="W4" s="5">
        <v>90</v>
      </c>
      <c r="X4" s="33">
        <v>31.239634685392755</v>
      </c>
      <c r="Y4" s="5">
        <v>43.931825872023921</v>
      </c>
      <c r="Z4" s="5">
        <v>2044.354721467425</v>
      </c>
      <c r="AA4" s="42"/>
    </row>
    <row r="5" spans="2:27" x14ac:dyDescent="0.2">
      <c r="B5" s="4">
        <v>2</v>
      </c>
      <c r="C5" s="4">
        <v>67</v>
      </c>
      <c r="D5" s="23">
        <v>55731.71449198552</v>
      </c>
      <c r="E5" s="33">
        <v>4.5052066660000492</v>
      </c>
      <c r="F5" s="5">
        <v>3</v>
      </c>
      <c r="G5" s="23">
        <v>100</v>
      </c>
      <c r="H5" s="33">
        <v>38.480897191426017</v>
      </c>
      <c r="I5" s="23">
        <v>22.436576368087241</v>
      </c>
      <c r="J5" s="5">
        <v>1505.6517122281214</v>
      </c>
      <c r="K5" s="31" t="e">
        <f>(D5-$D$15)/$D$15</f>
        <v>#DIV/0!</v>
      </c>
      <c r="L5" s="23">
        <v>72184.776243990054</v>
      </c>
      <c r="M5" s="33">
        <v>5.015906584001641</v>
      </c>
      <c r="N5" s="5">
        <v>3</v>
      </c>
      <c r="O5" s="5">
        <v>70</v>
      </c>
      <c r="P5" s="33">
        <v>0.55706401496234192</v>
      </c>
      <c r="Q5" s="5">
        <v>13.027386204928829</v>
      </c>
      <c r="R5" s="5">
        <v>1071.8923045542867</v>
      </c>
      <c r="S5" s="42"/>
      <c r="T5" s="23">
        <v>64656.210267570699</v>
      </c>
      <c r="U5" s="33">
        <v>5.4031162089995632</v>
      </c>
      <c r="V5" s="5">
        <v>3</v>
      </c>
      <c r="W5" s="5">
        <v>90</v>
      </c>
      <c r="X5" s="33">
        <v>31.239634685392755</v>
      </c>
      <c r="Y5" s="5">
        <v>43.931825872023921</v>
      </c>
      <c r="Z5" s="5">
        <v>2044.354721467425</v>
      </c>
      <c r="AA5" s="42"/>
    </row>
    <row r="6" spans="2:27" x14ac:dyDescent="0.2">
      <c r="B6" s="4">
        <v>3</v>
      </c>
      <c r="C6" s="4">
        <v>141</v>
      </c>
      <c r="D6" s="23">
        <v>55731.71449198552</v>
      </c>
      <c r="E6" s="33">
        <v>4.6073611250003523</v>
      </c>
      <c r="F6" s="5">
        <v>3</v>
      </c>
      <c r="G6" s="23">
        <v>100</v>
      </c>
      <c r="H6" s="33">
        <v>38.480897191426017</v>
      </c>
      <c r="I6" s="23">
        <v>22.436576368087241</v>
      </c>
      <c r="J6" s="5">
        <v>1505.6517122281214</v>
      </c>
      <c r="K6" s="31" t="e">
        <f t="shared" ref="K6:K13" si="0">(D6-$D$15)/$D$15</f>
        <v>#DIV/0!</v>
      </c>
      <c r="L6" s="23">
        <v>74769.484518451427</v>
      </c>
      <c r="M6" s="33">
        <v>2.0709277919995661</v>
      </c>
      <c r="N6" s="5">
        <v>2</v>
      </c>
      <c r="O6" s="5">
        <v>60</v>
      </c>
      <c r="P6" s="33">
        <v>0</v>
      </c>
      <c r="Q6" s="5">
        <v>11.624575943359012</v>
      </c>
      <c r="R6" s="5">
        <v>1420.5235326149377</v>
      </c>
      <c r="S6" s="42"/>
      <c r="T6" s="23">
        <v>64656.210267570699</v>
      </c>
      <c r="U6" s="33">
        <v>5.4255299590004142</v>
      </c>
      <c r="V6" s="5">
        <v>3</v>
      </c>
      <c r="W6" s="5">
        <v>90</v>
      </c>
      <c r="X6" s="33">
        <v>31.239634685392755</v>
      </c>
      <c r="Y6" s="5">
        <v>43.931825872023921</v>
      </c>
      <c r="Z6" s="5">
        <v>2044.354721467425</v>
      </c>
      <c r="AA6" s="42"/>
    </row>
    <row r="7" spans="2:27" x14ac:dyDescent="0.2">
      <c r="B7" s="4">
        <v>4</v>
      </c>
      <c r="C7" s="4">
        <v>487</v>
      </c>
      <c r="D7" s="23">
        <v>55731.71449198552</v>
      </c>
      <c r="E7" s="33">
        <v>4.9248110830003498</v>
      </c>
      <c r="F7" s="5">
        <v>3</v>
      </c>
      <c r="G7" s="23">
        <v>100</v>
      </c>
      <c r="H7" s="33">
        <v>38.480897191426017</v>
      </c>
      <c r="I7" s="23">
        <v>22.436576368087241</v>
      </c>
      <c r="J7" s="5">
        <v>1505.6517122281214</v>
      </c>
      <c r="K7" s="31" t="e">
        <f t="shared" si="0"/>
        <v>#DIV/0!</v>
      </c>
      <c r="L7" s="23">
        <v>69860.808354236418</v>
      </c>
      <c r="M7" s="33">
        <v>4.3943240830012664</v>
      </c>
      <c r="N7" s="5">
        <v>3</v>
      </c>
      <c r="O7" s="5">
        <v>80</v>
      </c>
      <c r="P7" s="33">
        <v>0.48743101309204917</v>
      </c>
      <c r="Q7" s="5">
        <v>14.501668762030313</v>
      </c>
      <c r="R7" s="5">
        <v>1444.726370468494</v>
      </c>
      <c r="S7" s="42"/>
      <c r="T7" s="23">
        <v>64656.210267570699</v>
      </c>
      <c r="U7" s="33">
        <v>5.3667061659980391</v>
      </c>
      <c r="V7" s="5">
        <v>3</v>
      </c>
      <c r="W7" s="5">
        <v>90</v>
      </c>
      <c r="X7" s="33">
        <v>31.239634685392755</v>
      </c>
      <c r="Y7" s="5">
        <v>43.931825872023921</v>
      </c>
      <c r="Z7" s="5">
        <v>2044.354721467425</v>
      </c>
      <c r="AA7" s="42"/>
    </row>
    <row r="8" spans="2:27" x14ac:dyDescent="0.2">
      <c r="B8" s="4">
        <v>5</v>
      </c>
      <c r="C8" s="4">
        <v>514</v>
      </c>
      <c r="D8" s="23">
        <v>55731.71449198552</v>
      </c>
      <c r="E8" s="33">
        <v>4.5233462919995873</v>
      </c>
      <c r="F8" s="5">
        <v>3</v>
      </c>
      <c r="G8" s="23">
        <v>100</v>
      </c>
      <c r="H8" s="33">
        <v>38.480897191426017</v>
      </c>
      <c r="I8" s="23">
        <v>22.436576368087241</v>
      </c>
      <c r="J8" s="5">
        <v>1505.6517122281214</v>
      </c>
      <c r="K8" s="31" t="e">
        <f t="shared" si="0"/>
        <v>#DIV/0!</v>
      </c>
      <c r="L8" s="23">
        <v>72184.776243990054</v>
      </c>
      <c r="M8" s="33">
        <v>4.9164185000008729</v>
      </c>
      <c r="N8" s="5">
        <v>3</v>
      </c>
      <c r="O8" s="5">
        <v>70</v>
      </c>
      <c r="P8" s="33">
        <v>0.55706401496234192</v>
      </c>
      <c r="Q8" s="5">
        <v>13.027386204928829</v>
      </c>
      <c r="R8" s="5">
        <v>1071.8923045542867</v>
      </c>
      <c r="S8" s="42"/>
      <c r="T8" s="23">
        <v>64656.210267570699</v>
      </c>
      <c r="U8" s="33">
        <v>5.4043305829982273</v>
      </c>
      <c r="V8" s="5">
        <v>3</v>
      </c>
      <c r="W8" s="5">
        <v>90</v>
      </c>
      <c r="X8" s="33">
        <v>31.239634685392755</v>
      </c>
      <c r="Y8" s="5">
        <v>43.931825872023921</v>
      </c>
      <c r="Z8" s="5">
        <v>2044.354721467425</v>
      </c>
      <c r="AA8" s="42"/>
    </row>
    <row r="9" spans="2:27" x14ac:dyDescent="0.2">
      <c r="B9" s="4">
        <v>6</v>
      </c>
      <c r="C9" s="4">
        <v>611</v>
      </c>
      <c r="D9" s="23">
        <v>55731.71449198552</v>
      </c>
      <c r="E9" s="33">
        <v>4.5030851249994157</v>
      </c>
      <c r="F9" s="5">
        <v>3</v>
      </c>
      <c r="G9" s="23">
        <v>100</v>
      </c>
      <c r="H9" s="33">
        <v>38.480897191426017</v>
      </c>
      <c r="I9" s="23">
        <v>22.436576368087241</v>
      </c>
      <c r="J9" s="5">
        <v>1505.6517122281214</v>
      </c>
      <c r="K9" s="31" t="e">
        <f t="shared" si="0"/>
        <v>#DIV/0!</v>
      </c>
      <c r="L9" s="23">
        <v>72184.776243990054</v>
      </c>
      <c r="M9" s="33">
        <v>4.8749401250024684</v>
      </c>
      <c r="N9" s="5">
        <v>3</v>
      </c>
      <c r="O9" s="5">
        <v>70</v>
      </c>
      <c r="P9" s="33">
        <v>0.55706401496234192</v>
      </c>
      <c r="Q9" s="5">
        <v>13.027386204928829</v>
      </c>
      <c r="R9" s="5">
        <v>1071.8923045542867</v>
      </c>
      <c r="S9" s="42"/>
      <c r="T9" s="23">
        <v>64656.210267570699</v>
      </c>
      <c r="U9" s="33">
        <v>5.519145957998262</v>
      </c>
      <c r="V9" s="5">
        <v>3</v>
      </c>
      <c r="W9" s="5">
        <v>90</v>
      </c>
      <c r="X9" s="33">
        <v>31.239634685392755</v>
      </c>
      <c r="Y9" s="5">
        <v>43.931825872023921</v>
      </c>
      <c r="Z9" s="5">
        <v>2044.354721467425</v>
      </c>
      <c r="AA9" s="42"/>
    </row>
    <row r="10" spans="2:27" x14ac:dyDescent="0.2">
      <c r="B10" s="4">
        <v>7</v>
      </c>
      <c r="C10" s="4">
        <v>670</v>
      </c>
      <c r="D10" s="23">
        <v>55731.71449198552</v>
      </c>
      <c r="E10" s="33">
        <v>4.5474738749999233</v>
      </c>
      <c r="F10" s="5">
        <v>3</v>
      </c>
      <c r="G10" s="23">
        <v>100</v>
      </c>
      <c r="H10" s="33">
        <v>38.480897191426017</v>
      </c>
      <c r="I10" s="23">
        <v>22.436576368087241</v>
      </c>
      <c r="J10" s="5">
        <v>1505.6517122281214</v>
      </c>
      <c r="K10" s="31" t="e">
        <f t="shared" si="0"/>
        <v>#DIV/0!</v>
      </c>
      <c r="L10" s="23">
        <v>72184.776243990054</v>
      </c>
      <c r="M10" s="33">
        <v>4.9437781250016997</v>
      </c>
      <c r="N10" s="5">
        <v>3</v>
      </c>
      <c r="O10" s="5">
        <v>70</v>
      </c>
      <c r="P10" s="33">
        <v>0.55706401496234192</v>
      </c>
      <c r="Q10" s="5">
        <v>13.027386204928829</v>
      </c>
      <c r="R10" s="5">
        <v>1071.8923045542867</v>
      </c>
      <c r="S10" s="42"/>
      <c r="T10" s="23">
        <v>64656.210267570699</v>
      </c>
      <c r="U10" s="33">
        <v>5.4482470840011956</v>
      </c>
      <c r="V10" s="5">
        <v>3</v>
      </c>
      <c r="W10" s="5">
        <v>90</v>
      </c>
      <c r="X10" s="33">
        <v>31.239634685392755</v>
      </c>
      <c r="Y10" s="5">
        <v>43.931825872023921</v>
      </c>
      <c r="Z10" s="5">
        <v>2044.354721467425</v>
      </c>
      <c r="AA10" s="42"/>
    </row>
    <row r="11" spans="2:27" x14ac:dyDescent="0.2">
      <c r="B11" s="4">
        <v>8</v>
      </c>
      <c r="C11" s="4">
        <v>793</v>
      </c>
      <c r="D11" s="23">
        <v>55731.71449198552</v>
      </c>
      <c r="E11" s="33">
        <v>4.5449572090001311</v>
      </c>
      <c r="F11" s="5">
        <v>3</v>
      </c>
      <c r="G11" s="23">
        <v>100</v>
      </c>
      <c r="H11" s="33">
        <v>38.480897191426017</v>
      </c>
      <c r="I11" s="23">
        <v>22.436576368087241</v>
      </c>
      <c r="J11" s="5">
        <v>1505.6517122281214</v>
      </c>
      <c r="K11" s="31" t="e">
        <f t="shared" si="0"/>
        <v>#DIV/0!</v>
      </c>
      <c r="L11" s="23">
        <v>72184.776243990054</v>
      </c>
      <c r="M11" s="33">
        <v>4.8147152500023367</v>
      </c>
      <c r="N11" s="5">
        <v>3</v>
      </c>
      <c r="O11" s="5">
        <v>70</v>
      </c>
      <c r="P11" s="33">
        <v>0.55706401496234192</v>
      </c>
      <c r="Q11" s="5">
        <v>13.027386204928829</v>
      </c>
      <c r="R11" s="5">
        <v>1071.8923045542867</v>
      </c>
      <c r="S11" s="42"/>
      <c r="T11" s="23">
        <v>64656.210267570699</v>
      </c>
      <c r="U11" s="33">
        <v>5.4076932499992836</v>
      </c>
      <c r="V11" s="5">
        <v>3</v>
      </c>
      <c r="W11" s="5">
        <v>90</v>
      </c>
      <c r="X11" s="33">
        <v>31.239634685392755</v>
      </c>
      <c r="Y11" s="5">
        <v>43.931825872023921</v>
      </c>
      <c r="Z11" s="5">
        <v>2044.354721467425</v>
      </c>
      <c r="AA11" s="42"/>
    </row>
    <row r="12" spans="2:27" x14ac:dyDescent="0.2">
      <c r="B12" s="4">
        <v>9</v>
      </c>
      <c r="C12" s="4">
        <v>159</v>
      </c>
      <c r="D12" s="23">
        <v>55731.71449198552</v>
      </c>
      <c r="E12" s="33">
        <v>5.0753107499995167</v>
      </c>
      <c r="F12" s="5">
        <v>3</v>
      </c>
      <c r="G12" s="23">
        <v>100</v>
      </c>
      <c r="H12" s="33">
        <v>38.480897191426017</v>
      </c>
      <c r="I12" s="23">
        <v>22.436576368087241</v>
      </c>
      <c r="J12" s="5">
        <v>1505.6517122281214</v>
      </c>
      <c r="K12" s="31" t="e">
        <f t="shared" si="0"/>
        <v>#DIV/0!</v>
      </c>
      <c r="L12" s="23">
        <v>69860.808354236418</v>
      </c>
      <c r="M12" s="33">
        <v>4.0383195419999538</v>
      </c>
      <c r="N12" s="5">
        <v>3</v>
      </c>
      <c r="O12" s="5">
        <v>80</v>
      </c>
      <c r="P12" s="33">
        <v>0.48743101309204917</v>
      </c>
      <c r="Q12" s="5">
        <v>14.501668762030313</v>
      </c>
      <c r="R12" s="5">
        <v>1444.726370468494</v>
      </c>
      <c r="S12" s="42"/>
      <c r="T12" s="23">
        <v>64656.210267570699</v>
      </c>
      <c r="U12" s="33">
        <v>5.6752959580007882</v>
      </c>
      <c r="V12" s="5">
        <v>3</v>
      </c>
      <c r="W12" s="5">
        <v>90</v>
      </c>
      <c r="X12" s="33">
        <v>31.239634685392755</v>
      </c>
      <c r="Y12" s="5">
        <v>43.931825872023921</v>
      </c>
      <c r="Z12" s="5">
        <v>2044.354721467425</v>
      </c>
      <c r="AA12" s="42"/>
    </row>
    <row r="13" spans="2:27" x14ac:dyDescent="0.2">
      <c r="B13" s="4">
        <v>10</v>
      </c>
      <c r="C13" s="4">
        <v>456</v>
      </c>
      <c r="D13" s="23">
        <v>55731.71449198552</v>
      </c>
      <c r="E13" s="33">
        <v>4.5752535829997214</v>
      </c>
      <c r="F13" s="5">
        <v>3</v>
      </c>
      <c r="G13" s="23">
        <v>100</v>
      </c>
      <c r="H13" s="33">
        <v>38.480897191426017</v>
      </c>
      <c r="I13" s="23">
        <v>22.436576368087241</v>
      </c>
      <c r="J13" s="5">
        <v>1505.6517122281214</v>
      </c>
      <c r="K13" s="31" t="e">
        <f t="shared" si="0"/>
        <v>#DIV/0!</v>
      </c>
      <c r="L13" s="23">
        <v>72184.776243990054</v>
      </c>
      <c r="M13" s="33">
        <v>4.8299627500018687</v>
      </c>
      <c r="N13" s="5">
        <v>3</v>
      </c>
      <c r="O13" s="5">
        <v>70</v>
      </c>
      <c r="P13" s="33">
        <v>0.55706401496234192</v>
      </c>
      <c r="Q13" s="5">
        <v>13.027386204928829</v>
      </c>
      <c r="R13" s="5">
        <v>1071.8923045542867</v>
      </c>
      <c r="S13" s="42"/>
      <c r="T13" s="23">
        <v>64656.210267570699</v>
      </c>
      <c r="U13" s="33">
        <v>5.5628635840002971</v>
      </c>
      <c r="V13" s="5">
        <v>3</v>
      </c>
      <c r="W13" s="5">
        <v>90</v>
      </c>
      <c r="X13" s="33">
        <v>31.239634685392755</v>
      </c>
      <c r="Y13" s="5">
        <v>43.931825872023921</v>
      </c>
      <c r="Z13" s="5">
        <v>2044.354721467425</v>
      </c>
      <c r="AA13" s="42"/>
    </row>
    <row r="14" spans="2:27" x14ac:dyDescent="0.2">
      <c r="B14" s="46" t="s">
        <v>3</v>
      </c>
      <c r="C14" s="47"/>
      <c r="D14" s="9">
        <f>MIN(D4:D13)</f>
        <v>55731.71449198552</v>
      </c>
      <c r="E14" s="22">
        <f>INDEX(E4:E13, MATCH($D$14, D4:D13, 0))</f>
        <v>4.8846508749993518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38.480897191426017</v>
      </c>
      <c r="I14" s="22">
        <f>INDEX(I4:I13, MATCH($D$14, D4:D13, 0))</f>
        <v>22.436576368087241</v>
      </c>
      <c r="J14" s="22">
        <f>INDEX(J4:J13, MATCH($D$14, D4:D13, 0))</f>
        <v>1505.6517122281214</v>
      </c>
      <c r="K14" s="32" t="e">
        <f>(D14-$D$15)/$D$15</f>
        <v>#DIV/0!</v>
      </c>
      <c r="L14" s="16">
        <f>MIN(L4:L13)</f>
        <v>69860.808354236418</v>
      </c>
      <c r="M14" s="21">
        <f>INDEX(M4:M13, MATCH($L$14, L4:L13, 0))</f>
        <v>4.4420814590012014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0.48743101309204917</v>
      </c>
      <c r="Q14" s="21">
        <f>INDEX(Q4:Q13, MATCH($L$14, L4:L13, 0))</f>
        <v>14.501668762030313</v>
      </c>
      <c r="R14" s="21">
        <f>INDEX(R4:R13, MATCH($L$14, L4:L13, 0))</f>
        <v>1444.726370468494</v>
      </c>
      <c r="S14" s="43" t="e">
        <f>(L14-$D$15)/$D$15</f>
        <v>#DIV/0!</v>
      </c>
      <c r="T14" s="38">
        <f>MIN(T4:T13)</f>
        <v>64656.210267570699</v>
      </c>
      <c r="U14" s="44">
        <f>INDEX(U4:U13, MATCH($T$14, T4:T13, 0))</f>
        <v>5.3149397080014751</v>
      </c>
      <c r="V14" s="38">
        <f>INDEX(V4:V13, MATCH($T$14, T4:T13, 0))</f>
        <v>3</v>
      </c>
      <c r="W14" s="38">
        <f>INDEX(W4:W13, MATCH($T$14, T4:T13, 0))</f>
        <v>90</v>
      </c>
      <c r="X14" s="44">
        <f>INDEX(X4:X13, MATCH($T$14, T4:T13, 0))</f>
        <v>31.239634685392755</v>
      </c>
      <c r="Y14" s="44">
        <f>INDEX(Y4:Y13, MATCH($T$14, T4:T13, 0))</f>
        <v>43.931825872023921</v>
      </c>
      <c r="Z14" s="44">
        <f>INDEX(Z4:Z13, MATCH($T$14, T4:T13, 0))</f>
        <v>2044.354721467425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:C2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53AB-F031-AF48-8630-5C3D28DA8C80}">
  <dimension ref="B1:AA17"/>
  <sheetViews>
    <sheetView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1.273563812449513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-0.16852588466477217</v>
      </c>
      <c r="T2" s="1" t="s">
        <v>19</v>
      </c>
      <c r="X2" s="1" t="e">
        <f>(X14-P14)/P14</f>
        <v>#DIV/0!</v>
      </c>
      <c r="Z2" s="1">
        <f>(Z14-R14)/R14</f>
        <v>0.6043073083965953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54</v>
      </c>
      <c r="D4" s="23">
        <v>58126.066672600078</v>
      </c>
      <c r="E4" s="33">
        <v>5.3787188329997662</v>
      </c>
      <c r="F4" s="5">
        <v>3</v>
      </c>
      <c r="G4" s="23">
        <v>90</v>
      </c>
      <c r="H4" s="33">
        <v>5.4046431729599362</v>
      </c>
      <c r="I4" s="23">
        <v>15.286506923409201</v>
      </c>
      <c r="J4" s="5">
        <v>1250.991205242233</v>
      </c>
      <c r="K4" s="31" t="e">
        <f>(D4-$D$15)/$D$15</f>
        <v>#DIV/0!</v>
      </c>
      <c r="L4" s="23">
        <v>65876.873254236212</v>
      </c>
      <c r="M4" s="33">
        <v>5.0323321249998116</v>
      </c>
      <c r="N4" s="5">
        <v>3</v>
      </c>
      <c r="O4" s="5">
        <v>80</v>
      </c>
      <c r="P4" s="33">
        <v>11.721977332569157</v>
      </c>
      <c r="Q4" s="5">
        <v>12.733763749044016</v>
      </c>
      <c r="R4" s="5">
        <v>1209.7424587182807</v>
      </c>
      <c r="S4" s="42"/>
      <c r="T4" s="23">
        <v>66931.670249324394</v>
      </c>
      <c r="U4" s="33">
        <v>5.0132300410004973</v>
      </c>
      <c r="V4" s="5">
        <v>3</v>
      </c>
      <c r="W4" s="5">
        <v>85</v>
      </c>
      <c r="X4" s="33">
        <v>61.508172415939256</v>
      </c>
      <c r="Y4" s="5">
        <v>28.214261646737473</v>
      </c>
      <c r="Z4" s="5">
        <v>1720.967634855672</v>
      </c>
      <c r="AA4" s="42"/>
    </row>
    <row r="5" spans="2:27" x14ac:dyDescent="0.2">
      <c r="B5" s="4">
        <v>2</v>
      </c>
      <c r="C5" s="4">
        <v>201</v>
      </c>
      <c r="D5" s="23">
        <v>58186.05671847301</v>
      </c>
      <c r="E5" s="33">
        <v>5.2911784170000828</v>
      </c>
      <c r="F5" s="5">
        <v>3</v>
      </c>
      <c r="G5" s="23">
        <v>90</v>
      </c>
      <c r="H5" s="33">
        <v>0</v>
      </c>
      <c r="I5" s="23">
        <v>14.404209888981788</v>
      </c>
      <c r="J5" s="5">
        <v>1244.0494048927596</v>
      </c>
      <c r="K5" s="31" t="e">
        <f>(D5-$D$15)/$D$15</f>
        <v>#DIV/0!</v>
      </c>
      <c r="L5" s="23">
        <v>65876.873254236212</v>
      </c>
      <c r="M5" s="33">
        <v>4.990531874998851</v>
      </c>
      <c r="N5" s="5">
        <v>3</v>
      </c>
      <c r="O5" s="5">
        <v>80</v>
      </c>
      <c r="P5" s="33">
        <v>11.721977332569157</v>
      </c>
      <c r="Q5" s="5">
        <v>12.733763749044016</v>
      </c>
      <c r="R5" s="5">
        <v>1209.7424587182807</v>
      </c>
      <c r="S5" s="42"/>
      <c r="T5" s="23">
        <v>65824.854630825896</v>
      </c>
      <c r="U5" s="33">
        <v>5.2727715830005764</v>
      </c>
      <c r="V5" s="5">
        <v>3</v>
      </c>
      <c r="W5" s="5">
        <v>85</v>
      </c>
      <c r="X5" s="33">
        <v>23.257433261679996</v>
      </c>
      <c r="Y5" s="5">
        <v>26.436155729259813</v>
      </c>
      <c r="Z5" s="5">
        <v>1668.747208289424</v>
      </c>
      <c r="AA5" s="42"/>
    </row>
    <row r="6" spans="2:27" x14ac:dyDescent="0.2">
      <c r="B6" s="4">
        <v>3</v>
      </c>
      <c r="C6" s="4">
        <v>236</v>
      </c>
      <c r="D6" s="23">
        <v>61375.084731959767</v>
      </c>
      <c r="E6" s="33">
        <v>2.3557465829999269</v>
      </c>
      <c r="F6" s="5">
        <v>2</v>
      </c>
      <c r="G6" s="23">
        <v>70</v>
      </c>
      <c r="H6" s="33">
        <v>0</v>
      </c>
      <c r="I6" s="23">
        <v>19.510979934983311</v>
      </c>
      <c r="J6" s="5">
        <v>1075.1934407237638</v>
      </c>
      <c r="K6" s="31" t="e">
        <f t="shared" ref="K6:K13" si="0">(D6-$D$15)/$D$15</f>
        <v>#DIV/0!</v>
      </c>
      <c r="L6" s="23">
        <v>63107.306234856522</v>
      </c>
      <c r="M6" s="33">
        <v>4.9966422079996846</v>
      </c>
      <c r="N6" s="5">
        <v>3</v>
      </c>
      <c r="O6" s="5">
        <v>80</v>
      </c>
      <c r="P6" s="33">
        <v>0</v>
      </c>
      <c r="Q6" s="5">
        <v>12.287801137244026</v>
      </c>
      <c r="R6" s="5">
        <v>1040.1668056709361</v>
      </c>
      <c r="S6" s="42"/>
      <c r="T6" s="23">
        <v>66828.99699677137</v>
      </c>
      <c r="U6" s="33">
        <v>2.389980375002779</v>
      </c>
      <c r="V6" s="5">
        <v>2</v>
      </c>
      <c r="W6" s="5">
        <v>70</v>
      </c>
      <c r="X6" s="33">
        <v>12.856828090701436</v>
      </c>
      <c r="Y6" s="5">
        <v>41.091230951788283</v>
      </c>
      <c r="Z6" s="5">
        <v>1747.0881131351555</v>
      </c>
      <c r="AA6" s="42"/>
    </row>
    <row r="7" spans="2:27" x14ac:dyDescent="0.2">
      <c r="B7" s="4">
        <v>4</v>
      </c>
      <c r="C7" s="4">
        <v>264</v>
      </c>
      <c r="D7" s="23">
        <v>61375.084731959767</v>
      </c>
      <c r="E7" s="33">
        <v>2.3559189580000748</v>
      </c>
      <c r="F7" s="5">
        <v>2</v>
      </c>
      <c r="G7" s="23">
        <v>70</v>
      </c>
      <c r="H7" s="33">
        <v>0</v>
      </c>
      <c r="I7" s="23">
        <v>19.510979934983311</v>
      </c>
      <c r="J7" s="5">
        <v>1075.1934407237638</v>
      </c>
      <c r="K7" s="31" t="e">
        <f t="shared" si="0"/>
        <v>#DIV/0!</v>
      </c>
      <c r="L7" s="23">
        <v>68748.466758766401</v>
      </c>
      <c r="M7" s="33">
        <v>2.8849268339981791</v>
      </c>
      <c r="N7" s="5">
        <v>2</v>
      </c>
      <c r="O7" s="5">
        <v>60</v>
      </c>
      <c r="P7" s="33">
        <v>0</v>
      </c>
      <c r="Q7" s="5">
        <v>15.667249157438906</v>
      </c>
      <c r="R7" s="5">
        <v>968.3058008096308</v>
      </c>
      <c r="S7" s="42"/>
      <c r="T7" s="23">
        <v>66828.99699677137</v>
      </c>
      <c r="U7" s="33">
        <v>2.3354111249973362</v>
      </c>
      <c r="V7" s="5">
        <v>2</v>
      </c>
      <c r="W7" s="5">
        <v>70</v>
      </c>
      <c r="X7" s="33">
        <v>12.856828090701436</v>
      </c>
      <c r="Y7" s="5">
        <v>41.091230951788283</v>
      </c>
      <c r="Z7" s="5">
        <v>1747.0881131351555</v>
      </c>
      <c r="AA7" s="42"/>
    </row>
    <row r="8" spans="2:27" x14ac:dyDescent="0.2">
      <c r="B8" s="4">
        <v>5</v>
      </c>
      <c r="C8" s="4">
        <v>266</v>
      </c>
      <c r="D8" s="23">
        <v>58186.05671847301</v>
      </c>
      <c r="E8" s="33">
        <v>5.3156170419997579</v>
      </c>
      <c r="F8" s="5">
        <v>3</v>
      </c>
      <c r="G8" s="23">
        <v>90</v>
      </c>
      <c r="H8" s="33">
        <v>0</v>
      </c>
      <c r="I8" s="23">
        <v>14.404209888981788</v>
      </c>
      <c r="J8" s="5">
        <v>1244.0494048927596</v>
      </c>
      <c r="K8" s="31" t="e">
        <f t="shared" si="0"/>
        <v>#DIV/0!</v>
      </c>
      <c r="L8" s="23">
        <v>65876.873254236212</v>
      </c>
      <c r="M8" s="33">
        <v>5.0880143330032297</v>
      </c>
      <c r="N8" s="5">
        <v>3</v>
      </c>
      <c r="O8" s="5">
        <v>80</v>
      </c>
      <c r="P8" s="33">
        <v>11.721977332569157</v>
      </c>
      <c r="Q8" s="5">
        <v>12.733763749044016</v>
      </c>
      <c r="R8" s="5">
        <v>1209.7424587182807</v>
      </c>
      <c r="S8" s="42"/>
      <c r="T8" s="23">
        <v>65824.854630825896</v>
      </c>
      <c r="U8" s="33">
        <v>5.2499097079999046</v>
      </c>
      <c r="V8" s="5">
        <v>3</v>
      </c>
      <c r="W8" s="5">
        <v>85</v>
      </c>
      <c r="X8" s="33">
        <v>23.257433261679996</v>
      </c>
      <c r="Y8" s="5">
        <v>26.436155729259813</v>
      </c>
      <c r="Z8" s="5">
        <v>1668.747208289424</v>
      </c>
      <c r="AA8" s="42"/>
    </row>
    <row r="9" spans="2:27" x14ac:dyDescent="0.2">
      <c r="B9" s="4">
        <v>6</v>
      </c>
      <c r="C9" s="4">
        <v>443</v>
      </c>
      <c r="D9" s="23">
        <v>58126.066672600078</v>
      </c>
      <c r="E9" s="33">
        <v>5.3097923340001216</v>
      </c>
      <c r="F9" s="5">
        <v>3</v>
      </c>
      <c r="G9" s="23">
        <v>90</v>
      </c>
      <c r="H9" s="33">
        <v>5.4046431729599362</v>
      </c>
      <c r="I9" s="23">
        <v>15.286506923409201</v>
      </c>
      <c r="J9" s="5">
        <v>1250.991205242233</v>
      </c>
      <c r="K9" s="31" t="e">
        <f t="shared" si="0"/>
        <v>#DIV/0!</v>
      </c>
      <c r="L9" s="23">
        <v>65876.873254236212</v>
      </c>
      <c r="M9" s="33">
        <v>4.6424805419992481</v>
      </c>
      <c r="N9" s="5">
        <v>3</v>
      </c>
      <c r="O9" s="5">
        <v>80</v>
      </c>
      <c r="P9" s="33">
        <v>11.721977332569157</v>
      </c>
      <c r="Q9" s="5">
        <v>12.733763749044016</v>
      </c>
      <c r="R9" s="5">
        <v>1209.7424587182807</v>
      </c>
      <c r="S9" s="42"/>
      <c r="T9" s="23">
        <v>66931.670249324394</v>
      </c>
      <c r="U9" s="33">
        <v>5.071535541999765</v>
      </c>
      <c r="V9" s="5">
        <v>3</v>
      </c>
      <c r="W9" s="5">
        <v>85</v>
      </c>
      <c r="X9" s="33">
        <v>61.508172415939256</v>
      </c>
      <c r="Y9" s="5">
        <v>28.214261646737473</v>
      </c>
      <c r="Z9" s="5">
        <v>1720.967634855672</v>
      </c>
      <c r="AA9" s="42"/>
    </row>
    <row r="10" spans="2:27" x14ac:dyDescent="0.2">
      <c r="B10" s="4">
        <v>7</v>
      </c>
      <c r="C10" s="4">
        <v>512</v>
      </c>
      <c r="D10" s="23">
        <v>61375.084731959767</v>
      </c>
      <c r="E10" s="33">
        <v>2.367126416000247</v>
      </c>
      <c r="F10" s="5">
        <v>2</v>
      </c>
      <c r="G10" s="23">
        <v>70</v>
      </c>
      <c r="H10" s="33">
        <v>0</v>
      </c>
      <c r="I10" s="23">
        <v>19.510979934983311</v>
      </c>
      <c r="J10" s="5">
        <v>1075.1934407237638</v>
      </c>
      <c r="K10" s="31" t="e">
        <f t="shared" si="0"/>
        <v>#DIV/0!</v>
      </c>
      <c r="L10" s="23">
        <v>65876.873254236212</v>
      </c>
      <c r="M10" s="33">
        <v>5.1005724589995216</v>
      </c>
      <c r="N10" s="5">
        <v>3</v>
      </c>
      <c r="O10" s="5">
        <v>80</v>
      </c>
      <c r="P10" s="33">
        <v>11.721977332569157</v>
      </c>
      <c r="Q10" s="5">
        <v>12.733763749044016</v>
      </c>
      <c r="R10" s="5">
        <v>1209.7424587182807</v>
      </c>
      <c r="S10" s="42"/>
      <c r="T10" s="23">
        <v>66828.99699677137</v>
      </c>
      <c r="U10" s="33">
        <v>2.3545008750006668</v>
      </c>
      <c r="V10" s="5">
        <v>2</v>
      </c>
      <c r="W10" s="5">
        <v>70</v>
      </c>
      <c r="X10" s="33">
        <v>12.856828090701436</v>
      </c>
      <c r="Y10" s="5">
        <v>41.091230951788283</v>
      </c>
      <c r="Z10" s="5">
        <v>1747.0881131351555</v>
      </c>
      <c r="AA10" s="42"/>
    </row>
    <row r="11" spans="2:27" x14ac:dyDescent="0.2">
      <c r="B11" s="4">
        <v>8</v>
      </c>
      <c r="C11" s="4">
        <v>611</v>
      </c>
      <c r="D11" s="23">
        <v>61375.084731959767</v>
      </c>
      <c r="E11" s="33">
        <v>2.3259622920004399</v>
      </c>
      <c r="F11" s="5">
        <v>2</v>
      </c>
      <c r="G11" s="23">
        <v>70</v>
      </c>
      <c r="H11" s="33">
        <v>0</v>
      </c>
      <c r="I11" s="23">
        <v>19.510979934983311</v>
      </c>
      <c r="J11" s="5">
        <v>1075.1934407237638</v>
      </c>
      <c r="K11" s="31" t="e">
        <f t="shared" si="0"/>
        <v>#DIV/0!</v>
      </c>
      <c r="L11" s="23">
        <v>68748.466758766401</v>
      </c>
      <c r="M11" s="33">
        <v>2.9132810000010072</v>
      </c>
      <c r="N11" s="5">
        <v>2</v>
      </c>
      <c r="O11" s="5">
        <v>60</v>
      </c>
      <c r="P11" s="33">
        <v>0</v>
      </c>
      <c r="Q11" s="5">
        <v>15.667249157438906</v>
      </c>
      <c r="R11" s="5">
        <v>968.3058008096308</v>
      </c>
      <c r="S11" s="42"/>
      <c r="T11" s="23">
        <v>66828.99699677137</v>
      </c>
      <c r="U11" s="33">
        <v>2.3443541669985279</v>
      </c>
      <c r="V11" s="5">
        <v>2</v>
      </c>
      <c r="W11" s="5">
        <v>70</v>
      </c>
      <c r="X11" s="33">
        <v>12.856828090701436</v>
      </c>
      <c r="Y11" s="5">
        <v>41.091230951788283</v>
      </c>
      <c r="Z11" s="5">
        <v>1747.0881131351555</v>
      </c>
      <c r="AA11" s="42"/>
    </row>
    <row r="12" spans="2:27" x14ac:dyDescent="0.2">
      <c r="B12" s="4">
        <v>9</v>
      </c>
      <c r="C12" s="4">
        <v>768</v>
      </c>
      <c r="D12" s="23">
        <v>58126.066672600078</v>
      </c>
      <c r="E12" s="33">
        <v>5.3285582919997978</v>
      </c>
      <c r="F12" s="5">
        <v>3</v>
      </c>
      <c r="G12" s="23">
        <v>90</v>
      </c>
      <c r="H12" s="33">
        <v>5.4046431729599362</v>
      </c>
      <c r="I12" s="23">
        <v>15.286506923409201</v>
      </c>
      <c r="J12" s="5">
        <v>1250.991205242233</v>
      </c>
      <c r="K12" s="31" t="e">
        <f t="shared" si="0"/>
        <v>#DIV/0!</v>
      </c>
      <c r="L12" s="23">
        <v>63107.306234856522</v>
      </c>
      <c r="M12" s="33">
        <v>5.1399042920020293</v>
      </c>
      <c r="N12" s="5">
        <v>3</v>
      </c>
      <c r="O12" s="5">
        <v>80</v>
      </c>
      <c r="P12" s="33">
        <v>0</v>
      </c>
      <c r="Q12" s="5">
        <v>12.287801137244026</v>
      </c>
      <c r="R12" s="5">
        <v>1040.1668056709361</v>
      </c>
      <c r="S12" s="42"/>
      <c r="T12" s="23">
        <v>66931.670249324394</v>
      </c>
      <c r="U12" s="33">
        <v>5.2547239160012396</v>
      </c>
      <c r="V12" s="5">
        <v>3</v>
      </c>
      <c r="W12" s="5">
        <v>85</v>
      </c>
      <c r="X12" s="33">
        <v>61.508172415939256</v>
      </c>
      <c r="Y12" s="5">
        <v>28.214261646737473</v>
      </c>
      <c r="Z12" s="5">
        <v>1720.967634855672</v>
      </c>
      <c r="AA12" s="42"/>
    </row>
    <row r="13" spans="2:27" x14ac:dyDescent="0.2">
      <c r="B13" s="4">
        <v>10</v>
      </c>
      <c r="C13" s="4">
        <v>967</v>
      </c>
      <c r="D13" s="23">
        <v>58126.066672600078</v>
      </c>
      <c r="E13" s="33">
        <v>5.1383768340001552</v>
      </c>
      <c r="F13" s="5">
        <v>3</v>
      </c>
      <c r="G13" s="23">
        <v>90</v>
      </c>
      <c r="H13" s="33">
        <v>5.4046431729599362</v>
      </c>
      <c r="I13" s="23">
        <v>15.286506923409201</v>
      </c>
      <c r="J13" s="5">
        <v>1250.991205242233</v>
      </c>
      <c r="K13" s="31" t="e">
        <f t="shared" si="0"/>
        <v>#DIV/0!</v>
      </c>
      <c r="L13" s="23">
        <v>65876.873254236212</v>
      </c>
      <c r="M13" s="33">
        <v>5.1460306670014688</v>
      </c>
      <c r="N13" s="5">
        <v>3</v>
      </c>
      <c r="O13" s="5">
        <v>80</v>
      </c>
      <c r="P13" s="33">
        <v>11.721977332569157</v>
      </c>
      <c r="Q13" s="5">
        <v>12.733763749044016</v>
      </c>
      <c r="R13" s="5">
        <v>1209.7424587182807</v>
      </c>
      <c r="S13" s="42"/>
      <c r="T13" s="23">
        <v>66931.670249324394</v>
      </c>
      <c r="U13" s="33">
        <v>5.1092230409994954</v>
      </c>
      <c r="V13" s="5">
        <v>3</v>
      </c>
      <c r="W13" s="5">
        <v>85</v>
      </c>
      <c r="X13" s="33">
        <v>61.508172415939256</v>
      </c>
      <c r="Y13" s="5">
        <v>28.214261646737473</v>
      </c>
      <c r="Z13" s="5">
        <v>1720.967634855672</v>
      </c>
      <c r="AA13" s="42"/>
    </row>
    <row r="14" spans="2:27" x14ac:dyDescent="0.2">
      <c r="B14" s="46" t="s">
        <v>3</v>
      </c>
      <c r="C14" s="47"/>
      <c r="D14" s="9">
        <f>MIN(D4:D13)</f>
        <v>58126.066672600078</v>
      </c>
      <c r="E14" s="22">
        <f>INDEX(E4:E13, MATCH($D$14, D4:D13, 0))</f>
        <v>5.3787188329997662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5.4046431729599362</v>
      </c>
      <c r="I14" s="22">
        <f>INDEX(I4:I13, MATCH($D$14, D4:D13, 0))</f>
        <v>15.286506923409201</v>
      </c>
      <c r="J14" s="22">
        <f>INDEX(J4:J13, MATCH($D$14, D4:D13, 0))</f>
        <v>1250.991205242233</v>
      </c>
      <c r="K14" s="32" t="e">
        <f>(D14-$D$15)/$D$15</f>
        <v>#DIV/0!</v>
      </c>
      <c r="L14" s="16">
        <f>MIN(L4:L13)</f>
        <v>63107.306234856522</v>
      </c>
      <c r="M14" s="21">
        <f>INDEX(M4:M13, MATCH($L$14, L4:L13, 0))</f>
        <v>4.9966422079996846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12.287801137244026</v>
      </c>
      <c r="R14" s="21">
        <f>INDEX(R4:R13, MATCH($L$14, L4:L13, 0))</f>
        <v>1040.1668056709361</v>
      </c>
      <c r="S14" s="43" t="e">
        <f>(L14-$D$15)/$D$15</f>
        <v>#DIV/0!</v>
      </c>
      <c r="T14" s="38">
        <f>MIN(T4:T13)</f>
        <v>65824.854630825896</v>
      </c>
      <c r="U14" s="44">
        <f>INDEX(U4:U13, MATCH($T$14, T4:T13, 0))</f>
        <v>5.2727715830005764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23.257433261679996</v>
      </c>
      <c r="Y14" s="44">
        <f>INDEX(Y4:Y13, MATCH($T$14, T4:T13, 0))</f>
        <v>26.436155729259813</v>
      </c>
      <c r="Z14" s="44">
        <f>INDEX(Z4:Z13, MATCH($T$14, T4:T13, 0))</f>
        <v>1668.747208289424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57" priority="5"/>
    <cfRule type="duplicateValues" dxfId="56" priority="6"/>
  </conditionalFormatting>
  <conditionalFormatting sqref="C14">
    <cfRule type="duplicateValues" dxfId="55" priority="3"/>
    <cfRule type="duplicateValues" dxfId="54" priority="4"/>
  </conditionalFormatting>
  <conditionalFormatting sqref="C15:C2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3B2F-7F7A-7A48-BF56-CAB763063A14}">
  <dimension ref="B1:AA17"/>
  <sheetViews>
    <sheetView tabSelected="1" topLeftCell="I1" zoomScale="118" zoomScaleNormal="120" workbookViewId="0">
      <selection activeCell="I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-0.6650973958663009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-0.32578824376207821</v>
      </c>
      <c r="T2" s="1" t="s">
        <v>19</v>
      </c>
      <c r="X2" s="1" t="e">
        <f>(X14-P14)/P14</f>
        <v>#DIV/0!</v>
      </c>
      <c r="Z2" s="1">
        <f>(Z14-R14)/R14</f>
        <v>0.44036854887467247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85</v>
      </c>
      <c r="D4" s="23">
        <v>60142.525678491707</v>
      </c>
      <c r="E4" s="33">
        <v>2.4156205829995092</v>
      </c>
      <c r="F4" s="5">
        <v>2</v>
      </c>
      <c r="G4" s="23">
        <v>85</v>
      </c>
      <c r="H4" s="33">
        <v>44.132821139782344</v>
      </c>
      <c r="I4" s="23">
        <v>24.56517273457553</v>
      </c>
      <c r="J4" s="5">
        <v>1690.163793040615</v>
      </c>
      <c r="K4" s="31" t="e">
        <f>(D4-$D$15)/$D$15</f>
        <v>#DIV/0!</v>
      </c>
      <c r="L4" s="23">
        <v>66852.670773724356</v>
      </c>
      <c r="M4" s="33">
        <v>4.5987648749978689</v>
      </c>
      <c r="N4" s="5">
        <v>3</v>
      </c>
      <c r="O4" s="5">
        <v>75</v>
      </c>
      <c r="P4" s="33">
        <v>0</v>
      </c>
      <c r="Q4" s="5">
        <v>14.780196727479874</v>
      </c>
      <c r="R4" s="5">
        <v>1086.8151173699011</v>
      </c>
      <c r="S4" s="42"/>
      <c r="T4" s="23">
        <v>64773.783431489661</v>
      </c>
      <c r="U4" s="33">
        <v>3.5718057919984858</v>
      </c>
      <c r="V4" s="5">
        <v>3</v>
      </c>
      <c r="W4" s="5">
        <v>85</v>
      </c>
      <c r="X4" s="33">
        <v>65.081970439578399</v>
      </c>
      <c r="Y4" s="5">
        <v>28.985231248436378</v>
      </c>
      <c r="Z4" s="5">
        <v>1565.4143135011414</v>
      </c>
      <c r="AA4" s="42"/>
    </row>
    <row r="5" spans="2:27" x14ac:dyDescent="0.2">
      <c r="B5" s="4">
        <v>2</v>
      </c>
      <c r="C5" s="4">
        <v>288</v>
      </c>
      <c r="D5" s="23">
        <v>59698.785852899862</v>
      </c>
      <c r="E5" s="33">
        <v>3.5756853749999209</v>
      </c>
      <c r="F5" s="5">
        <v>2</v>
      </c>
      <c r="G5" s="23">
        <v>85</v>
      </c>
      <c r="H5" s="33">
        <v>44.132821139782344</v>
      </c>
      <c r="I5" s="23">
        <v>20.195118256159756</v>
      </c>
      <c r="J5" s="5">
        <v>1611.9788884048712</v>
      </c>
      <c r="K5" s="31" t="e">
        <f>(D5-$D$15)/$D$15</f>
        <v>#DIV/0!</v>
      </c>
      <c r="L5" s="23">
        <v>66852.670773724356</v>
      </c>
      <c r="M5" s="33">
        <v>4.6920627909967152</v>
      </c>
      <c r="N5" s="5">
        <v>3</v>
      </c>
      <c r="O5" s="5">
        <v>75</v>
      </c>
      <c r="P5" s="33">
        <v>0</v>
      </c>
      <c r="Q5" s="5">
        <v>14.780196727479874</v>
      </c>
      <c r="R5" s="5">
        <v>1086.8151173699011</v>
      </c>
      <c r="S5" s="42"/>
      <c r="T5" s="23">
        <v>64773.783431489661</v>
      </c>
      <c r="U5" s="33">
        <v>3.336362166999606</v>
      </c>
      <c r="V5" s="5">
        <v>3</v>
      </c>
      <c r="W5" s="5">
        <v>85</v>
      </c>
      <c r="X5" s="33">
        <v>65.081970439578399</v>
      </c>
      <c r="Y5" s="5">
        <v>28.985231248436378</v>
      </c>
      <c r="Z5" s="5">
        <v>1565.4143135011414</v>
      </c>
      <c r="AA5" s="42"/>
    </row>
    <row r="6" spans="2:27" x14ac:dyDescent="0.2">
      <c r="B6" s="4">
        <v>3</v>
      </c>
      <c r="C6" s="4">
        <v>400</v>
      </c>
      <c r="D6" s="23">
        <v>60142.525678491707</v>
      </c>
      <c r="E6" s="33">
        <v>2.6862269579996791</v>
      </c>
      <c r="F6" s="5">
        <v>2</v>
      </c>
      <c r="G6" s="23">
        <v>85</v>
      </c>
      <c r="H6" s="33">
        <v>44.132821139782344</v>
      </c>
      <c r="I6" s="23">
        <v>24.56517273457553</v>
      </c>
      <c r="J6" s="5">
        <v>1690.163793040615</v>
      </c>
      <c r="K6" s="31" t="e">
        <f t="shared" ref="K6:K13" si="0">(D6-$D$15)/$D$15</f>
        <v>#DIV/0!</v>
      </c>
      <c r="L6" s="23">
        <v>66852.670773724356</v>
      </c>
      <c r="M6" s="33">
        <v>4.6460208749995218</v>
      </c>
      <c r="N6" s="5">
        <v>3</v>
      </c>
      <c r="O6" s="5">
        <v>75</v>
      </c>
      <c r="P6" s="33">
        <v>0</v>
      </c>
      <c r="Q6" s="5">
        <v>14.780196727479874</v>
      </c>
      <c r="R6" s="5">
        <v>1086.8151173699011</v>
      </c>
      <c r="S6" s="42"/>
      <c r="T6" s="23">
        <v>64773.783431489661</v>
      </c>
      <c r="U6" s="33">
        <v>3.5500821249988799</v>
      </c>
      <c r="V6" s="5">
        <v>3</v>
      </c>
      <c r="W6" s="5">
        <v>85</v>
      </c>
      <c r="X6" s="33">
        <v>65.081970439578399</v>
      </c>
      <c r="Y6" s="5">
        <v>28.985231248436378</v>
      </c>
      <c r="Z6" s="5">
        <v>1565.4143135011414</v>
      </c>
      <c r="AA6" s="42"/>
    </row>
    <row r="7" spans="2:27" x14ac:dyDescent="0.2">
      <c r="B7" s="4">
        <v>4</v>
      </c>
      <c r="C7" s="4">
        <v>431</v>
      </c>
      <c r="D7" s="23">
        <v>60142.525678491707</v>
      </c>
      <c r="E7" s="33">
        <v>2.4246451669996532</v>
      </c>
      <c r="F7" s="5">
        <v>2</v>
      </c>
      <c r="G7" s="23">
        <v>85</v>
      </c>
      <c r="H7" s="33">
        <v>44.132821139782344</v>
      </c>
      <c r="I7" s="23">
        <v>24.56517273457553</v>
      </c>
      <c r="J7" s="5">
        <v>1690.163793040615</v>
      </c>
      <c r="K7" s="31" t="e">
        <f t="shared" si="0"/>
        <v>#DIV/0!</v>
      </c>
      <c r="L7" s="23">
        <v>66852.670773724356</v>
      </c>
      <c r="M7" s="33">
        <v>4.5653877499971713</v>
      </c>
      <c r="N7" s="5">
        <v>3</v>
      </c>
      <c r="O7" s="5">
        <v>75</v>
      </c>
      <c r="P7" s="33">
        <v>0</v>
      </c>
      <c r="Q7" s="5">
        <v>14.780196727479874</v>
      </c>
      <c r="R7" s="5">
        <v>1086.8151173699011</v>
      </c>
      <c r="S7" s="42"/>
      <c r="T7" s="23">
        <v>64773.783431489661</v>
      </c>
      <c r="U7" s="33">
        <v>3.2947165420009701</v>
      </c>
      <c r="V7" s="5">
        <v>3</v>
      </c>
      <c r="W7" s="5">
        <v>85</v>
      </c>
      <c r="X7" s="33">
        <v>65.081970439578399</v>
      </c>
      <c r="Y7" s="5">
        <v>28.985231248436378</v>
      </c>
      <c r="Z7" s="5">
        <v>1565.4143135011414</v>
      </c>
      <c r="AA7" s="42"/>
    </row>
    <row r="8" spans="2:27" x14ac:dyDescent="0.2">
      <c r="B8" s="4">
        <v>5</v>
      </c>
      <c r="C8" s="4">
        <v>475</v>
      </c>
      <c r="D8" s="23">
        <v>59698.785852899862</v>
      </c>
      <c r="E8" s="33">
        <v>3.2859408330004949</v>
      </c>
      <c r="F8" s="5">
        <v>2</v>
      </c>
      <c r="G8" s="23">
        <v>85</v>
      </c>
      <c r="H8" s="33">
        <v>44.132821139782344</v>
      </c>
      <c r="I8" s="23">
        <v>20.195118256159756</v>
      </c>
      <c r="J8" s="5">
        <v>1611.9788884048712</v>
      </c>
      <c r="K8" s="31" t="e">
        <f t="shared" si="0"/>
        <v>#DIV/0!</v>
      </c>
      <c r="L8" s="23">
        <v>66852.670773724356</v>
      </c>
      <c r="M8" s="33">
        <v>5.4078184160025558</v>
      </c>
      <c r="N8" s="5">
        <v>3</v>
      </c>
      <c r="O8" s="5">
        <v>75</v>
      </c>
      <c r="P8" s="33">
        <v>0</v>
      </c>
      <c r="Q8" s="5">
        <v>14.780196727479874</v>
      </c>
      <c r="R8" s="5">
        <v>1086.8151173699011</v>
      </c>
      <c r="S8" s="42"/>
      <c r="T8" s="23">
        <v>64773.783431489661</v>
      </c>
      <c r="U8" s="33">
        <v>3.9853076250001318</v>
      </c>
      <c r="V8" s="5">
        <v>3</v>
      </c>
      <c r="W8" s="5">
        <v>85</v>
      </c>
      <c r="X8" s="33">
        <v>65.081970439578399</v>
      </c>
      <c r="Y8" s="5">
        <v>28.985231248436378</v>
      </c>
      <c r="Z8" s="5">
        <v>1565.4143135011414</v>
      </c>
      <c r="AA8" s="42"/>
    </row>
    <row r="9" spans="2:27" x14ac:dyDescent="0.2">
      <c r="B9" s="4">
        <v>6</v>
      </c>
      <c r="C9" s="4">
        <v>500</v>
      </c>
      <c r="D9" s="23">
        <v>59698.785852899862</v>
      </c>
      <c r="E9" s="33">
        <v>3.0093628340000582</v>
      </c>
      <c r="F9" s="5">
        <v>2</v>
      </c>
      <c r="G9" s="23">
        <v>85</v>
      </c>
      <c r="H9" s="33">
        <v>44.132821139782344</v>
      </c>
      <c r="I9" s="23">
        <v>20.195118256159756</v>
      </c>
      <c r="J9" s="5">
        <v>1611.9788884048712</v>
      </c>
      <c r="K9" s="31" t="e">
        <f t="shared" si="0"/>
        <v>#DIV/0!</v>
      </c>
      <c r="L9" s="23">
        <v>66852.670773724356</v>
      </c>
      <c r="M9" s="33">
        <v>5.0430262500012759</v>
      </c>
      <c r="N9" s="5">
        <v>3</v>
      </c>
      <c r="O9" s="5">
        <v>75</v>
      </c>
      <c r="P9" s="33">
        <v>0</v>
      </c>
      <c r="Q9" s="5">
        <v>14.780196727479874</v>
      </c>
      <c r="R9" s="5">
        <v>1086.8151173699011</v>
      </c>
      <c r="S9" s="42"/>
      <c r="T9" s="23">
        <v>64773.783431489661</v>
      </c>
      <c r="U9" s="33">
        <v>3.4146258329965349</v>
      </c>
      <c r="V9" s="5">
        <v>3</v>
      </c>
      <c r="W9" s="5">
        <v>85</v>
      </c>
      <c r="X9" s="33">
        <v>65.081970439578399</v>
      </c>
      <c r="Y9" s="5">
        <v>28.985231248436378</v>
      </c>
      <c r="Z9" s="5">
        <v>1565.4143135011414</v>
      </c>
      <c r="AA9" s="42"/>
    </row>
    <row r="10" spans="2:27" x14ac:dyDescent="0.2">
      <c r="B10" s="4">
        <v>7</v>
      </c>
      <c r="C10" s="4">
        <v>565</v>
      </c>
      <c r="D10" s="23">
        <v>59698.785852899862</v>
      </c>
      <c r="E10" s="33">
        <v>3.0112882080002241</v>
      </c>
      <c r="F10" s="5">
        <v>2</v>
      </c>
      <c r="G10" s="23">
        <v>85</v>
      </c>
      <c r="H10" s="33">
        <v>44.132821139782344</v>
      </c>
      <c r="I10" s="23">
        <v>20.195118256159756</v>
      </c>
      <c r="J10" s="5">
        <v>1611.9788884048712</v>
      </c>
      <c r="K10" s="31" t="e">
        <f t="shared" si="0"/>
        <v>#DIV/0!</v>
      </c>
      <c r="L10" s="23">
        <v>66852.670773724356</v>
      </c>
      <c r="M10" s="33">
        <v>4.6249029169994174</v>
      </c>
      <c r="N10" s="5">
        <v>3</v>
      </c>
      <c r="O10" s="5">
        <v>75</v>
      </c>
      <c r="P10" s="33">
        <v>0</v>
      </c>
      <c r="Q10" s="5">
        <v>14.780196727479874</v>
      </c>
      <c r="R10" s="5">
        <v>1086.8151173699011</v>
      </c>
      <c r="S10" s="42"/>
      <c r="T10" s="23">
        <v>64773.783431489661</v>
      </c>
      <c r="U10" s="33">
        <v>3.3301573749995441</v>
      </c>
      <c r="V10" s="5">
        <v>3</v>
      </c>
      <c r="W10" s="5">
        <v>85</v>
      </c>
      <c r="X10" s="33">
        <v>65.081970439578399</v>
      </c>
      <c r="Y10" s="5">
        <v>28.985231248436378</v>
      </c>
      <c r="Z10" s="5">
        <v>1565.4143135011414</v>
      </c>
      <c r="AA10" s="42"/>
    </row>
    <row r="11" spans="2:27" x14ac:dyDescent="0.2">
      <c r="B11" s="4">
        <v>8</v>
      </c>
      <c r="C11" s="4">
        <v>652</v>
      </c>
      <c r="D11" s="23">
        <v>59698.785852899862</v>
      </c>
      <c r="E11" s="33">
        <v>2.952493457999481</v>
      </c>
      <c r="F11" s="5">
        <v>2</v>
      </c>
      <c r="G11" s="23">
        <v>85</v>
      </c>
      <c r="H11" s="33">
        <v>44.132821139782344</v>
      </c>
      <c r="I11" s="23">
        <v>20.195118256159756</v>
      </c>
      <c r="J11" s="5">
        <v>1611.9788884048712</v>
      </c>
      <c r="K11" s="31" t="e">
        <f t="shared" si="0"/>
        <v>#DIV/0!</v>
      </c>
      <c r="L11" s="23">
        <v>66852.670773724356</v>
      </c>
      <c r="M11" s="33">
        <v>4.5580917080005747</v>
      </c>
      <c r="N11" s="5">
        <v>3</v>
      </c>
      <c r="O11" s="5">
        <v>75</v>
      </c>
      <c r="P11" s="33">
        <v>0</v>
      </c>
      <c r="Q11" s="5">
        <v>14.780196727479874</v>
      </c>
      <c r="R11" s="5">
        <v>1086.8151173699011</v>
      </c>
      <c r="S11" s="42"/>
      <c r="T11" s="23">
        <v>65437.671082190551</v>
      </c>
      <c r="U11" s="33">
        <v>3.273035750000417</v>
      </c>
      <c r="V11" s="5">
        <v>3</v>
      </c>
      <c r="W11" s="5">
        <v>85</v>
      </c>
      <c r="X11" s="33">
        <v>82.358147319903608</v>
      </c>
      <c r="Y11" s="5">
        <v>27.255108663205736</v>
      </c>
      <c r="Z11" s="5">
        <v>1563.4633113816105</v>
      </c>
      <c r="AA11" s="42"/>
    </row>
    <row r="12" spans="2:27" x14ac:dyDescent="0.2">
      <c r="B12" s="4">
        <v>9</v>
      </c>
      <c r="C12" s="4">
        <v>684</v>
      </c>
      <c r="D12" s="23">
        <v>60142.525678491707</v>
      </c>
      <c r="E12" s="33">
        <v>2.675430750000487</v>
      </c>
      <c r="F12" s="5">
        <v>2</v>
      </c>
      <c r="G12" s="23">
        <v>85</v>
      </c>
      <c r="H12" s="33">
        <v>44.132821139782344</v>
      </c>
      <c r="I12" s="23">
        <v>24.56517273457553</v>
      </c>
      <c r="J12" s="5">
        <v>1690.163793040615</v>
      </c>
      <c r="K12" s="31" t="e">
        <f t="shared" si="0"/>
        <v>#DIV/0!</v>
      </c>
      <c r="L12" s="23">
        <v>72701.885856694105</v>
      </c>
      <c r="M12" s="33">
        <v>3.8274597919989901</v>
      </c>
      <c r="N12" s="5">
        <v>3</v>
      </c>
      <c r="O12" s="5">
        <v>80</v>
      </c>
      <c r="P12" s="33">
        <v>46.056982150988688</v>
      </c>
      <c r="Q12" s="5">
        <v>15.755227975918487</v>
      </c>
      <c r="R12" s="5">
        <v>1645.9480262179018</v>
      </c>
      <c r="S12" s="42"/>
      <c r="T12" s="23">
        <v>64773.783431489661</v>
      </c>
      <c r="U12" s="33">
        <v>3.2119019999991001</v>
      </c>
      <c r="V12" s="5">
        <v>3</v>
      </c>
      <c r="W12" s="5">
        <v>85</v>
      </c>
      <c r="X12" s="33">
        <v>65.081970439578399</v>
      </c>
      <c r="Y12" s="5">
        <v>28.985231248436378</v>
      </c>
      <c r="Z12" s="5">
        <v>1565.4143135011414</v>
      </c>
      <c r="AA12" s="42"/>
    </row>
    <row r="13" spans="2:27" x14ac:dyDescent="0.2">
      <c r="B13" s="4">
        <v>10</v>
      </c>
      <c r="C13" s="4">
        <v>787</v>
      </c>
      <c r="D13" s="23">
        <v>59698.785852899862</v>
      </c>
      <c r="E13" s="33">
        <v>3.0617766249997662</v>
      </c>
      <c r="F13" s="5">
        <v>2</v>
      </c>
      <c r="G13" s="23">
        <v>85</v>
      </c>
      <c r="H13" s="33">
        <v>44.132821139782344</v>
      </c>
      <c r="I13" s="23">
        <v>20.195118256159756</v>
      </c>
      <c r="J13" s="5">
        <v>1611.9788884048712</v>
      </c>
      <c r="K13" s="31" t="e">
        <f t="shared" si="0"/>
        <v>#DIV/0!</v>
      </c>
      <c r="L13" s="23">
        <v>66852.670773724356</v>
      </c>
      <c r="M13" s="33">
        <v>4.6722084159991937</v>
      </c>
      <c r="N13" s="5">
        <v>3</v>
      </c>
      <c r="O13" s="5">
        <v>75</v>
      </c>
      <c r="P13" s="33">
        <v>0</v>
      </c>
      <c r="Q13" s="5">
        <v>14.780196727479874</v>
      </c>
      <c r="R13" s="5">
        <v>1086.8151173699011</v>
      </c>
      <c r="S13" s="42"/>
      <c r="T13" s="23">
        <v>64773.783431489661</v>
      </c>
      <c r="U13" s="33">
        <v>3.2229712920016031</v>
      </c>
      <c r="V13" s="5">
        <v>3</v>
      </c>
      <c r="W13" s="5">
        <v>85</v>
      </c>
      <c r="X13" s="33">
        <v>65.081970439578399</v>
      </c>
      <c r="Y13" s="5">
        <v>28.985231248436378</v>
      </c>
      <c r="Z13" s="5">
        <v>1565.4143135011414</v>
      </c>
      <c r="AA13" s="42"/>
    </row>
    <row r="14" spans="2:27" x14ac:dyDescent="0.2">
      <c r="B14" s="46" t="s">
        <v>3</v>
      </c>
      <c r="C14" s="47"/>
      <c r="D14" s="9">
        <f>MIN(D4:D13)</f>
        <v>59698.785852899862</v>
      </c>
      <c r="E14" s="22">
        <f>INDEX(E4:E13, MATCH($D$14, D4:D13, 0))</f>
        <v>3.5756853749999209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44.132821139782344</v>
      </c>
      <c r="I14" s="22">
        <f>INDEX(I4:I13, MATCH($D$14, D4:D13, 0))</f>
        <v>20.195118256159756</v>
      </c>
      <c r="J14" s="22">
        <f>INDEX(J4:J13, MATCH($D$14, D4:D13, 0))</f>
        <v>1611.9788884048712</v>
      </c>
      <c r="K14" s="32" t="e">
        <f>(D14-$D$15)/$D$15</f>
        <v>#DIV/0!</v>
      </c>
      <c r="L14" s="16">
        <f>MIN(L4:L13)</f>
        <v>66852.670773724356</v>
      </c>
      <c r="M14" s="21">
        <f>INDEX(M4:M13, MATCH($L$14, L4:L13, 0))</f>
        <v>4.5987648749978689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14.780196727479874</v>
      </c>
      <c r="R14" s="21">
        <f>INDEX(R4:R13, MATCH($L$14, L4:L13, 0))</f>
        <v>1086.8151173699011</v>
      </c>
      <c r="S14" s="43" t="e">
        <f>(L14-$D$15)/$D$15</f>
        <v>#DIV/0!</v>
      </c>
      <c r="T14" s="38">
        <f>MIN(T4:T13)</f>
        <v>64773.783431489661</v>
      </c>
      <c r="U14" s="44">
        <f>INDEX(U4:U13, MATCH($T$14, T4:T13, 0))</f>
        <v>3.5718057919984858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65.081970439578399</v>
      </c>
      <c r="Y14" s="44">
        <f>INDEX(Y4:Y13, MATCH($T$14, T4:T13, 0))</f>
        <v>28.985231248436378</v>
      </c>
      <c r="Z14" s="44">
        <f>INDEX(Z4:Z13, MATCH($T$14, T4:T13, 0))</f>
        <v>1565.4143135011414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2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results265</vt:lpstr>
      <vt:lpstr>results279</vt:lpstr>
      <vt:lpstr>results306</vt:lpstr>
      <vt:lpstr>results400</vt:lpstr>
      <vt:lpstr>results467</vt:lpstr>
      <vt:lpstr>results653</vt:lpstr>
      <vt:lpstr>results714</vt:lpstr>
      <vt:lpstr>results941</vt:lpstr>
      <vt:lpstr>results980</vt:lpstr>
      <vt:lpstr>results997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2026-10-15T22:06:12Z</dcterms:modified>
</cp:coreProperties>
</file>