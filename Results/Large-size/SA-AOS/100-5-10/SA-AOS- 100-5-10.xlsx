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00-5-10/"/>
    </mc:Choice>
  </mc:AlternateContent>
  <xr:revisionPtr revIDLastSave="0" documentId="13_ncr:1_{C52292D9-EDED-CF41-B944-FA5878E8F881}" xr6:coauthVersionLast="47" xr6:coauthVersionMax="47" xr10:uidLastSave="{00000000-0000-0000-0000-000000000000}"/>
  <bookViews>
    <workbookView xWindow="0" yWindow="760" windowWidth="34560" windowHeight="20520" activeTab="1" xr2:uid="{41E620E7-D6DF-9342-B452-EA60AB3B07C5}"/>
  </bookViews>
  <sheets>
    <sheet name="Summary" sheetId="67" r:id="rId1"/>
    <sheet name="results340" sheetId="57" r:id="rId2"/>
    <sheet name="results444" sheetId="58" r:id="rId3"/>
    <sheet name="results531" sheetId="60" r:id="rId4"/>
    <sheet name="results618" sheetId="59" r:id="rId5"/>
    <sheet name="results765" sheetId="64" r:id="rId6"/>
    <sheet name="results777" sheetId="65" r:id="rId7"/>
    <sheet name="results866" sheetId="62" r:id="rId8"/>
    <sheet name="results914" sheetId="63" r:id="rId9"/>
    <sheet name="results921" sheetId="61" r:id="rId10"/>
    <sheet name="results979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62" l="1"/>
  <c r="Y15" i="62"/>
  <c r="X15" i="62"/>
  <c r="W15" i="62"/>
  <c r="V15" i="62"/>
  <c r="U15" i="62"/>
  <c r="T15" i="62"/>
  <c r="Z15" i="65"/>
  <c r="Y15" i="65"/>
  <c r="X15" i="65"/>
  <c r="W15" i="65"/>
  <c r="V15" i="65"/>
  <c r="U15" i="65"/>
  <c r="T15" i="65"/>
  <c r="Z15" i="64"/>
  <c r="Y15" i="64"/>
  <c r="X15" i="64"/>
  <c r="W15" i="64"/>
  <c r="V15" i="64"/>
  <c r="U15" i="64"/>
  <c r="T15" i="64"/>
  <c r="Z15" i="59"/>
  <c r="Y15" i="59"/>
  <c r="X15" i="59"/>
  <c r="W15" i="59"/>
  <c r="V15" i="59"/>
  <c r="U15" i="59"/>
  <c r="T15" i="59"/>
  <c r="Z15" i="60"/>
  <c r="Y15" i="60"/>
  <c r="X15" i="60"/>
  <c r="W15" i="60"/>
  <c r="V15" i="60"/>
  <c r="U15" i="60"/>
  <c r="T15" i="60"/>
  <c r="Z15" i="58"/>
  <c r="Y15" i="58"/>
  <c r="X15" i="58"/>
  <c r="W15" i="58"/>
  <c r="V15" i="58"/>
  <c r="U15" i="58"/>
  <c r="T15" i="5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9" i="67" a="1"/>
  <c r="X6" i="67" a="1"/>
  <c r="W7" i="67" a="1"/>
  <c r="U11" i="67" a="1"/>
  <c r="I10" i="67" a="1"/>
  <c r="O4" i="67" a="1"/>
  <c r="Y4" i="67" a="1"/>
  <c r="V11" i="67" a="1"/>
  <c r="D7" i="67" a="1"/>
  <c r="P3" i="67" a="1"/>
  <c r="L4" i="67" a="1"/>
  <c r="S11" i="67" a="1"/>
  <c r="I12" i="67" a="1"/>
  <c r="T3" i="67" a="1"/>
  <c r="F10" i="67" a="1"/>
  <c r="N3" i="67" a="1"/>
  <c r="L7" i="67" a="1"/>
  <c r="I7" i="67" a="1"/>
  <c r="V10" i="67" a="1"/>
  <c r="F7" i="67" a="1"/>
  <c r="I4" i="67" a="1"/>
  <c r="S12" i="67" a="1"/>
  <c r="I3" i="67" a="1"/>
  <c r="C11" i="67" a="1"/>
  <c r="D9" i="67" a="1"/>
  <c r="H9" i="67" a="1"/>
  <c r="U6" i="67" a="1"/>
  <c r="D11" i="67" a="1"/>
  <c r="U9" i="67" a="1"/>
  <c r="K5" i="67" a="1"/>
  <c r="D12" i="67" a="1"/>
  <c r="X3" i="67" a="1"/>
  <c r="K6" i="67" a="1"/>
  <c r="Y6" i="67" a="1"/>
  <c r="Q4" i="67" a="1"/>
  <c r="E11" i="67" a="1"/>
  <c r="K7" i="67" a="1"/>
  <c r="V4" i="67" a="1"/>
  <c r="V9" i="67" a="1"/>
  <c r="D6" i="67" a="1"/>
  <c r="Y11" i="67" a="1"/>
  <c r="T8" i="67" a="1"/>
  <c r="V7" i="67" a="1"/>
  <c r="T11" i="67" a="1"/>
  <c r="H5" i="67" a="1"/>
  <c r="E8" i="67" a="1"/>
  <c r="N6" i="67" a="1"/>
  <c r="Q5" i="67" a="1"/>
  <c r="C3" i="67" a="1"/>
  <c r="H3" i="67" a="1"/>
  <c r="T4" i="67" a="1"/>
  <c r="H4" i="67" a="1"/>
  <c r="S4" i="67" a="1"/>
  <c r="M4" i="67" a="1"/>
  <c r="T10" i="67" a="1"/>
  <c r="K4" i="67" a="1"/>
  <c r="W3" i="67" a="1"/>
  <c r="U8" i="67" a="1"/>
  <c r="E5" i="67" a="1"/>
  <c r="H12" i="67" a="1"/>
  <c r="C12" i="67" a="1"/>
  <c r="L5" i="67" a="1"/>
  <c r="E3" i="67" a="1"/>
  <c r="H8" i="67" a="1"/>
  <c r="W4" i="67" a="1"/>
  <c r="D4" i="67" a="1"/>
  <c r="F12" i="67" a="1"/>
  <c r="U3" i="67" a="1"/>
  <c r="D8" i="67" a="1"/>
  <c r="K3" i="67" a="1"/>
  <c r="Y10" i="67" a="1"/>
  <c r="C10" i="67" a="1"/>
  <c r="E7" i="67" a="1"/>
  <c r="G10" i="67" a="1"/>
  <c r="G3" i="67" a="1"/>
  <c r="N4" i="67" a="1"/>
  <c r="N7" i="67" a="1"/>
  <c r="F11" i="67" a="1"/>
  <c r="S8" i="67" a="1"/>
  <c r="D10" i="67" a="1"/>
  <c r="I11" i="67" a="1"/>
  <c r="O7" i="67" a="1"/>
  <c r="C6" i="67" a="1"/>
  <c r="H6" i="67" a="1"/>
  <c r="Q3" i="67" a="1"/>
  <c r="X8" i="67" a="1"/>
  <c r="O6" i="67" a="1"/>
  <c r="S10" i="67" a="1"/>
  <c r="Y7" i="67" a="1"/>
  <c r="V8" i="67" a="1"/>
  <c r="V5" i="67" a="1"/>
  <c r="W9" i="67" a="1"/>
  <c r="G9" i="67" a="1"/>
  <c r="M7" i="67" a="1"/>
  <c r="H10" i="67" a="1"/>
  <c r="V3" i="67" a="1"/>
  <c r="E6" i="67" a="1"/>
  <c r="X7" i="67" a="1"/>
  <c r="W5" i="67" a="1"/>
  <c r="T7" i="67" a="1"/>
  <c r="F9" i="67" a="1"/>
  <c r="U7" i="67" a="1"/>
  <c r="M6" i="67" a="1"/>
  <c r="P4" i="67" a="1"/>
  <c r="O3" i="67" a="1"/>
  <c r="G5" i="67" a="1"/>
  <c r="M3" i="67" a="1"/>
  <c r="S7" i="67" a="1"/>
  <c r="X9" i="67" a="1"/>
  <c r="I6" i="67" a="1"/>
  <c r="W8" i="67" a="1"/>
  <c r="U5" i="67" a="1"/>
  <c r="F3" i="67" a="1"/>
  <c r="S5" i="67" a="1"/>
  <c r="T6" i="67" a="1"/>
  <c r="U12" i="67" a="1"/>
  <c r="F5" i="67" a="1"/>
  <c r="G7" i="67" a="1"/>
  <c r="M5" i="67" a="1"/>
  <c r="S3" i="67" a="1"/>
  <c r="X4" i="67" a="1"/>
  <c r="L6" i="67" a="1"/>
  <c r="W11" i="67" a="1"/>
  <c r="N5" i="67" a="1"/>
  <c r="W12" i="67" a="1"/>
  <c r="P7" i="67" a="1"/>
  <c r="S9" i="67" a="1"/>
  <c r="Q6" i="67" a="1"/>
  <c r="H7" i="67" a="1"/>
  <c r="U4" i="67" a="1"/>
  <c r="T5" i="67" a="1"/>
  <c r="E10" i="67" a="1"/>
  <c r="S6" i="67" a="1"/>
  <c r="Q7" i="67" a="1"/>
  <c r="D3" i="67" a="1"/>
  <c r="G4" i="67" a="1"/>
  <c r="G8" i="67" a="1"/>
  <c r="T12" i="67" a="1"/>
  <c r="C5" i="67" a="1"/>
  <c r="E9" i="67" a="1"/>
  <c r="C7" i="67" a="1"/>
  <c r="Y8" i="67" a="1"/>
  <c r="X5" i="67" a="1"/>
  <c r="P6" i="67" a="1"/>
  <c r="Y12" i="67" a="1"/>
  <c r="C8" i="67" a="1"/>
  <c r="I9" i="67" a="1"/>
  <c r="Y5" i="67" a="1"/>
  <c r="W6" i="67" a="1"/>
  <c r="U10" i="67" a="1"/>
  <c r="X11" i="67" a="1"/>
  <c r="F8" i="67" a="1"/>
  <c r="W10" i="67" a="1"/>
  <c r="V6" i="67" a="1"/>
  <c r="L3" i="67" a="1"/>
  <c r="F6" i="67" a="1"/>
  <c r="O5" i="67" a="1"/>
  <c r="C9" i="67" a="1"/>
  <c r="I8" i="67" a="1"/>
  <c r="G12" i="67" a="1"/>
  <c r="C4" i="67" a="1"/>
  <c r="P5" i="67" a="1"/>
  <c r="Y3" i="67" a="1"/>
  <c r="X12" i="67" a="1"/>
  <c r="Y9" i="67" a="1"/>
  <c r="X10" i="67" a="1"/>
  <c r="F4" i="67" a="1"/>
  <c r="V12" i="67" a="1"/>
  <c r="G11" i="67" a="1"/>
  <c r="I5" i="67" a="1"/>
  <c r="G6" i="67" a="1"/>
  <c r="E12" i="67" a="1"/>
  <c r="E4" i="67" a="1"/>
  <c r="D5" i="67" a="1"/>
  <c r="H11" i="67" a="1"/>
  <c r="O6" i="67" l="1"/>
  <c r="E5" i="67"/>
  <c r="E11" i="67"/>
  <c r="V8" i="67"/>
  <c r="S7" i="67"/>
  <c r="E3" i="67"/>
  <c r="H10" i="67"/>
  <c r="V6" i="67"/>
  <c r="L5" i="67"/>
  <c r="S11" i="67"/>
  <c r="E9" i="67"/>
  <c r="H12" i="67"/>
  <c r="V12" i="67"/>
  <c r="V4" i="67"/>
  <c r="S3" i="67"/>
  <c r="Y3" i="67"/>
  <c r="Y11" i="67"/>
  <c r="Y5" i="67"/>
  <c r="H6" i="67"/>
  <c r="H8" i="67"/>
  <c r="L3" i="67"/>
  <c r="V10" i="67"/>
  <c r="E7" i="67"/>
  <c r="S5" i="67"/>
  <c r="L7" i="67"/>
  <c r="H4" i="67"/>
  <c r="S9" i="67"/>
  <c r="O4" i="67"/>
  <c r="Y7" i="67"/>
  <c r="Y9" i="67"/>
  <c r="D3" i="67"/>
  <c r="K3" i="67"/>
  <c r="Q3" i="67"/>
  <c r="X3" i="67"/>
  <c r="G4" i="67"/>
  <c r="N4" i="67"/>
  <c r="U4" i="67"/>
  <c r="D5" i="67"/>
  <c r="K5" i="67"/>
  <c r="Q5" i="67"/>
  <c r="X5" i="67"/>
  <c r="G6" i="67"/>
  <c r="N6" i="67"/>
  <c r="U6" i="67"/>
  <c r="D7" i="67"/>
  <c r="K7" i="67"/>
  <c r="Q7" i="67"/>
  <c r="X7" i="67"/>
  <c r="G8" i="67"/>
  <c r="U8" i="67"/>
  <c r="D9" i="67"/>
  <c r="X9" i="67"/>
  <c r="G10" i="67"/>
  <c r="U10" i="67"/>
  <c r="D11" i="67"/>
  <c r="X11" i="67"/>
  <c r="G12" i="67"/>
  <c r="U12" i="67"/>
  <c r="C12" i="67"/>
  <c r="F3" i="67"/>
  <c r="I4" i="67"/>
  <c r="M5" i="67"/>
  <c r="I6" i="67"/>
  <c r="M7" i="67"/>
  <c r="T9" i="67"/>
  <c r="W10" i="67"/>
  <c r="I12" i="67"/>
  <c r="N3" i="67"/>
  <c r="Q4" i="67"/>
  <c r="U5" i="67"/>
  <c r="Q6" i="67"/>
  <c r="U7" i="67"/>
  <c r="X8" i="67"/>
  <c r="V3" i="67"/>
  <c r="H5" i="67"/>
  <c r="E6" i="67"/>
  <c r="L6" i="67"/>
  <c r="Y6" i="67"/>
  <c r="H7" i="67"/>
  <c r="O7" i="67"/>
  <c r="V7" i="67"/>
  <c r="E8" i="67"/>
  <c r="S8" i="67"/>
  <c r="Y8" i="67"/>
  <c r="H9" i="67"/>
  <c r="V9" i="67"/>
  <c r="E10" i="67"/>
  <c r="S10" i="67"/>
  <c r="Y10" i="67"/>
  <c r="H11" i="67"/>
  <c r="V11" i="67"/>
  <c r="E12" i="67"/>
  <c r="S12" i="67"/>
  <c r="Y12" i="67"/>
  <c r="T3" i="67"/>
  <c r="W4" i="67"/>
  <c r="C6" i="67"/>
  <c r="F7" i="67"/>
  <c r="I8" i="67"/>
  <c r="F11" i="67"/>
  <c r="D4" i="67"/>
  <c r="N5" i="67"/>
  <c r="X6" i="67"/>
  <c r="D8" i="67"/>
  <c r="U11" i="67"/>
  <c r="X12" i="67"/>
  <c r="O3" i="67"/>
  <c r="L4" i="67"/>
  <c r="Y4" i="67"/>
  <c r="V5" i="67"/>
  <c r="S6" i="67"/>
  <c r="C4" i="67"/>
  <c r="F5" i="67"/>
  <c r="P6" i="67"/>
  <c r="T7" i="67"/>
  <c r="W8" i="67"/>
  <c r="I10" i="67"/>
  <c r="T11" i="67"/>
  <c r="W12" i="67"/>
  <c r="G3" i="67"/>
  <c r="K4" i="67"/>
  <c r="G5" i="67"/>
  <c r="K6" i="67"/>
  <c r="N7" i="67"/>
  <c r="G9" i="67"/>
  <c r="D10" i="67"/>
  <c r="G11" i="67"/>
  <c r="H3" i="67"/>
  <c r="S4" i="67"/>
  <c r="P3" i="67"/>
  <c r="M4" i="67"/>
  <c r="I5" i="67"/>
  <c r="F6" i="67"/>
  <c r="T6" i="67"/>
  <c r="P7" i="67"/>
  <c r="F8" i="67"/>
  <c r="T8" i="67"/>
  <c r="I9" i="67"/>
  <c r="W9" i="67"/>
  <c r="F10" i="67"/>
  <c r="T10" i="67"/>
  <c r="C11" i="67"/>
  <c r="W11" i="67"/>
  <c r="F12" i="67"/>
  <c r="T12" i="67"/>
  <c r="M3" i="67"/>
  <c r="P4" i="67"/>
  <c r="T5" i="67"/>
  <c r="W6" i="67"/>
  <c r="C8" i="67"/>
  <c r="F9" i="67"/>
  <c r="C10" i="67"/>
  <c r="U3" i="67"/>
  <c r="X4" i="67"/>
  <c r="D6" i="67"/>
  <c r="G7" i="67"/>
  <c r="U9" i="67"/>
  <c r="X10" i="67"/>
  <c r="D12" i="67"/>
  <c r="E4" i="67"/>
  <c r="O5" i="67"/>
  <c r="C3" i="67"/>
  <c r="I3" i="67"/>
  <c r="W3" i="67"/>
  <c r="F4" i="67"/>
  <c r="T4" i="67"/>
  <c r="C5" i="67"/>
  <c r="P5" i="67"/>
  <c r="W5" i="67"/>
  <c r="M6" i="67"/>
  <c r="C7" i="67"/>
  <c r="I7" i="67"/>
  <c r="W7" i="67"/>
  <c r="C9" i="67"/>
  <c r="I11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6" i="67" l="1"/>
  <c r="C16" i="67"/>
  <c r="D13" i="67"/>
  <c r="F13" i="67"/>
  <c r="I13" i="67"/>
  <c r="H13" i="67"/>
  <c r="E13" i="67"/>
  <c r="V13" i="67"/>
  <c r="G13" i="67"/>
  <c r="Y13" i="67"/>
  <c r="U13" i="67"/>
  <c r="T13" i="67"/>
  <c r="C13" i="67"/>
  <c r="J13" i="67" s="1"/>
  <c r="X13" i="67"/>
  <c r="S13" i="67"/>
  <c r="Z13" i="67" s="1"/>
  <c r="W13" i="67"/>
  <c r="D14" i="66"/>
  <c r="D14" i="61"/>
  <c r="D14" i="63"/>
  <c r="D14" i="62"/>
  <c r="I14" i="62" s="1"/>
  <c r="K14" i="66"/>
  <c r="J14" i="66"/>
  <c r="I14" i="66"/>
  <c r="H14" i="66"/>
  <c r="F14" i="66"/>
  <c r="G14" i="66"/>
  <c r="E14" i="66"/>
  <c r="D14" i="65"/>
  <c r="D14" i="64"/>
  <c r="D14" i="59"/>
  <c r="G14" i="65"/>
  <c r="F14" i="65"/>
  <c r="I14" i="65"/>
  <c r="K14" i="65"/>
  <c r="J14" i="65"/>
  <c r="H14" i="65"/>
  <c r="E14" i="65"/>
  <c r="I14" i="64"/>
  <c r="G14" i="64"/>
  <c r="H14" i="64"/>
  <c r="K14" i="64"/>
  <c r="J14" i="64"/>
  <c r="F14" i="64"/>
  <c r="E14" i="64"/>
  <c r="E14" i="62"/>
  <c r="J14" i="62"/>
  <c r="K14" i="62"/>
  <c r="F14" i="62"/>
  <c r="K14" i="63"/>
  <c r="J14" i="63"/>
  <c r="F14" i="63"/>
  <c r="E14" i="63"/>
  <c r="I14" i="63"/>
  <c r="H14" i="63"/>
  <c r="G14" i="63"/>
  <c r="K14" i="61"/>
  <c r="J14" i="61"/>
  <c r="E14" i="61"/>
  <c r="H14" i="61"/>
  <c r="I14" i="61"/>
  <c r="G14" i="61"/>
  <c r="F14" i="61"/>
  <c r="D14" i="60"/>
  <c r="D14" i="58"/>
  <c r="D14" i="57"/>
  <c r="E14" i="60"/>
  <c r="K14" i="60"/>
  <c r="H14" i="60"/>
  <c r="F14" i="60"/>
  <c r="J14" i="60"/>
  <c r="I14" i="60"/>
  <c r="G14" i="60"/>
  <c r="J14" i="59"/>
  <c r="H14" i="59"/>
  <c r="G14" i="59"/>
  <c r="I14" i="59"/>
  <c r="K14" i="59"/>
  <c r="E14" i="59"/>
  <c r="F14" i="59"/>
  <c r="J14" i="58"/>
  <c r="H14" i="58"/>
  <c r="I14" i="58"/>
  <c r="E14" i="58"/>
  <c r="K14" i="58"/>
  <c r="G14" i="58"/>
  <c r="F14" i="58"/>
  <c r="J14" i="57"/>
  <c r="H14" i="57"/>
  <c r="E14" i="57"/>
  <c r="I14" i="57"/>
  <c r="K14" i="57"/>
  <c r="G14" i="57"/>
  <c r="F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Y14" i="67" l="1"/>
  <c r="V14" i="67"/>
  <c r="L14" i="65"/>
  <c r="T14" i="67"/>
  <c r="L14" i="63"/>
  <c r="L15" i="63" s="1"/>
  <c r="L14" i="61"/>
  <c r="L14" i="66"/>
  <c r="U14" i="67"/>
  <c r="X14" i="67"/>
  <c r="W14" i="67"/>
  <c r="S14" i="67"/>
  <c r="L14" i="57"/>
  <c r="O14" i="57" s="1"/>
  <c r="O15" i="57" s="1"/>
  <c r="L14" i="58"/>
  <c r="L14" i="62"/>
  <c r="L14" i="60"/>
  <c r="P14" i="60" s="1"/>
  <c r="P15" i="60" s="1"/>
  <c r="L14" i="59"/>
  <c r="L14" i="64"/>
  <c r="T14" i="66"/>
  <c r="T14" i="61"/>
  <c r="W14" i="61" s="1"/>
  <c r="W15" i="61" s="1"/>
  <c r="T14" i="63"/>
  <c r="Y14" i="66"/>
  <c r="Y15" i="66" s="1"/>
  <c r="T15" i="66"/>
  <c r="R14" i="66"/>
  <c r="L15" i="66"/>
  <c r="AA14" i="61"/>
  <c r="N14" i="61"/>
  <c r="L15" i="61"/>
  <c r="S14" i="63"/>
  <c r="J2" i="63" s="1"/>
  <c r="Z14" i="63"/>
  <c r="Z15" i="63" s="1"/>
  <c r="T15" i="63"/>
  <c r="O14" i="65"/>
  <c r="L15" i="65"/>
  <c r="O14" i="64"/>
  <c r="O15" i="64" s="1"/>
  <c r="L15" i="64"/>
  <c r="M14" i="59"/>
  <c r="M15" i="59" s="1"/>
  <c r="L15" i="59"/>
  <c r="O14" i="58"/>
  <c r="O15" i="58" s="1"/>
  <c r="L15" i="58"/>
  <c r="M14" i="58"/>
  <c r="M15" i="58" s="1"/>
  <c r="T14" i="65"/>
  <c r="Z14" i="65" s="1"/>
  <c r="T14" i="64"/>
  <c r="X14" i="64" s="1"/>
  <c r="T14" i="59"/>
  <c r="X14" i="59" s="1"/>
  <c r="T14" i="60"/>
  <c r="W14" i="60" s="1"/>
  <c r="T14" i="62"/>
  <c r="W14" i="62" s="1"/>
  <c r="AA14" i="59"/>
  <c r="T14" i="58"/>
  <c r="W14" i="58" s="1"/>
  <c r="U14" i="63"/>
  <c r="U15" i="63" s="1"/>
  <c r="Q14" i="58"/>
  <c r="N14" i="58"/>
  <c r="N15" i="58" s="1"/>
  <c r="Y14" i="61"/>
  <c r="Y15" i="61" s="1"/>
  <c r="P14" i="58"/>
  <c r="P15" i="58" s="1"/>
  <c r="AA14" i="63"/>
  <c r="R14" i="60"/>
  <c r="T14" i="57"/>
  <c r="Y14" i="57" s="1"/>
  <c r="Y15" i="57" s="1"/>
  <c r="V14" i="63"/>
  <c r="V15" i="63" s="1"/>
  <c r="Y14" i="63"/>
  <c r="Y15" i="63" s="1"/>
  <c r="R14" i="58"/>
  <c r="Z14" i="61"/>
  <c r="Z15" i="61" s="1"/>
  <c r="W14" i="63"/>
  <c r="W15" i="63" s="1"/>
  <c r="X14" i="63"/>
  <c r="X15" i="63" s="1"/>
  <c r="AA14" i="60"/>
  <c r="S14" i="58"/>
  <c r="J2" i="58" s="1"/>
  <c r="V14" i="61"/>
  <c r="V15" i="61" s="1"/>
  <c r="V14" i="59"/>
  <c r="O14" i="60"/>
  <c r="O15" i="60" s="1"/>
  <c r="S14" i="60"/>
  <c r="J2" i="60" s="1"/>
  <c r="S14" i="59"/>
  <c r="J2" i="59" s="1"/>
  <c r="M14" i="60"/>
  <c r="M15" i="60" s="1"/>
  <c r="X14" i="61"/>
  <c r="X15" i="61" s="1"/>
  <c r="S14" i="66"/>
  <c r="J2" i="66" s="1"/>
  <c r="U14" i="59"/>
  <c r="M14" i="63"/>
  <c r="R14" i="57"/>
  <c r="R15" i="57" s="1"/>
  <c r="L15" i="57"/>
  <c r="N14" i="60"/>
  <c r="N15" i="60" s="1"/>
  <c r="P14" i="63"/>
  <c r="N14" i="63"/>
  <c r="P14" i="57"/>
  <c r="W14" i="59"/>
  <c r="N14" i="64"/>
  <c r="N15" i="64" s="1"/>
  <c r="X14" i="60"/>
  <c r="U14" i="64"/>
  <c r="N14" i="57"/>
  <c r="N15" i="57" s="1"/>
  <c r="Y14" i="60"/>
  <c r="Y14" i="64"/>
  <c r="S14" i="57"/>
  <c r="J2" i="57" s="1"/>
  <c r="Z14" i="60"/>
  <c r="AA14" i="66"/>
  <c r="R14" i="61"/>
  <c r="R14" i="64"/>
  <c r="V14" i="60"/>
  <c r="AA14" i="64"/>
  <c r="Q14" i="64"/>
  <c r="U14" i="60"/>
  <c r="P14" i="59"/>
  <c r="P15" i="59" s="1"/>
  <c r="P14" i="66"/>
  <c r="Q14" i="59"/>
  <c r="Q14" i="66"/>
  <c r="N14" i="59"/>
  <c r="N15" i="59" s="1"/>
  <c r="O14" i="66"/>
  <c r="O14" i="59"/>
  <c r="O15" i="59" s="1"/>
  <c r="S14" i="61"/>
  <c r="J2" i="61" s="1"/>
  <c r="U14" i="65"/>
  <c r="M14" i="61"/>
  <c r="AA14" i="65"/>
  <c r="Q14" i="61"/>
  <c r="Y14" i="65"/>
  <c r="X14" i="66"/>
  <c r="X15" i="66" s="1"/>
  <c r="Z14" i="66"/>
  <c r="S14" i="65"/>
  <c r="J2" i="65" s="1"/>
  <c r="V14" i="65"/>
  <c r="X14" i="65"/>
  <c r="M14" i="57"/>
  <c r="M15" i="57" s="1"/>
  <c r="U14" i="66"/>
  <c r="U15" i="66" s="1"/>
  <c r="Q14" i="63"/>
  <c r="V14" i="66"/>
  <c r="V15" i="66" s="1"/>
  <c r="R14" i="63"/>
  <c r="W14" i="66"/>
  <c r="W15" i="66" s="1"/>
  <c r="W14" i="65"/>
  <c r="Q14" i="57"/>
  <c r="Y14" i="59"/>
  <c r="R14" i="59"/>
  <c r="P14" i="65"/>
  <c r="Z14" i="64"/>
  <c r="N14" i="66"/>
  <c r="M14" i="65"/>
  <c r="N14" i="65"/>
  <c r="P14" i="61"/>
  <c r="M14" i="64"/>
  <c r="M15" i="64" s="1"/>
  <c r="S14" i="64"/>
  <c r="J2" i="64" s="1"/>
  <c r="W14" i="64"/>
  <c r="M14" i="66"/>
  <c r="O14" i="63"/>
  <c r="Q14" i="65"/>
  <c r="P14" i="64"/>
  <c r="O14" i="61"/>
  <c r="R14" i="65"/>
  <c r="V14" i="64"/>
  <c r="G14" i="62"/>
  <c r="H14" i="62"/>
  <c r="G14" i="26"/>
  <c r="E14" i="26"/>
  <c r="D14" i="26"/>
  <c r="K14" i="26"/>
  <c r="P14" i="25"/>
  <c r="N14" i="25"/>
  <c r="M14" i="25"/>
  <c r="T14" i="25"/>
  <c r="D14" i="25"/>
  <c r="Q8" i="67" a="1"/>
  <c r="N10" i="67" a="1"/>
  <c r="L11" i="67" a="1"/>
  <c r="K11" i="67" a="1"/>
  <c r="O10" i="67" a="1"/>
  <c r="L10" i="67" a="1"/>
  <c r="K12" i="67" a="1"/>
  <c r="P8" i="67" a="1"/>
  <c r="N12" i="67" a="1"/>
  <c r="L12" i="67" a="1"/>
  <c r="N11" i="67" a="1"/>
  <c r="O8" i="67" a="1"/>
  <c r="M11" i="67" a="1"/>
  <c r="L8" i="67" a="1"/>
  <c r="H4" i="23" a="1"/>
  <c r="K10" i="67" a="1"/>
  <c r="M12" i="67" a="1"/>
  <c r="Q12" i="67" a="1"/>
  <c r="Q10" i="67" a="1"/>
  <c r="I4" i="23" a="1"/>
  <c r="O11" i="67" a="1"/>
  <c r="P12" i="67" a="1"/>
  <c r="P11" i="67" a="1"/>
  <c r="K8" i="67" a="1"/>
  <c r="P10" i="67" a="1"/>
  <c r="K9" i="67" a="1"/>
  <c r="O12" i="67" a="1"/>
  <c r="M10" i="67" a="1"/>
  <c r="Q11" i="67" a="1"/>
  <c r="N8" i="67" a="1"/>
  <c r="M8" i="67" a="1"/>
  <c r="K8" i="67" l="1"/>
  <c r="K10" i="67"/>
  <c r="K11" i="67"/>
  <c r="K12" i="67"/>
  <c r="Q12" i="67"/>
  <c r="P12" i="67"/>
  <c r="M12" i="67"/>
  <c r="N12" i="67"/>
  <c r="L12" i="67"/>
  <c r="O12" i="67"/>
  <c r="R15" i="66"/>
  <c r="N15" i="66"/>
  <c r="O15" i="66"/>
  <c r="M15" i="66"/>
  <c r="M11" i="67"/>
  <c r="P11" i="67"/>
  <c r="O11" i="67"/>
  <c r="L11" i="67"/>
  <c r="Q11" i="67"/>
  <c r="N11" i="67"/>
  <c r="N15" i="61"/>
  <c r="P15" i="61"/>
  <c r="M15" i="61"/>
  <c r="O15" i="61"/>
  <c r="Q10" i="67"/>
  <c r="M10" i="67"/>
  <c r="P10" i="67"/>
  <c r="L10" i="67"/>
  <c r="O10" i="67"/>
  <c r="N10" i="67"/>
  <c r="N15" i="63"/>
  <c r="M15" i="63"/>
  <c r="P15" i="63"/>
  <c r="O15" i="63"/>
  <c r="K9" i="67"/>
  <c r="S14" i="62"/>
  <c r="J2" i="62" s="1"/>
  <c r="M8" i="67"/>
  <c r="N8" i="67"/>
  <c r="Q8" i="67"/>
  <c r="O8" i="67"/>
  <c r="L8" i="67"/>
  <c r="P8" i="67"/>
  <c r="N15" i="65"/>
  <c r="O15" i="65"/>
  <c r="M15" i="65"/>
  <c r="O14" i="62"/>
  <c r="N14" i="62"/>
  <c r="R14" i="62"/>
  <c r="Q14" i="62"/>
  <c r="Q15" i="62" s="1"/>
  <c r="P14" i="62"/>
  <c r="P2" i="62" s="1"/>
  <c r="L15" i="62"/>
  <c r="M14" i="62"/>
  <c r="Q14" i="60"/>
  <c r="L15" i="60"/>
  <c r="R2" i="66"/>
  <c r="T15" i="61"/>
  <c r="U14" i="61"/>
  <c r="U15" i="61" s="1"/>
  <c r="Z2" i="66"/>
  <c r="Z15" i="66"/>
  <c r="H2" i="66"/>
  <c r="Q15" i="66"/>
  <c r="P2" i="66"/>
  <c r="P15" i="66"/>
  <c r="H2" i="61"/>
  <c r="Q15" i="61"/>
  <c r="R2" i="61"/>
  <c r="R15" i="61"/>
  <c r="H2" i="63"/>
  <c r="Q15" i="63"/>
  <c r="R2" i="63"/>
  <c r="R15" i="63"/>
  <c r="Z2" i="65"/>
  <c r="R15" i="65"/>
  <c r="P2" i="65"/>
  <c r="P15" i="65"/>
  <c r="H2" i="65"/>
  <c r="Q15" i="65"/>
  <c r="X2" i="60"/>
  <c r="H2" i="64"/>
  <c r="Q15" i="64"/>
  <c r="P2" i="64"/>
  <c r="P15" i="64"/>
  <c r="P2" i="60"/>
  <c r="R2" i="64"/>
  <c r="R15" i="64"/>
  <c r="R2" i="59"/>
  <c r="R15" i="59"/>
  <c r="H2" i="59"/>
  <c r="Q15" i="59"/>
  <c r="R2" i="60"/>
  <c r="R15" i="60"/>
  <c r="H2" i="60"/>
  <c r="Q15" i="60"/>
  <c r="R2" i="58"/>
  <c r="R15" i="58"/>
  <c r="H2" i="58"/>
  <c r="Q15" i="58"/>
  <c r="X14" i="62"/>
  <c r="Z14" i="59"/>
  <c r="V14" i="62"/>
  <c r="X2" i="59"/>
  <c r="Z2" i="60"/>
  <c r="Z14" i="62"/>
  <c r="AA14" i="62"/>
  <c r="U14" i="62"/>
  <c r="Y14" i="62"/>
  <c r="V14" i="58"/>
  <c r="Z14" i="58"/>
  <c r="AA14" i="58"/>
  <c r="Y14" i="58"/>
  <c r="U14" i="58"/>
  <c r="X14" i="58"/>
  <c r="X2" i="58" s="1"/>
  <c r="P2" i="58"/>
  <c r="Z2" i="58"/>
  <c r="T15" i="57"/>
  <c r="AA14" i="57"/>
  <c r="Z14" i="57"/>
  <c r="Z15" i="57" s="1"/>
  <c r="X14" i="57"/>
  <c r="X15" i="57" s="1"/>
  <c r="V14" i="57"/>
  <c r="V15" i="57" s="1"/>
  <c r="U14" i="57"/>
  <c r="U15" i="57" s="1"/>
  <c r="W14" i="57"/>
  <c r="W15" i="57" s="1"/>
  <c r="X2" i="63"/>
  <c r="P2" i="63"/>
  <c r="X2" i="61"/>
  <c r="R2" i="57"/>
  <c r="H2" i="57"/>
  <c r="Q15" i="57"/>
  <c r="X2" i="66"/>
  <c r="P15" i="57"/>
  <c r="Z2" i="64"/>
  <c r="X2" i="65"/>
  <c r="P2" i="57"/>
  <c r="Z2" i="61"/>
  <c r="P2" i="59"/>
  <c r="X2" i="64"/>
  <c r="Z2" i="59"/>
  <c r="P2" i="61"/>
  <c r="Z2" i="63"/>
  <c r="R2" i="65"/>
  <c r="H4" i="23"/>
  <c r="I4" i="23"/>
  <c r="G11" i="23" a="1"/>
  <c r="E5" i="23" a="1"/>
  <c r="F13" i="23" a="1"/>
  <c r="N9" i="67" a="1"/>
  <c r="L9" i="67" a="1"/>
  <c r="G8" i="23" a="1"/>
  <c r="F4" i="23" a="1"/>
  <c r="E11" i="23" a="1"/>
  <c r="G4" i="23" a="1"/>
  <c r="G5" i="23" a="1"/>
  <c r="G10" i="23" a="1"/>
  <c r="D6" i="23" a="1"/>
  <c r="D13" i="23" a="1"/>
  <c r="D12" i="23" a="1"/>
  <c r="D11" i="23" a="1"/>
  <c r="D9" i="23" a="1"/>
  <c r="D8" i="23" a="1"/>
  <c r="D5" i="23" a="1"/>
  <c r="D7" i="23" a="1"/>
  <c r="M9" i="67" a="1"/>
  <c r="E9" i="23" a="1"/>
  <c r="O9" i="67" a="1"/>
  <c r="F12" i="23" a="1"/>
  <c r="E13" i="23" a="1"/>
  <c r="F8" i="23" a="1"/>
  <c r="Q9" i="67" a="1"/>
  <c r="E12" i="23" a="1"/>
  <c r="D10" i="23" a="1"/>
  <c r="E6" i="23" a="1"/>
  <c r="G7" i="23" a="1"/>
  <c r="F5" i="23" a="1"/>
  <c r="F11" i="23" a="1"/>
  <c r="F7" i="23" a="1"/>
  <c r="E8" i="23" a="1"/>
  <c r="E10" i="23" a="1"/>
  <c r="P9" i="67" a="1"/>
  <c r="D4" i="23" a="1"/>
  <c r="F10" i="23" a="1"/>
  <c r="F9" i="23" a="1"/>
  <c r="G9" i="23" a="1"/>
  <c r="G6" i="23" a="1"/>
  <c r="F6" i="23" a="1"/>
  <c r="G13" i="23" a="1"/>
  <c r="E7" i="23" a="1"/>
  <c r="E4" i="23" a="1"/>
  <c r="G12" i="23" a="1"/>
  <c r="K16" i="67" l="1"/>
  <c r="K13" i="67"/>
  <c r="P15" i="62"/>
  <c r="X2" i="62"/>
  <c r="N9" i="67"/>
  <c r="N13" i="67" s="1"/>
  <c r="N14" i="67" s="1"/>
  <c r="O9" i="67"/>
  <c r="O13" i="67" s="1"/>
  <c r="O14" i="67" s="1"/>
  <c r="P9" i="67"/>
  <c r="P13" i="67" s="1"/>
  <c r="P14" i="67" s="1"/>
  <c r="Q9" i="67"/>
  <c r="Q13" i="67" s="1"/>
  <c r="Q14" i="67" s="1"/>
  <c r="L9" i="67"/>
  <c r="L13" i="67" s="1"/>
  <c r="L14" i="67" s="1"/>
  <c r="M9" i="67"/>
  <c r="M13" i="67" s="1"/>
  <c r="M14" i="67" s="1"/>
  <c r="O15" i="62"/>
  <c r="R2" i="62"/>
  <c r="M15" i="62"/>
  <c r="H2" i="62"/>
  <c r="N15" i="62"/>
  <c r="R15" i="62"/>
  <c r="Z2" i="62"/>
  <c r="Z2" i="57"/>
  <c r="X2" i="5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K14" i="67" l="1"/>
  <c r="R13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<sst xmlns="http://schemas.openxmlformats.org/spreadsheetml/2006/main" count="677" uniqueCount="22">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</sst>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7F76-8D7F-3A4F-8068-48B95E95AD42}">
  <sheetPr codeName="Sheet1"/>
  <dimension ref="B2:Z16"/>
  <sheetViews>
    <sheetView zoomScale="136" zoomScaleNormal="85" workbookViewId="0">
      <selection activeCell="F18" sqref="F18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340</v>
      </c>
      <c r="C3" s="5" cm="1">
        <f t="array" aca="1" ref="C3" ca="1">INDIRECT("'results" &amp; $B3 &amp; "'!D$14")</f>
        <v>975897.4768027782</v>
      </c>
      <c r="D3" s="33" cm="1">
        <f t="array" aca="1" ref="D3" ca="1">INDIRECT("'results" &amp; $B3 &amp; "'!E$14")</f>
        <v>42.232153750002908</v>
      </c>
      <c r="E3" s="5" cm="1">
        <f t="array" aca="1" ref="E3" ca="1">INDIRECT("'results" &amp; $B3 &amp; "'!F$14")</f>
        <v>12</v>
      </c>
      <c r="F3" s="5" cm="1">
        <f t="array" aca="1" ref="F3" ca="1">INDIRECT("'results" &amp; $B3 &amp; "'!G$14")</f>
        <v>94</v>
      </c>
      <c r="G3" s="5" cm="1">
        <f t="array" aca="1" ref="G3" ca="1">INDIRECT("'results" &amp; $B3 &amp; "'!H$14")</f>
        <v>1194.4596550607787</v>
      </c>
      <c r="H3" s="33" cm="1">
        <f t="array" aca="1" ref="H3" ca="1">INDIRECT("'results" &amp; $B3 &amp; "'!I$14")</f>
        <v>30.687621176707296</v>
      </c>
      <c r="I3" s="5" cm="1">
        <f t="array" aca="1" ref="I3" ca="1">INDIRECT("'results" &amp; $B3 &amp; "'!J$14")</f>
        <v>6106.7067665186451</v>
      </c>
      <c r="J3" s="5"/>
      <c r="K3" s="5" cm="1">
        <f t="array" aca="1" ref="K3" ca="1">INDIRECT("'results" &amp; $B3 &amp; "'!L$14")</f>
        <v>1135114.67608583</v>
      </c>
      <c r="L3" s="5" cm="1">
        <f t="array" aca="1" ref="L3" ca="1">INDIRECT("'results" &amp; $B3 &amp; "'!M$14")</f>
        <v>66.532918625000093</v>
      </c>
      <c r="M3" s="5" cm="1">
        <f t="array" aca="1" ref="M3" ca="1">INDIRECT("'results" &amp; $B3 &amp; "'!N$14")</f>
        <v>15</v>
      </c>
      <c r="N3" s="5" cm="1">
        <f t="array" aca="1" ref="N3" ca="1">INDIRECT("'results" &amp; $B3 &amp; "'!O$14")</f>
        <v>79</v>
      </c>
      <c r="O3" s="5" cm="1">
        <f t="array" aca="1" ref="O3" ca="1">INDIRECT("'results" &amp; $B3 &amp; "'!P$14")</f>
        <v>818.42466335616552</v>
      </c>
      <c r="P3" s="5" cm="1">
        <f t="array" aca="1" ref="P3" ca="1">INDIRECT("'results" &amp; $B3 &amp; "'!Q$14")</f>
        <v>18.471729678095542</v>
      </c>
      <c r="Q3" s="5" cm="1">
        <f t="array" aca="1" ref="Q3" ca="1">INDIRECT("'results" &amp; $B3 &amp; "'!R$14")</f>
        <v>5132.4678577715822</v>
      </c>
      <c r="R3" s="5"/>
      <c r="S3" s="5" cm="1">
        <f t="array" aca="1" ref="S3" ca="1">INDIRECT("'results" &amp; $B3 &amp; "'!T$14")</f>
        <v>1225036.882643857</v>
      </c>
      <c r="T3" s="5" cm="1">
        <f t="array" aca="1" ref="T3" ca="1">INDIRECT("'results" &amp; $B3 &amp; "'!U$14")</f>
        <v>47.199843458000032</v>
      </c>
      <c r="U3" s="5" cm="1">
        <f t="array" aca="1" ref="U3" ca="1">INDIRECT("'results" &amp; $B3 &amp; "'!V$14")</f>
        <v>10</v>
      </c>
      <c r="V3" s="5" cm="1">
        <f t="array" aca="1" ref="V3" ca="1">INDIRECT("'results" &amp; $B3 &amp; "'!W$14")</f>
        <v>71</v>
      </c>
      <c r="W3" s="5" cm="1">
        <f t="array" aca="1" ref="W3" ca="1">INDIRECT("'results" &amp; $B3 &amp; "'!X$14")</f>
        <v>1281.7175031141055</v>
      </c>
      <c r="X3" s="5" cm="1">
        <f t="array" aca="1" ref="X3" ca="1">INDIRECT("'results" &amp; $B3 &amp; "'!Y$14")</f>
        <v>39.080312025806727</v>
      </c>
      <c r="Y3" s="5" cm="1">
        <f t="array" aca="1" ref="Y3" ca="1">INDIRECT("'results" &amp; $B3 &amp; "'!Z$14")</f>
        <v>6094.6022550442203</v>
      </c>
      <c r="Z3" s="5"/>
    </row>
    <row r="4" spans="2:26" x14ac:dyDescent="0.2">
      <c r="B4" s="4">
        <v>444</v>
      </c>
      <c r="C4" s="5" cm="1">
        <f t="array" aca="1" ref="C4" ca="1">INDIRECT("'results" &amp; $B4 &amp; "'!D$14")</f>
        <v>1149232.27839605</v>
      </c>
      <c r="D4" s="33" cm="1">
        <f t="array" aca="1" ref="D4" ca="1">INDIRECT("'results" &amp; $B4 &amp; "'!E$14")</f>
        <v>39.235548250006097</v>
      </c>
      <c r="E4" s="5" cm="1">
        <f t="array" aca="1" ref="E4" ca="1">INDIRECT("'results" &amp; $B4 &amp; "'!F$14")</f>
        <v>10</v>
      </c>
      <c r="F4" s="5" cm="1">
        <f t="array" aca="1" ref="F4" ca="1">INDIRECT("'results" &amp; $B4 &amp; "'!G$14")</f>
        <v>79</v>
      </c>
      <c r="G4" s="5" cm="1">
        <f t="array" aca="1" ref="G4" ca="1">INDIRECT("'results" &amp; $B4 &amp; "'!H$14")</f>
        <v>1259.0187761240118</v>
      </c>
      <c r="H4" s="33" cm="1">
        <f t="array" aca="1" ref="H4" ca="1">INDIRECT("'results" &amp; $B4 &amp; "'!I$14")</f>
        <v>26.747272298916876</v>
      </c>
      <c r="I4" s="5" cm="1">
        <f t="array" aca="1" ref="I4" ca="1">INDIRECT("'results" &amp; $B4 &amp; "'!J$14")</f>
        <v>6318.1289764520943</v>
      </c>
      <c r="J4" s="5"/>
      <c r="K4" s="5" cm="1">
        <f t="array" aca="1" ref="K4" ca="1">INDIRECT("'results" &amp; $B4 &amp; "'!L$14")</f>
        <v>1302043.5403923159</v>
      </c>
      <c r="L4" s="5" cm="1">
        <f t="array" aca="1" ref="L4" ca="1">INDIRECT("'results" &amp; $B4 &amp; "'!M$14")</f>
        <v>45.541811917000807</v>
      </c>
      <c r="M4" s="5" cm="1">
        <f t="array" aca="1" ref="M4" ca="1">INDIRECT("'results" &amp; $B4 &amp; "'!N$14")</f>
        <v>13</v>
      </c>
      <c r="N4" s="5" cm="1">
        <f t="array" aca="1" ref="N4" ca="1">INDIRECT("'results" &amp; $B4 &amp; "'!O$14")</f>
        <v>71</v>
      </c>
      <c r="O4" s="5" cm="1">
        <f t="array" aca="1" ref="O4" ca="1">INDIRECT("'results" &amp; $B4 &amp; "'!P$14")</f>
        <v>1239.4514764237458</v>
      </c>
      <c r="P4" s="5" cm="1">
        <f t="array" aca="1" ref="P4" ca="1">INDIRECT("'results" &amp; $B4 &amp; "'!Q$14")</f>
        <v>17.916667352460429</v>
      </c>
      <c r="Q4" s="5" cm="1">
        <f t="array" aca="1" ref="Q4" ca="1">INDIRECT("'results" &amp; $B4 &amp; "'!R$14")</f>
        <v>6111.8576738679349</v>
      </c>
      <c r="R4" s="5"/>
      <c r="S4" s="5" cm="1">
        <f t="array" aca="1" ref="S4" ca="1">INDIRECT("'results" &amp; $B4 &amp; "'!T$14")</f>
        <v>1364759.065313203</v>
      </c>
      <c r="T4" s="5" cm="1">
        <f t="array" aca="1" ref="T4" ca="1">INDIRECT("'results" &amp; $B4 &amp; "'!U$14")</f>
        <v>63.117148250001257</v>
      </c>
      <c r="U4" s="5" cm="1">
        <f t="array" aca="1" ref="U4" ca="1">INDIRECT("'results" &amp; $B4 &amp; "'!V$14")</f>
        <v>9</v>
      </c>
      <c r="V4" s="5" cm="1">
        <f t="array" aca="1" ref="V4" ca="1">INDIRECT("'results" &amp; $B4 &amp; "'!W$14")</f>
        <v>63</v>
      </c>
      <c r="W4" s="5" cm="1">
        <f t="array" aca="1" ref="W4" ca="1">INDIRECT("'results" &amp; $B4 &amp; "'!X$14")</f>
        <v>1475.57399639143</v>
      </c>
      <c r="X4" s="5" cm="1">
        <f t="array" aca="1" ref="X4" ca="1">INDIRECT("'results" &amp; $B4 &amp; "'!Y$14")</f>
        <v>36.481106436308153</v>
      </c>
      <c r="Y4" s="5" cm="1">
        <f t="array" aca="1" ref="Y4" ca="1">INDIRECT("'results" &amp; $B4 &amp; "'!Z$14")</f>
        <v>6780.9342993670662</v>
      </c>
      <c r="Z4" s="5"/>
    </row>
    <row r="5" spans="2:26" x14ac:dyDescent="0.2">
      <c r="B5" s="4">
        <v>531</v>
      </c>
      <c r="C5" s="5" cm="1">
        <f t="array" aca="1" ref="C5" ca="1">INDIRECT("'results" &amp; $B5 &amp; "'!D$14")</f>
        <v>1083554.460982058</v>
      </c>
      <c r="D5" s="33" cm="1">
        <f t="array" aca="1" ref="D5" ca="1">INDIRECT("'results" &amp; $B5 &amp; "'!E$14")</f>
        <v>39.497106333001277</v>
      </c>
      <c r="E5" s="5" cm="1">
        <f t="array" aca="1" ref="E5" ca="1">INDIRECT("'results" &amp; $B5 &amp; "'!F$14")</f>
        <v>10</v>
      </c>
      <c r="F5" s="5" cm="1">
        <f t="array" aca="1" ref="F5" ca="1">INDIRECT("'results" &amp; $B5 &amp; "'!G$14")</f>
        <v>88</v>
      </c>
      <c r="G5" s="5" cm="1">
        <f t="array" aca="1" ref="G5" ca="1">INDIRECT("'results" &amp; $B5 &amp; "'!H$14")</f>
        <v>1460.9827264340581</v>
      </c>
      <c r="H5" s="33" cm="1">
        <f t="array" aca="1" ref="H5" ca="1">INDIRECT("'results" &amp; $B5 &amp; "'!I$14")</f>
        <v>33.682682139021807</v>
      </c>
      <c r="I5" s="5" cm="1">
        <f t="array" aca="1" ref="I5" ca="1">INDIRECT("'results" &amp; $B5 &amp; "'!J$14")</f>
        <v>6736.6240159206973</v>
      </c>
      <c r="J5" s="5"/>
      <c r="K5" s="5" cm="1">
        <f t="array" aca="1" ref="K5" ca="1">INDIRECT("'results" &amp; $B5 &amp; "'!L$14")</f>
        <v>1290192.217258486</v>
      </c>
      <c r="L5" s="5" cm="1">
        <f t="array" aca="1" ref="L5" ca="1">INDIRECT("'results" &amp; $B5 &amp; "'!M$14")</f>
        <v>87.404045500001303</v>
      </c>
      <c r="M5" s="5" cm="1">
        <f t="array" aca="1" ref="M5" ca="1">INDIRECT("'results" &amp; $B5 &amp; "'!N$14")</f>
        <v>16</v>
      </c>
      <c r="N5" s="5" cm="1">
        <f t="array" aca="1" ref="N5" ca="1">INDIRECT("'results" &amp; $B5 &amp; "'!O$14")</f>
        <v>74</v>
      </c>
      <c r="O5" s="5" cm="1">
        <f t="array" aca="1" ref="O5" ca="1">INDIRECT("'results" &amp; $B5 &amp; "'!P$14")</f>
        <v>1165.3711033225666</v>
      </c>
      <c r="P5" s="5" cm="1">
        <f t="array" aca="1" ref="P5" ca="1">INDIRECT("'results" &amp; $B5 &amp; "'!Q$14")</f>
        <v>17.257278554382484</v>
      </c>
      <c r="Q5" s="5" cm="1">
        <f t="array" aca="1" ref="Q5" ca="1">INDIRECT("'results" &amp; $B5 &amp; "'!R$14")</f>
        <v>5825.4385340665131</v>
      </c>
      <c r="R5" s="5"/>
      <c r="S5" s="5" cm="1">
        <f t="array" aca="1" ref="S5" ca="1">INDIRECT("'results" &amp; $B5 &amp; "'!T$14")</f>
        <v>1314493.0952365119</v>
      </c>
      <c r="T5" s="5" cm="1">
        <f t="array" aca="1" ref="T5" ca="1">INDIRECT("'results" &amp; $B5 &amp; "'!U$14")</f>
        <v>102.3359517089993</v>
      </c>
      <c r="U5" s="5" cm="1">
        <f t="array" aca="1" ref="U5" ca="1">INDIRECT("'results" &amp; $B5 &amp; "'!V$14")</f>
        <v>9</v>
      </c>
      <c r="V5" s="5" cm="1">
        <f t="array" aca="1" ref="V5" ca="1">INDIRECT("'results" &amp; $B5 &amp; "'!W$14")</f>
        <v>66</v>
      </c>
      <c r="W5" s="5" cm="1">
        <f t="array" aca="1" ref="W5" ca="1">INDIRECT("'results" &amp; $B5 &amp; "'!X$14")</f>
        <v>1444.7710865147519</v>
      </c>
      <c r="X5" s="5" cm="1">
        <f t="array" aca="1" ref="X5" ca="1">INDIRECT("'results" &amp; $B5 &amp; "'!Y$14")</f>
        <v>42.931030718147781</v>
      </c>
      <c r="Y5" s="5" cm="1">
        <f t="array" aca="1" ref="Y5" ca="1">INDIRECT("'results" &amp; $B5 &amp; "'!Z$14")</f>
        <v>6817.7957441138815</v>
      </c>
      <c r="Z5" s="5"/>
    </row>
    <row r="6" spans="2:26" x14ac:dyDescent="0.2">
      <c r="B6" s="4">
        <v>618</v>
      </c>
      <c r="C6" s="5" cm="1">
        <f t="array" aca="1" ref="C6" ca="1">INDIRECT("'results" &amp; $B6 &amp; "'!D$14")</f>
        <v>1027223.0416111239</v>
      </c>
      <c r="D6" s="33" cm="1">
        <f t="array" aca="1" ref="D6" ca="1">INDIRECT("'results" &amp; $B6 &amp; "'!E$14")</f>
        <v>37.268258582997078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85</v>
      </c>
      <c r="G6" s="5" cm="1">
        <f t="array" aca="1" ref="G6" ca="1">INDIRECT("'results" &amp; $B6 &amp; "'!H$14")</f>
        <v>1047.0381106062996</v>
      </c>
      <c r="H6" s="33" cm="1">
        <f t="array" aca="1" ref="H6" ca="1">INDIRECT("'results" &amp; $B6 &amp; "'!I$14")</f>
        <v>31.04384344301701</v>
      </c>
      <c r="I6" s="5" cm="1">
        <f t="array" aca="1" ref="I6" ca="1">INDIRECT("'results" &amp; $B6 &amp; "'!J$14")</f>
        <v>5786.9340057524705</v>
      </c>
      <c r="J6" s="5"/>
      <c r="K6" s="5" cm="1">
        <f t="array" aca="1" ref="K6" ca="1">INDIRECT("'results" &amp; $B6 &amp; "'!L$14")</f>
        <v>1256513.176080914</v>
      </c>
      <c r="L6" s="5" cm="1">
        <f t="array" aca="1" ref="L6" ca="1">INDIRECT("'results" &amp; $B6 &amp; "'!M$14")</f>
        <v>109.5231697499985</v>
      </c>
      <c r="M6" s="5" cm="1">
        <f t="array" aca="1" ref="M6" ca="1">INDIRECT("'results" &amp; $B6 &amp; "'!N$14")</f>
        <v>16</v>
      </c>
      <c r="N6" s="5" cm="1">
        <f t="array" aca="1" ref="N6" ca="1">INDIRECT("'results" &amp; $B6 &amp; "'!O$14")</f>
        <v>71</v>
      </c>
      <c r="O6" s="5" cm="1">
        <f t="array" aca="1" ref="O6" ca="1">INDIRECT("'results" &amp; $B6 &amp; "'!P$14")</f>
        <v>802.01280078430034</v>
      </c>
      <c r="P6" s="5" cm="1">
        <f t="array" aca="1" ref="P6" ca="1">INDIRECT("'results" &amp; $B6 &amp; "'!Q$14")</f>
        <v>16.315523157366997</v>
      </c>
      <c r="Q6" s="5" cm="1">
        <f t="array" aca="1" ref="Q6" ca="1">INDIRECT("'results" &amp; $B6 &amp; "'!R$14")</f>
        <v>4988.8517046230472</v>
      </c>
      <c r="R6" s="5"/>
      <c r="S6" s="5" cm="1">
        <f t="array" aca="1" ref="S6" ca="1">INDIRECT("'results" &amp; $B6 &amp; "'!T$14")</f>
        <v>1299005.4580031319</v>
      </c>
      <c r="T6" s="5" cm="1">
        <f t="array" aca="1" ref="T6" ca="1">INDIRECT("'results" &amp; $B6 &amp; "'!U$14")</f>
        <v>66.632235541001137</v>
      </c>
      <c r="U6" s="5" cm="1">
        <f t="array" aca="1" ref="U6" ca="1">INDIRECT("'results" &amp; $B6 &amp; "'!V$14")</f>
        <v>10</v>
      </c>
      <c r="V6" s="5" cm="1">
        <f t="array" aca="1" ref="V6" ca="1">INDIRECT("'results" &amp; $B6 &amp; "'!W$14")</f>
        <v>64</v>
      </c>
      <c r="W6" s="5" cm="1">
        <f t="array" aca="1" ref="W6" ca="1">INDIRECT("'results" &amp; $B6 &amp; "'!X$14")</f>
        <v>1159.3891124047373</v>
      </c>
      <c r="X6" s="5" cm="1">
        <f t="array" aca="1" ref="X6" ca="1">INDIRECT("'results" &amp; $B6 &amp; "'!Y$14")</f>
        <v>45.506802319371253</v>
      </c>
      <c r="Y6" s="5" cm="1">
        <f t="array" aca="1" ref="Y6" ca="1">INDIRECT("'results" &amp; $B6 &amp; "'!Z$14")</f>
        <v>6230.4639764255853</v>
      </c>
      <c r="Z6" s="5"/>
    </row>
    <row r="7" spans="2:26" x14ac:dyDescent="0.2">
      <c r="B7" s="4">
        <v>765</v>
      </c>
      <c r="C7" s="5" cm="1">
        <f t="array" aca="1" ref="C7" ca="1">INDIRECT("'results" &amp; $B7 &amp; "'!D$14")</f>
        <v>1116643.312229509</v>
      </c>
      <c r="D7" s="33" cm="1">
        <f t="array" aca="1" ref="D7" ca="1">INDIRECT("'results" &amp; $B7 &amp; "'!E$14")</f>
        <v>103.1367652089975</v>
      </c>
      <c r="E7" s="5" cm="1">
        <f t="array" aca="1" ref="E7" ca="1">INDIRECT("'results" &amp; $B7 &amp; "'!F$14")</f>
        <v>11</v>
      </c>
      <c r="F7" s="5" cm="1">
        <f t="array" aca="1" ref="F7" ca="1">INDIRECT("'results" &amp; $B7 &amp; "'!G$14")</f>
        <v>81</v>
      </c>
      <c r="G7" s="5" cm="1">
        <f t="array" aca="1" ref="G7" ca="1">INDIRECT("'results" &amp; $B7 &amp; "'!H$14")</f>
        <v>1246.6927377814629</v>
      </c>
      <c r="H7" s="33" cm="1">
        <f t="array" aca="1" ref="H7" ca="1">INDIRECT("'results" &amp; $B7 &amp; "'!I$14")</f>
        <v>24.662004110272964</v>
      </c>
      <c r="I7" s="5" cm="1">
        <f t="array" aca="1" ref="I7" ca="1">INDIRECT("'results" &amp; $B7 &amp; "'!J$14")</f>
        <v>6176.7674813780004</v>
      </c>
      <c r="J7" s="5"/>
      <c r="K7" s="5" cm="1">
        <f t="array" aca="1" ref="K7" ca="1">INDIRECT("'results" &amp; $B7 &amp; "'!L$14")</f>
        <v>1247846.221279568</v>
      </c>
      <c r="L7" s="5" cm="1">
        <f t="array" aca="1" ref="L7" ca="1">INDIRECT("'results" &amp; $B7 &amp; "'!M$14")</f>
        <v>73.125053083000239</v>
      </c>
      <c r="M7" s="5" cm="1">
        <f t="array" aca="1" ref="M7" ca="1">INDIRECT("'results" &amp; $B7 &amp; "'!N$14")</f>
        <v>14</v>
      </c>
      <c r="N7" s="5" cm="1">
        <f t="array" aca="1" ref="N7" ca="1">INDIRECT("'results" &amp; $B7 &amp; "'!O$14")</f>
        <v>72</v>
      </c>
      <c r="O7" s="5" cm="1">
        <f t="array" aca="1" ref="O7" ca="1">INDIRECT("'results" &amp; $B7 &amp; "'!P$14")</f>
        <v>970.95802254421199</v>
      </c>
      <c r="P7" s="5" cm="1">
        <f t="array" aca="1" ref="P7" ca="1">INDIRECT("'results" &amp; $B7 &amp; "'!Q$14")</f>
        <v>16.841163438101226</v>
      </c>
      <c r="Q7" s="5" cm="1">
        <f t="array" aca="1" ref="Q7" ca="1">INDIRECT("'results" &amp; $B7 &amp; "'!R$14")</f>
        <v>5803.8077047200031</v>
      </c>
      <c r="R7" s="5"/>
      <c r="S7" s="5" cm="1">
        <f t="array" aca="1" ref="S7" ca="1">INDIRECT("'results" &amp; $B7 &amp; "'!T$14")</f>
        <v>1331627.6027229091</v>
      </c>
      <c r="T7" s="5" cm="1">
        <f t="array" aca="1" ref="T7" ca="1">INDIRECT("'results" &amp; $B7 &amp; "'!U$14")</f>
        <v>58.346452457999483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66</v>
      </c>
      <c r="W7" s="5" cm="1">
        <f t="array" aca="1" ref="W7" ca="1">INDIRECT("'results" &amp; $B7 &amp; "'!X$14")</f>
        <v>1599.4072200381424</v>
      </c>
      <c r="X7" s="5" cm="1">
        <f t="array" aca="1" ref="X7" ca="1">INDIRECT("'results" &amp; $B7 &amp; "'!Y$14")</f>
        <v>34.392758416081712</v>
      </c>
      <c r="Y7" s="5" cm="1">
        <f t="array" aca="1" ref="Y7" ca="1">INDIRECT("'results" &amp; $B7 &amp; "'!Z$14")</f>
        <v>6916.6926374573395</v>
      </c>
      <c r="Z7" s="5"/>
    </row>
    <row r="8" spans="2:26" x14ac:dyDescent="0.2">
      <c r="B8" s="4">
        <v>777</v>
      </c>
      <c r="C8" s="5" cm="1">
        <f t="array" aca="1" ref="C8" ca="1">INDIRECT("'results" &amp; $B8 &amp; "'!D$14")</f>
        <v>1018601.32533602</v>
      </c>
      <c r="D8" s="33" cm="1">
        <f t="array" aca="1" ref="D8" ca="1">INDIRECT("'results" &amp; $B8 &amp; "'!E$14")</f>
        <v>99.487517374996969</v>
      </c>
      <c r="E8" s="5" cm="1">
        <f t="array" aca="1" ref="E8" ca="1">INDIRECT("'results" &amp; $B8 &amp; "'!F$14")</f>
        <v>11</v>
      </c>
      <c r="F8" s="5" cm="1">
        <f t="array" aca="1" ref="F8" ca="1">INDIRECT("'results" &amp; $B8 &amp; "'!G$14")</f>
        <v>85</v>
      </c>
      <c r="G8" s="5" cm="1">
        <f t="array" aca="1" ref="G8" ca="1">INDIRECT("'results" &amp; $B8 &amp; "'!H$14")</f>
        <v>919.79402440439048</v>
      </c>
      <c r="H8" s="33" cm="1">
        <f t="array" aca="1" ref="H8" ca="1">INDIRECT("'results" &amp; $B8 &amp; "'!I$14")</f>
        <v>30.2077381111033</v>
      </c>
      <c r="I8" s="5" cm="1">
        <f t="array" aca="1" ref="I8" ca="1">INDIRECT("'results" &amp; $B8 &amp; "'!J$14")</f>
        <v>5618.2613858329451</v>
      </c>
      <c r="J8" s="5"/>
      <c r="K8" s="5" cm="1">
        <f t="array" aca="1" ref="K8" ca="1">INDIRECT("'results" &amp; $B8 &amp; "'!L$14")</f>
        <v>1283436.99577308</v>
      </c>
      <c r="L8" s="5" cm="1">
        <f t="array" aca="1" ref="L8" ca="1">INDIRECT("'results" &amp; $B8 &amp; "'!M$14")</f>
        <v>78.619231540998953</v>
      </c>
      <c r="M8" s="5" cm="1">
        <f t="array" aca="1" ref="M8" ca="1">INDIRECT("'results" &amp; $B8 &amp; "'!N$14")</f>
        <v>17</v>
      </c>
      <c r="N8" s="5" cm="1">
        <f t="array" aca="1" ref="N8" ca="1">INDIRECT("'results" &amp; $B8 &amp; "'!O$14")</f>
        <v>76</v>
      </c>
      <c r="O8" s="5" cm="1">
        <f t="array" aca="1" ref="O8" ca="1">INDIRECT("'results" &amp; $B8 &amp; "'!P$14")</f>
        <v>1179.8396077120453</v>
      </c>
      <c r="P8" s="5" cm="1">
        <f t="array" aca="1" ref="P8" ca="1">INDIRECT("'results" &amp; $B8 &amp; "'!Q$14")</f>
        <v>17.072501409267517</v>
      </c>
      <c r="Q8" s="5" cm="1">
        <f t="array" aca="1" ref="Q8" ca="1">INDIRECT("'results" &amp; $B8 &amp; "'!R$14")</f>
        <v>5749.9961169102262</v>
      </c>
      <c r="R8" s="5"/>
      <c r="S8" s="5" cm="1">
        <f t="array" aca="1" ref="S8" ca="1">INDIRECT("'results" &amp; $B8 &amp; "'!T$14")</f>
        <v>1269951.846617213</v>
      </c>
      <c r="T8" s="5" cm="1">
        <f t="array" aca="1" ref="T8" ca="1">INDIRECT("'results" &amp; $B8 &amp; "'!U$14")</f>
        <v>53.052533209000103</v>
      </c>
      <c r="U8" s="5" cm="1">
        <f t="array" aca="1" ref="U8" ca="1">INDIRECT("'results" &amp; $B8 &amp; "'!V$14")</f>
        <v>9</v>
      </c>
      <c r="V8" s="5" cm="1">
        <f t="array" aca="1" ref="V8" ca="1">INDIRECT("'results" &amp; $B8 &amp; "'!W$14")</f>
        <v>68</v>
      </c>
      <c r="W8" s="5" cm="1">
        <f t="array" aca="1" ref="W8" ca="1">INDIRECT("'results" &amp; $B8 &amp; "'!X$14")</f>
        <v>1236.7803059055461</v>
      </c>
      <c r="X8" s="5" cm="1">
        <f t="array" aca="1" ref="X8" ca="1">INDIRECT("'results" &amp; $B8 &amp; "'!Y$14")</f>
        <v>50.046396407879818</v>
      </c>
      <c r="Y8" s="5" cm="1">
        <f t="array" aca="1" ref="Y8" ca="1">INDIRECT("'results" &amp; $B8 &amp; "'!Z$14")</f>
        <v>6740.1428742979206</v>
      </c>
      <c r="Z8" s="5"/>
    </row>
    <row r="9" spans="2:26" x14ac:dyDescent="0.2">
      <c r="B9" s="4">
        <v>866</v>
      </c>
      <c r="C9" s="5" cm="1">
        <f t="array" aca="1" ref="C9" ca="1">INDIRECT("'results" &amp; $B9 &amp; "'!D$14")</f>
        <v>1064729.6639365479</v>
      </c>
      <c r="D9" s="33" cm="1">
        <f t="array" aca="1" ref="D9" ca="1">INDIRECT("'results" &amp; $B9 &amp; "'!E$14")</f>
        <v>72.808226082997862</v>
      </c>
      <c r="E9" s="5" cm="1">
        <f t="array" aca="1" ref="E9" ca="1">INDIRECT("'results" &amp; $B9 &amp; "'!F$14")</f>
        <v>11</v>
      </c>
      <c r="F9" s="5" cm="1">
        <f t="array" aca="1" ref="F9" ca="1">INDIRECT("'results" &amp; $B9 &amp; "'!G$14")</f>
        <v>88</v>
      </c>
      <c r="G9" s="5" cm="1">
        <f t="array" aca="1" ref="G9" ca="1">INDIRECT("'results" &amp; $B9 &amp; "'!H$14")</f>
        <v>1468.5831254037305</v>
      </c>
      <c r="H9" s="33" cm="1">
        <f t="array" aca="1" ref="H9" ca="1">INDIRECT("'results" &amp; $B9 &amp; "'!I$14")</f>
        <v>28.92687607723175</v>
      </c>
      <c r="I9" s="5" cm="1">
        <f t="array" aca="1" ref="I9" ca="1">INDIRECT("'results" &amp; $B9 &amp; "'!J$14")</f>
        <v>6317.9124006408538</v>
      </c>
      <c r="J9" s="5"/>
      <c r="K9" s="5" cm="1">
        <f t="array" aca="1" ref="K9" ca="1">INDIRECT("'results" &amp; $B9 &amp; "'!L$14")</f>
        <v>1247982.4536280939</v>
      </c>
      <c r="L9" s="5" cm="1">
        <f t="array" aca="1" ref="L9" ca="1">INDIRECT("'results" &amp; $B9 &amp; "'!M$14")</f>
        <v>58.092120749999587</v>
      </c>
      <c r="M9" s="5" cm="1">
        <f t="array" aca="1" ref="M9" ca="1">INDIRECT("'results" &amp; $B9 &amp; "'!N$14")</f>
        <v>15</v>
      </c>
      <c r="N9" s="5" cm="1">
        <f t="array" aca="1" ref="N9" ca="1">INDIRECT("'results" &amp; $B9 &amp; "'!O$14")</f>
        <v>74</v>
      </c>
      <c r="O9" s="5" cm="1">
        <f t="array" aca="1" ref="O9" ca="1">INDIRECT("'results" &amp; $B9 &amp; "'!P$14")</f>
        <v>1033.9087951599724</v>
      </c>
      <c r="P9" s="5" cm="1">
        <f t="array" aca="1" ref="P9" ca="1">INDIRECT("'results" &amp; $B9 &amp; "'!Q$14")</f>
        <v>16.674444683656976</v>
      </c>
      <c r="Q9" s="5" cm="1">
        <f t="array" aca="1" ref="Q9" ca="1">INDIRECT("'results" &amp; $B9 &amp; "'!R$14")</f>
        <v>5516.0323634968236</v>
      </c>
      <c r="R9" s="5"/>
      <c r="S9" s="5" cm="1">
        <f t="array" aca="1" ref="S9" ca="1">INDIRECT("'results" &amp; $B9 &amp; "'!T$14")</f>
        <v>1309072.4677556329</v>
      </c>
      <c r="T9" s="5" cm="1">
        <f t="array" aca="1" ref="T9" ca="1">INDIRECT("'results" &amp; $B9 &amp; "'!U$14")</f>
        <v>65.830783416999111</v>
      </c>
      <c r="U9" s="5" cm="1">
        <f t="array" aca="1" ref="U9" ca="1">INDIRECT("'results" &amp; $B9 &amp; "'!V$14")</f>
        <v>10</v>
      </c>
      <c r="V9" s="5" cm="1">
        <f t="array" aca="1" ref="V9" ca="1">INDIRECT("'results" &amp; $B9 &amp; "'!W$14")</f>
        <v>70</v>
      </c>
      <c r="W9" s="5" cm="1">
        <f t="array" aca="1" ref="W9" ca="1">INDIRECT("'results" &amp; $B9 &amp; "'!X$14")</f>
        <v>1634.5765326441579</v>
      </c>
      <c r="X9" s="5" cm="1">
        <f t="array" aca="1" ref="X9" ca="1">INDIRECT("'results" &amp; $B9 &amp; "'!Y$14")</f>
        <v>39.895889989310511</v>
      </c>
      <c r="Y9" s="5" cm="1">
        <f t="array" aca="1" ref="Y9" ca="1">INDIRECT("'results" &amp; $B9 &amp; "'!Z$14")</f>
        <v>6852.1858691334437</v>
      </c>
      <c r="Z9" s="5"/>
    </row>
    <row r="10" spans="2:26" x14ac:dyDescent="0.2">
      <c r="B10" s="4">
        <v>914</v>
      </c>
      <c r="C10" s="5" cm="1">
        <f t="array" aca="1" ref="C10" ca="1">INDIRECT("'results" &amp; $B10 &amp; "'!D$14")</f>
        <v>1182147.3116093341</v>
      </c>
      <c r="D10" s="33" cm="1">
        <f t="array" aca="1" ref="D10" ca="1">INDIRECT("'results" &amp; $B10 &amp; "'!E$14")</f>
        <v>33.219170040996687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78</v>
      </c>
      <c r="G10" s="5" cm="1">
        <f t="array" aca="1" ref="G10" ca="1">INDIRECT("'results" &amp; $B10 &amp; "'!H$14")</f>
        <v>1419.4999810827301</v>
      </c>
      <c r="H10" s="33" cm="1">
        <f t="array" aca="1" ref="H10" ca="1">INDIRECT("'results" &amp; $B10 &amp; "'!I$14")</f>
        <v>30.062296812561573</v>
      </c>
      <c r="I10" s="5" cm="1">
        <f t="array" aca="1" ref="I10" ca="1">INDIRECT("'results" &amp; $B10 &amp; "'!J$14")</f>
        <v>6548.2050678280129</v>
      </c>
      <c r="J10" s="5"/>
      <c r="K10" s="5" cm="1">
        <f t="array" aca="1" ref="K10" ca="1">INDIRECT("'results" &amp; $B10 &amp; "'!L$14")</f>
        <v>1408772.0008988739</v>
      </c>
      <c r="L10" s="5" cm="1">
        <f t="array" aca="1" ref="L10" ca="1">INDIRECT("'results" &amp; $B10 &amp; "'!M$14")</f>
        <v>58.910917917000923</v>
      </c>
      <c r="M10" s="5" cm="1">
        <f t="array" aca="1" ref="M10" ca="1">INDIRECT("'results" &amp; $B10 &amp; "'!N$14")</f>
        <v>12</v>
      </c>
      <c r="N10" s="5" cm="1">
        <f t="array" aca="1" ref="N10" ca="1">INDIRECT("'results" &amp; $B10 &amp; "'!O$14")</f>
        <v>62</v>
      </c>
      <c r="O10" s="5" cm="1">
        <f t="array" aca="1" ref="O10" ca="1">INDIRECT("'results" &amp; $B10 &amp; "'!P$14")</f>
        <v>1313.6057037330625</v>
      </c>
      <c r="P10" s="5" cm="1">
        <f t="array" aca="1" ref="P10" ca="1">INDIRECT("'results" &amp; $B10 &amp; "'!Q$14")</f>
        <v>18.919859097580588</v>
      </c>
      <c r="Q10" s="5" cm="1">
        <f t="array" aca="1" ref="Q10" ca="1">INDIRECT("'results" &amp; $B10 &amp; "'!R$14")</f>
        <v>6236.5922794383287</v>
      </c>
      <c r="R10" s="5"/>
      <c r="S10" s="5" cm="1">
        <f t="array" aca="1" ref="S10" ca="1">INDIRECT("'results" &amp; $B10 &amp; "'!T$14")</f>
        <v>1429337.9025358581</v>
      </c>
      <c r="T10" s="5" cm="1">
        <f t="array" aca="1" ref="T10" ca="1">INDIRECT("'results" &amp; $B10 &amp; "'!U$14")</f>
        <v>62.276011500000102</v>
      </c>
      <c r="U10" s="5" cm="1">
        <f t="array" aca="1" ref="U10" ca="1">INDIRECT("'results" &amp; $B10 &amp; "'!V$14")</f>
        <v>9</v>
      </c>
      <c r="V10" s="5" cm="1">
        <f t="array" aca="1" ref="V10" ca="1">INDIRECT("'results" &amp; $B10 &amp; "'!W$14")</f>
        <v>57</v>
      </c>
      <c r="W10" s="5" cm="1">
        <f t="array" aca="1" ref="W10" ca="1">INDIRECT("'results" &amp; $B10 &amp; "'!X$14")</f>
        <v>1681.1032211076238</v>
      </c>
      <c r="X10" s="5" cm="1">
        <f t="array" aca="1" ref="X10" ca="1">INDIRECT("'results" &amp; $B10 &amp; "'!Y$14")</f>
        <v>43.173502410315741</v>
      </c>
      <c r="Y10" s="5" cm="1">
        <f t="array" aca="1" ref="Y10" ca="1">INDIRECT("'results" &amp; $B10 &amp; "'!Z$14")</f>
        <v>7185.9610315214977</v>
      </c>
      <c r="Z10" s="5"/>
    </row>
    <row r="11" spans="2:26" x14ac:dyDescent="0.2">
      <c r="B11" s="4">
        <v>921</v>
      </c>
      <c r="C11" s="5" cm="1">
        <f t="array" aca="1" ref="C11" ca="1">INDIRECT("'results" &amp; $B11 &amp; "'!D$14")</f>
        <v>936723.75964454783</v>
      </c>
      <c r="D11" s="33" cm="1">
        <f t="array" aca="1" ref="D11" ca="1">INDIRECT("'results" &amp; $B11 &amp; "'!E$14")</f>
        <v>50.169374250006513</v>
      </c>
      <c r="E11" s="5" cm="1">
        <f t="array" aca="1" ref="E11" ca="1">INDIRECT("'results" &amp; $B11 &amp; "'!F$14")</f>
        <v>10</v>
      </c>
      <c r="F11" s="5" cm="1">
        <f t="array" aca="1" ref="F11" ca="1">INDIRECT("'results" &amp; $B11 &amp; "'!G$14")</f>
        <v>89</v>
      </c>
      <c r="G11" s="5" cm="1">
        <f t="array" aca="1" ref="G11" ca="1">INDIRECT("'results" &amp; $B11 &amp; "'!H$14")</f>
        <v>911.1543661276462</v>
      </c>
      <c r="H11" s="33" cm="1">
        <f t="array" aca="1" ref="H11" ca="1">INDIRECT("'results" &amp; $B11 &amp; "'!I$14")</f>
        <v>35.881151332891434</v>
      </c>
      <c r="I11" s="5" cm="1">
        <f t="array" aca="1" ref="I11" ca="1">INDIRECT("'results" &amp; $B11 &amp; "'!J$14")</f>
        <v>5639.3128042621111</v>
      </c>
      <c r="J11" s="5"/>
      <c r="K11" s="5" cm="1">
        <f t="array" aca="1" ref="K11" ca="1">INDIRECT("'results" &amp; $B11 &amp; "'!L$14")</f>
        <v>1137541.335427403</v>
      </c>
      <c r="L11" s="5" cm="1">
        <f t="array" aca="1" ref="L11" ca="1">INDIRECT("'results" &amp; $B11 &amp; "'!M$14")</f>
        <v>50.048030375000963</v>
      </c>
      <c r="M11" s="5" cm="1">
        <f t="array" aca="1" ref="M11" ca="1">INDIRECT("'results" &amp; $B11 &amp; "'!N$14")</f>
        <v>16</v>
      </c>
      <c r="N11" s="5" cm="1">
        <f t="array" aca="1" ref="N11" ca="1">INDIRECT("'results" &amp; $B11 &amp; "'!O$14")</f>
        <v>82</v>
      </c>
      <c r="O11" s="5" cm="1">
        <f t="array" aca="1" ref="O11" ca="1">INDIRECT("'results" &amp; $B11 &amp; "'!P$14")</f>
        <v>956.00599030613341</v>
      </c>
      <c r="P11" s="5" cm="1">
        <f t="array" aca="1" ref="P11" ca="1">INDIRECT("'results" &amp; $B11 &amp; "'!Q$14")</f>
        <v>20.021941276814491</v>
      </c>
      <c r="Q11" s="5" cm="1">
        <f t="array" aca="1" ref="Q11" ca="1">INDIRECT("'results" &amp; $B11 &amp; "'!R$14")</f>
        <v>5546.8380044053465</v>
      </c>
      <c r="R11" s="5"/>
      <c r="S11" s="5" cm="1">
        <f t="array" aca="1" ref="S11" ca="1">INDIRECT("'results" &amp; $B11 &amp; "'!T$14")</f>
        <v>1181487.9490712101</v>
      </c>
      <c r="T11" s="5" cm="1">
        <f t="array" aca="1" ref="T11" ca="1">INDIRECT("'results" &amp; $B11 &amp; "'!U$14")</f>
        <v>74.299920207999094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76</v>
      </c>
      <c r="W11" s="5" cm="1">
        <f t="array" aca="1" ref="W11" ca="1">INDIRECT("'results" &amp; $B11 &amp; "'!X$14")</f>
        <v>1476.9665090003532</v>
      </c>
      <c r="X11" s="5" cm="1">
        <f t="array" aca="1" ref="X11" ca="1">INDIRECT("'results" &amp; $B11 &amp; "'!Y$14")</f>
        <v>45.984519878233911</v>
      </c>
      <c r="Y11" s="5" cm="1">
        <f t="array" aca="1" ref="Y11" ca="1">INDIRECT("'results" &amp; $B11 &amp; "'!Z$14")</f>
        <v>6433.0659361537955</v>
      </c>
      <c r="Z11" s="5"/>
    </row>
    <row r="12" spans="2:26" x14ac:dyDescent="0.2">
      <c r="B12" s="4">
        <v>979</v>
      </c>
      <c r="C12" s="5" cm="1">
        <f t="array" aca="1" ref="C12" ca="1">INDIRECT("'results" &amp; $B12 &amp; "'!D$14")</f>
        <v>1113566.705486432</v>
      </c>
      <c r="D12" s="33" cm="1">
        <f t="array" aca="1" ref="D12" ca="1">INDIRECT("'results" &amp; $B12 &amp; "'!E$14")</f>
        <v>66.634228625000105</v>
      </c>
      <c r="E12" s="5" cm="1">
        <f t="array" aca="1" ref="E12" ca="1">INDIRECT("'results" &amp; $B12 &amp; "'!F$14")</f>
        <v>10</v>
      </c>
      <c r="F12" s="5" cm="1">
        <f t="array" aca="1" ref="F12" ca="1">INDIRECT("'results" &amp; $B12 &amp; "'!G$14")</f>
        <v>84</v>
      </c>
      <c r="G12" s="5" cm="1">
        <f t="array" aca="1" ref="G12" ca="1">INDIRECT("'results" &amp; $B12 &amp; "'!H$14")</f>
        <v>1508.4245384162903</v>
      </c>
      <c r="H12" s="33" cm="1">
        <f t="array" aca="1" ref="H12" ca="1">INDIRECT("'results" &amp; $B12 &amp; "'!I$14")</f>
        <v>27.345080702600018</v>
      </c>
      <c r="I12" s="5" cm="1">
        <f t="array" aca="1" ref="I12" ca="1">INDIRECT("'results" &amp; $B12 &amp; "'!J$14")</f>
        <v>6431.6804262919832</v>
      </c>
      <c r="J12" s="5"/>
      <c r="K12" s="5" cm="1">
        <f t="array" aca="1" ref="K12" ca="1">INDIRECT("'results" &amp; $B12 &amp; "'!L$14")</f>
        <v>1271974.7973180071</v>
      </c>
      <c r="L12" s="5" cm="1">
        <f t="array" aca="1" ref="L12" ca="1">INDIRECT("'results" &amp; $B12 &amp; "'!M$14")</f>
        <v>86.193115207999654</v>
      </c>
      <c r="M12" s="5" cm="1">
        <f t="array" aca="1" ref="M12" ca="1">INDIRECT("'results" &amp; $B12 &amp; "'!N$14")</f>
        <v>14</v>
      </c>
      <c r="N12" s="5" cm="1">
        <f t="array" aca="1" ref="N12" ca="1">INDIRECT("'results" &amp; $B12 &amp; "'!O$14")</f>
        <v>73</v>
      </c>
      <c r="O12" s="5" cm="1">
        <f t="array" aca="1" ref="O12" ca="1">INDIRECT("'results" &amp; $B12 &amp; "'!P$14")</f>
        <v>1240.1254550314195</v>
      </c>
      <c r="P12" s="5" cm="1">
        <f t="array" aca="1" ref="P12" ca="1">INDIRECT("'results" &amp; $B12 &amp; "'!Q$14")</f>
        <v>16.06991297430805</v>
      </c>
      <c r="Q12" s="5" cm="1">
        <f t="array" aca="1" ref="Q12" ca="1">INDIRECT("'results" &amp; $B12 &amp; "'!R$14")</f>
        <v>5746.4223655317137</v>
      </c>
      <c r="R12" s="5"/>
      <c r="S12" s="5" cm="1">
        <f t="array" aca="1" ref="S12" ca="1">INDIRECT("'results" &amp; $B12 &amp; "'!T$14")</f>
        <v>1299212.923551318</v>
      </c>
      <c r="T12" s="5" cm="1">
        <f t="array" aca="1" ref="T12" ca="1">INDIRECT("'results" &amp; $B12 &amp; "'!U$14")</f>
        <v>56.840974624999937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66</v>
      </c>
      <c r="W12" s="5" cm="1">
        <f t="array" aca="1" ref="W12" ca="1">INDIRECT("'results" &amp; $B12 &amp; "'!X$14")</f>
        <v>1347.5358544837063</v>
      </c>
      <c r="X12" s="5" cm="1">
        <f t="array" aca="1" ref="X12" ca="1">INDIRECT("'results" &amp; $B12 &amp; "'!Y$14")</f>
        <v>32.65145308265889</v>
      </c>
      <c r="Y12" s="5" cm="1">
        <f t="array" aca="1" ref="Y12" ca="1">INDIRECT("'results" &amp; $B12 &amp; "'!Z$14")</f>
        <v>6344.1461389710166</v>
      </c>
      <c r="Z12" s="5"/>
    </row>
    <row r="13" spans="2:26" x14ac:dyDescent="0.2">
      <c r="B13" s="8" t="s">
        <v>3</v>
      </c>
      <c r="C13" s="9">
        <f ca="1">AVERAGE(C3:C12)</f>
        <v>1066831.9336034399</v>
      </c>
      <c r="D13" s="10">
        <f t="shared" ref="D13:I13" ca="1" si="0">AVERAGE(D3:D12)</f>
        <v>58.368834849900303</v>
      </c>
      <c r="E13" s="9">
        <f t="shared" ca="1" si="0"/>
        <v>10.6</v>
      </c>
      <c r="F13" s="9">
        <f t="shared" ca="1" si="0"/>
        <v>85.1</v>
      </c>
      <c r="G13" s="9">
        <f t="shared" ca="1" si="0"/>
        <v>1243.5648041441398</v>
      </c>
      <c r="H13" s="10">
        <f t="shared" ca="1" si="0"/>
        <v>29.924656620432405</v>
      </c>
      <c r="I13" s="9">
        <f t="shared" ca="1" si="0"/>
        <v>6168.0533330877815</v>
      </c>
      <c r="J13" s="32" t="e">
        <f ca="1">(C13-$D$15)/$D$15</f>
        <v>#DIV/0!</v>
      </c>
      <c r="K13" s="16">
        <f ca="1">AVERAGE(K3:K12)</f>
        <v>1258141.7414142573</v>
      </c>
      <c r="L13" s="41">
        <f t="shared" ref="L13:Q13" ca="1" si="1">AVERAGE(L3:L12)</f>
        <v>71.399041466600096</v>
      </c>
      <c r="M13" s="16">
        <f t="shared" ca="1" si="1"/>
        <v>14.8</v>
      </c>
      <c r="N13" s="16">
        <f ca="1">AVERAGE(N3:N12)</f>
        <v>73.400000000000006</v>
      </c>
      <c r="O13" s="16">
        <f t="shared" ca="1" si="1"/>
        <v>1071.9703618373624</v>
      </c>
      <c r="P13" s="41">
        <f t="shared" ca="1" si="1"/>
        <v>17.556102162203427</v>
      </c>
      <c r="Q13" s="16">
        <f t="shared" ca="1" si="1"/>
        <v>5665.8304604831519</v>
      </c>
      <c r="R13" s="42" t="e">
        <f ca="1">(K13-$D$15)/$D$15</f>
        <v>#DIV/0!</v>
      </c>
      <c r="S13" s="38">
        <f ca="1">AVERAGE(S3:S12)</f>
        <v>1302398.5193450844</v>
      </c>
      <c r="T13" s="43">
        <f t="shared" ref="T13:Y13" ca="1" si="2">AVERAGE(T3:T12)</f>
        <v>64.99318543749996</v>
      </c>
      <c r="U13" s="38">
        <f t="shared" ca="1" si="2"/>
        <v>9.6</v>
      </c>
      <c r="V13" s="38">
        <f t="shared" ca="1" si="2"/>
        <v>66.7</v>
      </c>
      <c r="W13" s="38">
        <f t="shared" ca="1" si="2"/>
        <v>1433.7821341604554</v>
      </c>
      <c r="X13" s="43">
        <f t="shared" ca="1" si="2"/>
        <v>41.014377168411457</v>
      </c>
      <c r="Y13" s="38">
        <f t="shared" ca="1" si="2"/>
        <v>6639.5990762485771</v>
      </c>
      <c r="Z13" s="44" t="e">
        <f ca="1">(S13-$D$15)/$D$15</f>
        <v>#DIV/0!</v>
      </c>
    </row>
    <row r="14" spans="2:26" x14ac:dyDescent="0.2">
      <c r="K14" s="45">
        <f ca="1">(K13-C13)/C13</f>
        <v>0.17932516058516351</v>
      </c>
      <c r="L14" s="45">
        <f t="shared" ref="L14:Q14" ca="1" si="3">(L13-D13)/D13</f>
        <v>0.22323910782539888</v>
      </c>
      <c r="M14" s="45">
        <f t="shared" ca="1" si="3"/>
        <v>0.39622641509433976</v>
      </c>
      <c r="N14" s="45">
        <f t="shared" ca="1" si="3"/>
        <v>-0.13748531139835476</v>
      </c>
      <c r="O14" s="45">
        <f t="shared" ca="1" si="3"/>
        <v>-0.1379859270179925</v>
      </c>
      <c r="P14" s="45">
        <f t="shared" ca="1" si="3"/>
        <v>-0.41332318746754781</v>
      </c>
      <c r="Q14" s="45">
        <f t="shared" ca="1" si="3"/>
        <v>-8.1423237686761768E-2</v>
      </c>
      <c r="S14" s="45">
        <f ca="1">(S13-C13)/C13</f>
        <v>0.22080946241079497</v>
      </c>
      <c r="T14" s="45">
        <f t="shared" ref="T14:Y14" ca="1" si="4">(T13-D13)/D13</f>
        <v>0.11349122531972167</v>
      </c>
      <c r="U14" s="45">
        <f t="shared" ca="1" si="4"/>
        <v>-9.4339622641509441E-2</v>
      </c>
      <c r="V14" s="45">
        <f ca="1">(V13-F13)/F13</f>
        <v>-0.21621621621621612</v>
      </c>
      <c r="W14" s="45">
        <f t="shared" ca="1" si="4"/>
        <v>0.1529613329216318</v>
      </c>
      <c r="X14" s="45">
        <f t="shared" ca="1" si="4"/>
        <v>0.37058806350369439</v>
      </c>
      <c r="Y14" s="45">
        <f t="shared" ca="1" si="4"/>
        <v>7.6449686423955693E-2</v>
      </c>
    </row>
    <row r="16" spans="2:26" x14ac:dyDescent="0.2">
      <c r="B16" s="1" t="s">
        <v>21</v>
      </c>
      <c r="C16">
        <f ca="1">_xlfn.STDEV.S(C3:C12)</f>
        <v>77552.201983998544</v>
      </c>
      <c r="J16" s="1" t="s">
        <v>21</v>
      </c>
      <c r="K16">
        <f ca="1">_xlfn.STDEV.S(K3:K12)</f>
        <v>79139.298548121369</v>
      </c>
      <c r="R16" s="1" t="s">
        <v>21</v>
      </c>
      <c r="S16">
        <f ca="1">_xlfn.STDEV.S(S3:S12)</f>
        <v>68901.089058294441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AE0E-7297-E34B-A68B-2219B088E4D0}">
  <sheetPr codeName="Sheet3"/>
  <dimension ref="B1:AA17"/>
  <sheetViews>
    <sheetView tabSelected="1" zoomScale="118" zoomScaleNormal="120" workbookViewId="0">
      <selection activeCell="A17" sqref="A17:XFD2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-0.98453549301574728</v>
      </c>
      <c r="J2" s="28" t="e">
        <f>(S14-J14)/J14</f>
        <v>#DIV/0!</v>
      </c>
      <c r="K2" s="28"/>
      <c r="L2" s="1" t="s">
        <v>19</v>
      </c>
      <c r="P2" s="1">
        <f>(P14-H14)/H14</f>
        <v>-0.3148159840404815</v>
      </c>
      <c r="R2" s="1">
        <f>(R14-J14)/J14</f>
        <v>-0.15953589160176163</v>
      </c>
      <c r="T2" s="1" t="s">
        <v>20</v>
      </c>
      <c r="X2" s="1">
        <f>(X14-P14)/P14</f>
        <v>0.56607878586904492</v>
      </c>
      <c r="Z2" s="1">
        <f>(Z14-R14)/R14</f>
        <v>0.18746038434819895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35</v>
      </c>
      <c r="D4" s="23">
        <v>1005436.9749163199</v>
      </c>
      <c r="E4" s="33">
        <v>63.282744249998359</v>
      </c>
      <c r="F4" s="5">
        <v>11</v>
      </c>
      <c r="G4" s="23">
        <v>92</v>
      </c>
      <c r="H4" s="33">
        <v>1281.976298743951</v>
      </c>
      <c r="I4" s="23">
        <v>32.019772591649421</v>
      </c>
      <c r="J4" s="5">
        <v>6241.4316661043986</v>
      </c>
      <c r="K4" s="31"/>
      <c r="L4" s="23">
        <v>1193755.8611984791</v>
      </c>
      <c r="M4" s="33">
        <v>69.799559707998924</v>
      </c>
      <c r="N4" s="5">
        <v>17</v>
      </c>
      <c r="O4" s="5">
        <v>80</v>
      </c>
      <c r="P4" s="33">
        <v>1034.6126619624279</v>
      </c>
      <c r="Q4" s="5">
        <v>17.079594455757988</v>
      </c>
      <c r="R4" s="5">
        <v>5388.3579867709295</v>
      </c>
      <c r="S4" s="35"/>
      <c r="T4" s="23">
        <v>1225917.1932650609</v>
      </c>
      <c r="U4" s="33">
        <v>48.423303292000128</v>
      </c>
      <c r="V4" s="5">
        <v>10</v>
      </c>
      <c r="W4" s="5">
        <v>72</v>
      </c>
      <c r="X4" s="33">
        <v>1396.0873570349779</v>
      </c>
      <c r="Y4" s="5">
        <v>39.811317890776891</v>
      </c>
      <c r="Z4" s="5">
        <v>6231.3000857855868</v>
      </c>
      <c r="AA4" s="35"/>
    </row>
    <row r="5" spans="2:27" x14ac:dyDescent="0.2">
      <c r="B5" s="4">
        <v>2</v>
      </c>
      <c r="C5" s="4">
        <v>136</v>
      </c>
      <c r="D5" s="23">
        <v>1013422.946785297</v>
      </c>
      <c r="E5" s="33">
        <v>45.534112916997401</v>
      </c>
      <c r="F5" s="5">
        <v>11</v>
      </c>
      <c r="G5" s="23">
        <v>90</v>
      </c>
      <c r="H5" s="33">
        <v>1338.2022779100362</v>
      </c>
      <c r="I5" s="23">
        <v>30.46753286061265</v>
      </c>
      <c r="J5" s="5">
        <v>6039.0400297739488</v>
      </c>
      <c r="K5" s="31"/>
      <c r="L5" s="23">
        <v>1199518.3704666269</v>
      </c>
      <c r="M5" s="33">
        <v>78.606866874999469</v>
      </c>
      <c r="N5" s="5">
        <v>19</v>
      </c>
      <c r="O5" s="5">
        <v>86</v>
      </c>
      <c r="P5" s="33">
        <v>1373.5360565443816</v>
      </c>
      <c r="Q5" s="5">
        <v>17.003417983832026</v>
      </c>
      <c r="R5" s="5">
        <v>5728.436248688161</v>
      </c>
      <c r="S5" s="35"/>
      <c r="T5" s="23">
        <v>1246389.7383321491</v>
      </c>
      <c r="U5" s="33">
        <v>48.504688042001362</v>
      </c>
      <c r="V5" s="5">
        <v>9</v>
      </c>
      <c r="W5" s="5">
        <v>68</v>
      </c>
      <c r="X5" s="33">
        <v>1241.4944439168219</v>
      </c>
      <c r="Y5" s="5">
        <v>40.788674932888405</v>
      </c>
      <c r="Z5" s="5">
        <v>6127.2576220614847</v>
      </c>
      <c r="AA5" s="35"/>
    </row>
    <row r="6" spans="2:27" x14ac:dyDescent="0.2">
      <c r="B6" s="4">
        <v>3</v>
      </c>
      <c r="C6" s="4">
        <v>401</v>
      </c>
      <c r="D6" s="23">
        <v>977635.39207361999</v>
      </c>
      <c r="E6" s="33">
        <v>32.147782959000317</v>
      </c>
      <c r="F6" s="5">
        <v>11</v>
      </c>
      <c r="G6" s="23">
        <v>92</v>
      </c>
      <c r="H6" s="33">
        <v>1121.5873651579627</v>
      </c>
      <c r="I6" s="23">
        <v>32.135889902959768</v>
      </c>
      <c r="J6" s="5">
        <v>6088.7602339176028</v>
      </c>
      <c r="K6" s="31"/>
      <c r="L6" s="23">
        <v>1135114.67608583</v>
      </c>
      <c r="M6" s="33">
        <v>66.532918625000093</v>
      </c>
      <c r="N6" s="5">
        <v>15</v>
      </c>
      <c r="O6" s="5">
        <v>79</v>
      </c>
      <c r="P6" s="33">
        <v>818.42466335616552</v>
      </c>
      <c r="Q6" s="5">
        <v>18.471729678095542</v>
      </c>
      <c r="R6" s="5">
        <v>5132.4678577715822</v>
      </c>
      <c r="S6" s="35"/>
      <c r="T6" s="23">
        <v>1225903.4175803859</v>
      </c>
      <c r="U6" s="33">
        <v>51.724406417000857</v>
      </c>
      <c r="V6" s="5">
        <v>10</v>
      </c>
      <c r="W6" s="5">
        <v>71</v>
      </c>
      <c r="X6" s="33">
        <v>1296.3722045679997</v>
      </c>
      <c r="Y6" s="5">
        <v>38.024191905292334</v>
      </c>
      <c r="Z6" s="5">
        <v>6108.1252880334205</v>
      </c>
      <c r="AA6" s="35"/>
    </row>
    <row r="7" spans="2:27" x14ac:dyDescent="0.2">
      <c r="B7" s="4">
        <v>4</v>
      </c>
      <c r="C7" s="4">
        <v>407</v>
      </c>
      <c r="D7" s="23">
        <v>1008160.228403309</v>
      </c>
      <c r="E7" s="33">
        <v>50.617850708003971</v>
      </c>
      <c r="F7" s="5">
        <v>10</v>
      </c>
      <c r="G7" s="23">
        <v>89</v>
      </c>
      <c r="H7" s="33">
        <v>1227.0868998602396</v>
      </c>
      <c r="I7" s="23">
        <v>34.064515780886211</v>
      </c>
      <c r="J7" s="5">
        <v>6170.0332771982039</v>
      </c>
      <c r="K7" s="31"/>
      <c r="L7" s="23">
        <v>1155012.5042291961</v>
      </c>
      <c r="M7" s="33">
        <v>65.809665999999197</v>
      </c>
      <c r="N7" s="5">
        <v>18</v>
      </c>
      <c r="O7" s="5">
        <v>85</v>
      </c>
      <c r="P7" s="33">
        <v>1112.3486672179463</v>
      </c>
      <c r="Q7" s="5">
        <v>17.598717280636258</v>
      </c>
      <c r="R7" s="5">
        <v>5448.1467635482377</v>
      </c>
      <c r="S7" s="35"/>
      <c r="T7" s="23">
        <v>1287467.048676125</v>
      </c>
      <c r="U7" s="33">
        <v>34.123140292000237</v>
      </c>
      <c r="V7" s="5">
        <v>9</v>
      </c>
      <c r="W7" s="5">
        <v>68</v>
      </c>
      <c r="X7" s="33">
        <v>1599.3932527171676</v>
      </c>
      <c r="Y7" s="5">
        <v>41.826862164616585</v>
      </c>
      <c r="Z7" s="5">
        <v>6515.396779205621</v>
      </c>
      <c r="AA7" s="35"/>
    </row>
    <row r="8" spans="2:27" x14ac:dyDescent="0.2">
      <c r="B8" s="4">
        <v>5</v>
      </c>
      <c r="C8" s="4">
        <v>436</v>
      </c>
      <c r="D8" s="23">
        <v>977635.39207361999</v>
      </c>
      <c r="E8" s="33">
        <v>76.683420417000889</v>
      </c>
      <c r="F8" s="5">
        <v>11</v>
      </c>
      <c r="G8" s="23">
        <v>92</v>
      </c>
      <c r="H8" s="33">
        <v>1121.5873651579627</v>
      </c>
      <c r="I8" s="23">
        <v>32.135889902959768</v>
      </c>
      <c r="J8" s="5">
        <v>6088.7602339176028</v>
      </c>
      <c r="K8" s="31"/>
      <c r="L8" s="23">
        <v>1154453.777517285</v>
      </c>
      <c r="M8" s="33">
        <v>107.60193875</v>
      </c>
      <c r="N8" s="5">
        <v>17</v>
      </c>
      <c r="O8" s="5">
        <v>82</v>
      </c>
      <c r="P8" s="33">
        <v>1001.3825954259607</v>
      </c>
      <c r="Q8" s="5">
        <v>17.553925221995268</v>
      </c>
      <c r="R8" s="5">
        <v>5278.5004810555765</v>
      </c>
      <c r="S8" s="35"/>
      <c r="T8" s="23">
        <v>1253011.063775819</v>
      </c>
      <c r="U8" s="33">
        <v>42.760753707998447</v>
      </c>
      <c r="V8" s="5">
        <v>10</v>
      </c>
      <c r="W8" s="5">
        <v>69</v>
      </c>
      <c r="X8" s="33">
        <v>1286.098552614051</v>
      </c>
      <c r="Y8" s="5">
        <v>37.245004747533685</v>
      </c>
      <c r="Z8" s="5">
        <v>6097.512354457418</v>
      </c>
      <c r="AA8" s="35"/>
    </row>
    <row r="9" spans="2:27" x14ac:dyDescent="0.2">
      <c r="B9" s="4">
        <v>6</v>
      </c>
      <c r="C9" s="4">
        <v>454</v>
      </c>
      <c r="D9" s="23">
        <v>1014899.4053202569</v>
      </c>
      <c r="E9" s="33">
        <v>65.716741500000353</v>
      </c>
      <c r="F9" s="5">
        <v>11</v>
      </c>
      <c r="G9" s="23">
        <v>92</v>
      </c>
      <c r="H9" s="33">
        <v>1352.3133042724839</v>
      </c>
      <c r="I9" s="23">
        <v>32.044699840957975</v>
      </c>
      <c r="J9" s="5">
        <v>6300.6686712680967</v>
      </c>
      <c r="K9" s="31"/>
      <c r="L9" s="23">
        <v>1149480.386712194</v>
      </c>
      <c r="M9" s="33">
        <v>118.9303569159983</v>
      </c>
      <c r="N9" s="5">
        <v>16</v>
      </c>
      <c r="O9" s="5">
        <v>81</v>
      </c>
      <c r="P9" s="33">
        <v>968.01189661826481</v>
      </c>
      <c r="Q9" s="5">
        <v>18.502412415039469</v>
      </c>
      <c r="R9" s="5">
        <v>5305.1197968196202</v>
      </c>
      <c r="S9" s="35"/>
      <c r="T9" s="23">
        <v>1278527.6918875261</v>
      </c>
      <c r="U9" s="33">
        <v>63.233862458000658</v>
      </c>
      <c r="V9" s="5">
        <v>9</v>
      </c>
      <c r="W9" s="5">
        <v>66</v>
      </c>
      <c r="X9" s="33">
        <v>1170.1731521117526</v>
      </c>
      <c r="Y9" s="5">
        <v>40.158510489605767</v>
      </c>
      <c r="Z9" s="5">
        <v>6238.1455717965018</v>
      </c>
      <c r="AA9" s="35"/>
    </row>
    <row r="10" spans="2:27" x14ac:dyDescent="0.2">
      <c r="B10" s="4">
        <v>7</v>
      </c>
      <c r="C10" s="4">
        <v>558</v>
      </c>
      <c r="D10" s="23">
        <v>975897.4768027782</v>
      </c>
      <c r="E10" s="33">
        <v>42.232153750002908</v>
      </c>
      <c r="F10" s="5">
        <v>12</v>
      </c>
      <c r="G10" s="23">
        <v>94</v>
      </c>
      <c r="H10" s="33">
        <v>1194.4596550607787</v>
      </c>
      <c r="I10" s="23">
        <v>30.687621176707296</v>
      </c>
      <c r="J10" s="5">
        <v>6106.7067665186451</v>
      </c>
      <c r="K10" s="31"/>
      <c r="L10" s="23">
        <v>1185560.6771226451</v>
      </c>
      <c r="M10" s="33">
        <v>47.339378874999973</v>
      </c>
      <c r="N10" s="5">
        <v>18</v>
      </c>
      <c r="O10" s="5">
        <v>85</v>
      </c>
      <c r="P10" s="33">
        <v>1254.6216446006113</v>
      </c>
      <c r="Q10" s="5">
        <v>17.449935761304179</v>
      </c>
      <c r="R10" s="5">
        <v>5655.0615164630981</v>
      </c>
      <c r="S10" s="35"/>
      <c r="T10" s="23">
        <v>1225036.882643857</v>
      </c>
      <c r="U10" s="33">
        <v>47.199843458000032</v>
      </c>
      <c r="V10" s="5">
        <v>10</v>
      </c>
      <c r="W10" s="5">
        <v>71</v>
      </c>
      <c r="X10" s="33">
        <v>1281.7175031141055</v>
      </c>
      <c r="Y10" s="5">
        <v>39.080312025806727</v>
      </c>
      <c r="Z10" s="5">
        <v>6094.6022550442203</v>
      </c>
      <c r="AA10" s="35"/>
    </row>
    <row r="11" spans="2:27" x14ac:dyDescent="0.2">
      <c r="B11" s="4">
        <v>8</v>
      </c>
      <c r="C11" s="4">
        <v>814</v>
      </c>
      <c r="D11" s="23">
        <v>977635.39207361999</v>
      </c>
      <c r="E11" s="33">
        <v>32.749545166996541</v>
      </c>
      <c r="F11" s="5">
        <v>11</v>
      </c>
      <c r="G11" s="23">
        <v>92</v>
      </c>
      <c r="H11" s="33">
        <v>1121.5873651579627</v>
      </c>
      <c r="I11" s="23">
        <v>32.135889902959768</v>
      </c>
      <c r="J11" s="5">
        <v>6088.7602339176028</v>
      </c>
      <c r="K11" s="31"/>
      <c r="L11" s="23">
        <v>1148914.4935110661</v>
      </c>
      <c r="M11" s="33">
        <v>96.078731375000643</v>
      </c>
      <c r="N11" s="5">
        <v>17</v>
      </c>
      <c r="O11" s="5">
        <v>84</v>
      </c>
      <c r="P11" s="33">
        <v>1050.0971761567432</v>
      </c>
      <c r="Q11" s="5">
        <v>18.094851089621081</v>
      </c>
      <c r="R11" s="5">
        <v>5496.6268040271334</v>
      </c>
      <c r="S11" s="35"/>
      <c r="T11" s="23">
        <v>1225917.1932650609</v>
      </c>
      <c r="U11" s="33">
        <v>38.732926624999891</v>
      </c>
      <c r="V11" s="5">
        <v>10</v>
      </c>
      <c r="W11" s="5">
        <v>72</v>
      </c>
      <c r="X11" s="33">
        <v>1396.0873570349779</v>
      </c>
      <c r="Y11" s="5">
        <v>39.811317890776891</v>
      </c>
      <c r="Z11" s="5">
        <v>6231.3000857855868</v>
      </c>
      <c r="AA11" s="35"/>
    </row>
    <row r="12" spans="2:27" x14ac:dyDescent="0.2">
      <c r="B12" s="4">
        <v>9</v>
      </c>
      <c r="C12" s="4">
        <v>958</v>
      </c>
      <c r="D12" s="23">
        <v>977635.39207361999</v>
      </c>
      <c r="E12" s="33">
        <v>32.180263290996663</v>
      </c>
      <c r="F12" s="5">
        <v>11</v>
      </c>
      <c r="G12" s="23">
        <v>92</v>
      </c>
      <c r="H12" s="33">
        <v>1121.5873651579627</v>
      </c>
      <c r="I12" s="23">
        <v>32.135889902959768</v>
      </c>
      <c r="J12" s="5">
        <v>6088.7602339176028</v>
      </c>
      <c r="K12" s="31"/>
      <c r="L12" s="23">
        <v>1211136.7790714791</v>
      </c>
      <c r="M12" s="33">
        <v>84.746210541001346</v>
      </c>
      <c r="N12" s="5">
        <v>16</v>
      </c>
      <c r="O12" s="5">
        <v>79</v>
      </c>
      <c r="P12" s="33">
        <v>1048.8935234269568</v>
      </c>
      <c r="Q12" s="5">
        <v>17.858402307937656</v>
      </c>
      <c r="R12" s="5">
        <v>5583.8977001858966</v>
      </c>
      <c r="S12" s="35"/>
      <c r="T12" s="23">
        <v>1246389.7383321491</v>
      </c>
      <c r="U12" s="33">
        <v>63.521142166999198</v>
      </c>
      <c r="V12" s="5">
        <v>9</v>
      </c>
      <c r="W12" s="5">
        <v>68</v>
      </c>
      <c r="X12" s="33">
        <v>1241.4944439168219</v>
      </c>
      <c r="Y12" s="5">
        <v>40.788674932888405</v>
      </c>
      <c r="Z12" s="5">
        <v>6127.2576220614847</v>
      </c>
      <c r="AA12" s="35"/>
    </row>
    <row r="13" spans="2:27" x14ac:dyDescent="0.2">
      <c r="B13" s="4">
        <v>10</v>
      </c>
      <c r="C13" s="4">
        <v>995</v>
      </c>
      <c r="D13" s="23">
        <v>1003503.2344538081</v>
      </c>
      <c r="E13" s="33">
        <v>39.60691141699499</v>
      </c>
      <c r="F13" s="5">
        <v>11</v>
      </c>
      <c r="G13" s="23">
        <v>91</v>
      </c>
      <c r="H13" s="33">
        <v>1160.3394042837756</v>
      </c>
      <c r="I13" s="23">
        <v>31.712438478982413</v>
      </c>
      <c r="J13" s="5">
        <v>6126.5872867480621</v>
      </c>
      <c r="K13" s="31"/>
      <c r="L13" s="23">
        <v>1169285.4089079089</v>
      </c>
      <c r="M13" s="33">
        <v>124.782235875</v>
      </c>
      <c r="N13" s="5">
        <v>15</v>
      </c>
      <c r="O13" s="5">
        <v>79</v>
      </c>
      <c r="P13" s="33">
        <v>1017.9721490458905</v>
      </c>
      <c r="Q13" s="5">
        <v>18.149414620243078</v>
      </c>
      <c r="R13" s="5">
        <v>5277.5626163070383</v>
      </c>
      <c r="S13" s="35"/>
      <c r="T13" s="23">
        <v>1266817.3298873091</v>
      </c>
      <c r="U13" s="33">
        <v>50.849728082999718</v>
      </c>
      <c r="V13" s="5">
        <v>10</v>
      </c>
      <c r="W13" s="5">
        <v>71</v>
      </c>
      <c r="X13" s="33">
        <v>1711.398451463323</v>
      </c>
      <c r="Y13" s="5">
        <v>38.643475114031105</v>
      </c>
      <c r="Z13" s="5">
        <v>6362.3177394582763</v>
      </c>
      <c r="AA13" s="35"/>
    </row>
    <row r="14" spans="2:27" x14ac:dyDescent="0.2">
      <c r="B14" s="47" t="s">
        <v>3</v>
      </c>
      <c r="C14" s="48"/>
      <c r="D14" s="9">
        <f>MIN(D4:D13)</f>
        <v>975897.4768027782</v>
      </c>
      <c r="E14" s="22">
        <f>INDEX(E4:E13, MATCH($D$14, D4:D13, 0))</f>
        <v>42.232153750002908</v>
      </c>
      <c r="F14" s="9">
        <f>INDEX(F4:F13, MATCH($D$14, D4:D13, 0))</f>
        <v>12</v>
      </c>
      <c r="G14" s="9">
        <f>INDEX(G4:G13, MATCH($D$14, D4:D13, 0))</f>
        <v>94</v>
      </c>
      <c r="H14" s="22">
        <f>INDEX(H4:H13, MATCH($D$14, D4:D13, 0))</f>
        <v>1194.4596550607787</v>
      </c>
      <c r="I14" s="22">
        <f>INDEX(I4:I13, MATCH($D$14, D4:D13, 0))</f>
        <v>30.687621176707296</v>
      </c>
      <c r="J14" s="22">
        <f>INDEX(J4:J13, MATCH($D$14, D4:D13, 0))</f>
        <v>6106.7067665186451</v>
      </c>
      <c r="K14" s="32" t="e">
        <f>(D14-$D$15)/$D$15</f>
        <v>#DIV/0!</v>
      </c>
      <c r="L14" s="16">
        <f>MIN(L4:L13)</f>
        <v>1135114.67608583</v>
      </c>
      <c r="M14" s="21">
        <f>INDEX(M4:M13, MATCH($L$14, L4:L13, 0))</f>
        <v>66.532918625000093</v>
      </c>
      <c r="N14" s="16">
        <f>INDEX(N4:N13, MATCH($L$14, L4:L13, 0))</f>
        <v>15</v>
      </c>
      <c r="O14" s="16">
        <f>INDEX(O4:O13, MATCH($L$14, L4:L13, 0))</f>
        <v>79</v>
      </c>
      <c r="P14" s="21">
        <f>INDEX(P4:P13, MATCH($L$14, L4:L13, 0))</f>
        <v>818.42466335616552</v>
      </c>
      <c r="Q14" s="21">
        <f>INDEX(Q4:Q13, MATCH($L$14, L4:L13, 0))</f>
        <v>18.471729678095542</v>
      </c>
      <c r="R14" s="21">
        <f>INDEX(R4:R13, MATCH($L$14, L4:L13, 0))</f>
        <v>5132.4678577715822</v>
      </c>
      <c r="S14" s="36" t="e">
        <f>(L14-$D$15)/$D$15</f>
        <v>#DIV/0!</v>
      </c>
      <c r="T14" s="38">
        <f>MIN(T4:T13)</f>
        <v>1225036.882643857</v>
      </c>
      <c r="U14" s="39">
        <f>INDEX(U4:U13, MATCH($T$14, T4:T13, 0))</f>
        <v>47.199843458000032</v>
      </c>
      <c r="V14" s="38">
        <f>INDEX(V4:V13, MATCH($T$14, T4:T13, 0))</f>
        <v>10</v>
      </c>
      <c r="W14" s="38">
        <f>INDEX(W4:W13, MATCH($T$14, T4:T13, 0))</f>
        <v>71</v>
      </c>
      <c r="X14" s="39">
        <f>INDEX(X4:X13, MATCH($T$14, T4:T13, 0))</f>
        <v>1281.7175031141055</v>
      </c>
      <c r="Y14" s="39">
        <f>INDEX(Y4:Y13, MATCH($T$14, T4:T13, 0))</f>
        <v>39.080312025806727</v>
      </c>
      <c r="Z14" s="39">
        <f>INDEX(Z4:Z13, MATCH($T$14, T4:T13, 0))</f>
        <v>6094.6022550442203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0.16314951423450438</v>
      </c>
      <c r="M15" s="46">
        <f t="shared" ref="M15:R15" si="0">(M14-E14)/E14</f>
        <v>0.57540908329818519</v>
      </c>
      <c r="N15" s="46">
        <f t="shared" si="0"/>
        <v>0.25</v>
      </c>
      <c r="O15" s="46">
        <f t="shared" si="0"/>
        <v>-0.15957446808510639</v>
      </c>
      <c r="P15" s="46">
        <f t="shared" si="0"/>
        <v>-0.3148159840404815</v>
      </c>
      <c r="Q15" s="46">
        <f t="shared" si="0"/>
        <v>-0.39807228550787555</v>
      </c>
      <c r="R15" s="46">
        <f t="shared" si="0"/>
        <v>-0.15953589160176163</v>
      </c>
      <c r="T15" s="46">
        <f>(T14-D14)/D14</f>
        <v>0.25529260169552431</v>
      </c>
      <c r="U15" s="46">
        <f t="shared" ref="U15:Z15" si="1">(U14-E14)/E14</f>
        <v>0.11762814033600599</v>
      </c>
      <c r="V15" s="46">
        <f t="shared" si="1"/>
        <v>-0.16666666666666666</v>
      </c>
      <c r="W15" s="46">
        <f t="shared" si="1"/>
        <v>-0.24468085106382978</v>
      </c>
      <c r="X15" s="46">
        <f t="shared" si="1"/>
        <v>7.3052151810758997E-2</v>
      </c>
      <c r="Y15" s="46">
        <f t="shared" si="1"/>
        <v>0.27348782757621182</v>
      </c>
      <c r="Z15" s="46">
        <f t="shared" si="1"/>
        <v>-1.9821668105615216E-3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91" priority="5"/>
    <cfRule type="duplicateValues" dxfId="90" priority="6"/>
  </conditionalFormatting>
  <conditionalFormatting sqref="C14">
    <cfRule type="duplicateValues" dxfId="89" priority="3"/>
    <cfRule type="duplicateValues" dxfId="88" priority="4"/>
  </conditionalFormatting>
  <conditionalFormatting sqref="C15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CC95-03C3-744A-96EA-6C942B7CF1AF}">
  <sheetPr codeName="Sheet4"/>
  <dimension ref="B1:AA17"/>
  <sheetViews>
    <sheetView zoomScale="118" zoomScaleNormal="12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-0.98576934062284727</v>
      </c>
      <c r="J2" s="28" t="e">
        <f>(S14-J14)/J14</f>
        <v>#DIV/0!</v>
      </c>
      <c r="K2" s="28"/>
      <c r="L2" s="1" t="s">
        <v>19</v>
      </c>
      <c r="P2" s="1">
        <f>(P14-H14)/H14</f>
        <v>-1.554170602642275E-2</v>
      </c>
      <c r="R2" s="1">
        <f>(R14-J14)/J14</f>
        <v>-3.264752956974136E-2</v>
      </c>
      <c r="T2" s="1" t="s">
        <v>20</v>
      </c>
      <c r="X2" s="1">
        <f>(X14-P14)/P14</f>
        <v>0.19050565872008224</v>
      </c>
      <c r="Z2" s="1">
        <f>(Z14-R14)/R14</f>
        <v>0.109471892377314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252</v>
      </c>
      <c r="D4" s="23">
        <v>1186358.8986682771</v>
      </c>
      <c r="E4" s="33">
        <v>30.193283749998951</v>
      </c>
      <c r="F4" s="5">
        <v>9</v>
      </c>
      <c r="G4" s="23">
        <v>76</v>
      </c>
      <c r="H4" s="33">
        <v>1249.8590049527031</v>
      </c>
      <c r="I4" s="23">
        <v>28.604621578545348</v>
      </c>
      <c r="J4" s="5">
        <v>6431.4514910876396</v>
      </c>
      <c r="K4" s="31"/>
      <c r="L4" s="23">
        <v>1321811.548217247</v>
      </c>
      <c r="M4" s="33">
        <v>65.607506459000433</v>
      </c>
      <c r="N4" s="5">
        <v>13</v>
      </c>
      <c r="O4" s="5">
        <v>71</v>
      </c>
      <c r="P4" s="33">
        <v>1388.7221171206313</v>
      </c>
      <c r="Q4" s="5">
        <v>18.427706205487009</v>
      </c>
      <c r="R4" s="5">
        <v>6239.791701195938</v>
      </c>
      <c r="S4" s="35"/>
      <c r="T4" s="23">
        <v>1393450.1679763419</v>
      </c>
      <c r="U4" s="33">
        <v>31.451984583000009</v>
      </c>
      <c r="V4" s="5">
        <v>9</v>
      </c>
      <c r="W4" s="5">
        <v>60</v>
      </c>
      <c r="X4" s="33">
        <v>1375.4962368901049</v>
      </c>
      <c r="Y4" s="5">
        <v>33.276237013147444</v>
      </c>
      <c r="Z4" s="5">
        <v>6630.9817884150534</v>
      </c>
      <c r="AA4" s="35"/>
    </row>
    <row r="5" spans="2:27" x14ac:dyDescent="0.2">
      <c r="B5" s="4">
        <v>2</v>
      </c>
      <c r="C5" s="4">
        <v>265</v>
      </c>
      <c r="D5" s="23">
        <v>1223029.5270109361</v>
      </c>
      <c r="E5" s="33">
        <v>29.45796766700369</v>
      </c>
      <c r="F5" s="5">
        <v>10</v>
      </c>
      <c r="G5" s="23">
        <v>78</v>
      </c>
      <c r="H5" s="33">
        <v>1669.6284778758611</v>
      </c>
      <c r="I5" s="23">
        <v>26.091433475942033</v>
      </c>
      <c r="J5" s="5">
        <v>6866.7854110930766</v>
      </c>
      <c r="K5" s="31"/>
      <c r="L5" s="23">
        <v>1316279.4758820599</v>
      </c>
      <c r="M5" s="33">
        <v>51.312084291999781</v>
      </c>
      <c r="N5" s="5">
        <v>13</v>
      </c>
      <c r="O5" s="5">
        <v>72</v>
      </c>
      <c r="P5" s="33">
        <v>1409.3730633978723</v>
      </c>
      <c r="Q5" s="5">
        <v>19.662618359277538</v>
      </c>
      <c r="R5" s="5">
        <v>6409.4157256706794</v>
      </c>
      <c r="S5" s="35"/>
      <c r="T5" s="23">
        <v>1500119.2969047909</v>
      </c>
      <c r="U5" s="33">
        <v>38.283321790999253</v>
      </c>
      <c r="V5" s="5">
        <v>7</v>
      </c>
      <c r="W5" s="5">
        <v>48</v>
      </c>
      <c r="X5" s="33">
        <v>1049.7047256353756</v>
      </c>
      <c r="Y5" s="5">
        <v>32.493152091046305</v>
      </c>
      <c r="Z5" s="5">
        <v>6582.3479126705233</v>
      </c>
      <c r="AA5" s="35"/>
    </row>
    <row r="6" spans="2:27" x14ac:dyDescent="0.2">
      <c r="B6" s="4">
        <v>3</v>
      </c>
      <c r="C6" s="4">
        <v>289</v>
      </c>
      <c r="D6" s="23">
        <v>1149232.27839605</v>
      </c>
      <c r="E6" s="33">
        <v>39.235548250006097</v>
      </c>
      <c r="F6" s="5">
        <v>10</v>
      </c>
      <c r="G6" s="23">
        <v>79</v>
      </c>
      <c r="H6" s="33">
        <v>1259.0187761240118</v>
      </c>
      <c r="I6" s="23">
        <v>26.747272298916876</v>
      </c>
      <c r="J6" s="5">
        <v>6318.1289764520943</v>
      </c>
      <c r="K6" s="31"/>
      <c r="L6" s="23">
        <v>1310006.1039713321</v>
      </c>
      <c r="M6" s="33">
        <v>105.4023904170008</v>
      </c>
      <c r="N6" s="5">
        <v>12</v>
      </c>
      <c r="O6" s="5">
        <v>69</v>
      </c>
      <c r="P6" s="33">
        <v>1249.3991402768061</v>
      </c>
      <c r="Q6" s="5">
        <v>19.121930493918725</v>
      </c>
      <c r="R6" s="5">
        <v>6218.0096459204979</v>
      </c>
      <c r="S6" s="35"/>
      <c r="T6" s="23">
        <v>1465935.0415006881</v>
      </c>
      <c r="U6" s="33">
        <v>60.051144415998351</v>
      </c>
      <c r="V6" s="5">
        <v>9</v>
      </c>
      <c r="W6" s="5">
        <v>59</v>
      </c>
      <c r="X6" s="33">
        <v>1996.4313065917088</v>
      </c>
      <c r="Y6" s="5">
        <v>33.883800002999266</v>
      </c>
      <c r="Z6" s="5">
        <v>7318.2645441348695</v>
      </c>
      <c r="AA6" s="35"/>
    </row>
    <row r="7" spans="2:27" x14ac:dyDescent="0.2">
      <c r="B7" s="4">
        <v>4</v>
      </c>
      <c r="C7" s="4">
        <v>491</v>
      </c>
      <c r="D7" s="23">
        <v>1180261.259216866</v>
      </c>
      <c r="E7" s="33">
        <v>70.867898999997124</v>
      </c>
      <c r="F7" s="5">
        <v>10</v>
      </c>
      <c r="G7" s="23">
        <v>78</v>
      </c>
      <c r="H7" s="33">
        <v>1417.7178378148626</v>
      </c>
      <c r="I7" s="23">
        <v>28.045900658163816</v>
      </c>
      <c r="J7" s="5">
        <v>6471.2310164487408</v>
      </c>
      <c r="K7" s="31"/>
      <c r="L7" s="23">
        <v>1362606.0940229921</v>
      </c>
      <c r="M7" s="33">
        <v>42.873073458000363</v>
      </c>
      <c r="N7" s="5">
        <v>11</v>
      </c>
      <c r="O7" s="5">
        <v>68</v>
      </c>
      <c r="P7" s="33">
        <v>1734.3229603441403</v>
      </c>
      <c r="Q7" s="5">
        <v>21.077110824003395</v>
      </c>
      <c r="R7" s="5">
        <v>6800.091254032026</v>
      </c>
      <c r="S7" s="35"/>
      <c r="T7" s="23">
        <v>1401837.7098837099</v>
      </c>
      <c r="U7" s="33">
        <v>35.067198708000433</v>
      </c>
      <c r="V7" s="5">
        <v>9</v>
      </c>
      <c r="W7" s="5">
        <v>59</v>
      </c>
      <c r="X7" s="33">
        <v>1429.4274061985986</v>
      </c>
      <c r="Y7" s="5">
        <v>33.019483990503801</v>
      </c>
      <c r="Z7" s="5">
        <v>6596.8947130158967</v>
      </c>
      <c r="AA7" s="35"/>
    </row>
    <row r="8" spans="2:27" x14ac:dyDescent="0.2">
      <c r="B8" s="4">
        <v>5</v>
      </c>
      <c r="C8" s="4">
        <v>525</v>
      </c>
      <c r="D8" s="23">
        <v>1188951.9727431349</v>
      </c>
      <c r="E8" s="33">
        <v>32.089561666995003</v>
      </c>
      <c r="F8" s="5">
        <v>10</v>
      </c>
      <c r="G8" s="23">
        <v>76</v>
      </c>
      <c r="H8" s="33">
        <v>1229.021861896967</v>
      </c>
      <c r="I8" s="23">
        <v>26.36950814419103</v>
      </c>
      <c r="J8" s="5">
        <v>6343.9614075400605</v>
      </c>
      <c r="K8" s="31"/>
      <c r="L8" s="23">
        <v>1312797.435762973</v>
      </c>
      <c r="M8" s="33">
        <v>44.782933624999707</v>
      </c>
      <c r="N8" s="5">
        <v>12</v>
      </c>
      <c r="O8" s="5">
        <v>70</v>
      </c>
      <c r="P8" s="33">
        <v>1409.5112179933496</v>
      </c>
      <c r="Q8" s="5">
        <v>19.621606068984637</v>
      </c>
      <c r="R8" s="5">
        <v>6336.6448813012312</v>
      </c>
      <c r="S8" s="35"/>
      <c r="T8" s="23">
        <v>1369600.931444773</v>
      </c>
      <c r="U8" s="33">
        <v>38.079853916000502</v>
      </c>
      <c r="V8" s="5">
        <v>10</v>
      </c>
      <c r="W8" s="5">
        <v>64</v>
      </c>
      <c r="X8" s="33">
        <v>1550.5389559524872</v>
      </c>
      <c r="Y8" s="5">
        <v>33.093242692567053</v>
      </c>
      <c r="Z8" s="5">
        <v>6739.934035535849</v>
      </c>
      <c r="AA8" s="35"/>
    </row>
    <row r="9" spans="2:27" x14ac:dyDescent="0.2">
      <c r="B9" s="4">
        <v>6</v>
      </c>
      <c r="C9" s="4">
        <v>548</v>
      </c>
      <c r="D9" s="23">
        <v>1260017.9965189749</v>
      </c>
      <c r="E9" s="33">
        <v>54.110207584002637</v>
      </c>
      <c r="F9" s="5">
        <v>10</v>
      </c>
      <c r="G9" s="23">
        <v>77</v>
      </c>
      <c r="H9" s="33">
        <v>1772.9755488043722</v>
      </c>
      <c r="I9" s="23">
        <v>26.502796900108699</v>
      </c>
      <c r="J9" s="5">
        <v>7074.2537557668456</v>
      </c>
      <c r="K9" s="31"/>
      <c r="L9" s="23">
        <v>1303304.5890036339</v>
      </c>
      <c r="M9" s="33">
        <v>45.356296750000183</v>
      </c>
      <c r="N9" s="5">
        <v>14</v>
      </c>
      <c r="O9" s="5">
        <v>75</v>
      </c>
      <c r="P9" s="33">
        <v>1559.3882512241082</v>
      </c>
      <c r="Q9" s="5">
        <v>17.646095754405859</v>
      </c>
      <c r="R9" s="5">
        <v>6485.1567822616289</v>
      </c>
      <c r="S9" s="35"/>
      <c r="T9" s="23">
        <v>1471253.000220329</v>
      </c>
      <c r="U9" s="33">
        <v>63.0172072080004</v>
      </c>
      <c r="V9" s="5">
        <v>10</v>
      </c>
      <c r="W9" s="5">
        <v>59</v>
      </c>
      <c r="X9" s="33">
        <v>1823.7941759621281</v>
      </c>
      <c r="Y9" s="5">
        <v>28.272687381189762</v>
      </c>
      <c r="Z9" s="5">
        <v>7079.224446471474</v>
      </c>
      <c r="AA9" s="35"/>
    </row>
    <row r="10" spans="2:27" x14ac:dyDescent="0.2">
      <c r="B10" s="4">
        <v>7</v>
      </c>
      <c r="C10" s="4">
        <v>549</v>
      </c>
      <c r="D10" s="23">
        <v>1261689.319670822</v>
      </c>
      <c r="E10" s="33">
        <v>70.090626333003456</v>
      </c>
      <c r="F10" s="5">
        <v>10</v>
      </c>
      <c r="G10" s="23">
        <v>78</v>
      </c>
      <c r="H10" s="33">
        <v>1816.9381618555333</v>
      </c>
      <c r="I10" s="23">
        <v>26.675802068910734</v>
      </c>
      <c r="J10" s="5">
        <v>7094.6124436813843</v>
      </c>
      <c r="K10" s="31"/>
      <c r="L10" s="23">
        <v>1314760.8533523721</v>
      </c>
      <c r="M10" s="33">
        <v>55.225059791999229</v>
      </c>
      <c r="N10" s="5">
        <v>14</v>
      </c>
      <c r="O10" s="5">
        <v>75</v>
      </c>
      <c r="P10" s="33">
        <v>1637.3316906816235</v>
      </c>
      <c r="Q10" s="5">
        <v>18.150114624520576</v>
      </c>
      <c r="R10" s="5">
        <v>6588.4744522406818</v>
      </c>
      <c r="S10" s="35"/>
      <c r="T10" s="23">
        <v>1392045.782708453</v>
      </c>
      <c r="U10" s="33">
        <v>30.621178332999989</v>
      </c>
      <c r="V10" s="5">
        <v>9</v>
      </c>
      <c r="W10" s="5">
        <v>57</v>
      </c>
      <c r="X10" s="33">
        <v>1086.4172348201387</v>
      </c>
      <c r="Y10" s="5">
        <v>34.011755903754903</v>
      </c>
      <c r="Z10" s="5">
        <v>6291.2703577932007</v>
      </c>
      <c r="AA10" s="35"/>
    </row>
    <row r="11" spans="2:27" x14ac:dyDescent="0.2">
      <c r="B11" s="4">
        <v>8</v>
      </c>
      <c r="C11" s="4">
        <v>573</v>
      </c>
      <c r="D11" s="23">
        <v>1174286.660532448</v>
      </c>
      <c r="E11" s="33">
        <v>35.544303249997029</v>
      </c>
      <c r="F11" s="5">
        <v>10</v>
      </c>
      <c r="G11" s="23">
        <v>79</v>
      </c>
      <c r="H11" s="33">
        <v>1466.8674051963203</v>
      </c>
      <c r="I11" s="23">
        <v>27.555744946131266</v>
      </c>
      <c r="J11" s="5">
        <v>6518.601935999387</v>
      </c>
      <c r="K11" s="31"/>
      <c r="L11" s="23">
        <v>1318028.387264739</v>
      </c>
      <c r="M11" s="33">
        <v>77.260373125000115</v>
      </c>
      <c r="N11" s="5">
        <v>15</v>
      </c>
      <c r="O11" s="5">
        <v>75</v>
      </c>
      <c r="P11" s="33">
        <v>1549.8104854318988</v>
      </c>
      <c r="Q11" s="5">
        <v>17.123942610602089</v>
      </c>
      <c r="R11" s="5">
        <v>6490.0745493955937</v>
      </c>
      <c r="S11" s="35"/>
      <c r="T11" s="23">
        <v>1364759.065313203</v>
      </c>
      <c r="U11" s="33">
        <v>63.117148250001257</v>
      </c>
      <c r="V11" s="5">
        <v>9</v>
      </c>
      <c r="W11" s="5">
        <v>63</v>
      </c>
      <c r="X11" s="33">
        <v>1475.57399639143</v>
      </c>
      <c r="Y11" s="5">
        <v>36.481106436308153</v>
      </c>
      <c r="Z11" s="5">
        <v>6780.9342993670662</v>
      </c>
      <c r="AA11" s="35"/>
    </row>
    <row r="12" spans="2:27" x14ac:dyDescent="0.2">
      <c r="B12" s="4">
        <v>9</v>
      </c>
      <c r="C12" s="4">
        <v>692</v>
      </c>
      <c r="D12" s="23">
        <v>1222751.9241152811</v>
      </c>
      <c r="E12" s="33">
        <v>51.745179707999341</v>
      </c>
      <c r="F12" s="5">
        <v>10</v>
      </c>
      <c r="G12" s="23">
        <v>79</v>
      </c>
      <c r="H12" s="33">
        <v>1754.6254895516392</v>
      </c>
      <c r="I12" s="23">
        <v>26.629333173505596</v>
      </c>
      <c r="J12" s="5">
        <v>6952.2994236142076</v>
      </c>
      <c r="K12" s="31"/>
      <c r="L12" s="23">
        <v>1304900.786103551</v>
      </c>
      <c r="M12" s="33">
        <v>105.5287727920004</v>
      </c>
      <c r="N12" s="5">
        <v>12</v>
      </c>
      <c r="O12" s="5">
        <v>71</v>
      </c>
      <c r="P12" s="33">
        <v>1563.0832101278525</v>
      </c>
      <c r="Q12" s="5">
        <v>19.348502606341572</v>
      </c>
      <c r="R12" s="5">
        <v>6334.7180676478119</v>
      </c>
      <c r="S12" s="35"/>
      <c r="T12" s="23">
        <v>1376880.3025159971</v>
      </c>
      <c r="U12" s="33">
        <v>69.950576416998956</v>
      </c>
      <c r="V12" s="5">
        <v>9</v>
      </c>
      <c r="W12" s="5">
        <v>61</v>
      </c>
      <c r="X12" s="33">
        <v>1350.6731418113029</v>
      </c>
      <c r="Y12" s="5">
        <v>34.113584015237464</v>
      </c>
      <c r="Z12" s="5">
        <v>6529.9266606543724</v>
      </c>
      <c r="AA12" s="35"/>
    </row>
    <row r="13" spans="2:27" x14ac:dyDescent="0.2">
      <c r="B13" s="4">
        <v>10</v>
      </c>
      <c r="C13" s="4">
        <v>953</v>
      </c>
      <c r="D13" s="23">
        <v>1154258.0055819829</v>
      </c>
      <c r="E13" s="33">
        <v>82.015817999999854</v>
      </c>
      <c r="F13" s="5">
        <v>11</v>
      </c>
      <c r="G13" s="23">
        <v>82</v>
      </c>
      <c r="H13" s="33">
        <v>1409.1855366247041</v>
      </c>
      <c r="I13" s="23">
        <v>25.873814019491284</v>
      </c>
      <c r="J13" s="5">
        <v>6539.5299755418655</v>
      </c>
      <c r="K13" s="31"/>
      <c r="L13" s="23">
        <v>1302043.5403923159</v>
      </c>
      <c r="M13" s="33">
        <v>45.541811917000807</v>
      </c>
      <c r="N13" s="5">
        <v>13</v>
      </c>
      <c r="O13" s="5">
        <v>71</v>
      </c>
      <c r="P13" s="33">
        <v>1239.4514764237458</v>
      </c>
      <c r="Q13" s="5">
        <v>17.916667352460429</v>
      </c>
      <c r="R13" s="5">
        <v>6111.8576738679349</v>
      </c>
      <c r="S13" s="35"/>
      <c r="T13" s="23">
        <v>1390261.9223611599</v>
      </c>
      <c r="U13" s="33">
        <v>59.055854499998532</v>
      </c>
      <c r="V13" s="5">
        <v>8</v>
      </c>
      <c r="W13" s="5">
        <v>57</v>
      </c>
      <c r="X13" s="33">
        <v>1143.8115245633983</v>
      </c>
      <c r="Y13" s="5">
        <v>34.177475531993487</v>
      </c>
      <c r="Z13" s="5">
        <v>6386.1231397685069</v>
      </c>
      <c r="AA13" s="35"/>
    </row>
    <row r="14" spans="2:27" x14ac:dyDescent="0.2">
      <c r="B14" s="47" t="s">
        <v>3</v>
      </c>
      <c r="C14" s="48"/>
      <c r="D14" s="9">
        <f>MIN(D4:D13)</f>
        <v>1149232.27839605</v>
      </c>
      <c r="E14" s="22">
        <f>INDEX(E4:E13, MATCH($D$14, D4:D13, 0))</f>
        <v>39.235548250006097</v>
      </c>
      <c r="F14" s="9">
        <f>INDEX(F4:F13, MATCH($D$14, D4:D13, 0))</f>
        <v>10</v>
      </c>
      <c r="G14" s="9">
        <f>INDEX(G4:G13, MATCH($D$14, D4:D13, 0))</f>
        <v>79</v>
      </c>
      <c r="H14" s="22">
        <f>INDEX(H4:H13, MATCH($D$14, D4:D13, 0))</f>
        <v>1259.0187761240118</v>
      </c>
      <c r="I14" s="22">
        <f>INDEX(I4:I13, MATCH($D$14, D4:D13, 0))</f>
        <v>26.747272298916876</v>
      </c>
      <c r="J14" s="22">
        <f>INDEX(J4:J13, MATCH($D$14, D4:D13, 0))</f>
        <v>6318.1289764520943</v>
      </c>
      <c r="K14" s="32" t="e">
        <f>(D14-$D$15)/$D$15</f>
        <v>#DIV/0!</v>
      </c>
      <c r="L14" s="16">
        <f>MIN(L4:L13)</f>
        <v>1302043.5403923159</v>
      </c>
      <c r="M14" s="21">
        <f>INDEX(M4:M13, MATCH($L$14, L4:L13, 0))</f>
        <v>45.541811917000807</v>
      </c>
      <c r="N14" s="16">
        <f>INDEX(N4:N13, MATCH($L$14, L4:L13, 0))</f>
        <v>13</v>
      </c>
      <c r="O14" s="16">
        <f>INDEX(O4:O13, MATCH($L$14, L4:L13, 0))</f>
        <v>71</v>
      </c>
      <c r="P14" s="21">
        <f>INDEX(P4:P13, MATCH($L$14, L4:L13, 0))</f>
        <v>1239.4514764237458</v>
      </c>
      <c r="Q14" s="21">
        <f>INDEX(Q4:Q13, MATCH($L$14, L4:L13, 0))</f>
        <v>17.916667352460429</v>
      </c>
      <c r="R14" s="21">
        <f>INDEX(R4:R13, MATCH($L$14, L4:L13, 0))</f>
        <v>6111.8576738679349</v>
      </c>
      <c r="S14" s="36" t="e">
        <f>(L14-$D$15)/$D$15</f>
        <v>#DIV/0!</v>
      </c>
      <c r="T14" s="38">
        <f>MIN(T4:T13)</f>
        <v>1364759.065313203</v>
      </c>
      <c r="U14" s="39">
        <f>INDEX(U4:U13, MATCH($T$14, T4:T13, 0))</f>
        <v>63.117148250001257</v>
      </c>
      <c r="V14" s="38">
        <f>INDEX(V4:V13, MATCH($T$14, T4:T13, 0))</f>
        <v>9</v>
      </c>
      <c r="W14" s="38">
        <f>INDEX(W4:W13, MATCH($T$14, T4:T13, 0))</f>
        <v>63</v>
      </c>
      <c r="X14" s="39">
        <f>INDEX(X4:X13, MATCH($T$14, T4:T13, 0))</f>
        <v>1475.57399639143</v>
      </c>
      <c r="Y14" s="39">
        <f>INDEX(Y4:Y13, MATCH($T$14, T4:T13, 0))</f>
        <v>36.481106436308153</v>
      </c>
      <c r="Z14" s="39">
        <f>INDEX(Z4:Z13, MATCH($T$14, T4:T13, 0))</f>
        <v>6780.9342993670662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0.13296812565127408</v>
      </c>
      <c r="M15" s="46">
        <f t="shared" ref="M15:R15" si="0">(M14-E14)/E14</f>
        <v>0.16072831776968299</v>
      </c>
      <c r="N15" s="46">
        <f t="shared" si="0"/>
        <v>0.3</v>
      </c>
      <c r="O15" s="46">
        <f t="shared" si="0"/>
        <v>-0.10126582278481013</v>
      </c>
      <c r="P15" s="46">
        <f t="shared" si="0"/>
        <v>-1.554170602642275E-2</v>
      </c>
      <c r="Q15" s="46">
        <f t="shared" si="0"/>
        <v>-0.33014973817775206</v>
      </c>
      <c r="R15" s="46">
        <f t="shared" si="0"/>
        <v>-3.264752956974136E-2</v>
      </c>
      <c r="T15" s="46">
        <f>(T14-D14)/D14</f>
        <v>0.18753979588700512</v>
      </c>
      <c r="U15" s="46">
        <f t="shared" ref="U15:Z15" si="1">(U14-E14)/E14</f>
        <v>0.60867251931394761</v>
      </c>
      <c r="V15" s="46">
        <f t="shared" si="1"/>
        <v>-0.1</v>
      </c>
      <c r="W15" s="46">
        <f t="shared" si="1"/>
        <v>-0.20253164556962025</v>
      </c>
      <c r="X15" s="46">
        <f t="shared" si="1"/>
        <v>0.17200316974946195</v>
      </c>
      <c r="Y15" s="46">
        <f t="shared" si="1"/>
        <v>0.36391875884052094</v>
      </c>
      <c r="Z15" s="46">
        <f t="shared" si="1"/>
        <v>7.3250375964128742E-2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15">
    <cfRule type="duplicateValues" dxfId="81" priority="1"/>
    <cfRule type="duplicateValues" dxfId="8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D167-BF83-0748-8603-FE953251F7B8}">
  <sheetPr codeName="Sheet5"/>
  <dimension ref="B1:AA17"/>
  <sheetViews>
    <sheetView zoomScale="118" zoomScaleNormal="120" workbookViewId="0">
      <selection activeCell="A18" sqref="A18:XFD2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-0.9881878969257194</v>
      </c>
      <c r="J2" s="28" t="e">
        <f>(S14-J14)/J14</f>
        <v>#DIV/0!</v>
      </c>
      <c r="K2" s="28"/>
      <c r="L2" s="1" t="s">
        <v>19</v>
      </c>
      <c r="P2" s="1">
        <f>(P14-H14)/H14</f>
        <v>-0.20233752101437599</v>
      </c>
      <c r="R2" s="1">
        <f>(R14-J14)/J14</f>
        <v>-0.13525847363616775</v>
      </c>
      <c r="T2" s="1" t="s">
        <v>20</v>
      </c>
      <c r="X2" s="1">
        <f>(X14-P14)/P14</f>
        <v>0.2397519403008995</v>
      </c>
      <c r="Z2" s="1">
        <f>(Z14-R14)/R14</f>
        <v>0.17034892810973362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113</v>
      </c>
      <c r="D4" s="23">
        <v>1087488.1033588659</v>
      </c>
      <c r="E4" s="33">
        <v>32.607464541993977</v>
      </c>
      <c r="F4" s="5">
        <v>10</v>
      </c>
      <c r="G4" s="23">
        <v>86</v>
      </c>
      <c r="H4" s="33">
        <v>1382.4104315026445</v>
      </c>
      <c r="I4" s="23">
        <v>32.864976768102991</v>
      </c>
      <c r="J4" s="5">
        <v>6552.671913564227</v>
      </c>
      <c r="K4" s="31"/>
      <c r="L4" s="23">
        <v>1303173.2096633969</v>
      </c>
      <c r="M4" s="33">
        <v>70.810202665999896</v>
      </c>
      <c r="N4" s="5">
        <v>14</v>
      </c>
      <c r="O4" s="5">
        <v>69</v>
      </c>
      <c r="P4" s="33">
        <v>996.81111736889829</v>
      </c>
      <c r="Q4" s="5">
        <v>17.826094445560255</v>
      </c>
      <c r="R4" s="5">
        <v>5628.4633818016555</v>
      </c>
      <c r="S4" s="35"/>
      <c r="T4" s="23">
        <v>1315471.369556403</v>
      </c>
      <c r="U4" s="33">
        <v>107.2825970840004</v>
      </c>
      <c r="V4" s="5">
        <v>9</v>
      </c>
      <c r="W4" s="5">
        <v>67</v>
      </c>
      <c r="X4" s="33">
        <v>1513.7634926972951</v>
      </c>
      <c r="Y4" s="5">
        <v>43.268861781003693</v>
      </c>
      <c r="Z4" s="5">
        <v>6935.6732340036979</v>
      </c>
      <c r="AA4" s="35"/>
    </row>
    <row r="5" spans="2:27" x14ac:dyDescent="0.2">
      <c r="B5" s="4">
        <v>2</v>
      </c>
      <c r="C5" s="4">
        <v>133</v>
      </c>
      <c r="D5" s="23">
        <v>1088557.295857619</v>
      </c>
      <c r="E5" s="33">
        <v>58.490487916998973</v>
      </c>
      <c r="F5" s="5">
        <v>11</v>
      </c>
      <c r="G5" s="23">
        <v>85</v>
      </c>
      <c r="H5" s="33">
        <v>1231.9384147637988</v>
      </c>
      <c r="I5" s="23">
        <v>29.477926046927909</v>
      </c>
      <c r="J5" s="5">
        <v>6335.8688303805748</v>
      </c>
      <c r="K5" s="31"/>
      <c r="L5" s="23">
        <v>1299118.4618952789</v>
      </c>
      <c r="M5" s="33">
        <v>62.479371792000173</v>
      </c>
      <c r="N5" s="5">
        <v>14</v>
      </c>
      <c r="O5" s="5">
        <v>68</v>
      </c>
      <c r="P5" s="33">
        <v>857.65730516284782</v>
      </c>
      <c r="Q5" s="5">
        <v>17.478990981825227</v>
      </c>
      <c r="R5" s="5">
        <v>5408.4535428079071</v>
      </c>
      <c r="S5" s="35"/>
      <c r="T5" s="23">
        <v>1314493.0952365119</v>
      </c>
      <c r="U5" s="33">
        <v>102.3359517089993</v>
      </c>
      <c r="V5" s="5">
        <v>9</v>
      </c>
      <c r="W5" s="5">
        <v>66</v>
      </c>
      <c r="X5" s="33">
        <v>1444.7710865147519</v>
      </c>
      <c r="Y5" s="5">
        <v>42.931030718147781</v>
      </c>
      <c r="Z5" s="5">
        <v>6817.7957441138815</v>
      </c>
      <c r="AA5" s="35"/>
    </row>
    <row r="6" spans="2:27" x14ac:dyDescent="0.2">
      <c r="B6" s="4">
        <v>3</v>
      </c>
      <c r="C6" s="4">
        <v>147</v>
      </c>
      <c r="D6" s="23">
        <v>1084373.7152698431</v>
      </c>
      <c r="E6" s="33">
        <v>58.964783416995488</v>
      </c>
      <c r="F6" s="5">
        <v>11</v>
      </c>
      <c r="G6" s="23">
        <v>87</v>
      </c>
      <c r="H6" s="33">
        <v>1302.6397655556805</v>
      </c>
      <c r="I6" s="23">
        <v>30.302785679308855</v>
      </c>
      <c r="J6" s="5">
        <v>6525.0007271258801</v>
      </c>
      <c r="K6" s="31"/>
      <c r="L6" s="23">
        <v>1343317.7691604751</v>
      </c>
      <c r="M6" s="33">
        <v>59.946473042000427</v>
      </c>
      <c r="N6" s="5">
        <v>11</v>
      </c>
      <c r="O6" s="5">
        <v>59</v>
      </c>
      <c r="P6" s="33">
        <v>707.92671333157841</v>
      </c>
      <c r="Q6" s="5">
        <v>18.689052269531143</v>
      </c>
      <c r="R6" s="5">
        <v>5171.7158066627653</v>
      </c>
      <c r="S6" s="35"/>
      <c r="T6" s="23">
        <v>1317907.858209481</v>
      </c>
      <c r="U6" s="33">
        <v>47.562134417001289</v>
      </c>
      <c r="V6" s="5">
        <v>9</v>
      </c>
      <c r="W6" s="5">
        <v>66</v>
      </c>
      <c r="X6" s="33">
        <v>1482.0389253498415</v>
      </c>
      <c r="Y6" s="5">
        <v>43.16221917938195</v>
      </c>
      <c r="Z6" s="5">
        <v>6866.2586289737601</v>
      </c>
      <c r="AA6" s="35"/>
    </row>
    <row r="7" spans="2:27" x14ac:dyDescent="0.2">
      <c r="B7" s="4">
        <v>4</v>
      </c>
      <c r="C7" s="4">
        <v>706</v>
      </c>
      <c r="D7" s="23">
        <v>1108940.7002978751</v>
      </c>
      <c r="E7" s="33">
        <v>45.262168041997938</v>
      </c>
      <c r="F7" s="5">
        <v>10</v>
      </c>
      <c r="G7" s="23">
        <v>85</v>
      </c>
      <c r="H7" s="33">
        <v>1432.4161726897587</v>
      </c>
      <c r="I7" s="23">
        <v>32.69945496229758</v>
      </c>
      <c r="J7" s="5">
        <v>6619.7363992714518</v>
      </c>
      <c r="K7" s="31"/>
      <c r="L7" s="23">
        <v>1338680.2360289961</v>
      </c>
      <c r="M7" s="33">
        <v>44.683964874999219</v>
      </c>
      <c r="N7" s="5">
        <v>10</v>
      </c>
      <c r="O7" s="5">
        <v>59</v>
      </c>
      <c r="P7" s="33">
        <v>669.57776419813763</v>
      </c>
      <c r="Q7" s="5">
        <v>20.660487567270451</v>
      </c>
      <c r="R7" s="5">
        <v>5383.2880170229246</v>
      </c>
      <c r="S7" s="35"/>
      <c r="T7" s="23">
        <v>1343652.5630510731</v>
      </c>
      <c r="U7" s="33">
        <v>88.68661874999998</v>
      </c>
      <c r="V7" s="5">
        <v>9</v>
      </c>
      <c r="W7" s="5">
        <v>63</v>
      </c>
      <c r="X7" s="33">
        <v>1284.5173344313744</v>
      </c>
      <c r="Y7" s="5">
        <v>42.880405306048857</v>
      </c>
      <c r="Z7" s="5">
        <v>6696.7783628754214</v>
      </c>
      <c r="AA7" s="35"/>
    </row>
    <row r="8" spans="2:27" x14ac:dyDescent="0.2">
      <c r="B8" s="4">
        <v>5</v>
      </c>
      <c r="C8" s="4">
        <v>469</v>
      </c>
      <c r="D8" s="23">
        <v>1083554.460982058</v>
      </c>
      <c r="E8" s="33">
        <v>39.497106333001277</v>
      </c>
      <c r="F8" s="5">
        <v>10</v>
      </c>
      <c r="G8" s="23">
        <v>88</v>
      </c>
      <c r="H8" s="33">
        <v>1460.9827264340581</v>
      </c>
      <c r="I8" s="23">
        <v>33.682682139021807</v>
      </c>
      <c r="J8" s="5">
        <v>6736.6240159206973</v>
      </c>
      <c r="K8" s="31"/>
      <c r="L8" s="23">
        <v>1294224.6241191339</v>
      </c>
      <c r="M8" s="33">
        <v>63.733698665999327</v>
      </c>
      <c r="N8" s="5">
        <v>15</v>
      </c>
      <c r="O8" s="5">
        <v>72</v>
      </c>
      <c r="P8" s="33">
        <v>1102.2433266954463</v>
      </c>
      <c r="Q8" s="5">
        <v>17.748970420610231</v>
      </c>
      <c r="R8" s="5">
        <v>5771.1953341920826</v>
      </c>
      <c r="S8" s="35"/>
      <c r="T8" s="23">
        <v>1360441.0297318629</v>
      </c>
      <c r="U8" s="33">
        <v>32.755395165999289</v>
      </c>
      <c r="V8" s="5">
        <v>9</v>
      </c>
      <c r="W8" s="5">
        <v>62</v>
      </c>
      <c r="X8" s="33">
        <v>1570.1426010627704</v>
      </c>
      <c r="Y8" s="5">
        <v>40.812459237485641</v>
      </c>
      <c r="Z8" s="5">
        <v>6862.5885236323302</v>
      </c>
      <c r="AA8" s="35"/>
    </row>
    <row r="9" spans="2:27" x14ac:dyDescent="0.2">
      <c r="B9" s="4">
        <v>6</v>
      </c>
      <c r="C9" s="4">
        <v>765</v>
      </c>
      <c r="D9" s="23">
        <v>1087358.0804758139</v>
      </c>
      <c r="E9" s="33">
        <v>40.199462167001911</v>
      </c>
      <c r="F9" s="5">
        <v>10</v>
      </c>
      <c r="G9" s="23">
        <v>88</v>
      </c>
      <c r="H9" s="33">
        <v>1504.3034407977298</v>
      </c>
      <c r="I9" s="23">
        <v>33.711760326014755</v>
      </c>
      <c r="J9" s="5">
        <v>6747.6135033702567</v>
      </c>
      <c r="K9" s="31"/>
      <c r="L9" s="23">
        <v>1294075.855384209</v>
      </c>
      <c r="M9" s="33">
        <v>90.685847374999867</v>
      </c>
      <c r="N9" s="5">
        <v>14</v>
      </c>
      <c r="O9" s="5">
        <v>68</v>
      </c>
      <c r="P9" s="33">
        <v>813.97773677012856</v>
      </c>
      <c r="Q9" s="5">
        <v>17.597877246149469</v>
      </c>
      <c r="R9" s="5">
        <v>5433.3356598832679</v>
      </c>
      <c r="S9" s="35"/>
      <c r="T9" s="23">
        <v>1379906.688687721</v>
      </c>
      <c r="U9" s="33">
        <v>54.049097834000349</v>
      </c>
      <c r="V9" s="5">
        <v>9</v>
      </c>
      <c r="W9" s="5">
        <v>60</v>
      </c>
      <c r="X9" s="33">
        <v>1293.8768464349673</v>
      </c>
      <c r="Y9" s="5">
        <v>40.033402838382749</v>
      </c>
      <c r="Z9" s="5">
        <v>6704.2204748672475</v>
      </c>
      <c r="AA9" s="35"/>
    </row>
    <row r="10" spans="2:27" x14ac:dyDescent="0.2">
      <c r="B10" s="4">
        <v>7</v>
      </c>
      <c r="C10" s="4">
        <v>867</v>
      </c>
      <c r="D10" s="23">
        <v>1084373.7152698431</v>
      </c>
      <c r="E10" s="33">
        <v>56.971061958000057</v>
      </c>
      <c r="F10" s="5">
        <v>11</v>
      </c>
      <c r="G10" s="23">
        <v>87</v>
      </c>
      <c r="H10" s="33">
        <v>1302.6397655556805</v>
      </c>
      <c r="I10" s="23">
        <v>30.302785679308855</v>
      </c>
      <c r="J10" s="5">
        <v>6525.0007271258801</v>
      </c>
      <c r="K10" s="31"/>
      <c r="L10" s="23">
        <v>1308125.4961518371</v>
      </c>
      <c r="M10" s="33">
        <v>146.90239095799919</v>
      </c>
      <c r="N10" s="5">
        <v>14</v>
      </c>
      <c r="O10" s="5">
        <v>70</v>
      </c>
      <c r="P10" s="33">
        <v>1149.0890790973392</v>
      </c>
      <c r="Q10" s="5">
        <v>18.581649874294158</v>
      </c>
      <c r="R10" s="5">
        <v>5816.4455708603637</v>
      </c>
      <c r="S10" s="35"/>
      <c r="T10" s="23">
        <v>1471012.9655174159</v>
      </c>
      <c r="U10" s="33">
        <v>32.785863749999407</v>
      </c>
      <c r="V10" s="5">
        <v>8</v>
      </c>
      <c r="W10" s="5">
        <v>54</v>
      </c>
      <c r="X10" s="33">
        <v>1633.2524883939254</v>
      </c>
      <c r="Y10" s="5">
        <v>38.818227518594874</v>
      </c>
      <c r="Z10" s="5">
        <v>7034.2596428566485</v>
      </c>
      <c r="AA10" s="35"/>
    </row>
    <row r="11" spans="2:27" x14ac:dyDescent="0.2">
      <c r="B11" s="4">
        <v>8</v>
      </c>
      <c r="C11" s="4">
        <v>921</v>
      </c>
      <c r="D11" s="23">
        <v>1083554.460982058</v>
      </c>
      <c r="E11" s="33">
        <v>57.179273250003462</v>
      </c>
      <c r="F11" s="5">
        <v>10</v>
      </c>
      <c r="G11" s="23">
        <v>88</v>
      </c>
      <c r="H11" s="33">
        <v>1460.9827264340581</v>
      </c>
      <c r="I11" s="23">
        <v>33.682682139021807</v>
      </c>
      <c r="J11" s="5">
        <v>6736.6240159206973</v>
      </c>
      <c r="K11" s="31"/>
      <c r="L11" s="23">
        <v>1290192.217258486</v>
      </c>
      <c r="M11" s="33">
        <v>87.404045500001303</v>
      </c>
      <c r="N11" s="5">
        <v>16</v>
      </c>
      <c r="O11" s="5">
        <v>74</v>
      </c>
      <c r="P11" s="33">
        <v>1165.3711033225666</v>
      </c>
      <c r="Q11" s="5">
        <v>17.257278554382484</v>
      </c>
      <c r="R11" s="5">
        <v>5825.4385340665131</v>
      </c>
      <c r="S11" s="35"/>
      <c r="T11" s="23">
        <v>1340044.957171866</v>
      </c>
      <c r="U11" s="33">
        <v>70.326240165999479</v>
      </c>
      <c r="V11" s="5">
        <v>8</v>
      </c>
      <c r="W11" s="5">
        <v>62</v>
      </c>
      <c r="X11" s="33">
        <v>1393.7254303785419</v>
      </c>
      <c r="Y11" s="5">
        <v>44.806078393035079</v>
      </c>
      <c r="Z11" s="5">
        <v>6725.3536992096524</v>
      </c>
      <c r="AA11" s="35"/>
    </row>
    <row r="12" spans="2:27" x14ac:dyDescent="0.2">
      <c r="B12" s="4">
        <v>9</v>
      </c>
      <c r="C12" s="4">
        <v>614</v>
      </c>
      <c r="D12" s="23">
        <v>1101532.1027503919</v>
      </c>
      <c r="E12" s="33">
        <v>46.443347415995959</v>
      </c>
      <c r="F12" s="5">
        <v>10</v>
      </c>
      <c r="G12" s="23">
        <v>87</v>
      </c>
      <c r="H12" s="33">
        <v>1574.3723004520664</v>
      </c>
      <c r="I12" s="23">
        <v>34.197276805977353</v>
      </c>
      <c r="J12" s="5">
        <v>6769.1551405458131</v>
      </c>
      <c r="K12" s="31"/>
      <c r="L12" s="23">
        <v>1336948.176053409</v>
      </c>
      <c r="M12" s="33">
        <v>75.541045542000575</v>
      </c>
      <c r="N12" s="5">
        <v>13</v>
      </c>
      <c r="O12" s="5">
        <v>63</v>
      </c>
      <c r="P12" s="33">
        <v>639.40614904006111</v>
      </c>
      <c r="Q12" s="5">
        <v>17.130755953008428</v>
      </c>
      <c r="R12" s="5">
        <v>5272.06682332128</v>
      </c>
      <c r="S12" s="35"/>
      <c r="T12" s="23">
        <v>1355771.877545035</v>
      </c>
      <c r="U12" s="33">
        <v>38.468845207999038</v>
      </c>
      <c r="V12" s="5">
        <v>9</v>
      </c>
      <c r="W12" s="5">
        <v>61</v>
      </c>
      <c r="X12" s="33">
        <v>1339.3557233135468</v>
      </c>
      <c r="Y12" s="5">
        <v>40.750076355525302</v>
      </c>
      <c r="Z12" s="5">
        <v>6635.9069921912933</v>
      </c>
      <c r="AA12" s="35"/>
    </row>
    <row r="13" spans="2:27" x14ac:dyDescent="0.2">
      <c r="B13" s="4">
        <v>10</v>
      </c>
      <c r="C13" s="4">
        <v>187</v>
      </c>
      <c r="D13" s="23">
        <v>1090751.8987446351</v>
      </c>
      <c r="E13" s="33">
        <v>72.806840624994948</v>
      </c>
      <c r="F13" s="5">
        <v>10</v>
      </c>
      <c r="G13" s="23">
        <v>85</v>
      </c>
      <c r="H13" s="33">
        <v>1378.213713125504</v>
      </c>
      <c r="I13" s="23">
        <v>32.986659318877599</v>
      </c>
      <c r="J13" s="5">
        <v>6485.0500110952207</v>
      </c>
      <c r="K13" s="31"/>
      <c r="L13" s="23">
        <v>1292526.9343222149</v>
      </c>
      <c r="M13" s="33">
        <v>50.714846417000437</v>
      </c>
      <c r="N13" s="5">
        <v>15</v>
      </c>
      <c r="O13" s="5">
        <v>71</v>
      </c>
      <c r="P13" s="33">
        <v>946.02953387626235</v>
      </c>
      <c r="Q13" s="5">
        <v>17.307151607660398</v>
      </c>
      <c r="R13" s="5">
        <v>5611.1707586412731</v>
      </c>
      <c r="S13" s="35"/>
      <c r="T13" s="23">
        <v>1323200.997683137</v>
      </c>
      <c r="U13" s="33">
        <v>63.970584167000197</v>
      </c>
      <c r="V13" s="5">
        <v>10</v>
      </c>
      <c r="W13" s="5">
        <v>70</v>
      </c>
      <c r="X13" s="33">
        <v>1744.7880701899703</v>
      </c>
      <c r="Y13" s="5">
        <v>41.988889218944543</v>
      </c>
      <c r="Z13" s="5">
        <v>7172.0588225832407</v>
      </c>
      <c r="AA13" s="35"/>
    </row>
    <row r="14" spans="2:27" x14ac:dyDescent="0.2">
      <c r="B14" s="47" t="s">
        <v>3</v>
      </c>
      <c r="C14" s="48"/>
      <c r="D14" s="9">
        <f>MIN(D4:D13)</f>
        <v>1083554.460982058</v>
      </c>
      <c r="E14" s="22">
        <f>INDEX(E4:E13, MATCH($D$14, D4:D13, 0))</f>
        <v>39.497106333001277</v>
      </c>
      <c r="F14" s="9">
        <f>INDEX(F4:F13, MATCH($D$14, D4:D13, 0))</f>
        <v>10</v>
      </c>
      <c r="G14" s="9">
        <f>INDEX(G4:G13, MATCH($D$14, D4:D13, 0))</f>
        <v>88</v>
      </c>
      <c r="H14" s="22">
        <f>INDEX(H4:H13, MATCH($D$14, D4:D13, 0))</f>
        <v>1460.9827264340581</v>
      </c>
      <c r="I14" s="22">
        <f>INDEX(I4:I13, MATCH($D$14, D4:D13, 0))</f>
        <v>33.682682139021807</v>
      </c>
      <c r="J14" s="22">
        <f>INDEX(J4:J13, MATCH($D$14, D4:D13, 0))</f>
        <v>6736.6240159206973</v>
      </c>
      <c r="K14" s="32" t="e">
        <f>(D14-$D$15)/$D$15</f>
        <v>#DIV/0!</v>
      </c>
      <c r="L14" s="16">
        <f>MIN(L4:L13)</f>
        <v>1290192.217258486</v>
      </c>
      <c r="M14" s="21">
        <f>INDEX(M4:M13, MATCH($L$14, L4:L13, 0))</f>
        <v>87.404045500001303</v>
      </c>
      <c r="N14" s="16">
        <f>INDEX(N4:N13, MATCH($L$14, L4:L13, 0))</f>
        <v>16</v>
      </c>
      <c r="O14" s="16">
        <f>INDEX(O4:O13, MATCH($L$14, L4:L13, 0))</f>
        <v>74</v>
      </c>
      <c r="P14" s="21">
        <f>INDEX(P4:P13, MATCH($L$14, L4:L13, 0))</f>
        <v>1165.3711033225666</v>
      </c>
      <c r="Q14" s="21">
        <f>INDEX(Q4:Q13, MATCH($L$14, L4:L13, 0))</f>
        <v>17.257278554382484</v>
      </c>
      <c r="R14" s="21">
        <f>INDEX(R4:R13, MATCH($L$14, L4:L13, 0))</f>
        <v>5825.4385340665131</v>
      </c>
      <c r="S14" s="36" t="e">
        <f>(L14-$D$15)/$D$15</f>
        <v>#DIV/0!</v>
      </c>
      <c r="T14" s="38">
        <f>MIN(T4:T13)</f>
        <v>1314493.0952365119</v>
      </c>
      <c r="U14" s="39">
        <f>INDEX(U4:U13, MATCH($T$14, T4:T13, 0))</f>
        <v>102.3359517089993</v>
      </c>
      <c r="V14" s="38">
        <f>INDEX(V4:V13, MATCH($T$14, T4:T13, 0))</f>
        <v>9</v>
      </c>
      <c r="W14" s="38">
        <f>INDEX(W4:W13, MATCH($T$14, T4:T13, 0))</f>
        <v>66</v>
      </c>
      <c r="X14" s="39">
        <f>INDEX(X4:X13, MATCH($T$14, T4:T13, 0))</f>
        <v>1444.7710865147519</v>
      </c>
      <c r="Y14" s="39">
        <f>INDEX(Y4:Y13, MATCH($T$14, T4:T13, 0))</f>
        <v>42.931030718147781</v>
      </c>
      <c r="Z14" s="39">
        <f>INDEX(Z4:Z13, MATCH($T$14, T4:T13, 0))</f>
        <v>6817.7957441138815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0.1907036182465125</v>
      </c>
      <c r="M15" s="46">
        <f t="shared" ref="M15:R15" si="0">(M14-E14)/E14</f>
        <v>1.2129227585204647</v>
      </c>
      <c r="N15" s="46">
        <f t="shared" si="0"/>
        <v>0.6</v>
      </c>
      <c r="O15" s="46">
        <f t="shared" si="0"/>
        <v>-0.15909090909090909</v>
      </c>
      <c r="P15" s="46">
        <f t="shared" si="0"/>
        <v>-0.20233752101437599</v>
      </c>
      <c r="Q15" s="46">
        <f t="shared" si="0"/>
        <v>-0.48765129560778914</v>
      </c>
      <c r="R15" s="46">
        <f t="shared" si="0"/>
        <v>-0.13525847363616775</v>
      </c>
      <c r="T15" s="46">
        <f>(T14-D14)/D14</f>
        <v>0.21313062016758005</v>
      </c>
      <c r="U15" s="46">
        <f t="shared" ref="U15:Z15" si="1">(U14-E14)/E14</f>
        <v>1.5909733955242658</v>
      </c>
      <c r="V15" s="46">
        <f t="shared" si="1"/>
        <v>-0.1</v>
      </c>
      <c r="W15" s="46">
        <f t="shared" si="1"/>
        <v>-0.25</v>
      </c>
      <c r="X15" s="46">
        <f t="shared" si="1"/>
        <v>-1.1096393972347164E-2</v>
      </c>
      <c r="Y15" s="46">
        <f t="shared" si="1"/>
        <v>0.27457280690873626</v>
      </c>
      <c r="Z15" s="46">
        <f t="shared" si="1"/>
        <v>1.2049318471886016E-2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79" priority="5"/>
    <cfRule type="duplicateValues" dxfId="78" priority="6"/>
  </conditionalFormatting>
  <conditionalFormatting sqref="C14">
    <cfRule type="duplicateValues" dxfId="77" priority="3"/>
    <cfRule type="duplicateValues" dxfId="76" priority="4"/>
  </conditionalFormatting>
  <conditionalFormatting sqref="C15">
    <cfRule type="duplicateValues" dxfId="75" priority="1"/>
    <cfRule type="duplicateValues" dxfId="7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5C54-E498-3C4E-87C9-5AA44E328DAE}">
  <sheetPr codeName="Sheet6"/>
  <dimension ref="B1:AA17"/>
  <sheetViews>
    <sheetView zoomScale="118" zoomScaleNormal="120" workbookViewId="0">
      <selection activeCell="A18" sqref="A18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-0.98441745052821505</v>
      </c>
      <c r="J2" s="28" t="e">
        <f>(S14-J14)/J14</f>
        <v>#DIV/0!</v>
      </c>
      <c r="K2" s="28"/>
      <c r="L2" s="1" t="s">
        <v>19</v>
      </c>
      <c r="P2" s="1">
        <f>(P14-H14)/H14</f>
        <v>-0.23401756568355903</v>
      </c>
      <c r="R2" s="1">
        <f>(R14-J14)/J14</f>
        <v>-0.13791107697722038</v>
      </c>
      <c r="T2" s="1" t="s">
        <v>20</v>
      </c>
      <c r="X2" s="1">
        <f>(X14-P14)/P14</f>
        <v>0.44559926134714217</v>
      </c>
      <c r="Z2" s="1">
        <f>(Z14-R14)/R14</f>
        <v>0.24887736603835434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180</v>
      </c>
      <c r="D4" s="23">
        <v>1043054.230682037</v>
      </c>
      <c r="E4" s="33">
        <v>40.618367833005323</v>
      </c>
      <c r="F4" s="5">
        <v>10</v>
      </c>
      <c r="G4" s="23">
        <v>85</v>
      </c>
      <c r="H4" s="33">
        <v>1177.027318265152</v>
      </c>
      <c r="I4" s="23">
        <v>34.044941899036417</v>
      </c>
      <c r="J4" s="5">
        <v>6004.9670200896689</v>
      </c>
      <c r="K4" s="31"/>
      <c r="L4" s="23">
        <v>1315074.2142741601</v>
      </c>
      <c r="M4" s="33">
        <v>54.741398583000773</v>
      </c>
      <c r="N4" s="5">
        <v>14</v>
      </c>
      <c r="O4" s="5">
        <v>65</v>
      </c>
      <c r="P4" s="33">
        <v>805.52181502877966</v>
      </c>
      <c r="Q4" s="5">
        <v>16.413367881963502</v>
      </c>
      <c r="R4" s="5">
        <v>5154.5784958117356</v>
      </c>
      <c r="S4" s="35"/>
      <c r="T4" s="23">
        <v>1348973.5659018951</v>
      </c>
      <c r="U4" s="33">
        <v>40.903867375000118</v>
      </c>
      <c r="V4" s="5">
        <v>10</v>
      </c>
      <c r="W4" s="5">
        <v>63</v>
      </c>
      <c r="X4" s="33">
        <v>1385.118010221689</v>
      </c>
      <c r="Y4" s="5">
        <v>38.140759111131686</v>
      </c>
      <c r="Z4" s="5">
        <v>6447.291826430539</v>
      </c>
      <c r="AA4" s="35"/>
    </row>
    <row r="5" spans="2:27" x14ac:dyDescent="0.2">
      <c r="B5" s="4">
        <v>2</v>
      </c>
      <c r="C5" s="4">
        <v>258</v>
      </c>
      <c r="D5" s="23">
        <v>1067309.368979201</v>
      </c>
      <c r="E5" s="33">
        <v>34.584936332998041</v>
      </c>
      <c r="F5" s="5">
        <v>9</v>
      </c>
      <c r="G5" s="23">
        <v>83</v>
      </c>
      <c r="H5" s="33">
        <v>1211.66495707028</v>
      </c>
      <c r="I5" s="23">
        <v>37.572937527779388</v>
      </c>
      <c r="J5" s="5">
        <v>6195.522926270547</v>
      </c>
      <c r="K5" s="31"/>
      <c r="L5" s="23">
        <v>1261274.9426291599</v>
      </c>
      <c r="M5" s="33">
        <v>79.277514999999767</v>
      </c>
      <c r="N5" s="5">
        <v>18</v>
      </c>
      <c r="O5" s="5">
        <v>75</v>
      </c>
      <c r="P5" s="33">
        <v>902.9050021925699</v>
      </c>
      <c r="Q5" s="5">
        <v>15.789766088718734</v>
      </c>
      <c r="R5" s="5">
        <v>5242.7066173961357</v>
      </c>
      <c r="S5" s="35"/>
      <c r="T5" s="23">
        <v>1316467.272239865</v>
      </c>
      <c r="U5" s="33">
        <v>39.839542166999308</v>
      </c>
      <c r="V5" s="5">
        <v>9</v>
      </c>
      <c r="W5" s="5">
        <v>63</v>
      </c>
      <c r="X5" s="33">
        <v>1181.766438594489</v>
      </c>
      <c r="Y5" s="5">
        <v>43.404048758372646</v>
      </c>
      <c r="Z5" s="5">
        <v>6330.7406270897081</v>
      </c>
      <c r="AA5" s="35"/>
    </row>
    <row r="6" spans="2:27" x14ac:dyDescent="0.2">
      <c r="B6" s="4">
        <v>3</v>
      </c>
      <c r="C6" s="4">
        <v>294</v>
      </c>
      <c r="D6" s="23">
        <v>1027223.0416111239</v>
      </c>
      <c r="E6" s="33">
        <v>37.268258582997078</v>
      </c>
      <c r="F6" s="5">
        <v>11</v>
      </c>
      <c r="G6" s="23">
        <v>85</v>
      </c>
      <c r="H6" s="33">
        <v>1047.0381106062996</v>
      </c>
      <c r="I6" s="23">
        <v>31.04384344301701</v>
      </c>
      <c r="J6" s="5">
        <v>5786.9340057524705</v>
      </c>
      <c r="K6" s="31"/>
      <c r="L6" s="23">
        <v>1266824.21229185</v>
      </c>
      <c r="M6" s="33">
        <v>97.499347166000007</v>
      </c>
      <c r="N6" s="5">
        <v>18</v>
      </c>
      <c r="O6" s="5">
        <v>75</v>
      </c>
      <c r="P6" s="33">
        <v>916.88787994617826</v>
      </c>
      <c r="Q6" s="5">
        <v>15.367055001022688</v>
      </c>
      <c r="R6" s="5">
        <v>5224.0846291393054</v>
      </c>
      <c r="S6" s="35"/>
      <c r="T6" s="23">
        <v>1397961.9800420641</v>
      </c>
      <c r="U6" s="33">
        <v>69.767800208001063</v>
      </c>
      <c r="V6" s="5">
        <v>9</v>
      </c>
      <c r="W6" s="5">
        <v>59</v>
      </c>
      <c r="X6" s="33">
        <v>1337.5770239627593</v>
      </c>
      <c r="Y6" s="5">
        <v>41.28449965060733</v>
      </c>
      <c r="Z6" s="5">
        <v>6711.282836973719</v>
      </c>
      <c r="AA6" s="35"/>
    </row>
    <row r="7" spans="2:27" x14ac:dyDescent="0.2">
      <c r="B7" s="4">
        <v>4</v>
      </c>
      <c r="C7" s="4">
        <v>606</v>
      </c>
      <c r="D7" s="23">
        <v>1061586.1097981881</v>
      </c>
      <c r="E7" s="33">
        <v>56.068000916005992</v>
      </c>
      <c r="F7" s="5">
        <v>11</v>
      </c>
      <c r="G7" s="23">
        <v>88</v>
      </c>
      <c r="H7" s="33">
        <v>1304.8014124855285</v>
      </c>
      <c r="I7" s="23">
        <v>31.979253561186542</v>
      </c>
      <c r="J7" s="5">
        <v>6305.7885381452888</v>
      </c>
      <c r="K7" s="31"/>
      <c r="L7" s="23">
        <v>1265387.1728782819</v>
      </c>
      <c r="M7" s="33">
        <v>57.356306208001122</v>
      </c>
      <c r="N7" s="5">
        <v>17</v>
      </c>
      <c r="O7" s="5">
        <v>73</v>
      </c>
      <c r="P7" s="33">
        <v>813.43728735308332</v>
      </c>
      <c r="Q7" s="5">
        <v>16.011562226346495</v>
      </c>
      <c r="R7" s="5">
        <v>5252.7968582382109</v>
      </c>
      <c r="S7" s="35"/>
      <c r="T7" s="23">
        <v>1370766.325135015</v>
      </c>
      <c r="U7" s="33">
        <v>45.508741957999518</v>
      </c>
      <c r="V7" s="5">
        <v>9</v>
      </c>
      <c r="W7" s="5">
        <v>58</v>
      </c>
      <c r="X7" s="33">
        <v>998.61783536513303</v>
      </c>
      <c r="Y7" s="5">
        <v>43.859869714274019</v>
      </c>
      <c r="Z7" s="5">
        <v>6367.9178993600153</v>
      </c>
      <c r="AA7" s="35"/>
    </row>
    <row r="8" spans="2:27" x14ac:dyDescent="0.2">
      <c r="B8" s="4">
        <v>5</v>
      </c>
      <c r="C8" s="4">
        <v>413</v>
      </c>
      <c r="D8" s="23">
        <v>1191516.952189513</v>
      </c>
      <c r="E8" s="33">
        <v>34.724535041001218</v>
      </c>
      <c r="F8" s="5">
        <v>11</v>
      </c>
      <c r="G8" s="23">
        <v>78</v>
      </c>
      <c r="H8" s="33">
        <v>1348.6715094489896</v>
      </c>
      <c r="I8" s="23">
        <v>26.122807303595263</v>
      </c>
      <c r="J8" s="5">
        <v>6383.9497979753805</v>
      </c>
      <c r="K8" s="31"/>
      <c r="L8" s="23">
        <v>1260956.356857141</v>
      </c>
      <c r="M8" s="33">
        <v>144.10255608399891</v>
      </c>
      <c r="N8" s="5">
        <v>18</v>
      </c>
      <c r="O8" s="5">
        <v>75</v>
      </c>
      <c r="P8" s="33">
        <v>936.01395182606382</v>
      </c>
      <c r="Q8" s="5">
        <v>15.381478399793963</v>
      </c>
      <c r="R8" s="5">
        <v>5253.4701975599</v>
      </c>
      <c r="S8" s="35"/>
      <c r="T8" s="23">
        <v>1317847.6648546341</v>
      </c>
      <c r="U8" s="33">
        <v>34.989233124999373</v>
      </c>
      <c r="V8" s="5">
        <v>10</v>
      </c>
      <c r="W8" s="5">
        <v>64</v>
      </c>
      <c r="X8" s="33">
        <v>1208.0914984698084</v>
      </c>
      <c r="Y8" s="5">
        <v>41.973816577511158</v>
      </c>
      <c r="Z8" s="5">
        <v>6366.3754922642966</v>
      </c>
      <c r="AA8" s="35"/>
    </row>
    <row r="9" spans="2:27" x14ac:dyDescent="0.2">
      <c r="B9" s="4">
        <v>6</v>
      </c>
      <c r="C9" s="4">
        <v>445</v>
      </c>
      <c r="D9" s="23">
        <v>1043054.230682037</v>
      </c>
      <c r="E9" s="33">
        <v>41.439829791997909</v>
      </c>
      <c r="F9" s="5">
        <v>10</v>
      </c>
      <c r="G9" s="23">
        <v>85</v>
      </c>
      <c r="H9" s="33">
        <v>1177.027318265152</v>
      </c>
      <c r="I9" s="23">
        <v>34.044941899036417</v>
      </c>
      <c r="J9" s="5">
        <v>6004.9670200896689</v>
      </c>
      <c r="K9" s="31"/>
      <c r="L9" s="23">
        <v>1256513.176080914</v>
      </c>
      <c r="M9" s="33">
        <v>109.5231697499985</v>
      </c>
      <c r="N9" s="5">
        <v>16</v>
      </c>
      <c r="O9" s="5">
        <v>71</v>
      </c>
      <c r="P9" s="33">
        <v>802.01280078430034</v>
      </c>
      <c r="Q9" s="5">
        <v>16.315523157366997</v>
      </c>
      <c r="R9" s="5">
        <v>4988.8517046230472</v>
      </c>
      <c r="S9" s="35"/>
      <c r="T9" s="23">
        <v>1370299.922671092</v>
      </c>
      <c r="U9" s="33">
        <v>29.513659916001419</v>
      </c>
      <c r="V9" s="5">
        <v>8</v>
      </c>
      <c r="W9" s="5">
        <v>58</v>
      </c>
      <c r="X9" s="33">
        <v>1047.7195991014385</v>
      </c>
      <c r="Y9" s="5">
        <v>43.324778961734097</v>
      </c>
      <c r="Z9" s="5">
        <v>6414.3511295387425</v>
      </c>
      <c r="AA9" s="35"/>
    </row>
    <row r="10" spans="2:27" x14ac:dyDescent="0.2">
      <c r="B10" s="4">
        <v>7</v>
      </c>
      <c r="C10" s="4">
        <v>526</v>
      </c>
      <c r="D10" s="23">
        <v>1043054.230682037</v>
      </c>
      <c r="E10" s="33">
        <v>46.370641166999121</v>
      </c>
      <c r="F10" s="5">
        <v>10</v>
      </c>
      <c r="G10" s="23">
        <v>85</v>
      </c>
      <c r="H10" s="33">
        <v>1177.027318265152</v>
      </c>
      <c r="I10" s="23">
        <v>34.044941899036417</v>
      </c>
      <c r="J10" s="5">
        <v>6004.9670200896689</v>
      </c>
      <c r="K10" s="31"/>
      <c r="L10" s="23">
        <v>1299536.3888580049</v>
      </c>
      <c r="M10" s="33">
        <v>68.987848500000837</v>
      </c>
      <c r="N10" s="5">
        <v>14</v>
      </c>
      <c r="O10" s="5">
        <v>65</v>
      </c>
      <c r="P10" s="33">
        <v>711.13320281021731</v>
      </c>
      <c r="Q10" s="5">
        <v>16.863870612985675</v>
      </c>
      <c r="R10" s="5">
        <v>4915.1992310053301</v>
      </c>
      <c r="S10" s="35"/>
      <c r="T10" s="23">
        <v>1403966.0592174151</v>
      </c>
      <c r="U10" s="33">
        <v>31.52449454199996</v>
      </c>
      <c r="V10" s="5">
        <v>9</v>
      </c>
      <c r="W10" s="5">
        <v>59</v>
      </c>
      <c r="X10" s="33">
        <v>1388.5312725681595</v>
      </c>
      <c r="Y10" s="5">
        <v>37.45596948138364</v>
      </c>
      <c r="Z10" s="5">
        <v>6700.9984734716718</v>
      </c>
      <c r="AA10" s="35"/>
    </row>
    <row r="11" spans="2:27" x14ac:dyDescent="0.2">
      <c r="B11" s="4">
        <v>8</v>
      </c>
      <c r="C11" s="4">
        <v>615</v>
      </c>
      <c r="D11" s="23">
        <v>1043054.230682037</v>
      </c>
      <c r="E11" s="33">
        <v>32.292262832997949</v>
      </c>
      <c r="F11" s="5">
        <v>10</v>
      </c>
      <c r="G11" s="23">
        <v>85</v>
      </c>
      <c r="H11" s="33">
        <v>1177.027318265152</v>
      </c>
      <c r="I11" s="23">
        <v>34.044941899036417</v>
      </c>
      <c r="J11" s="5">
        <v>6004.9670200896689</v>
      </c>
      <c r="K11" s="31"/>
      <c r="L11" s="23">
        <v>1280825.0451696741</v>
      </c>
      <c r="M11" s="33">
        <v>108.8533126250004</v>
      </c>
      <c r="N11" s="5">
        <v>16</v>
      </c>
      <c r="O11" s="5">
        <v>70</v>
      </c>
      <c r="P11" s="33">
        <v>762.87037957354732</v>
      </c>
      <c r="Q11" s="5">
        <v>15.534514393117165</v>
      </c>
      <c r="R11" s="5">
        <v>5108.821239689858</v>
      </c>
      <c r="S11" s="35"/>
      <c r="T11" s="23">
        <v>1299005.4580031319</v>
      </c>
      <c r="U11" s="33">
        <v>66.632235541001137</v>
      </c>
      <c r="V11" s="5">
        <v>10</v>
      </c>
      <c r="W11" s="5">
        <v>64</v>
      </c>
      <c r="X11" s="33">
        <v>1159.3891124047373</v>
      </c>
      <c r="Y11" s="5">
        <v>45.506802319371253</v>
      </c>
      <c r="Z11" s="5">
        <v>6230.4639764255853</v>
      </c>
      <c r="AA11" s="35"/>
    </row>
    <row r="12" spans="2:27" x14ac:dyDescent="0.2">
      <c r="B12" s="4">
        <v>9</v>
      </c>
      <c r="C12" s="4">
        <v>804</v>
      </c>
      <c r="D12" s="23">
        <v>1043054.230682037</v>
      </c>
      <c r="E12" s="33">
        <v>45.691446874996473</v>
      </c>
      <c r="F12" s="5">
        <v>10</v>
      </c>
      <c r="G12" s="23">
        <v>85</v>
      </c>
      <c r="H12" s="33">
        <v>1177.027318265152</v>
      </c>
      <c r="I12" s="23">
        <v>34.044941899036417</v>
      </c>
      <c r="J12" s="5">
        <v>6004.9670200896689</v>
      </c>
      <c r="K12" s="31"/>
      <c r="L12" s="23">
        <v>1277902.185152435</v>
      </c>
      <c r="M12" s="33">
        <v>105.26338237500021</v>
      </c>
      <c r="N12" s="5">
        <v>19</v>
      </c>
      <c r="O12" s="5">
        <v>78</v>
      </c>
      <c r="P12" s="33">
        <v>1093.408082178179</v>
      </c>
      <c r="Q12" s="5">
        <v>15.158842763269568</v>
      </c>
      <c r="R12" s="5">
        <v>5595.2413267718221</v>
      </c>
      <c r="S12" s="35"/>
      <c r="T12" s="23">
        <v>1384866.3865478809</v>
      </c>
      <c r="U12" s="33">
        <v>34.690657458000707</v>
      </c>
      <c r="V12" s="5">
        <v>8</v>
      </c>
      <c r="W12" s="5">
        <v>58</v>
      </c>
      <c r="X12" s="33">
        <v>1250.5094908334947</v>
      </c>
      <c r="Y12" s="5">
        <v>43.669231509818253</v>
      </c>
      <c r="Z12" s="5">
        <v>6541.1214281588564</v>
      </c>
      <c r="AA12" s="35"/>
    </row>
    <row r="13" spans="2:27" x14ac:dyDescent="0.2">
      <c r="B13" s="4">
        <v>10</v>
      </c>
      <c r="C13" s="4">
        <v>841</v>
      </c>
      <c r="D13" s="23">
        <v>1067568.6227058631</v>
      </c>
      <c r="E13" s="33">
        <v>31.511609624998531</v>
      </c>
      <c r="F13" s="5">
        <v>10</v>
      </c>
      <c r="G13" s="23">
        <v>83</v>
      </c>
      <c r="H13" s="33">
        <v>1143.2903250111754</v>
      </c>
      <c r="I13" s="23">
        <v>32.073020357253682</v>
      </c>
      <c r="J13" s="5">
        <v>6035.6286317469185</v>
      </c>
      <c r="K13" s="31"/>
      <c r="L13" s="23">
        <v>1294242.8217279769</v>
      </c>
      <c r="M13" s="33">
        <v>108.2183595829993</v>
      </c>
      <c r="N13" s="5">
        <v>15</v>
      </c>
      <c r="O13" s="5">
        <v>67</v>
      </c>
      <c r="P13" s="33">
        <v>760.5859700080025</v>
      </c>
      <c r="Q13" s="5">
        <v>16.327228846808939</v>
      </c>
      <c r="R13" s="5">
        <v>5037.2219357978383</v>
      </c>
      <c r="S13" s="35"/>
      <c r="T13" s="23">
        <v>1340793.2482460539</v>
      </c>
      <c r="U13" s="33">
        <v>45.074636999999711</v>
      </c>
      <c r="V13" s="5">
        <v>9</v>
      </c>
      <c r="W13" s="5">
        <v>62</v>
      </c>
      <c r="X13" s="33">
        <v>1201.5131767407172</v>
      </c>
      <c r="Y13" s="5">
        <v>42.695312028021696</v>
      </c>
      <c r="Z13" s="5">
        <v>6471.1384696233981</v>
      </c>
      <c r="AA13" s="35"/>
    </row>
    <row r="14" spans="2:27" x14ac:dyDescent="0.2">
      <c r="B14" s="47" t="s">
        <v>3</v>
      </c>
      <c r="C14" s="48"/>
      <c r="D14" s="9">
        <f>MIN(D4:D13)</f>
        <v>1027223.0416111239</v>
      </c>
      <c r="E14" s="22">
        <f>INDEX(E4:E13, MATCH($D$14, D4:D13, 0))</f>
        <v>37.268258582997078</v>
      </c>
      <c r="F14" s="9">
        <f>INDEX(F4:F13, MATCH($D$14, D4:D13, 0))</f>
        <v>11</v>
      </c>
      <c r="G14" s="9">
        <f>INDEX(G4:G13, MATCH($D$14, D4:D13, 0))</f>
        <v>85</v>
      </c>
      <c r="H14" s="22">
        <f>INDEX(H4:H13, MATCH($D$14, D4:D13, 0))</f>
        <v>1047.0381106062996</v>
      </c>
      <c r="I14" s="22">
        <f>INDEX(I4:I13, MATCH($D$14, D4:D13, 0))</f>
        <v>31.04384344301701</v>
      </c>
      <c r="J14" s="22">
        <f>INDEX(J4:J13, MATCH($D$14, D4:D13, 0))</f>
        <v>5786.9340057524705</v>
      </c>
      <c r="K14" s="32" t="e">
        <f>(D14-$D$15)/$D$15</f>
        <v>#DIV/0!</v>
      </c>
      <c r="L14" s="16">
        <f>MIN(L4:L13)</f>
        <v>1256513.176080914</v>
      </c>
      <c r="M14" s="21">
        <f>INDEX(M4:M13, MATCH($L$14, L4:L13, 0))</f>
        <v>109.5231697499985</v>
      </c>
      <c r="N14" s="16">
        <f>INDEX(N4:N13, MATCH($L$14, L4:L13, 0))</f>
        <v>16</v>
      </c>
      <c r="O14" s="16">
        <f>INDEX(O4:O13, MATCH($L$14, L4:L13, 0))</f>
        <v>71</v>
      </c>
      <c r="P14" s="21">
        <f>INDEX(P4:P13, MATCH($L$14, L4:L13, 0))</f>
        <v>802.01280078430034</v>
      </c>
      <c r="Q14" s="21">
        <f>INDEX(Q4:Q13, MATCH($L$14, L4:L13, 0))</f>
        <v>16.315523157366997</v>
      </c>
      <c r="R14" s="21">
        <f>INDEX(R4:R13, MATCH($L$14, L4:L13, 0))</f>
        <v>4988.8517046230472</v>
      </c>
      <c r="S14" s="36" t="e">
        <f>(L14-$D$15)/$D$15</f>
        <v>#DIV/0!</v>
      </c>
      <c r="T14" s="38">
        <f>MIN(T4:T13)</f>
        <v>1299005.4580031319</v>
      </c>
      <c r="U14" s="39">
        <f>INDEX(U4:U13, MATCH($T$14, T4:T13, 0))</f>
        <v>66.632235541001137</v>
      </c>
      <c r="V14" s="38">
        <f>INDEX(V4:V13, MATCH($T$14, T4:T13, 0))</f>
        <v>10</v>
      </c>
      <c r="W14" s="38">
        <f>INDEX(W4:W13, MATCH($T$14, T4:T13, 0))</f>
        <v>64</v>
      </c>
      <c r="X14" s="39">
        <f>INDEX(X4:X13, MATCH($T$14, T4:T13, 0))</f>
        <v>1159.3891124047373</v>
      </c>
      <c r="Y14" s="39">
        <f>INDEX(Y4:Y13, MATCH($T$14, T4:T13, 0))</f>
        <v>45.506802319371253</v>
      </c>
      <c r="Z14" s="39">
        <f>INDEX(Z4:Z13, MATCH($T$14, T4:T13, 0))</f>
        <v>6230.4639764255853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0.22321358184310711</v>
      </c>
      <c r="M15" s="46">
        <f t="shared" ref="M15:R15" si="0">(M14-E14)/E14</f>
        <v>1.938778840607442</v>
      </c>
      <c r="N15" s="46">
        <f t="shared" si="0"/>
        <v>0.45454545454545453</v>
      </c>
      <c r="O15" s="46">
        <f t="shared" si="0"/>
        <v>-0.16470588235294117</v>
      </c>
      <c r="P15" s="46">
        <f t="shared" si="0"/>
        <v>-0.23401756568355903</v>
      </c>
      <c r="Q15" s="46">
        <f t="shared" si="0"/>
        <v>-0.47443610881123022</v>
      </c>
      <c r="R15" s="46">
        <f t="shared" si="0"/>
        <v>-0.13791107697722038</v>
      </c>
      <c r="T15" s="46">
        <f>(T14-D14)/D14</f>
        <v>0.26457975082581597</v>
      </c>
      <c r="U15" s="46">
        <f t="shared" ref="U15:Z15" si="1">(U14-E14)/E14</f>
        <v>0.78790847961436028</v>
      </c>
      <c r="V15" s="46">
        <f t="shared" si="1"/>
        <v>-9.0909090909090912E-2</v>
      </c>
      <c r="W15" s="46">
        <f t="shared" si="1"/>
        <v>-0.24705882352941178</v>
      </c>
      <c r="X15" s="46">
        <f t="shared" si="1"/>
        <v>0.10730364125273292</v>
      </c>
      <c r="Y15" s="46">
        <f t="shared" si="1"/>
        <v>0.46588815276374984</v>
      </c>
      <c r="Z15" s="46">
        <f t="shared" si="1"/>
        <v>7.6643343475530604E-2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">
    <cfRule type="duplicateValues" dxfId="69" priority="1"/>
    <cfRule type="duplicateValues" dxfId="68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E8FC-A811-7E4D-8B7B-E8870CB304B8}">
  <sheetPr codeName="Sheet7"/>
  <dimension ref="B1:AA17"/>
  <sheetViews>
    <sheetView zoomScale="118" zoomScaleNormal="120" workbookViewId="0">
      <selection activeCell="A17" sqref="A17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-0.98649132787275984</v>
      </c>
      <c r="J2" s="28" t="e">
        <f>(S14-J14)/J14</f>
        <v>#DIV/0!</v>
      </c>
      <c r="K2" s="28"/>
      <c r="L2" s="1" t="s">
        <v>19</v>
      </c>
      <c r="P2" s="1">
        <f>(P14-H14)/H14</f>
        <v>-0.22117295375276777</v>
      </c>
      <c r="R2" s="1">
        <f>(R14-J14)/J14</f>
        <v>-6.0381061418033524E-2</v>
      </c>
      <c r="T2" s="1" t="s">
        <v>20</v>
      </c>
      <c r="X2" s="1">
        <f>(X14-P14)/P14</f>
        <v>0.6472465162265183</v>
      </c>
      <c r="Z2" s="1">
        <f>(Z14-R14)/R14</f>
        <v>0.19175082796631457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1116643.312229509</v>
      </c>
      <c r="E4" s="33">
        <v>103.1367652089975</v>
      </c>
      <c r="F4" s="5">
        <v>11</v>
      </c>
      <c r="G4" s="23">
        <v>81</v>
      </c>
      <c r="H4" s="33">
        <v>1246.6927377814629</v>
      </c>
      <c r="I4" s="23">
        <v>24.662004110272964</v>
      </c>
      <c r="J4" s="5">
        <v>6176.7674813780004</v>
      </c>
      <c r="K4" s="31"/>
      <c r="L4" s="23">
        <v>1281760.951619501</v>
      </c>
      <c r="M4" s="33">
        <v>64.735390292000375</v>
      </c>
      <c r="N4" s="5">
        <v>14</v>
      </c>
      <c r="O4" s="5">
        <v>73</v>
      </c>
      <c r="P4" s="33">
        <v>1337.7968980455471</v>
      </c>
      <c r="Q4" s="5">
        <v>17.59472254324681</v>
      </c>
      <c r="R4" s="5">
        <v>6066.1916905182879</v>
      </c>
      <c r="S4" s="35"/>
      <c r="T4" s="23">
        <v>1396580.4680628071</v>
      </c>
      <c r="U4" s="33">
        <v>51.300991708001668</v>
      </c>
      <c r="V4" s="5">
        <v>9</v>
      </c>
      <c r="W4" s="5">
        <v>60</v>
      </c>
      <c r="X4" s="33">
        <v>1598.4282246313128</v>
      </c>
      <c r="Y4" s="5">
        <v>35.059746446755241</v>
      </c>
      <c r="Z4" s="5">
        <v>7021.6393216352153</v>
      </c>
      <c r="AA4" s="35"/>
    </row>
    <row r="5" spans="2:27" x14ac:dyDescent="0.2">
      <c r="B5" s="4">
        <v>2</v>
      </c>
      <c r="C5" s="4">
        <v>28</v>
      </c>
      <c r="D5" s="23">
        <v>1117064.9011077399</v>
      </c>
      <c r="E5" s="33">
        <v>33.353583875003103</v>
      </c>
      <c r="F5" s="5">
        <v>11</v>
      </c>
      <c r="G5" s="23">
        <v>83</v>
      </c>
      <c r="H5" s="33">
        <v>1293.7426944403096</v>
      </c>
      <c r="I5" s="23">
        <v>26.252402851613354</v>
      </c>
      <c r="J5" s="5">
        <v>6495.8841606742917</v>
      </c>
      <c r="K5" s="31"/>
      <c r="L5" s="23">
        <v>1283678.587827506</v>
      </c>
      <c r="M5" s="33">
        <v>94.963808208000046</v>
      </c>
      <c r="N5" s="5">
        <v>15</v>
      </c>
      <c r="O5" s="5">
        <v>74</v>
      </c>
      <c r="P5" s="33">
        <v>1330.5040999186554</v>
      </c>
      <c r="Q5" s="5">
        <v>16.833010609336132</v>
      </c>
      <c r="R5" s="5">
        <v>6127.2793078179575</v>
      </c>
      <c r="S5" s="35"/>
      <c r="T5" s="23">
        <v>1404951.437817751</v>
      </c>
      <c r="U5" s="33">
        <v>36.291426333000352</v>
      </c>
      <c r="V5" s="5">
        <v>8</v>
      </c>
      <c r="W5" s="5">
        <v>57</v>
      </c>
      <c r="X5" s="33">
        <v>1409.0901530930043</v>
      </c>
      <c r="Y5" s="5">
        <v>37.660065276114189</v>
      </c>
      <c r="Z5" s="5">
        <v>6953.344882078617</v>
      </c>
      <c r="AA5" s="35"/>
    </row>
    <row r="6" spans="2:27" x14ac:dyDescent="0.2">
      <c r="B6" s="4">
        <v>3</v>
      </c>
      <c r="C6" s="4">
        <v>261</v>
      </c>
      <c r="D6" s="23">
        <v>1125205.446313333</v>
      </c>
      <c r="E6" s="33">
        <v>54.14840162499604</v>
      </c>
      <c r="F6" s="5">
        <v>11</v>
      </c>
      <c r="G6" s="23">
        <v>81</v>
      </c>
      <c r="H6" s="33">
        <v>1272.5244401903785</v>
      </c>
      <c r="I6" s="23">
        <v>25.458424339585704</v>
      </c>
      <c r="J6" s="5">
        <v>6349.8314719406826</v>
      </c>
      <c r="K6" s="31"/>
      <c r="L6" s="23">
        <v>1247846.221279568</v>
      </c>
      <c r="M6" s="33">
        <v>73.125053083000239</v>
      </c>
      <c r="N6" s="5">
        <v>14</v>
      </c>
      <c r="O6" s="5">
        <v>72</v>
      </c>
      <c r="P6" s="33">
        <v>970.95802254421199</v>
      </c>
      <c r="Q6" s="5">
        <v>16.841163438101226</v>
      </c>
      <c r="R6" s="5">
        <v>5803.8077047200031</v>
      </c>
      <c r="S6" s="35"/>
      <c r="T6" s="23">
        <v>1360098.505757587</v>
      </c>
      <c r="U6" s="33">
        <v>70.605633125000168</v>
      </c>
      <c r="V6" s="5">
        <v>10</v>
      </c>
      <c r="W6" s="5">
        <v>62</v>
      </c>
      <c r="X6" s="33">
        <v>1411.8280634028554</v>
      </c>
      <c r="Y6" s="5">
        <v>34.193970920039526</v>
      </c>
      <c r="Z6" s="5">
        <v>6667.165257989318</v>
      </c>
      <c r="AA6" s="35"/>
    </row>
    <row r="7" spans="2:27" x14ac:dyDescent="0.2">
      <c r="B7" s="4">
        <v>4</v>
      </c>
      <c r="C7" s="4">
        <v>292</v>
      </c>
      <c r="D7" s="23">
        <v>1117833.356202377</v>
      </c>
      <c r="E7" s="33">
        <v>61.945146000005479</v>
      </c>
      <c r="F7" s="5">
        <v>10</v>
      </c>
      <c r="G7" s="23">
        <v>80</v>
      </c>
      <c r="H7" s="33">
        <v>1136.4444225714781</v>
      </c>
      <c r="I7" s="23">
        <v>26.567674321747724</v>
      </c>
      <c r="J7" s="5">
        <v>6323.4661937892361</v>
      </c>
      <c r="K7" s="31"/>
      <c r="L7" s="23">
        <v>1280183.1514307379</v>
      </c>
      <c r="M7" s="33">
        <v>51.082089207999161</v>
      </c>
      <c r="N7" s="5">
        <v>15</v>
      </c>
      <c r="O7" s="5">
        <v>73</v>
      </c>
      <c r="P7" s="33">
        <v>1290.3176714525514</v>
      </c>
      <c r="Q7" s="5">
        <v>16.36330050986092</v>
      </c>
      <c r="R7" s="5">
        <v>5923.1340849497592</v>
      </c>
      <c r="S7" s="35"/>
      <c r="T7" s="23">
        <v>1331627.6027229091</v>
      </c>
      <c r="U7" s="33">
        <v>58.346452457999483</v>
      </c>
      <c r="V7" s="5">
        <v>10</v>
      </c>
      <c r="W7" s="5">
        <v>66</v>
      </c>
      <c r="X7" s="33">
        <v>1599.4072200381424</v>
      </c>
      <c r="Y7" s="5">
        <v>34.392758416081712</v>
      </c>
      <c r="Z7" s="5">
        <v>6916.6926374573395</v>
      </c>
      <c r="AA7" s="35"/>
    </row>
    <row r="8" spans="2:27" x14ac:dyDescent="0.2">
      <c r="B8" s="4">
        <v>5</v>
      </c>
      <c r="C8" s="4">
        <v>401</v>
      </c>
      <c r="D8" s="23">
        <v>1117833.356202377</v>
      </c>
      <c r="E8" s="33">
        <v>45.15217308299907</v>
      </c>
      <c r="F8" s="5">
        <v>10</v>
      </c>
      <c r="G8" s="23">
        <v>80</v>
      </c>
      <c r="H8" s="33">
        <v>1136.4444225714781</v>
      </c>
      <c r="I8" s="23">
        <v>26.567674321747724</v>
      </c>
      <c r="J8" s="5">
        <v>6323.4661937892361</v>
      </c>
      <c r="K8" s="31"/>
      <c r="L8" s="23">
        <v>1308914.5637939221</v>
      </c>
      <c r="M8" s="33">
        <v>74.400236957999368</v>
      </c>
      <c r="N8" s="5">
        <v>14</v>
      </c>
      <c r="O8" s="5">
        <v>72</v>
      </c>
      <c r="P8" s="33">
        <v>1334.8910871095038</v>
      </c>
      <c r="Q8" s="5">
        <v>17.052340707797104</v>
      </c>
      <c r="R8" s="5">
        <v>6321.6833599469719</v>
      </c>
      <c r="S8" s="35"/>
      <c r="T8" s="23">
        <v>1362792.1246420641</v>
      </c>
      <c r="U8" s="33">
        <v>31.2623945840005</v>
      </c>
      <c r="V8" s="5">
        <v>10</v>
      </c>
      <c r="W8" s="5">
        <v>63</v>
      </c>
      <c r="X8" s="33">
        <v>1469.7949596732194</v>
      </c>
      <c r="Y8" s="5">
        <v>30.513044807299838</v>
      </c>
      <c r="Z8" s="5">
        <v>6746.24432018482</v>
      </c>
      <c r="AA8" s="35"/>
    </row>
    <row r="9" spans="2:27" x14ac:dyDescent="0.2">
      <c r="B9" s="4">
        <v>6</v>
      </c>
      <c r="C9" s="4">
        <v>538</v>
      </c>
      <c r="D9" s="23">
        <v>1128304.1132762721</v>
      </c>
      <c r="E9" s="33">
        <v>62.705726041000162</v>
      </c>
      <c r="F9" s="5">
        <v>10</v>
      </c>
      <c r="G9" s="23">
        <v>79</v>
      </c>
      <c r="H9" s="33">
        <v>1214.9528627533646</v>
      </c>
      <c r="I9" s="23">
        <v>25.748077888526002</v>
      </c>
      <c r="J9" s="5">
        <v>6228.326968653254</v>
      </c>
      <c r="K9" s="31"/>
      <c r="L9" s="23">
        <v>1303169.3568835829</v>
      </c>
      <c r="M9" s="33">
        <v>72.501015416999508</v>
      </c>
      <c r="N9" s="5">
        <v>15</v>
      </c>
      <c r="O9" s="5">
        <v>71</v>
      </c>
      <c r="P9" s="33">
        <v>1196.8058309750679</v>
      </c>
      <c r="Q9" s="5">
        <v>15.795548272125595</v>
      </c>
      <c r="R9" s="5">
        <v>5900.6365202884726</v>
      </c>
      <c r="S9" s="35"/>
      <c r="T9" s="23">
        <v>1359716.9928715141</v>
      </c>
      <c r="U9" s="33">
        <v>142.24217816699999</v>
      </c>
      <c r="V9" s="5">
        <v>11</v>
      </c>
      <c r="W9" s="5">
        <v>64</v>
      </c>
      <c r="X9" s="33">
        <v>1464.7670009546277</v>
      </c>
      <c r="Y9" s="5">
        <v>30.728152553342376</v>
      </c>
      <c r="Z9" s="5">
        <v>6769.717587668174</v>
      </c>
      <c r="AA9" s="35"/>
    </row>
    <row r="10" spans="2:27" x14ac:dyDescent="0.2">
      <c r="B10" s="4">
        <v>7</v>
      </c>
      <c r="C10" s="4">
        <v>608</v>
      </c>
      <c r="D10" s="23">
        <v>1142314.533327644</v>
      </c>
      <c r="E10" s="33">
        <v>58.91576995899959</v>
      </c>
      <c r="F10" s="5">
        <v>10</v>
      </c>
      <c r="G10" s="23">
        <v>80</v>
      </c>
      <c r="H10" s="33">
        <v>1332.1528226888024</v>
      </c>
      <c r="I10" s="23">
        <v>26.378070497571759</v>
      </c>
      <c r="J10" s="5">
        <v>6424.6490532953922</v>
      </c>
      <c r="K10" s="31"/>
      <c r="L10" s="23">
        <v>1273751.1434546639</v>
      </c>
      <c r="M10" s="33">
        <v>89.065033791999667</v>
      </c>
      <c r="N10" s="5">
        <v>13</v>
      </c>
      <c r="O10" s="5">
        <v>71</v>
      </c>
      <c r="P10" s="33">
        <v>1271.7855973811932</v>
      </c>
      <c r="Q10" s="5">
        <v>18.026969950791177</v>
      </c>
      <c r="R10" s="5">
        <v>6015.9031746707524</v>
      </c>
      <c r="S10" s="35"/>
      <c r="T10" s="23">
        <v>1375435.6440711799</v>
      </c>
      <c r="U10" s="33">
        <v>36.151149541999978</v>
      </c>
      <c r="V10" s="5">
        <v>9</v>
      </c>
      <c r="W10" s="5">
        <v>62</v>
      </c>
      <c r="X10" s="33">
        <v>1641.5737574528846</v>
      </c>
      <c r="Y10" s="5">
        <v>35.44782601295406</v>
      </c>
      <c r="Z10" s="5">
        <v>6995.7941724176526</v>
      </c>
      <c r="AA10" s="35"/>
    </row>
    <row r="11" spans="2:27" x14ac:dyDescent="0.2">
      <c r="B11" s="4">
        <v>8</v>
      </c>
      <c r="C11" s="4">
        <v>640</v>
      </c>
      <c r="D11" s="23">
        <v>1128324.1346085819</v>
      </c>
      <c r="E11" s="33">
        <v>91.153349166997941</v>
      </c>
      <c r="F11" s="5">
        <v>10</v>
      </c>
      <c r="G11" s="23">
        <v>79</v>
      </c>
      <c r="H11" s="33">
        <v>1213.6763291603754</v>
      </c>
      <c r="I11" s="23">
        <v>25.942852429230776</v>
      </c>
      <c r="J11" s="5">
        <v>6225.7739014672752</v>
      </c>
      <c r="K11" s="31"/>
      <c r="L11" s="23">
        <v>1291103.2924362901</v>
      </c>
      <c r="M11" s="33">
        <v>121.27705720899939</v>
      </c>
      <c r="N11" s="5">
        <v>16</v>
      </c>
      <c r="O11" s="5">
        <v>77</v>
      </c>
      <c r="P11" s="33">
        <v>1481.0400975376349</v>
      </c>
      <c r="Q11" s="5">
        <v>16.539118509619581</v>
      </c>
      <c r="R11" s="5">
        <v>6365.1584110796284</v>
      </c>
      <c r="S11" s="35"/>
      <c r="T11" s="23">
        <v>1342659.198315437</v>
      </c>
      <c r="U11" s="33">
        <v>97.156292457999371</v>
      </c>
      <c r="V11" s="5">
        <v>10</v>
      </c>
      <c r="W11" s="5">
        <v>65</v>
      </c>
      <c r="X11" s="33">
        <v>1606.6542705698057</v>
      </c>
      <c r="Y11" s="5">
        <v>33.499084014218212</v>
      </c>
      <c r="Z11" s="5">
        <v>6876.3981616055162</v>
      </c>
      <c r="AA11" s="35"/>
    </row>
    <row r="12" spans="2:27" x14ac:dyDescent="0.2">
      <c r="B12" s="4">
        <v>9</v>
      </c>
      <c r="C12" s="4">
        <v>644</v>
      </c>
      <c r="D12" s="23">
        <v>1156073.089608704</v>
      </c>
      <c r="E12" s="33">
        <v>86.271567417003098</v>
      </c>
      <c r="F12" s="5">
        <v>11</v>
      </c>
      <c r="G12" s="23">
        <v>81</v>
      </c>
      <c r="H12" s="33">
        <v>1421.8627419904003</v>
      </c>
      <c r="I12" s="23">
        <v>24.726865310552167</v>
      </c>
      <c r="J12" s="5">
        <v>6537.3729541048906</v>
      </c>
      <c r="K12" s="31"/>
      <c r="L12" s="23">
        <v>1260911.270147237</v>
      </c>
      <c r="M12" s="33">
        <v>78.5162232090006</v>
      </c>
      <c r="N12" s="5">
        <v>15</v>
      </c>
      <c r="O12" s="5">
        <v>74</v>
      </c>
      <c r="P12" s="33">
        <v>1222.0361421788423</v>
      </c>
      <c r="Q12" s="5">
        <v>15.668084711634844</v>
      </c>
      <c r="R12" s="5">
        <v>5856.0682317705641</v>
      </c>
      <c r="S12" s="35"/>
      <c r="T12" s="23">
        <v>1366937.7695382719</v>
      </c>
      <c r="U12" s="33">
        <v>34.692609457999417</v>
      </c>
      <c r="V12" s="5">
        <v>10</v>
      </c>
      <c r="W12" s="5">
        <v>65</v>
      </c>
      <c r="X12" s="33">
        <v>1710.523482231619</v>
      </c>
      <c r="Y12" s="5">
        <v>32.308995895464648</v>
      </c>
      <c r="Z12" s="5">
        <v>7062.1961092036345</v>
      </c>
      <c r="AA12" s="35"/>
    </row>
    <row r="13" spans="2:27" x14ac:dyDescent="0.2">
      <c r="B13" s="4">
        <v>10</v>
      </c>
      <c r="C13" s="4">
        <v>646</v>
      </c>
      <c r="D13" s="23">
        <v>1128304.1132762721</v>
      </c>
      <c r="E13" s="33">
        <v>42.510239290997561</v>
      </c>
      <c r="F13" s="5">
        <v>10</v>
      </c>
      <c r="G13" s="23">
        <v>79</v>
      </c>
      <c r="H13" s="33">
        <v>1214.9528627533646</v>
      </c>
      <c r="I13" s="23">
        <v>25.748077888526002</v>
      </c>
      <c r="J13" s="5">
        <v>6228.326968653254</v>
      </c>
      <c r="K13" s="31"/>
      <c r="L13" s="23">
        <v>1267231.5215695871</v>
      </c>
      <c r="M13" s="33">
        <v>75.846373791999213</v>
      </c>
      <c r="N13" s="5">
        <v>15</v>
      </c>
      <c r="O13" s="5">
        <v>73</v>
      </c>
      <c r="P13" s="33">
        <v>1094.4029388697311</v>
      </c>
      <c r="Q13" s="5">
        <v>15.618989749760866</v>
      </c>
      <c r="R13" s="5">
        <v>5836.3547726961742</v>
      </c>
      <c r="S13" s="35"/>
      <c r="T13" s="23">
        <v>1370749.351525899</v>
      </c>
      <c r="U13" s="33">
        <v>41.155881540998962</v>
      </c>
      <c r="V13" s="5">
        <v>9</v>
      </c>
      <c r="W13" s="5">
        <v>60</v>
      </c>
      <c r="X13" s="33">
        <v>1392.7966474121579</v>
      </c>
      <c r="Y13" s="5">
        <v>35.27330435004481</v>
      </c>
      <c r="Z13" s="5">
        <v>6751.1868737456334</v>
      </c>
      <c r="AA13" s="35"/>
    </row>
    <row r="14" spans="2:27" x14ac:dyDescent="0.2">
      <c r="B14" s="47" t="s">
        <v>3</v>
      </c>
      <c r="C14" s="48"/>
      <c r="D14" s="9">
        <f>MIN(D4:D13)</f>
        <v>1116643.312229509</v>
      </c>
      <c r="E14" s="22">
        <f>INDEX(E4:E13, MATCH($D$14, D4:D13, 0))</f>
        <v>103.1367652089975</v>
      </c>
      <c r="F14" s="9">
        <f>INDEX(F4:F13, MATCH($D$14, D4:D13, 0))</f>
        <v>11</v>
      </c>
      <c r="G14" s="9">
        <f>INDEX(G4:G13, MATCH($D$14, D4:D13, 0))</f>
        <v>81</v>
      </c>
      <c r="H14" s="22">
        <f>INDEX(H4:H13, MATCH($D$14, D4:D13, 0))</f>
        <v>1246.6927377814629</v>
      </c>
      <c r="I14" s="22">
        <f>INDEX(I4:I13, MATCH($D$14, D4:D13, 0))</f>
        <v>24.662004110272964</v>
      </c>
      <c r="J14" s="22">
        <f>INDEX(J4:J13, MATCH($D$14, D4:D13, 0))</f>
        <v>6176.7674813780004</v>
      </c>
      <c r="K14" s="32" t="e">
        <f>(D14-$D$15)/$D$15</f>
        <v>#DIV/0!</v>
      </c>
      <c r="L14" s="16">
        <f>MIN(L4:L13)</f>
        <v>1247846.221279568</v>
      </c>
      <c r="M14" s="21">
        <f>INDEX(M4:M13, MATCH($L$14, L4:L13, 0))</f>
        <v>73.125053083000239</v>
      </c>
      <c r="N14" s="16">
        <f>INDEX(N4:N13, MATCH($L$14, L4:L13, 0))</f>
        <v>14</v>
      </c>
      <c r="O14" s="16">
        <f>INDEX(O4:O13, MATCH($L$14, L4:L13, 0))</f>
        <v>72</v>
      </c>
      <c r="P14" s="21">
        <f>INDEX(P4:P13, MATCH($L$14, L4:L13, 0))</f>
        <v>970.95802254421199</v>
      </c>
      <c r="Q14" s="21">
        <f>INDEX(Q4:Q13, MATCH($L$14, L4:L13, 0))</f>
        <v>16.841163438101226</v>
      </c>
      <c r="R14" s="21">
        <f>INDEX(R4:R13, MATCH($L$14, L4:L13, 0))</f>
        <v>5803.8077047200031</v>
      </c>
      <c r="S14" s="36" t="e">
        <f>(L14-$D$15)/$D$15</f>
        <v>#DIV/0!</v>
      </c>
      <c r="T14" s="38">
        <f>MIN(T4:T13)</f>
        <v>1331627.6027229091</v>
      </c>
      <c r="U14" s="39">
        <f>INDEX(U4:U13, MATCH($T$14, T4:T13, 0))</f>
        <v>58.346452457999483</v>
      </c>
      <c r="V14" s="38">
        <f>INDEX(V4:V13, MATCH($T$14, T4:T13, 0))</f>
        <v>10</v>
      </c>
      <c r="W14" s="38">
        <f>INDEX(W4:W13, MATCH($T$14, T4:T13, 0))</f>
        <v>66</v>
      </c>
      <c r="X14" s="39">
        <f>INDEX(X4:X13, MATCH($T$14, T4:T13, 0))</f>
        <v>1599.4072200381424</v>
      </c>
      <c r="Y14" s="39">
        <f>INDEX(Y4:Y13, MATCH($T$14, T4:T13, 0))</f>
        <v>34.392758416081712</v>
      </c>
      <c r="Z14" s="39">
        <f>INDEX(Z4:Z13, MATCH($T$14, T4:T13, 0))</f>
        <v>6916.6926374573395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0.11749759982719736</v>
      </c>
      <c r="M15" s="46">
        <f t="shared" ref="M15:R15" si="0">(M14-E14)/E14</f>
        <v>-0.29098946496122108</v>
      </c>
      <c r="N15" s="46">
        <f t="shared" si="0"/>
        <v>0.27272727272727271</v>
      </c>
      <c r="O15" s="46">
        <f t="shared" si="0"/>
        <v>-0.1111111111111111</v>
      </c>
      <c r="P15" s="46">
        <f t="shared" si="0"/>
        <v>-0.22117295375276777</v>
      </c>
      <c r="Q15" s="46">
        <f t="shared" si="0"/>
        <v>-0.31712105136313573</v>
      </c>
      <c r="R15" s="46">
        <f t="shared" si="0"/>
        <v>-6.0381061418033524E-2</v>
      </c>
      <c r="T15" s="46">
        <f>(T14-D14)/D14</f>
        <v>0.19252727181445145</v>
      </c>
      <c r="U15" s="46">
        <f t="shared" ref="U15:Z15" si="1">(U14-E14)/E14</f>
        <v>-0.43428075972941776</v>
      </c>
      <c r="V15" s="46">
        <f t="shared" si="1"/>
        <v>-9.0909090909090912E-2</v>
      </c>
      <c r="W15" s="46">
        <f t="shared" si="1"/>
        <v>-0.18518518518518517</v>
      </c>
      <c r="X15" s="46">
        <f t="shared" si="1"/>
        <v>0.28292013867374277</v>
      </c>
      <c r="Y15" s="46">
        <f t="shared" si="1"/>
        <v>0.39456462103805262</v>
      </c>
      <c r="Z15" s="46">
        <f t="shared" si="1"/>
        <v>0.11979164802788823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67" priority="5"/>
    <cfRule type="duplicateValues" dxfId="66" priority="6"/>
  </conditionalFormatting>
  <conditionalFormatting sqref="C14">
    <cfRule type="duplicateValues" dxfId="65" priority="3"/>
    <cfRule type="duplicateValues" dxfId="64" priority="4"/>
  </conditionalFormatting>
  <conditionalFormatting sqref="C15">
    <cfRule type="duplicateValues" dxfId="63" priority="1"/>
    <cfRule type="duplicateValues" dxfId="62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3162-6595-BC47-8E85-366308E0010E}">
  <sheetPr codeName="Sheet8"/>
  <dimension ref="B1:AA17"/>
  <sheetViews>
    <sheetView zoomScale="118" zoomScaleNormal="120" workbookViewId="0">
      <selection activeCell="A18" sqref="A18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-0.98143877764337217</v>
      </c>
      <c r="J2" s="28" t="e">
        <f>(S14-J14)/J14</f>
        <v>#DIV/0!</v>
      </c>
      <c r="K2" s="28"/>
      <c r="L2" s="1" t="s">
        <v>19</v>
      </c>
      <c r="P2" s="1">
        <f>(P14-H14)/H14</f>
        <v>0.2827215402666336</v>
      </c>
      <c r="R2" s="1">
        <f>(R14-J14)/J14</f>
        <v>2.3447597402546014E-2</v>
      </c>
      <c r="T2" s="1" t="s">
        <v>20</v>
      </c>
      <c r="X2" s="1">
        <f>(X14-P14)/P14</f>
        <v>4.8261388939061525E-2</v>
      </c>
      <c r="Z2" s="1">
        <f>(Z14-R14)/R14</f>
        <v>0.17219955235722004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245</v>
      </c>
      <c r="D4" s="23">
        <v>1052294.1618837621</v>
      </c>
      <c r="E4" s="33">
        <v>73.416992541002401</v>
      </c>
      <c r="F4" s="5">
        <v>10</v>
      </c>
      <c r="G4" s="23">
        <v>81</v>
      </c>
      <c r="H4" s="33">
        <v>936.91782733103878</v>
      </c>
      <c r="I4" s="23">
        <v>31.201677251068524</v>
      </c>
      <c r="J4" s="5">
        <v>5597.8568887157862</v>
      </c>
      <c r="K4" s="31"/>
      <c r="L4" s="23">
        <v>1288784.5385236191</v>
      </c>
      <c r="M4" s="33">
        <v>93.166391542001293</v>
      </c>
      <c r="N4" s="5">
        <v>18</v>
      </c>
      <c r="O4" s="5">
        <v>77</v>
      </c>
      <c r="P4" s="33">
        <v>1328.4879641650386</v>
      </c>
      <c r="Q4" s="5">
        <v>16.574373146723342</v>
      </c>
      <c r="R4" s="5">
        <v>5722.0165779869849</v>
      </c>
      <c r="S4" s="35"/>
      <c r="T4" s="23">
        <v>1351920.2648808891</v>
      </c>
      <c r="U4" s="33">
        <v>31.344083292000509</v>
      </c>
      <c r="V4" s="5">
        <v>7</v>
      </c>
      <c r="W4" s="5">
        <v>57</v>
      </c>
      <c r="X4" s="33">
        <v>1046.7725563681145</v>
      </c>
      <c r="Y4" s="5">
        <v>55.484774911659336</v>
      </c>
      <c r="Z4" s="5">
        <v>6534.3048594929742</v>
      </c>
      <c r="AA4" s="35"/>
    </row>
    <row r="5" spans="2:27" x14ac:dyDescent="0.2">
      <c r="B5" s="4">
        <v>2</v>
      </c>
      <c r="C5" s="4">
        <v>328</v>
      </c>
      <c r="D5" s="23">
        <v>1030408.459948913</v>
      </c>
      <c r="E5" s="33">
        <v>36.752817790998961</v>
      </c>
      <c r="F5" s="5">
        <v>10</v>
      </c>
      <c r="G5" s="23">
        <v>81</v>
      </c>
      <c r="H5" s="33">
        <v>804.5948143057027</v>
      </c>
      <c r="I5" s="23">
        <v>31.402056701508752</v>
      </c>
      <c r="J5" s="5">
        <v>5480.6557991646441</v>
      </c>
      <c r="K5" s="31"/>
      <c r="L5" s="23">
        <v>1287791.8267440959</v>
      </c>
      <c r="M5" s="33">
        <v>110.6814212499994</v>
      </c>
      <c r="N5" s="5">
        <v>17</v>
      </c>
      <c r="O5" s="5">
        <v>74</v>
      </c>
      <c r="P5" s="33">
        <v>1118.0978514250032</v>
      </c>
      <c r="Q5" s="5">
        <v>16.70431136134653</v>
      </c>
      <c r="R5" s="5">
        <v>5562.5399009855128</v>
      </c>
      <c r="S5" s="35"/>
      <c r="T5" s="23">
        <v>1333548.2941229569</v>
      </c>
      <c r="U5" s="33">
        <v>65.150261792001402</v>
      </c>
      <c r="V5" s="5">
        <v>8</v>
      </c>
      <c r="W5" s="5">
        <v>62</v>
      </c>
      <c r="X5" s="33">
        <v>1309.1735030946593</v>
      </c>
      <c r="Y5" s="5">
        <v>52.82134750480882</v>
      </c>
      <c r="Z5" s="5">
        <v>6844.1923797392119</v>
      </c>
      <c r="AA5" s="35"/>
    </row>
    <row r="6" spans="2:27" x14ac:dyDescent="0.2">
      <c r="B6" s="4">
        <v>3</v>
      </c>
      <c r="C6" s="4">
        <v>352</v>
      </c>
      <c r="D6" s="23">
        <v>1100808.564636247</v>
      </c>
      <c r="E6" s="33">
        <v>52.648876959006877</v>
      </c>
      <c r="F6" s="5">
        <v>9</v>
      </c>
      <c r="G6" s="23">
        <v>81</v>
      </c>
      <c r="H6" s="33">
        <v>1306.3346454668624</v>
      </c>
      <c r="I6" s="23">
        <v>34.917082636168693</v>
      </c>
      <c r="J6" s="5">
        <v>6258.2271068228774</v>
      </c>
      <c r="K6" s="31"/>
      <c r="L6" s="23">
        <v>1285669.8047719731</v>
      </c>
      <c r="M6" s="33">
        <v>53.326648666999972</v>
      </c>
      <c r="N6" s="5">
        <v>18</v>
      </c>
      <c r="O6" s="5">
        <v>73</v>
      </c>
      <c r="P6" s="33">
        <v>882.10039205885278</v>
      </c>
      <c r="Q6" s="5">
        <v>15.127885926269638</v>
      </c>
      <c r="R6" s="5">
        <v>5219.3306254346726</v>
      </c>
      <c r="S6" s="35"/>
      <c r="T6" s="23">
        <v>1287675.654857412</v>
      </c>
      <c r="U6" s="33">
        <v>43.76771162499972</v>
      </c>
      <c r="V6" s="5">
        <v>8</v>
      </c>
      <c r="W6" s="5">
        <v>64</v>
      </c>
      <c r="X6" s="33">
        <v>1155.6861715484138</v>
      </c>
      <c r="Y6" s="5">
        <v>54.079859138420481</v>
      </c>
      <c r="Z6" s="5">
        <v>6671.4763421895841</v>
      </c>
      <c r="AA6" s="35"/>
    </row>
    <row r="7" spans="2:27" x14ac:dyDescent="0.2">
      <c r="B7" s="4">
        <v>4</v>
      </c>
      <c r="C7" s="4">
        <v>512</v>
      </c>
      <c r="D7" s="23">
        <v>1048641.0399256339</v>
      </c>
      <c r="E7" s="33">
        <v>38.952570165994977</v>
      </c>
      <c r="F7" s="5">
        <v>10</v>
      </c>
      <c r="G7" s="23">
        <v>83</v>
      </c>
      <c r="H7" s="33">
        <v>799.12922950826123</v>
      </c>
      <c r="I7" s="23">
        <v>31.143726884623881</v>
      </c>
      <c r="J7" s="5">
        <v>5947.2872340218391</v>
      </c>
      <c r="K7" s="31"/>
      <c r="L7" s="23">
        <v>1301666.075615772</v>
      </c>
      <c r="M7" s="33">
        <v>64.511492667001221</v>
      </c>
      <c r="N7" s="5">
        <v>18</v>
      </c>
      <c r="O7" s="5">
        <v>74</v>
      </c>
      <c r="P7" s="33">
        <v>1006.5347910436166</v>
      </c>
      <c r="Q7" s="5">
        <v>15.362926971020052</v>
      </c>
      <c r="R7" s="5">
        <v>5508.2984567760041</v>
      </c>
      <c r="S7" s="35"/>
      <c r="T7" s="23">
        <v>1315711.1322846881</v>
      </c>
      <c r="U7" s="33">
        <v>67.591647999999623</v>
      </c>
      <c r="V7" s="5">
        <v>9</v>
      </c>
      <c r="W7" s="5">
        <v>63</v>
      </c>
      <c r="X7" s="33">
        <v>1123.1290108415028</v>
      </c>
      <c r="Y7" s="5">
        <v>46.285808347467288</v>
      </c>
      <c r="Z7" s="5">
        <v>6466.1813645903294</v>
      </c>
      <c r="AA7" s="35"/>
    </row>
    <row r="8" spans="2:27" x14ac:dyDescent="0.2">
      <c r="B8" s="4">
        <v>5</v>
      </c>
      <c r="C8" s="4">
        <v>547</v>
      </c>
      <c r="D8" s="23">
        <v>1049417.29354081</v>
      </c>
      <c r="E8" s="33">
        <v>34.036499458998151</v>
      </c>
      <c r="F8" s="5">
        <v>10</v>
      </c>
      <c r="G8" s="23">
        <v>82</v>
      </c>
      <c r="H8" s="33">
        <v>836.67662175268413</v>
      </c>
      <c r="I8" s="23">
        <v>31.745115415980017</v>
      </c>
      <c r="J8" s="5">
        <v>5826.5113512702828</v>
      </c>
      <c r="K8" s="31"/>
      <c r="L8" s="23">
        <v>1302388.1899660509</v>
      </c>
      <c r="M8" s="33">
        <v>75.933721125000375</v>
      </c>
      <c r="N8" s="5">
        <v>13</v>
      </c>
      <c r="O8" s="5">
        <v>65</v>
      </c>
      <c r="P8" s="33">
        <v>770.71270971380943</v>
      </c>
      <c r="Q8" s="5">
        <v>18.137954280249293</v>
      </c>
      <c r="R8" s="5">
        <v>5169.1139739425334</v>
      </c>
      <c r="S8" s="35"/>
      <c r="T8" s="23">
        <v>1295854.576747349</v>
      </c>
      <c r="U8" s="33">
        <v>97.89350370899956</v>
      </c>
      <c r="V8" s="5">
        <v>9</v>
      </c>
      <c r="W8" s="5">
        <v>65</v>
      </c>
      <c r="X8" s="33">
        <v>1211.8741791244229</v>
      </c>
      <c r="Y8" s="5">
        <v>48.250089560899021</v>
      </c>
      <c r="Z8" s="5">
        <v>6565.6172296809782</v>
      </c>
      <c r="AA8" s="35"/>
    </row>
    <row r="9" spans="2:27" x14ac:dyDescent="0.2">
      <c r="B9" s="4">
        <v>6</v>
      </c>
      <c r="C9" s="4">
        <v>667</v>
      </c>
      <c r="D9" s="23">
        <v>1088552.0777372071</v>
      </c>
      <c r="E9" s="33">
        <v>64.649868417000107</v>
      </c>
      <c r="F9" s="5">
        <v>11</v>
      </c>
      <c r="G9" s="23">
        <v>85</v>
      </c>
      <c r="H9" s="33">
        <v>1267.4980353010376</v>
      </c>
      <c r="I9" s="23">
        <v>30.068990210964376</v>
      </c>
      <c r="J9" s="5">
        <v>6173.7831109582121</v>
      </c>
      <c r="K9" s="31"/>
      <c r="L9" s="23">
        <v>1283436.99577308</v>
      </c>
      <c r="M9" s="33">
        <v>78.619231540998953</v>
      </c>
      <c r="N9" s="5">
        <v>17</v>
      </c>
      <c r="O9" s="5">
        <v>76</v>
      </c>
      <c r="P9" s="33">
        <v>1179.8396077120453</v>
      </c>
      <c r="Q9" s="5">
        <v>17.072501409267517</v>
      </c>
      <c r="R9" s="5">
        <v>5749.9961169102262</v>
      </c>
      <c r="S9" s="35"/>
      <c r="T9" s="23">
        <v>1294240.6856035951</v>
      </c>
      <c r="U9" s="33">
        <v>82.361327834001713</v>
      </c>
      <c r="V9" s="5">
        <v>9</v>
      </c>
      <c r="W9" s="5">
        <v>67</v>
      </c>
      <c r="X9" s="33">
        <v>1344.3539983003609</v>
      </c>
      <c r="Y9" s="5">
        <v>50.460477069629562</v>
      </c>
      <c r="Z9" s="5">
        <v>6810.0979416541768</v>
      </c>
      <c r="AA9" s="35"/>
    </row>
    <row r="10" spans="2:27" x14ac:dyDescent="0.2">
      <c r="B10" s="4">
        <v>7</v>
      </c>
      <c r="C10" s="4">
        <v>787</v>
      </c>
      <c r="D10" s="23">
        <v>1018601.32533602</v>
      </c>
      <c r="E10" s="33">
        <v>99.487517374996969</v>
      </c>
      <c r="F10" s="5">
        <v>11</v>
      </c>
      <c r="G10" s="23">
        <v>85</v>
      </c>
      <c r="H10" s="33">
        <v>919.79402440439048</v>
      </c>
      <c r="I10" s="23">
        <v>30.2077381111033</v>
      </c>
      <c r="J10" s="5">
        <v>5618.2613858329451</v>
      </c>
      <c r="K10" s="31"/>
      <c r="L10" s="23">
        <v>1294530.1286098149</v>
      </c>
      <c r="M10" s="33">
        <v>122.9151799580013</v>
      </c>
      <c r="N10" s="5">
        <v>17</v>
      </c>
      <c r="O10" s="5">
        <v>73</v>
      </c>
      <c r="P10" s="33">
        <v>977.9054849296499</v>
      </c>
      <c r="Q10" s="5">
        <v>16.11956971931204</v>
      </c>
      <c r="R10" s="5">
        <v>5530.9980207417948</v>
      </c>
      <c r="S10" s="35"/>
      <c r="T10" s="23">
        <v>1278491.528348292</v>
      </c>
      <c r="U10" s="33">
        <v>66.090258958000049</v>
      </c>
      <c r="V10" s="5">
        <v>8</v>
      </c>
      <c r="W10" s="5">
        <v>65</v>
      </c>
      <c r="X10" s="33">
        <v>1139.8304379823489</v>
      </c>
      <c r="Y10" s="5">
        <v>53.849306222750776</v>
      </c>
      <c r="Z10" s="5">
        <v>6617.5328172236023</v>
      </c>
      <c r="AA10" s="35"/>
    </row>
    <row r="11" spans="2:27" x14ac:dyDescent="0.2">
      <c r="B11" s="4">
        <v>8</v>
      </c>
      <c r="C11" s="4">
        <v>828</v>
      </c>
      <c r="D11" s="23">
        <v>1049455.7923325191</v>
      </c>
      <c r="E11" s="33">
        <v>92.085934333001205</v>
      </c>
      <c r="F11" s="5">
        <v>11</v>
      </c>
      <c r="G11" s="23">
        <v>83</v>
      </c>
      <c r="H11" s="33">
        <v>960.15634157325655</v>
      </c>
      <c r="I11" s="23">
        <v>29.327366634151279</v>
      </c>
      <c r="J11" s="5">
        <v>5653.1778219905073</v>
      </c>
      <c r="K11" s="31"/>
      <c r="L11" s="23">
        <v>1297084.9110628851</v>
      </c>
      <c r="M11" s="33">
        <v>51.320970167002088</v>
      </c>
      <c r="N11" s="5">
        <v>15</v>
      </c>
      <c r="O11" s="5">
        <v>69</v>
      </c>
      <c r="P11" s="33">
        <v>884.54666841124515</v>
      </c>
      <c r="Q11" s="5">
        <v>17.014483865661241</v>
      </c>
      <c r="R11" s="5">
        <v>5313.5662169932721</v>
      </c>
      <c r="S11" s="35"/>
      <c r="T11" s="23">
        <v>1328701.049726238</v>
      </c>
      <c r="U11" s="33">
        <v>74.341783957999723</v>
      </c>
      <c r="V11" s="5">
        <v>9</v>
      </c>
      <c r="W11" s="5">
        <v>62</v>
      </c>
      <c r="X11" s="33">
        <v>1130.6549899055767</v>
      </c>
      <c r="Y11" s="5">
        <v>46.470182212577328</v>
      </c>
      <c r="Z11" s="5">
        <v>6453.8095227978138</v>
      </c>
      <c r="AA11" s="35"/>
    </row>
    <row r="12" spans="2:27" x14ac:dyDescent="0.2">
      <c r="B12" s="4">
        <v>9</v>
      </c>
      <c r="C12" s="4">
        <v>884</v>
      </c>
      <c r="D12" s="23">
        <v>1036180.289923633</v>
      </c>
      <c r="E12" s="33">
        <v>65.373935375006113</v>
      </c>
      <c r="F12" s="5">
        <v>11</v>
      </c>
      <c r="G12" s="23">
        <v>84</v>
      </c>
      <c r="H12" s="33">
        <v>951.7734387523667</v>
      </c>
      <c r="I12" s="23">
        <v>29.904470375403218</v>
      </c>
      <c r="J12" s="5">
        <v>5660.5480098495636</v>
      </c>
      <c r="K12" s="31"/>
      <c r="L12" s="23">
        <v>1311908.816257776</v>
      </c>
      <c r="M12" s="33">
        <v>57.18222945800153</v>
      </c>
      <c r="N12" s="5">
        <v>18</v>
      </c>
      <c r="O12" s="5">
        <v>75</v>
      </c>
      <c r="P12" s="33">
        <v>1095.2043581817268</v>
      </c>
      <c r="Q12" s="5">
        <v>15.600181760766649</v>
      </c>
      <c r="R12" s="5">
        <v>5735.6506667270551</v>
      </c>
      <c r="S12" s="35"/>
      <c r="T12" s="23">
        <v>1269951.846617213</v>
      </c>
      <c r="U12" s="33">
        <v>53.052533209000103</v>
      </c>
      <c r="V12" s="5">
        <v>9</v>
      </c>
      <c r="W12" s="5">
        <v>68</v>
      </c>
      <c r="X12" s="33">
        <v>1236.7803059055461</v>
      </c>
      <c r="Y12" s="5">
        <v>50.046396407879818</v>
      </c>
      <c r="Z12" s="5">
        <v>6740.1428742979206</v>
      </c>
      <c r="AA12" s="35"/>
    </row>
    <row r="13" spans="2:27" x14ac:dyDescent="0.2">
      <c r="B13" s="4">
        <v>10</v>
      </c>
      <c r="C13" s="4">
        <v>948</v>
      </c>
      <c r="D13" s="23">
        <v>1018601.32533602</v>
      </c>
      <c r="E13" s="33">
        <v>56.858438125003893</v>
      </c>
      <c r="F13" s="5">
        <v>11</v>
      </c>
      <c r="G13" s="23">
        <v>85</v>
      </c>
      <c r="H13" s="33">
        <v>919.79402440439048</v>
      </c>
      <c r="I13" s="23">
        <v>30.2077381111033</v>
      </c>
      <c r="J13" s="5">
        <v>5618.2613858329451</v>
      </c>
      <c r="K13" s="31"/>
      <c r="L13" s="23">
        <v>1284041.362704582</v>
      </c>
      <c r="M13" s="33">
        <v>116.77680987499841</v>
      </c>
      <c r="N13" s="5">
        <v>16</v>
      </c>
      <c r="O13" s="5">
        <v>73</v>
      </c>
      <c r="P13" s="33">
        <v>1001.7384079376751</v>
      </c>
      <c r="Q13" s="5">
        <v>17.201902395951059</v>
      </c>
      <c r="R13" s="5">
        <v>5523.756392580899</v>
      </c>
      <c r="S13" s="35"/>
      <c r="T13" s="23">
        <v>1330468.1473396609</v>
      </c>
      <c r="U13" s="33">
        <v>75.731690249998792</v>
      </c>
      <c r="V13" s="5">
        <v>9</v>
      </c>
      <c r="W13" s="5">
        <v>65</v>
      </c>
      <c r="X13" s="33">
        <v>1421.3734656463719</v>
      </c>
      <c r="Y13" s="5">
        <v>45.783263563175325</v>
      </c>
      <c r="Z13" s="5">
        <v>6920.7343697971155</v>
      </c>
      <c r="AA13" s="35"/>
    </row>
    <row r="14" spans="2:27" x14ac:dyDescent="0.2">
      <c r="B14" s="47" t="s">
        <v>3</v>
      </c>
      <c r="C14" s="48"/>
      <c r="D14" s="9">
        <f>MIN(D4:D13)</f>
        <v>1018601.32533602</v>
      </c>
      <c r="E14" s="22">
        <f>INDEX(E4:E13, MATCH($D$14, D4:D13, 0))</f>
        <v>99.487517374996969</v>
      </c>
      <c r="F14" s="9">
        <f>INDEX(F4:F13, MATCH($D$14, D4:D13, 0))</f>
        <v>11</v>
      </c>
      <c r="G14" s="9">
        <f>INDEX(G4:G13, MATCH($D$14, D4:D13, 0))</f>
        <v>85</v>
      </c>
      <c r="H14" s="22">
        <f>INDEX(H4:H13, MATCH($D$14, D4:D13, 0))</f>
        <v>919.79402440439048</v>
      </c>
      <c r="I14" s="22">
        <f>INDEX(I4:I13, MATCH($D$14, D4:D13, 0))</f>
        <v>30.2077381111033</v>
      </c>
      <c r="J14" s="22">
        <f>INDEX(J4:J13, MATCH($D$14, D4:D13, 0))</f>
        <v>5618.2613858329451</v>
      </c>
      <c r="K14" s="32" t="e">
        <f>(D14-$D$15)/$D$15</f>
        <v>#DIV/0!</v>
      </c>
      <c r="L14" s="16">
        <f>MIN(L4:L13)</f>
        <v>1283436.99577308</v>
      </c>
      <c r="M14" s="21">
        <f>INDEX(M4:M13, MATCH($L$14, L4:L13, 0))</f>
        <v>78.619231540998953</v>
      </c>
      <c r="N14" s="16">
        <f>INDEX(N4:N13, MATCH($L$14, L4:L13, 0))</f>
        <v>17</v>
      </c>
      <c r="O14" s="16">
        <f>INDEX(O4:O13, MATCH($L$14, L4:L13, 0))</f>
        <v>76</v>
      </c>
      <c r="P14" s="21">
        <f>INDEX(P4:P13, MATCH($L$14, L4:L13, 0))</f>
        <v>1179.8396077120453</v>
      </c>
      <c r="Q14" s="21">
        <f>INDEX(Q4:Q13, MATCH($L$14, L4:L13, 0))</f>
        <v>17.072501409267517</v>
      </c>
      <c r="R14" s="21">
        <f>INDEX(R4:R13, MATCH($L$14, L4:L13, 0))</f>
        <v>5749.9961169102262</v>
      </c>
      <c r="S14" s="36" t="e">
        <f>(L14-$D$15)/$D$15</f>
        <v>#DIV/0!</v>
      </c>
      <c r="T14" s="38">
        <f>MIN(T4:T13)</f>
        <v>1269951.846617213</v>
      </c>
      <c r="U14" s="39">
        <f>INDEX(U4:U13, MATCH($T$14, T4:T13, 0))</f>
        <v>53.052533209000103</v>
      </c>
      <c r="V14" s="38">
        <f>INDEX(V4:V13, MATCH($T$14, T4:T13, 0))</f>
        <v>9</v>
      </c>
      <c r="W14" s="38">
        <f>INDEX(W4:W13, MATCH($T$14, T4:T13, 0))</f>
        <v>68</v>
      </c>
      <c r="X14" s="39">
        <f>INDEX(X4:X13, MATCH($T$14, T4:T13, 0))</f>
        <v>1236.7803059055461</v>
      </c>
      <c r="Y14" s="39">
        <f>INDEX(Y4:Y13, MATCH($T$14, T4:T13, 0))</f>
        <v>50.046396407879818</v>
      </c>
      <c r="Z14" s="39">
        <f>INDEX(Z4:Z13, MATCH($T$14, T4:T13, 0))</f>
        <v>6740.1428742979206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0.25999933816078147</v>
      </c>
      <c r="M15" s="46">
        <f t="shared" ref="M15:R15" si="0">(M14-E14)/E14</f>
        <v>-0.20975783077729707</v>
      </c>
      <c r="N15" s="46">
        <f t="shared" si="0"/>
        <v>0.54545454545454541</v>
      </c>
      <c r="O15" s="46">
        <f t="shared" si="0"/>
        <v>-0.10588235294117647</v>
      </c>
      <c r="P15" s="46">
        <f t="shared" si="0"/>
        <v>0.2827215402666336</v>
      </c>
      <c r="Q15" s="46">
        <f t="shared" si="0"/>
        <v>-0.43483019660474787</v>
      </c>
      <c r="R15" s="46">
        <f t="shared" si="0"/>
        <v>2.3447597402546014E-2</v>
      </c>
      <c r="T15" s="46">
        <f>(T14-D14)/D14</f>
        <v>0.24676044987304191</v>
      </c>
      <c r="U15" s="46">
        <f t="shared" ref="U15:Z15" si="1">(U14-E14)/E14</f>
        <v>-0.46674181235189638</v>
      </c>
      <c r="V15" s="46">
        <f t="shared" si="1"/>
        <v>-0.18181818181818182</v>
      </c>
      <c r="W15" s="46">
        <f t="shared" si="1"/>
        <v>-0.2</v>
      </c>
      <c r="X15" s="46">
        <f t="shared" si="1"/>
        <v>0.34462746342195366</v>
      </c>
      <c r="Y15" s="46">
        <f t="shared" si="1"/>
        <v>0.65674093915308829</v>
      </c>
      <c r="Z15" s="46">
        <f t="shared" si="1"/>
        <v>0.1996848155363368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CAE2-5562-854E-8C9B-8D518BA7AAB3}">
  <sheetPr codeName="Sheet9"/>
  <dimension ref="B1:AA17"/>
  <sheetViews>
    <sheetView zoomScale="118" zoomScaleNormal="120" workbookViewId="0">
      <selection activeCell="A18" sqref="A18:XFD2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-0.98864589658207269</v>
      </c>
      <c r="J2" s="28" t="e">
        <f>(S14-J14)/J14</f>
        <v>#DIV/0!</v>
      </c>
      <c r="K2" s="28"/>
      <c r="L2" s="1" t="s">
        <v>19</v>
      </c>
      <c r="P2" s="1">
        <f>(P14-H14)/H14</f>
        <v>-0.2959821086901438</v>
      </c>
      <c r="R2" s="1">
        <f>(R14-J14)/J14</f>
        <v>-0.12692167701829674</v>
      </c>
      <c r="T2" s="1" t="s">
        <v>20</v>
      </c>
      <c r="X2" s="1">
        <f>(X14-P14)/P14</f>
        <v>0.58096781872451964</v>
      </c>
      <c r="Z2" s="1">
        <f>(Z14-R14)/R14</f>
        <v>0.24223090395169136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113</v>
      </c>
      <c r="D4" s="23">
        <v>1065194.5913268961</v>
      </c>
      <c r="E4" s="33">
        <v>38.528522708002129</v>
      </c>
      <c r="F4" s="5">
        <v>11</v>
      </c>
      <c r="G4" s="23">
        <v>88</v>
      </c>
      <c r="H4" s="33">
        <v>1472.4975525955651</v>
      </c>
      <c r="I4" s="23">
        <v>29.063936725800094</v>
      </c>
      <c r="J4" s="5">
        <v>6318.2516767961879</v>
      </c>
      <c r="K4" s="31"/>
      <c r="L4" s="23">
        <v>1264645.193136551</v>
      </c>
      <c r="M4" s="33">
        <v>44.601644792001032</v>
      </c>
      <c r="N4" s="5">
        <v>15</v>
      </c>
      <c r="O4" s="5">
        <v>73</v>
      </c>
      <c r="P4" s="33">
        <v>1010.8287887784112</v>
      </c>
      <c r="Q4" s="5">
        <v>16.403618735693033</v>
      </c>
      <c r="R4" s="5">
        <v>5474.6651103106415</v>
      </c>
      <c r="S4" s="35"/>
      <c r="T4" s="23">
        <v>1433039.660189555</v>
      </c>
      <c r="U4" s="33">
        <v>46.073480791999827</v>
      </c>
      <c r="V4" s="5">
        <v>8</v>
      </c>
      <c r="W4" s="5">
        <v>56</v>
      </c>
      <c r="X4" s="33">
        <v>1413.1046470063197</v>
      </c>
      <c r="Y4" s="5">
        <v>43.924810946376155</v>
      </c>
      <c r="Z4" s="5">
        <v>6806.1693130361618</v>
      </c>
      <c r="AA4" s="35"/>
    </row>
    <row r="5" spans="2:27" x14ac:dyDescent="0.2">
      <c r="B5" s="4">
        <v>2</v>
      </c>
      <c r="C5" s="4">
        <v>311</v>
      </c>
      <c r="D5" s="23">
        <v>1126219.5533179459</v>
      </c>
      <c r="E5" s="33">
        <v>51.944984582994948</v>
      </c>
      <c r="F5" s="5">
        <v>10</v>
      </c>
      <c r="G5" s="23">
        <v>85</v>
      </c>
      <c r="H5" s="33">
        <v>1655.8923294625831</v>
      </c>
      <c r="I5" s="23">
        <v>31.117100728308923</v>
      </c>
      <c r="J5" s="5">
        <v>6653.0419422062268</v>
      </c>
      <c r="K5" s="31"/>
      <c r="L5" s="23">
        <v>1270692.0074596959</v>
      </c>
      <c r="M5" s="33">
        <v>70.058790499999304</v>
      </c>
      <c r="N5" s="5">
        <v>15</v>
      </c>
      <c r="O5" s="5">
        <v>75</v>
      </c>
      <c r="P5" s="33">
        <v>1199.3931351609929</v>
      </c>
      <c r="Q5" s="5">
        <v>17.075058320749196</v>
      </c>
      <c r="R5" s="5">
        <v>5879.4773951908128</v>
      </c>
      <c r="S5" s="35"/>
      <c r="T5" s="23">
        <v>1367426.1231242251</v>
      </c>
      <c r="U5" s="33">
        <v>64.270306999998866</v>
      </c>
      <c r="V5" s="5">
        <v>10</v>
      </c>
      <c r="W5" s="5">
        <v>65</v>
      </c>
      <c r="X5" s="33">
        <v>1583.9966041837154</v>
      </c>
      <c r="Y5" s="5">
        <v>36.220360669984174</v>
      </c>
      <c r="Z5" s="5">
        <v>6755.3278957008679</v>
      </c>
      <c r="AA5" s="35"/>
    </row>
    <row r="6" spans="2:27" x14ac:dyDescent="0.2">
      <c r="B6" s="4">
        <v>3</v>
      </c>
      <c r="C6" s="4">
        <v>455</v>
      </c>
      <c r="D6" s="23">
        <v>1068471.1763396829</v>
      </c>
      <c r="E6" s="33">
        <v>56.14656179099984</v>
      </c>
      <c r="F6" s="5">
        <v>10</v>
      </c>
      <c r="G6" s="23">
        <v>86</v>
      </c>
      <c r="H6" s="33">
        <v>1464.9106791000136</v>
      </c>
      <c r="I6" s="23">
        <v>31.052928906043359</v>
      </c>
      <c r="J6" s="5">
        <v>6305.6313328310225</v>
      </c>
      <c r="K6" s="31"/>
      <c r="L6" s="23">
        <v>1270570.9071552381</v>
      </c>
      <c r="M6" s="33">
        <v>48.869391416999861</v>
      </c>
      <c r="N6" s="5">
        <v>16</v>
      </c>
      <c r="O6" s="5">
        <v>75</v>
      </c>
      <c r="P6" s="33">
        <v>1091.154383669885</v>
      </c>
      <c r="Q6" s="5">
        <v>16.282448539283266</v>
      </c>
      <c r="R6" s="5">
        <v>5652.27446317662</v>
      </c>
      <c r="S6" s="35"/>
      <c r="T6" s="23">
        <v>1321083.1330695769</v>
      </c>
      <c r="U6" s="33">
        <v>36.611250166999532</v>
      </c>
      <c r="V6" s="5">
        <v>9</v>
      </c>
      <c r="W6" s="5">
        <v>67</v>
      </c>
      <c r="X6" s="33">
        <v>1527.3700683062573</v>
      </c>
      <c r="Y6" s="5">
        <v>44.895633373167726</v>
      </c>
      <c r="Z6" s="5">
        <v>6833.3614917904342</v>
      </c>
      <c r="AA6" s="35"/>
    </row>
    <row r="7" spans="2:27" x14ac:dyDescent="0.2">
      <c r="B7" s="4">
        <v>4</v>
      </c>
      <c r="C7" s="4">
        <v>580</v>
      </c>
      <c r="D7" s="23">
        <v>1068501.52550441</v>
      </c>
      <c r="E7" s="33">
        <v>39.631696374999592</v>
      </c>
      <c r="F7" s="5">
        <v>10</v>
      </c>
      <c r="G7" s="23">
        <v>87</v>
      </c>
      <c r="H7" s="33">
        <v>1464.9264810635486</v>
      </c>
      <c r="I7" s="23">
        <v>31.229197330079643</v>
      </c>
      <c r="J7" s="5">
        <v>6362.6228123672581</v>
      </c>
      <c r="K7" s="31"/>
      <c r="L7" s="23">
        <v>1260733.835549867</v>
      </c>
      <c r="M7" s="33">
        <v>53.870908666000098</v>
      </c>
      <c r="N7" s="5">
        <v>14</v>
      </c>
      <c r="O7" s="5">
        <v>72</v>
      </c>
      <c r="P7" s="33">
        <v>1090.4656652007759</v>
      </c>
      <c r="Q7" s="5">
        <v>17.594921945391864</v>
      </c>
      <c r="R7" s="5">
        <v>5566.3992487426895</v>
      </c>
      <c r="S7" s="35"/>
      <c r="T7" s="23">
        <v>1309072.4677556329</v>
      </c>
      <c r="U7" s="33">
        <v>65.830783416999111</v>
      </c>
      <c r="V7" s="5">
        <v>10</v>
      </c>
      <c r="W7" s="5">
        <v>70</v>
      </c>
      <c r="X7" s="33">
        <v>1634.5765326441579</v>
      </c>
      <c r="Y7" s="5">
        <v>39.895889989310511</v>
      </c>
      <c r="Z7" s="5">
        <v>6852.1858691334437</v>
      </c>
      <c r="AA7" s="35"/>
    </row>
    <row r="8" spans="2:27" x14ac:dyDescent="0.2">
      <c r="B8" s="4">
        <v>5</v>
      </c>
      <c r="C8" s="4">
        <v>601</v>
      </c>
      <c r="D8" s="23">
        <v>1160201.175311507</v>
      </c>
      <c r="E8" s="33">
        <v>30.72109712499514</v>
      </c>
      <c r="F8" s="5">
        <v>11</v>
      </c>
      <c r="G8" s="23">
        <v>84</v>
      </c>
      <c r="H8" s="33">
        <v>1632.2596153176241</v>
      </c>
      <c r="I8" s="23">
        <v>29.471655948065994</v>
      </c>
      <c r="J8" s="5">
        <v>6708.7258431788023</v>
      </c>
      <c r="K8" s="31"/>
      <c r="L8" s="23">
        <v>1247982.4536280939</v>
      </c>
      <c r="M8" s="33">
        <v>58.092120749999587</v>
      </c>
      <c r="N8" s="5">
        <v>15</v>
      </c>
      <c r="O8" s="5">
        <v>74</v>
      </c>
      <c r="P8" s="33">
        <v>1033.9087951599724</v>
      </c>
      <c r="Q8" s="5">
        <v>16.674444683656976</v>
      </c>
      <c r="R8" s="5">
        <v>5516.0323634968236</v>
      </c>
      <c r="S8" s="35"/>
      <c r="T8" s="23">
        <v>1344997.148846064</v>
      </c>
      <c r="U8" s="33">
        <v>44.61722699999882</v>
      </c>
      <c r="V8" s="5">
        <v>9</v>
      </c>
      <c r="W8" s="5">
        <v>64</v>
      </c>
      <c r="X8" s="33">
        <v>1459.4439644969868</v>
      </c>
      <c r="Y8" s="5">
        <v>40.826337590523778</v>
      </c>
      <c r="Z8" s="5">
        <v>6657.8916762821427</v>
      </c>
      <c r="AA8" s="35"/>
    </row>
    <row r="9" spans="2:27" x14ac:dyDescent="0.2">
      <c r="B9" s="4">
        <v>6</v>
      </c>
      <c r="C9" s="4">
        <v>790</v>
      </c>
      <c r="D9" s="23">
        <v>1123750.635354934</v>
      </c>
      <c r="E9" s="33">
        <v>40.426532334000512</v>
      </c>
      <c r="F9" s="5">
        <v>10</v>
      </c>
      <c r="G9" s="23">
        <v>84</v>
      </c>
      <c r="H9" s="33">
        <v>1451.2909308183807</v>
      </c>
      <c r="I9" s="23">
        <v>29.903387400844792</v>
      </c>
      <c r="J9" s="5">
        <v>6452.0271673652032</v>
      </c>
      <c r="K9" s="31"/>
      <c r="L9" s="23">
        <v>1289189.062384713</v>
      </c>
      <c r="M9" s="33">
        <v>57.218595542000912</v>
      </c>
      <c r="N9" s="5">
        <v>14</v>
      </c>
      <c r="O9" s="5">
        <v>73</v>
      </c>
      <c r="P9" s="33">
        <v>1276.9049233886337</v>
      </c>
      <c r="Q9" s="5">
        <v>17.611392122560456</v>
      </c>
      <c r="R9" s="5">
        <v>6005.1267265894503</v>
      </c>
      <c r="S9" s="35"/>
      <c r="T9" s="23">
        <v>1367006.555837567</v>
      </c>
      <c r="U9" s="33">
        <v>42.310857459000538</v>
      </c>
      <c r="V9" s="5">
        <v>10</v>
      </c>
      <c r="W9" s="5">
        <v>64</v>
      </c>
      <c r="X9" s="33">
        <v>1533.7470339081303</v>
      </c>
      <c r="Y9" s="5">
        <v>37.986514193098046</v>
      </c>
      <c r="Z9" s="5">
        <v>6647.0452368817369</v>
      </c>
      <c r="AA9" s="35"/>
    </row>
    <row r="10" spans="2:27" x14ac:dyDescent="0.2">
      <c r="B10" s="4">
        <v>7</v>
      </c>
      <c r="C10" s="4">
        <v>983</v>
      </c>
      <c r="D10" s="23">
        <v>1164179.1579926431</v>
      </c>
      <c r="E10" s="33">
        <v>35.564174166996963</v>
      </c>
      <c r="F10" s="5">
        <v>11</v>
      </c>
      <c r="G10" s="23">
        <v>86</v>
      </c>
      <c r="H10" s="33">
        <v>1813.1929541875552</v>
      </c>
      <c r="I10" s="23">
        <v>30.203082326393293</v>
      </c>
      <c r="J10" s="5">
        <v>6924.6421021974093</v>
      </c>
      <c r="K10" s="31"/>
      <c r="L10" s="23">
        <v>1265327.407047234</v>
      </c>
      <c r="M10" s="33">
        <v>72.926384499998676</v>
      </c>
      <c r="N10" s="5">
        <v>13</v>
      </c>
      <c r="O10" s="5">
        <v>69</v>
      </c>
      <c r="P10" s="33">
        <v>924.54522069774612</v>
      </c>
      <c r="Q10" s="5">
        <v>17.593596722998196</v>
      </c>
      <c r="R10" s="5">
        <v>5394.4052169366305</v>
      </c>
      <c r="S10" s="35"/>
      <c r="T10" s="23">
        <v>1446373.5712079669</v>
      </c>
      <c r="U10" s="33">
        <v>71.986456417000227</v>
      </c>
      <c r="V10" s="5">
        <v>9</v>
      </c>
      <c r="W10" s="5">
        <v>58</v>
      </c>
      <c r="X10" s="33">
        <v>1627.7393404967424</v>
      </c>
      <c r="Y10" s="5">
        <v>37.961900769172594</v>
      </c>
      <c r="Z10" s="5">
        <v>7006.2344865171708</v>
      </c>
      <c r="AA10" s="35"/>
    </row>
    <row r="11" spans="2:27" x14ac:dyDescent="0.2">
      <c r="B11" s="4">
        <v>8</v>
      </c>
      <c r="C11" s="4">
        <v>300</v>
      </c>
      <c r="D11" s="23">
        <v>1124050.5645650059</v>
      </c>
      <c r="E11" s="33">
        <v>76.081036540999776</v>
      </c>
      <c r="F11" s="5">
        <v>10</v>
      </c>
      <c r="G11" s="23">
        <v>85</v>
      </c>
      <c r="H11" s="33">
        <v>1552.3029048782728</v>
      </c>
      <c r="I11" s="23">
        <v>31.245034143601391</v>
      </c>
      <c r="J11" s="5">
        <v>6613.9772776519849</v>
      </c>
      <c r="K11" s="31"/>
      <c r="L11" s="23">
        <v>1258626.1140552261</v>
      </c>
      <c r="M11" s="33">
        <v>85.600675833000423</v>
      </c>
      <c r="N11" s="5">
        <v>15</v>
      </c>
      <c r="O11" s="5">
        <v>74</v>
      </c>
      <c r="P11" s="33">
        <v>1134.9258463314691</v>
      </c>
      <c r="Q11" s="5">
        <v>16.918725176866211</v>
      </c>
      <c r="R11" s="5">
        <v>5637.1291198786475</v>
      </c>
      <c r="S11" s="35"/>
      <c r="T11" s="23">
        <v>1450836.1951844441</v>
      </c>
      <c r="U11" s="33">
        <v>93.223008915998435</v>
      </c>
      <c r="V11" s="5">
        <v>9</v>
      </c>
      <c r="W11" s="5">
        <v>57</v>
      </c>
      <c r="X11" s="33">
        <v>1656.8296613535931</v>
      </c>
      <c r="Y11" s="5">
        <v>35.030661197902866</v>
      </c>
      <c r="Z11" s="5">
        <v>6844.2451887471407</v>
      </c>
      <c r="AA11" s="35"/>
    </row>
    <row r="12" spans="2:27" x14ac:dyDescent="0.2">
      <c r="B12" s="4">
        <v>9</v>
      </c>
      <c r="C12" s="4">
        <v>378</v>
      </c>
      <c r="D12" s="23">
        <v>1148978.413151982</v>
      </c>
      <c r="E12" s="33">
        <v>71.642379790995619</v>
      </c>
      <c r="F12" s="5">
        <v>10</v>
      </c>
      <c r="G12" s="23">
        <v>84</v>
      </c>
      <c r="H12" s="33">
        <v>1658.3773882812634</v>
      </c>
      <c r="I12" s="23">
        <v>31.283363811565398</v>
      </c>
      <c r="J12" s="5">
        <v>6702.8984522390974</v>
      </c>
      <c r="K12" s="31"/>
      <c r="L12" s="23">
        <v>1257040.581995731</v>
      </c>
      <c r="M12" s="33">
        <v>53.247523166000967</v>
      </c>
      <c r="N12" s="5">
        <v>16</v>
      </c>
      <c r="O12" s="5">
        <v>75</v>
      </c>
      <c r="P12" s="33">
        <v>1103.7093493301193</v>
      </c>
      <c r="Q12" s="5">
        <v>16.1149162137514</v>
      </c>
      <c r="R12" s="5">
        <v>5559.8736838662262</v>
      </c>
      <c r="S12" s="35"/>
      <c r="T12" s="23">
        <v>1367006.555837567</v>
      </c>
      <c r="U12" s="33">
        <v>36.757078541999363</v>
      </c>
      <c r="V12" s="5">
        <v>10</v>
      </c>
      <c r="W12" s="5">
        <v>64</v>
      </c>
      <c r="X12" s="33">
        <v>1533.7470339081303</v>
      </c>
      <c r="Y12" s="5">
        <v>37.986514193098046</v>
      </c>
      <c r="Z12" s="5">
        <v>6647.0452368817369</v>
      </c>
      <c r="AA12" s="35"/>
    </row>
    <row r="13" spans="2:27" x14ac:dyDescent="0.2">
      <c r="B13" s="4">
        <v>10</v>
      </c>
      <c r="C13" s="4">
        <v>994</v>
      </c>
      <c r="D13" s="23">
        <v>1064729.6639365479</v>
      </c>
      <c r="E13" s="33">
        <v>72.808226082997862</v>
      </c>
      <c r="F13" s="5">
        <v>11</v>
      </c>
      <c r="G13" s="23">
        <v>88</v>
      </c>
      <c r="H13" s="33">
        <v>1468.5831254037305</v>
      </c>
      <c r="I13" s="23">
        <v>28.92687607723175</v>
      </c>
      <c r="J13" s="5">
        <v>6317.9124006408538</v>
      </c>
      <c r="K13" s="31"/>
      <c r="L13" s="23">
        <v>1270248.6297200681</v>
      </c>
      <c r="M13" s="33">
        <v>46.313861541999358</v>
      </c>
      <c r="N13" s="5">
        <v>14</v>
      </c>
      <c r="O13" s="5">
        <v>71</v>
      </c>
      <c r="P13" s="33">
        <v>977.91273582804786</v>
      </c>
      <c r="Q13" s="5">
        <v>17.241449139850186</v>
      </c>
      <c r="R13" s="5">
        <v>5546.1868368342903</v>
      </c>
      <c r="S13" s="35"/>
      <c r="T13" s="23">
        <v>1321083.1330695769</v>
      </c>
      <c r="U13" s="33">
        <v>37.498847333001322</v>
      </c>
      <c r="V13" s="5">
        <v>9</v>
      </c>
      <c r="W13" s="5">
        <v>67</v>
      </c>
      <c r="X13" s="33">
        <v>1527.3700683062573</v>
      </c>
      <c r="Y13" s="5">
        <v>44.895633373167726</v>
      </c>
      <c r="Z13" s="5">
        <v>6833.3614917904342</v>
      </c>
      <c r="AA13" s="35"/>
    </row>
    <row r="14" spans="2:27" x14ac:dyDescent="0.2">
      <c r="B14" s="47" t="s">
        <v>3</v>
      </c>
      <c r="C14" s="48"/>
      <c r="D14" s="9">
        <f>MIN(D4:D13)</f>
        <v>1064729.6639365479</v>
      </c>
      <c r="E14" s="22">
        <f>INDEX(E4:E13, MATCH($D$14, D4:D13, 0))</f>
        <v>72.808226082997862</v>
      </c>
      <c r="F14" s="9">
        <f>INDEX(F4:F13, MATCH($D$14, D4:D13, 0))</f>
        <v>11</v>
      </c>
      <c r="G14" s="9">
        <f>INDEX(G4:G13, MATCH($D$14, D4:D13, 0))</f>
        <v>88</v>
      </c>
      <c r="H14" s="22">
        <f>INDEX(H4:H13, MATCH($D$14, D4:D13, 0))</f>
        <v>1468.5831254037305</v>
      </c>
      <c r="I14" s="22">
        <f>INDEX(I4:I13, MATCH($D$14, D4:D13, 0))</f>
        <v>28.92687607723175</v>
      </c>
      <c r="J14" s="22">
        <f>INDEX(J4:J13, MATCH($D$14, D4:D13, 0))</f>
        <v>6317.9124006408538</v>
      </c>
      <c r="K14" s="32" t="e">
        <f>(D14-$D$15)/$D$15</f>
        <v>#DIV/0!</v>
      </c>
      <c r="L14" s="16">
        <f>MIN(L4:L13)</f>
        <v>1247982.4536280939</v>
      </c>
      <c r="M14" s="21">
        <f>INDEX(M4:M13, MATCH($L$14, L4:L13, 0))</f>
        <v>58.092120749999587</v>
      </c>
      <c r="N14" s="16">
        <f>INDEX(N4:N13, MATCH($L$14, L4:L13, 0))</f>
        <v>15</v>
      </c>
      <c r="O14" s="16">
        <f>INDEX(O4:O13, MATCH($L$14, L4:L13, 0))</f>
        <v>74</v>
      </c>
      <c r="P14" s="21">
        <f>INDEX(P4:P13, MATCH($L$14, L4:L13, 0))</f>
        <v>1033.9087951599724</v>
      </c>
      <c r="Q14" s="21">
        <f>INDEX(Q4:Q13, MATCH($L$14, L4:L13, 0))</f>
        <v>16.674444683656976</v>
      </c>
      <c r="R14" s="21">
        <f>INDEX(R4:R13, MATCH($L$14, L4:L13, 0))</f>
        <v>5516.0323634968236</v>
      </c>
      <c r="S14" s="36" t="e">
        <f>(L14-$D$15)/$D$15</f>
        <v>#DIV/0!</v>
      </c>
      <c r="T14" s="38">
        <f>MIN(T4:T13)</f>
        <v>1309072.4677556329</v>
      </c>
      <c r="U14" s="39">
        <f>INDEX(U4:U13, MATCH($T$14, T4:T13, 0))</f>
        <v>65.830783416999111</v>
      </c>
      <c r="V14" s="38">
        <f>INDEX(V4:V13, MATCH($T$14, T4:T13, 0))</f>
        <v>10</v>
      </c>
      <c r="W14" s="38">
        <f>INDEX(W4:W13, MATCH($T$14, T4:T13, 0))</f>
        <v>70</v>
      </c>
      <c r="X14" s="39">
        <f>INDEX(X4:X13, MATCH($T$14, T4:T13, 0))</f>
        <v>1634.5765326441579</v>
      </c>
      <c r="Y14" s="39">
        <f>INDEX(Y4:Y13, MATCH($T$14, T4:T13, 0))</f>
        <v>39.895889989310511</v>
      </c>
      <c r="Z14" s="39">
        <f>INDEX(Z4:Z13, MATCH($T$14, T4:T13, 0))</f>
        <v>6852.1858691334437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0.17211203547576454</v>
      </c>
      <c r="M15" s="46">
        <f t="shared" ref="M15:R15" si="0">(M14-E14)/E14</f>
        <v>-0.20212146517925908</v>
      </c>
      <c r="N15" s="46">
        <f t="shared" si="0"/>
        <v>0.36363636363636365</v>
      </c>
      <c r="O15" s="46">
        <f t="shared" si="0"/>
        <v>-0.15909090909090909</v>
      </c>
      <c r="P15" s="46">
        <f t="shared" si="0"/>
        <v>-0.2959821086901438</v>
      </c>
      <c r="Q15" s="46">
        <f t="shared" si="0"/>
        <v>-0.42356566125087469</v>
      </c>
      <c r="R15" s="46">
        <f t="shared" si="0"/>
        <v>-0.12692167701829674</v>
      </c>
      <c r="T15" s="46">
        <f>(T14-D14)/D14</f>
        <v>0.22948811524203622</v>
      </c>
      <c r="U15" s="46">
        <f t="shared" ref="U15:Z15" si="1">(U14-E14)/E14</f>
        <v>-9.5833163934591722E-2</v>
      </c>
      <c r="V15" s="46">
        <f t="shared" si="1"/>
        <v>-9.0909090909090912E-2</v>
      </c>
      <c r="W15" s="46">
        <f t="shared" si="1"/>
        <v>-0.20454545454545456</v>
      </c>
      <c r="X15" s="46">
        <f t="shared" si="1"/>
        <v>0.11302962996717932</v>
      </c>
      <c r="Y15" s="46">
        <f t="shared" si="1"/>
        <v>0.37919801235337808</v>
      </c>
      <c r="Z15" s="46">
        <f t="shared" si="1"/>
        <v>8.4564874378187993E-2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55" priority="5"/>
    <cfRule type="duplicateValues" dxfId="54" priority="6"/>
  </conditionalFormatting>
  <conditionalFormatting sqref="C14">
    <cfRule type="duplicateValues" dxfId="53" priority="3"/>
    <cfRule type="duplicateValues" dxfId="52" priority="4"/>
  </conditionalFormatting>
  <conditionalFormatting sqref="C15">
    <cfRule type="duplicateValues" dxfId="51" priority="1"/>
    <cfRule type="duplicateValues" dxfId="5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E6C2-F9F6-9544-8382-98B95ED9ED70}">
  <sheetPr codeName="Sheet10"/>
  <dimension ref="B1:AA17"/>
  <sheetViews>
    <sheetView zoomScale="118" zoomScaleNormal="120" workbookViewId="0">
      <selection activeCell="A17" sqref="A17:XFD2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-0.98667146224042257</v>
      </c>
      <c r="J2" s="28" t="e">
        <f>(S14-J14)/J14</f>
        <v>#DIV/0!</v>
      </c>
      <c r="K2" s="28"/>
      <c r="L2" s="1" t="s">
        <v>19</v>
      </c>
      <c r="P2" s="1">
        <f>(P14-H14)/H14</f>
        <v>-7.4599703248249619E-2</v>
      </c>
      <c r="R2" s="1">
        <f>(R14-J14)/J14</f>
        <v>-4.7587512175003364E-2</v>
      </c>
      <c r="T2" s="1" t="s">
        <v>20</v>
      </c>
      <c r="X2" s="1">
        <f>(X14-P14)/P14</f>
        <v>0.27976242515557803</v>
      </c>
      <c r="Z2" s="1">
        <f>(Z14-R14)/R14</f>
        <v>0.15222555997658865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128</v>
      </c>
      <c r="D4" s="23">
        <v>1195748.7420006371</v>
      </c>
      <c r="E4" s="33">
        <v>35.297967250000511</v>
      </c>
      <c r="F4" s="5">
        <v>9</v>
      </c>
      <c r="G4" s="23">
        <v>74</v>
      </c>
      <c r="H4" s="33">
        <v>1231.476708647931</v>
      </c>
      <c r="I4" s="23">
        <v>31.858648121262782</v>
      </c>
      <c r="J4" s="5">
        <v>6500.3621299463648</v>
      </c>
      <c r="K4" s="31"/>
      <c r="L4" s="23">
        <v>1450095.634771595</v>
      </c>
      <c r="M4" s="33">
        <v>49.390682792000007</v>
      </c>
      <c r="N4" s="5">
        <v>11</v>
      </c>
      <c r="O4" s="5">
        <v>57</v>
      </c>
      <c r="P4" s="33">
        <v>1218.4234563100474</v>
      </c>
      <c r="Q4" s="5">
        <v>19.633206487531996</v>
      </c>
      <c r="R4" s="5">
        <v>6198.6265208385157</v>
      </c>
      <c r="S4" s="35"/>
      <c r="T4" s="23">
        <v>1471870.581826966</v>
      </c>
      <c r="U4" s="33">
        <v>45.328291834000993</v>
      </c>
      <c r="V4" s="5">
        <v>7</v>
      </c>
      <c r="W4" s="5">
        <v>50</v>
      </c>
      <c r="X4" s="33">
        <v>1429.0955797845029</v>
      </c>
      <c r="Y4" s="5">
        <v>50.465863202755486</v>
      </c>
      <c r="Z4" s="5">
        <v>7028.5282424889156</v>
      </c>
      <c r="AA4" s="35"/>
    </row>
    <row r="5" spans="2:27" x14ac:dyDescent="0.2">
      <c r="B5" s="4">
        <v>2</v>
      </c>
      <c r="C5" s="4">
        <v>225</v>
      </c>
      <c r="D5" s="23">
        <v>1250813.2109135161</v>
      </c>
      <c r="E5" s="33">
        <v>40.041084458003752</v>
      </c>
      <c r="F5" s="5">
        <v>10</v>
      </c>
      <c r="G5" s="23">
        <v>75</v>
      </c>
      <c r="H5" s="33">
        <v>1510.8079154151446</v>
      </c>
      <c r="I5" s="23">
        <v>28.117469526823896</v>
      </c>
      <c r="J5" s="5">
        <v>6971.2003220191773</v>
      </c>
      <c r="K5" s="31"/>
      <c r="L5" s="23">
        <v>1408772.0008988739</v>
      </c>
      <c r="M5" s="33">
        <v>58.910917917000923</v>
      </c>
      <c r="N5" s="5">
        <v>12</v>
      </c>
      <c r="O5" s="5">
        <v>62</v>
      </c>
      <c r="P5" s="33">
        <v>1313.6057037330625</v>
      </c>
      <c r="Q5" s="5">
        <v>18.919859097580588</v>
      </c>
      <c r="R5" s="5">
        <v>6236.5922794383287</v>
      </c>
      <c r="S5" s="35"/>
      <c r="T5" s="23">
        <v>1457919.263134094</v>
      </c>
      <c r="U5" s="33">
        <v>177.02135183300021</v>
      </c>
      <c r="V5" s="5">
        <v>9</v>
      </c>
      <c r="W5" s="5">
        <v>58</v>
      </c>
      <c r="X5" s="33">
        <v>1952.5841028844543</v>
      </c>
      <c r="Y5" s="5">
        <v>42.888706914313353</v>
      </c>
      <c r="Z5" s="5">
        <v>7563.8974856058758</v>
      </c>
      <c r="AA5" s="35"/>
    </row>
    <row r="6" spans="2:27" x14ac:dyDescent="0.2">
      <c r="B6" s="4">
        <v>3</v>
      </c>
      <c r="C6" s="4">
        <v>287</v>
      </c>
      <c r="D6" s="23">
        <v>1184078.340771093</v>
      </c>
      <c r="E6" s="33">
        <v>32.518646582997462</v>
      </c>
      <c r="F6" s="5">
        <v>10</v>
      </c>
      <c r="G6" s="23">
        <v>79</v>
      </c>
      <c r="H6" s="33">
        <v>1572.5520910846424</v>
      </c>
      <c r="I6" s="23">
        <v>30.708617840972938</v>
      </c>
      <c r="J6" s="5">
        <v>6650.1444631441127</v>
      </c>
      <c r="K6" s="31"/>
      <c r="L6" s="23">
        <v>1421089.014626289</v>
      </c>
      <c r="M6" s="33">
        <v>80.264395666999917</v>
      </c>
      <c r="N6" s="5">
        <v>14</v>
      </c>
      <c r="O6" s="5">
        <v>62</v>
      </c>
      <c r="P6" s="33">
        <v>1198.4307684408609</v>
      </c>
      <c r="Q6" s="5">
        <v>16.767769226724869</v>
      </c>
      <c r="R6" s="5">
        <v>5979.1951221747513</v>
      </c>
      <c r="S6" s="35"/>
      <c r="T6" s="23">
        <v>1459897.5711506989</v>
      </c>
      <c r="U6" s="33">
        <v>56.928238708998833</v>
      </c>
      <c r="V6" s="5">
        <v>8</v>
      </c>
      <c r="W6" s="5">
        <v>52</v>
      </c>
      <c r="X6" s="33">
        <v>1469.6100896563037</v>
      </c>
      <c r="Y6" s="5">
        <v>45.113227983516509</v>
      </c>
      <c r="Z6" s="5">
        <v>6993.7964573941763</v>
      </c>
      <c r="AA6" s="35"/>
    </row>
    <row r="7" spans="2:27" x14ac:dyDescent="0.2">
      <c r="B7" s="4">
        <v>4</v>
      </c>
      <c r="C7" s="4">
        <v>340</v>
      </c>
      <c r="D7" s="23">
        <v>1200092.402429994</v>
      </c>
      <c r="E7" s="33">
        <v>44.755356208996091</v>
      </c>
      <c r="F7" s="5">
        <v>10</v>
      </c>
      <c r="G7" s="23">
        <v>76</v>
      </c>
      <c r="H7" s="33">
        <v>1341.6497008026713</v>
      </c>
      <c r="I7" s="23">
        <v>28.841894780015377</v>
      </c>
      <c r="J7" s="5">
        <v>6599.515085514503</v>
      </c>
      <c r="K7" s="31"/>
      <c r="L7" s="23">
        <v>1444012.6526110971</v>
      </c>
      <c r="M7" s="33">
        <v>79.849741666999762</v>
      </c>
      <c r="N7" s="5">
        <v>12</v>
      </c>
      <c r="O7" s="5">
        <v>58</v>
      </c>
      <c r="P7" s="33">
        <v>1110.3720171826785</v>
      </c>
      <c r="Q7" s="5">
        <v>17.911501499466457</v>
      </c>
      <c r="R7" s="5">
        <v>6124.1515109083584</v>
      </c>
      <c r="S7" s="35"/>
      <c r="T7" s="23">
        <v>1506843.6368042559</v>
      </c>
      <c r="U7" s="33">
        <v>45.232882792000957</v>
      </c>
      <c r="V7" s="5">
        <v>8</v>
      </c>
      <c r="W7" s="5">
        <v>52</v>
      </c>
      <c r="X7" s="33">
        <v>1785.7488773470695</v>
      </c>
      <c r="Y7" s="5">
        <v>42.128192862500782</v>
      </c>
      <c r="Z7" s="5">
        <v>7400.7146880420396</v>
      </c>
      <c r="AA7" s="35"/>
    </row>
    <row r="8" spans="2:27" x14ac:dyDescent="0.2">
      <c r="B8" s="4">
        <v>5</v>
      </c>
      <c r="C8" s="4">
        <v>446</v>
      </c>
      <c r="D8" s="23">
        <v>1220109.7236680491</v>
      </c>
      <c r="E8" s="33">
        <v>52.402655375000897</v>
      </c>
      <c r="F8" s="5">
        <v>10</v>
      </c>
      <c r="G8" s="23">
        <v>76</v>
      </c>
      <c r="H8" s="33">
        <v>1443.3301740155634</v>
      </c>
      <c r="I8" s="23">
        <v>28.553720946246642</v>
      </c>
      <c r="J8" s="5">
        <v>6783.3357172532078</v>
      </c>
      <c r="K8" s="31"/>
      <c r="L8" s="23">
        <v>1460791.8020390179</v>
      </c>
      <c r="M8" s="33">
        <v>78.791513916999975</v>
      </c>
      <c r="N8" s="5">
        <v>12</v>
      </c>
      <c r="O8" s="5">
        <v>59</v>
      </c>
      <c r="P8" s="33">
        <v>1504.0438066384534</v>
      </c>
      <c r="Q8" s="5">
        <v>18.279666461416284</v>
      </c>
      <c r="R8" s="5">
        <v>6339.1830878695609</v>
      </c>
      <c r="S8" s="35"/>
      <c r="T8" s="23">
        <v>1457667.794258514</v>
      </c>
      <c r="U8" s="33">
        <v>70.399797125000987</v>
      </c>
      <c r="V8" s="5">
        <v>8</v>
      </c>
      <c r="W8" s="5">
        <v>53</v>
      </c>
      <c r="X8" s="33">
        <v>1527.8367352058981</v>
      </c>
      <c r="Y8" s="5">
        <v>45.045535908217779</v>
      </c>
      <c r="Z8" s="5">
        <v>7122.6651780730635</v>
      </c>
      <c r="AA8" s="35"/>
    </row>
    <row r="9" spans="2:27" x14ac:dyDescent="0.2">
      <c r="B9" s="4">
        <v>6</v>
      </c>
      <c r="C9" s="4">
        <v>693</v>
      </c>
      <c r="D9" s="23">
        <v>1182147.3116093341</v>
      </c>
      <c r="E9" s="33">
        <v>33.219170040996687</v>
      </c>
      <c r="F9" s="5">
        <v>10</v>
      </c>
      <c r="G9" s="23">
        <v>78</v>
      </c>
      <c r="H9" s="33">
        <v>1419.4999810827301</v>
      </c>
      <c r="I9" s="23">
        <v>30.062296812561573</v>
      </c>
      <c r="J9" s="5">
        <v>6548.2050678280129</v>
      </c>
      <c r="K9" s="31"/>
      <c r="L9" s="23">
        <v>1467701.380851947</v>
      </c>
      <c r="M9" s="33">
        <v>81.134289917001297</v>
      </c>
      <c r="N9" s="5">
        <v>12</v>
      </c>
      <c r="O9" s="5">
        <v>53</v>
      </c>
      <c r="P9" s="33">
        <v>668.32781688249895</v>
      </c>
      <c r="Q9" s="5">
        <v>15.758676014835174</v>
      </c>
      <c r="R9" s="5">
        <v>5531.7037919026852</v>
      </c>
      <c r="S9" s="35"/>
      <c r="T9" s="23">
        <v>1429337.9025358581</v>
      </c>
      <c r="U9" s="33">
        <v>62.276011500000102</v>
      </c>
      <c r="V9" s="5">
        <v>9</v>
      </c>
      <c r="W9" s="5">
        <v>57</v>
      </c>
      <c r="X9" s="33">
        <v>1681.1032211076238</v>
      </c>
      <c r="Y9" s="5">
        <v>43.173502410315741</v>
      </c>
      <c r="Z9" s="5">
        <v>7185.9610315214977</v>
      </c>
      <c r="AA9" s="35"/>
    </row>
    <row r="10" spans="2:27" x14ac:dyDescent="0.2">
      <c r="B10" s="4">
        <v>7</v>
      </c>
      <c r="C10" s="4">
        <v>781</v>
      </c>
      <c r="D10" s="23">
        <v>1213780.867069917</v>
      </c>
      <c r="E10" s="33">
        <v>30.670304207997109</v>
      </c>
      <c r="F10" s="5">
        <v>10</v>
      </c>
      <c r="G10" s="23">
        <v>78</v>
      </c>
      <c r="H10" s="33">
        <v>1530.6297377207475</v>
      </c>
      <c r="I10" s="23">
        <v>29.00719417890334</v>
      </c>
      <c r="J10" s="5">
        <v>6929.6959575195569</v>
      </c>
      <c r="K10" s="31"/>
      <c r="L10" s="23">
        <v>1464100.9385105821</v>
      </c>
      <c r="M10" s="33">
        <v>54.506350790999932</v>
      </c>
      <c r="N10" s="5">
        <v>15</v>
      </c>
      <c r="O10" s="5">
        <v>62</v>
      </c>
      <c r="P10" s="33">
        <v>1491.0558870436716</v>
      </c>
      <c r="Q10" s="5">
        <v>15.187772487885928</v>
      </c>
      <c r="R10" s="5">
        <v>6169.2261547544676</v>
      </c>
      <c r="S10" s="35"/>
      <c r="T10" s="23">
        <v>1480822.45130315</v>
      </c>
      <c r="U10" s="33">
        <v>55.209178708999389</v>
      </c>
      <c r="V10" s="5">
        <v>10</v>
      </c>
      <c r="W10" s="5">
        <v>55</v>
      </c>
      <c r="X10" s="33">
        <v>1743.6217627940739</v>
      </c>
      <c r="Y10" s="5">
        <v>40.789132553239313</v>
      </c>
      <c r="Z10" s="5">
        <v>7314.2699856985173</v>
      </c>
      <c r="AA10" s="35"/>
    </row>
    <row r="11" spans="2:27" x14ac:dyDescent="0.2">
      <c r="B11" s="4">
        <v>8</v>
      </c>
      <c r="C11" s="4">
        <v>911</v>
      </c>
      <c r="D11" s="23">
        <v>1250813.2109135161</v>
      </c>
      <c r="E11" s="33">
        <v>34.672818708000698</v>
      </c>
      <c r="F11" s="5">
        <v>10</v>
      </c>
      <c r="G11" s="23">
        <v>75</v>
      </c>
      <c r="H11" s="33">
        <v>1510.8079154151446</v>
      </c>
      <c r="I11" s="23">
        <v>28.117469526823896</v>
      </c>
      <c r="J11" s="5">
        <v>6971.2003220191773</v>
      </c>
      <c r="K11" s="31"/>
      <c r="L11" s="23">
        <v>1448569.8728735549</v>
      </c>
      <c r="M11" s="33">
        <v>57.139415124998777</v>
      </c>
      <c r="N11" s="5">
        <v>11</v>
      </c>
      <c r="O11" s="5">
        <v>56</v>
      </c>
      <c r="P11" s="33">
        <v>1054.9807597475533</v>
      </c>
      <c r="Q11" s="5">
        <v>18.078051303519945</v>
      </c>
      <c r="R11" s="5">
        <v>6015.2075972397115</v>
      </c>
      <c r="S11" s="35"/>
      <c r="T11" s="23">
        <v>1487006.31251094</v>
      </c>
      <c r="U11" s="33">
        <v>44.079275166999651</v>
      </c>
      <c r="V11" s="5">
        <v>8</v>
      </c>
      <c r="W11" s="5">
        <v>52</v>
      </c>
      <c r="X11" s="33">
        <v>1600.3220170965467</v>
      </c>
      <c r="Y11" s="5">
        <v>42.313401612792148</v>
      </c>
      <c r="Z11" s="5">
        <v>7193.482481597136</v>
      </c>
      <c r="AA11" s="35"/>
    </row>
    <row r="12" spans="2:27" x14ac:dyDescent="0.2">
      <c r="B12" s="4">
        <v>9</v>
      </c>
      <c r="C12" s="4">
        <v>941</v>
      </c>
      <c r="D12" s="23">
        <v>1202411.2106228869</v>
      </c>
      <c r="E12" s="33">
        <v>46.032994624998537</v>
      </c>
      <c r="F12" s="5">
        <v>10</v>
      </c>
      <c r="G12" s="23">
        <v>76</v>
      </c>
      <c r="H12" s="33">
        <v>1230.1851383062522</v>
      </c>
      <c r="I12" s="23">
        <v>29.111164232948937</v>
      </c>
      <c r="J12" s="5">
        <v>6632.3547652090701</v>
      </c>
      <c r="K12" s="31"/>
      <c r="L12" s="23">
        <v>1430162.9096790841</v>
      </c>
      <c r="M12" s="33">
        <v>68.400003958002344</v>
      </c>
      <c r="N12" s="5">
        <v>15</v>
      </c>
      <c r="O12" s="5">
        <v>67</v>
      </c>
      <c r="P12" s="33">
        <v>1645.1430388836307</v>
      </c>
      <c r="Q12" s="5">
        <v>16.146727940767008</v>
      </c>
      <c r="R12" s="5">
        <v>6399.6002907839738</v>
      </c>
      <c r="S12" s="35"/>
      <c r="T12" s="23">
        <v>1469993.462765058</v>
      </c>
      <c r="U12" s="33">
        <v>37.122451666000423</v>
      </c>
      <c r="V12" s="5">
        <v>8</v>
      </c>
      <c r="W12" s="5">
        <v>52</v>
      </c>
      <c r="X12" s="33">
        <v>1547.4593784219999</v>
      </c>
      <c r="Y12" s="5">
        <v>42.862227387968197</v>
      </c>
      <c r="Z12" s="5">
        <v>7064.155007383577</v>
      </c>
      <c r="AA12" s="35"/>
    </row>
    <row r="13" spans="2:27" x14ac:dyDescent="0.2">
      <c r="B13" s="4">
        <v>10</v>
      </c>
      <c r="C13" s="4">
        <v>990</v>
      </c>
      <c r="D13" s="23">
        <v>1200092.402429994</v>
      </c>
      <c r="E13" s="33">
        <v>35.263745207994361</v>
      </c>
      <c r="F13" s="5">
        <v>10</v>
      </c>
      <c r="G13" s="23">
        <v>76</v>
      </c>
      <c r="H13" s="33">
        <v>1341.6497008026713</v>
      </c>
      <c r="I13" s="23">
        <v>28.841894780015377</v>
      </c>
      <c r="J13" s="5">
        <v>6599.515085514503</v>
      </c>
      <c r="K13" s="31"/>
      <c r="L13" s="23">
        <v>1475024.7472487041</v>
      </c>
      <c r="M13" s="33">
        <v>73.491773833000479</v>
      </c>
      <c r="N13" s="5">
        <v>12</v>
      </c>
      <c r="O13" s="5">
        <v>56</v>
      </c>
      <c r="P13" s="33">
        <v>1387.0742794549872</v>
      </c>
      <c r="Q13" s="5">
        <v>16.990533479139906</v>
      </c>
      <c r="R13" s="5">
        <v>5955.7496425194558</v>
      </c>
      <c r="S13" s="35"/>
      <c r="T13" s="23">
        <v>1504688.388366414</v>
      </c>
      <c r="U13" s="33">
        <v>41.782200290999747</v>
      </c>
      <c r="V13" s="5">
        <v>8</v>
      </c>
      <c r="W13" s="5">
        <v>51</v>
      </c>
      <c r="X13" s="33">
        <v>1807.1244842736064</v>
      </c>
      <c r="Y13" s="5">
        <v>43.895172697123762</v>
      </c>
      <c r="Z13" s="5">
        <v>7392.6657685850414</v>
      </c>
      <c r="AA13" s="35"/>
    </row>
    <row r="14" spans="2:27" x14ac:dyDescent="0.2">
      <c r="B14" s="47" t="s">
        <v>3</v>
      </c>
      <c r="C14" s="48"/>
      <c r="D14" s="9">
        <f>MIN(D4:D13)</f>
        <v>1182147.3116093341</v>
      </c>
      <c r="E14" s="22">
        <f>INDEX(E4:E13, MATCH($D$14, D4:D13, 0))</f>
        <v>33.219170040996687</v>
      </c>
      <c r="F14" s="9">
        <f>INDEX(F4:F13, MATCH($D$14, D4:D13, 0))</f>
        <v>10</v>
      </c>
      <c r="G14" s="9">
        <f>INDEX(G4:G13, MATCH($D$14, D4:D13, 0))</f>
        <v>78</v>
      </c>
      <c r="H14" s="22">
        <f>INDEX(H4:H13, MATCH($D$14, D4:D13, 0))</f>
        <v>1419.4999810827301</v>
      </c>
      <c r="I14" s="22">
        <f>INDEX(I4:I13, MATCH($D$14, D4:D13, 0))</f>
        <v>30.062296812561573</v>
      </c>
      <c r="J14" s="22">
        <f>INDEX(J4:J13, MATCH($D$14, D4:D13, 0))</f>
        <v>6548.2050678280129</v>
      </c>
      <c r="K14" s="32" t="e">
        <f>(D14-$D$15)/$D$15</f>
        <v>#DIV/0!</v>
      </c>
      <c r="L14" s="16">
        <f>MIN(L4:L13)</f>
        <v>1408772.0008988739</v>
      </c>
      <c r="M14" s="21">
        <f>INDEX(M4:M13, MATCH($L$14, L4:L13, 0))</f>
        <v>58.910917917000923</v>
      </c>
      <c r="N14" s="16">
        <f>INDEX(N4:N13, MATCH($L$14, L4:L13, 0))</f>
        <v>12</v>
      </c>
      <c r="O14" s="16">
        <f>INDEX(O4:O13, MATCH($L$14, L4:L13, 0))</f>
        <v>62</v>
      </c>
      <c r="P14" s="21">
        <f>INDEX(P4:P13, MATCH($L$14, L4:L13, 0))</f>
        <v>1313.6057037330625</v>
      </c>
      <c r="Q14" s="21">
        <f>INDEX(Q4:Q13, MATCH($L$14, L4:L13, 0))</f>
        <v>18.919859097580588</v>
      </c>
      <c r="R14" s="21">
        <f>INDEX(R4:R13, MATCH($L$14, L4:L13, 0))</f>
        <v>6236.5922794383287</v>
      </c>
      <c r="S14" s="36" t="e">
        <f>(L14-$D$15)/$D$15</f>
        <v>#DIV/0!</v>
      </c>
      <c r="T14" s="38">
        <f>MIN(T4:T13)</f>
        <v>1429337.9025358581</v>
      </c>
      <c r="U14" s="39">
        <f>INDEX(U4:U13, MATCH($T$14, T4:T13, 0))</f>
        <v>62.276011500000102</v>
      </c>
      <c r="V14" s="38">
        <f>INDEX(V4:V13, MATCH($T$14, T4:T13, 0))</f>
        <v>9</v>
      </c>
      <c r="W14" s="38">
        <f>INDEX(W4:W13, MATCH($T$14, T4:T13, 0))</f>
        <v>57</v>
      </c>
      <c r="X14" s="39">
        <f>INDEX(X4:X13, MATCH($T$14, T4:T13, 0))</f>
        <v>1681.1032211076238</v>
      </c>
      <c r="Y14" s="39">
        <f>INDEX(Y4:Y13, MATCH($T$14, T4:T13, 0))</f>
        <v>43.173502410315741</v>
      </c>
      <c r="Z14" s="39">
        <f>INDEX(Z4:Z13, MATCH($T$14, T4:T13, 0))</f>
        <v>7185.9610315214977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0.19170596343108956</v>
      </c>
      <c r="M15" s="46">
        <f t="shared" ref="M15:R15" si="0">(M14-E14)/E14</f>
        <v>0.77340125729503018</v>
      </c>
      <c r="N15" s="46">
        <f t="shared" si="0"/>
        <v>0.2</v>
      </c>
      <c r="O15" s="46">
        <f t="shared" si="0"/>
        <v>-0.20512820512820512</v>
      </c>
      <c r="P15" s="46">
        <f t="shared" si="0"/>
        <v>-7.4599703248249619E-2</v>
      </c>
      <c r="Q15" s="46">
        <f t="shared" si="0"/>
        <v>-0.37064492392095277</v>
      </c>
      <c r="R15" s="46">
        <f t="shared" si="0"/>
        <v>-4.7587512175003364E-2</v>
      </c>
      <c r="T15" s="46">
        <f>(T14-D14)/D14</f>
        <v>0.20910303521310503</v>
      </c>
      <c r="U15" s="46">
        <f t="shared" ref="U15:Z15" si="1">(U14-E14)/E14</f>
        <v>0.87470100617033997</v>
      </c>
      <c r="V15" s="46">
        <f t="shared" si="1"/>
        <v>-0.1</v>
      </c>
      <c r="W15" s="46">
        <f t="shared" si="1"/>
        <v>-0.26923076923076922</v>
      </c>
      <c r="X15" s="46">
        <f t="shared" si="1"/>
        <v>0.18429252801071166</v>
      </c>
      <c r="Y15" s="46">
        <f t="shared" si="1"/>
        <v>0.43613452689601656</v>
      </c>
      <c r="Z15" s="46">
        <f t="shared" si="1"/>
        <v>9.7394012112852674E-2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49" priority="5"/>
    <cfRule type="duplicateValues" dxfId="48" priority="6"/>
  </conditionalFormatting>
  <conditionalFormatting sqref="C14">
    <cfRule type="duplicateValues" dxfId="47" priority="3"/>
    <cfRule type="duplicateValues" dxfId="46" priority="4"/>
  </conditionalFormatting>
  <conditionalFormatting sqref="C15">
    <cfRule type="duplicateValues" dxfId="45" priority="1"/>
    <cfRule type="duplicateValues" dxfId="4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CAC3-00D7-814A-A5CC-0C659F06E1CB}">
  <sheetPr codeName="Sheet11"/>
  <dimension ref="B1:AA17"/>
  <sheetViews>
    <sheetView zoomScale="118" zoomScaleNormal="120" workbookViewId="0">
      <selection activeCell="A18" sqref="A18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-0.97802574182692381</v>
      </c>
      <c r="J2" s="28" t="e">
        <f>(S14-J14)/J14</f>
        <v>#DIV/0!</v>
      </c>
      <c r="K2" s="28"/>
      <c r="L2" s="1" t="s">
        <v>19</v>
      </c>
      <c r="P2" s="1">
        <f>(P14-H14)/H14</f>
        <v>4.9225055430622632E-2</v>
      </c>
      <c r="R2" s="1">
        <f>(R14-J14)/J14</f>
        <v>-1.6398239123545946E-2</v>
      </c>
      <c r="T2" s="1" t="s">
        <v>20</v>
      </c>
      <c r="X2" s="1">
        <f>(X14-P14)/P14</f>
        <v>0.54493436649638272</v>
      </c>
      <c r="Z2" s="1">
        <f>(Z14-R14)/R14</f>
        <v>0.1597717350037263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130</v>
      </c>
      <c r="D4" s="23">
        <v>977081.33161818748</v>
      </c>
      <c r="E4" s="33">
        <v>51.409541333996458</v>
      </c>
      <c r="F4" s="5">
        <v>12</v>
      </c>
      <c r="G4" s="23">
        <v>91</v>
      </c>
      <c r="H4" s="33">
        <v>1085.1148505218794</v>
      </c>
      <c r="I4" s="23">
        <v>31.178883602023813</v>
      </c>
      <c r="J4" s="5">
        <v>5921.1631206503771</v>
      </c>
      <c r="K4" s="31"/>
      <c r="L4" s="23">
        <v>1175734.297423769</v>
      </c>
      <c r="M4" s="33">
        <v>99.182853542000885</v>
      </c>
      <c r="N4" s="5">
        <v>17</v>
      </c>
      <c r="O4" s="5">
        <v>83</v>
      </c>
      <c r="P4" s="33">
        <v>1136.8773804660436</v>
      </c>
      <c r="Q4" s="5">
        <v>18.675827671491234</v>
      </c>
      <c r="R4" s="5">
        <v>5780.8830872245035</v>
      </c>
      <c r="S4" s="35"/>
      <c r="T4" s="23">
        <v>1203637.8613728089</v>
      </c>
      <c r="U4" s="33">
        <v>40.041743499999939</v>
      </c>
      <c r="V4" s="5">
        <v>9</v>
      </c>
      <c r="W4" s="5">
        <v>72</v>
      </c>
      <c r="X4" s="33">
        <v>1330.032086952041</v>
      </c>
      <c r="Y4" s="5">
        <v>48.505304836735206</v>
      </c>
      <c r="Z4" s="5">
        <v>6361.308363303905</v>
      </c>
      <c r="AA4" s="35"/>
    </row>
    <row r="5" spans="2:27" x14ac:dyDescent="0.2">
      <c r="B5" s="4">
        <v>2</v>
      </c>
      <c r="C5" s="4">
        <v>376</v>
      </c>
      <c r="D5" s="23">
        <v>937589.9401539641</v>
      </c>
      <c r="E5" s="33">
        <v>32.334322209004313</v>
      </c>
      <c r="F5" s="5">
        <v>10</v>
      </c>
      <c r="G5" s="23">
        <v>90</v>
      </c>
      <c r="H5" s="33">
        <v>1009.1175834610156</v>
      </c>
      <c r="I5" s="23">
        <v>36.315064121539933</v>
      </c>
      <c r="J5" s="5">
        <v>5747.8964833939845</v>
      </c>
      <c r="K5" s="31"/>
      <c r="L5" s="23">
        <v>1175916.226611783</v>
      </c>
      <c r="M5" s="33">
        <v>66.473547958001291</v>
      </c>
      <c r="N5" s="5">
        <v>17</v>
      </c>
      <c r="O5" s="5">
        <v>82</v>
      </c>
      <c r="P5" s="33">
        <v>1052.8120890404102</v>
      </c>
      <c r="Q5" s="5">
        <v>18.52439620695279</v>
      </c>
      <c r="R5" s="5">
        <v>5651.9925769363881</v>
      </c>
      <c r="S5" s="35"/>
      <c r="T5" s="23">
        <v>1182166.780414412</v>
      </c>
      <c r="U5" s="33">
        <v>48.831057000001238</v>
      </c>
      <c r="V5" s="5">
        <v>10</v>
      </c>
      <c r="W5" s="5">
        <v>77</v>
      </c>
      <c r="X5" s="33">
        <v>1532.7372409099989</v>
      </c>
      <c r="Y5" s="5">
        <v>46.769730278898678</v>
      </c>
      <c r="Z5" s="5">
        <v>6559.8567144231483</v>
      </c>
      <c r="AA5" s="35"/>
    </row>
    <row r="6" spans="2:27" x14ac:dyDescent="0.2">
      <c r="B6" s="4">
        <v>3</v>
      </c>
      <c r="C6" s="4">
        <v>449</v>
      </c>
      <c r="D6" s="23">
        <v>959093.14645364531</v>
      </c>
      <c r="E6" s="33">
        <v>52.997715375000553</v>
      </c>
      <c r="F6" s="5">
        <v>10</v>
      </c>
      <c r="G6" s="23">
        <v>89</v>
      </c>
      <c r="H6" s="33">
        <v>905.48236537306002</v>
      </c>
      <c r="I6" s="23">
        <v>35.956048965062251</v>
      </c>
      <c r="J6" s="5">
        <v>5910.8165014738834</v>
      </c>
      <c r="K6" s="31"/>
      <c r="L6" s="23">
        <v>1149493.0842332081</v>
      </c>
      <c r="M6" s="33">
        <v>55.247983916999146</v>
      </c>
      <c r="N6" s="5">
        <v>16</v>
      </c>
      <c r="O6" s="5">
        <v>82</v>
      </c>
      <c r="P6" s="33">
        <v>1027.1870531537043</v>
      </c>
      <c r="Q6" s="5">
        <v>19.751719710274472</v>
      </c>
      <c r="R6" s="5">
        <v>5624.7679491604858</v>
      </c>
      <c r="S6" s="35"/>
      <c r="T6" s="23">
        <v>1237429.756920303</v>
      </c>
      <c r="U6" s="33">
        <v>55.120829292000053</v>
      </c>
      <c r="V6" s="5">
        <v>10</v>
      </c>
      <c r="W6" s="5">
        <v>72</v>
      </c>
      <c r="X6" s="33">
        <v>1440.7337465491405</v>
      </c>
      <c r="Y6" s="5">
        <v>43.240179663794997</v>
      </c>
      <c r="Z6" s="5">
        <v>6534.2952128144098</v>
      </c>
      <c r="AA6" s="35"/>
    </row>
    <row r="7" spans="2:27" x14ac:dyDescent="0.2">
      <c r="B7" s="4">
        <v>4</v>
      </c>
      <c r="C7" s="4">
        <v>451</v>
      </c>
      <c r="D7" s="23">
        <v>937589.9401539641</v>
      </c>
      <c r="E7" s="33">
        <v>35.419632999997702</v>
      </c>
      <c r="F7" s="5">
        <v>10</v>
      </c>
      <c r="G7" s="23">
        <v>90</v>
      </c>
      <c r="H7" s="33">
        <v>1009.1175834610156</v>
      </c>
      <c r="I7" s="23">
        <v>36.315064121539933</v>
      </c>
      <c r="J7" s="5">
        <v>5747.8964833939845</v>
      </c>
      <c r="K7" s="31"/>
      <c r="L7" s="23">
        <v>1166212.6703310311</v>
      </c>
      <c r="M7" s="33">
        <v>79.70812316699994</v>
      </c>
      <c r="N7" s="5">
        <v>18</v>
      </c>
      <c r="O7" s="5">
        <v>85</v>
      </c>
      <c r="P7" s="33">
        <v>1164.6570752137543</v>
      </c>
      <c r="Q7" s="5">
        <v>18.623311226776949</v>
      </c>
      <c r="R7" s="5">
        <v>5755.7829307608745</v>
      </c>
      <c r="S7" s="35"/>
      <c r="T7" s="23">
        <v>1181487.9490712101</v>
      </c>
      <c r="U7" s="33">
        <v>74.299920207999094</v>
      </c>
      <c r="V7" s="5">
        <v>10</v>
      </c>
      <c r="W7" s="5">
        <v>76</v>
      </c>
      <c r="X7" s="33">
        <v>1476.9665090003532</v>
      </c>
      <c r="Y7" s="5">
        <v>45.984519878233911</v>
      </c>
      <c r="Z7" s="5">
        <v>6433.0659361537955</v>
      </c>
      <c r="AA7" s="35"/>
    </row>
    <row r="8" spans="2:27" x14ac:dyDescent="0.2">
      <c r="B8" s="4">
        <v>5</v>
      </c>
      <c r="C8" s="4">
        <v>481</v>
      </c>
      <c r="D8" s="23">
        <v>936723.75964454783</v>
      </c>
      <c r="E8" s="33">
        <v>50.169374250006513</v>
      </c>
      <c r="F8" s="5">
        <v>10</v>
      </c>
      <c r="G8" s="23">
        <v>89</v>
      </c>
      <c r="H8" s="33">
        <v>911.1543661276462</v>
      </c>
      <c r="I8" s="23">
        <v>35.881151332891434</v>
      </c>
      <c r="J8" s="5">
        <v>5639.3128042621111</v>
      </c>
      <c r="K8" s="31"/>
      <c r="L8" s="23">
        <v>1164215.656976613</v>
      </c>
      <c r="M8" s="33">
        <v>59.973804458999439</v>
      </c>
      <c r="N8" s="5">
        <v>17</v>
      </c>
      <c r="O8" s="5">
        <v>85</v>
      </c>
      <c r="P8" s="33">
        <v>1257.859987275308</v>
      </c>
      <c r="Q8" s="5">
        <v>19.798045097222968</v>
      </c>
      <c r="R8" s="5">
        <v>5955.3170855890285</v>
      </c>
      <c r="S8" s="35"/>
      <c r="T8" s="23">
        <v>1208250.694301984</v>
      </c>
      <c r="U8" s="33">
        <v>35.859621166999197</v>
      </c>
      <c r="V8" s="5">
        <v>10</v>
      </c>
      <c r="W8" s="5">
        <v>75</v>
      </c>
      <c r="X8" s="33">
        <v>1452.0481132729062</v>
      </c>
      <c r="Y8" s="5">
        <v>45.221749028351461</v>
      </c>
      <c r="Z8" s="5">
        <v>6599.4030481996851</v>
      </c>
      <c r="AA8" s="35"/>
    </row>
    <row r="9" spans="2:27" x14ac:dyDescent="0.2">
      <c r="B9" s="4">
        <v>6</v>
      </c>
      <c r="C9" s="4">
        <v>610</v>
      </c>
      <c r="D9" s="23">
        <v>959093.14645364531</v>
      </c>
      <c r="E9" s="33">
        <v>40.331224958004903</v>
      </c>
      <c r="F9" s="5">
        <v>10</v>
      </c>
      <c r="G9" s="23">
        <v>89</v>
      </c>
      <c r="H9" s="33">
        <v>905.48236537306002</v>
      </c>
      <c r="I9" s="23">
        <v>35.956048965062251</v>
      </c>
      <c r="J9" s="5">
        <v>5910.8165014738834</v>
      </c>
      <c r="K9" s="31"/>
      <c r="L9" s="23">
        <v>1172396.7771705289</v>
      </c>
      <c r="M9" s="33">
        <v>53.143562209001168</v>
      </c>
      <c r="N9" s="5">
        <v>17</v>
      </c>
      <c r="O9" s="5">
        <v>83</v>
      </c>
      <c r="P9" s="33">
        <v>1097.4728270291598</v>
      </c>
      <c r="Q9" s="5">
        <v>18.954271200812034</v>
      </c>
      <c r="R9" s="5">
        <v>5681.6224372505058</v>
      </c>
      <c r="S9" s="35"/>
      <c r="T9" s="23">
        <v>1237721.7662489519</v>
      </c>
      <c r="U9" s="33">
        <v>68.763008291998631</v>
      </c>
      <c r="V9" s="5">
        <v>9</v>
      </c>
      <c r="W9" s="5">
        <v>71</v>
      </c>
      <c r="X9" s="33">
        <v>1456.8838238687454</v>
      </c>
      <c r="Y9" s="5">
        <v>46.982105162062794</v>
      </c>
      <c r="Z9" s="5">
        <v>6568.4732924430791</v>
      </c>
      <c r="AA9" s="35"/>
    </row>
    <row r="10" spans="2:27" x14ac:dyDescent="0.2">
      <c r="B10" s="4">
        <v>7</v>
      </c>
      <c r="C10" s="4">
        <v>619</v>
      </c>
      <c r="D10" s="23">
        <v>940538.0160899898</v>
      </c>
      <c r="E10" s="33">
        <v>32.439064917001822</v>
      </c>
      <c r="F10" s="5">
        <v>11</v>
      </c>
      <c r="G10" s="23">
        <v>90</v>
      </c>
      <c r="H10" s="33">
        <v>937.78238884180735</v>
      </c>
      <c r="I10" s="23">
        <v>33.402505613761399</v>
      </c>
      <c r="J10" s="5">
        <v>5647.659042608866</v>
      </c>
      <c r="K10" s="31"/>
      <c r="L10" s="23">
        <v>1143396.9405365521</v>
      </c>
      <c r="M10" s="33">
        <v>93.459846834000928</v>
      </c>
      <c r="N10" s="5">
        <v>18</v>
      </c>
      <c r="O10" s="5">
        <v>85</v>
      </c>
      <c r="P10" s="33">
        <v>983.06916481188421</v>
      </c>
      <c r="Q10" s="5">
        <v>18.591098899714236</v>
      </c>
      <c r="R10" s="5">
        <v>5589.8078545332801</v>
      </c>
      <c r="S10" s="35"/>
      <c r="T10" s="23">
        <v>1220616.108746835</v>
      </c>
      <c r="U10" s="33">
        <v>40.976750208999867</v>
      </c>
      <c r="V10" s="5">
        <v>10</v>
      </c>
      <c r="W10" s="5">
        <v>75</v>
      </c>
      <c r="X10" s="33">
        <v>1583.4468172201932</v>
      </c>
      <c r="Y10" s="5">
        <v>45.864963741863299</v>
      </c>
      <c r="Z10" s="5">
        <v>6727.3137789458715</v>
      </c>
      <c r="AA10" s="35"/>
    </row>
    <row r="11" spans="2:27" x14ac:dyDescent="0.2">
      <c r="B11" s="4">
        <v>8</v>
      </c>
      <c r="C11" s="4">
        <v>845</v>
      </c>
      <c r="D11" s="23">
        <v>959093.14645364531</v>
      </c>
      <c r="E11" s="33">
        <v>35.332880332993227</v>
      </c>
      <c r="F11" s="5">
        <v>10</v>
      </c>
      <c r="G11" s="23">
        <v>89</v>
      </c>
      <c r="H11" s="33">
        <v>905.48236537306002</v>
      </c>
      <c r="I11" s="23">
        <v>35.956048965062251</v>
      </c>
      <c r="J11" s="5">
        <v>5910.8165014738834</v>
      </c>
      <c r="K11" s="31"/>
      <c r="L11" s="23">
        <v>1137541.335427403</v>
      </c>
      <c r="M11" s="33">
        <v>50.048030375000963</v>
      </c>
      <c r="N11" s="5">
        <v>16</v>
      </c>
      <c r="O11" s="5">
        <v>82</v>
      </c>
      <c r="P11" s="33">
        <v>956.00599030613341</v>
      </c>
      <c r="Q11" s="5">
        <v>20.021941276814491</v>
      </c>
      <c r="R11" s="5">
        <v>5546.8380044053465</v>
      </c>
      <c r="S11" s="35"/>
      <c r="T11" s="23">
        <v>1204379.386857332</v>
      </c>
      <c r="U11" s="33">
        <v>33.349445208999903</v>
      </c>
      <c r="V11" s="5">
        <v>9</v>
      </c>
      <c r="W11" s="5">
        <v>71</v>
      </c>
      <c r="X11" s="33">
        <v>1210.5002054190472</v>
      </c>
      <c r="Y11" s="5">
        <v>47.711890723856953</v>
      </c>
      <c r="Z11" s="5">
        <v>6251.9558699949202</v>
      </c>
      <c r="AA11" s="35"/>
    </row>
    <row r="12" spans="2:27" x14ac:dyDescent="0.2">
      <c r="B12" s="4">
        <v>9</v>
      </c>
      <c r="C12" s="4">
        <v>925</v>
      </c>
      <c r="D12" s="23">
        <v>959093.14645364531</v>
      </c>
      <c r="E12" s="33">
        <v>31.796300375004648</v>
      </c>
      <c r="F12" s="5">
        <v>10</v>
      </c>
      <c r="G12" s="23">
        <v>89</v>
      </c>
      <c r="H12" s="33">
        <v>905.48236537306002</v>
      </c>
      <c r="I12" s="23">
        <v>35.956048965062251</v>
      </c>
      <c r="J12" s="5">
        <v>5910.8165014738834</v>
      </c>
      <c r="K12" s="31"/>
      <c r="L12" s="23">
        <v>1172010.720819789</v>
      </c>
      <c r="M12" s="33">
        <v>77.111722416997509</v>
      </c>
      <c r="N12" s="5">
        <v>19</v>
      </c>
      <c r="O12" s="5">
        <v>86</v>
      </c>
      <c r="P12" s="33">
        <v>1175.3452180634458</v>
      </c>
      <c r="Q12" s="5">
        <v>18.147395046957342</v>
      </c>
      <c r="R12" s="5">
        <v>5799.241451387039</v>
      </c>
      <c r="S12" s="35"/>
      <c r="T12" s="23">
        <v>1237429.756920303</v>
      </c>
      <c r="U12" s="33">
        <v>63.156585332999377</v>
      </c>
      <c r="V12" s="5">
        <v>10</v>
      </c>
      <c r="W12" s="5">
        <v>72</v>
      </c>
      <c r="X12" s="33">
        <v>1440.7337465491405</v>
      </c>
      <c r="Y12" s="5">
        <v>43.240179663794997</v>
      </c>
      <c r="Z12" s="5">
        <v>6534.2952128144098</v>
      </c>
      <c r="AA12" s="35"/>
    </row>
    <row r="13" spans="2:27" x14ac:dyDescent="0.2">
      <c r="B13" s="4">
        <v>10</v>
      </c>
      <c r="C13" s="4">
        <v>930</v>
      </c>
      <c r="D13" s="23">
        <v>959093.14645364531</v>
      </c>
      <c r="E13" s="33">
        <v>52.679623583004293</v>
      </c>
      <c r="F13" s="5">
        <v>10</v>
      </c>
      <c r="G13" s="23">
        <v>89</v>
      </c>
      <c r="H13" s="33">
        <v>905.48236537306002</v>
      </c>
      <c r="I13" s="23">
        <v>35.956048965062251</v>
      </c>
      <c r="J13" s="5">
        <v>5910.8165014738834</v>
      </c>
      <c r="K13" s="31"/>
      <c r="L13" s="23">
        <v>1191905.0164622921</v>
      </c>
      <c r="M13" s="33">
        <v>42.800621041998973</v>
      </c>
      <c r="N13" s="5">
        <v>16</v>
      </c>
      <c r="O13" s="5">
        <v>82</v>
      </c>
      <c r="P13" s="33">
        <v>1241.9427301828314</v>
      </c>
      <c r="Q13" s="5">
        <v>19.72534350477984</v>
      </c>
      <c r="R13" s="5">
        <v>5911.9242659780321</v>
      </c>
      <c r="S13" s="35"/>
      <c r="T13" s="23">
        <v>1181487.9490712101</v>
      </c>
      <c r="U13" s="33">
        <v>51.111024625000937</v>
      </c>
      <c r="V13" s="5">
        <v>10</v>
      </c>
      <c r="W13" s="5">
        <v>76</v>
      </c>
      <c r="X13" s="33">
        <v>1476.9665090003532</v>
      </c>
      <c r="Y13" s="5">
        <v>45.984519878233911</v>
      </c>
      <c r="Z13" s="5">
        <v>6433.0659361537955</v>
      </c>
      <c r="AA13" s="35"/>
    </row>
    <row r="14" spans="2:27" x14ac:dyDescent="0.2">
      <c r="B14" s="47" t="s">
        <v>3</v>
      </c>
      <c r="C14" s="48"/>
      <c r="D14" s="9">
        <f>MIN(D4:D13)</f>
        <v>936723.75964454783</v>
      </c>
      <c r="E14" s="22">
        <f>INDEX(E4:E13, MATCH($D$14, D4:D13, 0))</f>
        <v>50.169374250006513</v>
      </c>
      <c r="F14" s="9">
        <f>INDEX(F4:F13, MATCH($D$14, D4:D13, 0))</f>
        <v>10</v>
      </c>
      <c r="G14" s="9">
        <f>INDEX(G4:G13, MATCH($D$14, D4:D13, 0))</f>
        <v>89</v>
      </c>
      <c r="H14" s="22">
        <f>INDEX(H4:H13, MATCH($D$14, D4:D13, 0))</f>
        <v>911.1543661276462</v>
      </c>
      <c r="I14" s="22">
        <f>INDEX(I4:I13, MATCH($D$14, D4:D13, 0))</f>
        <v>35.881151332891434</v>
      </c>
      <c r="J14" s="22">
        <f>INDEX(J4:J13, MATCH($D$14, D4:D13, 0))</f>
        <v>5639.3128042621111</v>
      </c>
      <c r="K14" s="32" t="e">
        <f>(D14-$D$15)/$D$15</f>
        <v>#DIV/0!</v>
      </c>
      <c r="L14" s="16">
        <f>MIN(L4:L13)</f>
        <v>1137541.335427403</v>
      </c>
      <c r="M14" s="21">
        <f>INDEX(M4:M13, MATCH($L$14, L4:L13, 0))</f>
        <v>50.048030375000963</v>
      </c>
      <c r="N14" s="16">
        <f>INDEX(N4:N13, MATCH($L$14, L4:L13, 0))</f>
        <v>16</v>
      </c>
      <c r="O14" s="16">
        <f>INDEX(O4:O13, MATCH($L$14, L4:L13, 0))</f>
        <v>82</v>
      </c>
      <c r="P14" s="21">
        <f>INDEX(P4:P13, MATCH($L$14, L4:L13, 0))</f>
        <v>956.00599030613341</v>
      </c>
      <c r="Q14" s="21">
        <f>INDEX(Q4:Q13, MATCH($L$14, L4:L13, 0))</f>
        <v>20.021941276814491</v>
      </c>
      <c r="R14" s="21">
        <f>INDEX(R4:R13, MATCH($L$14, L4:L13, 0))</f>
        <v>5546.8380044053465</v>
      </c>
      <c r="S14" s="36" t="e">
        <f>(L14-$D$15)/$D$15</f>
        <v>#DIV/0!</v>
      </c>
      <c r="T14" s="38">
        <f>MIN(T4:T13)</f>
        <v>1181487.9490712101</v>
      </c>
      <c r="U14" s="39">
        <f>INDEX(U4:U13, MATCH($T$14, T4:T13, 0))</f>
        <v>74.299920207999094</v>
      </c>
      <c r="V14" s="38">
        <f>INDEX(V4:V13, MATCH($T$14, T4:T13, 0))</f>
        <v>10</v>
      </c>
      <c r="W14" s="38">
        <f>INDEX(W4:W13, MATCH($T$14, T4:T13, 0))</f>
        <v>76</v>
      </c>
      <c r="X14" s="39">
        <f>INDEX(X4:X13, MATCH($T$14, T4:T13, 0))</f>
        <v>1476.9665090003532</v>
      </c>
      <c r="Y14" s="39">
        <f>INDEX(Y4:Y13, MATCH($T$14, T4:T13, 0))</f>
        <v>45.984519878233911</v>
      </c>
      <c r="Z14" s="39">
        <f>INDEX(Z4:Z13, MATCH($T$14, T4:T13, 0))</f>
        <v>6433.0659361537955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0.21438292102151657</v>
      </c>
      <c r="M15" s="46">
        <f t="shared" ref="M15:R15" si="0">(M14-E14)/E14</f>
        <v>-2.4186842435160423E-3</v>
      </c>
      <c r="N15" s="46">
        <f t="shared" si="0"/>
        <v>0.6</v>
      </c>
      <c r="O15" s="46">
        <f t="shared" si="0"/>
        <v>-7.8651685393258425E-2</v>
      </c>
      <c r="P15" s="46">
        <f t="shared" si="0"/>
        <v>4.9225055430622632E-2</v>
      </c>
      <c r="Q15" s="46">
        <f t="shared" si="0"/>
        <v>-0.44199278637804373</v>
      </c>
      <c r="R15" s="46">
        <f t="shared" si="0"/>
        <v>-1.6398239123545946E-2</v>
      </c>
      <c r="T15" s="46">
        <f>(T14-D14)/D14</f>
        <v>0.26129815423870673</v>
      </c>
      <c r="U15" s="46">
        <f t="shared" ref="U15:Z15" si="1">(U14-E14)/E14</f>
        <v>0.48098160120044647</v>
      </c>
      <c r="V15" s="46">
        <f t="shared" si="1"/>
        <v>0</v>
      </c>
      <c r="W15" s="46">
        <f t="shared" si="1"/>
        <v>-0.14606741573033707</v>
      </c>
      <c r="X15" s="46">
        <f t="shared" si="1"/>
        <v>0.62098384632384096</v>
      </c>
      <c r="Y15" s="46">
        <f t="shared" si="1"/>
        <v>0.28157871668072559</v>
      </c>
      <c r="Z15" s="46">
        <f t="shared" si="1"/>
        <v>0.14075352076440542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43" priority="5"/>
    <cfRule type="duplicateValues" dxfId="42" priority="6"/>
  </conditionalFormatting>
  <conditionalFormatting sqref="C14">
    <cfRule type="duplicateValues" dxfId="41" priority="3"/>
    <cfRule type="duplicateValues" dxfId="40" priority="4"/>
  </conditionalFormatting>
  <conditionalFormatting sqref="C15">
    <cfRule type="duplicateValues" dxfId="39" priority="1"/>
    <cfRule type="duplicateValues" dxfId="38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83D2-737E-2C44-AB4B-77B9F8EBDADC}">
  <sheetPr codeName="Sheet12"/>
  <dimension ref="B1:AA17"/>
  <sheetViews>
    <sheetView zoomScale="118" zoomScaleNormal="120" workbookViewId="0">
      <selection activeCell="A17" sqref="A17:XFD2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-0.98934655823672835</v>
      </c>
      <c r="J2" s="28" t="e">
        <f>(S14-J14)/J14</f>
        <v>#DIV/0!</v>
      </c>
      <c r="K2" s="28"/>
      <c r="L2" s="1" t="s">
        <v>19</v>
      </c>
      <c r="P2" s="1">
        <f>(P14-H14)/H14</f>
        <v>-0.17786709016717575</v>
      </c>
      <c r="R2" s="1">
        <f>(R14-J14)/J14</f>
        <v>-0.10654417124940038</v>
      </c>
      <c r="T2" s="1" t="s">
        <v>20</v>
      </c>
      <c r="X2" s="1">
        <f>(X14-P14)/P14</f>
        <v>8.6612526995960656E-2</v>
      </c>
      <c r="Z2" s="1">
        <f>(Z14-R14)/R14</f>
        <v>0.10401667949515504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213</v>
      </c>
      <c r="D4" s="23">
        <v>1117784.310130381</v>
      </c>
      <c r="E4" s="33">
        <v>102.558577374999</v>
      </c>
      <c r="F4" s="5">
        <v>10</v>
      </c>
      <c r="G4" s="23">
        <v>83</v>
      </c>
      <c r="H4" s="33">
        <v>1439.7463270416097</v>
      </c>
      <c r="I4" s="23">
        <v>27.801869983790009</v>
      </c>
      <c r="J4" s="5">
        <v>6406.0149828959611</v>
      </c>
      <c r="K4" s="31"/>
      <c r="L4" s="23">
        <v>1310051.745990732</v>
      </c>
      <c r="M4" s="33">
        <v>75.59085583399974</v>
      </c>
      <c r="N4" s="5">
        <v>13</v>
      </c>
      <c r="O4" s="5">
        <v>70</v>
      </c>
      <c r="P4" s="33">
        <v>1300.082711757339</v>
      </c>
      <c r="Q4" s="5">
        <v>16.823159963847544</v>
      </c>
      <c r="R4" s="5">
        <v>5929.0703757154752</v>
      </c>
      <c r="S4" s="35"/>
      <c r="T4" s="23">
        <v>1342749.7238015221</v>
      </c>
      <c r="U4" s="33">
        <v>44.24595245799901</v>
      </c>
      <c r="V4" s="5">
        <v>10</v>
      </c>
      <c r="W4" s="5">
        <v>67</v>
      </c>
      <c r="X4" s="33">
        <v>1709.9255588601081</v>
      </c>
      <c r="Y4" s="5">
        <v>33.034682533932262</v>
      </c>
      <c r="Z4" s="5">
        <v>6953.6437905621524</v>
      </c>
      <c r="AA4" s="35"/>
    </row>
    <row r="5" spans="2:27" x14ac:dyDescent="0.2">
      <c r="B5" s="4">
        <v>2</v>
      </c>
      <c r="C5" s="4">
        <v>289</v>
      </c>
      <c r="D5" s="23">
        <v>1130646.690230157</v>
      </c>
      <c r="E5" s="33">
        <v>68.862048374998267</v>
      </c>
      <c r="F5" s="5">
        <v>11</v>
      </c>
      <c r="G5" s="23">
        <v>83</v>
      </c>
      <c r="H5" s="33">
        <v>1478.1737549394115</v>
      </c>
      <c r="I5" s="23">
        <v>25.039472847846284</v>
      </c>
      <c r="J5" s="5">
        <v>6297.6962656974556</v>
      </c>
      <c r="K5" s="31"/>
      <c r="L5" s="23">
        <v>1306276.98244698</v>
      </c>
      <c r="M5" s="33">
        <v>78.499393333000626</v>
      </c>
      <c r="N5" s="5">
        <v>11</v>
      </c>
      <c r="O5" s="5">
        <v>66</v>
      </c>
      <c r="P5" s="33">
        <v>1080.4451547118624</v>
      </c>
      <c r="Q5" s="5">
        <v>17.733932429126082</v>
      </c>
      <c r="R5" s="5">
        <v>5753.119934425511</v>
      </c>
      <c r="S5" s="35"/>
      <c r="T5" s="23">
        <v>1325644.7703723039</v>
      </c>
      <c r="U5" s="33">
        <v>61.016951083000087</v>
      </c>
      <c r="V5" s="5">
        <v>10</v>
      </c>
      <c r="W5" s="5">
        <v>67</v>
      </c>
      <c r="X5" s="33">
        <v>1550.6209576764281</v>
      </c>
      <c r="Y5" s="5">
        <v>32.85892301813179</v>
      </c>
      <c r="Z5" s="5">
        <v>6772.8908409540627</v>
      </c>
      <c r="AA5" s="35"/>
    </row>
    <row r="6" spans="2:27" x14ac:dyDescent="0.2">
      <c r="B6" s="4">
        <v>3</v>
      </c>
      <c r="C6" s="4">
        <v>474</v>
      </c>
      <c r="D6" s="23">
        <v>1137387.30536193</v>
      </c>
      <c r="E6" s="33">
        <v>78.912848624997423</v>
      </c>
      <c r="F6" s="5">
        <v>11</v>
      </c>
      <c r="G6" s="23">
        <v>82</v>
      </c>
      <c r="H6" s="33">
        <v>1416.6736174249675</v>
      </c>
      <c r="I6" s="23">
        <v>25.210057900643992</v>
      </c>
      <c r="J6" s="5">
        <v>6281.3666358978871</v>
      </c>
      <c r="K6" s="31"/>
      <c r="L6" s="23">
        <v>1295728.274137147</v>
      </c>
      <c r="M6" s="33">
        <v>40.171373334000243</v>
      </c>
      <c r="N6" s="5">
        <v>14</v>
      </c>
      <c r="O6" s="5">
        <v>70</v>
      </c>
      <c r="P6" s="33">
        <v>1134.2365278728996</v>
      </c>
      <c r="Q6" s="5">
        <v>14.967316159625605</v>
      </c>
      <c r="R6" s="5">
        <v>5530.7406080647925</v>
      </c>
      <c r="S6" s="35"/>
      <c r="T6" s="23">
        <v>1380621.987491986</v>
      </c>
      <c r="U6" s="33">
        <v>46.527517957998498</v>
      </c>
      <c r="V6" s="5">
        <v>9</v>
      </c>
      <c r="W6" s="5">
        <v>61</v>
      </c>
      <c r="X6" s="33">
        <v>1563.4925210337674</v>
      </c>
      <c r="Y6" s="5">
        <v>34.706343146055467</v>
      </c>
      <c r="Z6" s="5">
        <v>6665.5225751757935</v>
      </c>
      <c r="AA6" s="35"/>
    </row>
    <row r="7" spans="2:27" x14ac:dyDescent="0.2">
      <c r="B7" s="4">
        <v>4</v>
      </c>
      <c r="C7" s="4">
        <v>488</v>
      </c>
      <c r="D7" s="23">
        <v>1113566.705486432</v>
      </c>
      <c r="E7" s="33">
        <v>66.634228625000105</v>
      </c>
      <c r="F7" s="5">
        <v>10</v>
      </c>
      <c r="G7" s="23">
        <v>84</v>
      </c>
      <c r="H7" s="33">
        <v>1508.4245384162903</v>
      </c>
      <c r="I7" s="23">
        <v>27.345080702600018</v>
      </c>
      <c r="J7" s="5">
        <v>6431.6804262919832</v>
      </c>
      <c r="K7" s="31"/>
      <c r="L7" s="23">
        <v>1331215.481646857</v>
      </c>
      <c r="M7" s="33">
        <v>40.691493791999157</v>
      </c>
      <c r="N7" s="5">
        <v>12</v>
      </c>
      <c r="O7" s="5">
        <v>65</v>
      </c>
      <c r="P7" s="33">
        <v>1128.6065449750204</v>
      </c>
      <c r="Q7" s="5">
        <v>16.629098985407989</v>
      </c>
      <c r="R7" s="5">
        <v>5649.4222032856323</v>
      </c>
      <c r="S7" s="35"/>
      <c r="T7" s="23">
        <v>1300315.3713862009</v>
      </c>
      <c r="U7" s="33">
        <v>80.275598042000638</v>
      </c>
      <c r="V7" s="5">
        <v>10</v>
      </c>
      <c r="W7" s="5">
        <v>68</v>
      </c>
      <c r="X7" s="33">
        <v>1463.8652999508759</v>
      </c>
      <c r="Y7" s="5">
        <v>34.02495866293016</v>
      </c>
      <c r="Z7" s="5">
        <v>6666.551474647682</v>
      </c>
      <c r="AA7" s="35"/>
    </row>
    <row r="8" spans="2:27" x14ac:dyDescent="0.2">
      <c r="B8" s="4">
        <v>5</v>
      </c>
      <c r="C8" s="4">
        <v>689</v>
      </c>
      <c r="D8" s="23">
        <v>1125087.402151956</v>
      </c>
      <c r="E8" s="33">
        <v>39.352360874996521</v>
      </c>
      <c r="F8" s="5">
        <v>9</v>
      </c>
      <c r="G8" s="23">
        <v>79</v>
      </c>
      <c r="H8" s="33">
        <v>1295.6193898363856</v>
      </c>
      <c r="I8" s="23">
        <v>28.653159343784921</v>
      </c>
      <c r="J8" s="5">
        <v>6221.8130409238684</v>
      </c>
      <c r="K8" s="31"/>
      <c r="L8" s="23">
        <v>1311100.003886289</v>
      </c>
      <c r="M8" s="33">
        <v>67.763409166998827</v>
      </c>
      <c r="N8" s="5">
        <v>13</v>
      </c>
      <c r="O8" s="5">
        <v>70</v>
      </c>
      <c r="P8" s="33">
        <v>1311.3234006458551</v>
      </c>
      <c r="Q8" s="5">
        <v>16.327770467004061</v>
      </c>
      <c r="R8" s="5">
        <v>5845.2210436930754</v>
      </c>
      <c r="S8" s="35"/>
      <c r="T8" s="23">
        <v>1305993.4875652899</v>
      </c>
      <c r="U8" s="33">
        <v>48.42835174999891</v>
      </c>
      <c r="V8" s="5">
        <v>9</v>
      </c>
      <c r="W8" s="5">
        <v>65</v>
      </c>
      <c r="X8" s="33">
        <v>1404.6303011425734</v>
      </c>
      <c r="Y8" s="5">
        <v>35.845700454871945</v>
      </c>
      <c r="Z8" s="5">
        <v>6498.0681931883655</v>
      </c>
      <c r="AA8" s="35"/>
    </row>
    <row r="9" spans="2:27" x14ac:dyDescent="0.2">
      <c r="B9" s="4">
        <v>6</v>
      </c>
      <c r="C9" s="4">
        <v>823</v>
      </c>
      <c r="D9" s="23">
        <v>1113566.705486432</v>
      </c>
      <c r="E9" s="33">
        <v>36.35077154100145</v>
      </c>
      <c r="F9" s="5">
        <v>10</v>
      </c>
      <c r="G9" s="23">
        <v>84</v>
      </c>
      <c r="H9" s="33">
        <v>1508.4245384162903</v>
      </c>
      <c r="I9" s="23">
        <v>27.345080702600018</v>
      </c>
      <c r="J9" s="5">
        <v>6431.6804262919832</v>
      </c>
      <c r="K9" s="31"/>
      <c r="L9" s="23">
        <v>1297065.560342649</v>
      </c>
      <c r="M9" s="33">
        <v>137.98407558299911</v>
      </c>
      <c r="N9" s="5">
        <v>13</v>
      </c>
      <c r="O9" s="5">
        <v>69</v>
      </c>
      <c r="P9" s="33">
        <v>1158.0735758977673</v>
      </c>
      <c r="Q9" s="5">
        <v>16.666234917785498</v>
      </c>
      <c r="R9" s="5">
        <v>5576.2078627574529</v>
      </c>
      <c r="S9" s="35"/>
      <c r="T9" s="23">
        <v>1299212.923551318</v>
      </c>
      <c r="U9" s="33">
        <v>56.840974624999937</v>
      </c>
      <c r="V9" s="5">
        <v>10</v>
      </c>
      <c r="W9" s="5">
        <v>66</v>
      </c>
      <c r="X9" s="33">
        <v>1347.5358544837063</v>
      </c>
      <c r="Y9" s="5">
        <v>32.65145308265889</v>
      </c>
      <c r="Z9" s="5">
        <v>6344.1461389710166</v>
      </c>
      <c r="AA9" s="35"/>
    </row>
    <row r="10" spans="2:27" x14ac:dyDescent="0.2">
      <c r="B10" s="4">
        <v>7</v>
      </c>
      <c r="C10" s="4">
        <v>868</v>
      </c>
      <c r="D10" s="23">
        <v>1132913.9343411131</v>
      </c>
      <c r="E10" s="33">
        <v>42.393412124998576</v>
      </c>
      <c r="F10" s="5">
        <v>10</v>
      </c>
      <c r="G10" s="23">
        <v>82</v>
      </c>
      <c r="H10" s="33">
        <v>1399.5984378547732</v>
      </c>
      <c r="I10" s="23">
        <v>27.017023292665101</v>
      </c>
      <c r="J10" s="5">
        <v>6405.6222058712156</v>
      </c>
      <c r="K10" s="31"/>
      <c r="L10" s="23">
        <v>1298654.982698017</v>
      </c>
      <c r="M10" s="33">
        <v>76.999041208000563</v>
      </c>
      <c r="N10" s="5">
        <v>14</v>
      </c>
      <c r="O10" s="5">
        <v>74</v>
      </c>
      <c r="P10" s="33">
        <v>1446.6462184532343</v>
      </c>
      <c r="Q10" s="5">
        <v>15.922278042310383</v>
      </c>
      <c r="R10" s="5">
        <v>6021.907206981844</v>
      </c>
      <c r="S10" s="35"/>
      <c r="T10" s="23">
        <v>1325105.949362424</v>
      </c>
      <c r="U10" s="33">
        <v>67.340480208000372</v>
      </c>
      <c r="V10" s="5">
        <v>10</v>
      </c>
      <c r="W10" s="5">
        <v>68</v>
      </c>
      <c r="X10" s="33">
        <v>1630.0778587144373</v>
      </c>
      <c r="Y10" s="5">
        <v>33.672101635703555</v>
      </c>
      <c r="Z10" s="5">
        <v>6858.2450464332924</v>
      </c>
      <c r="AA10" s="35"/>
    </row>
    <row r="11" spans="2:27" x14ac:dyDescent="0.2">
      <c r="B11" s="4">
        <v>8</v>
      </c>
      <c r="C11" s="4">
        <v>959</v>
      </c>
      <c r="D11" s="23">
        <v>1113566.705486432</v>
      </c>
      <c r="E11" s="33">
        <v>60.056562457997643</v>
      </c>
      <c r="F11" s="5">
        <v>10</v>
      </c>
      <c r="G11" s="23">
        <v>84</v>
      </c>
      <c r="H11" s="33">
        <v>1508.4245384162903</v>
      </c>
      <c r="I11" s="23">
        <v>27.345080702600018</v>
      </c>
      <c r="J11" s="5">
        <v>6431.6804262919832</v>
      </c>
      <c r="K11" s="31"/>
      <c r="L11" s="23">
        <v>1289976.175951693</v>
      </c>
      <c r="M11" s="33">
        <v>63.515071041001647</v>
      </c>
      <c r="N11" s="5">
        <v>12</v>
      </c>
      <c r="O11" s="5">
        <v>70</v>
      </c>
      <c r="P11" s="33">
        <v>1252.4065673254765</v>
      </c>
      <c r="Q11" s="5">
        <v>17.25503379822467</v>
      </c>
      <c r="R11" s="5">
        <v>5817.107215026741</v>
      </c>
      <c r="S11" s="35"/>
      <c r="T11" s="23">
        <v>1325683.5976373509</v>
      </c>
      <c r="U11" s="33">
        <v>34.042955625000097</v>
      </c>
      <c r="V11" s="5">
        <v>10</v>
      </c>
      <c r="W11" s="5">
        <v>66</v>
      </c>
      <c r="X11" s="33">
        <v>1468.2629316108528</v>
      </c>
      <c r="Y11" s="5">
        <v>31.645872361468093</v>
      </c>
      <c r="Z11" s="5">
        <v>6529.9408077781345</v>
      </c>
      <c r="AA11" s="35"/>
    </row>
    <row r="12" spans="2:27" x14ac:dyDescent="0.2">
      <c r="B12" s="4">
        <v>9</v>
      </c>
      <c r="C12" s="4">
        <v>342</v>
      </c>
      <c r="D12" s="23">
        <v>1117756.0883618391</v>
      </c>
      <c r="E12" s="33">
        <v>61.514138582999287</v>
      </c>
      <c r="F12" s="5">
        <v>10</v>
      </c>
      <c r="G12" s="23">
        <v>83</v>
      </c>
      <c r="H12" s="33">
        <v>1432.3996932940088</v>
      </c>
      <c r="I12" s="23">
        <v>27.79742376085639</v>
      </c>
      <c r="J12" s="5">
        <v>6405.7044937266728</v>
      </c>
      <c r="K12" s="31"/>
      <c r="L12" s="23">
        <v>1271974.7973180071</v>
      </c>
      <c r="M12" s="33">
        <v>86.193115207999654</v>
      </c>
      <c r="N12" s="5">
        <v>14</v>
      </c>
      <c r="O12" s="5">
        <v>73</v>
      </c>
      <c r="P12" s="33">
        <v>1240.1254550314195</v>
      </c>
      <c r="Q12" s="5">
        <v>16.06991297430805</v>
      </c>
      <c r="R12" s="5">
        <v>5746.4223655317137</v>
      </c>
      <c r="S12" s="35"/>
      <c r="T12" s="23">
        <v>1303539.0924567359</v>
      </c>
      <c r="U12" s="33">
        <v>72.963293124999836</v>
      </c>
      <c r="V12" s="5">
        <v>10</v>
      </c>
      <c r="W12" s="5">
        <v>66</v>
      </c>
      <c r="X12" s="33">
        <v>1342.351251472091</v>
      </c>
      <c r="Y12" s="5">
        <v>34.046883253320566</v>
      </c>
      <c r="Z12" s="5">
        <v>6410.1863921469567</v>
      </c>
      <c r="AA12" s="35"/>
    </row>
    <row r="13" spans="2:27" x14ac:dyDescent="0.2">
      <c r="B13" s="4">
        <v>10</v>
      </c>
      <c r="C13" s="4">
        <v>850</v>
      </c>
      <c r="D13" s="23">
        <v>1119138.2570583101</v>
      </c>
      <c r="E13" s="33">
        <v>96.378957749999245</v>
      </c>
      <c r="F13" s="5">
        <v>10</v>
      </c>
      <c r="G13" s="23">
        <v>80</v>
      </c>
      <c r="H13" s="33">
        <v>1232.7308169853052</v>
      </c>
      <c r="I13" s="23">
        <v>26.324128029558018</v>
      </c>
      <c r="J13" s="5">
        <v>6108.2444103794451</v>
      </c>
      <c r="K13" s="31"/>
      <c r="L13" s="23">
        <v>1271989.8433372341</v>
      </c>
      <c r="M13" s="33">
        <v>56.173005958000431</v>
      </c>
      <c r="N13" s="5">
        <v>12</v>
      </c>
      <c r="O13" s="5">
        <v>69</v>
      </c>
      <c r="P13" s="33">
        <v>1101.3388268344918</v>
      </c>
      <c r="Q13" s="5">
        <v>16.897731915505044</v>
      </c>
      <c r="R13" s="5">
        <v>5588.0786409311768</v>
      </c>
      <c r="S13" s="35"/>
      <c r="T13" s="23">
        <v>1320097.972981523</v>
      </c>
      <c r="U13" s="33">
        <v>59.537177666999924</v>
      </c>
      <c r="V13" s="5">
        <v>9</v>
      </c>
      <c r="W13" s="5">
        <v>66</v>
      </c>
      <c r="X13" s="33">
        <v>1575.1028909283636</v>
      </c>
      <c r="Y13" s="5">
        <v>36.855149067862648</v>
      </c>
      <c r="Z13" s="5">
        <v>6832.9796080958977</v>
      </c>
      <c r="AA13" s="35"/>
    </row>
    <row r="14" spans="2:27" x14ac:dyDescent="0.2">
      <c r="B14" s="47" t="s">
        <v>3</v>
      </c>
      <c r="C14" s="48"/>
      <c r="D14" s="9">
        <f>MIN(D4:D13)</f>
        <v>1113566.705486432</v>
      </c>
      <c r="E14" s="22">
        <f>INDEX(E4:E13, MATCH($D$14, D4:D13, 0))</f>
        <v>66.634228625000105</v>
      </c>
      <c r="F14" s="9">
        <f>INDEX(F4:F13, MATCH($D$14, D4:D13, 0))</f>
        <v>10</v>
      </c>
      <c r="G14" s="9">
        <f>INDEX(G4:G13, MATCH($D$14, D4:D13, 0))</f>
        <v>84</v>
      </c>
      <c r="H14" s="22">
        <f>INDEX(H4:H13, MATCH($D$14, D4:D13, 0))</f>
        <v>1508.4245384162903</v>
      </c>
      <c r="I14" s="22">
        <f>INDEX(I4:I13, MATCH($D$14, D4:D13, 0))</f>
        <v>27.345080702600018</v>
      </c>
      <c r="J14" s="22">
        <f>INDEX(J4:J13, MATCH($D$14, D4:D13, 0))</f>
        <v>6431.6804262919832</v>
      </c>
      <c r="K14" s="32" t="e">
        <f>(D14-$D$15)/$D$15</f>
        <v>#DIV/0!</v>
      </c>
      <c r="L14" s="16">
        <f>MIN(L4:L13)</f>
        <v>1271974.7973180071</v>
      </c>
      <c r="M14" s="21">
        <f>INDEX(M4:M13, MATCH($L$14, L4:L13, 0))</f>
        <v>86.193115207999654</v>
      </c>
      <c r="N14" s="16">
        <f>INDEX(N4:N13, MATCH($L$14, L4:L13, 0))</f>
        <v>14</v>
      </c>
      <c r="O14" s="16">
        <f>INDEX(O4:O13, MATCH($L$14, L4:L13, 0))</f>
        <v>73</v>
      </c>
      <c r="P14" s="21">
        <f>INDEX(P4:P13, MATCH($L$14, L4:L13, 0))</f>
        <v>1240.1254550314195</v>
      </c>
      <c r="Q14" s="21">
        <f>INDEX(Q4:Q13, MATCH($L$14, L4:L13, 0))</f>
        <v>16.06991297430805</v>
      </c>
      <c r="R14" s="21">
        <f>INDEX(R4:R13, MATCH($L$14, L4:L13, 0))</f>
        <v>5746.4223655317137</v>
      </c>
      <c r="S14" s="36" t="e">
        <f>(L14-$D$15)/$D$15</f>
        <v>#DIV/0!</v>
      </c>
      <c r="T14" s="38">
        <f>MIN(T4:T13)</f>
        <v>1299212.923551318</v>
      </c>
      <c r="U14" s="39">
        <f>INDEX(U4:U13, MATCH($T$14, T4:T13, 0))</f>
        <v>56.840974624999937</v>
      </c>
      <c r="V14" s="38">
        <f>INDEX(V4:V13, MATCH($T$14, T4:T13, 0))</f>
        <v>10</v>
      </c>
      <c r="W14" s="38">
        <f>INDEX(W4:W13, MATCH($T$14, T4:T13, 0))</f>
        <v>66</v>
      </c>
      <c r="X14" s="39">
        <f>INDEX(X4:X13, MATCH($T$14, T4:T13, 0))</f>
        <v>1347.5358544837063</v>
      </c>
      <c r="Y14" s="39">
        <f>INDEX(Y4:Y13, MATCH($T$14, T4:T13, 0))</f>
        <v>32.65145308265889</v>
      </c>
      <c r="Z14" s="39">
        <f>INDEX(Z4:Z13, MATCH($T$14, T4:T13, 0))</f>
        <v>6344.1461389710166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0.14225289877212949</v>
      </c>
      <c r="M15" s="46">
        <f t="shared" ref="M15:R15" si="0">(M14-E14)/E14</f>
        <v>0.29352611993262223</v>
      </c>
      <c r="N15" s="46">
        <f t="shared" si="0"/>
        <v>0.4</v>
      </c>
      <c r="O15" s="46">
        <f t="shared" si="0"/>
        <v>-0.13095238095238096</v>
      </c>
      <c r="P15" s="46">
        <f t="shared" si="0"/>
        <v>-0.17786709016717575</v>
      </c>
      <c r="Q15" s="46">
        <f t="shared" si="0"/>
        <v>-0.41232892493237022</v>
      </c>
      <c r="R15" s="46">
        <f t="shared" si="0"/>
        <v>-0.10654417124940038</v>
      </c>
      <c r="T15" s="46">
        <f>(T14-D14)/D14</f>
        <v>0.16671315436266698</v>
      </c>
      <c r="U15" s="46">
        <f t="shared" ref="U15:Z15" si="1">(U14-E14)/E14</f>
        <v>-0.14697032144116237</v>
      </c>
      <c r="V15" s="46">
        <f t="shared" si="1"/>
        <v>0</v>
      </c>
      <c r="W15" s="46">
        <f t="shared" si="1"/>
        <v>-0.21428571428571427</v>
      </c>
      <c r="X15" s="46">
        <f t="shared" si="1"/>
        <v>-0.10666008132001258</v>
      </c>
      <c r="Y15" s="46">
        <f t="shared" si="1"/>
        <v>0.1940521747867554</v>
      </c>
      <c r="Z15" s="46">
        <f t="shared" si="1"/>
        <v>-1.3609862667171128E-2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37" priority="5"/>
    <cfRule type="duplicateValues" dxfId="36" priority="6"/>
  </conditionalFormatting>
  <conditionalFormatting sqref="C14">
    <cfRule type="duplicateValues" dxfId="35" priority="3"/>
    <cfRule type="duplicateValues" dxfId="34" priority="4"/>
  </conditionalFormatting>
  <conditionalFormatting sqref="C15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sheetPr codeName="Sheet13"/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sheetPr codeName="Sheet14"/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sheetPr codeName="Sheet15"/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sheetPr codeName="Sheet16"/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sheetPr codeName="Sheet17"/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sheetPr codeName="Sheet18"/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</conditionalFormatting>
  <conditionalFormatting sqref="L14">
    <cfRule type="duplicateValues" dxfId="23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sheetPr codeName="Sheet19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2" priority="1"/>
  </conditionalFormatting>
  <conditionalFormatting sqref="L14">
    <cfRule type="duplicateValues" dxfId="21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sheetPr codeName="Sheet20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0" priority="1"/>
    <cfRule type="duplicateValues" dxfId="19" priority="2"/>
  </conditionalFormatting>
  <conditionalFormatting sqref="L14">
    <cfRule type="duplicateValues" dxfId="18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sheetPr codeName="Sheet21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sheetPr codeName="Sheet22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sheetPr codeName="Sheet23"/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sheetPr codeName="Sheet24"/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sheetPr codeName="Sheet25"/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sheetPr codeName="Sheet26"/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sheetPr codeName="Sheet27"/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sheetPr codeName="Sheet28"/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" priority="1"/>
  </conditionalFormatting>
  <conditionalFormatting sqref="L14">
    <cfRule type="duplicateValues" dxfId="2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sheetPr codeName="Sheet29"/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" priority="1"/>
  </conditionalFormatting>
  <conditionalFormatting sqref="L1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results340</vt:lpstr>
      <vt:lpstr>results444</vt:lpstr>
      <vt:lpstr>results531</vt:lpstr>
      <vt:lpstr>results618</vt:lpstr>
      <vt:lpstr>results765</vt:lpstr>
      <vt:lpstr>results777</vt:lpstr>
      <vt:lpstr>results866</vt:lpstr>
      <vt:lpstr>results914</vt:lpstr>
      <vt:lpstr>results921</vt:lpstr>
      <vt:lpstr>results979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2026-10-16T19:18:30Z</dcterms:modified>
</cp:coreProperties>
</file>