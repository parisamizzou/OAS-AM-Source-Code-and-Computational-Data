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ensitivity Analysis/Large/150-10-10/Base/"/>
    </mc:Choice>
  </mc:AlternateContent>
  <xr:revisionPtr revIDLastSave="0" documentId="13_ncr:1_{01D8161C-EEE4-104F-9512-142CFA79CBDE}" xr6:coauthVersionLast="47" xr6:coauthVersionMax="47" xr10:uidLastSave="{00000000-0000-0000-0000-000000000000}"/>
  <bookViews>
    <workbookView xWindow="0" yWindow="740" windowWidth="34560" windowHeight="21600" tabRatio="842" activeTab="10" xr2:uid="{41E620E7-D6DF-9342-B452-EA60AB3B07C5}"/>
  </bookViews>
  <sheets>
    <sheet name="Summary" sheetId="68" r:id="rId1"/>
    <sheet name="results45" sheetId="63" r:id="rId2"/>
    <sheet name="results229" sheetId="69" r:id="rId3"/>
    <sheet name="results268" sheetId="70" r:id="rId4"/>
    <sheet name="results346" sheetId="71" r:id="rId5"/>
    <sheet name="results418" sheetId="72" r:id="rId6"/>
    <sheet name="results464" sheetId="76" r:id="rId7"/>
    <sheet name="results658" sheetId="77" r:id="rId8"/>
    <sheet name="results720" sheetId="73" r:id="rId9"/>
    <sheet name="results846" sheetId="74" r:id="rId10"/>
    <sheet name="results910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5" l="1"/>
  <c r="G14" i="75" s="1"/>
  <c r="D14" i="74"/>
  <c r="K14" i="74" s="1"/>
  <c r="D14" i="73"/>
  <c r="I14" i="73" s="1"/>
  <c r="D14" i="77"/>
  <c r="D14" i="76"/>
  <c r="E14" i="76" s="1"/>
  <c r="D14" i="72"/>
  <c r="K14" i="72" s="1"/>
  <c r="D14" i="71"/>
  <c r="D14" i="70"/>
  <c r="E14" i="70" s="1"/>
  <c r="D14" i="69"/>
  <c r="G14" i="69" s="1"/>
  <c r="H14" i="75" l="1"/>
  <c r="E14" i="75"/>
  <c r="I14" i="75"/>
  <c r="J14" i="75"/>
  <c r="F14" i="75"/>
  <c r="K14" i="75"/>
  <c r="I14" i="74"/>
  <c r="J14" i="74"/>
  <c r="E14" i="74"/>
  <c r="F14" i="74"/>
  <c r="G14" i="74"/>
  <c r="H14" i="74"/>
  <c r="K14" i="73"/>
  <c r="E14" i="73"/>
  <c r="F14" i="73"/>
  <c r="J14" i="73"/>
  <c r="G14" i="73"/>
  <c r="H14" i="73"/>
  <c r="J14" i="77"/>
  <c r="E14" i="77"/>
  <c r="F14" i="77"/>
  <c r="G14" i="77"/>
  <c r="I14" i="77"/>
  <c r="K14" i="77"/>
  <c r="H14" i="77"/>
  <c r="G14" i="76"/>
  <c r="I14" i="76"/>
  <c r="J14" i="76"/>
  <c r="K14" i="76"/>
  <c r="F14" i="76"/>
  <c r="H14" i="76"/>
  <c r="I14" i="72"/>
  <c r="J14" i="72"/>
  <c r="H14" i="72"/>
  <c r="E14" i="72"/>
  <c r="G14" i="72"/>
  <c r="F14" i="72"/>
  <c r="G14" i="71"/>
  <c r="H14" i="71"/>
  <c r="F14" i="71"/>
  <c r="E14" i="71"/>
  <c r="I14" i="71"/>
  <c r="J14" i="71"/>
  <c r="K14" i="71"/>
  <c r="K14" i="70"/>
  <c r="G14" i="70"/>
  <c r="F14" i="70"/>
  <c r="H14" i="70"/>
  <c r="J14" i="70"/>
  <c r="I14" i="70"/>
  <c r="F14" i="69"/>
  <c r="I14" i="69"/>
  <c r="J14" i="69"/>
  <c r="K14" i="69"/>
  <c r="E14" i="69"/>
  <c r="H14" i="69"/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P14" i="42" l="1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U4" i="70" a="1"/>
  <c r="O12" i="71" a="1"/>
  <c r="Z11" i="74" a="1"/>
  <c r="O9" i="73" a="1"/>
  <c r="X7" i="69" a="1"/>
  <c r="M7" i="74" a="1"/>
  <c r="Y4" i="71"/>
  <c r="N6" i="77"/>
  <c r="M11" i="75" a="1"/>
  <c r="O11" i="73" a="1"/>
  <c r="O7" i="63" a="1"/>
  <c r="V10" i="69"/>
  <c r="M9" i="77" a="1"/>
  <c r="Q13" i="70"/>
  <c r="V4" i="69"/>
  <c r="Y9" i="76"/>
  <c r="P7" i="73" a="1"/>
  <c r="U5" i="77" a="1"/>
  <c r="Q4" i="74"/>
  <c r="Z8" i="63" a="1"/>
  <c r="V7" i="77"/>
  <c r="V4" i="76"/>
  <c r="P4" i="76" a="1"/>
  <c r="N6" i="71"/>
  <c r="U12" i="75" a="1"/>
  <c r="N13" i="77"/>
  <c r="D11" i="68" a="1"/>
  <c r="P12" i="76" a="1"/>
  <c r="R13" i="77" a="1"/>
  <c r="M6" i="75" a="1"/>
  <c r="X5" i="73" a="1"/>
  <c r="L10" i="76" a="1"/>
  <c r="Z11" i="71" a="1"/>
  <c r="V11" i="76"/>
  <c r="Z5" i="69" a="1"/>
  <c r="H5" i="68" a="1"/>
  <c r="T12" i="77" a="1"/>
  <c r="T6" i="75" a="1"/>
  <c r="L7" i="69" a="1"/>
  <c r="M8" i="73" a="1"/>
  <c r="L9" i="77" a="1"/>
  <c r="R9" i="77" a="1"/>
  <c r="E4" i="68" a="1"/>
  <c r="V13" i="70"/>
  <c r="M5" i="73" a="1"/>
  <c r="X10" i="75" a="1"/>
  <c r="O7" i="71" a="1"/>
  <c r="M9" i="74" a="1"/>
  <c r="N11" i="75"/>
  <c r="P8" i="69" a="1"/>
  <c r="N10" i="63"/>
  <c r="O12" i="73" a="1"/>
  <c r="V11" i="77"/>
  <c r="O10" i="73" a="1"/>
  <c r="Q6" i="71"/>
  <c r="X7" i="75" a="1"/>
  <c r="R7" i="63" a="1"/>
  <c r="L13" i="77" a="1"/>
  <c r="H4" i="68" a="1"/>
  <c r="O5" i="63" a="1"/>
  <c r="X7" i="74" a="1"/>
  <c r="T12" i="76" a="1"/>
  <c r="O6" i="76" a="1"/>
  <c r="R6" i="74" a="1"/>
  <c r="X8" i="77" a="1"/>
  <c r="R11" i="73" a="1"/>
  <c r="Z5" i="71" a="1"/>
  <c r="L8" i="71" a="1"/>
  <c r="W8" i="77" a="1"/>
  <c r="I12" i="68" a="1"/>
  <c r="Q13" i="69"/>
  <c r="V8" i="75"/>
  <c r="Z7" i="63" a="1"/>
  <c r="V5" i="77"/>
  <c r="T8" i="77" a="1"/>
  <c r="O6" i="72" a="1"/>
  <c r="X13" i="75" a="1"/>
  <c r="X8" i="72" a="1"/>
  <c r="N11" i="63"/>
  <c r="E9" i="68" a="1"/>
  <c r="Q4" i="71"/>
  <c r="T10" i="72" a="1"/>
  <c r="W10" i="63" a="1"/>
  <c r="P8" i="75" a="1"/>
  <c r="T8" i="76" a="1"/>
  <c r="T9" i="72" a="1"/>
  <c r="Q10" i="77"/>
  <c r="N9" i="63"/>
  <c r="N10" i="76"/>
  <c r="U9" i="69" a="1"/>
  <c r="R11" i="75" a="1"/>
  <c r="Q4" i="70"/>
  <c r="Q12" i="70"/>
  <c r="T12" i="74" a="1"/>
  <c r="M11" i="63" a="1"/>
  <c r="N5" i="69"/>
  <c r="Y7" i="70"/>
  <c r="R10" i="72" a="1"/>
  <c r="T11" i="77" a="1"/>
  <c r="P9" i="75" a="1"/>
  <c r="L12" i="73" a="1"/>
  <c r="X12" i="71" a="1"/>
  <c r="R5" i="71" a="1"/>
  <c r="Y8" i="63"/>
  <c r="E6" i="68" a="1"/>
  <c r="Y5" i="75"/>
  <c r="Q7" i="70"/>
  <c r="T6" i="73" a="1"/>
  <c r="R8" i="72" a="1"/>
  <c r="M9" i="63" a="1"/>
  <c r="O8" i="75" a="1"/>
  <c r="R9" i="73" a="1"/>
  <c r="L11" i="73" a="1"/>
  <c r="U10" i="73" a="1"/>
  <c r="Y13" i="77"/>
  <c r="N5" i="71"/>
  <c r="Z7" i="77" a="1"/>
  <c r="Z10" i="77" a="1"/>
  <c r="V6" i="69"/>
  <c r="F11" i="68" a="1"/>
  <c r="V5" i="63"/>
  <c r="X8" i="71" a="1"/>
  <c r="I3" i="68" a="1"/>
  <c r="O13" i="76" a="1"/>
  <c r="O6" i="70" a="1"/>
  <c r="N5" i="74"/>
  <c r="O13" i="77" a="1"/>
  <c r="O9" i="71" a="1"/>
  <c r="N12" i="77"/>
  <c r="O10" i="72" a="1"/>
  <c r="R12" i="71" a="1"/>
  <c r="L9" i="73" a="1"/>
  <c r="Y10" i="72"/>
  <c r="V6" i="74"/>
  <c r="M6" i="69" a="1"/>
  <c r="D7" i="68" a="1"/>
  <c r="P7" i="70" a="1"/>
  <c r="X12" i="74" a="1"/>
  <c r="X4" i="77" a="1"/>
  <c r="V12" i="69"/>
  <c r="L5" i="72" a="1"/>
  <c r="P11" i="63" a="1"/>
  <c r="Z5" i="77" a="1"/>
  <c r="M7" i="70" a="1"/>
  <c r="Q8" i="77"/>
  <c r="W10" i="73" a="1"/>
  <c r="U9" i="77" a="1"/>
  <c r="R12" i="63" a="1"/>
  <c r="Q11" i="71"/>
  <c r="T4" i="69" a="1"/>
  <c r="U7" i="63" a="1"/>
  <c r="P7" i="77" a="1"/>
  <c r="Y12" i="75"/>
  <c r="D6" i="68" a="1"/>
  <c r="O12" i="74" a="1"/>
  <c r="O5" i="76" a="1"/>
  <c r="Y13" i="74"/>
  <c r="P11" i="70" a="1"/>
  <c r="Z12" i="63" a="1"/>
  <c r="L12" i="75" a="1"/>
  <c r="X7" i="77" a="1"/>
  <c r="N13" i="72"/>
  <c r="Y8" i="71"/>
  <c r="L4" i="77" a="1"/>
  <c r="O13" i="74" a="1"/>
  <c r="W4" i="76" a="1"/>
  <c r="V6" i="70"/>
  <c r="U6" i="75" a="1"/>
  <c r="Q9" i="69"/>
  <c r="V4" i="74"/>
  <c r="Z12" i="70" a="1"/>
  <c r="W7" i="69" a="1"/>
  <c r="Q8" i="74"/>
  <c r="G11" i="68" a="1"/>
  <c r="M11" i="72" a="1"/>
  <c r="U13" i="63" a="1"/>
  <c r="T10" i="76" a="1"/>
  <c r="M12" i="72" a="1"/>
  <c r="U4" i="76" a="1"/>
  <c r="F4" i="68" a="1"/>
  <c r="V9" i="77"/>
  <c r="N5" i="75"/>
  <c r="Y11" i="74"/>
  <c r="V9" i="76"/>
  <c r="N10" i="69"/>
  <c r="L5" i="75" a="1"/>
  <c r="M11" i="77" a="1"/>
  <c r="L11" i="74" a="1"/>
  <c r="L6" i="73" a="1"/>
  <c r="R12" i="77" a="1"/>
  <c r="M5" i="77" a="1"/>
  <c r="P9" i="72" a="1"/>
  <c r="R4" i="77" a="1"/>
  <c r="Z4" i="63" a="1"/>
  <c r="Z4" i="77" a="1"/>
  <c r="R12" i="70" a="1"/>
  <c r="P4" i="75" a="1"/>
  <c r="T9" i="74" a="1"/>
  <c r="Q9" i="75"/>
  <c r="U10" i="72" a="1"/>
  <c r="P5" i="77" a="1"/>
  <c r="Z6" i="76" a="1"/>
  <c r="V8" i="77"/>
  <c r="Y11" i="63"/>
  <c r="Z12" i="77" a="1"/>
  <c r="O4" i="69" a="1"/>
  <c r="U4" i="74" a="1"/>
  <c r="V6" i="63"/>
  <c r="W6" i="63" a="1"/>
  <c r="L6" i="75" a="1"/>
  <c r="W12" i="72" a="1"/>
  <c r="R11" i="74" a="1"/>
  <c r="R8" i="73" a="1"/>
  <c r="V10" i="71"/>
  <c r="V10" i="77"/>
  <c r="Q10" i="74"/>
  <c r="C7" i="68" a="1"/>
  <c r="X5" i="75" a="1"/>
  <c r="P5" i="76" a="1"/>
  <c r="P10" i="70" a="1"/>
  <c r="R8" i="74" a="1"/>
  <c r="Y4" i="73"/>
  <c r="N8" i="76"/>
  <c r="V5" i="75"/>
  <c r="M13" i="73" a="1"/>
  <c r="L6" i="72" a="1"/>
  <c r="V12" i="71"/>
  <c r="Y7" i="72"/>
  <c r="N4" i="73"/>
  <c r="Y9" i="69"/>
  <c r="E11" i="68" a="1"/>
  <c r="Y6" i="73"/>
  <c r="W5" i="74" a="1"/>
  <c r="O13" i="63" a="1"/>
  <c r="Q13" i="75"/>
  <c r="P6" i="73" a="1"/>
  <c r="R4" i="63" a="1"/>
  <c r="M10" i="63" a="1"/>
  <c r="Z7" i="74" a="1"/>
  <c r="T10" i="75" a="1"/>
  <c r="U13" i="75" a="1"/>
  <c r="W5" i="75" a="1"/>
  <c r="N6" i="73"/>
  <c r="E7" i="68" a="1"/>
  <c r="W11" i="69" a="1"/>
  <c r="T13" i="77" a="1"/>
  <c r="R7" i="71" a="1"/>
  <c r="Z10" i="70" a="1"/>
  <c r="N8" i="69"/>
  <c r="Z6" i="74" a="1"/>
  <c r="L9" i="72" a="1"/>
  <c r="T13" i="63" a="1"/>
  <c r="X11" i="71" a="1"/>
  <c r="T7" i="75" a="1"/>
  <c r="Z13" i="73" a="1"/>
  <c r="I11" i="68" a="1"/>
  <c r="E10" i="68" a="1"/>
  <c r="L4" i="70" a="1"/>
  <c r="W12" i="69" a="1"/>
  <c r="W11" i="71" a="1"/>
  <c r="I7" i="68" a="1"/>
  <c r="X12" i="77" a="1"/>
  <c r="W10" i="75" a="1"/>
  <c r="L13" i="75" a="1"/>
  <c r="M10" i="70" a="1"/>
  <c r="O7" i="74" a="1"/>
  <c r="O7" i="75" a="1"/>
  <c r="Q6" i="77"/>
  <c r="O4" i="74" a="1"/>
  <c r="T7" i="76" a="1"/>
  <c r="W13" i="73" a="1"/>
  <c r="X9" i="75" a="1"/>
  <c r="V13" i="63"/>
  <c r="P10" i="72" a="1"/>
  <c r="Q10" i="75"/>
  <c r="O5" i="72" a="1"/>
  <c r="L8" i="76" a="1"/>
  <c r="N13" i="75"/>
  <c r="Q12" i="76"/>
  <c r="U4" i="63" a="1"/>
  <c r="L6" i="70" a="1"/>
  <c r="M4" i="69" a="1"/>
  <c r="T12" i="69" a="1"/>
  <c r="T13" i="71" a="1"/>
  <c r="Y5" i="76"/>
  <c r="X11" i="73" a="1"/>
  <c r="O10" i="74" a="1"/>
  <c r="M13" i="75" a="1"/>
  <c r="G4" i="68" a="1"/>
  <c r="Y10" i="75"/>
  <c r="Y5" i="73"/>
  <c r="Z11" i="73" a="1"/>
  <c r="M8" i="69" a="1"/>
  <c r="Z6" i="63" a="1"/>
  <c r="V10" i="72"/>
  <c r="O13" i="73" a="1"/>
  <c r="R12" i="74" a="1"/>
  <c r="C3" i="68" a="1"/>
  <c r="Y7" i="69"/>
  <c r="Q6" i="63"/>
  <c r="O12" i="70" a="1"/>
  <c r="Y12" i="63"/>
  <c r="R5" i="74" a="1"/>
  <c r="Y7" i="73"/>
  <c r="N12" i="74"/>
  <c r="V9" i="73"/>
  <c r="V11" i="75"/>
  <c r="U11" i="71" a="1"/>
  <c r="T10" i="73" a="1"/>
  <c r="Q13" i="72"/>
  <c r="T10" i="63" a="1"/>
  <c r="U9" i="76" a="1"/>
  <c r="R9" i="71" a="1"/>
  <c r="C6" i="68" a="1"/>
  <c r="M7" i="72" a="1"/>
  <c r="M10" i="74" a="1"/>
  <c r="V13" i="69"/>
  <c r="Z5" i="73" a="1"/>
  <c r="T6" i="70" a="1"/>
  <c r="R4" i="75" a="1"/>
  <c r="R8" i="69" a="1"/>
  <c r="T5" i="74" a="1"/>
  <c r="U11" i="72" a="1"/>
  <c r="P6" i="76" a="1"/>
  <c r="O5" i="70" a="1"/>
  <c r="M6" i="63" a="1"/>
  <c r="L11" i="63" a="1"/>
  <c r="R8" i="71" a="1"/>
  <c r="V11" i="69"/>
  <c r="P4" i="63" a="1"/>
  <c r="X4" i="69" a="1"/>
  <c r="Y4" i="69"/>
  <c r="W6" i="69" a="1"/>
  <c r="P11" i="72" a="1"/>
  <c r="U12" i="70" a="1"/>
  <c r="P11" i="76" a="1"/>
  <c r="N13" i="63"/>
  <c r="D10" i="68" a="1"/>
  <c r="P6" i="77" a="1"/>
  <c r="N5" i="76"/>
  <c r="Q8" i="70"/>
  <c r="N12" i="72"/>
  <c r="V12" i="76"/>
  <c r="N4" i="77"/>
  <c r="Z7" i="73" a="1"/>
  <c r="P6" i="69" a="1"/>
  <c r="X4" i="75" a="1"/>
  <c r="X6" i="72" a="1"/>
  <c r="R9" i="75" a="1"/>
  <c r="X8" i="76" a="1"/>
  <c r="Y8" i="73"/>
  <c r="Y8" i="75"/>
  <c r="L7" i="77" a="1"/>
  <c r="P12" i="72" a="1"/>
  <c r="X11" i="70" a="1"/>
  <c r="Y9" i="77"/>
  <c r="O13" i="75" a="1"/>
  <c r="X7" i="63" a="1"/>
  <c r="M10" i="77" a="1"/>
  <c r="O6" i="63" a="1"/>
  <c r="W9" i="63" a="1"/>
  <c r="P7" i="69" a="1"/>
  <c r="V4" i="75"/>
  <c r="Q11" i="72"/>
  <c r="F5" i="68" a="1"/>
  <c r="Z4" i="72" a="1"/>
  <c r="W11" i="63" a="1"/>
  <c r="T12" i="71" a="1"/>
  <c r="W9" i="70" a="1"/>
  <c r="Y9" i="70"/>
  <c r="N7" i="70"/>
  <c r="M9" i="76" a="1"/>
  <c r="V9" i="63"/>
  <c r="L11" i="75" a="1"/>
  <c r="T10" i="77" a="1"/>
  <c r="Z10" i="74" a="1"/>
  <c r="Z11" i="63" a="1"/>
  <c r="N13" i="70"/>
  <c r="Q5" i="74"/>
  <c r="W5" i="63" a="1"/>
  <c r="P9" i="63" a="1"/>
  <c r="M7" i="63" a="1"/>
  <c r="R8" i="76" a="1"/>
  <c r="H10" i="68" a="1"/>
  <c r="X6" i="75" a="1"/>
  <c r="Q5" i="76"/>
  <c r="L13" i="74" a="1"/>
  <c r="P11" i="77" a="1"/>
  <c r="W9" i="75" a="1"/>
  <c r="M10" i="76" a="1"/>
  <c r="M4" i="71" a="1"/>
  <c r="W7" i="71" a="1"/>
  <c r="Y4" i="72"/>
  <c r="N8" i="63"/>
  <c r="L8" i="73" a="1"/>
  <c r="X13" i="71" a="1"/>
  <c r="R5" i="69" a="1"/>
  <c r="G9" i="68" a="1"/>
  <c r="V5" i="74"/>
  <c r="V8" i="69"/>
  <c r="X10" i="77" a="1"/>
  <c r="N6" i="70"/>
  <c r="M11" i="69" a="1"/>
  <c r="P12" i="77" a="1"/>
  <c r="L13" i="71" a="1"/>
  <c r="U12" i="77" a="1"/>
  <c r="L12" i="72" a="1"/>
  <c r="W12" i="71" a="1"/>
  <c r="T4" i="70" a="1"/>
  <c r="T4" i="74" a="1"/>
  <c r="P6" i="72" a="1"/>
  <c r="Q9" i="77"/>
  <c r="M11" i="73" a="1"/>
  <c r="U9" i="75" a="1"/>
  <c r="T5" i="69" a="1"/>
  <c r="V13" i="71"/>
  <c r="X4" i="72" a="1"/>
  <c r="V13" i="72"/>
  <c r="Z11" i="76" a="1"/>
  <c r="U10" i="77" a="1"/>
  <c r="M12" i="71" a="1"/>
  <c r="U13" i="72" a="1"/>
  <c r="N5" i="63"/>
  <c r="O11" i="63" a="1"/>
  <c r="X11" i="77" a="1"/>
  <c r="Y10" i="69"/>
  <c r="W10" i="71" a="1"/>
  <c r="V5" i="72"/>
  <c r="N6" i="75"/>
  <c r="O8" i="71" a="1"/>
  <c r="P8" i="63" a="1"/>
  <c r="U9" i="70" a="1"/>
  <c r="U9" i="74" a="1"/>
  <c r="W8" i="69" a="1"/>
  <c r="Z13" i="77" a="1"/>
  <c r="W9" i="73" a="1"/>
  <c r="T4" i="72" a="1"/>
  <c r="Q7" i="69"/>
  <c r="W4" i="69" a="1"/>
  <c r="O11" i="70" a="1"/>
  <c r="P8" i="72" a="1"/>
  <c r="L13" i="63" a="1"/>
  <c r="V7" i="69"/>
  <c r="M9" i="75" a="1"/>
  <c r="T6" i="77" a="1"/>
  <c r="Y12" i="71"/>
  <c r="T11" i="76" a="1"/>
  <c r="Y9" i="75"/>
  <c r="Z9" i="70" a="1"/>
  <c r="X9" i="77" a="1"/>
  <c r="L6" i="63" a="1"/>
  <c r="U12" i="71" a="1"/>
  <c r="M13" i="71" a="1"/>
  <c r="X12" i="76" a="1"/>
  <c r="R7" i="72" a="1"/>
  <c r="P5" i="63" a="1"/>
  <c r="T5" i="63" a="1"/>
  <c r="N4" i="72"/>
  <c r="Q9" i="72"/>
  <c r="L6" i="77" a="1"/>
  <c r="R7" i="73" a="1"/>
  <c r="U4" i="71" a="1"/>
  <c r="Y4" i="70"/>
  <c r="N6" i="74"/>
  <c r="U5" i="69" a="1"/>
  <c r="Z11" i="77" a="1"/>
  <c r="H6" i="68" a="1"/>
  <c r="X9" i="71" a="1"/>
  <c r="Z5" i="74" a="1"/>
  <c r="Q12" i="69"/>
  <c r="T12" i="75" a="1"/>
  <c r="R10" i="75" a="1"/>
  <c r="Z12" i="75" a="1"/>
  <c r="Q9" i="76"/>
  <c r="V8" i="63"/>
  <c r="U12" i="73" a="1"/>
  <c r="X13" i="76" a="1"/>
  <c r="M8" i="77" a="1"/>
  <c r="X6" i="76" a="1"/>
  <c r="M12" i="75" a="1"/>
  <c r="O5" i="71" a="1"/>
  <c r="P7" i="72" a="1"/>
  <c r="Q6" i="69"/>
  <c r="N12" i="76"/>
  <c r="V7" i="75"/>
  <c r="W13" i="63" a="1"/>
  <c r="P13" i="71" a="1"/>
  <c r="X7" i="72" a="1"/>
  <c r="X10" i="63" a="1"/>
  <c r="P13" i="72" a="1"/>
  <c r="M4" i="70" a="1"/>
  <c r="M10" i="75" a="1"/>
  <c r="Y4" i="77"/>
  <c r="T7" i="70" a="1"/>
  <c r="U8" i="74" a="1"/>
  <c r="V4" i="63"/>
  <c r="O4" i="72" a="1"/>
  <c r="X13" i="63" a="1"/>
  <c r="O9" i="69" a="1"/>
  <c r="Z9" i="71" a="1"/>
  <c r="R11" i="72" a="1"/>
  <c r="Z9" i="63" a="1"/>
  <c r="N9" i="77"/>
  <c r="T9" i="77" a="1"/>
  <c r="Z11" i="69" a="1"/>
  <c r="P6" i="75" a="1"/>
  <c r="U6" i="70" a="1"/>
  <c r="O8" i="63" a="1"/>
  <c r="Q4" i="76"/>
  <c r="L8" i="75" a="1"/>
  <c r="L4" i="72" a="1"/>
  <c r="P13" i="75" a="1"/>
  <c r="Y9" i="74"/>
  <c r="L7" i="74" a="1"/>
  <c r="N13" i="76"/>
  <c r="Q8" i="73"/>
  <c r="T9" i="70" a="1"/>
  <c r="Y10" i="74"/>
  <c r="W11" i="74" a="1"/>
  <c r="L10" i="75" a="1"/>
  <c r="W5" i="72" a="1"/>
  <c r="W10" i="69" a="1"/>
  <c r="T12" i="72" a="1"/>
  <c r="M9" i="71" a="1"/>
  <c r="P9" i="69" a="1"/>
  <c r="L9" i="75" a="1"/>
  <c r="P5" i="72" a="1"/>
  <c r="W6" i="71" a="1"/>
  <c r="L12" i="70" a="1"/>
  <c r="Z10" i="73" a="1"/>
  <c r="O4" i="76" a="1"/>
  <c r="T4" i="73" a="1"/>
  <c r="Y13" i="69"/>
  <c r="N6" i="69"/>
  <c r="R9" i="72" a="1"/>
  <c r="L4" i="73" a="1"/>
  <c r="R7" i="77" a="1"/>
  <c r="O9" i="75" a="1"/>
  <c r="X6" i="74" a="1"/>
  <c r="Z4" i="74" a="1"/>
  <c r="M13" i="77" a="1"/>
  <c r="V5" i="71"/>
  <c r="N9" i="69"/>
  <c r="Y5" i="74"/>
  <c r="V13" i="74"/>
  <c r="O9" i="72" a="1"/>
  <c r="T5" i="76" a="1"/>
  <c r="Z6" i="71" a="1"/>
  <c r="O6" i="75" a="1"/>
  <c r="U7" i="74" a="1"/>
  <c r="Y11" i="77"/>
  <c r="M6" i="76" a="1"/>
  <c r="U6" i="71" a="1"/>
  <c r="N8" i="77"/>
  <c r="L4" i="76" a="1"/>
  <c r="X6" i="70" a="1"/>
  <c r="M8" i="75" a="1"/>
  <c r="X11" i="76" a="1"/>
  <c r="P13" i="74" a="1"/>
  <c r="R11" i="63" a="1"/>
  <c r="U6" i="72" a="1"/>
  <c r="Q12" i="77"/>
  <c r="N11" i="74"/>
  <c r="U5" i="75" a="1"/>
  <c r="W12" i="75" a="1"/>
  <c r="N5" i="73"/>
  <c r="U4" i="69" a="1"/>
  <c r="W10" i="77" a="1"/>
  <c r="W10" i="70" a="1"/>
  <c r="V12" i="77"/>
  <c r="P10" i="75" a="1"/>
  <c r="P13" i="63" a="1"/>
  <c r="L9" i="69" a="1"/>
  <c r="T5" i="75" a="1"/>
  <c r="P7" i="63" a="1"/>
  <c r="U12" i="69" a="1"/>
  <c r="Y4" i="74"/>
  <c r="N7" i="63"/>
  <c r="M10" i="73" a="1"/>
  <c r="V11" i="72"/>
  <c r="O9" i="70" a="1"/>
  <c r="Z12" i="69" a="1"/>
  <c r="W7" i="72" a="1"/>
  <c r="Q11" i="75"/>
  <c r="N10" i="75"/>
  <c r="E3" i="68" a="1"/>
  <c r="V11" i="70"/>
  <c r="X12" i="72" a="1"/>
  <c r="O6" i="69" a="1"/>
  <c r="Z9" i="74" a="1"/>
  <c r="R12" i="72" a="1"/>
  <c r="N7" i="69"/>
  <c r="W9" i="71" a="1"/>
  <c r="Q4" i="63"/>
  <c r="L10" i="71" a="1"/>
  <c r="R4" i="76" a="1"/>
  <c r="Y5" i="70"/>
  <c r="W10" i="72" a="1"/>
  <c r="W4" i="70" a="1"/>
  <c r="T7" i="63" a="1"/>
  <c r="R6" i="71" a="1"/>
  <c r="W12" i="74" a="1"/>
  <c r="N5" i="70"/>
  <c r="N6" i="76"/>
  <c r="L4" i="75" a="1"/>
  <c r="W4" i="73" a="1"/>
  <c r="Y11" i="70"/>
  <c r="W6" i="72" a="1"/>
  <c r="L6" i="69" a="1"/>
  <c r="P6" i="74" a="1"/>
  <c r="Y12" i="72"/>
  <c r="Y13" i="72"/>
  <c r="V11" i="71"/>
  <c r="R9" i="76" a="1"/>
  <c r="L8" i="63" a="1"/>
  <c r="X4" i="63" a="1"/>
  <c r="O5" i="74" a="1"/>
  <c r="L5" i="77" a="1"/>
  <c r="R4" i="70" a="1"/>
  <c r="Z10" i="72" a="1"/>
  <c r="O10" i="70" a="1"/>
  <c r="Z8" i="76" a="1"/>
  <c r="Y12" i="73"/>
  <c r="Z9" i="69" a="1"/>
  <c r="V6" i="72"/>
  <c r="N7" i="77"/>
  <c r="N6" i="72"/>
  <c r="W9" i="72" a="1"/>
  <c r="L10" i="69" a="1"/>
  <c r="L5" i="63" a="1"/>
  <c r="Y12" i="69"/>
  <c r="Y7" i="76"/>
  <c r="T13" i="75" a="1"/>
  <c r="O11" i="69" a="1"/>
  <c r="R11" i="76" a="1"/>
  <c r="Z7" i="75" a="1"/>
  <c r="M6" i="72" a="1"/>
  <c r="N11" i="71"/>
  <c r="Z11" i="75" a="1"/>
  <c r="X9" i="76" a="1"/>
  <c r="Y6" i="74"/>
  <c r="W11" i="77" a="1"/>
  <c r="O9" i="77" a="1"/>
  <c r="N4" i="70"/>
  <c r="Q4" i="69"/>
  <c r="X11" i="75" a="1"/>
  <c r="L5" i="74" a="1"/>
  <c r="L6" i="76" a="1"/>
  <c r="X9" i="70" a="1"/>
  <c r="M10" i="72" a="1"/>
  <c r="O10" i="76" a="1"/>
  <c r="Q8" i="72"/>
  <c r="V12" i="63"/>
  <c r="V7" i="71"/>
  <c r="Y8" i="69"/>
  <c r="W5" i="70" a="1"/>
  <c r="Z9" i="73" a="1"/>
  <c r="R10" i="77" a="1"/>
  <c r="P7" i="71" a="1"/>
  <c r="L12" i="71" a="1"/>
  <c r="P4" i="71" a="1"/>
  <c r="U10" i="69" a="1"/>
  <c r="O8" i="72" a="1"/>
  <c r="L10" i="72" a="1"/>
  <c r="N9" i="74"/>
  <c r="N11" i="73"/>
  <c r="R12" i="75" a="1"/>
  <c r="T5" i="77" a="1"/>
  <c r="L8" i="77" a="1"/>
  <c r="P4" i="69" a="1"/>
  <c r="O5" i="77" a="1"/>
  <c r="V9" i="75"/>
  <c r="W8" i="75" a="1"/>
  <c r="Y7" i="75"/>
  <c r="X6" i="63" a="1"/>
  <c r="V11" i="74"/>
  <c r="U6" i="73" a="1"/>
  <c r="O7" i="69" a="1"/>
  <c r="Z13" i="70" a="1"/>
  <c r="W13" i="74" a="1"/>
  <c r="P11" i="73" a="1"/>
  <c r="L9" i="74" a="1"/>
  <c r="R13" i="75" a="1"/>
  <c r="U7" i="73" a="1"/>
  <c r="Z13" i="69" a="1"/>
  <c r="N13" i="73"/>
  <c r="U9" i="73" a="1"/>
  <c r="M12" i="76" a="1"/>
  <c r="W12" i="77" a="1"/>
  <c r="Q10" i="76"/>
  <c r="N9" i="73"/>
  <c r="Q13" i="63"/>
  <c r="F9" i="68" a="1"/>
  <c r="V7" i="70"/>
  <c r="X5" i="72" a="1"/>
  <c r="C12" i="68" a="1"/>
  <c r="X11" i="69" a="1"/>
  <c r="X11" i="74" a="1"/>
  <c r="V4" i="77"/>
  <c r="W13" i="76" a="1"/>
  <c r="R13" i="72" a="1"/>
  <c r="W13" i="71" a="1"/>
  <c r="Y10" i="73"/>
  <c r="Y4" i="63"/>
  <c r="P9" i="71" a="1"/>
  <c r="U5" i="71" a="1"/>
  <c r="R11" i="69" a="1"/>
  <c r="P9" i="73" a="1"/>
  <c r="Q8" i="69"/>
  <c r="T6" i="76" a="1"/>
  <c r="V13" i="73"/>
  <c r="N9" i="75"/>
  <c r="L9" i="71" a="1"/>
  <c r="O12" i="63" a="1"/>
  <c r="Q12" i="63"/>
  <c r="X8" i="69" a="1"/>
  <c r="Z13" i="72" a="1"/>
  <c r="N11" i="77"/>
  <c r="Q13" i="77"/>
  <c r="R8" i="77" a="1"/>
  <c r="O8" i="76" a="1"/>
  <c r="Q7" i="74"/>
  <c r="X5" i="70" a="1"/>
  <c r="X8" i="63" a="1"/>
  <c r="T13" i="70" a="1"/>
  <c r="Q7" i="63"/>
  <c r="O8" i="74" a="1"/>
  <c r="T4" i="71" a="1"/>
  <c r="R6" i="75" a="1"/>
  <c r="U7" i="75" a="1"/>
  <c r="Q11" i="74"/>
  <c r="Y7" i="74"/>
  <c r="Y10" i="76"/>
  <c r="L13" i="76" a="1"/>
  <c r="Z6" i="75" a="1"/>
  <c r="T10" i="74" a="1"/>
  <c r="Z9" i="76" a="1"/>
  <c r="X4" i="70" a="1"/>
  <c r="T11" i="73" a="1"/>
  <c r="C5" i="68" a="1"/>
  <c r="V8" i="73"/>
  <c r="R12" i="76" a="1"/>
  <c r="P10" i="69" a="1"/>
  <c r="W5" i="77" a="1"/>
  <c r="M5" i="76" a="1"/>
  <c r="O5" i="73" a="1"/>
  <c r="V6" i="76"/>
  <c r="L5" i="69" a="1"/>
  <c r="W8" i="73" a="1"/>
  <c r="P7" i="76" a="1"/>
  <c r="L5" i="73" a="1"/>
  <c r="R7" i="74" a="1"/>
  <c r="F6" i="68" a="1"/>
  <c r="V5" i="76"/>
  <c r="V13" i="76"/>
  <c r="P10" i="74" a="1"/>
  <c r="O13" i="69" a="1"/>
  <c r="W13" i="72" a="1"/>
  <c r="W11" i="76" a="1"/>
  <c r="Y7" i="77"/>
  <c r="M5" i="69" a="1"/>
  <c r="U7" i="76" a="1"/>
  <c r="Z4" i="69" a="1"/>
  <c r="Y6" i="76"/>
  <c r="M11" i="71" a="1"/>
  <c r="L10" i="63" a="1"/>
  <c r="G7" i="68" a="1"/>
  <c r="U12" i="72" a="1"/>
  <c r="W8" i="74" a="1"/>
  <c r="L9" i="63" a="1"/>
  <c r="D9" i="68" a="1"/>
  <c r="Y11" i="71"/>
  <c r="T12" i="70" a="1"/>
  <c r="W8" i="63" a="1"/>
  <c r="Q10" i="63"/>
  <c r="M4" i="63" a="1"/>
  <c r="M8" i="71" a="1"/>
  <c r="U10" i="71" a="1"/>
  <c r="Z8" i="71" a="1"/>
  <c r="L13" i="72" a="1"/>
  <c r="V7" i="72"/>
  <c r="R9" i="69" a="1"/>
  <c r="P12" i="74" a="1"/>
  <c r="R5" i="63" a="1"/>
  <c r="W6" i="74" a="1"/>
  <c r="Q13" i="74"/>
  <c r="V8" i="71"/>
  <c r="Y6" i="69"/>
  <c r="W4" i="63" a="1"/>
  <c r="R10" i="69" a="1"/>
  <c r="V9" i="72"/>
  <c r="T12" i="63" a="1"/>
  <c r="P4" i="72" a="1"/>
  <c r="O7" i="70" a="1"/>
  <c r="Y9" i="73"/>
  <c r="Q12" i="74"/>
  <c r="U10" i="70" a="1"/>
  <c r="L7" i="75" a="1"/>
  <c r="R5" i="76" a="1"/>
  <c r="Q8" i="71"/>
  <c r="Y7" i="63"/>
  <c r="Z6" i="69" a="1"/>
  <c r="Q12" i="71"/>
  <c r="P11" i="69" a="1"/>
  <c r="V5" i="70"/>
  <c r="T6" i="71" a="1"/>
  <c r="Z13" i="71" a="1"/>
  <c r="O8" i="77" a="1"/>
  <c r="Q8" i="76"/>
  <c r="Z8" i="69" a="1"/>
  <c r="P8" i="70" a="1"/>
  <c r="R7" i="70" a="1"/>
  <c r="R9" i="63" a="1"/>
  <c r="R13" i="71" a="1"/>
  <c r="T6" i="74" a="1"/>
  <c r="Z4" i="70" a="1"/>
  <c r="N12" i="63"/>
  <c r="Q7" i="73"/>
  <c r="T11" i="75" a="1"/>
  <c r="Q11" i="69"/>
  <c r="T4" i="63" a="1"/>
  <c r="P10" i="77" a="1"/>
  <c r="R12" i="73" a="1"/>
  <c r="T8" i="69" a="1"/>
  <c r="L13" i="70" a="1"/>
  <c r="T4" i="77" a="1"/>
  <c r="P8" i="77" a="1"/>
  <c r="T8" i="73" a="1"/>
  <c r="Q6" i="73"/>
  <c r="T6" i="72" a="1"/>
  <c r="M12" i="70" a="1"/>
  <c r="W4" i="71" a="1"/>
  <c r="W11" i="72" a="1"/>
  <c r="W7" i="74" a="1"/>
  <c r="Q11" i="76"/>
  <c r="O6" i="74" a="1"/>
  <c r="X12" i="70" a="1"/>
  <c r="P13" i="76" a="1"/>
  <c r="C4" i="68" a="1"/>
  <c r="W6" i="75" a="1"/>
  <c r="I6" i="68" a="1"/>
  <c r="V12" i="74"/>
  <c r="R8" i="75" a="1"/>
  <c r="Z4" i="73" a="1"/>
  <c r="T7" i="77" a="1"/>
  <c r="O10" i="71" a="1"/>
  <c r="Y6" i="72"/>
  <c r="W4" i="75" a="1"/>
  <c r="X13" i="77" a="1"/>
  <c r="M9" i="70" a="1"/>
  <c r="Q9" i="71"/>
  <c r="U13" i="73" a="1"/>
  <c r="U8" i="63" a="1"/>
  <c r="Y8" i="70"/>
  <c r="Z7" i="71" a="1"/>
  <c r="M5" i="63" a="1"/>
  <c r="Q12" i="72"/>
  <c r="Y7" i="71"/>
  <c r="Z10" i="75" a="1"/>
  <c r="V8" i="70"/>
  <c r="T11" i="74" a="1"/>
  <c r="Z7" i="69" a="1"/>
  <c r="Z12" i="73" a="1"/>
  <c r="L10" i="73" a="1"/>
  <c r="Y11" i="75"/>
  <c r="U7" i="77" a="1"/>
  <c r="R4" i="69" a="1"/>
  <c r="Q9" i="63"/>
  <c r="Y8" i="76"/>
  <c r="U5" i="73" a="1"/>
  <c r="R6" i="69" a="1"/>
  <c r="L12" i="76" a="1"/>
  <c r="O11" i="74" a="1"/>
  <c r="X13" i="74" a="1"/>
  <c r="N11" i="72"/>
  <c r="P5" i="74" a="1"/>
  <c r="N10" i="72"/>
  <c r="Q11" i="73"/>
  <c r="O10" i="75" a="1"/>
  <c r="N12" i="73"/>
  <c r="W11" i="70" a="1"/>
  <c r="M8" i="74" a="1"/>
  <c r="V5" i="69"/>
  <c r="P6" i="71" a="1"/>
  <c r="W5" i="69" a="1"/>
  <c r="G8" i="68" a="1"/>
  <c r="Z10" i="63" a="1"/>
  <c r="T9" i="75" a="1"/>
  <c r="R8" i="63" a="1"/>
  <c r="R6" i="72" a="1"/>
  <c r="W6" i="70" a="1"/>
  <c r="V12" i="75"/>
  <c r="T8" i="72" a="1"/>
  <c r="U7" i="69" a="1"/>
  <c r="U8" i="75" a="1"/>
  <c r="P5" i="71" a="1"/>
  <c r="M10" i="69" a="1"/>
  <c r="N8" i="74"/>
  <c r="Q10" i="71"/>
  <c r="X6" i="73" a="1"/>
  <c r="Q5" i="63"/>
  <c r="L10" i="77" a="1"/>
  <c r="T9" i="69" a="1"/>
  <c r="U10" i="75" a="1"/>
  <c r="V11" i="73"/>
  <c r="L10" i="74" a="1"/>
  <c r="P11" i="71" a="1"/>
  <c r="M6" i="74" a="1"/>
  <c r="O5" i="75" a="1"/>
  <c r="W10" i="74" a="1"/>
  <c r="R10" i="76" a="1"/>
  <c r="N4" i="69"/>
  <c r="L13" i="69" a="1"/>
  <c r="Q10" i="72"/>
  <c r="V10" i="76"/>
  <c r="H8" i="68" a="1"/>
  <c r="L11" i="70" a="1"/>
  <c r="T8" i="75" a="1"/>
  <c r="X9" i="63" a="1"/>
  <c r="E12" i="68" a="1"/>
  <c r="W10" i="76" a="1"/>
  <c r="Z8" i="75" a="1"/>
  <c r="M7" i="69" a="1"/>
  <c r="P5" i="75" a="1"/>
  <c r="U8" i="70" a="1"/>
  <c r="V9" i="69"/>
  <c r="X8" i="73" a="1"/>
  <c r="V4" i="73"/>
  <c r="X7" i="76" a="1"/>
  <c r="Q12" i="73"/>
  <c r="P12" i="71" a="1"/>
  <c r="Q4" i="73"/>
  <c r="Q6" i="76"/>
  <c r="Z6" i="73" a="1"/>
  <c r="R13" i="63" a="1"/>
  <c r="Y6" i="75"/>
  <c r="L6" i="71" a="1"/>
  <c r="R10" i="71" a="1"/>
  <c r="N5" i="77"/>
  <c r="T11" i="70" a="1"/>
  <c r="D5" i="68" a="1"/>
  <c r="P10" i="76" a="1"/>
  <c r="M5" i="75" a="1"/>
  <c r="Z8" i="74" a="1"/>
  <c r="W7" i="70" a="1"/>
  <c r="O5" i="69" a="1"/>
  <c r="X5" i="63" a="1"/>
  <c r="Q5" i="71"/>
  <c r="X10" i="71" a="1"/>
  <c r="R13" i="74" a="1"/>
  <c r="V4" i="72"/>
  <c r="X7" i="73" a="1"/>
  <c r="T5" i="70" a="1"/>
  <c r="X13" i="73" a="1"/>
  <c r="R6" i="63" a="1"/>
  <c r="Y9" i="71"/>
  <c r="Q10" i="73"/>
  <c r="X12" i="69" a="1"/>
  <c r="U11" i="75" a="1"/>
  <c r="F12" i="68" a="1"/>
  <c r="L13" i="73" a="1"/>
  <c r="R5" i="72" a="1"/>
  <c r="Q4" i="72"/>
  <c r="Z8" i="77" a="1"/>
  <c r="M11" i="74" a="1"/>
  <c r="O8" i="73" a="1"/>
  <c r="F7" i="68" a="1"/>
  <c r="H9" i="68" a="1"/>
  <c r="P12" i="70" a="1"/>
  <c r="M7" i="75" a="1"/>
  <c r="G10" i="68" a="1"/>
  <c r="N8" i="73"/>
  <c r="O4" i="75" a="1"/>
  <c r="N9" i="72"/>
  <c r="Z4" i="71" a="1"/>
  <c r="X10" i="74" a="1"/>
  <c r="Q5" i="72"/>
  <c r="M13" i="76" a="1"/>
  <c r="W5" i="73" a="1"/>
  <c r="V9" i="74"/>
  <c r="Z12" i="76" a="1"/>
  <c r="R4" i="73" a="1"/>
  <c r="P9" i="70" a="1"/>
  <c r="L7" i="73" a="1"/>
  <c r="F3" i="68" a="1"/>
  <c r="L8" i="72" a="1"/>
  <c r="P8" i="74" a="1"/>
  <c r="P7" i="74" a="1"/>
  <c r="Z13" i="76" a="1"/>
  <c r="L11" i="77" a="1"/>
  <c r="X13" i="72" a="1"/>
  <c r="Z8" i="70" a="1"/>
  <c r="O7" i="73" a="1"/>
  <c r="O10" i="77" a="1"/>
  <c r="M7" i="77" a="1"/>
  <c r="P6" i="70" a="1"/>
  <c r="Z11" i="72" a="1"/>
  <c r="U12" i="76" a="1"/>
  <c r="P8" i="71" a="1"/>
  <c r="N12" i="69"/>
  <c r="Q11" i="63"/>
  <c r="W11" i="73" a="1"/>
  <c r="U10" i="76" a="1"/>
  <c r="C10" i="68" a="1"/>
  <c r="W5" i="71" a="1"/>
  <c r="M8" i="76" a="1"/>
  <c r="U7" i="72" a="1"/>
  <c r="Z4" i="76" a="1"/>
  <c r="Y10" i="63"/>
  <c r="L12" i="77" a="1"/>
  <c r="Z10" i="71" a="1"/>
  <c r="R13" i="76" a="1"/>
  <c r="M10" i="71" a="1"/>
  <c r="T4" i="75" a="1"/>
  <c r="R6" i="76" a="1"/>
  <c r="X4" i="71" a="1"/>
  <c r="N7" i="71"/>
  <c r="X10" i="69" a="1"/>
  <c r="N8" i="72"/>
  <c r="Y5" i="71"/>
  <c r="V10" i="70"/>
  <c r="V10" i="73"/>
  <c r="W9" i="74" a="1"/>
  <c r="D4" i="68" a="1"/>
  <c r="L7" i="71" a="1"/>
  <c r="P5" i="70" a="1"/>
  <c r="O8" i="69" a="1"/>
  <c r="Q10" i="69"/>
  <c r="R4" i="72" a="1"/>
  <c r="U6" i="77" a="1"/>
  <c r="N7" i="72"/>
  <c r="L5" i="71" a="1"/>
  <c r="N7" i="74"/>
  <c r="O6" i="71" a="1"/>
  <c r="Q7" i="77"/>
  <c r="U5" i="74" a="1"/>
  <c r="U9" i="72" a="1"/>
  <c r="L7" i="70" a="1"/>
  <c r="I4" i="68" a="1"/>
  <c r="Y8" i="72"/>
  <c r="Q6" i="75"/>
  <c r="U8" i="76" a="1"/>
  <c r="N10" i="73"/>
  <c r="T9" i="73" a="1"/>
  <c r="Y13" i="63"/>
  <c r="H11" i="68" a="1"/>
  <c r="N4" i="74"/>
  <c r="T13" i="73" a="1"/>
  <c r="C8" i="68" a="1"/>
  <c r="T5" i="71" a="1"/>
  <c r="Q13" i="73"/>
  <c r="O11" i="71" a="1"/>
  <c r="U8" i="69" a="1"/>
  <c r="R7" i="76" a="1"/>
  <c r="P9" i="74" a="1"/>
  <c r="N11" i="76"/>
  <c r="V8" i="74"/>
  <c r="V10" i="74"/>
  <c r="L11" i="72" a="1"/>
  <c r="Y13" i="70"/>
  <c r="M6" i="73" a="1"/>
  <c r="T8" i="71" a="1"/>
  <c r="Y5" i="77"/>
  <c r="Z8" i="72" a="1"/>
  <c r="M9" i="69" a="1"/>
  <c r="L11" i="69" a="1"/>
  <c r="O10" i="63" a="1"/>
  <c r="W12" i="70" a="1"/>
  <c r="M13" i="74" a="1"/>
  <c r="T11" i="71" a="1"/>
  <c r="W8" i="70" a="1"/>
  <c r="Y6" i="77"/>
  <c r="M4" i="74" a="1"/>
  <c r="O9" i="76" a="1"/>
  <c r="Z5" i="72" a="1"/>
  <c r="U13" i="70" a="1"/>
  <c r="P8" i="76" a="1"/>
  <c r="Z6" i="72" a="1"/>
  <c r="M4" i="72" a="1"/>
  <c r="Q6" i="72"/>
  <c r="N4" i="75"/>
  <c r="Q4" i="75"/>
  <c r="V6" i="71"/>
  <c r="M12" i="69" a="1"/>
  <c r="N8" i="70"/>
  <c r="L8" i="69" a="1"/>
  <c r="W9" i="76" a="1"/>
  <c r="W6" i="73" a="1"/>
  <c r="X12" i="63" a="1"/>
  <c r="U5" i="72" a="1"/>
  <c r="X4" i="73" a="1"/>
  <c r="Z13" i="74" a="1"/>
  <c r="U11" i="69" a="1"/>
  <c r="M13" i="70" a="1"/>
  <c r="R13" i="69" a="1"/>
  <c r="E5" i="68" a="1"/>
  <c r="R12" i="69" a="1"/>
  <c r="L7" i="76" a="1"/>
  <c r="X10" i="76" a="1"/>
  <c r="W8" i="76" a="1"/>
  <c r="Y12" i="70"/>
  <c r="U4" i="77" a="1"/>
  <c r="Z5" i="76" a="1"/>
  <c r="U7" i="70" a="1"/>
  <c r="P8" i="73" a="1"/>
  <c r="D12" i="68" a="1"/>
  <c r="U10" i="74" a="1"/>
  <c r="Q7" i="75"/>
  <c r="Y6" i="71"/>
  <c r="F10" i="68" a="1"/>
  <c r="V5" i="73"/>
  <c r="Q6" i="74"/>
  <c r="U11" i="70" a="1"/>
  <c r="R11" i="71" a="1"/>
  <c r="Z5" i="63" a="1"/>
  <c r="R5" i="77" a="1"/>
  <c r="T11" i="69" a="1"/>
  <c r="L5" i="76" a="1"/>
  <c r="U4" i="73" a="1"/>
  <c r="G5" i="68" a="1"/>
  <c r="U7" i="71" a="1"/>
  <c r="Q7" i="76"/>
  <c r="V7" i="76"/>
  <c r="R10" i="70" a="1"/>
  <c r="X12" i="75" a="1"/>
  <c r="O12" i="76" a="1"/>
  <c r="P4" i="77" a="1"/>
  <c r="M4" i="75" a="1"/>
  <c r="N10" i="74"/>
  <c r="Y10" i="70"/>
  <c r="V9" i="70"/>
  <c r="V6" i="75"/>
  <c r="O10" i="69" a="1"/>
  <c r="O9" i="63" a="1"/>
  <c r="P6" i="63" a="1"/>
  <c r="L12" i="63" a="1"/>
  <c r="O12" i="69" a="1"/>
  <c r="R6" i="70" a="1"/>
  <c r="N12" i="70"/>
  <c r="P11" i="74" a="1"/>
  <c r="X4" i="74" a="1"/>
  <c r="T8" i="74" a="1"/>
  <c r="U6" i="69" a="1"/>
  <c r="Z9" i="75" a="1"/>
  <c r="X9" i="74" a="1"/>
  <c r="V10" i="75"/>
  <c r="T10" i="70" a="1"/>
  <c r="Z9" i="77" a="1"/>
  <c r="M11" i="70" a="1"/>
  <c r="V7" i="63"/>
  <c r="P11" i="75" a="1"/>
  <c r="M8" i="70" a="1"/>
  <c r="O6" i="73" a="1"/>
  <c r="M9" i="73" a="1"/>
  <c r="R9" i="74" a="1"/>
  <c r="R10" i="63" a="1"/>
  <c r="U8" i="71" a="1"/>
  <c r="N4" i="63"/>
  <c r="Q8" i="63"/>
  <c r="Y8" i="74"/>
  <c r="P12" i="69" a="1"/>
  <c r="O13" i="72" a="1"/>
  <c r="P13" i="77" a="1"/>
  <c r="X11" i="72" a="1"/>
  <c r="Y6" i="70"/>
  <c r="R7" i="69" a="1"/>
  <c r="M7" i="76" a="1"/>
  <c r="V10" i="63"/>
  <c r="T6" i="63" a="1"/>
  <c r="T8" i="70" a="1"/>
  <c r="O4" i="70" a="1"/>
  <c r="U11" i="74" a="1"/>
  <c r="M13" i="63" a="1"/>
  <c r="L4" i="69" a="1"/>
  <c r="Q4" i="77"/>
  <c r="E8" i="68" a="1"/>
  <c r="U6" i="74" a="1"/>
  <c r="P13" i="69" a="1"/>
  <c r="V9" i="71"/>
  <c r="X7" i="70" a="1"/>
  <c r="T6" i="69" a="1"/>
  <c r="W7" i="63" a="1"/>
  <c r="R9" i="70" a="1"/>
  <c r="V7" i="73"/>
  <c r="L4" i="63" a="1"/>
  <c r="N10" i="77"/>
  <c r="V6" i="77"/>
  <c r="T9" i="71" a="1"/>
  <c r="Q7" i="72"/>
  <c r="V4" i="70"/>
  <c r="L12" i="74" a="1"/>
  <c r="T13" i="69" a="1"/>
  <c r="M5" i="70" a="1"/>
  <c r="P4" i="74" a="1"/>
  <c r="Q11" i="70"/>
  <c r="Z4" i="75" a="1"/>
  <c r="Y6" i="63"/>
  <c r="Z7" i="72" a="1"/>
  <c r="W13" i="69" a="1"/>
  <c r="U12" i="74" a="1"/>
  <c r="Q13" i="71"/>
  <c r="W7" i="76" a="1"/>
  <c r="N5" i="72"/>
  <c r="Q6" i="70"/>
  <c r="U6" i="63" a="1"/>
  <c r="L9" i="76" a="1"/>
  <c r="U11" i="73" a="1"/>
  <c r="T10" i="71" a="1"/>
  <c r="W4" i="77" a="1"/>
  <c r="N7" i="75"/>
  <c r="W12" i="63" a="1"/>
  <c r="T7" i="74" a="1"/>
  <c r="U4" i="75" a="1"/>
  <c r="U11" i="63" a="1"/>
  <c r="O11" i="75" a="1"/>
  <c r="V13" i="77"/>
  <c r="N12" i="75"/>
  <c r="Y8" i="77"/>
  <c r="X8" i="74" a="1"/>
  <c r="Q7" i="71"/>
  <c r="W8" i="72" a="1"/>
  <c r="P10" i="71" a="1"/>
  <c r="Q5" i="77"/>
  <c r="T11" i="72" a="1"/>
  <c r="M6" i="70" a="1"/>
  <c r="L5" i="70" a="1"/>
  <c r="M12" i="63" a="1"/>
  <c r="T7" i="71" a="1"/>
  <c r="M4" i="76" a="1"/>
  <c r="P7" i="75" a="1"/>
  <c r="Q9" i="74"/>
  <c r="Z13" i="63" a="1"/>
  <c r="Z12" i="72" a="1"/>
  <c r="N10" i="71"/>
  <c r="T13" i="72" a="1"/>
  <c r="X9" i="72" a="1"/>
  <c r="Z7" i="76" a="1"/>
  <c r="T7" i="73" a="1"/>
  <c r="Z6" i="70" a="1"/>
  <c r="Y4" i="76"/>
  <c r="P5" i="73" a="1"/>
  <c r="O12" i="72" a="1"/>
  <c r="X5" i="69" a="1"/>
  <c r="X10" i="70" a="1"/>
  <c r="W7" i="73" a="1"/>
  <c r="P12" i="63" a="1"/>
  <c r="Y13" i="73"/>
  <c r="T7" i="69" a="1"/>
  <c r="T13" i="76" a="1"/>
  <c r="M12" i="77" a="1"/>
  <c r="T9" i="63" a="1"/>
  <c r="T9" i="76" a="1"/>
  <c r="N13" i="69"/>
  <c r="M8" i="63" a="1"/>
  <c r="N4" i="71"/>
  <c r="M5" i="74" a="1"/>
  <c r="P5" i="69" a="1"/>
  <c r="P10" i="73" a="1"/>
  <c r="Y5" i="69"/>
  <c r="U5" i="63" a="1"/>
  <c r="R10" i="73" a="1"/>
  <c r="M13" i="69" a="1"/>
  <c r="R11" i="77" a="1"/>
  <c r="Q5" i="69"/>
  <c r="T11" i="63" a="1"/>
  <c r="W12" i="76" a="1"/>
  <c r="P4" i="70" a="1"/>
  <c r="P13" i="70" a="1"/>
  <c r="O4" i="73" a="1"/>
  <c r="R11" i="70" a="1"/>
  <c r="L11" i="71" a="1"/>
  <c r="Q5" i="75"/>
  <c r="R8" i="70" a="1"/>
  <c r="Q8" i="75"/>
  <c r="P4" i="73" a="1"/>
  <c r="O11" i="76" a="1"/>
  <c r="U8" i="73" a="1"/>
  <c r="X11" i="63" a="1"/>
  <c r="V12" i="72"/>
  <c r="Q12" i="75"/>
  <c r="H3" i="68" a="1"/>
  <c r="W8" i="71" a="1"/>
  <c r="R6" i="77" a="1"/>
  <c r="R5" i="75" a="1"/>
  <c r="G3" i="68" a="1"/>
  <c r="Q10" i="70"/>
  <c r="Y12" i="76"/>
  <c r="N9" i="71"/>
  <c r="T13" i="74" a="1"/>
  <c r="M4" i="73" a="1"/>
  <c r="X6" i="77" a="1"/>
  <c r="N9" i="76"/>
  <c r="T5" i="72" a="1"/>
  <c r="M9" i="72" a="1"/>
  <c r="Z11" i="70" a="1"/>
  <c r="O11" i="72" a="1"/>
  <c r="W7" i="77" a="1"/>
  <c r="O11" i="77" a="1"/>
  <c r="Y11" i="69"/>
  <c r="P12" i="73" a="1"/>
  <c r="L10" i="70" a="1"/>
  <c r="X13" i="69" a="1"/>
  <c r="Z13" i="75" a="1"/>
  <c r="O8" i="70" a="1"/>
  <c r="V8" i="76"/>
  <c r="C9" i="68" a="1"/>
  <c r="W13" i="70" a="1"/>
  <c r="M4" i="77" a="1"/>
  <c r="U10" i="63" a="1"/>
  <c r="O7" i="77" a="1"/>
  <c r="F8" i="68" a="1"/>
  <c r="Y5" i="72"/>
  <c r="Y5" i="63"/>
  <c r="Q5" i="73"/>
  <c r="O12" i="77" a="1"/>
  <c r="Y11" i="73"/>
  <c r="R4" i="71" a="1"/>
  <c r="O4" i="71" a="1"/>
  <c r="V11" i="63"/>
  <c r="R5" i="70" a="1"/>
  <c r="X8" i="75" a="1"/>
  <c r="Q9" i="73"/>
  <c r="Z10" i="69" a="1"/>
  <c r="O13" i="71" a="1"/>
  <c r="Y12" i="77"/>
  <c r="D8" i="68" a="1"/>
  <c r="M12" i="73" a="1"/>
  <c r="P10" i="63" a="1"/>
  <c r="O4" i="63" a="1"/>
  <c r="P13" i="73" a="1"/>
  <c r="R6" i="73" a="1"/>
  <c r="X5" i="77" a="1"/>
  <c r="L6" i="74" a="1"/>
  <c r="V6" i="73"/>
  <c r="X6" i="69" a="1"/>
  <c r="Y13" i="71"/>
  <c r="N11" i="70"/>
  <c r="L12" i="69" a="1"/>
  <c r="U13" i="77" a="1"/>
  <c r="U13" i="69" a="1"/>
  <c r="T7" i="72" a="1"/>
  <c r="R13" i="73" a="1"/>
  <c r="O9" i="74" a="1"/>
  <c r="O4" i="77" a="1"/>
  <c r="O6" i="77" a="1"/>
  <c r="W4" i="74" a="1"/>
  <c r="N6" i="63"/>
  <c r="O12" i="75" a="1"/>
  <c r="V8" i="72"/>
  <c r="W13" i="75" a="1"/>
  <c r="M8" i="72" a="1"/>
  <c r="G6" i="68" a="1"/>
  <c r="I10" i="68" a="1"/>
  <c r="Z7" i="70" a="1"/>
  <c r="V12" i="70"/>
  <c r="Y13" i="76"/>
  <c r="I8" i="68" a="1"/>
  <c r="X5" i="74" a="1"/>
  <c r="I9" i="68" a="1"/>
  <c r="L7" i="63" a="1"/>
  <c r="N8" i="75"/>
  <c r="P12" i="75" a="1"/>
  <c r="O7" i="76" a="1"/>
  <c r="Y13" i="75"/>
  <c r="N12" i="71"/>
  <c r="X10" i="72" a="1"/>
  <c r="L7" i="72" a="1"/>
  <c r="R4" i="74" a="1"/>
  <c r="Y9" i="72"/>
  <c r="U8" i="72" a="1"/>
  <c r="X8" i="70" a="1"/>
  <c r="U8" i="77" a="1"/>
  <c r="N13" i="74"/>
  <c r="I5" i="68" a="1"/>
  <c r="U13" i="71" a="1"/>
  <c r="Y11" i="72"/>
  <c r="U11" i="76" a="1"/>
  <c r="U13" i="76" a="1"/>
  <c r="X6" i="71" a="1"/>
  <c r="V7" i="74"/>
  <c r="N4" i="76"/>
  <c r="Z12" i="71" a="1"/>
  <c r="O7" i="72" a="1"/>
  <c r="M11" i="76" a="1"/>
  <c r="C11" i="68" a="1"/>
  <c r="Y10" i="77"/>
  <c r="N11" i="69"/>
  <c r="W11" i="75" a="1"/>
  <c r="X7" i="71" a="1"/>
  <c r="Z9" i="72" a="1"/>
  <c r="U4" i="72" a="1"/>
  <c r="N9" i="70"/>
  <c r="P9" i="77" a="1"/>
  <c r="L9" i="70" a="1"/>
  <c r="X5" i="71" a="1"/>
  <c r="U6" i="76" a="1"/>
  <c r="H7" i="68" a="1"/>
  <c r="M12" i="74" a="1"/>
  <c r="P9" i="76" a="1"/>
  <c r="M5" i="71" a="1"/>
  <c r="O13" i="70" a="1"/>
  <c r="Q11" i="77"/>
  <c r="M7" i="73" a="1"/>
  <c r="M13" i="72" a="1"/>
  <c r="X4" i="76" a="1"/>
  <c r="T8" i="63" a="1"/>
  <c r="W4" i="72" a="1"/>
  <c r="Y12" i="74"/>
  <c r="R13" i="70" a="1"/>
  <c r="Q5" i="70"/>
  <c r="L11" i="76" a="1"/>
  <c r="X5" i="76" a="1"/>
  <c r="U13" i="74" a="1"/>
  <c r="U12" i="63" a="1"/>
  <c r="W13" i="77" a="1"/>
  <c r="W9" i="77" a="1"/>
  <c r="L8" i="74" a="1"/>
  <c r="Z8" i="73" a="1"/>
  <c r="R5" i="73" a="1"/>
  <c r="U11" i="77" a="1"/>
  <c r="T4" i="76" a="1"/>
  <c r="L4" i="74" a="1"/>
  <c r="T10" i="69" a="1"/>
  <c r="N13" i="71"/>
  <c r="M6" i="77" a="1"/>
  <c r="X9" i="69" a="1"/>
  <c r="U5" i="70" a="1"/>
  <c r="N7" i="76"/>
  <c r="H12" i="68" a="1"/>
  <c r="U9" i="63" a="1"/>
  <c r="W12" i="73" a="1"/>
  <c r="Q13" i="76"/>
  <c r="W9" i="69" a="1"/>
  <c r="V12" i="73"/>
  <c r="X12" i="73" a="1"/>
  <c r="X13" i="70" a="1"/>
  <c r="L4" i="71" a="1"/>
  <c r="T12" i="73" a="1"/>
  <c r="V4" i="71"/>
  <c r="X9" i="73" a="1"/>
  <c r="Z5" i="70" a="1"/>
  <c r="T5" i="73" a="1"/>
  <c r="V13" i="75"/>
  <c r="M7" i="71" a="1"/>
  <c r="Z12" i="74" a="1"/>
  <c r="Y4" i="75"/>
  <c r="X10" i="73" a="1"/>
  <c r="Y11" i="76"/>
  <c r="W5" i="76" a="1"/>
  <c r="W6" i="76" a="1"/>
  <c r="M6" i="71" a="1"/>
  <c r="M5" i="72" a="1"/>
  <c r="W7" i="75" a="1"/>
  <c r="U9" i="71" a="1"/>
  <c r="N7" i="73"/>
  <c r="Z5" i="75" a="1"/>
  <c r="L8" i="70" a="1"/>
  <c r="N8" i="71"/>
  <c r="G12" i="68" a="1"/>
  <c r="Z6" i="77" a="1"/>
  <c r="U5" i="76" a="1"/>
  <c r="Q9" i="70"/>
  <c r="R10" i="74" a="1"/>
  <c r="Z10" i="76" a="1"/>
  <c r="W6" i="77" a="1"/>
  <c r="N10" i="70"/>
  <c r="R7" i="75" a="1"/>
  <c r="Y9" i="63"/>
  <c r="Y10" i="71"/>
  <c r="I4" i="23" a="1"/>
  <c r="H4" i="23" a="1"/>
  <c r="R7" i="75" l="1"/>
  <c r="W6" i="77"/>
  <c r="Z10" i="76"/>
  <c r="R10" i="74"/>
  <c r="U5" i="76"/>
  <c r="Z6" i="77"/>
  <c r="G12" i="68"/>
  <c r="L8" i="70"/>
  <c r="Z5" i="75"/>
  <c r="U9" i="71"/>
  <c r="W7" i="75"/>
  <c r="M5" i="72"/>
  <c r="M6" i="71"/>
  <c r="W6" i="76"/>
  <c r="W5" i="76"/>
  <c r="X10" i="73"/>
  <c r="Z12" i="74"/>
  <c r="M7" i="71"/>
  <c r="T5" i="73"/>
  <c r="Z5" i="70"/>
  <c r="X9" i="73"/>
  <c r="T12" i="73"/>
  <c r="L4" i="71"/>
  <c r="L14" i="71" s="1"/>
  <c r="X13" i="70"/>
  <c r="X12" i="73"/>
  <c r="W9" i="69"/>
  <c r="W12" i="73"/>
  <c r="U9" i="63"/>
  <c r="H12" i="68"/>
  <c r="U5" i="70"/>
  <c r="X9" i="69"/>
  <c r="M6" i="77"/>
  <c r="T10" i="69"/>
  <c r="L4" i="74"/>
  <c r="L14" i="74" s="1"/>
  <c r="L15" i="74" s="1"/>
  <c r="T4" i="76"/>
  <c r="T14" i="76" s="1"/>
  <c r="T15" i="76" s="1"/>
  <c r="U11" i="77"/>
  <c r="R5" i="73"/>
  <c r="Z8" i="73"/>
  <c r="L8" i="74"/>
  <c r="W9" i="77"/>
  <c r="W13" i="77"/>
  <c r="U12" i="63"/>
  <c r="U13" i="74"/>
  <c r="X5" i="76"/>
  <c r="L11" i="76"/>
  <c r="R13" i="70"/>
  <c r="W4" i="72"/>
  <c r="T8" i="63"/>
  <c r="X4" i="76"/>
  <c r="M13" i="72"/>
  <c r="M7" i="73"/>
  <c r="O13" i="70"/>
  <c r="M5" i="71"/>
  <c r="P9" i="76"/>
  <c r="M12" i="74"/>
  <c r="H7" i="68"/>
  <c r="U6" i="76"/>
  <c r="X5" i="71"/>
  <c r="L9" i="70"/>
  <c r="P9" i="77"/>
  <c r="U4" i="72"/>
  <c r="Z9" i="72"/>
  <c r="X7" i="71"/>
  <c r="W11" i="75"/>
  <c r="C11" i="68"/>
  <c r="M11" i="76"/>
  <c r="O7" i="72"/>
  <c r="Z12" i="71"/>
  <c r="X6" i="71"/>
  <c r="U13" i="76"/>
  <c r="U11" i="76"/>
  <c r="U13" i="71"/>
  <c r="I5" i="68"/>
  <c r="U8" i="77"/>
  <c r="X8" i="70"/>
  <c r="U8" i="72"/>
  <c r="R4" i="74"/>
  <c r="L7" i="72"/>
  <c r="X10" i="72"/>
  <c r="O7" i="76"/>
  <c r="P12" i="75"/>
  <c r="L7" i="63"/>
  <c r="I9" i="68"/>
  <c r="X5" i="74"/>
  <c r="I8" i="68"/>
  <c r="Z7" i="70"/>
  <c r="I10" i="68"/>
  <c r="G6" i="68"/>
  <c r="M8" i="72"/>
  <c r="W13" i="75"/>
  <c r="O12" i="75"/>
  <c r="W4" i="74"/>
  <c r="O6" i="77"/>
  <c r="O4" i="77"/>
  <c r="O9" i="74"/>
  <c r="R13" i="73"/>
  <c r="T7" i="72"/>
  <c r="U13" i="69"/>
  <c r="U13" i="77"/>
  <c r="L12" i="69"/>
  <c r="X6" i="69"/>
  <c r="L6" i="74"/>
  <c r="X5" i="77"/>
  <c r="R6" i="73"/>
  <c r="P13" i="73"/>
  <c r="O4" i="63"/>
  <c r="P10" i="63"/>
  <c r="M12" i="73"/>
  <c r="D8" i="68"/>
  <c r="O13" i="71"/>
  <c r="Z10" i="69"/>
  <c r="X8" i="75"/>
  <c r="R5" i="70"/>
  <c r="O4" i="71"/>
  <c r="R4" i="71"/>
  <c r="O12" i="77"/>
  <c r="F8" i="68"/>
  <c r="O7" i="77"/>
  <c r="U10" i="63"/>
  <c r="M4" i="77"/>
  <c r="W13" i="70"/>
  <c r="C9" i="68"/>
  <c r="O8" i="70"/>
  <c r="Z13" i="75"/>
  <c r="X13" i="69"/>
  <c r="L10" i="70"/>
  <c r="P12" i="73"/>
  <c r="O11" i="77"/>
  <c r="W7" i="77"/>
  <c r="O11" i="72"/>
  <c r="Z11" i="70"/>
  <c r="M9" i="72"/>
  <c r="T5" i="72"/>
  <c r="X6" i="77"/>
  <c r="M4" i="73"/>
  <c r="T13" i="74"/>
  <c r="G3" i="68"/>
  <c r="R5" i="75"/>
  <c r="R6" i="77"/>
  <c r="W8" i="71"/>
  <c r="H3" i="68"/>
  <c r="X11" i="63"/>
  <c r="U8" i="73"/>
  <c r="O11" i="76"/>
  <c r="P4" i="73"/>
  <c r="R8" i="70"/>
  <c r="L11" i="71"/>
  <c r="R11" i="70"/>
  <c r="O4" i="73"/>
  <c r="P13" i="70"/>
  <c r="P4" i="70"/>
  <c r="W12" i="76"/>
  <c r="T11" i="63"/>
  <c r="R11" i="77"/>
  <c r="M13" i="69"/>
  <c r="R10" i="73"/>
  <c r="U5" i="63"/>
  <c r="P10" i="73"/>
  <c r="P5" i="69"/>
  <c r="M5" i="74"/>
  <c r="M8" i="63"/>
  <c r="T9" i="76"/>
  <c r="T9" i="63"/>
  <c r="M12" i="77"/>
  <c r="T13" i="76"/>
  <c r="T7" i="69"/>
  <c r="P12" i="63"/>
  <c r="W7" i="73"/>
  <c r="X10" i="70"/>
  <c r="X5" i="69"/>
  <c r="O12" i="72"/>
  <c r="P5" i="73"/>
  <c r="Z6" i="70"/>
  <c r="T7" i="73"/>
  <c r="Z7" i="76"/>
  <c r="X9" i="72"/>
  <c r="T13" i="72"/>
  <c r="Z12" i="72"/>
  <c r="Z13" i="63"/>
  <c r="P7" i="75"/>
  <c r="M4" i="76"/>
  <c r="T7" i="71"/>
  <c r="M12" i="63"/>
  <c r="L5" i="70"/>
  <c r="M6" i="70"/>
  <c r="T11" i="72"/>
  <c r="P10" i="71"/>
  <c r="W8" i="72"/>
  <c r="X8" i="74"/>
  <c r="O11" i="75"/>
  <c r="U11" i="63"/>
  <c r="U4" i="75"/>
  <c r="T7" i="74"/>
  <c r="W12" i="63"/>
  <c r="W4" i="77"/>
  <c r="T10" i="71"/>
  <c r="U11" i="73"/>
  <c r="L9" i="76"/>
  <c r="U6" i="63"/>
  <c r="W7" i="76"/>
  <c r="U12" i="74"/>
  <c r="W13" i="69"/>
  <c r="Z7" i="72"/>
  <c r="Z4" i="75"/>
  <c r="P4" i="74"/>
  <c r="M5" i="70"/>
  <c r="T13" i="69"/>
  <c r="L12" i="74"/>
  <c r="T9" i="71"/>
  <c r="L4" i="63"/>
  <c r="R9" i="70"/>
  <c r="W7" i="63"/>
  <c r="T6" i="69"/>
  <c r="X7" i="70"/>
  <c r="P13" i="69"/>
  <c r="U6" i="74"/>
  <c r="E8" i="68"/>
  <c r="L4" i="69"/>
  <c r="L14" i="69" s="1"/>
  <c r="S14" i="69" s="1"/>
  <c r="M13" i="63"/>
  <c r="U11" i="74"/>
  <c r="O4" i="70"/>
  <c r="T8" i="70"/>
  <c r="T6" i="63"/>
  <c r="M7" i="76"/>
  <c r="R7" i="69"/>
  <c r="X11" i="72"/>
  <c r="P13" i="77"/>
  <c r="O13" i="72"/>
  <c r="P12" i="69"/>
  <c r="U8" i="71"/>
  <c r="R10" i="63"/>
  <c r="R9" i="74"/>
  <c r="M9" i="73"/>
  <c r="O6" i="73"/>
  <c r="M8" i="70"/>
  <c r="P11" i="75"/>
  <c r="M11" i="70"/>
  <c r="Z9" i="77"/>
  <c r="T10" i="70"/>
  <c r="X9" i="74"/>
  <c r="Z9" i="75"/>
  <c r="U6" i="69"/>
  <c r="T8" i="74"/>
  <c r="X4" i="74"/>
  <c r="P11" i="74"/>
  <c r="R6" i="70"/>
  <c r="O12" i="69"/>
  <c r="L12" i="63"/>
  <c r="P6" i="63"/>
  <c r="O9" i="63"/>
  <c r="O10" i="69"/>
  <c r="M4" i="75"/>
  <c r="P4" i="77"/>
  <c r="O12" i="76"/>
  <c r="X12" i="75"/>
  <c r="R10" i="70"/>
  <c r="U7" i="71"/>
  <c r="G5" i="68"/>
  <c r="U4" i="73"/>
  <c r="L5" i="76"/>
  <c r="T11" i="69"/>
  <c r="R5" i="77"/>
  <c r="Z5" i="63"/>
  <c r="R11" i="71"/>
  <c r="U11" i="70"/>
  <c r="F10" i="68"/>
  <c r="U10" i="74"/>
  <c r="D12" i="68"/>
  <c r="P8" i="73"/>
  <c r="U7" i="70"/>
  <c r="Z5" i="76"/>
  <c r="U4" i="77"/>
  <c r="W8" i="76"/>
  <c r="X10" i="76"/>
  <c r="L7" i="76"/>
  <c r="R12" i="69"/>
  <c r="E5" i="68"/>
  <c r="R13" i="69"/>
  <c r="M13" i="70"/>
  <c r="U11" i="69"/>
  <c r="Z13" i="74"/>
  <c r="X4" i="73"/>
  <c r="U5" i="72"/>
  <c r="X12" i="63"/>
  <c r="W6" i="73"/>
  <c r="W9" i="76"/>
  <c r="L8" i="69"/>
  <c r="M12" i="69"/>
  <c r="M4" i="72"/>
  <c r="Z6" i="72"/>
  <c r="P8" i="76"/>
  <c r="U13" i="70"/>
  <c r="Z5" i="72"/>
  <c r="O9" i="76"/>
  <c r="M4" i="74"/>
  <c r="W8" i="70"/>
  <c r="T11" i="71"/>
  <c r="M13" i="74"/>
  <c r="W12" i="70"/>
  <c r="O10" i="63"/>
  <c r="L11" i="69"/>
  <c r="M9" i="69"/>
  <c r="Z8" i="72"/>
  <c r="T8" i="71"/>
  <c r="M6" i="73"/>
  <c r="L11" i="72"/>
  <c r="P9" i="74"/>
  <c r="R7" i="76"/>
  <c r="U8" i="69"/>
  <c r="O11" i="71"/>
  <c r="T5" i="71"/>
  <c r="C8" i="68"/>
  <c r="T13" i="73"/>
  <c r="H11" i="68"/>
  <c r="T9" i="73"/>
  <c r="U8" i="76"/>
  <c r="I4" i="68"/>
  <c r="L7" i="70"/>
  <c r="U9" i="72"/>
  <c r="U5" i="74"/>
  <c r="O6" i="71"/>
  <c r="L5" i="71"/>
  <c r="U6" i="77"/>
  <c r="R4" i="72"/>
  <c r="O8" i="69"/>
  <c r="P5" i="70"/>
  <c r="L7" i="71"/>
  <c r="D4" i="68"/>
  <c r="W9" i="74"/>
  <c r="X10" i="69"/>
  <c r="X4" i="71"/>
  <c r="R6" i="76"/>
  <c r="T4" i="75"/>
  <c r="T14" i="75" s="1"/>
  <c r="AA14" i="75" s="1"/>
  <c r="M10" i="71"/>
  <c r="R13" i="76"/>
  <c r="Z10" i="71"/>
  <c r="L12" i="77"/>
  <c r="Z4" i="76"/>
  <c r="U7" i="72"/>
  <c r="M8" i="76"/>
  <c r="W5" i="71"/>
  <c r="C10" i="68"/>
  <c r="U10" i="76"/>
  <c r="W11" i="73"/>
  <c r="P8" i="71"/>
  <c r="U12" i="76"/>
  <c r="Z11" i="72"/>
  <c r="P6" i="70"/>
  <c r="M7" i="77"/>
  <c r="O10" i="77"/>
  <c r="O7" i="73"/>
  <c r="Z8" i="70"/>
  <c r="X13" i="72"/>
  <c r="L11" i="77"/>
  <c r="Z13" i="76"/>
  <c r="P7" i="74"/>
  <c r="P8" i="74"/>
  <c r="L8" i="72"/>
  <c r="F3" i="68"/>
  <c r="L7" i="73"/>
  <c r="P9" i="70"/>
  <c r="R4" i="73"/>
  <c r="Z12" i="76"/>
  <c r="W5" i="73"/>
  <c r="M13" i="76"/>
  <c r="X10" i="74"/>
  <c r="Z4" i="71"/>
  <c r="O4" i="75"/>
  <c r="G10" i="68"/>
  <c r="M7" i="75"/>
  <c r="P12" i="70"/>
  <c r="H9" i="68"/>
  <c r="F7" i="68"/>
  <c r="O8" i="73"/>
  <c r="M11" i="74"/>
  <c r="Z8" i="77"/>
  <c r="R5" i="72"/>
  <c r="L13" i="73"/>
  <c r="F12" i="68"/>
  <c r="U11" i="75"/>
  <c r="X12" i="69"/>
  <c r="R6" i="63"/>
  <c r="X13" i="73"/>
  <c r="T5" i="70"/>
  <c r="X7" i="73"/>
  <c r="R13" i="74"/>
  <c r="X10" i="71"/>
  <c r="X5" i="63"/>
  <c r="O5" i="69"/>
  <c r="W7" i="70"/>
  <c r="Z8" i="74"/>
  <c r="M5" i="75"/>
  <c r="P10" i="76"/>
  <c r="D5" i="68"/>
  <c r="T11" i="70"/>
  <c r="R10" i="71"/>
  <c r="L6" i="71"/>
  <c r="R13" i="63"/>
  <c r="Z6" i="73"/>
  <c r="P12" i="71"/>
  <c r="X7" i="76"/>
  <c r="X8" i="73"/>
  <c r="U8" i="70"/>
  <c r="P5" i="75"/>
  <c r="M7" i="69"/>
  <c r="Z8" i="75"/>
  <c r="W10" i="76"/>
  <c r="E12" i="68"/>
  <c r="X9" i="63"/>
  <c r="T8" i="75"/>
  <c r="L11" i="70"/>
  <c r="H8" i="68"/>
  <c r="L13" i="69"/>
  <c r="R10" i="76"/>
  <c r="W10" i="74"/>
  <c r="O5" i="75"/>
  <c r="M6" i="74"/>
  <c r="P11" i="71"/>
  <c r="L10" i="74"/>
  <c r="U10" i="75"/>
  <c r="T9" i="69"/>
  <c r="L10" i="77"/>
  <c r="X6" i="73"/>
  <c r="M10" i="69"/>
  <c r="P5" i="71"/>
  <c r="U8" i="75"/>
  <c r="U7" i="69"/>
  <c r="T8" i="72"/>
  <c r="W6" i="70"/>
  <c r="R6" i="72"/>
  <c r="R8" i="63"/>
  <c r="T9" i="75"/>
  <c r="Z10" i="63"/>
  <c r="G8" i="68"/>
  <c r="W5" i="69"/>
  <c r="P6" i="71"/>
  <c r="M8" i="74"/>
  <c r="W11" i="70"/>
  <c r="O10" i="75"/>
  <c r="P5" i="74"/>
  <c r="X13" i="74"/>
  <c r="O11" i="74"/>
  <c r="L12" i="76"/>
  <c r="R6" i="69"/>
  <c r="U5" i="73"/>
  <c r="R4" i="69"/>
  <c r="U7" i="77"/>
  <c r="L10" i="73"/>
  <c r="Z12" i="73"/>
  <c r="Z7" i="69"/>
  <c r="T11" i="74"/>
  <c r="Z10" i="75"/>
  <c r="M5" i="63"/>
  <c r="Z7" i="71"/>
  <c r="U8" i="63"/>
  <c r="U13" i="73"/>
  <c r="M9" i="70"/>
  <c r="X13" i="77"/>
  <c r="W4" i="75"/>
  <c r="O10" i="71"/>
  <c r="T7" i="77"/>
  <c r="Z4" i="73"/>
  <c r="R8" i="75"/>
  <c r="I6" i="68"/>
  <c r="W6" i="75"/>
  <c r="C4" i="68"/>
  <c r="P13" i="76"/>
  <c r="X12" i="70"/>
  <c r="O6" i="74"/>
  <c r="W7" i="74"/>
  <c r="W11" i="72"/>
  <c r="W4" i="71"/>
  <c r="M12" i="70"/>
  <c r="T6" i="72"/>
  <c r="T8" i="73"/>
  <c r="P8" i="77"/>
  <c r="T4" i="77"/>
  <c r="T14" i="77" s="1"/>
  <c r="T15" i="77" s="1"/>
  <c r="L13" i="70"/>
  <c r="T8" i="69"/>
  <c r="R12" i="73"/>
  <c r="P10" i="77"/>
  <c r="T4" i="63"/>
  <c r="T14" i="63" s="1"/>
  <c r="V14" i="63" s="1"/>
  <c r="T11" i="75"/>
  <c r="Z4" i="70"/>
  <c r="T6" i="74"/>
  <c r="R13" i="71"/>
  <c r="R9" i="63"/>
  <c r="R7" i="70"/>
  <c r="P8" i="70"/>
  <c r="Z8" i="69"/>
  <c r="O8" i="77"/>
  <c r="Z13" i="71"/>
  <c r="T6" i="71"/>
  <c r="P11" i="69"/>
  <c r="Z6" i="69"/>
  <c r="R5" i="76"/>
  <c r="L7" i="75"/>
  <c r="U10" i="70"/>
  <c r="O7" i="70"/>
  <c r="P4" i="72"/>
  <c r="T12" i="63"/>
  <c r="R10" i="69"/>
  <c r="W4" i="63"/>
  <c r="W6" i="74"/>
  <c r="R5" i="63"/>
  <c r="P12" i="74"/>
  <c r="R9" i="69"/>
  <c r="L13" i="72"/>
  <c r="Z8" i="71"/>
  <c r="U10" i="71"/>
  <c r="M8" i="71"/>
  <c r="M4" i="63"/>
  <c r="W8" i="63"/>
  <c r="T12" i="70"/>
  <c r="D9" i="68"/>
  <c r="L9" i="63"/>
  <c r="W8" i="74"/>
  <c r="U12" i="72"/>
  <c r="G7" i="68"/>
  <c r="L10" i="63"/>
  <c r="M11" i="71"/>
  <c r="Z4" i="69"/>
  <c r="U7" i="76"/>
  <c r="M5" i="69"/>
  <c r="W11" i="76"/>
  <c r="W13" i="72"/>
  <c r="O13" i="69"/>
  <c r="P10" i="74"/>
  <c r="F6" i="68"/>
  <c r="R7" i="74"/>
  <c r="L5" i="73"/>
  <c r="P7" i="76"/>
  <c r="W8" i="73"/>
  <c r="L5" i="69"/>
  <c r="O5" i="73"/>
  <c r="M5" i="76"/>
  <c r="W5" i="77"/>
  <c r="P10" i="69"/>
  <c r="R12" i="76"/>
  <c r="C5" i="68"/>
  <c r="T11" i="73"/>
  <c r="X4" i="70"/>
  <c r="Z9" i="76"/>
  <c r="T10" i="74"/>
  <c r="Z6" i="75"/>
  <c r="L13" i="76"/>
  <c r="U7" i="75"/>
  <c r="R6" i="75"/>
  <c r="T4" i="71"/>
  <c r="T14" i="71" s="1"/>
  <c r="X14" i="71" s="1"/>
  <c r="O8" i="74"/>
  <c r="T13" i="70"/>
  <c r="X8" i="63"/>
  <c r="X5" i="70"/>
  <c r="O8" i="76"/>
  <c r="R8" i="77"/>
  <c r="Z13" i="72"/>
  <c r="X8" i="69"/>
  <c r="O12" i="63"/>
  <c r="L9" i="71"/>
  <c r="T6" i="76"/>
  <c r="P9" i="73"/>
  <c r="R11" i="69"/>
  <c r="U5" i="71"/>
  <c r="P9" i="71"/>
  <c r="W13" i="71"/>
  <c r="R13" i="72"/>
  <c r="W13" i="76"/>
  <c r="X11" i="74"/>
  <c r="X11" i="69"/>
  <c r="C12" i="68"/>
  <c r="X5" i="72"/>
  <c r="F9" i="68"/>
  <c r="W12" i="77"/>
  <c r="M12" i="76"/>
  <c r="U9" i="73"/>
  <c r="Z13" i="69"/>
  <c r="U7" i="73"/>
  <c r="R13" i="75"/>
  <c r="L9" i="74"/>
  <c r="P11" i="73"/>
  <c r="W13" i="74"/>
  <c r="Z13" i="70"/>
  <c r="O7" i="69"/>
  <c r="U6" i="73"/>
  <c r="X6" i="63"/>
  <c r="W8" i="75"/>
  <c r="O5" i="77"/>
  <c r="P4" i="69"/>
  <c r="L8" i="77"/>
  <c r="T5" i="77"/>
  <c r="R12" i="75"/>
  <c r="L10" i="72"/>
  <c r="O8" i="72"/>
  <c r="U10" i="69"/>
  <c r="P4" i="71"/>
  <c r="L12" i="71"/>
  <c r="P7" i="71"/>
  <c r="R10" i="77"/>
  <c r="Z9" i="73"/>
  <c r="W5" i="70"/>
  <c r="O10" i="76"/>
  <c r="M10" i="72"/>
  <c r="X9" i="70"/>
  <c r="L6" i="76"/>
  <c r="L5" i="74"/>
  <c r="X11" i="75"/>
  <c r="O9" i="77"/>
  <c r="W11" i="77"/>
  <c r="X9" i="76"/>
  <c r="Z11" i="75"/>
  <c r="M6" i="72"/>
  <c r="Z7" i="75"/>
  <c r="R11" i="76"/>
  <c r="O11" i="69"/>
  <c r="T13" i="75"/>
  <c r="L5" i="63"/>
  <c r="L10" i="69"/>
  <c r="W9" i="72"/>
  <c r="Z9" i="69"/>
  <c r="Z8" i="76"/>
  <c r="O10" i="70"/>
  <c r="Z10" i="72"/>
  <c r="R4" i="70"/>
  <c r="L5" i="77"/>
  <c r="O5" i="74"/>
  <c r="X4" i="63"/>
  <c r="L8" i="63"/>
  <c r="R9" i="76"/>
  <c r="P6" i="74"/>
  <c r="L6" i="69"/>
  <c r="W6" i="72"/>
  <c r="W4" i="73"/>
  <c r="L4" i="75"/>
  <c r="L14" i="75" s="1"/>
  <c r="N14" i="75" s="1"/>
  <c r="N15" i="75" s="1"/>
  <c r="W12" i="74"/>
  <c r="R6" i="71"/>
  <c r="T7" i="63"/>
  <c r="W4" i="70"/>
  <c r="W10" i="72"/>
  <c r="R4" i="76"/>
  <c r="L10" i="71"/>
  <c r="W9" i="71"/>
  <c r="R12" i="72"/>
  <c r="Z9" i="74"/>
  <c r="O6" i="69"/>
  <c r="X12" i="72"/>
  <c r="E3" i="68"/>
  <c r="W7" i="72"/>
  <c r="Z12" i="69"/>
  <c r="O9" i="70"/>
  <c r="M10" i="73"/>
  <c r="U12" i="69"/>
  <c r="P7" i="63"/>
  <c r="T5" i="75"/>
  <c r="L9" i="69"/>
  <c r="P13" i="63"/>
  <c r="P10" i="75"/>
  <c r="W10" i="70"/>
  <c r="W10" i="77"/>
  <c r="U4" i="69"/>
  <c r="W12" i="75"/>
  <c r="U5" i="75"/>
  <c r="U6" i="72"/>
  <c r="R11" i="63"/>
  <c r="P13" i="74"/>
  <c r="X11" i="76"/>
  <c r="M8" i="75"/>
  <c r="X6" i="70"/>
  <c r="L4" i="76"/>
  <c r="L14" i="76" s="1"/>
  <c r="O14" i="76" s="1"/>
  <c r="U6" i="71"/>
  <c r="M6" i="76"/>
  <c r="U7" i="74"/>
  <c r="O6" i="75"/>
  <c r="Z6" i="71"/>
  <c r="T5" i="76"/>
  <c r="O9" i="72"/>
  <c r="M13" i="77"/>
  <c r="Z4" i="74"/>
  <c r="X6" i="74"/>
  <c r="O9" i="75"/>
  <c r="R7" i="77"/>
  <c r="L4" i="73"/>
  <c r="L14" i="73" s="1"/>
  <c r="R14" i="73" s="1"/>
  <c r="R9" i="72"/>
  <c r="T4" i="73"/>
  <c r="T14" i="73" s="1"/>
  <c r="X14" i="73" s="1"/>
  <c r="O4" i="76"/>
  <c r="Z10" i="73"/>
  <c r="L12" i="70"/>
  <c r="W6" i="71"/>
  <c r="P5" i="72"/>
  <c r="L9" i="75"/>
  <c r="P9" i="69"/>
  <c r="M9" i="71"/>
  <c r="T12" i="72"/>
  <c r="W10" i="69"/>
  <c r="W5" i="72"/>
  <c r="L10" i="75"/>
  <c r="W11" i="74"/>
  <c r="T9" i="70"/>
  <c r="L7" i="74"/>
  <c r="P13" i="75"/>
  <c r="L4" i="72"/>
  <c r="L14" i="72" s="1"/>
  <c r="M14" i="72" s="1"/>
  <c r="M15" i="72" s="1"/>
  <c r="L8" i="75"/>
  <c r="O8" i="63"/>
  <c r="U6" i="70"/>
  <c r="P6" i="75"/>
  <c r="Z11" i="69"/>
  <c r="T9" i="77"/>
  <c r="Z9" i="63"/>
  <c r="R11" i="72"/>
  <c r="Z9" i="71"/>
  <c r="O9" i="69"/>
  <c r="X13" i="63"/>
  <c r="O4" i="72"/>
  <c r="U8" i="74"/>
  <c r="T7" i="70"/>
  <c r="M10" i="75"/>
  <c r="M4" i="70"/>
  <c r="P13" i="72"/>
  <c r="X10" i="63"/>
  <c r="X7" i="72"/>
  <c r="P13" i="71"/>
  <c r="W13" i="63"/>
  <c r="P7" i="72"/>
  <c r="O5" i="71"/>
  <c r="M12" i="75"/>
  <c r="X6" i="76"/>
  <c r="M8" i="77"/>
  <c r="X13" i="76"/>
  <c r="U12" i="73"/>
  <c r="Z12" i="75"/>
  <c r="R10" i="75"/>
  <c r="T12" i="75"/>
  <c r="Z5" i="74"/>
  <c r="X9" i="71"/>
  <c r="H6" i="68"/>
  <c r="Z11" i="77"/>
  <c r="U5" i="69"/>
  <c r="U4" i="71"/>
  <c r="R7" i="73"/>
  <c r="L6" i="77"/>
  <c r="T5" i="63"/>
  <c r="P5" i="63"/>
  <c r="R7" i="72"/>
  <c r="X12" i="76"/>
  <c r="M13" i="71"/>
  <c r="U12" i="71"/>
  <c r="L6" i="63"/>
  <c r="X9" i="77"/>
  <c r="Z9" i="70"/>
  <c r="T11" i="76"/>
  <c r="T6" i="77"/>
  <c r="M9" i="75"/>
  <c r="L13" i="63"/>
  <c r="P8" i="72"/>
  <c r="O11" i="70"/>
  <c r="W4" i="69"/>
  <c r="T4" i="72"/>
  <c r="T14" i="72" s="1"/>
  <c r="T15" i="72" s="1"/>
  <c r="W9" i="73"/>
  <c r="Z13" i="77"/>
  <c r="W8" i="69"/>
  <c r="U9" i="74"/>
  <c r="U9" i="70"/>
  <c r="P8" i="63"/>
  <c r="O8" i="71"/>
  <c r="W10" i="71"/>
  <c r="X11" i="77"/>
  <c r="O11" i="63"/>
  <c r="U13" i="72"/>
  <c r="M12" i="71"/>
  <c r="U10" i="77"/>
  <c r="Z11" i="76"/>
  <c r="X4" i="72"/>
  <c r="T5" i="69"/>
  <c r="U9" i="75"/>
  <c r="M11" i="73"/>
  <c r="P6" i="72"/>
  <c r="T4" i="74"/>
  <c r="T14" i="74" s="1"/>
  <c r="Y14" i="74" s="1"/>
  <c r="T4" i="70"/>
  <c r="T14" i="70" s="1"/>
  <c r="U14" i="70" s="1"/>
  <c r="W12" i="71"/>
  <c r="L12" i="72"/>
  <c r="U12" i="77"/>
  <c r="L13" i="71"/>
  <c r="P12" i="77"/>
  <c r="M11" i="69"/>
  <c r="X10" i="77"/>
  <c r="G9" i="68"/>
  <c r="R5" i="69"/>
  <c r="X13" i="71"/>
  <c r="L8" i="73"/>
  <c r="W7" i="71"/>
  <c r="M4" i="71"/>
  <c r="M10" i="76"/>
  <c r="W9" i="75"/>
  <c r="P11" i="77"/>
  <c r="L13" i="74"/>
  <c r="X6" i="75"/>
  <c r="H10" i="68"/>
  <c r="R8" i="76"/>
  <c r="M7" i="63"/>
  <c r="P9" i="63"/>
  <c r="W5" i="63"/>
  <c r="Z11" i="63"/>
  <c r="Z10" i="74"/>
  <c r="T10" i="77"/>
  <c r="L11" i="75"/>
  <c r="M9" i="76"/>
  <c r="W9" i="70"/>
  <c r="T12" i="71"/>
  <c r="W11" i="63"/>
  <c r="Z4" i="72"/>
  <c r="F5" i="68"/>
  <c r="P7" i="69"/>
  <c r="W9" i="63"/>
  <c r="O6" i="63"/>
  <c r="M10" i="77"/>
  <c r="X7" i="63"/>
  <c r="O13" i="75"/>
  <c r="X11" i="70"/>
  <c r="P12" i="72"/>
  <c r="L7" i="77"/>
  <c r="X8" i="76"/>
  <c r="R9" i="75"/>
  <c r="X6" i="72"/>
  <c r="X4" i="75"/>
  <c r="P6" i="69"/>
  <c r="Z7" i="73"/>
  <c r="P6" i="77"/>
  <c r="D10" i="68"/>
  <c r="P11" i="76"/>
  <c r="U12" i="70"/>
  <c r="P11" i="72"/>
  <c r="W6" i="69"/>
  <c r="X4" i="69"/>
  <c r="P4" i="63"/>
  <c r="R8" i="71"/>
  <c r="L11" i="63"/>
  <c r="M6" i="63"/>
  <c r="O5" i="70"/>
  <c r="P6" i="76"/>
  <c r="U11" i="72"/>
  <c r="T5" i="74"/>
  <c r="R8" i="69"/>
  <c r="R4" i="75"/>
  <c r="T6" i="70"/>
  <c r="Z5" i="73"/>
  <c r="M10" i="74"/>
  <c r="M7" i="72"/>
  <c r="C6" i="68"/>
  <c r="R9" i="71"/>
  <c r="U9" i="76"/>
  <c r="T10" i="63"/>
  <c r="T10" i="73"/>
  <c r="U11" i="71"/>
  <c r="R5" i="74"/>
  <c r="O12" i="70"/>
  <c r="C3" i="68"/>
  <c r="R12" i="74"/>
  <c r="O13" i="73"/>
  <c r="Z6" i="63"/>
  <c r="M8" i="69"/>
  <c r="Z11" i="73"/>
  <c r="G4" i="68"/>
  <c r="M13" i="75"/>
  <c r="O10" i="74"/>
  <c r="X11" i="73"/>
  <c r="T13" i="71"/>
  <c r="T12" i="69"/>
  <c r="M4" i="69"/>
  <c r="L6" i="70"/>
  <c r="U4" i="63"/>
  <c r="L8" i="76"/>
  <c r="O5" i="72"/>
  <c r="P10" i="72"/>
  <c r="X9" i="75"/>
  <c r="W13" i="73"/>
  <c r="T7" i="76"/>
  <c r="O4" i="74"/>
  <c r="O7" i="75"/>
  <c r="O7" i="74"/>
  <c r="M10" i="70"/>
  <c r="L13" i="75"/>
  <c r="W10" i="75"/>
  <c r="X12" i="77"/>
  <c r="I7" i="68"/>
  <c r="W11" i="71"/>
  <c r="W12" i="69"/>
  <c r="L4" i="70"/>
  <c r="L14" i="70" s="1"/>
  <c r="N14" i="70" s="1"/>
  <c r="E10" i="68"/>
  <c r="I11" i="68"/>
  <c r="Z13" i="73"/>
  <c r="T7" i="75"/>
  <c r="X11" i="71"/>
  <c r="T13" i="63"/>
  <c r="L9" i="72"/>
  <c r="Z6" i="74"/>
  <c r="Z10" i="70"/>
  <c r="R7" i="71"/>
  <c r="T13" i="77"/>
  <c r="W11" i="69"/>
  <c r="E7" i="68"/>
  <c r="W5" i="75"/>
  <c r="U13" i="75"/>
  <c r="T10" i="75"/>
  <c r="Z7" i="74"/>
  <c r="M10" i="63"/>
  <c r="R4" i="63"/>
  <c r="P6" i="73"/>
  <c r="O13" i="63"/>
  <c r="W5" i="74"/>
  <c r="E11" i="68"/>
  <c r="L6" i="72"/>
  <c r="M13" i="73"/>
  <c r="R8" i="74"/>
  <c r="P10" i="70"/>
  <c r="P5" i="76"/>
  <c r="X5" i="75"/>
  <c r="C7" i="68"/>
  <c r="R8" i="73"/>
  <c r="R11" i="74"/>
  <c r="W12" i="72"/>
  <c r="L6" i="75"/>
  <c r="W6" i="63"/>
  <c r="U4" i="74"/>
  <c r="O4" i="69"/>
  <c r="Z12" i="77"/>
  <c r="Z6" i="76"/>
  <c r="P5" i="77"/>
  <c r="U10" i="72"/>
  <c r="T9" i="74"/>
  <c r="P4" i="75"/>
  <c r="R12" i="70"/>
  <c r="Z4" i="77"/>
  <c r="Z4" i="63"/>
  <c r="R4" i="77"/>
  <c r="P9" i="72"/>
  <c r="M5" i="77"/>
  <c r="R12" i="77"/>
  <c r="L6" i="73"/>
  <c r="L11" i="74"/>
  <c r="M11" i="77"/>
  <c r="L5" i="75"/>
  <c r="F4" i="68"/>
  <c r="U4" i="76"/>
  <c r="M12" i="72"/>
  <c r="T10" i="76"/>
  <c r="U13" i="63"/>
  <c r="M11" i="72"/>
  <c r="G11" i="68"/>
  <c r="W7" i="69"/>
  <c r="Z12" i="70"/>
  <c r="U6" i="75"/>
  <c r="W4" i="76"/>
  <c r="O13" i="74"/>
  <c r="L4" i="77"/>
  <c r="L14" i="77" s="1"/>
  <c r="M14" i="77" s="1"/>
  <c r="X7" i="77"/>
  <c r="L12" i="75"/>
  <c r="Z12" i="63"/>
  <c r="P11" i="70"/>
  <c r="O5" i="76"/>
  <c r="O12" i="74"/>
  <c r="D6" i="68"/>
  <c r="P7" i="77"/>
  <c r="U7" i="63"/>
  <c r="T4" i="69"/>
  <c r="T14" i="69" s="1"/>
  <c r="T15" i="69" s="1"/>
  <c r="R12" i="63"/>
  <c r="U9" i="77"/>
  <c r="W10" i="73"/>
  <c r="M7" i="70"/>
  <c r="Z5" i="77"/>
  <c r="P11" i="63"/>
  <c r="L5" i="72"/>
  <c r="X4" i="77"/>
  <c r="X12" i="74"/>
  <c r="P7" i="70"/>
  <c r="D7" i="68"/>
  <c r="M6" i="69"/>
  <c r="L9" i="73"/>
  <c r="R12" i="71"/>
  <c r="O10" i="72"/>
  <c r="O9" i="71"/>
  <c r="O13" i="77"/>
  <c r="O6" i="70"/>
  <c r="O13" i="76"/>
  <c r="I3" i="68"/>
  <c r="X8" i="71"/>
  <c r="F11" i="68"/>
  <c r="Z10" i="77"/>
  <c r="Z7" i="77"/>
  <c r="U10" i="73"/>
  <c r="L11" i="73"/>
  <c r="R9" i="73"/>
  <c r="O8" i="75"/>
  <c r="M9" i="63"/>
  <c r="R8" i="72"/>
  <c r="T6" i="73"/>
  <c r="E6" i="68"/>
  <c r="R5" i="71"/>
  <c r="X12" i="71"/>
  <c r="L12" i="73"/>
  <c r="P9" i="75"/>
  <c r="T11" i="77"/>
  <c r="R10" i="72"/>
  <c r="M11" i="63"/>
  <c r="T12" i="74"/>
  <c r="R11" i="75"/>
  <c r="U9" i="69"/>
  <c r="T9" i="72"/>
  <c r="T8" i="76"/>
  <c r="P8" i="75"/>
  <c r="W10" i="63"/>
  <c r="T10" i="72"/>
  <c r="E9" i="68"/>
  <c r="X8" i="72"/>
  <c r="X13" i="75"/>
  <c r="O6" i="72"/>
  <c r="T8" i="77"/>
  <c r="Z7" i="63"/>
  <c r="I12" i="68"/>
  <c r="W8" i="77"/>
  <c r="L8" i="71"/>
  <c r="Z5" i="71"/>
  <c r="R11" i="73"/>
  <c r="X8" i="77"/>
  <c r="R6" i="74"/>
  <c r="O6" i="76"/>
  <c r="T12" i="76"/>
  <c r="X7" i="74"/>
  <c r="O5" i="63"/>
  <c r="H4" i="68"/>
  <c r="L13" i="77"/>
  <c r="R7" i="63"/>
  <c r="X7" i="75"/>
  <c r="O10" i="73"/>
  <c r="O12" i="73"/>
  <c r="P8" i="69"/>
  <c r="M9" i="74"/>
  <c r="O7" i="71"/>
  <c r="X10" i="75"/>
  <c r="M5" i="73"/>
  <c r="E4" i="68"/>
  <c r="R9" i="77"/>
  <c r="L9" i="77"/>
  <c r="M8" i="73"/>
  <c r="L7" i="69"/>
  <c r="T6" i="75"/>
  <c r="T12" i="77"/>
  <c r="H5" i="68"/>
  <c r="Z5" i="69"/>
  <c r="Z11" i="71"/>
  <c r="L10" i="76"/>
  <c r="X5" i="73"/>
  <c r="M6" i="75"/>
  <c r="R13" i="77"/>
  <c r="P12" i="76"/>
  <c r="D11" i="68"/>
  <c r="U12" i="75"/>
  <c r="P4" i="76"/>
  <c r="Z8" i="63"/>
  <c r="U5" i="77"/>
  <c r="P7" i="73"/>
  <c r="M9" i="77"/>
  <c r="O7" i="63"/>
  <c r="O11" i="73"/>
  <c r="M11" i="75"/>
  <c r="M7" i="74"/>
  <c r="X7" i="69"/>
  <c r="O9" i="73"/>
  <c r="Z11" i="74"/>
  <c r="O12" i="71"/>
  <c r="U4" i="70"/>
  <c r="V14" i="76"/>
  <c r="Z14" i="76"/>
  <c r="Y14" i="76"/>
  <c r="AA14" i="76"/>
  <c r="U14" i="76"/>
  <c r="Q14" i="71"/>
  <c r="S14" i="74"/>
  <c r="D14" i="63"/>
  <c r="K14" i="63" s="1"/>
  <c r="L14" i="63"/>
  <c r="H4" i="23"/>
  <c r="I4" i="23"/>
  <c r="S7" i="68" a="1"/>
  <c r="G8" i="23" a="1"/>
  <c r="D6" i="23" a="1"/>
  <c r="P6" i="68" a="1"/>
  <c r="L9" i="68" a="1"/>
  <c r="D7" i="23" a="1"/>
  <c r="K4" i="68" a="1"/>
  <c r="S3" i="68" a="1"/>
  <c r="Q10" i="68" a="1"/>
  <c r="F11" i="23" a="1"/>
  <c r="F5" i="23" a="1"/>
  <c r="K3" i="68" a="1"/>
  <c r="W10" i="68" a="1"/>
  <c r="E7" i="23" a="1"/>
  <c r="S4" i="68" a="1"/>
  <c r="U8" i="68" a="1"/>
  <c r="Y8" i="68" a="1"/>
  <c r="D4" i="23" a="1"/>
  <c r="E8" i="23" a="1"/>
  <c r="K7" i="68" a="1"/>
  <c r="G12" i="23" a="1"/>
  <c r="F9" i="23" a="1"/>
  <c r="F6" i="23" a="1"/>
  <c r="E9" i="23" a="1"/>
  <c r="F7" i="23" a="1"/>
  <c r="K9" i="68" a="1"/>
  <c r="E13" i="23" a="1"/>
  <c r="D9" i="23" a="1"/>
  <c r="E5" i="23" a="1"/>
  <c r="F13" i="23" a="1"/>
  <c r="T5" i="68" a="1"/>
  <c r="G6" i="23" a="1"/>
  <c r="E10" i="23" a="1"/>
  <c r="F12" i="23" a="1"/>
  <c r="M5" i="68" a="1"/>
  <c r="D8" i="23" a="1"/>
  <c r="E6" i="23" a="1"/>
  <c r="S9" i="68" a="1"/>
  <c r="L7" i="68" a="1"/>
  <c r="G10" i="23" a="1"/>
  <c r="F4" i="23" a="1"/>
  <c r="W6" i="68" a="1"/>
  <c r="X8" i="68" a="1"/>
  <c r="D11" i="23" a="1"/>
  <c r="T8" i="68" a="1"/>
  <c r="G13" i="23" a="1"/>
  <c r="K10" i="68" a="1"/>
  <c r="S5" i="68" a="1"/>
  <c r="E11" i="23" a="1"/>
  <c r="K8" i="68" a="1"/>
  <c r="S11" i="68" a="1"/>
  <c r="X11" i="68" a="1"/>
  <c r="G9" i="23" a="1"/>
  <c r="N8" i="68" a="1"/>
  <c r="E12" i="23" a="1"/>
  <c r="D13" i="23" a="1"/>
  <c r="S12" i="68" a="1"/>
  <c r="S6" i="68" a="1"/>
  <c r="K12" i="68" a="1"/>
  <c r="G11" i="23" a="1"/>
  <c r="K11" i="68" a="1"/>
  <c r="D5" i="23" a="1"/>
  <c r="K6" i="68" a="1"/>
  <c r="S8" i="68" a="1"/>
  <c r="K5" i="68" a="1"/>
  <c r="S10" i="68" a="1"/>
  <c r="G4" i="23" a="1"/>
  <c r="F10" i="23" a="1"/>
  <c r="U3" i="68" a="1"/>
  <c r="D10" i="23" a="1"/>
  <c r="G5" i="23" a="1"/>
  <c r="G7" i="23" a="1"/>
  <c r="F8" i="23" a="1"/>
  <c r="D12" i="23" a="1"/>
  <c r="M12" i="68" a="1"/>
  <c r="E4" i="23" a="1"/>
  <c r="X14" i="76" l="1"/>
  <c r="W14" i="72"/>
  <c r="X14" i="72"/>
  <c r="P14" i="76"/>
  <c r="P2" i="76" s="1"/>
  <c r="R14" i="76"/>
  <c r="R2" i="76" s="1"/>
  <c r="Q14" i="75"/>
  <c r="R14" i="75"/>
  <c r="R2" i="75" s="1"/>
  <c r="V14" i="74"/>
  <c r="V15" i="74" s="1"/>
  <c r="X14" i="63"/>
  <c r="X15" i="63" s="1"/>
  <c r="U14" i="74"/>
  <c r="Z14" i="74"/>
  <c r="Z15" i="74" s="1"/>
  <c r="W14" i="63"/>
  <c r="W15" i="63" s="1"/>
  <c r="U14" i="63"/>
  <c r="Q14" i="77"/>
  <c r="R14" i="77"/>
  <c r="R2" i="77" s="1"/>
  <c r="Z14" i="63"/>
  <c r="M14" i="76"/>
  <c r="M15" i="76" s="1"/>
  <c r="Y14" i="77"/>
  <c r="Y15" i="77" s="1"/>
  <c r="S14" i="73"/>
  <c r="W14" i="71"/>
  <c r="W15" i="71" s="1"/>
  <c r="U14" i="71"/>
  <c r="U15" i="71" s="1"/>
  <c r="W14" i="74"/>
  <c r="S14" i="76"/>
  <c r="M14" i="75"/>
  <c r="Q14" i="73"/>
  <c r="N14" i="72"/>
  <c r="N15" i="72" s="1"/>
  <c r="V14" i="73"/>
  <c r="T15" i="73"/>
  <c r="Z14" i="73"/>
  <c r="Z15" i="73" s="1"/>
  <c r="AA14" i="73"/>
  <c r="F13" i="68"/>
  <c r="U14" i="69"/>
  <c r="U15" i="69" s="1"/>
  <c r="T15" i="74"/>
  <c r="P14" i="77"/>
  <c r="P15" i="77" s="1"/>
  <c r="Q14" i="76"/>
  <c r="Q15" i="76" s="1"/>
  <c r="O14" i="72"/>
  <c r="H13" i="68"/>
  <c r="C13" i="68"/>
  <c r="J13" i="68" s="1"/>
  <c r="I13" i="68"/>
  <c r="X14" i="74"/>
  <c r="U14" i="73"/>
  <c r="U15" i="73" s="1"/>
  <c r="Z14" i="72"/>
  <c r="Z15" i="72" s="1"/>
  <c r="V14" i="72"/>
  <c r="Y14" i="63"/>
  <c r="Y14" i="72"/>
  <c r="P14" i="72"/>
  <c r="P15" i="72" s="1"/>
  <c r="G13" i="68"/>
  <c r="W14" i="69"/>
  <c r="W15" i="69" s="1"/>
  <c r="O14" i="70"/>
  <c r="E13" i="68"/>
  <c r="AA14" i="63"/>
  <c r="V14" i="69"/>
  <c r="V15" i="69" s="1"/>
  <c r="S10" i="68"/>
  <c r="K5" i="68"/>
  <c r="S8" i="68"/>
  <c r="K6" i="68"/>
  <c r="K11" i="68"/>
  <c r="K12" i="68"/>
  <c r="S6" i="68"/>
  <c r="S12" i="68"/>
  <c r="S11" i="68"/>
  <c r="K8" i="68"/>
  <c r="S5" i="68"/>
  <c r="K10" i="68"/>
  <c r="S9" i="68"/>
  <c r="K9" i="68"/>
  <c r="K7" i="68"/>
  <c r="S4" i="68"/>
  <c r="S3" i="68"/>
  <c r="S13" i="68" s="1"/>
  <c r="Z13" i="68" s="1"/>
  <c r="K4" i="68"/>
  <c r="S7" i="68"/>
  <c r="N14" i="77"/>
  <c r="W14" i="70"/>
  <c r="W15" i="70" s="1"/>
  <c r="W14" i="73"/>
  <c r="M14" i="70"/>
  <c r="R14" i="70"/>
  <c r="P14" i="70"/>
  <c r="Q14" i="70"/>
  <c r="W14" i="76"/>
  <c r="N14" i="71"/>
  <c r="S14" i="71"/>
  <c r="M14" i="71"/>
  <c r="O14" i="71"/>
  <c r="R14" i="71"/>
  <c r="L15" i="71"/>
  <c r="R14" i="74"/>
  <c r="Q14" i="74"/>
  <c r="O14" i="74"/>
  <c r="N14" i="74"/>
  <c r="M14" i="74"/>
  <c r="P14" i="74"/>
  <c r="O14" i="75"/>
  <c r="V14" i="71"/>
  <c r="Z14" i="71"/>
  <c r="AA14" i="71"/>
  <c r="Y14" i="71"/>
  <c r="U14" i="75"/>
  <c r="X14" i="75"/>
  <c r="Y14" i="75"/>
  <c r="T15" i="75"/>
  <c r="S14" i="75"/>
  <c r="S14" i="77"/>
  <c r="L15" i="75"/>
  <c r="W14" i="75"/>
  <c r="AA14" i="74"/>
  <c r="L15" i="76"/>
  <c r="Y14" i="70"/>
  <c r="T15" i="70"/>
  <c r="AA14" i="70"/>
  <c r="V14" i="70"/>
  <c r="X14" i="70"/>
  <c r="P14" i="73"/>
  <c r="O14" i="77"/>
  <c r="O15" i="77" s="1"/>
  <c r="P14" i="75"/>
  <c r="P15" i="75" s="1"/>
  <c r="W14" i="77"/>
  <c r="Z14" i="77"/>
  <c r="X14" i="77"/>
  <c r="L15" i="73"/>
  <c r="Z14" i="75"/>
  <c r="Y14" i="73"/>
  <c r="N14" i="76"/>
  <c r="P14" i="71"/>
  <c r="P15" i="71" s="1"/>
  <c r="V14" i="77"/>
  <c r="N14" i="73"/>
  <c r="N15" i="73" s="1"/>
  <c r="L15" i="77"/>
  <c r="T15" i="71"/>
  <c r="L15" i="70"/>
  <c r="AA14" i="77"/>
  <c r="M14" i="73"/>
  <c r="M15" i="73" s="1"/>
  <c r="V14" i="75"/>
  <c r="Q14" i="72"/>
  <c r="S14" i="72"/>
  <c r="R14" i="72"/>
  <c r="L15" i="72"/>
  <c r="AA14" i="69"/>
  <c r="X14" i="69"/>
  <c r="U14" i="77"/>
  <c r="U15" i="77" s="1"/>
  <c r="S14" i="70"/>
  <c r="Y14" i="69"/>
  <c r="O14" i="73"/>
  <c r="O14" i="69"/>
  <c r="Q14" i="69"/>
  <c r="P14" i="69"/>
  <c r="M14" i="69"/>
  <c r="R14" i="69"/>
  <c r="L15" i="69"/>
  <c r="N14" i="69"/>
  <c r="Z14" i="69"/>
  <c r="Z14" i="70"/>
  <c r="U14" i="72"/>
  <c r="AA14" i="72"/>
  <c r="L7" i="68"/>
  <c r="X11" i="68"/>
  <c r="Y15" i="74"/>
  <c r="T5" i="68"/>
  <c r="U15" i="70"/>
  <c r="W10" i="68"/>
  <c r="P6" i="68"/>
  <c r="M5" i="68"/>
  <c r="W6" i="68"/>
  <c r="T8" i="68"/>
  <c r="Q10" i="68"/>
  <c r="M12" i="68"/>
  <c r="N8" i="68"/>
  <c r="X8" i="68"/>
  <c r="Y8" i="68"/>
  <c r="U8" i="68"/>
  <c r="L9" i="68"/>
  <c r="Q15" i="77"/>
  <c r="X15" i="73"/>
  <c r="Q15" i="71"/>
  <c r="N15" i="70"/>
  <c r="W15" i="72"/>
  <c r="X15" i="71"/>
  <c r="U15" i="76"/>
  <c r="R2" i="73"/>
  <c r="R15" i="73"/>
  <c r="O15" i="76"/>
  <c r="Y15" i="76"/>
  <c r="Z15" i="76"/>
  <c r="X15" i="76"/>
  <c r="V15" i="76"/>
  <c r="M15" i="77"/>
  <c r="K3" i="68"/>
  <c r="K13" i="68" s="1"/>
  <c r="U3" i="68"/>
  <c r="U13" i="68" s="1"/>
  <c r="N14" i="63"/>
  <c r="M14" i="63"/>
  <c r="Q14" i="63"/>
  <c r="R14" i="63"/>
  <c r="P14" i="63"/>
  <c r="S14" i="63"/>
  <c r="O14" i="63"/>
  <c r="F14" i="63"/>
  <c r="J14" i="63"/>
  <c r="G14" i="63"/>
  <c r="H14" i="63"/>
  <c r="E14" i="63"/>
  <c r="I14" i="63"/>
  <c r="T15" i="63"/>
  <c r="L15" i="63"/>
  <c r="V15" i="63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W8" i="68" a="1"/>
  <c r="D3" i="68" a="1"/>
  <c r="V7" i="68" a="1"/>
  <c r="W7" i="68" a="1"/>
  <c r="O8" i="68" a="1"/>
  <c r="Q8" i="68" a="1"/>
  <c r="P12" i="68" a="1"/>
  <c r="Q12" i="68" a="1"/>
  <c r="U11" i="68" a="1"/>
  <c r="W3" i="68" a="1"/>
  <c r="T11" i="68" a="1"/>
  <c r="Y11" i="68" a="1"/>
  <c r="V3" i="68" a="1"/>
  <c r="T3" i="68" a="1"/>
  <c r="P9" i="68" a="1"/>
  <c r="Q9" i="68" a="1"/>
  <c r="Y3" i="68" a="1"/>
  <c r="L8" i="68" a="1"/>
  <c r="X9" i="68" a="1"/>
  <c r="V6" i="68" a="1"/>
  <c r="T6" i="68" a="1"/>
  <c r="V11" i="68" a="1"/>
  <c r="L12" i="68" a="1"/>
  <c r="P10" i="68" a="1"/>
  <c r="M7" i="68" a="1"/>
  <c r="U10" i="68" a="1"/>
  <c r="Y10" i="68" a="1"/>
  <c r="T4" i="68" a="1"/>
  <c r="O9" i="68" a="1"/>
  <c r="P8" i="68" a="1"/>
  <c r="N7" i="68" a="1"/>
  <c r="W11" i="68" a="1"/>
  <c r="T10" i="68" a="1"/>
  <c r="Y7" i="68" a="1"/>
  <c r="U7" i="68" a="1"/>
  <c r="X3" i="68" a="1"/>
  <c r="X7" i="68" a="1"/>
  <c r="O7" i="68" a="1"/>
  <c r="V4" i="68" a="1"/>
  <c r="N5" i="68" a="1"/>
  <c r="U4" i="68" a="1"/>
  <c r="O5" i="68" a="1"/>
  <c r="M11" i="68" a="1"/>
  <c r="O4" i="68" a="1"/>
  <c r="M3" i="68" a="1"/>
  <c r="Q4" i="68" a="1"/>
  <c r="U5" i="68" a="1"/>
  <c r="X12" i="68" a="1"/>
  <c r="P5" i="68" a="1"/>
  <c r="L11" i="68" a="1"/>
  <c r="O12" i="68" a="1"/>
  <c r="T7" i="68" a="1"/>
  <c r="N3" i="68" a="1"/>
  <c r="V12" i="68" a="1"/>
  <c r="Y9" i="68" a="1"/>
  <c r="N10" i="68" a="1"/>
  <c r="L3" i="68" a="1"/>
  <c r="Q3" i="68" a="1"/>
  <c r="U12" i="68" a="1"/>
  <c r="P3" i="68" a="1"/>
  <c r="Y12" i="68" a="1"/>
  <c r="P7" i="68" a="1"/>
  <c r="O3" i="68" a="1"/>
  <c r="W12" i="68" a="1"/>
  <c r="L5" i="68" a="1"/>
  <c r="V8" i="68" a="1"/>
  <c r="O11" i="68" a="1"/>
  <c r="V9" i="68" a="1"/>
  <c r="X4" i="68" a="1"/>
  <c r="X10" i="68" a="1"/>
  <c r="V5" i="68" a="1"/>
  <c r="Q7" i="68" a="1"/>
  <c r="Q11" i="68" a="1"/>
  <c r="P11" i="68" a="1"/>
  <c r="M6" i="68" a="1"/>
  <c r="N12" i="68" a="1"/>
  <c r="U6" i="68" a="1"/>
  <c r="W9" i="68" a="1"/>
  <c r="L10" i="68" a="1"/>
  <c r="N4" i="68" a="1"/>
  <c r="Q6" i="68" a="1"/>
  <c r="L4" i="68" a="1"/>
  <c r="V10" i="68" a="1"/>
  <c r="W5" i="68" a="1"/>
  <c r="U9" i="68" a="1"/>
  <c r="M4" i="68" a="1"/>
  <c r="L6" i="68" a="1"/>
  <c r="Y6" i="68" a="1"/>
  <c r="M8" i="68" a="1"/>
  <c r="N6" i="68" a="1"/>
  <c r="X5" i="68" a="1"/>
  <c r="T12" i="68" a="1"/>
  <c r="O6" i="68" a="1"/>
  <c r="Q5" i="68" a="1"/>
  <c r="N11" i="68" a="1"/>
  <c r="O10" i="68" a="1"/>
  <c r="M10" i="68" a="1"/>
  <c r="W4" i="68" a="1"/>
  <c r="Y4" i="68" a="1"/>
  <c r="N9" i="68" a="1"/>
  <c r="T9" i="68" a="1"/>
  <c r="Y5" i="68" a="1"/>
  <c r="P4" i="68" a="1"/>
  <c r="M9" i="68" a="1"/>
  <c r="X6" i="68" a="1"/>
  <c r="W8" i="68" l="1"/>
  <c r="R15" i="76"/>
  <c r="R15" i="75"/>
  <c r="D3" i="68"/>
  <c r="D13" i="68" s="1"/>
  <c r="R15" i="77"/>
  <c r="U14" i="68"/>
  <c r="Q8" i="68"/>
  <c r="O8" i="68"/>
  <c r="W7" i="68"/>
  <c r="V7" i="68"/>
  <c r="P15" i="76"/>
  <c r="P2" i="77"/>
  <c r="X15" i="72"/>
  <c r="P12" i="68"/>
  <c r="Q15" i="75"/>
  <c r="U11" i="68"/>
  <c r="Q12" i="68"/>
  <c r="T3" i="68"/>
  <c r="T13" i="68" s="1"/>
  <c r="T14" i="68" s="1"/>
  <c r="V3" i="68"/>
  <c r="V13" i="68" s="1"/>
  <c r="V14" i="68" s="1"/>
  <c r="Y11" i="68"/>
  <c r="T11" i="68"/>
  <c r="W3" i="68"/>
  <c r="W13" i="68" s="1"/>
  <c r="W14" i="68" s="1"/>
  <c r="U15" i="74"/>
  <c r="P9" i="68"/>
  <c r="Y3" i="68"/>
  <c r="Y13" i="68" s="1"/>
  <c r="Y14" i="68" s="1"/>
  <c r="Q9" i="68"/>
  <c r="P2" i="75"/>
  <c r="M7" i="68"/>
  <c r="P10" i="68"/>
  <c r="L12" i="68"/>
  <c r="V11" i="68"/>
  <c r="T6" i="68"/>
  <c r="V6" i="68"/>
  <c r="X9" i="68"/>
  <c r="L8" i="68"/>
  <c r="Q15" i="73"/>
  <c r="M15" i="75"/>
  <c r="W15" i="74"/>
  <c r="Y10" i="68"/>
  <c r="U10" i="68"/>
  <c r="V15" i="73"/>
  <c r="N7" i="68"/>
  <c r="P8" i="68"/>
  <c r="O9" i="68"/>
  <c r="T4" i="68"/>
  <c r="O15" i="72"/>
  <c r="S14" i="68"/>
  <c r="O7" i="68"/>
  <c r="X7" i="68"/>
  <c r="X3" i="68"/>
  <c r="X13" i="68" s="1"/>
  <c r="X14" i="68" s="1"/>
  <c r="U7" i="68"/>
  <c r="Y7" i="68"/>
  <c r="T10" i="68"/>
  <c r="W11" i="68"/>
  <c r="P2" i="72"/>
  <c r="Y15" i="72"/>
  <c r="V15" i="72"/>
  <c r="X15" i="74"/>
  <c r="U4" i="68"/>
  <c r="N5" i="68"/>
  <c r="V4" i="68"/>
  <c r="O15" i="70"/>
  <c r="X6" i="68"/>
  <c r="M9" i="68"/>
  <c r="P4" i="68"/>
  <c r="Y5" i="68"/>
  <c r="T9" i="68"/>
  <c r="N9" i="68"/>
  <c r="Y4" i="68"/>
  <c r="W4" i="68"/>
  <c r="M10" i="68"/>
  <c r="O10" i="68"/>
  <c r="N11" i="68"/>
  <c r="Q5" i="68"/>
  <c r="O6" i="68"/>
  <c r="T12" i="68"/>
  <c r="X5" i="68"/>
  <c r="N6" i="68"/>
  <c r="M8" i="68"/>
  <c r="Y6" i="68"/>
  <c r="L6" i="68"/>
  <c r="M4" i="68"/>
  <c r="U9" i="68"/>
  <c r="W5" i="68"/>
  <c r="V10" i="68"/>
  <c r="L4" i="68"/>
  <c r="Q6" i="68"/>
  <c r="N4" i="68"/>
  <c r="L10" i="68"/>
  <c r="W9" i="68"/>
  <c r="U6" i="68"/>
  <c r="N12" i="68"/>
  <c r="M6" i="68"/>
  <c r="P11" i="68"/>
  <c r="Q11" i="68"/>
  <c r="Q7" i="68"/>
  <c r="V5" i="68"/>
  <c r="X10" i="68"/>
  <c r="X4" i="68"/>
  <c r="V9" i="68"/>
  <c r="O11" i="68"/>
  <c r="V8" i="68"/>
  <c r="L5" i="68"/>
  <c r="W12" i="68"/>
  <c r="P7" i="68"/>
  <c r="Y12" i="68"/>
  <c r="U12" i="68"/>
  <c r="N10" i="68"/>
  <c r="Y9" i="68"/>
  <c r="V12" i="68"/>
  <c r="T7" i="68"/>
  <c r="O12" i="68"/>
  <c r="L11" i="68"/>
  <c r="P5" i="68"/>
  <c r="X12" i="68"/>
  <c r="U5" i="68"/>
  <c r="Q4" i="68"/>
  <c r="O4" i="68"/>
  <c r="M11" i="68"/>
  <c r="O5" i="68"/>
  <c r="Y15" i="71"/>
  <c r="Q15" i="69"/>
  <c r="Z15" i="70"/>
  <c r="X15" i="69"/>
  <c r="P15" i="73"/>
  <c r="P2" i="73"/>
  <c r="O15" i="74"/>
  <c r="R2" i="70"/>
  <c r="R15" i="70"/>
  <c r="U15" i="75"/>
  <c r="Y15" i="70"/>
  <c r="O15" i="71"/>
  <c r="N15" i="76"/>
  <c r="Z15" i="71"/>
  <c r="M15" i="71"/>
  <c r="N15" i="69"/>
  <c r="X15" i="70"/>
  <c r="W15" i="73"/>
  <c r="M15" i="69"/>
  <c r="R15" i="71"/>
  <c r="R2" i="71"/>
  <c r="O15" i="69"/>
  <c r="X15" i="77"/>
  <c r="V15" i="71"/>
  <c r="O15" i="75"/>
  <c r="N15" i="71"/>
  <c r="Q15" i="74"/>
  <c r="R2" i="74"/>
  <c r="R15" i="74"/>
  <c r="R15" i="72"/>
  <c r="R2" i="72"/>
  <c r="W15" i="77"/>
  <c r="P2" i="74"/>
  <c r="P15" i="74"/>
  <c r="W15" i="76"/>
  <c r="M15" i="70"/>
  <c r="X15" i="75"/>
  <c r="V15" i="77"/>
  <c r="Q15" i="72"/>
  <c r="V15" i="75"/>
  <c r="P2" i="71"/>
  <c r="Y15" i="73"/>
  <c r="N15" i="77"/>
  <c r="O15" i="73"/>
  <c r="Z15" i="77"/>
  <c r="W15" i="75"/>
  <c r="Z15" i="75"/>
  <c r="Z15" i="69"/>
  <c r="U15" i="72"/>
  <c r="M15" i="74"/>
  <c r="Q15" i="70"/>
  <c r="Y15" i="75"/>
  <c r="V15" i="70"/>
  <c r="R15" i="69"/>
  <c r="R2" i="69"/>
  <c r="Y15" i="69"/>
  <c r="P2" i="69"/>
  <c r="P15" i="69"/>
  <c r="N15" i="74"/>
  <c r="P2" i="70"/>
  <c r="P15" i="70"/>
  <c r="Q15" i="63"/>
  <c r="N3" i="68"/>
  <c r="N13" i="68" s="1"/>
  <c r="N14" i="68" s="1"/>
  <c r="Q3" i="68"/>
  <c r="Q13" i="68" s="1"/>
  <c r="Q14" i="68" s="1"/>
  <c r="O3" i="68"/>
  <c r="O13" i="68" s="1"/>
  <c r="O14" i="68" s="1"/>
  <c r="M3" i="68"/>
  <c r="M13" i="68" s="1"/>
  <c r="M14" i="68" s="1"/>
  <c r="P3" i="68"/>
  <c r="P13" i="68" s="1"/>
  <c r="P14" i="68" s="1"/>
  <c r="L3" i="68"/>
  <c r="L13" i="68" s="1"/>
  <c r="L14" i="68" s="1"/>
  <c r="O15" i="63"/>
  <c r="R2" i="63"/>
  <c r="P2" i="63"/>
  <c r="R13" i="68"/>
  <c r="K14" i="68"/>
  <c r="N15" i="63"/>
  <c r="M15" i="63"/>
  <c r="P15" i="63"/>
  <c r="U15" i="63"/>
  <c r="R15" i="63"/>
  <c r="Z15" i="63"/>
  <c r="Y15" i="6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<sst xmlns="http://schemas.openxmlformats.org/spreadsheetml/2006/main" count="654" uniqueCount="19">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</sst>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CB7B-A94E-4263-BFCA-D4E84F62D125}">
  <dimension ref="B1:Z14"/>
  <sheetViews>
    <sheetView zoomScale="85" zoomScaleNormal="85" workbookViewId="0">
      <selection activeCell="D16" sqref="D16:D25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6640625" bestFit="1" customWidth="1"/>
    <col min="9" max="9" width="18" bestFit="1" customWidth="1"/>
    <col min="11" max="11" width="8" bestFit="1" customWidth="1"/>
    <col min="12" max="12" width="9.1640625" bestFit="1" customWidth="1"/>
    <col min="13" max="13" width="8.6640625" bestFit="1" customWidth="1"/>
    <col min="14" max="14" width="17.6640625" bestFit="1" customWidth="1"/>
    <col min="15" max="15" width="12.1640625" bestFit="1" customWidth="1"/>
    <col min="16" max="16" width="23.66406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6640625" bestFit="1" customWidth="1"/>
    <col min="22" max="22" width="17.6640625" bestFit="1" customWidth="1"/>
    <col min="23" max="23" width="12.1640625" bestFit="1" customWidth="1"/>
    <col min="24" max="24" width="23.6640625" bestFit="1" customWidth="1"/>
    <col min="25" max="25" width="17.33203125" bestFit="1" customWidth="1"/>
    <col min="26" max="26" width="5.83203125" bestFit="1" customWidth="1"/>
  </cols>
  <sheetData>
    <row r="1" spans="2:26" x14ac:dyDescent="0.2">
      <c r="B1" s="47">
        <v>0</v>
      </c>
      <c r="K1" s="48">
        <v>-0.5</v>
      </c>
      <c r="S1" s="48">
        <v>0.5</v>
      </c>
    </row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45</v>
      </c>
      <c r="C3" s="5" cm="1">
        <f t="array" aca="1" ref="C3" ca="1">INDIRECT("'results" &amp; $B3 &amp; "'!D$14")</f>
        <v>1109491.730596958</v>
      </c>
      <c r="D3" s="33" cm="1">
        <f t="array" aca="1" ref="D3" ca="1">INDIRECT("'results" &amp; $B3 &amp; "'!E$14")</f>
        <v>175.83051161536085</v>
      </c>
      <c r="E3" s="5" cm="1">
        <f t="array" aca="1" ref="E3" ca="1">INDIRECT("'results" &amp; $B3 &amp; "'!F$14")</f>
        <v>11</v>
      </c>
      <c r="F3" s="5" cm="1">
        <f t="array" aca="1" ref="F3" ca="1">INDIRECT("'results" &amp; $B3 &amp; "'!G$14")</f>
        <v>96</v>
      </c>
      <c r="G3" s="5" cm="1">
        <f t="array" aca="1" ref="G3" ca="1">INDIRECT("'results" &amp; $B3 &amp; "'!H$14")</f>
        <v>419.06882453373214</v>
      </c>
      <c r="H3" s="33" cm="1">
        <f t="array" aca="1" ref="H3" ca="1">INDIRECT("'results" &amp; $B3 &amp; "'!I$14")</f>
        <v>49.007721434937274</v>
      </c>
      <c r="I3" s="5" cm="1">
        <f t="array" aca="1" ref="I3" ca="1">INDIRECT("'results" &amp; $B3 &amp; "'!J$14")</f>
        <v>5556.5358758104085</v>
      </c>
      <c r="J3" s="5"/>
      <c r="K3" s="5" t="e" cm="1">
        <f t="array" aca="1" ref="K3" ca="1">INDIRECT("'results" &amp; $B3 &amp; "'!L$14")</f>
        <v>#REF!</v>
      </c>
      <c r="L3" s="5" t="e" cm="1">
        <f t="array" aca="1" ref="L3" ca="1">INDIRECT("'results" &amp; $B3 &amp; "'!M$14")</f>
        <v>#REF!</v>
      </c>
      <c r="M3" s="5" t="e" cm="1">
        <f t="array" aca="1" ref="M3" ca="1">INDIRECT("'results" &amp; $B3 &amp; "'!N$14")</f>
        <v>#REF!</v>
      </c>
      <c r="N3" s="5" t="e" cm="1">
        <f t="array" aca="1" ref="N3" ca="1">INDIRECT("'results" &amp; $B3 &amp; "'!O$14")</f>
        <v>#REF!</v>
      </c>
      <c r="O3" s="5" t="e" cm="1">
        <f t="array" aca="1" ref="O3" ca="1">INDIRECT("'results" &amp; $B3 &amp; "'!P$14")</f>
        <v>#REF!</v>
      </c>
      <c r="P3" s="5" t="e" cm="1">
        <f t="array" aca="1" ref="P3" ca="1">INDIRECT("'results" &amp; $B3 &amp; "'!Q$14")</f>
        <v>#REF!</v>
      </c>
      <c r="Q3" s="5" t="e" cm="1">
        <f t="array" aca="1" ref="Q3" ca="1">INDIRECT("'results" &amp; $B3 &amp; "'!R$14")</f>
        <v>#REF!</v>
      </c>
      <c r="R3" s="5"/>
      <c r="S3" s="5" t="e" cm="1">
        <f t="array" aca="1" ref="S3" ca="1">INDIRECT("'results" &amp; $B3 &amp; "'!T$14")</f>
        <v>#REF!</v>
      </c>
      <c r="T3" s="5" t="e" cm="1">
        <f t="array" aca="1" ref="T3" ca="1">INDIRECT("'results" &amp; $B3 &amp; "'!U$14")</f>
        <v>#REF!</v>
      </c>
      <c r="U3" s="5" t="e" cm="1">
        <f t="array" aca="1" ref="U3" ca="1">INDIRECT("'results" &amp; $B3 &amp; "'!V$14")</f>
        <v>#REF!</v>
      </c>
      <c r="V3" s="5" t="e" cm="1">
        <f t="array" aca="1" ref="V3" ca="1">INDIRECT("'results" &amp; $B3 &amp; "'!W$14")</f>
        <v>#REF!</v>
      </c>
      <c r="W3" s="5" t="e" cm="1">
        <f t="array" aca="1" ref="W3" ca="1">INDIRECT("'results" &amp; $B3 &amp; "'!X$14")</f>
        <v>#REF!</v>
      </c>
      <c r="X3" s="5" t="e" cm="1">
        <f t="array" aca="1" ref="X3" ca="1">INDIRECT("'results" &amp; $B3 &amp; "'!Y$14")</f>
        <v>#REF!</v>
      </c>
      <c r="Y3" s="5" t="e" cm="1">
        <f t="array" aca="1" ref="Y3" ca="1">INDIRECT("'results" &amp; $B3 &amp; "'!Z$14")</f>
        <v>#REF!</v>
      </c>
      <c r="Z3" s="5"/>
    </row>
    <row r="4" spans="2:26" x14ac:dyDescent="0.2">
      <c r="B4" s="4">
        <v>229</v>
      </c>
      <c r="C4" s="5" cm="1">
        <f t="array" aca="1" ref="C4" ca="1">INDIRECT("'results" &amp; $B4 &amp; "'!D$14")</f>
        <v>968127.96556841256</v>
      </c>
      <c r="D4" s="33" cm="1">
        <f t="array" aca="1" ref="D4" ca="1">INDIRECT("'results" &amp; $B4 &amp; "'!E$14")</f>
        <v>110.66876407685831</v>
      </c>
      <c r="E4" s="5" cm="1">
        <f t="array" aca="1" ref="E4" ca="1">INDIRECT("'results" &amp; $B4 &amp; "'!F$14")</f>
        <v>11</v>
      </c>
      <c r="F4" s="5" cm="1">
        <f t="array" aca="1" ref="F4" ca="1">INDIRECT("'results" &amp; $B4 &amp; "'!G$14")</f>
        <v>96</v>
      </c>
      <c r="G4" s="5" cm="1">
        <f t="array" aca="1" ref="G4" ca="1">INDIRECT("'results" &amp; $B4 &amp; "'!H$14")</f>
        <v>148.27568864938823</v>
      </c>
      <c r="H4" s="33" cm="1">
        <f t="array" aca="1" ref="H4" ca="1">INDIRECT("'results" &amp; $B4 &amp; "'!I$14")</f>
        <v>41.044499047729481</v>
      </c>
      <c r="I4" s="5" cm="1">
        <f t="array" aca="1" ref="I4" ca="1">INDIRECT("'results" &amp; $B4 &amp; "'!J$14")</f>
        <v>4730.6926525659665</v>
      </c>
      <c r="J4" s="5"/>
      <c r="K4" s="5" t="e" cm="1">
        <f t="array" aca="1" ref="K4" ca="1">INDIRECT("'results" &amp; $B4 &amp; "'!L$14")</f>
        <v>#REF!</v>
      </c>
      <c r="L4" s="5" t="e" cm="1">
        <f t="array" aca="1" ref="L4" ca="1">INDIRECT("'results" &amp; $B4 &amp; "'!M$14")</f>
        <v>#REF!</v>
      </c>
      <c r="M4" s="5" t="e" cm="1">
        <f t="array" aca="1" ref="M4" ca="1">INDIRECT("'results" &amp; $B4 &amp; "'!N$14")</f>
        <v>#REF!</v>
      </c>
      <c r="N4" s="5" t="e" cm="1">
        <f t="array" aca="1" ref="N4" ca="1">INDIRECT("'results" &amp; $B4 &amp; "'!O$14")</f>
        <v>#REF!</v>
      </c>
      <c r="O4" s="5" t="e" cm="1">
        <f t="array" aca="1" ref="O4" ca="1">INDIRECT("'results" &amp; $B4 &amp; "'!P$14")</f>
        <v>#REF!</v>
      </c>
      <c r="P4" s="5" t="e" cm="1">
        <f t="array" aca="1" ref="P4" ca="1">INDIRECT("'results" &amp; $B4 &amp; "'!Q$14")</f>
        <v>#REF!</v>
      </c>
      <c r="Q4" s="5" t="e" cm="1">
        <f t="array" aca="1" ref="Q4" ca="1">INDIRECT("'results" &amp; $B4 &amp; "'!R$14")</f>
        <v>#REF!</v>
      </c>
      <c r="R4" s="5"/>
      <c r="S4" s="5" t="e" cm="1">
        <f t="array" aca="1" ref="S4" ca="1">INDIRECT("'results" &amp; $B4 &amp; "'!T$14")</f>
        <v>#REF!</v>
      </c>
      <c r="T4" s="5" t="e" cm="1">
        <f t="array" aca="1" ref="T4" ca="1">INDIRECT("'results" &amp; $B4 &amp; "'!U$14")</f>
        <v>#REF!</v>
      </c>
      <c r="U4" s="5" t="e" cm="1">
        <f t="array" aca="1" ref="U4" ca="1">INDIRECT("'results" &amp; $B4 &amp; "'!V$14")</f>
        <v>#REF!</v>
      </c>
      <c r="V4" s="5" t="e" cm="1">
        <f t="array" aca="1" ref="V4" ca="1">INDIRECT("'results" &amp; $B4 &amp; "'!W$14")</f>
        <v>#REF!</v>
      </c>
      <c r="W4" s="5" t="e" cm="1">
        <f t="array" aca="1" ref="W4" ca="1">INDIRECT("'results" &amp; $B4 &amp; "'!X$14")</f>
        <v>#REF!</v>
      </c>
      <c r="X4" s="5" t="e" cm="1">
        <f t="array" aca="1" ref="X4" ca="1">INDIRECT("'results" &amp; $B4 &amp; "'!Y$14")</f>
        <v>#REF!</v>
      </c>
      <c r="Y4" s="5" t="e" cm="1">
        <f t="array" aca="1" ref="Y4" ca="1">INDIRECT("'results" &amp; $B4 &amp; "'!Z$14")</f>
        <v>#REF!</v>
      </c>
      <c r="Z4" s="5"/>
    </row>
    <row r="5" spans="2:26" x14ac:dyDescent="0.2">
      <c r="B5" s="4">
        <v>268</v>
      </c>
      <c r="C5" s="5" cm="1">
        <f t="array" aca="1" ref="C5" ca="1">INDIRECT("'results" &amp; $B5 &amp; "'!D$14")</f>
        <v>1171722.7209426111</v>
      </c>
      <c r="D5" s="33" cm="1">
        <f t="array" aca="1" ref="D5" ca="1">INDIRECT("'results" &amp; $B5 &amp; "'!E$14")</f>
        <v>274.61161923075383</v>
      </c>
      <c r="E5" s="5" cm="1">
        <f t="array" aca="1" ref="E5" ca="1">INDIRECT("'results" &amp; $B5 &amp; "'!F$14")</f>
        <v>16</v>
      </c>
      <c r="F5" s="5" cm="1">
        <f t="array" aca="1" ref="F5" ca="1">INDIRECT("'results" &amp; $B5 &amp; "'!G$14")</f>
        <v>97.333333333333329</v>
      </c>
      <c r="G5" s="5" cm="1">
        <f t="array" aca="1" ref="G5" ca="1">INDIRECT("'results" &amp; $B5 &amp; "'!H$14")</f>
        <v>552.87315230917284</v>
      </c>
      <c r="H5" s="33" cm="1">
        <f t="array" aca="1" ref="H5" ca="1">INDIRECT("'results" &amp; $B5 &amp; "'!I$14")</f>
        <v>39.68895058554655</v>
      </c>
      <c r="I5" s="5" cm="1">
        <f t="array" aca="1" ref="I5" ca="1">INDIRECT("'results" &amp; $B5 &amp; "'!J$14")</f>
        <v>5498.4921850503042</v>
      </c>
      <c r="J5" s="5"/>
      <c r="K5" s="5" t="e" cm="1">
        <f t="array" aca="1" ref="K5" ca="1">INDIRECT("'results" &amp; $B5 &amp; "'!L$14")</f>
        <v>#REF!</v>
      </c>
      <c r="L5" s="5" t="e" cm="1">
        <f t="array" aca="1" ref="L5" ca="1">INDIRECT("'results" &amp; $B5 &amp; "'!M$14")</f>
        <v>#REF!</v>
      </c>
      <c r="M5" s="5" t="e" cm="1">
        <f t="array" aca="1" ref="M5" ca="1">INDIRECT("'results" &amp; $B5 &amp; "'!N$14")</f>
        <v>#REF!</v>
      </c>
      <c r="N5" s="5" t="e" cm="1">
        <f t="array" aca="1" ref="N5" ca="1">INDIRECT("'results" &amp; $B5 &amp; "'!O$14")</f>
        <v>#REF!</v>
      </c>
      <c r="O5" s="5" t="e" cm="1">
        <f t="array" aca="1" ref="O5" ca="1">INDIRECT("'results" &amp; $B5 &amp; "'!P$14")</f>
        <v>#REF!</v>
      </c>
      <c r="P5" s="5" t="e" cm="1">
        <f t="array" aca="1" ref="P5" ca="1">INDIRECT("'results" &amp; $B5 &amp; "'!Q$14")</f>
        <v>#REF!</v>
      </c>
      <c r="Q5" s="5" t="e" cm="1">
        <f t="array" aca="1" ref="Q5" ca="1">INDIRECT("'results" &amp; $B5 &amp; "'!R$14")</f>
        <v>#REF!</v>
      </c>
      <c r="R5" s="5"/>
      <c r="S5" s="5" t="e" cm="1">
        <f t="array" aca="1" ref="S5" ca="1">INDIRECT("'results" &amp; $B5 &amp; "'!T$14")</f>
        <v>#REF!</v>
      </c>
      <c r="T5" s="5" t="e" cm="1">
        <f t="array" aca="1" ref="T5" ca="1">INDIRECT("'results" &amp; $B5 &amp; "'!U$14")</f>
        <v>#REF!</v>
      </c>
      <c r="U5" s="5" t="e" cm="1">
        <f t="array" aca="1" ref="U5" ca="1">INDIRECT("'results" &amp; $B5 &amp; "'!V$14")</f>
        <v>#REF!</v>
      </c>
      <c r="V5" s="5" t="e" cm="1">
        <f t="array" aca="1" ref="V5" ca="1">INDIRECT("'results" &amp; $B5 &amp; "'!W$14")</f>
        <v>#REF!</v>
      </c>
      <c r="W5" s="5" t="e" cm="1">
        <f t="array" aca="1" ref="W5" ca="1">INDIRECT("'results" &amp; $B5 &amp; "'!X$14")</f>
        <v>#REF!</v>
      </c>
      <c r="X5" s="5" t="e" cm="1">
        <f t="array" aca="1" ref="X5" ca="1">INDIRECT("'results" &amp; $B5 &amp; "'!Y$14")</f>
        <v>#REF!</v>
      </c>
      <c r="Y5" s="5" t="e" cm="1">
        <f t="array" aca="1" ref="Y5" ca="1">INDIRECT("'results" &amp; $B5 &amp; "'!Z$14")</f>
        <v>#REF!</v>
      </c>
      <c r="Z5" s="5"/>
    </row>
    <row r="6" spans="2:26" x14ac:dyDescent="0.2">
      <c r="B6" s="4">
        <v>346</v>
      </c>
      <c r="C6" s="5" cm="1">
        <f t="array" aca="1" ref="C6" ca="1">INDIRECT("'results" &amp; $B6 &amp; "'!D$14")</f>
        <v>1141726.937281823</v>
      </c>
      <c r="D6" s="33" cm="1">
        <f t="array" aca="1" ref="D6" ca="1">INDIRECT("'results" &amp; $B6 &amp; "'!E$14")</f>
        <v>371.94766284620312</v>
      </c>
      <c r="E6" s="5" cm="1">
        <f t="array" aca="1" ref="E6" ca="1">INDIRECT("'results" &amp; $B6 &amp; "'!F$14")</f>
        <v>14</v>
      </c>
      <c r="F6" s="5" cm="1">
        <f t="array" aca="1" ref="F6" ca="1">INDIRECT("'results" &amp; $B6 &amp; "'!G$14")</f>
        <v>94</v>
      </c>
      <c r="G6" s="5" cm="1">
        <f t="array" aca="1" ref="G6" ca="1">INDIRECT("'results" &amp; $B6 &amp; "'!H$14")</f>
        <v>284.12843424466513</v>
      </c>
      <c r="H6" s="33" cm="1">
        <f t="array" aca="1" ref="H6" ca="1">INDIRECT("'results" &amp; $B6 &amp; "'!I$14")</f>
        <v>38.423322876589999</v>
      </c>
      <c r="I6" s="5" cm="1">
        <f t="array" aca="1" ref="I6" ca="1">INDIRECT("'results" &amp; $B6 &amp; "'!J$14")</f>
        <v>5202.2457846926009</v>
      </c>
      <c r="J6" s="5"/>
      <c r="K6" s="5" t="e" cm="1">
        <f t="array" aca="1" ref="K6" ca="1">INDIRECT("'results" &amp; $B6 &amp; "'!L$14")</f>
        <v>#REF!</v>
      </c>
      <c r="L6" s="5" t="e" cm="1">
        <f t="array" aca="1" ref="L6" ca="1">INDIRECT("'results" &amp; $B6 &amp; "'!M$14")</f>
        <v>#REF!</v>
      </c>
      <c r="M6" s="5" t="e" cm="1">
        <f t="array" aca="1" ref="M6" ca="1">INDIRECT("'results" &amp; $B6 &amp; "'!N$14")</f>
        <v>#REF!</v>
      </c>
      <c r="N6" s="5" t="e" cm="1">
        <f t="array" aca="1" ref="N6" ca="1">INDIRECT("'results" &amp; $B6 &amp; "'!O$14")</f>
        <v>#REF!</v>
      </c>
      <c r="O6" s="5" t="e" cm="1">
        <f t="array" aca="1" ref="O6" ca="1">INDIRECT("'results" &amp; $B6 &amp; "'!P$14")</f>
        <v>#REF!</v>
      </c>
      <c r="P6" s="5" t="e" cm="1">
        <f t="array" aca="1" ref="P6" ca="1">INDIRECT("'results" &amp; $B6 &amp; "'!Q$14")</f>
        <v>#REF!</v>
      </c>
      <c r="Q6" s="5" t="e" cm="1">
        <f t="array" aca="1" ref="Q6" ca="1">INDIRECT("'results" &amp; $B6 &amp; "'!R$14")</f>
        <v>#REF!</v>
      </c>
      <c r="R6" s="5"/>
      <c r="S6" s="5" t="e" cm="1">
        <f t="array" aca="1" ref="S6" ca="1">INDIRECT("'results" &amp; $B6 &amp; "'!T$14")</f>
        <v>#REF!</v>
      </c>
      <c r="T6" s="5" t="e" cm="1">
        <f t="array" aca="1" ref="T6" ca="1">INDIRECT("'results" &amp; $B6 &amp; "'!U$14")</f>
        <v>#REF!</v>
      </c>
      <c r="U6" s="5" t="e" cm="1">
        <f t="array" aca="1" ref="U6" ca="1">INDIRECT("'results" &amp; $B6 &amp; "'!V$14")</f>
        <v>#REF!</v>
      </c>
      <c r="V6" s="5" t="e" cm="1">
        <f t="array" aca="1" ref="V6" ca="1">INDIRECT("'results" &amp; $B6 &amp; "'!W$14")</f>
        <v>#REF!</v>
      </c>
      <c r="W6" s="5" t="e" cm="1">
        <f t="array" aca="1" ref="W6" ca="1">INDIRECT("'results" &amp; $B6 &amp; "'!X$14")</f>
        <v>#REF!</v>
      </c>
      <c r="X6" s="5" t="e" cm="1">
        <f t="array" aca="1" ref="X6" ca="1">INDIRECT("'results" &amp; $B6 &amp; "'!Y$14")</f>
        <v>#REF!</v>
      </c>
      <c r="Y6" s="5" t="e" cm="1">
        <f t="array" aca="1" ref="Y6" ca="1">INDIRECT("'results" &amp; $B6 &amp; "'!Z$14")</f>
        <v>#REF!</v>
      </c>
      <c r="Z6" s="5"/>
    </row>
    <row r="7" spans="2:26" x14ac:dyDescent="0.2">
      <c r="B7" s="4">
        <v>418</v>
      </c>
      <c r="C7" s="5" cm="1">
        <f t="array" aca="1" ref="C7" ca="1">INDIRECT("'results" &amp; $B7 &amp; "'!D$14")</f>
        <v>1155075.914594016</v>
      </c>
      <c r="D7" s="33" cm="1">
        <f t="array" aca="1" ref="D7" ca="1">INDIRECT("'results" &amp; $B7 &amp; "'!E$14")</f>
        <v>124.98730038462853</v>
      </c>
      <c r="E7" s="5" cm="1">
        <f t="array" aca="1" ref="E7" ca="1">INDIRECT("'results" &amp; $B7 &amp; "'!F$14")</f>
        <v>13</v>
      </c>
      <c r="F7" s="5" cm="1">
        <f t="array" aca="1" ref="F7" ca="1">INDIRECT("'results" &amp; $B7 &amp; "'!G$14")</f>
        <v>94</v>
      </c>
      <c r="G7" s="5" cm="1">
        <f t="array" aca="1" ref="G7" ca="1">INDIRECT("'results" &amp; $B7 &amp; "'!H$14")</f>
        <v>315.4818009440686</v>
      </c>
      <c r="H7" s="33" cm="1">
        <f t="array" aca="1" ref="H7" ca="1">INDIRECT("'results" &amp; $B7 &amp; "'!I$14")</f>
        <v>43.565165325317544</v>
      </c>
      <c r="I7" s="5" cm="1">
        <f t="array" aca="1" ref="I7" ca="1">INDIRECT("'results" &amp; $B7 &amp; "'!J$14")</f>
        <v>5346.775780707324</v>
      </c>
      <c r="J7" s="5"/>
      <c r="K7" s="5" t="e" cm="1">
        <f t="array" aca="1" ref="K7" ca="1">INDIRECT("'results" &amp; $B7 &amp; "'!L$14")</f>
        <v>#REF!</v>
      </c>
      <c r="L7" s="5" t="e" cm="1">
        <f t="array" aca="1" ref="L7" ca="1">INDIRECT("'results" &amp; $B7 &amp; "'!M$14")</f>
        <v>#REF!</v>
      </c>
      <c r="M7" s="5" t="e" cm="1">
        <f t="array" aca="1" ref="M7" ca="1">INDIRECT("'results" &amp; $B7 &amp; "'!N$14")</f>
        <v>#REF!</v>
      </c>
      <c r="N7" s="5" t="e" cm="1">
        <f t="array" aca="1" ref="N7" ca="1">INDIRECT("'results" &amp; $B7 &amp; "'!O$14")</f>
        <v>#REF!</v>
      </c>
      <c r="O7" s="5" t="e" cm="1">
        <f t="array" aca="1" ref="O7" ca="1">INDIRECT("'results" &amp; $B7 &amp; "'!P$14")</f>
        <v>#REF!</v>
      </c>
      <c r="P7" s="5" t="e" cm="1">
        <f t="array" aca="1" ref="P7" ca="1">INDIRECT("'results" &amp; $B7 &amp; "'!Q$14")</f>
        <v>#REF!</v>
      </c>
      <c r="Q7" s="5" t="e" cm="1">
        <f t="array" aca="1" ref="Q7" ca="1">INDIRECT("'results" &amp; $B7 &amp; "'!R$14")</f>
        <v>#REF!</v>
      </c>
      <c r="R7" s="5"/>
      <c r="S7" s="5" t="e" cm="1">
        <f t="array" aca="1" ref="S7" ca="1">INDIRECT("'results" &amp; $B7 &amp; "'!T$14")</f>
        <v>#REF!</v>
      </c>
      <c r="T7" s="5" t="e" cm="1">
        <f t="array" aca="1" ref="T7" ca="1">INDIRECT("'results" &amp; $B7 &amp; "'!U$14")</f>
        <v>#REF!</v>
      </c>
      <c r="U7" s="5" t="e" cm="1">
        <f t="array" aca="1" ref="U7" ca="1">INDIRECT("'results" &amp; $B7 &amp; "'!V$14")</f>
        <v>#REF!</v>
      </c>
      <c r="V7" s="5" t="e" cm="1">
        <f t="array" aca="1" ref="V7" ca="1">INDIRECT("'results" &amp; $B7 &amp; "'!W$14")</f>
        <v>#REF!</v>
      </c>
      <c r="W7" s="5" t="e" cm="1">
        <f t="array" aca="1" ref="W7" ca="1">INDIRECT("'results" &amp; $B7 &amp; "'!X$14")</f>
        <v>#REF!</v>
      </c>
      <c r="X7" s="5" t="e" cm="1">
        <f t="array" aca="1" ref="X7" ca="1">INDIRECT("'results" &amp; $B7 &amp; "'!Y$14")</f>
        <v>#REF!</v>
      </c>
      <c r="Y7" s="5" t="e" cm="1">
        <f t="array" aca="1" ref="Y7" ca="1">INDIRECT("'results" &amp; $B7 &amp; "'!Z$14")</f>
        <v>#REF!</v>
      </c>
      <c r="Z7" s="5"/>
    </row>
    <row r="8" spans="2:26" x14ac:dyDescent="0.2">
      <c r="B8" s="4">
        <v>464</v>
      </c>
      <c r="C8" s="5" cm="1">
        <f t="array" aca="1" ref="C8" ca="1">INDIRECT("'results" &amp; $B8 &amp; "'!D$14")</f>
        <v>1109461.4547045201</v>
      </c>
      <c r="D8" s="33" cm="1">
        <f t="array" aca="1" ref="D8" ca="1">INDIRECT("'results" &amp; $B8 &amp; "'!E$14")</f>
        <v>267.75269992309256</v>
      </c>
      <c r="E8" s="5" cm="1">
        <f t="array" aca="1" ref="E8" ca="1">INDIRECT("'results" &amp; $B8 &amp; "'!F$14")</f>
        <v>13</v>
      </c>
      <c r="F8" s="5" cm="1">
        <f t="array" aca="1" ref="F8" ca="1">INDIRECT("'results" &amp; $B8 &amp; "'!G$14")</f>
        <v>98.666666666666671</v>
      </c>
      <c r="G8" s="5" cm="1">
        <f t="array" aca="1" ref="G8" ca="1">INDIRECT("'results" &amp; $B8 &amp; "'!H$14")</f>
        <v>556.1484043778413</v>
      </c>
      <c r="H8" s="33" cm="1">
        <f t="array" aca="1" ref="H8" ca="1">INDIRECT("'results" &amp; $B8 &amp; "'!I$14")</f>
        <v>46.079268944698597</v>
      </c>
      <c r="I8" s="5" cm="1">
        <f t="array" aca="1" ref="I8" ca="1">INDIRECT("'results" &amp; $B8 &amp; "'!J$14")</f>
        <v>5662.791341137412</v>
      </c>
      <c r="J8" s="5"/>
      <c r="K8" s="5" t="e" cm="1">
        <f t="array" aca="1" ref="K8" ca="1">INDIRECT("'results" &amp; $B8 &amp; "'!L$14")</f>
        <v>#REF!</v>
      </c>
      <c r="L8" s="5" t="e" cm="1">
        <f t="array" aca="1" ref="L8" ca="1">INDIRECT("'results" &amp; $B8 &amp; "'!M$14")</f>
        <v>#REF!</v>
      </c>
      <c r="M8" s="5" t="e" cm="1">
        <f t="array" aca="1" ref="M8" ca="1">INDIRECT("'results" &amp; $B8 &amp; "'!N$14")</f>
        <v>#REF!</v>
      </c>
      <c r="N8" s="5" t="e" cm="1">
        <f t="array" aca="1" ref="N8" ca="1">INDIRECT("'results" &amp; $B8 &amp; "'!O$14")</f>
        <v>#REF!</v>
      </c>
      <c r="O8" s="5" t="e" cm="1">
        <f t="array" aca="1" ref="O8" ca="1">INDIRECT("'results" &amp; $B8 &amp; "'!P$14")</f>
        <v>#REF!</v>
      </c>
      <c r="P8" s="5" t="e" cm="1">
        <f t="array" aca="1" ref="P8" ca="1">INDIRECT("'results" &amp; $B8 &amp; "'!Q$14")</f>
        <v>#REF!</v>
      </c>
      <c r="Q8" s="5" t="e" cm="1">
        <f t="array" aca="1" ref="Q8" ca="1">INDIRECT("'results" &amp; $B8 &amp; "'!R$14")</f>
        <v>#REF!</v>
      </c>
      <c r="R8" s="5"/>
      <c r="S8" s="5" t="e" cm="1">
        <f t="array" aca="1" ref="S8" ca="1">INDIRECT("'results" &amp; $B8 &amp; "'!T$14")</f>
        <v>#REF!</v>
      </c>
      <c r="T8" s="5" t="e" cm="1">
        <f t="array" aca="1" ref="T8" ca="1">INDIRECT("'results" &amp; $B8 &amp; "'!U$14")</f>
        <v>#REF!</v>
      </c>
      <c r="U8" s="5" t="e" cm="1">
        <f t="array" aca="1" ref="U8" ca="1">INDIRECT("'results" &amp; $B8 &amp; "'!V$14")</f>
        <v>#REF!</v>
      </c>
      <c r="V8" s="5" t="e" cm="1">
        <f t="array" aca="1" ref="V8" ca="1">INDIRECT("'results" &amp; $B8 &amp; "'!W$14")</f>
        <v>#REF!</v>
      </c>
      <c r="W8" s="5" t="e" cm="1">
        <f t="array" aca="1" ref="W8" ca="1">INDIRECT("'results" &amp; $B8 &amp; "'!X$14")</f>
        <v>#REF!</v>
      </c>
      <c r="X8" s="5" t="e" cm="1">
        <f t="array" aca="1" ref="X8" ca="1">INDIRECT("'results" &amp; $B8 &amp; "'!Y$14")</f>
        <v>#REF!</v>
      </c>
      <c r="Y8" s="5" t="e" cm="1">
        <f t="array" aca="1" ref="Y8" ca="1">INDIRECT("'results" &amp; $B8 &amp; "'!Z$14")</f>
        <v>#REF!</v>
      </c>
      <c r="Z8" s="5"/>
    </row>
    <row r="9" spans="2:26" x14ac:dyDescent="0.2">
      <c r="B9" s="4">
        <v>658</v>
      </c>
      <c r="C9" s="5" cm="1">
        <f t="array" aca="1" ref="C9" ca="1">INDIRECT("'results" &amp; $B9 &amp; "'!D$14")</f>
        <v>1046045.483747479</v>
      </c>
      <c r="D9" s="33" cm="1">
        <f t="array" aca="1" ref="D9" ca="1">INDIRECT("'results" &amp; $B9 &amp; "'!E$14")</f>
        <v>205.49383246160752</v>
      </c>
      <c r="E9" s="5" cm="1">
        <f t="array" aca="1" ref="E9" ca="1">INDIRECT("'results" &amp; $B9 &amp; "'!F$14")</f>
        <v>14</v>
      </c>
      <c r="F9" s="5" cm="1">
        <f t="array" aca="1" ref="F9" ca="1">INDIRECT("'results" &amp; $B9 &amp; "'!G$14")</f>
        <v>96.666666666666671</v>
      </c>
      <c r="G9" s="5" cm="1">
        <f t="array" aca="1" ref="G9" ca="1">INDIRECT("'results" &amp; $B9 &amp; "'!H$14")</f>
        <v>351.38906290061749</v>
      </c>
      <c r="H9" s="33" cm="1">
        <f t="array" aca="1" ref="H9" ca="1">INDIRECT("'results" &amp; $B9 &amp; "'!I$14")</f>
        <v>37.424531203822959</v>
      </c>
      <c r="I9" s="5" cm="1">
        <f t="array" aca="1" ref="I9" ca="1">INDIRECT("'results" &amp; $B9 &amp; "'!J$14")</f>
        <v>4871.4040777261835</v>
      </c>
      <c r="J9" s="5"/>
      <c r="K9" s="5" t="e" cm="1">
        <f t="array" aca="1" ref="K9" ca="1">INDIRECT("'results" &amp; $B9 &amp; "'!L$14")</f>
        <v>#REF!</v>
      </c>
      <c r="L9" s="5" t="e" cm="1">
        <f t="array" aca="1" ref="L9" ca="1">INDIRECT("'results" &amp; $B9 &amp; "'!M$14")</f>
        <v>#REF!</v>
      </c>
      <c r="M9" s="5" t="e" cm="1">
        <f t="array" aca="1" ref="M9" ca="1">INDIRECT("'results" &amp; $B9 &amp; "'!N$14")</f>
        <v>#REF!</v>
      </c>
      <c r="N9" s="5" t="e" cm="1">
        <f t="array" aca="1" ref="N9" ca="1">INDIRECT("'results" &amp; $B9 &amp; "'!O$14")</f>
        <v>#REF!</v>
      </c>
      <c r="O9" s="5" t="e" cm="1">
        <f t="array" aca="1" ref="O9" ca="1">INDIRECT("'results" &amp; $B9 &amp; "'!P$14")</f>
        <v>#REF!</v>
      </c>
      <c r="P9" s="5" t="e" cm="1">
        <f t="array" aca="1" ref="P9" ca="1">INDIRECT("'results" &amp; $B9 &amp; "'!Q$14")</f>
        <v>#REF!</v>
      </c>
      <c r="Q9" s="5" t="e" cm="1">
        <f t="array" aca="1" ref="Q9" ca="1">INDIRECT("'results" &amp; $B9 &amp; "'!R$14")</f>
        <v>#REF!</v>
      </c>
      <c r="R9" s="5"/>
      <c r="S9" s="5" t="e" cm="1">
        <f t="array" aca="1" ref="S9" ca="1">INDIRECT("'results" &amp; $B9 &amp; "'!T$14")</f>
        <v>#REF!</v>
      </c>
      <c r="T9" s="5" t="e" cm="1">
        <f t="array" aca="1" ref="T9" ca="1">INDIRECT("'results" &amp; $B9 &amp; "'!U$14")</f>
        <v>#REF!</v>
      </c>
      <c r="U9" s="5" t="e" cm="1">
        <f t="array" aca="1" ref="U9" ca="1">INDIRECT("'results" &amp; $B9 &amp; "'!V$14")</f>
        <v>#REF!</v>
      </c>
      <c r="V9" s="5" t="e" cm="1">
        <f t="array" aca="1" ref="V9" ca="1">INDIRECT("'results" &amp; $B9 &amp; "'!W$14")</f>
        <v>#REF!</v>
      </c>
      <c r="W9" s="5" t="e" cm="1">
        <f t="array" aca="1" ref="W9" ca="1">INDIRECT("'results" &amp; $B9 &amp; "'!X$14")</f>
        <v>#REF!</v>
      </c>
      <c r="X9" s="5" t="e" cm="1">
        <f t="array" aca="1" ref="X9" ca="1">INDIRECT("'results" &amp; $B9 &amp; "'!Y$14")</f>
        <v>#REF!</v>
      </c>
      <c r="Y9" s="5" t="e" cm="1">
        <f t="array" aca="1" ref="Y9" ca="1">INDIRECT("'results" &amp; $B9 &amp; "'!Z$14")</f>
        <v>#REF!</v>
      </c>
      <c r="Z9" s="5"/>
    </row>
    <row r="10" spans="2:26" x14ac:dyDescent="0.2">
      <c r="B10" s="4">
        <v>720</v>
      </c>
      <c r="C10" s="5" cm="1">
        <f t="array" aca="1" ref="C10" ca="1">INDIRECT("'results" &amp; $B10 &amp; "'!D$14")</f>
        <v>1298314.612475632</v>
      </c>
      <c r="D10" s="33" cm="1">
        <f t="array" aca="1" ref="D10" ca="1">INDIRECT("'results" &amp; $B10 &amp; "'!E$14")</f>
        <v>222.78767107690396</v>
      </c>
      <c r="E10" s="5" cm="1">
        <f t="array" aca="1" ref="E10" ca="1">INDIRECT("'results" &amp; $B10 &amp; "'!F$14")</f>
        <v>15</v>
      </c>
      <c r="F10" s="5" cm="1">
        <f t="array" aca="1" ref="F10" ca="1">INDIRECT("'results" &amp; $B10 &amp; "'!G$14")</f>
        <v>93.333333333333329</v>
      </c>
      <c r="G10" s="5" cm="1">
        <f t="array" aca="1" ref="G10" ca="1">INDIRECT("'results" &amp; $B10 &amp; "'!H$14")</f>
        <v>557.2158028380004</v>
      </c>
      <c r="H10" s="33" cm="1">
        <f t="array" aca="1" ref="H10" ca="1">INDIRECT("'results" &amp; $B10 &amp; "'!I$14")</f>
        <v>34.54691388475625</v>
      </c>
      <c r="I10" s="5" cm="1">
        <f t="array" aca="1" ref="I10" ca="1">INDIRECT("'results" &amp; $B10 &amp; "'!J$14")</f>
        <v>5750.2115391621046</v>
      </c>
      <c r="J10" s="5"/>
      <c r="K10" s="5" t="e" cm="1">
        <f t="array" aca="1" ref="K10" ca="1">INDIRECT("'results" &amp; $B10 &amp; "'!L$14")</f>
        <v>#REF!</v>
      </c>
      <c r="L10" s="5" t="e" cm="1">
        <f t="array" aca="1" ref="L10" ca="1">INDIRECT("'results" &amp; $B10 &amp; "'!M$14")</f>
        <v>#REF!</v>
      </c>
      <c r="M10" s="5" t="e" cm="1">
        <f t="array" aca="1" ref="M10" ca="1">INDIRECT("'results" &amp; $B10 &amp; "'!N$14")</f>
        <v>#REF!</v>
      </c>
      <c r="N10" s="5" t="e" cm="1">
        <f t="array" aca="1" ref="N10" ca="1">INDIRECT("'results" &amp; $B10 &amp; "'!O$14")</f>
        <v>#REF!</v>
      </c>
      <c r="O10" s="5" t="e" cm="1">
        <f t="array" aca="1" ref="O10" ca="1">INDIRECT("'results" &amp; $B10 &amp; "'!P$14")</f>
        <v>#REF!</v>
      </c>
      <c r="P10" s="5" t="e" cm="1">
        <f t="array" aca="1" ref="P10" ca="1">INDIRECT("'results" &amp; $B10 &amp; "'!Q$14")</f>
        <v>#REF!</v>
      </c>
      <c r="Q10" s="5" t="e" cm="1">
        <f t="array" aca="1" ref="Q10" ca="1">INDIRECT("'results" &amp; $B10 &amp; "'!R$14")</f>
        <v>#REF!</v>
      </c>
      <c r="R10" s="5"/>
      <c r="S10" s="5" t="e" cm="1">
        <f t="array" aca="1" ref="S10" ca="1">INDIRECT("'results" &amp; $B10 &amp; "'!T$14")</f>
        <v>#REF!</v>
      </c>
      <c r="T10" s="5" t="e" cm="1">
        <f t="array" aca="1" ref="T10" ca="1">INDIRECT("'results" &amp; $B10 &amp; "'!U$14")</f>
        <v>#REF!</v>
      </c>
      <c r="U10" s="5" t="e" cm="1">
        <f t="array" aca="1" ref="U10" ca="1">INDIRECT("'results" &amp; $B10 &amp; "'!V$14")</f>
        <v>#REF!</v>
      </c>
      <c r="V10" s="5" t="e" cm="1">
        <f t="array" aca="1" ref="V10" ca="1">INDIRECT("'results" &amp; $B10 &amp; "'!W$14")</f>
        <v>#REF!</v>
      </c>
      <c r="W10" s="5" t="e" cm="1">
        <f t="array" aca="1" ref="W10" ca="1">INDIRECT("'results" &amp; $B10 &amp; "'!X$14")</f>
        <v>#REF!</v>
      </c>
      <c r="X10" s="5" t="e" cm="1">
        <f t="array" aca="1" ref="X10" ca="1">INDIRECT("'results" &amp; $B10 &amp; "'!Y$14")</f>
        <v>#REF!</v>
      </c>
      <c r="Y10" s="5" t="e" cm="1">
        <f t="array" aca="1" ref="Y10" ca="1">INDIRECT("'results" &amp; $B10 &amp; "'!Z$14")</f>
        <v>#REF!</v>
      </c>
      <c r="Z10" s="5"/>
    </row>
    <row r="11" spans="2:26" x14ac:dyDescent="0.2">
      <c r="B11" s="4">
        <v>846</v>
      </c>
      <c r="C11" s="5" cm="1">
        <f t="array" aca="1" ref="C11" ca="1">INDIRECT("'results" &amp; $B11 &amp; "'!D$14")</f>
        <v>1168643.226288683</v>
      </c>
      <c r="D11" s="33" cm="1">
        <f t="array" aca="1" ref="D11" ca="1">INDIRECT("'results" &amp; $B11 &amp; "'!E$14")</f>
        <v>309.76703292314107</v>
      </c>
      <c r="E11" s="5" cm="1">
        <f t="array" aca="1" ref="E11" ca="1">INDIRECT("'results" &amp; $B11 &amp; "'!F$14")</f>
        <v>13</v>
      </c>
      <c r="F11" s="5" cm="1">
        <f t="array" aca="1" ref="F11" ca="1">INDIRECT("'results" &amp; $B11 &amp; "'!G$14")</f>
        <v>94</v>
      </c>
      <c r="G11" s="5" cm="1">
        <f t="array" aca="1" ref="G11" ca="1">INDIRECT("'results" &amp; $B11 &amp; "'!H$14")</f>
        <v>362.73205147026351</v>
      </c>
      <c r="H11" s="33" cm="1">
        <f t="array" aca="1" ref="H11" ca="1">INDIRECT("'results" &amp; $B11 &amp; "'!I$14")</f>
        <v>40.263651627371402</v>
      </c>
      <c r="I11" s="5" cm="1">
        <f t="array" aca="1" ref="I11" ca="1">INDIRECT("'results" &amp; $B11 &amp; "'!J$14")</f>
        <v>5415.5349556114834</v>
      </c>
      <c r="J11" s="5"/>
      <c r="K11" s="5" t="e" cm="1">
        <f t="array" aca="1" ref="K11" ca="1">INDIRECT("'results" &amp; $B11 &amp; "'!L$14")</f>
        <v>#REF!</v>
      </c>
      <c r="L11" s="5" t="e" cm="1">
        <f t="array" aca="1" ref="L11" ca="1">INDIRECT("'results" &amp; $B11 &amp; "'!M$14")</f>
        <v>#REF!</v>
      </c>
      <c r="M11" s="5" t="e" cm="1">
        <f t="array" aca="1" ref="M11" ca="1">INDIRECT("'results" &amp; $B11 &amp; "'!N$14")</f>
        <v>#REF!</v>
      </c>
      <c r="N11" s="5" t="e" cm="1">
        <f t="array" aca="1" ref="N11" ca="1">INDIRECT("'results" &amp; $B11 &amp; "'!O$14")</f>
        <v>#REF!</v>
      </c>
      <c r="O11" s="5" t="e" cm="1">
        <f t="array" aca="1" ref="O11" ca="1">INDIRECT("'results" &amp; $B11 &amp; "'!P$14")</f>
        <v>#REF!</v>
      </c>
      <c r="P11" s="5" t="e" cm="1">
        <f t="array" aca="1" ref="P11" ca="1">INDIRECT("'results" &amp; $B11 &amp; "'!Q$14")</f>
        <v>#REF!</v>
      </c>
      <c r="Q11" s="5" t="e" cm="1">
        <f t="array" aca="1" ref="Q11" ca="1">INDIRECT("'results" &amp; $B11 &amp; "'!R$14")</f>
        <v>#REF!</v>
      </c>
      <c r="R11" s="5"/>
      <c r="S11" s="5" t="e" cm="1">
        <f t="array" aca="1" ref="S11" ca="1">INDIRECT("'results" &amp; $B11 &amp; "'!T$14")</f>
        <v>#REF!</v>
      </c>
      <c r="T11" s="5" t="e" cm="1">
        <f t="array" aca="1" ref="T11" ca="1">INDIRECT("'results" &amp; $B11 &amp; "'!U$14")</f>
        <v>#REF!</v>
      </c>
      <c r="U11" s="5" t="e" cm="1">
        <f t="array" aca="1" ref="U11" ca="1">INDIRECT("'results" &amp; $B11 &amp; "'!V$14")</f>
        <v>#REF!</v>
      </c>
      <c r="V11" s="5" t="e" cm="1">
        <f t="array" aca="1" ref="V11" ca="1">INDIRECT("'results" &amp; $B11 &amp; "'!W$14")</f>
        <v>#REF!</v>
      </c>
      <c r="W11" s="5" t="e" cm="1">
        <f t="array" aca="1" ref="W11" ca="1">INDIRECT("'results" &amp; $B11 &amp; "'!X$14")</f>
        <v>#REF!</v>
      </c>
      <c r="X11" s="5" t="e" cm="1">
        <f t="array" aca="1" ref="X11" ca="1">INDIRECT("'results" &amp; $B11 &amp; "'!Y$14")</f>
        <v>#REF!</v>
      </c>
      <c r="Y11" s="5" t="e" cm="1">
        <f t="array" aca="1" ref="Y11" ca="1">INDIRECT("'results" &amp; $B11 &amp; "'!Z$14")</f>
        <v>#REF!</v>
      </c>
      <c r="Z11" s="5"/>
    </row>
    <row r="12" spans="2:26" x14ac:dyDescent="0.2">
      <c r="B12" s="4">
        <v>910</v>
      </c>
      <c r="C12" s="5" cm="1">
        <f t="array" aca="1" ref="C12" ca="1">INDIRECT("'results" &amp; $B12 &amp; "'!D$14")</f>
        <v>1204846.1049447469</v>
      </c>
      <c r="D12" s="33" cm="1">
        <f t="array" aca="1" ref="D12" ca="1">INDIRECT("'results" &amp; $B12 &amp; "'!E$14")</f>
        <v>167.72226484617792</v>
      </c>
      <c r="E12" s="5" cm="1">
        <f t="array" aca="1" ref="E12" ca="1">INDIRECT("'results" &amp; $B12 &amp; "'!F$14")</f>
        <v>12</v>
      </c>
      <c r="F12" s="5" cm="1">
        <f t="array" aca="1" ref="F12" ca="1">INDIRECT("'results" &amp; $B12 &amp; "'!G$14")</f>
        <v>92.666666666666671</v>
      </c>
      <c r="G12" s="5" cm="1">
        <f t="array" aca="1" ref="G12" ca="1">INDIRECT("'results" &amp; $B12 &amp; "'!H$14")</f>
        <v>381.05739905978987</v>
      </c>
      <c r="H12" s="33" cm="1">
        <f t="array" aca="1" ref="H12" ca="1">INDIRECT("'results" &amp; $B12 &amp; "'!I$14")</f>
        <v>38.403845039915126</v>
      </c>
      <c r="I12" s="5" cm="1">
        <f t="array" aca="1" ref="I12" ca="1">INDIRECT("'results" &amp; $B12 &amp; "'!J$14")</f>
        <v>5454.0471054728532</v>
      </c>
      <c r="J12" s="5"/>
      <c r="K12" s="5" t="e" cm="1">
        <f t="array" aca="1" ref="K12" ca="1">INDIRECT("'results" &amp; $B12 &amp; "'!L$14")</f>
        <v>#REF!</v>
      </c>
      <c r="L12" s="5" t="e" cm="1">
        <f t="array" aca="1" ref="L12" ca="1">INDIRECT("'results" &amp; $B12 &amp; "'!M$14")</f>
        <v>#REF!</v>
      </c>
      <c r="M12" s="5" t="e" cm="1">
        <f t="array" aca="1" ref="M12" ca="1">INDIRECT("'results" &amp; $B12 &amp; "'!N$14")</f>
        <v>#REF!</v>
      </c>
      <c r="N12" s="5" t="e" cm="1">
        <f t="array" aca="1" ref="N12" ca="1">INDIRECT("'results" &amp; $B12 &amp; "'!O$14")</f>
        <v>#REF!</v>
      </c>
      <c r="O12" s="5" t="e" cm="1">
        <f t="array" aca="1" ref="O12" ca="1">INDIRECT("'results" &amp; $B12 &amp; "'!P$14")</f>
        <v>#REF!</v>
      </c>
      <c r="P12" s="5" t="e" cm="1">
        <f t="array" aca="1" ref="P12" ca="1">INDIRECT("'results" &amp; $B12 &amp; "'!Q$14")</f>
        <v>#REF!</v>
      </c>
      <c r="Q12" s="5" t="e" cm="1">
        <f t="array" aca="1" ref="Q12" ca="1">INDIRECT("'results" &amp; $B12 &amp; "'!R$14")</f>
        <v>#REF!</v>
      </c>
      <c r="R12" s="5"/>
      <c r="S12" s="5" t="e" cm="1">
        <f t="array" aca="1" ref="S12" ca="1">INDIRECT("'results" &amp; $B12 &amp; "'!T$14")</f>
        <v>#REF!</v>
      </c>
      <c r="T12" s="5" t="e" cm="1">
        <f t="array" aca="1" ref="T12" ca="1">INDIRECT("'results" &amp; $B12 &amp; "'!U$14")</f>
        <v>#REF!</v>
      </c>
      <c r="U12" s="5" t="e" cm="1">
        <f t="array" aca="1" ref="U12" ca="1">INDIRECT("'results" &amp; $B12 &amp; "'!V$14")</f>
        <v>#REF!</v>
      </c>
      <c r="V12" s="5" t="e" cm="1">
        <f t="array" aca="1" ref="V12" ca="1">INDIRECT("'results" &amp; $B12 &amp; "'!W$14")</f>
        <v>#REF!</v>
      </c>
      <c r="W12" s="5" t="e" cm="1">
        <f t="array" aca="1" ref="W12" ca="1">INDIRECT("'results" &amp; $B12 &amp; "'!X$14")</f>
        <v>#REF!</v>
      </c>
      <c r="X12" s="5" t="e" cm="1">
        <f t="array" aca="1" ref="X12" ca="1">INDIRECT("'results" &amp; $B12 &amp; "'!Y$14")</f>
        <v>#REF!</v>
      </c>
      <c r="Y12" s="5" t="e" cm="1">
        <f t="array" aca="1" ref="Y12" ca="1">INDIRECT("'results" &amp; $B12 &amp; "'!Z$14")</f>
        <v>#REF!</v>
      </c>
      <c r="Z12" s="5"/>
    </row>
    <row r="13" spans="2:26" x14ac:dyDescent="0.2">
      <c r="B13" s="8" t="s">
        <v>3</v>
      </c>
      <c r="C13" s="9">
        <f ca="1">AVERAGE(C3:C12)</f>
        <v>1137345.6151144882</v>
      </c>
      <c r="D13" s="10">
        <f t="shared" ref="D13:I13" ca="1" si="0">AVERAGE(D3:D12)</f>
        <v>223.15693593847277</v>
      </c>
      <c r="E13" s="9">
        <f t="shared" ca="1" si="0"/>
        <v>13.2</v>
      </c>
      <c r="F13" s="9">
        <f t="shared" ca="1" si="0"/>
        <v>95.266666666666666</v>
      </c>
      <c r="G13" s="9">
        <f t="shared" ca="1" si="0"/>
        <v>392.83706213275394</v>
      </c>
      <c r="H13" s="10">
        <f t="shared" ca="1" si="0"/>
        <v>40.84478699706851</v>
      </c>
      <c r="I13" s="9">
        <f t="shared" ca="1" si="0"/>
        <v>5348.8731297936638</v>
      </c>
      <c r="J13" s="32" t="e">
        <f ca="1">(C13-$D$15)/$D$15</f>
        <v>#DIV/0!</v>
      </c>
      <c r="K13" s="16" t="e">
        <f ca="1">AVERAGE(K3:K12)</f>
        <v>#REF!</v>
      </c>
      <c r="L13" s="42" t="e">
        <f t="shared" ref="L13:Q13" ca="1" si="1">AVERAGE(L3:L12)</f>
        <v>#REF!</v>
      </c>
      <c r="M13" s="16" t="e">
        <f t="shared" ca="1" si="1"/>
        <v>#REF!</v>
      </c>
      <c r="N13" s="16" t="e">
        <f ca="1">AVERAGE(N3:N12)</f>
        <v>#REF!</v>
      </c>
      <c r="O13" s="16" t="e">
        <f t="shared" ca="1" si="1"/>
        <v>#REF!</v>
      </c>
      <c r="P13" s="42" t="e">
        <f t="shared" ca="1" si="1"/>
        <v>#REF!</v>
      </c>
      <c r="Q13" s="16" t="e">
        <f t="shared" ca="1" si="1"/>
        <v>#REF!</v>
      </c>
      <c r="R13" s="43" t="e">
        <f ca="1">(K13-$D$15)/$D$15</f>
        <v>#REF!</v>
      </c>
      <c r="S13" s="38" t="e">
        <f ca="1">AVERAGE(S3:S12)</f>
        <v>#REF!</v>
      </c>
      <c r="T13" s="44" t="e">
        <f t="shared" ref="T13:Y13" ca="1" si="2">AVERAGE(T3:T12)</f>
        <v>#REF!</v>
      </c>
      <c r="U13" s="38" t="e">
        <f t="shared" ca="1" si="2"/>
        <v>#REF!</v>
      </c>
      <c r="V13" s="38" t="e">
        <f t="shared" ca="1" si="2"/>
        <v>#REF!</v>
      </c>
      <c r="W13" s="38" t="e">
        <f t="shared" ca="1" si="2"/>
        <v>#REF!</v>
      </c>
      <c r="X13" s="44" t="e">
        <f t="shared" ca="1" si="2"/>
        <v>#REF!</v>
      </c>
      <c r="Y13" s="38" t="e">
        <f t="shared" ca="1" si="2"/>
        <v>#REF!</v>
      </c>
      <c r="Z13" s="45" t="e">
        <f ca="1">(S13-$D$15)/$D$15</f>
        <v>#REF!</v>
      </c>
    </row>
    <row r="14" spans="2:26" x14ac:dyDescent="0.2">
      <c r="K14" s="46" t="e">
        <f ca="1">(K13-C13)/C13</f>
        <v>#REF!</v>
      </c>
      <c r="L14" s="46" t="e">
        <f t="shared" ref="L14:Q14" ca="1" si="3">(L13-D13)/D13</f>
        <v>#REF!</v>
      </c>
      <c r="M14" s="46" t="e">
        <f t="shared" ca="1" si="3"/>
        <v>#REF!</v>
      </c>
      <c r="N14" s="46" t="e">
        <f t="shared" ca="1" si="3"/>
        <v>#REF!</v>
      </c>
      <c r="O14" s="46" t="e">
        <f t="shared" ca="1" si="3"/>
        <v>#REF!</v>
      </c>
      <c r="P14" s="46" t="e">
        <f t="shared" ca="1" si="3"/>
        <v>#REF!</v>
      </c>
      <c r="Q14" s="46" t="e">
        <f t="shared" ca="1" si="3"/>
        <v>#REF!</v>
      </c>
      <c r="S14" s="46" t="e">
        <f ca="1">(S13-C13)/C13</f>
        <v>#REF!</v>
      </c>
      <c r="T14" s="46" t="e">
        <f t="shared" ref="T14:Y14" ca="1" si="4">(T13-D13)/D13</f>
        <v>#REF!</v>
      </c>
      <c r="U14" s="46" t="e">
        <f t="shared" ca="1" si="4"/>
        <v>#REF!</v>
      </c>
      <c r="V14" s="46" t="e">
        <f ca="1">(V13-F13)/F13</f>
        <v>#REF!</v>
      </c>
      <c r="W14" s="46" t="e">
        <f t="shared" ca="1" si="4"/>
        <v>#REF!</v>
      </c>
      <c r="X14" s="46" t="e">
        <f t="shared" ca="1" si="4"/>
        <v>#REF!</v>
      </c>
      <c r="Y14" s="46" t="e">
        <f t="shared" ca="1" si="4"/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729E-4C33-4A98-9174-69ED4C08C4CA}">
  <dimension ref="B1:AA17"/>
  <sheetViews>
    <sheetView zoomScale="90" zoomScaleNormal="90" workbookViewId="0">
      <selection activeCell="E20" sqref="E20:E29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 t="e">
        <f ca="1">(P14-H14)/H14</f>
        <v>#REF!</v>
      </c>
      <c r="R2" s="1" t="e">
        <f ca="1">(R14-J14)/J14</f>
        <v>#REF!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97</v>
      </c>
      <c r="D4" s="23">
        <v>1122021.9334757749</v>
      </c>
      <c r="E4" s="33">
        <v>183.73735515382853</v>
      </c>
      <c r="F4" s="5">
        <v>12</v>
      </c>
      <c r="G4" s="23">
        <v>96</v>
      </c>
      <c r="H4" s="33">
        <v>425.75936971036424</v>
      </c>
      <c r="I4" s="23">
        <v>44.97897523428793</v>
      </c>
      <c r="J4" s="5">
        <v>5517.0558625535232</v>
      </c>
      <c r="K4" s="31"/>
      <c r="L4" s="23" t="e" cm="1">
        <f t="array" aca="1" ref="L4" ca="1">INDIRECT("'[SA_results" &amp; $C4 &amp; ".xlsx]Best_Objective'!$A$2")</f>
        <v>#REF!</v>
      </c>
      <c r="M4" s="33" t="e" cm="1">
        <f t="array" aca="1" ref="M4" ca="1">INDIRECT("'[SA_results" &amp; $C4 &amp; ".xlsx]Running_Time'!$A$2")</f>
        <v>#REF!</v>
      </c>
      <c r="N4" s="5" t="e">
        <f ca="1">COUNTIF(INDIRECT("'[SA_results" &amp; $C4 &amp; ".xlsx]Best_Batch_Utilization'!C:C"),"&gt;0")</f>
        <v>#REF!</v>
      </c>
      <c r="O4" s="23" t="e" cm="1">
        <f t="array" aca="1" ref="O4" ca="1">INDIRECT("'[SA_results" &amp; $C4 &amp; ".xlsx]Acceptance_Rate'!$A$2")</f>
        <v>#REF!</v>
      </c>
      <c r="P4" s="33" t="e" cm="1">
        <f t="array" aca="1" ref="P4" ca="1">SUM(INDIRECT("'[SA_results" &amp; $C4 &amp; ".xlsx]Best_Job_Tardiness'!$B:$B"))/($D$2-INDIRECT("'[SA_results" &amp; $C4 &amp; ".xlsx]Total_Rejected_Jobs'!$A$2"))</f>
        <v>#REF!</v>
      </c>
      <c r="Q4" s="23" t="str">
        <f ca="1">IFERROR(AVERAGE(INDIRECT("'[SA_results" &amp; $C4 &amp; ".xlsx]Best_Batch_Utilization'!C:C")),"")</f>
        <v/>
      </c>
      <c r="R4" s="5" t="e" cm="1">
        <f t="array" aca="1" ref="R4" ca="1">SUM(INDIRECT("'[SA_results" &amp; $C4 &amp; ".xlsx]Best_Job_Completion_Time'!$B:$B"))/($D$2-INDIRECT("'[SA_results" &amp; $C4 &amp; ".xlsx]Total_Rejected_Jobs'!$A$2"))</f>
        <v>#REF!</v>
      </c>
      <c r="S4" s="35"/>
      <c r="T4" s="23" t="e" cm="1">
        <f t="array" aca="1" ref="T4" ca="1">INDIRECT("'[SA_results" &amp; $C4 &amp; ".xlsx]Best_Objective'!$A$2")</f>
        <v>#REF!</v>
      </c>
      <c r="U4" s="33" t="e" cm="1">
        <f t="array" aca="1" ref="U4" ca="1">INDIRECT("'[SA_results" &amp; $C4 &amp; ".xlsx]Running_Time'!$A$2")</f>
        <v>#REF!</v>
      </c>
      <c r="V4" s="5" t="e">
        <f ca="1">COUNTIF(INDIRECT("'[SA_results" &amp; $C4 &amp; ".xlsx]Best_Batch_Utilization'!C:C"),"&gt;0")</f>
        <v>#REF!</v>
      </c>
      <c r="W4" s="23" t="e" cm="1">
        <f t="array" aca="1" ref="W4" ca="1">INDIRECT("'[SA_results" &amp; $C4 &amp; ".xlsx]Acceptance_Rate'!$A$2")</f>
        <v>#REF!</v>
      </c>
      <c r="X4" s="33" t="e" cm="1">
        <f t="array" aca="1" ref="X4" ca="1">SUM(INDIRECT("'[SA_results" &amp; $C4 &amp; ".xlsx]Best_Job_Tardiness'!$B:$B"))/($D$2-INDIRECT("'[SA_results" &amp; $C4 &amp; ".xlsx]Total_Rejected_Jobs'!$A$2"))</f>
        <v>#REF!</v>
      </c>
      <c r="Y4" s="23" t="str">
        <f ca="1">IFERROR(AVERAGE(INDIRECT("'[SA_results" &amp; $C4 &amp; ".xlsx]Best_Batch_Utilization'!C:C")),"")</f>
        <v/>
      </c>
      <c r="Z4" s="5" t="e" cm="1">
        <f t="array" aca="1" ref="Z4" ca="1">SUM(INDIRECT("'[SA_results" &amp; $C4 &amp; ".xlsx]Best_Job_Completion_Time'!$B:$B"))/($D$2-INDIRECT("'[SA_results" &amp; $C4 &amp; ".xlsx]Total_Rejected_Jobs'!$A$2"))</f>
        <v>#REF!</v>
      </c>
      <c r="AA4" s="35"/>
    </row>
    <row r="5" spans="2:27" x14ac:dyDescent="0.2">
      <c r="B5" s="4">
        <v>2</v>
      </c>
      <c r="C5" s="4">
        <v>106</v>
      </c>
      <c r="D5" s="23">
        <v>1126682.9916717601</v>
      </c>
      <c r="E5" s="33">
        <v>271.11431015386745</v>
      </c>
      <c r="F5" s="5">
        <v>11</v>
      </c>
      <c r="G5" s="23">
        <v>94.666666666666671</v>
      </c>
      <c r="H5" s="33">
        <v>336.77922459537626</v>
      </c>
      <c r="I5" s="23">
        <v>48.507401519347461</v>
      </c>
      <c r="J5" s="5">
        <v>5529.4543143216943</v>
      </c>
      <c r="K5" s="31"/>
      <c r="L5" s="23" t="e" cm="1">
        <f t="array" aca="1" ref="L5" ca="1">INDIRECT("'[SA_results" &amp; $C5 &amp; ".xlsx]Best_Objective'!$A$2")</f>
        <v>#REF!</v>
      </c>
      <c r="M5" s="33" t="e" cm="1">
        <f t="array" aca="1" ref="M5" ca="1">INDIRECT("'[SA_results" &amp; $C5 &amp; ".xlsx]Running_Time'!$A$2")</f>
        <v>#REF!</v>
      </c>
      <c r="N5" s="5" t="e">
        <f t="shared" ref="N5:N13" ca="1" si="0">COUNTIF(INDIRECT("'[SA_results" &amp; $C5 &amp; ".xlsx]Best_Batch_Utilization'!C:C"),"&gt;0")</f>
        <v>#REF!</v>
      </c>
      <c r="O5" s="23" t="e" cm="1">
        <f t="array" aca="1" ref="O5" ca="1">INDIRECT("'[SA_results" &amp; $C5 &amp; ".xlsx]Acceptance_Rate'!$A$2")</f>
        <v>#REF!</v>
      </c>
      <c r="P5" s="33" t="e" cm="1">
        <f t="array" aca="1" ref="P5" ca="1">SUM(INDIRECT("'[SA_results" &amp; $C5 &amp; ".xlsx]Best_Job_Tardiness'!$B:$B"))/($D$2-INDIRECT("'[SA_results" &amp; $C5 &amp; ".xlsx]Total_Rejected_Jobs'!$A$2"))</f>
        <v>#REF!</v>
      </c>
      <c r="Q5" s="23" t="str">
        <f t="shared" ref="Q5:Q6" ca="1" si="1">IFERROR(AVERAGE(INDIRECT("'[SA_results" &amp; $C5 &amp; ".xlsx]Best_Batch_Utilization'!C:C")),"")</f>
        <v/>
      </c>
      <c r="R5" s="5" t="e" cm="1">
        <f t="array" aca="1" ref="R5" ca="1">SUM(INDIRECT("'[SA_results" &amp; $C5 &amp; ".xlsx]Best_Job_Completion_Time'!$B:$B"))/($D$2-INDIRECT("'[SA_results" &amp; $C5 &amp; ".xlsx]Total_Rejected_Jobs'!$A$2"))</f>
        <v>#REF!</v>
      </c>
      <c r="S5" s="35"/>
      <c r="T5" s="23" t="e" cm="1">
        <f t="array" aca="1" ref="T5" ca="1">INDIRECT("'[SA_results" &amp; $C5 &amp; ".xlsx]Best_Objective'!$A$2")</f>
        <v>#REF!</v>
      </c>
      <c r="U5" s="33" t="e" cm="1">
        <f t="array" aca="1" ref="U5" ca="1">INDIRECT("'[SA_results" &amp; $C5 &amp; ".xlsx]Running_Time'!$A$2")</f>
        <v>#REF!</v>
      </c>
      <c r="V5" s="5" t="e">
        <f t="shared" ref="V5:V13" ca="1" si="2">COUNTIF(INDIRECT("'[SA_results" &amp; $C5 &amp; ".xlsx]Best_Batch_Utilization'!C:C"),"&gt;0")</f>
        <v>#REF!</v>
      </c>
      <c r="W5" s="23" t="e" cm="1">
        <f t="array" aca="1" ref="W5" ca="1">INDIRECT("'[SA_results" &amp; $C5 &amp; ".xlsx]Acceptance_Rate'!$A$2")</f>
        <v>#REF!</v>
      </c>
      <c r="X5" s="33" t="e" cm="1">
        <f t="array" aca="1" ref="X5" ca="1">SUM(INDIRECT("'[SA_results" &amp; $C5 &amp; ".xlsx]Best_Job_Tardiness'!$B:$B"))/($D$2-INDIRECT("'[SA_results" &amp; $C5 &amp; ".xlsx]Total_Rejected_Jobs'!$A$2"))</f>
        <v>#REF!</v>
      </c>
      <c r="Y5" s="23" t="str">
        <f t="shared" ref="Y5:Y6" ca="1" si="3">IFERROR(AVERAGE(INDIRECT("'[SA_results" &amp; $C5 &amp; ".xlsx]Best_Batch_Utilization'!C:C")),"")</f>
        <v/>
      </c>
      <c r="Z5" s="5" t="e" cm="1">
        <f t="array" aca="1" ref="Z5" ca="1">SUM(INDIRECT("'[SA_results" &amp; $C5 &amp; ".xlsx]Best_Job_Completion_Time'!$B:$B"))/($D$2-INDIRECT("'[SA_results" &amp; $C5 &amp; ".xlsx]Total_Rejected_Jobs'!$A$2"))</f>
        <v>#REF!</v>
      </c>
      <c r="AA5" s="35"/>
    </row>
    <row r="6" spans="2:27" x14ac:dyDescent="0.2">
      <c r="B6" s="4">
        <v>3</v>
      </c>
      <c r="C6" s="4">
        <v>235</v>
      </c>
      <c r="D6" s="23">
        <v>1132146.432679648</v>
      </c>
      <c r="E6" s="33">
        <v>194.98045776916953</v>
      </c>
      <c r="F6" s="5">
        <v>13</v>
      </c>
      <c r="G6" s="23">
        <v>96</v>
      </c>
      <c r="H6" s="33">
        <v>428.84100424297549</v>
      </c>
      <c r="I6" s="23">
        <v>41.453548363962604</v>
      </c>
      <c r="J6" s="5">
        <v>5450.5331439472538</v>
      </c>
      <c r="K6" s="31"/>
      <c r="L6" s="23" t="e" cm="1">
        <f t="array" aca="1" ref="L6" ca="1">INDIRECT("'[SA_results" &amp; $C6 &amp; ".xlsx]Best_Objective'!$A$2")</f>
        <v>#REF!</v>
      </c>
      <c r="M6" s="33" t="e" cm="1">
        <f t="array" aca="1" ref="M6" ca="1">INDIRECT("'[SA_results" &amp; $C6 &amp; ".xlsx]Running_Time'!$A$2")</f>
        <v>#REF!</v>
      </c>
      <c r="N6" s="5" t="e">
        <f t="shared" ca="1" si="0"/>
        <v>#REF!</v>
      </c>
      <c r="O6" s="23" t="e" cm="1">
        <f t="array" aca="1" ref="O6" ca="1">INDIRECT("'[SA_results" &amp; $C6 &amp; ".xlsx]Acceptance_Rate'!$A$2")</f>
        <v>#REF!</v>
      </c>
      <c r="P6" s="33" t="e" cm="1">
        <f t="array" aca="1" ref="P6" ca="1">SUM(INDIRECT("'[SA_results" &amp; $C6 &amp; ".xlsx]Best_Job_Tardiness'!$B:$B"))/($D$2-INDIRECT("'[SA_results" &amp; $C6 &amp; ".xlsx]Total_Rejected_Jobs'!$A$2"))</f>
        <v>#REF!</v>
      </c>
      <c r="Q6" s="23" t="str">
        <f t="shared" ca="1" si="1"/>
        <v/>
      </c>
      <c r="R6" s="5" t="e" cm="1">
        <f t="array" aca="1" ref="R6" ca="1">SUM(INDIRECT("'[SA_results" &amp; $C6 &amp; ".xlsx]Best_Job_Completion_Time'!$B:$B"))/($D$2-INDIRECT("'[SA_results" &amp; $C6 &amp; ".xlsx]Total_Rejected_Jobs'!$A$2"))</f>
        <v>#REF!</v>
      </c>
      <c r="S6" s="35"/>
      <c r="T6" s="23" t="e" cm="1">
        <f t="array" aca="1" ref="T6" ca="1">INDIRECT("'[SA_results" &amp; $C6 &amp; ".xlsx]Best_Objective'!$A$2")</f>
        <v>#REF!</v>
      </c>
      <c r="U6" s="33" t="e" cm="1">
        <f t="array" aca="1" ref="U6" ca="1">INDIRECT("'[SA_results" &amp; $C6 &amp; ".xlsx]Running_Time'!$A$2")</f>
        <v>#REF!</v>
      </c>
      <c r="V6" s="5" t="e">
        <f t="shared" ca="1" si="2"/>
        <v>#REF!</v>
      </c>
      <c r="W6" s="23" t="e" cm="1">
        <f t="array" aca="1" ref="W6" ca="1">INDIRECT("'[SA_results" &amp; $C6 &amp; ".xlsx]Acceptance_Rate'!$A$2")</f>
        <v>#REF!</v>
      </c>
      <c r="X6" s="33" t="e" cm="1">
        <f t="array" aca="1" ref="X6" ca="1">SUM(INDIRECT("'[SA_results" &amp; $C6 &amp; ".xlsx]Best_Job_Tardiness'!$B:$B"))/($D$2-INDIRECT("'[SA_results" &amp; $C6 &amp; ".xlsx]Total_Rejected_Jobs'!$A$2"))</f>
        <v>#REF!</v>
      </c>
      <c r="Y6" s="23" t="str">
        <f t="shared" ca="1" si="3"/>
        <v/>
      </c>
      <c r="Z6" s="5" t="e" cm="1">
        <f t="array" aca="1" ref="Z6" ca="1">SUM(INDIRECT("'[SA_results" &amp; $C6 &amp; ".xlsx]Best_Job_Completion_Time'!$B:$B"))/($D$2-INDIRECT("'[SA_results" &amp; $C6 &amp; ".xlsx]Total_Rejected_Jobs'!$A$2"))</f>
        <v>#REF!</v>
      </c>
      <c r="AA6" s="35"/>
    </row>
    <row r="7" spans="2:27" x14ac:dyDescent="0.2">
      <c r="B7" s="4">
        <v>4</v>
      </c>
      <c r="C7" s="4">
        <v>242</v>
      </c>
      <c r="D7" s="23">
        <v>1116068.431941214</v>
      </c>
      <c r="E7" s="33">
        <v>189.84986530769115</v>
      </c>
      <c r="F7" s="5">
        <v>12</v>
      </c>
      <c r="G7" s="23">
        <v>95.333333333333329</v>
      </c>
      <c r="H7" s="33">
        <v>371.89828653282825</v>
      </c>
      <c r="I7" s="23">
        <v>44.595960762261143</v>
      </c>
      <c r="J7" s="5">
        <v>5398.2298200767509</v>
      </c>
      <c r="K7" s="31"/>
      <c r="L7" s="23" t="e" cm="1">
        <f t="array" aca="1" ref="L7" ca="1">INDIRECT("'[SA_results" &amp; $C7 &amp; ".xlsx]Best_Objective'!$A$2")</f>
        <v>#REF!</v>
      </c>
      <c r="M7" s="33" t="e" cm="1">
        <f t="array" aca="1" ref="M7" ca="1">INDIRECT("'[SA_results" &amp; $C7 &amp; ".xlsx]Running_Time'!$A$2")</f>
        <v>#REF!</v>
      </c>
      <c r="N7" s="5" t="e">
        <f t="shared" ca="1" si="0"/>
        <v>#REF!</v>
      </c>
      <c r="O7" s="23" t="e" cm="1">
        <f t="array" aca="1" ref="O7" ca="1">INDIRECT("'[SA_results" &amp; $C7 &amp; ".xlsx]Acceptance_Rate'!$A$2")</f>
        <v>#REF!</v>
      </c>
      <c r="P7" s="33" t="e" cm="1">
        <f t="array" aca="1" ref="P7" ca="1">SUM(INDIRECT("'[SA_results" &amp; $C7 &amp; ".xlsx]Best_Job_Tardiness'!$B:$B"))/($D$2-INDIRECT("'[SA_results" &amp; $C7 &amp; ".xlsx]Total_Rejected_Jobs'!$A$2"))</f>
        <v>#REF!</v>
      </c>
      <c r="Q7" s="23" t="str">
        <f ca="1">IFERROR(AVERAGE(INDIRECT("'[SA_results" &amp; $C7 &amp; ".xlsx]Best_Batch_Utilization'!C:C")),"")</f>
        <v/>
      </c>
      <c r="R7" s="5" t="e" cm="1">
        <f t="array" aca="1" ref="R7" ca="1">SUM(INDIRECT("'[SA_results" &amp; $C7 &amp; ".xlsx]Best_Job_Completion_Time'!$B:$B"))/($D$2-INDIRECT("'[SA_results" &amp; $C7 &amp; ".xlsx]Total_Rejected_Jobs'!$A$2"))</f>
        <v>#REF!</v>
      </c>
      <c r="S7" s="35"/>
      <c r="T7" s="23" t="e" cm="1">
        <f t="array" aca="1" ref="T7" ca="1">INDIRECT("'[SA_results" &amp; $C7 &amp; ".xlsx]Best_Objective'!$A$2")</f>
        <v>#REF!</v>
      </c>
      <c r="U7" s="33" t="e" cm="1">
        <f t="array" aca="1" ref="U7" ca="1">INDIRECT("'[SA_results" &amp; $C7 &amp; ".xlsx]Running_Time'!$A$2")</f>
        <v>#REF!</v>
      </c>
      <c r="V7" s="5" t="e">
        <f t="shared" ca="1" si="2"/>
        <v>#REF!</v>
      </c>
      <c r="W7" s="23" t="e" cm="1">
        <f t="array" aca="1" ref="W7" ca="1">INDIRECT("'[SA_results" &amp; $C7 &amp; ".xlsx]Acceptance_Rate'!$A$2")</f>
        <v>#REF!</v>
      </c>
      <c r="X7" s="33" t="e" cm="1">
        <f t="array" aca="1" ref="X7" ca="1">SUM(INDIRECT("'[SA_results" &amp; $C7 &amp; ".xlsx]Best_Job_Tardiness'!$B:$B"))/($D$2-INDIRECT("'[SA_results" &amp; $C7 &amp; ".xlsx]Total_Rejected_Jobs'!$A$2"))</f>
        <v>#REF!</v>
      </c>
      <c r="Y7" s="23" t="str">
        <f ca="1">IFERROR(AVERAGE(INDIRECT("'[SA_results" &amp; $C7 &amp; ".xlsx]Best_Batch_Utilization'!C:C")),"")</f>
        <v/>
      </c>
      <c r="Z7" s="5" t="e" cm="1">
        <f t="array" aca="1" ref="Z7" ca="1">SUM(INDIRECT("'[SA_results" &amp; $C7 &amp; ".xlsx]Best_Job_Completion_Time'!$B:$B"))/($D$2-INDIRECT("'[SA_results" &amp; $C7 &amp; ".xlsx]Total_Rejected_Jobs'!$A$2"))</f>
        <v>#REF!</v>
      </c>
      <c r="AA7" s="35"/>
    </row>
    <row r="8" spans="2:27" x14ac:dyDescent="0.2">
      <c r="B8" s="4">
        <v>5</v>
      </c>
      <c r="C8" s="4">
        <v>406</v>
      </c>
      <c r="D8" s="23">
        <v>1127029.214867082</v>
      </c>
      <c r="E8" s="33">
        <v>225.84214153842851</v>
      </c>
      <c r="F8" s="5">
        <v>11</v>
      </c>
      <c r="G8" s="23">
        <v>95.333333333333329</v>
      </c>
      <c r="H8" s="33">
        <v>395.7552910647305</v>
      </c>
      <c r="I8" s="23">
        <v>48.773796022884063</v>
      </c>
      <c r="J8" s="5">
        <v>5589.4329330435912</v>
      </c>
      <c r="K8" s="31"/>
      <c r="L8" s="23" t="e" cm="1">
        <f t="array" aca="1" ref="L8" ca="1">INDIRECT("'[SA_results" &amp; $C8 &amp; ".xlsx]Best_Objective'!$A$2")</f>
        <v>#REF!</v>
      </c>
      <c r="M8" s="33" t="e" cm="1">
        <f t="array" aca="1" ref="M8" ca="1">INDIRECT("'[SA_results" &amp; $C8 &amp; ".xlsx]Running_Time'!$A$2")</f>
        <v>#REF!</v>
      </c>
      <c r="N8" s="5" t="e">
        <f t="shared" ca="1" si="0"/>
        <v>#REF!</v>
      </c>
      <c r="O8" s="23" t="e" cm="1">
        <f t="array" aca="1" ref="O8" ca="1">INDIRECT("'[SA_results" &amp; $C8 &amp; ".xlsx]Acceptance_Rate'!$A$2")</f>
        <v>#REF!</v>
      </c>
      <c r="P8" s="33" t="e" cm="1">
        <f t="array" aca="1" ref="P8" ca="1">SUM(INDIRECT("'[SA_results" &amp; $C8 &amp; ".xlsx]Best_Job_Tardiness'!$B:$B"))/($D$2-INDIRECT("'[SA_results" &amp; $C8 &amp; ".xlsx]Total_Rejected_Jobs'!$A$2"))</f>
        <v>#REF!</v>
      </c>
      <c r="Q8" s="23" t="str">
        <f t="shared" ref="Q8:Q13" ca="1" si="4">IFERROR(AVERAGE(INDIRECT("'[SA_results" &amp; $C8 &amp; ".xlsx]Best_Batch_Utilization'!C:C")),"")</f>
        <v/>
      </c>
      <c r="R8" s="5" t="e" cm="1">
        <f t="array" aca="1" ref="R8" ca="1">SUM(INDIRECT("'[SA_results" &amp; $C8 &amp; ".xlsx]Best_Job_Completion_Time'!$B:$B"))/($D$2-INDIRECT("'[SA_results" &amp; $C8 &amp; ".xlsx]Total_Rejected_Jobs'!$A$2"))</f>
        <v>#REF!</v>
      </c>
      <c r="S8" s="35"/>
      <c r="T8" s="23" t="e" cm="1">
        <f t="array" aca="1" ref="T8" ca="1">INDIRECT("'[SA_results" &amp; $C8 &amp; ".xlsx]Best_Objective'!$A$2")</f>
        <v>#REF!</v>
      </c>
      <c r="U8" s="33" t="e" cm="1">
        <f t="array" aca="1" ref="U8" ca="1">INDIRECT("'[SA_results" &amp; $C8 &amp; ".xlsx]Running_Time'!$A$2")</f>
        <v>#REF!</v>
      </c>
      <c r="V8" s="5" t="e">
        <f t="shared" ca="1" si="2"/>
        <v>#REF!</v>
      </c>
      <c r="W8" s="23" t="e" cm="1">
        <f t="array" aca="1" ref="W8" ca="1">INDIRECT("'[SA_results" &amp; $C8 &amp; ".xlsx]Acceptance_Rate'!$A$2")</f>
        <v>#REF!</v>
      </c>
      <c r="X8" s="33" t="e" cm="1">
        <f t="array" aca="1" ref="X8" ca="1">SUM(INDIRECT("'[SA_results" &amp; $C8 &amp; ".xlsx]Best_Job_Tardiness'!$B:$B"))/($D$2-INDIRECT("'[SA_results" &amp; $C8 &amp; ".xlsx]Total_Rejected_Jobs'!$A$2"))</f>
        <v>#REF!</v>
      </c>
      <c r="Y8" s="23" t="str">
        <f t="shared" ref="Y8:Y13" ca="1" si="5">IFERROR(AVERAGE(INDIRECT("'[SA_results" &amp; $C8 &amp; ".xlsx]Best_Batch_Utilization'!C:C")),"")</f>
        <v/>
      </c>
      <c r="Z8" s="5" t="e" cm="1">
        <f t="array" aca="1" ref="Z8" ca="1">SUM(INDIRECT("'[SA_results" &amp; $C8 &amp; ".xlsx]Best_Job_Completion_Time'!$B:$B"))/($D$2-INDIRECT("'[SA_results" &amp; $C8 &amp; ".xlsx]Total_Rejected_Jobs'!$A$2"))</f>
        <v>#REF!</v>
      </c>
      <c r="AA8" s="35"/>
    </row>
    <row r="9" spans="2:27" x14ac:dyDescent="0.2">
      <c r="B9" s="4">
        <v>6</v>
      </c>
      <c r="C9" s="4">
        <v>652</v>
      </c>
      <c r="D9" s="23">
        <v>1133790.4513554031</v>
      </c>
      <c r="E9" s="33">
        <v>189.7263022308023</v>
      </c>
      <c r="F9" s="5">
        <v>12</v>
      </c>
      <c r="G9" s="23">
        <v>95.333333333333329</v>
      </c>
      <c r="H9" s="33">
        <v>383.45350194676695</v>
      </c>
      <c r="I9" s="23">
        <v>44.447138327421811</v>
      </c>
      <c r="J9" s="5">
        <v>5490.5588842943616</v>
      </c>
      <c r="K9" s="31"/>
      <c r="L9" s="23" t="e" cm="1">
        <f t="array" aca="1" ref="L9" ca="1">INDIRECT("'[SA_results" &amp; $C9 &amp; ".xlsx]Best_Objective'!$A$2")</f>
        <v>#REF!</v>
      </c>
      <c r="M9" s="33" t="e" cm="1">
        <f t="array" aca="1" ref="M9" ca="1">INDIRECT("'[SA_results" &amp; $C9 &amp; ".xlsx]Running_Time'!$A$2")</f>
        <v>#REF!</v>
      </c>
      <c r="N9" s="5" t="e">
        <f t="shared" ca="1" si="0"/>
        <v>#REF!</v>
      </c>
      <c r="O9" s="23" t="e" cm="1">
        <f t="array" aca="1" ref="O9" ca="1">INDIRECT("'[SA_results" &amp; $C9 &amp; ".xlsx]Acceptance_Rate'!$A$2")</f>
        <v>#REF!</v>
      </c>
      <c r="P9" s="33" t="e" cm="1">
        <f t="array" aca="1" ref="P9" ca="1">SUM(INDIRECT("'[SA_results" &amp; $C9 &amp; ".xlsx]Best_Job_Tardiness'!$B:$B"))/($D$2-INDIRECT("'[SA_results" &amp; $C9 &amp; ".xlsx]Total_Rejected_Jobs'!$A$2"))</f>
        <v>#REF!</v>
      </c>
      <c r="Q9" s="23" t="str">
        <f t="shared" ca="1" si="4"/>
        <v/>
      </c>
      <c r="R9" s="5" t="e" cm="1">
        <f t="array" aca="1" ref="R9" ca="1">SUM(INDIRECT("'[SA_results" &amp; $C9 &amp; ".xlsx]Best_Job_Completion_Time'!$B:$B"))/($D$2-INDIRECT("'[SA_results" &amp; $C9 &amp; ".xlsx]Total_Rejected_Jobs'!$A$2"))</f>
        <v>#REF!</v>
      </c>
      <c r="S9" s="35"/>
      <c r="T9" s="23" t="e" cm="1">
        <f t="array" aca="1" ref="T9" ca="1">INDIRECT("'[SA_results" &amp; $C9 &amp; ".xlsx]Best_Objective'!$A$2")</f>
        <v>#REF!</v>
      </c>
      <c r="U9" s="33" t="e" cm="1">
        <f t="array" aca="1" ref="U9" ca="1">INDIRECT("'[SA_results" &amp; $C9 &amp; ".xlsx]Running_Time'!$A$2")</f>
        <v>#REF!</v>
      </c>
      <c r="V9" s="5" t="e">
        <f t="shared" ca="1" si="2"/>
        <v>#REF!</v>
      </c>
      <c r="W9" s="23" t="e" cm="1">
        <f t="array" aca="1" ref="W9" ca="1">INDIRECT("'[SA_results" &amp; $C9 &amp; ".xlsx]Acceptance_Rate'!$A$2")</f>
        <v>#REF!</v>
      </c>
      <c r="X9" s="33" t="e" cm="1">
        <f t="array" aca="1" ref="X9" ca="1">SUM(INDIRECT("'[SA_results" &amp; $C9 &amp; ".xlsx]Best_Job_Tardiness'!$B:$B"))/($D$2-INDIRECT("'[SA_results" &amp; $C9 &amp; ".xlsx]Total_Rejected_Jobs'!$A$2"))</f>
        <v>#REF!</v>
      </c>
      <c r="Y9" s="23" t="str">
        <f t="shared" ca="1" si="5"/>
        <v/>
      </c>
      <c r="Z9" s="5" t="e" cm="1">
        <f t="array" aca="1" ref="Z9" ca="1">SUM(INDIRECT("'[SA_results" &amp; $C9 &amp; ".xlsx]Best_Job_Completion_Time'!$B:$B"))/($D$2-INDIRECT("'[SA_results" &amp; $C9 &amp; ".xlsx]Total_Rejected_Jobs'!$A$2"))</f>
        <v>#REF!</v>
      </c>
      <c r="AA9" s="35"/>
    </row>
    <row r="10" spans="2:27" x14ac:dyDescent="0.2">
      <c r="B10" s="4">
        <v>7</v>
      </c>
      <c r="C10" s="4">
        <v>716</v>
      </c>
      <c r="D10" s="23">
        <v>1140031.934616267</v>
      </c>
      <c r="E10" s="33">
        <v>217.64429946152421</v>
      </c>
      <c r="F10" s="5">
        <v>13</v>
      </c>
      <c r="G10" s="23">
        <v>96</v>
      </c>
      <c r="H10" s="33">
        <v>428.80407814808723</v>
      </c>
      <c r="I10" s="23">
        <v>40.948950980188506</v>
      </c>
      <c r="J10" s="5">
        <v>5479.1543091261265</v>
      </c>
      <c r="K10" s="31"/>
      <c r="L10" s="23" t="e" cm="1">
        <f t="array" aca="1" ref="L10" ca="1">INDIRECT("'[SA_results" &amp; $C10 &amp; ".xlsx]Best_Objective'!$A$2")</f>
        <v>#REF!</v>
      </c>
      <c r="M10" s="33" t="e" cm="1">
        <f t="array" aca="1" ref="M10" ca="1">INDIRECT("'[SA_results" &amp; $C10 &amp; ".xlsx]Running_Time'!$A$2")</f>
        <v>#REF!</v>
      </c>
      <c r="N10" s="5" t="e">
        <f t="shared" ca="1" si="0"/>
        <v>#REF!</v>
      </c>
      <c r="O10" s="23" t="e" cm="1">
        <f t="array" aca="1" ref="O10" ca="1">INDIRECT("'[SA_results" &amp; $C10 &amp; ".xlsx]Acceptance_Rate'!$A$2")</f>
        <v>#REF!</v>
      </c>
      <c r="P10" s="33" t="e" cm="1">
        <f t="array" aca="1" ref="P10" ca="1">SUM(INDIRECT("'[SA_results" &amp; $C10 &amp; ".xlsx]Best_Job_Tardiness'!$B:$B"))/($D$2-INDIRECT("'[SA_results" &amp; $C10 &amp; ".xlsx]Total_Rejected_Jobs'!$A$2"))</f>
        <v>#REF!</v>
      </c>
      <c r="Q10" s="23" t="str">
        <f t="shared" ca="1" si="4"/>
        <v/>
      </c>
      <c r="R10" s="5" t="e" cm="1">
        <f t="array" aca="1" ref="R10" ca="1">SUM(INDIRECT("'[SA_results" &amp; $C10 &amp; ".xlsx]Best_Job_Completion_Time'!$B:$B"))/($D$2-INDIRECT("'[SA_results" &amp; $C10 &amp; ".xlsx]Total_Rejected_Jobs'!$A$2"))</f>
        <v>#REF!</v>
      </c>
      <c r="S10" s="35"/>
      <c r="T10" s="23" t="e" cm="1">
        <f t="array" aca="1" ref="T10" ca="1">INDIRECT("'[SA_results" &amp; $C10 &amp; ".xlsx]Best_Objective'!$A$2")</f>
        <v>#REF!</v>
      </c>
      <c r="U10" s="33" t="e" cm="1">
        <f t="array" aca="1" ref="U10" ca="1">INDIRECT("'[SA_results" &amp; $C10 &amp; ".xlsx]Running_Time'!$A$2")</f>
        <v>#REF!</v>
      </c>
      <c r="V10" s="5" t="e">
        <f t="shared" ca="1" si="2"/>
        <v>#REF!</v>
      </c>
      <c r="W10" s="23" t="e" cm="1">
        <f t="array" aca="1" ref="W10" ca="1">INDIRECT("'[SA_results" &amp; $C10 &amp; ".xlsx]Acceptance_Rate'!$A$2")</f>
        <v>#REF!</v>
      </c>
      <c r="X10" s="33" t="e" cm="1">
        <f t="array" aca="1" ref="X10" ca="1">SUM(INDIRECT("'[SA_results" &amp; $C10 &amp; ".xlsx]Best_Job_Tardiness'!$B:$B"))/($D$2-INDIRECT("'[SA_results" &amp; $C10 &amp; ".xlsx]Total_Rejected_Jobs'!$A$2"))</f>
        <v>#REF!</v>
      </c>
      <c r="Y10" s="23" t="str">
        <f t="shared" ca="1" si="5"/>
        <v/>
      </c>
      <c r="Z10" s="5" t="e" cm="1">
        <f t="array" aca="1" ref="Z10" ca="1">SUM(INDIRECT("'[SA_results" &amp; $C10 &amp; ".xlsx]Best_Job_Completion_Time'!$B:$B"))/($D$2-INDIRECT("'[SA_results" &amp; $C10 &amp; ".xlsx]Total_Rejected_Jobs'!$A$2"))</f>
        <v>#REF!</v>
      </c>
      <c r="AA10" s="35"/>
    </row>
    <row r="11" spans="2:27" x14ac:dyDescent="0.2">
      <c r="B11" s="4">
        <v>8</v>
      </c>
      <c r="C11" s="4">
        <v>719</v>
      </c>
      <c r="D11" s="23">
        <v>1113987.924892782</v>
      </c>
      <c r="E11" s="33">
        <v>406.53136184609207</v>
      </c>
      <c r="F11" s="5">
        <v>13</v>
      </c>
      <c r="G11" s="23">
        <v>96</v>
      </c>
      <c r="H11" s="33">
        <v>383.75046607843046</v>
      </c>
      <c r="I11" s="23">
        <v>40.972053977201611</v>
      </c>
      <c r="J11" s="5">
        <v>5328.7818705660438</v>
      </c>
      <c r="K11" s="31"/>
      <c r="L11" s="23" t="e" cm="1">
        <f t="array" aca="1" ref="L11" ca="1">INDIRECT("'[SA_results" &amp; $C11 &amp; ".xlsx]Best_Objective'!$A$2")</f>
        <v>#REF!</v>
      </c>
      <c r="M11" s="33" t="e" cm="1">
        <f t="array" aca="1" ref="M11" ca="1">INDIRECT("'[SA_results" &amp; $C11 &amp; ".xlsx]Running_Time'!$A$2")</f>
        <v>#REF!</v>
      </c>
      <c r="N11" s="5" t="e">
        <f t="shared" ca="1" si="0"/>
        <v>#REF!</v>
      </c>
      <c r="O11" s="23" t="e" cm="1">
        <f t="array" aca="1" ref="O11" ca="1">INDIRECT("'[SA_results" &amp; $C11 &amp; ".xlsx]Acceptance_Rate'!$A$2")</f>
        <v>#REF!</v>
      </c>
      <c r="P11" s="33" t="e" cm="1">
        <f t="array" aca="1" ref="P11" ca="1">SUM(INDIRECT("'[SA_results" &amp; $C11 &amp; ".xlsx]Best_Job_Tardiness'!$B:$B"))/($D$2-INDIRECT("'[SA_results" &amp; $C11 &amp; ".xlsx]Total_Rejected_Jobs'!$A$2"))</f>
        <v>#REF!</v>
      </c>
      <c r="Q11" s="23" t="str">
        <f t="shared" ca="1" si="4"/>
        <v/>
      </c>
      <c r="R11" s="5" t="e" cm="1">
        <f t="array" aca="1" ref="R11" ca="1">SUM(INDIRECT("'[SA_results" &amp; $C11 &amp; ".xlsx]Best_Job_Completion_Time'!$B:$B"))/($D$2-INDIRECT("'[SA_results" &amp; $C11 &amp; ".xlsx]Total_Rejected_Jobs'!$A$2"))</f>
        <v>#REF!</v>
      </c>
      <c r="S11" s="35"/>
      <c r="T11" s="23" t="e" cm="1">
        <f t="array" aca="1" ref="T11" ca="1">INDIRECT("'[SA_results" &amp; $C11 &amp; ".xlsx]Best_Objective'!$A$2")</f>
        <v>#REF!</v>
      </c>
      <c r="U11" s="33" t="e" cm="1">
        <f t="array" aca="1" ref="U11" ca="1">INDIRECT("'[SA_results" &amp; $C11 &amp; ".xlsx]Running_Time'!$A$2")</f>
        <v>#REF!</v>
      </c>
      <c r="V11" s="5" t="e">
        <f t="shared" ca="1" si="2"/>
        <v>#REF!</v>
      </c>
      <c r="W11" s="23" t="e" cm="1">
        <f t="array" aca="1" ref="W11" ca="1">INDIRECT("'[SA_results" &amp; $C11 &amp; ".xlsx]Acceptance_Rate'!$A$2")</f>
        <v>#REF!</v>
      </c>
      <c r="X11" s="33" t="e" cm="1">
        <f t="array" aca="1" ref="X11" ca="1">SUM(INDIRECT("'[SA_results" &amp; $C11 &amp; ".xlsx]Best_Job_Tardiness'!$B:$B"))/($D$2-INDIRECT("'[SA_results" &amp; $C11 &amp; ".xlsx]Total_Rejected_Jobs'!$A$2"))</f>
        <v>#REF!</v>
      </c>
      <c r="Y11" s="23" t="str">
        <f t="shared" ca="1" si="5"/>
        <v/>
      </c>
      <c r="Z11" s="5" t="e" cm="1">
        <f t="array" aca="1" ref="Z11" ca="1">SUM(INDIRECT("'[SA_results" &amp; $C11 &amp; ".xlsx]Best_Job_Completion_Time'!$B:$B"))/($D$2-INDIRECT("'[SA_results" &amp; $C11 &amp; ".xlsx]Total_Rejected_Jobs'!$A$2"))</f>
        <v>#REF!</v>
      </c>
      <c r="AA11" s="35"/>
    </row>
    <row r="12" spans="2:27" x14ac:dyDescent="0.2">
      <c r="B12" s="4">
        <v>9</v>
      </c>
      <c r="C12" s="4">
        <v>851</v>
      </c>
      <c r="D12" s="23">
        <v>1109491.730596958</v>
      </c>
      <c r="E12" s="33">
        <v>175.83051161536085</v>
      </c>
      <c r="F12" s="5">
        <v>11</v>
      </c>
      <c r="G12" s="23">
        <v>96</v>
      </c>
      <c r="H12" s="33">
        <v>419.06882453373214</v>
      </c>
      <c r="I12" s="23">
        <v>49.007721434937274</v>
      </c>
      <c r="J12" s="5">
        <v>5556.5358758104085</v>
      </c>
      <c r="K12" s="31"/>
      <c r="L12" s="23" t="e" cm="1">
        <f t="array" aca="1" ref="L12" ca="1">INDIRECT("'[SA_results" &amp; $C12 &amp; ".xlsx]Best_Objective'!$A$2")</f>
        <v>#REF!</v>
      </c>
      <c r="M12" s="33" t="e" cm="1">
        <f t="array" aca="1" ref="M12" ca="1">INDIRECT("'[SA_results" &amp; $C12 &amp; ".xlsx]Running_Time'!$A$2")</f>
        <v>#REF!</v>
      </c>
      <c r="N12" s="5" t="e">
        <f t="shared" ca="1" si="0"/>
        <v>#REF!</v>
      </c>
      <c r="O12" s="23" t="e" cm="1">
        <f t="array" aca="1" ref="O12" ca="1">INDIRECT("'[SA_results" &amp; $C12 &amp; ".xlsx]Acceptance_Rate'!$A$2")</f>
        <v>#REF!</v>
      </c>
      <c r="P12" s="33" t="e" cm="1">
        <f t="array" aca="1" ref="P12" ca="1">SUM(INDIRECT("'[SA_results" &amp; $C12 &amp; ".xlsx]Best_Job_Tardiness'!$B:$B"))/($D$2-INDIRECT("'[SA_results" &amp; $C12 &amp; ".xlsx]Total_Rejected_Jobs'!$A$2"))</f>
        <v>#REF!</v>
      </c>
      <c r="Q12" s="23" t="str">
        <f t="shared" ca="1" si="4"/>
        <v/>
      </c>
      <c r="R12" s="5" t="e" cm="1">
        <f t="array" aca="1" ref="R12" ca="1">SUM(INDIRECT("'[SA_results" &amp; $C12 &amp; ".xlsx]Best_Job_Completion_Time'!$B:$B"))/($D$2-INDIRECT("'[SA_results" &amp; $C12 &amp; ".xlsx]Total_Rejected_Jobs'!$A$2"))</f>
        <v>#REF!</v>
      </c>
      <c r="S12" s="35"/>
      <c r="T12" s="23" t="e" cm="1">
        <f t="array" aca="1" ref="T12" ca="1">INDIRECT("'[SA_results" &amp; $C12 &amp; ".xlsx]Best_Objective'!$A$2")</f>
        <v>#REF!</v>
      </c>
      <c r="U12" s="33" t="e" cm="1">
        <f t="array" aca="1" ref="U12" ca="1">INDIRECT("'[SA_results" &amp; $C12 &amp; ".xlsx]Running_Time'!$A$2")</f>
        <v>#REF!</v>
      </c>
      <c r="V12" s="5" t="e">
        <f t="shared" ca="1" si="2"/>
        <v>#REF!</v>
      </c>
      <c r="W12" s="23" t="e" cm="1">
        <f t="array" aca="1" ref="W12" ca="1">INDIRECT("'[SA_results" &amp; $C12 &amp; ".xlsx]Acceptance_Rate'!$A$2")</f>
        <v>#REF!</v>
      </c>
      <c r="X12" s="33" t="e" cm="1">
        <f t="array" aca="1" ref="X12" ca="1">SUM(INDIRECT("'[SA_results" &amp; $C12 &amp; ".xlsx]Best_Job_Tardiness'!$B:$B"))/($D$2-INDIRECT("'[SA_results" &amp; $C12 &amp; ".xlsx]Total_Rejected_Jobs'!$A$2"))</f>
        <v>#REF!</v>
      </c>
      <c r="Y12" s="23" t="str">
        <f t="shared" ca="1" si="5"/>
        <v/>
      </c>
      <c r="Z12" s="5" t="e" cm="1">
        <f t="array" aca="1" ref="Z12" ca="1">SUM(INDIRECT("'[SA_results" &amp; $C12 &amp; ".xlsx]Best_Job_Completion_Time'!$B:$B"))/($D$2-INDIRECT("'[SA_results" &amp; $C12 &amp; ".xlsx]Total_Rejected_Jobs'!$A$2"))</f>
        <v>#REF!</v>
      </c>
      <c r="AA12" s="35"/>
    </row>
    <row r="13" spans="2:27" x14ac:dyDescent="0.2">
      <c r="B13" s="4">
        <v>10</v>
      </c>
      <c r="C13" s="4">
        <v>949</v>
      </c>
      <c r="D13" s="23">
        <v>1126167.2428744051</v>
      </c>
      <c r="E13" s="33">
        <v>141.45905299998745</v>
      </c>
      <c r="F13" s="5">
        <v>12</v>
      </c>
      <c r="G13" s="23">
        <v>96</v>
      </c>
      <c r="H13" s="33">
        <v>400.44745439680673</v>
      </c>
      <c r="I13" s="23">
        <v>44.619990142235828</v>
      </c>
      <c r="J13" s="5">
        <v>5525.3048096473231</v>
      </c>
      <c r="K13" s="31"/>
      <c r="L13" s="23" t="e" cm="1">
        <f t="array" aca="1" ref="L13" ca="1">INDIRECT("'[SA_results" &amp; $C13 &amp; ".xlsx]Best_Objective'!$A$2")</f>
        <v>#REF!</v>
      </c>
      <c r="M13" s="33" t="e" cm="1">
        <f t="array" aca="1" ref="M13" ca="1">INDIRECT("'[SA_results" &amp; $C13 &amp; ".xlsx]Running_Time'!$A$2")</f>
        <v>#REF!</v>
      </c>
      <c r="N13" s="5" t="e">
        <f t="shared" ca="1" si="0"/>
        <v>#REF!</v>
      </c>
      <c r="O13" s="23" t="e" cm="1">
        <f t="array" aca="1" ref="O13" ca="1">INDIRECT("'[SA_results" &amp; $C13 &amp; ".xlsx]Acceptance_Rate'!$A$2")</f>
        <v>#REF!</v>
      </c>
      <c r="P13" s="33" t="e" cm="1">
        <f t="array" aca="1" ref="P13" ca="1">SUM(INDIRECT("'[SA_results" &amp; $C13 &amp; ".xlsx]Best_Job_Tardiness'!$B:$B"))/($D$2-INDIRECT("'[SA_results" &amp; $C13 &amp; ".xlsx]Total_Rejected_Jobs'!$A$2"))</f>
        <v>#REF!</v>
      </c>
      <c r="Q13" s="23" t="str">
        <f t="shared" ca="1" si="4"/>
        <v/>
      </c>
      <c r="R13" s="5" t="e" cm="1">
        <f t="array" aca="1" ref="R13" ca="1">SUM(INDIRECT("'[SA_results" &amp; $C13 &amp; ".xlsx]Best_Job_Completion_Time'!$B:$B"))/($D$2-INDIRECT("'[SA_results" &amp; $C13 &amp; ".xlsx]Total_Rejected_Jobs'!$A$2"))</f>
        <v>#REF!</v>
      </c>
      <c r="S13" s="35"/>
      <c r="T13" s="23" t="e" cm="1">
        <f t="array" aca="1" ref="T13" ca="1">INDIRECT("'[SA_results" &amp; $C13 &amp; ".xlsx]Best_Objective'!$A$2")</f>
        <v>#REF!</v>
      </c>
      <c r="U13" s="33" t="e" cm="1">
        <f t="array" aca="1" ref="U13" ca="1">INDIRECT("'[SA_results" &amp; $C13 &amp; ".xlsx]Running_Time'!$A$2")</f>
        <v>#REF!</v>
      </c>
      <c r="V13" s="5" t="e">
        <f t="shared" ca="1" si="2"/>
        <v>#REF!</v>
      </c>
      <c r="W13" s="23" t="e" cm="1">
        <f t="array" aca="1" ref="W13" ca="1">INDIRECT("'[SA_results" &amp; $C13 &amp; ".xlsx]Acceptance_Rate'!$A$2")</f>
        <v>#REF!</v>
      </c>
      <c r="X13" s="33" t="e" cm="1">
        <f t="array" aca="1" ref="X13" ca="1">SUM(INDIRECT("'[SA_results" &amp; $C13 &amp; ".xlsx]Best_Job_Tardiness'!$B:$B"))/($D$2-INDIRECT("'[SA_results" &amp; $C13 &amp; ".xlsx]Total_Rejected_Jobs'!$A$2"))</f>
        <v>#REF!</v>
      </c>
      <c r="Y13" s="23" t="str">
        <f t="shared" ca="1" si="5"/>
        <v/>
      </c>
      <c r="Z13" s="5" t="e" cm="1">
        <f t="array" aca="1" ref="Z13" ca="1">SUM(INDIRECT("'[SA_results" &amp; $C13 &amp; ".xlsx]Best_Job_Completion_Time'!$B:$B"))/($D$2-INDIRECT("'[SA_results" &amp; $C13 &amp; ".xlsx]Total_Rejected_Jobs'!$A$2"))</f>
        <v>#REF!</v>
      </c>
      <c r="AA13" s="35"/>
    </row>
    <row r="14" spans="2:27" x14ac:dyDescent="0.2">
      <c r="B14" s="49" t="s">
        <v>3</v>
      </c>
      <c r="C14" s="50"/>
      <c r="D14" s="9">
        <f>MIN(D4:D13)</f>
        <v>1109491.730596958</v>
      </c>
      <c r="E14" s="22">
        <f>INDEX(E4:E13, MATCH($D$14, D4:D13, 0))</f>
        <v>175.83051161536085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419.06882453373214</v>
      </c>
      <c r="I14" s="22">
        <f>INDEX(I4:I13, MATCH($D$14, D4:D13, 0))</f>
        <v>49.007721434937274</v>
      </c>
      <c r="J14" s="22">
        <f>INDEX(J4:J13, MATCH($D$14, D4:D13, 0))</f>
        <v>5556.5358758104085</v>
      </c>
      <c r="K14" s="32" t="e">
        <f>(D14-$D$15)/$D$15</f>
        <v>#DIV/0!</v>
      </c>
      <c r="L14" s="16" t="e">
        <f ca="1">MIN(L4:L13)</f>
        <v>#REF!</v>
      </c>
      <c r="M14" s="21" t="e">
        <f ca="1">INDEX(M4:M13, MATCH($L$14, L4:L13, 0))</f>
        <v>#REF!</v>
      </c>
      <c r="N14" s="16" t="e">
        <f ca="1">INDEX(N4:N13, MATCH($L$14, L4:L13, 0))</f>
        <v>#REF!</v>
      </c>
      <c r="O14" s="16" t="e">
        <f ca="1">INDEX(O4:O13, MATCH($L$14, L4:L13, 0))</f>
        <v>#REF!</v>
      </c>
      <c r="P14" s="21" t="e">
        <f ca="1">INDEX(P4:P13, MATCH($L$14, L4:L13, 0))</f>
        <v>#REF!</v>
      </c>
      <c r="Q14" s="21" t="e">
        <f ca="1">INDEX(Q4:Q13, MATCH($L$14, L4:L13, 0))</f>
        <v>#REF!</v>
      </c>
      <c r="R14" s="21" t="e">
        <f ca="1">INDEX(R4:R13, MATCH($L$14, L4:L13, 0))</f>
        <v>#REF!</v>
      </c>
      <c r="S14" s="36" t="e">
        <f ca="1">(L14-$D$15)/$D$15</f>
        <v>#REF!</v>
      </c>
      <c r="T14" s="38" t="e">
        <f ca="1">MIN(T4:T13)</f>
        <v>#REF!</v>
      </c>
      <c r="U14" s="39" t="e">
        <f ca="1">INDEX(U4:U13, MATCH($T$14, T4:T13, 0))</f>
        <v>#REF!</v>
      </c>
      <c r="V14" s="38" t="e">
        <f ca="1">INDEX(V4:V13, MATCH($T$14, T4:T13, 0))</f>
        <v>#REF!</v>
      </c>
      <c r="W14" s="38" t="e">
        <f ca="1">INDEX(W4:W13, MATCH($T$14, T4:T13, 0))</f>
        <v>#REF!</v>
      </c>
      <c r="X14" s="39" t="e">
        <f ca="1">INDEX(X4:X13, MATCH($T$14, T4:T13, 0))</f>
        <v>#REF!</v>
      </c>
      <c r="Y14" s="39" t="e">
        <f ca="1">INDEX(Y4:Y13, MATCH($T$14, T4:T13, 0))</f>
        <v>#REF!</v>
      </c>
      <c r="Z14" s="39" t="e">
        <f ca="1">INDEX(Z4:Z13, MATCH($T$14, T4:T13, 0))</f>
        <v>#REF!</v>
      </c>
      <c r="AA14" s="40" t="e">
        <f ca="1">(T14-$D$15)/$D$15</f>
        <v>#REF!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 t="e">
        <f ca="1">(L14-D14)/D14</f>
        <v>#REF!</v>
      </c>
      <c r="M15" s="41" t="e">
        <f t="shared" ref="M15:R15" ca="1" si="6">(M14-E14)/E14</f>
        <v>#REF!</v>
      </c>
      <c r="N15" s="41" t="e">
        <f t="shared" ca="1" si="6"/>
        <v>#REF!</v>
      </c>
      <c r="O15" s="41" t="e">
        <f t="shared" ca="1" si="6"/>
        <v>#REF!</v>
      </c>
      <c r="P15" s="41" t="e">
        <f t="shared" ca="1" si="6"/>
        <v>#REF!</v>
      </c>
      <c r="Q15" s="41" t="e">
        <f t="shared" ca="1" si="6"/>
        <v>#REF!</v>
      </c>
      <c r="R15" s="41" t="e">
        <f t="shared" ca="1" si="6"/>
        <v>#REF!</v>
      </c>
      <c r="T15" s="41" t="e">
        <f ca="1">(T14-D14)/D14</f>
        <v>#REF!</v>
      </c>
      <c r="U15" s="41" t="e">
        <f t="shared" ref="U15:Z15" ca="1" si="7">(U14-E14)/E14</f>
        <v>#REF!</v>
      </c>
      <c r="V15" s="41" t="e">
        <f t="shared" ca="1" si="7"/>
        <v>#REF!</v>
      </c>
      <c r="W15" s="41" t="e">
        <f t="shared" ca="1" si="7"/>
        <v>#REF!</v>
      </c>
      <c r="X15" s="41" t="e">
        <f t="shared" ca="1" si="7"/>
        <v>#REF!</v>
      </c>
      <c r="Y15" s="41" t="e">
        <f t="shared" ca="1" si="7"/>
        <v>#REF!</v>
      </c>
      <c r="Z15" s="41" t="e">
        <f t="shared" ca="1" si="7"/>
        <v>#REF!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:C1048576 C3">
    <cfRule type="duplicateValues" dxfId="147" priority="11"/>
    <cfRule type="duplicateValues" dxfId="146" priority="12"/>
  </conditionalFormatting>
  <conditionalFormatting sqref="C2">
    <cfRule type="duplicateValues" dxfId="145" priority="1"/>
    <cfRule type="duplicateValues" dxfId="144" priority="2"/>
  </conditionalFormatting>
  <conditionalFormatting sqref="C4:C13">
    <cfRule type="duplicateValues" dxfId="143" priority="3"/>
    <cfRule type="duplicateValues" dxfId="142" priority="4"/>
  </conditionalFormatting>
  <conditionalFormatting sqref="C14">
    <cfRule type="duplicateValues" dxfId="141" priority="9"/>
    <cfRule type="duplicateValues" dxfId="140" priority="10"/>
  </conditionalFormatting>
  <conditionalFormatting sqref="C15">
    <cfRule type="duplicateValues" dxfId="139" priority="7"/>
    <cfRule type="duplicateValues" dxfId="138" priority="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C949-B9EE-4AA8-8502-293CCF2F0118}">
  <dimension ref="B1:AA38"/>
  <sheetViews>
    <sheetView zoomScale="90" zoomScaleNormal="90" workbookViewId="0">
      <selection activeCell="E20" sqref="E20:E3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 t="e">
        <f ca="1">(P14-H14)/H14</f>
        <v>#REF!</v>
      </c>
      <c r="R2" s="1" t="e">
        <f ca="1">(R14-J14)/J14</f>
        <v>#REF!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34</v>
      </c>
      <c r="D4" s="23">
        <v>968127.96556841256</v>
      </c>
      <c r="E4" s="33">
        <v>110.66876407685831</v>
      </c>
      <c r="F4" s="5">
        <v>11</v>
      </c>
      <c r="G4" s="23">
        <v>96</v>
      </c>
      <c r="H4" s="33">
        <v>148.27568864938823</v>
      </c>
      <c r="I4" s="23">
        <v>41.044499047729481</v>
      </c>
      <c r="J4" s="5">
        <v>4730.6926525659665</v>
      </c>
      <c r="K4" s="31"/>
      <c r="L4" s="23" t="e" cm="1">
        <f t="array" aca="1" ref="L4" ca="1">INDIRECT("'[SA_results" &amp; $C4 &amp; ".xlsx]Best_Objective'!$A$2")</f>
        <v>#REF!</v>
      </c>
      <c r="M4" s="33" t="e" cm="1">
        <f t="array" aca="1" ref="M4" ca="1">INDIRECT("'[SA_results" &amp; $C4 &amp; ".xlsx]Running_Time'!$A$2")</f>
        <v>#REF!</v>
      </c>
      <c r="N4" s="5" t="e">
        <f ca="1">COUNTIF(INDIRECT("'[SA_results" &amp; $C4 &amp; ".xlsx]Best_Batch_Utilization'!C:C"),"&gt;0")</f>
        <v>#REF!</v>
      </c>
      <c r="O4" s="23" t="e" cm="1">
        <f t="array" aca="1" ref="O4" ca="1">INDIRECT("'[SA_results" &amp; $C4 &amp; ".xlsx]Acceptance_Rate'!$A$2")</f>
        <v>#REF!</v>
      </c>
      <c r="P4" s="33" t="e" cm="1">
        <f t="array" aca="1" ref="P4" ca="1">SUM(INDIRECT("'[SA_results" &amp; $C4 &amp; ".xlsx]Best_Job_Tardiness'!$B:$B"))/($D$2-INDIRECT("'[SA_results" &amp; $C4 &amp; ".xlsx]Total_Rejected_Jobs'!$A$2"))</f>
        <v>#REF!</v>
      </c>
      <c r="Q4" s="23" t="str">
        <f ca="1">IFERROR(AVERAGE(INDIRECT("'[SA_results" &amp; $C4 &amp; ".xlsx]Best_Batch_Utilization'!C:C")),"")</f>
        <v/>
      </c>
      <c r="R4" s="5" t="e" cm="1">
        <f t="array" aca="1" ref="R4" ca="1">SUM(INDIRECT("'[SA_results" &amp; $C4 &amp; ".xlsx]Best_Job_Completion_Time'!$B:$B"))/($D$2-INDIRECT("'[SA_results" &amp; $C4 &amp; ".xlsx]Total_Rejected_Jobs'!$A$2"))</f>
        <v>#REF!</v>
      </c>
      <c r="S4" s="35"/>
      <c r="T4" s="23" t="e" cm="1">
        <f t="array" aca="1" ref="T4" ca="1">INDIRECT("'[SA_results" &amp; $C4 &amp; ".xlsx]Best_Objective'!$A$2")</f>
        <v>#REF!</v>
      </c>
      <c r="U4" s="33" t="e" cm="1">
        <f t="array" aca="1" ref="U4" ca="1">INDIRECT("'[SA_results" &amp; $C4 &amp; ".xlsx]Running_Time'!$A$2")</f>
        <v>#REF!</v>
      </c>
      <c r="V4" s="5" t="e">
        <f ca="1">COUNTIF(INDIRECT("'[SA_results" &amp; $C4 &amp; ".xlsx]Best_Batch_Utilization'!C:C"),"&gt;0")</f>
        <v>#REF!</v>
      </c>
      <c r="W4" s="23" t="e" cm="1">
        <f t="array" aca="1" ref="W4" ca="1">INDIRECT("'[SA_results" &amp; $C4 &amp; ".xlsx]Acceptance_Rate'!$A$2")</f>
        <v>#REF!</v>
      </c>
      <c r="X4" s="33" t="e" cm="1">
        <f t="array" aca="1" ref="X4" ca="1">SUM(INDIRECT("'[SA_results" &amp; $C4 &amp; ".xlsx]Best_Job_Tardiness'!$B:$B"))/($D$2-INDIRECT("'[SA_results" &amp; $C4 &amp; ".xlsx]Total_Rejected_Jobs'!$A$2"))</f>
        <v>#REF!</v>
      </c>
      <c r="Y4" s="23" t="str">
        <f ca="1">IFERROR(AVERAGE(INDIRECT("'[SA_results" &amp; $C4 &amp; ".xlsx]Best_Batch_Utilization'!C:C")),"")</f>
        <v/>
      </c>
      <c r="Z4" s="5" t="e" cm="1">
        <f t="array" aca="1" ref="Z4" ca="1">SUM(INDIRECT("'[SA_results" &amp; $C4 &amp; ".xlsx]Best_Job_Completion_Time'!$B:$B"))/($D$2-INDIRECT("'[SA_results" &amp; $C4 &amp; ".xlsx]Total_Rejected_Jobs'!$A$2"))</f>
        <v>#REF!</v>
      </c>
      <c r="AA4" s="35"/>
    </row>
    <row r="5" spans="2:27" x14ac:dyDescent="0.2">
      <c r="B5" s="4">
        <v>2</v>
      </c>
      <c r="C5" s="4">
        <v>148</v>
      </c>
      <c r="D5" s="23">
        <v>986432.44844475493</v>
      </c>
      <c r="E5" s="33">
        <v>99.406090000053311</v>
      </c>
      <c r="F5" s="5">
        <v>10</v>
      </c>
      <c r="G5" s="23">
        <v>96</v>
      </c>
      <c r="H5" s="33">
        <v>200.44797504472541</v>
      </c>
      <c r="I5" s="23">
        <v>44.573430423460422</v>
      </c>
      <c r="J5" s="5">
        <v>4927.9575088772144</v>
      </c>
      <c r="K5" s="31"/>
      <c r="L5" s="23" t="e" cm="1">
        <f t="array" aca="1" ref="L5" ca="1">INDIRECT("'[SA_results" &amp; $C5 &amp; ".xlsx]Best_Objective'!$A$2")</f>
        <v>#REF!</v>
      </c>
      <c r="M5" s="33" t="e" cm="1">
        <f t="array" aca="1" ref="M5" ca="1">INDIRECT("'[SA_results" &amp; $C5 &amp; ".xlsx]Running_Time'!$A$2")</f>
        <v>#REF!</v>
      </c>
      <c r="N5" s="5" t="e">
        <f t="shared" ref="N5:N13" ca="1" si="0">COUNTIF(INDIRECT("'[SA_results" &amp; $C5 &amp; ".xlsx]Best_Batch_Utilization'!C:C"),"&gt;0")</f>
        <v>#REF!</v>
      </c>
      <c r="O5" s="23" t="e" cm="1">
        <f t="array" aca="1" ref="O5" ca="1">INDIRECT("'[SA_results" &amp; $C5 &amp; ".xlsx]Acceptance_Rate'!$A$2")</f>
        <v>#REF!</v>
      </c>
      <c r="P5" s="33" t="e" cm="1">
        <f t="array" aca="1" ref="P5" ca="1">SUM(INDIRECT("'[SA_results" &amp; $C5 &amp; ".xlsx]Best_Job_Tardiness'!$B:$B"))/($D$2-INDIRECT("'[SA_results" &amp; $C5 &amp; ".xlsx]Total_Rejected_Jobs'!$A$2"))</f>
        <v>#REF!</v>
      </c>
      <c r="Q5" s="23" t="str">
        <f t="shared" ref="Q5:Q6" ca="1" si="1">IFERROR(AVERAGE(INDIRECT("'[SA_results" &amp; $C5 &amp; ".xlsx]Best_Batch_Utilization'!C:C")),"")</f>
        <v/>
      </c>
      <c r="R5" s="5" t="e" cm="1">
        <f t="array" aca="1" ref="R5" ca="1">SUM(INDIRECT("'[SA_results" &amp; $C5 &amp; ".xlsx]Best_Job_Completion_Time'!$B:$B"))/($D$2-INDIRECT("'[SA_results" &amp; $C5 &amp; ".xlsx]Total_Rejected_Jobs'!$A$2"))</f>
        <v>#REF!</v>
      </c>
      <c r="S5" s="35"/>
      <c r="T5" s="23" t="e" cm="1">
        <f t="array" aca="1" ref="T5" ca="1">INDIRECT("'[SA_results" &amp; $C5 &amp; ".xlsx]Best_Objective'!$A$2")</f>
        <v>#REF!</v>
      </c>
      <c r="U5" s="33" t="e" cm="1">
        <f t="array" aca="1" ref="U5" ca="1">INDIRECT("'[SA_results" &amp; $C5 &amp; ".xlsx]Running_Time'!$A$2")</f>
        <v>#REF!</v>
      </c>
      <c r="V5" s="5" t="e">
        <f t="shared" ref="V5:V13" ca="1" si="2">COUNTIF(INDIRECT("'[SA_results" &amp; $C5 &amp; ".xlsx]Best_Batch_Utilization'!C:C"),"&gt;0")</f>
        <v>#REF!</v>
      </c>
      <c r="W5" s="23" t="e" cm="1">
        <f t="array" aca="1" ref="W5" ca="1">INDIRECT("'[SA_results" &amp; $C5 &amp; ".xlsx]Acceptance_Rate'!$A$2")</f>
        <v>#REF!</v>
      </c>
      <c r="X5" s="33" t="e" cm="1">
        <f t="array" aca="1" ref="X5" ca="1">SUM(INDIRECT("'[SA_results" &amp; $C5 &amp; ".xlsx]Best_Job_Tardiness'!$B:$B"))/($D$2-INDIRECT("'[SA_results" &amp; $C5 &amp; ".xlsx]Total_Rejected_Jobs'!$A$2"))</f>
        <v>#REF!</v>
      </c>
      <c r="Y5" s="23" t="str">
        <f t="shared" ref="Y5:Y6" ca="1" si="3">IFERROR(AVERAGE(INDIRECT("'[SA_results" &amp; $C5 &amp; ".xlsx]Best_Batch_Utilization'!C:C")),"")</f>
        <v/>
      </c>
      <c r="Z5" s="5" t="e" cm="1">
        <f t="array" aca="1" ref="Z5" ca="1">SUM(INDIRECT("'[SA_results" &amp; $C5 &amp; ".xlsx]Best_Job_Completion_Time'!$B:$B"))/($D$2-INDIRECT("'[SA_results" &amp; $C5 &amp; ".xlsx]Total_Rejected_Jobs'!$A$2"))</f>
        <v>#REF!</v>
      </c>
      <c r="AA5" s="35"/>
    </row>
    <row r="6" spans="2:27" x14ac:dyDescent="0.2">
      <c r="B6" s="4">
        <v>3</v>
      </c>
      <c r="C6" s="4">
        <v>199</v>
      </c>
      <c r="D6" s="23">
        <v>968127.96556841256</v>
      </c>
      <c r="E6" s="33">
        <v>94.729488923017385</v>
      </c>
      <c r="F6" s="5">
        <v>11</v>
      </c>
      <c r="G6" s="23">
        <v>96</v>
      </c>
      <c r="H6" s="33">
        <v>148.27568864938823</v>
      </c>
      <c r="I6" s="23">
        <v>41.044499047729481</v>
      </c>
      <c r="J6" s="5">
        <v>4730.6926525659665</v>
      </c>
      <c r="K6" s="31"/>
      <c r="L6" s="23" t="e" cm="1">
        <f t="array" aca="1" ref="L6" ca="1">INDIRECT("'[SA_results" &amp; $C6 &amp; ".xlsx]Best_Objective'!$A$2")</f>
        <v>#REF!</v>
      </c>
      <c r="M6" s="33" t="e" cm="1">
        <f t="array" aca="1" ref="M6" ca="1">INDIRECT("'[SA_results" &amp; $C6 &amp; ".xlsx]Running_Time'!$A$2")</f>
        <v>#REF!</v>
      </c>
      <c r="N6" s="5" t="e">
        <f t="shared" ca="1" si="0"/>
        <v>#REF!</v>
      </c>
      <c r="O6" s="23" t="e" cm="1">
        <f t="array" aca="1" ref="O6" ca="1">INDIRECT("'[SA_results" &amp; $C6 &amp; ".xlsx]Acceptance_Rate'!$A$2")</f>
        <v>#REF!</v>
      </c>
      <c r="P6" s="33" t="e" cm="1">
        <f t="array" aca="1" ref="P6" ca="1">SUM(INDIRECT("'[SA_results" &amp; $C6 &amp; ".xlsx]Best_Job_Tardiness'!$B:$B"))/($D$2-INDIRECT("'[SA_results" &amp; $C6 &amp; ".xlsx]Total_Rejected_Jobs'!$A$2"))</f>
        <v>#REF!</v>
      </c>
      <c r="Q6" s="23" t="str">
        <f t="shared" ca="1" si="1"/>
        <v/>
      </c>
      <c r="R6" s="5" t="e" cm="1">
        <f t="array" aca="1" ref="R6" ca="1">SUM(INDIRECT("'[SA_results" &amp; $C6 &amp; ".xlsx]Best_Job_Completion_Time'!$B:$B"))/($D$2-INDIRECT("'[SA_results" &amp; $C6 &amp; ".xlsx]Total_Rejected_Jobs'!$A$2"))</f>
        <v>#REF!</v>
      </c>
      <c r="S6" s="35"/>
      <c r="T6" s="23" t="e" cm="1">
        <f t="array" aca="1" ref="T6" ca="1">INDIRECT("'[SA_results" &amp; $C6 &amp; ".xlsx]Best_Objective'!$A$2")</f>
        <v>#REF!</v>
      </c>
      <c r="U6" s="33" t="e" cm="1">
        <f t="array" aca="1" ref="U6" ca="1">INDIRECT("'[SA_results" &amp; $C6 &amp; ".xlsx]Running_Time'!$A$2")</f>
        <v>#REF!</v>
      </c>
      <c r="V6" s="5" t="e">
        <f t="shared" ca="1" si="2"/>
        <v>#REF!</v>
      </c>
      <c r="W6" s="23" t="e" cm="1">
        <f t="array" aca="1" ref="W6" ca="1">INDIRECT("'[SA_results" &amp; $C6 &amp; ".xlsx]Acceptance_Rate'!$A$2")</f>
        <v>#REF!</v>
      </c>
      <c r="X6" s="33" t="e" cm="1">
        <f t="array" aca="1" ref="X6" ca="1">SUM(INDIRECT("'[SA_results" &amp; $C6 &amp; ".xlsx]Best_Job_Tardiness'!$B:$B"))/($D$2-INDIRECT("'[SA_results" &amp; $C6 &amp; ".xlsx]Total_Rejected_Jobs'!$A$2"))</f>
        <v>#REF!</v>
      </c>
      <c r="Y6" s="23" t="str">
        <f t="shared" ca="1" si="3"/>
        <v/>
      </c>
      <c r="Z6" s="5" t="e" cm="1">
        <f t="array" aca="1" ref="Z6" ca="1">SUM(INDIRECT("'[SA_results" &amp; $C6 &amp; ".xlsx]Best_Job_Completion_Time'!$B:$B"))/($D$2-INDIRECT("'[SA_results" &amp; $C6 &amp; ".xlsx]Total_Rejected_Jobs'!$A$2"))</f>
        <v>#REF!</v>
      </c>
      <c r="AA6" s="35"/>
    </row>
    <row r="7" spans="2:27" x14ac:dyDescent="0.2">
      <c r="B7" s="4">
        <v>4</v>
      </c>
      <c r="C7" s="4">
        <v>229</v>
      </c>
      <c r="D7" s="23">
        <v>968127.96556841256</v>
      </c>
      <c r="E7" s="33">
        <v>165.76878069237307</v>
      </c>
      <c r="F7" s="5">
        <v>11</v>
      </c>
      <c r="G7" s="23">
        <v>96</v>
      </c>
      <c r="H7" s="33">
        <v>148.27568864938823</v>
      </c>
      <c r="I7" s="23">
        <v>41.044499047729481</v>
      </c>
      <c r="J7" s="5">
        <v>4730.6926525659665</v>
      </c>
      <c r="K7" s="31"/>
      <c r="L7" s="23" t="e" cm="1">
        <f t="array" aca="1" ref="L7" ca="1">INDIRECT("'[SA_results" &amp; $C7 &amp; ".xlsx]Best_Objective'!$A$2")</f>
        <v>#REF!</v>
      </c>
      <c r="M7" s="33" t="e" cm="1">
        <f t="array" aca="1" ref="M7" ca="1">INDIRECT("'[SA_results" &amp; $C7 &amp; ".xlsx]Running_Time'!$A$2")</f>
        <v>#REF!</v>
      </c>
      <c r="N7" s="5" t="e">
        <f t="shared" ca="1" si="0"/>
        <v>#REF!</v>
      </c>
      <c r="O7" s="23" t="e" cm="1">
        <f t="array" aca="1" ref="O7" ca="1">INDIRECT("'[SA_results" &amp; $C7 &amp; ".xlsx]Acceptance_Rate'!$A$2")</f>
        <v>#REF!</v>
      </c>
      <c r="P7" s="33" t="e" cm="1">
        <f t="array" aca="1" ref="P7" ca="1">SUM(INDIRECT("'[SA_results" &amp; $C7 &amp; ".xlsx]Best_Job_Tardiness'!$B:$B"))/($D$2-INDIRECT("'[SA_results" &amp; $C7 &amp; ".xlsx]Total_Rejected_Jobs'!$A$2"))</f>
        <v>#REF!</v>
      </c>
      <c r="Q7" s="23" t="str">
        <f ca="1">IFERROR(AVERAGE(INDIRECT("'[SA_results" &amp; $C7 &amp; ".xlsx]Best_Batch_Utilization'!C:C")),"")</f>
        <v/>
      </c>
      <c r="R7" s="5" t="e" cm="1">
        <f t="array" aca="1" ref="R7" ca="1">SUM(INDIRECT("'[SA_results" &amp; $C7 &amp; ".xlsx]Best_Job_Completion_Time'!$B:$B"))/($D$2-INDIRECT("'[SA_results" &amp; $C7 &amp; ".xlsx]Total_Rejected_Jobs'!$A$2"))</f>
        <v>#REF!</v>
      </c>
      <c r="S7" s="35"/>
      <c r="T7" s="23" t="e" cm="1">
        <f t="array" aca="1" ref="T7" ca="1">INDIRECT("'[SA_results" &amp; $C7 &amp; ".xlsx]Best_Objective'!$A$2")</f>
        <v>#REF!</v>
      </c>
      <c r="U7" s="33" t="e" cm="1">
        <f t="array" aca="1" ref="U7" ca="1">INDIRECT("'[SA_results" &amp; $C7 &amp; ".xlsx]Running_Time'!$A$2")</f>
        <v>#REF!</v>
      </c>
      <c r="V7" s="5" t="e">
        <f t="shared" ca="1" si="2"/>
        <v>#REF!</v>
      </c>
      <c r="W7" s="23" t="e" cm="1">
        <f t="array" aca="1" ref="W7" ca="1">INDIRECT("'[SA_results" &amp; $C7 &amp; ".xlsx]Acceptance_Rate'!$A$2")</f>
        <v>#REF!</v>
      </c>
      <c r="X7" s="33" t="e" cm="1">
        <f t="array" aca="1" ref="X7" ca="1">SUM(INDIRECT("'[SA_results" &amp; $C7 &amp; ".xlsx]Best_Job_Tardiness'!$B:$B"))/($D$2-INDIRECT("'[SA_results" &amp; $C7 &amp; ".xlsx]Total_Rejected_Jobs'!$A$2"))</f>
        <v>#REF!</v>
      </c>
      <c r="Y7" s="23" t="str">
        <f ca="1">IFERROR(AVERAGE(INDIRECT("'[SA_results" &amp; $C7 &amp; ".xlsx]Best_Batch_Utilization'!C:C")),"")</f>
        <v/>
      </c>
      <c r="Z7" s="5" t="e" cm="1">
        <f t="array" aca="1" ref="Z7" ca="1">SUM(INDIRECT("'[SA_results" &amp; $C7 &amp; ".xlsx]Best_Job_Completion_Time'!$B:$B"))/($D$2-INDIRECT("'[SA_results" &amp; $C7 &amp; ".xlsx]Total_Rejected_Jobs'!$A$2"))</f>
        <v>#REF!</v>
      </c>
      <c r="AA7" s="35"/>
    </row>
    <row r="8" spans="2:27" x14ac:dyDescent="0.2">
      <c r="B8" s="4">
        <v>5</v>
      </c>
      <c r="C8" s="4">
        <v>472</v>
      </c>
      <c r="D8" s="23">
        <v>1029035.6278008739</v>
      </c>
      <c r="E8" s="33">
        <v>197.36991199996106</v>
      </c>
      <c r="F8" s="5">
        <v>12</v>
      </c>
      <c r="G8" s="23">
        <v>96</v>
      </c>
      <c r="H8" s="33">
        <v>231.88850890096572</v>
      </c>
      <c r="I8" s="23">
        <v>37.458197806659051</v>
      </c>
      <c r="J8" s="5">
        <v>4944.0919529934436</v>
      </c>
      <c r="K8" s="31"/>
      <c r="L8" s="23" t="e" cm="1">
        <f t="array" aca="1" ref="L8" ca="1">INDIRECT("'[SA_results" &amp; $C8 &amp; ".xlsx]Best_Objective'!$A$2")</f>
        <v>#REF!</v>
      </c>
      <c r="M8" s="33" t="e" cm="1">
        <f t="array" aca="1" ref="M8" ca="1">INDIRECT("'[SA_results" &amp; $C8 &amp; ".xlsx]Running_Time'!$A$2")</f>
        <v>#REF!</v>
      </c>
      <c r="N8" s="5" t="e">
        <f t="shared" ca="1" si="0"/>
        <v>#REF!</v>
      </c>
      <c r="O8" s="23" t="e" cm="1">
        <f t="array" aca="1" ref="O8" ca="1">INDIRECT("'[SA_results" &amp; $C8 &amp; ".xlsx]Acceptance_Rate'!$A$2")</f>
        <v>#REF!</v>
      </c>
      <c r="P8" s="33" t="e" cm="1">
        <f t="array" aca="1" ref="P8" ca="1">SUM(INDIRECT("'[SA_results" &amp; $C8 &amp; ".xlsx]Best_Job_Tardiness'!$B:$B"))/($D$2-INDIRECT("'[SA_results" &amp; $C8 &amp; ".xlsx]Total_Rejected_Jobs'!$A$2"))</f>
        <v>#REF!</v>
      </c>
      <c r="Q8" s="23" t="str">
        <f t="shared" ref="Q8:Q13" ca="1" si="4">IFERROR(AVERAGE(INDIRECT("'[SA_results" &amp; $C8 &amp; ".xlsx]Best_Batch_Utilization'!C:C")),"")</f>
        <v/>
      </c>
      <c r="R8" s="5" t="e" cm="1">
        <f t="array" aca="1" ref="R8" ca="1">SUM(INDIRECT("'[SA_results" &amp; $C8 &amp; ".xlsx]Best_Job_Completion_Time'!$B:$B"))/($D$2-INDIRECT("'[SA_results" &amp; $C8 &amp; ".xlsx]Total_Rejected_Jobs'!$A$2"))</f>
        <v>#REF!</v>
      </c>
      <c r="S8" s="35"/>
      <c r="T8" s="23" t="e" cm="1">
        <f t="array" aca="1" ref="T8" ca="1">INDIRECT("'[SA_results" &amp; $C8 &amp; ".xlsx]Best_Objective'!$A$2")</f>
        <v>#REF!</v>
      </c>
      <c r="U8" s="33" t="e" cm="1">
        <f t="array" aca="1" ref="U8" ca="1">INDIRECT("'[SA_results" &amp; $C8 &amp; ".xlsx]Running_Time'!$A$2")</f>
        <v>#REF!</v>
      </c>
      <c r="V8" s="5" t="e">
        <f t="shared" ca="1" si="2"/>
        <v>#REF!</v>
      </c>
      <c r="W8" s="23" t="e" cm="1">
        <f t="array" aca="1" ref="W8" ca="1">INDIRECT("'[SA_results" &amp; $C8 &amp; ".xlsx]Acceptance_Rate'!$A$2")</f>
        <v>#REF!</v>
      </c>
      <c r="X8" s="33" t="e" cm="1">
        <f t="array" aca="1" ref="X8" ca="1">SUM(INDIRECT("'[SA_results" &amp; $C8 &amp; ".xlsx]Best_Job_Tardiness'!$B:$B"))/($D$2-INDIRECT("'[SA_results" &amp; $C8 &amp; ".xlsx]Total_Rejected_Jobs'!$A$2"))</f>
        <v>#REF!</v>
      </c>
      <c r="Y8" s="23" t="str">
        <f t="shared" ref="Y8:Y13" ca="1" si="5">IFERROR(AVERAGE(INDIRECT("'[SA_results" &amp; $C8 &amp; ".xlsx]Best_Batch_Utilization'!C:C")),"")</f>
        <v/>
      </c>
      <c r="Z8" s="5" t="e" cm="1">
        <f t="array" aca="1" ref="Z8" ca="1">SUM(INDIRECT("'[SA_results" &amp; $C8 &amp; ".xlsx]Best_Job_Completion_Time'!$B:$B"))/($D$2-INDIRECT("'[SA_results" &amp; $C8 &amp; ".xlsx]Total_Rejected_Jobs'!$A$2"))</f>
        <v>#REF!</v>
      </c>
      <c r="AA8" s="35"/>
    </row>
    <row r="9" spans="2:27" x14ac:dyDescent="0.2">
      <c r="B9" s="4">
        <v>6</v>
      </c>
      <c r="C9" s="4">
        <v>634</v>
      </c>
      <c r="D9" s="23">
        <v>968127.96556841256</v>
      </c>
      <c r="E9" s="33">
        <v>269.12330561541376</v>
      </c>
      <c r="F9" s="5">
        <v>11</v>
      </c>
      <c r="G9" s="23">
        <v>96</v>
      </c>
      <c r="H9" s="33">
        <v>148.27568864938823</v>
      </c>
      <c r="I9" s="23">
        <v>41.044499047729481</v>
      </c>
      <c r="J9" s="5">
        <v>4730.6926525659665</v>
      </c>
      <c r="K9" s="31"/>
      <c r="L9" s="23" t="e" cm="1">
        <f t="array" aca="1" ref="L9" ca="1">INDIRECT("'[SA_results" &amp; $C9 &amp; ".xlsx]Best_Objective'!$A$2")</f>
        <v>#REF!</v>
      </c>
      <c r="M9" s="33" t="e" cm="1">
        <f t="array" aca="1" ref="M9" ca="1">INDIRECT("'[SA_results" &amp; $C9 &amp; ".xlsx]Running_Time'!$A$2")</f>
        <v>#REF!</v>
      </c>
      <c r="N9" s="5" t="e">
        <f t="shared" ca="1" si="0"/>
        <v>#REF!</v>
      </c>
      <c r="O9" s="23" t="e" cm="1">
        <f t="array" aca="1" ref="O9" ca="1">INDIRECT("'[SA_results" &amp; $C9 &amp; ".xlsx]Acceptance_Rate'!$A$2")</f>
        <v>#REF!</v>
      </c>
      <c r="P9" s="33" t="e" cm="1">
        <f t="array" aca="1" ref="P9" ca="1">SUM(INDIRECT("'[SA_results" &amp; $C9 &amp; ".xlsx]Best_Job_Tardiness'!$B:$B"))/($D$2-INDIRECT("'[SA_results" &amp; $C9 &amp; ".xlsx]Total_Rejected_Jobs'!$A$2"))</f>
        <v>#REF!</v>
      </c>
      <c r="Q9" s="23" t="str">
        <f t="shared" ca="1" si="4"/>
        <v/>
      </c>
      <c r="R9" s="5" t="e" cm="1">
        <f t="array" aca="1" ref="R9" ca="1">SUM(INDIRECT("'[SA_results" &amp; $C9 &amp; ".xlsx]Best_Job_Completion_Time'!$B:$B"))/($D$2-INDIRECT("'[SA_results" &amp; $C9 &amp; ".xlsx]Total_Rejected_Jobs'!$A$2"))</f>
        <v>#REF!</v>
      </c>
      <c r="S9" s="35"/>
      <c r="T9" s="23" t="e" cm="1">
        <f t="array" aca="1" ref="T9" ca="1">INDIRECT("'[SA_results" &amp; $C9 &amp; ".xlsx]Best_Objective'!$A$2")</f>
        <v>#REF!</v>
      </c>
      <c r="U9" s="33" t="e" cm="1">
        <f t="array" aca="1" ref="U9" ca="1">INDIRECT("'[SA_results" &amp; $C9 &amp; ".xlsx]Running_Time'!$A$2")</f>
        <v>#REF!</v>
      </c>
      <c r="V9" s="5" t="e">
        <f t="shared" ca="1" si="2"/>
        <v>#REF!</v>
      </c>
      <c r="W9" s="23" t="e" cm="1">
        <f t="array" aca="1" ref="W9" ca="1">INDIRECT("'[SA_results" &amp; $C9 &amp; ".xlsx]Acceptance_Rate'!$A$2")</f>
        <v>#REF!</v>
      </c>
      <c r="X9" s="33" t="e" cm="1">
        <f t="array" aca="1" ref="X9" ca="1">SUM(INDIRECT("'[SA_results" &amp; $C9 &amp; ".xlsx]Best_Job_Tardiness'!$B:$B"))/($D$2-INDIRECT("'[SA_results" &amp; $C9 &amp; ".xlsx]Total_Rejected_Jobs'!$A$2"))</f>
        <v>#REF!</v>
      </c>
      <c r="Y9" s="23" t="str">
        <f t="shared" ca="1" si="5"/>
        <v/>
      </c>
      <c r="Z9" s="5" t="e" cm="1">
        <f t="array" aca="1" ref="Z9" ca="1">SUM(INDIRECT("'[SA_results" &amp; $C9 &amp; ".xlsx]Best_Job_Completion_Time'!$B:$B"))/($D$2-INDIRECT("'[SA_results" &amp; $C9 &amp; ".xlsx]Total_Rejected_Jobs'!$A$2"))</f>
        <v>#REF!</v>
      </c>
      <c r="AA9" s="35"/>
    </row>
    <row r="10" spans="2:27" x14ac:dyDescent="0.2">
      <c r="B10" s="4">
        <v>7</v>
      </c>
      <c r="C10" s="4">
        <v>748</v>
      </c>
      <c r="D10" s="23">
        <v>986432.44844475493</v>
      </c>
      <c r="E10" s="33">
        <v>122.43891207689344</v>
      </c>
      <c r="F10" s="5">
        <v>10</v>
      </c>
      <c r="G10" s="23">
        <v>96</v>
      </c>
      <c r="H10" s="33">
        <v>200.44797504472541</v>
      </c>
      <c r="I10" s="23">
        <v>44.573430423460422</v>
      </c>
      <c r="J10" s="5">
        <v>4927.9575088772144</v>
      </c>
      <c r="K10" s="31"/>
      <c r="L10" s="23" t="e" cm="1">
        <f t="array" aca="1" ref="L10" ca="1">INDIRECT("'[SA_results" &amp; $C10 &amp; ".xlsx]Best_Objective'!$A$2")</f>
        <v>#REF!</v>
      </c>
      <c r="M10" s="33" t="e" cm="1">
        <f t="array" aca="1" ref="M10" ca="1">INDIRECT("'[SA_results" &amp; $C10 &amp; ".xlsx]Running_Time'!$A$2")</f>
        <v>#REF!</v>
      </c>
      <c r="N10" s="5" t="e">
        <f t="shared" ca="1" si="0"/>
        <v>#REF!</v>
      </c>
      <c r="O10" s="23" t="e" cm="1">
        <f t="array" aca="1" ref="O10" ca="1">INDIRECT("'[SA_results" &amp; $C10 &amp; ".xlsx]Acceptance_Rate'!$A$2")</f>
        <v>#REF!</v>
      </c>
      <c r="P10" s="33" t="e" cm="1">
        <f t="array" aca="1" ref="P10" ca="1">SUM(INDIRECT("'[SA_results" &amp; $C10 &amp; ".xlsx]Best_Job_Tardiness'!$B:$B"))/($D$2-INDIRECT("'[SA_results" &amp; $C10 &amp; ".xlsx]Total_Rejected_Jobs'!$A$2"))</f>
        <v>#REF!</v>
      </c>
      <c r="Q10" s="23" t="str">
        <f t="shared" ca="1" si="4"/>
        <v/>
      </c>
      <c r="R10" s="5" t="e" cm="1">
        <f t="array" aca="1" ref="R10" ca="1">SUM(INDIRECT("'[SA_results" &amp; $C10 &amp; ".xlsx]Best_Job_Completion_Time'!$B:$B"))/($D$2-INDIRECT("'[SA_results" &amp; $C10 &amp; ".xlsx]Total_Rejected_Jobs'!$A$2"))</f>
        <v>#REF!</v>
      </c>
      <c r="S10" s="35"/>
      <c r="T10" s="23" t="e" cm="1">
        <f t="array" aca="1" ref="T10" ca="1">INDIRECT("'[SA_results" &amp; $C10 &amp; ".xlsx]Best_Objective'!$A$2")</f>
        <v>#REF!</v>
      </c>
      <c r="U10" s="33" t="e" cm="1">
        <f t="array" aca="1" ref="U10" ca="1">INDIRECT("'[SA_results" &amp; $C10 &amp; ".xlsx]Running_Time'!$A$2")</f>
        <v>#REF!</v>
      </c>
      <c r="V10" s="5" t="e">
        <f t="shared" ca="1" si="2"/>
        <v>#REF!</v>
      </c>
      <c r="W10" s="23" t="e" cm="1">
        <f t="array" aca="1" ref="W10" ca="1">INDIRECT("'[SA_results" &amp; $C10 &amp; ".xlsx]Acceptance_Rate'!$A$2")</f>
        <v>#REF!</v>
      </c>
      <c r="X10" s="33" t="e" cm="1">
        <f t="array" aca="1" ref="X10" ca="1">SUM(INDIRECT("'[SA_results" &amp; $C10 &amp; ".xlsx]Best_Job_Tardiness'!$B:$B"))/($D$2-INDIRECT("'[SA_results" &amp; $C10 &amp; ".xlsx]Total_Rejected_Jobs'!$A$2"))</f>
        <v>#REF!</v>
      </c>
      <c r="Y10" s="23" t="str">
        <f t="shared" ca="1" si="5"/>
        <v/>
      </c>
      <c r="Z10" s="5" t="e" cm="1">
        <f t="array" aca="1" ref="Z10" ca="1">SUM(INDIRECT("'[SA_results" &amp; $C10 &amp; ".xlsx]Best_Job_Completion_Time'!$B:$B"))/($D$2-INDIRECT("'[SA_results" &amp; $C10 &amp; ".xlsx]Total_Rejected_Jobs'!$A$2"))</f>
        <v>#REF!</v>
      </c>
      <c r="AA10" s="35"/>
    </row>
    <row r="11" spans="2:27" x14ac:dyDescent="0.2">
      <c r="B11" s="4">
        <v>8</v>
      </c>
      <c r="C11" s="4">
        <v>767</v>
      </c>
      <c r="D11" s="23">
        <v>1031992.629923077</v>
      </c>
      <c r="E11" s="33">
        <v>117.32684092309614</v>
      </c>
      <c r="F11" s="5">
        <v>12</v>
      </c>
      <c r="G11" s="23">
        <v>96</v>
      </c>
      <c r="H11" s="33">
        <v>226.19872059087209</v>
      </c>
      <c r="I11" s="23">
        <v>37.458197806659051</v>
      </c>
      <c r="J11" s="5">
        <v>4975.6345834017447</v>
      </c>
      <c r="K11" s="31"/>
      <c r="L11" s="23" t="e" cm="1">
        <f t="array" aca="1" ref="L11" ca="1">INDIRECT("'[SA_results" &amp; $C11 &amp; ".xlsx]Best_Objective'!$A$2")</f>
        <v>#REF!</v>
      </c>
      <c r="M11" s="33" t="e" cm="1">
        <f t="array" aca="1" ref="M11" ca="1">INDIRECT("'[SA_results" &amp; $C11 &amp; ".xlsx]Running_Time'!$A$2")</f>
        <v>#REF!</v>
      </c>
      <c r="N11" s="5" t="e">
        <f t="shared" ca="1" si="0"/>
        <v>#REF!</v>
      </c>
      <c r="O11" s="23" t="e" cm="1">
        <f t="array" aca="1" ref="O11" ca="1">INDIRECT("'[SA_results" &amp; $C11 &amp; ".xlsx]Acceptance_Rate'!$A$2")</f>
        <v>#REF!</v>
      </c>
      <c r="P11" s="33" t="e" cm="1">
        <f t="array" aca="1" ref="P11" ca="1">SUM(INDIRECT("'[SA_results" &amp; $C11 &amp; ".xlsx]Best_Job_Tardiness'!$B:$B"))/($D$2-INDIRECT("'[SA_results" &amp; $C11 &amp; ".xlsx]Total_Rejected_Jobs'!$A$2"))</f>
        <v>#REF!</v>
      </c>
      <c r="Q11" s="23" t="str">
        <f t="shared" ca="1" si="4"/>
        <v/>
      </c>
      <c r="R11" s="5" t="e" cm="1">
        <f t="array" aca="1" ref="R11" ca="1">SUM(INDIRECT("'[SA_results" &amp; $C11 &amp; ".xlsx]Best_Job_Completion_Time'!$B:$B"))/($D$2-INDIRECT("'[SA_results" &amp; $C11 &amp; ".xlsx]Total_Rejected_Jobs'!$A$2"))</f>
        <v>#REF!</v>
      </c>
      <c r="S11" s="35"/>
      <c r="T11" s="23" t="e" cm="1">
        <f t="array" aca="1" ref="T11" ca="1">INDIRECT("'[SA_results" &amp; $C11 &amp; ".xlsx]Best_Objective'!$A$2")</f>
        <v>#REF!</v>
      </c>
      <c r="U11" s="33" t="e" cm="1">
        <f t="array" aca="1" ref="U11" ca="1">INDIRECT("'[SA_results" &amp; $C11 &amp; ".xlsx]Running_Time'!$A$2")</f>
        <v>#REF!</v>
      </c>
      <c r="V11" s="5" t="e">
        <f t="shared" ca="1" si="2"/>
        <v>#REF!</v>
      </c>
      <c r="W11" s="23" t="e" cm="1">
        <f t="array" aca="1" ref="W11" ca="1">INDIRECT("'[SA_results" &amp; $C11 &amp; ".xlsx]Acceptance_Rate'!$A$2")</f>
        <v>#REF!</v>
      </c>
      <c r="X11" s="33" t="e" cm="1">
        <f t="array" aca="1" ref="X11" ca="1">SUM(INDIRECT("'[SA_results" &amp; $C11 &amp; ".xlsx]Best_Job_Tardiness'!$B:$B"))/($D$2-INDIRECT("'[SA_results" &amp; $C11 &amp; ".xlsx]Total_Rejected_Jobs'!$A$2"))</f>
        <v>#REF!</v>
      </c>
      <c r="Y11" s="23" t="str">
        <f t="shared" ca="1" si="5"/>
        <v/>
      </c>
      <c r="Z11" s="5" t="e" cm="1">
        <f t="array" aca="1" ref="Z11" ca="1">SUM(INDIRECT("'[SA_results" &amp; $C11 &amp; ".xlsx]Best_Job_Completion_Time'!$B:$B"))/($D$2-INDIRECT("'[SA_results" &amp; $C11 &amp; ".xlsx]Total_Rejected_Jobs'!$A$2"))</f>
        <v>#REF!</v>
      </c>
      <c r="AA11" s="35"/>
    </row>
    <row r="12" spans="2:27" x14ac:dyDescent="0.2">
      <c r="B12" s="4">
        <v>9</v>
      </c>
      <c r="C12" s="4">
        <v>930</v>
      </c>
      <c r="D12" s="23">
        <v>1040196.868565167</v>
      </c>
      <c r="E12" s="33">
        <v>144.2765249230433</v>
      </c>
      <c r="F12" s="5">
        <v>12</v>
      </c>
      <c r="G12" s="23">
        <v>96</v>
      </c>
      <c r="H12" s="33">
        <v>220.20657769523217</v>
      </c>
      <c r="I12" s="23">
        <v>37.686447129986611</v>
      </c>
      <c r="J12" s="5">
        <v>5016.5383587650103</v>
      </c>
      <c r="K12" s="31"/>
      <c r="L12" s="23" t="e" cm="1">
        <f t="array" aca="1" ref="L12" ca="1">INDIRECT("'[SA_results" &amp; $C12 &amp; ".xlsx]Best_Objective'!$A$2")</f>
        <v>#REF!</v>
      </c>
      <c r="M12" s="33" t="e" cm="1">
        <f t="array" aca="1" ref="M12" ca="1">INDIRECT("'[SA_results" &amp; $C12 &amp; ".xlsx]Running_Time'!$A$2")</f>
        <v>#REF!</v>
      </c>
      <c r="N12" s="5" t="e">
        <f t="shared" ca="1" si="0"/>
        <v>#REF!</v>
      </c>
      <c r="O12" s="23" t="e" cm="1">
        <f t="array" aca="1" ref="O12" ca="1">INDIRECT("'[SA_results" &amp; $C12 &amp; ".xlsx]Acceptance_Rate'!$A$2")</f>
        <v>#REF!</v>
      </c>
      <c r="P12" s="33" t="e" cm="1">
        <f t="array" aca="1" ref="P12" ca="1">SUM(INDIRECT("'[SA_results" &amp; $C12 &amp; ".xlsx]Best_Job_Tardiness'!$B:$B"))/($D$2-INDIRECT("'[SA_results" &amp; $C12 &amp; ".xlsx]Total_Rejected_Jobs'!$A$2"))</f>
        <v>#REF!</v>
      </c>
      <c r="Q12" s="23" t="str">
        <f t="shared" ca="1" si="4"/>
        <v/>
      </c>
      <c r="R12" s="5" t="e" cm="1">
        <f t="array" aca="1" ref="R12" ca="1">SUM(INDIRECT("'[SA_results" &amp; $C12 &amp; ".xlsx]Best_Job_Completion_Time'!$B:$B"))/($D$2-INDIRECT("'[SA_results" &amp; $C12 &amp; ".xlsx]Total_Rejected_Jobs'!$A$2"))</f>
        <v>#REF!</v>
      </c>
      <c r="S12" s="35"/>
      <c r="T12" s="23" t="e" cm="1">
        <f t="array" aca="1" ref="T12" ca="1">INDIRECT("'[SA_results" &amp; $C12 &amp; ".xlsx]Best_Objective'!$A$2")</f>
        <v>#REF!</v>
      </c>
      <c r="U12" s="33" t="e" cm="1">
        <f t="array" aca="1" ref="U12" ca="1">INDIRECT("'[SA_results" &amp; $C12 &amp; ".xlsx]Running_Time'!$A$2")</f>
        <v>#REF!</v>
      </c>
      <c r="V12" s="5" t="e">
        <f t="shared" ca="1" si="2"/>
        <v>#REF!</v>
      </c>
      <c r="W12" s="23" t="e" cm="1">
        <f t="array" aca="1" ref="W12" ca="1">INDIRECT("'[SA_results" &amp; $C12 &amp; ".xlsx]Acceptance_Rate'!$A$2")</f>
        <v>#REF!</v>
      </c>
      <c r="X12" s="33" t="e" cm="1">
        <f t="array" aca="1" ref="X12" ca="1">SUM(INDIRECT("'[SA_results" &amp; $C12 &amp; ".xlsx]Best_Job_Tardiness'!$B:$B"))/($D$2-INDIRECT("'[SA_results" &amp; $C12 &amp; ".xlsx]Total_Rejected_Jobs'!$A$2"))</f>
        <v>#REF!</v>
      </c>
      <c r="Y12" s="23" t="str">
        <f t="shared" ca="1" si="5"/>
        <v/>
      </c>
      <c r="Z12" s="5" t="e" cm="1">
        <f t="array" aca="1" ref="Z12" ca="1">SUM(INDIRECT("'[SA_results" &amp; $C12 &amp; ".xlsx]Best_Job_Completion_Time'!$B:$B"))/($D$2-INDIRECT("'[SA_results" &amp; $C12 &amp; ".xlsx]Total_Rejected_Jobs'!$A$2"))</f>
        <v>#REF!</v>
      </c>
      <c r="AA12" s="35"/>
    </row>
    <row r="13" spans="2:27" x14ac:dyDescent="0.2">
      <c r="B13" s="4">
        <v>10</v>
      </c>
      <c r="C13" s="4">
        <v>996</v>
      </c>
      <c r="D13" s="23">
        <v>1065543.2000822199</v>
      </c>
      <c r="E13" s="33">
        <v>112.03921823081777</v>
      </c>
      <c r="F13" s="5">
        <v>11</v>
      </c>
      <c r="G13" s="23">
        <v>96</v>
      </c>
      <c r="H13" s="33">
        <v>290.95749174819258</v>
      </c>
      <c r="I13" s="23">
        <v>41.369414160292223</v>
      </c>
      <c r="J13" s="5">
        <v>5268.3047633131764</v>
      </c>
      <c r="K13" s="31"/>
      <c r="L13" s="23" t="e" cm="1">
        <f t="array" aca="1" ref="L13" ca="1">INDIRECT("'[SA_results" &amp; $C13 &amp; ".xlsx]Best_Objective'!$A$2")</f>
        <v>#REF!</v>
      </c>
      <c r="M13" s="33" t="e" cm="1">
        <f t="array" aca="1" ref="M13" ca="1">INDIRECT("'[SA_results" &amp; $C13 &amp; ".xlsx]Running_Time'!$A$2")</f>
        <v>#REF!</v>
      </c>
      <c r="N13" s="5" t="e">
        <f t="shared" ca="1" si="0"/>
        <v>#REF!</v>
      </c>
      <c r="O13" s="23" t="e" cm="1">
        <f t="array" aca="1" ref="O13" ca="1">INDIRECT("'[SA_results" &amp; $C13 &amp; ".xlsx]Acceptance_Rate'!$A$2")</f>
        <v>#REF!</v>
      </c>
      <c r="P13" s="33" t="e" cm="1">
        <f t="array" aca="1" ref="P13" ca="1">SUM(INDIRECT("'[SA_results" &amp; $C13 &amp; ".xlsx]Best_Job_Tardiness'!$B:$B"))/($D$2-INDIRECT("'[SA_results" &amp; $C13 &amp; ".xlsx]Total_Rejected_Jobs'!$A$2"))</f>
        <v>#REF!</v>
      </c>
      <c r="Q13" s="23" t="str">
        <f t="shared" ca="1" si="4"/>
        <v/>
      </c>
      <c r="R13" s="5" t="e" cm="1">
        <f t="array" aca="1" ref="R13" ca="1">SUM(INDIRECT("'[SA_results" &amp; $C13 &amp; ".xlsx]Best_Job_Completion_Time'!$B:$B"))/($D$2-INDIRECT("'[SA_results" &amp; $C13 &amp; ".xlsx]Total_Rejected_Jobs'!$A$2"))</f>
        <v>#REF!</v>
      </c>
      <c r="S13" s="35"/>
      <c r="T13" s="23" t="e" cm="1">
        <f t="array" aca="1" ref="T13" ca="1">INDIRECT("'[SA_results" &amp; $C13 &amp; ".xlsx]Best_Objective'!$A$2")</f>
        <v>#REF!</v>
      </c>
      <c r="U13" s="33" t="e" cm="1">
        <f t="array" aca="1" ref="U13" ca="1">INDIRECT("'[SA_results" &amp; $C13 &amp; ".xlsx]Running_Time'!$A$2")</f>
        <v>#REF!</v>
      </c>
      <c r="V13" s="5" t="e">
        <f t="shared" ca="1" si="2"/>
        <v>#REF!</v>
      </c>
      <c r="W13" s="23" t="e" cm="1">
        <f t="array" aca="1" ref="W13" ca="1">INDIRECT("'[SA_results" &amp; $C13 &amp; ".xlsx]Acceptance_Rate'!$A$2")</f>
        <v>#REF!</v>
      </c>
      <c r="X13" s="33" t="e" cm="1">
        <f t="array" aca="1" ref="X13" ca="1">SUM(INDIRECT("'[SA_results" &amp; $C13 &amp; ".xlsx]Best_Job_Tardiness'!$B:$B"))/($D$2-INDIRECT("'[SA_results" &amp; $C13 &amp; ".xlsx]Total_Rejected_Jobs'!$A$2"))</f>
        <v>#REF!</v>
      </c>
      <c r="Y13" s="23" t="str">
        <f t="shared" ca="1" si="5"/>
        <v/>
      </c>
      <c r="Z13" s="5" t="e" cm="1">
        <f t="array" aca="1" ref="Z13" ca="1">SUM(INDIRECT("'[SA_results" &amp; $C13 &amp; ".xlsx]Best_Job_Completion_Time'!$B:$B"))/($D$2-INDIRECT("'[SA_results" &amp; $C13 &amp; ".xlsx]Total_Rejected_Jobs'!$A$2"))</f>
        <v>#REF!</v>
      </c>
      <c r="AA13" s="35"/>
    </row>
    <row r="14" spans="2:27" x14ac:dyDescent="0.2">
      <c r="B14" s="49" t="s">
        <v>3</v>
      </c>
      <c r="C14" s="50"/>
      <c r="D14" s="9">
        <f>MIN(D4:D13)</f>
        <v>968127.96556841256</v>
      </c>
      <c r="E14" s="22">
        <f>INDEX(E4:E13, MATCH($D$14, D4:D13, 0))</f>
        <v>110.66876407685831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148.27568864938823</v>
      </c>
      <c r="I14" s="22">
        <f>INDEX(I4:I13, MATCH($D$14, D4:D13, 0))</f>
        <v>41.044499047729481</v>
      </c>
      <c r="J14" s="22">
        <f>INDEX(J4:J13, MATCH($D$14, D4:D13, 0))</f>
        <v>4730.6926525659665</v>
      </c>
      <c r="K14" s="32" t="e">
        <f>(D14-$D$15)/$D$15</f>
        <v>#DIV/0!</v>
      </c>
      <c r="L14" s="16" t="e">
        <f ca="1">MIN(L4:L13)</f>
        <v>#REF!</v>
      </c>
      <c r="M14" s="21" t="e">
        <f ca="1">INDEX(M4:M13, MATCH($L$14, L4:L13, 0))</f>
        <v>#REF!</v>
      </c>
      <c r="N14" s="16" t="e">
        <f ca="1">INDEX(N4:N13, MATCH($L$14, L4:L13, 0))</f>
        <v>#REF!</v>
      </c>
      <c r="O14" s="16" t="e">
        <f ca="1">INDEX(O4:O13, MATCH($L$14, L4:L13, 0))</f>
        <v>#REF!</v>
      </c>
      <c r="P14" s="21" t="e">
        <f ca="1">INDEX(P4:P13, MATCH($L$14, L4:L13, 0))</f>
        <v>#REF!</v>
      </c>
      <c r="Q14" s="21" t="e">
        <f ca="1">INDEX(Q4:Q13, MATCH($L$14, L4:L13, 0))</f>
        <v>#REF!</v>
      </c>
      <c r="R14" s="21" t="e">
        <f ca="1">INDEX(R4:R13, MATCH($L$14, L4:L13, 0))</f>
        <v>#REF!</v>
      </c>
      <c r="S14" s="36" t="e">
        <f ca="1">(L14-$D$15)/$D$15</f>
        <v>#REF!</v>
      </c>
      <c r="T14" s="38" t="e">
        <f ca="1">MIN(T4:T13)</f>
        <v>#REF!</v>
      </c>
      <c r="U14" s="39" t="e">
        <f ca="1">INDEX(U4:U13, MATCH($T$14, T4:T13, 0))</f>
        <v>#REF!</v>
      </c>
      <c r="V14" s="38" t="e">
        <f ca="1">INDEX(V4:V13, MATCH($T$14, T4:T13, 0))</f>
        <v>#REF!</v>
      </c>
      <c r="W14" s="38" t="e">
        <f ca="1">INDEX(W4:W13, MATCH($T$14, T4:T13, 0))</f>
        <v>#REF!</v>
      </c>
      <c r="X14" s="39" t="e">
        <f ca="1">INDEX(X4:X13, MATCH($T$14, T4:T13, 0))</f>
        <v>#REF!</v>
      </c>
      <c r="Y14" s="39" t="e">
        <f ca="1">INDEX(Y4:Y13, MATCH($T$14, T4:T13, 0))</f>
        <v>#REF!</v>
      </c>
      <c r="Z14" s="39" t="e">
        <f ca="1">INDEX(Z4:Z13, MATCH($T$14, T4:T13, 0))</f>
        <v>#REF!</v>
      </c>
      <c r="AA14" s="40" t="e">
        <f ca="1">(T14-$D$15)/$D$15</f>
        <v>#REF!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 t="e">
        <f ca="1">(L14-D14)/D14</f>
        <v>#REF!</v>
      </c>
      <c r="M15" s="41" t="e">
        <f t="shared" ref="M15:R15" ca="1" si="6">(M14-E14)/E14</f>
        <v>#REF!</v>
      </c>
      <c r="N15" s="41" t="e">
        <f t="shared" ca="1" si="6"/>
        <v>#REF!</v>
      </c>
      <c r="O15" s="41" t="e">
        <f t="shared" ca="1" si="6"/>
        <v>#REF!</v>
      </c>
      <c r="P15" s="41" t="e">
        <f t="shared" ca="1" si="6"/>
        <v>#REF!</v>
      </c>
      <c r="Q15" s="41" t="e">
        <f t="shared" ca="1" si="6"/>
        <v>#REF!</v>
      </c>
      <c r="R15" s="41" t="e">
        <f t="shared" ca="1" si="6"/>
        <v>#REF!</v>
      </c>
      <c r="T15" s="41" t="e">
        <f ca="1">(T14-D14)/D14</f>
        <v>#REF!</v>
      </c>
      <c r="U15" s="41" t="e">
        <f t="shared" ref="U15:Z15" ca="1" si="7">(U14-E14)/E14</f>
        <v>#REF!</v>
      </c>
      <c r="V15" s="41" t="e">
        <f t="shared" ca="1" si="7"/>
        <v>#REF!</v>
      </c>
      <c r="W15" s="41" t="e">
        <f t="shared" ca="1" si="7"/>
        <v>#REF!</v>
      </c>
      <c r="X15" s="41" t="e">
        <f t="shared" ca="1" si="7"/>
        <v>#REF!</v>
      </c>
      <c r="Y15" s="41" t="e">
        <f t="shared" ca="1" si="7"/>
        <v>#REF!</v>
      </c>
      <c r="Z15" s="41" t="e">
        <f t="shared" ca="1" si="7"/>
        <v>#REF!</v>
      </c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</sheetData>
  <mergeCells count="1">
    <mergeCell ref="B14:C14"/>
  </mergeCells>
  <conditionalFormatting sqref="C1 C16:C1048576 C3">
    <cfRule type="duplicateValues" dxfId="137" priority="9"/>
    <cfRule type="duplicateValues" dxfId="136" priority="10"/>
  </conditionalFormatting>
  <conditionalFormatting sqref="C2">
    <cfRule type="duplicateValues" dxfId="135" priority="1"/>
    <cfRule type="duplicateValues" dxfId="134" priority="2"/>
  </conditionalFormatting>
  <conditionalFormatting sqref="C4:C13">
    <cfRule type="duplicateValues" dxfId="133" priority="3"/>
    <cfRule type="duplicateValues" dxfId="132" priority="4"/>
  </conditionalFormatting>
  <conditionalFormatting sqref="C14">
    <cfRule type="duplicateValues" dxfId="131" priority="7"/>
    <cfRule type="duplicateValues" dxfId="130" priority="8"/>
  </conditionalFormatting>
  <conditionalFormatting sqref="C15">
    <cfRule type="duplicateValues" dxfId="129" priority="5"/>
    <cfRule type="duplicateValues" dxfId="128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96A0-5A68-4696-AC9B-FD4AB17AC7C4}">
  <dimension ref="B1:AA38"/>
  <sheetViews>
    <sheetView zoomScale="90" zoomScaleNormal="90" workbookViewId="0">
      <selection activeCell="E20" sqref="E20:E3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 t="e">
        <f ca="1">(P14-H14)/H14</f>
        <v>#REF!</v>
      </c>
      <c r="R2" s="1" t="e">
        <f ca="1">(R14-J14)/J14</f>
        <v>#REF!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57</v>
      </c>
      <c r="D4" s="23">
        <v>1280681.1210966869</v>
      </c>
      <c r="E4" s="33">
        <v>114.18495884612915</v>
      </c>
      <c r="F4" s="5">
        <v>16</v>
      </c>
      <c r="G4" s="23">
        <v>95.333333333333329</v>
      </c>
      <c r="H4" s="33">
        <v>733.30132009796887</v>
      </c>
      <c r="I4" s="23">
        <v>38.904873232268478</v>
      </c>
      <c r="J4" s="5">
        <v>5761.4627707720665</v>
      </c>
      <c r="K4" s="31"/>
      <c r="L4" s="23" t="e" cm="1">
        <f t="array" aca="1" ref="L4" ca="1">INDIRECT("'[SA_results" &amp; $C4 &amp; ".xlsx]Best_Objective'!$A$2")</f>
        <v>#REF!</v>
      </c>
      <c r="M4" s="33" t="e" cm="1">
        <f t="array" aca="1" ref="M4" ca="1">INDIRECT("'[SA_results" &amp; $C4 &amp; ".xlsx]Running_Time'!$A$2")</f>
        <v>#REF!</v>
      </c>
      <c r="N4" s="5" t="e">
        <f ca="1">COUNTIF(INDIRECT("'[SA_results" &amp; $C4 &amp; ".xlsx]Best_Batch_Utilization'!C:C"),"&gt;0")</f>
        <v>#REF!</v>
      </c>
      <c r="O4" s="23" t="e" cm="1">
        <f t="array" aca="1" ref="O4" ca="1">INDIRECT("'[SA_results" &amp; $C4 &amp; ".xlsx]Acceptance_Rate'!$A$2")</f>
        <v>#REF!</v>
      </c>
      <c r="P4" s="33" t="e" cm="1">
        <f t="array" aca="1" ref="P4" ca="1">SUM(INDIRECT("'[SA_results" &amp; $C4 &amp; ".xlsx]Best_Job_Tardiness'!$B:$B"))/($D$2-INDIRECT("'[SA_results" &amp; $C4 &amp; ".xlsx]Total_Rejected_Jobs'!$A$2"))</f>
        <v>#REF!</v>
      </c>
      <c r="Q4" s="23" t="str">
        <f ca="1">IFERROR(AVERAGE(INDIRECT("'[SA_results" &amp; $C4 &amp; ".xlsx]Best_Batch_Utilization'!C:C")),"")</f>
        <v/>
      </c>
      <c r="R4" s="5" t="e" cm="1">
        <f t="array" aca="1" ref="R4" ca="1">SUM(INDIRECT("'[SA_results" &amp; $C4 &amp; ".xlsx]Best_Job_Completion_Time'!$B:$B"))/($D$2-INDIRECT("'[SA_results" &amp; $C4 &amp; ".xlsx]Total_Rejected_Jobs'!$A$2"))</f>
        <v>#REF!</v>
      </c>
      <c r="S4" s="35"/>
      <c r="T4" s="23" t="e" cm="1">
        <f t="array" aca="1" ref="T4" ca="1">INDIRECT("'[SA_results" &amp; $C4 &amp; ".xlsx]Best_Objective'!$A$2")</f>
        <v>#REF!</v>
      </c>
      <c r="U4" s="33" t="e" cm="1">
        <f t="array" aca="1" ref="U4" ca="1">INDIRECT("'[SA_results" &amp; $C4 &amp; ".xlsx]Running_Time'!$A$2")</f>
        <v>#REF!</v>
      </c>
      <c r="V4" s="5" t="e">
        <f ca="1">COUNTIF(INDIRECT("'[SA_results" &amp; $C4 &amp; ".xlsx]Best_Batch_Utilization'!C:C"),"&gt;0")</f>
        <v>#REF!</v>
      </c>
      <c r="W4" s="23" t="e" cm="1">
        <f t="array" aca="1" ref="W4" ca="1">INDIRECT("'[SA_results" &amp; $C4 &amp; ".xlsx]Acceptance_Rate'!$A$2")</f>
        <v>#REF!</v>
      </c>
      <c r="X4" s="33" t="e" cm="1">
        <f t="array" aca="1" ref="X4" ca="1">SUM(INDIRECT("'[SA_results" &amp; $C4 &amp; ".xlsx]Best_Job_Tardiness'!$B:$B"))/($D$2-INDIRECT("'[SA_results" &amp; $C4 &amp; ".xlsx]Total_Rejected_Jobs'!$A$2"))</f>
        <v>#REF!</v>
      </c>
      <c r="Y4" s="23" t="str">
        <f ca="1">IFERROR(AVERAGE(INDIRECT("'[SA_results" &amp; $C4 &amp; ".xlsx]Best_Batch_Utilization'!C:C")),"")</f>
        <v/>
      </c>
      <c r="Z4" s="5" t="e" cm="1">
        <f t="array" aca="1" ref="Z4" ca="1">SUM(INDIRECT("'[SA_results" &amp; $C4 &amp; ".xlsx]Best_Job_Completion_Time'!$B:$B"))/($D$2-INDIRECT("'[SA_results" &amp; $C4 &amp; ".xlsx]Total_Rejected_Jobs'!$A$2"))</f>
        <v>#REF!</v>
      </c>
      <c r="AA4" s="35"/>
    </row>
    <row r="5" spans="2:27" x14ac:dyDescent="0.2">
      <c r="B5" s="4">
        <v>2</v>
      </c>
      <c r="C5" s="4">
        <v>107</v>
      </c>
      <c r="D5" s="23">
        <v>1252153.704625743</v>
      </c>
      <c r="E5" s="33">
        <v>318.13966623077596</v>
      </c>
      <c r="F5" s="5">
        <v>17</v>
      </c>
      <c r="G5" s="23">
        <v>96</v>
      </c>
      <c r="H5" s="33">
        <v>724.07302818045559</v>
      </c>
      <c r="I5" s="23">
        <v>37.032955137792513</v>
      </c>
      <c r="J5" s="5">
        <v>5564.572901666852</v>
      </c>
      <c r="K5" s="31"/>
      <c r="L5" s="23" t="e" cm="1">
        <f t="array" aca="1" ref="L5" ca="1">INDIRECT("'[SA_results" &amp; $C5 &amp; ".xlsx]Best_Objective'!$A$2")</f>
        <v>#REF!</v>
      </c>
      <c r="M5" s="33" t="e" cm="1">
        <f t="array" aca="1" ref="M5" ca="1">INDIRECT("'[SA_results" &amp; $C5 &amp; ".xlsx]Running_Time'!$A$2")</f>
        <v>#REF!</v>
      </c>
      <c r="N5" s="5" t="e">
        <f t="shared" ref="N5:N13" ca="1" si="0">COUNTIF(INDIRECT("'[SA_results" &amp; $C5 &amp; ".xlsx]Best_Batch_Utilization'!C:C"),"&gt;0")</f>
        <v>#REF!</v>
      </c>
      <c r="O5" s="23" t="e" cm="1">
        <f t="array" aca="1" ref="O5" ca="1">INDIRECT("'[SA_results" &amp; $C5 &amp; ".xlsx]Acceptance_Rate'!$A$2")</f>
        <v>#REF!</v>
      </c>
      <c r="P5" s="33" t="e" cm="1">
        <f t="array" aca="1" ref="P5" ca="1">SUM(INDIRECT("'[SA_results" &amp; $C5 &amp; ".xlsx]Best_Job_Tardiness'!$B:$B"))/($D$2-INDIRECT("'[SA_results" &amp; $C5 &amp; ".xlsx]Total_Rejected_Jobs'!$A$2"))</f>
        <v>#REF!</v>
      </c>
      <c r="Q5" s="23" t="str">
        <f t="shared" ref="Q5:Q6" ca="1" si="1">IFERROR(AVERAGE(INDIRECT("'[SA_results" &amp; $C5 &amp; ".xlsx]Best_Batch_Utilization'!C:C")),"")</f>
        <v/>
      </c>
      <c r="R5" s="5" t="e" cm="1">
        <f t="array" aca="1" ref="R5" ca="1">SUM(INDIRECT("'[SA_results" &amp; $C5 &amp; ".xlsx]Best_Job_Completion_Time'!$B:$B"))/($D$2-INDIRECT("'[SA_results" &amp; $C5 &amp; ".xlsx]Total_Rejected_Jobs'!$A$2"))</f>
        <v>#REF!</v>
      </c>
      <c r="S5" s="35"/>
      <c r="T5" s="23" t="e" cm="1">
        <f t="array" aca="1" ref="T5" ca="1">INDIRECT("'[SA_results" &amp; $C5 &amp; ".xlsx]Best_Objective'!$A$2")</f>
        <v>#REF!</v>
      </c>
      <c r="U5" s="33" t="e" cm="1">
        <f t="array" aca="1" ref="U5" ca="1">INDIRECT("'[SA_results" &amp; $C5 &amp; ".xlsx]Running_Time'!$A$2")</f>
        <v>#REF!</v>
      </c>
      <c r="V5" s="5" t="e">
        <f t="shared" ref="V5:V13" ca="1" si="2">COUNTIF(INDIRECT("'[SA_results" &amp; $C5 &amp; ".xlsx]Best_Batch_Utilization'!C:C"),"&gt;0")</f>
        <v>#REF!</v>
      </c>
      <c r="W5" s="23" t="e" cm="1">
        <f t="array" aca="1" ref="W5" ca="1">INDIRECT("'[SA_results" &amp; $C5 &amp; ".xlsx]Acceptance_Rate'!$A$2")</f>
        <v>#REF!</v>
      </c>
      <c r="X5" s="33" t="e" cm="1">
        <f t="array" aca="1" ref="X5" ca="1">SUM(INDIRECT("'[SA_results" &amp; $C5 &amp; ".xlsx]Best_Job_Tardiness'!$B:$B"))/($D$2-INDIRECT("'[SA_results" &amp; $C5 &amp; ".xlsx]Total_Rejected_Jobs'!$A$2"))</f>
        <v>#REF!</v>
      </c>
      <c r="Y5" s="23" t="str">
        <f t="shared" ref="Y5:Y6" ca="1" si="3">IFERROR(AVERAGE(INDIRECT("'[SA_results" &amp; $C5 &amp; ".xlsx]Best_Batch_Utilization'!C:C")),"")</f>
        <v/>
      </c>
      <c r="Z5" s="5" t="e" cm="1">
        <f t="array" aca="1" ref="Z5" ca="1">SUM(INDIRECT("'[SA_results" &amp; $C5 &amp; ".xlsx]Best_Job_Completion_Time'!$B:$B"))/($D$2-INDIRECT("'[SA_results" &amp; $C5 &amp; ".xlsx]Total_Rejected_Jobs'!$A$2"))</f>
        <v>#REF!</v>
      </c>
      <c r="AA5" s="35"/>
    </row>
    <row r="6" spans="2:27" x14ac:dyDescent="0.2">
      <c r="B6" s="4">
        <v>3</v>
      </c>
      <c r="C6" s="4">
        <v>186</v>
      </c>
      <c r="D6" s="23">
        <v>1200025.2317240629</v>
      </c>
      <c r="E6" s="33">
        <v>173.91398946154644</v>
      </c>
      <c r="F6" s="5">
        <v>16</v>
      </c>
      <c r="G6" s="23">
        <v>96.666666666666671</v>
      </c>
      <c r="H6" s="33">
        <v>611.0755950545755</v>
      </c>
      <c r="I6" s="23">
        <v>40.088398618390023</v>
      </c>
      <c r="J6" s="5">
        <v>5525.7668774636077</v>
      </c>
      <c r="K6" s="31"/>
      <c r="L6" s="23" t="e" cm="1">
        <f t="array" aca="1" ref="L6" ca="1">INDIRECT("'[SA_results" &amp; $C6 &amp; ".xlsx]Best_Objective'!$A$2")</f>
        <v>#REF!</v>
      </c>
      <c r="M6" s="33" t="e" cm="1">
        <f t="array" aca="1" ref="M6" ca="1">INDIRECT("'[SA_results" &amp; $C6 &amp; ".xlsx]Running_Time'!$A$2")</f>
        <v>#REF!</v>
      </c>
      <c r="N6" s="5" t="e">
        <f t="shared" ca="1" si="0"/>
        <v>#REF!</v>
      </c>
      <c r="O6" s="23" t="e" cm="1">
        <f t="array" aca="1" ref="O6" ca="1">INDIRECT("'[SA_results" &amp; $C6 &amp; ".xlsx]Acceptance_Rate'!$A$2")</f>
        <v>#REF!</v>
      </c>
      <c r="P6" s="33" t="e" cm="1">
        <f t="array" aca="1" ref="P6" ca="1">SUM(INDIRECT("'[SA_results" &amp; $C6 &amp; ".xlsx]Best_Job_Tardiness'!$B:$B"))/($D$2-INDIRECT("'[SA_results" &amp; $C6 &amp; ".xlsx]Total_Rejected_Jobs'!$A$2"))</f>
        <v>#REF!</v>
      </c>
      <c r="Q6" s="23" t="str">
        <f t="shared" ca="1" si="1"/>
        <v/>
      </c>
      <c r="R6" s="5" t="e" cm="1">
        <f t="array" aca="1" ref="R6" ca="1">SUM(INDIRECT("'[SA_results" &amp; $C6 &amp; ".xlsx]Best_Job_Completion_Time'!$B:$B"))/($D$2-INDIRECT("'[SA_results" &amp; $C6 &amp; ".xlsx]Total_Rejected_Jobs'!$A$2"))</f>
        <v>#REF!</v>
      </c>
      <c r="S6" s="35"/>
      <c r="T6" s="23" t="e" cm="1">
        <f t="array" aca="1" ref="T6" ca="1">INDIRECT("'[SA_results" &amp; $C6 &amp; ".xlsx]Best_Objective'!$A$2")</f>
        <v>#REF!</v>
      </c>
      <c r="U6" s="33" t="e" cm="1">
        <f t="array" aca="1" ref="U6" ca="1">INDIRECT("'[SA_results" &amp; $C6 &amp; ".xlsx]Running_Time'!$A$2")</f>
        <v>#REF!</v>
      </c>
      <c r="V6" s="5" t="e">
        <f t="shared" ca="1" si="2"/>
        <v>#REF!</v>
      </c>
      <c r="W6" s="23" t="e" cm="1">
        <f t="array" aca="1" ref="W6" ca="1">INDIRECT("'[SA_results" &amp; $C6 &amp; ".xlsx]Acceptance_Rate'!$A$2")</f>
        <v>#REF!</v>
      </c>
      <c r="X6" s="33" t="e" cm="1">
        <f t="array" aca="1" ref="X6" ca="1">SUM(INDIRECT("'[SA_results" &amp; $C6 &amp; ".xlsx]Best_Job_Tardiness'!$B:$B"))/($D$2-INDIRECT("'[SA_results" &amp; $C6 &amp; ".xlsx]Total_Rejected_Jobs'!$A$2"))</f>
        <v>#REF!</v>
      </c>
      <c r="Y6" s="23" t="str">
        <f t="shared" ca="1" si="3"/>
        <v/>
      </c>
      <c r="Z6" s="5" t="e" cm="1">
        <f t="array" aca="1" ref="Z6" ca="1">SUM(INDIRECT("'[SA_results" &amp; $C6 &amp; ".xlsx]Best_Job_Completion_Time'!$B:$B"))/($D$2-INDIRECT("'[SA_results" &amp; $C6 &amp; ".xlsx]Total_Rejected_Jobs'!$A$2"))</f>
        <v>#REF!</v>
      </c>
      <c r="AA6" s="35"/>
    </row>
    <row r="7" spans="2:27" x14ac:dyDescent="0.2">
      <c r="B7" s="4">
        <v>4</v>
      </c>
      <c r="C7" s="4">
        <v>202</v>
      </c>
      <c r="D7" s="23">
        <v>1195874.55149322</v>
      </c>
      <c r="E7" s="33">
        <v>269.5518566154015</v>
      </c>
      <c r="F7" s="5">
        <v>15</v>
      </c>
      <c r="G7" s="23">
        <v>97.333333333333329</v>
      </c>
      <c r="H7" s="33">
        <v>687.63202542082661</v>
      </c>
      <c r="I7" s="23">
        <v>43.238451192275349</v>
      </c>
      <c r="J7" s="5">
        <v>5716.7130826593011</v>
      </c>
      <c r="K7" s="31"/>
      <c r="L7" s="23" t="e" cm="1">
        <f t="array" aca="1" ref="L7" ca="1">INDIRECT("'[SA_results" &amp; $C7 &amp; ".xlsx]Best_Objective'!$A$2")</f>
        <v>#REF!</v>
      </c>
      <c r="M7" s="33" t="e" cm="1">
        <f t="array" aca="1" ref="M7" ca="1">INDIRECT("'[SA_results" &amp; $C7 &amp; ".xlsx]Running_Time'!$A$2")</f>
        <v>#REF!</v>
      </c>
      <c r="N7" s="5" t="e">
        <f t="shared" ca="1" si="0"/>
        <v>#REF!</v>
      </c>
      <c r="O7" s="23" t="e" cm="1">
        <f t="array" aca="1" ref="O7" ca="1">INDIRECT("'[SA_results" &amp; $C7 &amp; ".xlsx]Acceptance_Rate'!$A$2")</f>
        <v>#REF!</v>
      </c>
      <c r="P7" s="33" t="e" cm="1">
        <f t="array" aca="1" ref="P7" ca="1">SUM(INDIRECT("'[SA_results" &amp; $C7 &amp; ".xlsx]Best_Job_Tardiness'!$B:$B"))/($D$2-INDIRECT("'[SA_results" &amp; $C7 &amp; ".xlsx]Total_Rejected_Jobs'!$A$2"))</f>
        <v>#REF!</v>
      </c>
      <c r="Q7" s="23" t="str">
        <f ca="1">IFERROR(AVERAGE(INDIRECT("'[SA_results" &amp; $C7 &amp; ".xlsx]Best_Batch_Utilization'!C:C")),"")</f>
        <v/>
      </c>
      <c r="R7" s="5" t="e" cm="1">
        <f t="array" aca="1" ref="R7" ca="1">SUM(INDIRECT("'[SA_results" &amp; $C7 &amp; ".xlsx]Best_Job_Completion_Time'!$B:$B"))/($D$2-INDIRECT("'[SA_results" &amp; $C7 &amp; ".xlsx]Total_Rejected_Jobs'!$A$2"))</f>
        <v>#REF!</v>
      </c>
      <c r="S7" s="35"/>
      <c r="T7" s="23" t="e" cm="1">
        <f t="array" aca="1" ref="T7" ca="1">INDIRECT("'[SA_results" &amp; $C7 &amp; ".xlsx]Best_Objective'!$A$2")</f>
        <v>#REF!</v>
      </c>
      <c r="U7" s="33" t="e" cm="1">
        <f t="array" aca="1" ref="U7" ca="1">INDIRECT("'[SA_results" &amp; $C7 &amp; ".xlsx]Running_Time'!$A$2")</f>
        <v>#REF!</v>
      </c>
      <c r="V7" s="5" t="e">
        <f t="shared" ca="1" si="2"/>
        <v>#REF!</v>
      </c>
      <c r="W7" s="23" t="e" cm="1">
        <f t="array" aca="1" ref="W7" ca="1">INDIRECT("'[SA_results" &amp; $C7 &amp; ".xlsx]Acceptance_Rate'!$A$2")</f>
        <v>#REF!</v>
      </c>
      <c r="X7" s="33" t="e" cm="1">
        <f t="array" aca="1" ref="X7" ca="1">SUM(INDIRECT("'[SA_results" &amp; $C7 &amp; ".xlsx]Best_Job_Tardiness'!$B:$B"))/($D$2-INDIRECT("'[SA_results" &amp; $C7 &amp; ".xlsx]Total_Rejected_Jobs'!$A$2"))</f>
        <v>#REF!</v>
      </c>
      <c r="Y7" s="23" t="str">
        <f ca="1">IFERROR(AVERAGE(INDIRECT("'[SA_results" &amp; $C7 &amp; ".xlsx]Best_Batch_Utilization'!C:C")),"")</f>
        <v/>
      </c>
      <c r="Z7" s="5" t="e" cm="1">
        <f t="array" aca="1" ref="Z7" ca="1">SUM(INDIRECT("'[SA_results" &amp; $C7 &amp; ".xlsx]Best_Job_Completion_Time'!$B:$B"))/($D$2-INDIRECT("'[SA_results" &amp; $C7 &amp; ".xlsx]Total_Rejected_Jobs'!$A$2"))</f>
        <v>#REF!</v>
      </c>
      <c r="AA7" s="35"/>
    </row>
    <row r="8" spans="2:27" x14ac:dyDescent="0.2">
      <c r="B8" s="4">
        <v>5</v>
      </c>
      <c r="C8" s="4">
        <v>232</v>
      </c>
      <c r="D8" s="23">
        <v>1269617.101655937</v>
      </c>
      <c r="E8" s="33">
        <v>176.94212353842045</v>
      </c>
      <c r="F8" s="5">
        <v>15</v>
      </c>
      <c r="G8" s="23">
        <v>97.333333333333329</v>
      </c>
      <c r="H8" s="33">
        <v>886.87303099481744</v>
      </c>
      <c r="I8" s="23">
        <v>42.143685035860436</v>
      </c>
      <c r="J8" s="5">
        <v>6045.4754456061328</v>
      </c>
      <c r="K8" s="31"/>
      <c r="L8" s="23" t="e" cm="1">
        <f t="array" aca="1" ref="L8" ca="1">INDIRECT("'[SA_results" &amp; $C8 &amp; ".xlsx]Best_Objective'!$A$2")</f>
        <v>#REF!</v>
      </c>
      <c r="M8" s="33" t="e" cm="1">
        <f t="array" aca="1" ref="M8" ca="1">INDIRECT("'[SA_results" &amp; $C8 &amp; ".xlsx]Running_Time'!$A$2")</f>
        <v>#REF!</v>
      </c>
      <c r="N8" s="5" t="e">
        <f t="shared" ca="1" si="0"/>
        <v>#REF!</v>
      </c>
      <c r="O8" s="23" t="e" cm="1">
        <f t="array" aca="1" ref="O8" ca="1">INDIRECT("'[SA_results" &amp; $C8 &amp; ".xlsx]Acceptance_Rate'!$A$2")</f>
        <v>#REF!</v>
      </c>
      <c r="P8" s="33" t="e" cm="1">
        <f t="array" aca="1" ref="P8" ca="1">SUM(INDIRECT("'[SA_results" &amp; $C8 &amp; ".xlsx]Best_Job_Tardiness'!$B:$B"))/($D$2-INDIRECT("'[SA_results" &amp; $C8 &amp; ".xlsx]Total_Rejected_Jobs'!$A$2"))</f>
        <v>#REF!</v>
      </c>
      <c r="Q8" s="23" t="str">
        <f t="shared" ref="Q8:Q13" ca="1" si="4">IFERROR(AVERAGE(INDIRECT("'[SA_results" &amp; $C8 &amp; ".xlsx]Best_Batch_Utilization'!C:C")),"")</f>
        <v/>
      </c>
      <c r="R8" s="5" t="e" cm="1">
        <f t="array" aca="1" ref="R8" ca="1">SUM(INDIRECT("'[SA_results" &amp; $C8 &amp; ".xlsx]Best_Job_Completion_Time'!$B:$B"))/($D$2-INDIRECT("'[SA_results" &amp; $C8 &amp; ".xlsx]Total_Rejected_Jobs'!$A$2"))</f>
        <v>#REF!</v>
      </c>
      <c r="S8" s="35"/>
      <c r="T8" s="23" t="e" cm="1">
        <f t="array" aca="1" ref="T8" ca="1">INDIRECT("'[SA_results" &amp; $C8 &amp; ".xlsx]Best_Objective'!$A$2")</f>
        <v>#REF!</v>
      </c>
      <c r="U8" s="33" t="e" cm="1">
        <f t="array" aca="1" ref="U8" ca="1">INDIRECT("'[SA_results" &amp; $C8 &amp; ".xlsx]Running_Time'!$A$2")</f>
        <v>#REF!</v>
      </c>
      <c r="V8" s="5" t="e">
        <f t="shared" ca="1" si="2"/>
        <v>#REF!</v>
      </c>
      <c r="W8" s="23" t="e" cm="1">
        <f t="array" aca="1" ref="W8" ca="1">INDIRECT("'[SA_results" &amp; $C8 &amp; ".xlsx]Acceptance_Rate'!$A$2")</f>
        <v>#REF!</v>
      </c>
      <c r="X8" s="33" t="e" cm="1">
        <f t="array" aca="1" ref="X8" ca="1">SUM(INDIRECT("'[SA_results" &amp; $C8 &amp; ".xlsx]Best_Job_Tardiness'!$B:$B"))/($D$2-INDIRECT("'[SA_results" &amp; $C8 &amp; ".xlsx]Total_Rejected_Jobs'!$A$2"))</f>
        <v>#REF!</v>
      </c>
      <c r="Y8" s="23" t="str">
        <f t="shared" ref="Y8:Y13" ca="1" si="5">IFERROR(AVERAGE(INDIRECT("'[SA_results" &amp; $C8 &amp; ".xlsx]Best_Batch_Utilization'!C:C")),"")</f>
        <v/>
      </c>
      <c r="Z8" s="5" t="e" cm="1">
        <f t="array" aca="1" ref="Z8" ca="1">SUM(INDIRECT("'[SA_results" &amp; $C8 &amp; ".xlsx]Best_Job_Completion_Time'!$B:$B"))/($D$2-INDIRECT("'[SA_results" &amp; $C8 &amp; ".xlsx]Total_Rejected_Jobs'!$A$2"))</f>
        <v>#REF!</v>
      </c>
      <c r="AA8" s="35"/>
    </row>
    <row r="9" spans="2:27" x14ac:dyDescent="0.2">
      <c r="B9" s="4">
        <v>6</v>
      </c>
      <c r="C9" s="4">
        <v>234</v>
      </c>
      <c r="D9" s="23">
        <v>1171722.7209426111</v>
      </c>
      <c r="E9" s="33">
        <v>274.61161923075383</v>
      </c>
      <c r="F9" s="5">
        <v>16</v>
      </c>
      <c r="G9" s="23">
        <v>97.333333333333329</v>
      </c>
      <c r="H9" s="33">
        <v>552.87315230917284</v>
      </c>
      <c r="I9" s="23">
        <v>39.68895058554655</v>
      </c>
      <c r="J9" s="5">
        <v>5498.4921850503042</v>
      </c>
      <c r="K9" s="31"/>
      <c r="L9" s="23" t="e" cm="1">
        <f t="array" aca="1" ref="L9" ca="1">INDIRECT("'[SA_results" &amp; $C9 &amp; ".xlsx]Best_Objective'!$A$2")</f>
        <v>#REF!</v>
      </c>
      <c r="M9" s="33" t="e" cm="1">
        <f t="array" aca="1" ref="M9" ca="1">INDIRECT("'[SA_results" &amp; $C9 &amp; ".xlsx]Running_Time'!$A$2")</f>
        <v>#REF!</v>
      </c>
      <c r="N9" s="5" t="e">
        <f t="shared" ca="1" si="0"/>
        <v>#REF!</v>
      </c>
      <c r="O9" s="23" t="e" cm="1">
        <f t="array" aca="1" ref="O9" ca="1">INDIRECT("'[SA_results" &amp; $C9 &amp; ".xlsx]Acceptance_Rate'!$A$2")</f>
        <v>#REF!</v>
      </c>
      <c r="P9" s="33" t="e" cm="1">
        <f t="array" aca="1" ref="P9" ca="1">SUM(INDIRECT("'[SA_results" &amp; $C9 &amp; ".xlsx]Best_Job_Tardiness'!$B:$B"))/($D$2-INDIRECT("'[SA_results" &amp; $C9 &amp; ".xlsx]Total_Rejected_Jobs'!$A$2"))</f>
        <v>#REF!</v>
      </c>
      <c r="Q9" s="23" t="str">
        <f t="shared" ca="1" si="4"/>
        <v/>
      </c>
      <c r="R9" s="5" t="e" cm="1">
        <f t="array" aca="1" ref="R9" ca="1">SUM(INDIRECT("'[SA_results" &amp; $C9 &amp; ".xlsx]Best_Job_Completion_Time'!$B:$B"))/($D$2-INDIRECT("'[SA_results" &amp; $C9 &amp; ".xlsx]Total_Rejected_Jobs'!$A$2"))</f>
        <v>#REF!</v>
      </c>
      <c r="S9" s="35"/>
      <c r="T9" s="23" t="e" cm="1">
        <f t="array" aca="1" ref="T9" ca="1">INDIRECT("'[SA_results" &amp; $C9 &amp; ".xlsx]Best_Objective'!$A$2")</f>
        <v>#REF!</v>
      </c>
      <c r="U9" s="33" t="e" cm="1">
        <f t="array" aca="1" ref="U9" ca="1">INDIRECT("'[SA_results" &amp; $C9 &amp; ".xlsx]Running_Time'!$A$2")</f>
        <v>#REF!</v>
      </c>
      <c r="V9" s="5" t="e">
        <f t="shared" ca="1" si="2"/>
        <v>#REF!</v>
      </c>
      <c r="W9" s="23" t="e" cm="1">
        <f t="array" aca="1" ref="W9" ca="1">INDIRECT("'[SA_results" &amp; $C9 &amp; ".xlsx]Acceptance_Rate'!$A$2")</f>
        <v>#REF!</v>
      </c>
      <c r="X9" s="33" t="e" cm="1">
        <f t="array" aca="1" ref="X9" ca="1">SUM(INDIRECT("'[SA_results" &amp; $C9 &amp; ".xlsx]Best_Job_Tardiness'!$B:$B"))/($D$2-INDIRECT("'[SA_results" &amp; $C9 &amp; ".xlsx]Total_Rejected_Jobs'!$A$2"))</f>
        <v>#REF!</v>
      </c>
      <c r="Y9" s="23" t="str">
        <f t="shared" ca="1" si="5"/>
        <v/>
      </c>
      <c r="Z9" s="5" t="e" cm="1">
        <f t="array" aca="1" ref="Z9" ca="1">SUM(INDIRECT("'[SA_results" &amp; $C9 &amp; ".xlsx]Best_Job_Completion_Time'!$B:$B"))/($D$2-INDIRECT("'[SA_results" &amp; $C9 &amp; ".xlsx]Total_Rejected_Jobs'!$A$2"))</f>
        <v>#REF!</v>
      </c>
      <c r="AA9" s="35"/>
    </row>
    <row r="10" spans="2:27" x14ac:dyDescent="0.2">
      <c r="B10" s="4">
        <v>7</v>
      </c>
      <c r="C10" s="4">
        <v>385</v>
      </c>
      <c r="D10" s="23">
        <v>1199176.476264515</v>
      </c>
      <c r="E10" s="33">
        <v>210.84975484615339</v>
      </c>
      <c r="F10" s="5">
        <v>15</v>
      </c>
      <c r="G10" s="23">
        <v>97.333333333333329</v>
      </c>
      <c r="H10" s="33">
        <v>684.88362185811638</v>
      </c>
      <c r="I10" s="23">
        <v>42.229938727119269</v>
      </c>
      <c r="J10" s="5">
        <v>5700.5202672705091</v>
      </c>
      <c r="K10" s="31"/>
      <c r="L10" s="23" t="e" cm="1">
        <f t="array" aca="1" ref="L10" ca="1">INDIRECT("'[SA_results" &amp; $C10 &amp; ".xlsx]Best_Objective'!$A$2")</f>
        <v>#REF!</v>
      </c>
      <c r="M10" s="33" t="e" cm="1">
        <f t="array" aca="1" ref="M10" ca="1">INDIRECT("'[SA_results" &amp; $C10 &amp; ".xlsx]Running_Time'!$A$2")</f>
        <v>#REF!</v>
      </c>
      <c r="N10" s="5" t="e">
        <f t="shared" ca="1" si="0"/>
        <v>#REF!</v>
      </c>
      <c r="O10" s="23" t="e" cm="1">
        <f t="array" aca="1" ref="O10" ca="1">INDIRECT("'[SA_results" &amp; $C10 &amp; ".xlsx]Acceptance_Rate'!$A$2")</f>
        <v>#REF!</v>
      </c>
      <c r="P10" s="33" t="e" cm="1">
        <f t="array" aca="1" ref="P10" ca="1">SUM(INDIRECT("'[SA_results" &amp; $C10 &amp; ".xlsx]Best_Job_Tardiness'!$B:$B"))/($D$2-INDIRECT("'[SA_results" &amp; $C10 &amp; ".xlsx]Total_Rejected_Jobs'!$A$2"))</f>
        <v>#REF!</v>
      </c>
      <c r="Q10" s="23" t="str">
        <f t="shared" ca="1" si="4"/>
        <v/>
      </c>
      <c r="R10" s="5" t="e" cm="1">
        <f t="array" aca="1" ref="R10" ca="1">SUM(INDIRECT("'[SA_results" &amp; $C10 &amp; ".xlsx]Best_Job_Completion_Time'!$B:$B"))/($D$2-INDIRECT("'[SA_results" &amp; $C10 &amp; ".xlsx]Total_Rejected_Jobs'!$A$2"))</f>
        <v>#REF!</v>
      </c>
      <c r="S10" s="35"/>
      <c r="T10" s="23" t="e" cm="1">
        <f t="array" aca="1" ref="T10" ca="1">INDIRECT("'[SA_results" &amp; $C10 &amp; ".xlsx]Best_Objective'!$A$2")</f>
        <v>#REF!</v>
      </c>
      <c r="U10" s="33" t="e" cm="1">
        <f t="array" aca="1" ref="U10" ca="1">INDIRECT("'[SA_results" &amp; $C10 &amp; ".xlsx]Running_Time'!$A$2")</f>
        <v>#REF!</v>
      </c>
      <c r="V10" s="5" t="e">
        <f t="shared" ca="1" si="2"/>
        <v>#REF!</v>
      </c>
      <c r="W10" s="23" t="e" cm="1">
        <f t="array" aca="1" ref="W10" ca="1">INDIRECT("'[SA_results" &amp; $C10 &amp; ".xlsx]Acceptance_Rate'!$A$2")</f>
        <v>#REF!</v>
      </c>
      <c r="X10" s="33" t="e" cm="1">
        <f t="array" aca="1" ref="X10" ca="1">SUM(INDIRECT("'[SA_results" &amp; $C10 &amp; ".xlsx]Best_Job_Tardiness'!$B:$B"))/($D$2-INDIRECT("'[SA_results" &amp; $C10 &amp; ".xlsx]Total_Rejected_Jobs'!$A$2"))</f>
        <v>#REF!</v>
      </c>
      <c r="Y10" s="23" t="str">
        <f t="shared" ca="1" si="5"/>
        <v/>
      </c>
      <c r="Z10" s="5" t="e" cm="1">
        <f t="array" aca="1" ref="Z10" ca="1">SUM(INDIRECT("'[SA_results" &amp; $C10 &amp; ".xlsx]Best_Job_Completion_Time'!$B:$B"))/($D$2-INDIRECT("'[SA_results" &amp; $C10 &amp; ".xlsx]Total_Rejected_Jobs'!$A$2"))</f>
        <v>#REF!</v>
      </c>
      <c r="AA10" s="35"/>
    </row>
    <row r="11" spans="2:27" x14ac:dyDescent="0.2">
      <c r="B11" s="4">
        <v>8</v>
      </c>
      <c r="C11" s="4">
        <v>576</v>
      </c>
      <c r="D11" s="23">
        <v>1228006.3899969719</v>
      </c>
      <c r="E11" s="33">
        <v>263.00417484617077</v>
      </c>
      <c r="F11" s="5">
        <v>14</v>
      </c>
      <c r="G11" s="23">
        <v>96</v>
      </c>
      <c r="H11" s="33">
        <v>728.9454375853295</v>
      </c>
      <c r="I11" s="23">
        <v>43.905044641544769</v>
      </c>
      <c r="J11" s="5">
        <v>5806.2910518564559</v>
      </c>
      <c r="K11" s="31"/>
      <c r="L11" s="23" t="e" cm="1">
        <f t="array" aca="1" ref="L11" ca="1">INDIRECT("'[SA_results" &amp; $C11 &amp; ".xlsx]Best_Objective'!$A$2")</f>
        <v>#REF!</v>
      </c>
      <c r="M11" s="33" t="e" cm="1">
        <f t="array" aca="1" ref="M11" ca="1">INDIRECT("'[SA_results" &amp; $C11 &amp; ".xlsx]Running_Time'!$A$2")</f>
        <v>#REF!</v>
      </c>
      <c r="N11" s="5" t="e">
        <f t="shared" ca="1" si="0"/>
        <v>#REF!</v>
      </c>
      <c r="O11" s="23" t="e" cm="1">
        <f t="array" aca="1" ref="O11" ca="1">INDIRECT("'[SA_results" &amp; $C11 &amp; ".xlsx]Acceptance_Rate'!$A$2")</f>
        <v>#REF!</v>
      </c>
      <c r="P11" s="33" t="e" cm="1">
        <f t="array" aca="1" ref="P11" ca="1">SUM(INDIRECT("'[SA_results" &amp; $C11 &amp; ".xlsx]Best_Job_Tardiness'!$B:$B"))/($D$2-INDIRECT("'[SA_results" &amp; $C11 &amp; ".xlsx]Total_Rejected_Jobs'!$A$2"))</f>
        <v>#REF!</v>
      </c>
      <c r="Q11" s="23" t="str">
        <f t="shared" ca="1" si="4"/>
        <v/>
      </c>
      <c r="R11" s="5" t="e" cm="1">
        <f t="array" aca="1" ref="R11" ca="1">SUM(INDIRECT("'[SA_results" &amp; $C11 &amp; ".xlsx]Best_Job_Completion_Time'!$B:$B"))/($D$2-INDIRECT("'[SA_results" &amp; $C11 &amp; ".xlsx]Total_Rejected_Jobs'!$A$2"))</f>
        <v>#REF!</v>
      </c>
      <c r="S11" s="35"/>
      <c r="T11" s="23" t="e" cm="1">
        <f t="array" aca="1" ref="T11" ca="1">INDIRECT("'[SA_results" &amp; $C11 &amp; ".xlsx]Best_Objective'!$A$2")</f>
        <v>#REF!</v>
      </c>
      <c r="U11" s="33" t="e" cm="1">
        <f t="array" aca="1" ref="U11" ca="1">INDIRECT("'[SA_results" &amp; $C11 &amp; ".xlsx]Running_Time'!$A$2")</f>
        <v>#REF!</v>
      </c>
      <c r="V11" s="5" t="e">
        <f t="shared" ca="1" si="2"/>
        <v>#REF!</v>
      </c>
      <c r="W11" s="23" t="e" cm="1">
        <f t="array" aca="1" ref="W11" ca="1">INDIRECT("'[SA_results" &amp; $C11 &amp; ".xlsx]Acceptance_Rate'!$A$2")</f>
        <v>#REF!</v>
      </c>
      <c r="X11" s="33" t="e" cm="1">
        <f t="array" aca="1" ref="X11" ca="1">SUM(INDIRECT("'[SA_results" &amp; $C11 &amp; ".xlsx]Best_Job_Tardiness'!$B:$B"))/($D$2-INDIRECT("'[SA_results" &amp; $C11 &amp; ".xlsx]Total_Rejected_Jobs'!$A$2"))</f>
        <v>#REF!</v>
      </c>
      <c r="Y11" s="23" t="str">
        <f t="shared" ca="1" si="5"/>
        <v/>
      </c>
      <c r="Z11" s="5" t="e" cm="1">
        <f t="array" aca="1" ref="Z11" ca="1">SUM(INDIRECT("'[SA_results" &amp; $C11 &amp; ".xlsx]Best_Job_Completion_Time'!$B:$B"))/($D$2-INDIRECT("'[SA_results" &amp; $C11 &amp; ".xlsx]Total_Rejected_Jobs'!$A$2"))</f>
        <v>#REF!</v>
      </c>
      <c r="AA11" s="35"/>
    </row>
    <row r="12" spans="2:27" x14ac:dyDescent="0.2">
      <c r="B12" s="4">
        <v>9</v>
      </c>
      <c r="C12" s="4">
        <v>594</v>
      </c>
      <c r="D12" s="23">
        <v>1185839.3651102521</v>
      </c>
      <c r="E12" s="33">
        <v>262.34278969224897</v>
      </c>
      <c r="F12" s="5">
        <v>15</v>
      </c>
      <c r="G12" s="23">
        <v>96.666666666666671</v>
      </c>
      <c r="H12" s="33">
        <v>633.10958565160763</v>
      </c>
      <c r="I12" s="23">
        <v>42.066728622129048</v>
      </c>
      <c r="J12" s="5">
        <v>5564.7176633644267</v>
      </c>
      <c r="K12" s="31"/>
      <c r="L12" s="23" t="e" cm="1">
        <f t="array" aca="1" ref="L12" ca="1">INDIRECT("'[SA_results" &amp; $C12 &amp; ".xlsx]Best_Objective'!$A$2")</f>
        <v>#REF!</v>
      </c>
      <c r="M12" s="33" t="e" cm="1">
        <f t="array" aca="1" ref="M12" ca="1">INDIRECT("'[SA_results" &amp; $C12 &amp; ".xlsx]Running_Time'!$A$2")</f>
        <v>#REF!</v>
      </c>
      <c r="N12" s="5" t="e">
        <f t="shared" ca="1" si="0"/>
        <v>#REF!</v>
      </c>
      <c r="O12" s="23" t="e" cm="1">
        <f t="array" aca="1" ref="O12" ca="1">INDIRECT("'[SA_results" &amp; $C12 &amp; ".xlsx]Acceptance_Rate'!$A$2")</f>
        <v>#REF!</v>
      </c>
      <c r="P12" s="33" t="e" cm="1">
        <f t="array" aca="1" ref="P12" ca="1">SUM(INDIRECT("'[SA_results" &amp; $C12 &amp; ".xlsx]Best_Job_Tardiness'!$B:$B"))/($D$2-INDIRECT("'[SA_results" &amp; $C12 &amp; ".xlsx]Total_Rejected_Jobs'!$A$2"))</f>
        <v>#REF!</v>
      </c>
      <c r="Q12" s="23" t="str">
        <f t="shared" ca="1" si="4"/>
        <v/>
      </c>
      <c r="R12" s="5" t="e" cm="1">
        <f t="array" aca="1" ref="R12" ca="1">SUM(INDIRECT("'[SA_results" &amp; $C12 &amp; ".xlsx]Best_Job_Completion_Time'!$B:$B"))/($D$2-INDIRECT("'[SA_results" &amp; $C12 &amp; ".xlsx]Total_Rejected_Jobs'!$A$2"))</f>
        <v>#REF!</v>
      </c>
      <c r="S12" s="35"/>
      <c r="T12" s="23" t="e" cm="1">
        <f t="array" aca="1" ref="T12" ca="1">INDIRECT("'[SA_results" &amp; $C12 &amp; ".xlsx]Best_Objective'!$A$2")</f>
        <v>#REF!</v>
      </c>
      <c r="U12" s="33" t="e" cm="1">
        <f t="array" aca="1" ref="U12" ca="1">INDIRECT("'[SA_results" &amp; $C12 &amp; ".xlsx]Running_Time'!$A$2")</f>
        <v>#REF!</v>
      </c>
      <c r="V12" s="5" t="e">
        <f t="shared" ca="1" si="2"/>
        <v>#REF!</v>
      </c>
      <c r="W12" s="23" t="e" cm="1">
        <f t="array" aca="1" ref="W12" ca="1">INDIRECT("'[SA_results" &amp; $C12 &amp; ".xlsx]Acceptance_Rate'!$A$2")</f>
        <v>#REF!</v>
      </c>
      <c r="X12" s="33" t="e" cm="1">
        <f t="array" aca="1" ref="X12" ca="1">SUM(INDIRECT("'[SA_results" &amp; $C12 &amp; ".xlsx]Best_Job_Tardiness'!$B:$B"))/($D$2-INDIRECT("'[SA_results" &amp; $C12 &amp; ".xlsx]Total_Rejected_Jobs'!$A$2"))</f>
        <v>#REF!</v>
      </c>
      <c r="Y12" s="23" t="str">
        <f t="shared" ca="1" si="5"/>
        <v/>
      </c>
      <c r="Z12" s="5" t="e" cm="1">
        <f t="array" aca="1" ref="Z12" ca="1">SUM(INDIRECT("'[SA_results" &amp; $C12 &amp; ".xlsx]Best_Job_Completion_Time'!$B:$B"))/($D$2-INDIRECT("'[SA_results" &amp; $C12 &amp; ".xlsx]Total_Rejected_Jobs'!$A$2"))</f>
        <v>#REF!</v>
      </c>
      <c r="AA12" s="35"/>
    </row>
    <row r="13" spans="2:27" x14ac:dyDescent="0.2">
      <c r="B13" s="4">
        <v>10</v>
      </c>
      <c r="C13" s="4">
        <v>912</v>
      </c>
      <c r="D13" s="23">
        <v>1261692.9026187391</v>
      </c>
      <c r="E13" s="33">
        <v>118.11249299995747</v>
      </c>
      <c r="F13" s="5">
        <v>16</v>
      </c>
      <c r="G13" s="23">
        <v>96.666666666666671</v>
      </c>
      <c r="H13" s="33">
        <v>807.19655192424</v>
      </c>
      <c r="I13" s="23">
        <v>40.074748015964047</v>
      </c>
      <c r="J13" s="5">
        <v>5813.0611014275755</v>
      </c>
      <c r="K13" s="31"/>
      <c r="L13" s="23" t="e" cm="1">
        <f t="array" aca="1" ref="L13" ca="1">INDIRECT("'[SA_results" &amp; $C13 &amp; ".xlsx]Best_Objective'!$A$2")</f>
        <v>#REF!</v>
      </c>
      <c r="M13" s="33" t="e" cm="1">
        <f t="array" aca="1" ref="M13" ca="1">INDIRECT("'[SA_results" &amp; $C13 &amp; ".xlsx]Running_Time'!$A$2")</f>
        <v>#REF!</v>
      </c>
      <c r="N13" s="5" t="e">
        <f t="shared" ca="1" si="0"/>
        <v>#REF!</v>
      </c>
      <c r="O13" s="23" t="e" cm="1">
        <f t="array" aca="1" ref="O13" ca="1">INDIRECT("'[SA_results" &amp; $C13 &amp; ".xlsx]Acceptance_Rate'!$A$2")</f>
        <v>#REF!</v>
      </c>
      <c r="P13" s="33" t="e" cm="1">
        <f t="array" aca="1" ref="P13" ca="1">SUM(INDIRECT("'[SA_results" &amp; $C13 &amp; ".xlsx]Best_Job_Tardiness'!$B:$B"))/($D$2-INDIRECT("'[SA_results" &amp; $C13 &amp; ".xlsx]Total_Rejected_Jobs'!$A$2"))</f>
        <v>#REF!</v>
      </c>
      <c r="Q13" s="23" t="str">
        <f t="shared" ca="1" si="4"/>
        <v/>
      </c>
      <c r="R13" s="5" t="e" cm="1">
        <f t="array" aca="1" ref="R13" ca="1">SUM(INDIRECT("'[SA_results" &amp; $C13 &amp; ".xlsx]Best_Job_Completion_Time'!$B:$B"))/($D$2-INDIRECT("'[SA_results" &amp; $C13 &amp; ".xlsx]Total_Rejected_Jobs'!$A$2"))</f>
        <v>#REF!</v>
      </c>
      <c r="S13" s="35"/>
      <c r="T13" s="23" t="e" cm="1">
        <f t="array" aca="1" ref="T13" ca="1">INDIRECT("'[SA_results" &amp; $C13 &amp; ".xlsx]Best_Objective'!$A$2")</f>
        <v>#REF!</v>
      </c>
      <c r="U13" s="33" t="e" cm="1">
        <f t="array" aca="1" ref="U13" ca="1">INDIRECT("'[SA_results" &amp; $C13 &amp; ".xlsx]Running_Time'!$A$2")</f>
        <v>#REF!</v>
      </c>
      <c r="V13" s="5" t="e">
        <f t="shared" ca="1" si="2"/>
        <v>#REF!</v>
      </c>
      <c r="W13" s="23" t="e" cm="1">
        <f t="array" aca="1" ref="W13" ca="1">INDIRECT("'[SA_results" &amp; $C13 &amp; ".xlsx]Acceptance_Rate'!$A$2")</f>
        <v>#REF!</v>
      </c>
      <c r="X13" s="33" t="e" cm="1">
        <f t="array" aca="1" ref="X13" ca="1">SUM(INDIRECT("'[SA_results" &amp; $C13 &amp; ".xlsx]Best_Job_Tardiness'!$B:$B"))/($D$2-INDIRECT("'[SA_results" &amp; $C13 &amp; ".xlsx]Total_Rejected_Jobs'!$A$2"))</f>
        <v>#REF!</v>
      </c>
      <c r="Y13" s="23" t="str">
        <f t="shared" ca="1" si="5"/>
        <v/>
      </c>
      <c r="Z13" s="5" t="e" cm="1">
        <f t="array" aca="1" ref="Z13" ca="1">SUM(INDIRECT("'[SA_results" &amp; $C13 &amp; ".xlsx]Best_Job_Completion_Time'!$B:$B"))/($D$2-INDIRECT("'[SA_results" &amp; $C13 &amp; ".xlsx]Total_Rejected_Jobs'!$A$2"))</f>
        <v>#REF!</v>
      </c>
      <c r="AA13" s="35"/>
    </row>
    <row r="14" spans="2:27" x14ac:dyDescent="0.2">
      <c r="B14" s="49" t="s">
        <v>3</v>
      </c>
      <c r="C14" s="50"/>
      <c r="D14" s="9">
        <f>MIN(D4:D13)</f>
        <v>1171722.7209426111</v>
      </c>
      <c r="E14" s="22">
        <f>INDEX(E4:E13, MATCH($D$14, D4:D13, 0))</f>
        <v>274.61161923075383</v>
      </c>
      <c r="F14" s="9">
        <f>INDEX(F4:F13, MATCH($D$14, D4:D13, 0))</f>
        <v>16</v>
      </c>
      <c r="G14" s="9">
        <f>INDEX(G4:G13, MATCH($D$14, D4:D13, 0))</f>
        <v>97.333333333333329</v>
      </c>
      <c r="H14" s="22">
        <f>INDEX(H4:H13, MATCH($D$14, D4:D13, 0))</f>
        <v>552.87315230917284</v>
      </c>
      <c r="I14" s="22">
        <f>INDEX(I4:I13, MATCH($D$14, D4:D13, 0))</f>
        <v>39.68895058554655</v>
      </c>
      <c r="J14" s="22">
        <f>INDEX(J4:J13, MATCH($D$14, D4:D13, 0))</f>
        <v>5498.4921850503042</v>
      </c>
      <c r="K14" s="32" t="e">
        <f>(D14-$D$15)/$D$15</f>
        <v>#DIV/0!</v>
      </c>
      <c r="L14" s="16" t="e">
        <f ca="1">MIN(L4:L13)</f>
        <v>#REF!</v>
      </c>
      <c r="M14" s="21" t="e">
        <f ca="1">INDEX(M4:M13, MATCH($L$14, L4:L13, 0))</f>
        <v>#REF!</v>
      </c>
      <c r="N14" s="16" t="e">
        <f ca="1">INDEX(N4:N13, MATCH($L$14, L4:L13, 0))</f>
        <v>#REF!</v>
      </c>
      <c r="O14" s="16" t="e">
        <f ca="1">INDEX(O4:O13, MATCH($L$14, L4:L13, 0))</f>
        <v>#REF!</v>
      </c>
      <c r="P14" s="21" t="e">
        <f ca="1">INDEX(P4:P13, MATCH($L$14, L4:L13, 0))</f>
        <v>#REF!</v>
      </c>
      <c r="Q14" s="21" t="e">
        <f ca="1">INDEX(Q4:Q13, MATCH($L$14, L4:L13, 0))</f>
        <v>#REF!</v>
      </c>
      <c r="R14" s="21" t="e">
        <f ca="1">INDEX(R4:R13, MATCH($L$14, L4:L13, 0))</f>
        <v>#REF!</v>
      </c>
      <c r="S14" s="36" t="e">
        <f ca="1">(L14-$D$15)/$D$15</f>
        <v>#REF!</v>
      </c>
      <c r="T14" s="38" t="e">
        <f ca="1">MIN(T4:T13)</f>
        <v>#REF!</v>
      </c>
      <c r="U14" s="39" t="e">
        <f ca="1">INDEX(U4:U13, MATCH($T$14, T4:T13, 0))</f>
        <v>#REF!</v>
      </c>
      <c r="V14" s="38" t="e">
        <f ca="1">INDEX(V4:V13, MATCH($T$14, T4:T13, 0))</f>
        <v>#REF!</v>
      </c>
      <c r="W14" s="38" t="e">
        <f ca="1">INDEX(W4:W13, MATCH($T$14, T4:T13, 0))</f>
        <v>#REF!</v>
      </c>
      <c r="X14" s="39" t="e">
        <f ca="1">INDEX(X4:X13, MATCH($T$14, T4:T13, 0))</f>
        <v>#REF!</v>
      </c>
      <c r="Y14" s="39" t="e">
        <f ca="1">INDEX(Y4:Y13, MATCH($T$14, T4:T13, 0))</f>
        <v>#REF!</v>
      </c>
      <c r="Z14" s="39" t="e">
        <f ca="1">INDEX(Z4:Z13, MATCH($T$14, T4:T13, 0))</f>
        <v>#REF!</v>
      </c>
      <c r="AA14" s="40" t="e">
        <f ca="1">(T14-$D$15)/$D$15</f>
        <v>#REF!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 t="e">
        <f ca="1">(L14-D14)/D14</f>
        <v>#REF!</v>
      </c>
      <c r="M15" s="41" t="e">
        <f t="shared" ref="M15:R15" ca="1" si="6">(M14-E14)/E14</f>
        <v>#REF!</v>
      </c>
      <c r="N15" s="41" t="e">
        <f t="shared" ca="1" si="6"/>
        <v>#REF!</v>
      </c>
      <c r="O15" s="41" t="e">
        <f t="shared" ca="1" si="6"/>
        <v>#REF!</v>
      </c>
      <c r="P15" s="41" t="e">
        <f t="shared" ca="1" si="6"/>
        <v>#REF!</v>
      </c>
      <c r="Q15" s="41" t="e">
        <f t="shared" ca="1" si="6"/>
        <v>#REF!</v>
      </c>
      <c r="R15" s="41" t="e">
        <f t="shared" ca="1" si="6"/>
        <v>#REF!</v>
      </c>
      <c r="T15" s="41" t="e">
        <f ca="1">(T14-D14)/D14</f>
        <v>#REF!</v>
      </c>
      <c r="U15" s="41" t="e">
        <f t="shared" ref="U15:Z15" ca="1" si="7">(U14-E14)/E14</f>
        <v>#REF!</v>
      </c>
      <c r="V15" s="41" t="e">
        <f t="shared" ca="1" si="7"/>
        <v>#REF!</v>
      </c>
      <c r="W15" s="41" t="e">
        <f t="shared" ca="1" si="7"/>
        <v>#REF!</v>
      </c>
      <c r="X15" s="41" t="e">
        <f t="shared" ca="1" si="7"/>
        <v>#REF!</v>
      </c>
      <c r="Y15" s="41" t="e">
        <f t="shared" ca="1" si="7"/>
        <v>#REF!</v>
      </c>
      <c r="Z15" s="41" t="e">
        <f t="shared" ca="1" si="7"/>
        <v>#REF!</v>
      </c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</sheetData>
  <mergeCells count="1">
    <mergeCell ref="B14:C14"/>
  </mergeCells>
  <conditionalFormatting sqref="C1 C16:C19 C3 C39:C1048576">
    <cfRule type="duplicateValues" dxfId="127" priority="11"/>
    <cfRule type="duplicateValues" dxfId="126" priority="12"/>
  </conditionalFormatting>
  <conditionalFormatting sqref="C2">
    <cfRule type="duplicateValues" dxfId="125" priority="3"/>
    <cfRule type="duplicateValues" dxfId="124" priority="4"/>
  </conditionalFormatting>
  <conditionalFormatting sqref="C4:C13">
    <cfRule type="duplicateValues" dxfId="123" priority="5"/>
    <cfRule type="duplicateValues" dxfId="122" priority="6"/>
  </conditionalFormatting>
  <conditionalFormatting sqref="C14">
    <cfRule type="duplicateValues" dxfId="121" priority="9"/>
    <cfRule type="duplicateValues" dxfId="120" priority="10"/>
  </conditionalFormatting>
  <conditionalFormatting sqref="C15">
    <cfRule type="duplicateValues" dxfId="119" priority="7"/>
    <cfRule type="duplicateValues" dxfId="118" priority="8"/>
  </conditionalFormatting>
  <conditionalFormatting sqref="C20:C38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0BAC-9010-4EB7-A509-C645931A7C55}">
  <dimension ref="B1:AA17"/>
  <sheetViews>
    <sheetView zoomScale="90" zoomScaleNormal="90" workbookViewId="0">
      <selection activeCell="E20" sqref="E20:E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 t="e">
        <f ca="1">(P14-H14)/H14</f>
        <v>#REF!</v>
      </c>
      <c r="R2" s="1" t="e">
        <f ca="1">(R14-J14)/J14</f>
        <v>#REF!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41</v>
      </c>
      <c r="D4" s="23">
        <v>1170325.1112011869</v>
      </c>
      <c r="E4" s="33">
        <v>164.01283223083462</v>
      </c>
      <c r="F4" s="5">
        <v>14</v>
      </c>
      <c r="G4" s="23">
        <v>94</v>
      </c>
      <c r="H4" s="33">
        <v>305.01396819264107</v>
      </c>
      <c r="I4" s="23">
        <v>37.38867361217094</v>
      </c>
      <c r="J4" s="5">
        <v>5359.7381602944406</v>
      </c>
      <c r="K4" s="31"/>
      <c r="L4" s="23" t="e" cm="1">
        <f t="array" aca="1" ref="L4" ca="1">INDIRECT("'[SA_results" &amp; $C4 &amp; ".xlsx]Best_Objective'!$A$2")</f>
        <v>#REF!</v>
      </c>
      <c r="M4" s="33" t="e" cm="1">
        <f t="array" aca="1" ref="M4" ca="1">INDIRECT("'[SA_results" &amp; $C4 &amp; ".xlsx]Running_Time'!$A$2")</f>
        <v>#REF!</v>
      </c>
      <c r="N4" s="5" t="e">
        <f ca="1">COUNTIF(INDIRECT("'[SA_results" &amp; $C4 &amp; ".xlsx]Best_Batch_Utilization'!C:C"),"&gt;0")</f>
        <v>#REF!</v>
      </c>
      <c r="O4" s="23" t="e" cm="1">
        <f t="array" aca="1" ref="O4" ca="1">INDIRECT("'[SA_results" &amp; $C4 &amp; ".xlsx]Acceptance_Rate'!$A$2")</f>
        <v>#REF!</v>
      </c>
      <c r="P4" s="33" t="e" cm="1">
        <f t="array" aca="1" ref="P4" ca="1">SUM(INDIRECT("'[SA_results" &amp; $C4 &amp; ".xlsx]Best_Job_Tardiness'!$B:$B"))/($D$2-INDIRECT("'[SA_results" &amp; $C4 &amp; ".xlsx]Total_Rejected_Jobs'!$A$2"))</f>
        <v>#REF!</v>
      </c>
      <c r="Q4" s="23" t="str">
        <f ca="1">IFERROR(AVERAGE(INDIRECT("'[SA_results" &amp; $C4 &amp; ".xlsx]Best_Batch_Utilization'!C:C")),"")</f>
        <v/>
      </c>
      <c r="R4" s="5" t="e" cm="1">
        <f t="array" aca="1" ref="R4" ca="1">SUM(INDIRECT("'[SA_results" &amp; $C4 &amp; ".xlsx]Best_Job_Completion_Time'!$B:$B"))/($D$2-INDIRECT("'[SA_results" &amp; $C4 &amp; ".xlsx]Total_Rejected_Jobs'!$A$2"))</f>
        <v>#REF!</v>
      </c>
      <c r="S4" s="35"/>
      <c r="T4" s="23" t="e" cm="1">
        <f t="array" aca="1" ref="T4" ca="1">INDIRECT("'[SA_results" &amp; $C4 &amp; ".xlsx]Best_Objective'!$A$2")</f>
        <v>#REF!</v>
      </c>
      <c r="U4" s="33" t="e" cm="1">
        <f t="array" aca="1" ref="U4" ca="1">INDIRECT("'[SA_results" &amp; $C4 &amp; ".xlsx]Running_Time'!$A$2")</f>
        <v>#REF!</v>
      </c>
      <c r="V4" s="5" t="e">
        <f ca="1">COUNTIF(INDIRECT("'[SA_results" &amp; $C4 &amp; ".xlsx]Best_Batch_Utilization'!C:C"),"&gt;0")</f>
        <v>#REF!</v>
      </c>
      <c r="W4" s="23" t="e" cm="1">
        <f t="array" aca="1" ref="W4" ca="1">INDIRECT("'[SA_results" &amp; $C4 &amp; ".xlsx]Acceptance_Rate'!$A$2")</f>
        <v>#REF!</v>
      </c>
      <c r="X4" s="33" t="e" cm="1">
        <f t="array" aca="1" ref="X4" ca="1">SUM(INDIRECT("'[SA_results" &amp; $C4 &amp; ".xlsx]Best_Job_Tardiness'!$B:$B"))/($D$2-INDIRECT("'[SA_results" &amp; $C4 &amp; ".xlsx]Total_Rejected_Jobs'!$A$2"))</f>
        <v>#REF!</v>
      </c>
      <c r="Y4" s="23" t="str">
        <f ca="1">IFERROR(AVERAGE(INDIRECT("'[SA_results" &amp; $C4 &amp; ".xlsx]Best_Batch_Utilization'!C:C")),"")</f>
        <v/>
      </c>
      <c r="Z4" s="5" t="e" cm="1">
        <f t="array" aca="1" ref="Z4" ca="1">SUM(INDIRECT("'[SA_results" &amp; $C4 &amp; ".xlsx]Best_Job_Completion_Time'!$B:$B"))/($D$2-INDIRECT("'[SA_results" &amp; $C4 &amp; ".xlsx]Total_Rejected_Jobs'!$A$2"))</f>
        <v>#REF!</v>
      </c>
      <c r="AA4" s="35"/>
    </row>
    <row r="5" spans="2:27" x14ac:dyDescent="0.2">
      <c r="B5" s="4">
        <v>2</v>
      </c>
      <c r="C5" s="4">
        <v>171</v>
      </c>
      <c r="D5" s="23">
        <v>1148316.5899994089</v>
      </c>
      <c r="E5" s="33">
        <v>126.27732507696446</v>
      </c>
      <c r="F5" s="5">
        <v>13</v>
      </c>
      <c r="G5" s="23">
        <v>94</v>
      </c>
      <c r="H5" s="33">
        <v>328.83944130422299</v>
      </c>
      <c r="I5" s="23">
        <v>41.467997513292097</v>
      </c>
      <c r="J5" s="5">
        <v>5347.5358915945953</v>
      </c>
      <c r="K5" s="31"/>
      <c r="L5" s="23" t="e" cm="1">
        <f t="array" aca="1" ref="L5" ca="1">INDIRECT("'[SA_results" &amp; $C5 &amp; ".xlsx]Best_Objective'!$A$2")</f>
        <v>#REF!</v>
      </c>
      <c r="M5" s="33" t="e" cm="1">
        <f t="array" aca="1" ref="M5" ca="1">INDIRECT("'[SA_results" &amp; $C5 &amp; ".xlsx]Running_Time'!$A$2")</f>
        <v>#REF!</v>
      </c>
      <c r="N5" s="5" t="e">
        <f t="shared" ref="N5:N13" ca="1" si="0">COUNTIF(INDIRECT("'[SA_results" &amp; $C5 &amp; ".xlsx]Best_Batch_Utilization'!C:C"),"&gt;0")</f>
        <v>#REF!</v>
      </c>
      <c r="O5" s="23" t="e" cm="1">
        <f t="array" aca="1" ref="O5" ca="1">INDIRECT("'[SA_results" &amp; $C5 &amp; ".xlsx]Acceptance_Rate'!$A$2")</f>
        <v>#REF!</v>
      </c>
      <c r="P5" s="33" t="e" cm="1">
        <f t="array" aca="1" ref="P5" ca="1">SUM(INDIRECT("'[SA_results" &amp; $C5 &amp; ".xlsx]Best_Job_Tardiness'!$B:$B"))/($D$2-INDIRECT("'[SA_results" &amp; $C5 &amp; ".xlsx]Total_Rejected_Jobs'!$A$2"))</f>
        <v>#REF!</v>
      </c>
      <c r="Q5" s="23" t="str">
        <f t="shared" ref="Q5:Q6" ca="1" si="1">IFERROR(AVERAGE(INDIRECT("'[SA_results" &amp; $C5 &amp; ".xlsx]Best_Batch_Utilization'!C:C")),"")</f>
        <v/>
      </c>
      <c r="R5" s="5" t="e" cm="1">
        <f t="array" aca="1" ref="R5" ca="1">SUM(INDIRECT("'[SA_results" &amp; $C5 &amp; ".xlsx]Best_Job_Completion_Time'!$B:$B"))/($D$2-INDIRECT("'[SA_results" &amp; $C5 &amp; ".xlsx]Total_Rejected_Jobs'!$A$2"))</f>
        <v>#REF!</v>
      </c>
      <c r="S5" s="35"/>
      <c r="T5" s="23" t="e" cm="1">
        <f t="array" aca="1" ref="T5" ca="1">INDIRECT("'[SA_results" &amp; $C5 &amp; ".xlsx]Best_Objective'!$A$2")</f>
        <v>#REF!</v>
      </c>
      <c r="U5" s="33" t="e" cm="1">
        <f t="array" aca="1" ref="U5" ca="1">INDIRECT("'[SA_results" &amp; $C5 &amp; ".xlsx]Running_Time'!$A$2")</f>
        <v>#REF!</v>
      </c>
      <c r="V5" s="5" t="e">
        <f t="shared" ref="V5:V13" ca="1" si="2">COUNTIF(INDIRECT("'[SA_results" &amp; $C5 &amp; ".xlsx]Best_Batch_Utilization'!C:C"),"&gt;0")</f>
        <v>#REF!</v>
      </c>
      <c r="W5" s="23" t="e" cm="1">
        <f t="array" aca="1" ref="W5" ca="1">INDIRECT("'[SA_results" &amp; $C5 &amp; ".xlsx]Acceptance_Rate'!$A$2")</f>
        <v>#REF!</v>
      </c>
      <c r="X5" s="33" t="e" cm="1">
        <f t="array" aca="1" ref="X5" ca="1">SUM(INDIRECT("'[SA_results" &amp; $C5 &amp; ".xlsx]Best_Job_Tardiness'!$B:$B"))/($D$2-INDIRECT("'[SA_results" &amp; $C5 &amp; ".xlsx]Total_Rejected_Jobs'!$A$2"))</f>
        <v>#REF!</v>
      </c>
      <c r="Y5" s="23" t="str">
        <f t="shared" ref="Y5:Y6" ca="1" si="3">IFERROR(AVERAGE(INDIRECT("'[SA_results" &amp; $C5 &amp; ".xlsx]Best_Batch_Utilization'!C:C")),"")</f>
        <v/>
      </c>
      <c r="Z5" s="5" t="e" cm="1">
        <f t="array" aca="1" ref="Z5" ca="1">SUM(INDIRECT("'[SA_results" &amp; $C5 &amp; ".xlsx]Best_Job_Completion_Time'!$B:$B"))/($D$2-INDIRECT("'[SA_results" &amp; $C5 &amp; ".xlsx]Total_Rejected_Jobs'!$A$2"))</f>
        <v>#REF!</v>
      </c>
      <c r="AA5" s="35"/>
    </row>
    <row r="6" spans="2:27" x14ac:dyDescent="0.2">
      <c r="B6" s="4">
        <v>3</v>
      </c>
      <c r="C6" s="4">
        <v>263</v>
      </c>
      <c r="D6" s="23">
        <v>1141726.937281823</v>
      </c>
      <c r="E6" s="33">
        <v>371.94766284620312</v>
      </c>
      <c r="F6" s="5">
        <v>14</v>
      </c>
      <c r="G6" s="23">
        <v>94</v>
      </c>
      <c r="H6" s="33">
        <v>284.12843424466513</v>
      </c>
      <c r="I6" s="23">
        <v>38.423322876589999</v>
      </c>
      <c r="J6" s="5">
        <v>5202.2457846926009</v>
      </c>
      <c r="K6" s="31"/>
      <c r="L6" s="23" t="e" cm="1">
        <f t="array" aca="1" ref="L6" ca="1">INDIRECT("'[SA_results" &amp; $C6 &amp; ".xlsx]Best_Objective'!$A$2")</f>
        <v>#REF!</v>
      </c>
      <c r="M6" s="33" t="e" cm="1">
        <f t="array" aca="1" ref="M6" ca="1">INDIRECT("'[SA_results" &amp; $C6 &amp; ".xlsx]Running_Time'!$A$2")</f>
        <v>#REF!</v>
      </c>
      <c r="N6" s="5" t="e">
        <f t="shared" ca="1" si="0"/>
        <v>#REF!</v>
      </c>
      <c r="O6" s="23" t="e" cm="1">
        <f t="array" aca="1" ref="O6" ca="1">INDIRECT("'[SA_results" &amp; $C6 &amp; ".xlsx]Acceptance_Rate'!$A$2")</f>
        <v>#REF!</v>
      </c>
      <c r="P6" s="33" t="e" cm="1">
        <f t="array" aca="1" ref="P6" ca="1">SUM(INDIRECT("'[SA_results" &amp; $C6 &amp; ".xlsx]Best_Job_Tardiness'!$B:$B"))/($D$2-INDIRECT("'[SA_results" &amp; $C6 &amp; ".xlsx]Total_Rejected_Jobs'!$A$2"))</f>
        <v>#REF!</v>
      </c>
      <c r="Q6" s="23" t="str">
        <f t="shared" ca="1" si="1"/>
        <v/>
      </c>
      <c r="R6" s="5" t="e" cm="1">
        <f t="array" aca="1" ref="R6" ca="1">SUM(INDIRECT("'[SA_results" &amp; $C6 &amp; ".xlsx]Best_Job_Completion_Time'!$B:$B"))/($D$2-INDIRECT("'[SA_results" &amp; $C6 &amp; ".xlsx]Total_Rejected_Jobs'!$A$2"))</f>
        <v>#REF!</v>
      </c>
      <c r="S6" s="35"/>
      <c r="T6" s="23" t="e" cm="1">
        <f t="array" aca="1" ref="T6" ca="1">INDIRECT("'[SA_results" &amp; $C6 &amp; ".xlsx]Best_Objective'!$A$2")</f>
        <v>#REF!</v>
      </c>
      <c r="U6" s="33" t="e" cm="1">
        <f t="array" aca="1" ref="U6" ca="1">INDIRECT("'[SA_results" &amp; $C6 &amp; ".xlsx]Running_Time'!$A$2")</f>
        <v>#REF!</v>
      </c>
      <c r="V6" s="5" t="e">
        <f t="shared" ca="1" si="2"/>
        <v>#REF!</v>
      </c>
      <c r="W6" s="23" t="e" cm="1">
        <f t="array" aca="1" ref="W6" ca="1">INDIRECT("'[SA_results" &amp; $C6 &amp; ".xlsx]Acceptance_Rate'!$A$2")</f>
        <v>#REF!</v>
      </c>
      <c r="X6" s="33" t="e" cm="1">
        <f t="array" aca="1" ref="X6" ca="1">SUM(INDIRECT("'[SA_results" &amp; $C6 &amp; ".xlsx]Best_Job_Tardiness'!$B:$B"))/($D$2-INDIRECT("'[SA_results" &amp; $C6 &amp; ".xlsx]Total_Rejected_Jobs'!$A$2"))</f>
        <v>#REF!</v>
      </c>
      <c r="Y6" s="23" t="str">
        <f t="shared" ca="1" si="3"/>
        <v/>
      </c>
      <c r="Z6" s="5" t="e" cm="1">
        <f t="array" aca="1" ref="Z6" ca="1">SUM(INDIRECT("'[SA_results" &amp; $C6 &amp; ".xlsx]Best_Job_Completion_Time'!$B:$B"))/($D$2-INDIRECT("'[SA_results" &amp; $C6 &amp; ".xlsx]Total_Rejected_Jobs'!$A$2"))</f>
        <v>#REF!</v>
      </c>
      <c r="AA6" s="35"/>
    </row>
    <row r="7" spans="2:27" x14ac:dyDescent="0.2">
      <c r="B7" s="4">
        <v>4</v>
      </c>
      <c r="C7" s="4">
        <v>299</v>
      </c>
      <c r="D7" s="23">
        <v>1145072.824623574</v>
      </c>
      <c r="E7" s="33">
        <v>307.01109215384344</v>
      </c>
      <c r="F7" s="5">
        <v>13</v>
      </c>
      <c r="G7" s="23">
        <v>94</v>
      </c>
      <c r="H7" s="33">
        <v>308.6668186090148</v>
      </c>
      <c r="I7" s="23">
        <v>41.432112602581164</v>
      </c>
      <c r="J7" s="5">
        <v>5340.9985116472035</v>
      </c>
      <c r="K7" s="31"/>
      <c r="L7" s="23" t="e" cm="1">
        <f t="array" aca="1" ref="L7" ca="1">INDIRECT("'[SA_results" &amp; $C7 &amp; ".xlsx]Best_Objective'!$A$2")</f>
        <v>#REF!</v>
      </c>
      <c r="M7" s="33" t="e" cm="1">
        <f t="array" aca="1" ref="M7" ca="1">INDIRECT("'[SA_results" &amp; $C7 &amp; ".xlsx]Running_Time'!$A$2")</f>
        <v>#REF!</v>
      </c>
      <c r="N7" s="5" t="e">
        <f t="shared" ca="1" si="0"/>
        <v>#REF!</v>
      </c>
      <c r="O7" s="23" t="e" cm="1">
        <f t="array" aca="1" ref="O7" ca="1">INDIRECT("'[SA_results" &amp; $C7 &amp; ".xlsx]Acceptance_Rate'!$A$2")</f>
        <v>#REF!</v>
      </c>
      <c r="P7" s="33" t="e" cm="1">
        <f t="array" aca="1" ref="P7" ca="1">SUM(INDIRECT("'[SA_results" &amp; $C7 &amp; ".xlsx]Best_Job_Tardiness'!$B:$B"))/($D$2-INDIRECT("'[SA_results" &amp; $C7 &amp; ".xlsx]Total_Rejected_Jobs'!$A$2"))</f>
        <v>#REF!</v>
      </c>
      <c r="Q7" s="23" t="str">
        <f ca="1">IFERROR(AVERAGE(INDIRECT("'[SA_results" &amp; $C7 &amp; ".xlsx]Best_Batch_Utilization'!C:C")),"")</f>
        <v/>
      </c>
      <c r="R7" s="5" t="e" cm="1">
        <f t="array" aca="1" ref="R7" ca="1">SUM(INDIRECT("'[SA_results" &amp; $C7 &amp; ".xlsx]Best_Job_Completion_Time'!$B:$B"))/($D$2-INDIRECT("'[SA_results" &amp; $C7 &amp; ".xlsx]Total_Rejected_Jobs'!$A$2"))</f>
        <v>#REF!</v>
      </c>
      <c r="S7" s="35"/>
      <c r="T7" s="23" t="e" cm="1">
        <f t="array" aca="1" ref="T7" ca="1">INDIRECT("'[SA_results" &amp; $C7 &amp; ".xlsx]Best_Objective'!$A$2")</f>
        <v>#REF!</v>
      </c>
      <c r="U7" s="33" t="e" cm="1">
        <f t="array" aca="1" ref="U7" ca="1">INDIRECT("'[SA_results" &amp; $C7 &amp; ".xlsx]Running_Time'!$A$2")</f>
        <v>#REF!</v>
      </c>
      <c r="V7" s="5" t="e">
        <f t="shared" ca="1" si="2"/>
        <v>#REF!</v>
      </c>
      <c r="W7" s="23" t="e" cm="1">
        <f t="array" aca="1" ref="W7" ca="1">INDIRECT("'[SA_results" &amp; $C7 &amp; ".xlsx]Acceptance_Rate'!$A$2")</f>
        <v>#REF!</v>
      </c>
      <c r="X7" s="33" t="e" cm="1">
        <f t="array" aca="1" ref="X7" ca="1">SUM(INDIRECT("'[SA_results" &amp; $C7 &amp; ".xlsx]Best_Job_Tardiness'!$B:$B"))/($D$2-INDIRECT("'[SA_results" &amp; $C7 &amp; ".xlsx]Total_Rejected_Jobs'!$A$2"))</f>
        <v>#REF!</v>
      </c>
      <c r="Y7" s="23" t="str">
        <f ca="1">IFERROR(AVERAGE(INDIRECT("'[SA_results" &amp; $C7 &amp; ".xlsx]Best_Batch_Utilization'!C:C")),"")</f>
        <v/>
      </c>
      <c r="Z7" s="5" t="e" cm="1">
        <f t="array" aca="1" ref="Z7" ca="1">SUM(INDIRECT("'[SA_results" &amp; $C7 &amp; ".xlsx]Best_Job_Completion_Time'!$B:$B"))/($D$2-INDIRECT("'[SA_results" &amp; $C7 &amp; ".xlsx]Total_Rejected_Jobs'!$A$2"))</f>
        <v>#REF!</v>
      </c>
      <c r="AA7" s="35"/>
    </row>
    <row r="8" spans="2:27" x14ac:dyDescent="0.2">
      <c r="B8" s="4">
        <v>5</v>
      </c>
      <c r="C8" s="4">
        <v>407</v>
      </c>
      <c r="D8" s="23">
        <v>1158613.468585192</v>
      </c>
      <c r="E8" s="33">
        <v>113.97056346150261</v>
      </c>
      <c r="F8" s="5">
        <v>13</v>
      </c>
      <c r="G8" s="23">
        <v>94</v>
      </c>
      <c r="H8" s="33">
        <v>276.99255887922419</v>
      </c>
      <c r="I8" s="23">
        <v>40.910058745666142</v>
      </c>
      <c r="J8" s="5">
        <v>5439.6005044727408</v>
      </c>
      <c r="K8" s="31"/>
      <c r="L8" s="23" t="e" cm="1">
        <f t="array" aca="1" ref="L8" ca="1">INDIRECT("'[SA_results" &amp; $C8 &amp; ".xlsx]Best_Objective'!$A$2")</f>
        <v>#REF!</v>
      </c>
      <c r="M8" s="33" t="e" cm="1">
        <f t="array" aca="1" ref="M8" ca="1">INDIRECT("'[SA_results" &amp; $C8 &amp; ".xlsx]Running_Time'!$A$2")</f>
        <v>#REF!</v>
      </c>
      <c r="N8" s="5" t="e">
        <f t="shared" ca="1" si="0"/>
        <v>#REF!</v>
      </c>
      <c r="O8" s="23" t="e" cm="1">
        <f t="array" aca="1" ref="O8" ca="1">INDIRECT("'[SA_results" &amp; $C8 &amp; ".xlsx]Acceptance_Rate'!$A$2")</f>
        <v>#REF!</v>
      </c>
      <c r="P8" s="33" t="e" cm="1">
        <f t="array" aca="1" ref="P8" ca="1">SUM(INDIRECT("'[SA_results" &amp; $C8 &amp; ".xlsx]Best_Job_Tardiness'!$B:$B"))/($D$2-INDIRECT("'[SA_results" &amp; $C8 &amp; ".xlsx]Total_Rejected_Jobs'!$A$2"))</f>
        <v>#REF!</v>
      </c>
      <c r="Q8" s="23" t="str">
        <f t="shared" ref="Q8:Q13" ca="1" si="4">IFERROR(AVERAGE(INDIRECT("'[SA_results" &amp; $C8 &amp; ".xlsx]Best_Batch_Utilization'!C:C")),"")</f>
        <v/>
      </c>
      <c r="R8" s="5" t="e" cm="1">
        <f t="array" aca="1" ref="R8" ca="1">SUM(INDIRECT("'[SA_results" &amp; $C8 &amp; ".xlsx]Best_Job_Completion_Time'!$B:$B"))/($D$2-INDIRECT("'[SA_results" &amp; $C8 &amp; ".xlsx]Total_Rejected_Jobs'!$A$2"))</f>
        <v>#REF!</v>
      </c>
      <c r="S8" s="35"/>
      <c r="T8" s="23" t="e" cm="1">
        <f t="array" aca="1" ref="T8" ca="1">INDIRECT("'[SA_results" &amp; $C8 &amp; ".xlsx]Best_Objective'!$A$2")</f>
        <v>#REF!</v>
      </c>
      <c r="U8" s="33" t="e" cm="1">
        <f t="array" aca="1" ref="U8" ca="1">INDIRECT("'[SA_results" &amp; $C8 &amp; ".xlsx]Running_Time'!$A$2")</f>
        <v>#REF!</v>
      </c>
      <c r="V8" s="5" t="e">
        <f t="shared" ca="1" si="2"/>
        <v>#REF!</v>
      </c>
      <c r="W8" s="23" t="e" cm="1">
        <f t="array" aca="1" ref="W8" ca="1">INDIRECT("'[SA_results" &amp; $C8 &amp; ".xlsx]Acceptance_Rate'!$A$2")</f>
        <v>#REF!</v>
      </c>
      <c r="X8" s="33" t="e" cm="1">
        <f t="array" aca="1" ref="X8" ca="1">SUM(INDIRECT("'[SA_results" &amp; $C8 &amp; ".xlsx]Best_Job_Tardiness'!$B:$B"))/($D$2-INDIRECT("'[SA_results" &amp; $C8 &amp; ".xlsx]Total_Rejected_Jobs'!$A$2"))</f>
        <v>#REF!</v>
      </c>
      <c r="Y8" s="23" t="str">
        <f t="shared" ref="Y8:Y13" ca="1" si="5">IFERROR(AVERAGE(INDIRECT("'[SA_results" &amp; $C8 &amp; ".xlsx]Best_Batch_Utilization'!C:C")),"")</f>
        <v/>
      </c>
      <c r="Z8" s="5" t="e" cm="1">
        <f t="array" aca="1" ref="Z8" ca="1">SUM(INDIRECT("'[SA_results" &amp; $C8 &amp; ".xlsx]Best_Job_Completion_Time'!$B:$B"))/($D$2-INDIRECT("'[SA_results" &amp; $C8 &amp; ".xlsx]Total_Rejected_Jobs'!$A$2"))</f>
        <v>#REF!</v>
      </c>
      <c r="AA8" s="35"/>
    </row>
    <row r="9" spans="2:27" x14ac:dyDescent="0.2">
      <c r="B9" s="4">
        <v>6</v>
      </c>
      <c r="C9" s="4">
        <v>501</v>
      </c>
      <c r="D9" s="23">
        <v>1179523.9750385331</v>
      </c>
      <c r="E9" s="33">
        <v>190.68499353839653</v>
      </c>
      <c r="F9" s="5">
        <v>15</v>
      </c>
      <c r="G9" s="23">
        <v>94</v>
      </c>
      <c r="H9" s="33">
        <v>358.06900163112118</v>
      </c>
      <c r="I9" s="23">
        <v>36.081197209071505</v>
      </c>
      <c r="J9" s="5">
        <v>5274.6486469221954</v>
      </c>
      <c r="K9" s="31"/>
      <c r="L9" s="23" t="e" cm="1">
        <f t="array" aca="1" ref="L9" ca="1">INDIRECT("'[SA_results" &amp; $C9 &amp; ".xlsx]Best_Objective'!$A$2")</f>
        <v>#REF!</v>
      </c>
      <c r="M9" s="33" t="e" cm="1">
        <f t="array" aca="1" ref="M9" ca="1">INDIRECT("'[SA_results" &amp; $C9 &amp; ".xlsx]Running_Time'!$A$2")</f>
        <v>#REF!</v>
      </c>
      <c r="N9" s="5" t="e">
        <f t="shared" ca="1" si="0"/>
        <v>#REF!</v>
      </c>
      <c r="O9" s="23" t="e" cm="1">
        <f t="array" aca="1" ref="O9" ca="1">INDIRECT("'[SA_results" &amp; $C9 &amp; ".xlsx]Acceptance_Rate'!$A$2")</f>
        <v>#REF!</v>
      </c>
      <c r="P9" s="33" t="e" cm="1">
        <f t="array" aca="1" ref="P9" ca="1">SUM(INDIRECT("'[SA_results" &amp; $C9 &amp; ".xlsx]Best_Job_Tardiness'!$B:$B"))/($D$2-INDIRECT("'[SA_results" &amp; $C9 &amp; ".xlsx]Total_Rejected_Jobs'!$A$2"))</f>
        <v>#REF!</v>
      </c>
      <c r="Q9" s="23" t="str">
        <f t="shared" ca="1" si="4"/>
        <v/>
      </c>
      <c r="R9" s="5" t="e" cm="1">
        <f t="array" aca="1" ref="R9" ca="1">SUM(INDIRECT("'[SA_results" &amp; $C9 &amp; ".xlsx]Best_Job_Completion_Time'!$B:$B"))/($D$2-INDIRECT("'[SA_results" &amp; $C9 &amp; ".xlsx]Total_Rejected_Jobs'!$A$2"))</f>
        <v>#REF!</v>
      </c>
      <c r="S9" s="35"/>
      <c r="T9" s="23" t="e" cm="1">
        <f t="array" aca="1" ref="T9" ca="1">INDIRECT("'[SA_results" &amp; $C9 &amp; ".xlsx]Best_Objective'!$A$2")</f>
        <v>#REF!</v>
      </c>
      <c r="U9" s="33" t="e" cm="1">
        <f t="array" aca="1" ref="U9" ca="1">INDIRECT("'[SA_results" &amp; $C9 &amp; ".xlsx]Running_Time'!$A$2")</f>
        <v>#REF!</v>
      </c>
      <c r="V9" s="5" t="e">
        <f t="shared" ca="1" si="2"/>
        <v>#REF!</v>
      </c>
      <c r="W9" s="23" t="e" cm="1">
        <f t="array" aca="1" ref="W9" ca="1">INDIRECT("'[SA_results" &amp; $C9 &amp; ".xlsx]Acceptance_Rate'!$A$2")</f>
        <v>#REF!</v>
      </c>
      <c r="X9" s="33" t="e" cm="1">
        <f t="array" aca="1" ref="X9" ca="1">SUM(INDIRECT("'[SA_results" &amp; $C9 &amp; ".xlsx]Best_Job_Tardiness'!$B:$B"))/($D$2-INDIRECT("'[SA_results" &amp; $C9 &amp; ".xlsx]Total_Rejected_Jobs'!$A$2"))</f>
        <v>#REF!</v>
      </c>
      <c r="Y9" s="23" t="str">
        <f t="shared" ca="1" si="5"/>
        <v/>
      </c>
      <c r="Z9" s="5" t="e" cm="1">
        <f t="array" aca="1" ref="Z9" ca="1">SUM(INDIRECT("'[SA_results" &amp; $C9 &amp; ".xlsx]Best_Job_Completion_Time'!$B:$B"))/($D$2-INDIRECT("'[SA_results" &amp; $C9 &amp; ".xlsx]Total_Rejected_Jobs'!$A$2"))</f>
        <v>#REF!</v>
      </c>
      <c r="AA9" s="35"/>
    </row>
    <row r="10" spans="2:27" x14ac:dyDescent="0.2">
      <c r="B10" s="4">
        <v>7</v>
      </c>
      <c r="C10" s="4">
        <v>503</v>
      </c>
      <c r="D10" s="23">
        <v>1154877.678065887</v>
      </c>
      <c r="E10" s="33">
        <v>101.398167923057</v>
      </c>
      <c r="F10" s="5">
        <v>13</v>
      </c>
      <c r="G10" s="23">
        <v>94</v>
      </c>
      <c r="H10" s="33">
        <v>338.97353268411445</v>
      </c>
      <c r="I10" s="23">
        <v>41.849561469790942</v>
      </c>
      <c r="J10" s="5">
        <v>5392.7221290743882</v>
      </c>
      <c r="K10" s="31"/>
      <c r="L10" s="23" t="e" cm="1">
        <f t="array" aca="1" ref="L10" ca="1">INDIRECT("'[SA_results" &amp; $C10 &amp; ".xlsx]Best_Objective'!$A$2")</f>
        <v>#REF!</v>
      </c>
      <c r="M10" s="33" t="e" cm="1">
        <f t="array" aca="1" ref="M10" ca="1">INDIRECT("'[SA_results" &amp; $C10 &amp; ".xlsx]Running_Time'!$A$2")</f>
        <v>#REF!</v>
      </c>
      <c r="N10" s="5" t="e">
        <f t="shared" ca="1" si="0"/>
        <v>#REF!</v>
      </c>
      <c r="O10" s="23" t="e" cm="1">
        <f t="array" aca="1" ref="O10" ca="1">INDIRECT("'[SA_results" &amp; $C10 &amp; ".xlsx]Acceptance_Rate'!$A$2")</f>
        <v>#REF!</v>
      </c>
      <c r="P10" s="33" t="e" cm="1">
        <f t="array" aca="1" ref="P10" ca="1">SUM(INDIRECT("'[SA_results" &amp; $C10 &amp; ".xlsx]Best_Job_Tardiness'!$B:$B"))/($D$2-INDIRECT("'[SA_results" &amp; $C10 &amp; ".xlsx]Total_Rejected_Jobs'!$A$2"))</f>
        <v>#REF!</v>
      </c>
      <c r="Q10" s="23" t="str">
        <f t="shared" ca="1" si="4"/>
        <v/>
      </c>
      <c r="R10" s="5" t="e" cm="1">
        <f t="array" aca="1" ref="R10" ca="1">SUM(INDIRECT("'[SA_results" &amp; $C10 &amp; ".xlsx]Best_Job_Completion_Time'!$B:$B"))/($D$2-INDIRECT("'[SA_results" &amp; $C10 &amp; ".xlsx]Total_Rejected_Jobs'!$A$2"))</f>
        <v>#REF!</v>
      </c>
      <c r="S10" s="35"/>
      <c r="T10" s="23" t="e" cm="1">
        <f t="array" aca="1" ref="T10" ca="1">INDIRECT("'[SA_results" &amp; $C10 &amp; ".xlsx]Best_Objective'!$A$2")</f>
        <v>#REF!</v>
      </c>
      <c r="U10" s="33" t="e" cm="1">
        <f t="array" aca="1" ref="U10" ca="1">INDIRECT("'[SA_results" &amp; $C10 &amp; ".xlsx]Running_Time'!$A$2")</f>
        <v>#REF!</v>
      </c>
      <c r="V10" s="5" t="e">
        <f t="shared" ca="1" si="2"/>
        <v>#REF!</v>
      </c>
      <c r="W10" s="23" t="e" cm="1">
        <f t="array" aca="1" ref="W10" ca="1">INDIRECT("'[SA_results" &amp; $C10 &amp; ".xlsx]Acceptance_Rate'!$A$2")</f>
        <v>#REF!</v>
      </c>
      <c r="X10" s="33" t="e" cm="1">
        <f t="array" aca="1" ref="X10" ca="1">SUM(INDIRECT("'[SA_results" &amp; $C10 &amp; ".xlsx]Best_Job_Tardiness'!$B:$B"))/($D$2-INDIRECT("'[SA_results" &amp; $C10 &amp; ".xlsx]Total_Rejected_Jobs'!$A$2"))</f>
        <v>#REF!</v>
      </c>
      <c r="Y10" s="23" t="str">
        <f t="shared" ca="1" si="5"/>
        <v/>
      </c>
      <c r="Z10" s="5" t="e" cm="1">
        <f t="array" aca="1" ref="Z10" ca="1">SUM(INDIRECT("'[SA_results" &amp; $C10 &amp; ".xlsx]Best_Job_Completion_Time'!$B:$B"))/($D$2-INDIRECT("'[SA_results" &amp; $C10 &amp; ".xlsx]Total_Rejected_Jobs'!$A$2"))</f>
        <v>#REF!</v>
      </c>
      <c r="AA10" s="35"/>
    </row>
    <row r="11" spans="2:27" x14ac:dyDescent="0.2">
      <c r="B11" s="4">
        <v>8</v>
      </c>
      <c r="C11" s="4">
        <v>599</v>
      </c>
      <c r="D11" s="23">
        <v>1174685.3457871131</v>
      </c>
      <c r="E11" s="33">
        <v>296.92075176916728</v>
      </c>
      <c r="F11" s="5">
        <v>14</v>
      </c>
      <c r="G11" s="23">
        <v>94</v>
      </c>
      <c r="H11" s="33">
        <v>429.42313508461041</v>
      </c>
      <c r="I11" s="23">
        <v>37.882386142464846</v>
      </c>
      <c r="J11" s="5">
        <v>5298.07573068689</v>
      </c>
      <c r="K11" s="31"/>
      <c r="L11" s="23" t="e" cm="1">
        <f t="array" aca="1" ref="L11" ca="1">INDIRECT("'[SA_results" &amp; $C11 &amp; ".xlsx]Best_Objective'!$A$2")</f>
        <v>#REF!</v>
      </c>
      <c r="M11" s="33" t="e" cm="1">
        <f t="array" aca="1" ref="M11" ca="1">INDIRECT("'[SA_results" &amp; $C11 &amp; ".xlsx]Running_Time'!$A$2")</f>
        <v>#REF!</v>
      </c>
      <c r="N11" s="5" t="e">
        <f t="shared" ca="1" si="0"/>
        <v>#REF!</v>
      </c>
      <c r="O11" s="23" t="e" cm="1">
        <f t="array" aca="1" ref="O11" ca="1">INDIRECT("'[SA_results" &amp; $C11 &amp; ".xlsx]Acceptance_Rate'!$A$2")</f>
        <v>#REF!</v>
      </c>
      <c r="P11" s="33" t="e" cm="1">
        <f t="array" aca="1" ref="P11" ca="1">SUM(INDIRECT("'[SA_results" &amp; $C11 &amp; ".xlsx]Best_Job_Tardiness'!$B:$B"))/($D$2-INDIRECT("'[SA_results" &amp; $C11 &amp; ".xlsx]Total_Rejected_Jobs'!$A$2"))</f>
        <v>#REF!</v>
      </c>
      <c r="Q11" s="23" t="str">
        <f t="shared" ca="1" si="4"/>
        <v/>
      </c>
      <c r="R11" s="5" t="e" cm="1">
        <f t="array" aca="1" ref="R11" ca="1">SUM(INDIRECT("'[SA_results" &amp; $C11 &amp; ".xlsx]Best_Job_Completion_Time'!$B:$B"))/($D$2-INDIRECT("'[SA_results" &amp; $C11 &amp; ".xlsx]Total_Rejected_Jobs'!$A$2"))</f>
        <v>#REF!</v>
      </c>
      <c r="S11" s="35"/>
      <c r="T11" s="23" t="e" cm="1">
        <f t="array" aca="1" ref="T11" ca="1">INDIRECT("'[SA_results" &amp; $C11 &amp; ".xlsx]Best_Objective'!$A$2")</f>
        <v>#REF!</v>
      </c>
      <c r="U11" s="33" t="e" cm="1">
        <f t="array" aca="1" ref="U11" ca="1">INDIRECT("'[SA_results" &amp; $C11 &amp; ".xlsx]Running_Time'!$A$2")</f>
        <v>#REF!</v>
      </c>
      <c r="V11" s="5" t="e">
        <f t="shared" ca="1" si="2"/>
        <v>#REF!</v>
      </c>
      <c r="W11" s="23" t="e" cm="1">
        <f t="array" aca="1" ref="W11" ca="1">INDIRECT("'[SA_results" &amp; $C11 &amp; ".xlsx]Acceptance_Rate'!$A$2")</f>
        <v>#REF!</v>
      </c>
      <c r="X11" s="33" t="e" cm="1">
        <f t="array" aca="1" ref="X11" ca="1">SUM(INDIRECT("'[SA_results" &amp; $C11 &amp; ".xlsx]Best_Job_Tardiness'!$B:$B"))/($D$2-INDIRECT("'[SA_results" &amp; $C11 &amp; ".xlsx]Total_Rejected_Jobs'!$A$2"))</f>
        <v>#REF!</v>
      </c>
      <c r="Y11" s="23" t="str">
        <f t="shared" ca="1" si="5"/>
        <v/>
      </c>
      <c r="Z11" s="5" t="e" cm="1">
        <f t="array" aca="1" ref="Z11" ca="1">SUM(INDIRECT("'[SA_results" &amp; $C11 &amp; ".xlsx]Best_Job_Completion_Time'!$B:$B"))/($D$2-INDIRECT("'[SA_results" &amp; $C11 &amp; ".xlsx]Total_Rejected_Jobs'!$A$2"))</f>
        <v>#REF!</v>
      </c>
      <c r="AA11" s="35"/>
    </row>
    <row r="12" spans="2:27" x14ac:dyDescent="0.2">
      <c r="B12" s="4">
        <v>9</v>
      </c>
      <c r="C12" s="4">
        <v>663</v>
      </c>
      <c r="D12" s="23">
        <v>1201901.4673412519</v>
      </c>
      <c r="E12" s="33">
        <v>337.01970092307494</v>
      </c>
      <c r="F12" s="5">
        <v>14</v>
      </c>
      <c r="G12" s="23">
        <v>94</v>
      </c>
      <c r="H12" s="33">
        <v>479.43363229327366</v>
      </c>
      <c r="I12" s="23">
        <v>37.805822536630714</v>
      </c>
      <c r="J12" s="5">
        <v>5435.3960991830681</v>
      </c>
      <c r="K12" s="31"/>
      <c r="L12" s="23" t="e" cm="1">
        <f t="array" aca="1" ref="L12" ca="1">INDIRECT("'[SA_results" &amp; $C12 &amp; ".xlsx]Best_Objective'!$A$2")</f>
        <v>#REF!</v>
      </c>
      <c r="M12" s="33" t="e" cm="1">
        <f t="array" aca="1" ref="M12" ca="1">INDIRECT("'[SA_results" &amp; $C12 &amp; ".xlsx]Running_Time'!$A$2")</f>
        <v>#REF!</v>
      </c>
      <c r="N12" s="5" t="e">
        <f t="shared" ca="1" si="0"/>
        <v>#REF!</v>
      </c>
      <c r="O12" s="23" t="e" cm="1">
        <f t="array" aca="1" ref="O12" ca="1">INDIRECT("'[SA_results" &amp; $C12 &amp; ".xlsx]Acceptance_Rate'!$A$2")</f>
        <v>#REF!</v>
      </c>
      <c r="P12" s="33" t="e" cm="1">
        <f t="array" aca="1" ref="P12" ca="1">SUM(INDIRECT("'[SA_results" &amp; $C12 &amp; ".xlsx]Best_Job_Tardiness'!$B:$B"))/($D$2-INDIRECT("'[SA_results" &amp; $C12 &amp; ".xlsx]Total_Rejected_Jobs'!$A$2"))</f>
        <v>#REF!</v>
      </c>
      <c r="Q12" s="23" t="str">
        <f t="shared" ca="1" si="4"/>
        <v/>
      </c>
      <c r="R12" s="5" t="e" cm="1">
        <f t="array" aca="1" ref="R12" ca="1">SUM(INDIRECT("'[SA_results" &amp; $C12 &amp; ".xlsx]Best_Job_Completion_Time'!$B:$B"))/($D$2-INDIRECT("'[SA_results" &amp; $C12 &amp; ".xlsx]Total_Rejected_Jobs'!$A$2"))</f>
        <v>#REF!</v>
      </c>
      <c r="S12" s="35"/>
      <c r="T12" s="23" t="e" cm="1">
        <f t="array" aca="1" ref="T12" ca="1">INDIRECT("'[SA_results" &amp; $C12 &amp; ".xlsx]Best_Objective'!$A$2")</f>
        <v>#REF!</v>
      </c>
      <c r="U12" s="33" t="e" cm="1">
        <f t="array" aca="1" ref="U12" ca="1">INDIRECT("'[SA_results" &amp; $C12 &amp; ".xlsx]Running_Time'!$A$2")</f>
        <v>#REF!</v>
      </c>
      <c r="V12" s="5" t="e">
        <f t="shared" ca="1" si="2"/>
        <v>#REF!</v>
      </c>
      <c r="W12" s="23" t="e" cm="1">
        <f t="array" aca="1" ref="W12" ca="1">INDIRECT("'[SA_results" &amp; $C12 &amp; ".xlsx]Acceptance_Rate'!$A$2")</f>
        <v>#REF!</v>
      </c>
      <c r="X12" s="33" t="e" cm="1">
        <f t="array" aca="1" ref="X12" ca="1">SUM(INDIRECT("'[SA_results" &amp; $C12 &amp; ".xlsx]Best_Job_Tardiness'!$B:$B"))/($D$2-INDIRECT("'[SA_results" &amp; $C12 &amp; ".xlsx]Total_Rejected_Jobs'!$A$2"))</f>
        <v>#REF!</v>
      </c>
      <c r="Y12" s="23" t="str">
        <f t="shared" ca="1" si="5"/>
        <v/>
      </c>
      <c r="Z12" s="5" t="e" cm="1">
        <f t="array" aca="1" ref="Z12" ca="1">SUM(INDIRECT("'[SA_results" &amp; $C12 &amp; ".xlsx]Best_Job_Completion_Time'!$B:$B"))/($D$2-INDIRECT("'[SA_results" &amp; $C12 &amp; ".xlsx]Total_Rejected_Jobs'!$A$2"))</f>
        <v>#REF!</v>
      </c>
      <c r="AA12" s="35"/>
    </row>
    <row r="13" spans="2:27" x14ac:dyDescent="0.2">
      <c r="B13" s="4">
        <v>10</v>
      </c>
      <c r="C13" s="4">
        <v>731</v>
      </c>
      <c r="D13" s="23">
        <v>1183377.9090020419</v>
      </c>
      <c r="E13" s="33">
        <v>94.942989307634832</v>
      </c>
      <c r="F13" s="5">
        <v>14</v>
      </c>
      <c r="G13" s="23">
        <v>94</v>
      </c>
      <c r="H13" s="33">
        <v>422.50210120117367</v>
      </c>
      <c r="I13" s="23">
        <v>37.633366425991447</v>
      </c>
      <c r="J13" s="5">
        <v>5369.8627720996546</v>
      </c>
      <c r="K13" s="31"/>
      <c r="L13" s="23" t="e" cm="1">
        <f t="array" aca="1" ref="L13" ca="1">INDIRECT("'[SA_results" &amp; $C13 &amp; ".xlsx]Best_Objective'!$A$2")</f>
        <v>#REF!</v>
      </c>
      <c r="M13" s="33" t="e" cm="1">
        <f t="array" aca="1" ref="M13" ca="1">INDIRECT("'[SA_results" &amp; $C13 &amp; ".xlsx]Running_Time'!$A$2")</f>
        <v>#REF!</v>
      </c>
      <c r="N13" s="5" t="e">
        <f t="shared" ca="1" si="0"/>
        <v>#REF!</v>
      </c>
      <c r="O13" s="23" t="e" cm="1">
        <f t="array" aca="1" ref="O13" ca="1">INDIRECT("'[SA_results" &amp; $C13 &amp; ".xlsx]Acceptance_Rate'!$A$2")</f>
        <v>#REF!</v>
      </c>
      <c r="P13" s="33" t="e" cm="1">
        <f t="array" aca="1" ref="P13" ca="1">SUM(INDIRECT("'[SA_results" &amp; $C13 &amp; ".xlsx]Best_Job_Tardiness'!$B:$B"))/($D$2-INDIRECT("'[SA_results" &amp; $C13 &amp; ".xlsx]Total_Rejected_Jobs'!$A$2"))</f>
        <v>#REF!</v>
      </c>
      <c r="Q13" s="23" t="str">
        <f t="shared" ca="1" si="4"/>
        <v/>
      </c>
      <c r="R13" s="5" t="e" cm="1">
        <f t="array" aca="1" ref="R13" ca="1">SUM(INDIRECT("'[SA_results" &amp; $C13 &amp; ".xlsx]Best_Job_Completion_Time'!$B:$B"))/($D$2-INDIRECT("'[SA_results" &amp; $C13 &amp; ".xlsx]Total_Rejected_Jobs'!$A$2"))</f>
        <v>#REF!</v>
      </c>
      <c r="S13" s="35"/>
      <c r="T13" s="23" t="e" cm="1">
        <f t="array" aca="1" ref="T13" ca="1">INDIRECT("'[SA_results" &amp; $C13 &amp; ".xlsx]Best_Objective'!$A$2")</f>
        <v>#REF!</v>
      </c>
      <c r="U13" s="33" t="e" cm="1">
        <f t="array" aca="1" ref="U13" ca="1">INDIRECT("'[SA_results" &amp; $C13 &amp; ".xlsx]Running_Time'!$A$2")</f>
        <v>#REF!</v>
      </c>
      <c r="V13" s="5" t="e">
        <f t="shared" ca="1" si="2"/>
        <v>#REF!</v>
      </c>
      <c r="W13" s="23" t="e" cm="1">
        <f t="array" aca="1" ref="W13" ca="1">INDIRECT("'[SA_results" &amp; $C13 &amp; ".xlsx]Acceptance_Rate'!$A$2")</f>
        <v>#REF!</v>
      </c>
      <c r="X13" s="33" t="e" cm="1">
        <f t="array" aca="1" ref="X13" ca="1">SUM(INDIRECT("'[SA_results" &amp; $C13 &amp; ".xlsx]Best_Job_Tardiness'!$B:$B"))/($D$2-INDIRECT("'[SA_results" &amp; $C13 &amp; ".xlsx]Total_Rejected_Jobs'!$A$2"))</f>
        <v>#REF!</v>
      </c>
      <c r="Y13" s="23" t="str">
        <f t="shared" ca="1" si="5"/>
        <v/>
      </c>
      <c r="Z13" s="5" t="e" cm="1">
        <f t="array" aca="1" ref="Z13" ca="1">SUM(INDIRECT("'[SA_results" &amp; $C13 &amp; ".xlsx]Best_Job_Completion_Time'!$B:$B"))/($D$2-INDIRECT("'[SA_results" &amp; $C13 &amp; ".xlsx]Total_Rejected_Jobs'!$A$2"))</f>
        <v>#REF!</v>
      </c>
      <c r="AA13" s="35"/>
    </row>
    <row r="14" spans="2:27" x14ac:dyDescent="0.2">
      <c r="B14" s="49" t="s">
        <v>3</v>
      </c>
      <c r="C14" s="50"/>
      <c r="D14" s="9">
        <f>MIN(D4:D13)</f>
        <v>1141726.937281823</v>
      </c>
      <c r="E14" s="22">
        <f>INDEX(E4:E13, MATCH($D$14, D4:D13, 0))</f>
        <v>371.94766284620312</v>
      </c>
      <c r="F14" s="9">
        <f>INDEX(F4:F13, MATCH($D$14, D4:D13, 0))</f>
        <v>14</v>
      </c>
      <c r="G14" s="9">
        <f>INDEX(G4:G13, MATCH($D$14, D4:D13, 0))</f>
        <v>94</v>
      </c>
      <c r="H14" s="22">
        <f>INDEX(H4:H13, MATCH($D$14, D4:D13, 0))</f>
        <v>284.12843424466513</v>
      </c>
      <c r="I14" s="22">
        <f>INDEX(I4:I13, MATCH($D$14, D4:D13, 0))</f>
        <v>38.423322876589999</v>
      </c>
      <c r="J14" s="22">
        <f>INDEX(J4:J13, MATCH($D$14, D4:D13, 0))</f>
        <v>5202.2457846926009</v>
      </c>
      <c r="K14" s="32" t="e">
        <f>(D14-$D$15)/$D$15</f>
        <v>#DIV/0!</v>
      </c>
      <c r="L14" s="16" t="e">
        <f ca="1">MIN(L4:L13)</f>
        <v>#REF!</v>
      </c>
      <c r="M14" s="21" t="e">
        <f ca="1">INDEX(M4:M13, MATCH($L$14, L4:L13, 0))</f>
        <v>#REF!</v>
      </c>
      <c r="N14" s="16" t="e">
        <f ca="1">INDEX(N4:N13, MATCH($L$14, L4:L13, 0))</f>
        <v>#REF!</v>
      </c>
      <c r="O14" s="16" t="e">
        <f ca="1">INDEX(O4:O13, MATCH($L$14, L4:L13, 0))</f>
        <v>#REF!</v>
      </c>
      <c r="P14" s="21" t="e">
        <f ca="1">INDEX(P4:P13, MATCH($L$14, L4:L13, 0))</f>
        <v>#REF!</v>
      </c>
      <c r="Q14" s="21" t="e">
        <f ca="1">INDEX(Q4:Q13, MATCH($L$14, L4:L13, 0))</f>
        <v>#REF!</v>
      </c>
      <c r="R14" s="21" t="e">
        <f ca="1">INDEX(R4:R13, MATCH($L$14, L4:L13, 0))</f>
        <v>#REF!</v>
      </c>
      <c r="S14" s="36" t="e">
        <f ca="1">(L14-$D$15)/$D$15</f>
        <v>#REF!</v>
      </c>
      <c r="T14" s="38" t="e">
        <f ca="1">MIN(T4:T13)</f>
        <v>#REF!</v>
      </c>
      <c r="U14" s="39" t="e">
        <f ca="1">INDEX(U4:U13, MATCH($T$14, T4:T13, 0))</f>
        <v>#REF!</v>
      </c>
      <c r="V14" s="38" t="e">
        <f ca="1">INDEX(V4:V13, MATCH($T$14, T4:T13, 0))</f>
        <v>#REF!</v>
      </c>
      <c r="W14" s="38" t="e">
        <f ca="1">INDEX(W4:W13, MATCH($T$14, T4:T13, 0))</f>
        <v>#REF!</v>
      </c>
      <c r="X14" s="39" t="e">
        <f ca="1">INDEX(X4:X13, MATCH($T$14, T4:T13, 0))</f>
        <v>#REF!</v>
      </c>
      <c r="Y14" s="39" t="e">
        <f ca="1">INDEX(Y4:Y13, MATCH($T$14, T4:T13, 0))</f>
        <v>#REF!</v>
      </c>
      <c r="Z14" s="39" t="e">
        <f ca="1">INDEX(Z4:Z13, MATCH($T$14, T4:T13, 0))</f>
        <v>#REF!</v>
      </c>
      <c r="AA14" s="40" t="e">
        <f ca="1">(T14-$D$15)/$D$15</f>
        <v>#REF!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 t="e">
        <f ca="1">(L14-D14)/D14</f>
        <v>#REF!</v>
      </c>
      <c r="M15" s="41" t="e">
        <f t="shared" ref="M15:R15" ca="1" si="6">(M14-E14)/E14</f>
        <v>#REF!</v>
      </c>
      <c r="N15" s="41" t="e">
        <f t="shared" ca="1" si="6"/>
        <v>#REF!</v>
      </c>
      <c r="O15" s="41" t="e">
        <f t="shared" ca="1" si="6"/>
        <v>#REF!</v>
      </c>
      <c r="P15" s="41" t="e">
        <f t="shared" ca="1" si="6"/>
        <v>#REF!</v>
      </c>
      <c r="Q15" s="41" t="e">
        <f t="shared" ca="1" si="6"/>
        <v>#REF!</v>
      </c>
      <c r="R15" s="41" t="e">
        <f t="shared" ca="1" si="6"/>
        <v>#REF!</v>
      </c>
      <c r="T15" s="41" t="e">
        <f ca="1">(T14-D14)/D14</f>
        <v>#REF!</v>
      </c>
      <c r="U15" s="41" t="e">
        <f t="shared" ref="U15:Z15" ca="1" si="7">(U14-E14)/E14</f>
        <v>#REF!</v>
      </c>
      <c r="V15" s="41" t="e">
        <f t="shared" ca="1" si="7"/>
        <v>#REF!</v>
      </c>
      <c r="W15" s="41" t="e">
        <f t="shared" ca="1" si="7"/>
        <v>#REF!</v>
      </c>
      <c r="X15" s="41" t="e">
        <f t="shared" ca="1" si="7"/>
        <v>#REF!</v>
      </c>
      <c r="Y15" s="41" t="e">
        <f t="shared" ca="1" si="7"/>
        <v>#REF!</v>
      </c>
      <c r="Z15" s="41" t="e">
        <f t="shared" ca="1" si="7"/>
        <v>#REF!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:C19 C3 C39:C1048576">
    <cfRule type="duplicateValues" dxfId="117" priority="11"/>
    <cfRule type="duplicateValues" dxfId="116" priority="12"/>
  </conditionalFormatting>
  <conditionalFormatting sqref="C2">
    <cfRule type="duplicateValues" dxfId="115" priority="3"/>
    <cfRule type="duplicateValues" dxfId="114" priority="4"/>
  </conditionalFormatting>
  <conditionalFormatting sqref="C4:C13">
    <cfRule type="duplicateValues" dxfId="113" priority="5"/>
    <cfRule type="duplicateValues" dxfId="112" priority="6"/>
  </conditionalFormatting>
  <conditionalFormatting sqref="C14">
    <cfRule type="duplicateValues" dxfId="111" priority="9"/>
    <cfRule type="duplicateValues" dxfId="110" priority="10"/>
  </conditionalFormatting>
  <conditionalFormatting sqref="C15">
    <cfRule type="duplicateValues" dxfId="109" priority="7"/>
    <cfRule type="duplicateValues" dxfId="108" priority="8"/>
  </conditionalFormatting>
  <conditionalFormatting sqref="C20:C38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5481-6863-4A2C-ACE5-11B06FC7399E}">
  <dimension ref="B1:AA17"/>
  <sheetViews>
    <sheetView zoomScale="90" zoomScaleNormal="90" workbookViewId="0">
      <selection activeCell="E20" sqref="E20:E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 t="e">
        <f ca="1">(P14-H14)/H14</f>
        <v>#REF!</v>
      </c>
      <c r="R2" s="1" t="e">
        <f ca="1">(R14-J14)/J14</f>
        <v>#REF!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88</v>
      </c>
      <c r="D4" s="23">
        <v>1165811.7722223699</v>
      </c>
      <c r="E4" s="33">
        <v>146.44345992307461</v>
      </c>
      <c r="F4" s="5">
        <v>12</v>
      </c>
      <c r="G4" s="23">
        <v>93.333333333333329</v>
      </c>
      <c r="H4" s="33">
        <v>333.17399140428307</v>
      </c>
      <c r="I4" s="23">
        <v>46.56837742252381</v>
      </c>
      <c r="J4" s="5">
        <v>5421.3436955217421</v>
      </c>
      <c r="K4" s="31"/>
      <c r="L4" s="23" t="e" cm="1">
        <f t="array" aca="1" ref="L4" ca="1">INDIRECT("'[SA_results" &amp; $C4 &amp; ".xlsx]Best_Objective'!$A$2")</f>
        <v>#REF!</v>
      </c>
      <c r="M4" s="33" t="e" cm="1">
        <f t="array" aca="1" ref="M4" ca="1">INDIRECT("'[SA_results" &amp; $C4 &amp; ".xlsx]Running_Time'!$A$2")</f>
        <v>#REF!</v>
      </c>
      <c r="N4" s="5" t="e">
        <f ca="1">COUNTIF(INDIRECT("'[SA_results" &amp; $C4 &amp; ".xlsx]Best_Batch_Utilization'!C:C"),"&gt;0")</f>
        <v>#REF!</v>
      </c>
      <c r="O4" s="23" t="e" cm="1">
        <f t="array" aca="1" ref="O4" ca="1">INDIRECT("'[SA_results" &amp; $C4 &amp; ".xlsx]Acceptance_Rate'!$A$2")</f>
        <v>#REF!</v>
      </c>
      <c r="P4" s="33" t="e" cm="1">
        <f t="array" aca="1" ref="P4" ca="1">SUM(INDIRECT("'[SA_results" &amp; $C4 &amp; ".xlsx]Best_Job_Tardiness'!$B:$B"))/($D$2-INDIRECT("'[SA_results" &amp; $C4 &amp; ".xlsx]Total_Rejected_Jobs'!$A$2"))</f>
        <v>#REF!</v>
      </c>
      <c r="Q4" s="23" t="str">
        <f ca="1">IFERROR(AVERAGE(INDIRECT("'[SA_results" &amp; $C4 &amp; ".xlsx]Best_Batch_Utilization'!C:C")),"")</f>
        <v/>
      </c>
      <c r="R4" s="5" t="e" cm="1">
        <f t="array" aca="1" ref="R4" ca="1">SUM(INDIRECT("'[SA_results" &amp; $C4 &amp; ".xlsx]Best_Job_Completion_Time'!$B:$B"))/($D$2-INDIRECT("'[SA_results" &amp; $C4 &amp; ".xlsx]Total_Rejected_Jobs'!$A$2"))</f>
        <v>#REF!</v>
      </c>
      <c r="S4" s="35"/>
      <c r="T4" s="23" t="e" cm="1">
        <f t="array" aca="1" ref="T4" ca="1">INDIRECT("'[SA_results" &amp; $C4 &amp; ".xlsx]Best_Objective'!$A$2")</f>
        <v>#REF!</v>
      </c>
      <c r="U4" s="33" t="e" cm="1">
        <f t="array" aca="1" ref="U4" ca="1">INDIRECT("'[SA_results" &amp; $C4 &amp; ".xlsx]Running_Time'!$A$2")</f>
        <v>#REF!</v>
      </c>
      <c r="V4" s="5" t="e">
        <f ca="1">COUNTIF(INDIRECT("'[SA_results" &amp; $C4 &amp; ".xlsx]Best_Batch_Utilization'!C:C"),"&gt;0")</f>
        <v>#REF!</v>
      </c>
      <c r="W4" s="23" t="e" cm="1">
        <f t="array" aca="1" ref="W4" ca="1">INDIRECT("'[SA_results" &amp; $C4 &amp; ".xlsx]Acceptance_Rate'!$A$2")</f>
        <v>#REF!</v>
      </c>
      <c r="X4" s="33" t="e" cm="1">
        <f t="array" aca="1" ref="X4" ca="1">SUM(INDIRECT("'[SA_results" &amp; $C4 &amp; ".xlsx]Best_Job_Tardiness'!$B:$B"))/($D$2-INDIRECT("'[SA_results" &amp; $C4 &amp; ".xlsx]Total_Rejected_Jobs'!$A$2"))</f>
        <v>#REF!</v>
      </c>
      <c r="Y4" s="23" t="str">
        <f ca="1">IFERROR(AVERAGE(INDIRECT("'[SA_results" &amp; $C4 &amp; ".xlsx]Best_Batch_Utilization'!C:C")),"")</f>
        <v/>
      </c>
      <c r="Z4" s="5" t="e" cm="1">
        <f t="array" aca="1" ref="Z4" ca="1">SUM(INDIRECT("'[SA_results" &amp; $C4 &amp; ".xlsx]Best_Job_Completion_Time'!$B:$B"))/($D$2-INDIRECT("'[SA_results" &amp; $C4 &amp; ".xlsx]Total_Rejected_Jobs'!$A$2"))</f>
        <v>#REF!</v>
      </c>
      <c r="AA4" s="35"/>
    </row>
    <row r="5" spans="2:27" x14ac:dyDescent="0.2">
      <c r="B5" s="4">
        <v>2</v>
      </c>
      <c r="C5" s="4">
        <v>199</v>
      </c>
      <c r="D5" s="23">
        <v>1177420.745513577</v>
      </c>
      <c r="E5" s="33">
        <v>181.57157261533524</v>
      </c>
      <c r="F5" s="5">
        <v>13</v>
      </c>
      <c r="G5" s="23">
        <v>94</v>
      </c>
      <c r="H5" s="33">
        <v>373.33237715219161</v>
      </c>
      <c r="I5" s="23">
        <v>43.243950924027288</v>
      </c>
      <c r="J5" s="5">
        <v>5436.530931383867</v>
      </c>
      <c r="K5" s="31"/>
      <c r="L5" s="23" t="e" cm="1">
        <f t="array" aca="1" ref="L5" ca="1">INDIRECT("'[SA_results" &amp; $C5 &amp; ".xlsx]Best_Objective'!$A$2")</f>
        <v>#REF!</v>
      </c>
      <c r="M5" s="33" t="e" cm="1">
        <f t="array" aca="1" ref="M5" ca="1">INDIRECT("'[SA_results" &amp; $C5 &amp; ".xlsx]Running_Time'!$A$2")</f>
        <v>#REF!</v>
      </c>
      <c r="N5" s="5" t="e">
        <f t="shared" ref="N5:N13" ca="1" si="0">COUNTIF(INDIRECT("'[SA_results" &amp; $C5 &amp; ".xlsx]Best_Batch_Utilization'!C:C"),"&gt;0")</f>
        <v>#REF!</v>
      </c>
      <c r="O5" s="23" t="e" cm="1">
        <f t="array" aca="1" ref="O5" ca="1">INDIRECT("'[SA_results" &amp; $C5 &amp; ".xlsx]Acceptance_Rate'!$A$2")</f>
        <v>#REF!</v>
      </c>
      <c r="P5" s="33" t="e" cm="1">
        <f t="array" aca="1" ref="P5" ca="1">SUM(INDIRECT("'[SA_results" &amp; $C5 &amp; ".xlsx]Best_Job_Tardiness'!$B:$B"))/($D$2-INDIRECT("'[SA_results" &amp; $C5 &amp; ".xlsx]Total_Rejected_Jobs'!$A$2"))</f>
        <v>#REF!</v>
      </c>
      <c r="Q5" s="23" t="str">
        <f t="shared" ref="Q5:Q6" ca="1" si="1">IFERROR(AVERAGE(INDIRECT("'[SA_results" &amp; $C5 &amp; ".xlsx]Best_Batch_Utilization'!C:C")),"")</f>
        <v/>
      </c>
      <c r="R5" s="5" t="e" cm="1">
        <f t="array" aca="1" ref="R5" ca="1">SUM(INDIRECT("'[SA_results" &amp; $C5 &amp; ".xlsx]Best_Job_Completion_Time'!$B:$B"))/($D$2-INDIRECT("'[SA_results" &amp; $C5 &amp; ".xlsx]Total_Rejected_Jobs'!$A$2"))</f>
        <v>#REF!</v>
      </c>
      <c r="S5" s="35"/>
      <c r="T5" s="23" t="e" cm="1">
        <f t="array" aca="1" ref="T5" ca="1">INDIRECT("'[SA_results" &amp; $C5 &amp; ".xlsx]Best_Objective'!$A$2")</f>
        <v>#REF!</v>
      </c>
      <c r="U5" s="33" t="e" cm="1">
        <f t="array" aca="1" ref="U5" ca="1">INDIRECT("'[SA_results" &amp; $C5 &amp; ".xlsx]Running_Time'!$A$2")</f>
        <v>#REF!</v>
      </c>
      <c r="V5" s="5" t="e">
        <f t="shared" ref="V5:V13" ca="1" si="2">COUNTIF(INDIRECT("'[SA_results" &amp; $C5 &amp; ".xlsx]Best_Batch_Utilization'!C:C"),"&gt;0")</f>
        <v>#REF!</v>
      </c>
      <c r="W5" s="23" t="e" cm="1">
        <f t="array" aca="1" ref="W5" ca="1">INDIRECT("'[SA_results" &amp; $C5 &amp; ".xlsx]Acceptance_Rate'!$A$2")</f>
        <v>#REF!</v>
      </c>
      <c r="X5" s="33" t="e" cm="1">
        <f t="array" aca="1" ref="X5" ca="1">SUM(INDIRECT("'[SA_results" &amp; $C5 &amp; ".xlsx]Best_Job_Tardiness'!$B:$B"))/($D$2-INDIRECT("'[SA_results" &amp; $C5 &amp; ".xlsx]Total_Rejected_Jobs'!$A$2"))</f>
        <v>#REF!</v>
      </c>
      <c r="Y5" s="23" t="str">
        <f t="shared" ref="Y5:Y6" ca="1" si="3">IFERROR(AVERAGE(INDIRECT("'[SA_results" &amp; $C5 &amp; ".xlsx]Best_Batch_Utilization'!C:C")),"")</f>
        <v/>
      </c>
      <c r="Z5" s="5" t="e" cm="1">
        <f t="array" aca="1" ref="Z5" ca="1">SUM(INDIRECT("'[SA_results" &amp; $C5 &amp; ".xlsx]Best_Job_Completion_Time'!$B:$B"))/($D$2-INDIRECT("'[SA_results" &amp; $C5 &amp; ".xlsx]Total_Rejected_Jobs'!$A$2"))</f>
        <v>#REF!</v>
      </c>
      <c r="AA5" s="35"/>
    </row>
    <row r="6" spans="2:27" x14ac:dyDescent="0.2">
      <c r="B6" s="4">
        <v>3</v>
      </c>
      <c r="C6" s="4">
        <v>221</v>
      </c>
      <c r="D6" s="23">
        <v>1181428.0970732439</v>
      </c>
      <c r="E6" s="33">
        <v>221.80821776927377</v>
      </c>
      <c r="F6" s="5">
        <v>12</v>
      </c>
      <c r="G6" s="23">
        <v>94</v>
      </c>
      <c r="H6" s="33">
        <v>323.89224579221337</v>
      </c>
      <c r="I6" s="23">
        <v>46.327004582394245</v>
      </c>
      <c r="J6" s="5">
        <v>5606.299673098998</v>
      </c>
      <c r="K6" s="31"/>
      <c r="L6" s="23" t="e" cm="1">
        <f t="array" aca="1" ref="L6" ca="1">INDIRECT("'[SA_results" &amp; $C6 &amp; ".xlsx]Best_Objective'!$A$2")</f>
        <v>#REF!</v>
      </c>
      <c r="M6" s="33" t="e" cm="1">
        <f t="array" aca="1" ref="M6" ca="1">INDIRECT("'[SA_results" &amp; $C6 &amp; ".xlsx]Running_Time'!$A$2")</f>
        <v>#REF!</v>
      </c>
      <c r="N6" s="5" t="e">
        <f t="shared" ca="1" si="0"/>
        <v>#REF!</v>
      </c>
      <c r="O6" s="23" t="e" cm="1">
        <f t="array" aca="1" ref="O6" ca="1">INDIRECT("'[SA_results" &amp; $C6 &amp; ".xlsx]Acceptance_Rate'!$A$2")</f>
        <v>#REF!</v>
      </c>
      <c r="P6" s="33" t="e" cm="1">
        <f t="array" aca="1" ref="P6" ca="1">SUM(INDIRECT("'[SA_results" &amp; $C6 &amp; ".xlsx]Best_Job_Tardiness'!$B:$B"))/($D$2-INDIRECT("'[SA_results" &amp; $C6 &amp; ".xlsx]Total_Rejected_Jobs'!$A$2"))</f>
        <v>#REF!</v>
      </c>
      <c r="Q6" s="23" t="str">
        <f t="shared" ca="1" si="1"/>
        <v/>
      </c>
      <c r="R6" s="5" t="e" cm="1">
        <f t="array" aca="1" ref="R6" ca="1">SUM(INDIRECT("'[SA_results" &amp; $C6 &amp; ".xlsx]Best_Job_Completion_Time'!$B:$B"))/($D$2-INDIRECT("'[SA_results" &amp; $C6 &amp; ".xlsx]Total_Rejected_Jobs'!$A$2"))</f>
        <v>#REF!</v>
      </c>
      <c r="S6" s="35"/>
      <c r="T6" s="23" t="e" cm="1">
        <f t="array" aca="1" ref="T6" ca="1">INDIRECT("'[SA_results" &amp; $C6 &amp; ".xlsx]Best_Objective'!$A$2")</f>
        <v>#REF!</v>
      </c>
      <c r="U6" s="33" t="e" cm="1">
        <f t="array" aca="1" ref="U6" ca="1">INDIRECT("'[SA_results" &amp; $C6 &amp; ".xlsx]Running_Time'!$A$2")</f>
        <v>#REF!</v>
      </c>
      <c r="V6" s="5" t="e">
        <f t="shared" ca="1" si="2"/>
        <v>#REF!</v>
      </c>
      <c r="W6" s="23" t="e" cm="1">
        <f t="array" aca="1" ref="W6" ca="1">INDIRECT("'[SA_results" &amp; $C6 &amp; ".xlsx]Acceptance_Rate'!$A$2")</f>
        <v>#REF!</v>
      </c>
      <c r="X6" s="33" t="e" cm="1">
        <f t="array" aca="1" ref="X6" ca="1">SUM(INDIRECT("'[SA_results" &amp; $C6 &amp; ".xlsx]Best_Job_Tardiness'!$B:$B"))/($D$2-INDIRECT("'[SA_results" &amp; $C6 &amp; ".xlsx]Total_Rejected_Jobs'!$A$2"))</f>
        <v>#REF!</v>
      </c>
      <c r="Y6" s="23" t="str">
        <f t="shared" ca="1" si="3"/>
        <v/>
      </c>
      <c r="Z6" s="5" t="e" cm="1">
        <f t="array" aca="1" ref="Z6" ca="1">SUM(INDIRECT("'[SA_results" &amp; $C6 &amp; ".xlsx]Best_Job_Completion_Time'!$B:$B"))/($D$2-INDIRECT("'[SA_results" &amp; $C6 &amp; ".xlsx]Total_Rejected_Jobs'!$A$2"))</f>
        <v>#REF!</v>
      </c>
      <c r="AA6" s="35"/>
    </row>
    <row r="7" spans="2:27" x14ac:dyDescent="0.2">
      <c r="B7" s="4">
        <v>4</v>
      </c>
      <c r="C7" s="4">
        <v>254</v>
      </c>
      <c r="D7" s="23">
        <v>1174184.5602595841</v>
      </c>
      <c r="E7" s="33">
        <v>154.33890084619631</v>
      </c>
      <c r="F7" s="5">
        <v>14</v>
      </c>
      <c r="G7" s="23">
        <v>94</v>
      </c>
      <c r="H7" s="33">
        <v>349.88343846988687</v>
      </c>
      <c r="I7" s="23">
        <v>40.279638286506497</v>
      </c>
      <c r="J7" s="5">
        <v>5312.0648531790848</v>
      </c>
      <c r="K7" s="31"/>
      <c r="L7" s="23" t="e" cm="1">
        <f t="array" aca="1" ref="L7" ca="1">INDIRECT("'[SA_results" &amp; $C7 &amp; ".xlsx]Best_Objective'!$A$2")</f>
        <v>#REF!</v>
      </c>
      <c r="M7" s="33" t="e" cm="1">
        <f t="array" aca="1" ref="M7" ca="1">INDIRECT("'[SA_results" &amp; $C7 &amp; ".xlsx]Running_Time'!$A$2")</f>
        <v>#REF!</v>
      </c>
      <c r="N7" s="5" t="e">
        <f t="shared" ca="1" si="0"/>
        <v>#REF!</v>
      </c>
      <c r="O7" s="23" t="e" cm="1">
        <f t="array" aca="1" ref="O7" ca="1">INDIRECT("'[SA_results" &amp; $C7 &amp; ".xlsx]Acceptance_Rate'!$A$2")</f>
        <v>#REF!</v>
      </c>
      <c r="P7" s="33" t="e" cm="1">
        <f t="array" aca="1" ref="P7" ca="1">SUM(INDIRECT("'[SA_results" &amp; $C7 &amp; ".xlsx]Best_Job_Tardiness'!$B:$B"))/($D$2-INDIRECT("'[SA_results" &amp; $C7 &amp; ".xlsx]Total_Rejected_Jobs'!$A$2"))</f>
        <v>#REF!</v>
      </c>
      <c r="Q7" s="23" t="str">
        <f ca="1">IFERROR(AVERAGE(INDIRECT("'[SA_results" &amp; $C7 &amp; ".xlsx]Best_Batch_Utilization'!C:C")),"")</f>
        <v/>
      </c>
      <c r="R7" s="5" t="e" cm="1">
        <f t="array" aca="1" ref="R7" ca="1">SUM(INDIRECT("'[SA_results" &amp; $C7 &amp; ".xlsx]Best_Job_Completion_Time'!$B:$B"))/($D$2-INDIRECT("'[SA_results" &amp; $C7 &amp; ".xlsx]Total_Rejected_Jobs'!$A$2"))</f>
        <v>#REF!</v>
      </c>
      <c r="S7" s="35"/>
      <c r="T7" s="23" t="e" cm="1">
        <f t="array" aca="1" ref="T7" ca="1">INDIRECT("'[SA_results" &amp; $C7 &amp; ".xlsx]Best_Objective'!$A$2")</f>
        <v>#REF!</v>
      </c>
      <c r="U7" s="33" t="e" cm="1">
        <f t="array" aca="1" ref="U7" ca="1">INDIRECT("'[SA_results" &amp; $C7 &amp; ".xlsx]Running_Time'!$A$2")</f>
        <v>#REF!</v>
      </c>
      <c r="V7" s="5" t="e">
        <f t="shared" ca="1" si="2"/>
        <v>#REF!</v>
      </c>
      <c r="W7" s="23" t="e" cm="1">
        <f t="array" aca="1" ref="W7" ca="1">INDIRECT("'[SA_results" &amp; $C7 &amp; ".xlsx]Acceptance_Rate'!$A$2")</f>
        <v>#REF!</v>
      </c>
      <c r="X7" s="33" t="e" cm="1">
        <f t="array" aca="1" ref="X7" ca="1">SUM(INDIRECT("'[SA_results" &amp; $C7 &amp; ".xlsx]Best_Job_Tardiness'!$B:$B"))/($D$2-INDIRECT("'[SA_results" &amp; $C7 &amp; ".xlsx]Total_Rejected_Jobs'!$A$2"))</f>
        <v>#REF!</v>
      </c>
      <c r="Y7" s="23" t="str">
        <f ca="1">IFERROR(AVERAGE(INDIRECT("'[SA_results" &amp; $C7 &amp; ".xlsx]Best_Batch_Utilization'!C:C")),"")</f>
        <v/>
      </c>
      <c r="Z7" s="5" t="e" cm="1">
        <f t="array" aca="1" ref="Z7" ca="1">SUM(INDIRECT("'[SA_results" &amp; $C7 &amp; ".xlsx]Best_Job_Completion_Time'!$B:$B"))/($D$2-INDIRECT("'[SA_results" &amp; $C7 &amp; ".xlsx]Total_Rejected_Jobs'!$A$2"))</f>
        <v>#REF!</v>
      </c>
      <c r="AA7" s="35"/>
    </row>
    <row r="8" spans="2:27" x14ac:dyDescent="0.2">
      <c r="B8" s="4">
        <v>5</v>
      </c>
      <c r="C8" s="4">
        <v>322</v>
      </c>
      <c r="D8" s="23">
        <v>1183868.953052948</v>
      </c>
      <c r="E8" s="33">
        <v>120.23267007692576</v>
      </c>
      <c r="F8" s="5">
        <v>12</v>
      </c>
      <c r="G8" s="23">
        <v>94</v>
      </c>
      <c r="H8" s="33">
        <v>521.56548228476356</v>
      </c>
      <c r="I8" s="23">
        <v>47.834075658752916</v>
      </c>
      <c r="J8" s="5">
        <v>5524.5107805118623</v>
      </c>
      <c r="K8" s="31"/>
      <c r="L8" s="23" t="e" cm="1">
        <f t="array" aca="1" ref="L8" ca="1">INDIRECT("'[SA_results" &amp; $C8 &amp; ".xlsx]Best_Objective'!$A$2")</f>
        <v>#REF!</v>
      </c>
      <c r="M8" s="33" t="e" cm="1">
        <f t="array" aca="1" ref="M8" ca="1">INDIRECT("'[SA_results" &amp; $C8 &amp; ".xlsx]Running_Time'!$A$2")</f>
        <v>#REF!</v>
      </c>
      <c r="N8" s="5" t="e">
        <f t="shared" ca="1" si="0"/>
        <v>#REF!</v>
      </c>
      <c r="O8" s="23" t="e" cm="1">
        <f t="array" aca="1" ref="O8" ca="1">INDIRECT("'[SA_results" &amp; $C8 &amp; ".xlsx]Acceptance_Rate'!$A$2")</f>
        <v>#REF!</v>
      </c>
      <c r="P8" s="33" t="e" cm="1">
        <f t="array" aca="1" ref="P8" ca="1">SUM(INDIRECT("'[SA_results" &amp; $C8 &amp; ".xlsx]Best_Job_Tardiness'!$B:$B"))/($D$2-INDIRECT("'[SA_results" &amp; $C8 &amp; ".xlsx]Total_Rejected_Jobs'!$A$2"))</f>
        <v>#REF!</v>
      </c>
      <c r="Q8" s="23" t="str">
        <f t="shared" ref="Q8:Q13" ca="1" si="4">IFERROR(AVERAGE(INDIRECT("'[SA_results" &amp; $C8 &amp; ".xlsx]Best_Batch_Utilization'!C:C")),"")</f>
        <v/>
      </c>
      <c r="R8" s="5" t="e" cm="1">
        <f t="array" aca="1" ref="R8" ca="1">SUM(INDIRECT("'[SA_results" &amp; $C8 &amp; ".xlsx]Best_Job_Completion_Time'!$B:$B"))/($D$2-INDIRECT("'[SA_results" &amp; $C8 &amp; ".xlsx]Total_Rejected_Jobs'!$A$2"))</f>
        <v>#REF!</v>
      </c>
      <c r="S8" s="35"/>
      <c r="T8" s="23" t="e" cm="1">
        <f t="array" aca="1" ref="T8" ca="1">INDIRECT("'[SA_results" &amp; $C8 &amp; ".xlsx]Best_Objective'!$A$2")</f>
        <v>#REF!</v>
      </c>
      <c r="U8" s="33" t="e" cm="1">
        <f t="array" aca="1" ref="U8" ca="1">INDIRECT("'[SA_results" &amp; $C8 &amp; ".xlsx]Running_Time'!$A$2")</f>
        <v>#REF!</v>
      </c>
      <c r="V8" s="5" t="e">
        <f t="shared" ca="1" si="2"/>
        <v>#REF!</v>
      </c>
      <c r="W8" s="23" t="e" cm="1">
        <f t="array" aca="1" ref="W8" ca="1">INDIRECT("'[SA_results" &amp; $C8 &amp; ".xlsx]Acceptance_Rate'!$A$2")</f>
        <v>#REF!</v>
      </c>
      <c r="X8" s="33" t="e" cm="1">
        <f t="array" aca="1" ref="X8" ca="1">SUM(INDIRECT("'[SA_results" &amp; $C8 &amp; ".xlsx]Best_Job_Tardiness'!$B:$B"))/($D$2-INDIRECT("'[SA_results" &amp; $C8 &amp; ".xlsx]Total_Rejected_Jobs'!$A$2"))</f>
        <v>#REF!</v>
      </c>
      <c r="Y8" s="23" t="str">
        <f t="shared" ref="Y8:Y13" ca="1" si="5">IFERROR(AVERAGE(INDIRECT("'[SA_results" &amp; $C8 &amp; ".xlsx]Best_Batch_Utilization'!C:C")),"")</f>
        <v/>
      </c>
      <c r="Z8" s="5" t="e" cm="1">
        <f t="array" aca="1" ref="Z8" ca="1">SUM(INDIRECT("'[SA_results" &amp; $C8 &amp; ".xlsx]Best_Job_Completion_Time'!$B:$B"))/($D$2-INDIRECT("'[SA_results" &amp; $C8 &amp; ".xlsx]Total_Rejected_Jobs'!$A$2"))</f>
        <v>#REF!</v>
      </c>
      <c r="AA8" s="35"/>
    </row>
    <row r="9" spans="2:27" x14ac:dyDescent="0.2">
      <c r="B9" s="4">
        <v>6</v>
      </c>
      <c r="C9" s="4">
        <v>333</v>
      </c>
      <c r="D9" s="23">
        <v>1155075.914594016</v>
      </c>
      <c r="E9" s="33">
        <v>124.98730038462853</v>
      </c>
      <c r="F9" s="5">
        <v>13</v>
      </c>
      <c r="G9" s="23">
        <v>94</v>
      </c>
      <c r="H9" s="33">
        <v>315.4818009440686</v>
      </c>
      <c r="I9" s="23">
        <v>43.565165325317544</v>
      </c>
      <c r="J9" s="5">
        <v>5346.775780707324</v>
      </c>
      <c r="K9" s="31"/>
      <c r="L9" s="23" t="e" cm="1">
        <f t="array" aca="1" ref="L9" ca="1">INDIRECT("'[SA_results" &amp; $C9 &amp; ".xlsx]Best_Objective'!$A$2")</f>
        <v>#REF!</v>
      </c>
      <c r="M9" s="33" t="e" cm="1">
        <f t="array" aca="1" ref="M9" ca="1">INDIRECT("'[SA_results" &amp; $C9 &amp; ".xlsx]Running_Time'!$A$2")</f>
        <v>#REF!</v>
      </c>
      <c r="N9" s="5" t="e">
        <f t="shared" ca="1" si="0"/>
        <v>#REF!</v>
      </c>
      <c r="O9" s="23" t="e" cm="1">
        <f t="array" aca="1" ref="O9" ca="1">INDIRECT("'[SA_results" &amp; $C9 &amp; ".xlsx]Acceptance_Rate'!$A$2")</f>
        <v>#REF!</v>
      </c>
      <c r="P9" s="33" t="e" cm="1">
        <f t="array" aca="1" ref="P9" ca="1">SUM(INDIRECT("'[SA_results" &amp; $C9 &amp; ".xlsx]Best_Job_Tardiness'!$B:$B"))/($D$2-INDIRECT("'[SA_results" &amp; $C9 &amp; ".xlsx]Total_Rejected_Jobs'!$A$2"))</f>
        <v>#REF!</v>
      </c>
      <c r="Q9" s="23" t="str">
        <f t="shared" ca="1" si="4"/>
        <v/>
      </c>
      <c r="R9" s="5" t="e" cm="1">
        <f t="array" aca="1" ref="R9" ca="1">SUM(INDIRECT("'[SA_results" &amp; $C9 &amp; ".xlsx]Best_Job_Completion_Time'!$B:$B"))/($D$2-INDIRECT("'[SA_results" &amp; $C9 &amp; ".xlsx]Total_Rejected_Jobs'!$A$2"))</f>
        <v>#REF!</v>
      </c>
      <c r="S9" s="35"/>
      <c r="T9" s="23" t="e" cm="1">
        <f t="array" aca="1" ref="T9" ca="1">INDIRECT("'[SA_results" &amp; $C9 &amp; ".xlsx]Best_Objective'!$A$2")</f>
        <v>#REF!</v>
      </c>
      <c r="U9" s="33" t="e" cm="1">
        <f t="array" aca="1" ref="U9" ca="1">INDIRECT("'[SA_results" &amp; $C9 &amp; ".xlsx]Running_Time'!$A$2")</f>
        <v>#REF!</v>
      </c>
      <c r="V9" s="5" t="e">
        <f t="shared" ca="1" si="2"/>
        <v>#REF!</v>
      </c>
      <c r="W9" s="23" t="e" cm="1">
        <f t="array" aca="1" ref="W9" ca="1">INDIRECT("'[SA_results" &amp; $C9 &amp; ".xlsx]Acceptance_Rate'!$A$2")</f>
        <v>#REF!</v>
      </c>
      <c r="X9" s="33" t="e" cm="1">
        <f t="array" aca="1" ref="X9" ca="1">SUM(INDIRECT("'[SA_results" &amp; $C9 &amp; ".xlsx]Best_Job_Tardiness'!$B:$B"))/($D$2-INDIRECT("'[SA_results" &amp; $C9 &amp; ".xlsx]Total_Rejected_Jobs'!$A$2"))</f>
        <v>#REF!</v>
      </c>
      <c r="Y9" s="23" t="str">
        <f t="shared" ca="1" si="5"/>
        <v/>
      </c>
      <c r="Z9" s="5" t="e" cm="1">
        <f t="array" aca="1" ref="Z9" ca="1">SUM(INDIRECT("'[SA_results" &amp; $C9 &amp; ".xlsx]Best_Job_Completion_Time'!$B:$B"))/($D$2-INDIRECT("'[SA_results" &amp; $C9 &amp; ".xlsx]Total_Rejected_Jobs'!$A$2"))</f>
        <v>#REF!</v>
      </c>
      <c r="AA9" s="35"/>
    </row>
    <row r="10" spans="2:27" x14ac:dyDescent="0.2">
      <c r="B10" s="4">
        <v>7</v>
      </c>
      <c r="C10" s="4">
        <v>475</v>
      </c>
      <c r="D10" s="23">
        <v>1183868.953052948</v>
      </c>
      <c r="E10" s="33">
        <v>177.72703538460729</v>
      </c>
      <c r="F10" s="5">
        <v>12</v>
      </c>
      <c r="G10" s="23">
        <v>94</v>
      </c>
      <c r="H10" s="33">
        <v>521.56548228476356</v>
      </c>
      <c r="I10" s="23">
        <v>47.834075658752916</v>
      </c>
      <c r="J10" s="5">
        <v>5524.5107805118623</v>
      </c>
      <c r="K10" s="31"/>
      <c r="L10" s="23" t="e" cm="1">
        <f t="array" aca="1" ref="L10" ca="1">INDIRECT("'[SA_results" &amp; $C10 &amp; ".xlsx]Best_Objective'!$A$2")</f>
        <v>#REF!</v>
      </c>
      <c r="M10" s="33" t="e" cm="1">
        <f t="array" aca="1" ref="M10" ca="1">INDIRECT("'[SA_results" &amp; $C10 &amp; ".xlsx]Running_Time'!$A$2")</f>
        <v>#REF!</v>
      </c>
      <c r="N10" s="5" t="e">
        <f t="shared" ca="1" si="0"/>
        <v>#REF!</v>
      </c>
      <c r="O10" s="23" t="e" cm="1">
        <f t="array" aca="1" ref="O10" ca="1">INDIRECT("'[SA_results" &amp; $C10 &amp; ".xlsx]Acceptance_Rate'!$A$2")</f>
        <v>#REF!</v>
      </c>
      <c r="P10" s="33" t="e" cm="1">
        <f t="array" aca="1" ref="P10" ca="1">SUM(INDIRECT("'[SA_results" &amp; $C10 &amp; ".xlsx]Best_Job_Tardiness'!$B:$B"))/($D$2-INDIRECT("'[SA_results" &amp; $C10 &amp; ".xlsx]Total_Rejected_Jobs'!$A$2"))</f>
        <v>#REF!</v>
      </c>
      <c r="Q10" s="23" t="str">
        <f t="shared" ca="1" si="4"/>
        <v/>
      </c>
      <c r="R10" s="5" t="e" cm="1">
        <f t="array" aca="1" ref="R10" ca="1">SUM(INDIRECT("'[SA_results" &amp; $C10 &amp; ".xlsx]Best_Job_Completion_Time'!$B:$B"))/($D$2-INDIRECT("'[SA_results" &amp; $C10 &amp; ".xlsx]Total_Rejected_Jobs'!$A$2"))</f>
        <v>#REF!</v>
      </c>
      <c r="S10" s="35"/>
      <c r="T10" s="23" t="e" cm="1">
        <f t="array" aca="1" ref="T10" ca="1">INDIRECT("'[SA_results" &amp; $C10 &amp; ".xlsx]Best_Objective'!$A$2")</f>
        <v>#REF!</v>
      </c>
      <c r="U10" s="33" t="e" cm="1">
        <f t="array" aca="1" ref="U10" ca="1">INDIRECT("'[SA_results" &amp; $C10 &amp; ".xlsx]Running_Time'!$A$2")</f>
        <v>#REF!</v>
      </c>
      <c r="V10" s="5" t="e">
        <f t="shared" ca="1" si="2"/>
        <v>#REF!</v>
      </c>
      <c r="W10" s="23" t="e" cm="1">
        <f t="array" aca="1" ref="W10" ca="1">INDIRECT("'[SA_results" &amp; $C10 &amp; ".xlsx]Acceptance_Rate'!$A$2")</f>
        <v>#REF!</v>
      </c>
      <c r="X10" s="33" t="e" cm="1">
        <f t="array" aca="1" ref="X10" ca="1">SUM(INDIRECT("'[SA_results" &amp; $C10 &amp; ".xlsx]Best_Job_Tardiness'!$B:$B"))/($D$2-INDIRECT("'[SA_results" &amp; $C10 &amp; ".xlsx]Total_Rejected_Jobs'!$A$2"))</f>
        <v>#REF!</v>
      </c>
      <c r="Y10" s="23" t="str">
        <f t="shared" ca="1" si="5"/>
        <v/>
      </c>
      <c r="Z10" s="5" t="e" cm="1">
        <f t="array" aca="1" ref="Z10" ca="1">SUM(INDIRECT("'[SA_results" &amp; $C10 &amp; ".xlsx]Best_Job_Completion_Time'!$B:$B"))/($D$2-INDIRECT("'[SA_results" &amp; $C10 &amp; ".xlsx]Total_Rejected_Jobs'!$A$2"))</f>
        <v>#REF!</v>
      </c>
      <c r="AA10" s="35"/>
    </row>
    <row r="11" spans="2:27" x14ac:dyDescent="0.2">
      <c r="B11" s="4">
        <v>8</v>
      </c>
      <c r="C11" s="4">
        <v>637</v>
      </c>
      <c r="D11" s="23">
        <v>1183868.953052948</v>
      </c>
      <c r="E11" s="33">
        <v>188.87606300001676</v>
      </c>
      <c r="F11" s="5">
        <v>12</v>
      </c>
      <c r="G11" s="23">
        <v>94</v>
      </c>
      <c r="H11" s="33">
        <v>521.56548228476356</v>
      </c>
      <c r="I11" s="23">
        <v>47.834075658752916</v>
      </c>
      <c r="J11" s="5">
        <v>5524.5107805118623</v>
      </c>
      <c r="K11" s="31"/>
      <c r="L11" s="23" t="e" cm="1">
        <f t="array" aca="1" ref="L11" ca="1">INDIRECT("'[SA_results" &amp; $C11 &amp; ".xlsx]Best_Objective'!$A$2")</f>
        <v>#REF!</v>
      </c>
      <c r="M11" s="33" t="e" cm="1">
        <f t="array" aca="1" ref="M11" ca="1">INDIRECT("'[SA_results" &amp; $C11 &amp; ".xlsx]Running_Time'!$A$2")</f>
        <v>#REF!</v>
      </c>
      <c r="N11" s="5" t="e">
        <f t="shared" ca="1" si="0"/>
        <v>#REF!</v>
      </c>
      <c r="O11" s="23" t="e" cm="1">
        <f t="array" aca="1" ref="O11" ca="1">INDIRECT("'[SA_results" &amp; $C11 &amp; ".xlsx]Acceptance_Rate'!$A$2")</f>
        <v>#REF!</v>
      </c>
      <c r="P11" s="33" t="e" cm="1">
        <f t="array" aca="1" ref="P11" ca="1">SUM(INDIRECT("'[SA_results" &amp; $C11 &amp; ".xlsx]Best_Job_Tardiness'!$B:$B"))/($D$2-INDIRECT("'[SA_results" &amp; $C11 &amp; ".xlsx]Total_Rejected_Jobs'!$A$2"))</f>
        <v>#REF!</v>
      </c>
      <c r="Q11" s="23" t="str">
        <f t="shared" ca="1" si="4"/>
        <v/>
      </c>
      <c r="R11" s="5" t="e" cm="1">
        <f t="array" aca="1" ref="R11" ca="1">SUM(INDIRECT("'[SA_results" &amp; $C11 &amp; ".xlsx]Best_Job_Completion_Time'!$B:$B"))/($D$2-INDIRECT("'[SA_results" &amp; $C11 &amp; ".xlsx]Total_Rejected_Jobs'!$A$2"))</f>
        <v>#REF!</v>
      </c>
      <c r="S11" s="35"/>
      <c r="T11" s="23" t="e" cm="1">
        <f t="array" aca="1" ref="T11" ca="1">INDIRECT("'[SA_results" &amp; $C11 &amp; ".xlsx]Best_Objective'!$A$2")</f>
        <v>#REF!</v>
      </c>
      <c r="U11" s="33" t="e" cm="1">
        <f t="array" aca="1" ref="U11" ca="1">INDIRECT("'[SA_results" &amp; $C11 &amp; ".xlsx]Running_Time'!$A$2")</f>
        <v>#REF!</v>
      </c>
      <c r="V11" s="5" t="e">
        <f t="shared" ca="1" si="2"/>
        <v>#REF!</v>
      </c>
      <c r="W11" s="23" t="e" cm="1">
        <f t="array" aca="1" ref="W11" ca="1">INDIRECT("'[SA_results" &amp; $C11 &amp; ".xlsx]Acceptance_Rate'!$A$2")</f>
        <v>#REF!</v>
      </c>
      <c r="X11" s="33" t="e" cm="1">
        <f t="array" aca="1" ref="X11" ca="1">SUM(INDIRECT("'[SA_results" &amp; $C11 &amp; ".xlsx]Best_Job_Tardiness'!$B:$B"))/($D$2-INDIRECT("'[SA_results" &amp; $C11 &amp; ".xlsx]Total_Rejected_Jobs'!$A$2"))</f>
        <v>#REF!</v>
      </c>
      <c r="Y11" s="23" t="str">
        <f t="shared" ca="1" si="5"/>
        <v/>
      </c>
      <c r="Z11" s="5" t="e" cm="1">
        <f t="array" aca="1" ref="Z11" ca="1">SUM(INDIRECT("'[SA_results" &amp; $C11 &amp; ".xlsx]Best_Job_Completion_Time'!$B:$B"))/($D$2-INDIRECT("'[SA_results" &amp; $C11 &amp; ".xlsx]Total_Rejected_Jobs'!$A$2"))</f>
        <v>#REF!</v>
      </c>
      <c r="AA11" s="35"/>
    </row>
    <row r="12" spans="2:27" x14ac:dyDescent="0.2">
      <c r="B12" s="4">
        <v>9</v>
      </c>
      <c r="C12" s="4">
        <v>903</v>
      </c>
      <c r="D12" s="23">
        <v>1175236.7998209151</v>
      </c>
      <c r="E12" s="33">
        <v>169.29325138460484</v>
      </c>
      <c r="F12" s="5">
        <v>13</v>
      </c>
      <c r="G12" s="23">
        <v>94</v>
      </c>
      <c r="H12" s="33">
        <v>385.7997171012762</v>
      </c>
      <c r="I12" s="23">
        <v>43.97680808942669</v>
      </c>
      <c r="J12" s="5">
        <v>5432.5516405024864</v>
      </c>
      <c r="K12" s="31"/>
      <c r="L12" s="23" t="e" cm="1">
        <f t="array" aca="1" ref="L12" ca="1">INDIRECT("'[SA_results" &amp; $C12 &amp; ".xlsx]Best_Objective'!$A$2")</f>
        <v>#REF!</v>
      </c>
      <c r="M12" s="33" t="e" cm="1">
        <f t="array" aca="1" ref="M12" ca="1">INDIRECT("'[SA_results" &amp; $C12 &amp; ".xlsx]Running_Time'!$A$2")</f>
        <v>#REF!</v>
      </c>
      <c r="N12" s="5" t="e">
        <f t="shared" ca="1" si="0"/>
        <v>#REF!</v>
      </c>
      <c r="O12" s="23" t="e" cm="1">
        <f t="array" aca="1" ref="O12" ca="1">INDIRECT("'[SA_results" &amp; $C12 &amp; ".xlsx]Acceptance_Rate'!$A$2")</f>
        <v>#REF!</v>
      </c>
      <c r="P12" s="33" t="e" cm="1">
        <f t="array" aca="1" ref="P12" ca="1">SUM(INDIRECT("'[SA_results" &amp; $C12 &amp; ".xlsx]Best_Job_Tardiness'!$B:$B"))/($D$2-INDIRECT("'[SA_results" &amp; $C12 &amp; ".xlsx]Total_Rejected_Jobs'!$A$2"))</f>
        <v>#REF!</v>
      </c>
      <c r="Q12" s="23" t="str">
        <f t="shared" ca="1" si="4"/>
        <v/>
      </c>
      <c r="R12" s="5" t="e" cm="1">
        <f t="array" aca="1" ref="R12" ca="1">SUM(INDIRECT("'[SA_results" &amp; $C12 &amp; ".xlsx]Best_Job_Completion_Time'!$B:$B"))/($D$2-INDIRECT("'[SA_results" &amp; $C12 &amp; ".xlsx]Total_Rejected_Jobs'!$A$2"))</f>
        <v>#REF!</v>
      </c>
      <c r="S12" s="35"/>
      <c r="T12" s="23" t="e" cm="1">
        <f t="array" aca="1" ref="T12" ca="1">INDIRECT("'[SA_results" &amp; $C12 &amp; ".xlsx]Best_Objective'!$A$2")</f>
        <v>#REF!</v>
      </c>
      <c r="U12" s="33" t="e" cm="1">
        <f t="array" aca="1" ref="U12" ca="1">INDIRECT("'[SA_results" &amp; $C12 &amp; ".xlsx]Running_Time'!$A$2")</f>
        <v>#REF!</v>
      </c>
      <c r="V12" s="5" t="e">
        <f t="shared" ca="1" si="2"/>
        <v>#REF!</v>
      </c>
      <c r="W12" s="23" t="e" cm="1">
        <f t="array" aca="1" ref="W12" ca="1">INDIRECT("'[SA_results" &amp; $C12 &amp; ".xlsx]Acceptance_Rate'!$A$2")</f>
        <v>#REF!</v>
      </c>
      <c r="X12" s="33" t="e" cm="1">
        <f t="array" aca="1" ref="X12" ca="1">SUM(INDIRECT("'[SA_results" &amp; $C12 &amp; ".xlsx]Best_Job_Tardiness'!$B:$B"))/($D$2-INDIRECT("'[SA_results" &amp; $C12 &amp; ".xlsx]Total_Rejected_Jobs'!$A$2"))</f>
        <v>#REF!</v>
      </c>
      <c r="Y12" s="23" t="str">
        <f t="shared" ca="1" si="5"/>
        <v/>
      </c>
      <c r="Z12" s="5" t="e" cm="1">
        <f t="array" aca="1" ref="Z12" ca="1">SUM(INDIRECT("'[SA_results" &amp; $C12 &amp; ".xlsx]Best_Job_Completion_Time'!$B:$B"))/($D$2-INDIRECT("'[SA_results" &amp; $C12 &amp; ".xlsx]Total_Rejected_Jobs'!$A$2"))</f>
        <v>#REF!</v>
      </c>
      <c r="AA12" s="35"/>
    </row>
    <row r="13" spans="2:27" x14ac:dyDescent="0.2">
      <c r="B13" s="4">
        <v>10</v>
      </c>
      <c r="C13" s="4">
        <v>998</v>
      </c>
      <c r="D13" s="23">
        <v>1157102.776712934</v>
      </c>
      <c r="E13" s="33">
        <v>180.61401653846798</v>
      </c>
      <c r="F13" s="5">
        <v>13</v>
      </c>
      <c r="G13" s="23">
        <v>94</v>
      </c>
      <c r="H13" s="33">
        <v>310.69270707462476</v>
      </c>
      <c r="I13" s="23">
        <v>43.500701755209576</v>
      </c>
      <c r="J13" s="5">
        <v>5348.9870947343234</v>
      </c>
      <c r="K13" s="31"/>
      <c r="L13" s="23" t="e" cm="1">
        <f t="array" aca="1" ref="L13" ca="1">INDIRECT("'[SA_results" &amp; $C13 &amp; ".xlsx]Best_Objective'!$A$2")</f>
        <v>#REF!</v>
      </c>
      <c r="M13" s="33" t="e" cm="1">
        <f t="array" aca="1" ref="M13" ca="1">INDIRECT("'[SA_results" &amp; $C13 &amp; ".xlsx]Running_Time'!$A$2")</f>
        <v>#REF!</v>
      </c>
      <c r="N13" s="5" t="e">
        <f t="shared" ca="1" si="0"/>
        <v>#REF!</v>
      </c>
      <c r="O13" s="23" t="e" cm="1">
        <f t="array" aca="1" ref="O13" ca="1">INDIRECT("'[SA_results" &amp; $C13 &amp; ".xlsx]Acceptance_Rate'!$A$2")</f>
        <v>#REF!</v>
      </c>
      <c r="P13" s="33" t="e" cm="1">
        <f t="array" aca="1" ref="P13" ca="1">SUM(INDIRECT("'[SA_results" &amp; $C13 &amp; ".xlsx]Best_Job_Tardiness'!$B:$B"))/($D$2-INDIRECT("'[SA_results" &amp; $C13 &amp; ".xlsx]Total_Rejected_Jobs'!$A$2"))</f>
        <v>#REF!</v>
      </c>
      <c r="Q13" s="23" t="str">
        <f t="shared" ca="1" si="4"/>
        <v/>
      </c>
      <c r="R13" s="5" t="e" cm="1">
        <f t="array" aca="1" ref="R13" ca="1">SUM(INDIRECT("'[SA_results" &amp; $C13 &amp; ".xlsx]Best_Job_Completion_Time'!$B:$B"))/($D$2-INDIRECT("'[SA_results" &amp; $C13 &amp; ".xlsx]Total_Rejected_Jobs'!$A$2"))</f>
        <v>#REF!</v>
      </c>
      <c r="S13" s="35"/>
      <c r="T13" s="23" t="e" cm="1">
        <f t="array" aca="1" ref="T13" ca="1">INDIRECT("'[SA_results" &amp; $C13 &amp; ".xlsx]Best_Objective'!$A$2")</f>
        <v>#REF!</v>
      </c>
      <c r="U13" s="33" t="e" cm="1">
        <f t="array" aca="1" ref="U13" ca="1">INDIRECT("'[SA_results" &amp; $C13 &amp; ".xlsx]Running_Time'!$A$2")</f>
        <v>#REF!</v>
      </c>
      <c r="V13" s="5" t="e">
        <f t="shared" ca="1" si="2"/>
        <v>#REF!</v>
      </c>
      <c r="W13" s="23" t="e" cm="1">
        <f t="array" aca="1" ref="W13" ca="1">INDIRECT("'[SA_results" &amp; $C13 &amp; ".xlsx]Acceptance_Rate'!$A$2")</f>
        <v>#REF!</v>
      </c>
      <c r="X13" s="33" t="e" cm="1">
        <f t="array" aca="1" ref="X13" ca="1">SUM(INDIRECT("'[SA_results" &amp; $C13 &amp; ".xlsx]Best_Job_Tardiness'!$B:$B"))/($D$2-INDIRECT("'[SA_results" &amp; $C13 &amp; ".xlsx]Total_Rejected_Jobs'!$A$2"))</f>
        <v>#REF!</v>
      </c>
      <c r="Y13" s="23" t="str">
        <f t="shared" ca="1" si="5"/>
        <v/>
      </c>
      <c r="Z13" s="5" t="e" cm="1">
        <f t="array" aca="1" ref="Z13" ca="1">SUM(INDIRECT("'[SA_results" &amp; $C13 &amp; ".xlsx]Best_Job_Completion_Time'!$B:$B"))/($D$2-INDIRECT("'[SA_results" &amp; $C13 &amp; ".xlsx]Total_Rejected_Jobs'!$A$2"))</f>
        <v>#REF!</v>
      </c>
      <c r="AA13" s="35"/>
    </row>
    <row r="14" spans="2:27" x14ac:dyDescent="0.2">
      <c r="B14" s="49" t="s">
        <v>3</v>
      </c>
      <c r="C14" s="50"/>
      <c r="D14" s="9">
        <f>MIN(D4:D13)</f>
        <v>1155075.914594016</v>
      </c>
      <c r="E14" s="22">
        <f>INDEX(E4:E13, MATCH($D$14, D4:D13, 0))</f>
        <v>124.98730038462853</v>
      </c>
      <c r="F14" s="9">
        <f>INDEX(F4:F13, MATCH($D$14, D4:D13, 0))</f>
        <v>13</v>
      </c>
      <c r="G14" s="9">
        <f>INDEX(G4:G13, MATCH($D$14, D4:D13, 0))</f>
        <v>94</v>
      </c>
      <c r="H14" s="22">
        <f>INDEX(H4:H13, MATCH($D$14, D4:D13, 0))</f>
        <v>315.4818009440686</v>
      </c>
      <c r="I14" s="22">
        <f>INDEX(I4:I13, MATCH($D$14, D4:D13, 0))</f>
        <v>43.565165325317544</v>
      </c>
      <c r="J14" s="22">
        <f>INDEX(J4:J13, MATCH($D$14, D4:D13, 0))</f>
        <v>5346.775780707324</v>
      </c>
      <c r="K14" s="32" t="e">
        <f>(D14-$D$15)/$D$15</f>
        <v>#DIV/0!</v>
      </c>
      <c r="L14" s="16" t="e">
        <f ca="1">MIN(L4:L13)</f>
        <v>#REF!</v>
      </c>
      <c r="M14" s="21" t="e">
        <f ca="1">INDEX(M4:M13, MATCH($L$14, L4:L13, 0))</f>
        <v>#REF!</v>
      </c>
      <c r="N14" s="16" t="e">
        <f ca="1">INDEX(N4:N13, MATCH($L$14, L4:L13, 0))</f>
        <v>#REF!</v>
      </c>
      <c r="O14" s="16" t="e">
        <f ca="1">INDEX(O4:O13, MATCH($L$14, L4:L13, 0))</f>
        <v>#REF!</v>
      </c>
      <c r="P14" s="21" t="e">
        <f ca="1">INDEX(P4:P13, MATCH($L$14, L4:L13, 0))</f>
        <v>#REF!</v>
      </c>
      <c r="Q14" s="21" t="e">
        <f ca="1">INDEX(Q4:Q13, MATCH($L$14, L4:L13, 0))</f>
        <v>#REF!</v>
      </c>
      <c r="R14" s="21" t="e">
        <f ca="1">INDEX(R4:R13, MATCH($L$14, L4:L13, 0))</f>
        <v>#REF!</v>
      </c>
      <c r="S14" s="36" t="e">
        <f ca="1">(L14-$D$15)/$D$15</f>
        <v>#REF!</v>
      </c>
      <c r="T14" s="38" t="e">
        <f ca="1">MIN(T4:T13)</f>
        <v>#REF!</v>
      </c>
      <c r="U14" s="39" t="e">
        <f ca="1">INDEX(U4:U13, MATCH($T$14, T4:T13, 0))</f>
        <v>#REF!</v>
      </c>
      <c r="V14" s="38" t="e">
        <f ca="1">INDEX(V4:V13, MATCH($T$14, T4:T13, 0))</f>
        <v>#REF!</v>
      </c>
      <c r="W14" s="38" t="e">
        <f ca="1">INDEX(W4:W13, MATCH($T$14, T4:T13, 0))</f>
        <v>#REF!</v>
      </c>
      <c r="X14" s="39" t="e">
        <f ca="1">INDEX(X4:X13, MATCH($T$14, T4:T13, 0))</f>
        <v>#REF!</v>
      </c>
      <c r="Y14" s="39" t="e">
        <f ca="1">INDEX(Y4:Y13, MATCH($T$14, T4:T13, 0))</f>
        <v>#REF!</v>
      </c>
      <c r="Z14" s="39" t="e">
        <f ca="1">INDEX(Z4:Z13, MATCH($T$14, T4:T13, 0))</f>
        <v>#REF!</v>
      </c>
      <c r="AA14" s="40" t="e">
        <f ca="1">(T14-$D$15)/$D$15</f>
        <v>#REF!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 t="e">
        <f ca="1">(L14-D14)/D14</f>
        <v>#REF!</v>
      </c>
      <c r="M15" s="41" t="e">
        <f t="shared" ref="M15:R15" ca="1" si="6">(M14-E14)/E14</f>
        <v>#REF!</v>
      </c>
      <c r="N15" s="41" t="e">
        <f t="shared" ca="1" si="6"/>
        <v>#REF!</v>
      </c>
      <c r="O15" s="41" t="e">
        <f t="shared" ca="1" si="6"/>
        <v>#REF!</v>
      </c>
      <c r="P15" s="41" t="e">
        <f t="shared" ca="1" si="6"/>
        <v>#REF!</v>
      </c>
      <c r="Q15" s="41" t="e">
        <f t="shared" ca="1" si="6"/>
        <v>#REF!</v>
      </c>
      <c r="R15" s="41" t="e">
        <f t="shared" ca="1" si="6"/>
        <v>#REF!</v>
      </c>
      <c r="T15" s="41" t="e">
        <f ca="1">(T14-D14)/D14</f>
        <v>#REF!</v>
      </c>
      <c r="U15" s="41" t="e">
        <f t="shared" ref="U15:Z15" ca="1" si="7">(U14-E14)/E14</f>
        <v>#REF!</v>
      </c>
      <c r="V15" s="41" t="e">
        <f t="shared" ca="1" si="7"/>
        <v>#REF!</v>
      </c>
      <c r="W15" s="41" t="e">
        <f t="shared" ca="1" si="7"/>
        <v>#REF!</v>
      </c>
      <c r="X15" s="41" t="e">
        <f t="shared" ca="1" si="7"/>
        <v>#REF!</v>
      </c>
      <c r="Y15" s="41" t="e">
        <f t="shared" ca="1" si="7"/>
        <v>#REF!</v>
      </c>
      <c r="Z15" s="41" t="e">
        <f t="shared" ca="1" si="7"/>
        <v>#REF!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:C19 C3 C39:C1048576">
    <cfRule type="duplicateValues" dxfId="107" priority="11"/>
    <cfRule type="duplicateValues" dxfId="106" priority="12"/>
  </conditionalFormatting>
  <conditionalFormatting sqref="C2">
    <cfRule type="duplicateValues" dxfId="105" priority="3"/>
    <cfRule type="duplicateValues" dxfId="104" priority="4"/>
  </conditionalFormatting>
  <conditionalFormatting sqref="C4:C13">
    <cfRule type="duplicateValues" dxfId="103" priority="5"/>
    <cfRule type="duplicateValues" dxfId="102" priority="6"/>
  </conditionalFormatting>
  <conditionalFormatting sqref="C14">
    <cfRule type="duplicateValues" dxfId="101" priority="9"/>
    <cfRule type="duplicateValues" dxfId="100" priority="10"/>
  </conditionalFormatting>
  <conditionalFormatting sqref="C15">
    <cfRule type="duplicateValues" dxfId="99" priority="7"/>
    <cfRule type="duplicateValues" dxfId="98" priority="8"/>
  </conditionalFormatting>
  <conditionalFormatting sqref="C20:C38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9C41-71D6-43C7-8DDF-0A8890644F1D}">
  <dimension ref="B1:AA17"/>
  <sheetViews>
    <sheetView zoomScale="90" zoomScaleNormal="90" workbookViewId="0">
      <selection activeCell="E19" sqref="E19:E3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 t="e">
        <f ca="1">(P14-H14)/H14</f>
        <v>#REF!</v>
      </c>
      <c r="R2" s="1" t="e">
        <f ca="1">(R14-J14)/J14</f>
        <v>#REF!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38</v>
      </c>
      <c r="D4" s="23">
        <v>1121786.2826260659</v>
      </c>
      <c r="E4" s="33">
        <v>323.91321707696005</v>
      </c>
      <c r="F4" s="5">
        <v>13</v>
      </c>
      <c r="G4" s="23">
        <v>98.666666666666671</v>
      </c>
      <c r="H4" s="33">
        <v>619.0229855192207</v>
      </c>
      <c r="I4" s="23">
        <v>45.072103264841239</v>
      </c>
      <c r="J4" s="5">
        <v>5694.8610713517592</v>
      </c>
      <c r="K4" s="31"/>
      <c r="L4" s="23" t="e" cm="1">
        <f t="array" aca="1" ref="L4" ca="1">INDIRECT("'[SA_results" &amp; $C4 &amp; ".xlsx]Best_Objective'!$A$2")</f>
        <v>#REF!</v>
      </c>
      <c r="M4" s="33" t="e" cm="1">
        <f t="array" aca="1" ref="M4" ca="1">INDIRECT("'[SA_results" &amp; $C4 &amp; ".xlsx]Running_Time'!$A$2")</f>
        <v>#REF!</v>
      </c>
      <c r="N4" s="5" t="e">
        <f ca="1">COUNTIF(INDIRECT("'[SA_results" &amp; $C4 &amp; ".xlsx]Best_Batch_Utilization'!C:C"),"&gt;0")</f>
        <v>#REF!</v>
      </c>
      <c r="O4" s="23" t="e" cm="1">
        <f t="array" aca="1" ref="O4" ca="1">INDIRECT("'[SA_results" &amp; $C4 &amp; ".xlsx]Acceptance_Rate'!$A$2")</f>
        <v>#REF!</v>
      </c>
      <c r="P4" s="33" t="e" cm="1">
        <f t="array" aca="1" ref="P4" ca="1">SUM(INDIRECT("'[SA_results" &amp; $C4 &amp; ".xlsx]Best_Job_Tardiness'!$B:$B"))/($D$2-INDIRECT("'[SA_results" &amp; $C4 &amp; ".xlsx]Total_Rejected_Jobs'!$A$2"))</f>
        <v>#REF!</v>
      </c>
      <c r="Q4" s="23" t="str">
        <f ca="1">IFERROR(AVERAGE(INDIRECT("'[SA_results" &amp; $C4 &amp; ".xlsx]Best_Batch_Utilization'!C:C")),"")</f>
        <v/>
      </c>
      <c r="R4" s="5" t="e" cm="1">
        <f t="array" aca="1" ref="R4" ca="1">SUM(INDIRECT("'[SA_results" &amp; $C4 &amp; ".xlsx]Best_Job_Completion_Time'!$B:$B"))/($D$2-INDIRECT("'[SA_results" &amp; $C4 &amp; ".xlsx]Total_Rejected_Jobs'!$A$2"))</f>
        <v>#REF!</v>
      </c>
      <c r="S4" s="35"/>
      <c r="T4" s="23" t="e" cm="1">
        <f t="array" aca="1" ref="T4" ca="1">INDIRECT("'[SA_results" &amp; $C4 &amp; ".xlsx]Best_Objective'!$A$2")</f>
        <v>#REF!</v>
      </c>
      <c r="U4" s="33" t="e" cm="1">
        <f t="array" aca="1" ref="U4" ca="1">INDIRECT("'[SA_results" &amp; $C4 &amp; ".xlsx]Running_Time'!$A$2")</f>
        <v>#REF!</v>
      </c>
      <c r="V4" s="5" t="e">
        <f ca="1">COUNTIF(INDIRECT("'[SA_results" &amp; $C4 &amp; ".xlsx]Best_Batch_Utilization'!C:C"),"&gt;0")</f>
        <v>#REF!</v>
      </c>
      <c r="W4" s="23" t="e" cm="1">
        <f t="array" aca="1" ref="W4" ca="1">INDIRECT("'[SA_results" &amp; $C4 &amp; ".xlsx]Acceptance_Rate'!$A$2")</f>
        <v>#REF!</v>
      </c>
      <c r="X4" s="33" t="e" cm="1">
        <f t="array" aca="1" ref="X4" ca="1">SUM(INDIRECT("'[SA_results" &amp; $C4 &amp; ".xlsx]Best_Job_Tardiness'!$B:$B"))/($D$2-INDIRECT("'[SA_results" &amp; $C4 &amp; ".xlsx]Total_Rejected_Jobs'!$A$2"))</f>
        <v>#REF!</v>
      </c>
      <c r="Y4" s="23" t="str">
        <f ca="1">IFERROR(AVERAGE(INDIRECT("'[SA_results" &amp; $C4 &amp; ".xlsx]Best_Batch_Utilization'!C:C")),"")</f>
        <v/>
      </c>
      <c r="Z4" s="5" t="e" cm="1">
        <f t="array" aca="1" ref="Z4" ca="1">SUM(INDIRECT("'[SA_results" &amp; $C4 &amp; ".xlsx]Best_Job_Completion_Time'!$B:$B"))/($D$2-INDIRECT("'[SA_results" &amp; $C4 &amp; ".xlsx]Total_Rejected_Jobs'!$A$2"))</f>
        <v>#REF!</v>
      </c>
      <c r="AA4" s="35"/>
    </row>
    <row r="5" spans="2:27" x14ac:dyDescent="0.2">
      <c r="B5" s="4">
        <v>2</v>
      </c>
      <c r="C5" s="4">
        <v>43</v>
      </c>
      <c r="D5" s="23">
        <v>1121786.2826260659</v>
      </c>
      <c r="E5" s="33">
        <v>208.6951060769542</v>
      </c>
      <c r="F5" s="5">
        <v>13</v>
      </c>
      <c r="G5" s="23">
        <v>98.666666666666671</v>
      </c>
      <c r="H5" s="33">
        <v>619.0229855192207</v>
      </c>
      <c r="I5" s="23">
        <v>45.072103264841239</v>
      </c>
      <c r="J5" s="5">
        <v>5694.8610713517592</v>
      </c>
      <c r="K5" s="31"/>
      <c r="L5" s="23" t="e" cm="1">
        <f t="array" aca="1" ref="L5" ca="1">INDIRECT("'[SA_results" &amp; $C5 &amp; ".xlsx]Best_Objective'!$A$2")</f>
        <v>#REF!</v>
      </c>
      <c r="M5" s="33" t="e" cm="1">
        <f t="array" aca="1" ref="M5" ca="1">INDIRECT("'[SA_results" &amp; $C5 &amp; ".xlsx]Running_Time'!$A$2")</f>
        <v>#REF!</v>
      </c>
      <c r="N5" s="5" t="e">
        <f t="shared" ref="N5:N13" ca="1" si="0">COUNTIF(INDIRECT("'[SA_results" &amp; $C5 &amp; ".xlsx]Best_Batch_Utilization'!C:C"),"&gt;0")</f>
        <v>#REF!</v>
      </c>
      <c r="O5" s="23" t="e" cm="1">
        <f t="array" aca="1" ref="O5" ca="1">INDIRECT("'[SA_results" &amp; $C5 &amp; ".xlsx]Acceptance_Rate'!$A$2")</f>
        <v>#REF!</v>
      </c>
      <c r="P5" s="33" t="e" cm="1">
        <f t="array" aca="1" ref="P5" ca="1">SUM(INDIRECT("'[SA_results" &amp; $C5 &amp; ".xlsx]Best_Job_Tardiness'!$B:$B"))/($D$2-INDIRECT("'[SA_results" &amp; $C5 &amp; ".xlsx]Total_Rejected_Jobs'!$A$2"))</f>
        <v>#REF!</v>
      </c>
      <c r="Q5" s="23" t="str">
        <f t="shared" ref="Q5:Q6" ca="1" si="1">IFERROR(AVERAGE(INDIRECT("'[SA_results" &amp; $C5 &amp; ".xlsx]Best_Batch_Utilization'!C:C")),"")</f>
        <v/>
      </c>
      <c r="R5" s="5" t="e" cm="1">
        <f t="array" aca="1" ref="R5" ca="1">SUM(INDIRECT("'[SA_results" &amp; $C5 &amp; ".xlsx]Best_Job_Completion_Time'!$B:$B"))/($D$2-INDIRECT("'[SA_results" &amp; $C5 &amp; ".xlsx]Total_Rejected_Jobs'!$A$2"))</f>
        <v>#REF!</v>
      </c>
      <c r="S5" s="35"/>
      <c r="T5" s="23" t="e" cm="1">
        <f t="array" aca="1" ref="T5" ca="1">INDIRECT("'[SA_results" &amp; $C5 &amp; ".xlsx]Best_Objective'!$A$2")</f>
        <v>#REF!</v>
      </c>
      <c r="U5" s="33" t="e" cm="1">
        <f t="array" aca="1" ref="U5" ca="1">INDIRECT("'[SA_results" &amp; $C5 &amp; ".xlsx]Running_Time'!$A$2")</f>
        <v>#REF!</v>
      </c>
      <c r="V5" s="5" t="e">
        <f t="shared" ref="V5:V13" ca="1" si="2">COUNTIF(INDIRECT("'[SA_results" &amp; $C5 &amp; ".xlsx]Best_Batch_Utilization'!C:C"),"&gt;0")</f>
        <v>#REF!</v>
      </c>
      <c r="W5" s="23" t="e" cm="1">
        <f t="array" aca="1" ref="W5" ca="1">INDIRECT("'[SA_results" &amp; $C5 &amp; ".xlsx]Acceptance_Rate'!$A$2")</f>
        <v>#REF!</v>
      </c>
      <c r="X5" s="33" t="e" cm="1">
        <f t="array" aca="1" ref="X5" ca="1">SUM(INDIRECT("'[SA_results" &amp; $C5 &amp; ".xlsx]Best_Job_Tardiness'!$B:$B"))/($D$2-INDIRECT("'[SA_results" &amp; $C5 &amp; ".xlsx]Total_Rejected_Jobs'!$A$2"))</f>
        <v>#REF!</v>
      </c>
      <c r="Y5" s="23" t="str">
        <f t="shared" ref="Y5:Y6" ca="1" si="3">IFERROR(AVERAGE(INDIRECT("'[SA_results" &amp; $C5 &amp; ".xlsx]Best_Batch_Utilization'!C:C")),"")</f>
        <v/>
      </c>
      <c r="Z5" s="5" t="e" cm="1">
        <f t="array" aca="1" ref="Z5" ca="1">SUM(INDIRECT("'[SA_results" &amp; $C5 &amp; ".xlsx]Best_Job_Completion_Time'!$B:$B"))/($D$2-INDIRECT("'[SA_results" &amp; $C5 &amp; ".xlsx]Total_Rejected_Jobs'!$A$2"))</f>
        <v>#REF!</v>
      </c>
      <c r="AA5" s="35"/>
    </row>
    <row r="6" spans="2:27" x14ac:dyDescent="0.2">
      <c r="B6" s="4">
        <v>3</v>
      </c>
      <c r="C6" s="4">
        <v>165</v>
      </c>
      <c r="D6" s="23">
        <v>1146239.0879266439</v>
      </c>
      <c r="E6" s="33">
        <v>145.33956584610183</v>
      </c>
      <c r="F6" s="5">
        <v>14</v>
      </c>
      <c r="G6" s="23">
        <v>98.666666666666671</v>
      </c>
      <c r="H6" s="33">
        <v>647.95799584527902</v>
      </c>
      <c r="I6" s="23">
        <v>42.327934779083762</v>
      </c>
      <c r="J6" s="5">
        <v>5712.7035541894957</v>
      </c>
      <c r="K6" s="31"/>
      <c r="L6" s="23" t="e" cm="1">
        <f t="array" aca="1" ref="L6" ca="1">INDIRECT("'[SA_results" &amp; $C6 &amp; ".xlsx]Best_Objective'!$A$2")</f>
        <v>#REF!</v>
      </c>
      <c r="M6" s="33" t="e" cm="1">
        <f t="array" aca="1" ref="M6" ca="1">INDIRECT("'[SA_results" &amp; $C6 &amp; ".xlsx]Running_Time'!$A$2")</f>
        <v>#REF!</v>
      </c>
      <c r="N6" s="5" t="e">
        <f t="shared" ca="1" si="0"/>
        <v>#REF!</v>
      </c>
      <c r="O6" s="23" t="e" cm="1">
        <f t="array" aca="1" ref="O6" ca="1">INDIRECT("'[SA_results" &amp; $C6 &amp; ".xlsx]Acceptance_Rate'!$A$2")</f>
        <v>#REF!</v>
      </c>
      <c r="P6" s="33" t="e" cm="1">
        <f t="array" aca="1" ref="P6" ca="1">SUM(INDIRECT("'[SA_results" &amp; $C6 &amp; ".xlsx]Best_Job_Tardiness'!$B:$B"))/($D$2-INDIRECT("'[SA_results" &amp; $C6 &amp; ".xlsx]Total_Rejected_Jobs'!$A$2"))</f>
        <v>#REF!</v>
      </c>
      <c r="Q6" s="23" t="str">
        <f t="shared" ca="1" si="1"/>
        <v/>
      </c>
      <c r="R6" s="5" t="e" cm="1">
        <f t="array" aca="1" ref="R6" ca="1">SUM(INDIRECT("'[SA_results" &amp; $C6 &amp; ".xlsx]Best_Job_Completion_Time'!$B:$B"))/($D$2-INDIRECT("'[SA_results" &amp; $C6 &amp; ".xlsx]Total_Rejected_Jobs'!$A$2"))</f>
        <v>#REF!</v>
      </c>
      <c r="S6" s="35"/>
      <c r="T6" s="23" t="e" cm="1">
        <f t="array" aca="1" ref="T6" ca="1">INDIRECT("'[SA_results" &amp; $C6 &amp; ".xlsx]Best_Objective'!$A$2")</f>
        <v>#REF!</v>
      </c>
      <c r="U6" s="33" t="e" cm="1">
        <f t="array" aca="1" ref="U6" ca="1">INDIRECT("'[SA_results" &amp; $C6 &amp; ".xlsx]Running_Time'!$A$2")</f>
        <v>#REF!</v>
      </c>
      <c r="V6" s="5" t="e">
        <f t="shared" ca="1" si="2"/>
        <v>#REF!</v>
      </c>
      <c r="W6" s="23" t="e" cm="1">
        <f t="array" aca="1" ref="W6" ca="1">INDIRECT("'[SA_results" &amp; $C6 &amp; ".xlsx]Acceptance_Rate'!$A$2")</f>
        <v>#REF!</v>
      </c>
      <c r="X6" s="33" t="e" cm="1">
        <f t="array" aca="1" ref="X6" ca="1">SUM(INDIRECT("'[SA_results" &amp; $C6 &amp; ".xlsx]Best_Job_Tardiness'!$B:$B"))/($D$2-INDIRECT("'[SA_results" &amp; $C6 &amp; ".xlsx]Total_Rejected_Jobs'!$A$2"))</f>
        <v>#REF!</v>
      </c>
      <c r="Y6" s="23" t="str">
        <f t="shared" ca="1" si="3"/>
        <v/>
      </c>
      <c r="Z6" s="5" t="e" cm="1">
        <f t="array" aca="1" ref="Z6" ca="1">SUM(INDIRECT("'[SA_results" &amp; $C6 &amp; ".xlsx]Best_Job_Completion_Time'!$B:$B"))/($D$2-INDIRECT("'[SA_results" &amp; $C6 &amp; ".xlsx]Total_Rejected_Jobs'!$A$2"))</f>
        <v>#REF!</v>
      </c>
      <c r="AA6" s="35"/>
    </row>
    <row r="7" spans="2:27" x14ac:dyDescent="0.2">
      <c r="B7" s="4">
        <v>4</v>
      </c>
      <c r="C7" s="4">
        <v>242</v>
      </c>
      <c r="D7" s="23">
        <v>1130331.2847810029</v>
      </c>
      <c r="E7" s="33">
        <v>333.8130008461527</v>
      </c>
      <c r="F7" s="5">
        <v>14</v>
      </c>
      <c r="G7" s="23">
        <v>98.666666666666671</v>
      </c>
      <c r="H7" s="33">
        <v>539.58555323621454</v>
      </c>
      <c r="I7" s="23">
        <v>42.186819433527738</v>
      </c>
      <c r="J7" s="5">
        <v>5683.283563563481</v>
      </c>
      <c r="K7" s="31"/>
      <c r="L7" s="23" t="e" cm="1">
        <f t="array" aca="1" ref="L7" ca="1">INDIRECT("'[SA_results" &amp; $C7 &amp; ".xlsx]Best_Objective'!$A$2")</f>
        <v>#REF!</v>
      </c>
      <c r="M7" s="33" t="e" cm="1">
        <f t="array" aca="1" ref="M7" ca="1">INDIRECT("'[SA_results" &amp; $C7 &amp; ".xlsx]Running_Time'!$A$2")</f>
        <v>#REF!</v>
      </c>
      <c r="N7" s="5" t="e">
        <f t="shared" ca="1" si="0"/>
        <v>#REF!</v>
      </c>
      <c r="O7" s="23" t="e" cm="1">
        <f t="array" aca="1" ref="O7" ca="1">INDIRECT("'[SA_results" &amp; $C7 &amp; ".xlsx]Acceptance_Rate'!$A$2")</f>
        <v>#REF!</v>
      </c>
      <c r="P7" s="33" t="e" cm="1">
        <f t="array" aca="1" ref="P7" ca="1">SUM(INDIRECT("'[SA_results" &amp; $C7 &amp; ".xlsx]Best_Job_Tardiness'!$B:$B"))/($D$2-INDIRECT("'[SA_results" &amp; $C7 &amp; ".xlsx]Total_Rejected_Jobs'!$A$2"))</f>
        <v>#REF!</v>
      </c>
      <c r="Q7" s="23" t="str">
        <f ca="1">IFERROR(AVERAGE(INDIRECT("'[SA_results" &amp; $C7 &amp; ".xlsx]Best_Batch_Utilization'!C:C")),"")</f>
        <v/>
      </c>
      <c r="R7" s="5" t="e" cm="1">
        <f t="array" aca="1" ref="R7" ca="1">SUM(INDIRECT("'[SA_results" &amp; $C7 &amp; ".xlsx]Best_Job_Completion_Time'!$B:$B"))/($D$2-INDIRECT("'[SA_results" &amp; $C7 &amp; ".xlsx]Total_Rejected_Jobs'!$A$2"))</f>
        <v>#REF!</v>
      </c>
      <c r="S7" s="35"/>
      <c r="T7" s="23" t="e" cm="1">
        <f t="array" aca="1" ref="T7" ca="1">INDIRECT("'[SA_results" &amp; $C7 &amp; ".xlsx]Best_Objective'!$A$2")</f>
        <v>#REF!</v>
      </c>
      <c r="U7" s="33" t="e" cm="1">
        <f t="array" aca="1" ref="U7" ca="1">INDIRECT("'[SA_results" &amp; $C7 &amp; ".xlsx]Running_Time'!$A$2")</f>
        <v>#REF!</v>
      </c>
      <c r="V7" s="5" t="e">
        <f t="shared" ca="1" si="2"/>
        <v>#REF!</v>
      </c>
      <c r="W7" s="23" t="e" cm="1">
        <f t="array" aca="1" ref="W7" ca="1">INDIRECT("'[SA_results" &amp; $C7 &amp; ".xlsx]Acceptance_Rate'!$A$2")</f>
        <v>#REF!</v>
      </c>
      <c r="X7" s="33" t="e" cm="1">
        <f t="array" aca="1" ref="X7" ca="1">SUM(INDIRECT("'[SA_results" &amp; $C7 &amp; ".xlsx]Best_Job_Tardiness'!$B:$B"))/($D$2-INDIRECT("'[SA_results" &amp; $C7 &amp; ".xlsx]Total_Rejected_Jobs'!$A$2"))</f>
        <v>#REF!</v>
      </c>
      <c r="Y7" s="23" t="str">
        <f ca="1">IFERROR(AVERAGE(INDIRECT("'[SA_results" &amp; $C7 &amp; ".xlsx]Best_Batch_Utilization'!C:C")),"")</f>
        <v/>
      </c>
      <c r="Z7" s="5" t="e" cm="1">
        <f t="array" aca="1" ref="Z7" ca="1">SUM(INDIRECT("'[SA_results" &amp; $C7 &amp; ".xlsx]Best_Job_Completion_Time'!$B:$B"))/($D$2-INDIRECT("'[SA_results" &amp; $C7 &amp; ".xlsx]Total_Rejected_Jobs'!$A$2"))</f>
        <v>#REF!</v>
      </c>
      <c r="AA7" s="35"/>
    </row>
    <row r="8" spans="2:27" x14ac:dyDescent="0.2">
      <c r="B8" s="4">
        <v>5</v>
      </c>
      <c r="C8" s="4">
        <v>358</v>
      </c>
      <c r="D8" s="23">
        <v>1134322.89888199</v>
      </c>
      <c r="E8" s="33">
        <v>145.86066753845299</v>
      </c>
      <c r="F8" s="5">
        <v>13</v>
      </c>
      <c r="G8" s="23">
        <v>98.666666666666671</v>
      </c>
      <c r="H8" s="33">
        <v>601.82548601251983</v>
      </c>
      <c r="I8" s="23">
        <v>43.954983973877411</v>
      </c>
      <c r="J8" s="5">
        <v>5755.0234233203137</v>
      </c>
      <c r="K8" s="31"/>
      <c r="L8" s="23" t="e" cm="1">
        <f t="array" aca="1" ref="L8" ca="1">INDIRECT("'[SA_results" &amp; $C8 &amp; ".xlsx]Best_Objective'!$A$2")</f>
        <v>#REF!</v>
      </c>
      <c r="M8" s="33" t="e" cm="1">
        <f t="array" aca="1" ref="M8" ca="1">INDIRECT("'[SA_results" &amp; $C8 &amp; ".xlsx]Running_Time'!$A$2")</f>
        <v>#REF!</v>
      </c>
      <c r="N8" s="5" t="e">
        <f t="shared" ca="1" si="0"/>
        <v>#REF!</v>
      </c>
      <c r="O8" s="23" t="e" cm="1">
        <f t="array" aca="1" ref="O8" ca="1">INDIRECT("'[SA_results" &amp; $C8 &amp; ".xlsx]Acceptance_Rate'!$A$2")</f>
        <v>#REF!</v>
      </c>
      <c r="P8" s="33" t="e" cm="1">
        <f t="array" aca="1" ref="P8" ca="1">SUM(INDIRECT("'[SA_results" &amp; $C8 &amp; ".xlsx]Best_Job_Tardiness'!$B:$B"))/($D$2-INDIRECT("'[SA_results" &amp; $C8 &amp; ".xlsx]Total_Rejected_Jobs'!$A$2"))</f>
        <v>#REF!</v>
      </c>
      <c r="Q8" s="23" t="str">
        <f t="shared" ref="Q8:Q13" ca="1" si="4">IFERROR(AVERAGE(INDIRECT("'[SA_results" &amp; $C8 &amp; ".xlsx]Best_Batch_Utilization'!C:C")),"")</f>
        <v/>
      </c>
      <c r="R8" s="5" t="e" cm="1">
        <f t="array" aca="1" ref="R8" ca="1">SUM(INDIRECT("'[SA_results" &amp; $C8 &amp; ".xlsx]Best_Job_Completion_Time'!$B:$B"))/($D$2-INDIRECT("'[SA_results" &amp; $C8 &amp; ".xlsx]Total_Rejected_Jobs'!$A$2"))</f>
        <v>#REF!</v>
      </c>
      <c r="S8" s="35"/>
      <c r="T8" s="23" t="e" cm="1">
        <f t="array" aca="1" ref="T8" ca="1">INDIRECT("'[SA_results" &amp; $C8 &amp; ".xlsx]Best_Objective'!$A$2")</f>
        <v>#REF!</v>
      </c>
      <c r="U8" s="33" t="e" cm="1">
        <f t="array" aca="1" ref="U8" ca="1">INDIRECT("'[SA_results" &amp; $C8 &amp; ".xlsx]Running_Time'!$A$2")</f>
        <v>#REF!</v>
      </c>
      <c r="V8" s="5" t="e">
        <f t="shared" ca="1" si="2"/>
        <v>#REF!</v>
      </c>
      <c r="W8" s="23" t="e" cm="1">
        <f t="array" aca="1" ref="W8" ca="1">INDIRECT("'[SA_results" &amp; $C8 &amp; ".xlsx]Acceptance_Rate'!$A$2")</f>
        <v>#REF!</v>
      </c>
      <c r="X8" s="33" t="e" cm="1">
        <f t="array" aca="1" ref="X8" ca="1">SUM(INDIRECT("'[SA_results" &amp; $C8 &amp; ".xlsx]Best_Job_Tardiness'!$B:$B"))/($D$2-INDIRECT("'[SA_results" &amp; $C8 &amp; ".xlsx]Total_Rejected_Jobs'!$A$2"))</f>
        <v>#REF!</v>
      </c>
      <c r="Y8" s="23" t="str">
        <f t="shared" ref="Y8:Y13" ca="1" si="5">IFERROR(AVERAGE(INDIRECT("'[SA_results" &amp; $C8 &amp; ".xlsx]Best_Batch_Utilization'!C:C")),"")</f>
        <v/>
      </c>
      <c r="Z8" s="5" t="e" cm="1">
        <f t="array" aca="1" ref="Z8" ca="1">SUM(INDIRECT("'[SA_results" &amp; $C8 &amp; ".xlsx]Best_Job_Completion_Time'!$B:$B"))/($D$2-INDIRECT("'[SA_results" &amp; $C8 &amp; ".xlsx]Total_Rejected_Jobs'!$A$2"))</f>
        <v>#REF!</v>
      </c>
      <c r="AA8" s="35"/>
    </row>
    <row r="9" spans="2:27" x14ac:dyDescent="0.2">
      <c r="B9" s="4">
        <v>6</v>
      </c>
      <c r="C9" s="4">
        <v>479</v>
      </c>
      <c r="D9" s="23">
        <v>1120670.5772736871</v>
      </c>
      <c r="E9" s="33">
        <v>230.17353484613031</v>
      </c>
      <c r="F9" s="5">
        <v>13</v>
      </c>
      <c r="G9" s="23">
        <v>98.666666666666671</v>
      </c>
      <c r="H9" s="33">
        <v>598.59378458235756</v>
      </c>
      <c r="I9" s="23">
        <v>43.835182209102499</v>
      </c>
      <c r="J9" s="5">
        <v>5690.5646683356308</v>
      </c>
      <c r="K9" s="31"/>
      <c r="L9" s="23" t="e" cm="1">
        <f t="array" aca="1" ref="L9" ca="1">INDIRECT("'[SA_results" &amp; $C9 &amp; ".xlsx]Best_Objective'!$A$2")</f>
        <v>#REF!</v>
      </c>
      <c r="M9" s="33" t="e" cm="1">
        <f t="array" aca="1" ref="M9" ca="1">INDIRECT("'[SA_results" &amp; $C9 &amp; ".xlsx]Running_Time'!$A$2")</f>
        <v>#REF!</v>
      </c>
      <c r="N9" s="5" t="e">
        <f t="shared" ca="1" si="0"/>
        <v>#REF!</v>
      </c>
      <c r="O9" s="23" t="e" cm="1">
        <f t="array" aca="1" ref="O9" ca="1">INDIRECT("'[SA_results" &amp; $C9 &amp; ".xlsx]Acceptance_Rate'!$A$2")</f>
        <v>#REF!</v>
      </c>
      <c r="P9" s="33" t="e" cm="1">
        <f t="array" aca="1" ref="P9" ca="1">SUM(INDIRECT("'[SA_results" &amp; $C9 &amp; ".xlsx]Best_Job_Tardiness'!$B:$B"))/($D$2-INDIRECT("'[SA_results" &amp; $C9 &amp; ".xlsx]Total_Rejected_Jobs'!$A$2"))</f>
        <v>#REF!</v>
      </c>
      <c r="Q9" s="23" t="str">
        <f t="shared" ca="1" si="4"/>
        <v/>
      </c>
      <c r="R9" s="5" t="e" cm="1">
        <f t="array" aca="1" ref="R9" ca="1">SUM(INDIRECT("'[SA_results" &amp; $C9 &amp; ".xlsx]Best_Job_Completion_Time'!$B:$B"))/($D$2-INDIRECT("'[SA_results" &amp; $C9 &amp; ".xlsx]Total_Rejected_Jobs'!$A$2"))</f>
        <v>#REF!</v>
      </c>
      <c r="S9" s="35"/>
      <c r="T9" s="23" t="e" cm="1">
        <f t="array" aca="1" ref="T9" ca="1">INDIRECT("'[SA_results" &amp; $C9 &amp; ".xlsx]Best_Objective'!$A$2")</f>
        <v>#REF!</v>
      </c>
      <c r="U9" s="33" t="e" cm="1">
        <f t="array" aca="1" ref="U9" ca="1">INDIRECT("'[SA_results" &amp; $C9 &amp; ".xlsx]Running_Time'!$A$2")</f>
        <v>#REF!</v>
      </c>
      <c r="V9" s="5" t="e">
        <f t="shared" ca="1" si="2"/>
        <v>#REF!</v>
      </c>
      <c r="W9" s="23" t="e" cm="1">
        <f t="array" aca="1" ref="W9" ca="1">INDIRECT("'[SA_results" &amp; $C9 &amp; ".xlsx]Acceptance_Rate'!$A$2")</f>
        <v>#REF!</v>
      </c>
      <c r="X9" s="33" t="e" cm="1">
        <f t="array" aca="1" ref="X9" ca="1">SUM(INDIRECT("'[SA_results" &amp; $C9 &amp; ".xlsx]Best_Job_Tardiness'!$B:$B"))/($D$2-INDIRECT("'[SA_results" &amp; $C9 &amp; ".xlsx]Total_Rejected_Jobs'!$A$2"))</f>
        <v>#REF!</v>
      </c>
      <c r="Y9" s="23" t="str">
        <f t="shared" ca="1" si="5"/>
        <v/>
      </c>
      <c r="Z9" s="5" t="e" cm="1">
        <f t="array" aca="1" ref="Z9" ca="1">SUM(INDIRECT("'[SA_results" &amp; $C9 &amp; ".xlsx]Best_Job_Completion_Time'!$B:$B"))/($D$2-INDIRECT("'[SA_results" &amp; $C9 &amp; ".xlsx]Total_Rejected_Jobs'!$A$2"))</f>
        <v>#REF!</v>
      </c>
      <c r="AA9" s="35"/>
    </row>
    <row r="10" spans="2:27" x14ac:dyDescent="0.2">
      <c r="B10" s="4">
        <v>7</v>
      </c>
      <c r="C10" s="4">
        <v>517</v>
      </c>
      <c r="D10" s="23">
        <v>1109461.4547045201</v>
      </c>
      <c r="E10" s="33">
        <v>267.75269992309256</v>
      </c>
      <c r="F10" s="5">
        <v>13</v>
      </c>
      <c r="G10" s="23">
        <v>98.666666666666671</v>
      </c>
      <c r="H10" s="33">
        <v>556.1484043778413</v>
      </c>
      <c r="I10" s="23">
        <v>46.079268944698597</v>
      </c>
      <c r="J10" s="5">
        <v>5662.791341137412</v>
      </c>
      <c r="K10" s="31"/>
      <c r="L10" s="23" t="e" cm="1">
        <f t="array" aca="1" ref="L10" ca="1">INDIRECT("'[SA_results" &amp; $C10 &amp; ".xlsx]Best_Objective'!$A$2")</f>
        <v>#REF!</v>
      </c>
      <c r="M10" s="33" t="e" cm="1">
        <f t="array" aca="1" ref="M10" ca="1">INDIRECT("'[SA_results" &amp; $C10 &amp; ".xlsx]Running_Time'!$A$2")</f>
        <v>#REF!</v>
      </c>
      <c r="N10" s="5" t="e">
        <f t="shared" ca="1" si="0"/>
        <v>#REF!</v>
      </c>
      <c r="O10" s="23" t="e" cm="1">
        <f t="array" aca="1" ref="O10" ca="1">INDIRECT("'[SA_results" &amp; $C10 &amp; ".xlsx]Acceptance_Rate'!$A$2")</f>
        <v>#REF!</v>
      </c>
      <c r="P10" s="33" t="e" cm="1">
        <f t="array" aca="1" ref="P10" ca="1">SUM(INDIRECT("'[SA_results" &amp; $C10 &amp; ".xlsx]Best_Job_Tardiness'!$B:$B"))/($D$2-INDIRECT("'[SA_results" &amp; $C10 &amp; ".xlsx]Total_Rejected_Jobs'!$A$2"))</f>
        <v>#REF!</v>
      </c>
      <c r="Q10" s="23" t="str">
        <f t="shared" ca="1" si="4"/>
        <v/>
      </c>
      <c r="R10" s="5" t="e" cm="1">
        <f t="array" aca="1" ref="R10" ca="1">SUM(INDIRECT("'[SA_results" &amp; $C10 &amp; ".xlsx]Best_Job_Completion_Time'!$B:$B"))/($D$2-INDIRECT("'[SA_results" &amp; $C10 &amp; ".xlsx]Total_Rejected_Jobs'!$A$2"))</f>
        <v>#REF!</v>
      </c>
      <c r="S10" s="35"/>
      <c r="T10" s="23" t="e" cm="1">
        <f t="array" aca="1" ref="T10" ca="1">INDIRECT("'[SA_results" &amp; $C10 &amp; ".xlsx]Best_Objective'!$A$2")</f>
        <v>#REF!</v>
      </c>
      <c r="U10" s="33" t="e" cm="1">
        <f t="array" aca="1" ref="U10" ca="1">INDIRECT("'[SA_results" &amp; $C10 &amp; ".xlsx]Running_Time'!$A$2")</f>
        <v>#REF!</v>
      </c>
      <c r="V10" s="5" t="e">
        <f t="shared" ca="1" si="2"/>
        <v>#REF!</v>
      </c>
      <c r="W10" s="23" t="e" cm="1">
        <f t="array" aca="1" ref="W10" ca="1">INDIRECT("'[SA_results" &amp; $C10 &amp; ".xlsx]Acceptance_Rate'!$A$2")</f>
        <v>#REF!</v>
      </c>
      <c r="X10" s="33" t="e" cm="1">
        <f t="array" aca="1" ref="X10" ca="1">SUM(INDIRECT("'[SA_results" &amp; $C10 &amp; ".xlsx]Best_Job_Tardiness'!$B:$B"))/($D$2-INDIRECT("'[SA_results" &amp; $C10 &amp; ".xlsx]Total_Rejected_Jobs'!$A$2"))</f>
        <v>#REF!</v>
      </c>
      <c r="Y10" s="23" t="str">
        <f t="shared" ca="1" si="5"/>
        <v/>
      </c>
      <c r="Z10" s="5" t="e" cm="1">
        <f t="array" aca="1" ref="Z10" ca="1">SUM(INDIRECT("'[SA_results" &amp; $C10 &amp; ".xlsx]Best_Job_Completion_Time'!$B:$B"))/($D$2-INDIRECT("'[SA_results" &amp; $C10 &amp; ".xlsx]Total_Rejected_Jobs'!$A$2"))</f>
        <v>#REF!</v>
      </c>
      <c r="AA10" s="35"/>
    </row>
    <row r="11" spans="2:27" x14ac:dyDescent="0.2">
      <c r="B11" s="4">
        <v>8</v>
      </c>
      <c r="C11" s="4">
        <v>583</v>
      </c>
      <c r="D11" s="23">
        <v>1208164.084242699</v>
      </c>
      <c r="E11" s="33">
        <v>135.39227392309562</v>
      </c>
      <c r="F11" s="5">
        <v>13</v>
      </c>
      <c r="G11" s="23">
        <v>97.333333333333329</v>
      </c>
      <c r="H11" s="33">
        <v>788.31076836414411</v>
      </c>
      <c r="I11" s="23">
        <v>45.564296915079552</v>
      </c>
      <c r="J11" s="5">
        <v>5997.4604940281197</v>
      </c>
      <c r="K11" s="31"/>
      <c r="L11" s="23" t="e" cm="1">
        <f t="array" aca="1" ref="L11" ca="1">INDIRECT("'[SA_results" &amp; $C11 &amp; ".xlsx]Best_Objective'!$A$2")</f>
        <v>#REF!</v>
      </c>
      <c r="M11" s="33" t="e" cm="1">
        <f t="array" aca="1" ref="M11" ca="1">INDIRECT("'[SA_results" &amp; $C11 &amp; ".xlsx]Running_Time'!$A$2")</f>
        <v>#REF!</v>
      </c>
      <c r="N11" s="5" t="e">
        <f t="shared" ca="1" si="0"/>
        <v>#REF!</v>
      </c>
      <c r="O11" s="23" t="e" cm="1">
        <f t="array" aca="1" ref="O11" ca="1">INDIRECT("'[SA_results" &amp; $C11 &amp; ".xlsx]Acceptance_Rate'!$A$2")</f>
        <v>#REF!</v>
      </c>
      <c r="P11" s="33" t="e" cm="1">
        <f t="array" aca="1" ref="P11" ca="1">SUM(INDIRECT("'[SA_results" &amp; $C11 &amp; ".xlsx]Best_Job_Tardiness'!$B:$B"))/($D$2-INDIRECT("'[SA_results" &amp; $C11 &amp; ".xlsx]Total_Rejected_Jobs'!$A$2"))</f>
        <v>#REF!</v>
      </c>
      <c r="Q11" s="23" t="str">
        <f t="shared" ca="1" si="4"/>
        <v/>
      </c>
      <c r="R11" s="5" t="e" cm="1">
        <f t="array" aca="1" ref="R11" ca="1">SUM(INDIRECT("'[SA_results" &amp; $C11 &amp; ".xlsx]Best_Job_Completion_Time'!$B:$B"))/($D$2-INDIRECT("'[SA_results" &amp; $C11 &amp; ".xlsx]Total_Rejected_Jobs'!$A$2"))</f>
        <v>#REF!</v>
      </c>
      <c r="S11" s="35"/>
      <c r="T11" s="23" t="e" cm="1">
        <f t="array" aca="1" ref="T11" ca="1">INDIRECT("'[SA_results" &amp; $C11 &amp; ".xlsx]Best_Objective'!$A$2")</f>
        <v>#REF!</v>
      </c>
      <c r="U11" s="33" t="e" cm="1">
        <f t="array" aca="1" ref="U11" ca="1">INDIRECT("'[SA_results" &amp; $C11 &amp; ".xlsx]Running_Time'!$A$2")</f>
        <v>#REF!</v>
      </c>
      <c r="V11" s="5" t="e">
        <f t="shared" ca="1" si="2"/>
        <v>#REF!</v>
      </c>
      <c r="W11" s="23" t="e" cm="1">
        <f t="array" aca="1" ref="W11" ca="1">INDIRECT("'[SA_results" &amp; $C11 &amp; ".xlsx]Acceptance_Rate'!$A$2")</f>
        <v>#REF!</v>
      </c>
      <c r="X11" s="33" t="e" cm="1">
        <f t="array" aca="1" ref="X11" ca="1">SUM(INDIRECT("'[SA_results" &amp; $C11 &amp; ".xlsx]Best_Job_Tardiness'!$B:$B"))/($D$2-INDIRECT("'[SA_results" &amp; $C11 &amp; ".xlsx]Total_Rejected_Jobs'!$A$2"))</f>
        <v>#REF!</v>
      </c>
      <c r="Y11" s="23" t="str">
        <f t="shared" ca="1" si="5"/>
        <v/>
      </c>
      <c r="Z11" s="5" t="e" cm="1">
        <f t="array" aca="1" ref="Z11" ca="1">SUM(INDIRECT("'[SA_results" &amp; $C11 &amp; ".xlsx]Best_Job_Completion_Time'!$B:$B"))/($D$2-INDIRECT("'[SA_results" &amp; $C11 &amp; ".xlsx]Total_Rejected_Jobs'!$A$2"))</f>
        <v>#REF!</v>
      </c>
      <c r="AA11" s="35"/>
    </row>
    <row r="12" spans="2:27" x14ac:dyDescent="0.2">
      <c r="B12" s="4">
        <v>9</v>
      </c>
      <c r="C12" s="4">
        <v>614</v>
      </c>
      <c r="D12" s="23">
        <v>1158688.9487574219</v>
      </c>
      <c r="E12" s="33">
        <v>130.9993118461436</v>
      </c>
      <c r="F12" s="5">
        <v>13</v>
      </c>
      <c r="G12" s="23">
        <v>98</v>
      </c>
      <c r="H12" s="33">
        <v>600.50049892048003</v>
      </c>
      <c r="I12" s="23">
        <v>44.082311528140231</v>
      </c>
      <c r="J12" s="5">
        <v>5867.9866836457422</v>
      </c>
      <c r="K12" s="31"/>
      <c r="L12" s="23" t="e" cm="1">
        <f t="array" aca="1" ref="L12" ca="1">INDIRECT("'[SA_results" &amp; $C12 &amp; ".xlsx]Best_Objective'!$A$2")</f>
        <v>#REF!</v>
      </c>
      <c r="M12" s="33" t="e" cm="1">
        <f t="array" aca="1" ref="M12" ca="1">INDIRECT("'[SA_results" &amp; $C12 &amp; ".xlsx]Running_Time'!$A$2")</f>
        <v>#REF!</v>
      </c>
      <c r="N12" s="5" t="e">
        <f t="shared" ca="1" si="0"/>
        <v>#REF!</v>
      </c>
      <c r="O12" s="23" t="e" cm="1">
        <f t="array" aca="1" ref="O12" ca="1">INDIRECT("'[SA_results" &amp; $C12 &amp; ".xlsx]Acceptance_Rate'!$A$2")</f>
        <v>#REF!</v>
      </c>
      <c r="P12" s="33" t="e" cm="1">
        <f t="array" aca="1" ref="P12" ca="1">SUM(INDIRECT("'[SA_results" &amp; $C12 &amp; ".xlsx]Best_Job_Tardiness'!$B:$B"))/($D$2-INDIRECT("'[SA_results" &amp; $C12 &amp; ".xlsx]Total_Rejected_Jobs'!$A$2"))</f>
        <v>#REF!</v>
      </c>
      <c r="Q12" s="23" t="str">
        <f t="shared" ca="1" si="4"/>
        <v/>
      </c>
      <c r="R12" s="5" t="e" cm="1">
        <f t="array" aca="1" ref="R12" ca="1">SUM(INDIRECT("'[SA_results" &amp; $C12 &amp; ".xlsx]Best_Job_Completion_Time'!$B:$B"))/($D$2-INDIRECT("'[SA_results" &amp; $C12 &amp; ".xlsx]Total_Rejected_Jobs'!$A$2"))</f>
        <v>#REF!</v>
      </c>
      <c r="S12" s="35"/>
      <c r="T12" s="23" t="e" cm="1">
        <f t="array" aca="1" ref="T12" ca="1">INDIRECT("'[SA_results" &amp; $C12 &amp; ".xlsx]Best_Objective'!$A$2")</f>
        <v>#REF!</v>
      </c>
      <c r="U12" s="33" t="e" cm="1">
        <f t="array" aca="1" ref="U12" ca="1">INDIRECT("'[SA_results" &amp; $C12 &amp; ".xlsx]Running_Time'!$A$2")</f>
        <v>#REF!</v>
      </c>
      <c r="V12" s="5" t="e">
        <f t="shared" ca="1" si="2"/>
        <v>#REF!</v>
      </c>
      <c r="W12" s="23" t="e" cm="1">
        <f t="array" aca="1" ref="W12" ca="1">INDIRECT("'[SA_results" &amp; $C12 &amp; ".xlsx]Acceptance_Rate'!$A$2")</f>
        <v>#REF!</v>
      </c>
      <c r="X12" s="33" t="e" cm="1">
        <f t="array" aca="1" ref="X12" ca="1">SUM(INDIRECT("'[SA_results" &amp; $C12 &amp; ".xlsx]Best_Job_Tardiness'!$B:$B"))/($D$2-INDIRECT("'[SA_results" &amp; $C12 &amp; ".xlsx]Total_Rejected_Jobs'!$A$2"))</f>
        <v>#REF!</v>
      </c>
      <c r="Y12" s="23" t="str">
        <f t="shared" ca="1" si="5"/>
        <v/>
      </c>
      <c r="Z12" s="5" t="e" cm="1">
        <f t="array" aca="1" ref="Z12" ca="1">SUM(INDIRECT("'[SA_results" &amp; $C12 &amp; ".xlsx]Best_Job_Completion_Time'!$B:$B"))/($D$2-INDIRECT("'[SA_results" &amp; $C12 &amp; ".xlsx]Total_Rejected_Jobs'!$A$2"))</f>
        <v>#REF!</v>
      </c>
      <c r="AA12" s="35"/>
    </row>
    <row r="13" spans="2:27" x14ac:dyDescent="0.2">
      <c r="B13" s="4">
        <v>10</v>
      </c>
      <c r="C13" s="4">
        <v>945</v>
      </c>
      <c r="D13" s="23">
        <v>1148819.2570402501</v>
      </c>
      <c r="E13" s="33">
        <v>155.96661746152677</v>
      </c>
      <c r="F13" s="5">
        <v>14</v>
      </c>
      <c r="G13" s="23">
        <v>98.666666666666671</v>
      </c>
      <c r="H13" s="33">
        <v>613.47811460885009</v>
      </c>
      <c r="I13" s="23">
        <v>41.600870935938474</v>
      </c>
      <c r="J13" s="5">
        <v>5742.8782596553647</v>
      </c>
      <c r="K13" s="31"/>
      <c r="L13" s="23" t="e" cm="1">
        <f t="array" aca="1" ref="L13" ca="1">INDIRECT("'[SA_results" &amp; $C13 &amp; ".xlsx]Best_Objective'!$A$2")</f>
        <v>#REF!</v>
      </c>
      <c r="M13" s="33" t="e" cm="1">
        <f t="array" aca="1" ref="M13" ca="1">INDIRECT("'[SA_results" &amp; $C13 &amp; ".xlsx]Running_Time'!$A$2")</f>
        <v>#REF!</v>
      </c>
      <c r="N13" s="5" t="e">
        <f t="shared" ca="1" si="0"/>
        <v>#REF!</v>
      </c>
      <c r="O13" s="23" t="e" cm="1">
        <f t="array" aca="1" ref="O13" ca="1">INDIRECT("'[SA_results" &amp; $C13 &amp; ".xlsx]Acceptance_Rate'!$A$2")</f>
        <v>#REF!</v>
      </c>
      <c r="P13" s="33" t="e" cm="1">
        <f t="array" aca="1" ref="P13" ca="1">SUM(INDIRECT("'[SA_results" &amp; $C13 &amp; ".xlsx]Best_Job_Tardiness'!$B:$B"))/($D$2-INDIRECT("'[SA_results" &amp; $C13 &amp; ".xlsx]Total_Rejected_Jobs'!$A$2"))</f>
        <v>#REF!</v>
      </c>
      <c r="Q13" s="23" t="str">
        <f t="shared" ca="1" si="4"/>
        <v/>
      </c>
      <c r="R13" s="5" t="e" cm="1">
        <f t="array" aca="1" ref="R13" ca="1">SUM(INDIRECT("'[SA_results" &amp; $C13 &amp; ".xlsx]Best_Job_Completion_Time'!$B:$B"))/($D$2-INDIRECT("'[SA_results" &amp; $C13 &amp; ".xlsx]Total_Rejected_Jobs'!$A$2"))</f>
        <v>#REF!</v>
      </c>
      <c r="S13" s="35"/>
      <c r="T13" s="23" t="e" cm="1">
        <f t="array" aca="1" ref="T13" ca="1">INDIRECT("'[SA_results" &amp; $C13 &amp; ".xlsx]Best_Objective'!$A$2")</f>
        <v>#REF!</v>
      </c>
      <c r="U13" s="33" t="e" cm="1">
        <f t="array" aca="1" ref="U13" ca="1">INDIRECT("'[SA_results" &amp; $C13 &amp; ".xlsx]Running_Time'!$A$2")</f>
        <v>#REF!</v>
      </c>
      <c r="V13" s="5" t="e">
        <f t="shared" ca="1" si="2"/>
        <v>#REF!</v>
      </c>
      <c r="W13" s="23" t="e" cm="1">
        <f t="array" aca="1" ref="W13" ca="1">INDIRECT("'[SA_results" &amp; $C13 &amp; ".xlsx]Acceptance_Rate'!$A$2")</f>
        <v>#REF!</v>
      </c>
      <c r="X13" s="33" t="e" cm="1">
        <f t="array" aca="1" ref="X13" ca="1">SUM(INDIRECT("'[SA_results" &amp; $C13 &amp; ".xlsx]Best_Job_Tardiness'!$B:$B"))/($D$2-INDIRECT("'[SA_results" &amp; $C13 &amp; ".xlsx]Total_Rejected_Jobs'!$A$2"))</f>
        <v>#REF!</v>
      </c>
      <c r="Y13" s="23" t="str">
        <f t="shared" ca="1" si="5"/>
        <v/>
      </c>
      <c r="Z13" s="5" t="e" cm="1">
        <f t="array" aca="1" ref="Z13" ca="1">SUM(INDIRECT("'[SA_results" &amp; $C13 &amp; ".xlsx]Best_Job_Completion_Time'!$B:$B"))/($D$2-INDIRECT("'[SA_results" &amp; $C13 &amp; ".xlsx]Total_Rejected_Jobs'!$A$2"))</f>
        <v>#REF!</v>
      </c>
      <c r="AA13" s="35"/>
    </row>
    <row r="14" spans="2:27" x14ac:dyDescent="0.2">
      <c r="B14" s="49" t="s">
        <v>3</v>
      </c>
      <c r="C14" s="50"/>
      <c r="D14" s="9">
        <f>MIN(D4:D13)</f>
        <v>1109461.4547045201</v>
      </c>
      <c r="E14" s="22">
        <f>INDEX(E4:E13, MATCH($D$14, D4:D13, 0))</f>
        <v>267.75269992309256</v>
      </c>
      <c r="F14" s="9">
        <f>INDEX(F4:F13, MATCH($D$14, D4:D13, 0))</f>
        <v>13</v>
      </c>
      <c r="G14" s="9">
        <f>INDEX(G4:G13, MATCH($D$14, D4:D13, 0))</f>
        <v>98.666666666666671</v>
      </c>
      <c r="H14" s="22">
        <f>INDEX(H4:H13, MATCH($D$14, D4:D13, 0))</f>
        <v>556.1484043778413</v>
      </c>
      <c r="I14" s="22">
        <f>INDEX(I4:I13, MATCH($D$14, D4:D13, 0))</f>
        <v>46.079268944698597</v>
      </c>
      <c r="J14" s="22">
        <f>INDEX(J4:J13, MATCH($D$14, D4:D13, 0))</f>
        <v>5662.791341137412</v>
      </c>
      <c r="K14" s="32" t="e">
        <f>(D14-$D$15)/$D$15</f>
        <v>#DIV/0!</v>
      </c>
      <c r="L14" s="16" t="e">
        <f ca="1">MIN(L4:L13)</f>
        <v>#REF!</v>
      </c>
      <c r="M14" s="21" t="e">
        <f ca="1">INDEX(M4:M13, MATCH($L$14, L4:L13, 0))</f>
        <v>#REF!</v>
      </c>
      <c r="N14" s="16" t="e">
        <f ca="1">INDEX(N4:N13, MATCH($L$14, L4:L13, 0))</f>
        <v>#REF!</v>
      </c>
      <c r="O14" s="16" t="e">
        <f ca="1">INDEX(O4:O13, MATCH($L$14, L4:L13, 0))</f>
        <v>#REF!</v>
      </c>
      <c r="P14" s="21" t="e">
        <f ca="1">INDEX(P4:P13, MATCH($L$14, L4:L13, 0))</f>
        <v>#REF!</v>
      </c>
      <c r="Q14" s="21" t="e">
        <f ca="1">INDEX(Q4:Q13, MATCH($L$14, L4:L13, 0))</f>
        <v>#REF!</v>
      </c>
      <c r="R14" s="21" t="e">
        <f ca="1">INDEX(R4:R13, MATCH($L$14, L4:L13, 0))</f>
        <v>#REF!</v>
      </c>
      <c r="S14" s="36" t="e">
        <f ca="1">(L14-$D$15)/$D$15</f>
        <v>#REF!</v>
      </c>
      <c r="T14" s="38" t="e">
        <f ca="1">MIN(T4:T13)</f>
        <v>#REF!</v>
      </c>
      <c r="U14" s="39" t="e">
        <f ca="1">INDEX(U4:U13, MATCH($T$14, T4:T13, 0))</f>
        <v>#REF!</v>
      </c>
      <c r="V14" s="38" t="e">
        <f ca="1">INDEX(V4:V13, MATCH($T$14, T4:T13, 0))</f>
        <v>#REF!</v>
      </c>
      <c r="W14" s="38" t="e">
        <f ca="1">INDEX(W4:W13, MATCH($T$14, T4:T13, 0))</f>
        <v>#REF!</v>
      </c>
      <c r="X14" s="39" t="e">
        <f ca="1">INDEX(X4:X13, MATCH($T$14, T4:T13, 0))</f>
        <v>#REF!</v>
      </c>
      <c r="Y14" s="39" t="e">
        <f ca="1">INDEX(Y4:Y13, MATCH($T$14, T4:T13, 0))</f>
        <v>#REF!</v>
      </c>
      <c r="Z14" s="39" t="e">
        <f ca="1">INDEX(Z4:Z13, MATCH($T$14, T4:T13, 0))</f>
        <v>#REF!</v>
      </c>
      <c r="AA14" s="40" t="e">
        <f ca="1">(T14-$D$15)/$D$15</f>
        <v>#REF!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 t="e">
        <f ca="1">(L14-D14)/D14</f>
        <v>#REF!</v>
      </c>
      <c r="M15" s="41" t="e">
        <f t="shared" ref="M15:R15" ca="1" si="6">(M14-E14)/E14</f>
        <v>#REF!</v>
      </c>
      <c r="N15" s="41" t="e">
        <f t="shared" ca="1" si="6"/>
        <v>#REF!</v>
      </c>
      <c r="O15" s="41" t="e">
        <f t="shared" ca="1" si="6"/>
        <v>#REF!</v>
      </c>
      <c r="P15" s="41" t="e">
        <f t="shared" ca="1" si="6"/>
        <v>#REF!</v>
      </c>
      <c r="Q15" s="41" t="e">
        <f t="shared" ca="1" si="6"/>
        <v>#REF!</v>
      </c>
      <c r="R15" s="41" t="e">
        <f t="shared" ca="1" si="6"/>
        <v>#REF!</v>
      </c>
      <c r="T15" s="41" t="e">
        <f ca="1">(T14-D14)/D14</f>
        <v>#REF!</v>
      </c>
      <c r="U15" s="41" t="e">
        <f t="shared" ref="U15:Z15" ca="1" si="7">(U14-E14)/E14</f>
        <v>#REF!</v>
      </c>
      <c r="V15" s="41" t="e">
        <f t="shared" ca="1" si="7"/>
        <v>#REF!</v>
      </c>
      <c r="W15" s="41" t="e">
        <f t="shared" ca="1" si="7"/>
        <v>#REF!</v>
      </c>
      <c r="X15" s="41" t="e">
        <f t="shared" ca="1" si="7"/>
        <v>#REF!</v>
      </c>
      <c r="Y15" s="41" t="e">
        <f t="shared" ca="1" si="7"/>
        <v>#REF!</v>
      </c>
      <c r="Z15" s="41" t="e">
        <f t="shared" ca="1" si="7"/>
        <v>#REF!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:C19 C3 C39:C1048576">
    <cfRule type="duplicateValues" dxfId="97" priority="11"/>
    <cfRule type="duplicateValues" dxfId="96" priority="12"/>
  </conditionalFormatting>
  <conditionalFormatting sqref="C2">
    <cfRule type="duplicateValues" dxfId="95" priority="3"/>
    <cfRule type="duplicateValues" dxfId="94" priority="4"/>
  </conditionalFormatting>
  <conditionalFormatting sqref="C4:C13">
    <cfRule type="duplicateValues" dxfId="93" priority="5"/>
    <cfRule type="duplicateValues" dxfId="92" priority="6"/>
  </conditionalFormatting>
  <conditionalFormatting sqref="C14">
    <cfRule type="duplicateValues" dxfId="91" priority="9"/>
    <cfRule type="duplicateValues" dxfId="90" priority="10"/>
  </conditionalFormatting>
  <conditionalFormatting sqref="C15">
    <cfRule type="duplicateValues" dxfId="89" priority="7"/>
    <cfRule type="duplicateValues" dxfId="88" priority="8"/>
  </conditionalFormatting>
  <conditionalFormatting sqref="C20:C38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E562-5A4A-4199-8EFE-21B684C6C986}">
  <dimension ref="B1:AA17"/>
  <sheetViews>
    <sheetView zoomScale="90" zoomScaleNormal="90" workbookViewId="0">
      <selection activeCell="E20" sqref="E20:E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 t="e">
        <f ca="1">(P14-H14)/H14</f>
        <v>#REF!</v>
      </c>
      <c r="R2" s="1" t="e">
        <f ca="1">(R14-J14)/J14</f>
        <v>#REF!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16</v>
      </c>
      <c r="D4" s="23">
        <v>1140190.0234291479</v>
      </c>
      <c r="E4" s="33">
        <v>126.30827415376331</v>
      </c>
      <c r="F4" s="5">
        <v>12</v>
      </c>
      <c r="G4" s="23">
        <v>96.666666666666671</v>
      </c>
      <c r="H4" s="33">
        <v>564.16082997875378</v>
      </c>
      <c r="I4" s="23">
        <v>44.547633874464715</v>
      </c>
      <c r="J4" s="5">
        <v>5610.9785466450712</v>
      </c>
      <c r="K4" s="31"/>
      <c r="L4" s="23" t="e" cm="1">
        <f t="array" aca="1" ref="L4" ca="1">INDIRECT("'[SA_results" &amp; $C4 &amp; ".xlsx]Best_Objective'!$A$2")</f>
        <v>#REF!</v>
      </c>
      <c r="M4" s="33" t="e" cm="1">
        <f t="array" aca="1" ref="M4" ca="1">INDIRECT("'[SA_results" &amp; $C4 &amp; ".xlsx]Running_Time'!$A$2")</f>
        <v>#REF!</v>
      </c>
      <c r="N4" s="5" t="e">
        <f ca="1">COUNTIF(INDIRECT("'[SA_results" &amp; $C4 &amp; ".xlsx]Best_Batch_Utilization'!C:C"),"&gt;0")</f>
        <v>#REF!</v>
      </c>
      <c r="O4" s="23" t="e" cm="1">
        <f t="array" aca="1" ref="O4" ca="1">INDIRECT("'[SA_results" &amp; $C4 &amp; ".xlsx]Acceptance_Rate'!$A$2")</f>
        <v>#REF!</v>
      </c>
      <c r="P4" s="33" t="e" cm="1">
        <f t="array" aca="1" ref="P4" ca="1">SUM(INDIRECT("'[SA_results" &amp; $C4 &amp; ".xlsx]Best_Job_Tardiness'!$B:$B"))/($D$2-INDIRECT("'[SA_results" &amp; $C4 &amp; ".xlsx]Total_Rejected_Jobs'!$A$2"))</f>
        <v>#REF!</v>
      </c>
      <c r="Q4" s="23" t="str">
        <f ca="1">IFERROR(AVERAGE(INDIRECT("'[SA_results" &amp; $C4 &amp; ".xlsx]Best_Batch_Utilization'!C:C")),"")</f>
        <v/>
      </c>
      <c r="R4" s="5" t="e" cm="1">
        <f t="array" aca="1" ref="R4" ca="1">SUM(INDIRECT("'[SA_results" &amp; $C4 &amp; ".xlsx]Best_Job_Completion_Time'!$B:$B"))/($D$2-INDIRECT("'[SA_results" &amp; $C4 &amp; ".xlsx]Total_Rejected_Jobs'!$A$2"))</f>
        <v>#REF!</v>
      </c>
      <c r="S4" s="35"/>
      <c r="T4" s="23" t="e" cm="1">
        <f t="array" aca="1" ref="T4" ca="1">INDIRECT("'[SA_results" &amp; $C4 &amp; ".xlsx]Best_Objective'!$A$2")</f>
        <v>#REF!</v>
      </c>
      <c r="U4" s="33" t="e" cm="1">
        <f t="array" aca="1" ref="U4" ca="1">INDIRECT("'[SA_results" &amp; $C4 &amp; ".xlsx]Running_Time'!$A$2")</f>
        <v>#REF!</v>
      </c>
      <c r="V4" s="5" t="e">
        <f ca="1">COUNTIF(INDIRECT("'[SA_results" &amp; $C4 &amp; ".xlsx]Best_Batch_Utilization'!C:C"),"&gt;0")</f>
        <v>#REF!</v>
      </c>
      <c r="W4" s="23" t="e" cm="1">
        <f t="array" aca="1" ref="W4" ca="1">INDIRECT("'[SA_results" &amp; $C4 &amp; ".xlsx]Acceptance_Rate'!$A$2")</f>
        <v>#REF!</v>
      </c>
      <c r="X4" s="33" t="e" cm="1">
        <f t="array" aca="1" ref="X4" ca="1">SUM(INDIRECT("'[SA_results" &amp; $C4 &amp; ".xlsx]Best_Job_Tardiness'!$B:$B"))/($D$2-INDIRECT("'[SA_results" &amp; $C4 &amp; ".xlsx]Total_Rejected_Jobs'!$A$2"))</f>
        <v>#REF!</v>
      </c>
      <c r="Y4" s="23" t="str">
        <f ca="1">IFERROR(AVERAGE(INDIRECT("'[SA_results" &amp; $C4 &amp; ".xlsx]Best_Batch_Utilization'!C:C")),"")</f>
        <v/>
      </c>
      <c r="Z4" s="5" t="e" cm="1">
        <f t="array" aca="1" ref="Z4" ca="1">SUM(INDIRECT("'[SA_results" &amp; $C4 &amp; ".xlsx]Best_Job_Completion_Time'!$B:$B"))/($D$2-INDIRECT("'[SA_results" &amp; $C4 &amp; ".xlsx]Total_Rejected_Jobs'!$A$2"))</f>
        <v>#REF!</v>
      </c>
      <c r="AA4" s="35"/>
    </row>
    <row r="5" spans="2:27" x14ac:dyDescent="0.2">
      <c r="B5" s="4">
        <v>2</v>
      </c>
      <c r="C5" s="4">
        <v>80</v>
      </c>
      <c r="D5" s="23">
        <v>1082711.424619141</v>
      </c>
      <c r="E5" s="33">
        <v>196.92162207685985</v>
      </c>
      <c r="F5" s="5">
        <v>14</v>
      </c>
      <c r="G5" s="23">
        <v>96.666666666666671</v>
      </c>
      <c r="H5" s="33">
        <v>341.23408527907327</v>
      </c>
      <c r="I5" s="23">
        <v>37.728680826147844</v>
      </c>
      <c r="J5" s="5">
        <v>5124.14575974318</v>
      </c>
      <c r="K5" s="31"/>
      <c r="L5" s="23" t="e" cm="1">
        <f t="array" aca="1" ref="L5" ca="1">INDIRECT("'[SA_results" &amp; $C5 &amp; ".xlsx]Best_Objective'!$A$2")</f>
        <v>#REF!</v>
      </c>
      <c r="M5" s="33" t="e" cm="1">
        <f t="array" aca="1" ref="M5" ca="1">INDIRECT("'[SA_results" &amp; $C5 &amp; ".xlsx]Running_Time'!$A$2")</f>
        <v>#REF!</v>
      </c>
      <c r="N5" s="5" t="e">
        <f t="shared" ref="N5:N13" ca="1" si="0">COUNTIF(INDIRECT("'[SA_results" &amp; $C5 &amp; ".xlsx]Best_Batch_Utilization'!C:C"),"&gt;0")</f>
        <v>#REF!</v>
      </c>
      <c r="O5" s="23" t="e" cm="1">
        <f t="array" aca="1" ref="O5" ca="1">INDIRECT("'[SA_results" &amp; $C5 &amp; ".xlsx]Acceptance_Rate'!$A$2")</f>
        <v>#REF!</v>
      </c>
      <c r="P5" s="33" t="e" cm="1">
        <f t="array" aca="1" ref="P5" ca="1">SUM(INDIRECT("'[SA_results" &amp; $C5 &amp; ".xlsx]Best_Job_Tardiness'!$B:$B"))/($D$2-INDIRECT("'[SA_results" &amp; $C5 &amp; ".xlsx]Total_Rejected_Jobs'!$A$2"))</f>
        <v>#REF!</v>
      </c>
      <c r="Q5" s="23" t="str">
        <f t="shared" ref="Q5:Q6" ca="1" si="1">IFERROR(AVERAGE(INDIRECT("'[SA_results" &amp; $C5 &amp; ".xlsx]Best_Batch_Utilization'!C:C")),"")</f>
        <v/>
      </c>
      <c r="R5" s="5" t="e" cm="1">
        <f t="array" aca="1" ref="R5" ca="1">SUM(INDIRECT("'[SA_results" &amp; $C5 &amp; ".xlsx]Best_Job_Completion_Time'!$B:$B"))/($D$2-INDIRECT("'[SA_results" &amp; $C5 &amp; ".xlsx]Total_Rejected_Jobs'!$A$2"))</f>
        <v>#REF!</v>
      </c>
      <c r="S5" s="35"/>
      <c r="T5" s="23" t="e" cm="1">
        <f t="array" aca="1" ref="T5" ca="1">INDIRECT("'[SA_results" &amp; $C5 &amp; ".xlsx]Best_Objective'!$A$2")</f>
        <v>#REF!</v>
      </c>
      <c r="U5" s="33" t="e" cm="1">
        <f t="array" aca="1" ref="U5" ca="1">INDIRECT("'[SA_results" &amp; $C5 &amp; ".xlsx]Running_Time'!$A$2")</f>
        <v>#REF!</v>
      </c>
      <c r="V5" s="5" t="e">
        <f t="shared" ref="V5:V13" ca="1" si="2">COUNTIF(INDIRECT("'[SA_results" &amp; $C5 &amp; ".xlsx]Best_Batch_Utilization'!C:C"),"&gt;0")</f>
        <v>#REF!</v>
      </c>
      <c r="W5" s="23" t="e" cm="1">
        <f t="array" aca="1" ref="W5" ca="1">INDIRECT("'[SA_results" &amp; $C5 &amp; ".xlsx]Acceptance_Rate'!$A$2")</f>
        <v>#REF!</v>
      </c>
      <c r="X5" s="33" t="e" cm="1">
        <f t="array" aca="1" ref="X5" ca="1">SUM(INDIRECT("'[SA_results" &amp; $C5 &amp; ".xlsx]Best_Job_Tardiness'!$B:$B"))/($D$2-INDIRECT("'[SA_results" &amp; $C5 &amp; ".xlsx]Total_Rejected_Jobs'!$A$2"))</f>
        <v>#REF!</v>
      </c>
      <c r="Y5" s="23" t="str">
        <f t="shared" ref="Y5:Y6" ca="1" si="3">IFERROR(AVERAGE(INDIRECT("'[SA_results" &amp; $C5 &amp; ".xlsx]Best_Batch_Utilization'!C:C")),"")</f>
        <v/>
      </c>
      <c r="Z5" s="5" t="e" cm="1">
        <f t="array" aca="1" ref="Z5" ca="1">SUM(INDIRECT("'[SA_results" &amp; $C5 &amp; ".xlsx]Best_Job_Completion_Time'!$B:$B"))/($D$2-INDIRECT("'[SA_results" &amp; $C5 &amp; ".xlsx]Total_Rejected_Jobs'!$A$2"))</f>
        <v>#REF!</v>
      </c>
      <c r="AA5" s="35"/>
    </row>
    <row r="6" spans="2:27" x14ac:dyDescent="0.2">
      <c r="B6" s="4">
        <v>3</v>
      </c>
      <c r="C6" s="4">
        <v>183</v>
      </c>
      <c r="D6" s="23">
        <v>1050417.709782372</v>
      </c>
      <c r="E6" s="33">
        <v>217.86547646150356</v>
      </c>
      <c r="F6" s="5">
        <v>14</v>
      </c>
      <c r="G6" s="23">
        <v>96.666666666666671</v>
      </c>
      <c r="H6" s="33">
        <v>371.24558506965866</v>
      </c>
      <c r="I6" s="23">
        <v>37.439649434799328</v>
      </c>
      <c r="J6" s="5">
        <v>4893.5953189958855</v>
      </c>
      <c r="K6" s="31"/>
      <c r="L6" s="23" t="e" cm="1">
        <f t="array" aca="1" ref="L6" ca="1">INDIRECT("'[SA_results" &amp; $C6 &amp; ".xlsx]Best_Objective'!$A$2")</f>
        <v>#REF!</v>
      </c>
      <c r="M6" s="33" t="e" cm="1">
        <f t="array" aca="1" ref="M6" ca="1">INDIRECT("'[SA_results" &amp; $C6 &amp; ".xlsx]Running_Time'!$A$2")</f>
        <v>#REF!</v>
      </c>
      <c r="N6" s="5" t="e">
        <f t="shared" ca="1" si="0"/>
        <v>#REF!</v>
      </c>
      <c r="O6" s="23" t="e" cm="1">
        <f t="array" aca="1" ref="O6" ca="1">INDIRECT("'[SA_results" &amp; $C6 &amp; ".xlsx]Acceptance_Rate'!$A$2")</f>
        <v>#REF!</v>
      </c>
      <c r="P6" s="33" t="e" cm="1">
        <f t="array" aca="1" ref="P6" ca="1">SUM(INDIRECT("'[SA_results" &amp; $C6 &amp; ".xlsx]Best_Job_Tardiness'!$B:$B"))/($D$2-INDIRECT("'[SA_results" &amp; $C6 &amp; ".xlsx]Total_Rejected_Jobs'!$A$2"))</f>
        <v>#REF!</v>
      </c>
      <c r="Q6" s="23" t="str">
        <f t="shared" ca="1" si="1"/>
        <v/>
      </c>
      <c r="R6" s="5" t="e" cm="1">
        <f t="array" aca="1" ref="R6" ca="1">SUM(INDIRECT("'[SA_results" &amp; $C6 &amp; ".xlsx]Best_Job_Completion_Time'!$B:$B"))/($D$2-INDIRECT("'[SA_results" &amp; $C6 &amp; ".xlsx]Total_Rejected_Jobs'!$A$2"))</f>
        <v>#REF!</v>
      </c>
      <c r="S6" s="35"/>
      <c r="T6" s="23" t="e" cm="1">
        <f t="array" aca="1" ref="T6" ca="1">INDIRECT("'[SA_results" &amp; $C6 &amp; ".xlsx]Best_Objective'!$A$2")</f>
        <v>#REF!</v>
      </c>
      <c r="U6" s="33" t="e" cm="1">
        <f t="array" aca="1" ref="U6" ca="1">INDIRECT("'[SA_results" &amp; $C6 &amp; ".xlsx]Running_Time'!$A$2")</f>
        <v>#REF!</v>
      </c>
      <c r="V6" s="5" t="e">
        <f t="shared" ca="1" si="2"/>
        <v>#REF!</v>
      </c>
      <c r="W6" s="23" t="e" cm="1">
        <f t="array" aca="1" ref="W6" ca="1">INDIRECT("'[SA_results" &amp; $C6 &amp; ".xlsx]Acceptance_Rate'!$A$2")</f>
        <v>#REF!</v>
      </c>
      <c r="X6" s="33" t="e" cm="1">
        <f t="array" aca="1" ref="X6" ca="1">SUM(INDIRECT("'[SA_results" &amp; $C6 &amp; ".xlsx]Best_Job_Tardiness'!$B:$B"))/($D$2-INDIRECT("'[SA_results" &amp; $C6 &amp; ".xlsx]Total_Rejected_Jobs'!$A$2"))</f>
        <v>#REF!</v>
      </c>
      <c r="Y6" s="23" t="str">
        <f t="shared" ca="1" si="3"/>
        <v/>
      </c>
      <c r="Z6" s="5" t="e" cm="1">
        <f t="array" aca="1" ref="Z6" ca="1">SUM(INDIRECT("'[SA_results" &amp; $C6 &amp; ".xlsx]Best_Job_Completion_Time'!$B:$B"))/($D$2-INDIRECT("'[SA_results" &amp; $C6 &amp; ".xlsx]Total_Rejected_Jobs'!$A$2"))</f>
        <v>#REF!</v>
      </c>
      <c r="AA6" s="35"/>
    </row>
    <row r="7" spans="2:27" x14ac:dyDescent="0.2">
      <c r="B7" s="4">
        <v>4</v>
      </c>
      <c r="C7" s="4">
        <v>194</v>
      </c>
      <c r="D7" s="23">
        <v>1093225.2305004499</v>
      </c>
      <c r="E7" s="33">
        <v>174.32775238457208</v>
      </c>
      <c r="F7" s="5">
        <v>14</v>
      </c>
      <c r="G7" s="23">
        <v>96.666666666666671</v>
      </c>
      <c r="H7" s="33">
        <v>390.90742838215931</v>
      </c>
      <c r="I7" s="23">
        <v>37.483494527445018</v>
      </c>
      <c r="J7" s="5">
        <v>5159.4165147039748</v>
      </c>
      <c r="K7" s="31"/>
      <c r="L7" s="23" t="e" cm="1">
        <f t="array" aca="1" ref="L7" ca="1">INDIRECT("'[SA_results" &amp; $C7 &amp; ".xlsx]Best_Objective'!$A$2")</f>
        <v>#REF!</v>
      </c>
      <c r="M7" s="33" t="e" cm="1">
        <f t="array" aca="1" ref="M7" ca="1">INDIRECT("'[SA_results" &amp; $C7 &amp; ".xlsx]Running_Time'!$A$2")</f>
        <v>#REF!</v>
      </c>
      <c r="N7" s="5" t="e">
        <f t="shared" ca="1" si="0"/>
        <v>#REF!</v>
      </c>
      <c r="O7" s="23" t="e" cm="1">
        <f t="array" aca="1" ref="O7" ca="1">INDIRECT("'[SA_results" &amp; $C7 &amp; ".xlsx]Acceptance_Rate'!$A$2")</f>
        <v>#REF!</v>
      </c>
      <c r="P7" s="33" t="e" cm="1">
        <f t="array" aca="1" ref="P7" ca="1">SUM(INDIRECT("'[SA_results" &amp; $C7 &amp; ".xlsx]Best_Job_Tardiness'!$B:$B"))/($D$2-INDIRECT("'[SA_results" &amp; $C7 &amp; ".xlsx]Total_Rejected_Jobs'!$A$2"))</f>
        <v>#REF!</v>
      </c>
      <c r="Q7" s="23" t="str">
        <f ca="1">IFERROR(AVERAGE(INDIRECT("'[SA_results" &amp; $C7 &amp; ".xlsx]Best_Batch_Utilization'!C:C")),"")</f>
        <v/>
      </c>
      <c r="R7" s="5" t="e" cm="1">
        <f t="array" aca="1" ref="R7" ca="1">SUM(INDIRECT("'[SA_results" &amp; $C7 &amp; ".xlsx]Best_Job_Completion_Time'!$B:$B"))/($D$2-INDIRECT("'[SA_results" &amp; $C7 &amp; ".xlsx]Total_Rejected_Jobs'!$A$2"))</f>
        <v>#REF!</v>
      </c>
      <c r="S7" s="35"/>
      <c r="T7" s="23" t="e" cm="1">
        <f t="array" aca="1" ref="T7" ca="1">INDIRECT("'[SA_results" &amp; $C7 &amp; ".xlsx]Best_Objective'!$A$2")</f>
        <v>#REF!</v>
      </c>
      <c r="U7" s="33" t="e" cm="1">
        <f t="array" aca="1" ref="U7" ca="1">INDIRECT("'[SA_results" &amp; $C7 &amp; ".xlsx]Running_Time'!$A$2")</f>
        <v>#REF!</v>
      </c>
      <c r="V7" s="5" t="e">
        <f t="shared" ca="1" si="2"/>
        <v>#REF!</v>
      </c>
      <c r="W7" s="23" t="e" cm="1">
        <f t="array" aca="1" ref="W7" ca="1">INDIRECT("'[SA_results" &amp; $C7 &amp; ".xlsx]Acceptance_Rate'!$A$2")</f>
        <v>#REF!</v>
      </c>
      <c r="X7" s="33" t="e" cm="1">
        <f t="array" aca="1" ref="X7" ca="1">SUM(INDIRECT("'[SA_results" &amp; $C7 &amp; ".xlsx]Best_Job_Tardiness'!$B:$B"))/($D$2-INDIRECT("'[SA_results" &amp; $C7 &amp; ".xlsx]Total_Rejected_Jobs'!$A$2"))</f>
        <v>#REF!</v>
      </c>
      <c r="Y7" s="23" t="str">
        <f ca="1">IFERROR(AVERAGE(INDIRECT("'[SA_results" &amp; $C7 &amp; ".xlsx]Best_Batch_Utilization'!C:C")),"")</f>
        <v/>
      </c>
      <c r="Z7" s="5" t="e" cm="1">
        <f t="array" aca="1" ref="Z7" ca="1">SUM(INDIRECT("'[SA_results" &amp; $C7 &amp; ".xlsx]Best_Job_Completion_Time'!$B:$B"))/($D$2-INDIRECT("'[SA_results" &amp; $C7 &amp; ".xlsx]Total_Rejected_Jobs'!$A$2"))</f>
        <v>#REF!</v>
      </c>
      <c r="AA7" s="35"/>
    </row>
    <row r="8" spans="2:27" x14ac:dyDescent="0.2">
      <c r="B8" s="4">
        <v>5</v>
      </c>
      <c r="C8" s="4">
        <v>323</v>
      </c>
      <c r="D8" s="23">
        <v>1129378.7609582299</v>
      </c>
      <c r="E8" s="33">
        <v>338.10159884617087</v>
      </c>
      <c r="F8" s="5">
        <v>15</v>
      </c>
      <c r="G8" s="23">
        <v>96.666666666666671</v>
      </c>
      <c r="H8" s="33">
        <v>386.83742233253872</v>
      </c>
      <c r="I8" s="23">
        <v>34.229361819244104</v>
      </c>
      <c r="J8" s="5">
        <v>5229.5433522831599</v>
      </c>
      <c r="K8" s="31"/>
      <c r="L8" s="23" t="e" cm="1">
        <f t="array" aca="1" ref="L8" ca="1">INDIRECT("'[SA_results" &amp; $C8 &amp; ".xlsx]Best_Objective'!$A$2")</f>
        <v>#REF!</v>
      </c>
      <c r="M8" s="33" t="e" cm="1">
        <f t="array" aca="1" ref="M8" ca="1">INDIRECT("'[SA_results" &amp; $C8 &amp; ".xlsx]Running_Time'!$A$2")</f>
        <v>#REF!</v>
      </c>
      <c r="N8" s="5" t="e">
        <f t="shared" ca="1" si="0"/>
        <v>#REF!</v>
      </c>
      <c r="O8" s="23" t="e" cm="1">
        <f t="array" aca="1" ref="O8" ca="1">INDIRECT("'[SA_results" &amp; $C8 &amp; ".xlsx]Acceptance_Rate'!$A$2")</f>
        <v>#REF!</v>
      </c>
      <c r="P8" s="33" t="e" cm="1">
        <f t="array" aca="1" ref="P8" ca="1">SUM(INDIRECT("'[SA_results" &amp; $C8 &amp; ".xlsx]Best_Job_Tardiness'!$B:$B"))/($D$2-INDIRECT("'[SA_results" &amp; $C8 &amp; ".xlsx]Total_Rejected_Jobs'!$A$2"))</f>
        <v>#REF!</v>
      </c>
      <c r="Q8" s="23" t="str">
        <f t="shared" ref="Q8:Q13" ca="1" si="4">IFERROR(AVERAGE(INDIRECT("'[SA_results" &amp; $C8 &amp; ".xlsx]Best_Batch_Utilization'!C:C")),"")</f>
        <v/>
      </c>
      <c r="R8" s="5" t="e" cm="1">
        <f t="array" aca="1" ref="R8" ca="1">SUM(INDIRECT("'[SA_results" &amp; $C8 &amp; ".xlsx]Best_Job_Completion_Time'!$B:$B"))/($D$2-INDIRECT("'[SA_results" &amp; $C8 &amp; ".xlsx]Total_Rejected_Jobs'!$A$2"))</f>
        <v>#REF!</v>
      </c>
      <c r="S8" s="35"/>
      <c r="T8" s="23" t="e" cm="1">
        <f t="array" aca="1" ref="T8" ca="1">INDIRECT("'[SA_results" &amp; $C8 &amp; ".xlsx]Best_Objective'!$A$2")</f>
        <v>#REF!</v>
      </c>
      <c r="U8" s="33" t="e" cm="1">
        <f t="array" aca="1" ref="U8" ca="1">INDIRECT("'[SA_results" &amp; $C8 &amp; ".xlsx]Running_Time'!$A$2")</f>
        <v>#REF!</v>
      </c>
      <c r="V8" s="5" t="e">
        <f t="shared" ca="1" si="2"/>
        <v>#REF!</v>
      </c>
      <c r="W8" s="23" t="e" cm="1">
        <f t="array" aca="1" ref="W8" ca="1">INDIRECT("'[SA_results" &amp; $C8 &amp; ".xlsx]Acceptance_Rate'!$A$2")</f>
        <v>#REF!</v>
      </c>
      <c r="X8" s="33" t="e" cm="1">
        <f t="array" aca="1" ref="X8" ca="1">SUM(INDIRECT("'[SA_results" &amp; $C8 &amp; ".xlsx]Best_Job_Tardiness'!$B:$B"))/($D$2-INDIRECT("'[SA_results" &amp; $C8 &amp; ".xlsx]Total_Rejected_Jobs'!$A$2"))</f>
        <v>#REF!</v>
      </c>
      <c r="Y8" s="23" t="str">
        <f t="shared" ref="Y8:Y13" ca="1" si="5">IFERROR(AVERAGE(INDIRECT("'[SA_results" &amp; $C8 &amp; ".xlsx]Best_Batch_Utilization'!C:C")),"")</f>
        <v/>
      </c>
      <c r="Z8" s="5" t="e" cm="1">
        <f t="array" aca="1" ref="Z8" ca="1">SUM(INDIRECT("'[SA_results" &amp; $C8 &amp; ".xlsx]Best_Job_Completion_Time'!$B:$B"))/($D$2-INDIRECT("'[SA_results" &amp; $C8 &amp; ".xlsx]Total_Rejected_Jobs'!$A$2"))</f>
        <v>#REF!</v>
      </c>
      <c r="AA8" s="35"/>
    </row>
    <row r="9" spans="2:27" x14ac:dyDescent="0.2">
      <c r="B9" s="4">
        <v>6</v>
      </c>
      <c r="C9" s="4">
        <v>356</v>
      </c>
      <c r="D9" s="23">
        <v>1046045.483747479</v>
      </c>
      <c r="E9" s="33">
        <v>205.49383246160752</v>
      </c>
      <c r="F9" s="5">
        <v>14</v>
      </c>
      <c r="G9" s="23">
        <v>96.666666666666671</v>
      </c>
      <c r="H9" s="33">
        <v>351.38906290061749</v>
      </c>
      <c r="I9" s="23">
        <v>37.424531203822959</v>
      </c>
      <c r="J9" s="5">
        <v>4871.4040777261835</v>
      </c>
      <c r="K9" s="31"/>
      <c r="L9" s="23" t="e" cm="1">
        <f t="array" aca="1" ref="L9" ca="1">INDIRECT("'[SA_results" &amp; $C9 &amp; ".xlsx]Best_Objective'!$A$2")</f>
        <v>#REF!</v>
      </c>
      <c r="M9" s="33" t="e" cm="1">
        <f t="array" aca="1" ref="M9" ca="1">INDIRECT("'[SA_results" &amp; $C9 &amp; ".xlsx]Running_Time'!$A$2")</f>
        <v>#REF!</v>
      </c>
      <c r="N9" s="5" t="e">
        <f t="shared" ca="1" si="0"/>
        <v>#REF!</v>
      </c>
      <c r="O9" s="23" t="e" cm="1">
        <f t="array" aca="1" ref="O9" ca="1">INDIRECT("'[SA_results" &amp; $C9 &amp; ".xlsx]Acceptance_Rate'!$A$2")</f>
        <v>#REF!</v>
      </c>
      <c r="P9" s="33" t="e" cm="1">
        <f t="array" aca="1" ref="P9" ca="1">SUM(INDIRECT("'[SA_results" &amp; $C9 &amp; ".xlsx]Best_Job_Tardiness'!$B:$B"))/($D$2-INDIRECT("'[SA_results" &amp; $C9 &amp; ".xlsx]Total_Rejected_Jobs'!$A$2"))</f>
        <v>#REF!</v>
      </c>
      <c r="Q9" s="23" t="str">
        <f t="shared" ca="1" si="4"/>
        <v/>
      </c>
      <c r="R9" s="5" t="e" cm="1">
        <f t="array" aca="1" ref="R9" ca="1">SUM(INDIRECT("'[SA_results" &amp; $C9 &amp; ".xlsx]Best_Job_Completion_Time'!$B:$B"))/($D$2-INDIRECT("'[SA_results" &amp; $C9 &amp; ".xlsx]Total_Rejected_Jobs'!$A$2"))</f>
        <v>#REF!</v>
      </c>
      <c r="S9" s="35"/>
      <c r="T9" s="23" t="e" cm="1">
        <f t="array" aca="1" ref="T9" ca="1">INDIRECT("'[SA_results" &amp; $C9 &amp; ".xlsx]Best_Objective'!$A$2")</f>
        <v>#REF!</v>
      </c>
      <c r="U9" s="33" t="e" cm="1">
        <f t="array" aca="1" ref="U9" ca="1">INDIRECT("'[SA_results" &amp; $C9 &amp; ".xlsx]Running_Time'!$A$2")</f>
        <v>#REF!</v>
      </c>
      <c r="V9" s="5" t="e">
        <f t="shared" ca="1" si="2"/>
        <v>#REF!</v>
      </c>
      <c r="W9" s="23" t="e" cm="1">
        <f t="array" aca="1" ref="W9" ca="1">INDIRECT("'[SA_results" &amp; $C9 &amp; ".xlsx]Acceptance_Rate'!$A$2")</f>
        <v>#REF!</v>
      </c>
      <c r="X9" s="33" t="e" cm="1">
        <f t="array" aca="1" ref="X9" ca="1">SUM(INDIRECT("'[SA_results" &amp; $C9 &amp; ".xlsx]Best_Job_Tardiness'!$B:$B"))/($D$2-INDIRECT("'[SA_results" &amp; $C9 &amp; ".xlsx]Total_Rejected_Jobs'!$A$2"))</f>
        <v>#REF!</v>
      </c>
      <c r="Y9" s="23" t="str">
        <f t="shared" ca="1" si="5"/>
        <v/>
      </c>
      <c r="Z9" s="5" t="e" cm="1">
        <f t="array" aca="1" ref="Z9" ca="1">SUM(INDIRECT("'[SA_results" &amp; $C9 &amp; ".xlsx]Best_Job_Completion_Time'!$B:$B"))/($D$2-INDIRECT("'[SA_results" &amp; $C9 &amp; ".xlsx]Total_Rejected_Jobs'!$A$2"))</f>
        <v>#REF!</v>
      </c>
      <c r="AA9" s="35"/>
    </row>
    <row r="10" spans="2:27" x14ac:dyDescent="0.2">
      <c r="B10" s="4">
        <v>7</v>
      </c>
      <c r="C10" s="4">
        <v>435</v>
      </c>
      <c r="D10" s="23">
        <v>1106261.1965489159</v>
      </c>
      <c r="E10" s="33">
        <v>163.43257253846298</v>
      </c>
      <c r="F10" s="5">
        <v>14</v>
      </c>
      <c r="G10" s="23">
        <v>96.666666666666671</v>
      </c>
      <c r="H10" s="33">
        <v>458.61522459470422</v>
      </c>
      <c r="I10" s="23">
        <v>38.401762948415197</v>
      </c>
      <c r="J10" s="5">
        <v>5223.9263487252529</v>
      </c>
      <c r="K10" s="31"/>
      <c r="L10" s="23" t="e" cm="1">
        <f t="array" aca="1" ref="L10" ca="1">INDIRECT("'[SA_results" &amp; $C10 &amp; ".xlsx]Best_Objective'!$A$2")</f>
        <v>#REF!</v>
      </c>
      <c r="M10" s="33" t="e" cm="1">
        <f t="array" aca="1" ref="M10" ca="1">INDIRECT("'[SA_results" &amp; $C10 &amp; ".xlsx]Running_Time'!$A$2")</f>
        <v>#REF!</v>
      </c>
      <c r="N10" s="5" t="e">
        <f t="shared" ca="1" si="0"/>
        <v>#REF!</v>
      </c>
      <c r="O10" s="23" t="e" cm="1">
        <f t="array" aca="1" ref="O10" ca="1">INDIRECT("'[SA_results" &amp; $C10 &amp; ".xlsx]Acceptance_Rate'!$A$2")</f>
        <v>#REF!</v>
      </c>
      <c r="P10" s="33" t="e" cm="1">
        <f t="array" aca="1" ref="P10" ca="1">SUM(INDIRECT("'[SA_results" &amp; $C10 &amp; ".xlsx]Best_Job_Tardiness'!$B:$B"))/($D$2-INDIRECT("'[SA_results" &amp; $C10 &amp; ".xlsx]Total_Rejected_Jobs'!$A$2"))</f>
        <v>#REF!</v>
      </c>
      <c r="Q10" s="23" t="str">
        <f t="shared" ca="1" si="4"/>
        <v/>
      </c>
      <c r="R10" s="5" t="e" cm="1">
        <f t="array" aca="1" ref="R10" ca="1">SUM(INDIRECT("'[SA_results" &amp; $C10 &amp; ".xlsx]Best_Job_Completion_Time'!$B:$B"))/($D$2-INDIRECT("'[SA_results" &amp; $C10 &amp; ".xlsx]Total_Rejected_Jobs'!$A$2"))</f>
        <v>#REF!</v>
      </c>
      <c r="S10" s="35"/>
      <c r="T10" s="23" t="e" cm="1">
        <f t="array" aca="1" ref="T10" ca="1">INDIRECT("'[SA_results" &amp; $C10 &amp; ".xlsx]Best_Objective'!$A$2")</f>
        <v>#REF!</v>
      </c>
      <c r="U10" s="33" t="e" cm="1">
        <f t="array" aca="1" ref="U10" ca="1">INDIRECT("'[SA_results" &amp; $C10 &amp; ".xlsx]Running_Time'!$A$2")</f>
        <v>#REF!</v>
      </c>
      <c r="V10" s="5" t="e">
        <f t="shared" ca="1" si="2"/>
        <v>#REF!</v>
      </c>
      <c r="W10" s="23" t="e" cm="1">
        <f t="array" aca="1" ref="W10" ca="1">INDIRECT("'[SA_results" &amp; $C10 &amp; ".xlsx]Acceptance_Rate'!$A$2")</f>
        <v>#REF!</v>
      </c>
      <c r="X10" s="33" t="e" cm="1">
        <f t="array" aca="1" ref="X10" ca="1">SUM(INDIRECT("'[SA_results" &amp; $C10 &amp; ".xlsx]Best_Job_Tardiness'!$B:$B"))/($D$2-INDIRECT("'[SA_results" &amp; $C10 &amp; ".xlsx]Total_Rejected_Jobs'!$A$2"))</f>
        <v>#REF!</v>
      </c>
      <c r="Y10" s="23" t="str">
        <f t="shared" ca="1" si="5"/>
        <v/>
      </c>
      <c r="Z10" s="5" t="e" cm="1">
        <f t="array" aca="1" ref="Z10" ca="1">SUM(INDIRECT("'[SA_results" &amp; $C10 &amp; ".xlsx]Best_Job_Completion_Time'!$B:$B"))/($D$2-INDIRECT("'[SA_results" &amp; $C10 &amp; ".xlsx]Total_Rejected_Jobs'!$A$2"))</f>
        <v>#REF!</v>
      </c>
      <c r="AA10" s="35"/>
    </row>
    <row r="11" spans="2:27" x14ac:dyDescent="0.2">
      <c r="B11" s="4">
        <v>8</v>
      </c>
      <c r="C11" s="4">
        <v>785</v>
      </c>
      <c r="D11" s="23">
        <v>1134999.855652645</v>
      </c>
      <c r="E11" s="33">
        <v>165.99049976919423</v>
      </c>
      <c r="F11" s="5">
        <v>12</v>
      </c>
      <c r="G11" s="23">
        <v>96.666666666666671</v>
      </c>
      <c r="H11" s="33">
        <v>529.03309148890014</v>
      </c>
      <c r="I11" s="23">
        <v>43.737179051491232</v>
      </c>
      <c r="J11" s="5">
        <v>5587.2704326917628</v>
      </c>
      <c r="K11" s="31"/>
      <c r="L11" s="23" t="e" cm="1">
        <f t="array" aca="1" ref="L11" ca="1">INDIRECT("'[SA_results" &amp; $C11 &amp; ".xlsx]Best_Objective'!$A$2")</f>
        <v>#REF!</v>
      </c>
      <c r="M11" s="33" t="e" cm="1">
        <f t="array" aca="1" ref="M11" ca="1">INDIRECT("'[SA_results" &amp; $C11 &amp; ".xlsx]Running_Time'!$A$2")</f>
        <v>#REF!</v>
      </c>
      <c r="N11" s="5" t="e">
        <f t="shared" ca="1" si="0"/>
        <v>#REF!</v>
      </c>
      <c r="O11" s="23" t="e" cm="1">
        <f t="array" aca="1" ref="O11" ca="1">INDIRECT("'[SA_results" &amp; $C11 &amp; ".xlsx]Acceptance_Rate'!$A$2")</f>
        <v>#REF!</v>
      </c>
      <c r="P11" s="33" t="e" cm="1">
        <f t="array" aca="1" ref="P11" ca="1">SUM(INDIRECT("'[SA_results" &amp; $C11 &amp; ".xlsx]Best_Job_Tardiness'!$B:$B"))/($D$2-INDIRECT("'[SA_results" &amp; $C11 &amp; ".xlsx]Total_Rejected_Jobs'!$A$2"))</f>
        <v>#REF!</v>
      </c>
      <c r="Q11" s="23" t="str">
        <f t="shared" ca="1" si="4"/>
        <v/>
      </c>
      <c r="R11" s="5" t="e" cm="1">
        <f t="array" aca="1" ref="R11" ca="1">SUM(INDIRECT("'[SA_results" &amp; $C11 &amp; ".xlsx]Best_Job_Completion_Time'!$B:$B"))/($D$2-INDIRECT("'[SA_results" &amp; $C11 &amp; ".xlsx]Total_Rejected_Jobs'!$A$2"))</f>
        <v>#REF!</v>
      </c>
      <c r="S11" s="35"/>
      <c r="T11" s="23" t="e" cm="1">
        <f t="array" aca="1" ref="T11" ca="1">INDIRECT("'[SA_results" &amp; $C11 &amp; ".xlsx]Best_Objective'!$A$2")</f>
        <v>#REF!</v>
      </c>
      <c r="U11" s="33" t="e" cm="1">
        <f t="array" aca="1" ref="U11" ca="1">INDIRECT("'[SA_results" &amp; $C11 &amp; ".xlsx]Running_Time'!$A$2")</f>
        <v>#REF!</v>
      </c>
      <c r="V11" s="5" t="e">
        <f t="shared" ca="1" si="2"/>
        <v>#REF!</v>
      </c>
      <c r="W11" s="23" t="e" cm="1">
        <f t="array" aca="1" ref="W11" ca="1">INDIRECT("'[SA_results" &amp; $C11 &amp; ".xlsx]Acceptance_Rate'!$A$2")</f>
        <v>#REF!</v>
      </c>
      <c r="X11" s="33" t="e" cm="1">
        <f t="array" aca="1" ref="X11" ca="1">SUM(INDIRECT("'[SA_results" &amp; $C11 &amp; ".xlsx]Best_Job_Tardiness'!$B:$B"))/($D$2-INDIRECT("'[SA_results" &amp; $C11 &amp; ".xlsx]Total_Rejected_Jobs'!$A$2"))</f>
        <v>#REF!</v>
      </c>
      <c r="Y11" s="23" t="str">
        <f t="shared" ca="1" si="5"/>
        <v/>
      </c>
      <c r="Z11" s="5" t="e" cm="1">
        <f t="array" aca="1" ref="Z11" ca="1">SUM(INDIRECT("'[SA_results" &amp; $C11 &amp; ".xlsx]Best_Job_Completion_Time'!$B:$B"))/($D$2-INDIRECT("'[SA_results" &amp; $C11 &amp; ".xlsx]Total_Rejected_Jobs'!$A$2"))</f>
        <v>#REF!</v>
      </c>
      <c r="AA11" s="35"/>
    </row>
    <row r="12" spans="2:27" x14ac:dyDescent="0.2">
      <c r="B12" s="4">
        <v>9</v>
      </c>
      <c r="C12" s="4">
        <v>800</v>
      </c>
      <c r="D12" s="23">
        <v>1088715.929915909</v>
      </c>
      <c r="E12" s="33">
        <v>133.22303138467336</v>
      </c>
      <c r="F12" s="5">
        <v>14</v>
      </c>
      <c r="G12" s="23">
        <v>96.666666666666671</v>
      </c>
      <c r="H12" s="33">
        <v>321.74700318718203</v>
      </c>
      <c r="I12" s="23">
        <v>37.137340567116851</v>
      </c>
      <c r="J12" s="5">
        <v>5173.6222561572185</v>
      </c>
      <c r="K12" s="31"/>
      <c r="L12" s="23" t="e" cm="1">
        <f t="array" aca="1" ref="L12" ca="1">INDIRECT("'[SA_results" &amp; $C12 &amp; ".xlsx]Best_Objective'!$A$2")</f>
        <v>#REF!</v>
      </c>
      <c r="M12" s="33" t="e" cm="1">
        <f t="array" aca="1" ref="M12" ca="1">INDIRECT("'[SA_results" &amp; $C12 &amp; ".xlsx]Running_Time'!$A$2")</f>
        <v>#REF!</v>
      </c>
      <c r="N12" s="5" t="e">
        <f t="shared" ca="1" si="0"/>
        <v>#REF!</v>
      </c>
      <c r="O12" s="23" t="e" cm="1">
        <f t="array" aca="1" ref="O12" ca="1">INDIRECT("'[SA_results" &amp; $C12 &amp; ".xlsx]Acceptance_Rate'!$A$2")</f>
        <v>#REF!</v>
      </c>
      <c r="P12" s="33" t="e" cm="1">
        <f t="array" aca="1" ref="P12" ca="1">SUM(INDIRECT("'[SA_results" &amp; $C12 &amp; ".xlsx]Best_Job_Tardiness'!$B:$B"))/($D$2-INDIRECT("'[SA_results" &amp; $C12 &amp; ".xlsx]Total_Rejected_Jobs'!$A$2"))</f>
        <v>#REF!</v>
      </c>
      <c r="Q12" s="23" t="str">
        <f t="shared" ca="1" si="4"/>
        <v/>
      </c>
      <c r="R12" s="5" t="e" cm="1">
        <f t="array" aca="1" ref="R12" ca="1">SUM(INDIRECT("'[SA_results" &amp; $C12 &amp; ".xlsx]Best_Job_Completion_Time'!$B:$B"))/($D$2-INDIRECT("'[SA_results" &amp; $C12 &amp; ".xlsx]Total_Rejected_Jobs'!$A$2"))</f>
        <v>#REF!</v>
      </c>
      <c r="S12" s="35"/>
      <c r="T12" s="23" t="e" cm="1">
        <f t="array" aca="1" ref="T12" ca="1">INDIRECT("'[SA_results" &amp; $C12 &amp; ".xlsx]Best_Objective'!$A$2")</f>
        <v>#REF!</v>
      </c>
      <c r="U12" s="33" t="e" cm="1">
        <f t="array" aca="1" ref="U12" ca="1">INDIRECT("'[SA_results" &amp; $C12 &amp; ".xlsx]Running_Time'!$A$2")</f>
        <v>#REF!</v>
      </c>
      <c r="V12" s="5" t="e">
        <f t="shared" ca="1" si="2"/>
        <v>#REF!</v>
      </c>
      <c r="W12" s="23" t="e" cm="1">
        <f t="array" aca="1" ref="W12" ca="1">INDIRECT("'[SA_results" &amp; $C12 &amp; ".xlsx]Acceptance_Rate'!$A$2")</f>
        <v>#REF!</v>
      </c>
      <c r="X12" s="33" t="e" cm="1">
        <f t="array" aca="1" ref="X12" ca="1">SUM(INDIRECT("'[SA_results" &amp; $C12 &amp; ".xlsx]Best_Job_Tardiness'!$B:$B"))/($D$2-INDIRECT("'[SA_results" &amp; $C12 &amp; ".xlsx]Total_Rejected_Jobs'!$A$2"))</f>
        <v>#REF!</v>
      </c>
      <c r="Y12" s="23" t="str">
        <f t="shared" ca="1" si="5"/>
        <v/>
      </c>
      <c r="Z12" s="5" t="e" cm="1">
        <f t="array" aca="1" ref="Z12" ca="1">SUM(INDIRECT("'[SA_results" &amp; $C12 &amp; ".xlsx]Best_Job_Completion_Time'!$B:$B"))/($D$2-INDIRECT("'[SA_results" &amp; $C12 &amp; ".xlsx]Total_Rejected_Jobs'!$A$2"))</f>
        <v>#REF!</v>
      </c>
      <c r="AA12" s="35"/>
    </row>
    <row r="13" spans="2:27" x14ac:dyDescent="0.2">
      <c r="B13" s="4">
        <v>10</v>
      </c>
      <c r="C13" s="4">
        <v>876</v>
      </c>
      <c r="D13" s="23">
        <v>1078172.497278759</v>
      </c>
      <c r="E13" s="33">
        <v>146.12448830766462</v>
      </c>
      <c r="F13" s="5">
        <v>13</v>
      </c>
      <c r="G13" s="23">
        <v>96.666666666666671</v>
      </c>
      <c r="H13" s="33">
        <v>443.58333674363513</v>
      </c>
      <c r="I13" s="23">
        <v>40.349749483757215</v>
      </c>
      <c r="J13" s="5">
        <v>5150.676543416781</v>
      </c>
      <c r="K13" s="31"/>
      <c r="L13" s="23" t="e" cm="1">
        <f t="array" aca="1" ref="L13" ca="1">INDIRECT("'[SA_results" &amp; $C13 &amp; ".xlsx]Best_Objective'!$A$2")</f>
        <v>#REF!</v>
      </c>
      <c r="M13" s="33" t="e" cm="1">
        <f t="array" aca="1" ref="M13" ca="1">INDIRECT("'[SA_results" &amp; $C13 &amp; ".xlsx]Running_Time'!$A$2")</f>
        <v>#REF!</v>
      </c>
      <c r="N13" s="5" t="e">
        <f t="shared" ca="1" si="0"/>
        <v>#REF!</v>
      </c>
      <c r="O13" s="23" t="e" cm="1">
        <f t="array" aca="1" ref="O13" ca="1">INDIRECT("'[SA_results" &amp; $C13 &amp; ".xlsx]Acceptance_Rate'!$A$2")</f>
        <v>#REF!</v>
      </c>
      <c r="P13" s="33" t="e" cm="1">
        <f t="array" aca="1" ref="P13" ca="1">SUM(INDIRECT("'[SA_results" &amp; $C13 &amp; ".xlsx]Best_Job_Tardiness'!$B:$B"))/($D$2-INDIRECT("'[SA_results" &amp; $C13 &amp; ".xlsx]Total_Rejected_Jobs'!$A$2"))</f>
        <v>#REF!</v>
      </c>
      <c r="Q13" s="23" t="str">
        <f t="shared" ca="1" si="4"/>
        <v/>
      </c>
      <c r="R13" s="5" t="e" cm="1">
        <f t="array" aca="1" ref="R13" ca="1">SUM(INDIRECT("'[SA_results" &amp; $C13 &amp; ".xlsx]Best_Job_Completion_Time'!$B:$B"))/($D$2-INDIRECT("'[SA_results" &amp; $C13 &amp; ".xlsx]Total_Rejected_Jobs'!$A$2"))</f>
        <v>#REF!</v>
      </c>
      <c r="S13" s="35"/>
      <c r="T13" s="23" t="e" cm="1">
        <f t="array" aca="1" ref="T13" ca="1">INDIRECT("'[SA_results" &amp; $C13 &amp; ".xlsx]Best_Objective'!$A$2")</f>
        <v>#REF!</v>
      </c>
      <c r="U13" s="33" t="e" cm="1">
        <f t="array" aca="1" ref="U13" ca="1">INDIRECT("'[SA_results" &amp; $C13 &amp; ".xlsx]Running_Time'!$A$2")</f>
        <v>#REF!</v>
      </c>
      <c r="V13" s="5" t="e">
        <f t="shared" ca="1" si="2"/>
        <v>#REF!</v>
      </c>
      <c r="W13" s="23" t="e" cm="1">
        <f t="array" aca="1" ref="W13" ca="1">INDIRECT("'[SA_results" &amp; $C13 &amp; ".xlsx]Acceptance_Rate'!$A$2")</f>
        <v>#REF!</v>
      </c>
      <c r="X13" s="33" t="e" cm="1">
        <f t="array" aca="1" ref="X13" ca="1">SUM(INDIRECT("'[SA_results" &amp; $C13 &amp; ".xlsx]Best_Job_Tardiness'!$B:$B"))/($D$2-INDIRECT("'[SA_results" &amp; $C13 &amp; ".xlsx]Total_Rejected_Jobs'!$A$2"))</f>
        <v>#REF!</v>
      </c>
      <c r="Y13" s="23" t="str">
        <f t="shared" ca="1" si="5"/>
        <v/>
      </c>
      <c r="Z13" s="5" t="e" cm="1">
        <f t="array" aca="1" ref="Z13" ca="1">SUM(INDIRECT("'[SA_results" &amp; $C13 &amp; ".xlsx]Best_Job_Completion_Time'!$B:$B"))/($D$2-INDIRECT("'[SA_results" &amp; $C13 &amp; ".xlsx]Total_Rejected_Jobs'!$A$2"))</f>
        <v>#REF!</v>
      </c>
      <c r="AA13" s="35"/>
    </row>
    <row r="14" spans="2:27" x14ac:dyDescent="0.2">
      <c r="B14" s="49" t="s">
        <v>3</v>
      </c>
      <c r="C14" s="50"/>
      <c r="D14" s="9">
        <f>MIN(D4:D13)</f>
        <v>1046045.483747479</v>
      </c>
      <c r="E14" s="22">
        <f>INDEX(E4:E13, MATCH($D$14, D4:D13, 0))</f>
        <v>205.49383246160752</v>
      </c>
      <c r="F14" s="9">
        <f>INDEX(F4:F13, MATCH($D$14, D4:D13, 0))</f>
        <v>14</v>
      </c>
      <c r="G14" s="9">
        <f>INDEX(G4:G13, MATCH($D$14, D4:D13, 0))</f>
        <v>96.666666666666671</v>
      </c>
      <c r="H14" s="22">
        <f>INDEX(H4:H13, MATCH($D$14, D4:D13, 0))</f>
        <v>351.38906290061749</v>
      </c>
      <c r="I14" s="22">
        <f>INDEX(I4:I13, MATCH($D$14, D4:D13, 0))</f>
        <v>37.424531203822959</v>
      </c>
      <c r="J14" s="22">
        <f>INDEX(J4:J13, MATCH($D$14, D4:D13, 0))</f>
        <v>4871.4040777261835</v>
      </c>
      <c r="K14" s="32" t="e">
        <f>(D14-$D$15)/$D$15</f>
        <v>#DIV/0!</v>
      </c>
      <c r="L14" s="16" t="e">
        <f ca="1">MIN(L4:L13)</f>
        <v>#REF!</v>
      </c>
      <c r="M14" s="21" t="e">
        <f ca="1">INDEX(M4:M13, MATCH($L$14, L4:L13, 0))</f>
        <v>#REF!</v>
      </c>
      <c r="N14" s="16" t="e">
        <f ca="1">INDEX(N4:N13, MATCH($L$14, L4:L13, 0))</f>
        <v>#REF!</v>
      </c>
      <c r="O14" s="16" t="e">
        <f ca="1">INDEX(O4:O13, MATCH($L$14, L4:L13, 0))</f>
        <v>#REF!</v>
      </c>
      <c r="P14" s="21" t="e">
        <f ca="1">INDEX(P4:P13, MATCH($L$14, L4:L13, 0))</f>
        <v>#REF!</v>
      </c>
      <c r="Q14" s="21" t="e">
        <f ca="1">INDEX(Q4:Q13, MATCH($L$14, L4:L13, 0))</f>
        <v>#REF!</v>
      </c>
      <c r="R14" s="21" t="e">
        <f ca="1">INDEX(R4:R13, MATCH($L$14, L4:L13, 0))</f>
        <v>#REF!</v>
      </c>
      <c r="S14" s="36" t="e">
        <f ca="1">(L14-$D$15)/$D$15</f>
        <v>#REF!</v>
      </c>
      <c r="T14" s="38" t="e">
        <f ca="1">MIN(T4:T13)</f>
        <v>#REF!</v>
      </c>
      <c r="U14" s="39" t="e">
        <f ca="1">INDEX(U4:U13, MATCH($T$14, T4:T13, 0))</f>
        <v>#REF!</v>
      </c>
      <c r="V14" s="38" t="e">
        <f ca="1">INDEX(V4:V13, MATCH($T$14, T4:T13, 0))</f>
        <v>#REF!</v>
      </c>
      <c r="W14" s="38" t="e">
        <f ca="1">INDEX(W4:W13, MATCH($T$14, T4:T13, 0))</f>
        <v>#REF!</v>
      </c>
      <c r="X14" s="39" t="e">
        <f ca="1">INDEX(X4:X13, MATCH($T$14, T4:T13, 0))</f>
        <v>#REF!</v>
      </c>
      <c r="Y14" s="39" t="e">
        <f ca="1">INDEX(Y4:Y13, MATCH($T$14, T4:T13, 0))</f>
        <v>#REF!</v>
      </c>
      <c r="Z14" s="39" t="e">
        <f ca="1">INDEX(Z4:Z13, MATCH($T$14, T4:T13, 0))</f>
        <v>#REF!</v>
      </c>
      <c r="AA14" s="40" t="e">
        <f ca="1">(T14-$D$15)/$D$15</f>
        <v>#REF!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 t="e">
        <f ca="1">(L14-D14)/D14</f>
        <v>#REF!</v>
      </c>
      <c r="M15" s="41" t="e">
        <f t="shared" ref="M15:R15" ca="1" si="6">(M14-E14)/E14</f>
        <v>#REF!</v>
      </c>
      <c r="N15" s="41" t="e">
        <f t="shared" ca="1" si="6"/>
        <v>#REF!</v>
      </c>
      <c r="O15" s="41" t="e">
        <f t="shared" ca="1" si="6"/>
        <v>#REF!</v>
      </c>
      <c r="P15" s="41" t="e">
        <f t="shared" ca="1" si="6"/>
        <v>#REF!</v>
      </c>
      <c r="Q15" s="41" t="e">
        <f t="shared" ca="1" si="6"/>
        <v>#REF!</v>
      </c>
      <c r="R15" s="41" t="e">
        <f t="shared" ca="1" si="6"/>
        <v>#REF!</v>
      </c>
      <c r="T15" s="41" t="e">
        <f ca="1">(T14-D14)/D14</f>
        <v>#REF!</v>
      </c>
      <c r="U15" s="41" t="e">
        <f t="shared" ref="U15:Z15" ca="1" si="7">(U14-E14)/E14</f>
        <v>#REF!</v>
      </c>
      <c r="V15" s="41" t="e">
        <f t="shared" ca="1" si="7"/>
        <v>#REF!</v>
      </c>
      <c r="W15" s="41" t="e">
        <f t="shared" ca="1" si="7"/>
        <v>#REF!</v>
      </c>
      <c r="X15" s="41" t="e">
        <f t="shared" ca="1" si="7"/>
        <v>#REF!</v>
      </c>
      <c r="Y15" s="41" t="e">
        <f t="shared" ca="1" si="7"/>
        <v>#REF!</v>
      </c>
      <c r="Z15" s="41" t="e">
        <f t="shared" ca="1" si="7"/>
        <v>#REF!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:C19 C3 C39:C1048576">
    <cfRule type="duplicateValues" dxfId="87" priority="11"/>
    <cfRule type="duplicateValues" dxfId="86" priority="12"/>
  </conditionalFormatting>
  <conditionalFormatting sqref="C2">
    <cfRule type="duplicateValues" dxfId="85" priority="3"/>
    <cfRule type="duplicateValues" dxfId="84" priority="4"/>
  </conditionalFormatting>
  <conditionalFormatting sqref="C4:C13">
    <cfRule type="duplicateValues" dxfId="83" priority="5"/>
    <cfRule type="duplicateValues" dxfId="82" priority="6"/>
  </conditionalFormatting>
  <conditionalFormatting sqref="C14">
    <cfRule type="duplicateValues" dxfId="81" priority="9"/>
    <cfRule type="duplicateValues" dxfId="80" priority="10"/>
  </conditionalFormatting>
  <conditionalFormatting sqref="C15">
    <cfRule type="duplicateValues" dxfId="79" priority="7"/>
    <cfRule type="duplicateValues" dxfId="78" priority="8"/>
  </conditionalFormatting>
  <conditionalFormatting sqref="C20:C38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DEAD-C54D-4644-92BB-97A76528F3AE}">
  <dimension ref="B1:AA17"/>
  <sheetViews>
    <sheetView zoomScale="90" zoomScaleNormal="90" workbookViewId="0">
      <selection activeCell="E19" sqref="E19:E3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 t="e">
        <f ca="1">(P14-H14)/H14</f>
        <v>#REF!</v>
      </c>
      <c r="R2" s="1" t="e">
        <f ca="1">(R14-J14)/J14</f>
        <v>#REF!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69</v>
      </c>
      <c r="D4" s="23">
        <v>1318656.474301717</v>
      </c>
      <c r="E4" s="33">
        <v>439.80038330764864</v>
      </c>
      <c r="F4" s="5">
        <v>15</v>
      </c>
      <c r="G4" s="23">
        <v>93.333333333333329</v>
      </c>
      <c r="H4" s="33">
        <v>611.49334131411842</v>
      </c>
      <c r="I4" s="23">
        <v>33.981339648843765</v>
      </c>
      <c r="J4" s="5">
        <v>5812.7765925569047</v>
      </c>
      <c r="K4" s="31"/>
      <c r="L4" s="23" t="e" cm="1">
        <f t="array" aca="1" ref="L4" ca="1">INDIRECT("'[SA_results" &amp; $C4 &amp; ".xlsx]Best_Objective'!$A$2")</f>
        <v>#REF!</v>
      </c>
      <c r="M4" s="33" t="e" cm="1">
        <f t="array" aca="1" ref="M4" ca="1">INDIRECT("'[SA_results" &amp; $C4 &amp; ".xlsx]Running_Time'!$A$2")</f>
        <v>#REF!</v>
      </c>
      <c r="N4" s="5" t="e">
        <f ca="1">COUNTIF(INDIRECT("'[SA_results" &amp; $C4 &amp; ".xlsx]Best_Batch_Utilization'!C:C"),"&gt;0")</f>
        <v>#REF!</v>
      </c>
      <c r="O4" s="23" t="e" cm="1">
        <f t="array" aca="1" ref="O4" ca="1">INDIRECT("'[SA_results" &amp; $C4 &amp; ".xlsx]Acceptance_Rate'!$A$2")</f>
        <v>#REF!</v>
      </c>
      <c r="P4" s="33" t="e" cm="1">
        <f t="array" aca="1" ref="P4" ca="1">SUM(INDIRECT("'[SA_results" &amp; $C4 &amp; ".xlsx]Best_Job_Tardiness'!$B:$B"))/($D$2-INDIRECT("'[SA_results" &amp; $C4 &amp; ".xlsx]Total_Rejected_Jobs'!$A$2"))</f>
        <v>#REF!</v>
      </c>
      <c r="Q4" s="23" t="str">
        <f ca="1">IFERROR(AVERAGE(INDIRECT("'[SA_results" &amp; $C4 &amp; ".xlsx]Best_Batch_Utilization'!C:C")),"")</f>
        <v/>
      </c>
      <c r="R4" s="5" t="e" cm="1">
        <f t="array" aca="1" ref="R4" ca="1">SUM(INDIRECT("'[SA_results" &amp; $C4 &amp; ".xlsx]Best_Job_Completion_Time'!$B:$B"))/($D$2-INDIRECT("'[SA_results" &amp; $C4 &amp; ".xlsx]Total_Rejected_Jobs'!$A$2"))</f>
        <v>#REF!</v>
      </c>
      <c r="S4" s="35"/>
      <c r="T4" s="23" t="e" cm="1">
        <f t="array" aca="1" ref="T4" ca="1">INDIRECT("'[SA_results" &amp; $C4 &amp; ".xlsx]Best_Objective'!$A$2")</f>
        <v>#REF!</v>
      </c>
      <c r="U4" s="33" t="e" cm="1">
        <f t="array" aca="1" ref="U4" ca="1">INDIRECT("'[SA_results" &amp; $C4 &amp; ".xlsx]Running_Time'!$A$2")</f>
        <v>#REF!</v>
      </c>
      <c r="V4" s="5" t="e">
        <f ca="1">COUNTIF(INDIRECT("'[SA_results" &amp; $C4 &amp; ".xlsx]Best_Batch_Utilization'!C:C"),"&gt;0")</f>
        <v>#REF!</v>
      </c>
      <c r="W4" s="23" t="e" cm="1">
        <f t="array" aca="1" ref="W4" ca="1">INDIRECT("'[SA_results" &amp; $C4 &amp; ".xlsx]Acceptance_Rate'!$A$2")</f>
        <v>#REF!</v>
      </c>
      <c r="X4" s="33" t="e" cm="1">
        <f t="array" aca="1" ref="X4" ca="1">SUM(INDIRECT("'[SA_results" &amp; $C4 &amp; ".xlsx]Best_Job_Tardiness'!$B:$B"))/($D$2-INDIRECT("'[SA_results" &amp; $C4 &amp; ".xlsx]Total_Rejected_Jobs'!$A$2"))</f>
        <v>#REF!</v>
      </c>
      <c r="Y4" s="23" t="str">
        <f ca="1">IFERROR(AVERAGE(INDIRECT("'[SA_results" &amp; $C4 &amp; ".xlsx]Best_Batch_Utilization'!C:C")),"")</f>
        <v/>
      </c>
      <c r="Z4" s="5" t="e" cm="1">
        <f t="array" aca="1" ref="Z4" ca="1">SUM(INDIRECT("'[SA_results" &amp; $C4 &amp; ".xlsx]Best_Job_Completion_Time'!$B:$B"))/($D$2-INDIRECT("'[SA_results" &amp; $C4 &amp; ".xlsx]Total_Rejected_Jobs'!$A$2"))</f>
        <v>#REF!</v>
      </c>
      <c r="AA4" s="35"/>
    </row>
    <row r="5" spans="2:27" x14ac:dyDescent="0.2">
      <c r="B5" s="4">
        <v>2</v>
      </c>
      <c r="C5" s="4">
        <v>114</v>
      </c>
      <c r="D5" s="23">
        <v>1331858.0465048731</v>
      </c>
      <c r="E5" s="33">
        <v>212.70075661533221</v>
      </c>
      <c r="F5" s="5">
        <v>15</v>
      </c>
      <c r="G5" s="23">
        <v>93.333333333333329</v>
      </c>
      <c r="H5" s="33">
        <v>618.58717806284756</v>
      </c>
      <c r="I5" s="23">
        <v>34.525110804306841</v>
      </c>
      <c r="J5" s="5">
        <v>5927.1238187888921</v>
      </c>
      <c r="K5" s="31"/>
      <c r="L5" s="23" t="e" cm="1">
        <f t="array" aca="1" ref="L5" ca="1">INDIRECT("'[SA_results" &amp; $C5 &amp; ".xlsx]Best_Objective'!$A$2")</f>
        <v>#REF!</v>
      </c>
      <c r="M5" s="33" t="e" cm="1">
        <f t="array" aca="1" ref="M5" ca="1">INDIRECT("'[SA_results" &amp; $C5 &amp; ".xlsx]Running_Time'!$A$2")</f>
        <v>#REF!</v>
      </c>
      <c r="N5" s="5" t="e">
        <f t="shared" ref="N5:N13" ca="1" si="0">COUNTIF(INDIRECT("'[SA_results" &amp; $C5 &amp; ".xlsx]Best_Batch_Utilization'!C:C"),"&gt;0")</f>
        <v>#REF!</v>
      </c>
      <c r="O5" s="23" t="e" cm="1">
        <f t="array" aca="1" ref="O5" ca="1">INDIRECT("'[SA_results" &amp; $C5 &amp; ".xlsx]Acceptance_Rate'!$A$2")</f>
        <v>#REF!</v>
      </c>
      <c r="P5" s="33" t="e" cm="1">
        <f t="array" aca="1" ref="P5" ca="1">SUM(INDIRECT("'[SA_results" &amp; $C5 &amp; ".xlsx]Best_Job_Tardiness'!$B:$B"))/($D$2-INDIRECT("'[SA_results" &amp; $C5 &amp; ".xlsx]Total_Rejected_Jobs'!$A$2"))</f>
        <v>#REF!</v>
      </c>
      <c r="Q5" s="23" t="str">
        <f t="shared" ref="Q5:Q6" ca="1" si="1">IFERROR(AVERAGE(INDIRECT("'[SA_results" &amp; $C5 &amp; ".xlsx]Best_Batch_Utilization'!C:C")),"")</f>
        <v/>
      </c>
      <c r="R5" s="5" t="e" cm="1">
        <f t="array" aca="1" ref="R5" ca="1">SUM(INDIRECT("'[SA_results" &amp; $C5 &amp; ".xlsx]Best_Job_Completion_Time'!$B:$B"))/($D$2-INDIRECT("'[SA_results" &amp; $C5 &amp; ".xlsx]Total_Rejected_Jobs'!$A$2"))</f>
        <v>#REF!</v>
      </c>
      <c r="S5" s="35"/>
      <c r="T5" s="23" t="e" cm="1">
        <f t="array" aca="1" ref="T5" ca="1">INDIRECT("'[SA_results" &amp; $C5 &amp; ".xlsx]Best_Objective'!$A$2")</f>
        <v>#REF!</v>
      </c>
      <c r="U5" s="33" t="e" cm="1">
        <f t="array" aca="1" ref="U5" ca="1">INDIRECT("'[SA_results" &amp; $C5 &amp; ".xlsx]Running_Time'!$A$2")</f>
        <v>#REF!</v>
      </c>
      <c r="V5" s="5" t="e">
        <f t="shared" ref="V5:V13" ca="1" si="2">COUNTIF(INDIRECT("'[SA_results" &amp; $C5 &amp; ".xlsx]Best_Batch_Utilization'!C:C"),"&gt;0")</f>
        <v>#REF!</v>
      </c>
      <c r="W5" s="23" t="e" cm="1">
        <f t="array" aca="1" ref="W5" ca="1">INDIRECT("'[SA_results" &amp; $C5 &amp; ".xlsx]Acceptance_Rate'!$A$2")</f>
        <v>#REF!</v>
      </c>
      <c r="X5" s="33" t="e" cm="1">
        <f t="array" aca="1" ref="X5" ca="1">SUM(INDIRECT("'[SA_results" &amp; $C5 &amp; ".xlsx]Best_Job_Tardiness'!$B:$B"))/($D$2-INDIRECT("'[SA_results" &amp; $C5 &amp; ".xlsx]Total_Rejected_Jobs'!$A$2"))</f>
        <v>#REF!</v>
      </c>
      <c r="Y5" s="23" t="str">
        <f t="shared" ref="Y5:Y6" ca="1" si="3">IFERROR(AVERAGE(INDIRECT("'[SA_results" &amp; $C5 &amp; ".xlsx]Best_Batch_Utilization'!C:C")),"")</f>
        <v/>
      </c>
      <c r="Z5" s="5" t="e" cm="1">
        <f t="array" aca="1" ref="Z5" ca="1">SUM(INDIRECT("'[SA_results" &amp; $C5 &amp; ".xlsx]Best_Job_Completion_Time'!$B:$B"))/($D$2-INDIRECT("'[SA_results" &amp; $C5 &amp; ".xlsx]Total_Rejected_Jobs'!$A$2"))</f>
        <v>#REF!</v>
      </c>
      <c r="AA5" s="35"/>
    </row>
    <row r="6" spans="2:27" x14ac:dyDescent="0.2">
      <c r="B6" s="4">
        <v>3</v>
      </c>
      <c r="C6" s="4">
        <v>155</v>
      </c>
      <c r="D6" s="23">
        <v>1298314.612475632</v>
      </c>
      <c r="E6" s="33">
        <v>222.78767107690396</v>
      </c>
      <c r="F6" s="5">
        <v>15</v>
      </c>
      <c r="G6" s="23">
        <v>93.333333333333329</v>
      </c>
      <c r="H6" s="33">
        <v>557.2158028380004</v>
      </c>
      <c r="I6" s="23">
        <v>34.54691388475625</v>
      </c>
      <c r="J6" s="5">
        <v>5750.2115391621046</v>
      </c>
      <c r="K6" s="31"/>
      <c r="L6" s="23" t="e" cm="1">
        <f t="array" aca="1" ref="L6" ca="1">INDIRECT("'[SA_results" &amp; $C6 &amp; ".xlsx]Best_Objective'!$A$2")</f>
        <v>#REF!</v>
      </c>
      <c r="M6" s="33" t="e" cm="1">
        <f t="array" aca="1" ref="M6" ca="1">INDIRECT("'[SA_results" &amp; $C6 &amp; ".xlsx]Running_Time'!$A$2")</f>
        <v>#REF!</v>
      </c>
      <c r="N6" s="5" t="e">
        <f t="shared" ca="1" si="0"/>
        <v>#REF!</v>
      </c>
      <c r="O6" s="23" t="e" cm="1">
        <f t="array" aca="1" ref="O6" ca="1">INDIRECT("'[SA_results" &amp; $C6 &amp; ".xlsx]Acceptance_Rate'!$A$2")</f>
        <v>#REF!</v>
      </c>
      <c r="P6" s="33" t="e" cm="1">
        <f t="array" aca="1" ref="P6" ca="1">SUM(INDIRECT("'[SA_results" &amp; $C6 &amp; ".xlsx]Best_Job_Tardiness'!$B:$B"))/($D$2-INDIRECT("'[SA_results" &amp; $C6 &amp; ".xlsx]Total_Rejected_Jobs'!$A$2"))</f>
        <v>#REF!</v>
      </c>
      <c r="Q6" s="23" t="str">
        <f t="shared" ca="1" si="1"/>
        <v/>
      </c>
      <c r="R6" s="5" t="e" cm="1">
        <f t="array" aca="1" ref="R6" ca="1">SUM(INDIRECT("'[SA_results" &amp; $C6 &amp; ".xlsx]Best_Job_Completion_Time'!$B:$B"))/($D$2-INDIRECT("'[SA_results" &amp; $C6 &amp; ".xlsx]Total_Rejected_Jobs'!$A$2"))</f>
        <v>#REF!</v>
      </c>
      <c r="S6" s="35"/>
      <c r="T6" s="23" t="e" cm="1">
        <f t="array" aca="1" ref="T6" ca="1">INDIRECT("'[SA_results" &amp; $C6 &amp; ".xlsx]Best_Objective'!$A$2")</f>
        <v>#REF!</v>
      </c>
      <c r="U6" s="33" t="e" cm="1">
        <f t="array" aca="1" ref="U6" ca="1">INDIRECT("'[SA_results" &amp; $C6 &amp; ".xlsx]Running_Time'!$A$2")</f>
        <v>#REF!</v>
      </c>
      <c r="V6" s="5" t="e">
        <f t="shared" ca="1" si="2"/>
        <v>#REF!</v>
      </c>
      <c r="W6" s="23" t="e" cm="1">
        <f t="array" aca="1" ref="W6" ca="1">INDIRECT("'[SA_results" &amp; $C6 &amp; ".xlsx]Acceptance_Rate'!$A$2")</f>
        <v>#REF!</v>
      </c>
      <c r="X6" s="33" t="e" cm="1">
        <f t="array" aca="1" ref="X6" ca="1">SUM(INDIRECT("'[SA_results" &amp; $C6 &amp; ".xlsx]Best_Job_Tardiness'!$B:$B"))/($D$2-INDIRECT("'[SA_results" &amp; $C6 &amp; ".xlsx]Total_Rejected_Jobs'!$A$2"))</f>
        <v>#REF!</v>
      </c>
      <c r="Y6" s="23" t="str">
        <f t="shared" ca="1" si="3"/>
        <v/>
      </c>
      <c r="Z6" s="5" t="e" cm="1">
        <f t="array" aca="1" ref="Z6" ca="1">SUM(INDIRECT("'[SA_results" &amp; $C6 &amp; ".xlsx]Best_Job_Completion_Time'!$B:$B"))/($D$2-INDIRECT("'[SA_results" &amp; $C6 &amp; ".xlsx]Total_Rejected_Jobs'!$A$2"))</f>
        <v>#REF!</v>
      </c>
      <c r="AA6" s="35"/>
    </row>
    <row r="7" spans="2:27" x14ac:dyDescent="0.2">
      <c r="B7" s="4">
        <v>4</v>
      </c>
      <c r="C7" s="4">
        <v>270</v>
      </c>
      <c r="D7" s="23">
        <v>1352309.5085820509</v>
      </c>
      <c r="E7" s="33">
        <v>295.05281261535578</v>
      </c>
      <c r="F7" s="5">
        <v>15</v>
      </c>
      <c r="G7" s="23">
        <v>93.333333333333329</v>
      </c>
      <c r="H7" s="33">
        <v>798.17551819688629</v>
      </c>
      <c r="I7" s="23">
        <v>34.087832887533501</v>
      </c>
      <c r="J7" s="5">
        <v>5904.2385145919625</v>
      </c>
      <c r="K7" s="31"/>
      <c r="L7" s="23" t="e" cm="1">
        <f t="array" aca="1" ref="L7" ca="1">INDIRECT("'[SA_results" &amp; $C7 &amp; ".xlsx]Best_Objective'!$A$2")</f>
        <v>#REF!</v>
      </c>
      <c r="M7" s="33" t="e" cm="1">
        <f t="array" aca="1" ref="M7" ca="1">INDIRECT("'[SA_results" &amp; $C7 &amp; ".xlsx]Running_Time'!$A$2")</f>
        <v>#REF!</v>
      </c>
      <c r="N7" s="5" t="e">
        <f t="shared" ca="1" si="0"/>
        <v>#REF!</v>
      </c>
      <c r="O7" s="23" t="e" cm="1">
        <f t="array" aca="1" ref="O7" ca="1">INDIRECT("'[SA_results" &amp; $C7 &amp; ".xlsx]Acceptance_Rate'!$A$2")</f>
        <v>#REF!</v>
      </c>
      <c r="P7" s="33" t="e" cm="1">
        <f t="array" aca="1" ref="P7" ca="1">SUM(INDIRECT("'[SA_results" &amp; $C7 &amp; ".xlsx]Best_Job_Tardiness'!$B:$B"))/($D$2-INDIRECT("'[SA_results" &amp; $C7 &amp; ".xlsx]Total_Rejected_Jobs'!$A$2"))</f>
        <v>#REF!</v>
      </c>
      <c r="Q7" s="23" t="str">
        <f ca="1">IFERROR(AVERAGE(INDIRECT("'[SA_results" &amp; $C7 &amp; ".xlsx]Best_Batch_Utilization'!C:C")),"")</f>
        <v/>
      </c>
      <c r="R7" s="5" t="e" cm="1">
        <f t="array" aca="1" ref="R7" ca="1">SUM(INDIRECT("'[SA_results" &amp; $C7 &amp; ".xlsx]Best_Job_Completion_Time'!$B:$B"))/($D$2-INDIRECT("'[SA_results" &amp; $C7 &amp; ".xlsx]Total_Rejected_Jobs'!$A$2"))</f>
        <v>#REF!</v>
      </c>
      <c r="S7" s="35"/>
      <c r="T7" s="23" t="e" cm="1">
        <f t="array" aca="1" ref="T7" ca="1">INDIRECT("'[SA_results" &amp; $C7 &amp; ".xlsx]Best_Objective'!$A$2")</f>
        <v>#REF!</v>
      </c>
      <c r="U7" s="33" t="e" cm="1">
        <f t="array" aca="1" ref="U7" ca="1">INDIRECT("'[SA_results" &amp; $C7 &amp; ".xlsx]Running_Time'!$A$2")</f>
        <v>#REF!</v>
      </c>
      <c r="V7" s="5" t="e">
        <f t="shared" ca="1" si="2"/>
        <v>#REF!</v>
      </c>
      <c r="W7" s="23" t="e" cm="1">
        <f t="array" aca="1" ref="W7" ca="1">INDIRECT("'[SA_results" &amp; $C7 &amp; ".xlsx]Acceptance_Rate'!$A$2")</f>
        <v>#REF!</v>
      </c>
      <c r="X7" s="33" t="e" cm="1">
        <f t="array" aca="1" ref="X7" ca="1">SUM(INDIRECT("'[SA_results" &amp; $C7 &amp; ".xlsx]Best_Job_Tardiness'!$B:$B"))/($D$2-INDIRECT("'[SA_results" &amp; $C7 &amp; ".xlsx]Total_Rejected_Jobs'!$A$2"))</f>
        <v>#REF!</v>
      </c>
      <c r="Y7" s="23" t="str">
        <f ca="1">IFERROR(AVERAGE(INDIRECT("'[SA_results" &amp; $C7 &amp; ".xlsx]Best_Batch_Utilization'!C:C")),"")</f>
        <v/>
      </c>
      <c r="Z7" s="5" t="e" cm="1">
        <f t="array" aca="1" ref="Z7" ca="1">SUM(INDIRECT("'[SA_results" &amp; $C7 &amp; ".xlsx]Best_Job_Completion_Time'!$B:$B"))/($D$2-INDIRECT("'[SA_results" &amp; $C7 &amp; ".xlsx]Total_Rejected_Jobs'!$A$2"))</f>
        <v>#REF!</v>
      </c>
      <c r="AA7" s="35"/>
    </row>
    <row r="8" spans="2:27" x14ac:dyDescent="0.2">
      <c r="B8" s="4">
        <v>5</v>
      </c>
      <c r="C8" s="4">
        <v>272</v>
      </c>
      <c r="D8" s="23">
        <v>1330395.726383463</v>
      </c>
      <c r="E8" s="33">
        <v>346.17247461538329</v>
      </c>
      <c r="F8" s="5">
        <v>15</v>
      </c>
      <c r="G8" s="23">
        <v>93.333333333333329</v>
      </c>
      <c r="H8" s="33">
        <v>769.00489567171348</v>
      </c>
      <c r="I8" s="23">
        <v>34.446184128575169</v>
      </c>
      <c r="J8" s="5">
        <v>5825.6334466884691</v>
      </c>
      <c r="K8" s="31"/>
      <c r="L8" s="23" t="e" cm="1">
        <f t="array" aca="1" ref="L8" ca="1">INDIRECT("'[SA_results" &amp; $C8 &amp; ".xlsx]Best_Objective'!$A$2")</f>
        <v>#REF!</v>
      </c>
      <c r="M8" s="33" t="e" cm="1">
        <f t="array" aca="1" ref="M8" ca="1">INDIRECT("'[SA_results" &amp; $C8 &amp; ".xlsx]Running_Time'!$A$2")</f>
        <v>#REF!</v>
      </c>
      <c r="N8" s="5" t="e">
        <f t="shared" ca="1" si="0"/>
        <v>#REF!</v>
      </c>
      <c r="O8" s="23" t="e" cm="1">
        <f t="array" aca="1" ref="O8" ca="1">INDIRECT("'[SA_results" &amp; $C8 &amp; ".xlsx]Acceptance_Rate'!$A$2")</f>
        <v>#REF!</v>
      </c>
      <c r="P8" s="33" t="e" cm="1">
        <f t="array" aca="1" ref="P8" ca="1">SUM(INDIRECT("'[SA_results" &amp; $C8 &amp; ".xlsx]Best_Job_Tardiness'!$B:$B"))/($D$2-INDIRECT("'[SA_results" &amp; $C8 &amp; ".xlsx]Total_Rejected_Jobs'!$A$2"))</f>
        <v>#REF!</v>
      </c>
      <c r="Q8" s="23" t="str">
        <f t="shared" ref="Q8:Q13" ca="1" si="4">IFERROR(AVERAGE(INDIRECT("'[SA_results" &amp; $C8 &amp; ".xlsx]Best_Batch_Utilization'!C:C")),"")</f>
        <v/>
      </c>
      <c r="R8" s="5" t="e" cm="1">
        <f t="array" aca="1" ref="R8" ca="1">SUM(INDIRECT("'[SA_results" &amp; $C8 &amp; ".xlsx]Best_Job_Completion_Time'!$B:$B"))/($D$2-INDIRECT("'[SA_results" &amp; $C8 &amp; ".xlsx]Total_Rejected_Jobs'!$A$2"))</f>
        <v>#REF!</v>
      </c>
      <c r="S8" s="35"/>
      <c r="T8" s="23" t="e" cm="1">
        <f t="array" aca="1" ref="T8" ca="1">INDIRECT("'[SA_results" &amp; $C8 &amp; ".xlsx]Best_Objective'!$A$2")</f>
        <v>#REF!</v>
      </c>
      <c r="U8" s="33" t="e" cm="1">
        <f t="array" aca="1" ref="U8" ca="1">INDIRECT("'[SA_results" &amp; $C8 &amp; ".xlsx]Running_Time'!$A$2")</f>
        <v>#REF!</v>
      </c>
      <c r="V8" s="5" t="e">
        <f t="shared" ca="1" si="2"/>
        <v>#REF!</v>
      </c>
      <c r="W8" s="23" t="e" cm="1">
        <f t="array" aca="1" ref="W8" ca="1">INDIRECT("'[SA_results" &amp; $C8 &amp; ".xlsx]Acceptance_Rate'!$A$2")</f>
        <v>#REF!</v>
      </c>
      <c r="X8" s="33" t="e" cm="1">
        <f t="array" aca="1" ref="X8" ca="1">SUM(INDIRECT("'[SA_results" &amp; $C8 &amp; ".xlsx]Best_Job_Tardiness'!$B:$B"))/($D$2-INDIRECT("'[SA_results" &amp; $C8 &amp; ".xlsx]Total_Rejected_Jobs'!$A$2"))</f>
        <v>#REF!</v>
      </c>
      <c r="Y8" s="23" t="str">
        <f t="shared" ref="Y8:Y13" ca="1" si="5">IFERROR(AVERAGE(INDIRECT("'[SA_results" &amp; $C8 &amp; ".xlsx]Best_Batch_Utilization'!C:C")),"")</f>
        <v/>
      </c>
      <c r="Z8" s="5" t="e" cm="1">
        <f t="array" aca="1" ref="Z8" ca="1">SUM(INDIRECT("'[SA_results" &amp; $C8 &amp; ".xlsx]Best_Job_Completion_Time'!$B:$B"))/($D$2-INDIRECT("'[SA_results" &amp; $C8 &amp; ".xlsx]Total_Rejected_Jobs'!$A$2"))</f>
        <v>#REF!</v>
      </c>
      <c r="AA8" s="35"/>
    </row>
    <row r="9" spans="2:27" x14ac:dyDescent="0.2">
      <c r="B9" s="4">
        <v>6</v>
      </c>
      <c r="C9" s="4">
        <v>483</v>
      </c>
      <c r="D9" s="23">
        <v>1323385.3430637461</v>
      </c>
      <c r="E9" s="33">
        <v>244.84482315386859</v>
      </c>
      <c r="F9" s="5">
        <v>15</v>
      </c>
      <c r="G9" s="23">
        <v>93.333333333333329</v>
      </c>
      <c r="H9" s="33">
        <v>624.66099323344724</v>
      </c>
      <c r="I9" s="23">
        <v>34.677709108612028</v>
      </c>
      <c r="J9" s="5">
        <v>5870.1829840585997</v>
      </c>
      <c r="K9" s="31"/>
      <c r="L9" s="23" t="e" cm="1">
        <f t="array" aca="1" ref="L9" ca="1">INDIRECT("'[SA_results" &amp; $C9 &amp; ".xlsx]Best_Objective'!$A$2")</f>
        <v>#REF!</v>
      </c>
      <c r="M9" s="33" t="e" cm="1">
        <f t="array" aca="1" ref="M9" ca="1">INDIRECT("'[SA_results" &amp; $C9 &amp; ".xlsx]Running_Time'!$A$2")</f>
        <v>#REF!</v>
      </c>
      <c r="N9" s="5" t="e">
        <f t="shared" ca="1" si="0"/>
        <v>#REF!</v>
      </c>
      <c r="O9" s="23" t="e" cm="1">
        <f t="array" aca="1" ref="O9" ca="1">INDIRECT("'[SA_results" &amp; $C9 &amp; ".xlsx]Acceptance_Rate'!$A$2")</f>
        <v>#REF!</v>
      </c>
      <c r="P9" s="33" t="e" cm="1">
        <f t="array" aca="1" ref="P9" ca="1">SUM(INDIRECT("'[SA_results" &amp; $C9 &amp; ".xlsx]Best_Job_Tardiness'!$B:$B"))/($D$2-INDIRECT("'[SA_results" &amp; $C9 &amp; ".xlsx]Total_Rejected_Jobs'!$A$2"))</f>
        <v>#REF!</v>
      </c>
      <c r="Q9" s="23" t="str">
        <f t="shared" ca="1" si="4"/>
        <v/>
      </c>
      <c r="R9" s="5" t="e" cm="1">
        <f t="array" aca="1" ref="R9" ca="1">SUM(INDIRECT("'[SA_results" &amp; $C9 &amp; ".xlsx]Best_Job_Completion_Time'!$B:$B"))/($D$2-INDIRECT("'[SA_results" &amp; $C9 &amp; ".xlsx]Total_Rejected_Jobs'!$A$2"))</f>
        <v>#REF!</v>
      </c>
      <c r="S9" s="35"/>
      <c r="T9" s="23" t="e" cm="1">
        <f t="array" aca="1" ref="T9" ca="1">INDIRECT("'[SA_results" &amp; $C9 &amp; ".xlsx]Best_Objective'!$A$2")</f>
        <v>#REF!</v>
      </c>
      <c r="U9" s="33" t="e" cm="1">
        <f t="array" aca="1" ref="U9" ca="1">INDIRECT("'[SA_results" &amp; $C9 &amp; ".xlsx]Running_Time'!$A$2")</f>
        <v>#REF!</v>
      </c>
      <c r="V9" s="5" t="e">
        <f t="shared" ca="1" si="2"/>
        <v>#REF!</v>
      </c>
      <c r="W9" s="23" t="e" cm="1">
        <f t="array" aca="1" ref="W9" ca="1">INDIRECT("'[SA_results" &amp; $C9 &amp; ".xlsx]Acceptance_Rate'!$A$2")</f>
        <v>#REF!</v>
      </c>
      <c r="X9" s="33" t="e" cm="1">
        <f t="array" aca="1" ref="X9" ca="1">SUM(INDIRECT("'[SA_results" &amp; $C9 &amp; ".xlsx]Best_Job_Tardiness'!$B:$B"))/($D$2-INDIRECT("'[SA_results" &amp; $C9 &amp; ".xlsx]Total_Rejected_Jobs'!$A$2"))</f>
        <v>#REF!</v>
      </c>
      <c r="Y9" s="23" t="str">
        <f t="shared" ca="1" si="5"/>
        <v/>
      </c>
      <c r="Z9" s="5" t="e" cm="1">
        <f t="array" aca="1" ref="Z9" ca="1">SUM(INDIRECT("'[SA_results" &amp; $C9 &amp; ".xlsx]Best_Job_Completion_Time'!$B:$B"))/($D$2-INDIRECT("'[SA_results" &amp; $C9 &amp; ".xlsx]Total_Rejected_Jobs'!$A$2"))</f>
        <v>#REF!</v>
      </c>
      <c r="AA9" s="35"/>
    </row>
    <row r="10" spans="2:27" x14ac:dyDescent="0.2">
      <c r="B10" s="4">
        <v>7</v>
      </c>
      <c r="C10" s="4">
        <v>530</v>
      </c>
      <c r="D10" s="23">
        <v>1317647.020910942</v>
      </c>
      <c r="E10" s="33">
        <v>190.8173417692216</v>
      </c>
      <c r="F10" s="5">
        <v>14</v>
      </c>
      <c r="G10" s="23">
        <v>93.333333333333329</v>
      </c>
      <c r="H10" s="33">
        <v>664.29440446850401</v>
      </c>
      <c r="I10" s="23">
        <v>37.190397721197243</v>
      </c>
      <c r="J10" s="5">
        <v>5945.0812900184528</v>
      </c>
      <c r="K10" s="31"/>
      <c r="L10" s="23" t="e" cm="1">
        <f t="array" aca="1" ref="L10" ca="1">INDIRECT("'[SA_results" &amp; $C10 &amp; ".xlsx]Best_Objective'!$A$2")</f>
        <v>#REF!</v>
      </c>
      <c r="M10" s="33" t="e" cm="1">
        <f t="array" aca="1" ref="M10" ca="1">INDIRECT("'[SA_results" &amp; $C10 &amp; ".xlsx]Running_Time'!$A$2")</f>
        <v>#REF!</v>
      </c>
      <c r="N10" s="5" t="e">
        <f t="shared" ca="1" si="0"/>
        <v>#REF!</v>
      </c>
      <c r="O10" s="23" t="e" cm="1">
        <f t="array" aca="1" ref="O10" ca="1">INDIRECT("'[SA_results" &amp; $C10 &amp; ".xlsx]Acceptance_Rate'!$A$2")</f>
        <v>#REF!</v>
      </c>
      <c r="P10" s="33" t="e" cm="1">
        <f t="array" aca="1" ref="P10" ca="1">SUM(INDIRECT("'[SA_results" &amp; $C10 &amp; ".xlsx]Best_Job_Tardiness'!$B:$B"))/($D$2-INDIRECT("'[SA_results" &amp; $C10 &amp; ".xlsx]Total_Rejected_Jobs'!$A$2"))</f>
        <v>#REF!</v>
      </c>
      <c r="Q10" s="23" t="str">
        <f t="shared" ca="1" si="4"/>
        <v/>
      </c>
      <c r="R10" s="5" t="e" cm="1">
        <f t="array" aca="1" ref="R10" ca="1">SUM(INDIRECT("'[SA_results" &amp; $C10 &amp; ".xlsx]Best_Job_Completion_Time'!$B:$B"))/($D$2-INDIRECT("'[SA_results" &amp; $C10 &amp; ".xlsx]Total_Rejected_Jobs'!$A$2"))</f>
        <v>#REF!</v>
      </c>
      <c r="S10" s="35"/>
      <c r="T10" s="23" t="e" cm="1">
        <f t="array" aca="1" ref="T10" ca="1">INDIRECT("'[SA_results" &amp; $C10 &amp; ".xlsx]Best_Objective'!$A$2")</f>
        <v>#REF!</v>
      </c>
      <c r="U10" s="33" t="e" cm="1">
        <f t="array" aca="1" ref="U10" ca="1">INDIRECT("'[SA_results" &amp; $C10 &amp; ".xlsx]Running_Time'!$A$2")</f>
        <v>#REF!</v>
      </c>
      <c r="V10" s="5" t="e">
        <f t="shared" ca="1" si="2"/>
        <v>#REF!</v>
      </c>
      <c r="W10" s="23" t="e" cm="1">
        <f t="array" aca="1" ref="W10" ca="1">INDIRECT("'[SA_results" &amp; $C10 &amp; ".xlsx]Acceptance_Rate'!$A$2")</f>
        <v>#REF!</v>
      </c>
      <c r="X10" s="33" t="e" cm="1">
        <f t="array" aca="1" ref="X10" ca="1">SUM(INDIRECT("'[SA_results" &amp; $C10 &amp; ".xlsx]Best_Job_Tardiness'!$B:$B"))/($D$2-INDIRECT("'[SA_results" &amp; $C10 &amp; ".xlsx]Total_Rejected_Jobs'!$A$2"))</f>
        <v>#REF!</v>
      </c>
      <c r="Y10" s="23" t="str">
        <f t="shared" ca="1" si="5"/>
        <v/>
      </c>
      <c r="Z10" s="5" t="e" cm="1">
        <f t="array" aca="1" ref="Z10" ca="1">SUM(INDIRECT("'[SA_results" &amp; $C10 &amp; ".xlsx]Best_Job_Completion_Time'!$B:$B"))/($D$2-INDIRECT("'[SA_results" &amp; $C10 &amp; ".xlsx]Total_Rejected_Jobs'!$A$2"))</f>
        <v>#REF!</v>
      </c>
      <c r="AA10" s="35"/>
    </row>
    <row r="11" spans="2:27" x14ac:dyDescent="0.2">
      <c r="B11" s="4">
        <v>8</v>
      </c>
      <c r="C11" s="4">
        <v>552</v>
      </c>
      <c r="D11" s="23">
        <v>1311506.1473503071</v>
      </c>
      <c r="E11" s="33">
        <v>208.09396546154932</v>
      </c>
      <c r="F11" s="5">
        <v>13</v>
      </c>
      <c r="G11" s="23">
        <v>92.666666666666671</v>
      </c>
      <c r="H11" s="33">
        <v>583.33842659823233</v>
      </c>
      <c r="I11" s="23">
        <v>38.564171508025964</v>
      </c>
      <c r="J11" s="5">
        <v>5966.8106890680565</v>
      </c>
      <c r="K11" s="31"/>
      <c r="L11" s="23" t="e" cm="1">
        <f t="array" aca="1" ref="L11" ca="1">INDIRECT("'[SA_results" &amp; $C11 &amp; ".xlsx]Best_Objective'!$A$2")</f>
        <v>#REF!</v>
      </c>
      <c r="M11" s="33" t="e" cm="1">
        <f t="array" aca="1" ref="M11" ca="1">INDIRECT("'[SA_results" &amp; $C11 &amp; ".xlsx]Running_Time'!$A$2")</f>
        <v>#REF!</v>
      </c>
      <c r="N11" s="5" t="e">
        <f t="shared" ca="1" si="0"/>
        <v>#REF!</v>
      </c>
      <c r="O11" s="23" t="e" cm="1">
        <f t="array" aca="1" ref="O11" ca="1">INDIRECT("'[SA_results" &amp; $C11 &amp; ".xlsx]Acceptance_Rate'!$A$2")</f>
        <v>#REF!</v>
      </c>
      <c r="P11" s="33" t="e" cm="1">
        <f t="array" aca="1" ref="P11" ca="1">SUM(INDIRECT("'[SA_results" &amp; $C11 &amp; ".xlsx]Best_Job_Tardiness'!$B:$B"))/($D$2-INDIRECT("'[SA_results" &amp; $C11 &amp; ".xlsx]Total_Rejected_Jobs'!$A$2"))</f>
        <v>#REF!</v>
      </c>
      <c r="Q11" s="23" t="str">
        <f t="shared" ca="1" si="4"/>
        <v/>
      </c>
      <c r="R11" s="5" t="e" cm="1">
        <f t="array" aca="1" ref="R11" ca="1">SUM(INDIRECT("'[SA_results" &amp; $C11 &amp; ".xlsx]Best_Job_Completion_Time'!$B:$B"))/($D$2-INDIRECT("'[SA_results" &amp; $C11 &amp; ".xlsx]Total_Rejected_Jobs'!$A$2"))</f>
        <v>#REF!</v>
      </c>
      <c r="S11" s="35"/>
      <c r="T11" s="23" t="e" cm="1">
        <f t="array" aca="1" ref="T11" ca="1">INDIRECT("'[SA_results" &amp; $C11 &amp; ".xlsx]Best_Objective'!$A$2")</f>
        <v>#REF!</v>
      </c>
      <c r="U11" s="33" t="e" cm="1">
        <f t="array" aca="1" ref="U11" ca="1">INDIRECT("'[SA_results" &amp; $C11 &amp; ".xlsx]Running_Time'!$A$2")</f>
        <v>#REF!</v>
      </c>
      <c r="V11" s="5" t="e">
        <f t="shared" ca="1" si="2"/>
        <v>#REF!</v>
      </c>
      <c r="W11" s="23" t="e" cm="1">
        <f t="array" aca="1" ref="W11" ca="1">INDIRECT("'[SA_results" &amp; $C11 &amp; ".xlsx]Acceptance_Rate'!$A$2")</f>
        <v>#REF!</v>
      </c>
      <c r="X11" s="33" t="e" cm="1">
        <f t="array" aca="1" ref="X11" ca="1">SUM(INDIRECT("'[SA_results" &amp; $C11 &amp; ".xlsx]Best_Job_Tardiness'!$B:$B"))/($D$2-INDIRECT("'[SA_results" &amp; $C11 &amp; ".xlsx]Total_Rejected_Jobs'!$A$2"))</f>
        <v>#REF!</v>
      </c>
      <c r="Y11" s="23" t="str">
        <f t="shared" ca="1" si="5"/>
        <v/>
      </c>
      <c r="Z11" s="5" t="e" cm="1">
        <f t="array" aca="1" ref="Z11" ca="1">SUM(INDIRECT("'[SA_results" &amp; $C11 &amp; ".xlsx]Best_Job_Completion_Time'!$B:$B"))/($D$2-INDIRECT("'[SA_results" &amp; $C11 &amp; ".xlsx]Total_Rejected_Jobs'!$A$2"))</f>
        <v>#REF!</v>
      </c>
      <c r="AA11" s="35"/>
    </row>
    <row r="12" spans="2:27" x14ac:dyDescent="0.2">
      <c r="B12" s="4">
        <v>9</v>
      </c>
      <c r="C12" s="4">
        <v>603</v>
      </c>
      <c r="D12" s="23">
        <v>1329535.156040655</v>
      </c>
      <c r="E12" s="33">
        <v>491.55465099996383</v>
      </c>
      <c r="F12" s="5">
        <v>15</v>
      </c>
      <c r="G12" s="23">
        <v>93.333333333333329</v>
      </c>
      <c r="H12" s="33">
        <v>755.46045363842416</v>
      </c>
      <c r="I12" s="23">
        <v>34.456092298980067</v>
      </c>
      <c r="J12" s="5">
        <v>5826.6500093091863</v>
      </c>
      <c r="K12" s="31"/>
      <c r="L12" s="23" t="e" cm="1">
        <f t="array" aca="1" ref="L12" ca="1">INDIRECT("'[SA_results" &amp; $C12 &amp; ".xlsx]Best_Objective'!$A$2")</f>
        <v>#REF!</v>
      </c>
      <c r="M12" s="33" t="e" cm="1">
        <f t="array" aca="1" ref="M12" ca="1">INDIRECT("'[SA_results" &amp; $C12 &amp; ".xlsx]Running_Time'!$A$2")</f>
        <v>#REF!</v>
      </c>
      <c r="N12" s="5" t="e">
        <f t="shared" ca="1" si="0"/>
        <v>#REF!</v>
      </c>
      <c r="O12" s="23" t="e" cm="1">
        <f t="array" aca="1" ref="O12" ca="1">INDIRECT("'[SA_results" &amp; $C12 &amp; ".xlsx]Acceptance_Rate'!$A$2")</f>
        <v>#REF!</v>
      </c>
      <c r="P12" s="33" t="e" cm="1">
        <f t="array" aca="1" ref="P12" ca="1">SUM(INDIRECT("'[SA_results" &amp; $C12 &amp; ".xlsx]Best_Job_Tardiness'!$B:$B"))/($D$2-INDIRECT("'[SA_results" &amp; $C12 &amp; ".xlsx]Total_Rejected_Jobs'!$A$2"))</f>
        <v>#REF!</v>
      </c>
      <c r="Q12" s="23" t="str">
        <f t="shared" ca="1" si="4"/>
        <v/>
      </c>
      <c r="R12" s="5" t="e" cm="1">
        <f t="array" aca="1" ref="R12" ca="1">SUM(INDIRECT("'[SA_results" &amp; $C12 &amp; ".xlsx]Best_Job_Completion_Time'!$B:$B"))/($D$2-INDIRECT("'[SA_results" &amp; $C12 &amp; ".xlsx]Total_Rejected_Jobs'!$A$2"))</f>
        <v>#REF!</v>
      </c>
      <c r="S12" s="35"/>
      <c r="T12" s="23" t="e" cm="1">
        <f t="array" aca="1" ref="T12" ca="1">INDIRECT("'[SA_results" &amp; $C12 &amp; ".xlsx]Best_Objective'!$A$2")</f>
        <v>#REF!</v>
      </c>
      <c r="U12" s="33" t="e" cm="1">
        <f t="array" aca="1" ref="U12" ca="1">INDIRECT("'[SA_results" &amp; $C12 &amp; ".xlsx]Running_Time'!$A$2")</f>
        <v>#REF!</v>
      </c>
      <c r="V12" s="5" t="e">
        <f t="shared" ca="1" si="2"/>
        <v>#REF!</v>
      </c>
      <c r="W12" s="23" t="e" cm="1">
        <f t="array" aca="1" ref="W12" ca="1">INDIRECT("'[SA_results" &amp; $C12 &amp; ".xlsx]Acceptance_Rate'!$A$2")</f>
        <v>#REF!</v>
      </c>
      <c r="X12" s="33" t="e" cm="1">
        <f t="array" aca="1" ref="X12" ca="1">SUM(INDIRECT("'[SA_results" &amp; $C12 &amp; ".xlsx]Best_Job_Tardiness'!$B:$B"))/($D$2-INDIRECT("'[SA_results" &amp; $C12 &amp; ".xlsx]Total_Rejected_Jobs'!$A$2"))</f>
        <v>#REF!</v>
      </c>
      <c r="Y12" s="23" t="str">
        <f t="shared" ca="1" si="5"/>
        <v/>
      </c>
      <c r="Z12" s="5" t="e" cm="1">
        <f t="array" aca="1" ref="Z12" ca="1">SUM(INDIRECT("'[SA_results" &amp; $C12 &amp; ".xlsx]Best_Job_Completion_Time'!$B:$B"))/($D$2-INDIRECT("'[SA_results" &amp; $C12 &amp; ".xlsx]Total_Rejected_Jobs'!$A$2"))</f>
        <v>#REF!</v>
      </c>
      <c r="AA12" s="35"/>
    </row>
    <row r="13" spans="2:27" x14ac:dyDescent="0.2">
      <c r="B13" s="4">
        <v>10</v>
      </c>
      <c r="C13" s="4">
        <v>884</v>
      </c>
      <c r="D13" s="23">
        <v>1329961.296754769</v>
      </c>
      <c r="E13" s="33">
        <v>126.39722792306337</v>
      </c>
      <c r="F13" s="5">
        <v>14</v>
      </c>
      <c r="G13" s="23">
        <v>91.333333333333329</v>
      </c>
      <c r="H13" s="33">
        <v>562.03464641089442</v>
      </c>
      <c r="I13" s="23">
        <v>35.258811173301211</v>
      </c>
      <c r="J13" s="5">
        <v>5787.7386323284072</v>
      </c>
      <c r="K13" s="31"/>
      <c r="L13" s="23" t="e" cm="1">
        <f t="array" aca="1" ref="L13" ca="1">INDIRECT("'[SA_results" &amp; $C13 &amp; ".xlsx]Best_Objective'!$A$2")</f>
        <v>#REF!</v>
      </c>
      <c r="M13" s="33" t="e" cm="1">
        <f t="array" aca="1" ref="M13" ca="1">INDIRECT("'[SA_results" &amp; $C13 &amp; ".xlsx]Running_Time'!$A$2")</f>
        <v>#REF!</v>
      </c>
      <c r="N13" s="5" t="e">
        <f t="shared" ca="1" si="0"/>
        <v>#REF!</v>
      </c>
      <c r="O13" s="23" t="e" cm="1">
        <f t="array" aca="1" ref="O13" ca="1">INDIRECT("'[SA_results" &amp; $C13 &amp; ".xlsx]Acceptance_Rate'!$A$2")</f>
        <v>#REF!</v>
      </c>
      <c r="P13" s="33" t="e" cm="1">
        <f t="array" aca="1" ref="P13" ca="1">SUM(INDIRECT("'[SA_results" &amp; $C13 &amp; ".xlsx]Best_Job_Tardiness'!$B:$B"))/($D$2-INDIRECT("'[SA_results" &amp; $C13 &amp; ".xlsx]Total_Rejected_Jobs'!$A$2"))</f>
        <v>#REF!</v>
      </c>
      <c r="Q13" s="23" t="str">
        <f t="shared" ca="1" si="4"/>
        <v/>
      </c>
      <c r="R13" s="5" t="e" cm="1">
        <f t="array" aca="1" ref="R13" ca="1">SUM(INDIRECT("'[SA_results" &amp; $C13 &amp; ".xlsx]Best_Job_Completion_Time'!$B:$B"))/($D$2-INDIRECT("'[SA_results" &amp; $C13 &amp; ".xlsx]Total_Rejected_Jobs'!$A$2"))</f>
        <v>#REF!</v>
      </c>
      <c r="S13" s="35"/>
      <c r="T13" s="23" t="e" cm="1">
        <f t="array" aca="1" ref="T13" ca="1">INDIRECT("'[SA_results" &amp; $C13 &amp; ".xlsx]Best_Objective'!$A$2")</f>
        <v>#REF!</v>
      </c>
      <c r="U13" s="33" t="e" cm="1">
        <f t="array" aca="1" ref="U13" ca="1">INDIRECT("'[SA_results" &amp; $C13 &amp; ".xlsx]Running_Time'!$A$2")</f>
        <v>#REF!</v>
      </c>
      <c r="V13" s="5" t="e">
        <f t="shared" ca="1" si="2"/>
        <v>#REF!</v>
      </c>
      <c r="W13" s="23" t="e" cm="1">
        <f t="array" aca="1" ref="W13" ca="1">INDIRECT("'[SA_results" &amp; $C13 &amp; ".xlsx]Acceptance_Rate'!$A$2")</f>
        <v>#REF!</v>
      </c>
      <c r="X13" s="33" t="e" cm="1">
        <f t="array" aca="1" ref="X13" ca="1">SUM(INDIRECT("'[SA_results" &amp; $C13 &amp; ".xlsx]Best_Job_Tardiness'!$B:$B"))/($D$2-INDIRECT("'[SA_results" &amp; $C13 &amp; ".xlsx]Total_Rejected_Jobs'!$A$2"))</f>
        <v>#REF!</v>
      </c>
      <c r="Y13" s="23" t="str">
        <f t="shared" ca="1" si="5"/>
        <v/>
      </c>
      <c r="Z13" s="5" t="e" cm="1">
        <f t="array" aca="1" ref="Z13" ca="1">SUM(INDIRECT("'[SA_results" &amp; $C13 &amp; ".xlsx]Best_Job_Completion_Time'!$B:$B"))/($D$2-INDIRECT("'[SA_results" &amp; $C13 &amp; ".xlsx]Total_Rejected_Jobs'!$A$2"))</f>
        <v>#REF!</v>
      </c>
      <c r="AA13" s="35"/>
    </row>
    <row r="14" spans="2:27" x14ac:dyDescent="0.2">
      <c r="B14" s="49" t="s">
        <v>3</v>
      </c>
      <c r="C14" s="50"/>
      <c r="D14" s="9">
        <f>MIN(D4:D13)</f>
        <v>1298314.612475632</v>
      </c>
      <c r="E14" s="22">
        <f>INDEX(E4:E13, MATCH($D$14, D4:D13, 0))</f>
        <v>222.78767107690396</v>
      </c>
      <c r="F14" s="9">
        <f>INDEX(F4:F13, MATCH($D$14, D4:D13, 0))</f>
        <v>15</v>
      </c>
      <c r="G14" s="9">
        <f>INDEX(G4:G13, MATCH($D$14, D4:D13, 0))</f>
        <v>93.333333333333329</v>
      </c>
      <c r="H14" s="22">
        <f>INDEX(H4:H13, MATCH($D$14, D4:D13, 0))</f>
        <v>557.2158028380004</v>
      </c>
      <c r="I14" s="22">
        <f>INDEX(I4:I13, MATCH($D$14, D4:D13, 0))</f>
        <v>34.54691388475625</v>
      </c>
      <c r="J14" s="22">
        <f>INDEX(J4:J13, MATCH($D$14, D4:D13, 0))</f>
        <v>5750.2115391621046</v>
      </c>
      <c r="K14" s="32" t="e">
        <f>(D14-$D$15)/$D$15</f>
        <v>#DIV/0!</v>
      </c>
      <c r="L14" s="16" t="e">
        <f ca="1">MIN(L4:L13)</f>
        <v>#REF!</v>
      </c>
      <c r="M14" s="21" t="e">
        <f ca="1">INDEX(M4:M13, MATCH($L$14, L4:L13, 0))</f>
        <v>#REF!</v>
      </c>
      <c r="N14" s="16" t="e">
        <f ca="1">INDEX(N4:N13, MATCH($L$14, L4:L13, 0))</f>
        <v>#REF!</v>
      </c>
      <c r="O14" s="16" t="e">
        <f ca="1">INDEX(O4:O13, MATCH($L$14, L4:L13, 0))</f>
        <v>#REF!</v>
      </c>
      <c r="P14" s="21" t="e">
        <f ca="1">INDEX(P4:P13, MATCH($L$14, L4:L13, 0))</f>
        <v>#REF!</v>
      </c>
      <c r="Q14" s="21" t="e">
        <f ca="1">INDEX(Q4:Q13, MATCH($L$14, L4:L13, 0))</f>
        <v>#REF!</v>
      </c>
      <c r="R14" s="21" t="e">
        <f ca="1">INDEX(R4:R13, MATCH($L$14, L4:L13, 0))</f>
        <v>#REF!</v>
      </c>
      <c r="S14" s="36" t="e">
        <f ca="1">(L14-$D$15)/$D$15</f>
        <v>#REF!</v>
      </c>
      <c r="T14" s="38" t="e">
        <f ca="1">MIN(T4:T13)</f>
        <v>#REF!</v>
      </c>
      <c r="U14" s="39" t="e">
        <f ca="1">INDEX(U4:U13, MATCH($T$14, T4:T13, 0))</f>
        <v>#REF!</v>
      </c>
      <c r="V14" s="38" t="e">
        <f ca="1">INDEX(V4:V13, MATCH($T$14, T4:T13, 0))</f>
        <v>#REF!</v>
      </c>
      <c r="W14" s="38" t="e">
        <f ca="1">INDEX(W4:W13, MATCH($T$14, T4:T13, 0))</f>
        <v>#REF!</v>
      </c>
      <c r="X14" s="39" t="e">
        <f ca="1">INDEX(X4:X13, MATCH($T$14, T4:T13, 0))</f>
        <v>#REF!</v>
      </c>
      <c r="Y14" s="39" t="e">
        <f ca="1">INDEX(Y4:Y13, MATCH($T$14, T4:T13, 0))</f>
        <v>#REF!</v>
      </c>
      <c r="Z14" s="39" t="e">
        <f ca="1">INDEX(Z4:Z13, MATCH($T$14, T4:T13, 0))</f>
        <v>#REF!</v>
      </c>
      <c r="AA14" s="40" t="e">
        <f ca="1">(T14-$D$15)/$D$15</f>
        <v>#REF!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 t="e">
        <f ca="1">(L14-D14)/D14</f>
        <v>#REF!</v>
      </c>
      <c r="M15" s="41" t="e">
        <f t="shared" ref="M15:R15" ca="1" si="6">(M14-E14)/E14</f>
        <v>#REF!</v>
      </c>
      <c r="N15" s="41" t="e">
        <f t="shared" ca="1" si="6"/>
        <v>#REF!</v>
      </c>
      <c r="O15" s="41" t="e">
        <f t="shared" ca="1" si="6"/>
        <v>#REF!</v>
      </c>
      <c r="P15" s="41" t="e">
        <f t="shared" ca="1" si="6"/>
        <v>#REF!</v>
      </c>
      <c r="Q15" s="41" t="e">
        <f t="shared" ca="1" si="6"/>
        <v>#REF!</v>
      </c>
      <c r="R15" s="41" t="e">
        <f t="shared" ca="1" si="6"/>
        <v>#REF!</v>
      </c>
      <c r="T15" s="41" t="e">
        <f ca="1">(T14-D14)/D14</f>
        <v>#REF!</v>
      </c>
      <c r="U15" s="41" t="e">
        <f t="shared" ref="U15:Z15" ca="1" si="7">(U14-E14)/E14</f>
        <v>#REF!</v>
      </c>
      <c r="V15" s="41" t="e">
        <f t="shared" ca="1" si="7"/>
        <v>#REF!</v>
      </c>
      <c r="W15" s="41" t="e">
        <f t="shared" ca="1" si="7"/>
        <v>#REF!</v>
      </c>
      <c r="X15" s="41" t="e">
        <f t="shared" ca="1" si="7"/>
        <v>#REF!</v>
      </c>
      <c r="Y15" s="41" t="e">
        <f t="shared" ca="1" si="7"/>
        <v>#REF!</v>
      </c>
      <c r="Z15" s="41" t="e">
        <f t="shared" ca="1" si="7"/>
        <v>#REF!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:C19 C3 C39:C1048576">
    <cfRule type="duplicateValues" dxfId="77" priority="11"/>
    <cfRule type="duplicateValues" dxfId="76" priority="12"/>
  </conditionalFormatting>
  <conditionalFormatting sqref="C2">
    <cfRule type="duplicateValues" dxfId="75" priority="3"/>
    <cfRule type="duplicateValues" dxfId="74" priority="4"/>
  </conditionalFormatting>
  <conditionalFormatting sqref="C4:C13">
    <cfRule type="duplicateValues" dxfId="73" priority="5"/>
    <cfRule type="duplicateValues" dxfId="72" priority="6"/>
  </conditionalFormatting>
  <conditionalFormatting sqref="C14">
    <cfRule type="duplicateValues" dxfId="71" priority="9"/>
    <cfRule type="duplicateValues" dxfId="70" priority="10"/>
  </conditionalFormatting>
  <conditionalFormatting sqref="C15">
    <cfRule type="duplicateValues" dxfId="69" priority="7"/>
    <cfRule type="duplicateValues" dxfId="68" priority="8"/>
  </conditionalFormatting>
  <conditionalFormatting sqref="C20:C38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6D35-3901-4478-9CED-E4E71666CB2D}">
  <dimension ref="B1:AA17"/>
  <sheetViews>
    <sheetView zoomScale="90" zoomScaleNormal="90" workbookViewId="0">
      <selection activeCell="E19" sqref="E19:E3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 t="e">
        <f ca="1">(P14-H14)/H14</f>
        <v>#REF!</v>
      </c>
      <c r="R2" s="1" t="e">
        <f ca="1">(R14-J14)/J14</f>
        <v>#REF!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51</v>
      </c>
      <c r="D4" s="23">
        <v>1168643.226288683</v>
      </c>
      <c r="E4" s="33">
        <v>309.76703292314107</v>
      </c>
      <c r="F4" s="5">
        <v>13</v>
      </c>
      <c r="G4" s="23">
        <v>94</v>
      </c>
      <c r="H4" s="33">
        <v>362.73205147026351</v>
      </c>
      <c r="I4" s="23">
        <v>40.263651627371402</v>
      </c>
      <c r="J4" s="5">
        <v>5415.5349556114834</v>
      </c>
      <c r="K4" s="31"/>
      <c r="L4" s="23" t="e" cm="1">
        <f t="array" aca="1" ref="L4" ca="1">INDIRECT("'[SA_results" &amp; $C4 &amp; ".xlsx]Best_Objective'!$A$2")</f>
        <v>#REF!</v>
      </c>
      <c r="M4" s="33" t="e" cm="1">
        <f t="array" aca="1" ref="M4" ca="1">INDIRECT("'[SA_results" &amp; $C4 &amp; ".xlsx]Running_Time'!$A$2")</f>
        <v>#REF!</v>
      </c>
      <c r="N4" s="5" t="e">
        <f ca="1">COUNTIF(INDIRECT("'[SA_results" &amp; $C4 &amp; ".xlsx]Best_Batch_Utilization'!C:C"),"&gt;0")</f>
        <v>#REF!</v>
      </c>
      <c r="O4" s="23" t="e" cm="1">
        <f t="array" aca="1" ref="O4" ca="1">INDIRECT("'[SA_results" &amp; $C4 &amp; ".xlsx]Acceptance_Rate'!$A$2")</f>
        <v>#REF!</v>
      </c>
      <c r="P4" s="33" t="e" cm="1">
        <f t="array" aca="1" ref="P4" ca="1">SUM(INDIRECT("'[SA_results" &amp; $C4 &amp; ".xlsx]Best_Job_Tardiness'!$B:$B"))/($D$2-INDIRECT("'[SA_results" &amp; $C4 &amp; ".xlsx]Total_Rejected_Jobs'!$A$2"))</f>
        <v>#REF!</v>
      </c>
      <c r="Q4" s="23" t="str">
        <f ca="1">IFERROR(AVERAGE(INDIRECT("'[SA_results" &amp; $C4 &amp; ".xlsx]Best_Batch_Utilization'!C:C")),"")</f>
        <v/>
      </c>
      <c r="R4" s="5" t="e" cm="1">
        <f t="array" aca="1" ref="R4" ca="1">SUM(INDIRECT("'[SA_results" &amp; $C4 &amp; ".xlsx]Best_Job_Completion_Time'!$B:$B"))/($D$2-INDIRECT("'[SA_results" &amp; $C4 &amp; ".xlsx]Total_Rejected_Jobs'!$A$2"))</f>
        <v>#REF!</v>
      </c>
      <c r="S4" s="35"/>
      <c r="T4" s="23" t="e" cm="1">
        <f t="array" aca="1" ref="T4" ca="1">INDIRECT("'[SA_results" &amp; $C4 &amp; ".xlsx]Best_Objective'!$A$2")</f>
        <v>#REF!</v>
      </c>
      <c r="U4" s="33" t="e" cm="1">
        <f t="array" aca="1" ref="U4" ca="1">INDIRECT("'[SA_results" &amp; $C4 &amp; ".xlsx]Running_Time'!$A$2")</f>
        <v>#REF!</v>
      </c>
      <c r="V4" s="5" t="e">
        <f ca="1">COUNTIF(INDIRECT("'[SA_results" &amp; $C4 &amp; ".xlsx]Best_Batch_Utilization'!C:C"),"&gt;0")</f>
        <v>#REF!</v>
      </c>
      <c r="W4" s="23" t="e" cm="1">
        <f t="array" aca="1" ref="W4" ca="1">INDIRECT("'[SA_results" &amp; $C4 &amp; ".xlsx]Acceptance_Rate'!$A$2")</f>
        <v>#REF!</v>
      </c>
      <c r="X4" s="33" t="e" cm="1">
        <f t="array" aca="1" ref="X4" ca="1">SUM(INDIRECT("'[SA_results" &amp; $C4 &amp; ".xlsx]Best_Job_Tardiness'!$B:$B"))/($D$2-INDIRECT("'[SA_results" &amp; $C4 &amp; ".xlsx]Total_Rejected_Jobs'!$A$2"))</f>
        <v>#REF!</v>
      </c>
      <c r="Y4" s="23" t="str">
        <f ca="1">IFERROR(AVERAGE(INDIRECT("'[SA_results" &amp; $C4 &amp; ".xlsx]Best_Batch_Utilization'!C:C")),"")</f>
        <v/>
      </c>
      <c r="Z4" s="5" t="e" cm="1">
        <f t="array" aca="1" ref="Z4" ca="1">SUM(INDIRECT("'[SA_results" &amp; $C4 &amp; ".xlsx]Best_Job_Completion_Time'!$B:$B"))/($D$2-INDIRECT("'[SA_results" &amp; $C4 &amp; ".xlsx]Total_Rejected_Jobs'!$A$2"))</f>
        <v>#REF!</v>
      </c>
      <c r="AA4" s="35"/>
    </row>
    <row r="5" spans="2:27" x14ac:dyDescent="0.2">
      <c r="B5" s="4">
        <v>2</v>
      </c>
      <c r="C5" s="4">
        <v>157</v>
      </c>
      <c r="D5" s="23">
        <v>1179422.3932702451</v>
      </c>
      <c r="E5" s="33">
        <v>98.198421076925143</v>
      </c>
      <c r="F5" s="5">
        <v>12</v>
      </c>
      <c r="G5" s="23">
        <v>94.666666666666671</v>
      </c>
      <c r="H5" s="33">
        <v>438.2960408125968</v>
      </c>
      <c r="I5" s="23">
        <v>43.915001104564055</v>
      </c>
      <c r="J5" s="5">
        <v>5646.406472561328</v>
      </c>
      <c r="K5" s="31"/>
      <c r="L5" s="23" t="e" cm="1">
        <f t="array" aca="1" ref="L5" ca="1">INDIRECT("'[SA_results" &amp; $C5 &amp; ".xlsx]Best_Objective'!$A$2")</f>
        <v>#REF!</v>
      </c>
      <c r="M5" s="33" t="e" cm="1">
        <f t="array" aca="1" ref="M5" ca="1">INDIRECT("'[SA_results" &amp; $C5 &amp; ".xlsx]Running_Time'!$A$2")</f>
        <v>#REF!</v>
      </c>
      <c r="N5" s="5" t="e">
        <f t="shared" ref="N5:N13" ca="1" si="0">COUNTIF(INDIRECT("'[SA_results" &amp; $C5 &amp; ".xlsx]Best_Batch_Utilization'!C:C"),"&gt;0")</f>
        <v>#REF!</v>
      </c>
      <c r="O5" s="23" t="e" cm="1">
        <f t="array" aca="1" ref="O5" ca="1">INDIRECT("'[SA_results" &amp; $C5 &amp; ".xlsx]Acceptance_Rate'!$A$2")</f>
        <v>#REF!</v>
      </c>
      <c r="P5" s="33" t="e" cm="1">
        <f t="array" aca="1" ref="P5" ca="1">SUM(INDIRECT("'[SA_results" &amp; $C5 &amp; ".xlsx]Best_Job_Tardiness'!$B:$B"))/($D$2-INDIRECT("'[SA_results" &amp; $C5 &amp; ".xlsx]Total_Rejected_Jobs'!$A$2"))</f>
        <v>#REF!</v>
      </c>
      <c r="Q5" s="23" t="str">
        <f t="shared" ref="Q5:Q6" ca="1" si="1">IFERROR(AVERAGE(INDIRECT("'[SA_results" &amp; $C5 &amp; ".xlsx]Best_Batch_Utilization'!C:C")),"")</f>
        <v/>
      </c>
      <c r="R5" s="5" t="e" cm="1">
        <f t="array" aca="1" ref="R5" ca="1">SUM(INDIRECT("'[SA_results" &amp; $C5 &amp; ".xlsx]Best_Job_Completion_Time'!$B:$B"))/($D$2-INDIRECT("'[SA_results" &amp; $C5 &amp; ".xlsx]Total_Rejected_Jobs'!$A$2"))</f>
        <v>#REF!</v>
      </c>
      <c r="S5" s="35"/>
      <c r="T5" s="23" t="e" cm="1">
        <f t="array" aca="1" ref="T5" ca="1">INDIRECT("'[SA_results" &amp; $C5 &amp; ".xlsx]Best_Objective'!$A$2")</f>
        <v>#REF!</v>
      </c>
      <c r="U5" s="33" t="e" cm="1">
        <f t="array" aca="1" ref="U5" ca="1">INDIRECT("'[SA_results" &amp; $C5 &amp; ".xlsx]Running_Time'!$A$2")</f>
        <v>#REF!</v>
      </c>
      <c r="V5" s="5" t="e">
        <f t="shared" ref="V5:V13" ca="1" si="2">COUNTIF(INDIRECT("'[SA_results" &amp; $C5 &amp; ".xlsx]Best_Batch_Utilization'!C:C"),"&gt;0")</f>
        <v>#REF!</v>
      </c>
      <c r="W5" s="23" t="e" cm="1">
        <f t="array" aca="1" ref="W5" ca="1">INDIRECT("'[SA_results" &amp; $C5 &amp; ".xlsx]Acceptance_Rate'!$A$2")</f>
        <v>#REF!</v>
      </c>
      <c r="X5" s="33" t="e" cm="1">
        <f t="array" aca="1" ref="X5" ca="1">SUM(INDIRECT("'[SA_results" &amp; $C5 &amp; ".xlsx]Best_Job_Tardiness'!$B:$B"))/($D$2-INDIRECT("'[SA_results" &amp; $C5 &amp; ".xlsx]Total_Rejected_Jobs'!$A$2"))</f>
        <v>#REF!</v>
      </c>
      <c r="Y5" s="23" t="str">
        <f t="shared" ref="Y5:Y6" ca="1" si="3">IFERROR(AVERAGE(INDIRECT("'[SA_results" &amp; $C5 &amp; ".xlsx]Best_Batch_Utilization'!C:C")),"")</f>
        <v/>
      </c>
      <c r="Z5" s="5" t="e" cm="1">
        <f t="array" aca="1" ref="Z5" ca="1">SUM(INDIRECT("'[SA_results" &amp; $C5 &amp; ".xlsx]Best_Job_Completion_Time'!$B:$B"))/($D$2-INDIRECT("'[SA_results" &amp; $C5 &amp; ".xlsx]Total_Rejected_Jobs'!$A$2"))</f>
        <v>#REF!</v>
      </c>
      <c r="AA5" s="35"/>
    </row>
    <row r="6" spans="2:27" x14ac:dyDescent="0.2">
      <c r="B6" s="4">
        <v>3</v>
      </c>
      <c r="C6" s="4">
        <v>204</v>
      </c>
      <c r="D6" s="23">
        <v>1168814.8782724959</v>
      </c>
      <c r="E6" s="33">
        <v>230.17236007690931</v>
      </c>
      <c r="F6" s="5">
        <v>13</v>
      </c>
      <c r="G6" s="23">
        <v>94</v>
      </c>
      <c r="H6" s="33">
        <v>361.64317955181463</v>
      </c>
      <c r="I6" s="23">
        <v>40.120958464931775</v>
      </c>
      <c r="J6" s="5">
        <v>5405.6134102949354</v>
      </c>
      <c r="K6" s="31"/>
      <c r="L6" s="23" t="e" cm="1">
        <f t="array" aca="1" ref="L6" ca="1">INDIRECT("'[SA_results" &amp; $C6 &amp; ".xlsx]Best_Objective'!$A$2")</f>
        <v>#REF!</v>
      </c>
      <c r="M6" s="33" t="e" cm="1">
        <f t="array" aca="1" ref="M6" ca="1">INDIRECT("'[SA_results" &amp; $C6 &amp; ".xlsx]Running_Time'!$A$2")</f>
        <v>#REF!</v>
      </c>
      <c r="N6" s="5" t="e">
        <f t="shared" ca="1" si="0"/>
        <v>#REF!</v>
      </c>
      <c r="O6" s="23" t="e" cm="1">
        <f t="array" aca="1" ref="O6" ca="1">INDIRECT("'[SA_results" &amp; $C6 &amp; ".xlsx]Acceptance_Rate'!$A$2")</f>
        <v>#REF!</v>
      </c>
      <c r="P6" s="33" t="e" cm="1">
        <f t="array" aca="1" ref="P6" ca="1">SUM(INDIRECT("'[SA_results" &amp; $C6 &amp; ".xlsx]Best_Job_Tardiness'!$B:$B"))/($D$2-INDIRECT("'[SA_results" &amp; $C6 &amp; ".xlsx]Total_Rejected_Jobs'!$A$2"))</f>
        <v>#REF!</v>
      </c>
      <c r="Q6" s="23" t="str">
        <f t="shared" ca="1" si="1"/>
        <v/>
      </c>
      <c r="R6" s="5" t="e" cm="1">
        <f t="array" aca="1" ref="R6" ca="1">SUM(INDIRECT("'[SA_results" &amp; $C6 &amp; ".xlsx]Best_Job_Completion_Time'!$B:$B"))/($D$2-INDIRECT("'[SA_results" &amp; $C6 &amp; ".xlsx]Total_Rejected_Jobs'!$A$2"))</f>
        <v>#REF!</v>
      </c>
      <c r="S6" s="35"/>
      <c r="T6" s="23" t="e" cm="1">
        <f t="array" aca="1" ref="T6" ca="1">INDIRECT("'[SA_results" &amp; $C6 &amp; ".xlsx]Best_Objective'!$A$2")</f>
        <v>#REF!</v>
      </c>
      <c r="U6" s="33" t="e" cm="1">
        <f t="array" aca="1" ref="U6" ca="1">INDIRECT("'[SA_results" &amp; $C6 &amp; ".xlsx]Running_Time'!$A$2")</f>
        <v>#REF!</v>
      </c>
      <c r="V6" s="5" t="e">
        <f t="shared" ca="1" si="2"/>
        <v>#REF!</v>
      </c>
      <c r="W6" s="23" t="e" cm="1">
        <f t="array" aca="1" ref="W6" ca="1">INDIRECT("'[SA_results" &amp; $C6 &amp; ".xlsx]Acceptance_Rate'!$A$2")</f>
        <v>#REF!</v>
      </c>
      <c r="X6" s="33" t="e" cm="1">
        <f t="array" aca="1" ref="X6" ca="1">SUM(INDIRECT("'[SA_results" &amp; $C6 &amp; ".xlsx]Best_Job_Tardiness'!$B:$B"))/($D$2-INDIRECT("'[SA_results" &amp; $C6 &amp; ".xlsx]Total_Rejected_Jobs'!$A$2"))</f>
        <v>#REF!</v>
      </c>
      <c r="Y6" s="23" t="str">
        <f t="shared" ca="1" si="3"/>
        <v/>
      </c>
      <c r="Z6" s="5" t="e" cm="1">
        <f t="array" aca="1" ref="Z6" ca="1">SUM(INDIRECT("'[SA_results" &amp; $C6 &amp; ".xlsx]Best_Job_Completion_Time'!$B:$B"))/($D$2-INDIRECT("'[SA_results" &amp; $C6 &amp; ".xlsx]Total_Rejected_Jobs'!$A$2"))</f>
        <v>#REF!</v>
      </c>
      <c r="AA6" s="35"/>
    </row>
    <row r="7" spans="2:27" x14ac:dyDescent="0.2">
      <c r="B7" s="4">
        <v>4</v>
      </c>
      <c r="C7" s="4">
        <v>223</v>
      </c>
      <c r="D7" s="23">
        <v>1209864.3907835791</v>
      </c>
      <c r="E7" s="33">
        <v>179.55091323076678</v>
      </c>
      <c r="F7" s="5">
        <v>13</v>
      </c>
      <c r="G7" s="23">
        <v>94</v>
      </c>
      <c r="H7" s="33">
        <v>433.02601265982452</v>
      </c>
      <c r="I7" s="23">
        <v>39.336379694786949</v>
      </c>
      <c r="J7" s="5">
        <v>5647.4674768098557</v>
      </c>
      <c r="K7" s="31"/>
      <c r="L7" s="23" t="e" cm="1">
        <f t="array" aca="1" ref="L7" ca="1">INDIRECT("'[SA_results" &amp; $C7 &amp; ".xlsx]Best_Objective'!$A$2")</f>
        <v>#REF!</v>
      </c>
      <c r="M7" s="33" t="e" cm="1">
        <f t="array" aca="1" ref="M7" ca="1">INDIRECT("'[SA_results" &amp; $C7 &amp; ".xlsx]Running_Time'!$A$2")</f>
        <v>#REF!</v>
      </c>
      <c r="N7" s="5" t="e">
        <f t="shared" ca="1" si="0"/>
        <v>#REF!</v>
      </c>
      <c r="O7" s="23" t="e" cm="1">
        <f t="array" aca="1" ref="O7" ca="1">INDIRECT("'[SA_results" &amp; $C7 &amp; ".xlsx]Acceptance_Rate'!$A$2")</f>
        <v>#REF!</v>
      </c>
      <c r="P7" s="33" t="e" cm="1">
        <f t="array" aca="1" ref="P7" ca="1">SUM(INDIRECT("'[SA_results" &amp; $C7 &amp; ".xlsx]Best_Job_Tardiness'!$B:$B"))/($D$2-INDIRECT("'[SA_results" &amp; $C7 &amp; ".xlsx]Total_Rejected_Jobs'!$A$2"))</f>
        <v>#REF!</v>
      </c>
      <c r="Q7" s="23" t="str">
        <f ca="1">IFERROR(AVERAGE(INDIRECT("'[SA_results" &amp; $C7 &amp; ".xlsx]Best_Batch_Utilization'!C:C")),"")</f>
        <v/>
      </c>
      <c r="R7" s="5" t="e" cm="1">
        <f t="array" aca="1" ref="R7" ca="1">SUM(INDIRECT("'[SA_results" &amp; $C7 &amp; ".xlsx]Best_Job_Completion_Time'!$B:$B"))/($D$2-INDIRECT("'[SA_results" &amp; $C7 &amp; ".xlsx]Total_Rejected_Jobs'!$A$2"))</f>
        <v>#REF!</v>
      </c>
      <c r="S7" s="35"/>
      <c r="T7" s="23" t="e" cm="1">
        <f t="array" aca="1" ref="T7" ca="1">INDIRECT("'[SA_results" &amp; $C7 &amp; ".xlsx]Best_Objective'!$A$2")</f>
        <v>#REF!</v>
      </c>
      <c r="U7" s="33" t="e" cm="1">
        <f t="array" aca="1" ref="U7" ca="1">INDIRECT("'[SA_results" &amp; $C7 &amp; ".xlsx]Running_Time'!$A$2")</f>
        <v>#REF!</v>
      </c>
      <c r="V7" s="5" t="e">
        <f t="shared" ca="1" si="2"/>
        <v>#REF!</v>
      </c>
      <c r="W7" s="23" t="e" cm="1">
        <f t="array" aca="1" ref="W7" ca="1">INDIRECT("'[SA_results" &amp; $C7 &amp; ".xlsx]Acceptance_Rate'!$A$2")</f>
        <v>#REF!</v>
      </c>
      <c r="X7" s="33" t="e" cm="1">
        <f t="array" aca="1" ref="X7" ca="1">SUM(INDIRECT("'[SA_results" &amp; $C7 &amp; ".xlsx]Best_Job_Tardiness'!$B:$B"))/($D$2-INDIRECT("'[SA_results" &amp; $C7 &amp; ".xlsx]Total_Rejected_Jobs'!$A$2"))</f>
        <v>#REF!</v>
      </c>
      <c r="Y7" s="23" t="str">
        <f ca="1">IFERROR(AVERAGE(INDIRECT("'[SA_results" &amp; $C7 &amp; ".xlsx]Best_Batch_Utilization'!C:C")),"")</f>
        <v/>
      </c>
      <c r="Z7" s="5" t="e" cm="1">
        <f t="array" aca="1" ref="Z7" ca="1">SUM(INDIRECT("'[SA_results" &amp; $C7 &amp; ".xlsx]Best_Job_Completion_Time'!$B:$B"))/($D$2-INDIRECT("'[SA_results" &amp; $C7 &amp; ".xlsx]Total_Rejected_Jobs'!$A$2"))</f>
        <v>#REF!</v>
      </c>
      <c r="AA7" s="35"/>
    </row>
    <row r="8" spans="2:27" x14ac:dyDescent="0.2">
      <c r="B8" s="4">
        <v>5</v>
      </c>
      <c r="C8" s="4">
        <v>237</v>
      </c>
      <c r="D8" s="23">
        <v>1243711.955503087</v>
      </c>
      <c r="E8" s="33">
        <v>141.27079630772084</v>
      </c>
      <c r="F8" s="5">
        <v>13</v>
      </c>
      <c r="G8" s="23">
        <v>94.666666666666671</v>
      </c>
      <c r="H8" s="33">
        <v>623.91760614343332</v>
      </c>
      <c r="I8" s="23">
        <v>40.118266863383056</v>
      </c>
      <c r="J8" s="5">
        <v>5811.4492872780693</v>
      </c>
      <c r="K8" s="31"/>
      <c r="L8" s="23" t="e" cm="1">
        <f t="array" aca="1" ref="L8" ca="1">INDIRECT("'[SA_results" &amp; $C8 &amp; ".xlsx]Best_Objective'!$A$2")</f>
        <v>#REF!</v>
      </c>
      <c r="M8" s="33" t="e" cm="1">
        <f t="array" aca="1" ref="M8" ca="1">INDIRECT("'[SA_results" &amp; $C8 &amp; ".xlsx]Running_Time'!$A$2")</f>
        <v>#REF!</v>
      </c>
      <c r="N8" s="5" t="e">
        <f t="shared" ca="1" si="0"/>
        <v>#REF!</v>
      </c>
      <c r="O8" s="23" t="e" cm="1">
        <f t="array" aca="1" ref="O8" ca="1">INDIRECT("'[SA_results" &amp; $C8 &amp; ".xlsx]Acceptance_Rate'!$A$2")</f>
        <v>#REF!</v>
      </c>
      <c r="P8" s="33" t="e" cm="1">
        <f t="array" aca="1" ref="P8" ca="1">SUM(INDIRECT("'[SA_results" &amp; $C8 &amp; ".xlsx]Best_Job_Tardiness'!$B:$B"))/($D$2-INDIRECT("'[SA_results" &amp; $C8 &amp; ".xlsx]Total_Rejected_Jobs'!$A$2"))</f>
        <v>#REF!</v>
      </c>
      <c r="Q8" s="23" t="str">
        <f t="shared" ref="Q8:Q13" ca="1" si="4">IFERROR(AVERAGE(INDIRECT("'[SA_results" &amp; $C8 &amp; ".xlsx]Best_Batch_Utilization'!C:C")),"")</f>
        <v/>
      </c>
      <c r="R8" s="5" t="e" cm="1">
        <f t="array" aca="1" ref="R8" ca="1">SUM(INDIRECT("'[SA_results" &amp; $C8 &amp; ".xlsx]Best_Job_Completion_Time'!$B:$B"))/($D$2-INDIRECT("'[SA_results" &amp; $C8 &amp; ".xlsx]Total_Rejected_Jobs'!$A$2"))</f>
        <v>#REF!</v>
      </c>
      <c r="S8" s="35"/>
      <c r="T8" s="23" t="e" cm="1">
        <f t="array" aca="1" ref="T8" ca="1">INDIRECT("'[SA_results" &amp; $C8 &amp; ".xlsx]Best_Objective'!$A$2")</f>
        <v>#REF!</v>
      </c>
      <c r="U8" s="33" t="e" cm="1">
        <f t="array" aca="1" ref="U8" ca="1">INDIRECT("'[SA_results" &amp; $C8 &amp; ".xlsx]Running_Time'!$A$2")</f>
        <v>#REF!</v>
      </c>
      <c r="V8" s="5" t="e">
        <f t="shared" ca="1" si="2"/>
        <v>#REF!</v>
      </c>
      <c r="W8" s="23" t="e" cm="1">
        <f t="array" aca="1" ref="W8" ca="1">INDIRECT("'[SA_results" &amp; $C8 &amp; ".xlsx]Acceptance_Rate'!$A$2")</f>
        <v>#REF!</v>
      </c>
      <c r="X8" s="33" t="e" cm="1">
        <f t="array" aca="1" ref="X8" ca="1">SUM(INDIRECT("'[SA_results" &amp; $C8 &amp; ".xlsx]Best_Job_Tardiness'!$B:$B"))/($D$2-INDIRECT("'[SA_results" &amp; $C8 &amp; ".xlsx]Total_Rejected_Jobs'!$A$2"))</f>
        <v>#REF!</v>
      </c>
      <c r="Y8" s="23" t="str">
        <f t="shared" ref="Y8:Y13" ca="1" si="5">IFERROR(AVERAGE(INDIRECT("'[SA_results" &amp; $C8 &amp; ".xlsx]Best_Batch_Utilization'!C:C")),"")</f>
        <v/>
      </c>
      <c r="Z8" s="5" t="e" cm="1">
        <f t="array" aca="1" ref="Z8" ca="1">SUM(INDIRECT("'[SA_results" &amp; $C8 &amp; ".xlsx]Best_Job_Completion_Time'!$B:$B"))/($D$2-INDIRECT("'[SA_results" &amp; $C8 &amp; ".xlsx]Total_Rejected_Jobs'!$A$2"))</f>
        <v>#REF!</v>
      </c>
      <c r="AA8" s="35"/>
    </row>
    <row r="9" spans="2:27" x14ac:dyDescent="0.2">
      <c r="B9" s="4">
        <v>6</v>
      </c>
      <c r="C9" s="4">
        <v>363</v>
      </c>
      <c r="D9" s="23">
        <v>1190772.751406092</v>
      </c>
      <c r="E9" s="33">
        <v>171.87102507692398</v>
      </c>
      <c r="F9" s="5">
        <v>13</v>
      </c>
      <c r="G9" s="23">
        <v>94.666666666666671</v>
      </c>
      <c r="H9" s="33">
        <v>460.59135454137476</v>
      </c>
      <c r="I9" s="23">
        <v>40.837244570789089</v>
      </c>
      <c r="J9" s="5">
        <v>5567.9654675734828</v>
      </c>
      <c r="K9" s="31"/>
      <c r="L9" s="23" t="e" cm="1">
        <f t="array" aca="1" ref="L9" ca="1">INDIRECT("'[SA_results" &amp; $C9 &amp; ".xlsx]Best_Objective'!$A$2")</f>
        <v>#REF!</v>
      </c>
      <c r="M9" s="33" t="e" cm="1">
        <f t="array" aca="1" ref="M9" ca="1">INDIRECT("'[SA_results" &amp; $C9 &amp; ".xlsx]Running_Time'!$A$2")</f>
        <v>#REF!</v>
      </c>
      <c r="N9" s="5" t="e">
        <f t="shared" ca="1" si="0"/>
        <v>#REF!</v>
      </c>
      <c r="O9" s="23" t="e" cm="1">
        <f t="array" aca="1" ref="O9" ca="1">INDIRECT("'[SA_results" &amp; $C9 &amp; ".xlsx]Acceptance_Rate'!$A$2")</f>
        <v>#REF!</v>
      </c>
      <c r="P9" s="33" t="e" cm="1">
        <f t="array" aca="1" ref="P9" ca="1">SUM(INDIRECT("'[SA_results" &amp; $C9 &amp; ".xlsx]Best_Job_Tardiness'!$B:$B"))/($D$2-INDIRECT("'[SA_results" &amp; $C9 &amp; ".xlsx]Total_Rejected_Jobs'!$A$2"))</f>
        <v>#REF!</v>
      </c>
      <c r="Q9" s="23" t="str">
        <f t="shared" ca="1" si="4"/>
        <v/>
      </c>
      <c r="R9" s="5" t="e" cm="1">
        <f t="array" aca="1" ref="R9" ca="1">SUM(INDIRECT("'[SA_results" &amp; $C9 &amp; ".xlsx]Best_Job_Completion_Time'!$B:$B"))/($D$2-INDIRECT("'[SA_results" &amp; $C9 &amp; ".xlsx]Total_Rejected_Jobs'!$A$2"))</f>
        <v>#REF!</v>
      </c>
      <c r="S9" s="35"/>
      <c r="T9" s="23" t="e" cm="1">
        <f t="array" aca="1" ref="T9" ca="1">INDIRECT("'[SA_results" &amp; $C9 &amp; ".xlsx]Best_Objective'!$A$2")</f>
        <v>#REF!</v>
      </c>
      <c r="U9" s="33" t="e" cm="1">
        <f t="array" aca="1" ref="U9" ca="1">INDIRECT("'[SA_results" &amp; $C9 &amp; ".xlsx]Running_Time'!$A$2")</f>
        <v>#REF!</v>
      </c>
      <c r="V9" s="5" t="e">
        <f t="shared" ca="1" si="2"/>
        <v>#REF!</v>
      </c>
      <c r="W9" s="23" t="e" cm="1">
        <f t="array" aca="1" ref="W9" ca="1">INDIRECT("'[SA_results" &amp; $C9 &amp; ".xlsx]Acceptance_Rate'!$A$2")</f>
        <v>#REF!</v>
      </c>
      <c r="X9" s="33" t="e" cm="1">
        <f t="array" aca="1" ref="X9" ca="1">SUM(INDIRECT("'[SA_results" &amp; $C9 &amp; ".xlsx]Best_Job_Tardiness'!$B:$B"))/($D$2-INDIRECT("'[SA_results" &amp; $C9 &amp; ".xlsx]Total_Rejected_Jobs'!$A$2"))</f>
        <v>#REF!</v>
      </c>
      <c r="Y9" s="23" t="str">
        <f t="shared" ca="1" si="5"/>
        <v/>
      </c>
      <c r="Z9" s="5" t="e" cm="1">
        <f t="array" aca="1" ref="Z9" ca="1">SUM(INDIRECT("'[SA_results" &amp; $C9 &amp; ".xlsx]Best_Job_Completion_Time'!$B:$B"))/($D$2-INDIRECT("'[SA_results" &amp; $C9 &amp; ".xlsx]Total_Rejected_Jobs'!$A$2"))</f>
        <v>#REF!</v>
      </c>
      <c r="AA9" s="35"/>
    </row>
    <row r="10" spans="2:27" x14ac:dyDescent="0.2">
      <c r="B10" s="4">
        <v>7</v>
      </c>
      <c r="C10" s="4">
        <v>434</v>
      </c>
      <c r="D10" s="23">
        <v>1211151.1259381061</v>
      </c>
      <c r="E10" s="33">
        <v>215.50041484619629</v>
      </c>
      <c r="F10" s="5">
        <v>14</v>
      </c>
      <c r="G10" s="23">
        <v>94.666666666666671</v>
      </c>
      <c r="H10" s="33">
        <v>520.73937083825979</v>
      </c>
      <c r="I10" s="23">
        <v>37.974113345284842</v>
      </c>
      <c r="J10" s="5">
        <v>5556.6362525577761</v>
      </c>
      <c r="K10" s="31"/>
      <c r="L10" s="23" t="e" cm="1">
        <f t="array" aca="1" ref="L10" ca="1">INDIRECT("'[SA_results" &amp; $C10 &amp; ".xlsx]Best_Objective'!$A$2")</f>
        <v>#REF!</v>
      </c>
      <c r="M10" s="33" t="e" cm="1">
        <f t="array" aca="1" ref="M10" ca="1">INDIRECT("'[SA_results" &amp; $C10 &amp; ".xlsx]Running_Time'!$A$2")</f>
        <v>#REF!</v>
      </c>
      <c r="N10" s="5" t="e">
        <f t="shared" ca="1" si="0"/>
        <v>#REF!</v>
      </c>
      <c r="O10" s="23" t="e" cm="1">
        <f t="array" aca="1" ref="O10" ca="1">INDIRECT("'[SA_results" &amp; $C10 &amp; ".xlsx]Acceptance_Rate'!$A$2")</f>
        <v>#REF!</v>
      </c>
      <c r="P10" s="33" t="e" cm="1">
        <f t="array" aca="1" ref="P10" ca="1">SUM(INDIRECT("'[SA_results" &amp; $C10 &amp; ".xlsx]Best_Job_Tardiness'!$B:$B"))/($D$2-INDIRECT("'[SA_results" &amp; $C10 &amp; ".xlsx]Total_Rejected_Jobs'!$A$2"))</f>
        <v>#REF!</v>
      </c>
      <c r="Q10" s="23" t="str">
        <f t="shared" ca="1" si="4"/>
        <v/>
      </c>
      <c r="R10" s="5" t="e" cm="1">
        <f t="array" aca="1" ref="R10" ca="1">SUM(INDIRECT("'[SA_results" &amp; $C10 &amp; ".xlsx]Best_Job_Completion_Time'!$B:$B"))/($D$2-INDIRECT("'[SA_results" &amp; $C10 &amp; ".xlsx]Total_Rejected_Jobs'!$A$2"))</f>
        <v>#REF!</v>
      </c>
      <c r="S10" s="35"/>
      <c r="T10" s="23" t="e" cm="1">
        <f t="array" aca="1" ref="T10" ca="1">INDIRECT("'[SA_results" &amp; $C10 &amp; ".xlsx]Best_Objective'!$A$2")</f>
        <v>#REF!</v>
      </c>
      <c r="U10" s="33" t="e" cm="1">
        <f t="array" aca="1" ref="U10" ca="1">INDIRECT("'[SA_results" &amp; $C10 &amp; ".xlsx]Running_Time'!$A$2")</f>
        <v>#REF!</v>
      </c>
      <c r="V10" s="5" t="e">
        <f t="shared" ca="1" si="2"/>
        <v>#REF!</v>
      </c>
      <c r="W10" s="23" t="e" cm="1">
        <f t="array" aca="1" ref="W10" ca="1">INDIRECT("'[SA_results" &amp; $C10 &amp; ".xlsx]Acceptance_Rate'!$A$2")</f>
        <v>#REF!</v>
      </c>
      <c r="X10" s="33" t="e" cm="1">
        <f t="array" aca="1" ref="X10" ca="1">SUM(INDIRECT("'[SA_results" &amp; $C10 &amp; ".xlsx]Best_Job_Tardiness'!$B:$B"))/($D$2-INDIRECT("'[SA_results" &amp; $C10 &amp; ".xlsx]Total_Rejected_Jobs'!$A$2"))</f>
        <v>#REF!</v>
      </c>
      <c r="Y10" s="23" t="str">
        <f t="shared" ca="1" si="5"/>
        <v/>
      </c>
      <c r="Z10" s="5" t="e" cm="1">
        <f t="array" aca="1" ref="Z10" ca="1">SUM(INDIRECT("'[SA_results" &amp; $C10 &amp; ".xlsx]Best_Job_Completion_Time'!$B:$B"))/($D$2-INDIRECT("'[SA_results" &amp; $C10 &amp; ".xlsx]Total_Rejected_Jobs'!$A$2"))</f>
        <v>#REF!</v>
      </c>
      <c r="AA10" s="35"/>
    </row>
    <row r="11" spans="2:27" x14ac:dyDescent="0.2">
      <c r="B11" s="4">
        <v>8</v>
      </c>
      <c r="C11" s="4">
        <v>486</v>
      </c>
      <c r="D11" s="23">
        <v>1221464.7729007881</v>
      </c>
      <c r="E11" s="33">
        <v>148.57329807691991</v>
      </c>
      <c r="F11" s="5">
        <v>12</v>
      </c>
      <c r="G11" s="23">
        <v>93.333333333333329</v>
      </c>
      <c r="H11" s="33">
        <v>497.96427611527832</v>
      </c>
      <c r="I11" s="23">
        <v>43.330760313874919</v>
      </c>
      <c r="J11" s="5">
        <v>5702.8304282870968</v>
      </c>
      <c r="K11" s="31"/>
      <c r="L11" s="23" t="e" cm="1">
        <f t="array" aca="1" ref="L11" ca="1">INDIRECT("'[SA_results" &amp; $C11 &amp; ".xlsx]Best_Objective'!$A$2")</f>
        <v>#REF!</v>
      </c>
      <c r="M11" s="33" t="e" cm="1">
        <f t="array" aca="1" ref="M11" ca="1">INDIRECT("'[SA_results" &amp; $C11 &amp; ".xlsx]Running_Time'!$A$2")</f>
        <v>#REF!</v>
      </c>
      <c r="N11" s="5" t="e">
        <f t="shared" ca="1" si="0"/>
        <v>#REF!</v>
      </c>
      <c r="O11" s="23" t="e" cm="1">
        <f t="array" aca="1" ref="O11" ca="1">INDIRECT("'[SA_results" &amp; $C11 &amp; ".xlsx]Acceptance_Rate'!$A$2")</f>
        <v>#REF!</v>
      </c>
      <c r="P11" s="33" t="e" cm="1">
        <f t="array" aca="1" ref="P11" ca="1">SUM(INDIRECT("'[SA_results" &amp; $C11 &amp; ".xlsx]Best_Job_Tardiness'!$B:$B"))/($D$2-INDIRECT("'[SA_results" &amp; $C11 &amp; ".xlsx]Total_Rejected_Jobs'!$A$2"))</f>
        <v>#REF!</v>
      </c>
      <c r="Q11" s="23" t="str">
        <f t="shared" ca="1" si="4"/>
        <v/>
      </c>
      <c r="R11" s="5" t="e" cm="1">
        <f t="array" aca="1" ref="R11" ca="1">SUM(INDIRECT("'[SA_results" &amp; $C11 &amp; ".xlsx]Best_Job_Completion_Time'!$B:$B"))/($D$2-INDIRECT("'[SA_results" &amp; $C11 &amp; ".xlsx]Total_Rejected_Jobs'!$A$2"))</f>
        <v>#REF!</v>
      </c>
      <c r="S11" s="35"/>
      <c r="T11" s="23" t="e" cm="1">
        <f t="array" aca="1" ref="T11" ca="1">INDIRECT("'[SA_results" &amp; $C11 &amp; ".xlsx]Best_Objective'!$A$2")</f>
        <v>#REF!</v>
      </c>
      <c r="U11" s="33" t="e" cm="1">
        <f t="array" aca="1" ref="U11" ca="1">INDIRECT("'[SA_results" &amp; $C11 &amp; ".xlsx]Running_Time'!$A$2")</f>
        <v>#REF!</v>
      </c>
      <c r="V11" s="5" t="e">
        <f t="shared" ca="1" si="2"/>
        <v>#REF!</v>
      </c>
      <c r="W11" s="23" t="e" cm="1">
        <f t="array" aca="1" ref="W11" ca="1">INDIRECT("'[SA_results" &amp; $C11 &amp; ".xlsx]Acceptance_Rate'!$A$2")</f>
        <v>#REF!</v>
      </c>
      <c r="X11" s="33" t="e" cm="1">
        <f t="array" aca="1" ref="X11" ca="1">SUM(INDIRECT("'[SA_results" &amp; $C11 &amp; ".xlsx]Best_Job_Tardiness'!$B:$B"))/($D$2-INDIRECT("'[SA_results" &amp; $C11 &amp; ".xlsx]Total_Rejected_Jobs'!$A$2"))</f>
        <v>#REF!</v>
      </c>
      <c r="Y11" s="23" t="str">
        <f t="shared" ca="1" si="5"/>
        <v/>
      </c>
      <c r="Z11" s="5" t="e" cm="1">
        <f t="array" aca="1" ref="Z11" ca="1">SUM(INDIRECT("'[SA_results" &amp; $C11 &amp; ".xlsx]Best_Job_Completion_Time'!$B:$B"))/($D$2-INDIRECT("'[SA_results" &amp; $C11 &amp; ".xlsx]Total_Rejected_Jobs'!$A$2"))</f>
        <v>#REF!</v>
      </c>
      <c r="AA11" s="35"/>
    </row>
    <row r="12" spans="2:27" x14ac:dyDescent="0.2">
      <c r="B12" s="4">
        <v>9</v>
      </c>
      <c r="C12" s="4">
        <v>603</v>
      </c>
      <c r="D12" s="23">
        <v>1171192.273408608</v>
      </c>
      <c r="E12" s="33">
        <v>178.29719907693706</v>
      </c>
      <c r="F12" s="5">
        <v>14</v>
      </c>
      <c r="G12" s="23">
        <v>94.666666666666671</v>
      </c>
      <c r="H12" s="33">
        <v>407.82753733113157</v>
      </c>
      <c r="I12" s="23">
        <v>38.041275864139564</v>
      </c>
      <c r="J12" s="5">
        <v>5383.0256376659336</v>
      </c>
      <c r="K12" s="31"/>
      <c r="L12" s="23" t="e" cm="1">
        <f t="array" aca="1" ref="L12" ca="1">INDIRECT("'[SA_results" &amp; $C12 &amp; ".xlsx]Best_Objective'!$A$2")</f>
        <v>#REF!</v>
      </c>
      <c r="M12" s="33" t="e" cm="1">
        <f t="array" aca="1" ref="M12" ca="1">INDIRECT("'[SA_results" &amp; $C12 &amp; ".xlsx]Running_Time'!$A$2")</f>
        <v>#REF!</v>
      </c>
      <c r="N12" s="5" t="e">
        <f t="shared" ca="1" si="0"/>
        <v>#REF!</v>
      </c>
      <c r="O12" s="23" t="e" cm="1">
        <f t="array" aca="1" ref="O12" ca="1">INDIRECT("'[SA_results" &amp; $C12 &amp; ".xlsx]Acceptance_Rate'!$A$2")</f>
        <v>#REF!</v>
      </c>
      <c r="P12" s="33" t="e" cm="1">
        <f t="array" aca="1" ref="P12" ca="1">SUM(INDIRECT("'[SA_results" &amp; $C12 &amp; ".xlsx]Best_Job_Tardiness'!$B:$B"))/($D$2-INDIRECT("'[SA_results" &amp; $C12 &amp; ".xlsx]Total_Rejected_Jobs'!$A$2"))</f>
        <v>#REF!</v>
      </c>
      <c r="Q12" s="23" t="str">
        <f t="shared" ca="1" si="4"/>
        <v/>
      </c>
      <c r="R12" s="5" t="e" cm="1">
        <f t="array" aca="1" ref="R12" ca="1">SUM(INDIRECT("'[SA_results" &amp; $C12 &amp; ".xlsx]Best_Job_Completion_Time'!$B:$B"))/($D$2-INDIRECT("'[SA_results" &amp; $C12 &amp; ".xlsx]Total_Rejected_Jobs'!$A$2"))</f>
        <v>#REF!</v>
      </c>
      <c r="S12" s="35"/>
      <c r="T12" s="23" t="e" cm="1">
        <f t="array" aca="1" ref="T12" ca="1">INDIRECT("'[SA_results" &amp; $C12 &amp; ".xlsx]Best_Objective'!$A$2")</f>
        <v>#REF!</v>
      </c>
      <c r="U12" s="33" t="e" cm="1">
        <f t="array" aca="1" ref="U12" ca="1">INDIRECT("'[SA_results" &amp; $C12 &amp; ".xlsx]Running_Time'!$A$2")</f>
        <v>#REF!</v>
      </c>
      <c r="V12" s="5" t="e">
        <f t="shared" ca="1" si="2"/>
        <v>#REF!</v>
      </c>
      <c r="W12" s="23" t="e" cm="1">
        <f t="array" aca="1" ref="W12" ca="1">INDIRECT("'[SA_results" &amp; $C12 &amp; ".xlsx]Acceptance_Rate'!$A$2")</f>
        <v>#REF!</v>
      </c>
      <c r="X12" s="33" t="e" cm="1">
        <f t="array" aca="1" ref="X12" ca="1">SUM(INDIRECT("'[SA_results" &amp; $C12 &amp; ".xlsx]Best_Job_Tardiness'!$B:$B"))/($D$2-INDIRECT("'[SA_results" &amp; $C12 &amp; ".xlsx]Total_Rejected_Jobs'!$A$2"))</f>
        <v>#REF!</v>
      </c>
      <c r="Y12" s="23" t="str">
        <f t="shared" ca="1" si="5"/>
        <v/>
      </c>
      <c r="Z12" s="5" t="e" cm="1">
        <f t="array" aca="1" ref="Z12" ca="1">SUM(INDIRECT("'[SA_results" &amp; $C12 &amp; ".xlsx]Best_Job_Completion_Time'!$B:$B"))/($D$2-INDIRECT("'[SA_results" &amp; $C12 &amp; ".xlsx]Total_Rejected_Jobs'!$A$2"))</f>
        <v>#REF!</v>
      </c>
      <c r="AA12" s="35"/>
    </row>
    <row r="13" spans="2:27" x14ac:dyDescent="0.2">
      <c r="B13" s="4">
        <v>10</v>
      </c>
      <c r="C13" s="4">
        <v>817</v>
      </c>
      <c r="D13" s="23">
        <v>1171164.502807962</v>
      </c>
      <c r="E13" s="33">
        <v>126.49336761544245</v>
      </c>
      <c r="F13" s="5">
        <v>13</v>
      </c>
      <c r="G13" s="23">
        <v>94</v>
      </c>
      <c r="H13" s="33">
        <v>335.11944124890414</v>
      </c>
      <c r="I13" s="23">
        <v>40.259183073031487</v>
      </c>
      <c r="J13" s="5">
        <v>5454.0835218996663</v>
      </c>
      <c r="K13" s="31"/>
      <c r="L13" s="23" t="e" cm="1">
        <f t="array" aca="1" ref="L13" ca="1">INDIRECT("'[SA_results" &amp; $C13 &amp; ".xlsx]Best_Objective'!$A$2")</f>
        <v>#REF!</v>
      </c>
      <c r="M13" s="33" t="e" cm="1">
        <f t="array" aca="1" ref="M13" ca="1">INDIRECT("'[SA_results" &amp; $C13 &amp; ".xlsx]Running_Time'!$A$2")</f>
        <v>#REF!</v>
      </c>
      <c r="N13" s="5" t="e">
        <f t="shared" ca="1" si="0"/>
        <v>#REF!</v>
      </c>
      <c r="O13" s="23" t="e" cm="1">
        <f t="array" aca="1" ref="O13" ca="1">INDIRECT("'[SA_results" &amp; $C13 &amp; ".xlsx]Acceptance_Rate'!$A$2")</f>
        <v>#REF!</v>
      </c>
      <c r="P13" s="33" t="e" cm="1">
        <f t="array" aca="1" ref="P13" ca="1">SUM(INDIRECT("'[SA_results" &amp; $C13 &amp; ".xlsx]Best_Job_Tardiness'!$B:$B"))/($D$2-INDIRECT("'[SA_results" &amp; $C13 &amp; ".xlsx]Total_Rejected_Jobs'!$A$2"))</f>
        <v>#REF!</v>
      </c>
      <c r="Q13" s="23" t="str">
        <f t="shared" ca="1" si="4"/>
        <v/>
      </c>
      <c r="R13" s="5" t="e" cm="1">
        <f t="array" aca="1" ref="R13" ca="1">SUM(INDIRECT("'[SA_results" &amp; $C13 &amp; ".xlsx]Best_Job_Completion_Time'!$B:$B"))/($D$2-INDIRECT("'[SA_results" &amp; $C13 &amp; ".xlsx]Total_Rejected_Jobs'!$A$2"))</f>
        <v>#REF!</v>
      </c>
      <c r="S13" s="35"/>
      <c r="T13" s="23" t="e" cm="1">
        <f t="array" aca="1" ref="T13" ca="1">INDIRECT("'[SA_results" &amp; $C13 &amp; ".xlsx]Best_Objective'!$A$2")</f>
        <v>#REF!</v>
      </c>
      <c r="U13" s="33" t="e" cm="1">
        <f t="array" aca="1" ref="U13" ca="1">INDIRECT("'[SA_results" &amp; $C13 &amp; ".xlsx]Running_Time'!$A$2")</f>
        <v>#REF!</v>
      </c>
      <c r="V13" s="5" t="e">
        <f t="shared" ca="1" si="2"/>
        <v>#REF!</v>
      </c>
      <c r="W13" s="23" t="e" cm="1">
        <f t="array" aca="1" ref="W13" ca="1">INDIRECT("'[SA_results" &amp; $C13 &amp; ".xlsx]Acceptance_Rate'!$A$2")</f>
        <v>#REF!</v>
      </c>
      <c r="X13" s="33" t="e" cm="1">
        <f t="array" aca="1" ref="X13" ca="1">SUM(INDIRECT("'[SA_results" &amp; $C13 &amp; ".xlsx]Best_Job_Tardiness'!$B:$B"))/($D$2-INDIRECT("'[SA_results" &amp; $C13 &amp; ".xlsx]Total_Rejected_Jobs'!$A$2"))</f>
        <v>#REF!</v>
      </c>
      <c r="Y13" s="23" t="str">
        <f t="shared" ca="1" si="5"/>
        <v/>
      </c>
      <c r="Z13" s="5" t="e" cm="1">
        <f t="array" aca="1" ref="Z13" ca="1">SUM(INDIRECT("'[SA_results" &amp; $C13 &amp; ".xlsx]Best_Job_Completion_Time'!$B:$B"))/($D$2-INDIRECT("'[SA_results" &amp; $C13 &amp; ".xlsx]Total_Rejected_Jobs'!$A$2"))</f>
        <v>#REF!</v>
      </c>
      <c r="AA13" s="35"/>
    </row>
    <row r="14" spans="2:27" x14ac:dyDescent="0.2">
      <c r="B14" s="49" t="s">
        <v>3</v>
      </c>
      <c r="C14" s="50"/>
      <c r="D14" s="9">
        <f>MIN(D4:D13)</f>
        <v>1168643.226288683</v>
      </c>
      <c r="E14" s="22">
        <f>INDEX(E4:E13, MATCH($D$14, D4:D13, 0))</f>
        <v>309.76703292314107</v>
      </c>
      <c r="F14" s="9">
        <f>INDEX(F4:F13, MATCH($D$14, D4:D13, 0))</f>
        <v>13</v>
      </c>
      <c r="G14" s="9">
        <f>INDEX(G4:G13, MATCH($D$14, D4:D13, 0))</f>
        <v>94</v>
      </c>
      <c r="H14" s="22">
        <f>INDEX(H4:H13, MATCH($D$14, D4:D13, 0))</f>
        <v>362.73205147026351</v>
      </c>
      <c r="I14" s="22">
        <f>INDEX(I4:I13, MATCH($D$14, D4:D13, 0))</f>
        <v>40.263651627371402</v>
      </c>
      <c r="J14" s="22">
        <f>INDEX(J4:J13, MATCH($D$14, D4:D13, 0))</f>
        <v>5415.5349556114834</v>
      </c>
      <c r="K14" s="32" t="e">
        <f>(D14-$D$15)/$D$15</f>
        <v>#DIV/0!</v>
      </c>
      <c r="L14" s="16" t="e">
        <f ca="1">MIN(L4:L13)</f>
        <v>#REF!</v>
      </c>
      <c r="M14" s="21" t="e">
        <f ca="1">INDEX(M4:M13, MATCH($L$14, L4:L13, 0))</f>
        <v>#REF!</v>
      </c>
      <c r="N14" s="16" t="e">
        <f ca="1">INDEX(N4:N13, MATCH($L$14, L4:L13, 0))</f>
        <v>#REF!</v>
      </c>
      <c r="O14" s="16" t="e">
        <f ca="1">INDEX(O4:O13, MATCH($L$14, L4:L13, 0))</f>
        <v>#REF!</v>
      </c>
      <c r="P14" s="21" t="e">
        <f ca="1">INDEX(P4:P13, MATCH($L$14, L4:L13, 0))</f>
        <v>#REF!</v>
      </c>
      <c r="Q14" s="21" t="e">
        <f ca="1">INDEX(Q4:Q13, MATCH($L$14, L4:L13, 0))</f>
        <v>#REF!</v>
      </c>
      <c r="R14" s="21" t="e">
        <f ca="1">INDEX(R4:R13, MATCH($L$14, L4:L13, 0))</f>
        <v>#REF!</v>
      </c>
      <c r="S14" s="36" t="e">
        <f ca="1">(L14-$D$15)/$D$15</f>
        <v>#REF!</v>
      </c>
      <c r="T14" s="38" t="e">
        <f ca="1">MIN(T4:T13)</f>
        <v>#REF!</v>
      </c>
      <c r="U14" s="39" t="e">
        <f ca="1">INDEX(U4:U13, MATCH($T$14, T4:T13, 0))</f>
        <v>#REF!</v>
      </c>
      <c r="V14" s="38" t="e">
        <f ca="1">INDEX(V4:V13, MATCH($T$14, T4:T13, 0))</f>
        <v>#REF!</v>
      </c>
      <c r="W14" s="38" t="e">
        <f ca="1">INDEX(W4:W13, MATCH($T$14, T4:T13, 0))</f>
        <v>#REF!</v>
      </c>
      <c r="X14" s="39" t="e">
        <f ca="1">INDEX(X4:X13, MATCH($T$14, T4:T13, 0))</f>
        <v>#REF!</v>
      </c>
      <c r="Y14" s="39" t="e">
        <f ca="1">INDEX(Y4:Y13, MATCH($T$14, T4:T13, 0))</f>
        <v>#REF!</v>
      </c>
      <c r="Z14" s="39" t="e">
        <f ca="1">INDEX(Z4:Z13, MATCH($T$14, T4:T13, 0))</f>
        <v>#REF!</v>
      </c>
      <c r="AA14" s="40" t="e">
        <f ca="1">(T14-$D$15)/$D$15</f>
        <v>#REF!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 t="e">
        <f ca="1">(L14-D14)/D14</f>
        <v>#REF!</v>
      </c>
      <c r="M15" s="41" t="e">
        <f t="shared" ref="M15:R15" ca="1" si="6">(M14-E14)/E14</f>
        <v>#REF!</v>
      </c>
      <c r="N15" s="41" t="e">
        <f t="shared" ca="1" si="6"/>
        <v>#REF!</v>
      </c>
      <c r="O15" s="41" t="e">
        <f t="shared" ca="1" si="6"/>
        <v>#REF!</v>
      </c>
      <c r="P15" s="41" t="e">
        <f t="shared" ca="1" si="6"/>
        <v>#REF!</v>
      </c>
      <c r="Q15" s="41" t="e">
        <f t="shared" ca="1" si="6"/>
        <v>#REF!</v>
      </c>
      <c r="R15" s="41" t="e">
        <f t="shared" ca="1" si="6"/>
        <v>#REF!</v>
      </c>
      <c r="T15" s="41" t="e">
        <f ca="1">(T14-D14)/D14</f>
        <v>#REF!</v>
      </c>
      <c r="U15" s="41" t="e">
        <f t="shared" ref="U15:Z15" ca="1" si="7">(U14-E14)/E14</f>
        <v>#REF!</v>
      </c>
      <c r="V15" s="41" t="e">
        <f t="shared" ca="1" si="7"/>
        <v>#REF!</v>
      </c>
      <c r="W15" s="41" t="e">
        <f t="shared" ca="1" si="7"/>
        <v>#REF!</v>
      </c>
      <c r="X15" s="41" t="e">
        <f t="shared" ca="1" si="7"/>
        <v>#REF!</v>
      </c>
      <c r="Y15" s="41" t="e">
        <f t="shared" ca="1" si="7"/>
        <v>#REF!</v>
      </c>
      <c r="Z15" s="41" t="e">
        <f t="shared" ca="1" si="7"/>
        <v>#REF!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:C19 C3 C39:C1048576">
    <cfRule type="duplicateValues" dxfId="67" priority="11"/>
    <cfRule type="duplicateValues" dxfId="66" priority="12"/>
  </conditionalFormatting>
  <conditionalFormatting sqref="C2">
    <cfRule type="duplicateValues" dxfId="65" priority="3"/>
    <cfRule type="duplicateValues" dxfId="64" priority="4"/>
  </conditionalFormatting>
  <conditionalFormatting sqref="C4:C13">
    <cfRule type="duplicateValues" dxfId="63" priority="5"/>
    <cfRule type="duplicateValues" dxfId="62" priority="6"/>
  </conditionalFormatting>
  <conditionalFormatting sqref="C14">
    <cfRule type="duplicateValues" dxfId="61" priority="9"/>
    <cfRule type="duplicateValues" dxfId="60" priority="10"/>
  </conditionalFormatting>
  <conditionalFormatting sqref="C15">
    <cfRule type="duplicateValues" dxfId="59" priority="7"/>
    <cfRule type="duplicateValues" dxfId="58" priority="8"/>
  </conditionalFormatting>
  <conditionalFormatting sqref="C20:C38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1086-73B8-4522-A718-A32ADBBE88D5}">
  <dimension ref="B1:AA17"/>
  <sheetViews>
    <sheetView tabSelected="1" zoomScale="90" zoomScaleNormal="90" workbookViewId="0">
      <selection activeCell="E19" sqref="E19:E35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 t="e">
        <f ca="1">(P14-H14)/H14</f>
        <v>#REF!</v>
      </c>
      <c r="R2" s="1" t="e">
        <f ca="1">(R14-J14)/J14</f>
        <v>#REF!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</v>
      </c>
      <c r="D4" s="23">
        <v>1281702.7336423241</v>
      </c>
      <c r="E4" s="33">
        <v>144.5523972307833</v>
      </c>
      <c r="F4" s="5">
        <v>11</v>
      </c>
      <c r="G4" s="23">
        <v>92</v>
      </c>
      <c r="H4" s="33">
        <v>592.76653159283774</v>
      </c>
      <c r="I4" s="23">
        <v>41.443088648347867</v>
      </c>
      <c r="J4" s="5">
        <v>5860.5421444969725</v>
      </c>
      <c r="K4" s="31"/>
      <c r="L4" s="23" t="e" cm="1">
        <f t="array" aca="1" ref="L4" ca="1">INDIRECT("'[SA_results" &amp; $C4 &amp; ".xlsx]Best_Objective'!$A$2")</f>
        <v>#REF!</v>
      </c>
      <c r="M4" s="33" t="e" cm="1">
        <f t="array" aca="1" ref="M4" ca="1">INDIRECT("'[SA_results" &amp; $C4 &amp; ".xlsx]Running_Time'!$A$2")</f>
        <v>#REF!</v>
      </c>
      <c r="N4" s="5" t="e">
        <f ca="1">COUNTIF(INDIRECT("'[SA_results" &amp; $C4 &amp; ".xlsx]Best_Batch_Utilization'!C:C"),"&gt;0")</f>
        <v>#REF!</v>
      </c>
      <c r="O4" s="23" t="e" cm="1">
        <f t="array" aca="1" ref="O4" ca="1">INDIRECT("'[SA_results" &amp; $C4 &amp; ".xlsx]Acceptance_Rate'!$A$2")</f>
        <v>#REF!</v>
      </c>
      <c r="P4" s="33" t="e" cm="1">
        <f t="array" aca="1" ref="P4" ca="1">SUM(INDIRECT("'[SA_results" &amp; $C4 &amp; ".xlsx]Best_Job_Tardiness'!$B:$B"))/($D$2-INDIRECT("'[SA_results" &amp; $C4 &amp; ".xlsx]Total_Rejected_Jobs'!$A$2"))</f>
        <v>#REF!</v>
      </c>
      <c r="Q4" s="23" t="str">
        <f ca="1">IFERROR(AVERAGE(INDIRECT("'[SA_results" &amp; $C4 &amp; ".xlsx]Best_Batch_Utilization'!C:C")),"")</f>
        <v/>
      </c>
      <c r="R4" s="5" t="e" cm="1">
        <f t="array" aca="1" ref="R4" ca="1">SUM(INDIRECT("'[SA_results" &amp; $C4 &amp; ".xlsx]Best_Job_Completion_Time'!$B:$B"))/($D$2-INDIRECT("'[SA_results" &amp; $C4 &amp; ".xlsx]Total_Rejected_Jobs'!$A$2"))</f>
        <v>#REF!</v>
      </c>
      <c r="S4" s="35"/>
      <c r="T4" s="23" t="e" cm="1">
        <f t="array" aca="1" ref="T4" ca="1">INDIRECT("'[SA_results" &amp; $C4 &amp; ".xlsx]Best_Objective'!$A$2")</f>
        <v>#REF!</v>
      </c>
      <c r="U4" s="33" t="e" cm="1">
        <f t="array" aca="1" ref="U4" ca="1">INDIRECT("'[SA_results" &amp; $C4 &amp; ".xlsx]Running_Time'!$A$2")</f>
        <v>#REF!</v>
      </c>
      <c r="V4" s="5" t="e">
        <f ca="1">COUNTIF(INDIRECT("'[SA_results" &amp; $C4 &amp; ".xlsx]Best_Batch_Utilization'!C:C"),"&gt;0")</f>
        <v>#REF!</v>
      </c>
      <c r="W4" s="23" t="e" cm="1">
        <f t="array" aca="1" ref="W4" ca="1">INDIRECT("'[SA_results" &amp; $C4 &amp; ".xlsx]Acceptance_Rate'!$A$2")</f>
        <v>#REF!</v>
      </c>
      <c r="X4" s="33" t="e" cm="1">
        <f t="array" aca="1" ref="X4" ca="1">SUM(INDIRECT("'[SA_results" &amp; $C4 &amp; ".xlsx]Best_Job_Tardiness'!$B:$B"))/($D$2-INDIRECT("'[SA_results" &amp; $C4 &amp; ".xlsx]Total_Rejected_Jobs'!$A$2"))</f>
        <v>#REF!</v>
      </c>
      <c r="Y4" s="23" t="str">
        <f ca="1">IFERROR(AVERAGE(INDIRECT("'[SA_results" &amp; $C4 &amp; ".xlsx]Best_Batch_Utilization'!C:C")),"")</f>
        <v/>
      </c>
      <c r="Z4" s="5" t="e" cm="1">
        <f t="array" aca="1" ref="Z4" ca="1">SUM(INDIRECT("'[SA_results" &amp; $C4 &amp; ".xlsx]Best_Job_Completion_Time'!$B:$B"))/($D$2-INDIRECT("'[SA_results" &amp; $C4 &amp; ".xlsx]Total_Rejected_Jobs'!$A$2"))</f>
        <v>#REF!</v>
      </c>
      <c r="AA4" s="35"/>
    </row>
    <row r="5" spans="2:27" x14ac:dyDescent="0.2">
      <c r="B5" s="4">
        <v>2</v>
      </c>
      <c r="C5" s="4">
        <v>48</v>
      </c>
      <c r="D5" s="23">
        <v>1239485.4862941881</v>
      </c>
      <c r="E5" s="33">
        <v>177.19669053841454</v>
      </c>
      <c r="F5" s="5">
        <v>12</v>
      </c>
      <c r="G5" s="23">
        <v>92</v>
      </c>
      <c r="H5" s="33">
        <v>488.76502468408506</v>
      </c>
      <c r="I5" s="23">
        <v>38.605788126454136</v>
      </c>
      <c r="J5" s="5">
        <v>5528.7049505883151</v>
      </c>
      <c r="K5" s="31"/>
      <c r="L5" s="23" t="e" cm="1">
        <f t="array" aca="1" ref="L5" ca="1">INDIRECT("'[SA_results" &amp; $C5 &amp; ".xlsx]Best_Objective'!$A$2")</f>
        <v>#REF!</v>
      </c>
      <c r="M5" s="33" t="e" cm="1">
        <f t="array" aca="1" ref="M5" ca="1">INDIRECT("'[SA_results" &amp; $C5 &amp; ".xlsx]Running_Time'!$A$2")</f>
        <v>#REF!</v>
      </c>
      <c r="N5" s="5" t="e">
        <f t="shared" ref="N5:N13" ca="1" si="0">COUNTIF(INDIRECT("'[SA_results" &amp; $C5 &amp; ".xlsx]Best_Batch_Utilization'!C:C"),"&gt;0")</f>
        <v>#REF!</v>
      </c>
      <c r="O5" s="23" t="e" cm="1">
        <f t="array" aca="1" ref="O5" ca="1">INDIRECT("'[SA_results" &amp; $C5 &amp; ".xlsx]Acceptance_Rate'!$A$2")</f>
        <v>#REF!</v>
      </c>
      <c r="P5" s="33" t="e" cm="1">
        <f t="array" aca="1" ref="P5" ca="1">SUM(INDIRECT("'[SA_results" &amp; $C5 &amp; ".xlsx]Best_Job_Tardiness'!$B:$B"))/($D$2-INDIRECT("'[SA_results" &amp; $C5 &amp; ".xlsx]Total_Rejected_Jobs'!$A$2"))</f>
        <v>#REF!</v>
      </c>
      <c r="Q5" s="23" t="str">
        <f t="shared" ref="Q5:Q6" ca="1" si="1">IFERROR(AVERAGE(INDIRECT("'[SA_results" &amp; $C5 &amp; ".xlsx]Best_Batch_Utilization'!C:C")),"")</f>
        <v/>
      </c>
      <c r="R5" s="5" t="e" cm="1">
        <f t="array" aca="1" ref="R5" ca="1">SUM(INDIRECT("'[SA_results" &amp; $C5 &amp; ".xlsx]Best_Job_Completion_Time'!$B:$B"))/($D$2-INDIRECT("'[SA_results" &amp; $C5 &amp; ".xlsx]Total_Rejected_Jobs'!$A$2"))</f>
        <v>#REF!</v>
      </c>
      <c r="S5" s="35"/>
      <c r="T5" s="23" t="e" cm="1">
        <f t="array" aca="1" ref="T5" ca="1">INDIRECT("'[SA_results" &amp; $C5 &amp; ".xlsx]Best_Objective'!$A$2")</f>
        <v>#REF!</v>
      </c>
      <c r="U5" s="33" t="e" cm="1">
        <f t="array" aca="1" ref="U5" ca="1">INDIRECT("'[SA_results" &amp; $C5 &amp; ".xlsx]Running_Time'!$A$2")</f>
        <v>#REF!</v>
      </c>
      <c r="V5" s="5" t="e">
        <f t="shared" ref="V5:V13" ca="1" si="2">COUNTIF(INDIRECT("'[SA_results" &amp; $C5 &amp; ".xlsx]Best_Batch_Utilization'!C:C"),"&gt;0")</f>
        <v>#REF!</v>
      </c>
      <c r="W5" s="23" t="e" cm="1">
        <f t="array" aca="1" ref="W5" ca="1">INDIRECT("'[SA_results" &amp; $C5 &amp; ".xlsx]Acceptance_Rate'!$A$2")</f>
        <v>#REF!</v>
      </c>
      <c r="X5" s="33" t="e" cm="1">
        <f t="array" aca="1" ref="X5" ca="1">SUM(INDIRECT("'[SA_results" &amp; $C5 &amp; ".xlsx]Best_Job_Tardiness'!$B:$B"))/($D$2-INDIRECT("'[SA_results" &amp; $C5 &amp; ".xlsx]Total_Rejected_Jobs'!$A$2"))</f>
        <v>#REF!</v>
      </c>
      <c r="Y5" s="23" t="str">
        <f t="shared" ref="Y5:Y6" ca="1" si="3">IFERROR(AVERAGE(INDIRECT("'[SA_results" &amp; $C5 &amp; ".xlsx]Best_Batch_Utilization'!C:C")),"")</f>
        <v/>
      </c>
      <c r="Z5" s="5" t="e" cm="1">
        <f t="array" aca="1" ref="Z5" ca="1">SUM(INDIRECT("'[SA_results" &amp; $C5 &amp; ".xlsx]Best_Job_Completion_Time'!$B:$B"))/($D$2-INDIRECT("'[SA_results" &amp; $C5 &amp; ".xlsx]Total_Rejected_Jobs'!$A$2"))</f>
        <v>#REF!</v>
      </c>
      <c r="AA5" s="35"/>
    </row>
    <row r="6" spans="2:27" x14ac:dyDescent="0.2">
      <c r="B6" s="4">
        <v>3</v>
      </c>
      <c r="C6" s="4">
        <v>445</v>
      </c>
      <c r="D6" s="23">
        <v>1210876.1857202931</v>
      </c>
      <c r="E6" s="33">
        <v>111.06697430762532</v>
      </c>
      <c r="F6" s="5">
        <v>12</v>
      </c>
      <c r="G6" s="23">
        <v>92.666666666666671</v>
      </c>
      <c r="H6" s="33">
        <v>395.7095551113469</v>
      </c>
      <c r="I6" s="23">
        <v>38.858003489073702</v>
      </c>
      <c r="J6" s="5">
        <v>5502.549474089722</v>
      </c>
      <c r="K6" s="31"/>
      <c r="L6" s="23" t="e" cm="1">
        <f t="array" aca="1" ref="L6" ca="1">INDIRECT("'[SA_results" &amp; $C6 &amp; ".xlsx]Best_Objective'!$A$2")</f>
        <v>#REF!</v>
      </c>
      <c r="M6" s="33" t="e" cm="1">
        <f t="array" aca="1" ref="M6" ca="1">INDIRECT("'[SA_results" &amp; $C6 &amp; ".xlsx]Running_Time'!$A$2")</f>
        <v>#REF!</v>
      </c>
      <c r="N6" s="5" t="e">
        <f t="shared" ca="1" si="0"/>
        <v>#REF!</v>
      </c>
      <c r="O6" s="23" t="e" cm="1">
        <f t="array" aca="1" ref="O6" ca="1">INDIRECT("'[SA_results" &amp; $C6 &amp; ".xlsx]Acceptance_Rate'!$A$2")</f>
        <v>#REF!</v>
      </c>
      <c r="P6" s="33" t="e" cm="1">
        <f t="array" aca="1" ref="P6" ca="1">SUM(INDIRECT("'[SA_results" &amp; $C6 &amp; ".xlsx]Best_Job_Tardiness'!$B:$B"))/($D$2-INDIRECT("'[SA_results" &amp; $C6 &amp; ".xlsx]Total_Rejected_Jobs'!$A$2"))</f>
        <v>#REF!</v>
      </c>
      <c r="Q6" s="23" t="str">
        <f t="shared" ca="1" si="1"/>
        <v/>
      </c>
      <c r="R6" s="5" t="e" cm="1">
        <f t="array" aca="1" ref="R6" ca="1">SUM(INDIRECT("'[SA_results" &amp; $C6 &amp; ".xlsx]Best_Job_Completion_Time'!$B:$B"))/($D$2-INDIRECT("'[SA_results" &amp; $C6 &amp; ".xlsx]Total_Rejected_Jobs'!$A$2"))</f>
        <v>#REF!</v>
      </c>
      <c r="S6" s="35"/>
      <c r="T6" s="23" t="e" cm="1">
        <f t="array" aca="1" ref="T6" ca="1">INDIRECT("'[SA_results" &amp; $C6 &amp; ".xlsx]Best_Objective'!$A$2")</f>
        <v>#REF!</v>
      </c>
      <c r="U6" s="33" t="e" cm="1">
        <f t="array" aca="1" ref="U6" ca="1">INDIRECT("'[SA_results" &amp; $C6 &amp; ".xlsx]Running_Time'!$A$2")</f>
        <v>#REF!</v>
      </c>
      <c r="V6" s="5" t="e">
        <f t="shared" ca="1" si="2"/>
        <v>#REF!</v>
      </c>
      <c r="W6" s="23" t="e" cm="1">
        <f t="array" aca="1" ref="W6" ca="1">INDIRECT("'[SA_results" &amp; $C6 &amp; ".xlsx]Acceptance_Rate'!$A$2")</f>
        <v>#REF!</v>
      </c>
      <c r="X6" s="33" t="e" cm="1">
        <f t="array" aca="1" ref="X6" ca="1">SUM(INDIRECT("'[SA_results" &amp; $C6 &amp; ".xlsx]Best_Job_Tardiness'!$B:$B"))/($D$2-INDIRECT("'[SA_results" &amp; $C6 &amp; ".xlsx]Total_Rejected_Jobs'!$A$2"))</f>
        <v>#REF!</v>
      </c>
      <c r="Y6" s="23" t="str">
        <f t="shared" ca="1" si="3"/>
        <v/>
      </c>
      <c r="Z6" s="5" t="e" cm="1">
        <f t="array" aca="1" ref="Z6" ca="1">SUM(INDIRECT("'[SA_results" &amp; $C6 &amp; ".xlsx]Best_Job_Completion_Time'!$B:$B"))/($D$2-INDIRECT("'[SA_results" &amp; $C6 &amp; ".xlsx]Total_Rejected_Jobs'!$A$2"))</f>
        <v>#REF!</v>
      </c>
      <c r="AA6" s="35"/>
    </row>
    <row r="7" spans="2:27" x14ac:dyDescent="0.2">
      <c r="B7" s="4">
        <v>4</v>
      </c>
      <c r="C7" s="4">
        <v>568</v>
      </c>
      <c r="D7" s="23">
        <v>1254769.981569526</v>
      </c>
      <c r="E7" s="33">
        <v>226.45354630765863</v>
      </c>
      <c r="F7" s="5">
        <v>13</v>
      </c>
      <c r="G7" s="23">
        <v>92.666666666666671</v>
      </c>
      <c r="H7" s="33">
        <v>456.81481322441994</v>
      </c>
      <c r="I7" s="23">
        <v>35.2152440558243</v>
      </c>
      <c r="J7" s="5">
        <v>5592.3213535914902</v>
      </c>
      <c r="K7" s="31"/>
      <c r="L7" s="23" t="e" cm="1">
        <f t="array" aca="1" ref="L7" ca="1">INDIRECT("'[SA_results" &amp; $C7 &amp; ".xlsx]Best_Objective'!$A$2")</f>
        <v>#REF!</v>
      </c>
      <c r="M7" s="33" t="e" cm="1">
        <f t="array" aca="1" ref="M7" ca="1">INDIRECT("'[SA_results" &amp; $C7 &amp; ".xlsx]Running_Time'!$A$2")</f>
        <v>#REF!</v>
      </c>
      <c r="N7" s="5" t="e">
        <f t="shared" ca="1" si="0"/>
        <v>#REF!</v>
      </c>
      <c r="O7" s="23" t="e" cm="1">
        <f t="array" aca="1" ref="O7" ca="1">INDIRECT("'[SA_results" &amp; $C7 &amp; ".xlsx]Acceptance_Rate'!$A$2")</f>
        <v>#REF!</v>
      </c>
      <c r="P7" s="33" t="e" cm="1">
        <f t="array" aca="1" ref="P7" ca="1">SUM(INDIRECT("'[SA_results" &amp; $C7 &amp; ".xlsx]Best_Job_Tardiness'!$B:$B"))/($D$2-INDIRECT("'[SA_results" &amp; $C7 &amp; ".xlsx]Total_Rejected_Jobs'!$A$2"))</f>
        <v>#REF!</v>
      </c>
      <c r="Q7" s="23" t="str">
        <f ca="1">IFERROR(AVERAGE(INDIRECT("'[SA_results" &amp; $C7 &amp; ".xlsx]Best_Batch_Utilization'!C:C")),"")</f>
        <v/>
      </c>
      <c r="R7" s="5" t="e" cm="1">
        <f t="array" aca="1" ref="R7" ca="1">SUM(INDIRECT("'[SA_results" &amp; $C7 &amp; ".xlsx]Best_Job_Completion_Time'!$B:$B"))/($D$2-INDIRECT("'[SA_results" &amp; $C7 &amp; ".xlsx]Total_Rejected_Jobs'!$A$2"))</f>
        <v>#REF!</v>
      </c>
      <c r="S7" s="35"/>
      <c r="T7" s="23" t="e" cm="1">
        <f t="array" aca="1" ref="T7" ca="1">INDIRECT("'[SA_results" &amp; $C7 &amp; ".xlsx]Best_Objective'!$A$2")</f>
        <v>#REF!</v>
      </c>
      <c r="U7" s="33" t="e" cm="1">
        <f t="array" aca="1" ref="U7" ca="1">INDIRECT("'[SA_results" &amp; $C7 &amp; ".xlsx]Running_Time'!$A$2")</f>
        <v>#REF!</v>
      </c>
      <c r="V7" s="5" t="e">
        <f t="shared" ca="1" si="2"/>
        <v>#REF!</v>
      </c>
      <c r="W7" s="23" t="e" cm="1">
        <f t="array" aca="1" ref="W7" ca="1">INDIRECT("'[SA_results" &amp; $C7 &amp; ".xlsx]Acceptance_Rate'!$A$2")</f>
        <v>#REF!</v>
      </c>
      <c r="X7" s="33" t="e" cm="1">
        <f t="array" aca="1" ref="X7" ca="1">SUM(INDIRECT("'[SA_results" &amp; $C7 &amp; ".xlsx]Best_Job_Tardiness'!$B:$B"))/($D$2-INDIRECT("'[SA_results" &amp; $C7 &amp; ".xlsx]Total_Rejected_Jobs'!$A$2"))</f>
        <v>#REF!</v>
      </c>
      <c r="Y7" s="23" t="str">
        <f ca="1">IFERROR(AVERAGE(INDIRECT("'[SA_results" &amp; $C7 &amp; ".xlsx]Best_Batch_Utilization'!C:C")),"")</f>
        <v/>
      </c>
      <c r="Z7" s="5" t="e" cm="1">
        <f t="array" aca="1" ref="Z7" ca="1">SUM(INDIRECT("'[SA_results" &amp; $C7 &amp; ".xlsx]Best_Job_Completion_Time'!$B:$B"))/($D$2-INDIRECT("'[SA_results" &amp; $C7 &amp; ".xlsx]Total_Rejected_Jobs'!$A$2"))</f>
        <v>#REF!</v>
      </c>
      <c r="AA7" s="35"/>
    </row>
    <row r="8" spans="2:27" x14ac:dyDescent="0.2">
      <c r="B8" s="4">
        <v>5</v>
      </c>
      <c r="C8" s="4">
        <v>612</v>
      </c>
      <c r="D8" s="23">
        <v>1284308.6324758481</v>
      </c>
      <c r="E8" s="33">
        <v>150.23558484614253</v>
      </c>
      <c r="F8" s="5">
        <v>13</v>
      </c>
      <c r="G8" s="23">
        <v>92.666666666666671</v>
      </c>
      <c r="H8" s="33">
        <v>625.07008847448844</v>
      </c>
      <c r="I8" s="23">
        <v>35.288092697441826</v>
      </c>
      <c r="J8" s="5">
        <v>5692.6336826878842</v>
      </c>
      <c r="K8" s="31"/>
      <c r="L8" s="23" t="e" cm="1">
        <f t="array" aca="1" ref="L8" ca="1">INDIRECT("'[SA_results" &amp; $C8 &amp; ".xlsx]Best_Objective'!$A$2")</f>
        <v>#REF!</v>
      </c>
      <c r="M8" s="33" t="e" cm="1">
        <f t="array" aca="1" ref="M8" ca="1">INDIRECT("'[SA_results" &amp; $C8 &amp; ".xlsx]Running_Time'!$A$2")</f>
        <v>#REF!</v>
      </c>
      <c r="N8" s="5" t="e">
        <f t="shared" ca="1" si="0"/>
        <v>#REF!</v>
      </c>
      <c r="O8" s="23" t="e" cm="1">
        <f t="array" aca="1" ref="O8" ca="1">INDIRECT("'[SA_results" &amp; $C8 &amp; ".xlsx]Acceptance_Rate'!$A$2")</f>
        <v>#REF!</v>
      </c>
      <c r="P8" s="33" t="e" cm="1">
        <f t="array" aca="1" ref="P8" ca="1">SUM(INDIRECT("'[SA_results" &amp; $C8 &amp; ".xlsx]Best_Job_Tardiness'!$B:$B"))/($D$2-INDIRECT("'[SA_results" &amp; $C8 &amp; ".xlsx]Total_Rejected_Jobs'!$A$2"))</f>
        <v>#REF!</v>
      </c>
      <c r="Q8" s="23" t="str">
        <f t="shared" ref="Q8:Q13" ca="1" si="4">IFERROR(AVERAGE(INDIRECT("'[SA_results" &amp; $C8 &amp; ".xlsx]Best_Batch_Utilization'!C:C")),"")</f>
        <v/>
      </c>
      <c r="R8" s="5" t="e" cm="1">
        <f t="array" aca="1" ref="R8" ca="1">SUM(INDIRECT("'[SA_results" &amp; $C8 &amp; ".xlsx]Best_Job_Completion_Time'!$B:$B"))/($D$2-INDIRECT("'[SA_results" &amp; $C8 &amp; ".xlsx]Total_Rejected_Jobs'!$A$2"))</f>
        <v>#REF!</v>
      </c>
      <c r="S8" s="35"/>
      <c r="T8" s="23" t="e" cm="1">
        <f t="array" aca="1" ref="T8" ca="1">INDIRECT("'[SA_results" &amp; $C8 &amp; ".xlsx]Best_Objective'!$A$2")</f>
        <v>#REF!</v>
      </c>
      <c r="U8" s="33" t="e" cm="1">
        <f t="array" aca="1" ref="U8" ca="1">INDIRECT("'[SA_results" &amp; $C8 &amp; ".xlsx]Running_Time'!$A$2")</f>
        <v>#REF!</v>
      </c>
      <c r="V8" s="5" t="e">
        <f t="shared" ca="1" si="2"/>
        <v>#REF!</v>
      </c>
      <c r="W8" s="23" t="e" cm="1">
        <f t="array" aca="1" ref="W8" ca="1">INDIRECT("'[SA_results" &amp; $C8 &amp; ".xlsx]Acceptance_Rate'!$A$2")</f>
        <v>#REF!</v>
      </c>
      <c r="X8" s="33" t="e" cm="1">
        <f t="array" aca="1" ref="X8" ca="1">SUM(INDIRECT("'[SA_results" &amp; $C8 &amp; ".xlsx]Best_Job_Tardiness'!$B:$B"))/($D$2-INDIRECT("'[SA_results" &amp; $C8 &amp; ".xlsx]Total_Rejected_Jobs'!$A$2"))</f>
        <v>#REF!</v>
      </c>
      <c r="Y8" s="23" t="str">
        <f t="shared" ref="Y8:Y13" ca="1" si="5">IFERROR(AVERAGE(INDIRECT("'[SA_results" &amp; $C8 &amp; ".xlsx]Best_Batch_Utilization'!C:C")),"")</f>
        <v/>
      </c>
      <c r="Z8" s="5" t="e" cm="1">
        <f t="array" aca="1" ref="Z8" ca="1">SUM(INDIRECT("'[SA_results" &amp; $C8 &amp; ".xlsx]Best_Job_Completion_Time'!$B:$B"))/($D$2-INDIRECT("'[SA_results" &amp; $C8 &amp; ".xlsx]Total_Rejected_Jobs'!$A$2"))</f>
        <v>#REF!</v>
      </c>
      <c r="AA8" s="35"/>
    </row>
    <row r="9" spans="2:27" x14ac:dyDescent="0.2">
      <c r="B9" s="4">
        <v>6</v>
      </c>
      <c r="C9" s="4">
        <v>662</v>
      </c>
      <c r="D9" s="23">
        <v>1234967.8278609221</v>
      </c>
      <c r="E9" s="33">
        <v>128.72566730769063</v>
      </c>
      <c r="F9" s="5">
        <v>13</v>
      </c>
      <c r="G9" s="23">
        <v>92</v>
      </c>
      <c r="H9" s="33">
        <v>478.82561724374682</v>
      </c>
      <c r="I9" s="23">
        <v>35.647182140057424</v>
      </c>
      <c r="J9" s="5">
        <v>5377.3523421048058</v>
      </c>
      <c r="K9" s="31"/>
      <c r="L9" s="23" t="e" cm="1">
        <f t="array" aca="1" ref="L9" ca="1">INDIRECT("'[SA_results" &amp; $C9 &amp; ".xlsx]Best_Objective'!$A$2")</f>
        <v>#REF!</v>
      </c>
      <c r="M9" s="33" t="e" cm="1">
        <f t="array" aca="1" ref="M9" ca="1">INDIRECT("'[SA_results" &amp; $C9 &amp; ".xlsx]Running_Time'!$A$2")</f>
        <v>#REF!</v>
      </c>
      <c r="N9" s="5" t="e">
        <f t="shared" ca="1" si="0"/>
        <v>#REF!</v>
      </c>
      <c r="O9" s="23" t="e" cm="1">
        <f t="array" aca="1" ref="O9" ca="1">INDIRECT("'[SA_results" &amp; $C9 &amp; ".xlsx]Acceptance_Rate'!$A$2")</f>
        <v>#REF!</v>
      </c>
      <c r="P9" s="33" t="e" cm="1">
        <f t="array" aca="1" ref="P9" ca="1">SUM(INDIRECT("'[SA_results" &amp; $C9 &amp; ".xlsx]Best_Job_Tardiness'!$B:$B"))/($D$2-INDIRECT("'[SA_results" &amp; $C9 &amp; ".xlsx]Total_Rejected_Jobs'!$A$2"))</f>
        <v>#REF!</v>
      </c>
      <c r="Q9" s="23" t="str">
        <f t="shared" ca="1" si="4"/>
        <v/>
      </c>
      <c r="R9" s="5" t="e" cm="1">
        <f t="array" aca="1" ref="R9" ca="1">SUM(INDIRECT("'[SA_results" &amp; $C9 &amp; ".xlsx]Best_Job_Completion_Time'!$B:$B"))/($D$2-INDIRECT("'[SA_results" &amp; $C9 &amp; ".xlsx]Total_Rejected_Jobs'!$A$2"))</f>
        <v>#REF!</v>
      </c>
      <c r="S9" s="35"/>
      <c r="T9" s="23" t="e" cm="1">
        <f t="array" aca="1" ref="T9" ca="1">INDIRECT("'[SA_results" &amp; $C9 &amp; ".xlsx]Best_Objective'!$A$2")</f>
        <v>#REF!</v>
      </c>
      <c r="U9" s="33" t="e" cm="1">
        <f t="array" aca="1" ref="U9" ca="1">INDIRECT("'[SA_results" &amp; $C9 &amp; ".xlsx]Running_Time'!$A$2")</f>
        <v>#REF!</v>
      </c>
      <c r="V9" s="5" t="e">
        <f t="shared" ca="1" si="2"/>
        <v>#REF!</v>
      </c>
      <c r="W9" s="23" t="e" cm="1">
        <f t="array" aca="1" ref="W9" ca="1">INDIRECT("'[SA_results" &amp; $C9 &amp; ".xlsx]Acceptance_Rate'!$A$2")</f>
        <v>#REF!</v>
      </c>
      <c r="X9" s="33" t="e" cm="1">
        <f t="array" aca="1" ref="X9" ca="1">SUM(INDIRECT("'[SA_results" &amp; $C9 &amp; ".xlsx]Best_Job_Tardiness'!$B:$B"))/($D$2-INDIRECT("'[SA_results" &amp; $C9 &amp; ".xlsx]Total_Rejected_Jobs'!$A$2"))</f>
        <v>#REF!</v>
      </c>
      <c r="Y9" s="23" t="str">
        <f t="shared" ca="1" si="5"/>
        <v/>
      </c>
      <c r="Z9" s="5" t="e" cm="1">
        <f t="array" aca="1" ref="Z9" ca="1">SUM(INDIRECT("'[SA_results" &amp; $C9 &amp; ".xlsx]Best_Job_Completion_Time'!$B:$B"))/($D$2-INDIRECT("'[SA_results" &amp; $C9 &amp; ".xlsx]Total_Rejected_Jobs'!$A$2"))</f>
        <v>#REF!</v>
      </c>
      <c r="AA9" s="35"/>
    </row>
    <row r="10" spans="2:27" x14ac:dyDescent="0.2">
      <c r="B10" s="4">
        <v>7</v>
      </c>
      <c r="C10" s="4">
        <v>718</v>
      </c>
      <c r="D10" s="23">
        <v>1300345.0328045429</v>
      </c>
      <c r="E10" s="33">
        <v>121.58971038458938</v>
      </c>
      <c r="F10" s="5">
        <v>12</v>
      </c>
      <c r="G10" s="23">
        <v>91.333333333333329</v>
      </c>
      <c r="H10" s="33">
        <v>546.76674491528581</v>
      </c>
      <c r="I10" s="23">
        <v>36.973246245291058</v>
      </c>
      <c r="J10" s="5">
        <v>5795.3987995766183</v>
      </c>
      <c r="K10" s="31"/>
      <c r="L10" s="23" t="e" cm="1">
        <f t="array" aca="1" ref="L10" ca="1">INDIRECT("'[SA_results" &amp; $C10 &amp; ".xlsx]Best_Objective'!$A$2")</f>
        <v>#REF!</v>
      </c>
      <c r="M10" s="33" t="e" cm="1">
        <f t="array" aca="1" ref="M10" ca="1">INDIRECT("'[SA_results" &amp; $C10 &amp; ".xlsx]Running_Time'!$A$2")</f>
        <v>#REF!</v>
      </c>
      <c r="N10" s="5" t="e">
        <f t="shared" ca="1" si="0"/>
        <v>#REF!</v>
      </c>
      <c r="O10" s="23" t="e" cm="1">
        <f t="array" aca="1" ref="O10" ca="1">INDIRECT("'[SA_results" &amp; $C10 &amp; ".xlsx]Acceptance_Rate'!$A$2")</f>
        <v>#REF!</v>
      </c>
      <c r="P10" s="33" t="e" cm="1">
        <f t="array" aca="1" ref="P10" ca="1">SUM(INDIRECT("'[SA_results" &amp; $C10 &amp; ".xlsx]Best_Job_Tardiness'!$B:$B"))/($D$2-INDIRECT("'[SA_results" &amp; $C10 &amp; ".xlsx]Total_Rejected_Jobs'!$A$2"))</f>
        <v>#REF!</v>
      </c>
      <c r="Q10" s="23" t="str">
        <f t="shared" ca="1" si="4"/>
        <v/>
      </c>
      <c r="R10" s="5" t="e" cm="1">
        <f t="array" aca="1" ref="R10" ca="1">SUM(INDIRECT("'[SA_results" &amp; $C10 &amp; ".xlsx]Best_Job_Completion_Time'!$B:$B"))/($D$2-INDIRECT("'[SA_results" &amp; $C10 &amp; ".xlsx]Total_Rejected_Jobs'!$A$2"))</f>
        <v>#REF!</v>
      </c>
      <c r="S10" s="35"/>
      <c r="T10" s="23" t="e" cm="1">
        <f t="array" aca="1" ref="T10" ca="1">INDIRECT("'[SA_results" &amp; $C10 &amp; ".xlsx]Best_Objective'!$A$2")</f>
        <v>#REF!</v>
      </c>
      <c r="U10" s="33" t="e" cm="1">
        <f t="array" aca="1" ref="U10" ca="1">INDIRECT("'[SA_results" &amp; $C10 &amp; ".xlsx]Running_Time'!$A$2")</f>
        <v>#REF!</v>
      </c>
      <c r="V10" s="5" t="e">
        <f t="shared" ca="1" si="2"/>
        <v>#REF!</v>
      </c>
      <c r="W10" s="23" t="e" cm="1">
        <f t="array" aca="1" ref="W10" ca="1">INDIRECT("'[SA_results" &amp; $C10 &amp; ".xlsx]Acceptance_Rate'!$A$2")</f>
        <v>#REF!</v>
      </c>
      <c r="X10" s="33" t="e" cm="1">
        <f t="array" aca="1" ref="X10" ca="1">SUM(INDIRECT("'[SA_results" &amp; $C10 &amp; ".xlsx]Best_Job_Tardiness'!$B:$B"))/($D$2-INDIRECT("'[SA_results" &amp; $C10 &amp; ".xlsx]Total_Rejected_Jobs'!$A$2"))</f>
        <v>#REF!</v>
      </c>
      <c r="Y10" s="23" t="str">
        <f t="shared" ca="1" si="5"/>
        <v/>
      </c>
      <c r="Z10" s="5" t="e" cm="1">
        <f t="array" aca="1" ref="Z10" ca="1">SUM(INDIRECT("'[SA_results" &amp; $C10 &amp; ".xlsx]Best_Job_Completion_Time'!$B:$B"))/($D$2-INDIRECT("'[SA_results" &amp; $C10 &amp; ".xlsx]Total_Rejected_Jobs'!$A$2"))</f>
        <v>#REF!</v>
      </c>
      <c r="AA10" s="35"/>
    </row>
    <row r="11" spans="2:27" x14ac:dyDescent="0.2">
      <c r="B11" s="4">
        <v>8</v>
      </c>
      <c r="C11" s="4">
        <v>720</v>
      </c>
      <c r="D11" s="23">
        <v>1234202.7726563241</v>
      </c>
      <c r="E11" s="33">
        <v>151.25684261536938</v>
      </c>
      <c r="F11" s="5">
        <v>12</v>
      </c>
      <c r="G11" s="23">
        <v>92.666666666666671</v>
      </c>
      <c r="H11" s="33">
        <v>553.85010705655168</v>
      </c>
      <c r="I11" s="23">
        <v>38.891761396309242</v>
      </c>
      <c r="J11" s="5">
        <v>5524.9167794800851</v>
      </c>
      <c r="K11" s="31"/>
      <c r="L11" s="23" t="e" cm="1">
        <f t="array" aca="1" ref="L11" ca="1">INDIRECT("'[SA_results" &amp; $C11 &amp; ".xlsx]Best_Objective'!$A$2")</f>
        <v>#REF!</v>
      </c>
      <c r="M11" s="33" t="e" cm="1">
        <f t="array" aca="1" ref="M11" ca="1">INDIRECT("'[SA_results" &amp; $C11 &amp; ".xlsx]Running_Time'!$A$2")</f>
        <v>#REF!</v>
      </c>
      <c r="N11" s="5" t="e">
        <f t="shared" ca="1" si="0"/>
        <v>#REF!</v>
      </c>
      <c r="O11" s="23" t="e" cm="1">
        <f t="array" aca="1" ref="O11" ca="1">INDIRECT("'[SA_results" &amp; $C11 &amp; ".xlsx]Acceptance_Rate'!$A$2")</f>
        <v>#REF!</v>
      </c>
      <c r="P11" s="33" t="e" cm="1">
        <f t="array" aca="1" ref="P11" ca="1">SUM(INDIRECT("'[SA_results" &amp; $C11 &amp; ".xlsx]Best_Job_Tardiness'!$B:$B"))/($D$2-INDIRECT("'[SA_results" &amp; $C11 &amp; ".xlsx]Total_Rejected_Jobs'!$A$2"))</f>
        <v>#REF!</v>
      </c>
      <c r="Q11" s="23" t="str">
        <f t="shared" ca="1" si="4"/>
        <v/>
      </c>
      <c r="R11" s="5" t="e" cm="1">
        <f t="array" aca="1" ref="R11" ca="1">SUM(INDIRECT("'[SA_results" &amp; $C11 &amp; ".xlsx]Best_Job_Completion_Time'!$B:$B"))/($D$2-INDIRECT("'[SA_results" &amp; $C11 &amp; ".xlsx]Total_Rejected_Jobs'!$A$2"))</f>
        <v>#REF!</v>
      </c>
      <c r="S11" s="35"/>
      <c r="T11" s="23" t="e" cm="1">
        <f t="array" aca="1" ref="T11" ca="1">INDIRECT("'[SA_results" &amp; $C11 &amp; ".xlsx]Best_Objective'!$A$2")</f>
        <v>#REF!</v>
      </c>
      <c r="U11" s="33" t="e" cm="1">
        <f t="array" aca="1" ref="U11" ca="1">INDIRECT("'[SA_results" &amp; $C11 &amp; ".xlsx]Running_Time'!$A$2")</f>
        <v>#REF!</v>
      </c>
      <c r="V11" s="5" t="e">
        <f t="shared" ca="1" si="2"/>
        <v>#REF!</v>
      </c>
      <c r="W11" s="23" t="e" cm="1">
        <f t="array" aca="1" ref="W11" ca="1">INDIRECT("'[SA_results" &amp; $C11 &amp; ".xlsx]Acceptance_Rate'!$A$2")</f>
        <v>#REF!</v>
      </c>
      <c r="X11" s="33" t="e" cm="1">
        <f t="array" aca="1" ref="X11" ca="1">SUM(INDIRECT("'[SA_results" &amp; $C11 &amp; ".xlsx]Best_Job_Tardiness'!$B:$B"))/($D$2-INDIRECT("'[SA_results" &amp; $C11 &amp; ".xlsx]Total_Rejected_Jobs'!$A$2"))</f>
        <v>#REF!</v>
      </c>
      <c r="Y11" s="23" t="str">
        <f t="shared" ca="1" si="5"/>
        <v/>
      </c>
      <c r="Z11" s="5" t="e" cm="1">
        <f t="array" aca="1" ref="Z11" ca="1">SUM(INDIRECT("'[SA_results" &amp; $C11 &amp; ".xlsx]Best_Job_Completion_Time'!$B:$B"))/($D$2-INDIRECT("'[SA_results" &amp; $C11 &amp; ".xlsx]Total_Rejected_Jobs'!$A$2"))</f>
        <v>#REF!</v>
      </c>
      <c r="AA11" s="35"/>
    </row>
    <row r="12" spans="2:27" x14ac:dyDescent="0.2">
      <c r="B12" s="4">
        <v>9</v>
      </c>
      <c r="C12" s="4">
        <v>740</v>
      </c>
      <c r="D12" s="23">
        <v>1204846.1049447469</v>
      </c>
      <c r="E12" s="33">
        <v>167.72226484617792</v>
      </c>
      <c r="F12" s="5">
        <v>12</v>
      </c>
      <c r="G12" s="23">
        <v>92.666666666666671</v>
      </c>
      <c r="H12" s="33">
        <v>381.05739905978987</v>
      </c>
      <c r="I12" s="23">
        <v>38.403845039915126</v>
      </c>
      <c r="J12" s="5">
        <v>5454.0471054728532</v>
      </c>
      <c r="K12" s="31"/>
      <c r="L12" s="23" t="e" cm="1">
        <f t="array" aca="1" ref="L12" ca="1">INDIRECT("'[SA_results" &amp; $C12 &amp; ".xlsx]Best_Objective'!$A$2")</f>
        <v>#REF!</v>
      </c>
      <c r="M12" s="33" t="e" cm="1">
        <f t="array" aca="1" ref="M12" ca="1">INDIRECT("'[SA_results" &amp; $C12 &amp; ".xlsx]Running_Time'!$A$2")</f>
        <v>#REF!</v>
      </c>
      <c r="N12" s="5" t="e">
        <f t="shared" ca="1" si="0"/>
        <v>#REF!</v>
      </c>
      <c r="O12" s="23" t="e" cm="1">
        <f t="array" aca="1" ref="O12" ca="1">INDIRECT("'[SA_results" &amp; $C12 &amp; ".xlsx]Acceptance_Rate'!$A$2")</f>
        <v>#REF!</v>
      </c>
      <c r="P12" s="33" t="e" cm="1">
        <f t="array" aca="1" ref="P12" ca="1">SUM(INDIRECT("'[SA_results" &amp; $C12 &amp; ".xlsx]Best_Job_Tardiness'!$B:$B"))/($D$2-INDIRECT("'[SA_results" &amp; $C12 &amp; ".xlsx]Total_Rejected_Jobs'!$A$2"))</f>
        <v>#REF!</v>
      </c>
      <c r="Q12" s="23" t="str">
        <f t="shared" ca="1" si="4"/>
        <v/>
      </c>
      <c r="R12" s="5" t="e" cm="1">
        <f t="array" aca="1" ref="R12" ca="1">SUM(INDIRECT("'[SA_results" &amp; $C12 &amp; ".xlsx]Best_Job_Completion_Time'!$B:$B"))/($D$2-INDIRECT("'[SA_results" &amp; $C12 &amp; ".xlsx]Total_Rejected_Jobs'!$A$2"))</f>
        <v>#REF!</v>
      </c>
      <c r="S12" s="35"/>
      <c r="T12" s="23" t="e" cm="1">
        <f t="array" aca="1" ref="T12" ca="1">INDIRECT("'[SA_results" &amp; $C12 &amp; ".xlsx]Best_Objective'!$A$2")</f>
        <v>#REF!</v>
      </c>
      <c r="U12" s="33" t="e" cm="1">
        <f t="array" aca="1" ref="U12" ca="1">INDIRECT("'[SA_results" &amp; $C12 &amp; ".xlsx]Running_Time'!$A$2")</f>
        <v>#REF!</v>
      </c>
      <c r="V12" s="5" t="e">
        <f t="shared" ca="1" si="2"/>
        <v>#REF!</v>
      </c>
      <c r="W12" s="23" t="e" cm="1">
        <f t="array" aca="1" ref="W12" ca="1">INDIRECT("'[SA_results" &amp; $C12 &amp; ".xlsx]Acceptance_Rate'!$A$2")</f>
        <v>#REF!</v>
      </c>
      <c r="X12" s="33" t="e" cm="1">
        <f t="array" aca="1" ref="X12" ca="1">SUM(INDIRECT("'[SA_results" &amp; $C12 &amp; ".xlsx]Best_Job_Tardiness'!$B:$B"))/($D$2-INDIRECT("'[SA_results" &amp; $C12 &amp; ".xlsx]Total_Rejected_Jobs'!$A$2"))</f>
        <v>#REF!</v>
      </c>
      <c r="Y12" s="23" t="str">
        <f t="shared" ca="1" si="5"/>
        <v/>
      </c>
      <c r="Z12" s="5" t="e" cm="1">
        <f t="array" aca="1" ref="Z12" ca="1">SUM(INDIRECT("'[SA_results" &amp; $C12 &amp; ".xlsx]Best_Job_Completion_Time'!$B:$B"))/($D$2-INDIRECT("'[SA_results" &amp; $C12 &amp; ".xlsx]Total_Rejected_Jobs'!$A$2"))</f>
        <v>#REF!</v>
      </c>
      <c r="AA12" s="35"/>
    </row>
    <row r="13" spans="2:27" x14ac:dyDescent="0.2">
      <c r="B13" s="4">
        <v>10</v>
      </c>
      <c r="C13" s="4">
        <v>867</v>
      </c>
      <c r="D13" s="23">
        <v>1248605.2160460739</v>
      </c>
      <c r="E13" s="33">
        <v>144.23978576920209</v>
      </c>
      <c r="F13" s="5">
        <v>13</v>
      </c>
      <c r="G13" s="23">
        <v>92.666666666666671</v>
      </c>
      <c r="H13" s="33">
        <v>480.96239642334535</v>
      </c>
      <c r="I13" s="23">
        <v>35.62313838826659</v>
      </c>
      <c r="J13" s="5">
        <v>5544.2671744864574</v>
      </c>
      <c r="K13" s="31"/>
      <c r="L13" s="23" t="e" cm="1">
        <f t="array" aca="1" ref="L13" ca="1">INDIRECT("'[SA_results" &amp; $C13 &amp; ".xlsx]Best_Objective'!$A$2")</f>
        <v>#REF!</v>
      </c>
      <c r="M13" s="33" t="e" cm="1">
        <f t="array" aca="1" ref="M13" ca="1">INDIRECT("'[SA_results" &amp; $C13 &amp; ".xlsx]Running_Time'!$A$2")</f>
        <v>#REF!</v>
      </c>
      <c r="N13" s="5" t="e">
        <f t="shared" ca="1" si="0"/>
        <v>#REF!</v>
      </c>
      <c r="O13" s="23" t="e" cm="1">
        <f t="array" aca="1" ref="O13" ca="1">INDIRECT("'[SA_results" &amp; $C13 &amp; ".xlsx]Acceptance_Rate'!$A$2")</f>
        <v>#REF!</v>
      </c>
      <c r="P13" s="33" t="e" cm="1">
        <f t="array" aca="1" ref="P13" ca="1">SUM(INDIRECT("'[SA_results" &amp; $C13 &amp; ".xlsx]Best_Job_Tardiness'!$B:$B"))/($D$2-INDIRECT("'[SA_results" &amp; $C13 &amp; ".xlsx]Total_Rejected_Jobs'!$A$2"))</f>
        <v>#REF!</v>
      </c>
      <c r="Q13" s="23" t="str">
        <f t="shared" ca="1" si="4"/>
        <v/>
      </c>
      <c r="R13" s="5" t="e" cm="1">
        <f t="array" aca="1" ref="R13" ca="1">SUM(INDIRECT("'[SA_results" &amp; $C13 &amp; ".xlsx]Best_Job_Completion_Time'!$B:$B"))/($D$2-INDIRECT("'[SA_results" &amp; $C13 &amp; ".xlsx]Total_Rejected_Jobs'!$A$2"))</f>
        <v>#REF!</v>
      </c>
      <c r="S13" s="35"/>
      <c r="T13" s="23" t="e" cm="1">
        <f t="array" aca="1" ref="T13" ca="1">INDIRECT("'[SA_results" &amp; $C13 &amp; ".xlsx]Best_Objective'!$A$2")</f>
        <v>#REF!</v>
      </c>
      <c r="U13" s="33" t="e" cm="1">
        <f t="array" aca="1" ref="U13" ca="1">INDIRECT("'[SA_results" &amp; $C13 &amp; ".xlsx]Running_Time'!$A$2")</f>
        <v>#REF!</v>
      </c>
      <c r="V13" s="5" t="e">
        <f t="shared" ca="1" si="2"/>
        <v>#REF!</v>
      </c>
      <c r="W13" s="23" t="e" cm="1">
        <f t="array" aca="1" ref="W13" ca="1">INDIRECT("'[SA_results" &amp; $C13 &amp; ".xlsx]Acceptance_Rate'!$A$2")</f>
        <v>#REF!</v>
      </c>
      <c r="X13" s="33" t="e" cm="1">
        <f t="array" aca="1" ref="X13" ca="1">SUM(INDIRECT("'[SA_results" &amp; $C13 &amp; ".xlsx]Best_Job_Tardiness'!$B:$B"))/($D$2-INDIRECT("'[SA_results" &amp; $C13 &amp; ".xlsx]Total_Rejected_Jobs'!$A$2"))</f>
        <v>#REF!</v>
      </c>
      <c r="Y13" s="23" t="str">
        <f t="shared" ca="1" si="5"/>
        <v/>
      </c>
      <c r="Z13" s="5" t="e" cm="1">
        <f t="array" aca="1" ref="Z13" ca="1">SUM(INDIRECT("'[SA_results" &amp; $C13 &amp; ".xlsx]Best_Job_Completion_Time'!$B:$B"))/($D$2-INDIRECT("'[SA_results" &amp; $C13 &amp; ".xlsx]Total_Rejected_Jobs'!$A$2"))</f>
        <v>#REF!</v>
      </c>
      <c r="AA13" s="35"/>
    </row>
    <row r="14" spans="2:27" x14ac:dyDescent="0.2">
      <c r="B14" s="49" t="s">
        <v>3</v>
      </c>
      <c r="C14" s="50"/>
      <c r="D14" s="9">
        <f>MIN(D4:D13)</f>
        <v>1204846.1049447469</v>
      </c>
      <c r="E14" s="22">
        <f>INDEX(E4:E13, MATCH($D$14, D4:D13, 0))</f>
        <v>167.72226484617792</v>
      </c>
      <c r="F14" s="9">
        <f>INDEX(F4:F13, MATCH($D$14, D4:D13, 0))</f>
        <v>12</v>
      </c>
      <c r="G14" s="9">
        <f>INDEX(G4:G13, MATCH($D$14, D4:D13, 0))</f>
        <v>92.666666666666671</v>
      </c>
      <c r="H14" s="22">
        <f>INDEX(H4:H13, MATCH($D$14, D4:D13, 0))</f>
        <v>381.05739905978987</v>
      </c>
      <c r="I14" s="22">
        <f>INDEX(I4:I13, MATCH($D$14, D4:D13, 0))</f>
        <v>38.403845039915126</v>
      </c>
      <c r="J14" s="22">
        <f>INDEX(J4:J13, MATCH($D$14, D4:D13, 0))</f>
        <v>5454.0471054728532</v>
      </c>
      <c r="K14" s="32" t="e">
        <f>(D14-$D$15)/$D$15</f>
        <v>#DIV/0!</v>
      </c>
      <c r="L14" s="16" t="e">
        <f ca="1">MIN(L4:L13)</f>
        <v>#REF!</v>
      </c>
      <c r="M14" s="21" t="e">
        <f ca="1">INDEX(M4:M13, MATCH($L$14, L4:L13, 0))</f>
        <v>#REF!</v>
      </c>
      <c r="N14" s="16" t="e">
        <f ca="1">INDEX(N4:N13, MATCH($L$14, L4:L13, 0))</f>
        <v>#REF!</v>
      </c>
      <c r="O14" s="16" t="e">
        <f ca="1">INDEX(O4:O13, MATCH($L$14, L4:L13, 0))</f>
        <v>#REF!</v>
      </c>
      <c r="P14" s="21" t="e">
        <f ca="1">INDEX(P4:P13, MATCH($L$14, L4:L13, 0))</f>
        <v>#REF!</v>
      </c>
      <c r="Q14" s="21" t="e">
        <f ca="1">INDEX(Q4:Q13, MATCH($L$14, L4:L13, 0))</f>
        <v>#REF!</v>
      </c>
      <c r="R14" s="21" t="e">
        <f ca="1">INDEX(R4:R13, MATCH($L$14, L4:L13, 0))</f>
        <v>#REF!</v>
      </c>
      <c r="S14" s="36" t="e">
        <f ca="1">(L14-$D$15)/$D$15</f>
        <v>#REF!</v>
      </c>
      <c r="T14" s="38" t="e">
        <f ca="1">MIN(T4:T13)</f>
        <v>#REF!</v>
      </c>
      <c r="U14" s="39" t="e">
        <f ca="1">INDEX(U4:U13, MATCH($T$14, T4:T13, 0))</f>
        <v>#REF!</v>
      </c>
      <c r="V14" s="38" t="e">
        <f ca="1">INDEX(V4:V13, MATCH($T$14, T4:T13, 0))</f>
        <v>#REF!</v>
      </c>
      <c r="W14" s="38" t="e">
        <f ca="1">INDEX(W4:W13, MATCH($T$14, T4:T13, 0))</f>
        <v>#REF!</v>
      </c>
      <c r="X14" s="39" t="e">
        <f ca="1">INDEX(X4:X13, MATCH($T$14, T4:T13, 0))</f>
        <v>#REF!</v>
      </c>
      <c r="Y14" s="39" t="e">
        <f ca="1">INDEX(Y4:Y13, MATCH($T$14, T4:T13, 0))</f>
        <v>#REF!</v>
      </c>
      <c r="Z14" s="39" t="e">
        <f ca="1">INDEX(Z4:Z13, MATCH($T$14, T4:T13, 0))</f>
        <v>#REF!</v>
      </c>
      <c r="AA14" s="40" t="e">
        <f ca="1">(T14-$D$15)/$D$15</f>
        <v>#REF!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 t="e">
        <f ca="1">(L14-D14)/D14</f>
        <v>#REF!</v>
      </c>
      <c r="M15" s="41" t="e">
        <f t="shared" ref="M15:R15" ca="1" si="6">(M14-E14)/E14</f>
        <v>#REF!</v>
      </c>
      <c r="N15" s="41" t="e">
        <f t="shared" ca="1" si="6"/>
        <v>#REF!</v>
      </c>
      <c r="O15" s="41" t="e">
        <f t="shared" ca="1" si="6"/>
        <v>#REF!</v>
      </c>
      <c r="P15" s="41" t="e">
        <f t="shared" ca="1" si="6"/>
        <v>#REF!</v>
      </c>
      <c r="Q15" s="41" t="e">
        <f t="shared" ca="1" si="6"/>
        <v>#REF!</v>
      </c>
      <c r="R15" s="41" t="e">
        <f t="shared" ca="1" si="6"/>
        <v>#REF!</v>
      </c>
      <c r="T15" s="41" t="e">
        <f ca="1">(T14-D14)/D14</f>
        <v>#REF!</v>
      </c>
      <c r="U15" s="41" t="e">
        <f t="shared" ref="U15:Z15" ca="1" si="7">(U14-E14)/E14</f>
        <v>#REF!</v>
      </c>
      <c r="V15" s="41" t="e">
        <f t="shared" ca="1" si="7"/>
        <v>#REF!</v>
      </c>
      <c r="W15" s="41" t="e">
        <f t="shared" ca="1" si="7"/>
        <v>#REF!</v>
      </c>
      <c r="X15" s="41" t="e">
        <f t="shared" ca="1" si="7"/>
        <v>#REF!</v>
      </c>
      <c r="Y15" s="41" t="e">
        <f t="shared" ca="1" si="7"/>
        <v>#REF!</v>
      </c>
      <c r="Z15" s="41" t="e">
        <f t="shared" ca="1" si="7"/>
        <v>#REF!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:C19 C3 C39:C1048576">
    <cfRule type="duplicateValues" dxfId="57" priority="11"/>
    <cfRule type="duplicateValues" dxfId="56" priority="12"/>
  </conditionalFormatting>
  <conditionalFormatting sqref="C2">
    <cfRule type="duplicateValues" dxfId="55" priority="3"/>
    <cfRule type="duplicateValues" dxfId="54" priority="4"/>
  </conditionalFormatting>
  <conditionalFormatting sqref="C4:C13">
    <cfRule type="duplicateValues" dxfId="53" priority="5"/>
    <cfRule type="duplicateValues" dxfId="52" priority="6"/>
  </conditionalFormatting>
  <conditionalFormatting sqref="C14">
    <cfRule type="duplicateValues" dxfId="51" priority="9"/>
    <cfRule type="duplicateValues" dxfId="50" priority="10"/>
  </conditionalFormatting>
  <conditionalFormatting sqref="C15">
    <cfRule type="duplicateValues" dxfId="49" priority="7"/>
    <cfRule type="duplicateValues" dxfId="48" priority="8"/>
  </conditionalFormatting>
  <conditionalFormatting sqref="C20:C38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.5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9" t="s">
        <v>3</v>
      </c>
      <c r="C14" s="50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66406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66406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9" t="s">
        <v>3</v>
      </c>
      <c r="C14" s="50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7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9" t="s">
        <v>3</v>
      </c>
      <c r="C14" s="50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9" t="s">
        <v>3</v>
      </c>
      <c r="C14" s="50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9" t="s">
        <v>3</v>
      </c>
      <c r="C14" s="50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9" t="s">
        <v>3</v>
      </c>
      <c r="C14" s="50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9" t="s">
        <v>3</v>
      </c>
      <c r="C14" s="50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</conditionalFormatting>
  <conditionalFormatting sqref="L14">
    <cfRule type="duplicateValues" dxfId="37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9" t="s">
        <v>3</v>
      </c>
      <c r="C14" s="50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6" priority="1"/>
    <cfRule type="duplicateValues" dxfId="35" priority="2"/>
  </conditionalFormatting>
  <conditionalFormatting sqref="L14">
    <cfRule type="duplicateValues" dxfId="34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9" t="s">
        <v>3</v>
      </c>
      <c r="C14" s="50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9" t="s">
        <v>3</v>
      </c>
      <c r="C14" s="50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9" t="s">
        <v>3</v>
      </c>
      <c r="C14" s="50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9" t="s">
        <v>3</v>
      </c>
      <c r="C14" s="50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9" t="s">
        <v>3</v>
      </c>
      <c r="C14" s="50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9" t="s">
        <v>3</v>
      </c>
      <c r="C14" s="50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9" t="s">
        <v>3</v>
      </c>
      <c r="C14" s="50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9" t="s">
        <v>3</v>
      </c>
      <c r="C14" s="50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9" t="s">
        <v>3</v>
      </c>
      <c r="C14" s="50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7" priority="1"/>
  </conditionalFormatting>
  <conditionalFormatting sqref="L14">
    <cfRule type="duplicateValues" dxfId="16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results45</vt:lpstr>
      <vt:lpstr>results229</vt:lpstr>
      <vt:lpstr>results268</vt:lpstr>
      <vt:lpstr>results346</vt:lpstr>
      <vt:lpstr>results418</vt:lpstr>
      <vt:lpstr>results464</vt:lpstr>
      <vt:lpstr>results658</vt:lpstr>
      <vt:lpstr>results720</vt:lpstr>
      <vt:lpstr>results846</vt:lpstr>
      <vt:lpstr>results910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2026-10-22T04:12:17Z</dcterms:modified>
</cp:coreProperties>
</file>