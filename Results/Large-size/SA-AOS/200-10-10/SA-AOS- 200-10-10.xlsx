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200-10-10/"/>
    </mc:Choice>
  </mc:AlternateContent>
  <xr:revisionPtr revIDLastSave="0" documentId="13_ncr:1_{DD7A99C5-9138-ED4A-BC8C-60BCF0E82128}" xr6:coauthVersionLast="47" xr6:coauthVersionMax="47" xr10:uidLastSave="{00000000-0000-0000-0000-000000000000}"/>
  <bookViews>
    <workbookView xWindow="0" yWindow="740" windowWidth="34560" windowHeight="21600" tabRatio="668" activeTab="1" xr2:uid="{41E620E7-D6DF-9342-B452-EA60AB3B07C5}"/>
  </bookViews>
  <sheets>
    <sheet name="Summary" sheetId="67" r:id="rId1"/>
    <sheet name="results98" sheetId="57" r:id="rId2"/>
    <sheet name="results199" sheetId="58" r:id="rId3"/>
    <sheet name="results364" sheetId="59" r:id="rId4"/>
    <sheet name="results515" sheetId="60" r:id="rId5"/>
    <sheet name="results526" sheetId="61" r:id="rId6"/>
    <sheet name="results582" sheetId="65" r:id="rId7"/>
    <sheet name="results600" sheetId="66" r:id="rId8"/>
    <sheet name="results664" sheetId="62" r:id="rId9"/>
    <sheet name="results890" sheetId="63" r:id="rId10"/>
    <sheet name="results989" sheetId="6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N10" i="67" a="1"/>
  <c r="W11" i="67" a="1"/>
  <c r="P8" i="67" a="1"/>
  <c r="K7" i="67" a="1"/>
  <c r="X9" i="67" a="1"/>
  <c r="W12" i="67" a="1"/>
  <c r="X10" i="67" a="1"/>
  <c r="Q8" i="67" a="1"/>
  <c r="M8" i="67" a="1"/>
  <c r="K3" i="67" a="1"/>
  <c r="P6" i="67" a="1"/>
  <c r="W9" i="67" a="1"/>
  <c r="Y5" i="67" a="1"/>
  <c r="N7" i="67" a="1"/>
  <c r="K9" i="67" a="1"/>
  <c r="X11" i="67" a="1"/>
  <c r="O6" i="67" a="1"/>
  <c r="Y9" i="67" a="1"/>
  <c r="M9" i="67" a="1"/>
  <c r="U8" i="67" a="1"/>
  <c r="V4" i="67" a="1"/>
  <c r="O8" i="67" a="1"/>
  <c r="Q5" i="67" a="1"/>
  <c r="Y4" i="67" a="1"/>
  <c r="S9" i="67" a="1"/>
  <c r="W6" i="67" a="1"/>
  <c r="O5" i="67" a="1"/>
  <c r="W5" i="67" a="1"/>
  <c r="Y7" i="67" a="1"/>
  <c r="N3" i="67" a="1"/>
  <c r="M5" i="67" a="1"/>
  <c r="P7" i="67" a="1"/>
  <c r="S5" i="67" a="1"/>
  <c r="O3" i="67" a="1"/>
  <c r="Y12" i="67" a="1"/>
  <c r="N9" i="67" a="1"/>
  <c r="Y11" i="67" a="1"/>
  <c r="N6" i="67" a="1"/>
  <c r="P4" i="67" a="1"/>
  <c r="N5" i="67" a="1"/>
  <c r="X3" i="67" a="1"/>
  <c r="K10" i="67" a="1"/>
  <c r="X12" i="67" a="1"/>
  <c r="W8" i="67" a="1"/>
  <c r="O7" i="67" a="1"/>
  <c r="X4" i="67" a="1"/>
  <c r="S6" i="67" a="1"/>
  <c r="X5" i="67" a="1"/>
  <c r="O10" i="67" a="1"/>
  <c r="K4" i="67" a="1"/>
  <c r="M3" i="67" a="1"/>
  <c r="M7" i="67" a="1"/>
  <c r="U4" i="67" a="1"/>
  <c r="O4" i="67" a="1"/>
  <c r="W10" i="67" a="1"/>
  <c r="Y8" i="67" a="1"/>
  <c r="P5" i="67" a="1"/>
  <c r="S11" i="67" a="1"/>
  <c r="V6" i="67" a="1"/>
  <c r="P10" i="67" a="1"/>
  <c r="M4" i="67" a="1"/>
  <c r="W3" i="67" a="1"/>
  <c r="S12" i="67" a="1"/>
  <c r="N4" i="67" a="1"/>
  <c r="U6" i="67" a="1"/>
  <c r="Q9" i="67" a="1"/>
  <c r="Q10" i="67" a="1"/>
  <c r="V11" i="67" a="1"/>
  <c r="S8" i="67" a="1"/>
  <c r="W4" i="67" a="1"/>
  <c r="U9" i="67" a="1"/>
  <c r="P3" i="67" a="1"/>
  <c r="U5" i="67" a="1"/>
  <c r="Q7" i="67" a="1"/>
  <c r="U12" i="67" a="1"/>
  <c r="N8" i="67" a="1"/>
  <c r="X7" i="67" a="1"/>
  <c r="V9" i="67" a="1"/>
  <c r="U3" i="67" a="1"/>
  <c r="Q3" i="67" a="1"/>
  <c r="U10" i="67" a="1"/>
  <c r="Y3" i="67" a="1"/>
  <c r="V7" i="67" a="1"/>
  <c r="X6" i="67" a="1"/>
  <c r="K6" i="67" a="1"/>
  <c r="S7" i="67" a="1"/>
  <c r="U7" i="67" a="1"/>
  <c r="W7" i="67" a="1"/>
  <c r="X8" i="67" a="1"/>
  <c r="V10" i="67" a="1"/>
  <c r="M6" i="67" a="1"/>
  <c r="V12" i="67" a="1"/>
  <c r="Q6" i="67" a="1"/>
  <c r="S10" i="67" a="1"/>
  <c r="V3" i="67" a="1"/>
  <c r="M10" i="67" a="1"/>
  <c r="P9" i="67" a="1"/>
  <c r="K8" i="67" a="1"/>
  <c r="U11" i="67" a="1"/>
  <c r="K5" i="67" a="1"/>
  <c r="S3" i="67" a="1"/>
  <c r="S4" i="67" a="1"/>
  <c r="Y10" i="67" a="1"/>
  <c r="O9" i="67" a="1"/>
  <c r="Y6" i="67" a="1"/>
  <c r="V5" i="67" a="1"/>
  <c r="Q4" i="67" a="1"/>
  <c r="V8" i="67" a="1"/>
  <c r="S12" i="67" l="1"/>
  <c r="M7" i="67"/>
  <c r="W9" i="67"/>
  <c r="S4" i="67"/>
  <c r="K7" i="67"/>
  <c r="P5" i="67"/>
  <c r="N5" i="67"/>
  <c r="N8" i="67"/>
  <c r="V8" i="67"/>
  <c r="Q3" i="67"/>
  <c r="X9" i="67"/>
  <c r="X12" i="67"/>
  <c r="W8" i="67"/>
  <c r="Q7" i="67"/>
  <c r="W4" i="67"/>
  <c r="P4" i="67"/>
  <c r="M5" i="67"/>
  <c r="N7" i="67"/>
  <c r="V9" i="67"/>
  <c r="S3" i="67"/>
  <c r="Q5" i="67"/>
  <c r="V7" i="67"/>
  <c r="K3" i="67"/>
  <c r="Y7" i="67"/>
  <c r="Y8" i="67"/>
  <c r="K10" i="67"/>
  <c r="U7" i="67"/>
  <c r="S6" i="67"/>
  <c r="M3" i="67"/>
  <c r="W10" i="67"/>
  <c r="U10" i="67"/>
  <c r="P8" i="67"/>
  <c r="M4" i="67"/>
  <c r="Y6" i="67"/>
  <c r="M8" i="67"/>
  <c r="W11" i="67"/>
  <c r="P6" i="67"/>
  <c r="O7" i="67"/>
  <c r="U4" i="67"/>
  <c r="M9" i="67"/>
  <c r="U11" i="67"/>
  <c r="X3" i="67"/>
  <c r="P10" i="67"/>
  <c r="V11" i="67"/>
  <c r="O9" i="67"/>
  <c r="O3" i="67"/>
  <c r="N9" i="67"/>
  <c r="X5" i="67"/>
  <c r="V10" i="67"/>
  <c r="Q4" i="67"/>
  <c r="U8" i="67"/>
  <c r="V3" i="67"/>
  <c r="S10" i="67"/>
  <c r="K5" i="67"/>
  <c r="N6" i="67"/>
  <c r="S8" i="67"/>
  <c r="W5" i="67"/>
  <c r="N3" i="67"/>
  <c r="U12" i="67"/>
  <c r="U3" i="67"/>
  <c r="N10" i="67"/>
  <c r="M6" i="67"/>
  <c r="S11" i="67"/>
  <c r="Y4" i="67"/>
  <c r="O8" i="67"/>
  <c r="K6" i="67"/>
  <c r="Y9" i="67"/>
  <c r="M10" i="67"/>
  <c r="X10" i="67"/>
  <c r="Q9" i="67"/>
  <c r="O6" i="67"/>
  <c r="P9" i="67"/>
  <c r="X8" i="67"/>
  <c r="Y11" i="67"/>
  <c r="Y12" i="67"/>
  <c r="P3" i="67"/>
  <c r="Q10" i="67"/>
  <c r="U6" i="67"/>
  <c r="Y10" i="67"/>
  <c r="X4" i="67"/>
  <c r="Y5" i="67"/>
  <c r="W7" i="67"/>
  <c r="V6" i="67"/>
  <c r="S5" i="67"/>
  <c r="X11" i="67"/>
  <c r="W3" i="67"/>
  <c r="V4" i="67"/>
  <c r="Y3" i="67"/>
  <c r="K9" i="67"/>
  <c r="S9" i="67"/>
  <c r="W6" i="67"/>
  <c r="K4" i="67"/>
  <c r="U5" i="67"/>
  <c r="V12" i="67"/>
  <c r="S7" i="67"/>
  <c r="O10" i="67"/>
  <c r="K8" i="67"/>
  <c r="O5" i="67"/>
  <c r="O4" i="67"/>
  <c r="Q6" i="67"/>
  <c r="W12" i="67"/>
  <c r="N4" i="67"/>
  <c r="U9" i="67"/>
  <c r="X7" i="67"/>
  <c r="X6" i="67"/>
  <c r="P7" i="67"/>
  <c r="V5" i="67"/>
  <c r="Q8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6" i="67" l="1"/>
  <c r="U13" i="67"/>
  <c r="X13" i="67"/>
  <c r="S13" i="67"/>
  <c r="Z13" i="67" s="1"/>
  <c r="Y13" i="67"/>
  <c r="V13" i="67"/>
  <c r="W13" i="67"/>
  <c r="K6" i="64"/>
  <c r="K7" i="64"/>
  <c r="K10" i="64"/>
  <c r="K13" i="64"/>
  <c r="K9" i="64"/>
  <c r="K5" i="64"/>
  <c r="K12" i="64"/>
  <c r="K11" i="64"/>
  <c r="K8" i="64"/>
  <c r="T14" i="57"/>
  <c r="AA14" i="57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D14" i="64" l="1"/>
  <c r="L15" i="64" s="1"/>
  <c r="D14" i="65"/>
  <c r="D14" i="66"/>
  <c r="L15" i="66" s="1"/>
  <c r="D14" i="61"/>
  <c r="D14" i="59"/>
  <c r="D14" i="57"/>
  <c r="I14" i="57" s="1"/>
  <c r="L14" i="64"/>
  <c r="O14" i="64" s="1"/>
  <c r="L14" i="63"/>
  <c r="T15" i="64"/>
  <c r="T15" i="65"/>
  <c r="T15" i="61"/>
  <c r="T15" i="59"/>
  <c r="L14" i="66"/>
  <c r="N14" i="66" s="1"/>
  <c r="L14" i="65"/>
  <c r="L14" i="61"/>
  <c r="S14" i="61" s="1"/>
  <c r="L14" i="60"/>
  <c r="L14" i="59"/>
  <c r="L14" i="58"/>
  <c r="Q14" i="58" s="1"/>
  <c r="L14" i="57"/>
  <c r="P14" i="57" s="1"/>
  <c r="L14" i="62"/>
  <c r="S14" i="64"/>
  <c r="N14" i="63"/>
  <c r="O14" i="62"/>
  <c r="Q14" i="65"/>
  <c r="L15" i="65"/>
  <c r="S14" i="60"/>
  <c r="M14" i="59"/>
  <c r="L15" i="59"/>
  <c r="T14" i="66"/>
  <c r="X14" i="66" s="1"/>
  <c r="T14" i="64"/>
  <c r="AA14" i="64" s="1"/>
  <c r="T14" i="63"/>
  <c r="AA14" i="63" s="1"/>
  <c r="T14" i="62"/>
  <c r="Y14" i="62" s="1"/>
  <c r="T14" i="65"/>
  <c r="AA14" i="65" s="1"/>
  <c r="T14" i="61"/>
  <c r="U14" i="61" s="1"/>
  <c r="T14" i="60"/>
  <c r="AA14" i="60" s="1"/>
  <c r="T14" i="59"/>
  <c r="AA14" i="59" s="1"/>
  <c r="D14" i="60"/>
  <c r="O14" i="63"/>
  <c r="P14" i="63"/>
  <c r="Q14" i="63"/>
  <c r="S14" i="63"/>
  <c r="R14" i="63"/>
  <c r="M14" i="63"/>
  <c r="D14" i="63"/>
  <c r="O14" i="59"/>
  <c r="N14" i="59"/>
  <c r="Q14" i="59"/>
  <c r="M14" i="65"/>
  <c r="R14" i="59"/>
  <c r="R14" i="65"/>
  <c r="K4" i="64"/>
  <c r="S14" i="65"/>
  <c r="D14" i="62"/>
  <c r="P14" i="59"/>
  <c r="P14" i="62"/>
  <c r="T14" i="58"/>
  <c r="S14" i="62"/>
  <c r="N14" i="65"/>
  <c r="P14" i="65"/>
  <c r="O14" i="65"/>
  <c r="N14" i="60"/>
  <c r="D14" i="58"/>
  <c r="Q14" i="60"/>
  <c r="S14" i="59"/>
  <c r="N14" i="62"/>
  <c r="R14" i="62"/>
  <c r="M14" i="62"/>
  <c r="Q14" i="62"/>
  <c r="M14" i="60"/>
  <c r="O14" i="60"/>
  <c r="P14" i="60"/>
  <c r="R14" i="60"/>
  <c r="U14" i="57"/>
  <c r="X14" i="57"/>
  <c r="W14" i="57"/>
  <c r="Y14" i="57"/>
  <c r="Z14" i="57"/>
  <c r="V14" i="57"/>
  <c r="G14" i="65"/>
  <c r="F14" i="65"/>
  <c r="E14" i="65"/>
  <c r="H14" i="65"/>
  <c r="K14" i="65"/>
  <c r="J14" i="65"/>
  <c r="I14" i="65"/>
  <c r="G14" i="61"/>
  <c r="F14" i="61"/>
  <c r="E14" i="61"/>
  <c r="J14" i="61"/>
  <c r="I14" i="61"/>
  <c r="H14" i="61"/>
  <c r="K14" i="61"/>
  <c r="G14" i="64"/>
  <c r="F14" i="64"/>
  <c r="E14" i="64"/>
  <c r="H14" i="64"/>
  <c r="K14" i="64"/>
  <c r="J14" i="64"/>
  <c r="I14" i="64"/>
  <c r="G14" i="59"/>
  <c r="F14" i="59"/>
  <c r="E14" i="59"/>
  <c r="H14" i="59"/>
  <c r="J14" i="59"/>
  <c r="K14" i="59"/>
  <c r="I14" i="59"/>
  <c r="G14" i="26"/>
  <c r="E14" i="26"/>
  <c r="D14" i="26"/>
  <c r="K14" i="26"/>
  <c r="P14" i="25"/>
  <c r="N14" i="25"/>
  <c r="M14" i="25"/>
  <c r="T14" i="25"/>
  <c r="D14" i="25"/>
  <c r="L10" i="67" a="1"/>
  <c r="L8" i="67" a="1"/>
  <c r="T7" i="67" a="1"/>
  <c r="L6" i="67" a="1"/>
  <c r="L5" i="67" a="1"/>
  <c r="T3" i="67" a="1"/>
  <c r="F5" i="67" a="1"/>
  <c r="N12" i="67" a="1"/>
  <c r="H3" i="67" a="1"/>
  <c r="N11" i="67" a="1"/>
  <c r="E7" i="67" a="1"/>
  <c r="F12" i="67" a="1"/>
  <c r="C11" i="67" a="1"/>
  <c r="C4" i="67" a="1"/>
  <c r="H8" i="67" a="1"/>
  <c r="C9" i="67" a="1"/>
  <c r="Q11" i="67" a="1"/>
  <c r="C3" i="67" a="1"/>
  <c r="G7" i="67" a="1"/>
  <c r="F7" i="67" a="1"/>
  <c r="G8" i="67" a="1"/>
  <c r="H7" i="67" a="1"/>
  <c r="H5" i="67" a="1"/>
  <c r="H4" i="23" a="1"/>
  <c r="C12" i="67" a="1"/>
  <c r="D7" i="67" a="1"/>
  <c r="C8" i="67" a="1"/>
  <c r="D12" i="67" a="1"/>
  <c r="C5" i="67" a="1"/>
  <c r="D5" i="67" a="1"/>
  <c r="E12" i="67" a="1"/>
  <c r="P11" i="67" a="1"/>
  <c r="I4" i="23" a="1"/>
  <c r="M11" i="67" a="1"/>
  <c r="L11" i="67" a="1"/>
  <c r="C10" i="67" a="1"/>
  <c r="F8" i="67" a="1"/>
  <c r="E5" i="67" a="1"/>
  <c r="I7" i="67" a="1"/>
  <c r="G12" i="67" a="1"/>
  <c r="C7" i="67" a="1"/>
  <c r="K11" i="67" a="1"/>
  <c r="E8" i="67" a="1"/>
  <c r="H12" i="67" a="1"/>
  <c r="O11" i="67" a="1"/>
  <c r="G5" i="67" a="1"/>
  <c r="I5" i="67" a="1"/>
  <c r="I8" i="67" a="1"/>
  <c r="D8" i="67" a="1"/>
  <c r="C6" i="67" a="1"/>
  <c r="I12" i="67" a="1"/>
  <c r="K12" i="67" a="1"/>
  <c r="L10" i="67" l="1"/>
  <c r="L8" i="67"/>
  <c r="T7" i="67"/>
  <c r="L6" i="67"/>
  <c r="L5" i="67"/>
  <c r="T3" i="67"/>
  <c r="C12" i="67"/>
  <c r="C8" i="67"/>
  <c r="J14" i="66"/>
  <c r="J2" i="66" s="1"/>
  <c r="E14" i="66"/>
  <c r="F14" i="66"/>
  <c r="H14" i="66"/>
  <c r="I14" i="66"/>
  <c r="Y15" i="66" s="1"/>
  <c r="K14" i="66"/>
  <c r="T15" i="66"/>
  <c r="G14" i="66"/>
  <c r="W15" i="66" s="1"/>
  <c r="C9" i="67"/>
  <c r="C7" i="67"/>
  <c r="C5" i="67"/>
  <c r="J14" i="57"/>
  <c r="R2" i="57" s="1"/>
  <c r="F14" i="57"/>
  <c r="V15" i="57" s="1"/>
  <c r="G14" i="57"/>
  <c r="W15" i="57" s="1"/>
  <c r="K14" i="57"/>
  <c r="H14" i="57"/>
  <c r="E14" i="57"/>
  <c r="U15" i="57" s="1"/>
  <c r="T15" i="57"/>
  <c r="C3" i="67"/>
  <c r="Q14" i="64"/>
  <c r="R14" i="64"/>
  <c r="N14" i="64"/>
  <c r="M14" i="64"/>
  <c r="M15" i="64" s="1"/>
  <c r="P14" i="64"/>
  <c r="P2" i="64" s="1"/>
  <c r="K12" i="67"/>
  <c r="K11" i="67"/>
  <c r="G12" i="67"/>
  <c r="E12" i="67"/>
  <c r="F12" i="67"/>
  <c r="H12" i="67"/>
  <c r="I12" i="67"/>
  <c r="N12" i="67"/>
  <c r="D12" i="67"/>
  <c r="X15" i="64"/>
  <c r="V15" i="64"/>
  <c r="W15" i="64"/>
  <c r="Y15" i="64"/>
  <c r="U15" i="64"/>
  <c r="L11" i="67"/>
  <c r="P11" i="67"/>
  <c r="C11" i="67"/>
  <c r="Q11" i="67"/>
  <c r="O11" i="67"/>
  <c r="N11" i="67"/>
  <c r="M11" i="67"/>
  <c r="C10" i="67"/>
  <c r="V15" i="66"/>
  <c r="X15" i="66"/>
  <c r="H8" i="67"/>
  <c r="D8" i="67"/>
  <c r="G8" i="67"/>
  <c r="E8" i="67"/>
  <c r="I8" i="67"/>
  <c r="F8" i="67"/>
  <c r="Y15" i="65"/>
  <c r="X15" i="65"/>
  <c r="V15" i="65"/>
  <c r="Z15" i="65"/>
  <c r="W15" i="65"/>
  <c r="D7" i="67"/>
  <c r="F7" i="67"/>
  <c r="G7" i="67"/>
  <c r="H7" i="67"/>
  <c r="E7" i="67"/>
  <c r="I7" i="67"/>
  <c r="U15" i="61"/>
  <c r="W15" i="61"/>
  <c r="X15" i="61"/>
  <c r="Y15" i="61"/>
  <c r="V15" i="61"/>
  <c r="Z15" i="61"/>
  <c r="C6" i="67"/>
  <c r="H5" i="67"/>
  <c r="I5" i="67"/>
  <c r="G5" i="67"/>
  <c r="D5" i="67"/>
  <c r="F5" i="67"/>
  <c r="E5" i="67"/>
  <c r="Y15" i="59"/>
  <c r="Z15" i="59"/>
  <c r="X15" i="59"/>
  <c r="W15" i="59"/>
  <c r="V15" i="59"/>
  <c r="C4" i="67"/>
  <c r="H3" i="67"/>
  <c r="Y15" i="57"/>
  <c r="S14" i="66"/>
  <c r="O14" i="66"/>
  <c r="M14" i="66"/>
  <c r="Q14" i="66"/>
  <c r="P14" i="66"/>
  <c r="R14" i="66"/>
  <c r="Q14" i="61"/>
  <c r="O14" i="61"/>
  <c r="R14" i="61"/>
  <c r="M14" i="61"/>
  <c r="L15" i="61"/>
  <c r="N14" i="61"/>
  <c r="N15" i="61" s="1"/>
  <c r="P14" i="61"/>
  <c r="P2" i="61" s="1"/>
  <c r="S14" i="58"/>
  <c r="N14" i="58"/>
  <c r="O14" i="58"/>
  <c r="R14" i="58"/>
  <c r="M14" i="58"/>
  <c r="P14" i="58"/>
  <c r="L15" i="57"/>
  <c r="S14" i="57"/>
  <c r="Q14" i="57"/>
  <c r="N14" i="57"/>
  <c r="M14" i="57"/>
  <c r="R14" i="57"/>
  <c r="O14" i="57"/>
  <c r="R15" i="64"/>
  <c r="P15" i="64"/>
  <c r="N15" i="64"/>
  <c r="J2" i="64"/>
  <c r="Z15" i="64"/>
  <c r="O15" i="64"/>
  <c r="Q15" i="64"/>
  <c r="G14" i="63"/>
  <c r="T15" i="63"/>
  <c r="L15" i="63"/>
  <c r="P15" i="66"/>
  <c r="Q15" i="61"/>
  <c r="E14" i="62"/>
  <c r="T15" i="62"/>
  <c r="L15" i="62"/>
  <c r="N15" i="66"/>
  <c r="R15" i="61"/>
  <c r="O15" i="65"/>
  <c r="O15" i="61"/>
  <c r="R15" i="65"/>
  <c r="M15" i="65"/>
  <c r="P15" i="65"/>
  <c r="N15" i="65"/>
  <c r="P15" i="61"/>
  <c r="Q15" i="65"/>
  <c r="O15" i="59"/>
  <c r="G14" i="60"/>
  <c r="T15" i="60"/>
  <c r="L15" i="60"/>
  <c r="P15" i="59"/>
  <c r="R15" i="59"/>
  <c r="Q15" i="59"/>
  <c r="N15" i="59"/>
  <c r="M15" i="59"/>
  <c r="G14" i="58"/>
  <c r="T15" i="58"/>
  <c r="L15" i="58"/>
  <c r="X15" i="57"/>
  <c r="P15" i="57"/>
  <c r="R15" i="57"/>
  <c r="Y14" i="66"/>
  <c r="V14" i="66"/>
  <c r="U14" i="66"/>
  <c r="W14" i="66"/>
  <c r="X2" i="66"/>
  <c r="AA14" i="66"/>
  <c r="Z14" i="66"/>
  <c r="Z14" i="64"/>
  <c r="Z2" i="64" s="1"/>
  <c r="Y14" i="64"/>
  <c r="X14" i="64"/>
  <c r="X2" i="64" s="1"/>
  <c r="U14" i="64"/>
  <c r="W14" i="64"/>
  <c r="V14" i="64"/>
  <c r="Y14" i="63"/>
  <c r="Z14" i="63"/>
  <c r="Z2" i="63" s="1"/>
  <c r="V14" i="63"/>
  <c r="U14" i="63"/>
  <c r="W14" i="63"/>
  <c r="X14" i="63"/>
  <c r="X2" i="63" s="1"/>
  <c r="W14" i="62"/>
  <c r="X14" i="62"/>
  <c r="X2" i="62" s="1"/>
  <c r="AA14" i="62"/>
  <c r="U14" i="62"/>
  <c r="V14" i="62"/>
  <c r="Z14" i="62"/>
  <c r="Z2" i="62" s="1"/>
  <c r="Z14" i="65"/>
  <c r="Z2" i="65" s="1"/>
  <c r="X14" i="65"/>
  <c r="X2" i="65" s="1"/>
  <c r="U14" i="65"/>
  <c r="W14" i="65"/>
  <c r="V14" i="65"/>
  <c r="Y14" i="65"/>
  <c r="V14" i="61"/>
  <c r="AA14" i="61"/>
  <c r="Z14" i="61"/>
  <c r="Z2" i="61" s="1"/>
  <c r="W14" i="61"/>
  <c r="Y14" i="61"/>
  <c r="X14" i="61"/>
  <c r="Z14" i="60"/>
  <c r="Z2" i="60" s="1"/>
  <c r="U14" i="60"/>
  <c r="V14" i="60"/>
  <c r="W14" i="60"/>
  <c r="Y14" i="60"/>
  <c r="X14" i="60"/>
  <c r="X2" i="60" s="1"/>
  <c r="Z14" i="59"/>
  <c r="Z2" i="59" s="1"/>
  <c r="U14" i="59"/>
  <c r="U15" i="59" s="1"/>
  <c r="V14" i="59"/>
  <c r="Z2" i="57"/>
  <c r="Y14" i="59"/>
  <c r="X14" i="59"/>
  <c r="X2" i="59" s="1"/>
  <c r="W14" i="59"/>
  <c r="H14" i="60"/>
  <c r="I14" i="60"/>
  <c r="J14" i="60"/>
  <c r="E14" i="60"/>
  <c r="F14" i="60"/>
  <c r="X2" i="57"/>
  <c r="K14" i="60"/>
  <c r="H2" i="59"/>
  <c r="R2" i="61"/>
  <c r="J14" i="63"/>
  <c r="I14" i="63"/>
  <c r="K14" i="63"/>
  <c r="H14" i="63"/>
  <c r="E14" i="63"/>
  <c r="F14" i="63"/>
  <c r="P2" i="65"/>
  <c r="F14" i="62"/>
  <c r="R2" i="65"/>
  <c r="R2" i="59"/>
  <c r="G14" i="62"/>
  <c r="H2" i="66"/>
  <c r="J14" i="62"/>
  <c r="V14" i="58"/>
  <c r="Z14" i="58"/>
  <c r="W14" i="58"/>
  <c r="U14" i="58"/>
  <c r="X14" i="58"/>
  <c r="AA14" i="58"/>
  <c r="Y14" i="58"/>
  <c r="H14" i="62"/>
  <c r="I14" i="62"/>
  <c r="K14" i="62"/>
  <c r="K14" i="58"/>
  <c r="J14" i="58"/>
  <c r="I14" i="58"/>
  <c r="E14" i="58"/>
  <c r="F14" i="58"/>
  <c r="H14" i="58"/>
  <c r="P2" i="66"/>
  <c r="J2" i="57"/>
  <c r="J2" i="61"/>
  <c r="H2" i="61"/>
  <c r="J2" i="65"/>
  <c r="H2" i="65"/>
  <c r="R2" i="64"/>
  <c r="H2" i="64"/>
  <c r="J2" i="59"/>
  <c r="P2" i="59"/>
  <c r="H4" i="23"/>
  <c r="I4" i="23"/>
  <c r="T12" i="67" a="1"/>
  <c r="T11" i="67" a="1"/>
  <c r="T10" i="67" a="1"/>
  <c r="T9" i="67" a="1"/>
  <c r="L9" i="67" a="1"/>
  <c r="T8" i="67" a="1"/>
  <c r="L7" i="67" a="1"/>
  <c r="T6" i="67" a="1"/>
  <c r="T5" i="67" a="1"/>
  <c r="T4" i="67" a="1"/>
  <c r="L4" i="67" a="1"/>
  <c r="L3" i="67" a="1"/>
  <c r="E4" i="23" a="1"/>
  <c r="I4" i="67" a="1"/>
  <c r="D4" i="67" a="1"/>
  <c r="F7" i="23" a="1"/>
  <c r="I11" i="67" a="1"/>
  <c r="D12" i="23" a="1"/>
  <c r="D7" i="23" a="1"/>
  <c r="D11" i="67" a="1"/>
  <c r="F12" i="23" a="1"/>
  <c r="G8" i="23" a="1"/>
  <c r="I9" i="67" a="1"/>
  <c r="G6" i="67" a="1"/>
  <c r="F9" i="23" a="1"/>
  <c r="H4" i="67" a="1"/>
  <c r="E11" i="67" a="1"/>
  <c r="I3" i="67" a="1"/>
  <c r="F11" i="23" a="1"/>
  <c r="E8" i="23" a="1"/>
  <c r="H10" i="67" a="1"/>
  <c r="E5" i="23" a="1"/>
  <c r="D8" i="23" a="1"/>
  <c r="G9" i="67" a="1"/>
  <c r="G10" i="23" a="1"/>
  <c r="D11" i="23" a="1"/>
  <c r="G12" i="23" a="1"/>
  <c r="H6" i="67" a="1"/>
  <c r="G11" i="23" a="1"/>
  <c r="E3" i="67" a="1"/>
  <c r="O12" i="67" a="1"/>
  <c r="G4" i="67" a="1"/>
  <c r="E12" i="23" a="1"/>
  <c r="D9" i="67" a="1"/>
  <c r="F6" i="67" a="1"/>
  <c r="D10" i="67" a="1"/>
  <c r="F10" i="67" a="1"/>
  <c r="M12" i="67" a="1"/>
  <c r="D3" i="67" a="1"/>
  <c r="G11" i="67" a="1"/>
  <c r="E7" i="23" a="1"/>
  <c r="F3" i="67" a="1"/>
  <c r="G3" i="67" a="1"/>
  <c r="F8" i="23" a="1"/>
  <c r="D13" i="23" a="1"/>
  <c r="E9" i="67" a="1"/>
  <c r="F9" i="67" a="1"/>
  <c r="G13" i="23" a="1"/>
  <c r="F10" i="23" a="1"/>
  <c r="G9" i="23" a="1"/>
  <c r="E9" i="23" a="1"/>
  <c r="F6" i="23" a="1"/>
  <c r="E13" i="23" a="1"/>
  <c r="E10" i="23" a="1"/>
  <c r="F4" i="23" a="1"/>
  <c r="G6" i="23" a="1"/>
  <c r="I6" i="67" a="1"/>
  <c r="Q12" i="67" a="1"/>
  <c r="G7" i="23" a="1"/>
  <c r="E6" i="23" a="1"/>
  <c r="F4" i="67" a="1"/>
  <c r="F11" i="67" a="1"/>
  <c r="H11" i="67" a="1"/>
  <c r="F13" i="23" a="1"/>
  <c r="D6" i="23" a="1"/>
  <c r="D4" i="23" a="1"/>
  <c r="D10" i="23" a="1"/>
  <c r="G4" i="23" a="1"/>
  <c r="D9" i="23" a="1"/>
  <c r="E6" i="67" a="1"/>
  <c r="E11" i="23" a="1"/>
  <c r="D6" i="67" a="1"/>
  <c r="L12" i="67" a="1"/>
  <c r="E4" i="67" a="1"/>
  <c r="P12" i="67" a="1"/>
  <c r="G5" i="23" a="1"/>
  <c r="G10" i="67" a="1"/>
  <c r="F5" i="23" a="1"/>
  <c r="H9" i="67" a="1"/>
  <c r="E10" i="67" a="1"/>
  <c r="D5" i="23" a="1"/>
  <c r="I10" i="67" a="1"/>
  <c r="T12" i="67" l="1"/>
  <c r="T11" i="67"/>
  <c r="T10" i="67"/>
  <c r="T9" i="67"/>
  <c r="L9" i="67"/>
  <c r="M15" i="66"/>
  <c r="U15" i="66"/>
  <c r="T8" i="67"/>
  <c r="U15" i="65"/>
  <c r="L7" i="67"/>
  <c r="M15" i="61"/>
  <c r="T6" i="67"/>
  <c r="T5" i="67"/>
  <c r="T4" i="67"/>
  <c r="L4" i="67"/>
  <c r="L3" i="67"/>
  <c r="C16" i="67"/>
  <c r="K16" i="67"/>
  <c r="F9" i="67"/>
  <c r="I9" i="67"/>
  <c r="H9" i="67"/>
  <c r="G9" i="67"/>
  <c r="E9" i="67"/>
  <c r="D9" i="67"/>
  <c r="Z15" i="66"/>
  <c r="O15" i="66"/>
  <c r="R15" i="66"/>
  <c r="Q15" i="66"/>
  <c r="Z15" i="57"/>
  <c r="C13" i="67"/>
  <c r="J13" i="67" s="1"/>
  <c r="I3" i="67"/>
  <c r="G3" i="67"/>
  <c r="D3" i="67"/>
  <c r="F3" i="67"/>
  <c r="E3" i="67"/>
  <c r="M15" i="57"/>
  <c r="H2" i="57"/>
  <c r="P2" i="57"/>
  <c r="N15" i="57"/>
  <c r="O15" i="57"/>
  <c r="O12" i="67"/>
  <c r="O13" i="67" s="1"/>
  <c r="M12" i="67"/>
  <c r="M13" i="67" s="1"/>
  <c r="Q12" i="67"/>
  <c r="Q13" i="67" s="1"/>
  <c r="L12" i="67"/>
  <c r="P12" i="67"/>
  <c r="P13" i="67" s="1"/>
  <c r="K13" i="67"/>
  <c r="R13" i="67" s="1"/>
  <c r="N13" i="67"/>
  <c r="E11" i="67"/>
  <c r="D11" i="67"/>
  <c r="G11" i="67"/>
  <c r="H11" i="67"/>
  <c r="F11" i="67"/>
  <c r="I11" i="67"/>
  <c r="V15" i="63"/>
  <c r="U15" i="63"/>
  <c r="Y15" i="63"/>
  <c r="W15" i="63"/>
  <c r="I10" i="67"/>
  <c r="E10" i="67"/>
  <c r="D10" i="67"/>
  <c r="G10" i="67"/>
  <c r="F10" i="67"/>
  <c r="H10" i="67"/>
  <c r="R15" i="62"/>
  <c r="V15" i="62"/>
  <c r="U15" i="62"/>
  <c r="P15" i="62"/>
  <c r="W15" i="62"/>
  <c r="Y15" i="62"/>
  <c r="I6" i="67"/>
  <c r="E6" i="67"/>
  <c r="H6" i="67"/>
  <c r="G6" i="67"/>
  <c r="F6" i="67"/>
  <c r="D6" i="67"/>
  <c r="R15" i="60"/>
  <c r="V15" i="60"/>
  <c r="Y15" i="60"/>
  <c r="W15" i="60"/>
  <c r="U15" i="60"/>
  <c r="F4" i="67"/>
  <c r="I4" i="67"/>
  <c r="G4" i="67"/>
  <c r="H4" i="67"/>
  <c r="E4" i="67"/>
  <c r="D4" i="67"/>
  <c r="W15" i="58"/>
  <c r="R15" i="58"/>
  <c r="Y15" i="58"/>
  <c r="V15" i="58"/>
  <c r="U15" i="58"/>
  <c r="R2" i="66"/>
  <c r="Z2" i="66"/>
  <c r="X2" i="61"/>
  <c r="Z2" i="58"/>
  <c r="X2" i="58"/>
  <c r="Q15" i="57"/>
  <c r="M15" i="62"/>
  <c r="P2" i="63"/>
  <c r="X15" i="63"/>
  <c r="P15" i="63"/>
  <c r="J2" i="63"/>
  <c r="Z15" i="63"/>
  <c r="N15" i="63"/>
  <c r="R15" i="63"/>
  <c r="M15" i="63"/>
  <c r="O15" i="63"/>
  <c r="Q15" i="63"/>
  <c r="O15" i="62"/>
  <c r="P2" i="62"/>
  <c r="X15" i="62"/>
  <c r="Q15" i="62"/>
  <c r="Q15" i="60"/>
  <c r="N15" i="62"/>
  <c r="J2" i="62"/>
  <c r="Z15" i="62"/>
  <c r="O15" i="58"/>
  <c r="N15" i="60"/>
  <c r="J2" i="60"/>
  <c r="Z15" i="60"/>
  <c r="M15" i="60"/>
  <c r="O15" i="60"/>
  <c r="P2" i="60"/>
  <c r="X15" i="60"/>
  <c r="P15" i="60"/>
  <c r="R2" i="58"/>
  <c r="Z15" i="58"/>
  <c r="Q15" i="58"/>
  <c r="N15" i="58"/>
  <c r="P2" i="58"/>
  <c r="X15" i="58"/>
  <c r="P15" i="58"/>
  <c r="M15" i="58"/>
  <c r="H2" i="62"/>
  <c r="R2" i="60"/>
  <c r="H2" i="60"/>
  <c r="R2" i="63"/>
  <c r="H2" i="63"/>
  <c r="R2" i="62"/>
  <c r="J2" i="58"/>
  <c r="H2" i="5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L13" i="67" l="1"/>
  <c r="L16" i="67" s="1"/>
  <c r="T13" i="67"/>
  <c r="T16" i="67" s="1"/>
  <c r="H13" i="67"/>
  <c r="X14" i="67" s="1"/>
  <c r="S14" i="67"/>
  <c r="D13" i="67"/>
  <c r="D16" i="67" s="1"/>
  <c r="E13" i="67"/>
  <c r="U14" i="67" s="1"/>
  <c r="F13" i="67"/>
  <c r="V14" i="67" s="1"/>
  <c r="G13" i="67"/>
  <c r="W14" i="67" s="1"/>
  <c r="I13" i="67"/>
  <c r="Y14" i="67" s="1"/>
  <c r="K14" i="67"/>
  <c r="T14" i="67" l="1"/>
  <c r="P14" i="67"/>
  <c r="N14" i="67"/>
  <c r="M14" i="67"/>
  <c r="Q14" i="67"/>
  <c r="L14" i="67"/>
  <c r="O14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<sst xmlns="http://schemas.openxmlformats.org/spreadsheetml/2006/main" count="677" uniqueCount="22">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</sst>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80C-C109-4995-A654-E359ECDF8315}">
  <dimension ref="B2:Z16"/>
  <sheetViews>
    <sheetView zoomScale="85" zoomScaleNormal="85" workbookViewId="0">
      <selection activeCell="U13" sqref="U13:Y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98</v>
      </c>
      <c r="C3" s="5" cm="1">
        <f t="array" aca="1" ref="C3" ca="1">INDIRECT("'results" &amp; $B3 &amp; "'!D$14")</f>
        <v>1676056.5492435179</v>
      </c>
      <c r="D3" s="33" cm="1">
        <f t="array" aca="1" ref="D3" ca="1">INDIRECT("'results" &amp; $B3 &amp; "'!E$14")</f>
        <v>745.97628676923068</v>
      </c>
      <c r="E3" s="5" cm="1">
        <f t="array" aca="1" ref="E3" ca="1">INDIRECT("'results" &amp; $B3 &amp; "'!F$14")</f>
        <v>16</v>
      </c>
      <c r="F3" s="5" cm="1">
        <f t="array" aca="1" ref="F3" ca="1">INDIRECT("'results" &amp; $B3 &amp; "'!G$14")</f>
        <v>93.5</v>
      </c>
      <c r="G3" s="5" cm="1">
        <f t="array" aca="1" ref="G3" ca="1">INDIRECT("'results" &amp; $B3 &amp; "'!H$14")</f>
        <v>616.67108846263955</v>
      </c>
      <c r="H3" s="33" cm="1">
        <f t="array" aca="1" ref="H3" ca="1">INDIRECT("'results" &amp; $B3 &amp; "'!I$14")</f>
        <v>42.338551530560217</v>
      </c>
      <c r="I3" s="5" cm="1">
        <f t="array" aca="1" ref="I3" ca="1">INDIRECT("'results" &amp; $B3 &amp; "'!J$14")</f>
        <v>5841.2202660403264</v>
      </c>
      <c r="J3" s="5"/>
      <c r="K3" s="5" cm="1">
        <f t="array" aca="1" ref="K3" ca="1">INDIRECT("'results" &amp; $B3 &amp; "'!L$14")</f>
        <v>2257517.0762694231</v>
      </c>
      <c r="L3" s="5" cm="1">
        <f t="array" aca="1" ref="L3" ca="1">INDIRECT("'results" &amp; $B3 &amp; "'!M$14")</f>
        <v>524.47356426923079</v>
      </c>
      <c r="M3" s="5" cm="1">
        <f t="array" aca="1" ref="M3" ca="1">INDIRECT("'results" &amp; $B3 &amp; "'!N$14")</f>
        <v>31</v>
      </c>
      <c r="N3" s="5" cm="1">
        <f t="array" aca="1" ref="N3" ca="1">INDIRECT("'results" &amp; $B3 &amp; "'!O$14")</f>
        <v>78.5</v>
      </c>
      <c r="O3" s="5" cm="1">
        <f t="array" aca="1" ref="O3" ca="1">INDIRECT("'results" &amp; $B3 &amp; "'!P$14")</f>
        <v>523.95850016887709</v>
      </c>
      <c r="P3" s="5" cm="1">
        <f t="array" aca="1" ref="P3" ca="1">INDIRECT("'results" &amp; $B3 &amp; "'!Q$14")</f>
        <v>17.446149416480569</v>
      </c>
      <c r="Q3" s="5" cm="1">
        <f t="array" aca="1" ref="Q3" ca="1">INDIRECT("'results" &amp; $B3 &amp; "'!R$14")</f>
        <v>5064.8835150282657</v>
      </c>
      <c r="R3" s="5"/>
      <c r="S3" s="5" cm="1">
        <f t="array" aca="1" ref="S3" ca="1">INDIRECT("'results" &amp; $B3 &amp; "'!T$14")</f>
        <v>2252348.841328152</v>
      </c>
      <c r="T3" s="5" cm="1">
        <f t="array" aca="1" ref="T3" ca="1">INDIRECT("'results" &amp; $B3 &amp; "'!U$14")</f>
        <v>700.87995180769224</v>
      </c>
      <c r="U3" s="5" cm="1">
        <f t="array" aca="1" ref="U3" ca="1">INDIRECT("'results" &amp; $B3 &amp; "'!V$14")</f>
        <v>16</v>
      </c>
      <c r="V3" s="5" cm="1">
        <f t="array" aca="1" ref="V3" ca="1">INDIRECT("'results" &amp; $B3 &amp; "'!W$14")</f>
        <v>78.5</v>
      </c>
      <c r="W3" s="5" cm="1">
        <f t="array" aca="1" ref="W3" ca="1">INDIRECT("'results" &amp; $B3 &amp; "'!X$14")</f>
        <v>1266.0813738032873</v>
      </c>
      <c r="X3" s="5" cm="1">
        <f t="array" aca="1" ref="X3" ca="1">INDIRECT("'results" &amp; $B3 &amp; "'!Y$14")</f>
        <v>54.499599809438166</v>
      </c>
      <c r="Y3" s="5" cm="1">
        <f t="array" aca="1" ref="Y3" ca="1">INDIRECT("'results" &amp; $B3 &amp; "'!Z$14")</f>
        <v>6768.9752170434367</v>
      </c>
      <c r="Z3" s="5"/>
    </row>
    <row r="4" spans="2:26" x14ac:dyDescent="0.2">
      <c r="B4" s="4">
        <v>199</v>
      </c>
      <c r="C4" s="5" cm="1">
        <f t="array" aca="1" ref="C4" ca="1">INDIRECT("'results" &amp; $B4 &amp; "'!D$14")</f>
        <v>1687913.448497107</v>
      </c>
      <c r="D4" s="33" cm="1">
        <f t="array" aca="1" ref="D4" ca="1">INDIRECT("'results" &amp; $B4 &amp; "'!E$14")</f>
        <v>850.57078519230765</v>
      </c>
      <c r="E4" s="5" cm="1">
        <f t="array" aca="1" ref="E4" ca="1">INDIRECT("'results" &amp; $B4 &amp; "'!F$14")</f>
        <v>17</v>
      </c>
      <c r="F4" s="5" cm="1">
        <f t="array" aca="1" ref="F4" ca="1">INDIRECT("'results" &amp; $B4 &amp; "'!G$14")</f>
        <v>97</v>
      </c>
      <c r="G4" s="5" cm="1">
        <f t="array" aca="1" ref="G4" ca="1">INDIRECT("'results" &amp; $B4 &amp; "'!H$14")</f>
        <v>973.64297094915287</v>
      </c>
      <c r="H4" s="33" cm="1">
        <f t="array" aca="1" ref="H4" ca="1">INDIRECT("'results" &amp; $B4 &amp; "'!I$14")</f>
        <v>47.841542769111626</v>
      </c>
      <c r="I4" s="5" cm="1">
        <f t="array" aca="1" ref="I4" ca="1">INDIRECT("'results" &amp; $B4 &amp; "'!J$14")</f>
        <v>6259.952376612383</v>
      </c>
      <c r="J4" s="5"/>
      <c r="K4" s="5" cm="1">
        <f t="array" aca="1" ref="K4" ca="1">INDIRECT("'results" &amp; $B4 &amp; "'!L$14")</f>
        <v>2245358.9664537939</v>
      </c>
      <c r="L4" s="5" cm="1">
        <f t="array" aca="1" ref="L4" ca="1">INDIRECT("'results" &amp; $B4 &amp; "'!M$14")</f>
        <v>963.0800799999995</v>
      </c>
      <c r="M4" s="5" cm="1">
        <f t="array" aca="1" ref="M4" ca="1">INDIRECT("'results" &amp; $B4 &amp; "'!N$14")</f>
        <v>24</v>
      </c>
      <c r="N4" s="5" cm="1">
        <f t="array" aca="1" ref="N4" ca="1">INDIRECT("'results" &amp; $B4 &amp; "'!O$14")</f>
        <v>73</v>
      </c>
      <c r="O4" s="5" cm="1">
        <f t="array" aca="1" ref="O4" ca="1">INDIRECT("'results" &amp; $B4 &amp; "'!P$14")</f>
        <v>464.66099879023488</v>
      </c>
      <c r="P4" s="5" cm="1">
        <f t="array" aca="1" ref="P4" ca="1">INDIRECT("'results" &amp; $B4 &amp; "'!Q$14")</f>
        <v>22.667217259266437</v>
      </c>
      <c r="Q4" s="5" cm="1">
        <f t="array" aca="1" ref="Q4" ca="1">INDIRECT("'results" &amp; $B4 &amp; "'!R$14")</f>
        <v>4998.3598144774833</v>
      </c>
      <c r="R4" s="5"/>
      <c r="S4" s="5" cm="1">
        <f t="array" aca="1" ref="S4" ca="1">INDIRECT("'results" &amp; $B4 &amp; "'!T$14")</f>
        <v>2247325.6446744329</v>
      </c>
      <c r="T4" s="5" cm="1">
        <f t="array" aca="1" ref="T4" ca="1">INDIRECT("'results" &amp; $B4 &amp; "'!U$14")</f>
        <v>615.16998426923078</v>
      </c>
      <c r="U4" s="5" cm="1">
        <f t="array" aca="1" ref="U4" ca="1">INDIRECT("'results" &amp; $B4 &amp; "'!V$14")</f>
        <v>17</v>
      </c>
      <c r="V4" s="5" cm="1">
        <f t="array" aca="1" ref="V4" ca="1">INDIRECT("'results" &amp; $B4 &amp; "'!W$14")</f>
        <v>77</v>
      </c>
      <c r="W4" s="5" cm="1">
        <f t="array" aca="1" ref="W4" ca="1">INDIRECT("'results" &amp; $B4 &amp; "'!X$14")</f>
        <v>1157.0336323347296</v>
      </c>
      <c r="X4" s="5" cm="1">
        <f t="array" aca="1" ref="X4" ca="1">INDIRECT("'results" &amp; $B4 &amp; "'!Y$14")</f>
        <v>53.205487771553805</v>
      </c>
      <c r="Y4" s="5" cm="1">
        <f t="array" aca="1" ref="Y4" ca="1">INDIRECT("'results" &amp; $B4 &amp; "'!Z$14")</f>
        <v>6586.9695947161408</v>
      </c>
      <c r="Z4" s="5"/>
    </row>
    <row r="5" spans="2:26" x14ac:dyDescent="0.2">
      <c r="B5" s="4">
        <v>364</v>
      </c>
      <c r="C5" s="5" cm="1">
        <f t="array" aca="1" ref="C5" ca="1">INDIRECT("'results" &amp; $B5 &amp; "'!D$14")</f>
        <v>1604517.399268918</v>
      </c>
      <c r="D5" s="33" cm="1">
        <f t="array" aca="1" ref="D5" ca="1">INDIRECT("'results" &amp; $B5 &amp; "'!E$14")</f>
        <v>1091.6321291923077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95.5</v>
      </c>
      <c r="G5" s="5" cm="1">
        <f t="array" aca="1" ref="G5" ca="1">INDIRECT("'results" &amp; $B5 &amp; "'!H$14")</f>
        <v>750.15659492581881</v>
      </c>
      <c r="H5" s="33" cm="1">
        <f t="array" aca="1" ref="H5" ca="1">INDIRECT("'results" &amp; $B5 &amp; "'!I$14")</f>
        <v>42.713527127278496</v>
      </c>
      <c r="I5" s="5" cm="1">
        <f t="array" aca="1" ref="I5" ca="1">INDIRECT("'results" &amp; $B5 &amp; "'!J$14")</f>
        <v>5742.8583798157051</v>
      </c>
      <c r="J5" s="5"/>
      <c r="K5" s="5" cm="1">
        <f t="array" aca="1" ref="K5" ca="1">INDIRECT("'results" &amp; $B5 &amp; "'!L$14")</f>
        <v>2100347.229267342</v>
      </c>
      <c r="L5" s="5" cm="1">
        <f t="array" aca="1" ref="L5" ca="1">INDIRECT("'results" &amp; $B5 &amp; "'!M$14")</f>
        <v>1516.9286167692308</v>
      </c>
      <c r="M5" s="5" cm="1">
        <f t="array" aca="1" ref="M5" ca="1">INDIRECT("'results" &amp; $B5 &amp; "'!N$14")</f>
        <v>30</v>
      </c>
      <c r="N5" s="5" cm="1">
        <f t="array" aca="1" ref="N5" ca="1">INDIRECT("'results" &amp; $B5 &amp; "'!O$14")</f>
        <v>82.5</v>
      </c>
      <c r="O5" s="5" cm="1">
        <f t="array" aca="1" ref="O5" ca="1">INDIRECT("'results" &amp; $B5 &amp; "'!P$14")</f>
        <v>588.74419254312204</v>
      </c>
      <c r="P5" s="5" cm="1">
        <f t="array" aca="1" ref="P5" ca="1">INDIRECT("'results" &amp; $B5 &amp; "'!Q$14")</f>
        <v>19.148143012171946</v>
      </c>
      <c r="Q5" s="5" cm="1">
        <f t="array" aca="1" ref="Q5" ca="1">INDIRECT("'results" &amp; $B5 &amp; "'!R$14")</f>
        <v>4987.0525381544912</v>
      </c>
      <c r="R5" s="5"/>
      <c r="S5" s="5" cm="1">
        <f t="array" aca="1" ref="S5" ca="1">INDIRECT("'results" &amp; $B5 &amp; "'!T$14")</f>
        <v>2185866.7275294289</v>
      </c>
      <c r="T5" s="5" cm="1">
        <f t="array" aca="1" ref="T5" ca="1">INDIRECT("'results" &amp; $B5 &amp; "'!U$14")</f>
        <v>623.14303092307694</v>
      </c>
      <c r="U5" s="5" cm="1">
        <f t="array" aca="1" ref="U5" ca="1">INDIRECT("'results" &amp; $B5 &amp; "'!V$14")</f>
        <v>17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1319.3705548941341</v>
      </c>
      <c r="X5" s="5" cm="1">
        <f t="array" aca="1" ref="X5" ca="1">INDIRECT("'results" &amp; $B5 &amp; "'!Y$14")</f>
        <v>55.005673177320837</v>
      </c>
      <c r="Y5" s="5" cm="1">
        <f t="array" aca="1" ref="Y5" ca="1">INDIRECT("'results" &amp; $B5 &amp; "'!Z$14")</f>
        <v>6711.7240157862789</v>
      </c>
      <c r="Z5" s="5"/>
    </row>
    <row r="6" spans="2:26" x14ac:dyDescent="0.2">
      <c r="B6" s="4">
        <v>515</v>
      </c>
      <c r="C6" s="5" cm="1">
        <f t="array" aca="1" ref="C6" ca="1">INDIRECT("'results" &amp; $B6 &amp; "'!D$14")</f>
        <v>1556719.815921003</v>
      </c>
      <c r="D6" s="33" cm="1">
        <f t="array" aca="1" ref="D6" ca="1">INDIRECT("'results" &amp; $B6 &amp; "'!E$14")</f>
        <v>322.64951242307689</v>
      </c>
      <c r="E6" s="5" cm="1">
        <f t="array" aca="1" ref="E6" ca="1">INDIRECT("'results" &amp; $B6 &amp; "'!F$14")</f>
        <v>17</v>
      </c>
      <c r="F6" s="5" cm="1">
        <f t="array" aca="1" ref="F6" ca="1">INDIRECT("'results" &amp; $B6 &amp; "'!G$14")</f>
        <v>97</v>
      </c>
      <c r="G6" s="5" cm="1">
        <f t="array" aca="1" ref="G6" ca="1">INDIRECT("'results" &amp; $B6 &amp; "'!H$14")</f>
        <v>623.66816620261875</v>
      </c>
      <c r="H6" s="33" cm="1">
        <f t="array" aca="1" ref="H6" ca="1">INDIRECT("'results" &amp; $B6 &amp; "'!I$14")</f>
        <v>45.004134559342617</v>
      </c>
      <c r="I6" s="5" cm="1">
        <f t="array" aca="1" ref="I6" ca="1">INDIRECT("'results" &amp; $B6 &amp; "'!J$14")</f>
        <v>5759.6145819013727</v>
      </c>
      <c r="J6" s="5"/>
      <c r="K6" s="5" cm="1">
        <f t="array" aca="1" ref="K6" ca="1">INDIRECT("'results" &amp; $B6 &amp; "'!L$14")</f>
        <v>2347382.3714496172</v>
      </c>
      <c r="L6" s="5" cm="1">
        <f t="array" aca="1" ref="L6" ca="1">INDIRECT("'results" &amp; $B6 &amp; "'!M$14")</f>
        <v>781.33293173076925</v>
      </c>
      <c r="M6" s="5" cm="1">
        <f t="array" aca="1" ref="M6" ca="1">INDIRECT("'results" &amp; $B6 &amp; "'!N$14")</f>
        <v>21</v>
      </c>
      <c r="N6" s="5" cm="1">
        <f t="array" aca="1" ref="N6" ca="1">INDIRECT("'results" &amp; $B6 &amp; "'!O$14")</f>
        <v>65.5</v>
      </c>
      <c r="O6" s="5" cm="1">
        <f t="array" aca="1" ref="O6" ca="1">INDIRECT("'results" &amp; $B6 &amp; "'!P$14")</f>
        <v>342.69287854920225</v>
      </c>
      <c r="P6" s="5" cm="1">
        <f t="array" aca="1" ref="P6" ca="1">INDIRECT("'results" &amp; $B6 &amp; "'!Q$14")</f>
        <v>21.451772612033963</v>
      </c>
      <c r="Q6" s="5" cm="1">
        <f t="array" aca="1" ref="Q6" ca="1">INDIRECT("'results" &amp; $B6 &amp; "'!R$14")</f>
        <v>4491.157749007205</v>
      </c>
      <c r="R6" s="5"/>
      <c r="S6" s="5" cm="1">
        <f t="array" aca="1" ref="S6" ca="1">INDIRECT("'results" &amp; $B6 &amp; "'!T$14")</f>
        <v>2216986.9690636699</v>
      </c>
      <c r="T6" s="5" cm="1">
        <f t="array" aca="1" ref="T6" ca="1">INDIRECT("'results" &amp; $B6 &amp; "'!U$14")</f>
        <v>642.3356846538461</v>
      </c>
      <c r="U6" s="5" cm="1">
        <f t="array" aca="1" ref="U6" ca="1">INDIRECT("'results" &amp; $B6 &amp; "'!V$14")</f>
        <v>14</v>
      </c>
      <c r="V6" s="5" cm="1">
        <f t="array" aca="1" ref="V6" ca="1">INDIRECT("'results" &amp; $B6 &amp; "'!W$14")</f>
        <v>74</v>
      </c>
      <c r="W6" s="5" cm="1">
        <f t="array" aca="1" ref="W6" ca="1">INDIRECT("'results" &amp; $B6 &amp; "'!X$14")</f>
        <v>923.75888044236547</v>
      </c>
      <c r="X6" s="5" cm="1">
        <f t="array" aca="1" ref="X6" ca="1">INDIRECT("'results" &amp; $B6 &amp; "'!Y$14")</f>
        <v>63.335301190058225</v>
      </c>
      <c r="Y6" s="5" cm="1">
        <f t="array" aca="1" ref="Y6" ca="1">INDIRECT("'results" &amp; $B6 &amp; "'!Z$14")</f>
        <v>6392.5346623607747</v>
      </c>
      <c r="Z6" s="5"/>
    </row>
    <row r="7" spans="2:26" x14ac:dyDescent="0.2">
      <c r="B7" s="4">
        <v>526</v>
      </c>
      <c r="C7" s="5" cm="1">
        <f t="array" aca="1" ref="C7" ca="1">INDIRECT("'results" &amp; $B7 &amp; "'!D$14")</f>
        <v>1789877.8934914239</v>
      </c>
      <c r="D7" s="33" cm="1">
        <f t="array" aca="1" ref="D7" ca="1">INDIRECT("'results" &amp; $B7 &amp; "'!E$14")</f>
        <v>856.03745249999986</v>
      </c>
      <c r="E7" s="5" cm="1">
        <f t="array" aca="1" ref="E7" ca="1">INDIRECT("'results" &amp; $B7 &amp; "'!F$14")</f>
        <v>17</v>
      </c>
      <c r="F7" s="5" cm="1">
        <f t="array" aca="1" ref="F7" ca="1">INDIRECT("'results" &amp; $B7 &amp; "'!G$14")</f>
        <v>96</v>
      </c>
      <c r="G7" s="5" cm="1">
        <f t="array" aca="1" ref="G7" ca="1">INDIRECT("'results" &amp; $B7 &amp; "'!H$14")</f>
        <v>1008.5408767451836</v>
      </c>
      <c r="H7" s="33" cm="1">
        <f t="array" aca="1" ref="H7" ca="1">INDIRECT("'results" &amp; $B7 &amp; "'!I$14")</f>
        <v>41.133657353372151</v>
      </c>
      <c r="I7" s="5" cm="1">
        <f t="array" aca="1" ref="I7" ca="1">INDIRECT("'results" &amp; $B7 &amp; "'!J$14")</f>
        <v>6377.5022333953639</v>
      </c>
      <c r="J7" s="5"/>
      <c r="K7" s="5" cm="1">
        <f t="array" aca="1" ref="K7" ca="1">INDIRECT("'results" &amp; $B7 &amp; "'!L$14")</f>
        <v>2350369.9685400389</v>
      </c>
      <c r="L7" s="5" cm="1">
        <f t="array" aca="1" ref="L7" ca="1">INDIRECT("'results" &amp; $B7 &amp; "'!M$14")</f>
        <v>284.21592438461539</v>
      </c>
      <c r="M7" s="5" cm="1">
        <f t="array" aca="1" ref="M7" ca="1">INDIRECT("'results" &amp; $B7 &amp; "'!N$14")</f>
        <v>29</v>
      </c>
      <c r="N7" s="5" cm="1">
        <f t="array" aca="1" ref="N7" ca="1">INDIRECT("'results" &amp; $B7 &amp; "'!O$14")</f>
        <v>76.5</v>
      </c>
      <c r="O7" s="5" cm="1">
        <f t="array" aca="1" ref="O7" ca="1">INDIRECT("'results" &amp; $B7 &amp; "'!P$14")</f>
        <v>791.01097102264487</v>
      </c>
      <c r="P7" s="5" cm="1">
        <f t="array" aca="1" ref="P7" ca="1">INDIRECT("'results" &amp; $B7 &amp; "'!Q$14")</f>
        <v>17.309246389034168</v>
      </c>
      <c r="Q7" s="5" cm="1">
        <f t="array" aca="1" ref="Q7" ca="1">INDIRECT("'results" &amp; $B7 &amp; "'!R$14")</f>
        <v>5384.8996865261743</v>
      </c>
      <c r="R7" s="5"/>
      <c r="S7" s="5" cm="1">
        <f t="array" aca="1" ref="S7" ca="1">INDIRECT("'results" &amp; $B7 &amp; "'!T$14")</f>
        <v>2391353.2340306239</v>
      </c>
      <c r="T7" s="5" cm="1">
        <f t="array" aca="1" ref="T7" ca="1">INDIRECT("'results" &amp; $B7 &amp; "'!U$14")</f>
        <v>520.0201343461539</v>
      </c>
      <c r="U7" s="5" cm="1">
        <f t="array" aca="1" ref="U7" ca="1">INDIRECT("'results" &amp; $B7 &amp; "'!V$14")</f>
        <v>15</v>
      </c>
      <c r="V7" s="5" cm="1">
        <f t="array" aca="1" ref="V7" ca="1">INDIRECT("'results" &amp; $B7 &amp; "'!W$14")</f>
        <v>71</v>
      </c>
      <c r="W7" s="5" cm="1">
        <f t="array" aca="1" ref="W7" ca="1">INDIRECT("'results" &amp; $B7 &amp; "'!X$14")</f>
        <v>1007.7820749174874</v>
      </c>
      <c r="X7" s="5" cm="1">
        <f t="array" aca="1" ref="X7" ca="1">INDIRECT("'results" &amp; $B7 &amp; "'!Y$14")</f>
        <v>51.153887865553131</v>
      </c>
      <c r="Y7" s="5" cm="1">
        <f t="array" aca="1" ref="Y7" ca="1">INDIRECT("'results" &amp; $B7 &amp; "'!Z$14")</f>
        <v>6592.1152130864593</v>
      </c>
      <c r="Z7" s="5"/>
    </row>
    <row r="8" spans="2:26" x14ac:dyDescent="0.2">
      <c r="B8" s="4">
        <v>582</v>
      </c>
      <c r="C8" s="5" cm="1">
        <f t="array" aca="1" ref="C8" ca="1">INDIRECT("'results" &amp; $B8 &amp; "'!D$14")</f>
        <v>1615669.13406594</v>
      </c>
      <c r="D8" s="33" cm="1">
        <f t="array" aca="1" ref="D8" ca="1">INDIRECT("'results" &amp; $B8 &amp; "'!E$14")</f>
        <v>248.20239161538456</v>
      </c>
      <c r="E8" s="5" cm="1">
        <f t="array" aca="1" ref="E8" ca="1">INDIRECT("'results" &amp; $B8 &amp; "'!F$14")</f>
        <v>16</v>
      </c>
      <c r="F8" s="5" cm="1">
        <f t="array" aca="1" ref="F8" ca="1">INDIRECT("'results" &amp; $B8 &amp; "'!G$14")</f>
        <v>97</v>
      </c>
      <c r="G8" s="5" cm="1">
        <f t="array" aca="1" ref="G8" ca="1">INDIRECT("'results" &amp; $B8 &amp; "'!H$14")</f>
        <v>771.42056033602023</v>
      </c>
      <c r="H8" s="33" cm="1">
        <f t="array" aca="1" ref="H8" ca="1">INDIRECT("'results" &amp; $B8 &amp; "'!I$14")</f>
        <v>42.096454263796367</v>
      </c>
      <c r="I8" s="5" cm="1">
        <f t="array" aca="1" ref="I8" ca="1">INDIRECT("'results" &amp; $B8 &amp; "'!J$14")</f>
        <v>5964.6367374601732</v>
      </c>
      <c r="J8" s="5"/>
      <c r="K8" s="5" cm="1">
        <f t="array" aca="1" ref="K8" ca="1">INDIRECT("'results" &amp; $B8 &amp; "'!L$14")</f>
        <v>2171308.4731912031</v>
      </c>
      <c r="L8" s="5" cm="1">
        <f t="array" aca="1" ref="L8" ca="1">INDIRECT("'results" &amp; $B8 &amp; "'!M$14")</f>
        <v>444.60265530769226</v>
      </c>
      <c r="M8" s="5" cm="1">
        <f t="array" aca="1" ref="M8" ca="1">INDIRECT("'results" &amp; $B8 &amp; "'!N$14")</f>
        <v>25</v>
      </c>
      <c r="N8" s="5" cm="1">
        <f t="array" aca="1" ref="N8" ca="1">INDIRECT("'results" &amp; $B8 &amp; "'!O$14")</f>
        <v>76</v>
      </c>
      <c r="O8" s="5" cm="1">
        <f t="array" aca="1" ref="O8" ca="1">INDIRECT("'results" &amp; $B8 &amp; "'!P$14")</f>
        <v>458.22546665556996</v>
      </c>
      <c r="P8" s="5" cm="1">
        <f t="array" aca="1" ref="P8" ca="1">INDIRECT("'results" &amp; $B8 &amp; "'!Q$14")</f>
        <v>18.994457968506364</v>
      </c>
      <c r="Q8" s="5" cm="1">
        <f t="array" aca="1" ref="Q8" ca="1">INDIRECT("'results" &amp; $B8 &amp; "'!R$14")</f>
        <v>4823.9813980515701</v>
      </c>
      <c r="R8" s="5"/>
      <c r="S8" s="5" cm="1">
        <f t="array" aca="1" ref="S8" ca="1">INDIRECT("'results" &amp; $B8 &amp; "'!T$14")</f>
        <v>2213854.6207417548</v>
      </c>
      <c r="T8" s="5" cm="1">
        <f t="array" aca="1" ref="T8" ca="1">INDIRECT("'results" &amp; $B8 &amp; "'!U$14")</f>
        <v>556.71153634615382</v>
      </c>
      <c r="U8" s="5" cm="1">
        <f t="array" aca="1" ref="U8" ca="1">INDIRECT("'results" &amp; $B8 &amp; "'!V$14")</f>
        <v>16</v>
      </c>
      <c r="V8" s="5" cm="1">
        <f t="array" aca="1" ref="V8" ca="1">INDIRECT("'results" &amp; $B8 &amp; "'!W$14")</f>
        <v>78.5</v>
      </c>
      <c r="W8" s="5" cm="1">
        <f t="array" aca="1" ref="W8" ca="1">INDIRECT("'results" &amp; $B8 &amp; "'!X$14")</f>
        <v>1075.5328218759482</v>
      </c>
      <c r="X8" s="5" cm="1">
        <f t="array" aca="1" ref="X8" ca="1">INDIRECT("'results" &amp; $B8 &amp; "'!Y$14")</f>
        <v>50.052808640355323</v>
      </c>
      <c r="Y8" s="5" cm="1">
        <f t="array" aca="1" ref="Y8" ca="1">INDIRECT("'results" &amp; $B8 &amp; "'!Z$14")</f>
        <v>6584.0269343277105</v>
      </c>
      <c r="Z8" s="5"/>
    </row>
    <row r="9" spans="2:26" x14ac:dyDescent="0.2">
      <c r="B9" s="4">
        <v>600</v>
      </c>
      <c r="C9" s="5" cm="1">
        <f t="array" aca="1" ref="C9" ca="1">INDIRECT("'results" &amp; $B9 &amp; "'!D$14")</f>
        <v>1445634.5842838951</v>
      </c>
      <c r="D9" s="33" cm="1">
        <f t="array" aca="1" ref="D9" ca="1">INDIRECT("'results" &amp; $B9 &amp; "'!E$14")</f>
        <v>203.2129893846153</v>
      </c>
      <c r="E9" s="5" cm="1">
        <f t="array" aca="1" ref="E9" ca="1">INDIRECT("'results" &amp; $B9 &amp; "'!F$14")</f>
        <v>17</v>
      </c>
      <c r="F9" s="5" cm="1">
        <f t="array" aca="1" ref="F9" ca="1">INDIRECT("'results" &amp; $B9 &amp; "'!G$14")</f>
        <v>96.5</v>
      </c>
      <c r="G9" s="5" cm="1">
        <f t="array" aca="1" ref="G9" ca="1">INDIRECT("'results" &amp; $B9 &amp; "'!H$14")</f>
        <v>515.86968670195927</v>
      </c>
      <c r="H9" s="33" cm="1">
        <f t="array" aca="1" ref="H9" ca="1">INDIRECT("'results" &amp; $B9 &amp; "'!I$14")</f>
        <v>48.055733161630002</v>
      </c>
      <c r="I9" s="5" cm="1">
        <f t="array" aca="1" ref="I9" ca="1">INDIRECT("'results" &amp; $B9 &amp; "'!J$14")</f>
        <v>5292.7842350655174</v>
      </c>
      <c r="J9" s="5"/>
      <c r="K9" s="5" cm="1">
        <f t="array" aca="1" ref="K9" ca="1">INDIRECT("'results" &amp; $B9 &amp; "'!L$14")</f>
        <v>2165989.573780416</v>
      </c>
      <c r="L9" s="5" cm="1">
        <f t="array" aca="1" ref="L9" ca="1">INDIRECT("'results" &amp; $B9 &amp; "'!M$14")</f>
        <v>467.05245300000001</v>
      </c>
      <c r="M9" s="5" cm="1">
        <f t="array" aca="1" ref="M9" ca="1">INDIRECT("'results" &amp; $B9 &amp; "'!N$14")</f>
        <v>30</v>
      </c>
      <c r="N9" s="5" cm="1">
        <f t="array" aca="1" ref="N9" ca="1">INDIRECT("'results" &amp; $B9 &amp; "'!O$14")</f>
        <v>76</v>
      </c>
      <c r="O9" s="5" cm="1">
        <f t="array" aca="1" ref="O9" ca="1">INDIRECT("'results" &amp; $B9 &amp; "'!P$14")</f>
        <v>269.79169980473279</v>
      </c>
      <c r="P9" s="5" cm="1">
        <f t="array" aca="1" ref="P9" ca="1">INDIRECT("'results" &amp; $B9 &amp; "'!Q$14")</f>
        <v>19.939219558548384</v>
      </c>
      <c r="Q9" s="5" cm="1">
        <f t="array" aca="1" ref="Q9" ca="1">INDIRECT("'results" &amp; $B9 &amp; "'!R$14")</f>
        <v>4464.3928252980695</v>
      </c>
      <c r="R9" s="5"/>
      <c r="S9" s="5" cm="1">
        <f t="array" aca="1" ref="S9" ca="1">INDIRECT("'results" &amp; $B9 &amp; "'!T$14")</f>
        <v>2083199.6950907691</v>
      </c>
      <c r="T9" s="5" cm="1">
        <f t="array" aca="1" ref="T9" ca="1">INDIRECT("'results" &amp; $B9 &amp; "'!U$14")</f>
        <v>497.39446400000003</v>
      </c>
      <c r="U9" s="5" cm="1">
        <f t="array" aca="1" ref="U9" ca="1">INDIRECT("'results" &amp; $B9 &amp; "'!V$14")</f>
        <v>18</v>
      </c>
      <c r="V9" s="5" cm="1">
        <f t="array" aca="1" ref="V9" ca="1">INDIRECT("'results" &amp; $B9 &amp; "'!W$14")</f>
        <v>81.5</v>
      </c>
      <c r="W9" s="5" cm="1">
        <f t="array" aca="1" ref="W9" ca="1">INDIRECT("'results" &amp; $B9 &amp; "'!X$14")</f>
        <v>1213.5512545783956</v>
      </c>
      <c r="X9" s="5" cm="1">
        <f t="array" aca="1" ref="X9" ca="1">INDIRECT("'results" &amp; $B9 &amp; "'!Y$14")</f>
        <v>64.613428912135547</v>
      </c>
      <c r="Y9" s="5" cm="1">
        <f t="array" aca="1" ref="Y9" ca="1">INDIRECT("'results" &amp; $B9 &amp; "'!Z$14")</f>
        <v>6389.8939418628452</v>
      </c>
      <c r="Z9" s="5"/>
    </row>
    <row r="10" spans="2:26" x14ac:dyDescent="0.2">
      <c r="B10" s="4">
        <v>664</v>
      </c>
      <c r="C10" s="5" cm="1">
        <f t="array" aca="1" ref="C10" ca="1">INDIRECT("'results" &amp; $B10 &amp; "'!D$14")</f>
        <v>1836540.2975861421</v>
      </c>
      <c r="D10" s="33" cm="1">
        <f t="array" aca="1" ref="D10" ca="1">INDIRECT("'results" &amp; $B10 &amp; "'!E$14")</f>
        <v>768.78258046153803</v>
      </c>
      <c r="E10" s="5" cm="1">
        <f t="array" aca="1" ref="E10" ca="1">INDIRECT("'results" &amp; $B10 &amp; "'!F$14")</f>
        <v>16</v>
      </c>
      <c r="F10" s="5" cm="1">
        <f t="array" aca="1" ref="F10" ca="1">INDIRECT("'results" &amp; $B10 &amp; "'!G$14")</f>
        <v>92.5</v>
      </c>
      <c r="G10" s="5" cm="1">
        <f t="array" aca="1" ref="G10" ca="1">INDIRECT("'results" &amp; $B10 &amp; "'!H$14")</f>
        <v>956.20920595716211</v>
      </c>
      <c r="H10" s="33" cm="1">
        <f t="array" aca="1" ref="H10" ca="1">INDIRECT("'results" &amp; $B10 &amp; "'!I$14")</f>
        <v>41.800898154850465</v>
      </c>
      <c r="I10" s="5" cm="1">
        <f t="array" aca="1" ref="I10" ca="1">INDIRECT("'results" &amp; $B10 &amp; "'!J$14")</f>
        <v>6158.1164588403963</v>
      </c>
      <c r="J10" s="5"/>
      <c r="K10" s="5" cm="1">
        <f t="array" aca="1" ref="K10" ca="1">INDIRECT("'results" &amp; $B10 &amp; "'!L$14")</f>
        <v>2248609.140372328</v>
      </c>
      <c r="L10" s="5" cm="1">
        <f t="array" aca="1" ref="L10" ca="1">INDIRECT("'results" &amp; $B10 &amp; "'!M$14")</f>
        <v>364.92410084615375</v>
      </c>
      <c r="M10" s="5" cm="1">
        <f t="array" aca="1" ref="M10" ca="1">INDIRECT("'results" &amp; $B10 &amp; "'!N$14")</f>
        <v>25</v>
      </c>
      <c r="N10" s="5" cm="1">
        <f t="array" aca="1" ref="N10" ca="1">INDIRECT("'results" &amp; $B10 &amp; "'!O$14")</f>
        <v>78.5</v>
      </c>
      <c r="O10" s="5" cm="1">
        <f t="array" aca="1" ref="O10" ca="1">INDIRECT("'results" &amp; $B10 &amp; "'!P$14")</f>
        <v>751.858238424457</v>
      </c>
      <c r="P10" s="5" cm="1">
        <f t="array" aca="1" ref="P10" ca="1">INDIRECT("'results" &amp; $B10 &amp; "'!Q$14")</f>
        <v>21.11132825045269</v>
      </c>
      <c r="Q10" s="5" cm="1">
        <f t="array" aca="1" ref="Q10" ca="1">INDIRECT("'results" &amp; $B10 &amp; "'!R$14")</f>
        <v>5407.9173307494048</v>
      </c>
      <c r="R10" s="5"/>
      <c r="S10" s="5" cm="1">
        <f t="array" aca="1" ref="S10" ca="1">INDIRECT("'results" &amp; $B10 &amp; "'!T$14")</f>
        <v>2346131.21317743</v>
      </c>
      <c r="T10" s="5" cm="1">
        <f t="array" aca="1" ref="T10" ca="1">INDIRECT("'results" &amp; $B10 &amp; "'!U$14")</f>
        <v>343.75652203846164</v>
      </c>
      <c r="U10" s="5" cm="1">
        <f t="array" aca="1" ref="U10" ca="1">INDIRECT("'results" &amp; $B10 &amp; "'!V$14")</f>
        <v>14</v>
      </c>
      <c r="V10" s="5" cm="1">
        <f t="array" aca="1" ref="V10" ca="1">INDIRECT("'results" &amp; $B10 &amp; "'!W$14")</f>
        <v>72.5</v>
      </c>
      <c r="W10" s="5" cm="1">
        <f t="array" aca="1" ref="W10" ca="1">INDIRECT("'results" &amp; $B10 &amp; "'!X$14")</f>
        <v>1103.6226073218922</v>
      </c>
      <c r="X10" s="5" cm="1">
        <f t="array" aca="1" ref="X10" ca="1">INDIRECT("'results" &amp; $B10 &amp; "'!Y$14")</f>
        <v>54.804493406175844</v>
      </c>
      <c r="Y10" s="5" cm="1">
        <f t="array" aca="1" ref="Y10" ca="1">INDIRECT("'results" &amp; $B10 &amp; "'!Z$14")</f>
        <v>6516.9634169470746</v>
      </c>
      <c r="Z10" s="5"/>
    </row>
    <row r="11" spans="2:26" x14ac:dyDescent="0.2">
      <c r="B11" s="4">
        <v>890</v>
      </c>
      <c r="C11" s="5" cm="1">
        <f t="array" aca="1" ref="C11" ca="1">INDIRECT("'results" &amp; $B11 &amp; "'!D$14")</f>
        <v>1784043.5693119389</v>
      </c>
      <c r="D11" s="33" cm="1">
        <f t="array" aca="1" ref="D11" ca="1">INDIRECT("'results" &amp; $B11 &amp; "'!E$14")</f>
        <v>163.42518173076942</v>
      </c>
      <c r="E11" s="5" cm="1">
        <f t="array" aca="1" ref="E11" ca="1">INDIRECT("'results" &amp; $B11 &amp; "'!F$14")</f>
        <v>17</v>
      </c>
      <c r="F11" s="5" cm="1">
        <f t="array" aca="1" ref="F11" ca="1">INDIRECT("'results" &amp; $B11 &amp; "'!G$14")</f>
        <v>96</v>
      </c>
      <c r="G11" s="5" cm="1">
        <f t="array" aca="1" ref="G11" ca="1">INDIRECT("'results" &amp; $B11 &amp; "'!H$14")</f>
        <v>1004.1076232955784</v>
      </c>
      <c r="H11" s="33" cm="1">
        <f t="array" aca="1" ref="H11" ca="1">INDIRECT("'results" &amp; $B11 &amp; "'!I$14")</f>
        <v>38.249273525349977</v>
      </c>
      <c r="I11" s="5" cm="1">
        <f t="array" aca="1" ref="I11" ca="1">INDIRECT("'results" &amp; $B11 &amp; "'!J$14")</f>
        <v>6266.1144455880903</v>
      </c>
      <c r="J11" s="5"/>
      <c r="K11" s="5" cm="1">
        <f t="array" aca="1" ref="K11" ca="1">INDIRECT("'results" &amp; $B11 &amp; "'!L$14")</f>
        <v>2261621.552481743</v>
      </c>
      <c r="L11" s="5" cm="1">
        <f t="array" aca="1" ref="L11" ca="1">INDIRECT("'results" &amp; $B11 &amp; "'!M$14")</f>
        <v>792.05732788461546</v>
      </c>
      <c r="M11" s="5" cm="1">
        <f t="array" aca="1" ref="M11" ca="1">INDIRECT("'results" &amp; $B11 &amp; "'!N$14")</f>
        <v>25</v>
      </c>
      <c r="N11" s="5" cm="1">
        <f t="array" aca="1" ref="N11" ca="1">INDIRECT("'results" &amp; $B11 &amp; "'!O$14")</f>
        <v>79.5</v>
      </c>
      <c r="O11" s="5" cm="1">
        <f t="array" aca="1" ref="O11" ca="1">INDIRECT("'results" &amp; $B11 &amp; "'!P$14")</f>
        <v>781.44816977091079</v>
      </c>
      <c r="P11" s="5" cm="1">
        <f t="array" aca="1" ref="P11" ca="1">INDIRECT("'results" &amp; $B11 &amp; "'!Q$14")</f>
        <v>20.06929423012015</v>
      </c>
      <c r="Q11" s="5" cm="1">
        <f t="array" aca="1" ref="Q11" ca="1">INDIRECT("'results" &amp; $B11 &amp; "'!R$14")</f>
        <v>5691.2544201240999</v>
      </c>
      <c r="R11" s="5"/>
      <c r="S11" s="5" cm="1">
        <f t="array" aca="1" ref="S11" ca="1">INDIRECT("'results" &amp; $B11 &amp; "'!T$14")</f>
        <v>2334738.6012922451</v>
      </c>
      <c r="T11" s="5" cm="1">
        <f t="array" aca="1" ref="T11" ca="1">INDIRECT("'results" &amp; $B11 &amp; "'!U$14")</f>
        <v>374.22655850000024</v>
      </c>
      <c r="U11" s="5" cm="1">
        <f t="array" aca="1" ref="U11" ca="1">INDIRECT("'results" &amp; $B11 &amp; "'!V$14")</f>
        <v>14</v>
      </c>
      <c r="V11" s="5" cm="1">
        <f t="array" aca="1" ref="V11" ca="1">INDIRECT("'results" &amp; $B11 &amp; "'!W$14")</f>
        <v>73</v>
      </c>
      <c r="W11" s="5" cm="1">
        <f t="array" aca="1" ref="W11" ca="1">INDIRECT("'results" &amp; $B11 &amp; "'!X$14")</f>
        <v>1084.4853044700499</v>
      </c>
      <c r="X11" s="5" cm="1">
        <f t="array" aca="1" ref="X11" ca="1">INDIRECT("'results" &amp; $B11 &amp; "'!Y$14")</f>
        <v>47.953290688845982</v>
      </c>
      <c r="Y11" s="5" cm="1">
        <f t="array" aca="1" ref="Y11" ca="1">INDIRECT("'results" &amp; $B11 &amp; "'!Z$14")</f>
        <v>6546.6028803266609</v>
      </c>
      <c r="Z11" s="5"/>
    </row>
    <row r="12" spans="2:26" x14ac:dyDescent="0.2">
      <c r="B12" s="4">
        <v>989</v>
      </c>
      <c r="C12" s="5" cm="1">
        <f t="array" aca="1" ref="C12" ca="1">INDIRECT("'results" &amp; $B12 &amp; "'!D$14")</f>
        <v>1555951.744430271</v>
      </c>
      <c r="D12" s="33" cm="1">
        <f t="array" aca="1" ref="D12" ca="1">INDIRECT("'results" &amp; $B12 &amp; "'!E$14")</f>
        <v>548.84725011538467</v>
      </c>
      <c r="E12" s="5" cm="1">
        <f t="array" aca="1" ref="E12" ca="1">INDIRECT("'results" &amp; $B12 &amp; "'!F$14")</f>
        <v>16</v>
      </c>
      <c r="F12" s="5" cm="1">
        <f t="array" aca="1" ref="F12" ca="1">INDIRECT("'results" &amp; $B12 &amp; "'!G$14")</f>
        <v>95</v>
      </c>
      <c r="G12" s="5" cm="1">
        <f t="array" aca="1" ref="G12" ca="1">INDIRECT("'results" &amp; $B12 &amp; "'!H$14")</f>
        <v>521.28916291977941</v>
      </c>
      <c r="H12" s="33" cm="1">
        <f t="array" aca="1" ref="H12" ca="1">INDIRECT("'results" &amp; $B12 &amp; "'!I$14")</f>
        <v>44.380358276365925</v>
      </c>
      <c r="I12" s="5" cm="1">
        <f t="array" aca="1" ref="I12" ca="1">INDIRECT("'results" &amp; $B12 &amp; "'!J$14")</f>
        <v>5539.3503047076902</v>
      </c>
      <c r="J12" s="5"/>
      <c r="K12" s="5" cm="1">
        <f t="array" aca="1" ref="K12" ca="1">INDIRECT("'results" &amp; $B12 &amp; "'!L$14")</f>
        <v>2086179.9374619201</v>
      </c>
      <c r="L12" s="5" cm="1">
        <f t="array" aca="1" ref="L12" ca="1">INDIRECT("'results" &amp; $B12 &amp; "'!M$14")</f>
        <v>341.82532538461527</v>
      </c>
      <c r="M12" s="5" cm="1">
        <f t="array" aca="1" ref="M12" ca="1">INDIRECT("'results" &amp; $B12 &amp; "'!N$14")</f>
        <v>27</v>
      </c>
      <c r="N12" s="5" cm="1">
        <f t="array" aca="1" ref="N12" ca="1">INDIRECT("'results" &amp; $B12 &amp; "'!O$14")</f>
        <v>78.5</v>
      </c>
      <c r="O12" s="5" cm="1">
        <f t="array" aca="1" ref="O12" ca="1">INDIRECT("'results" &amp; $B12 &amp; "'!P$14")</f>
        <v>406.27040721710927</v>
      </c>
      <c r="P12" s="5" cm="1">
        <f t="array" aca="1" ref="P12" ca="1">INDIRECT("'results" &amp; $B12 &amp; "'!Q$14")</f>
        <v>20.45242814596007</v>
      </c>
      <c r="Q12" s="5" cm="1">
        <f t="array" aca="1" ref="Q12" ca="1">INDIRECT("'results" &amp; $B12 &amp; "'!R$14")</f>
        <v>4587.8544406950095</v>
      </c>
      <c r="R12" s="5"/>
      <c r="S12" s="5" cm="1">
        <f t="array" aca="1" ref="S12" ca="1">INDIRECT("'results" &amp; $B12 &amp; "'!T$14")</f>
        <v>2122603.0851627928</v>
      </c>
      <c r="T12" s="5" cm="1">
        <f t="array" aca="1" ref="T12" ca="1">INDIRECT("'results" &amp; $B12 &amp; "'!U$14")</f>
        <v>380.27770719230767</v>
      </c>
      <c r="U12" s="5" cm="1">
        <f t="array" aca="1" ref="U12" ca="1">INDIRECT("'results" &amp; $B12 &amp; "'!V$14")</f>
        <v>15</v>
      </c>
      <c r="V12" s="5" cm="1">
        <f t="array" aca="1" ref="V12" ca="1">INDIRECT("'results" &amp; $B12 &amp; "'!W$14")</f>
        <v>78.5</v>
      </c>
      <c r="W12" s="5" cm="1">
        <f t="array" aca="1" ref="W12" ca="1">INDIRECT("'results" &amp; $B12 &amp; "'!X$14")</f>
        <v>1068.8256575547612</v>
      </c>
      <c r="X12" s="5" cm="1">
        <f t="array" aca="1" ref="X12" ca="1">INDIRECT("'results" &amp; $B12 &amp; "'!Y$14")</f>
        <v>63.010649353675987</v>
      </c>
      <c r="Y12" s="5" cm="1">
        <f t="array" aca="1" ref="Y12" ca="1">INDIRECT("'results" &amp; $B12 &amp; "'!Z$14")</f>
        <v>6330.3099579370228</v>
      </c>
      <c r="Z12" s="5"/>
    </row>
    <row r="13" spans="2:26" x14ac:dyDescent="0.2">
      <c r="B13" s="8" t="s">
        <v>3</v>
      </c>
      <c r="C13" s="9">
        <f ca="1">AVERAGE(C3:C12)</f>
        <v>1655292.4436100158</v>
      </c>
      <c r="D13" s="10">
        <f t="shared" ref="D13:I13" ca="1" si="0">AVERAGE(D3:D12)</f>
        <v>579.93365593846136</v>
      </c>
      <c r="E13" s="9">
        <f t="shared" ca="1" si="0"/>
        <v>16.5</v>
      </c>
      <c r="F13" s="9">
        <f t="shared" ca="1" si="0"/>
        <v>95.6</v>
      </c>
      <c r="G13" s="9">
        <f t="shared" ca="1" si="0"/>
        <v>774.15759364959126</v>
      </c>
      <c r="H13" s="10">
        <f t="shared" ca="1" si="0"/>
        <v>43.361413072165782</v>
      </c>
      <c r="I13" s="9">
        <f t="shared" ca="1" si="0"/>
        <v>5920.2150019427027</v>
      </c>
      <c r="J13" s="32" t="e">
        <f ca="1">(C13-$D$15)/$D$15</f>
        <v>#DIV/0!</v>
      </c>
      <c r="K13" s="16">
        <f ca="1">AVERAGE(K3:K12)</f>
        <v>2223468.4289267827</v>
      </c>
      <c r="L13" s="42">
        <f t="shared" ref="L13:Q13" ca="1" si="1">AVERAGE(L3:L12)</f>
        <v>648.04929795769226</v>
      </c>
      <c r="M13" s="16">
        <f t="shared" ca="1" si="1"/>
        <v>26.7</v>
      </c>
      <c r="N13" s="16">
        <f ca="1">AVERAGE(N3:N12)</f>
        <v>76.45</v>
      </c>
      <c r="O13" s="16">
        <f t="shared" ca="1" si="1"/>
        <v>537.86615229468612</v>
      </c>
      <c r="P13" s="42">
        <f t="shared" ca="1" si="1"/>
        <v>19.858925684257475</v>
      </c>
      <c r="Q13" s="16">
        <f t="shared" ca="1" si="1"/>
        <v>4990.1753718111768</v>
      </c>
      <c r="R13" s="43" t="e">
        <f ca="1">(K13-$D$15)/$D$15</f>
        <v>#DIV/0!</v>
      </c>
      <c r="S13" s="38">
        <f ca="1">AVERAGE(S3:S12)</f>
        <v>2239440.8632091298</v>
      </c>
      <c r="T13" s="44">
        <f t="shared" ref="T13:Y13" ca="1" si="2">AVERAGE(T3:T12)</f>
        <v>525.3915574076924</v>
      </c>
      <c r="U13" s="38">
        <f t="shared" ca="1" si="2"/>
        <v>15.6</v>
      </c>
      <c r="V13" s="38">
        <f t="shared" ca="1" si="2"/>
        <v>76.45</v>
      </c>
      <c r="W13" s="38">
        <f t="shared" ca="1" si="2"/>
        <v>1122.0044162193051</v>
      </c>
      <c r="X13" s="44">
        <f t="shared" ca="1" si="2"/>
        <v>55.763462081511285</v>
      </c>
      <c r="Y13" s="38">
        <f t="shared" ca="1" si="2"/>
        <v>6542.0115834394401</v>
      </c>
      <c r="Z13" s="45" t="e">
        <f ca="1">(S13-$D$15)/$D$15</f>
        <v>#DIV/0!</v>
      </c>
    </row>
    <row r="14" spans="2:26" x14ac:dyDescent="0.2">
      <c r="K14" s="46">
        <f ca="1">(K13-C13)/C13</f>
        <v>0.34324809945826601</v>
      </c>
      <c r="L14" s="46">
        <f t="shared" ref="L14:Q14" ca="1" si="3">(L13-D13)/D13</f>
        <v>0.11745419725469232</v>
      </c>
      <c r="M14" s="46">
        <f t="shared" ca="1" si="3"/>
        <v>0.61818181818181817</v>
      </c>
      <c r="N14" s="46">
        <f t="shared" ca="1" si="3"/>
        <v>-0.20031380753138067</v>
      </c>
      <c r="O14" s="46">
        <f t="shared" ca="1" si="3"/>
        <v>-0.30522395348595943</v>
      </c>
      <c r="P14" s="46">
        <f t="shared" ca="1" si="3"/>
        <v>-0.54201387184484628</v>
      </c>
      <c r="Q14" s="46">
        <f t="shared" ca="1" si="3"/>
        <v>-0.15709558349254812</v>
      </c>
      <c r="S14" s="46">
        <f ca="1">(S13-C13)/C13</f>
        <v>0.35289741208819198</v>
      </c>
      <c r="T14" s="46">
        <f t="shared" ref="T14:Y14" ca="1" si="4">(T13-D13)/D13</f>
        <v>-9.4048858817320641E-2</v>
      </c>
      <c r="U14" s="46">
        <f t="shared" ca="1" si="4"/>
        <v>-5.4545454545454564E-2</v>
      </c>
      <c r="V14" s="46">
        <f ca="1">(V13-F13)/F13</f>
        <v>-0.20031380753138067</v>
      </c>
      <c r="W14" s="46">
        <f t="shared" ca="1" si="4"/>
        <v>0.44932301307007594</v>
      </c>
      <c r="X14" s="46">
        <f t="shared" ca="1" si="4"/>
        <v>0.2860157944738782</v>
      </c>
      <c r="Y14" s="46">
        <f t="shared" ca="1" si="4"/>
        <v>0.10502939188740554</v>
      </c>
    </row>
    <row r="16" spans="2:26" x14ac:dyDescent="0.2">
      <c r="B16" s="1" t="s">
        <v>21</v>
      </c>
      <c r="C16">
        <f ca="1">_xlfn.STDEV.S(C3:C12)</f>
        <v>123254.85138532289</v>
      </c>
      <c r="D16">
        <f ca="1">D13/2.6</f>
        <v>223.05140613017744</v>
      </c>
      <c r="J16" s="1" t="s">
        <v>21</v>
      </c>
      <c r="K16">
        <f ca="1">_xlfn.STDEV.S(K3:K12)</f>
        <v>91418.65090608185</v>
      </c>
      <c r="L16">
        <f ca="1">L13/2.6</f>
        <v>249.24972998372778</v>
      </c>
      <c r="R16" s="1" t="s">
        <v>21</v>
      </c>
      <c r="S16">
        <f ca="1">_xlfn.STDEV.S(S3:S12)</f>
        <v>97674.080446780354</v>
      </c>
      <c r="T16">
        <f ca="1">T13/2.6</f>
        <v>202.07367592603552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7FCD-6EFD-4056-988C-A966BA77D37B}">
  <dimension ref="B1:AA34"/>
  <sheetViews>
    <sheetView tabSelected="1" zoomScale="90" zoomScaleNormal="90" workbookViewId="0">
      <selection activeCell="G34" sqref="G3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-0.97170914975116829</v>
      </c>
      <c r="J2" s="28" t="e">
        <f>(S14-J14)/J14</f>
        <v>#DIV/0!</v>
      </c>
      <c r="K2" s="28"/>
      <c r="L2" s="1" t="s">
        <v>19</v>
      </c>
      <c r="P2" s="1">
        <f>(P14-H14)/H14</f>
        <v>-0.15034365973747019</v>
      </c>
      <c r="R2" s="1">
        <f>(R14-J14)/J14</f>
        <v>-0.13290660438291046</v>
      </c>
      <c r="T2" s="1" t="s">
        <v>20</v>
      </c>
      <c r="X2" s="1">
        <f>(X14-P14)/P14</f>
        <v>1.4163772004752599</v>
      </c>
      <c r="Z2" s="1">
        <f>(Z14-R14)/R14</f>
        <v>0.33645229884534883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156</v>
      </c>
      <c r="D4" s="23">
        <v>1676056.5492435179</v>
      </c>
      <c r="E4" s="33">
        <v>745.97628676923068</v>
      </c>
      <c r="F4" s="5">
        <v>16</v>
      </c>
      <c r="G4" s="23">
        <v>93.5</v>
      </c>
      <c r="H4" s="33">
        <v>616.67108846263955</v>
      </c>
      <c r="I4" s="23">
        <v>42.338551530560217</v>
      </c>
      <c r="J4" s="5">
        <v>5841.2202660403264</v>
      </c>
      <c r="K4" s="31"/>
      <c r="L4" s="23">
        <v>2442039.8140767328</v>
      </c>
      <c r="M4" s="33">
        <v>439.10656799999992</v>
      </c>
      <c r="N4" s="5">
        <v>22</v>
      </c>
      <c r="O4" s="5">
        <v>63</v>
      </c>
      <c r="P4" s="33">
        <v>173.63776534419731</v>
      </c>
      <c r="Q4" s="5">
        <v>18.015840113120689</v>
      </c>
      <c r="R4" s="5">
        <v>4467.5213531400941</v>
      </c>
      <c r="S4" s="35"/>
      <c r="T4" s="23">
        <v>2401197.1141561032</v>
      </c>
      <c r="U4" s="33">
        <v>325.48981088461539</v>
      </c>
      <c r="V4" s="5">
        <v>13</v>
      </c>
      <c r="W4" s="5">
        <v>70</v>
      </c>
      <c r="X4" s="33">
        <v>1168.5868889650312</v>
      </c>
      <c r="Y4" s="5">
        <v>55.061075192343914</v>
      </c>
      <c r="Z4" s="5">
        <v>6682.2453669882052</v>
      </c>
      <c r="AA4" s="35"/>
    </row>
    <row r="5" spans="2:27" x14ac:dyDescent="0.2">
      <c r="B5" s="4">
        <v>2</v>
      </c>
      <c r="C5" s="4">
        <v>174</v>
      </c>
      <c r="D5" s="23">
        <v>1742119.186617563</v>
      </c>
      <c r="E5" s="33">
        <v>554.3786547307692</v>
      </c>
      <c r="F5" s="5">
        <v>16</v>
      </c>
      <c r="G5" s="23">
        <v>93.5</v>
      </c>
      <c r="H5" s="33">
        <v>767.10510615683859</v>
      </c>
      <c r="I5" s="23">
        <v>42.847894571269343</v>
      </c>
      <c r="J5" s="5">
        <v>6083.5482729552814</v>
      </c>
      <c r="K5" s="31"/>
      <c r="L5" s="23">
        <v>2350716.6241741432</v>
      </c>
      <c r="M5" s="33">
        <v>788.38450038461531</v>
      </c>
      <c r="N5" s="5">
        <v>29</v>
      </c>
      <c r="O5" s="5">
        <v>73.5</v>
      </c>
      <c r="P5" s="33">
        <v>493.99122134312091</v>
      </c>
      <c r="Q5" s="5">
        <v>17.345736837464383</v>
      </c>
      <c r="R5" s="5">
        <v>4999.5076584851067</v>
      </c>
      <c r="S5" s="35"/>
      <c r="T5" s="23">
        <v>2270960.9277229868</v>
      </c>
      <c r="U5" s="33">
        <v>721.56084653846153</v>
      </c>
      <c r="V5" s="5">
        <v>15</v>
      </c>
      <c r="W5" s="5">
        <v>76</v>
      </c>
      <c r="X5" s="33">
        <v>1146.4036954436249</v>
      </c>
      <c r="Y5" s="5">
        <v>55.51489330536814</v>
      </c>
      <c r="Z5" s="5">
        <v>6670.2409176719193</v>
      </c>
      <c r="AA5" s="35"/>
    </row>
    <row r="6" spans="2:27" x14ac:dyDescent="0.2">
      <c r="B6" s="4">
        <v>3</v>
      </c>
      <c r="C6" s="4">
        <v>358</v>
      </c>
      <c r="D6" s="23">
        <v>1719475.056122933</v>
      </c>
      <c r="E6" s="33">
        <v>1149.6033447307691</v>
      </c>
      <c r="F6" s="5">
        <v>18</v>
      </c>
      <c r="G6" s="23">
        <v>95</v>
      </c>
      <c r="H6" s="33">
        <v>813.08978229937907</v>
      </c>
      <c r="I6" s="23">
        <v>39.585677696312729</v>
      </c>
      <c r="J6" s="5">
        <v>5949.9420018124947</v>
      </c>
      <c r="K6" s="31"/>
      <c r="L6" s="23">
        <v>2257517.0762694231</v>
      </c>
      <c r="M6" s="33">
        <v>524.47356426923079</v>
      </c>
      <c r="N6" s="5">
        <v>31</v>
      </c>
      <c r="O6" s="5">
        <v>78.5</v>
      </c>
      <c r="P6" s="33">
        <v>523.95850016887709</v>
      </c>
      <c r="Q6" s="5">
        <v>17.446149416480569</v>
      </c>
      <c r="R6" s="5">
        <v>5064.8835150282657</v>
      </c>
      <c r="S6" s="35"/>
      <c r="T6" s="23">
        <v>2354899.820641031</v>
      </c>
      <c r="U6" s="33">
        <v>329.07003784615387</v>
      </c>
      <c r="V6" s="5">
        <v>14</v>
      </c>
      <c r="W6" s="5">
        <v>72.5</v>
      </c>
      <c r="X6" s="33">
        <v>1157.9651952960608</v>
      </c>
      <c r="Y6" s="5">
        <v>56.693398097410729</v>
      </c>
      <c r="Z6" s="5">
        <v>6663.7574318483357</v>
      </c>
      <c r="AA6" s="35"/>
    </row>
    <row r="7" spans="2:27" x14ac:dyDescent="0.2">
      <c r="B7" s="4">
        <v>4</v>
      </c>
      <c r="C7" s="4">
        <v>392</v>
      </c>
      <c r="D7" s="23">
        <v>1679991.8520765889</v>
      </c>
      <c r="E7" s="33">
        <v>743.70751896153843</v>
      </c>
      <c r="F7" s="5">
        <v>16</v>
      </c>
      <c r="G7" s="23">
        <v>93.5</v>
      </c>
      <c r="H7" s="33">
        <v>619.42386652092796</v>
      </c>
      <c r="I7" s="23">
        <v>42.413289467172362</v>
      </c>
      <c r="J7" s="5">
        <v>5861.9126145902392</v>
      </c>
      <c r="K7" s="31"/>
      <c r="L7" s="23">
        <v>2334515.859595078</v>
      </c>
      <c r="M7" s="33">
        <v>719.0768844615385</v>
      </c>
      <c r="N7" s="5">
        <v>26</v>
      </c>
      <c r="O7" s="5">
        <v>72</v>
      </c>
      <c r="P7" s="33">
        <v>499.93290293713045</v>
      </c>
      <c r="Q7" s="5">
        <v>19.099372223216545</v>
      </c>
      <c r="R7" s="5">
        <v>4927.6559009939356</v>
      </c>
      <c r="S7" s="35"/>
      <c r="T7" s="23">
        <v>2313803.9397273478</v>
      </c>
      <c r="U7" s="33">
        <v>585.35303488461534</v>
      </c>
      <c r="V7" s="5">
        <v>14</v>
      </c>
      <c r="W7" s="5">
        <v>73.5</v>
      </c>
      <c r="X7" s="33">
        <v>1044.8913091821948</v>
      </c>
      <c r="Y7" s="5">
        <v>56.948300972028868</v>
      </c>
      <c r="Z7" s="5">
        <v>6632.7309764346655</v>
      </c>
      <c r="AA7" s="35"/>
    </row>
    <row r="8" spans="2:27" x14ac:dyDescent="0.2">
      <c r="B8" s="4">
        <v>5</v>
      </c>
      <c r="C8" s="4">
        <v>414</v>
      </c>
      <c r="D8" s="23">
        <v>1691730.0416685881</v>
      </c>
      <c r="E8" s="33">
        <v>762.78737746153843</v>
      </c>
      <c r="F8" s="5">
        <v>16</v>
      </c>
      <c r="G8" s="23">
        <v>93.5</v>
      </c>
      <c r="H8" s="33">
        <v>650.49497046854844</v>
      </c>
      <c r="I8" s="23">
        <v>42.554778244368286</v>
      </c>
      <c r="J8" s="5">
        <v>5867.933780770486</v>
      </c>
      <c r="K8" s="31"/>
      <c r="L8" s="23">
        <v>2330345.5420051012</v>
      </c>
      <c r="M8" s="33">
        <v>1466.728406615385</v>
      </c>
      <c r="N8" s="5">
        <v>27</v>
      </c>
      <c r="O8" s="5">
        <v>72</v>
      </c>
      <c r="P8" s="33">
        <v>362.46568611358595</v>
      </c>
      <c r="Q8" s="5">
        <v>17.527406236884588</v>
      </c>
      <c r="R8" s="5">
        <v>4819.550480125059</v>
      </c>
      <c r="S8" s="35"/>
      <c r="T8" s="23">
        <v>2374286.3517645099</v>
      </c>
      <c r="U8" s="33">
        <v>167.87968415384614</v>
      </c>
      <c r="V8" s="5">
        <v>14</v>
      </c>
      <c r="W8" s="5">
        <v>70.5</v>
      </c>
      <c r="X8" s="33">
        <v>1076.6494374262772</v>
      </c>
      <c r="Y8" s="5">
        <v>54.864769538307691</v>
      </c>
      <c r="Z8" s="5">
        <v>6591.124614321885</v>
      </c>
      <c r="AA8" s="35"/>
    </row>
    <row r="9" spans="2:27" x14ac:dyDescent="0.2">
      <c r="B9" s="4">
        <v>6</v>
      </c>
      <c r="C9" s="4">
        <v>464</v>
      </c>
      <c r="D9" s="23">
        <v>1779264.5597157141</v>
      </c>
      <c r="E9" s="33">
        <v>469.79296173076921</v>
      </c>
      <c r="F9" s="5">
        <v>15</v>
      </c>
      <c r="G9" s="23">
        <v>92.5</v>
      </c>
      <c r="H9" s="33">
        <v>791.19355430453595</v>
      </c>
      <c r="I9" s="23">
        <v>45.276214570176862</v>
      </c>
      <c r="J9" s="5">
        <v>6229.7155458120978</v>
      </c>
      <c r="K9" s="31"/>
      <c r="L9" s="23">
        <v>2333044.8021929041</v>
      </c>
      <c r="M9" s="33">
        <v>490.31915323076925</v>
      </c>
      <c r="N9" s="5">
        <v>30</v>
      </c>
      <c r="O9" s="5">
        <v>75.5</v>
      </c>
      <c r="P9" s="33">
        <v>541.58787519573002</v>
      </c>
      <c r="Q9" s="5">
        <v>17.147891405735486</v>
      </c>
      <c r="R9" s="5">
        <v>5069.0518382601576</v>
      </c>
      <c r="S9" s="35"/>
      <c r="T9" s="23">
        <v>2252348.841328152</v>
      </c>
      <c r="U9" s="33">
        <v>700.87995180769224</v>
      </c>
      <c r="V9" s="5">
        <v>16</v>
      </c>
      <c r="W9" s="5">
        <v>78.5</v>
      </c>
      <c r="X9" s="33">
        <v>1266.0813738032873</v>
      </c>
      <c r="Y9" s="5">
        <v>54.499599809438166</v>
      </c>
      <c r="Z9" s="5">
        <v>6768.9752170434367</v>
      </c>
      <c r="AA9" s="35"/>
    </row>
    <row r="10" spans="2:27" x14ac:dyDescent="0.2">
      <c r="B10" s="4">
        <v>7</v>
      </c>
      <c r="C10" s="4">
        <v>605</v>
      </c>
      <c r="D10" s="23">
        <v>1724179.228982057</v>
      </c>
      <c r="E10" s="33">
        <v>957.4666815384619</v>
      </c>
      <c r="F10" s="5">
        <v>18</v>
      </c>
      <c r="G10" s="23">
        <v>95</v>
      </c>
      <c r="H10" s="33">
        <v>792.75345575803931</v>
      </c>
      <c r="I10" s="23">
        <v>39.804447389971621</v>
      </c>
      <c r="J10" s="5">
        <v>5987.6328343196847</v>
      </c>
      <c r="K10" s="31"/>
      <c r="L10" s="23">
        <v>2469134.5059421021</v>
      </c>
      <c r="M10" s="33">
        <v>767.04354892307686</v>
      </c>
      <c r="N10" s="5">
        <v>20</v>
      </c>
      <c r="O10" s="5">
        <v>62.5</v>
      </c>
      <c r="P10" s="33">
        <v>319.50437110056055</v>
      </c>
      <c r="Q10" s="5">
        <v>19.423300169398818</v>
      </c>
      <c r="R10" s="5">
        <v>4755.7615729932368</v>
      </c>
      <c r="S10" s="35"/>
      <c r="T10" s="23">
        <v>2443942.413904347</v>
      </c>
      <c r="U10" s="33">
        <v>311.589905076923</v>
      </c>
      <c r="V10" s="5">
        <v>14</v>
      </c>
      <c r="W10" s="5">
        <v>67.5</v>
      </c>
      <c r="X10" s="33">
        <v>928.85982044834509</v>
      </c>
      <c r="Y10" s="5">
        <v>50.013137646140613</v>
      </c>
      <c r="Z10" s="5">
        <v>6484.0754969605186</v>
      </c>
      <c r="AA10" s="35"/>
    </row>
    <row r="11" spans="2:27" x14ac:dyDescent="0.2">
      <c r="B11" s="4">
        <v>8</v>
      </c>
      <c r="C11" s="4">
        <v>855</v>
      </c>
      <c r="D11" s="23">
        <v>1716963.8715281021</v>
      </c>
      <c r="E11" s="33">
        <v>311.69330619230794</v>
      </c>
      <c r="F11" s="5">
        <v>16</v>
      </c>
      <c r="G11" s="23">
        <v>93.5</v>
      </c>
      <c r="H11" s="33">
        <v>743.62550295772371</v>
      </c>
      <c r="I11" s="23">
        <v>42.645438621075762</v>
      </c>
      <c r="J11" s="5">
        <v>5971.8387021627977</v>
      </c>
      <c r="K11" s="31"/>
      <c r="L11" s="23">
        <v>2376282.4122100589</v>
      </c>
      <c r="M11" s="33">
        <v>700.18368407692276</v>
      </c>
      <c r="N11" s="5">
        <v>27</v>
      </c>
      <c r="O11" s="5">
        <v>71</v>
      </c>
      <c r="P11" s="33">
        <v>500.73696736305476</v>
      </c>
      <c r="Q11" s="5">
        <v>17.731606785686203</v>
      </c>
      <c r="R11" s="5">
        <v>4876.925258604605</v>
      </c>
      <c r="S11" s="35"/>
      <c r="T11" s="23">
        <v>2273615.2846827731</v>
      </c>
      <c r="U11" s="33">
        <v>771.05893084615377</v>
      </c>
      <c r="V11" s="5">
        <v>16</v>
      </c>
      <c r="W11" s="5">
        <v>76.5</v>
      </c>
      <c r="X11" s="33">
        <v>1069.3585209839609</v>
      </c>
      <c r="Y11" s="5">
        <v>52.18596901531469</v>
      </c>
      <c r="Z11" s="5">
        <v>6601.0292441013517</v>
      </c>
      <c r="AA11" s="35"/>
    </row>
    <row r="12" spans="2:27" x14ac:dyDescent="0.2">
      <c r="B12" s="4">
        <v>9</v>
      </c>
      <c r="C12" s="4">
        <v>870</v>
      </c>
      <c r="D12" s="23">
        <v>1778155.33189416</v>
      </c>
      <c r="E12" s="33">
        <v>421.9157855769231</v>
      </c>
      <c r="F12" s="5">
        <v>15</v>
      </c>
      <c r="G12" s="23">
        <v>92</v>
      </c>
      <c r="H12" s="33">
        <v>757.95959482127159</v>
      </c>
      <c r="I12" s="23">
        <v>44.9846850781041</v>
      </c>
      <c r="J12" s="5">
        <v>6154.84722739677</v>
      </c>
      <c r="K12" s="31"/>
      <c r="L12" s="23">
        <v>2326268.7629314968</v>
      </c>
      <c r="M12" s="33">
        <v>1369.0782735</v>
      </c>
      <c r="N12" s="5">
        <v>28</v>
      </c>
      <c r="O12" s="5">
        <v>74.5</v>
      </c>
      <c r="P12" s="33">
        <v>546.17499894261005</v>
      </c>
      <c r="Q12" s="5">
        <v>18.050036778959416</v>
      </c>
      <c r="R12" s="5">
        <v>5057.145292182553</v>
      </c>
      <c r="S12" s="35"/>
      <c r="T12" s="23">
        <v>2313885.8087594681</v>
      </c>
      <c r="U12" s="33">
        <v>799.45310723076932</v>
      </c>
      <c r="V12" s="5">
        <v>15</v>
      </c>
      <c r="W12" s="5">
        <v>75.5</v>
      </c>
      <c r="X12" s="33">
        <v>1236.9092378159073</v>
      </c>
      <c r="Y12" s="5">
        <v>55.023656015312014</v>
      </c>
      <c r="Z12" s="5">
        <v>6786.6216932271109</v>
      </c>
      <c r="AA12" s="35"/>
    </row>
    <row r="13" spans="2:27" x14ac:dyDescent="0.2">
      <c r="B13" s="4">
        <v>10</v>
      </c>
      <c r="C13" s="4">
        <v>876</v>
      </c>
      <c r="D13" s="23">
        <v>1697810.046209299</v>
      </c>
      <c r="E13" s="33">
        <v>364.29914011538409</v>
      </c>
      <c r="F13" s="5">
        <v>18</v>
      </c>
      <c r="G13" s="23">
        <v>95.5</v>
      </c>
      <c r="H13" s="33">
        <v>734.31390355754013</v>
      </c>
      <c r="I13" s="23">
        <v>39.608586849589841</v>
      </c>
      <c r="J13" s="5">
        <v>5934.7177658136152</v>
      </c>
      <c r="K13" s="31"/>
      <c r="L13" s="23">
        <v>2510047.1116411309</v>
      </c>
      <c r="M13" s="33">
        <v>456.78273200000075</v>
      </c>
      <c r="N13" s="5">
        <v>21</v>
      </c>
      <c r="O13" s="5">
        <v>62.5</v>
      </c>
      <c r="P13" s="33">
        <v>321.73969214496134</v>
      </c>
      <c r="Q13" s="5">
        <v>19.479779149421418</v>
      </c>
      <c r="R13" s="5">
        <v>4901.6126208281712</v>
      </c>
      <c r="S13" s="35"/>
      <c r="T13" s="23">
        <v>2438281.6047139419</v>
      </c>
      <c r="U13" s="33">
        <v>365.84313503846147</v>
      </c>
      <c r="V13" s="5">
        <v>13</v>
      </c>
      <c r="W13" s="5">
        <v>68</v>
      </c>
      <c r="X13" s="33">
        <v>1016.5600765042412</v>
      </c>
      <c r="Y13" s="5">
        <v>55.977193782832416</v>
      </c>
      <c r="Z13" s="5">
        <v>6654.3102809932234</v>
      </c>
      <c r="AA13" s="35"/>
    </row>
    <row r="14" spans="2:27" x14ac:dyDescent="0.2">
      <c r="B14" s="47" t="s">
        <v>3</v>
      </c>
      <c r="C14" s="48"/>
      <c r="D14" s="9">
        <f>MIN(D4:D13)</f>
        <v>1676056.5492435179</v>
      </c>
      <c r="E14" s="22">
        <f>INDEX(E4:E13, MATCH($D$14, D4:D13, 0))</f>
        <v>745.97628676923068</v>
      </c>
      <c r="F14" s="9">
        <f>INDEX(F4:F13, MATCH($D$14, D4:D13, 0))</f>
        <v>16</v>
      </c>
      <c r="G14" s="9">
        <f>INDEX(G4:G13, MATCH($D$14, D4:D13, 0))</f>
        <v>93.5</v>
      </c>
      <c r="H14" s="22">
        <f>INDEX(H4:H13, MATCH($D$14, D4:D13, 0))</f>
        <v>616.67108846263955</v>
      </c>
      <c r="I14" s="22">
        <f>INDEX(I4:I13, MATCH($D$14, D4:D13, 0))</f>
        <v>42.338551530560217</v>
      </c>
      <c r="J14" s="22">
        <f>INDEX(J4:J13, MATCH($D$14, D4:D13, 0))</f>
        <v>5841.2202660403264</v>
      </c>
      <c r="K14" s="32" t="e">
        <f>(D14-$D$15)/$D$15</f>
        <v>#DIV/0!</v>
      </c>
      <c r="L14" s="16">
        <f>MIN(L4:L13)</f>
        <v>2257517.0762694231</v>
      </c>
      <c r="M14" s="21">
        <f>INDEX(M4:M13, MATCH($L$14, L4:L13, 0))</f>
        <v>524.47356426923079</v>
      </c>
      <c r="N14" s="16">
        <f>INDEX(N4:N13, MATCH($L$14, L4:L13, 0))</f>
        <v>31</v>
      </c>
      <c r="O14" s="16">
        <f>INDEX(O4:O13, MATCH($L$14, L4:L13, 0))</f>
        <v>78.5</v>
      </c>
      <c r="P14" s="21">
        <f>INDEX(P4:P13, MATCH($L$14, L4:L13, 0))</f>
        <v>523.95850016887709</v>
      </c>
      <c r="Q14" s="21">
        <f>INDEX(Q4:Q13, MATCH($L$14, L4:L13, 0))</f>
        <v>17.446149416480569</v>
      </c>
      <c r="R14" s="21">
        <f>INDEX(R4:R13, MATCH($L$14, L4:L13, 0))</f>
        <v>5064.8835150282657</v>
      </c>
      <c r="S14" s="36" t="e">
        <f>(L14-$D$15)/$D$15</f>
        <v>#DIV/0!</v>
      </c>
      <c r="T14" s="38">
        <f>MIN(T4:T13)</f>
        <v>2252348.841328152</v>
      </c>
      <c r="U14" s="39">
        <f>INDEX(U4:U13, MATCH($T$14, T4:T13, 0))</f>
        <v>700.87995180769224</v>
      </c>
      <c r="V14" s="38">
        <f>INDEX(V4:V13, MATCH($T$14, T4:T13, 0))</f>
        <v>16</v>
      </c>
      <c r="W14" s="38">
        <f>INDEX(W4:W13, MATCH($T$14, T4:T13, 0))</f>
        <v>78.5</v>
      </c>
      <c r="X14" s="39">
        <f>INDEX(X4:X13, MATCH($T$14, T4:T13, 0))</f>
        <v>1266.0813738032873</v>
      </c>
      <c r="Y14" s="39">
        <f>INDEX(Y4:Y13, MATCH($T$14, T4:T13, 0))</f>
        <v>54.499599809438166</v>
      </c>
      <c r="Z14" s="39">
        <f>INDEX(Z4:Z13, MATCH($T$14, T4:T13, 0))</f>
        <v>6768.9752170434367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0.34692178333024942</v>
      </c>
      <c r="M15" s="41">
        <f t="shared" ref="M15:R15" si="0">(M14-E14)/E14</f>
        <v>-0.29692997810870392</v>
      </c>
      <c r="N15" s="41">
        <f t="shared" si="0"/>
        <v>0.9375</v>
      </c>
      <c r="O15" s="41">
        <f t="shared" si="0"/>
        <v>-0.16042780748663102</v>
      </c>
      <c r="P15" s="41">
        <f t="shared" si="0"/>
        <v>-0.15034365973747019</v>
      </c>
      <c r="Q15" s="41">
        <f t="shared" si="0"/>
        <v>-0.58793702699328687</v>
      </c>
      <c r="R15" s="41">
        <f t="shared" si="0"/>
        <v>-0.13290660438291046</v>
      </c>
      <c r="T15" s="41">
        <f>(T14-D14)/D14</f>
        <v>0.34383821497236566</v>
      </c>
      <c r="U15" s="41">
        <f t="shared" ref="U15:Z15" si="1">(U14-E14)/E14</f>
        <v>-6.0452772777600493E-2</v>
      </c>
      <c r="V15" s="41">
        <f t="shared" si="1"/>
        <v>0</v>
      </c>
      <c r="W15" s="41">
        <f t="shared" si="1"/>
        <v>-0.16042780748663102</v>
      </c>
      <c r="X15" s="41">
        <f t="shared" si="1"/>
        <v>1.0530902088496268</v>
      </c>
      <c r="Y15" s="41">
        <f t="shared" si="1"/>
        <v>0.28723345129320338</v>
      </c>
      <c r="Z15" s="41">
        <f t="shared" si="1"/>
        <v>0.15882896188607884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</sheetData>
  <mergeCells count="1">
    <mergeCell ref="B14:C14"/>
  </mergeCells>
  <conditionalFormatting sqref="C1:C13 C15:C18 C22:C1048576">
    <cfRule type="duplicateValues" dxfId="107" priority="3"/>
    <cfRule type="duplicateValues" dxfId="106" priority="4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8AA2-1E77-46C3-8881-F00337B9B493}">
  <dimension ref="B1:AA34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-0.97671916920719992</v>
      </c>
      <c r="J2" s="28" t="e">
        <f>(S14-J14)/J14</f>
        <v>#DIV/0!</v>
      </c>
      <c r="K2" s="28"/>
      <c r="L2" s="1" t="s">
        <v>19</v>
      </c>
      <c r="P2" s="1">
        <f>(P14-H14)/H14</f>
        <v>-0.52276038275379166</v>
      </c>
      <c r="R2" s="1">
        <f>(R14-J14)/J14</f>
        <v>-0.2015338913516814</v>
      </c>
      <c r="T2" s="1" t="s">
        <v>20</v>
      </c>
      <c r="X2" s="1">
        <f>(X14-P14)/P14</f>
        <v>1.4900597109443594</v>
      </c>
      <c r="Z2" s="1">
        <f>(Z14-R14)/R14</f>
        <v>0.31782621483898255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28</v>
      </c>
      <c r="D4" s="23">
        <v>1696961.731157572</v>
      </c>
      <c r="E4" s="33">
        <v>510.05030653846154</v>
      </c>
      <c r="F4" s="5">
        <v>18</v>
      </c>
      <c r="G4" s="23">
        <v>98.5</v>
      </c>
      <c r="H4" s="33">
        <v>1013.0391953996959</v>
      </c>
      <c r="I4" s="23">
        <v>45.979147770604932</v>
      </c>
      <c r="J4" s="5">
        <v>6366.6562364867223</v>
      </c>
      <c r="K4" s="31"/>
      <c r="L4" s="23">
        <v>2401153.762055642</v>
      </c>
      <c r="M4" s="33">
        <v>827.62375676923068</v>
      </c>
      <c r="N4" s="5">
        <v>19</v>
      </c>
      <c r="O4" s="5">
        <v>63.5</v>
      </c>
      <c r="P4" s="33">
        <v>303.23754608408495</v>
      </c>
      <c r="Q4" s="5">
        <v>25.353701973122352</v>
      </c>
      <c r="R4" s="5">
        <v>4834.6365562186074</v>
      </c>
      <c r="S4" s="35"/>
      <c r="T4" s="23">
        <v>2350409.1157600479</v>
      </c>
      <c r="U4" s="33">
        <v>266.6610117692303</v>
      </c>
      <c r="V4" s="5">
        <v>16</v>
      </c>
      <c r="W4" s="5">
        <v>71</v>
      </c>
      <c r="X4" s="33">
        <v>1016.8016912386024</v>
      </c>
      <c r="Y4" s="5">
        <v>52.143665889605884</v>
      </c>
      <c r="Z4" s="5">
        <v>6491.0928222822822</v>
      </c>
      <c r="AA4" s="35"/>
    </row>
    <row r="5" spans="2:27" x14ac:dyDescent="0.2">
      <c r="B5" s="4">
        <v>2</v>
      </c>
      <c r="C5" s="4">
        <v>665</v>
      </c>
      <c r="D5" s="23">
        <v>1698874.655132971</v>
      </c>
      <c r="E5" s="33">
        <v>325.28474353846156</v>
      </c>
      <c r="F5" s="5">
        <v>18</v>
      </c>
      <c r="G5" s="23">
        <v>98.5</v>
      </c>
      <c r="H5" s="33">
        <v>1020.3034339529911</v>
      </c>
      <c r="I5" s="23">
        <v>45.970681411181225</v>
      </c>
      <c r="J5" s="5">
        <v>6356.8599315124584</v>
      </c>
      <c r="K5" s="31"/>
      <c r="L5" s="23">
        <v>2373665.0011728392</v>
      </c>
      <c r="M5" s="33">
        <v>760.49220788461537</v>
      </c>
      <c r="N5" s="5">
        <v>20</v>
      </c>
      <c r="O5" s="5">
        <v>66</v>
      </c>
      <c r="P5" s="33">
        <v>477.50474358920928</v>
      </c>
      <c r="Q5" s="5">
        <v>25.596915545740234</v>
      </c>
      <c r="R5" s="5">
        <v>5002.2231441761596</v>
      </c>
      <c r="S5" s="35"/>
      <c r="T5" s="23">
        <v>2345738.4263361529</v>
      </c>
      <c r="U5" s="33">
        <v>267.12505776923075</v>
      </c>
      <c r="V5" s="5">
        <v>16</v>
      </c>
      <c r="W5" s="5">
        <v>71.5</v>
      </c>
      <c r="X5" s="33">
        <v>1072.7166820250907</v>
      </c>
      <c r="Y5" s="5">
        <v>55.136050251378506</v>
      </c>
      <c r="Z5" s="5">
        <v>6524.3825665144977</v>
      </c>
      <c r="AA5" s="35"/>
    </row>
    <row r="6" spans="2:27" x14ac:dyDescent="0.2">
      <c r="B6" s="4">
        <v>3</v>
      </c>
      <c r="C6" s="4">
        <v>510</v>
      </c>
      <c r="D6" s="23">
        <v>1695254.9884398149</v>
      </c>
      <c r="E6" s="33">
        <v>987.12352784615382</v>
      </c>
      <c r="F6" s="5">
        <v>18</v>
      </c>
      <c r="G6" s="23">
        <v>98</v>
      </c>
      <c r="H6" s="33">
        <v>965.53871564503481</v>
      </c>
      <c r="I6" s="23">
        <v>45.739941105303956</v>
      </c>
      <c r="J6" s="5">
        <v>6322.9285380734682</v>
      </c>
      <c r="K6" s="31"/>
      <c r="L6" s="23">
        <v>2311945.837675055</v>
      </c>
      <c r="M6" s="33">
        <v>396.60486011538461</v>
      </c>
      <c r="N6" s="5">
        <v>23</v>
      </c>
      <c r="O6" s="5">
        <v>72</v>
      </c>
      <c r="P6" s="33">
        <v>598.06342969539674</v>
      </c>
      <c r="Q6" s="5">
        <v>23.610625383490422</v>
      </c>
      <c r="R6" s="5">
        <v>5279.0345024362823</v>
      </c>
      <c r="S6" s="35"/>
      <c r="T6" s="23">
        <v>2341678.668765943</v>
      </c>
      <c r="U6" s="33">
        <v>506.96787215384614</v>
      </c>
      <c r="V6" s="5">
        <v>15</v>
      </c>
      <c r="W6" s="5">
        <v>72.5</v>
      </c>
      <c r="X6" s="33">
        <v>1190.0789112504838</v>
      </c>
      <c r="Y6" s="5">
        <v>56.200139018138103</v>
      </c>
      <c r="Z6" s="5">
        <v>6654.7659816334663</v>
      </c>
      <c r="AA6" s="35"/>
    </row>
    <row r="7" spans="2:27" x14ac:dyDescent="0.2">
      <c r="B7" s="4">
        <v>4</v>
      </c>
      <c r="C7" s="4">
        <v>557</v>
      </c>
      <c r="D7" s="23">
        <v>1733721.4664165559</v>
      </c>
      <c r="E7" s="33">
        <v>314.3441041538461</v>
      </c>
      <c r="F7" s="5">
        <v>18</v>
      </c>
      <c r="G7" s="23">
        <v>97</v>
      </c>
      <c r="H7" s="33">
        <v>1040.3655715353382</v>
      </c>
      <c r="I7" s="23">
        <v>44.454970160326297</v>
      </c>
      <c r="J7" s="5">
        <v>6336.234372731722</v>
      </c>
      <c r="K7" s="31"/>
      <c r="L7" s="23">
        <v>2245358.9664537939</v>
      </c>
      <c r="M7" s="33">
        <v>963.0800799999995</v>
      </c>
      <c r="N7" s="5">
        <v>24</v>
      </c>
      <c r="O7" s="5">
        <v>73</v>
      </c>
      <c r="P7" s="33">
        <v>464.66099879023488</v>
      </c>
      <c r="Q7" s="5">
        <v>22.667217259266437</v>
      </c>
      <c r="R7" s="5">
        <v>4998.3598144774833</v>
      </c>
      <c r="S7" s="35"/>
      <c r="T7" s="23">
        <v>2247325.6446744329</v>
      </c>
      <c r="U7" s="33">
        <v>615.16998426923078</v>
      </c>
      <c r="V7" s="5">
        <v>17</v>
      </c>
      <c r="W7" s="5">
        <v>77</v>
      </c>
      <c r="X7" s="33">
        <v>1157.0336323347296</v>
      </c>
      <c r="Y7" s="5">
        <v>53.205487771553805</v>
      </c>
      <c r="Z7" s="5">
        <v>6586.9695947161408</v>
      </c>
      <c r="AA7" s="35"/>
    </row>
    <row r="8" spans="2:27" x14ac:dyDescent="0.2">
      <c r="B8" s="4">
        <v>5</v>
      </c>
      <c r="C8" s="4">
        <v>836</v>
      </c>
      <c r="D8" s="23">
        <v>1762644.7185536921</v>
      </c>
      <c r="E8" s="33">
        <v>847.52183496153884</v>
      </c>
      <c r="F8" s="5">
        <v>19</v>
      </c>
      <c r="G8" s="23">
        <v>97</v>
      </c>
      <c r="H8" s="33">
        <v>1032.7500270905057</v>
      </c>
      <c r="I8" s="23">
        <v>42.05448674282465</v>
      </c>
      <c r="J8" s="5">
        <v>6385.0036481163424</v>
      </c>
      <c r="K8" s="31"/>
      <c r="L8" s="23">
        <v>2319179.9638102548</v>
      </c>
      <c r="M8" s="33">
        <v>450.82622984615381</v>
      </c>
      <c r="N8" s="5">
        <v>21</v>
      </c>
      <c r="O8" s="5">
        <v>69.5</v>
      </c>
      <c r="P8" s="33">
        <v>593.78805272996249</v>
      </c>
      <c r="Q8" s="5">
        <v>24.384776822282934</v>
      </c>
      <c r="R8" s="5">
        <v>5110.8262725534478</v>
      </c>
      <c r="S8" s="35"/>
      <c r="T8" s="23">
        <v>2382985.3406379968</v>
      </c>
      <c r="U8" s="33">
        <v>355.54904488461591</v>
      </c>
      <c r="V8" s="5">
        <v>14</v>
      </c>
      <c r="W8" s="5">
        <v>70</v>
      </c>
      <c r="X8" s="33">
        <v>1080.6487017287654</v>
      </c>
      <c r="Y8" s="5">
        <v>55.638722785354766</v>
      </c>
      <c r="Z8" s="5">
        <v>6629.7838934253732</v>
      </c>
      <c r="AA8" s="35"/>
    </row>
    <row r="9" spans="2:27" x14ac:dyDescent="0.2">
      <c r="B9" s="4">
        <v>6</v>
      </c>
      <c r="C9" s="4">
        <v>240</v>
      </c>
      <c r="D9" s="23">
        <v>1744665.5397879791</v>
      </c>
      <c r="E9" s="33">
        <v>607.15433019230773</v>
      </c>
      <c r="F9" s="5">
        <v>18</v>
      </c>
      <c r="G9" s="23">
        <v>96.5</v>
      </c>
      <c r="H9" s="33">
        <v>1013.0301192087242</v>
      </c>
      <c r="I9" s="23">
        <v>44.520457401222323</v>
      </c>
      <c r="J9" s="5">
        <v>6351.7790470673017</v>
      </c>
      <c r="K9" s="31"/>
      <c r="L9" s="23">
        <v>2356366.1168551552</v>
      </c>
      <c r="M9" s="33">
        <v>371.94107165384662</v>
      </c>
      <c r="N9" s="5">
        <v>22</v>
      </c>
      <c r="O9" s="5">
        <v>70</v>
      </c>
      <c r="P9" s="33">
        <v>630.28593822010112</v>
      </c>
      <c r="Q9" s="5">
        <v>24.262704985348968</v>
      </c>
      <c r="R9" s="5">
        <v>5347.8132171808993</v>
      </c>
      <c r="S9" s="35"/>
      <c r="T9" s="23">
        <v>2403459.889115253</v>
      </c>
      <c r="U9" s="33">
        <v>733.90320123076924</v>
      </c>
      <c r="V9" s="5">
        <v>16</v>
      </c>
      <c r="W9" s="5">
        <v>72.5</v>
      </c>
      <c r="X9" s="33">
        <v>1387.2381286790026</v>
      </c>
      <c r="Y9" s="5">
        <v>55.071220142173907</v>
      </c>
      <c r="Z9" s="5">
        <v>6935.5472765150944</v>
      </c>
      <c r="AA9" s="35"/>
    </row>
    <row r="10" spans="2:27" x14ac:dyDescent="0.2">
      <c r="B10" s="4">
        <v>7</v>
      </c>
      <c r="C10" s="4">
        <v>687</v>
      </c>
      <c r="D10" s="23">
        <v>1729585.938562599</v>
      </c>
      <c r="E10" s="33">
        <v>560.91235473076881</v>
      </c>
      <c r="F10" s="5">
        <v>18</v>
      </c>
      <c r="G10" s="23">
        <v>95</v>
      </c>
      <c r="H10" s="33">
        <v>849.20480132320131</v>
      </c>
      <c r="I10" s="23">
        <v>42.888979953989832</v>
      </c>
      <c r="J10" s="5">
        <v>6154.4359900067893</v>
      </c>
      <c r="K10" s="31"/>
      <c r="L10" s="23">
        <v>2263379.98239558</v>
      </c>
      <c r="M10" s="33">
        <v>991.32506746153854</v>
      </c>
      <c r="N10" s="5">
        <v>23</v>
      </c>
      <c r="O10" s="5">
        <v>71.5</v>
      </c>
      <c r="P10" s="33">
        <v>475.67350781047037</v>
      </c>
      <c r="Q10" s="5">
        <v>23.133408432466798</v>
      </c>
      <c r="R10" s="5">
        <v>4997.2503281365889</v>
      </c>
      <c r="S10" s="35"/>
      <c r="T10" s="23">
        <v>2348012.4997898238</v>
      </c>
      <c r="U10" s="33">
        <v>674.63435792307689</v>
      </c>
      <c r="V10" s="5">
        <v>16</v>
      </c>
      <c r="W10" s="5">
        <v>74</v>
      </c>
      <c r="X10" s="33">
        <v>1275.2878753652767</v>
      </c>
      <c r="Y10" s="5">
        <v>52.832286047963535</v>
      </c>
      <c r="Z10" s="5">
        <v>6772.2883738093324</v>
      </c>
      <c r="AA10" s="35"/>
    </row>
    <row r="11" spans="2:27" x14ac:dyDescent="0.2">
      <c r="B11" s="4">
        <v>8</v>
      </c>
      <c r="C11" s="4">
        <v>316</v>
      </c>
      <c r="D11" s="23">
        <v>1687913.448497107</v>
      </c>
      <c r="E11" s="33">
        <v>850.57078519230765</v>
      </c>
      <c r="F11" s="5">
        <v>17</v>
      </c>
      <c r="G11" s="23">
        <v>97</v>
      </c>
      <c r="H11" s="33">
        <v>973.64297094915287</v>
      </c>
      <c r="I11" s="23">
        <v>47.841542769111626</v>
      </c>
      <c r="J11" s="5">
        <v>6259.952376612383</v>
      </c>
      <c r="K11" s="31"/>
      <c r="L11" s="23">
        <v>2272886.61288724</v>
      </c>
      <c r="M11" s="33">
        <v>458.94853542307686</v>
      </c>
      <c r="N11" s="5">
        <v>23</v>
      </c>
      <c r="O11" s="5">
        <v>73</v>
      </c>
      <c r="P11" s="33">
        <v>674.45548385706786</v>
      </c>
      <c r="Q11" s="5">
        <v>23.87053373100732</v>
      </c>
      <c r="R11" s="5">
        <v>5253.1699403158627</v>
      </c>
      <c r="S11" s="35"/>
      <c r="T11" s="23">
        <v>2337026.3625726062</v>
      </c>
      <c r="U11" s="33">
        <v>497.16208753846155</v>
      </c>
      <c r="V11" s="5">
        <v>15</v>
      </c>
      <c r="W11" s="5">
        <v>72.5</v>
      </c>
      <c r="X11" s="33">
        <v>1185.1636844775378</v>
      </c>
      <c r="Y11" s="5">
        <v>56.430759098843438</v>
      </c>
      <c r="Z11" s="5">
        <v>6643.1297295731474</v>
      </c>
      <c r="AA11" s="35"/>
    </row>
    <row r="12" spans="2:27" x14ac:dyDescent="0.2">
      <c r="B12" s="4">
        <v>9</v>
      </c>
      <c r="C12" s="4">
        <v>795</v>
      </c>
      <c r="D12" s="23">
        <v>1834179.0681499159</v>
      </c>
      <c r="E12" s="33">
        <v>281.02831515384634</v>
      </c>
      <c r="F12" s="5">
        <v>16</v>
      </c>
      <c r="G12" s="23">
        <v>91.5</v>
      </c>
      <c r="H12" s="33">
        <v>976.10484752835293</v>
      </c>
      <c r="I12" s="23">
        <v>46.64524198062071</v>
      </c>
      <c r="J12" s="5">
        <v>6339.5511261474776</v>
      </c>
      <c r="K12" s="31"/>
      <c r="L12" s="23">
        <v>2322024.1416578251</v>
      </c>
      <c r="M12" s="33">
        <v>477.08019234615386</v>
      </c>
      <c r="N12" s="5">
        <v>22</v>
      </c>
      <c r="O12" s="5">
        <v>70</v>
      </c>
      <c r="P12" s="33">
        <v>622.17662589420104</v>
      </c>
      <c r="Q12" s="5">
        <v>23.253467841512961</v>
      </c>
      <c r="R12" s="5">
        <v>5113.7513183760793</v>
      </c>
      <c r="S12" s="35"/>
      <c r="T12" s="23">
        <v>2421040.098888536</v>
      </c>
      <c r="U12" s="33">
        <v>436.79088253846152</v>
      </c>
      <c r="V12" s="5">
        <v>15</v>
      </c>
      <c r="W12" s="5">
        <v>69.5</v>
      </c>
      <c r="X12" s="33">
        <v>1209.7100670932359</v>
      </c>
      <c r="Y12" s="5">
        <v>55.701141396778986</v>
      </c>
      <c r="Z12" s="5">
        <v>6684.9053569981625</v>
      </c>
      <c r="AA12" s="35"/>
    </row>
    <row r="13" spans="2:27" x14ac:dyDescent="0.2">
      <c r="B13" s="4">
        <v>10</v>
      </c>
      <c r="C13" s="4">
        <v>707</v>
      </c>
      <c r="D13" s="23">
        <v>1734976.0151280339</v>
      </c>
      <c r="E13" s="33">
        <v>355.77953857692313</v>
      </c>
      <c r="F13" s="5">
        <v>18</v>
      </c>
      <c r="G13" s="23">
        <v>95</v>
      </c>
      <c r="H13" s="33">
        <v>842.04305116745786</v>
      </c>
      <c r="I13" s="23">
        <v>42.665145583257377</v>
      </c>
      <c r="J13" s="5">
        <v>6164.1951518312271</v>
      </c>
      <c r="K13" s="31"/>
      <c r="L13" s="23">
        <v>2307743.4147837148</v>
      </c>
      <c r="M13" s="33">
        <v>668.38024023077003</v>
      </c>
      <c r="N13" s="5">
        <v>24</v>
      </c>
      <c r="O13" s="5">
        <v>73.5</v>
      </c>
      <c r="P13" s="33">
        <v>706.90649077815806</v>
      </c>
      <c r="Q13" s="5">
        <v>23.315550603425141</v>
      </c>
      <c r="R13" s="5">
        <v>5374.3679412359797</v>
      </c>
      <c r="S13" s="35"/>
      <c r="T13" s="23">
        <v>2266566.3309047702</v>
      </c>
      <c r="U13" s="33">
        <v>429.17882111538461</v>
      </c>
      <c r="V13" s="5">
        <v>16</v>
      </c>
      <c r="W13" s="5">
        <v>75</v>
      </c>
      <c r="X13" s="33">
        <v>1151.7313570711922</v>
      </c>
      <c r="Y13" s="5">
        <v>56.800089259884295</v>
      </c>
      <c r="Z13" s="5">
        <v>6558.7844722158961</v>
      </c>
      <c r="AA13" s="35"/>
    </row>
    <row r="14" spans="2:27" x14ac:dyDescent="0.2">
      <c r="B14" s="47" t="s">
        <v>3</v>
      </c>
      <c r="C14" s="48"/>
      <c r="D14" s="9">
        <f>MIN(D4:D13)</f>
        <v>1687913.448497107</v>
      </c>
      <c r="E14" s="22">
        <f>INDEX(E4:E13, MATCH($D$14, D4:D13, 0))</f>
        <v>850.57078519230765</v>
      </c>
      <c r="F14" s="9">
        <f>INDEX(F4:F13, MATCH($D$14, D4:D13, 0))</f>
        <v>17</v>
      </c>
      <c r="G14" s="9">
        <f>INDEX(G4:G13, MATCH($D$14, D4:D13, 0))</f>
        <v>97</v>
      </c>
      <c r="H14" s="22">
        <f>INDEX(H4:H13, MATCH($D$14, D4:D13, 0))</f>
        <v>973.64297094915287</v>
      </c>
      <c r="I14" s="22">
        <f>INDEX(I4:I13, MATCH($D$14, D4:D13, 0))</f>
        <v>47.841542769111626</v>
      </c>
      <c r="J14" s="22">
        <f>INDEX(J4:J13, MATCH($D$14, D4:D13, 0))</f>
        <v>6259.952376612383</v>
      </c>
      <c r="K14" s="32" t="e">
        <f>(D14-$D$15)/$D$15</f>
        <v>#DIV/0!</v>
      </c>
      <c r="L14" s="16">
        <f>MIN(L4:L13)</f>
        <v>2245358.9664537939</v>
      </c>
      <c r="M14" s="21">
        <f>INDEX(M4:M13, MATCH($L$14, L4:L13, 0))</f>
        <v>963.0800799999995</v>
      </c>
      <c r="N14" s="16">
        <f>INDEX(N4:N13, MATCH($L$14, L4:L13, 0))</f>
        <v>24</v>
      </c>
      <c r="O14" s="16">
        <f>INDEX(O4:O13, MATCH($L$14, L4:L13, 0))</f>
        <v>73</v>
      </c>
      <c r="P14" s="21">
        <f>INDEX(P4:P13, MATCH($L$14, L4:L13, 0))</f>
        <v>464.66099879023488</v>
      </c>
      <c r="Q14" s="21">
        <f>INDEX(Q4:Q13, MATCH($L$14, L4:L13, 0))</f>
        <v>22.667217259266437</v>
      </c>
      <c r="R14" s="21">
        <f>INDEX(R4:R13, MATCH($L$14, L4:L13, 0))</f>
        <v>4998.3598144774833</v>
      </c>
      <c r="S14" s="36" t="e">
        <f>(L14-$D$15)/$D$15</f>
        <v>#DIV/0!</v>
      </c>
      <c r="T14" s="38">
        <f>MIN(T4:T13)</f>
        <v>2247325.6446744329</v>
      </c>
      <c r="U14" s="39">
        <f>INDEX(U4:U13, MATCH($T$14, T4:T13, 0))</f>
        <v>615.16998426923078</v>
      </c>
      <c r="V14" s="38">
        <f>INDEX(V4:V13, MATCH($T$14, T4:T13, 0))</f>
        <v>17</v>
      </c>
      <c r="W14" s="38">
        <f>INDEX(W4:W13, MATCH($T$14, T4:T13, 0))</f>
        <v>77</v>
      </c>
      <c r="X14" s="39">
        <f>INDEX(X4:X13, MATCH($T$14, T4:T13, 0))</f>
        <v>1157.0336323347296</v>
      </c>
      <c r="Y14" s="39">
        <f>INDEX(Y4:Y13, MATCH($T$14, T4:T13, 0))</f>
        <v>53.205487771553805</v>
      </c>
      <c r="Z14" s="39">
        <f>INDEX(Z4:Z13, MATCH($T$14, T4:T13, 0))</f>
        <v>6586.9695947161408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0.33025716955631113</v>
      </c>
      <c r="M15" s="41">
        <f t="shared" ref="M15:R15" si="0">(M14-E14)/E14</f>
        <v>0.13227505196084807</v>
      </c>
      <c r="N15" s="41">
        <f t="shared" si="0"/>
        <v>0.41176470588235292</v>
      </c>
      <c r="O15" s="41">
        <f t="shared" si="0"/>
        <v>-0.24742268041237114</v>
      </c>
      <c r="P15" s="41">
        <f t="shared" si="0"/>
        <v>-0.52276038275379166</v>
      </c>
      <c r="Q15" s="41">
        <f t="shared" si="0"/>
        <v>-0.5262022094759603</v>
      </c>
      <c r="R15" s="41">
        <f t="shared" si="0"/>
        <v>-0.2015338913516814</v>
      </c>
      <c r="T15" s="41">
        <f>(T14-D14)/D14</f>
        <v>0.33142232303168045</v>
      </c>
      <c r="U15" s="41">
        <f t="shared" ref="U15:Z15" si="1">(U14-E14)/E14</f>
        <v>-0.27675627357675414</v>
      </c>
      <c r="V15" s="41">
        <f t="shared" si="1"/>
        <v>0</v>
      </c>
      <c r="W15" s="41">
        <f t="shared" si="1"/>
        <v>-0.20618556701030927</v>
      </c>
      <c r="X15" s="41">
        <f t="shared" si="1"/>
        <v>0.18835514337129036</v>
      </c>
      <c r="Y15" s="41">
        <f t="shared" si="1"/>
        <v>0.11211898053390854</v>
      </c>
      <c r="Z15" s="41">
        <f t="shared" si="1"/>
        <v>5.2239569637225501E-2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</sheetData>
  <mergeCells count="1">
    <mergeCell ref="B14:C14"/>
  </mergeCells>
  <conditionalFormatting sqref="C1:C13 C16:C19 C35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22:C34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B304-CFB8-425D-B5E8-5D3305FD8A8E}">
  <dimension ref="B1:AA17"/>
  <sheetViews>
    <sheetView zoomScaleNormal="100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-0.97447447220794547</v>
      </c>
      <c r="J2" s="28" t="e">
        <f>(S14-J14)/J14</f>
        <v>#DIV/0!</v>
      </c>
      <c r="K2" s="28"/>
      <c r="L2" s="1" t="s">
        <v>19</v>
      </c>
      <c r="P2" s="1">
        <f>(P14-H14)/H14</f>
        <v>-0.21517161013382607</v>
      </c>
      <c r="R2" s="1">
        <f>(R14-J14)/J14</f>
        <v>-0.13160795403167658</v>
      </c>
      <c r="T2" s="1" t="s">
        <v>20</v>
      </c>
      <c r="X2" s="1">
        <f>(X14-P14)/P14</f>
        <v>1.2409912006010964</v>
      </c>
      <c r="Z2" s="1">
        <f>(Z14-R14)/R14</f>
        <v>0.34582981920419464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376</v>
      </c>
      <c r="D4" s="23">
        <v>1852047.192901216</v>
      </c>
      <c r="E4" s="33">
        <v>339.3528742307692</v>
      </c>
      <c r="F4" s="5">
        <v>13</v>
      </c>
      <c r="G4" s="23">
        <v>87</v>
      </c>
      <c r="H4" s="33">
        <v>789.16516124144334</v>
      </c>
      <c r="I4" s="23">
        <v>46.947018495715945</v>
      </c>
      <c r="J4" s="5">
        <v>6091.8535649313772</v>
      </c>
      <c r="K4" s="31"/>
      <c r="L4" s="23">
        <v>2195110.163321788</v>
      </c>
      <c r="M4" s="33">
        <v>474.38153807692305</v>
      </c>
      <c r="N4" s="5">
        <v>26</v>
      </c>
      <c r="O4" s="5">
        <v>76.5</v>
      </c>
      <c r="P4" s="33">
        <v>467.63268856555084</v>
      </c>
      <c r="Q4" s="5">
        <v>20.071356335042609</v>
      </c>
      <c r="R4" s="5">
        <v>5067.5780344280947</v>
      </c>
      <c r="S4" s="35"/>
      <c r="T4" s="23">
        <v>2386563.909541823</v>
      </c>
      <c r="U4" s="33">
        <v>189.45469980769235</v>
      </c>
      <c r="V4" s="5">
        <v>13</v>
      </c>
      <c r="W4" s="5">
        <v>69.5</v>
      </c>
      <c r="X4" s="33">
        <v>1109.7800369331642</v>
      </c>
      <c r="Y4" s="5">
        <v>56.442414203026381</v>
      </c>
      <c r="Z4" s="5">
        <v>6690.5656749202117</v>
      </c>
      <c r="AA4" s="35"/>
    </row>
    <row r="5" spans="2:27" x14ac:dyDescent="0.2">
      <c r="B5" s="4">
        <v>2</v>
      </c>
      <c r="C5" s="4">
        <v>287</v>
      </c>
      <c r="D5" s="23">
        <v>1604517.399268918</v>
      </c>
      <c r="E5" s="33">
        <v>1091.6321291923077</v>
      </c>
      <c r="F5" s="5">
        <v>16</v>
      </c>
      <c r="G5" s="23">
        <v>95.5</v>
      </c>
      <c r="H5" s="33">
        <v>750.15659492581881</v>
      </c>
      <c r="I5" s="23">
        <v>42.713527127278496</v>
      </c>
      <c r="J5" s="5">
        <v>5742.8583798157051</v>
      </c>
      <c r="K5" s="31"/>
      <c r="L5" s="23">
        <v>2211013.5247476678</v>
      </c>
      <c r="M5" s="33">
        <v>448.22134099999994</v>
      </c>
      <c r="N5" s="5">
        <v>23</v>
      </c>
      <c r="O5" s="5">
        <v>71</v>
      </c>
      <c r="P5" s="33">
        <v>242.93742883075271</v>
      </c>
      <c r="Q5" s="5">
        <v>20.44486628695061</v>
      </c>
      <c r="R5" s="5">
        <v>4572.74515194369</v>
      </c>
      <c r="S5" s="35"/>
      <c r="T5" s="23">
        <v>2261290.7092534262</v>
      </c>
      <c r="U5" s="33">
        <v>341.41837126923076</v>
      </c>
      <c r="V5" s="5">
        <v>14</v>
      </c>
      <c r="W5" s="5">
        <v>71</v>
      </c>
      <c r="X5" s="33">
        <v>818.25736594745911</v>
      </c>
      <c r="Y5" s="5">
        <v>56.188082054328639</v>
      </c>
      <c r="Z5" s="5">
        <v>6163.9506372256019</v>
      </c>
      <c r="AA5" s="35"/>
    </row>
    <row r="6" spans="2:27" x14ac:dyDescent="0.2">
      <c r="B6" s="4">
        <v>3</v>
      </c>
      <c r="C6" s="4">
        <v>624</v>
      </c>
      <c r="D6" s="23">
        <v>1802145.4668513651</v>
      </c>
      <c r="E6" s="33">
        <v>202.59515953846176</v>
      </c>
      <c r="F6" s="5">
        <v>14</v>
      </c>
      <c r="G6" s="23">
        <v>92</v>
      </c>
      <c r="H6" s="33">
        <v>996.9311187851855</v>
      </c>
      <c r="I6" s="23">
        <v>46.779809036222723</v>
      </c>
      <c r="J6" s="5">
        <v>6310.8459821929482</v>
      </c>
      <c r="K6" s="31"/>
      <c r="L6" s="23">
        <v>2199135.6883646869</v>
      </c>
      <c r="M6" s="33">
        <v>516.87028553846153</v>
      </c>
      <c r="N6" s="5">
        <v>25</v>
      </c>
      <c r="O6" s="5">
        <v>76.5</v>
      </c>
      <c r="P6" s="33">
        <v>633.27833013893701</v>
      </c>
      <c r="Q6" s="5">
        <v>20.379808327949743</v>
      </c>
      <c r="R6" s="5">
        <v>5094.7719189094496</v>
      </c>
      <c r="S6" s="35"/>
      <c r="T6" s="23">
        <v>2268257.0815882399</v>
      </c>
      <c r="U6" s="33">
        <v>428.80178096153844</v>
      </c>
      <c r="V6" s="5">
        <v>13</v>
      </c>
      <c r="W6" s="5">
        <v>73</v>
      </c>
      <c r="X6" s="33">
        <v>1094.1569655106996</v>
      </c>
      <c r="Y6" s="5">
        <v>61.602462765482898</v>
      </c>
      <c r="Z6" s="5">
        <v>6603.657052689282</v>
      </c>
      <c r="AA6" s="35"/>
    </row>
    <row r="7" spans="2:27" x14ac:dyDescent="0.2">
      <c r="B7" s="4">
        <v>4</v>
      </c>
      <c r="C7" s="4">
        <v>301</v>
      </c>
      <c r="D7" s="23">
        <v>1776262.132717534</v>
      </c>
      <c r="E7" s="33">
        <v>396.47075150000001</v>
      </c>
      <c r="F7" s="5">
        <v>16</v>
      </c>
      <c r="G7" s="23">
        <v>91</v>
      </c>
      <c r="H7" s="33">
        <v>828.19760428298969</v>
      </c>
      <c r="I7" s="23">
        <v>40.130086029071151</v>
      </c>
      <c r="J7" s="5">
        <v>5948.1429720710867</v>
      </c>
      <c r="K7" s="31"/>
      <c r="L7" s="23">
        <v>2221186.6548204469</v>
      </c>
      <c r="M7" s="33">
        <v>802.73856319230811</v>
      </c>
      <c r="N7" s="5">
        <v>29</v>
      </c>
      <c r="O7" s="5">
        <v>80.5</v>
      </c>
      <c r="P7" s="33">
        <v>779.69606481144785</v>
      </c>
      <c r="Q7" s="5">
        <v>19.399188555617535</v>
      </c>
      <c r="R7" s="5">
        <v>5362.647290480244</v>
      </c>
      <c r="S7" s="35"/>
      <c r="T7" s="23">
        <v>2288465.865333668</v>
      </c>
      <c r="U7" s="33">
        <v>796.18728284615383</v>
      </c>
      <c r="V7" s="5">
        <v>16</v>
      </c>
      <c r="W7" s="5">
        <v>74.5</v>
      </c>
      <c r="X7" s="33">
        <v>1196.4993660413822</v>
      </c>
      <c r="Y7" s="5">
        <v>54.079654251564229</v>
      </c>
      <c r="Z7" s="5">
        <v>6583.3959590355453</v>
      </c>
      <c r="AA7" s="35"/>
    </row>
    <row r="8" spans="2:27" x14ac:dyDescent="0.2">
      <c r="B8" s="4">
        <v>5</v>
      </c>
      <c r="C8" s="4">
        <v>695</v>
      </c>
      <c r="D8" s="23">
        <v>1628722.4600053651</v>
      </c>
      <c r="E8" s="33">
        <v>738.67595649999998</v>
      </c>
      <c r="F8" s="5">
        <v>18</v>
      </c>
      <c r="G8" s="23">
        <v>96.5</v>
      </c>
      <c r="H8" s="33">
        <v>743.38284968307539</v>
      </c>
      <c r="I8" s="23">
        <v>38.724161853423801</v>
      </c>
      <c r="J8" s="5">
        <v>5833.0856640186566</v>
      </c>
      <c r="K8" s="31"/>
      <c r="L8" s="23">
        <v>2169316.6727637681</v>
      </c>
      <c r="M8" s="33">
        <v>488.49266365384574</v>
      </c>
      <c r="N8" s="5">
        <v>32</v>
      </c>
      <c r="O8" s="5">
        <v>84</v>
      </c>
      <c r="P8" s="33">
        <v>734.93385062192897</v>
      </c>
      <c r="Q8" s="5">
        <v>18.330889440223597</v>
      </c>
      <c r="R8" s="5">
        <v>5314.473973899987</v>
      </c>
      <c r="S8" s="35"/>
      <c r="T8" s="23">
        <v>2297466.078634942</v>
      </c>
      <c r="U8" s="33">
        <v>813.88741576923076</v>
      </c>
      <c r="V8" s="5">
        <v>15</v>
      </c>
      <c r="W8" s="5">
        <v>73</v>
      </c>
      <c r="X8" s="33">
        <v>1098.3337893234752</v>
      </c>
      <c r="Y8" s="5">
        <v>54.546060040403098</v>
      </c>
      <c r="Z8" s="5">
        <v>6525.415634217542</v>
      </c>
      <c r="AA8" s="35"/>
    </row>
    <row r="9" spans="2:27" x14ac:dyDescent="0.2">
      <c r="B9" s="4">
        <v>6</v>
      </c>
      <c r="C9" s="4">
        <v>307</v>
      </c>
      <c r="D9" s="23">
        <v>1734170.3060659531</v>
      </c>
      <c r="E9" s="33">
        <v>743.22148638461579</v>
      </c>
      <c r="F9" s="5">
        <v>17</v>
      </c>
      <c r="G9" s="23">
        <v>95.5</v>
      </c>
      <c r="H9" s="33">
        <v>986.37627151249194</v>
      </c>
      <c r="I9" s="23">
        <v>40.232984540280597</v>
      </c>
      <c r="J9" s="5">
        <v>6135.0277974335659</v>
      </c>
      <c r="K9" s="31"/>
      <c r="L9" s="23">
        <v>2100347.229267342</v>
      </c>
      <c r="M9" s="33">
        <v>1516.9286167692308</v>
      </c>
      <c r="N9" s="5">
        <v>30</v>
      </c>
      <c r="O9" s="5">
        <v>82.5</v>
      </c>
      <c r="P9" s="33">
        <v>588.74419254312204</v>
      </c>
      <c r="Q9" s="5">
        <v>19.148143012171946</v>
      </c>
      <c r="R9" s="5">
        <v>4987.0525381544912</v>
      </c>
      <c r="S9" s="35"/>
      <c r="T9" s="23">
        <v>2240325.41936161</v>
      </c>
      <c r="U9" s="33">
        <v>836.80595400000004</v>
      </c>
      <c r="V9" s="5">
        <v>16</v>
      </c>
      <c r="W9" s="5">
        <v>76</v>
      </c>
      <c r="X9" s="33">
        <v>1096.5858170490533</v>
      </c>
      <c r="Y9" s="5">
        <v>53.085374096651606</v>
      </c>
      <c r="Z9" s="5">
        <v>6484.3823212029147</v>
      </c>
      <c r="AA9" s="35"/>
    </row>
    <row r="10" spans="2:27" x14ac:dyDescent="0.2">
      <c r="B10" s="4">
        <v>7</v>
      </c>
      <c r="C10" s="4">
        <v>365</v>
      </c>
      <c r="D10" s="23">
        <v>1657326.854033835</v>
      </c>
      <c r="E10" s="33">
        <v>711.48917923076885</v>
      </c>
      <c r="F10" s="5">
        <v>15</v>
      </c>
      <c r="G10" s="23">
        <v>95.5</v>
      </c>
      <c r="H10" s="33">
        <v>856.47129735550664</v>
      </c>
      <c r="I10" s="23">
        <v>45.729289743890554</v>
      </c>
      <c r="J10" s="5">
        <v>6047.245902951453</v>
      </c>
      <c r="K10" s="31"/>
      <c r="L10" s="23">
        <v>2306673.8809683179</v>
      </c>
      <c r="M10" s="33">
        <v>502.00440888461537</v>
      </c>
      <c r="N10" s="5">
        <v>21</v>
      </c>
      <c r="O10" s="5">
        <v>70</v>
      </c>
      <c r="P10" s="33">
        <v>523.5489121166928</v>
      </c>
      <c r="Q10" s="5">
        <v>21.974696005850319</v>
      </c>
      <c r="R10" s="5">
        <v>5063.384282808237</v>
      </c>
      <c r="S10" s="35"/>
      <c r="T10" s="23">
        <v>2188148.5937620872</v>
      </c>
      <c r="U10" s="33">
        <v>1375.2589468846154</v>
      </c>
      <c r="V10" s="5">
        <v>16</v>
      </c>
      <c r="W10" s="5">
        <v>79</v>
      </c>
      <c r="X10" s="33">
        <v>1271.8283636660717</v>
      </c>
      <c r="Y10" s="5">
        <v>56.743241500646192</v>
      </c>
      <c r="Z10" s="5">
        <v>6623.8841006561333</v>
      </c>
      <c r="AA10" s="35"/>
    </row>
    <row r="11" spans="2:27" x14ac:dyDescent="0.2">
      <c r="B11" s="4">
        <v>8</v>
      </c>
      <c r="C11" s="4">
        <v>366</v>
      </c>
      <c r="D11" s="23">
        <v>1621019.681014793</v>
      </c>
      <c r="E11" s="33">
        <v>366.88008250000024</v>
      </c>
      <c r="F11" s="5">
        <v>16</v>
      </c>
      <c r="G11" s="23">
        <v>96</v>
      </c>
      <c r="H11" s="33">
        <v>807.73694324992039</v>
      </c>
      <c r="I11" s="23">
        <v>43.003614259729481</v>
      </c>
      <c r="J11" s="5">
        <v>5854.5967108691484</v>
      </c>
      <c r="K11" s="31"/>
      <c r="L11" s="23">
        <v>2140202.7580553819</v>
      </c>
      <c r="M11" s="33">
        <v>770.31355561538453</v>
      </c>
      <c r="N11" s="5">
        <v>27</v>
      </c>
      <c r="O11" s="5">
        <v>78.5</v>
      </c>
      <c r="P11" s="33">
        <v>499.92398250860765</v>
      </c>
      <c r="Q11" s="5">
        <v>19.877650953230656</v>
      </c>
      <c r="R11" s="5">
        <v>4931.172141017104</v>
      </c>
      <c r="S11" s="35"/>
      <c r="T11" s="23">
        <v>2185866.7275294289</v>
      </c>
      <c r="U11" s="33">
        <v>623.14303092307694</v>
      </c>
      <c r="V11" s="5">
        <v>17</v>
      </c>
      <c r="W11" s="5">
        <v>80</v>
      </c>
      <c r="X11" s="33">
        <v>1319.3705548941341</v>
      </c>
      <c r="Y11" s="5">
        <v>55.005673177320837</v>
      </c>
      <c r="Z11" s="5">
        <v>6711.7240157862789</v>
      </c>
      <c r="AA11" s="35"/>
    </row>
    <row r="12" spans="2:27" x14ac:dyDescent="0.2">
      <c r="B12" s="4">
        <v>9</v>
      </c>
      <c r="C12" s="4">
        <v>741</v>
      </c>
      <c r="D12" s="23">
        <v>1650095.50455142</v>
      </c>
      <c r="E12" s="33">
        <v>540.86704796153879</v>
      </c>
      <c r="F12" s="5">
        <v>16</v>
      </c>
      <c r="G12" s="23">
        <v>95</v>
      </c>
      <c r="H12" s="33">
        <v>792.83738521874909</v>
      </c>
      <c r="I12" s="23">
        <v>42.506621909356113</v>
      </c>
      <c r="J12" s="5">
        <v>5895.3747868548089</v>
      </c>
      <c r="K12" s="31"/>
      <c r="L12" s="23">
        <v>2130593.8679817719</v>
      </c>
      <c r="M12" s="33">
        <v>642.88712103846149</v>
      </c>
      <c r="N12" s="5">
        <v>33</v>
      </c>
      <c r="O12" s="5">
        <v>85.5</v>
      </c>
      <c r="P12" s="33">
        <v>769.75628678891701</v>
      </c>
      <c r="Q12" s="5">
        <v>18.214970960146545</v>
      </c>
      <c r="R12" s="5">
        <v>5234.3335672998519</v>
      </c>
      <c r="S12" s="35"/>
      <c r="T12" s="23">
        <v>2228556.9893477978</v>
      </c>
      <c r="U12" s="33">
        <v>160.45462861538454</v>
      </c>
      <c r="V12" s="5">
        <v>13</v>
      </c>
      <c r="W12" s="5">
        <v>74</v>
      </c>
      <c r="X12" s="33">
        <v>987.25496574412205</v>
      </c>
      <c r="Y12" s="5">
        <v>63.364029173287399</v>
      </c>
      <c r="Z12" s="5">
        <v>6559.3101599784659</v>
      </c>
      <c r="AA12" s="35"/>
    </row>
    <row r="13" spans="2:27" x14ac:dyDescent="0.2">
      <c r="B13" s="4">
        <v>10</v>
      </c>
      <c r="C13" s="4">
        <v>638</v>
      </c>
      <c r="D13" s="23">
        <v>1614689.7694951179</v>
      </c>
      <c r="E13" s="33">
        <v>311.92024646153817</v>
      </c>
      <c r="F13" s="5">
        <v>16</v>
      </c>
      <c r="G13" s="23">
        <v>95.5</v>
      </c>
      <c r="H13" s="33">
        <v>745.32966203140279</v>
      </c>
      <c r="I13" s="23">
        <v>42.893041205939689</v>
      </c>
      <c r="J13" s="5">
        <v>5803.2869963974554</v>
      </c>
      <c r="K13" s="31"/>
      <c r="L13" s="23">
        <v>2138598.7739334879</v>
      </c>
      <c r="M13" s="33">
        <v>440.8974857692304</v>
      </c>
      <c r="N13" s="5">
        <v>28</v>
      </c>
      <c r="O13" s="5">
        <v>81</v>
      </c>
      <c r="P13" s="33">
        <v>650.32460296888257</v>
      </c>
      <c r="Q13" s="5">
        <v>19.986431139368651</v>
      </c>
      <c r="R13" s="5">
        <v>5152.5406723714159</v>
      </c>
      <c r="S13" s="35"/>
      <c r="T13" s="23">
        <v>2293800.9962456189</v>
      </c>
      <c r="U13" s="33">
        <v>1214.977430923077</v>
      </c>
      <c r="V13" s="5">
        <v>18</v>
      </c>
      <c r="W13" s="5">
        <v>75</v>
      </c>
      <c r="X13" s="33">
        <v>1257.7130745242878</v>
      </c>
      <c r="Y13" s="5">
        <v>48.050869503636378</v>
      </c>
      <c r="Z13" s="5">
        <v>6461.3308270129764</v>
      </c>
      <c r="AA13" s="35"/>
    </row>
    <row r="14" spans="2:27" x14ac:dyDescent="0.2">
      <c r="B14" s="47" t="s">
        <v>3</v>
      </c>
      <c r="C14" s="48"/>
      <c r="D14" s="9">
        <f>MIN(D4:D13)</f>
        <v>1604517.399268918</v>
      </c>
      <c r="E14" s="22">
        <f>INDEX(E4:E13, MATCH($D$14, D4:D13, 0))</f>
        <v>1091.6321291923077</v>
      </c>
      <c r="F14" s="9">
        <f>INDEX(F4:F13, MATCH($D$14, D4:D13, 0))</f>
        <v>16</v>
      </c>
      <c r="G14" s="9">
        <f>INDEX(G4:G13, MATCH($D$14, D4:D13, 0))</f>
        <v>95.5</v>
      </c>
      <c r="H14" s="22">
        <f>INDEX(H4:H13, MATCH($D$14, D4:D13, 0))</f>
        <v>750.15659492581881</v>
      </c>
      <c r="I14" s="22">
        <f>INDEX(I4:I13, MATCH($D$14, D4:D13, 0))</f>
        <v>42.713527127278496</v>
      </c>
      <c r="J14" s="22">
        <f>INDEX(J4:J13, MATCH($D$14, D4:D13, 0))</f>
        <v>5742.8583798157051</v>
      </c>
      <c r="K14" s="32" t="e">
        <f>(D14-$D$15)/$D$15</f>
        <v>#DIV/0!</v>
      </c>
      <c r="L14" s="16">
        <f>MIN(L4:L13)</f>
        <v>2100347.229267342</v>
      </c>
      <c r="M14" s="21">
        <f>INDEX(M4:M13, MATCH($L$14, L4:L13, 0))</f>
        <v>1516.9286167692308</v>
      </c>
      <c r="N14" s="16">
        <f>INDEX(N4:N13, MATCH($L$14, L4:L13, 0))</f>
        <v>30</v>
      </c>
      <c r="O14" s="16">
        <f>INDEX(O4:O13, MATCH($L$14, L4:L13, 0))</f>
        <v>82.5</v>
      </c>
      <c r="P14" s="21">
        <f>INDEX(P4:P13, MATCH($L$14, L4:L13, 0))</f>
        <v>588.74419254312204</v>
      </c>
      <c r="Q14" s="21">
        <f>INDEX(Q4:Q13, MATCH($L$14, L4:L13, 0))</f>
        <v>19.148143012171946</v>
      </c>
      <c r="R14" s="21">
        <f>INDEX(R4:R13, MATCH($L$14, L4:L13, 0))</f>
        <v>4987.0525381544912</v>
      </c>
      <c r="S14" s="36" t="e">
        <f>(L14-$D$15)/$D$15</f>
        <v>#DIV/0!</v>
      </c>
      <c r="T14" s="38">
        <f>MIN(T4:T13)</f>
        <v>2185866.7275294289</v>
      </c>
      <c r="U14" s="39">
        <f>INDEX(U4:U13, MATCH($T$14, T4:T13, 0))</f>
        <v>623.14303092307694</v>
      </c>
      <c r="V14" s="38">
        <f>INDEX(V4:V13, MATCH($T$14, T4:T13, 0))</f>
        <v>17</v>
      </c>
      <c r="W14" s="38">
        <f>INDEX(W4:W13, MATCH($T$14, T4:T13, 0))</f>
        <v>80</v>
      </c>
      <c r="X14" s="39">
        <f>INDEX(X4:X13, MATCH($T$14, T4:T13, 0))</f>
        <v>1319.3705548941341</v>
      </c>
      <c r="Y14" s="39">
        <f>INDEX(Y4:Y13, MATCH($T$14, T4:T13, 0))</f>
        <v>55.005673177320837</v>
      </c>
      <c r="Z14" s="39">
        <f>INDEX(Z4:Z13, MATCH($T$14, T4:T13, 0))</f>
        <v>6711.7240157862789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0.30902116126901702</v>
      </c>
      <c r="M15" s="41">
        <f t="shared" ref="M15:R15" si="0">(M14-E14)/E14</f>
        <v>0.38959689459818064</v>
      </c>
      <c r="N15" s="41">
        <f t="shared" si="0"/>
        <v>0.875</v>
      </c>
      <c r="O15" s="41">
        <f t="shared" si="0"/>
        <v>-0.13612565445026178</v>
      </c>
      <c r="P15" s="41">
        <f t="shared" si="0"/>
        <v>-0.21517161013382607</v>
      </c>
      <c r="Q15" s="41">
        <f t="shared" si="0"/>
        <v>-0.55170775396014515</v>
      </c>
      <c r="R15" s="41">
        <f t="shared" si="0"/>
        <v>-0.13160795403167658</v>
      </c>
      <c r="T15" s="41">
        <f>(T14-D14)/D14</f>
        <v>0.36232036407046558</v>
      </c>
      <c r="U15" s="41">
        <f t="shared" ref="U15:Z15" si="1">(U14-E14)/E14</f>
        <v>-0.42916389664699878</v>
      </c>
      <c r="V15" s="41">
        <f t="shared" si="1"/>
        <v>6.25E-2</v>
      </c>
      <c r="W15" s="41">
        <f t="shared" si="1"/>
        <v>-0.16230366492146597</v>
      </c>
      <c r="X15" s="41">
        <f t="shared" si="1"/>
        <v>0.75879351567202247</v>
      </c>
      <c r="Y15" s="41">
        <f t="shared" si="1"/>
        <v>0.28778110534899154</v>
      </c>
      <c r="Z15" s="41">
        <f t="shared" si="1"/>
        <v>0.16870791022390941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22:C34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5EEE-BEBA-42ED-8A95-6402BB88E5B0}">
  <dimension ref="B1:AA17"/>
  <sheetViews>
    <sheetView topLeftCell="I1" zoomScaleNormal="100" workbookViewId="0">
      <selection activeCell="P33" sqref="P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-0.96560386793084341</v>
      </c>
      <c r="J2" s="28" t="e">
        <f>(S14-J14)/J14</f>
        <v>#DIV/0!</v>
      </c>
      <c r="K2" s="28"/>
      <c r="L2" s="1" t="s">
        <v>19</v>
      </c>
      <c r="P2" s="1">
        <f>(P14-H14)/H14</f>
        <v>-0.45052048970883757</v>
      </c>
      <c r="R2" s="1">
        <f>(R14-J14)/J14</f>
        <v>-0.22023293657184659</v>
      </c>
      <c r="T2" s="1" t="s">
        <v>20</v>
      </c>
      <c r="X2" s="1">
        <f>(X14-P14)/P14</f>
        <v>1.6955882023376698</v>
      </c>
      <c r="Z2" s="1">
        <f>(Z14-R14)/R14</f>
        <v>0.42336008210218834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403</v>
      </c>
      <c r="D4" s="23">
        <v>1680410.8439271541</v>
      </c>
      <c r="E4" s="33">
        <v>536.05281303846152</v>
      </c>
      <c r="F4" s="5">
        <v>15</v>
      </c>
      <c r="G4" s="23">
        <v>96</v>
      </c>
      <c r="H4" s="33">
        <v>881.01039812380543</v>
      </c>
      <c r="I4" s="23">
        <v>51.455746977539626</v>
      </c>
      <c r="J4" s="5">
        <v>6244.2300619342386</v>
      </c>
      <c r="K4" s="31"/>
      <c r="L4" s="23">
        <v>2416219.649146561</v>
      </c>
      <c r="M4" s="33">
        <v>728.16435999999999</v>
      </c>
      <c r="N4" s="5">
        <v>23</v>
      </c>
      <c r="O4" s="5">
        <v>65.5</v>
      </c>
      <c r="P4" s="33">
        <v>413.92061195620414</v>
      </c>
      <c r="Q4" s="5">
        <v>19.479914616130642</v>
      </c>
      <c r="R4" s="5">
        <v>4665.8696154239324</v>
      </c>
      <c r="S4" s="35"/>
      <c r="T4" s="23">
        <v>2235116.3616395532</v>
      </c>
      <c r="U4" s="33">
        <v>236.57921696153844</v>
      </c>
      <c r="V4" s="5">
        <v>16</v>
      </c>
      <c r="W4" s="5">
        <v>73.5</v>
      </c>
      <c r="X4" s="33">
        <v>861.16406193938133</v>
      </c>
      <c r="Y4" s="5">
        <v>56.092532387337734</v>
      </c>
      <c r="Z4" s="5">
        <v>6208.075892676502</v>
      </c>
      <c r="AA4" s="35"/>
    </row>
    <row r="5" spans="2:27" x14ac:dyDescent="0.2">
      <c r="B5" s="4">
        <v>2</v>
      </c>
      <c r="C5" s="4">
        <v>486</v>
      </c>
      <c r="D5" s="23">
        <v>1684350.9674846721</v>
      </c>
      <c r="E5" s="33">
        <v>682.96285546153842</v>
      </c>
      <c r="F5" s="5">
        <v>17</v>
      </c>
      <c r="G5" s="23">
        <v>96.5</v>
      </c>
      <c r="H5" s="33">
        <v>842.2917280206691</v>
      </c>
      <c r="I5" s="23">
        <v>45.221268744465064</v>
      </c>
      <c r="J5" s="5">
        <v>6138.3739525627752</v>
      </c>
      <c r="K5" s="31"/>
      <c r="L5" s="23">
        <v>2430579.823991057</v>
      </c>
      <c r="M5" s="33">
        <v>499.5464003461538</v>
      </c>
      <c r="N5" s="5">
        <v>20</v>
      </c>
      <c r="O5" s="5">
        <v>61.5</v>
      </c>
      <c r="P5" s="33">
        <v>301.26428975576772</v>
      </c>
      <c r="Q5" s="5">
        <v>21.376775161452844</v>
      </c>
      <c r="R5" s="5">
        <v>4413.9995888677067</v>
      </c>
      <c r="S5" s="35"/>
      <c r="T5" s="23">
        <v>2333019.427666191</v>
      </c>
      <c r="U5" s="33">
        <v>337.61983726923074</v>
      </c>
      <c r="V5" s="5">
        <v>15</v>
      </c>
      <c r="W5" s="5">
        <v>72.5</v>
      </c>
      <c r="X5" s="33">
        <v>1159.36218302004</v>
      </c>
      <c r="Y5" s="5">
        <v>58.708383195338833</v>
      </c>
      <c r="Z5" s="5">
        <v>6635.8419017810866</v>
      </c>
      <c r="AA5" s="35"/>
    </row>
    <row r="6" spans="2:27" x14ac:dyDescent="0.2">
      <c r="B6" s="4">
        <v>3</v>
      </c>
      <c r="C6" s="4">
        <v>812</v>
      </c>
      <c r="D6" s="23">
        <v>1563458.2840002091</v>
      </c>
      <c r="E6" s="33">
        <v>627.85157057692311</v>
      </c>
      <c r="F6" s="5">
        <v>16</v>
      </c>
      <c r="G6" s="23">
        <v>96</v>
      </c>
      <c r="H6" s="33">
        <v>654.19831256078305</v>
      </c>
      <c r="I6" s="23">
        <v>47.312548829537846</v>
      </c>
      <c r="J6" s="5">
        <v>5728.5045168077786</v>
      </c>
      <c r="K6" s="31"/>
      <c r="L6" s="23">
        <v>2396432.0672765779</v>
      </c>
      <c r="M6" s="33">
        <v>1114.7221965384615</v>
      </c>
      <c r="N6" s="5">
        <v>22</v>
      </c>
      <c r="O6" s="5">
        <v>63.5</v>
      </c>
      <c r="P6" s="33">
        <v>263.6543629898149</v>
      </c>
      <c r="Q6" s="5">
        <v>19.428151628229685</v>
      </c>
      <c r="R6" s="5">
        <v>4319.7815577548508</v>
      </c>
      <c r="S6" s="35"/>
      <c r="T6" s="23">
        <v>2349582.6860890021</v>
      </c>
      <c r="U6" s="33">
        <v>451.07322330769227</v>
      </c>
      <c r="V6" s="5">
        <v>14</v>
      </c>
      <c r="W6" s="5">
        <v>69.5</v>
      </c>
      <c r="X6" s="33">
        <v>978.32884515350781</v>
      </c>
      <c r="Y6" s="5">
        <v>59.147322535453462</v>
      </c>
      <c r="Z6" s="5">
        <v>6488.1415205513031</v>
      </c>
      <c r="AA6" s="35"/>
    </row>
    <row r="7" spans="2:27" x14ac:dyDescent="0.2">
      <c r="B7" s="4">
        <v>4</v>
      </c>
      <c r="C7" s="4">
        <v>765</v>
      </c>
      <c r="D7" s="23">
        <v>1565217.1779757999</v>
      </c>
      <c r="E7" s="33">
        <v>252.65304830769239</v>
      </c>
      <c r="F7" s="5">
        <v>17</v>
      </c>
      <c r="G7" s="23">
        <v>97</v>
      </c>
      <c r="H7" s="33">
        <v>639.28968265331514</v>
      </c>
      <c r="I7" s="23">
        <v>45.136544941350891</v>
      </c>
      <c r="J7" s="5">
        <v>5797.5480573280392</v>
      </c>
      <c r="K7" s="31"/>
      <c r="L7" s="23">
        <v>2554903.4628359978</v>
      </c>
      <c r="M7" s="33">
        <v>563.17841365384652</v>
      </c>
      <c r="N7" s="5">
        <v>17</v>
      </c>
      <c r="O7" s="5">
        <v>55.5</v>
      </c>
      <c r="P7" s="33">
        <v>118.53948365857997</v>
      </c>
      <c r="Q7" s="5">
        <v>21.751401132940877</v>
      </c>
      <c r="R7" s="5">
        <v>4395.7159416294035</v>
      </c>
      <c r="S7" s="35"/>
      <c r="T7" s="23">
        <v>2285380.2908058031</v>
      </c>
      <c r="U7" s="33">
        <v>548.80285573076924</v>
      </c>
      <c r="V7" s="5">
        <v>13</v>
      </c>
      <c r="W7" s="5">
        <v>70.5</v>
      </c>
      <c r="X7" s="33">
        <v>832.56443449626488</v>
      </c>
      <c r="Y7" s="5">
        <v>63.039971248720448</v>
      </c>
      <c r="Z7" s="5">
        <v>6345.3855109013675</v>
      </c>
      <c r="AA7" s="35"/>
    </row>
    <row r="8" spans="2:27" x14ac:dyDescent="0.2">
      <c r="B8" s="4">
        <v>5</v>
      </c>
      <c r="C8" s="4">
        <v>758</v>
      </c>
      <c r="D8" s="23">
        <v>1568620.3553973839</v>
      </c>
      <c r="E8" s="33">
        <v>560.48059053846157</v>
      </c>
      <c r="F8" s="5">
        <v>17</v>
      </c>
      <c r="G8" s="23">
        <v>96.5</v>
      </c>
      <c r="H8" s="33">
        <v>639.36367863508769</v>
      </c>
      <c r="I8" s="23">
        <v>45.016221671389488</v>
      </c>
      <c r="J8" s="5">
        <v>5735.7234826877029</v>
      </c>
      <c r="K8" s="31"/>
      <c r="L8" s="23">
        <v>2378351.9981127679</v>
      </c>
      <c r="M8" s="33">
        <v>868.29436180769187</v>
      </c>
      <c r="N8" s="5">
        <v>22</v>
      </c>
      <c r="O8" s="5">
        <v>66</v>
      </c>
      <c r="P8" s="33">
        <v>412.93056546781355</v>
      </c>
      <c r="Q8" s="5">
        <v>20.772222385406227</v>
      </c>
      <c r="R8" s="5">
        <v>4650.384971401164</v>
      </c>
      <c r="S8" s="35"/>
      <c r="T8" s="23">
        <v>2239077.1325695431</v>
      </c>
      <c r="U8" s="33">
        <v>377.94879773076934</v>
      </c>
      <c r="V8" s="5">
        <v>15</v>
      </c>
      <c r="W8" s="5">
        <v>74.5</v>
      </c>
      <c r="X8" s="33">
        <v>1094.9426465363251</v>
      </c>
      <c r="Y8" s="5">
        <v>60.190847828106286</v>
      </c>
      <c r="Z8" s="5">
        <v>6414.776782345195</v>
      </c>
      <c r="AA8" s="35"/>
    </row>
    <row r="9" spans="2:27" x14ac:dyDescent="0.2">
      <c r="B9" s="4">
        <v>6</v>
      </c>
      <c r="C9" s="4">
        <v>137</v>
      </c>
      <c r="D9" s="23">
        <v>1556719.815921003</v>
      </c>
      <c r="E9" s="33">
        <v>322.64951242307689</v>
      </c>
      <c r="F9" s="5">
        <v>17</v>
      </c>
      <c r="G9" s="23">
        <v>97</v>
      </c>
      <c r="H9" s="33">
        <v>623.66816620261875</v>
      </c>
      <c r="I9" s="23">
        <v>45.004134559342617</v>
      </c>
      <c r="J9" s="5">
        <v>5759.6145819013727</v>
      </c>
      <c r="K9" s="31"/>
      <c r="L9" s="23">
        <v>2473502.372087115</v>
      </c>
      <c r="M9" s="33">
        <v>671.6626784615388</v>
      </c>
      <c r="N9" s="5">
        <v>20</v>
      </c>
      <c r="O9" s="5">
        <v>61</v>
      </c>
      <c r="P9" s="33">
        <v>200.93100843595118</v>
      </c>
      <c r="Q9" s="5">
        <v>20.4446713375436</v>
      </c>
      <c r="R9" s="5">
        <v>4577.2791007941778</v>
      </c>
      <c r="S9" s="35"/>
      <c r="T9" s="23">
        <v>2243253.8100364511</v>
      </c>
      <c r="U9" s="33">
        <v>536.43238488461532</v>
      </c>
      <c r="V9" s="5">
        <v>15</v>
      </c>
      <c r="W9" s="5">
        <v>73.5</v>
      </c>
      <c r="X9" s="33">
        <v>940.74476624030035</v>
      </c>
      <c r="Y9" s="5">
        <v>59.840164029802857</v>
      </c>
      <c r="Z9" s="5">
        <v>6373.7433486097107</v>
      </c>
      <c r="AA9" s="35"/>
    </row>
    <row r="10" spans="2:27" x14ac:dyDescent="0.2">
      <c r="B10" s="4">
        <v>7</v>
      </c>
      <c r="C10" s="4">
        <v>438</v>
      </c>
      <c r="D10" s="23">
        <v>1694125.3597959441</v>
      </c>
      <c r="E10" s="33">
        <v>728.85196200000041</v>
      </c>
      <c r="F10" s="5">
        <v>17</v>
      </c>
      <c r="G10" s="23">
        <v>97</v>
      </c>
      <c r="H10" s="33">
        <v>861.44428989378071</v>
      </c>
      <c r="I10" s="23">
        <v>45.109551640557264</v>
      </c>
      <c r="J10" s="5">
        <v>6230.668073807461</v>
      </c>
      <c r="K10" s="31"/>
      <c r="L10" s="23">
        <v>2441039.9735586359</v>
      </c>
      <c r="M10" s="33">
        <v>1057.7367355384622</v>
      </c>
      <c r="N10" s="5">
        <v>18</v>
      </c>
      <c r="O10" s="5">
        <v>59</v>
      </c>
      <c r="P10" s="33">
        <v>123.44225763957341</v>
      </c>
      <c r="Q10" s="5">
        <v>21.754348373522138</v>
      </c>
      <c r="R10" s="5">
        <v>4251.4094159652686</v>
      </c>
      <c r="S10" s="35"/>
      <c r="T10" s="23">
        <v>2330067.9933067262</v>
      </c>
      <c r="U10" s="33">
        <v>699.19429849999995</v>
      </c>
      <c r="V10" s="5">
        <v>15</v>
      </c>
      <c r="W10" s="5">
        <v>72.5</v>
      </c>
      <c r="X10" s="33">
        <v>1141.0803839367813</v>
      </c>
      <c r="Y10" s="5">
        <v>58.672692274585209</v>
      </c>
      <c r="Z10" s="5">
        <v>6629.3761465533826</v>
      </c>
      <c r="AA10" s="35"/>
    </row>
    <row r="11" spans="2:27" x14ac:dyDescent="0.2">
      <c r="B11" s="4">
        <v>8</v>
      </c>
      <c r="C11" s="4">
        <v>639</v>
      </c>
      <c r="D11" s="23">
        <v>1579651.9265323849</v>
      </c>
      <c r="E11" s="33">
        <v>344.91707238461527</v>
      </c>
      <c r="F11" s="5">
        <v>16</v>
      </c>
      <c r="G11" s="23">
        <v>97</v>
      </c>
      <c r="H11" s="33">
        <v>649.91322472566071</v>
      </c>
      <c r="I11" s="23">
        <v>47.939530318900765</v>
      </c>
      <c r="J11" s="5">
        <v>5919.745950012767</v>
      </c>
      <c r="K11" s="31"/>
      <c r="L11" s="23">
        <v>2347382.3714496172</v>
      </c>
      <c r="M11" s="33">
        <v>781.33293173076925</v>
      </c>
      <c r="N11" s="5">
        <v>21</v>
      </c>
      <c r="O11" s="5">
        <v>65.5</v>
      </c>
      <c r="P11" s="33">
        <v>342.69287854920225</v>
      </c>
      <c r="Q11" s="5">
        <v>21.451772612033963</v>
      </c>
      <c r="R11" s="5">
        <v>4491.157749007205</v>
      </c>
      <c r="S11" s="35"/>
      <c r="T11" s="23">
        <v>2392288.9922157652</v>
      </c>
      <c r="U11" s="33">
        <v>1195.5374168846154</v>
      </c>
      <c r="V11" s="5">
        <v>17</v>
      </c>
      <c r="W11" s="5">
        <v>71</v>
      </c>
      <c r="X11" s="33">
        <v>1219.8655837396489</v>
      </c>
      <c r="Y11" s="5">
        <v>52.848414824635633</v>
      </c>
      <c r="Z11" s="5">
        <v>6481.1093747005343</v>
      </c>
      <c r="AA11" s="35"/>
    </row>
    <row r="12" spans="2:27" x14ac:dyDescent="0.2">
      <c r="B12" s="4">
        <v>9</v>
      </c>
      <c r="C12" s="4">
        <v>516</v>
      </c>
      <c r="D12" s="23">
        <v>1687218.875870523</v>
      </c>
      <c r="E12" s="33">
        <v>478.12730753846154</v>
      </c>
      <c r="F12" s="5">
        <v>17</v>
      </c>
      <c r="G12" s="23">
        <v>96</v>
      </c>
      <c r="H12" s="33">
        <v>831.41816518604674</v>
      </c>
      <c r="I12" s="23">
        <v>44.863677049375724</v>
      </c>
      <c r="J12" s="5">
        <v>6123.8013935599929</v>
      </c>
      <c r="K12" s="31"/>
      <c r="L12" s="23">
        <v>2353644.4296962428</v>
      </c>
      <c r="M12" s="33">
        <v>679.64652573076955</v>
      </c>
      <c r="N12" s="5">
        <v>27</v>
      </c>
      <c r="O12" s="5">
        <v>71</v>
      </c>
      <c r="P12" s="33">
        <v>487.50047686246972</v>
      </c>
      <c r="Q12" s="5">
        <v>18.135206337494271</v>
      </c>
      <c r="R12" s="5">
        <v>4827.2232690944065</v>
      </c>
      <c r="S12" s="35"/>
      <c r="T12" s="23">
        <v>2216986.9690636699</v>
      </c>
      <c r="U12" s="33">
        <v>642.3356846538461</v>
      </c>
      <c r="V12" s="5">
        <v>14</v>
      </c>
      <c r="W12" s="5">
        <v>74</v>
      </c>
      <c r="X12" s="33">
        <v>923.75888044236547</v>
      </c>
      <c r="Y12" s="5">
        <v>63.335301190058225</v>
      </c>
      <c r="Z12" s="5">
        <v>6392.5346623607747</v>
      </c>
      <c r="AA12" s="35"/>
    </row>
    <row r="13" spans="2:27" x14ac:dyDescent="0.2">
      <c r="B13" s="4">
        <v>10</v>
      </c>
      <c r="C13" s="4">
        <v>479</v>
      </c>
      <c r="D13" s="23">
        <v>1578132.1553388881</v>
      </c>
      <c r="E13" s="33">
        <v>529.18435561538456</v>
      </c>
      <c r="F13" s="5">
        <v>17</v>
      </c>
      <c r="G13" s="23">
        <v>97</v>
      </c>
      <c r="H13" s="33">
        <v>631.05034095067515</v>
      </c>
      <c r="I13" s="23">
        <v>45.212863564350641</v>
      </c>
      <c r="J13" s="5">
        <v>5850.6426479111451</v>
      </c>
      <c r="K13" s="31"/>
      <c r="L13" s="23">
        <v>2356372.804031794</v>
      </c>
      <c r="M13" s="33">
        <v>477.24155915384608</v>
      </c>
      <c r="N13" s="5">
        <v>22</v>
      </c>
      <c r="O13" s="5">
        <v>65</v>
      </c>
      <c r="P13" s="33">
        <v>254.16736979069486</v>
      </c>
      <c r="Q13" s="5">
        <v>19.7287397271709</v>
      </c>
      <c r="R13" s="5">
        <v>4382.9966698394001</v>
      </c>
      <c r="S13" s="35"/>
      <c r="T13" s="23">
        <v>2217785.6608176879</v>
      </c>
      <c r="U13" s="33">
        <v>354.46950376923076</v>
      </c>
      <c r="V13" s="5">
        <v>16</v>
      </c>
      <c r="W13" s="5">
        <v>76</v>
      </c>
      <c r="X13" s="33">
        <v>1127.3694454178769</v>
      </c>
      <c r="Y13" s="5">
        <v>59.355124506136569</v>
      </c>
      <c r="Z13" s="5">
        <v>6462.491459149458</v>
      </c>
      <c r="AA13" s="35"/>
    </row>
    <row r="14" spans="2:27" x14ac:dyDescent="0.2">
      <c r="B14" s="47" t="s">
        <v>3</v>
      </c>
      <c r="C14" s="48"/>
      <c r="D14" s="9">
        <f>MIN(D4:D13)</f>
        <v>1556719.815921003</v>
      </c>
      <c r="E14" s="22">
        <f>INDEX(E4:E13, MATCH($D$14, D4:D13, 0))</f>
        <v>322.64951242307689</v>
      </c>
      <c r="F14" s="9">
        <f>INDEX(F4:F13, MATCH($D$14, D4:D13, 0))</f>
        <v>17</v>
      </c>
      <c r="G14" s="9">
        <f>INDEX(G4:G13, MATCH($D$14, D4:D13, 0))</f>
        <v>97</v>
      </c>
      <c r="H14" s="22">
        <f>INDEX(H4:H13, MATCH($D$14, D4:D13, 0))</f>
        <v>623.66816620261875</v>
      </c>
      <c r="I14" s="22">
        <f>INDEX(I4:I13, MATCH($D$14, D4:D13, 0))</f>
        <v>45.004134559342617</v>
      </c>
      <c r="J14" s="22">
        <f>INDEX(J4:J13, MATCH($D$14, D4:D13, 0))</f>
        <v>5759.6145819013727</v>
      </c>
      <c r="K14" s="32" t="e">
        <f>(D14-$D$15)/$D$15</f>
        <v>#DIV/0!</v>
      </c>
      <c r="L14" s="16">
        <f>MIN(L4:L13)</f>
        <v>2347382.3714496172</v>
      </c>
      <c r="M14" s="21">
        <f>INDEX(M4:M13, MATCH($L$14, L4:L13, 0))</f>
        <v>781.33293173076925</v>
      </c>
      <c r="N14" s="16">
        <f>INDEX(N4:N13, MATCH($L$14, L4:L13, 0))</f>
        <v>21</v>
      </c>
      <c r="O14" s="16">
        <f>INDEX(O4:O13, MATCH($L$14, L4:L13, 0))</f>
        <v>65.5</v>
      </c>
      <c r="P14" s="21">
        <f>INDEX(P4:P13, MATCH($L$14, L4:L13, 0))</f>
        <v>342.69287854920225</v>
      </c>
      <c r="Q14" s="21">
        <f>INDEX(Q4:Q13, MATCH($L$14, L4:L13, 0))</f>
        <v>21.451772612033963</v>
      </c>
      <c r="R14" s="21">
        <f>INDEX(R4:R13, MATCH($L$14, L4:L13, 0))</f>
        <v>4491.157749007205</v>
      </c>
      <c r="S14" s="36" t="e">
        <f>(L14-$D$15)/$D$15</f>
        <v>#DIV/0!</v>
      </c>
      <c r="T14" s="38">
        <f>MIN(T4:T13)</f>
        <v>2216986.9690636699</v>
      </c>
      <c r="U14" s="39">
        <f>INDEX(U4:U13, MATCH($T$14, T4:T13, 0))</f>
        <v>642.3356846538461</v>
      </c>
      <c r="V14" s="38">
        <f>INDEX(V4:V13, MATCH($T$14, T4:T13, 0))</f>
        <v>14</v>
      </c>
      <c r="W14" s="38">
        <f>INDEX(W4:W13, MATCH($T$14, T4:T13, 0))</f>
        <v>74</v>
      </c>
      <c r="X14" s="39">
        <f>INDEX(X4:X13, MATCH($T$14, T4:T13, 0))</f>
        <v>923.75888044236547</v>
      </c>
      <c r="Y14" s="39">
        <f>INDEX(Y4:Y13, MATCH($T$14, T4:T13, 0))</f>
        <v>63.335301190058225</v>
      </c>
      <c r="Z14" s="39">
        <f>INDEX(Z4:Z13, MATCH($T$14, T4:T13, 0))</f>
        <v>6392.5346623607747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0.50790292989290053</v>
      </c>
      <c r="M15" s="41">
        <f t="shared" ref="M15:R15" si="0">(M14-E14)/E14</f>
        <v>1.4216151013618761</v>
      </c>
      <c r="N15" s="41">
        <f t="shared" si="0"/>
        <v>0.23529411764705882</v>
      </c>
      <c r="O15" s="41">
        <f t="shared" si="0"/>
        <v>-0.32474226804123713</v>
      </c>
      <c r="P15" s="41">
        <f t="shared" si="0"/>
        <v>-0.45052048970883757</v>
      </c>
      <c r="Q15" s="41">
        <f t="shared" si="0"/>
        <v>-0.52333773725283894</v>
      </c>
      <c r="R15" s="41">
        <f t="shared" si="0"/>
        <v>-0.22023293657184659</v>
      </c>
      <c r="T15" s="41">
        <f>(T14-D14)/D14</f>
        <v>0.42414000669223362</v>
      </c>
      <c r="U15" s="41">
        <f t="shared" ref="U15:Z15" si="1">(U14-E14)/E14</f>
        <v>0.99081560616641517</v>
      </c>
      <c r="V15" s="41">
        <f t="shared" si="1"/>
        <v>-0.17647058823529413</v>
      </c>
      <c r="W15" s="41">
        <f t="shared" si="1"/>
        <v>-0.23711340206185566</v>
      </c>
      <c r="X15" s="41">
        <f t="shared" si="1"/>
        <v>0.48117048536713763</v>
      </c>
      <c r="Y15" s="41">
        <f t="shared" si="1"/>
        <v>0.40732183409824407</v>
      </c>
      <c r="Z15" s="41">
        <f t="shared" si="1"/>
        <v>0.10988931142167875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22:C34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6339-BA5C-4170-B6DA-5116C67912B2}">
  <dimension ref="B1:AA17"/>
  <sheetViews>
    <sheetView zoomScaleNormal="100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-0.98283733779349092</v>
      </c>
      <c r="J2" s="28" t="e">
        <f>(S14-J14)/J14</f>
        <v>#DIV/0!</v>
      </c>
      <c r="K2" s="28"/>
      <c r="L2" s="1" t="s">
        <v>19</v>
      </c>
      <c r="P2" s="1">
        <f>(P14-H14)/H14</f>
        <v>-0.21568774329163803</v>
      </c>
      <c r="R2" s="1">
        <f>(R14-J14)/J14</f>
        <v>-0.15564126997423736</v>
      </c>
      <c r="T2" s="1" t="s">
        <v>20</v>
      </c>
      <c r="X2" s="1">
        <f>(X14-P14)/P14</f>
        <v>0.27404310665197701</v>
      </c>
      <c r="Z2" s="1">
        <f>(Z14-R14)/R14</f>
        <v>0.2241853324734942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</v>
      </c>
      <c r="D4" s="23">
        <v>1819133.6771211871</v>
      </c>
      <c r="E4" s="33">
        <v>486.67475438461537</v>
      </c>
      <c r="F4" s="5">
        <v>16</v>
      </c>
      <c r="G4" s="23">
        <v>95</v>
      </c>
      <c r="H4" s="33">
        <v>1031.0189964189822</v>
      </c>
      <c r="I4" s="23">
        <v>43.143644687263041</v>
      </c>
      <c r="J4" s="5">
        <v>6480.32357204249</v>
      </c>
      <c r="K4" s="31"/>
      <c r="L4" s="23">
        <v>2350369.9685400389</v>
      </c>
      <c r="M4" s="33">
        <v>284.21592438461539</v>
      </c>
      <c r="N4" s="5">
        <v>29</v>
      </c>
      <c r="O4" s="5">
        <v>76.5</v>
      </c>
      <c r="P4" s="33">
        <v>791.01097102264487</v>
      </c>
      <c r="Q4" s="5">
        <v>17.309246389034168</v>
      </c>
      <c r="R4" s="5">
        <v>5384.8996865261743</v>
      </c>
      <c r="S4" s="35"/>
      <c r="T4" s="23">
        <v>2391353.2340306239</v>
      </c>
      <c r="U4" s="33">
        <v>520.0201343461539</v>
      </c>
      <c r="V4" s="5">
        <v>15</v>
      </c>
      <c r="W4" s="5">
        <v>71</v>
      </c>
      <c r="X4" s="33">
        <v>1007.7820749174874</v>
      </c>
      <c r="Y4" s="5">
        <v>51.153887865553131</v>
      </c>
      <c r="Z4" s="5">
        <v>6592.1152130864593</v>
      </c>
      <c r="AA4" s="35"/>
    </row>
    <row r="5" spans="2:27" x14ac:dyDescent="0.2">
      <c r="B5" s="4">
        <v>2</v>
      </c>
      <c r="C5" s="4">
        <v>14</v>
      </c>
      <c r="D5" s="23">
        <v>1804724.9612544801</v>
      </c>
      <c r="E5" s="33">
        <v>418.51606396153846</v>
      </c>
      <c r="F5" s="5">
        <v>16</v>
      </c>
      <c r="G5" s="23">
        <v>93.5</v>
      </c>
      <c r="H5" s="33">
        <v>982.15844833238611</v>
      </c>
      <c r="I5" s="23">
        <v>42.194702142937132</v>
      </c>
      <c r="J5" s="5">
        <v>6265.2837802760723</v>
      </c>
      <c r="K5" s="31"/>
      <c r="L5" s="23">
        <v>2408958.1909783189</v>
      </c>
      <c r="M5" s="33">
        <v>1636.1241368076924</v>
      </c>
      <c r="N5" s="5">
        <v>22</v>
      </c>
      <c r="O5" s="5">
        <v>68</v>
      </c>
      <c r="P5" s="33">
        <v>547.85813879791613</v>
      </c>
      <c r="Q5" s="5">
        <v>20.553483369936757</v>
      </c>
      <c r="R5" s="5">
        <v>5205.7170489738091</v>
      </c>
      <c r="S5" s="35"/>
      <c r="T5" s="23">
        <v>2469490.623043363</v>
      </c>
      <c r="U5" s="33">
        <v>185.61017034615375</v>
      </c>
      <c r="V5" s="5">
        <v>15</v>
      </c>
      <c r="W5" s="5">
        <v>68</v>
      </c>
      <c r="X5" s="33">
        <v>1087.5092465479113</v>
      </c>
      <c r="Y5" s="5">
        <v>50.55725533026375</v>
      </c>
      <c r="Z5" s="5">
        <v>6625.9758073676603</v>
      </c>
      <c r="AA5" s="35"/>
    </row>
    <row r="6" spans="2:27" x14ac:dyDescent="0.2">
      <c r="B6" s="4">
        <v>3</v>
      </c>
      <c r="C6" s="4">
        <v>70</v>
      </c>
      <c r="D6" s="23">
        <v>1962011.7088854869</v>
      </c>
      <c r="E6" s="33">
        <v>473.43030665384617</v>
      </c>
      <c r="F6" s="5">
        <v>16</v>
      </c>
      <c r="G6" s="23">
        <v>91</v>
      </c>
      <c r="H6" s="33">
        <v>1076.5861344003392</v>
      </c>
      <c r="I6" s="23">
        <v>40.561187397999191</v>
      </c>
      <c r="J6" s="5">
        <v>6615.1480909010643</v>
      </c>
      <c r="K6" s="31"/>
      <c r="L6" s="23">
        <v>2404735.91165864</v>
      </c>
      <c r="M6" s="33">
        <v>996.92143438461574</v>
      </c>
      <c r="N6" s="5">
        <v>23</v>
      </c>
      <c r="O6" s="5">
        <v>69</v>
      </c>
      <c r="P6" s="33">
        <v>611.9752802687035</v>
      </c>
      <c r="Q6" s="5">
        <v>19.064014920921878</v>
      </c>
      <c r="R6" s="5">
        <v>5114.6320235553521</v>
      </c>
      <c r="S6" s="35"/>
      <c r="T6" s="23">
        <v>2447898.555092935</v>
      </c>
      <c r="U6" s="33">
        <v>304.85964999999999</v>
      </c>
      <c r="V6" s="5">
        <v>13</v>
      </c>
      <c r="W6" s="5">
        <v>69</v>
      </c>
      <c r="X6" s="33">
        <v>1153.1950414769262</v>
      </c>
      <c r="Y6" s="5">
        <v>55.771271684899723</v>
      </c>
      <c r="Z6" s="5">
        <v>6765.2617705154344</v>
      </c>
      <c r="AA6" s="35"/>
    </row>
    <row r="7" spans="2:27" x14ac:dyDescent="0.2">
      <c r="B7" s="4">
        <v>4</v>
      </c>
      <c r="C7" s="4">
        <v>216</v>
      </c>
      <c r="D7" s="23">
        <v>1789877.8934914239</v>
      </c>
      <c r="E7" s="33">
        <v>856.03745249999986</v>
      </c>
      <c r="F7" s="5">
        <v>17</v>
      </c>
      <c r="G7" s="23">
        <v>96</v>
      </c>
      <c r="H7" s="33">
        <v>1008.5408767451836</v>
      </c>
      <c r="I7" s="23">
        <v>41.133657353372151</v>
      </c>
      <c r="J7" s="5">
        <v>6377.5022333953639</v>
      </c>
      <c r="K7" s="31"/>
      <c r="L7" s="23">
        <v>2460106.341864076</v>
      </c>
      <c r="M7" s="33">
        <v>698.59587161538502</v>
      </c>
      <c r="N7" s="5">
        <v>21</v>
      </c>
      <c r="O7" s="5">
        <v>66.5</v>
      </c>
      <c r="P7" s="33">
        <v>628.8856956000526</v>
      </c>
      <c r="Q7" s="5">
        <v>19.761543557859628</v>
      </c>
      <c r="R7" s="5">
        <v>5260.3000638571057</v>
      </c>
      <c r="S7" s="35"/>
      <c r="T7" s="23">
        <v>2502408.6635108069</v>
      </c>
      <c r="U7" s="33">
        <v>307.80687426923089</v>
      </c>
      <c r="V7" s="5">
        <v>14</v>
      </c>
      <c r="W7" s="5">
        <v>66.5</v>
      </c>
      <c r="X7" s="33">
        <v>1083.4509978566082</v>
      </c>
      <c r="Y7" s="5">
        <v>48.393106868195147</v>
      </c>
      <c r="Z7" s="5">
        <v>6601.0398239456854</v>
      </c>
      <c r="AA7" s="35"/>
    </row>
    <row r="8" spans="2:27" x14ac:dyDescent="0.2">
      <c r="B8" s="4">
        <v>5</v>
      </c>
      <c r="C8" s="4">
        <v>288</v>
      </c>
      <c r="D8" s="23">
        <v>2011531.98527849</v>
      </c>
      <c r="E8" s="33">
        <v>322.93034638461552</v>
      </c>
      <c r="F8" s="5">
        <v>15</v>
      </c>
      <c r="G8" s="23">
        <v>89</v>
      </c>
      <c r="H8" s="33">
        <v>1089.3956482633521</v>
      </c>
      <c r="I8" s="23">
        <v>40.995171926739225</v>
      </c>
      <c r="J8" s="5">
        <v>6706.6742569309608</v>
      </c>
      <c r="K8" s="31"/>
      <c r="L8" s="23">
        <v>2391710.0990605471</v>
      </c>
      <c r="M8" s="33">
        <v>346.64526903846098</v>
      </c>
      <c r="N8" s="5">
        <v>25</v>
      </c>
      <c r="O8" s="5">
        <v>72</v>
      </c>
      <c r="P8" s="33">
        <v>800.62504175997731</v>
      </c>
      <c r="Q8" s="5">
        <v>19.301400194725094</v>
      </c>
      <c r="R8" s="5">
        <v>5305.5430450050681</v>
      </c>
      <c r="S8" s="35"/>
      <c r="T8" s="23">
        <v>2401994.3609307958</v>
      </c>
      <c r="U8" s="33">
        <v>569.25870115384612</v>
      </c>
      <c r="V8" s="5">
        <v>14</v>
      </c>
      <c r="W8" s="5">
        <v>69.5</v>
      </c>
      <c r="X8" s="33">
        <v>935.92484228889123</v>
      </c>
      <c r="Y8" s="5">
        <v>51.922583859980939</v>
      </c>
      <c r="Z8" s="5">
        <v>6547.5024024281674</v>
      </c>
      <c r="AA8" s="35"/>
    </row>
    <row r="9" spans="2:27" x14ac:dyDescent="0.2">
      <c r="B9" s="4">
        <v>6</v>
      </c>
      <c r="C9" s="4">
        <v>476</v>
      </c>
      <c r="D9" s="23">
        <v>1844569.4351269631</v>
      </c>
      <c r="E9" s="33">
        <v>650.8480560769234</v>
      </c>
      <c r="F9" s="5">
        <v>18</v>
      </c>
      <c r="G9" s="23">
        <v>94.5</v>
      </c>
      <c r="H9" s="33">
        <v>1040.9336646343022</v>
      </c>
      <c r="I9" s="23">
        <v>37.281434300497907</v>
      </c>
      <c r="J9" s="5">
        <v>6384.5783068030314</v>
      </c>
      <c r="K9" s="31"/>
      <c r="L9" s="23">
        <v>2468229.8931126879</v>
      </c>
      <c r="M9" s="33">
        <v>779.50343965384616</v>
      </c>
      <c r="N9" s="5">
        <v>24</v>
      </c>
      <c r="O9" s="5">
        <v>69</v>
      </c>
      <c r="P9" s="33">
        <v>694.92190918840424</v>
      </c>
      <c r="Q9" s="5">
        <v>18.70814506874099</v>
      </c>
      <c r="R9" s="5">
        <v>5361.4901722074082</v>
      </c>
      <c r="S9" s="35"/>
      <c r="T9" s="23">
        <v>2558055.159168222</v>
      </c>
      <c r="U9" s="33">
        <v>199.17562361538461</v>
      </c>
      <c r="V9" s="5">
        <v>14</v>
      </c>
      <c r="W9" s="5">
        <v>66</v>
      </c>
      <c r="X9" s="33">
        <v>1152.2353900385931</v>
      </c>
      <c r="Y9" s="5">
        <v>46.888819050869145</v>
      </c>
      <c r="Z9" s="5">
        <v>6842.1622438833956</v>
      </c>
      <c r="AA9" s="35"/>
    </row>
    <row r="10" spans="2:27" x14ac:dyDescent="0.2">
      <c r="B10" s="4">
        <v>7</v>
      </c>
      <c r="C10" s="4">
        <v>691</v>
      </c>
      <c r="D10" s="23">
        <v>1833405.229737391</v>
      </c>
      <c r="E10" s="33">
        <v>632.86336676923111</v>
      </c>
      <c r="F10" s="5">
        <v>15</v>
      </c>
      <c r="G10" s="23">
        <v>91.5</v>
      </c>
      <c r="H10" s="33">
        <v>879.34791722523175</v>
      </c>
      <c r="I10" s="23">
        <v>43.164566772322686</v>
      </c>
      <c r="J10" s="5">
        <v>6276.3956140480386</v>
      </c>
      <c r="K10" s="31"/>
      <c r="L10" s="23">
        <v>2386349.9495346332</v>
      </c>
      <c r="M10" s="33">
        <v>978.55274403846101</v>
      </c>
      <c r="N10" s="5">
        <v>23</v>
      </c>
      <c r="O10" s="5">
        <v>70</v>
      </c>
      <c r="P10" s="33">
        <v>591.03954525813106</v>
      </c>
      <c r="Q10" s="5">
        <v>19.444262712324477</v>
      </c>
      <c r="R10" s="5">
        <v>5221.0184382526204</v>
      </c>
      <c r="S10" s="35"/>
      <c r="T10" s="23">
        <v>2450920.5999488588</v>
      </c>
      <c r="U10" s="33">
        <v>225.82999657692304</v>
      </c>
      <c r="V10" s="5">
        <v>15</v>
      </c>
      <c r="W10" s="5">
        <v>67</v>
      </c>
      <c r="X10" s="33">
        <v>890.84287672400615</v>
      </c>
      <c r="Y10" s="5">
        <v>46.313748664164322</v>
      </c>
      <c r="Z10" s="5">
        <v>6340.8203127045663</v>
      </c>
      <c r="AA10" s="35"/>
    </row>
    <row r="11" spans="2:27" x14ac:dyDescent="0.2">
      <c r="B11" s="4">
        <v>8</v>
      </c>
      <c r="C11" s="4">
        <v>692</v>
      </c>
      <c r="D11" s="23">
        <v>1904274.7949422901</v>
      </c>
      <c r="E11" s="33">
        <v>416.52795580769231</v>
      </c>
      <c r="F11" s="5">
        <v>17</v>
      </c>
      <c r="G11" s="23">
        <v>94</v>
      </c>
      <c r="H11" s="33">
        <v>1175.7633261644464</v>
      </c>
      <c r="I11" s="23">
        <v>40.848365212945836</v>
      </c>
      <c r="J11" s="5">
        <v>6593.720252711405</v>
      </c>
      <c r="K11" s="31"/>
      <c r="L11" s="23">
        <v>2390230.014635304</v>
      </c>
      <c r="M11" s="33">
        <v>874.34860473076958</v>
      </c>
      <c r="N11" s="5">
        <v>23</v>
      </c>
      <c r="O11" s="5">
        <v>69.5</v>
      </c>
      <c r="P11" s="33">
        <v>602.40791583918292</v>
      </c>
      <c r="Q11" s="5">
        <v>19.124414442169826</v>
      </c>
      <c r="R11" s="5">
        <v>5078.3309069066945</v>
      </c>
      <c r="S11" s="35"/>
      <c r="T11" s="23">
        <v>2489834.8784528659</v>
      </c>
      <c r="U11" s="33">
        <v>153.25048546153855</v>
      </c>
      <c r="V11" s="5">
        <v>12</v>
      </c>
      <c r="W11" s="5">
        <v>65</v>
      </c>
      <c r="X11" s="33">
        <v>929.258665968066</v>
      </c>
      <c r="Y11" s="5">
        <v>54.018893928337917</v>
      </c>
      <c r="Z11" s="5">
        <v>6606.2960573992177</v>
      </c>
      <c r="AA11" s="35"/>
    </row>
    <row r="12" spans="2:27" x14ac:dyDescent="0.2">
      <c r="B12" s="4">
        <v>9</v>
      </c>
      <c r="C12" s="4">
        <v>740</v>
      </c>
      <c r="D12" s="23">
        <v>1794406.3289759511</v>
      </c>
      <c r="E12" s="33">
        <v>394.84556707692303</v>
      </c>
      <c r="F12" s="5">
        <v>16</v>
      </c>
      <c r="G12" s="23">
        <v>93.5</v>
      </c>
      <c r="H12" s="33">
        <v>1037.1505696212841</v>
      </c>
      <c r="I12" s="23">
        <v>41.869809249569862</v>
      </c>
      <c r="J12" s="5">
        <v>6168.2901197567544</v>
      </c>
      <c r="K12" s="31"/>
      <c r="L12" s="23">
        <v>2353249.3414123398</v>
      </c>
      <c r="M12" s="33">
        <v>302.49467700000071</v>
      </c>
      <c r="N12" s="5">
        <v>28</v>
      </c>
      <c r="O12" s="5">
        <v>75.5</v>
      </c>
      <c r="P12" s="33">
        <v>678.49694257930116</v>
      </c>
      <c r="Q12" s="5">
        <v>17.788878842196741</v>
      </c>
      <c r="R12" s="5">
        <v>5331.8986420458923</v>
      </c>
      <c r="S12" s="35"/>
      <c r="T12" s="23">
        <v>2438427.917503539</v>
      </c>
      <c r="U12" s="33">
        <v>639.98537534615377</v>
      </c>
      <c r="V12" s="5">
        <v>15</v>
      </c>
      <c r="W12" s="5">
        <v>70</v>
      </c>
      <c r="X12" s="33">
        <v>1084.3009560013174</v>
      </c>
      <c r="Y12" s="5">
        <v>47.270504578387779</v>
      </c>
      <c r="Z12" s="5">
        <v>6651.2380132507215</v>
      </c>
      <c r="AA12" s="35"/>
    </row>
    <row r="13" spans="2:27" x14ac:dyDescent="0.2">
      <c r="B13" s="4">
        <v>10</v>
      </c>
      <c r="C13" s="4">
        <v>906</v>
      </c>
      <c r="D13" s="23">
        <v>1801024.0739547841</v>
      </c>
      <c r="E13" s="33">
        <v>857.45557261538454</v>
      </c>
      <c r="F13" s="5">
        <v>17</v>
      </c>
      <c r="G13" s="23">
        <v>94</v>
      </c>
      <c r="H13" s="33">
        <v>870.41685710947229</v>
      </c>
      <c r="I13" s="23">
        <v>39.926526309019621</v>
      </c>
      <c r="J13" s="5">
        <v>6248.1780389415662</v>
      </c>
      <c r="K13" s="31"/>
      <c r="L13" s="23">
        <v>2385499.9799286351</v>
      </c>
      <c r="M13" s="33">
        <v>456.71472111538463</v>
      </c>
      <c r="N13" s="5">
        <v>24</v>
      </c>
      <c r="O13" s="5">
        <v>70</v>
      </c>
      <c r="P13" s="33">
        <v>628.97391730209381</v>
      </c>
      <c r="Q13" s="5">
        <v>18.675252854418137</v>
      </c>
      <c r="R13" s="5">
        <v>5094.634866099489</v>
      </c>
      <c r="S13" s="35"/>
      <c r="T13" s="23">
        <v>2449706.35401899</v>
      </c>
      <c r="U13" s="33">
        <v>462.16060565384612</v>
      </c>
      <c r="V13" s="5">
        <v>15</v>
      </c>
      <c r="W13" s="5">
        <v>69.5</v>
      </c>
      <c r="X13" s="33">
        <v>1064.0793061498866</v>
      </c>
      <c r="Y13" s="5">
        <v>49.118788226566615</v>
      </c>
      <c r="Z13" s="5">
        <v>6686.037664546594</v>
      </c>
      <c r="AA13" s="35"/>
    </row>
    <row r="14" spans="2:27" x14ac:dyDescent="0.2">
      <c r="B14" s="47" t="s">
        <v>3</v>
      </c>
      <c r="C14" s="48"/>
      <c r="D14" s="9">
        <f>MIN(D4:D13)</f>
        <v>1789877.8934914239</v>
      </c>
      <c r="E14" s="22">
        <f>INDEX(E4:E13, MATCH($D$14, D4:D13, 0))</f>
        <v>856.03745249999986</v>
      </c>
      <c r="F14" s="9">
        <f>INDEX(F4:F13, MATCH($D$14, D4:D13, 0))</f>
        <v>17</v>
      </c>
      <c r="G14" s="9">
        <f>INDEX(G4:G13, MATCH($D$14, D4:D13, 0))</f>
        <v>96</v>
      </c>
      <c r="H14" s="22">
        <f>INDEX(H4:H13, MATCH($D$14, D4:D13, 0))</f>
        <v>1008.5408767451836</v>
      </c>
      <c r="I14" s="22">
        <f>INDEX(I4:I13, MATCH($D$14, D4:D13, 0))</f>
        <v>41.133657353372151</v>
      </c>
      <c r="J14" s="22">
        <f>INDEX(J4:J13, MATCH($D$14, D4:D13, 0))</f>
        <v>6377.5022333953639</v>
      </c>
      <c r="K14" s="32" t="e">
        <f>(D14-$D$15)/$D$15</f>
        <v>#DIV/0!</v>
      </c>
      <c r="L14" s="16">
        <f>MIN(L4:L13)</f>
        <v>2350369.9685400389</v>
      </c>
      <c r="M14" s="21">
        <f>INDEX(M4:M13, MATCH($L$14, L4:L13, 0))</f>
        <v>284.21592438461539</v>
      </c>
      <c r="N14" s="16">
        <f>INDEX(N4:N13, MATCH($L$14, L4:L13, 0))</f>
        <v>29</v>
      </c>
      <c r="O14" s="16">
        <f>INDEX(O4:O13, MATCH($L$14, L4:L13, 0))</f>
        <v>76.5</v>
      </c>
      <c r="P14" s="21">
        <f>INDEX(P4:P13, MATCH($L$14, L4:L13, 0))</f>
        <v>791.01097102264487</v>
      </c>
      <c r="Q14" s="21">
        <f>INDEX(Q4:Q13, MATCH($L$14, L4:L13, 0))</f>
        <v>17.309246389034168</v>
      </c>
      <c r="R14" s="21">
        <f>INDEX(R4:R13, MATCH($L$14, L4:L13, 0))</f>
        <v>5384.8996865261743</v>
      </c>
      <c r="S14" s="36" t="e">
        <f>(L14-$D$15)/$D$15</f>
        <v>#DIV/0!</v>
      </c>
      <c r="T14" s="38">
        <f>MIN(T4:T13)</f>
        <v>2391353.2340306239</v>
      </c>
      <c r="U14" s="39">
        <f>INDEX(U4:U13, MATCH($T$14, T4:T13, 0))</f>
        <v>520.0201343461539</v>
      </c>
      <c r="V14" s="38">
        <f>INDEX(V4:V13, MATCH($T$14, T4:T13, 0))</f>
        <v>15</v>
      </c>
      <c r="W14" s="38">
        <f>INDEX(W4:W13, MATCH($T$14, T4:T13, 0))</f>
        <v>71</v>
      </c>
      <c r="X14" s="39">
        <f>INDEX(X4:X13, MATCH($T$14, T4:T13, 0))</f>
        <v>1007.7820749174874</v>
      </c>
      <c r="Y14" s="39">
        <f>INDEX(Y4:Y13, MATCH($T$14, T4:T13, 0))</f>
        <v>51.153887865553131</v>
      </c>
      <c r="Z14" s="39">
        <f>INDEX(Z4:Z13, MATCH($T$14, T4:T13, 0))</f>
        <v>6592.1152130864593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0.31314542577834265</v>
      </c>
      <c r="M15" s="41">
        <f t="shared" ref="M15:R15" si="0">(M14-E14)/E14</f>
        <v>-0.66798657750945134</v>
      </c>
      <c r="N15" s="41">
        <f t="shared" si="0"/>
        <v>0.70588235294117652</v>
      </c>
      <c r="O15" s="41">
        <f t="shared" si="0"/>
        <v>-0.203125</v>
      </c>
      <c r="P15" s="41">
        <f t="shared" si="0"/>
        <v>-0.21568774329163803</v>
      </c>
      <c r="Q15" s="41">
        <f t="shared" si="0"/>
        <v>-0.57919505575851371</v>
      </c>
      <c r="R15" s="41">
        <f t="shared" si="0"/>
        <v>-0.15564126997423736</v>
      </c>
      <c r="T15" s="41">
        <f>(T14-D14)/D14</f>
        <v>0.33604266677987321</v>
      </c>
      <c r="U15" s="41">
        <f t="shared" ref="U15:Z15" si="1">(U14-E14)/E14</f>
        <v>-0.39252642179676833</v>
      </c>
      <c r="V15" s="41">
        <f t="shared" si="1"/>
        <v>-0.11764705882352941</v>
      </c>
      <c r="W15" s="41">
        <f t="shared" si="1"/>
        <v>-0.26041666666666669</v>
      </c>
      <c r="X15" s="41">
        <f t="shared" si="1"/>
        <v>-7.5237587805565217E-4</v>
      </c>
      <c r="Y15" s="41">
        <f t="shared" si="1"/>
        <v>0.24360174020264985</v>
      </c>
      <c r="Z15" s="41">
        <f t="shared" si="1"/>
        <v>3.3651572643485554E-2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22:C34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1732-DF16-49F8-BB4D-CE3F531D7A3E}">
  <dimension ref="B1:AA17"/>
  <sheetViews>
    <sheetView topLeftCell="H1" zoomScaleNormal="100" workbookViewId="0">
      <selection activeCell="U19" sqref="U19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-0.97537729878468282</v>
      </c>
      <c r="J2" s="28" t="e">
        <f>(S14-J14)/J14</f>
        <v>#DIV/0!</v>
      </c>
      <c r="K2" s="28"/>
      <c r="L2" s="1" t="s">
        <v>19</v>
      </c>
      <c r="P2" s="1">
        <f>(P14-H14)/H14</f>
        <v>-0.40599785614221479</v>
      </c>
      <c r="R2" s="1">
        <f>(R14-J14)/J14</f>
        <v>-0.19123634675769213</v>
      </c>
      <c r="T2" s="1" t="s">
        <v>20</v>
      </c>
      <c r="X2" s="1">
        <f>(X14-P14)/P14</f>
        <v>1.3471694616318299</v>
      </c>
      <c r="Z2" s="1">
        <f>(Z14-R14)/R14</f>
        <v>0.36485330084129913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881</v>
      </c>
      <c r="D4" s="23">
        <v>1639886.2468012371</v>
      </c>
      <c r="E4" s="33">
        <v>213.6302171923077</v>
      </c>
      <c r="F4" s="5">
        <v>15</v>
      </c>
      <c r="G4" s="23">
        <v>97</v>
      </c>
      <c r="H4" s="33">
        <v>798.6343427247981</v>
      </c>
      <c r="I4" s="23">
        <v>43.856428447065667</v>
      </c>
      <c r="J4" s="5">
        <v>6110.6287115799296</v>
      </c>
      <c r="K4" s="31"/>
      <c r="L4" s="23">
        <v>2210195.2696859711</v>
      </c>
      <c r="M4" s="33">
        <v>733.02905769230767</v>
      </c>
      <c r="N4" s="5">
        <v>26</v>
      </c>
      <c r="O4" s="5">
        <v>76.5</v>
      </c>
      <c r="P4" s="33">
        <v>549.41570471722218</v>
      </c>
      <c r="Q4" s="5">
        <v>18.666029572774644</v>
      </c>
      <c r="R4" s="5">
        <v>4975.8277807635177</v>
      </c>
      <c r="S4" s="35"/>
      <c r="T4" s="23">
        <v>2332133.8388896589</v>
      </c>
      <c r="U4" s="33">
        <v>168.98704949999998</v>
      </c>
      <c r="V4" s="5">
        <v>13</v>
      </c>
      <c r="W4" s="5">
        <v>71.5</v>
      </c>
      <c r="X4" s="33">
        <v>938.24855175767789</v>
      </c>
      <c r="Y4" s="5">
        <v>53.868171352842523</v>
      </c>
      <c r="Z4" s="5">
        <v>6482.9786142764979</v>
      </c>
      <c r="AA4" s="35"/>
    </row>
    <row r="5" spans="2:27" x14ac:dyDescent="0.2">
      <c r="B5" s="4">
        <v>2</v>
      </c>
      <c r="C5" s="4">
        <v>780</v>
      </c>
      <c r="D5" s="23">
        <v>1634700.5430446521</v>
      </c>
      <c r="E5" s="33">
        <v>484.01705946153845</v>
      </c>
      <c r="F5" s="5">
        <v>16</v>
      </c>
      <c r="G5" s="23">
        <v>97</v>
      </c>
      <c r="H5" s="33">
        <v>798.82298598001478</v>
      </c>
      <c r="I5" s="23">
        <v>42.399201547761699</v>
      </c>
      <c r="J5" s="5">
        <v>6036.7082869584383</v>
      </c>
      <c r="K5" s="31"/>
      <c r="L5" s="23">
        <v>2230961.1964397719</v>
      </c>
      <c r="M5" s="33">
        <v>894.77688688461524</v>
      </c>
      <c r="N5" s="5">
        <v>25</v>
      </c>
      <c r="O5" s="5">
        <v>73.5</v>
      </c>
      <c r="P5" s="33">
        <v>342.0483492006253</v>
      </c>
      <c r="Q5" s="5">
        <v>18.628035729707573</v>
      </c>
      <c r="R5" s="5">
        <v>4752.5030801559515</v>
      </c>
      <c r="S5" s="35"/>
      <c r="T5" s="23">
        <v>2280852.6835985649</v>
      </c>
      <c r="U5" s="33">
        <v>200.82482649999994</v>
      </c>
      <c r="V5" s="5">
        <v>14</v>
      </c>
      <c r="W5" s="5">
        <v>73.5</v>
      </c>
      <c r="X5" s="33">
        <v>1054.9497892280074</v>
      </c>
      <c r="Y5" s="5">
        <v>54.747172653740243</v>
      </c>
      <c r="Z5" s="5">
        <v>6504.26505843837</v>
      </c>
      <c r="AA5" s="35"/>
    </row>
    <row r="6" spans="2:27" x14ac:dyDescent="0.2">
      <c r="B6" s="4">
        <v>3</v>
      </c>
      <c r="C6" s="4">
        <v>622</v>
      </c>
      <c r="D6" s="23">
        <v>1618496.801074079</v>
      </c>
      <c r="E6" s="33">
        <v>504.39224307692308</v>
      </c>
      <c r="F6" s="5">
        <v>16</v>
      </c>
      <c r="G6" s="23">
        <v>97</v>
      </c>
      <c r="H6" s="33">
        <v>810.32733385770337</v>
      </c>
      <c r="I6" s="23">
        <v>42.697389880315768</v>
      </c>
      <c r="J6" s="5">
        <v>5933.3123879446994</v>
      </c>
      <c r="K6" s="31"/>
      <c r="L6" s="23">
        <v>2173958.1358486982</v>
      </c>
      <c r="M6" s="33">
        <v>502.02677399999959</v>
      </c>
      <c r="N6" s="5">
        <v>25</v>
      </c>
      <c r="O6" s="5">
        <v>75.5</v>
      </c>
      <c r="P6" s="33">
        <v>363.49395639550448</v>
      </c>
      <c r="Q6" s="5">
        <v>18.66290192370634</v>
      </c>
      <c r="R6" s="5">
        <v>4816.7444745713019</v>
      </c>
      <c r="S6" s="35"/>
      <c r="T6" s="23">
        <v>2305695.132587038</v>
      </c>
      <c r="U6" s="33">
        <v>217.36450884615385</v>
      </c>
      <c r="V6" s="5">
        <v>13</v>
      </c>
      <c r="W6" s="5">
        <v>72</v>
      </c>
      <c r="X6" s="33">
        <v>941.75668525582398</v>
      </c>
      <c r="Y6" s="5">
        <v>53.116376599851847</v>
      </c>
      <c r="Z6" s="5">
        <v>6426.2673621628901</v>
      </c>
      <c r="AA6" s="35"/>
    </row>
    <row r="7" spans="2:27" x14ac:dyDescent="0.2">
      <c r="B7" s="4">
        <v>4</v>
      </c>
      <c r="C7" s="4">
        <v>381</v>
      </c>
      <c r="D7" s="23">
        <v>1651966.580659606</v>
      </c>
      <c r="E7" s="33">
        <v>419.38522749999998</v>
      </c>
      <c r="F7" s="5">
        <v>16</v>
      </c>
      <c r="G7" s="23">
        <v>97</v>
      </c>
      <c r="H7" s="33">
        <v>817.06774223026889</v>
      </c>
      <c r="I7" s="23">
        <v>42.12234515641034</v>
      </c>
      <c r="J7" s="5">
        <v>6059.8489201449329</v>
      </c>
      <c r="K7" s="31"/>
      <c r="L7" s="23">
        <v>2171308.4731912031</v>
      </c>
      <c r="M7" s="33">
        <v>444.60265530769226</v>
      </c>
      <c r="N7" s="5">
        <v>25</v>
      </c>
      <c r="O7" s="5">
        <v>76</v>
      </c>
      <c r="P7" s="33">
        <v>458.22546665556996</v>
      </c>
      <c r="Q7" s="5">
        <v>18.994457968506364</v>
      </c>
      <c r="R7" s="5">
        <v>4823.9813980515701</v>
      </c>
      <c r="S7" s="35"/>
      <c r="T7" s="23">
        <v>2323128.9685139051</v>
      </c>
      <c r="U7" s="33">
        <v>358.4298973846154</v>
      </c>
      <c r="V7" s="5">
        <v>14</v>
      </c>
      <c r="W7" s="5">
        <v>72.5</v>
      </c>
      <c r="X7" s="33">
        <v>1043.1795581156016</v>
      </c>
      <c r="Y7" s="5">
        <v>51.624076090528874</v>
      </c>
      <c r="Z7" s="5">
        <v>6537.1659873007193</v>
      </c>
      <c r="AA7" s="35"/>
    </row>
    <row r="8" spans="2:27" x14ac:dyDescent="0.2">
      <c r="B8" s="4">
        <v>5</v>
      </c>
      <c r="C8" s="4">
        <v>532</v>
      </c>
      <c r="D8" s="23">
        <v>1624900.593818103</v>
      </c>
      <c r="E8" s="33">
        <v>292.5466940384614</v>
      </c>
      <c r="F8" s="5">
        <v>16</v>
      </c>
      <c r="G8" s="23">
        <v>97</v>
      </c>
      <c r="H8" s="33">
        <v>816.96993487636587</v>
      </c>
      <c r="I8" s="23">
        <v>41.75821756925464</v>
      </c>
      <c r="J8" s="5">
        <v>5952.8927033460441</v>
      </c>
      <c r="K8" s="31"/>
      <c r="L8" s="23">
        <v>2187629.1197851258</v>
      </c>
      <c r="M8" s="33">
        <v>542.66426246153844</v>
      </c>
      <c r="N8" s="5">
        <v>25</v>
      </c>
      <c r="O8" s="5">
        <v>76.5</v>
      </c>
      <c r="P8" s="33">
        <v>441.59644897509992</v>
      </c>
      <c r="Q8" s="5">
        <v>19.385355703902768</v>
      </c>
      <c r="R8" s="5">
        <v>5020.8438146712469</v>
      </c>
      <c r="S8" s="35"/>
      <c r="T8" s="23">
        <v>2213854.6207417548</v>
      </c>
      <c r="U8" s="33">
        <v>556.71153634615382</v>
      </c>
      <c r="V8" s="5">
        <v>16</v>
      </c>
      <c r="W8" s="5">
        <v>78.5</v>
      </c>
      <c r="X8" s="33">
        <v>1075.5328218759482</v>
      </c>
      <c r="Y8" s="5">
        <v>50.052808640355323</v>
      </c>
      <c r="Z8" s="5">
        <v>6584.0269343277105</v>
      </c>
      <c r="AA8" s="35"/>
    </row>
    <row r="9" spans="2:27" x14ac:dyDescent="0.2">
      <c r="B9" s="4">
        <v>6</v>
      </c>
      <c r="C9" s="4">
        <v>238</v>
      </c>
      <c r="D9" s="23">
        <v>1615669.13406594</v>
      </c>
      <c r="E9" s="33">
        <v>248.20239161538456</v>
      </c>
      <c r="F9" s="5">
        <v>16</v>
      </c>
      <c r="G9" s="23">
        <v>97</v>
      </c>
      <c r="H9" s="33">
        <v>771.42056033602023</v>
      </c>
      <c r="I9" s="23">
        <v>42.096454263796367</v>
      </c>
      <c r="J9" s="5">
        <v>5964.6367374601732</v>
      </c>
      <c r="K9" s="31"/>
      <c r="L9" s="23">
        <v>2173342.0603534882</v>
      </c>
      <c r="M9" s="33">
        <v>256.22103569230813</v>
      </c>
      <c r="N9" s="5">
        <v>30</v>
      </c>
      <c r="O9" s="5">
        <v>80.5</v>
      </c>
      <c r="P9" s="33">
        <v>540.76384360121563</v>
      </c>
      <c r="Q9" s="5">
        <v>17.034040345952704</v>
      </c>
      <c r="R9" s="5">
        <v>4983.7823301526378</v>
      </c>
      <c r="S9" s="35"/>
      <c r="T9" s="23">
        <v>2260123.3497176231</v>
      </c>
      <c r="U9" s="33">
        <v>528.01068842307689</v>
      </c>
      <c r="V9" s="5">
        <v>13</v>
      </c>
      <c r="W9" s="5">
        <v>72.5</v>
      </c>
      <c r="X9" s="33">
        <v>868.57117785418188</v>
      </c>
      <c r="Y9" s="5">
        <v>52.267464879947255</v>
      </c>
      <c r="Z9" s="5">
        <v>6235.8705565594173</v>
      </c>
      <c r="AA9" s="35"/>
    </row>
    <row r="10" spans="2:27" x14ac:dyDescent="0.2">
      <c r="B10" s="4">
        <v>7</v>
      </c>
      <c r="C10" s="4">
        <v>262</v>
      </c>
      <c r="D10" s="23">
        <v>1617912.8151098399</v>
      </c>
      <c r="E10" s="33">
        <v>327.6225589615384</v>
      </c>
      <c r="F10" s="5">
        <v>16</v>
      </c>
      <c r="G10" s="23">
        <v>97</v>
      </c>
      <c r="H10" s="33">
        <v>801.33094543184473</v>
      </c>
      <c r="I10" s="23">
        <v>41.383102231647698</v>
      </c>
      <c r="J10" s="5">
        <v>5922.4149689830374</v>
      </c>
      <c r="K10" s="31"/>
      <c r="L10" s="23">
        <v>2186570.3865729142</v>
      </c>
      <c r="M10" s="33">
        <v>348.33894630769186</v>
      </c>
      <c r="N10" s="5">
        <v>23</v>
      </c>
      <c r="O10" s="5">
        <v>75</v>
      </c>
      <c r="P10" s="33">
        <v>415.48493661774427</v>
      </c>
      <c r="Q10" s="5">
        <v>19.604025360901584</v>
      </c>
      <c r="R10" s="5">
        <v>4959.9364665317426</v>
      </c>
      <c r="S10" s="35"/>
      <c r="T10" s="23">
        <v>2229487.1829526909</v>
      </c>
      <c r="U10" s="33">
        <v>554.08217584615386</v>
      </c>
      <c r="V10" s="5">
        <v>14</v>
      </c>
      <c r="W10" s="5">
        <v>75</v>
      </c>
      <c r="X10" s="33">
        <v>1017.1601875542646</v>
      </c>
      <c r="Y10" s="5">
        <v>54.03843464800979</v>
      </c>
      <c r="Z10" s="5">
        <v>6425.0483095851732</v>
      </c>
      <c r="AA10" s="35"/>
    </row>
    <row r="11" spans="2:27" x14ac:dyDescent="0.2">
      <c r="B11" s="4">
        <v>8</v>
      </c>
      <c r="C11" s="4">
        <v>979</v>
      </c>
      <c r="D11" s="23">
        <v>1638472.2692914531</v>
      </c>
      <c r="E11" s="33">
        <v>467.72134900000003</v>
      </c>
      <c r="F11" s="5">
        <v>17</v>
      </c>
      <c r="G11" s="23">
        <v>97</v>
      </c>
      <c r="H11" s="33">
        <v>766.36736385849531</v>
      </c>
      <c r="I11" s="23">
        <v>39.472826126998108</v>
      </c>
      <c r="J11" s="5">
        <v>5901.9423526948085</v>
      </c>
      <c r="K11" s="31"/>
      <c r="L11" s="23">
        <v>2197792.885081511</v>
      </c>
      <c r="M11" s="33">
        <v>659.25225557692306</v>
      </c>
      <c r="N11" s="5">
        <v>25</v>
      </c>
      <c r="O11" s="5">
        <v>74.5</v>
      </c>
      <c r="P11" s="33">
        <v>393.05797743893027</v>
      </c>
      <c r="Q11" s="5">
        <v>18.39250894296643</v>
      </c>
      <c r="R11" s="5">
        <v>4737.2536849688313</v>
      </c>
      <c r="S11" s="35"/>
      <c r="T11" s="23">
        <v>2358913.9623818588</v>
      </c>
      <c r="U11" s="33">
        <v>223.9672714615385</v>
      </c>
      <c r="V11" s="5">
        <v>14</v>
      </c>
      <c r="W11" s="5">
        <v>72</v>
      </c>
      <c r="X11" s="33">
        <v>1178.6271264547172</v>
      </c>
      <c r="Y11" s="5">
        <v>49.979440052583371</v>
      </c>
      <c r="Z11" s="5">
        <v>6508.4091827441935</v>
      </c>
      <c r="AA11" s="35"/>
    </row>
    <row r="12" spans="2:27" x14ac:dyDescent="0.2">
      <c r="B12" s="4">
        <v>9</v>
      </c>
      <c r="C12" s="4">
        <v>856</v>
      </c>
      <c r="D12" s="23">
        <v>1625200.6597729169</v>
      </c>
      <c r="E12" s="33">
        <v>231.63990026923048</v>
      </c>
      <c r="F12" s="5">
        <v>15</v>
      </c>
      <c r="G12" s="23">
        <v>96.5</v>
      </c>
      <c r="H12" s="33">
        <v>830.97492581752306</v>
      </c>
      <c r="I12" s="23">
        <v>44.626125334514533</v>
      </c>
      <c r="J12" s="5">
        <v>5966.2330398196636</v>
      </c>
      <c r="K12" s="31"/>
      <c r="L12" s="23">
        <v>2175018.0031318269</v>
      </c>
      <c r="M12" s="33">
        <v>1258.1197144999999</v>
      </c>
      <c r="N12" s="5">
        <v>25</v>
      </c>
      <c r="O12" s="5">
        <v>76</v>
      </c>
      <c r="P12" s="33">
        <v>410.89545103679166</v>
      </c>
      <c r="Q12" s="5">
        <v>18.6366860005195</v>
      </c>
      <c r="R12" s="5">
        <v>4893.3392866928889</v>
      </c>
      <c r="S12" s="35"/>
      <c r="T12" s="23">
        <v>2216808.9110562261</v>
      </c>
      <c r="U12" s="33">
        <v>784.05327769230769</v>
      </c>
      <c r="V12" s="5">
        <v>15</v>
      </c>
      <c r="W12" s="5">
        <v>77</v>
      </c>
      <c r="X12" s="33">
        <v>1040.927334336481</v>
      </c>
      <c r="Y12" s="5">
        <v>52.78635428901859</v>
      </c>
      <c r="Z12" s="5">
        <v>6501.0557441504807</v>
      </c>
      <c r="AA12" s="35"/>
    </row>
    <row r="13" spans="2:27" x14ac:dyDescent="0.2">
      <c r="B13" s="4">
        <v>10</v>
      </c>
      <c r="C13" s="4">
        <v>164</v>
      </c>
      <c r="D13" s="23">
        <v>1685912.2332460519</v>
      </c>
      <c r="E13" s="33">
        <v>405.23558319230767</v>
      </c>
      <c r="F13" s="5">
        <v>17</v>
      </c>
      <c r="G13" s="23">
        <v>96</v>
      </c>
      <c r="H13" s="33">
        <v>878.98812712885831</v>
      </c>
      <c r="I13" s="23">
        <v>39.373794572776646</v>
      </c>
      <c r="J13" s="5">
        <v>5989.6821779200864</v>
      </c>
      <c r="K13" s="31"/>
      <c r="L13" s="23">
        <v>2220591.6814827779</v>
      </c>
      <c r="M13" s="33">
        <v>357.72380369230768</v>
      </c>
      <c r="N13" s="5">
        <v>23</v>
      </c>
      <c r="O13" s="5">
        <v>73</v>
      </c>
      <c r="P13" s="33">
        <v>430.76679817683851</v>
      </c>
      <c r="Q13" s="5">
        <v>19.509191813892588</v>
      </c>
      <c r="R13" s="5">
        <v>4774.7634275068804</v>
      </c>
      <c r="S13" s="35"/>
      <c r="T13" s="23">
        <v>2240634.5586509788</v>
      </c>
      <c r="U13" s="33">
        <v>954.86369980769234</v>
      </c>
      <c r="V13" s="5">
        <v>16</v>
      </c>
      <c r="W13" s="5">
        <v>76</v>
      </c>
      <c r="X13" s="33">
        <v>1046.7638039890405</v>
      </c>
      <c r="Y13" s="5">
        <v>46.325556457119418</v>
      </c>
      <c r="Z13" s="5">
        <v>6387.5415190409494</v>
      </c>
      <c r="AA13" s="35"/>
    </row>
    <row r="14" spans="2:27" x14ac:dyDescent="0.2">
      <c r="B14" s="47" t="s">
        <v>3</v>
      </c>
      <c r="C14" s="48"/>
      <c r="D14" s="9">
        <f>MIN(D4:D13)</f>
        <v>1615669.13406594</v>
      </c>
      <c r="E14" s="22">
        <f>INDEX(E4:E13, MATCH($D$14, D4:D13, 0))</f>
        <v>248.20239161538456</v>
      </c>
      <c r="F14" s="9">
        <f>INDEX(F4:F13, MATCH($D$14, D4:D13, 0))</f>
        <v>16</v>
      </c>
      <c r="G14" s="9">
        <f>INDEX(G4:G13, MATCH($D$14, D4:D13, 0))</f>
        <v>97</v>
      </c>
      <c r="H14" s="22">
        <f>INDEX(H4:H13, MATCH($D$14, D4:D13, 0))</f>
        <v>771.42056033602023</v>
      </c>
      <c r="I14" s="22">
        <f>INDEX(I4:I13, MATCH($D$14, D4:D13, 0))</f>
        <v>42.096454263796367</v>
      </c>
      <c r="J14" s="22">
        <f>INDEX(J4:J13, MATCH($D$14, D4:D13, 0))</f>
        <v>5964.6367374601732</v>
      </c>
      <c r="K14" s="32" t="e">
        <f>(D14-$D$15)/$D$15</f>
        <v>#DIV/0!</v>
      </c>
      <c r="L14" s="16">
        <f>MIN(L4:L13)</f>
        <v>2171308.4731912031</v>
      </c>
      <c r="M14" s="21">
        <f>INDEX(M4:M13, MATCH($L$14, L4:L13, 0))</f>
        <v>444.60265530769226</v>
      </c>
      <c r="N14" s="16">
        <f>INDEX(N4:N13, MATCH($L$14, L4:L13, 0))</f>
        <v>25</v>
      </c>
      <c r="O14" s="16">
        <f>INDEX(O4:O13, MATCH($L$14, L4:L13, 0))</f>
        <v>76</v>
      </c>
      <c r="P14" s="21">
        <f>INDEX(P4:P13, MATCH($L$14, L4:L13, 0))</f>
        <v>458.22546665556996</v>
      </c>
      <c r="Q14" s="21">
        <f>INDEX(Q4:Q13, MATCH($L$14, L4:L13, 0))</f>
        <v>18.994457968506364</v>
      </c>
      <c r="R14" s="21">
        <f>INDEX(R4:R13, MATCH($L$14, L4:L13, 0))</f>
        <v>4823.9813980515701</v>
      </c>
      <c r="S14" s="36" t="e">
        <f>(L14-$D$15)/$D$15</f>
        <v>#DIV/0!</v>
      </c>
      <c r="T14" s="38">
        <f>MIN(T4:T13)</f>
        <v>2213854.6207417548</v>
      </c>
      <c r="U14" s="39">
        <f>INDEX(U4:U13, MATCH($T$14, T4:T13, 0))</f>
        <v>556.71153634615382</v>
      </c>
      <c r="V14" s="38">
        <f>INDEX(V4:V13, MATCH($T$14, T4:T13, 0))</f>
        <v>16</v>
      </c>
      <c r="W14" s="38">
        <f>INDEX(W4:W13, MATCH($T$14, T4:T13, 0))</f>
        <v>78.5</v>
      </c>
      <c r="X14" s="39">
        <f>INDEX(X4:X13, MATCH($T$14, T4:T13, 0))</f>
        <v>1075.5328218759482</v>
      </c>
      <c r="Y14" s="39">
        <f>INDEX(Y4:Y13, MATCH($T$14, T4:T13, 0))</f>
        <v>50.052808640355323</v>
      </c>
      <c r="Z14" s="39">
        <f>INDEX(Z4:Z13, MATCH($T$14, T4:T13, 0))</f>
        <v>6584.0269343277105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0.34390663744807654</v>
      </c>
      <c r="M15" s="41">
        <f t="shared" ref="M15:R15" si="0">(M14-E14)/E14</f>
        <v>0.79129077852178942</v>
      </c>
      <c r="N15" s="41">
        <f t="shared" si="0"/>
        <v>0.5625</v>
      </c>
      <c r="O15" s="41">
        <f t="shared" si="0"/>
        <v>-0.21649484536082475</v>
      </c>
      <c r="P15" s="41">
        <f t="shared" si="0"/>
        <v>-0.40599785614221479</v>
      </c>
      <c r="Q15" s="41">
        <f t="shared" si="0"/>
        <v>-0.54878722446603045</v>
      </c>
      <c r="R15" s="41">
        <f t="shared" si="0"/>
        <v>-0.19123634675769213</v>
      </c>
      <c r="T15" s="41">
        <f>(T14-D14)/D14</f>
        <v>0.37024009066165714</v>
      </c>
      <c r="U15" s="41">
        <f t="shared" ref="U15:Z15" si="1">(U14-E14)/E14</f>
        <v>1.2429741015905935</v>
      </c>
      <c r="V15" s="41">
        <f t="shared" si="1"/>
        <v>0</v>
      </c>
      <c r="W15" s="41">
        <f t="shared" si="1"/>
        <v>-0.19072164948453607</v>
      </c>
      <c r="X15" s="41">
        <f t="shared" si="1"/>
        <v>0.39422369220683057</v>
      </c>
      <c r="Y15" s="41">
        <f t="shared" si="1"/>
        <v>0.18900295798550307</v>
      </c>
      <c r="Z15" s="41">
        <f t="shared" si="1"/>
        <v>0.10384374172823178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22:C34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E7A7-FB7A-43F5-A391-2B6410A2FAB1}">
  <dimension ref="B1:AA17"/>
  <sheetViews>
    <sheetView topLeftCell="I1" zoomScaleNormal="100" workbookViewId="0">
      <selection activeCell="R39" sqref="R3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-0.96134834034148609</v>
      </c>
      <c r="J2" s="28" t="e">
        <f>(S14-J14)/J14</f>
        <v>#DIV/0!</v>
      </c>
      <c r="K2" s="28"/>
      <c r="L2" s="1" t="s">
        <v>19</v>
      </c>
      <c r="P2" s="1">
        <f>(P14-H14)/H14</f>
        <v>-0.47701579146943873</v>
      </c>
      <c r="R2" s="1">
        <f>(R14-J14)/J14</f>
        <v>-0.15651335345945638</v>
      </c>
      <c r="T2" s="1" t="s">
        <v>20</v>
      </c>
      <c r="X2" s="1">
        <f>(X14-P14)/P14</f>
        <v>3.4981044837803679</v>
      </c>
      <c r="Z2" s="1">
        <f>(Z14-R14)/R14</f>
        <v>0.43130190194143986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269</v>
      </c>
      <c r="D4" s="23">
        <v>1451535.496629209</v>
      </c>
      <c r="E4" s="33">
        <v>365.48295930769228</v>
      </c>
      <c r="F4" s="5">
        <v>16</v>
      </c>
      <c r="G4" s="23">
        <v>96.5</v>
      </c>
      <c r="H4" s="33">
        <v>496.76309916622978</v>
      </c>
      <c r="I4" s="23">
        <v>50.966474532765986</v>
      </c>
      <c r="J4" s="5">
        <v>5414.5427075009247</v>
      </c>
      <c r="K4" s="31"/>
      <c r="L4" s="23">
        <v>2201203.4375838949</v>
      </c>
      <c r="M4" s="33">
        <v>818.25758899999994</v>
      </c>
      <c r="N4" s="5">
        <v>29</v>
      </c>
      <c r="O4" s="5">
        <v>75</v>
      </c>
      <c r="P4" s="33">
        <v>371.81539953136524</v>
      </c>
      <c r="Q4" s="5">
        <v>20.468954739057555</v>
      </c>
      <c r="R4" s="5">
        <v>4581.2681671124083</v>
      </c>
      <c r="S4" s="35"/>
      <c r="T4" s="23">
        <v>2167009.494206483</v>
      </c>
      <c r="U4" s="33">
        <v>440.02741269230768</v>
      </c>
      <c r="V4" s="5">
        <v>16</v>
      </c>
      <c r="W4" s="5">
        <v>76</v>
      </c>
      <c r="X4" s="33">
        <v>1023.7744616980949</v>
      </c>
      <c r="Y4" s="5">
        <v>64.376482985717189</v>
      </c>
      <c r="Z4" s="5">
        <v>6221.80955109148</v>
      </c>
      <c r="AA4" s="35"/>
    </row>
    <row r="5" spans="2:27" x14ac:dyDescent="0.2">
      <c r="B5" s="4">
        <v>2</v>
      </c>
      <c r="C5" s="4">
        <v>341</v>
      </c>
      <c r="D5" s="23">
        <v>1483596.7968542271</v>
      </c>
      <c r="E5" s="33">
        <v>432.17741734615385</v>
      </c>
      <c r="F5" s="5">
        <v>17</v>
      </c>
      <c r="G5" s="23">
        <v>96.5</v>
      </c>
      <c r="H5" s="33">
        <v>592.43309985674352</v>
      </c>
      <c r="I5" s="23">
        <v>47.867294287548191</v>
      </c>
      <c r="J5" s="5">
        <v>5399.3754764744472</v>
      </c>
      <c r="K5" s="31"/>
      <c r="L5" s="23">
        <v>2280014.8998055328</v>
      </c>
      <c r="M5" s="33">
        <v>959.96012980769217</v>
      </c>
      <c r="N5" s="5">
        <v>24</v>
      </c>
      <c r="O5" s="5">
        <v>68.5</v>
      </c>
      <c r="P5" s="33">
        <v>325.1770025915896</v>
      </c>
      <c r="Q5" s="5">
        <v>21.341120895665828</v>
      </c>
      <c r="R5" s="5">
        <v>4356.0419800824175</v>
      </c>
      <c r="S5" s="35"/>
      <c r="T5" s="23">
        <v>2083199.6950907691</v>
      </c>
      <c r="U5" s="33">
        <v>497.39446400000003</v>
      </c>
      <c r="V5" s="5">
        <v>18</v>
      </c>
      <c r="W5" s="5">
        <v>81.5</v>
      </c>
      <c r="X5" s="33">
        <v>1213.5512545783956</v>
      </c>
      <c r="Y5" s="5">
        <v>64.613428912135547</v>
      </c>
      <c r="Z5" s="5">
        <v>6389.8939418628452</v>
      </c>
      <c r="AA5" s="35"/>
    </row>
    <row r="6" spans="2:27" x14ac:dyDescent="0.2">
      <c r="B6" s="4">
        <v>3</v>
      </c>
      <c r="C6" s="4">
        <v>369</v>
      </c>
      <c r="D6" s="23">
        <v>1543838.7423305369</v>
      </c>
      <c r="E6" s="33">
        <v>458.66716976923078</v>
      </c>
      <c r="F6" s="5">
        <v>16</v>
      </c>
      <c r="G6" s="23">
        <v>95.5</v>
      </c>
      <c r="H6" s="33">
        <v>671.89960672326822</v>
      </c>
      <c r="I6" s="23">
        <v>50.664649725642946</v>
      </c>
      <c r="J6" s="5">
        <v>5603.3615540760138</v>
      </c>
      <c r="K6" s="31"/>
      <c r="L6" s="23">
        <v>2193786.639597341</v>
      </c>
      <c r="M6" s="33">
        <v>921.89011499999992</v>
      </c>
      <c r="N6" s="5">
        <v>26</v>
      </c>
      <c r="O6" s="5">
        <v>72</v>
      </c>
      <c r="P6" s="33">
        <v>248.7537108843546</v>
      </c>
      <c r="Q6" s="5">
        <v>21.296643209731648</v>
      </c>
      <c r="R6" s="5">
        <v>4285.4103554306466</v>
      </c>
      <c r="S6" s="35"/>
      <c r="T6" s="23">
        <v>2173141.7555942992</v>
      </c>
      <c r="U6" s="33">
        <v>499.27417338461532</v>
      </c>
      <c r="V6" s="5">
        <v>17</v>
      </c>
      <c r="W6" s="5">
        <v>77</v>
      </c>
      <c r="X6" s="33">
        <v>1041.9894175958991</v>
      </c>
      <c r="Y6" s="5">
        <v>64.419798488643593</v>
      </c>
      <c r="Z6" s="5">
        <v>6368.6706405679743</v>
      </c>
      <c r="AA6" s="35"/>
    </row>
    <row r="7" spans="2:27" x14ac:dyDescent="0.2">
      <c r="B7" s="4">
        <v>4</v>
      </c>
      <c r="C7" s="4">
        <v>379</v>
      </c>
      <c r="D7" s="23">
        <v>1468967.772988765</v>
      </c>
      <c r="E7" s="33">
        <v>684.78528811538456</v>
      </c>
      <c r="F7" s="5">
        <v>16</v>
      </c>
      <c r="G7" s="23">
        <v>96.5</v>
      </c>
      <c r="H7" s="33">
        <v>534.09473236551798</v>
      </c>
      <c r="I7" s="23">
        <v>51.483120314434125</v>
      </c>
      <c r="J7" s="5">
        <v>5494.0528969639045</v>
      </c>
      <c r="K7" s="31"/>
      <c r="L7" s="23">
        <v>2383510.256357824</v>
      </c>
      <c r="M7" s="33">
        <v>644.55082573076891</v>
      </c>
      <c r="N7" s="5">
        <v>21</v>
      </c>
      <c r="O7" s="5">
        <v>63.5</v>
      </c>
      <c r="P7" s="33">
        <v>230.41558888275429</v>
      </c>
      <c r="Q7" s="5">
        <v>22.181885589077517</v>
      </c>
      <c r="R7" s="5">
        <v>4400.6888357222397</v>
      </c>
      <c r="S7" s="35"/>
      <c r="T7" s="23">
        <v>2088624.286420932</v>
      </c>
      <c r="U7" s="33">
        <v>265.82539199999979</v>
      </c>
      <c r="V7" s="5">
        <v>17</v>
      </c>
      <c r="W7" s="5">
        <v>81</v>
      </c>
      <c r="X7" s="33">
        <v>1213.3504816065993</v>
      </c>
      <c r="Y7" s="5">
        <v>66.503926634455482</v>
      </c>
      <c r="Z7" s="5">
        <v>6432.6273965244554</v>
      </c>
      <c r="AA7" s="35"/>
    </row>
    <row r="8" spans="2:27" x14ac:dyDescent="0.2">
      <c r="B8" s="4">
        <v>5</v>
      </c>
      <c r="C8" s="4">
        <v>409</v>
      </c>
      <c r="D8" s="23">
        <v>1524933.1240769781</v>
      </c>
      <c r="E8" s="33">
        <v>295.22911719230774</v>
      </c>
      <c r="F8" s="5">
        <v>16</v>
      </c>
      <c r="G8" s="23">
        <v>95.5</v>
      </c>
      <c r="H8" s="33">
        <v>650.568841416694</v>
      </c>
      <c r="I8" s="23">
        <v>51.204647921311313</v>
      </c>
      <c r="J8" s="5">
        <v>5549.5810689339623</v>
      </c>
      <c r="K8" s="31"/>
      <c r="L8" s="23">
        <v>2245344.365973094</v>
      </c>
      <c r="M8" s="33">
        <v>380.28596488461517</v>
      </c>
      <c r="N8" s="5">
        <v>27</v>
      </c>
      <c r="O8" s="5">
        <v>73</v>
      </c>
      <c r="P8" s="33">
        <v>435.72644818190571</v>
      </c>
      <c r="Q8" s="5">
        <v>20.698410026560914</v>
      </c>
      <c r="R8" s="5">
        <v>4632.4149364808009</v>
      </c>
      <c r="S8" s="35"/>
      <c r="T8" s="23">
        <v>2110814.1417226461</v>
      </c>
      <c r="U8" s="33">
        <v>720.25171057692307</v>
      </c>
      <c r="V8" s="5">
        <v>19</v>
      </c>
      <c r="W8" s="5">
        <v>82.5</v>
      </c>
      <c r="X8" s="33">
        <v>1334.1585324278165</v>
      </c>
      <c r="Y8" s="5">
        <v>61.505190643143138</v>
      </c>
      <c r="Z8" s="5">
        <v>6541.7684879458848</v>
      </c>
      <c r="AA8" s="35"/>
    </row>
    <row r="9" spans="2:27" x14ac:dyDescent="0.2">
      <c r="B9" s="4">
        <v>6</v>
      </c>
      <c r="C9" s="4">
        <v>457</v>
      </c>
      <c r="D9" s="23">
        <v>1491938.3680477049</v>
      </c>
      <c r="E9" s="33">
        <v>475.68108999999993</v>
      </c>
      <c r="F9" s="5">
        <v>15</v>
      </c>
      <c r="G9" s="23">
        <v>95.5</v>
      </c>
      <c r="H9" s="33">
        <v>596.40410783425796</v>
      </c>
      <c r="I9" s="23">
        <v>54.089587783442767</v>
      </c>
      <c r="J9" s="5">
        <v>5501.3185485913064</v>
      </c>
      <c r="K9" s="31"/>
      <c r="L9" s="23">
        <v>2165989.573780416</v>
      </c>
      <c r="M9" s="33">
        <v>467.05245300000001</v>
      </c>
      <c r="N9" s="5">
        <v>30</v>
      </c>
      <c r="O9" s="5">
        <v>76</v>
      </c>
      <c r="P9" s="33">
        <v>269.79169980473279</v>
      </c>
      <c r="Q9" s="5">
        <v>19.939219558548384</v>
      </c>
      <c r="R9" s="5">
        <v>4464.3928252980695</v>
      </c>
      <c r="S9" s="35"/>
      <c r="T9" s="23">
        <v>2155753.0634317258</v>
      </c>
      <c r="U9" s="33">
        <v>265.70571799999993</v>
      </c>
      <c r="V9" s="5">
        <v>18</v>
      </c>
      <c r="W9" s="5">
        <v>78</v>
      </c>
      <c r="X9" s="33">
        <v>1058.7816113869656</v>
      </c>
      <c r="Y9" s="5">
        <v>62.594141522472277</v>
      </c>
      <c r="Z9" s="5">
        <v>6380.9812048546892</v>
      </c>
      <c r="AA9" s="35"/>
    </row>
    <row r="10" spans="2:27" x14ac:dyDescent="0.2">
      <c r="B10" s="4">
        <v>7</v>
      </c>
      <c r="C10" s="4">
        <v>603</v>
      </c>
      <c r="D10" s="23">
        <v>1548190.608627524</v>
      </c>
      <c r="E10" s="33">
        <v>446.29511980769229</v>
      </c>
      <c r="F10" s="5">
        <v>17</v>
      </c>
      <c r="G10" s="23">
        <v>96.5</v>
      </c>
      <c r="H10" s="33">
        <v>646.72439126368852</v>
      </c>
      <c r="I10" s="23">
        <v>48.143649668452255</v>
      </c>
      <c r="J10" s="5">
        <v>5693.9293285452013</v>
      </c>
      <c r="K10" s="31"/>
      <c r="L10" s="23">
        <v>2566599.443754551</v>
      </c>
      <c r="M10" s="33">
        <v>924.32202234615374</v>
      </c>
      <c r="N10" s="5">
        <v>16</v>
      </c>
      <c r="O10" s="5">
        <v>53</v>
      </c>
      <c r="P10" s="33">
        <v>88.901830877951483</v>
      </c>
      <c r="Q10" s="5">
        <v>23.71977550162347</v>
      </c>
      <c r="R10" s="5">
        <v>3981.2325754753092</v>
      </c>
      <c r="S10" s="35"/>
      <c r="T10" s="23">
        <v>2246337.4451196259</v>
      </c>
      <c r="U10" s="33">
        <v>516.26524096153844</v>
      </c>
      <c r="V10" s="5">
        <v>17</v>
      </c>
      <c r="W10" s="5">
        <v>76.5</v>
      </c>
      <c r="X10" s="33">
        <v>1317.3409980420311</v>
      </c>
      <c r="Y10" s="5">
        <v>65.197955930641285</v>
      </c>
      <c r="Z10" s="5">
        <v>6702.2046092650253</v>
      </c>
      <c r="AA10" s="35"/>
    </row>
    <row r="11" spans="2:27" x14ac:dyDescent="0.2">
      <c r="B11" s="4">
        <v>8</v>
      </c>
      <c r="C11" s="4">
        <v>724</v>
      </c>
      <c r="D11" s="23">
        <v>1482577.2073531209</v>
      </c>
      <c r="E11" s="33">
        <v>479.52175515384613</v>
      </c>
      <c r="F11" s="5">
        <v>17</v>
      </c>
      <c r="G11" s="23">
        <v>96.5</v>
      </c>
      <c r="H11" s="33">
        <v>585.91914749188993</v>
      </c>
      <c r="I11" s="23">
        <v>47.945002777158493</v>
      </c>
      <c r="J11" s="5">
        <v>5412.9399053129509</v>
      </c>
      <c r="K11" s="31"/>
      <c r="L11" s="23">
        <v>2215948.1577176512</v>
      </c>
      <c r="M11" s="33">
        <v>363.93473584615373</v>
      </c>
      <c r="N11" s="5">
        <v>27</v>
      </c>
      <c r="O11" s="5">
        <v>72</v>
      </c>
      <c r="P11" s="33">
        <v>246.99013891922539</v>
      </c>
      <c r="Q11" s="5">
        <v>20.708713826546592</v>
      </c>
      <c r="R11" s="5">
        <v>4351.5177952054601</v>
      </c>
      <c r="S11" s="35"/>
      <c r="T11" s="23">
        <v>2088799.9262889349</v>
      </c>
      <c r="U11" s="33">
        <v>306.3581505384613</v>
      </c>
      <c r="V11" s="5">
        <v>18</v>
      </c>
      <c r="W11" s="5">
        <v>81</v>
      </c>
      <c r="X11" s="33">
        <v>1140.9253964406632</v>
      </c>
      <c r="Y11" s="5">
        <v>64.107367558366178</v>
      </c>
      <c r="Z11" s="5">
        <v>6413.2895971755643</v>
      </c>
      <c r="AA11" s="35"/>
    </row>
    <row r="12" spans="2:27" x14ac:dyDescent="0.2">
      <c r="B12" s="4">
        <v>9</v>
      </c>
      <c r="C12" s="4">
        <v>758</v>
      </c>
      <c r="D12" s="23">
        <v>1445634.5842838951</v>
      </c>
      <c r="E12" s="33">
        <v>203.2129893846153</v>
      </c>
      <c r="F12" s="5">
        <v>17</v>
      </c>
      <c r="G12" s="23">
        <v>96.5</v>
      </c>
      <c r="H12" s="33">
        <v>515.86968670195927</v>
      </c>
      <c r="I12" s="23">
        <v>48.055733161630002</v>
      </c>
      <c r="J12" s="5">
        <v>5292.7842350655174</v>
      </c>
      <c r="K12" s="31"/>
      <c r="L12" s="23">
        <v>2257265.44171027</v>
      </c>
      <c r="M12" s="33">
        <v>807.95545599999969</v>
      </c>
      <c r="N12" s="5">
        <v>28</v>
      </c>
      <c r="O12" s="5">
        <v>71.5</v>
      </c>
      <c r="P12" s="33">
        <v>248.00009487359983</v>
      </c>
      <c r="Q12" s="5">
        <v>19.724053344254003</v>
      </c>
      <c r="R12" s="5">
        <v>4381.0091673922425</v>
      </c>
      <c r="S12" s="35"/>
      <c r="T12" s="23">
        <v>2163700.5337482481</v>
      </c>
      <c r="U12" s="33">
        <v>203.34906161538478</v>
      </c>
      <c r="V12" s="5">
        <v>17</v>
      </c>
      <c r="W12" s="5">
        <v>77</v>
      </c>
      <c r="X12" s="33">
        <v>1149.0888793287245</v>
      </c>
      <c r="Y12" s="5">
        <v>65.440192926487811</v>
      </c>
      <c r="Z12" s="5">
        <v>6356.8694632318911</v>
      </c>
      <c r="AA12" s="35"/>
    </row>
    <row r="13" spans="2:27" x14ac:dyDescent="0.2">
      <c r="B13" s="4">
        <v>10</v>
      </c>
      <c r="C13" s="4">
        <v>859</v>
      </c>
      <c r="D13" s="23">
        <v>1533941.0776049581</v>
      </c>
      <c r="E13" s="33">
        <v>280.62702080769247</v>
      </c>
      <c r="F13" s="5">
        <v>17</v>
      </c>
      <c r="G13" s="23">
        <v>97</v>
      </c>
      <c r="H13" s="33">
        <v>727.41124985624197</v>
      </c>
      <c r="I13" s="23">
        <v>48.845676072881446</v>
      </c>
      <c r="J13" s="5">
        <v>5636.0563405486428</v>
      </c>
      <c r="K13" s="31"/>
      <c r="L13" s="23">
        <v>2293127.1773393578</v>
      </c>
      <c r="M13" s="33">
        <v>424.77855757692345</v>
      </c>
      <c r="N13" s="5">
        <v>24</v>
      </c>
      <c r="O13" s="5">
        <v>67.5</v>
      </c>
      <c r="P13" s="33">
        <v>291.69091204458687</v>
      </c>
      <c r="Q13" s="5">
        <v>21.200193419689082</v>
      </c>
      <c r="R13" s="5">
        <v>4259.9583717422838</v>
      </c>
      <c r="S13" s="35"/>
      <c r="T13" s="23">
        <v>2149750.5478412849</v>
      </c>
      <c r="U13" s="33">
        <v>973.78771607692295</v>
      </c>
      <c r="V13" s="5">
        <v>19</v>
      </c>
      <c r="W13" s="5">
        <v>81</v>
      </c>
      <c r="X13" s="33">
        <v>1236.4472277530892</v>
      </c>
      <c r="Y13" s="5">
        <v>60.541976217361203</v>
      </c>
      <c r="Z13" s="5">
        <v>6519.31229630296</v>
      </c>
      <c r="AA13" s="35"/>
    </row>
    <row r="14" spans="2:27" x14ac:dyDescent="0.2">
      <c r="B14" s="47" t="s">
        <v>3</v>
      </c>
      <c r="C14" s="48"/>
      <c r="D14" s="9">
        <f>MIN(D4:D13)</f>
        <v>1445634.5842838951</v>
      </c>
      <c r="E14" s="22">
        <f>INDEX(E4:E13, MATCH($D$14, D4:D13, 0))</f>
        <v>203.2129893846153</v>
      </c>
      <c r="F14" s="9">
        <f>INDEX(F4:F13, MATCH($D$14, D4:D13, 0))</f>
        <v>17</v>
      </c>
      <c r="G14" s="9">
        <f>INDEX(G4:G13, MATCH($D$14, D4:D13, 0))</f>
        <v>96.5</v>
      </c>
      <c r="H14" s="22">
        <f>INDEX(H4:H13, MATCH($D$14, D4:D13, 0))</f>
        <v>515.86968670195927</v>
      </c>
      <c r="I14" s="22">
        <f>INDEX(I4:I13, MATCH($D$14, D4:D13, 0))</f>
        <v>48.055733161630002</v>
      </c>
      <c r="J14" s="22">
        <f>INDEX(J4:J13, MATCH($D$14, D4:D13, 0))</f>
        <v>5292.7842350655174</v>
      </c>
      <c r="K14" s="32" t="e">
        <f>(D14-$D$15)/$D$15</f>
        <v>#DIV/0!</v>
      </c>
      <c r="L14" s="16">
        <f>MIN(L4:L13)</f>
        <v>2165989.573780416</v>
      </c>
      <c r="M14" s="21">
        <f>INDEX(M4:M13, MATCH($L$14, L4:L13, 0))</f>
        <v>467.05245300000001</v>
      </c>
      <c r="N14" s="16">
        <f>INDEX(N4:N13, MATCH($L$14, L4:L13, 0))</f>
        <v>30</v>
      </c>
      <c r="O14" s="16">
        <f>INDEX(O4:O13, MATCH($L$14, L4:L13, 0))</f>
        <v>76</v>
      </c>
      <c r="P14" s="21">
        <f>INDEX(P4:P13, MATCH($L$14, L4:L13, 0))</f>
        <v>269.79169980473279</v>
      </c>
      <c r="Q14" s="21">
        <f>INDEX(Q4:Q13, MATCH($L$14, L4:L13, 0))</f>
        <v>19.939219558548384</v>
      </c>
      <c r="R14" s="21">
        <f>INDEX(R4:R13, MATCH($L$14, L4:L13, 0))</f>
        <v>4464.3928252980695</v>
      </c>
      <c r="S14" s="36" t="e">
        <f>(L14-$D$15)/$D$15</f>
        <v>#DIV/0!</v>
      </c>
      <c r="T14" s="38">
        <f>MIN(T4:T13)</f>
        <v>2083199.6950907691</v>
      </c>
      <c r="U14" s="39">
        <f>INDEX(U4:U13, MATCH($T$14, T4:T13, 0))</f>
        <v>497.39446400000003</v>
      </c>
      <c r="V14" s="38">
        <f>INDEX(V4:V13, MATCH($T$14, T4:T13, 0))</f>
        <v>18</v>
      </c>
      <c r="W14" s="38">
        <f>INDEX(W4:W13, MATCH($T$14, T4:T13, 0))</f>
        <v>81.5</v>
      </c>
      <c r="X14" s="39">
        <f>INDEX(X4:X13, MATCH($T$14, T4:T13, 0))</f>
        <v>1213.5512545783956</v>
      </c>
      <c r="Y14" s="39">
        <f>INDEX(Y4:Y13, MATCH($T$14, T4:T13, 0))</f>
        <v>64.613428912135547</v>
      </c>
      <c r="Z14" s="39">
        <f>INDEX(Z4:Z13, MATCH($T$14, T4:T13, 0))</f>
        <v>6389.8939418628452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0.49829673233319449</v>
      </c>
      <c r="M15" s="41">
        <f t="shared" ref="M15:R15" si="0">(M14-E14)/E14</f>
        <v>1.2983395619264448</v>
      </c>
      <c r="N15" s="41">
        <f t="shared" si="0"/>
        <v>0.76470588235294112</v>
      </c>
      <c r="O15" s="41">
        <f t="shared" si="0"/>
        <v>-0.21243523316062177</v>
      </c>
      <c r="P15" s="41">
        <f t="shared" si="0"/>
        <v>-0.47701579146943873</v>
      </c>
      <c r="Q15" s="41">
        <f t="shared" si="0"/>
        <v>-0.5850813576918058</v>
      </c>
      <c r="R15" s="41">
        <f t="shared" si="0"/>
        <v>-0.15651335345945638</v>
      </c>
      <c r="T15" s="41">
        <f>(T14-D14)/D14</f>
        <v>0.44102784876490503</v>
      </c>
      <c r="U15" s="41">
        <f t="shared" ref="U15:Z15" si="1">(U14-E14)/E14</f>
        <v>1.4476509376012181</v>
      </c>
      <c r="V15" s="41">
        <f t="shared" si="1"/>
        <v>5.8823529411764705E-2</v>
      </c>
      <c r="W15" s="41">
        <f t="shared" si="1"/>
        <v>-0.15544041450777202</v>
      </c>
      <c r="X15" s="41">
        <f t="shared" si="1"/>
        <v>1.3524376133376448</v>
      </c>
      <c r="Y15" s="41">
        <f t="shared" si="1"/>
        <v>0.34455193295700254</v>
      </c>
      <c r="Z15" s="41">
        <f t="shared" si="1"/>
        <v>0.2072840414556871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22:C34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F942-45C2-4B0E-8148-772F3DB7E2A4}">
  <dimension ref="B1:AA17"/>
  <sheetViews>
    <sheetView zoomScaleNormal="100" workbookViewId="0">
      <selection activeCell="U19" sqref="U19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-0.97792185212301908</v>
      </c>
      <c r="J2" s="28" t="e">
        <f>(S14-J14)/J14</f>
        <v>#DIV/0!</v>
      </c>
      <c r="K2" s="28"/>
      <c r="L2" s="1" t="s">
        <v>19</v>
      </c>
      <c r="P2" s="1">
        <f>(P14-H14)/H14</f>
        <v>-0.21370947514372704</v>
      </c>
      <c r="R2" s="1">
        <f>(R14-J14)/J14</f>
        <v>-0.12182282246611778</v>
      </c>
      <c r="T2" s="1" t="s">
        <v>20</v>
      </c>
      <c r="X2" s="1">
        <f>(X14-P14)/P14</f>
        <v>0.46785996471165725</v>
      </c>
      <c r="Z2" s="1">
        <f>(Z14-R14)/R14</f>
        <v>0.20507822482633684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391</v>
      </c>
      <c r="D4" s="23">
        <v>1869727.9324001039</v>
      </c>
      <c r="E4" s="33">
        <v>781.98716888461536</v>
      </c>
      <c r="F4" s="5">
        <v>15</v>
      </c>
      <c r="G4" s="23">
        <v>91.5</v>
      </c>
      <c r="H4" s="33">
        <v>1022.1374769478476</v>
      </c>
      <c r="I4" s="23">
        <v>44.802307867623632</v>
      </c>
      <c r="J4" s="5">
        <v>6303.3601812698153</v>
      </c>
      <c r="K4" s="31"/>
      <c r="L4" s="23">
        <v>2301329.8038332681</v>
      </c>
      <c r="M4" s="33">
        <v>782.35447988461533</v>
      </c>
      <c r="N4" s="5">
        <v>24</v>
      </c>
      <c r="O4" s="5">
        <v>75</v>
      </c>
      <c r="P4" s="33">
        <v>712.81535321651893</v>
      </c>
      <c r="Q4" s="5">
        <v>21.650051407450988</v>
      </c>
      <c r="R4" s="5">
        <v>5305.0660612614993</v>
      </c>
      <c r="S4" s="35"/>
      <c r="T4" s="23">
        <v>2538411.6378011801</v>
      </c>
      <c r="U4" s="33">
        <v>323.88602046153875</v>
      </c>
      <c r="V4" s="5">
        <v>13</v>
      </c>
      <c r="W4" s="5">
        <v>66.5</v>
      </c>
      <c r="X4" s="33">
        <v>1188.0620276324682</v>
      </c>
      <c r="Y4" s="5">
        <v>51.02504519380318</v>
      </c>
      <c r="Z4" s="5">
        <v>6708.0370081070059</v>
      </c>
      <c r="AA4" s="35"/>
    </row>
    <row r="5" spans="2:27" x14ac:dyDescent="0.2">
      <c r="B5" s="4">
        <v>2</v>
      </c>
      <c r="C5" s="4">
        <v>480</v>
      </c>
      <c r="D5" s="23">
        <v>1880992.827933558</v>
      </c>
      <c r="E5" s="33">
        <v>255.54453746153845</v>
      </c>
      <c r="F5" s="5">
        <v>15</v>
      </c>
      <c r="G5" s="23">
        <v>89.5</v>
      </c>
      <c r="H5" s="33">
        <v>858.27844477535177</v>
      </c>
      <c r="I5" s="23">
        <v>42.461663281737252</v>
      </c>
      <c r="J5" s="5">
        <v>6191.7761075750586</v>
      </c>
      <c r="K5" s="31"/>
      <c r="L5" s="23">
        <v>2378014.7169729071</v>
      </c>
      <c r="M5" s="33">
        <v>1026.0409988461538</v>
      </c>
      <c r="N5" s="5">
        <v>18</v>
      </c>
      <c r="O5" s="5">
        <v>67</v>
      </c>
      <c r="P5" s="33">
        <v>565.29550033034286</v>
      </c>
      <c r="Q5" s="5">
        <v>24.212702113374785</v>
      </c>
      <c r="R5" s="5">
        <v>5092.1266776676575</v>
      </c>
      <c r="S5" s="35"/>
      <c r="T5" s="23">
        <v>2403567.7784704729</v>
      </c>
      <c r="U5" s="33">
        <v>567.29908938461494</v>
      </c>
      <c r="V5" s="5">
        <v>13</v>
      </c>
      <c r="W5" s="5">
        <v>70</v>
      </c>
      <c r="X5" s="33">
        <v>987.17175699844745</v>
      </c>
      <c r="Y5" s="5">
        <v>54.564379843859925</v>
      </c>
      <c r="Z5" s="5">
        <v>6581.3535353106827</v>
      </c>
      <c r="AA5" s="35"/>
    </row>
    <row r="6" spans="2:27" x14ac:dyDescent="0.2">
      <c r="B6" s="4">
        <v>3</v>
      </c>
      <c r="C6" s="4">
        <v>500</v>
      </c>
      <c r="D6" s="23">
        <v>1850826.182573806</v>
      </c>
      <c r="E6" s="33">
        <v>863.19512607692309</v>
      </c>
      <c r="F6" s="5">
        <v>16</v>
      </c>
      <c r="G6" s="23">
        <v>91.5</v>
      </c>
      <c r="H6" s="33">
        <v>911.98464247872903</v>
      </c>
      <c r="I6" s="23">
        <v>40.893751609214867</v>
      </c>
      <c r="J6" s="5">
        <v>6115.2446768228947</v>
      </c>
      <c r="K6" s="31"/>
      <c r="L6" s="23">
        <v>2362158.2693674569</v>
      </c>
      <c r="M6" s="33">
        <v>317.54477950000012</v>
      </c>
      <c r="N6" s="5">
        <v>21</v>
      </c>
      <c r="O6" s="5">
        <v>69</v>
      </c>
      <c r="P6" s="33">
        <v>477.45177639346986</v>
      </c>
      <c r="Q6" s="5">
        <v>21.160694803455488</v>
      </c>
      <c r="R6" s="5">
        <v>5051.927184457938</v>
      </c>
      <c r="S6" s="35"/>
      <c r="T6" s="23">
        <v>2414569.045943175</v>
      </c>
      <c r="U6" s="33">
        <v>482.17564523076919</v>
      </c>
      <c r="V6" s="5">
        <v>14</v>
      </c>
      <c r="W6" s="5">
        <v>72</v>
      </c>
      <c r="X6" s="33">
        <v>1162.2619683396772</v>
      </c>
      <c r="Y6" s="5">
        <v>53.130150865264888</v>
      </c>
      <c r="Z6" s="5">
        <v>6748.128700829564</v>
      </c>
      <c r="AA6" s="35"/>
    </row>
    <row r="7" spans="2:27" x14ac:dyDescent="0.2">
      <c r="B7" s="4">
        <v>4</v>
      </c>
      <c r="C7" s="4">
        <v>504</v>
      </c>
      <c r="D7" s="23">
        <v>1883918.263451789</v>
      </c>
      <c r="E7" s="33">
        <v>170.97555103846145</v>
      </c>
      <c r="F7" s="5">
        <v>13</v>
      </c>
      <c r="G7" s="23">
        <v>87.5</v>
      </c>
      <c r="H7" s="33">
        <v>752.26640346940087</v>
      </c>
      <c r="I7" s="23">
        <v>46.318461158684656</v>
      </c>
      <c r="J7" s="5">
        <v>6131.3046805662943</v>
      </c>
      <c r="K7" s="31"/>
      <c r="L7" s="23">
        <v>2292561.503138951</v>
      </c>
      <c r="M7" s="33">
        <v>611.73180238461532</v>
      </c>
      <c r="N7" s="5">
        <v>23</v>
      </c>
      <c r="O7" s="5">
        <v>75.5</v>
      </c>
      <c r="P7" s="33">
        <v>682.79398580874999</v>
      </c>
      <c r="Q7" s="5">
        <v>21.906561833173637</v>
      </c>
      <c r="R7" s="5">
        <v>5436.742023682842</v>
      </c>
      <c r="S7" s="35"/>
      <c r="T7" s="23">
        <v>2421418.4296416109</v>
      </c>
      <c r="U7" s="33">
        <v>367.9679022307692</v>
      </c>
      <c r="V7" s="5">
        <v>13</v>
      </c>
      <c r="W7" s="5">
        <v>70</v>
      </c>
      <c r="X7" s="33">
        <v>1025.2166027461626</v>
      </c>
      <c r="Y7" s="5">
        <v>52.00454424692596</v>
      </c>
      <c r="Z7" s="5">
        <v>6534.5442300538125</v>
      </c>
      <c r="AA7" s="35"/>
    </row>
    <row r="8" spans="2:27" x14ac:dyDescent="0.2">
      <c r="B8" s="4">
        <v>5</v>
      </c>
      <c r="C8" s="4">
        <v>531</v>
      </c>
      <c r="D8" s="23">
        <v>1836540.2975861421</v>
      </c>
      <c r="E8" s="33">
        <v>768.78258046153803</v>
      </c>
      <c r="F8" s="5">
        <v>16</v>
      </c>
      <c r="G8" s="23">
        <v>92.5</v>
      </c>
      <c r="H8" s="33">
        <v>956.20920595716211</v>
      </c>
      <c r="I8" s="23">
        <v>41.800898154850465</v>
      </c>
      <c r="J8" s="5">
        <v>6158.1164588403963</v>
      </c>
      <c r="K8" s="31"/>
      <c r="L8" s="23">
        <v>2258843.8568913792</v>
      </c>
      <c r="M8" s="33">
        <v>446.70657538461575</v>
      </c>
      <c r="N8" s="5">
        <v>24</v>
      </c>
      <c r="O8" s="5">
        <v>76</v>
      </c>
      <c r="P8" s="33">
        <v>581.59837634670259</v>
      </c>
      <c r="Q8" s="5">
        <v>21.026250564722442</v>
      </c>
      <c r="R8" s="5">
        <v>5272.7430350302811</v>
      </c>
      <c r="S8" s="35"/>
      <c r="T8" s="23">
        <v>2346131.21317743</v>
      </c>
      <c r="U8" s="33">
        <v>343.75652203846164</v>
      </c>
      <c r="V8" s="5">
        <v>14</v>
      </c>
      <c r="W8" s="5">
        <v>72.5</v>
      </c>
      <c r="X8" s="33">
        <v>1103.6226073218922</v>
      </c>
      <c r="Y8" s="5">
        <v>54.804493406175844</v>
      </c>
      <c r="Z8" s="5">
        <v>6516.9634169470746</v>
      </c>
      <c r="AA8" s="35"/>
    </row>
    <row r="9" spans="2:27" x14ac:dyDescent="0.2">
      <c r="B9" s="4">
        <v>6</v>
      </c>
      <c r="C9" s="4">
        <v>555</v>
      </c>
      <c r="D9" s="23">
        <v>1937670.4573100151</v>
      </c>
      <c r="E9" s="33">
        <v>157.17607496153855</v>
      </c>
      <c r="F9" s="5">
        <v>14</v>
      </c>
      <c r="G9" s="23">
        <v>87.5</v>
      </c>
      <c r="H9" s="33">
        <v>907.59974481702614</v>
      </c>
      <c r="I9" s="23">
        <v>44.157832202151553</v>
      </c>
      <c r="J9" s="5">
        <v>6218.3713615547795</v>
      </c>
      <c r="K9" s="31"/>
      <c r="L9" s="23">
        <v>2306307.6060591289</v>
      </c>
      <c r="M9" s="33">
        <v>723.58410111538501</v>
      </c>
      <c r="N9" s="5">
        <v>22</v>
      </c>
      <c r="O9" s="5">
        <v>72</v>
      </c>
      <c r="P9" s="33">
        <v>602.57067862148176</v>
      </c>
      <c r="Q9" s="5">
        <v>21.678564404983497</v>
      </c>
      <c r="R9" s="5">
        <v>5081.9556877688437</v>
      </c>
      <c r="S9" s="35"/>
      <c r="T9" s="23">
        <v>2360701.5043236278</v>
      </c>
      <c r="U9" s="33">
        <v>501.68671353846111</v>
      </c>
      <c r="V9" s="5">
        <v>13</v>
      </c>
      <c r="W9" s="5">
        <v>71.5</v>
      </c>
      <c r="X9" s="33">
        <v>1021.042495917703</v>
      </c>
      <c r="Y9" s="5">
        <v>55.368650653560671</v>
      </c>
      <c r="Z9" s="5">
        <v>6524.7198646053848</v>
      </c>
      <c r="AA9" s="35"/>
    </row>
    <row r="10" spans="2:27" x14ac:dyDescent="0.2">
      <c r="B10" s="4">
        <v>7</v>
      </c>
      <c r="C10" s="4">
        <v>618</v>
      </c>
      <c r="D10" s="23">
        <v>1888521.792623125</v>
      </c>
      <c r="E10" s="33">
        <v>621.53811873076927</v>
      </c>
      <c r="F10" s="5">
        <v>14</v>
      </c>
      <c r="G10" s="23">
        <v>89.5</v>
      </c>
      <c r="H10" s="33">
        <v>928.03870196797322</v>
      </c>
      <c r="I10" s="23">
        <v>46.750134154218983</v>
      </c>
      <c r="J10" s="5">
        <v>6273.5959239523172</v>
      </c>
      <c r="K10" s="31"/>
      <c r="L10" s="23">
        <v>2263335.5038426179</v>
      </c>
      <c r="M10" s="33">
        <v>293.19872388461522</v>
      </c>
      <c r="N10" s="5">
        <v>23</v>
      </c>
      <c r="O10" s="5">
        <v>75</v>
      </c>
      <c r="P10" s="33">
        <v>596.57736826701068</v>
      </c>
      <c r="Q10" s="5">
        <v>21.530642930985579</v>
      </c>
      <c r="R10" s="5">
        <v>5238.3767817596963</v>
      </c>
      <c r="S10" s="35"/>
      <c r="T10" s="23">
        <v>2433567.3257439109</v>
      </c>
      <c r="U10" s="33">
        <v>160.78521300000062</v>
      </c>
      <c r="V10" s="5">
        <v>12</v>
      </c>
      <c r="W10" s="5">
        <v>68</v>
      </c>
      <c r="X10" s="33">
        <v>1019.8836396181238</v>
      </c>
      <c r="Y10" s="5">
        <v>57.878309294950327</v>
      </c>
      <c r="Z10" s="5">
        <v>6520.2321169287015</v>
      </c>
      <c r="AA10" s="35"/>
    </row>
    <row r="11" spans="2:27" x14ac:dyDescent="0.2">
      <c r="B11" s="4">
        <v>8</v>
      </c>
      <c r="C11" s="4">
        <v>858</v>
      </c>
      <c r="D11" s="23">
        <v>1895185.9342998839</v>
      </c>
      <c r="E11" s="33">
        <v>202.2737565769232</v>
      </c>
      <c r="F11" s="5">
        <v>14</v>
      </c>
      <c r="G11" s="23">
        <v>88</v>
      </c>
      <c r="H11" s="33">
        <v>827.29989730051386</v>
      </c>
      <c r="I11" s="23">
        <v>45.609490124391037</v>
      </c>
      <c r="J11" s="5">
        <v>6178.5890963348702</v>
      </c>
      <c r="K11" s="31"/>
      <c r="L11" s="23">
        <v>2265034.337541122</v>
      </c>
      <c r="M11" s="33">
        <v>246.53913938461579</v>
      </c>
      <c r="N11" s="5">
        <v>22</v>
      </c>
      <c r="O11" s="5">
        <v>73.5</v>
      </c>
      <c r="P11" s="33">
        <v>554.35082647073204</v>
      </c>
      <c r="Q11" s="5">
        <v>22.385010727868785</v>
      </c>
      <c r="R11" s="5">
        <v>5167.4770164730971</v>
      </c>
      <c r="S11" s="35"/>
      <c r="T11" s="23">
        <v>2475565.4312901832</v>
      </c>
      <c r="U11" s="33">
        <v>322.23836973076914</v>
      </c>
      <c r="V11" s="5">
        <v>12</v>
      </c>
      <c r="W11" s="5">
        <v>67</v>
      </c>
      <c r="X11" s="33">
        <v>994.72670468409001</v>
      </c>
      <c r="Y11" s="5">
        <v>53.852432383419249</v>
      </c>
      <c r="Z11" s="5">
        <v>6579.038193378633</v>
      </c>
      <c r="AA11" s="35"/>
    </row>
    <row r="12" spans="2:27" x14ac:dyDescent="0.2">
      <c r="B12" s="4">
        <v>9</v>
      </c>
      <c r="C12" s="4">
        <v>969</v>
      </c>
      <c r="D12" s="23">
        <v>2011115.897276355</v>
      </c>
      <c r="E12" s="33">
        <v>236.27945853846191</v>
      </c>
      <c r="F12" s="5">
        <v>14</v>
      </c>
      <c r="G12" s="23">
        <v>87</v>
      </c>
      <c r="H12" s="33">
        <v>1005.2886057092501</v>
      </c>
      <c r="I12" s="23">
        <v>44.08966074681107</v>
      </c>
      <c r="J12" s="5">
        <v>6519.6199300095732</v>
      </c>
      <c r="K12" s="31"/>
      <c r="L12" s="23">
        <v>2248609.140372328</v>
      </c>
      <c r="M12" s="33">
        <v>364.92410084615375</v>
      </c>
      <c r="N12" s="5">
        <v>25</v>
      </c>
      <c r="O12" s="5">
        <v>78.5</v>
      </c>
      <c r="P12" s="33">
        <v>751.858238424457</v>
      </c>
      <c r="Q12" s="5">
        <v>21.11132825045269</v>
      </c>
      <c r="R12" s="5">
        <v>5407.9173307494048</v>
      </c>
      <c r="S12" s="35"/>
      <c r="T12" s="23">
        <v>2356053.3584859292</v>
      </c>
      <c r="U12" s="33">
        <v>787.02377211538465</v>
      </c>
      <c r="V12" s="5">
        <v>14</v>
      </c>
      <c r="W12" s="5">
        <v>72.5</v>
      </c>
      <c r="X12" s="33">
        <v>1069.6404127874366</v>
      </c>
      <c r="Y12" s="5">
        <v>55.192957665174895</v>
      </c>
      <c r="Z12" s="5">
        <v>6544.26435985018</v>
      </c>
      <c r="AA12" s="35"/>
    </row>
    <row r="13" spans="2:27" x14ac:dyDescent="0.2">
      <c r="B13" s="4">
        <v>10</v>
      </c>
      <c r="C13" s="4">
        <v>972</v>
      </c>
      <c r="D13" s="23">
        <v>1874561.1995815509</v>
      </c>
      <c r="E13" s="33">
        <v>467.3443711153846</v>
      </c>
      <c r="F13" s="5">
        <v>14</v>
      </c>
      <c r="G13" s="23">
        <v>89.5</v>
      </c>
      <c r="H13" s="33">
        <v>863.06533192292613</v>
      </c>
      <c r="I13" s="23">
        <v>44.900535461139562</v>
      </c>
      <c r="J13" s="5">
        <v>6216.7843074227867</v>
      </c>
      <c r="K13" s="31"/>
      <c r="L13" s="23">
        <v>2361118.602247667</v>
      </c>
      <c r="M13" s="33">
        <v>524.33949203846146</v>
      </c>
      <c r="N13" s="5">
        <v>21</v>
      </c>
      <c r="O13" s="5">
        <v>71</v>
      </c>
      <c r="P13" s="33">
        <v>745.55837405505065</v>
      </c>
      <c r="Q13" s="5">
        <v>21.927892301256218</v>
      </c>
      <c r="R13" s="5">
        <v>5293.3151730352592</v>
      </c>
      <c r="S13" s="35"/>
      <c r="T13" s="23">
        <v>2366481.834884936</v>
      </c>
      <c r="U13" s="33">
        <v>263.55380084615382</v>
      </c>
      <c r="V13" s="5">
        <v>13</v>
      </c>
      <c r="W13" s="5">
        <v>71</v>
      </c>
      <c r="X13" s="33">
        <v>1016.8971112371216</v>
      </c>
      <c r="Y13" s="5">
        <v>57.867995093061239</v>
      </c>
      <c r="Z13" s="5">
        <v>6489.6240583636554</v>
      </c>
      <c r="AA13" s="35"/>
    </row>
    <row r="14" spans="2:27" x14ac:dyDescent="0.2">
      <c r="B14" s="47" t="s">
        <v>3</v>
      </c>
      <c r="C14" s="48"/>
      <c r="D14" s="9">
        <f>MIN(D4:D13)</f>
        <v>1836540.2975861421</v>
      </c>
      <c r="E14" s="22">
        <f>INDEX(E4:E13, MATCH($D$14, D4:D13, 0))</f>
        <v>768.78258046153803</v>
      </c>
      <c r="F14" s="9">
        <f>INDEX(F4:F13, MATCH($D$14, D4:D13, 0))</f>
        <v>16</v>
      </c>
      <c r="G14" s="9">
        <f>INDEX(G4:G13, MATCH($D$14, D4:D13, 0))</f>
        <v>92.5</v>
      </c>
      <c r="H14" s="22">
        <f>INDEX(H4:H13, MATCH($D$14, D4:D13, 0))</f>
        <v>956.20920595716211</v>
      </c>
      <c r="I14" s="22">
        <f>INDEX(I4:I13, MATCH($D$14, D4:D13, 0))</f>
        <v>41.800898154850465</v>
      </c>
      <c r="J14" s="22">
        <f>INDEX(J4:J13, MATCH($D$14, D4:D13, 0))</f>
        <v>6158.1164588403963</v>
      </c>
      <c r="K14" s="32" t="e">
        <f>(D14-$D$15)/$D$15</f>
        <v>#DIV/0!</v>
      </c>
      <c r="L14" s="16">
        <f>MIN(L4:L13)</f>
        <v>2248609.140372328</v>
      </c>
      <c r="M14" s="21">
        <f>INDEX(M4:M13, MATCH($L$14, L4:L13, 0))</f>
        <v>364.92410084615375</v>
      </c>
      <c r="N14" s="16">
        <f>INDEX(N4:N13, MATCH($L$14, L4:L13, 0))</f>
        <v>25</v>
      </c>
      <c r="O14" s="16">
        <f>INDEX(O4:O13, MATCH($L$14, L4:L13, 0))</f>
        <v>78.5</v>
      </c>
      <c r="P14" s="21">
        <f>INDEX(P4:P13, MATCH($L$14, L4:L13, 0))</f>
        <v>751.858238424457</v>
      </c>
      <c r="Q14" s="21">
        <f>INDEX(Q4:Q13, MATCH($L$14, L4:L13, 0))</f>
        <v>21.11132825045269</v>
      </c>
      <c r="R14" s="21">
        <f>INDEX(R4:R13, MATCH($L$14, L4:L13, 0))</f>
        <v>5407.9173307494048</v>
      </c>
      <c r="S14" s="36" t="e">
        <f>(L14-$D$15)/$D$15</f>
        <v>#DIV/0!</v>
      </c>
      <c r="T14" s="38">
        <f>MIN(T4:T13)</f>
        <v>2346131.21317743</v>
      </c>
      <c r="U14" s="39">
        <f>INDEX(U4:U13, MATCH($T$14, T4:T13, 0))</f>
        <v>343.75652203846164</v>
      </c>
      <c r="V14" s="38">
        <f>INDEX(V4:V13, MATCH($T$14, T4:T13, 0))</f>
        <v>14</v>
      </c>
      <c r="W14" s="38">
        <f>INDEX(W4:W13, MATCH($T$14, T4:T13, 0))</f>
        <v>72.5</v>
      </c>
      <c r="X14" s="39">
        <f>INDEX(X4:X13, MATCH($T$14, T4:T13, 0))</f>
        <v>1103.6226073218922</v>
      </c>
      <c r="Y14" s="39">
        <f>INDEX(Y4:Y13, MATCH($T$14, T4:T13, 0))</f>
        <v>54.804493406175844</v>
      </c>
      <c r="Z14" s="39">
        <f>INDEX(Z4:Z13, MATCH($T$14, T4:T13, 0))</f>
        <v>6516.9634169470746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0.22437233929894643</v>
      </c>
      <c r="M15" s="41">
        <f t="shared" ref="M15:R15" si="0">(M14-E14)/E14</f>
        <v>-0.52532210000508617</v>
      </c>
      <c r="N15" s="41">
        <f t="shared" si="0"/>
        <v>0.5625</v>
      </c>
      <c r="O15" s="41">
        <f t="shared" si="0"/>
        <v>-0.15135135135135136</v>
      </c>
      <c r="P15" s="41">
        <f t="shared" si="0"/>
        <v>-0.21370947514372704</v>
      </c>
      <c r="Q15" s="41">
        <f t="shared" si="0"/>
        <v>-0.49495515210591262</v>
      </c>
      <c r="R15" s="41">
        <f t="shared" si="0"/>
        <v>-0.12182282246611778</v>
      </c>
      <c r="T15" s="41">
        <f>(T14-D14)/D14</f>
        <v>0.27747331014792814</v>
      </c>
      <c r="U15" s="41">
        <f t="shared" ref="U15:Z15" si="1">(U14-E14)/E14</f>
        <v>-0.55285599495232096</v>
      </c>
      <c r="V15" s="41">
        <f t="shared" si="1"/>
        <v>-0.125</v>
      </c>
      <c r="W15" s="41">
        <f t="shared" si="1"/>
        <v>-0.21621621621621623</v>
      </c>
      <c r="X15" s="41">
        <f t="shared" si="1"/>
        <v>0.15416438206863928</v>
      </c>
      <c r="Y15" s="41">
        <f t="shared" si="1"/>
        <v>0.31108411123497537</v>
      </c>
      <c r="Z15" s="41">
        <f t="shared" si="1"/>
        <v>5.8272194185533643E-2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22:C34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CE40-835C-48A7-8E8A-40AA5E6DEDAB}">
  <dimension ref="B1:AA17"/>
  <sheetViews>
    <sheetView zoomScaleNormal="100" workbookViewId="0">
      <selection activeCell="G22" sqref="G2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-0.98001280563506654</v>
      </c>
      <c r="J2" s="28" t="e">
        <f>(S14-J14)/J14</f>
        <v>#DIV/0!</v>
      </c>
      <c r="K2" s="28"/>
      <c r="L2" s="1" t="s">
        <v>19</v>
      </c>
      <c r="P2" s="1">
        <f>(P14-H14)/H14</f>
        <v>-0.22174859383486972</v>
      </c>
      <c r="R2" s="1">
        <f>(R14-J14)/J14</f>
        <v>-9.1741067044944224E-2</v>
      </c>
      <c r="T2" s="1" t="s">
        <v>20</v>
      </c>
      <c r="X2" s="1">
        <f>(X14-P14)/P14</f>
        <v>0.38778916685923953</v>
      </c>
      <c r="Z2" s="1">
        <f>(Z14-R14)/R14</f>
        <v>0.15029172780926386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</v>
      </c>
      <c r="D4" s="23">
        <v>1879201.9878686869</v>
      </c>
      <c r="E4" s="33">
        <v>217.3475407307692</v>
      </c>
      <c r="F4" s="5">
        <v>15</v>
      </c>
      <c r="G4" s="23">
        <v>92</v>
      </c>
      <c r="H4" s="33">
        <v>1075.2332920904907</v>
      </c>
      <c r="I4" s="23">
        <v>40.29618172296378</v>
      </c>
      <c r="J4" s="5">
        <v>6384.7614648696917</v>
      </c>
      <c r="K4" s="31"/>
      <c r="L4" s="23">
        <v>2261621.552481743</v>
      </c>
      <c r="M4" s="33">
        <v>792.05732788461546</v>
      </c>
      <c r="N4" s="5">
        <v>25</v>
      </c>
      <c r="O4" s="5">
        <v>79.5</v>
      </c>
      <c r="P4" s="33">
        <v>781.44816977091079</v>
      </c>
      <c r="Q4" s="5">
        <v>20.06929423012015</v>
      </c>
      <c r="R4" s="5">
        <v>5691.2544201240999</v>
      </c>
      <c r="S4" s="35"/>
      <c r="T4" s="23">
        <v>2370176.119221644</v>
      </c>
      <c r="U4" s="33">
        <v>329.19162461538463</v>
      </c>
      <c r="V4" s="5">
        <v>14</v>
      </c>
      <c r="W4" s="5">
        <v>72.5</v>
      </c>
      <c r="X4" s="33">
        <v>1157.459169439642</v>
      </c>
      <c r="Y4" s="5">
        <v>46.803812878710502</v>
      </c>
      <c r="Z4" s="5">
        <v>6627.0037527952572</v>
      </c>
      <c r="AA4" s="35"/>
    </row>
    <row r="5" spans="2:27" x14ac:dyDescent="0.2">
      <c r="B5" s="4">
        <v>2</v>
      </c>
      <c r="C5" s="4">
        <v>279</v>
      </c>
      <c r="D5" s="23">
        <v>1924358.1748011019</v>
      </c>
      <c r="E5" s="33">
        <v>346.37612688461536</v>
      </c>
      <c r="F5" s="5">
        <v>16</v>
      </c>
      <c r="G5" s="23">
        <v>92</v>
      </c>
      <c r="H5" s="33">
        <v>1191.073432873922</v>
      </c>
      <c r="I5" s="23">
        <v>36.604335464330255</v>
      </c>
      <c r="J5" s="5">
        <v>6464.7684201269622</v>
      </c>
      <c r="K5" s="31"/>
      <c r="L5" s="23">
        <v>2355618.843675436</v>
      </c>
      <c r="M5" s="33">
        <v>661.36626473076922</v>
      </c>
      <c r="N5" s="5">
        <v>23</v>
      </c>
      <c r="O5" s="5">
        <v>74</v>
      </c>
      <c r="P5" s="33">
        <v>782.14337333941478</v>
      </c>
      <c r="Q5" s="5">
        <v>20.2692521233798</v>
      </c>
      <c r="R5" s="5">
        <v>5570.1826182191344</v>
      </c>
      <c r="S5" s="35"/>
      <c r="T5" s="23">
        <v>2440983.795229713</v>
      </c>
      <c r="U5" s="33">
        <v>166.03981273076928</v>
      </c>
      <c r="V5" s="5">
        <v>14</v>
      </c>
      <c r="W5" s="5">
        <v>70</v>
      </c>
      <c r="X5" s="33">
        <v>1208.8957155854648</v>
      </c>
      <c r="Y5" s="5">
        <v>45.257459900277055</v>
      </c>
      <c r="Z5" s="5">
        <v>6636.1297040062418</v>
      </c>
      <c r="AA5" s="35"/>
    </row>
    <row r="6" spans="2:27" x14ac:dyDescent="0.2">
      <c r="B6" s="4">
        <v>3</v>
      </c>
      <c r="C6" s="4">
        <v>304</v>
      </c>
      <c r="D6" s="23">
        <v>1857382.6656557471</v>
      </c>
      <c r="E6" s="33">
        <v>476.92305673076919</v>
      </c>
      <c r="F6" s="5">
        <v>17</v>
      </c>
      <c r="G6" s="23">
        <v>93</v>
      </c>
      <c r="H6" s="33">
        <v>1035.5256611165585</v>
      </c>
      <c r="I6" s="23">
        <v>35.654927019622498</v>
      </c>
      <c r="J6" s="5">
        <v>6246.4383436120215</v>
      </c>
      <c r="K6" s="31"/>
      <c r="L6" s="23">
        <v>2417977.375028532</v>
      </c>
      <c r="M6" s="33">
        <v>716.33010788461536</v>
      </c>
      <c r="N6" s="5">
        <v>17</v>
      </c>
      <c r="O6" s="5">
        <v>66.5</v>
      </c>
      <c r="P6" s="33">
        <v>664.44951069901958</v>
      </c>
      <c r="Q6" s="5">
        <v>24.416226061130182</v>
      </c>
      <c r="R6" s="5">
        <v>5427.8282541454037</v>
      </c>
      <c r="S6" s="35"/>
      <c r="T6" s="23">
        <v>2368808.2938656239</v>
      </c>
      <c r="U6" s="33">
        <v>642.91334499999994</v>
      </c>
      <c r="V6" s="5">
        <v>15</v>
      </c>
      <c r="W6" s="5">
        <v>74</v>
      </c>
      <c r="X6" s="33">
        <v>1250.2881948037816</v>
      </c>
      <c r="Y6" s="5">
        <v>45.86735851603008</v>
      </c>
      <c r="Z6" s="5">
        <v>6733.891277925698</v>
      </c>
      <c r="AA6" s="35"/>
    </row>
    <row r="7" spans="2:27" x14ac:dyDescent="0.2">
      <c r="B7" s="4">
        <v>4</v>
      </c>
      <c r="C7" s="4">
        <v>412</v>
      </c>
      <c r="D7" s="23">
        <v>1897867.6158181729</v>
      </c>
      <c r="E7" s="33">
        <v>520.8109374615384</v>
      </c>
      <c r="F7" s="5">
        <v>18</v>
      </c>
      <c r="G7" s="23">
        <v>96</v>
      </c>
      <c r="H7" s="33">
        <v>1300.2459709530685</v>
      </c>
      <c r="I7" s="23">
        <v>35.321324319600606</v>
      </c>
      <c r="J7" s="5">
        <v>6580.5965627128271</v>
      </c>
      <c r="K7" s="31"/>
      <c r="L7" s="23">
        <v>2318583.828856701</v>
      </c>
      <c r="M7" s="33">
        <v>1059.153454961539</v>
      </c>
      <c r="N7" s="5">
        <v>20</v>
      </c>
      <c r="O7" s="5">
        <v>72.5</v>
      </c>
      <c r="P7" s="33">
        <v>727.01318004839618</v>
      </c>
      <c r="Q7" s="5">
        <v>23.14644492962826</v>
      </c>
      <c r="R7" s="5">
        <v>5525.7914113336874</v>
      </c>
      <c r="S7" s="35"/>
      <c r="T7" s="23">
        <v>2497767.9991286979</v>
      </c>
      <c r="U7" s="33">
        <v>289.27081819230807</v>
      </c>
      <c r="V7" s="5">
        <v>13</v>
      </c>
      <c r="W7" s="5">
        <v>66.5</v>
      </c>
      <c r="X7" s="33">
        <v>1085.8743171659999</v>
      </c>
      <c r="Y7" s="5">
        <v>45.818072040286019</v>
      </c>
      <c r="Z7" s="5">
        <v>6517.7274391393112</v>
      </c>
      <c r="AA7" s="35"/>
    </row>
    <row r="8" spans="2:27" x14ac:dyDescent="0.2">
      <c r="B8" s="4">
        <v>5</v>
      </c>
      <c r="C8" s="4">
        <v>494</v>
      </c>
      <c r="D8" s="23">
        <v>1817502.6771180059</v>
      </c>
      <c r="E8" s="33">
        <v>588.21602949999999</v>
      </c>
      <c r="F8" s="5">
        <v>17</v>
      </c>
      <c r="G8" s="23">
        <v>95</v>
      </c>
      <c r="H8" s="33">
        <v>1008.5416173446936</v>
      </c>
      <c r="I8" s="23">
        <v>37.49692030844173</v>
      </c>
      <c r="J8" s="5">
        <v>6327.2436072762084</v>
      </c>
      <c r="K8" s="31"/>
      <c r="L8" s="23">
        <v>2334924.9535825662</v>
      </c>
      <c r="M8" s="33">
        <v>846.15200280769227</v>
      </c>
      <c r="N8" s="5">
        <v>24</v>
      </c>
      <c r="O8" s="5">
        <v>75.5</v>
      </c>
      <c r="P8" s="33">
        <v>781.50655709026512</v>
      </c>
      <c r="Q8" s="5">
        <v>19.347868306607435</v>
      </c>
      <c r="R8" s="5">
        <v>5590.9260540644236</v>
      </c>
      <c r="S8" s="35"/>
      <c r="T8" s="23">
        <v>2381818.4431511909</v>
      </c>
      <c r="U8" s="33">
        <v>372.5369317307692</v>
      </c>
      <c r="V8" s="5">
        <v>14</v>
      </c>
      <c r="W8" s="5">
        <v>74</v>
      </c>
      <c r="X8" s="33">
        <v>1314.9688830705188</v>
      </c>
      <c r="Y8" s="5">
        <v>48.627191334318638</v>
      </c>
      <c r="Z8" s="5">
        <v>6807.2446774246846</v>
      </c>
      <c r="AA8" s="35"/>
    </row>
    <row r="9" spans="2:27" x14ac:dyDescent="0.2">
      <c r="B9" s="4">
        <v>6</v>
      </c>
      <c r="C9" s="4">
        <v>620</v>
      </c>
      <c r="D9" s="23">
        <v>1849645.849831674</v>
      </c>
      <c r="E9" s="33">
        <v>727.01859142307694</v>
      </c>
      <c r="F9" s="5">
        <v>16</v>
      </c>
      <c r="G9" s="23">
        <v>93</v>
      </c>
      <c r="H9" s="33">
        <v>1010.9180109648171</v>
      </c>
      <c r="I9" s="23">
        <v>38.723767848986036</v>
      </c>
      <c r="J9" s="5">
        <v>6346.8424092013183</v>
      </c>
      <c r="K9" s="31"/>
      <c r="L9" s="23">
        <v>2291870.9826298868</v>
      </c>
      <c r="M9" s="33">
        <v>1048.1923339999998</v>
      </c>
      <c r="N9" s="5">
        <v>25</v>
      </c>
      <c r="O9" s="5">
        <v>80</v>
      </c>
      <c r="P9" s="33">
        <v>937.3240203089108</v>
      </c>
      <c r="Q9" s="5">
        <v>20.715407021791343</v>
      </c>
      <c r="R9" s="5">
        <v>5896.0854626799</v>
      </c>
      <c r="S9" s="35"/>
      <c r="T9" s="23">
        <v>2483958.7658534292</v>
      </c>
      <c r="U9" s="33">
        <v>283.8519984999997</v>
      </c>
      <c r="V9" s="5">
        <v>13</v>
      </c>
      <c r="W9" s="5">
        <v>67.5</v>
      </c>
      <c r="X9" s="33">
        <v>1100.0447954082729</v>
      </c>
      <c r="Y9" s="5">
        <v>43.679811880315384</v>
      </c>
      <c r="Z9" s="5">
        <v>6617.0136037293869</v>
      </c>
      <c r="AA9" s="35"/>
    </row>
    <row r="10" spans="2:27" x14ac:dyDescent="0.2">
      <c r="B10" s="4">
        <v>7</v>
      </c>
      <c r="C10" s="4">
        <v>633</v>
      </c>
      <c r="D10" s="23">
        <v>1925018.330668821</v>
      </c>
      <c r="E10" s="33">
        <v>603.65160592307654</v>
      </c>
      <c r="F10" s="5">
        <v>16</v>
      </c>
      <c r="G10" s="23">
        <v>91</v>
      </c>
      <c r="H10" s="33">
        <v>1071.4159440504498</v>
      </c>
      <c r="I10" s="23">
        <v>36.450493527001818</v>
      </c>
      <c r="J10" s="5">
        <v>6361.8401356042032</v>
      </c>
      <c r="K10" s="31"/>
      <c r="L10" s="23">
        <v>2316518.9623657032</v>
      </c>
      <c r="M10" s="33">
        <v>639.05965238461533</v>
      </c>
      <c r="N10" s="5">
        <v>20</v>
      </c>
      <c r="O10" s="5">
        <v>71</v>
      </c>
      <c r="P10" s="33">
        <v>646.48551530707527</v>
      </c>
      <c r="Q10" s="5">
        <v>22.158123032827611</v>
      </c>
      <c r="R10" s="5">
        <v>5284.9689162002405</v>
      </c>
      <c r="S10" s="35"/>
      <c r="T10" s="23">
        <v>2345784.0111868628</v>
      </c>
      <c r="U10" s="33">
        <v>800.85150842307689</v>
      </c>
      <c r="V10" s="5">
        <v>16</v>
      </c>
      <c r="W10" s="5">
        <v>75</v>
      </c>
      <c r="X10" s="33">
        <v>1258.054753060346</v>
      </c>
      <c r="Y10" s="5">
        <v>44.484036478826695</v>
      </c>
      <c r="Z10" s="5">
        <v>6637.5006352422424</v>
      </c>
      <c r="AA10" s="35"/>
    </row>
    <row r="11" spans="2:27" x14ac:dyDescent="0.2">
      <c r="B11" s="4">
        <v>8</v>
      </c>
      <c r="C11" s="4">
        <v>660</v>
      </c>
      <c r="D11" s="23">
        <v>1814775.5212492871</v>
      </c>
      <c r="E11" s="33">
        <v>767.17053092307731</v>
      </c>
      <c r="F11" s="5">
        <v>17</v>
      </c>
      <c r="G11" s="23">
        <v>95.5</v>
      </c>
      <c r="H11" s="33">
        <v>1020.603418297417</v>
      </c>
      <c r="I11" s="23">
        <v>37.715704299133144</v>
      </c>
      <c r="J11" s="5">
        <v>6343.3468505004466</v>
      </c>
      <c r="K11" s="31"/>
      <c r="L11" s="23">
        <v>2410446.5996194528</v>
      </c>
      <c r="M11" s="33">
        <v>424.46288553846108</v>
      </c>
      <c r="N11" s="5">
        <v>18</v>
      </c>
      <c r="O11" s="5">
        <v>68</v>
      </c>
      <c r="P11" s="33">
        <v>688.61260167425235</v>
      </c>
      <c r="Q11" s="5">
        <v>22.603373632045926</v>
      </c>
      <c r="R11" s="5">
        <v>5537.3506146705986</v>
      </c>
      <c r="S11" s="35"/>
      <c r="T11" s="23">
        <v>2429234.1446725889</v>
      </c>
      <c r="U11" s="33">
        <v>476.36322511538458</v>
      </c>
      <c r="V11" s="5">
        <v>14</v>
      </c>
      <c r="W11" s="5">
        <v>71</v>
      </c>
      <c r="X11" s="33">
        <v>1207.5943043221175</v>
      </c>
      <c r="Y11" s="5">
        <v>47.061400524613966</v>
      </c>
      <c r="Z11" s="5">
        <v>6754.5540131707548</v>
      </c>
      <c r="AA11" s="35"/>
    </row>
    <row r="12" spans="2:27" x14ac:dyDescent="0.2">
      <c r="B12" s="4">
        <v>9</v>
      </c>
      <c r="C12" s="4">
        <v>711</v>
      </c>
      <c r="D12" s="23">
        <v>1887817.8347003439</v>
      </c>
      <c r="E12" s="33">
        <v>405.41902700000037</v>
      </c>
      <c r="F12" s="5">
        <v>17</v>
      </c>
      <c r="G12" s="23">
        <v>93.5</v>
      </c>
      <c r="H12" s="33">
        <v>1127.5648825866074</v>
      </c>
      <c r="I12" s="23">
        <v>37.227626269549667</v>
      </c>
      <c r="J12" s="5">
        <v>6383.9493764567897</v>
      </c>
      <c r="K12" s="31"/>
      <c r="L12" s="23">
        <v>2362535.0988459941</v>
      </c>
      <c r="M12" s="33">
        <v>355.73147642307748</v>
      </c>
      <c r="N12" s="5">
        <v>22</v>
      </c>
      <c r="O12" s="5">
        <v>74</v>
      </c>
      <c r="P12" s="33">
        <v>808.18458902620148</v>
      </c>
      <c r="Q12" s="5">
        <v>21.290411522560476</v>
      </c>
      <c r="R12" s="5">
        <v>5728.9039558854347</v>
      </c>
      <c r="S12" s="35"/>
      <c r="T12" s="23">
        <v>2334738.6012922451</v>
      </c>
      <c r="U12" s="33">
        <v>374.22655850000024</v>
      </c>
      <c r="V12" s="5">
        <v>14</v>
      </c>
      <c r="W12" s="5">
        <v>73</v>
      </c>
      <c r="X12" s="33">
        <v>1084.4853044700499</v>
      </c>
      <c r="Y12" s="5">
        <v>47.953290688845982</v>
      </c>
      <c r="Z12" s="5">
        <v>6546.6028803266609</v>
      </c>
      <c r="AA12" s="35"/>
    </row>
    <row r="13" spans="2:27" x14ac:dyDescent="0.2">
      <c r="B13" s="4">
        <v>10</v>
      </c>
      <c r="C13" s="4">
        <v>864</v>
      </c>
      <c r="D13" s="23">
        <v>1784043.5693119389</v>
      </c>
      <c r="E13" s="33">
        <v>163.42518173076942</v>
      </c>
      <c r="F13" s="5">
        <v>17</v>
      </c>
      <c r="G13" s="23">
        <v>96</v>
      </c>
      <c r="H13" s="33">
        <v>1004.1076232955784</v>
      </c>
      <c r="I13" s="23">
        <v>38.249273525349977</v>
      </c>
      <c r="J13" s="5">
        <v>6266.1144455880903</v>
      </c>
      <c r="K13" s="31"/>
      <c r="L13" s="23">
        <v>2289297.6679353649</v>
      </c>
      <c r="M13" s="33">
        <v>642.50056576923078</v>
      </c>
      <c r="N13" s="5">
        <v>23</v>
      </c>
      <c r="O13" s="5">
        <v>76.5</v>
      </c>
      <c r="P13" s="33">
        <v>892.13393116875659</v>
      </c>
      <c r="Q13" s="5">
        <v>20.942983215869198</v>
      </c>
      <c r="R13" s="5">
        <v>5531.7401777668501</v>
      </c>
      <c r="S13" s="35"/>
      <c r="T13" s="23">
        <v>2494696.2159070428</v>
      </c>
      <c r="U13" s="33">
        <v>359.6992148846154</v>
      </c>
      <c r="V13" s="5">
        <v>13</v>
      </c>
      <c r="W13" s="5">
        <v>67</v>
      </c>
      <c r="X13" s="33">
        <v>1114.3552942229044</v>
      </c>
      <c r="Y13" s="5">
        <v>46.95003720002012</v>
      </c>
      <c r="Z13" s="5">
        <v>6659.2005015162067</v>
      </c>
      <c r="AA13" s="35"/>
    </row>
    <row r="14" spans="2:27" x14ac:dyDescent="0.2">
      <c r="B14" s="47" t="s">
        <v>3</v>
      </c>
      <c r="C14" s="48"/>
      <c r="D14" s="9">
        <f>MIN(D4:D13)</f>
        <v>1784043.5693119389</v>
      </c>
      <c r="E14" s="22">
        <f>INDEX(E4:E13, MATCH($D$14, D4:D13, 0))</f>
        <v>163.42518173076942</v>
      </c>
      <c r="F14" s="9">
        <f>INDEX(F4:F13, MATCH($D$14, D4:D13, 0))</f>
        <v>17</v>
      </c>
      <c r="G14" s="9">
        <f>INDEX(G4:G13, MATCH($D$14, D4:D13, 0))</f>
        <v>96</v>
      </c>
      <c r="H14" s="22">
        <f>INDEX(H4:H13, MATCH($D$14, D4:D13, 0))</f>
        <v>1004.1076232955784</v>
      </c>
      <c r="I14" s="22">
        <f>INDEX(I4:I13, MATCH($D$14, D4:D13, 0))</f>
        <v>38.249273525349977</v>
      </c>
      <c r="J14" s="22">
        <f>INDEX(J4:J13, MATCH($D$14, D4:D13, 0))</f>
        <v>6266.1144455880903</v>
      </c>
      <c r="K14" s="32" t="e">
        <f>(D14-$D$15)/$D$15</f>
        <v>#DIV/0!</v>
      </c>
      <c r="L14" s="16">
        <f>MIN(L4:L13)</f>
        <v>2261621.552481743</v>
      </c>
      <c r="M14" s="21">
        <f>INDEX(M4:M13, MATCH($L$14, L4:L13, 0))</f>
        <v>792.05732788461546</v>
      </c>
      <c r="N14" s="16">
        <f>INDEX(N4:N13, MATCH($L$14, L4:L13, 0))</f>
        <v>25</v>
      </c>
      <c r="O14" s="16">
        <f>INDEX(O4:O13, MATCH($L$14, L4:L13, 0))</f>
        <v>79.5</v>
      </c>
      <c r="P14" s="21">
        <f>INDEX(P4:P13, MATCH($L$14, L4:L13, 0))</f>
        <v>781.44816977091079</v>
      </c>
      <c r="Q14" s="21">
        <f>INDEX(Q4:Q13, MATCH($L$14, L4:L13, 0))</f>
        <v>20.06929423012015</v>
      </c>
      <c r="R14" s="21">
        <f>INDEX(R4:R13, MATCH($L$14, L4:L13, 0))</f>
        <v>5691.2544201240999</v>
      </c>
      <c r="S14" s="36" t="e">
        <f>(L14-$D$15)/$D$15</f>
        <v>#DIV/0!</v>
      </c>
      <c r="T14" s="38">
        <f>MIN(T4:T13)</f>
        <v>2334738.6012922451</v>
      </c>
      <c r="U14" s="39">
        <f>INDEX(U4:U13, MATCH($T$14, T4:T13, 0))</f>
        <v>374.22655850000024</v>
      </c>
      <c r="V14" s="38">
        <f>INDEX(V4:V13, MATCH($T$14, T4:T13, 0))</f>
        <v>14</v>
      </c>
      <c r="W14" s="38">
        <f>INDEX(W4:W13, MATCH($T$14, T4:T13, 0))</f>
        <v>73</v>
      </c>
      <c r="X14" s="39">
        <f>INDEX(X4:X13, MATCH($T$14, T4:T13, 0))</f>
        <v>1084.4853044700499</v>
      </c>
      <c r="Y14" s="39">
        <f>INDEX(Y4:Y13, MATCH($T$14, T4:T13, 0))</f>
        <v>47.953290688845982</v>
      </c>
      <c r="Z14" s="39">
        <f>INDEX(Z4:Z13, MATCH($T$14, T4:T13, 0))</f>
        <v>6546.6028803266609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0.2676941255162249</v>
      </c>
      <c r="M15" s="41">
        <f t="shared" ref="M15:R15" si="0">(M14-E14)/E14</f>
        <v>3.84660515286726</v>
      </c>
      <c r="N15" s="41">
        <f t="shared" si="0"/>
        <v>0.47058823529411764</v>
      </c>
      <c r="O15" s="41">
        <f t="shared" si="0"/>
        <v>-0.171875</v>
      </c>
      <c r="P15" s="41">
        <f t="shared" si="0"/>
        <v>-0.22174859383486972</v>
      </c>
      <c r="Q15" s="41">
        <f t="shared" si="0"/>
        <v>-0.47530260367379051</v>
      </c>
      <c r="R15" s="41">
        <f t="shared" si="0"/>
        <v>-9.1741067044944224E-2</v>
      </c>
      <c r="T15" s="41">
        <f>(T14-D14)/D14</f>
        <v>0.30867801742795747</v>
      </c>
      <c r="U15" s="41">
        <f t="shared" ref="U15:Z15" si="1">(U14-E14)/E14</f>
        <v>1.2898953180698314</v>
      </c>
      <c r="V15" s="41">
        <f t="shared" si="1"/>
        <v>-0.17647058823529413</v>
      </c>
      <c r="W15" s="41">
        <f t="shared" si="1"/>
        <v>-0.23958333333333334</v>
      </c>
      <c r="X15" s="41">
        <f t="shared" si="1"/>
        <v>8.004887056893778E-2</v>
      </c>
      <c r="Y15" s="41">
        <f t="shared" si="1"/>
        <v>0.25370461368539715</v>
      </c>
      <c r="Z15" s="41">
        <f t="shared" si="1"/>
        <v>4.4762737287069448E-2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22:C34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C5F0-8BB2-451A-BFB3-D19E6C18A621}">
  <dimension ref="B1:AA17"/>
  <sheetViews>
    <sheetView zoomScaleNormal="100" workbookViewId="0">
      <selection activeCell="S24" sqref="S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-0.96076567555825543</v>
      </c>
      <c r="J2" s="28" t="e">
        <f>(S14-J14)/J14</f>
        <v>#DIV/0!</v>
      </c>
      <c r="K2" s="28"/>
      <c r="L2" s="1" t="s">
        <v>19</v>
      </c>
      <c r="P2" s="1">
        <f>(P14-H14)/H14</f>
        <v>-0.2206429058652237</v>
      </c>
      <c r="R2" s="1">
        <f>(R14-J14)/J14</f>
        <v>-0.17177030006642463</v>
      </c>
      <c r="T2" s="1" t="s">
        <v>20</v>
      </c>
      <c r="X2" s="1">
        <f>(X14-P14)/P14</f>
        <v>1.6308233102087226</v>
      </c>
      <c r="Z2" s="1">
        <f>(Z14-R14)/R14</f>
        <v>0.37979747173017336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91</v>
      </c>
      <c r="D4" s="23">
        <v>1594584.2847916051</v>
      </c>
      <c r="E4" s="33">
        <v>454.39666476923077</v>
      </c>
      <c r="F4" s="5">
        <v>17</v>
      </c>
      <c r="G4" s="23">
        <v>95</v>
      </c>
      <c r="H4" s="33">
        <v>601.55257267671834</v>
      </c>
      <c r="I4" s="23">
        <v>41.903709083079107</v>
      </c>
      <c r="J4" s="5">
        <v>5569.255939097221</v>
      </c>
      <c r="K4" s="31" t="e">
        <f>(D4-$D$15)/$D$15</f>
        <v>#DIV/0!</v>
      </c>
      <c r="L4" s="23">
        <v>2112267.8201445811</v>
      </c>
      <c r="M4" s="33">
        <v>683.49056519230771</v>
      </c>
      <c r="N4" s="5">
        <v>28</v>
      </c>
      <c r="O4" s="5">
        <v>79.5</v>
      </c>
      <c r="P4" s="33">
        <v>494.66005864387415</v>
      </c>
      <c r="Q4" s="5">
        <v>20.172799890940642</v>
      </c>
      <c r="R4" s="5">
        <v>4767.6289953513715</v>
      </c>
      <c r="S4" s="35"/>
      <c r="T4" s="23">
        <v>2172410.994397772</v>
      </c>
      <c r="U4" s="33">
        <v>587.98121253846159</v>
      </c>
      <c r="V4" s="5">
        <v>15</v>
      </c>
      <c r="W4" s="5">
        <v>77.5</v>
      </c>
      <c r="X4" s="33">
        <v>1054.4737011369657</v>
      </c>
      <c r="Y4" s="5">
        <v>59.687870353843977</v>
      </c>
      <c r="Z4" s="5">
        <v>6374.4260502041861</v>
      </c>
      <c r="AA4" s="35"/>
    </row>
    <row r="5" spans="2:27" x14ac:dyDescent="0.2">
      <c r="B5" s="4">
        <v>2</v>
      </c>
      <c r="C5" s="4">
        <v>198</v>
      </c>
      <c r="D5" s="23">
        <v>1562174.693208568</v>
      </c>
      <c r="E5" s="33">
        <v>491.9589296538461</v>
      </c>
      <c r="F5" s="5">
        <v>17</v>
      </c>
      <c r="G5" s="23">
        <v>95</v>
      </c>
      <c r="H5" s="33">
        <v>554.5266116327889</v>
      </c>
      <c r="I5" s="23">
        <v>42.501646831024232</v>
      </c>
      <c r="J5" s="5">
        <v>5416.4811247052694</v>
      </c>
      <c r="K5" s="31" t="e">
        <f>(D5-$D$15)/$D$15</f>
        <v>#DIV/0!</v>
      </c>
      <c r="L5" s="23">
        <v>2161295.5348512628</v>
      </c>
      <c r="M5" s="33">
        <v>659.53403026923081</v>
      </c>
      <c r="N5" s="5">
        <v>24</v>
      </c>
      <c r="O5" s="5">
        <v>75</v>
      </c>
      <c r="P5" s="33">
        <v>350.65871701915489</v>
      </c>
      <c r="Q5" s="5">
        <v>20.888706965704817</v>
      </c>
      <c r="R5" s="5">
        <v>4763.4595380217734</v>
      </c>
      <c r="S5" s="35"/>
      <c r="T5" s="23">
        <v>2122603.0851627928</v>
      </c>
      <c r="U5" s="33">
        <v>380.27770719230767</v>
      </c>
      <c r="V5" s="5">
        <v>15</v>
      </c>
      <c r="W5" s="5">
        <v>78.5</v>
      </c>
      <c r="X5" s="33">
        <v>1068.8256575547612</v>
      </c>
      <c r="Y5" s="5">
        <v>63.010649353675987</v>
      </c>
      <c r="Z5" s="5">
        <v>6330.3099579370228</v>
      </c>
      <c r="AA5" s="35"/>
    </row>
    <row r="6" spans="2:27" x14ac:dyDescent="0.2">
      <c r="B6" s="4">
        <v>3</v>
      </c>
      <c r="C6" s="4">
        <v>201</v>
      </c>
      <c r="D6" s="23">
        <v>1594340.675165362</v>
      </c>
      <c r="E6" s="33">
        <v>507.53417965384614</v>
      </c>
      <c r="F6" s="5">
        <v>17</v>
      </c>
      <c r="G6" s="23">
        <v>95</v>
      </c>
      <c r="H6" s="33">
        <v>608.83623601530462</v>
      </c>
      <c r="I6" s="23">
        <v>41.917896686811439</v>
      </c>
      <c r="J6" s="5">
        <v>5574.3708235095819</v>
      </c>
      <c r="K6" s="31" t="e">
        <f t="shared" ref="K6:K13" si="0">(D6-$D$15)/$D$15</f>
        <v>#DIV/0!</v>
      </c>
      <c r="L6" s="23">
        <v>2105143.2506354712</v>
      </c>
      <c r="M6" s="33">
        <v>966.39515530769233</v>
      </c>
      <c r="N6" s="5">
        <v>26</v>
      </c>
      <c r="O6" s="5">
        <v>77</v>
      </c>
      <c r="P6" s="33">
        <v>399.67184772849822</v>
      </c>
      <c r="Q6" s="5">
        <v>20.048299552861963</v>
      </c>
      <c r="R6" s="5">
        <v>4521.9703804189712</v>
      </c>
      <c r="S6" s="35"/>
      <c r="T6" s="23">
        <v>2139149.7372677452</v>
      </c>
      <c r="U6" s="33">
        <v>572.21943330769227</v>
      </c>
      <c r="V6" s="5">
        <v>15</v>
      </c>
      <c r="W6" s="5">
        <v>78</v>
      </c>
      <c r="X6" s="33">
        <v>1004.4679708716969</v>
      </c>
      <c r="Y6" s="5">
        <v>60.496386545837922</v>
      </c>
      <c r="Z6" s="5">
        <v>6322.4282219181359</v>
      </c>
      <c r="AA6" s="35"/>
    </row>
    <row r="7" spans="2:27" x14ac:dyDescent="0.2">
      <c r="B7" s="4">
        <v>4</v>
      </c>
      <c r="C7" s="4">
        <v>367</v>
      </c>
      <c r="D7" s="23">
        <v>1562100.8444954641</v>
      </c>
      <c r="E7" s="33">
        <v>321.70734357692305</v>
      </c>
      <c r="F7" s="5">
        <v>16</v>
      </c>
      <c r="G7" s="23">
        <v>95</v>
      </c>
      <c r="H7" s="33">
        <v>521.68045740357138</v>
      </c>
      <c r="I7" s="23">
        <v>44.449417137307414</v>
      </c>
      <c r="J7" s="5">
        <v>5571.1500894370884</v>
      </c>
      <c r="K7" s="31" t="e">
        <f t="shared" si="0"/>
        <v>#DIV/0!</v>
      </c>
      <c r="L7" s="23">
        <v>2159358.4891008181</v>
      </c>
      <c r="M7" s="33">
        <v>553.1317791923077</v>
      </c>
      <c r="N7" s="5">
        <v>24</v>
      </c>
      <c r="O7" s="5">
        <v>74.5</v>
      </c>
      <c r="P7" s="33">
        <v>394.95836539913773</v>
      </c>
      <c r="Q7" s="5">
        <v>21.352795026241804</v>
      </c>
      <c r="R7" s="5">
        <v>4633.5732359213107</v>
      </c>
      <c r="S7" s="35"/>
      <c r="T7" s="23">
        <v>2131497.1529170759</v>
      </c>
      <c r="U7" s="33">
        <v>813.18475826923077</v>
      </c>
      <c r="V7" s="5">
        <v>18</v>
      </c>
      <c r="W7" s="5">
        <v>80</v>
      </c>
      <c r="X7" s="33">
        <v>1062.6113003629148</v>
      </c>
      <c r="Y7" s="5">
        <v>53.06213790436545</v>
      </c>
      <c r="Z7" s="5">
        <v>6222.4318051200298</v>
      </c>
      <c r="AA7" s="35"/>
    </row>
    <row r="8" spans="2:27" x14ac:dyDescent="0.2">
      <c r="B8" s="4">
        <v>5</v>
      </c>
      <c r="C8" s="4">
        <v>410</v>
      </c>
      <c r="D8" s="23">
        <v>1608810.44782072</v>
      </c>
      <c r="E8" s="33">
        <v>163.93256265384619</v>
      </c>
      <c r="F8" s="5">
        <v>16</v>
      </c>
      <c r="G8" s="23">
        <v>95</v>
      </c>
      <c r="H8" s="33">
        <v>623.93979931143542</v>
      </c>
      <c r="I8" s="23">
        <v>45.598331984167345</v>
      </c>
      <c r="J8" s="5">
        <v>5727.0047127514708</v>
      </c>
      <c r="K8" s="31" t="e">
        <f t="shared" si="0"/>
        <v>#DIV/0!</v>
      </c>
      <c r="L8" s="23">
        <v>2144355.0085907648</v>
      </c>
      <c r="M8" s="33">
        <v>609.75511296153809</v>
      </c>
      <c r="N8" s="5">
        <v>23</v>
      </c>
      <c r="O8" s="5">
        <v>75</v>
      </c>
      <c r="P8" s="33">
        <v>451.98448528612789</v>
      </c>
      <c r="Q8" s="5">
        <v>22.385121008545244</v>
      </c>
      <c r="R8" s="5">
        <v>4685.4930042942915</v>
      </c>
      <c r="S8" s="35"/>
      <c r="T8" s="23">
        <v>2139491.0664426042</v>
      </c>
      <c r="U8" s="33">
        <v>200.4925130384616</v>
      </c>
      <c r="V8" s="5">
        <v>16</v>
      </c>
      <c r="W8" s="5">
        <v>78.5</v>
      </c>
      <c r="X8" s="33">
        <v>1036.3904793214726</v>
      </c>
      <c r="Y8" s="5">
        <v>57.876874846524679</v>
      </c>
      <c r="Z8" s="5">
        <v>6278.9403149251521</v>
      </c>
      <c r="AA8" s="35"/>
    </row>
    <row r="9" spans="2:27" x14ac:dyDescent="0.2">
      <c r="B9" s="4">
        <v>6</v>
      </c>
      <c r="C9" s="4">
        <v>638</v>
      </c>
      <c r="D9" s="23">
        <v>1597105.4353826731</v>
      </c>
      <c r="E9" s="33">
        <v>519.39531261538468</v>
      </c>
      <c r="F9" s="5">
        <v>17</v>
      </c>
      <c r="G9" s="23">
        <v>95</v>
      </c>
      <c r="H9" s="33">
        <v>593.08771223421832</v>
      </c>
      <c r="I9" s="23">
        <v>42.176796208613816</v>
      </c>
      <c r="J9" s="5">
        <v>5565.6284845735527</v>
      </c>
      <c r="K9" s="31" t="e">
        <f t="shared" si="0"/>
        <v>#DIV/0!</v>
      </c>
      <c r="L9" s="23">
        <v>2139878.572737887</v>
      </c>
      <c r="M9" s="33">
        <v>559.48573569230768</v>
      </c>
      <c r="N9" s="5">
        <v>27</v>
      </c>
      <c r="O9" s="5">
        <v>77.5</v>
      </c>
      <c r="P9" s="33">
        <v>452.75740942062845</v>
      </c>
      <c r="Q9" s="5">
        <v>19.56623635191896</v>
      </c>
      <c r="R9" s="5">
        <v>4635.0909457182433</v>
      </c>
      <c r="S9" s="35"/>
      <c r="T9" s="23">
        <v>2216961.7762260172</v>
      </c>
      <c r="U9" s="33">
        <v>290.57072792307736</v>
      </c>
      <c r="V9" s="5">
        <v>15</v>
      </c>
      <c r="W9" s="5">
        <v>76.5</v>
      </c>
      <c r="X9" s="33">
        <v>1094.7783770542032</v>
      </c>
      <c r="Y9" s="5">
        <v>59.175165258812427</v>
      </c>
      <c r="Z9" s="5">
        <v>6460.987473735152</v>
      </c>
      <c r="AA9" s="35"/>
    </row>
    <row r="10" spans="2:27" x14ac:dyDescent="0.2">
      <c r="B10" s="4">
        <v>7</v>
      </c>
      <c r="C10" s="4">
        <v>648</v>
      </c>
      <c r="D10" s="23">
        <v>1555951.744430271</v>
      </c>
      <c r="E10" s="33">
        <v>548.84725011538467</v>
      </c>
      <c r="F10" s="5">
        <v>16</v>
      </c>
      <c r="G10" s="23">
        <v>95</v>
      </c>
      <c r="H10" s="33">
        <v>521.28916291977941</v>
      </c>
      <c r="I10" s="23">
        <v>44.380358276365925</v>
      </c>
      <c r="J10" s="5">
        <v>5539.3503047076902</v>
      </c>
      <c r="K10" s="31" t="e">
        <f t="shared" si="0"/>
        <v>#DIV/0!</v>
      </c>
      <c r="L10" s="23">
        <v>2169435.296075359</v>
      </c>
      <c r="M10" s="33">
        <v>1194.8570627692307</v>
      </c>
      <c r="N10" s="5">
        <v>24</v>
      </c>
      <c r="O10" s="5">
        <v>75</v>
      </c>
      <c r="P10" s="33">
        <v>458.30374385106154</v>
      </c>
      <c r="Q10" s="5">
        <v>21.395376036962812</v>
      </c>
      <c r="R10" s="5">
        <v>4727.6835525126253</v>
      </c>
      <c r="S10" s="35"/>
      <c r="T10" s="23">
        <v>2177574.523933019</v>
      </c>
      <c r="U10" s="33">
        <v>151.15748523076911</v>
      </c>
      <c r="V10" s="5">
        <v>12</v>
      </c>
      <c r="W10" s="5">
        <v>73.5</v>
      </c>
      <c r="X10" s="33">
        <v>785.15258486790788</v>
      </c>
      <c r="Y10" s="5">
        <v>66.542450493400324</v>
      </c>
      <c r="Z10" s="5">
        <v>6187.8383294648193</v>
      </c>
      <c r="AA10" s="35"/>
    </row>
    <row r="11" spans="2:27" x14ac:dyDescent="0.2">
      <c r="B11" s="4">
        <v>8</v>
      </c>
      <c r="C11" s="4">
        <v>666</v>
      </c>
      <c r="D11" s="23">
        <v>1565858.9859894479</v>
      </c>
      <c r="E11" s="33">
        <v>346.56833238461576</v>
      </c>
      <c r="F11" s="5">
        <v>17</v>
      </c>
      <c r="G11" s="23">
        <v>95</v>
      </c>
      <c r="H11" s="33">
        <v>578.62839809256184</v>
      </c>
      <c r="I11" s="23">
        <v>42.812310150407164</v>
      </c>
      <c r="J11" s="5">
        <v>5456.6085568162971</v>
      </c>
      <c r="K11" s="31" t="e">
        <f t="shared" si="0"/>
        <v>#DIV/0!</v>
      </c>
      <c r="L11" s="23">
        <v>2182799.9806707879</v>
      </c>
      <c r="M11" s="33">
        <v>794.21188615384574</v>
      </c>
      <c r="N11" s="5">
        <v>22</v>
      </c>
      <c r="O11" s="5">
        <v>71.5</v>
      </c>
      <c r="P11" s="33">
        <v>337.30779845530276</v>
      </c>
      <c r="Q11" s="5">
        <v>21.878310925928425</v>
      </c>
      <c r="R11" s="5">
        <v>4448.5491865837103</v>
      </c>
      <c r="S11" s="35"/>
      <c r="T11" s="23">
        <v>2153514.630115509</v>
      </c>
      <c r="U11" s="33">
        <v>489.33436234615345</v>
      </c>
      <c r="V11" s="5">
        <v>16</v>
      </c>
      <c r="W11" s="5">
        <v>79</v>
      </c>
      <c r="X11" s="33">
        <v>1035.6452285836808</v>
      </c>
      <c r="Y11" s="5">
        <v>57.195757887886145</v>
      </c>
      <c r="Z11" s="5">
        <v>6436.7820085165358</v>
      </c>
      <c r="AA11" s="35"/>
    </row>
    <row r="12" spans="2:27" x14ac:dyDescent="0.2">
      <c r="B12" s="4">
        <v>9</v>
      </c>
      <c r="C12" s="4">
        <v>713</v>
      </c>
      <c r="D12" s="23">
        <v>1559382.3163431869</v>
      </c>
      <c r="E12" s="33">
        <v>653.42812619230801</v>
      </c>
      <c r="F12" s="5">
        <v>16</v>
      </c>
      <c r="G12" s="23">
        <v>95</v>
      </c>
      <c r="H12" s="33">
        <v>507.72307040615084</v>
      </c>
      <c r="I12" s="23">
        <v>44.532160067992265</v>
      </c>
      <c r="J12" s="5">
        <v>5561.6051699268946</v>
      </c>
      <c r="K12" s="31" t="e">
        <f t="shared" si="0"/>
        <v>#DIV/0!</v>
      </c>
      <c r="L12" s="23">
        <v>2086179.9374619201</v>
      </c>
      <c r="M12" s="33">
        <v>341.82532538461527</v>
      </c>
      <c r="N12" s="5">
        <v>27</v>
      </c>
      <c r="O12" s="5">
        <v>78.5</v>
      </c>
      <c r="P12" s="33">
        <v>406.27040721710927</v>
      </c>
      <c r="Q12" s="5">
        <v>20.45242814596007</v>
      </c>
      <c r="R12" s="5">
        <v>4587.8544406950095</v>
      </c>
      <c r="S12" s="35"/>
      <c r="T12" s="23">
        <v>2145786.4342779801</v>
      </c>
      <c r="U12" s="33">
        <v>352.79104207692325</v>
      </c>
      <c r="V12" s="5">
        <v>14</v>
      </c>
      <c r="W12" s="5">
        <v>76.5</v>
      </c>
      <c r="X12" s="33">
        <v>986.8788453490904</v>
      </c>
      <c r="Y12" s="5">
        <v>64.664610699642466</v>
      </c>
      <c r="Z12" s="5">
        <v>6275.9384948319466</v>
      </c>
      <c r="AA12" s="35"/>
    </row>
    <row r="13" spans="2:27" x14ac:dyDescent="0.2">
      <c r="B13" s="4">
        <v>10</v>
      </c>
      <c r="C13" s="4">
        <v>932</v>
      </c>
      <c r="D13" s="23">
        <v>1612855.973321049</v>
      </c>
      <c r="E13" s="33">
        <v>320.91054838461508</v>
      </c>
      <c r="F13" s="5">
        <v>18</v>
      </c>
      <c r="G13" s="23">
        <v>95</v>
      </c>
      <c r="H13" s="33">
        <v>594.17465926431612</v>
      </c>
      <c r="I13" s="23">
        <v>40.214679295122622</v>
      </c>
      <c r="J13" s="5">
        <v>5585.4038369191676</v>
      </c>
      <c r="K13" s="31" t="e">
        <f t="shared" si="0"/>
        <v>#DIV/0!</v>
      </c>
      <c r="L13" s="23">
        <v>2258962.0263813268</v>
      </c>
      <c r="M13" s="33">
        <v>606.24218938461536</v>
      </c>
      <c r="N13" s="5">
        <v>18</v>
      </c>
      <c r="O13" s="5">
        <v>67</v>
      </c>
      <c r="P13" s="33">
        <v>306.72002703460259</v>
      </c>
      <c r="Q13" s="5">
        <v>24.53843107357072</v>
      </c>
      <c r="R13" s="5">
        <v>4582.7262758108682</v>
      </c>
      <c r="S13" s="35"/>
      <c r="T13" s="23">
        <v>2269647.4685381488</v>
      </c>
      <c r="U13" s="33">
        <v>618.19757634615382</v>
      </c>
      <c r="V13" s="5">
        <v>16</v>
      </c>
      <c r="W13" s="5">
        <v>76.5</v>
      </c>
      <c r="X13" s="33">
        <v>1275.0978686929586</v>
      </c>
      <c r="Y13" s="5">
        <v>53.63230104040997</v>
      </c>
      <c r="Z13" s="5">
        <v>6547.2739033696253</v>
      </c>
      <c r="AA13" s="35"/>
    </row>
    <row r="14" spans="2:27" x14ac:dyDescent="0.2">
      <c r="B14" s="47" t="s">
        <v>3</v>
      </c>
      <c r="C14" s="48"/>
      <c r="D14" s="9">
        <f>MIN(D4:D13)</f>
        <v>1555951.744430271</v>
      </c>
      <c r="E14" s="22">
        <f>INDEX(E4:E13, MATCH($D$14, D4:D13, 0))</f>
        <v>548.84725011538467</v>
      </c>
      <c r="F14" s="9">
        <f>INDEX(F4:F13, MATCH($D$14, D4:D13, 0))</f>
        <v>16</v>
      </c>
      <c r="G14" s="9">
        <f>INDEX(G4:G13, MATCH($D$14, D4:D13, 0))</f>
        <v>95</v>
      </c>
      <c r="H14" s="22">
        <f>INDEX(H4:H13, MATCH($D$14, D4:D13, 0))</f>
        <v>521.28916291977941</v>
      </c>
      <c r="I14" s="22">
        <f>INDEX(I4:I13, MATCH($D$14, D4:D13, 0))</f>
        <v>44.380358276365925</v>
      </c>
      <c r="J14" s="22">
        <f>INDEX(J4:J13, MATCH($D$14, D4:D13, 0))</f>
        <v>5539.3503047076902</v>
      </c>
      <c r="K14" s="32" t="e">
        <f>(D14-$D$15)/$D$15</f>
        <v>#DIV/0!</v>
      </c>
      <c r="L14" s="16">
        <f>MIN(L4:L13)</f>
        <v>2086179.9374619201</v>
      </c>
      <c r="M14" s="21">
        <f>INDEX(M4:M13, MATCH($L$14, L4:L13, 0))</f>
        <v>341.82532538461527</v>
      </c>
      <c r="N14" s="16">
        <f>INDEX(N4:N13, MATCH($L$14, L4:L13, 0))</f>
        <v>27</v>
      </c>
      <c r="O14" s="16">
        <f>INDEX(O4:O13, MATCH($L$14, L4:L13, 0))</f>
        <v>78.5</v>
      </c>
      <c r="P14" s="21">
        <f>INDEX(P4:P13, MATCH($L$14, L4:L13, 0))</f>
        <v>406.27040721710927</v>
      </c>
      <c r="Q14" s="21">
        <f>INDEX(Q4:Q13, MATCH($L$14, L4:L13, 0))</f>
        <v>20.45242814596007</v>
      </c>
      <c r="R14" s="21">
        <f>INDEX(R4:R13, MATCH($L$14, L4:L13, 0))</f>
        <v>4587.8544406950095</v>
      </c>
      <c r="S14" s="36" t="e">
        <f>(L14-$D$15)/$D$15</f>
        <v>#DIV/0!</v>
      </c>
      <c r="T14" s="38">
        <f>MIN(T4:T13)</f>
        <v>2122603.0851627928</v>
      </c>
      <c r="U14" s="39">
        <f>INDEX(U4:U13, MATCH($T$14, T4:T13, 0))</f>
        <v>380.27770719230767</v>
      </c>
      <c r="V14" s="38">
        <f>INDEX(V4:V13, MATCH($T$14, T4:T13, 0))</f>
        <v>15</v>
      </c>
      <c r="W14" s="38">
        <f>INDEX(W4:W13, MATCH($T$14, T4:T13, 0))</f>
        <v>78.5</v>
      </c>
      <c r="X14" s="39">
        <f>INDEX(X4:X13, MATCH($T$14, T4:T13, 0))</f>
        <v>1068.8256575547612</v>
      </c>
      <c r="Y14" s="39">
        <f>INDEX(Y4:Y13, MATCH($T$14, T4:T13, 0))</f>
        <v>63.010649353675987</v>
      </c>
      <c r="Z14" s="39">
        <f>INDEX(Z4:Z13, MATCH($T$14, T4:T13, 0))</f>
        <v>6330.3099579370228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0.34077418848603047</v>
      </c>
      <c r="M15" s="41">
        <f t="shared" ref="M15:R15" si="1">(M14-E14)/E14</f>
        <v>-0.37719406389892085</v>
      </c>
      <c r="N15" s="41">
        <f t="shared" si="1"/>
        <v>0.6875</v>
      </c>
      <c r="O15" s="41">
        <f t="shared" si="1"/>
        <v>-0.1736842105263158</v>
      </c>
      <c r="P15" s="41">
        <f t="shared" si="1"/>
        <v>-0.2206429058652237</v>
      </c>
      <c r="Q15" s="41">
        <f t="shared" si="1"/>
        <v>-0.53915585767472962</v>
      </c>
      <c r="R15" s="41">
        <f t="shared" si="1"/>
        <v>-0.17177030006642463</v>
      </c>
      <c r="T15" s="41">
        <f>(T14-D14)/D14</f>
        <v>0.36418310706673462</v>
      </c>
      <c r="U15" s="41">
        <f t="shared" ref="U15:Z15" si="2">(U14-E14)/E14</f>
        <v>-0.30713380250632294</v>
      </c>
      <c r="V15" s="41">
        <f t="shared" si="2"/>
        <v>-6.25E-2</v>
      </c>
      <c r="W15" s="41">
        <f t="shared" si="2"/>
        <v>-0.1736842105263158</v>
      </c>
      <c r="X15" s="41">
        <f t="shared" si="2"/>
        <v>1.0503508102263033</v>
      </c>
      <c r="Y15" s="41">
        <f t="shared" si="2"/>
        <v>0.41978685618748907</v>
      </c>
      <c r="Z15" s="41">
        <f t="shared" si="2"/>
        <v>0.14278924598018744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22:C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results98</vt:lpstr>
      <vt:lpstr>results199</vt:lpstr>
      <vt:lpstr>results364</vt:lpstr>
      <vt:lpstr>results515</vt:lpstr>
      <vt:lpstr>results526</vt:lpstr>
      <vt:lpstr>results582</vt:lpstr>
      <vt:lpstr>results600</vt:lpstr>
      <vt:lpstr>results664</vt:lpstr>
      <vt:lpstr>results890</vt:lpstr>
      <vt:lpstr>results989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2026-10-21T17:07:28Z</dcterms:modified>
</cp:coreProperties>
</file>