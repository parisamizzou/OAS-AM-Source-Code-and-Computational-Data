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Uploaded/Small/ALNS/30-3-2/"/>
    </mc:Choice>
  </mc:AlternateContent>
  <xr:revisionPtr revIDLastSave="0" documentId="13_ncr:1_{381DB739-F401-0845-B8BB-06CB8B30345C}" xr6:coauthVersionLast="47" xr6:coauthVersionMax="47" xr10:uidLastSave="{00000000-0000-0000-0000-000000000000}"/>
  <bookViews>
    <workbookView xWindow="0" yWindow="740" windowWidth="34560" windowHeight="21600" activeTab="10" xr2:uid="{41E620E7-D6DF-9342-B452-EA60AB3B07C5}"/>
  </bookViews>
  <sheets>
    <sheet name="Summary" sheetId="68" r:id="rId1"/>
    <sheet name="results53" sheetId="58" r:id="rId2"/>
    <sheet name="results74" sheetId="69" r:id="rId3"/>
    <sheet name="results101" sheetId="70" r:id="rId4"/>
    <sheet name="results145" sheetId="71" r:id="rId5"/>
    <sheet name="results311" sheetId="76" r:id="rId6"/>
    <sheet name="results529" sheetId="77" r:id="rId7"/>
    <sheet name="results587" sheetId="72" r:id="rId8"/>
    <sheet name="results753" sheetId="73" r:id="rId9"/>
    <sheet name="results898" sheetId="74" r:id="rId10"/>
    <sheet name="results997" sheetId="75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69" l="1"/>
  <c r="M14" i="69" s="1"/>
  <c r="I14" i="69"/>
  <c r="H14" i="69"/>
  <c r="G14" i="69"/>
  <c r="F14" i="69"/>
  <c r="E14" i="69"/>
  <c r="D14" i="69"/>
  <c r="K14" i="69" s="1"/>
  <c r="D14" i="75"/>
  <c r="K14" i="75" s="1"/>
  <c r="F14" i="74"/>
  <c r="E14" i="74"/>
  <c r="D14" i="74"/>
  <c r="H14" i="74" s="1"/>
  <c r="D14" i="73"/>
  <c r="G14" i="73" s="1"/>
  <c r="D14" i="72"/>
  <c r="K14" i="72" s="1"/>
  <c r="D14" i="77"/>
  <c r="G14" i="77" s="1"/>
  <c r="D14" i="76"/>
  <c r="K14" i="76" s="1"/>
  <c r="D14" i="71"/>
  <c r="K14" i="71" s="1"/>
  <c r="I14" i="70"/>
  <c r="H14" i="70"/>
  <c r="G14" i="70"/>
  <c r="F14" i="70"/>
  <c r="E14" i="70"/>
  <c r="D14" i="70"/>
  <c r="K14" i="70" s="1"/>
  <c r="G14" i="58"/>
  <c r="F14" i="58"/>
  <c r="E14" i="58"/>
  <c r="D14" i="58"/>
  <c r="H14" i="58" s="1"/>
  <c r="J14" i="69" l="1"/>
  <c r="E14" i="75"/>
  <c r="G14" i="75"/>
  <c r="H14" i="75"/>
  <c r="I14" i="75"/>
  <c r="F14" i="75"/>
  <c r="J14" i="75"/>
  <c r="G14" i="74"/>
  <c r="I14" i="74"/>
  <c r="J14" i="74"/>
  <c r="K14" i="74"/>
  <c r="E14" i="73"/>
  <c r="F14" i="73"/>
  <c r="J14" i="73"/>
  <c r="K14" i="73"/>
  <c r="H14" i="73"/>
  <c r="I14" i="73"/>
  <c r="I14" i="72"/>
  <c r="E14" i="72"/>
  <c r="G14" i="72"/>
  <c r="F14" i="72"/>
  <c r="H14" i="72"/>
  <c r="J14" i="72"/>
  <c r="J14" i="77"/>
  <c r="I14" i="77"/>
  <c r="K14" i="77"/>
  <c r="F14" i="77"/>
  <c r="H14" i="77"/>
  <c r="E14" i="77"/>
  <c r="E14" i="76"/>
  <c r="F14" i="76"/>
  <c r="G14" i="76"/>
  <c r="H14" i="76"/>
  <c r="I14" i="76"/>
  <c r="J14" i="76"/>
  <c r="H14" i="71"/>
  <c r="E14" i="71"/>
  <c r="I14" i="71"/>
  <c r="J14" i="71"/>
  <c r="F14" i="71"/>
  <c r="G14" i="71"/>
  <c r="J14" i="70"/>
  <c r="J14" i="58"/>
  <c r="K14" i="58"/>
  <c r="I14" i="58"/>
  <c r="H14" i="34" l="1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I5" i="68" a="1"/>
  <c r="D3" i="68" a="1"/>
  <c r="E4" i="68" a="1"/>
  <c r="D5" i="68" a="1"/>
  <c r="G6" i="68" a="1"/>
  <c r="E3" i="68" a="1"/>
  <c r="C7" i="68" a="1"/>
  <c r="G7" i="68" a="1"/>
  <c r="F5" i="68" a="1"/>
  <c r="G10" i="68" a="1"/>
  <c r="E9" i="68" a="1"/>
  <c r="H9" i="68" a="1"/>
  <c r="F10" i="68" a="1"/>
  <c r="G11" i="68" a="1"/>
  <c r="G12" i="68" a="1"/>
  <c r="H3" i="68" a="1"/>
  <c r="F4" i="68" a="1"/>
  <c r="G9" i="68" a="1"/>
  <c r="D12" i="68" a="1"/>
  <c r="I3" i="68" a="1"/>
  <c r="C5" i="68" a="1"/>
  <c r="H7" i="68" a="1"/>
  <c r="C10" i="68" a="1"/>
  <c r="I11" i="68" a="1"/>
  <c r="F3" i="68" a="1"/>
  <c r="I6" i="68" a="1"/>
  <c r="I12" i="68" a="1"/>
  <c r="H5" i="68" a="1"/>
  <c r="H4" i="68" a="1"/>
  <c r="E12" i="68" a="1"/>
  <c r="D4" i="68" a="1"/>
  <c r="H12" i="68" a="1"/>
  <c r="F8" i="68" a="1"/>
  <c r="F6" i="68" a="1"/>
  <c r="E11" i="68" a="1"/>
  <c r="C11" i="68" a="1"/>
  <c r="C9" i="68" a="1"/>
  <c r="E7" i="68" a="1"/>
  <c r="F12" i="68" a="1"/>
  <c r="F11" i="68" a="1"/>
  <c r="C4" i="68" a="1"/>
  <c r="C3" i="68" a="1"/>
  <c r="G8" i="68" a="1"/>
  <c r="I10" i="68" a="1"/>
  <c r="D7" i="68" a="1"/>
  <c r="D11" i="68" a="1"/>
  <c r="D8" i="68" a="1"/>
  <c r="C6" i="68" a="1"/>
  <c r="H11" i="68" a="1"/>
  <c r="F9" i="68" a="1"/>
  <c r="H10" i="68" a="1"/>
  <c r="D10" i="68" a="1"/>
  <c r="H8" i="68" a="1"/>
  <c r="C8" i="68" a="1"/>
  <c r="C12" i="68" a="1"/>
  <c r="E5" i="68" a="1"/>
  <c r="D6" i="68" a="1"/>
  <c r="E6" i="68" a="1"/>
  <c r="D9" i="68" a="1"/>
  <c r="H6" i="68" a="1"/>
  <c r="I8" i="68" a="1"/>
  <c r="I7" i="68" a="1"/>
  <c r="E10" i="68" a="1"/>
  <c r="I4" i="68" a="1"/>
  <c r="E8" i="68" a="1"/>
  <c r="I9" i="68" a="1"/>
  <c r="F7" i="68" a="1"/>
  <c r="G4" i="68" a="1"/>
  <c r="G3" i="68" a="1"/>
  <c r="G5" i="68" a="1"/>
  <c r="H12" i="68" l="1"/>
  <c r="H8" i="68"/>
  <c r="L14" i="73"/>
  <c r="E3" i="68"/>
  <c r="E11" i="68"/>
  <c r="I8" i="68"/>
  <c r="G9" i="68"/>
  <c r="E4" i="68"/>
  <c r="G8" i="68"/>
  <c r="H3" i="68"/>
  <c r="D11" i="68"/>
  <c r="F8" i="68"/>
  <c r="D12" i="68"/>
  <c r="I12" i="68"/>
  <c r="D10" i="68"/>
  <c r="E10" i="68"/>
  <c r="D4" i="68"/>
  <c r="C8" i="68"/>
  <c r="F7" i="68"/>
  <c r="I7" i="68"/>
  <c r="H10" i="68"/>
  <c r="E6" i="68"/>
  <c r="F11" i="68"/>
  <c r="H5" i="68"/>
  <c r="T14" i="71"/>
  <c r="L14" i="76"/>
  <c r="G12" i="68"/>
  <c r="F4" i="68"/>
  <c r="I10" i="68"/>
  <c r="E5" i="68"/>
  <c r="I11" i="68"/>
  <c r="G3" i="68"/>
  <c r="I3" i="68"/>
  <c r="D6" i="68"/>
  <c r="F3" i="68"/>
  <c r="H6" i="68"/>
  <c r="E7" i="68"/>
  <c r="C5" i="68"/>
  <c r="E9" i="68"/>
  <c r="G11" i="68"/>
  <c r="F12" i="68"/>
  <c r="C12" i="68"/>
  <c r="G4" i="68"/>
  <c r="T14" i="69"/>
  <c r="C6" i="68"/>
  <c r="T14" i="70"/>
  <c r="F9" i="68"/>
  <c r="G10" i="68"/>
  <c r="L14" i="58"/>
  <c r="E12" i="68"/>
  <c r="C3" i="68"/>
  <c r="H4" i="68"/>
  <c r="L14" i="71"/>
  <c r="L14" i="74"/>
  <c r="L14" i="77"/>
  <c r="T14" i="75"/>
  <c r="F10" i="68"/>
  <c r="D3" i="68"/>
  <c r="F5" i="68"/>
  <c r="C9" i="68"/>
  <c r="G5" i="68"/>
  <c r="C7" i="68"/>
  <c r="C4" i="68"/>
  <c r="I9" i="68"/>
  <c r="D8" i="68"/>
  <c r="C11" i="68"/>
  <c r="D5" i="68"/>
  <c r="H7" i="68"/>
  <c r="L14" i="75"/>
  <c r="H9" i="68"/>
  <c r="T14" i="76"/>
  <c r="D9" i="68"/>
  <c r="I5" i="68"/>
  <c r="L14" i="70"/>
  <c r="T14" i="72"/>
  <c r="I6" i="68"/>
  <c r="H11" i="68"/>
  <c r="G6" i="68"/>
  <c r="F6" i="68"/>
  <c r="T14" i="74"/>
  <c r="C10" i="68"/>
  <c r="T14" i="77"/>
  <c r="L14" i="72"/>
  <c r="I4" i="68"/>
  <c r="D7" i="68"/>
  <c r="E8" i="68"/>
  <c r="T14" i="58"/>
  <c r="T14" i="73"/>
  <c r="G7" i="68"/>
  <c r="F14" i="42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O14" i="69" l="1"/>
  <c r="S14" i="69"/>
  <c r="Q14" i="69"/>
  <c r="N14" i="69"/>
  <c r="R14" i="69"/>
  <c r="P14" i="69"/>
  <c r="AA14" i="69"/>
  <c r="Z14" i="69"/>
  <c r="Y14" i="69"/>
  <c r="X14" i="69"/>
  <c r="W14" i="69"/>
  <c r="V14" i="69"/>
  <c r="U14" i="69"/>
  <c r="AA14" i="75"/>
  <c r="Z14" i="75"/>
  <c r="Y14" i="75"/>
  <c r="X14" i="75"/>
  <c r="W14" i="75"/>
  <c r="V14" i="75"/>
  <c r="U14" i="75"/>
  <c r="O14" i="75"/>
  <c r="M14" i="75"/>
  <c r="N14" i="75"/>
  <c r="Q14" i="75"/>
  <c r="P14" i="75"/>
  <c r="S14" i="75"/>
  <c r="R14" i="75"/>
  <c r="O14" i="74"/>
  <c r="R14" i="74"/>
  <c r="N14" i="74"/>
  <c r="S14" i="74"/>
  <c r="M14" i="74"/>
  <c r="Q14" i="74"/>
  <c r="P14" i="74"/>
  <c r="AA14" i="74"/>
  <c r="U14" i="74"/>
  <c r="Z14" i="74"/>
  <c r="Y14" i="74"/>
  <c r="X14" i="74"/>
  <c r="W14" i="74"/>
  <c r="V14" i="74"/>
  <c r="AA14" i="73"/>
  <c r="Z14" i="73"/>
  <c r="Y14" i="73"/>
  <c r="X14" i="73"/>
  <c r="U14" i="73"/>
  <c r="W14" i="73"/>
  <c r="V14" i="73"/>
  <c r="O14" i="73"/>
  <c r="N14" i="73"/>
  <c r="S14" i="73"/>
  <c r="R14" i="73"/>
  <c r="Q14" i="73"/>
  <c r="M14" i="73"/>
  <c r="P14" i="73"/>
  <c r="AA14" i="72"/>
  <c r="Z14" i="72"/>
  <c r="Y14" i="72"/>
  <c r="V14" i="72"/>
  <c r="X14" i="72"/>
  <c r="W14" i="72"/>
  <c r="U14" i="72"/>
  <c r="N14" i="72"/>
  <c r="M14" i="72"/>
  <c r="S14" i="72"/>
  <c r="P14" i="72"/>
  <c r="O14" i="72"/>
  <c r="Q14" i="72"/>
  <c r="R14" i="72"/>
  <c r="O14" i="77"/>
  <c r="N14" i="77"/>
  <c r="R14" i="77"/>
  <c r="M14" i="77"/>
  <c r="S14" i="77"/>
  <c r="Q14" i="77"/>
  <c r="P14" i="77"/>
  <c r="AA14" i="77"/>
  <c r="Z14" i="77"/>
  <c r="Y14" i="77"/>
  <c r="X14" i="77"/>
  <c r="W14" i="77"/>
  <c r="V14" i="77"/>
  <c r="U14" i="77"/>
  <c r="AA14" i="76"/>
  <c r="Z14" i="76"/>
  <c r="Y14" i="76"/>
  <c r="X14" i="76"/>
  <c r="W14" i="76"/>
  <c r="V14" i="76"/>
  <c r="U14" i="76"/>
  <c r="O14" i="76"/>
  <c r="N14" i="76"/>
  <c r="M14" i="76"/>
  <c r="S14" i="76"/>
  <c r="R14" i="76"/>
  <c r="Q14" i="76"/>
  <c r="P14" i="76"/>
  <c r="AA14" i="71"/>
  <c r="Z14" i="71"/>
  <c r="Y14" i="71"/>
  <c r="X14" i="71"/>
  <c r="W14" i="71"/>
  <c r="V14" i="71"/>
  <c r="U14" i="71"/>
  <c r="N14" i="71"/>
  <c r="M14" i="71"/>
  <c r="S14" i="71"/>
  <c r="R14" i="71"/>
  <c r="Q14" i="71"/>
  <c r="P14" i="71"/>
  <c r="O14" i="71"/>
  <c r="N14" i="70"/>
  <c r="Q14" i="70"/>
  <c r="M14" i="70"/>
  <c r="S14" i="70"/>
  <c r="R14" i="70"/>
  <c r="P14" i="70"/>
  <c r="O14" i="70"/>
  <c r="AA14" i="70"/>
  <c r="Z14" i="70"/>
  <c r="Y14" i="70"/>
  <c r="X14" i="70"/>
  <c r="W14" i="70"/>
  <c r="V14" i="70"/>
  <c r="U14" i="70"/>
  <c r="O14" i="58"/>
  <c r="S14" i="58"/>
  <c r="N14" i="58"/>
  <c r="M14" i="58"/>
  <c r="R14" i="58"/>
  <c r="Q14" i="58"/>
  <c r="P14" i="58"/>
  <c r="AA14" i="58"/>
  <c r="Z14" i="58"/>
  <c r="Y14" i="58"/>
  <c r="U14" i="58"/>
  <c r="X14" i="58"/>
  <c r="W14" i="58"/>
  <c r="V14" i="58"/>
  <c r="C17" i="68"/>
  <c r="C13" i="68"/>
  <c r="J13" i="68" s="1"/>
  <c r="I13" i="68"/>
  <c r="H13" i="68"/>
  <c r="E13" i="68"/>
  <c r="D13" i="68"/>
  <c r="F13" i="68"/>
  <c r="G13" i="68"/>
  <c r="P14" i="42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P7" i="68" a="1"/>
  <c r="U9" i="68" a="1"/>
  <c r="N3" i="68" a="1"/>
  <c r="T9" i="68" a="1"/>
  <c r="T10" i="68" a="1"/>
  <c r="Y7" i="68" a="1"/>
  <c r="W5" i="68" a="1"/>
  <c r="S7" i="68" a="1"/>
  <c r="L6" i="68" a="1"/>
  <c r="Y5" i="68" a="1"/>
  <c r="O8" i="68" a="1"/>
  <c r="M12" i="68" a="1"/>
  <c r="V3" i="68" a="1"/>
  <c r="N12" i="68" a="1"/>
  <c r="Y8" i="68" a="1"/>
  <c r="M11" i="68" a="1"/>
  <c r="U11" i="68" a="1"/>
  <c r="U7" i="68" a="1"/>
  <c r="K8" i="68" a="1"/>
  <c r="K11" i="68" a="1"/>
  <c r="W4" i="68" a="1"/>
  <c r="L5" i="68" a="1"/>
  <c r="Y9" i="68" a="1"/>
  <c r="Q9" i="68" a="1"/>
  <c r="P10" i="68" a="1"/>
  <c r="L12" i="68" a="1"/>
  <c r="V7" i="68" a="1"/>
  <c r="P12" i="68" a="1"/>
  <c r="M4" i="68" a="1"/>
  <c r="L7" i="68" a="1"/>
  <c r="P9" i="68" a="1"/>
  <c r="M6" i="68" a="1"/>
  <c r="Q4" i="68" a="1"/>
  <c r="V12" i="68" a="1"/>
  <c r="S8" i="68" a="1"/>
  <c r="T3" i="68" a="1"/>
  <c r="W11" i="68" a="1"/>
  <c r="M3" i="68" a="1"/>
  <c r="Q11" i="68" a="1"/>
  <c r="V10" i="68" a="1"/>
  <c r="M7" i="68" a="1"/>
  <c r="X9" i="68" a="1"/>
  <c r="T6" i="68" a="1"/>
  <c r="O9" i="68" a="1"/>
  <c r="X12" i="68" a="1"/>
  <c r="P4" i="68" a="1"/>
  <c r="Q3" i="68" a="1"/>
  <c r="Y4" i="68" a="1"/>
  <c r="W7" i="68" a="1"/>
  <c r="T4" i="68" a="1"/>
  <c r="S5" i="68" a="1"/>
  <c r="O3" i="68" a="1"/>
  <c r="K10" i="68" a="1"/>
  <c r="K5" i="68" a="1"/>
  <c r="U10" i="68" a="1"/>
  <c r="T7" i="68" a="1"/>
  <c r="S3" i="68" a="1"/>
  <c r="P3" i="68" a="1"/>
  <c r="P6" i="68" a="1"/>
  <c r="S10" i="68" a="1"/>
  <c r="K12" i="68" a="1"/>
  <c r="Q6" i="68" a="1"/>
  <c r="K7" i="68" a="1"/>
  <c r="S9" i="68" a="1"/>
  <c r="S4" i="68" a="1"/>
  <c r="Q7" i="68" a="1"/>
  <c r="O11" i="68" a="1"/>
  <c r="N11" i="68" a="1"/>
  <c r="X6" i="68" a="1"/>
  <c r="P5" i="68" a="1"/>
  <c r="W9" i="68" a="1"/>
  <c r="P8" i="68" a="1"/>
  <c r="V6" i="68" a="1"/>
  <c r="K9" i="68" a="1"/>
  <c r="K6" i="68" a="1"/>
  <c r="O7" i="68" a="1"/>
  <c r="Y11" i="68" a="1"/>
  <c r="N10" i="68" a="1"/>
  <c r="O12" i="68" a="1"/>
  <c r="U3" i="68" a="1"/>
  <c r="Q10" i="68" a="1"/>
  <c r="M10" i="68" a="1"/>
  <c r="V8" i="68" a="1"/>
  <c r="W8" i="68" a="1"/>
  <c r="X8" i="68" a="1"/>
  <c r="N6" i="68" a="1"/>
  <c r="T12" i="68" a="1"/>
  <c r="T5" i="68" a="1"/>
  <c r="S12" i="68" a="1"/>
  <c r="O10" i="68" a="1"/>
  <c r="O6" i="68" a="1"/>
  <c r="L9" i="68" a="1"/>
  <c r="Q12" i="68" a="1"/>
  <c r="N4" i="68" a="1"/>
  <c r="Y6" i="68" a="1"/>
  <c r="X5" i="68" a="1"/>
  <c r="Q8" i="68" a="1"/>
  <c r="N9" i="68" a="1"/>
  <c r="X10" i="68" a="1"/>
  <c r="Y12" i="68" a="1"/>
  <c r="N5" i="68" a="1"/>
  <c r="X3" i="68" a="1"/>
  <c r="O4" i="68" a="1"/>
  <c r="W3" i="68" a="1"/>
  <c r="V4" i="68" a="1"/>
  <c r="X11" i="68" a="1"/>
  <c r="L4" i="68" a="1"/>
  <c r="M5" i="68" a="1"/>
  <c r="K3" i="68" a="1"/>
  <c r="M8" i="68" a="1"/>
  <c r="U5" i="68" a="1"/>
  <c r="U8" i="68" a="1"/>
  <c r="Y3" i="68" a="1"/>
  <c r="V5" i="68" a="1"/>
  <c r="L3" i="68" a="1"/>
  <c r="T11" i="68" a="1"/>
  <c r="X4" i="68" a="1"/>
  <c r="P11" i="68" a="1"/>
  <c r="L11" i="68" a="1"/>
  <c r="N8" i="68" a="1"/>
  <c r="X7" i="68" a="1"/>
  <c r="S11" i="68" a="1"/>
  <c r="W6" i="68" a="1"/>
  <c r="L10" i="68" a="1"/>
  <c r="U6" i="68" a="1"/>
  <c r="Q5" i="68" a="1"/>
  <c r="U12" i="68" a="1"/>
  <c r="K4" i="68" a="1"/>
  <c r="M9" i="68" a="1"/>
  <c r="N7" i="68" a="1"/>
  <c r="Y10" i="68" a="1"/>
  <c r="L8" i="68" a="1"/>
  <c r="T8" i="68" a="1"/>
  <c r="V11" i="68" a="1"/>
  <c r="U4" i="68" a="1"/>
  <c r="W10" i="68" a="1"/>
  <c r="V9" i="68" a="1"/>
  <c r="W12" i="68" a="1"/>
  <c r="O5" i="68" a="1"/>
  <c r="S6" i="68" a="1"/>
  <c r="Y11" i="68" l="1"/>
  <c r="T6" i="68"/>
  <c r="L10" i="68"/>
  <c r="X9" i="68"/>
  <c r="T8" i="68"/>
  <c r="W5" i="68"/>
  <c r="S4" i="68"/>
  <c r="T11" i="68"/>
  <c r="W6" i="68"/>
  <c r="M10" i="68"/>
  <c r="W9" i="68"/>
  <c r="N4" i="68"/>
  <c r="X12" i="68"/>
  <c r="T9" i="68"/>
  <c r="N8" i="68"/>
  <c r="V7" i="68"/>
  <c r="Y8" i="68"/>
  <c r="T5" i="68"/>
  <c r="X11" i="68"/>
  <c r="U6" i="68"/>
  <c r="L6" i="68"/>
  <c r="K4" i="68"/>
  <c r="V12" i="68"/>
  <c r="K8" i="68"/>
  <c r="Y7" i="68"/>
  <c r="O5" i="68"/>
  <c r="W8" i="68"/>
  <c r="Y5" i="68"/>
  <c r="O7" i="68"/>
  <c r="W11" i="68"/>
  <c r="V6" i="68"/>
  <c r="Q6" i="68"/>
  <c r="S9" i="68"/>
  <c r="U5" i="68"/>
  <c r="L7" i="68"/>
  <c r="S11" i="68"/>
  <c r="X6" i="68"/>
  <c r="M6" i="68"/>
  <c r="M5" i="68"/>
  <c r="N3" i="68"/>
  <c r="X5" i="68"/>
  <c r="N7" i="68"/>
  <c r="V3" i="68"/>
  <c r="Y6" i="68"/>
  <c r="O6" i="68"/>
  <c r="Q11" i="68"/>
  <c r="P12" i="68"/>
  <c r="N6" i="68"/>
  <c r="N11" i="68"/>
  <c r="M4" i="68"/>
  <c r="P8" i="68"/>
  <c r="S10" i="68"/>
  <c r="V5" i="68"/>
  <c r="L4" i="68"/>
  <c r="Q8" i="68"/>
  <c r="W12" i="68"/>
  <c r="T12" i="68"/>
  <c r="N5" i="68"/>
  <c r="Q9" i="68"/>
  <c r="L3" i="68"/>
  <c r="Y12" i="68"/>
  <c r="L12" i="68"/>
  <c r="V10" i="68"/>
  <c r="P5" i="68"/>
  <c r="O9" i="68"/>
  <c r="S5" i="68"/>
  <c r="Q7" i="68"/>
  <c r="U3" i="68"/>
  <c r="S6" i="68"/>
  <c r="O3" i="68"/>
  <c r="U12" i="68"/>
  <c r="O12" i="68"/>
  <c r="Y10" i="68"/>
  <c r="L5" i="68"/>
  <c r="P7" i="68"/>
  <c r="T3" i="68"/>
  <c r="N10" i="68"/>
  <c r="P6" i="68"/>
  <c r="O11" i="68"/>
  <c r="X7" i="68"/>
  <c r="X8" i="68"/>
  <c r="T4" i="68"/>
  <c r="T7" i="68"/>
  <c r="Q3" i="68"/>
  <c r="Q12" i="68"/>
  <c r="U7" i="68"/>
  <c r="S8" i="68"/>
  <c r="Q5" i="68"/>
  <c r="L9" i="68"/>
  <c r="U4" i="68"/>
  <c r="M7" i="68"/>
  <c r="X3" i="68"/>
  <c r="P10" i="68"/>
  <c r="K6" i="68"/>
  <c r="M11" i="68"/>
  <c r="S7" i="68"/>
  <c r="P3" i="68"/>
  <c r="K5" i="68"/>
  <c r="P9" i="68"/>
  <c r="V4" i="68"/>
  <c r="K7" i="68"/>
  <c r="W3" i="68"/>
  <c r="K10" i="68"/>
  <c r="Y9" i="68"/>
  <c r="P11" i="68"/>
  <c r="N9" i="68"/>
  <c r="X4" i="68"/>
  <c r="M3" i="68"/>
  <c r="S12" i="68"/>
  <c r="N12" i="68"/>
  <c r="X10" i="68"/>
  <c r="O4" i="68"/>
  <c r="T10" i="68"/>
  <c r="V8" i="68"/>
  <c r="M9" i="68"/>
  <c r="Y4" i="68"/>
  <c r="U11" i="68"/>
  <c r="Y3" i="68"/>
  <c r="Q10" i="68"/>
  <c r="V9" i="68"/>
  <c r="L11" i="68"/>
  <c r="M8" i="68"/>
  <c r="K12" i="68"/>
  <c r="U10" i="68"/>
  <c r="P4" i="68"/>
  <c r="K3" i="68"/>
  <c r="L8" i="68"/>
  <c r="M12" i="68"/>
  <c r="Q4" i="68"/>
  <c r="O8" i="68"/>
  <c r="W7" i="68"/>
  <c r="W10" i="68"/>
  <c r="U8" i="68"/>
  <c r="K9" i="68"/>
  <c r="W4" i="68"/>
  <c r="V11" i="68"/>
  <c r="S3" i="68"/>
  <c r="O10" i="68"/>
  <c r="U9" i="68"/>
  <c r="K11" i="68"/>
  <c r="Z2" i="75"/>
  <c r="X2" i="70"/>
  <c r="X2" i="74"/>
  <c r="X2" i="71"/>
  <c r="Z2" i="69"/>
  <c r="J2" i="73"/>
  <c r="J2" i="69"/>
  <c r="Z2" i="77"/>
  <c r="P2" i="70"/>
  <c r="X2" i="69"/>
  <c r="Z2" i="70"/>
  <c r="P2" i="77"/>
  <c r="X2" i="75"/>
  <c r="R2" i="74"/>
  <c r="Z2" i="74"/>
  <c r="P2" i="74"/>
  <c r="R2" i="75"/>
  <c r="H2" i="72"/>
  <c r="H2" i="69"/>
  <c r="R2" i="69"/>
  <c r="X2" i="72"/>
  <c r="R2" i="71"/>
  <c r="Z2" i="72"/>
  <c r="H2" i="70"/>
  <c r="P2" i="71"/>
  <c r="R2" i="77"/>
  <c r="P2" i="76"/>
  <c r="P2" i="72"/>
  <c r="Z2" i="58"/>
  <c r="H2" i="77"/>
  <c r="H2" i="74"/>
  <c r="P2" i="75"/>
  <c r="R2" i="76"/>
  <c r="R2" i="72"/>
  <c r="R2" i="70"/>
  <c r="H2" i="58"/>
  <c r="J2" i="74"/>
  <c r="H2" i="76"/>
  <c r="J2" i="70"/>
  <c r="H2" i="71"/>
  <c r="J2" i="77"/>
  <c r="X2" i="76"/>
  <c r="J2" i="58"/>
  <c r="Z2" i="71"/>
  <c r="H2" i="75"/>
  <c r="P2" i="73"/>
  <c r="Z2" i="73"/>
  <c r="Z2" i="76"/>
  <c r="R2" i="58"/>
  <c r="J2" i="72"/>
  <c r="H2" i="73"/>
  <c r="J2" i="76"/>
  <c r="R2" i="73"/>
  <c r="P2" i="69"/>
  <c r="X2" i="77"/>
  <c r="X2" i="58"/>
  <c r="J2" i="71"/>
  <c r="X2" i="73"/>
  <c r="P2" i="58"/>
  <c r="J2" i="75"/>
  <c r="G14" i="26"/>
  <c r="E14" i="26"/>
  <c r="D14" i="26"/>
  <c r="K14" i="26"/>
  <c r="P14" i="25"/>
  <c r="N14" i="25"/>
  <c r="M14" i="25"/>
  <c r="T14" i="25"/>
  <c r="D14" i="25"/>
  <c r="H4" i="23" a="1"/>
  <c r="I4" i="23" a="1"/>
  <c r="T13" i="68" l="1"/>
  <c r="T14" i="68" s="1"/>
  <c r="U13" i="68"/>
  <c r="U14" i="68" s="1"/>
  <c r="Y13" i="68"/>
  <c r="Y14" i="68" s="1"/>
  <c r="X13" i="68"/>
  <c r="X14" i="68" s="1"/>
  <c r="V13" i="68"/>
  <c r="V14" i="68" s="1"/>
  <c r="W13" i="68"/>
  <c r="W14" i="68" s="1"/>
  <c r="L13" i="68"/>
  <c r="L14" i="68" s="1"/>
  <c r="P13" i="68"/>
  <c r="P14" i="68" s="1"/>
  <c r="Q13" i="68"/>
  <c r="Q14" i="68" s="1"/>
  <c r="N13" i="68"/>
  <c r="N14" i="68" s="1"/>
  <c r="O13" i="68"/>
  <c r="O14" i="68" s="1"/>
  <c r="M13" i="68"/>
  <c r="M14" i="68" s="1"/>
  <c r="K13" i="68"/>
  <c r="K14" i="68" s="1"/>
  <c r="K17" i="68"/>
  <c r="S13" i="68"/>
  <c r="Z13" i="68" s="1"/>
  <c r="S17" i="68"/>
  <c r="H4" i="23"/>
  <c r="I4" i="23"/>
  <c r="D8" i="23" a="1"/>
  <c r="E11" i="23" a="1"/>
  <c r="G9" i="23" a="1"/>
  <c r="F9" i="23" a="1"/>
  <c r="G5" i="23" a="1"/>
  <c r="G11" i="23" a="1"/>
  <c r="G12" i="23" a="1"/>
  <c r="G8" i="23" a="1"/>
  <c r="F6" i="23" a="1"/>
  <c r="E5" i="23" a="1"/>
  <c r="G7" i="23" a="1"/>
  <c r="F5" i="23" a="1"/>
  <c r="F11" i="23" a="1"/>
  <c r="D5" i="23" a="1"/>
  <c r="D13" i="23" a="1"/>
  <c r="D4" i="23" a="1"/>
  <c r="F7" i="23" a="1"/>
  <c r="G6" i="23" a="1"/>
  <c r="G4" i="23" a="1"/>
  <c r="E9" i="23" a="1"/>
  <c r="D6" i="23" a="1"/>
  <c r="E12" i="23" a="1"/>
  <c r="E7" i="23" a="1"/>
  <c r="F13" i="23" a="1"/>
  <c r="D10" i="23" a="1"/>
  <c r="D9" i="23" a="1"/>
  <c r="E4" i="23" a="1"/>
  <c r="F4" i="23" a="1"/>
  <c r="E10" i="23" a="1"/>
  <c r="E6" i="23" a="1"/>
  <c r="G13" i="23" a="1"/>
  <c r="E13" i="23" a="1"/>
  <c r="G10" i="23" a="1"/>
  <c r="F8" i="23" a="1"/>
  <c r="F12" i="23" a="1"/>
  <c r="F10" i="23" a="1"/>
  <c r="E8" i="23" a="1"/>
  <c r="D11" i="23" a="1"/>
  <c r="D12" i="23" a="1"/>
  <c r="D7" i="23" a="1"/>
  <c r="R13" i="68" l="1"/>
  <c r="S14" i="68"/>
  <c r="G9" i="23"/>
  <c r="G7" i="23"/>
  <c r="G8" i="23"/>
  <c r="G13" i="23"/>
  <c r="G10" i="23"/>
  <c r="G6" i="23"/>
  <c r="G12" i="23"/>
  <c r="G11" i="23"/>
  <c r="G5" i="23"/>
  <c r="G4" i="23"/>
  <c r="F4" i="23"/>
  <c r="F14" i="23" s="1"/>
  <c r="F6" i="23"/>
  <c r="D11" i="23"/>
  <c r="E5" i="23"/>
  <c r="E13" i="23"/>
  <c r="F5" i="23"/>
  <c r="F9" i="23"/>
  <c r="F11" i="23"/>
  <c r="F13" i="23"/>
  <c r="F8" i="23"/>
  <c r="D9" i="23"/>
  <c r="E9" i="23"/>
  <c r="F7" i="23"/>
  <c r="D6" i="23"/>
  <c r="D10" i="23"/>
  <c r="D12" i="23"/>
  <c r="F12" i="23"/>
  <c r="D7" i="23"/>
  <c r="E11" i="23"/>
  <c r="D8" i="23"/>
  <c r="F10" i="23"/>
  <c r="D5" i="23"/>
  <c r="D13" i="23"/>
  <c r="E7" i="23"/>
  <c r="D4" i="23"/>
  <c r="D14" i="23" s="1"/>
  <c r="E4" i="23"/>
  <c r="E14" i="23" s="1"/>
  <c r="E6" i="23"/>
  <c r="E8" i="23"/>
  <c r="E10" i="23"/>
  <c r="E1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<sst xmlns="http://schemas.openxmlformats.org/spreadsheetml/2006/main" count="677" uniqueCount="22">
  <si>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</si>
  <si>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</si>
  <si>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</si>
  <si>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</si>
  <si>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</si>
  <si>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</si>
  <si>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</si>
  <si>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</si>
  <si>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</si>
  <si>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</si>
  <si>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</si>
  <si>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</si>
  <si>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</si>
  <si>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</si>
  <si>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</si>
  <si>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</si>
  <si>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</si>
  <si>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MILP</t>
  </si>
  <si>
    <t>BVC</t>
  </si>
  <si>
    <t>TPA</t>
  </si>
  <si>
    <t>BBA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</si>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</sst>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D5A1-1E8B-9F49-88F1-E1F82C44F487}">
  <dimension ref="B2:Z17"/>
  <sheetViews>
    <sheetView zoomScale="85" zoomScaleNormal="85" workbookViewId="0">
      <selection activeCell="P17" sqref="A17:XFD17"/>
    </sheetView>
  </sheetViews>
  <sheetFormatPr baseColWidth="10" defaultColWidth="11.5" defaultRowHeight="16" x14ac:dyDescent="0.2"/>
  <cols>
    <col min="1" max="1" width="3.5" customWidth="1"/>
    <col min="2" max="2" width="11.5" style="1"/>
    <col min="3" max="4" width="9.5" bestFit="1" customWidth="1"/>
    <col min="5" max="5" width="9.1640625" bestFit="1" customWidth="1"/>
    <col min="6" max="6" width="18.33203125" bestFit="1" customWidth="1"/>
    <col min="7" max="7" width="19.33203125" bestFit="1" customWidth="1"/>
    <col min="8" max="8" width="24.83203125" bestFit="1" customWidth="1"/>
    <col min="9" max="9" width="18" bestFit="1" customWidth="1"/>
    <col min="11" max="11" width="8" bestFit="1" customWidth="1"/>
    <col min="12" max="12" width="9.1640625" bestFit="1" customWidth="1"/>
    <col min="13" max="13" width="8.83203125" bestFit="1" customWidth="1"/>
    <col min="14" max="14" width="17.6640625" bestFit="1" customWidth="1"/>
    <col min="15" max="15" width="12.1640625" bestFit="1" customWidth="1"/>
    <col min="16" max="16" width="23.83203125" bestFit="1" customWidth="1"/>
    <col min="17" max="17" width="17.33203125" bestFit="1" customWidth="1"/>
    <col min="18" max="18" width="6.83203125" bestFit="1" customWidth="1"/>
    <col min="19" max="19" width="8" bestFit="1" customWidth="1"/>
    <col min="20" max="20" width="9.1640625" bestFit="1" customWidth="1"/>
    <col min="21" max="21" width="8.83203125" bestFit="1" customWidth="1"/>
    <col min="22" max="22" width="17.6640625" bestFit="1" customWidth="1"/>
    <col min="23" max="23" width="12.1640625" bestFit="1" customWidth="1"/>
    <col min="24" max="24" width="23.83203125" bestFit="1" customWidth="1"/>
    <col min="25" max="25" width="17.33203125" bestFit="1" customWidth="1"/>
    <col min="26" max="26" width="5.83203125" bestFit="1" customWidth="1"/>
  </cols>
  <sheetData>
    <row r="2" spans="2:26" x14ac:dyDescent="0.2">
      <c r="B2" s="30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7" t="s">
        <v>0</v>
      </c>
      <c r="T2" s="37" t="s">
        <v>5</v>
      </c>
      <c r="U2" s="37" t="s">
        <v>12</v>
      </c>
      <c r="V2" s="37" t="s">
        <v>15</v>
      </c>
      <c r="W2" s="37" t="s">
        <v>11</v>
      </c>
      <c r="X2" s="37" t="s">
        <v>16</v>
      </c>
      <c r="Y2" s="37" t="s">
        <v>10</v>
      </c>
      <c r="Z2" s="37" t="s">
        <v>1</v>
      </c>
    </row>
    <row r="3" spans="2:26" x14ac:dyDescent="0.2">
      <c r="B3" s="4">
        <v>311</v>
      </c>
      <c r="C3" s="5" cm="1">
        <f t="array" aca="1" ref="C3" ca="1">INDIRECT("'results" &amp; $B3 &amp; "'!D$14")</f>
        <v>84613.696640188573</v>
      </c>
      <c r="D3" s="33" cm="1">
        <f t="array" aca="1" ref="D3" ca="1">INDIRECT("'results" &amp; $B3 &amp; "'!E$14")</f>
        <v>0.84783770899957744</v>
      </c>
      <c r="E3" s="5" cm="1">
        <f t="array" aca="1" ref="E3" ca="1">INDIRECT("'results" &amp; $B3 &amp; "'!F$14")</f>
        <v>3</v>
      </c>
      <c r="F3" s="5" cm="1">
        <f t="array" aca="1" ref="F3" ca="1">INDIRECT("'results" &amp; $B3 &amp; "'!G$14")</f>
        <v>100</v>
      </c>
      <c r="G3" s="5" cm="1">
        <f t="array" aca="1" ref="G3" ca="1">INDIRECT("'results" &amp; $B3 &amp; "'!H$14")</f>
        <v>79.244472119810908</v>
      </c>
      <c r="H3" s="33" cm="1">
        <f t="array" aca="1" ref="H3" ca="1">INDIRECT("'results" &amp; $B3 &amp; "'!I$14")</f>
        <v>40.798766953658252</v>
      </c>
      <c r="I3" s="5" cm="1">
        <f t="array" aca="1" ref="I3" ca="1">INDIRECT("'results" &amp; $B3 &amp; "'!J$14")</f>
        <v>2152.0930320844855</v>
      </c>
      <c r="J3" s="5"/>
      <c r="K3" s="5" cm="1">
        <f t="array" aca="1" ref="K3" ca="1">INDIRECT("'results" &amp; $B3 &amp; "'!L$14")</f>
        <v>110660.5389280707</v>
      </c>
      <c r="L3" s="5" cm="1">
        <f t="array" aca="1" ref="L3" ca="1">INDIRECT("'results" &amp; $B3 &amp; "'!M$14")</f>
        <v>0.66004366700144601</v>
      </c>
      <c r="M3" s="5" cm="1">
        <f t="array" aca="1" ref="M3" ca="1">INDIRECT("'results" &amp; $B3 &amp; "'!N$14")</f>
        <v>3</v>
      </c>
      <c r="N3" s="5" cm="1">
        <f t="array" aca="1" ref="N3" ca="1">INDIRECT("'results" &amp; $B3 &amp; "'!O$14")</f>
        <v>60</v>
      </c>
      <c r="O3" s="5" cm="1">
        <f t="array" aca="1" ref="O3" ca="1">INDIRECT("'results" &amp; $B3 &amp; "'!P$14")</f>
        <v>7.5834751783714482</v>
      </c>
      <c r="P3" s="5" cm="1">
        <f t="array" aca="1" ref="P3" ca="1">INDIRECT("'results" &amp; $B3 &amp; "'!Q$14")</f>
        <v>23.982497665856879</v>
      </c>
      <c r="Q3" s="5" cm="1">
        <f t="array" aca="1" ref="Q3" ca="1">INDIRECT("'results" &amp; $B3 &amp; "'!R$14")</f>
        <v>1524.190043167368</v>
      </c>
      <c r="R3" s="5"/>
      <c r="S3" s="5" cm="1">
        <f t="array" aca="1" ref="S3" ca="1">INDIRECT("'results" &amp; $B3 &amp; "'!T$14")</f>
        <v>105114.81422178489</v>
      </c>
      <c r="T3" s="5" cm="1">
        <f t="array" aca="1" ref="T3" ca="1">INDIRECT("'results" &amp; $B3 &amp; "'!U$14")</f>
        <v>1.570279916999425</v>
      </c>
      <c r="U3" s="5" cm="1">
        <f t="array" aca="1" ref="U3" ca="1">INDIRECT("'results" &amp; $B3 &amp; "'!V$14")</f>
        <v>3</v>
      </c>
      <c r="V3" s="5" cm="1">
        <f t="array" aca="1" ref="V3" ca="1">INDIRECT("'results" &amp; $B3 &amp; "'!W$14")</f>
        <v>80</v>
      </c>
      <c r="W3" s="5" cm="1">
        <f t="array" aca="1" ref="W3" ca="1">INDIRECT("'results" &amp; $B3 &amp; "'!X$14")</f>
        <v>201.39727935740859</v>
      </c>
      <c r="X3" s="5" cm="1">
        <f t="array" aca="1" ref="X3" ca="1">INDIRECT("'results" &amp; $B3 &amp; "'!Y$14")</f>
        <v>51.464908974993762</v>
      </c>
      <c r="Y3" s="5" cm="1">
        <f t="array" aca="1" ref="Y3" ca="1">INDIRECT("'results" &amp; $B3 &amp; "'!Z$14")</f>
        <v>2370.1496214405352</v>
      </c>
      <c r="Z3" s="5"/>
    </row>
    <row r="4" spans="2:26" x14ac:dyDescent="0.2">
      <c r="B4" s="4">
        <v>753</v>
      </c>
      <c r="C4" s="5" cm="1">
        <f t="array" aca="1" ref="C4" ca="1">INDIRECT("'results" &amp; $B4 &amp; "'!D$14")</f>
        <v>82027.707563121658</v>
      </c>
      <c r="D4" s="33" cm="1">
        <f t="array" aca="1" ref="D4" ca="1">INDIRECT("'results" &amp; $B4 &amp; "'!E$14")</f>
        <v>0.83596912500070175</v>
      </c>
      <c r="E4" s="5" cm="1">
        <f t="array" aca="1" ref="E4" ca="1">INDIRECT("'results" &amp; $B4 &amp; "'!F$14")</f>
        <v>3</v>
      </c>
      <c r="F4" s="5" cm="1">
        <f t="array" aca="1" ref="F4" ca="1">INDIRECT("'results" &amp; $B4 &amp; "'!G$14")</f>
        <v>96.666666666666671</v>
      </c>
      <c r="G4" s="5" cm="1">
        <f t="array" aca="1" ref="G4" ca="1">INDIRECT("'results" &amp; $B4 &amp; "'!H$14")</f>
        <v>22.65623644188496</v>
      </c>
      <c r="H4" s="33" cm="1">
        <f t="array" aca="1" ref="H4" ca="1">INDIRECT("'results" &amp; $B4 &amp; "'!I$14")</f>
        <v>28.566151113291962</v>
      </c>
      <c r="I4" s="5" cm="1">
        <f t="array" aca="1" ref="I4" ca="1">INDIRECT("'results" &amp; $B4 &amp; "'!J$14")</f>
        <v>1864.4128751485491</v>
      </c>
      <c r="J4" s="5"/>
      <c r="K4" s="5" cm="1">
        <f t="array" aca="1" ref="K4" ca="1">INDIRECT("'results" &amp; $B4 &amp; "'!L$14")</f>
        <v>107685.773601532</v>
      </c>
      <c r="L4" s="5" cm="1">
        <f t="array" aca="1" ref="L4" ca="1">INDIRECT("'results" &amp; $B4 &amp; "'!M$14")</f>
        <v>1.3760530840008871</v>
      </c>
      <c r="M4" s="5" cm="1">
        <f t="array" aca="1" ref="M4" ca="1">INDIRECT("'results" &amp; $B4 &amp; "'!N$14")</f>
        <v>3</v>
      </c>
      <c r="N4" s="5" cm="1">
        <f t="array" aca="1" ref="N4" ca="1">INDIRECT("'results" &amp; $B4 &amp; "'!O$14")</f>
        <v>63.333333333333343</v>
      </c>
      <c r="O4" s="5" cm="1">
        <f t="array" aca="1" ref="O4" ca="1">INDIRECT("'results" &amp; $B4 &amp; "'!P$14")</f>
        <v>0.34623322825288932</v>
      </c>
      <c r="P4" s="5" cm="1">
        <f t="array" aca="1" ref="P4" ca="1">INDIRECT("'results" &amp; $B4 &amp; "'!Q$14")</f>
        <v>18.515312359848519</v>
      </c>
      <c r="Q4" s="5" cm="1">
        <f t="array" aca="1" ref="Q4" ca="1">INDIRECT("'results" &amp; $B4 &amp; "'!R$14")</f>
        <v>1455.3216032515829</v>
      </c>
      <c r="R4" s="5"/>
      <c r="S4" s="5" cm="1">
        <f t="array" aca="1" ref="S4" ca="1">INDIRECT("'results" &amp; $B4 &amp; "'!T$14")</f>
        <v>98498.464801587441</v>
      </c>
      <c r="T4" s="5" cm="1">
        <f t="array" aca="1" ref="T4" ca="1">INDIRECT("'results" &amp; $B4 &amp; "'!U$14")</f>
        <v>2.7587623330000501</v>
      </c>
      <c r="U4" s="5" cm="1">
        <f t="array" aca="1" ref="U4" ca="1">INDIRECT("'results" &amp; $B4 &amp; "'!V$14")</f>
        <v>3</v>
      </c>
      <c r="V4" s="5" cm="1">
        <f t="array" aca="1" ref="V4" ca="1">INDIRECT("'results" &amp; $B4 &amp; "'!W$14")</f>
        <v>83.333333333333329</v>
      </c>
      <c r="W4" s="5" cm="1">
        <f t="array" aca="1" ref="W4" ca="1">INDIRECT("'results" &amp; $B4 &amp; "'!X$14")</f>
        <v>69.443681351055361</v>
      </c>
      <c r="X4" s="5" cm="1">
        <f t="array" aca="1" ref="X4" ca="1">INDIRECT("'results" &amp; $B4 &amp; "'!Y$14")</f>
        <v>38.572928516811587</v>
      </c>
      <c r="Y4" s="5" cm="1">
        <f t="array" aca="1" ref="Y4" ca="1">INDIRECT("'results" &amp; $B4 &amp; "'!Z$14")</f>
        <v>2148.563797027291</v>
      </c>
      <c r="Z4" s="5"/>
    </row>
    <row r="5" spans="2:26" x14ac:dyDescent="0.2">
      <c r="B5" s="4">
        <v>101</v>
      </c>
      <c r="C5" s="5" cm="1">
        <f t="array" aca="1" ref="C5" ca="1">INDIRECT("'results" &amp; $B5 &amp; "'!D$14")</f>
        <v>64786.667066205191</v>
      </c>
      <c r="D5" s="33" cm="1">
        <f t="array" aca="1" ref="D5" ca="1">INDIRECT("'results" &amp; $B5 &amp; "'!E$14")</f>
        <v>2.01952291699854</v>
      </c>
      <c r="E5" s="5" cm="1">
        <f t="array" aca="1" ref="E5" ca="1">INDIRECT("'results" &amp; $B5 &amp; "'!F$14")</f>
        <v>3</v>
      </c>
      <c r="F5" s="5" cm="1">
        <f t="array" aca="1" ref="F5" ca="1">INDIRECT("'results" &amp; $B5 &amp; "'!G$14")</f>
        <v>96.666666666666671</v>
      </c>
      <c r="G5" s="5" cm="1">
        <f t="array" aca="1" ref="G5" ca="1">INDIRECT("'results" &amp; $B5 &amp; "'!H$14")</f>
        <v>0</v>
      </c>
      <c r="H5" s="33" cm="1">
        <f t="array" aca="1" ref="H5" ca="1">INDIRECT("'results" &amp; $B5 &amp; "'!I$14")</f>
        <v>23.845399197300178</v>
      </c>
      <c r="I5" s="5" cm="1">
        <f t="array" aca="1" ref="I5" ca="1">INDIRECT("'results" &amp; $B5 &amp; "'!J$14")</f>
        <v>1250.1670501607355</v>
      </c>
      <c r="J5" s="5"/>
      <c r="K5" s="5" cm="1">
        <f t="array" aca="1" ref="K5" ca="1">INDIRECT("'results" &amp; $B5 &amp; "'!L$14")</f>
        <v>80277.808310820372</v>
      </c>
      <c r="L5" s="5" cm="1">
        <f t="array" aca="1" ref="L5" ca="1">INDIRECT("'results" &amp; $B5 &amp; "'!M$14")</f>
        <v>0.97582758299904526</v>
      </c>
      <c r="M5" s="5" cm="1">
        <f t="array" aca="1" ref="M5" ca="1">INDIRECT("'results" &amp; $B5 &amp; "'!N$14")</f>
        <v>3</v>
      </c>
      <c r="N5" s="5" cm="1">
        <f t="array" aca="1" ref="N5" ca="1">INDIRECT("'results" &amp; $B5 &amp; "'!O$14")</f>
        <v>80</v>
      </c>
      <c r="O5" s="5" cm="1">
        <f t="array" aca="1" ref="O5" ca="1">INDIRECT("'results" &amp; $B5 &amp; "'!P$14")</f>
        <v>0</v>
      </c>
      <c r="P5" s="5" cm="1">
        <f t="array" aca="1" ref="P5" ca="1">INDIRECT("'results" &amp; $B5 &amp; "'!Q$14")</f>
        <v>17.730338050293579</v>
      </c>
      <c r="Q5" s="5" cm="1">
        <f t="array" aca="1" ref="Q5" ca="1">INDIRECT("'results" &amp; $B5 &amp; "'!R$14")</f>
        <v>1062.5944082862641</v>
      </c>
      <c r="R5" s="5"/>
      <c r="S5" s="5" cm="1">
        <f t="array" aca="1" ref="S5" ca="1">INDIRECT("'results" &amp; $B5 &amp; "'!T$14")</f>
        <v>77685.181886582097</v>
      </c>
      <c r="T5" s="5" cm="1">
        <f t="array" aca="1" ref="T5" ca="1">INDIRECT("'results" &amp; $B5 &amp; "'!U$14")</f>
        <v>1.5123444160017241</v>
      </c>
      <c r="U5" s="5" cm="1">
        <f t="array" aca="1" ref="U5" ca="1">INDIRECT("'results" &amp; $B5 &amp; "'!V$14")</f>
        <v>3</v>
      </c>
      <c r="V5" s="5" cm="1">
        <f t="array" aca="1" ref="V5" ca="1">INDIRECT("'results" &amp; $B5 &amp; "'!W$14")</f>
        <v>86.666666666666671</v>
      </c>
      <c r="W5" s="5" cm="1">
        <f t="array" aca="1" ref="W5" ca="1">INDIRECT("'results" &amp; $B5 &amp; "'!X$14")</f>
        <v>10.358498324015519</v>
      </c>
      <c r="X5" s="5" cm="1">
        <f t="array" aca="1" ref="X5" ca="1">INDIRECT("'results" &amp; $B5 &amp; "'!Y$14")</f>
        <v>33.152041624917352</v>
      </c>
      <c r="Y5" s="5" cm="1">
        <f t="array" aca="1" ref="Y5" ca="1">INDIRECT("'results" &amp; $B5 &amp; "'!Z$14")</f>
        <v>1435.4094912104599</v>
      </c>
      <c r="Z5" s="5"/>
    </row>
    <row r="6" spans="2:26" x14ac:dyDescent="0.2">
      <c r="B6" s="4">
        <v>898</v>
      </c>
      <c r="C6" s="5" cm="1">
        <f t="array" aca="1" ref="C6" ca="1">INDIRECT("'results" &amp; $B6 &amp; "'!D$14")</f>
        <v>66176.330204665122</v>
      </c>
      <c r="D6" s="33" cm="1">
        <f t="array" aca="1" ref="D6" ca="1">INDIRECT("'results" &amp; $B6 &amp; "'!E$14")</f>
        <v>0.82453608400101075</v>
      </c>
      <c r="E6" s="5" cm="1">
        <f t="array" aca="1" ref="E6" ca="1">INDIRECT("'results" &amp; $B6 &amp; "'!F$14")</f>
        <v>2</v>
      </c>
      <c r="F6" s="5" cm="1">
        <f t="array" aca="1" ref="F6" ca="1">INDIRECT("'results" &amp; $B6 &amp; "'!G$14")</f>
        <v>90</v>
      </c>
      <c r="G6" s="5" cm="1">
        <f t="array" aca="1" ref="G6" ca="1">INDIRECT("'results" &amp; $B6 &amp; "'!H$14")</f>
        <v>6.8644436676500442</v>
      </c>
      <c r="H6" s="33" cm="1">
        <f t="array" aca="1" ref="H6" ca="1">INDIRECT("'results" &amp; $B6 &amp; "'!I$14")</f>
        <v>30.609111687926273</v>
      </c>
      <c r="I6" s="5" cm="1">
        <f t="array" aca="1" ref="I6" ca="1">INDIRECT("'results" &amp; $B6 &amp; "'!J$14")</f>
        <v>1307.5593664185517</v>
      </c>
      <c r="J6" s="5"/>
      <c r="K6" s="5" cm="1">
        <f t="array" aca="1" ref="K6" ca="1">INDIRECT("'results" &amp; $B6 &amp; "'!L$14")</f>
        <v>85069.264584558667</v>
      </c>
      <c r="L6" s="5" cm="1">
        <f t="array" aca="1" ref="L6" ca="1">INDIRECT("'results" &amp; $B6 &amp; "'!M$14")</f>
        <v>1.5101544999997709</v>
      </c>
      <c r="M6" s="5" cm="1">
        <f t="array" aca="1" ref="M6" ca="1">INDIRECT("'results" &amp; $B6 &amp; "'!N$14")</f>
        <v>3</v>
      </c>
      <c r="N6" s="5" cm="1">
        <f t="array" aca="1" ref="N6" ca="1">INDIRECT("'results" &amp; $B6 &amp; "'!O$14")</f>
        <v>76.666666666666671</v>
      </c>
      <c r="O6" s="5" cm="1">
        <f t="array" aca="1" ref="O6" ca="1">INDIRECT("'results" &amp; $B6 &amp; "'!P$14")</f>
        <v>0.25373368505002558</v>
      </c>
      <c r="P6" s="5" cm="1">
        <f t="array" aca="1" ref="P6" ca="1">INDIRECT("'results" &amp; $B6 &amp; "'!Q$14")</f>
        <v>20.679011613428859</v>
      </c>
      <c r="Q6" s="5" cm="1">
        <f t="array" aca="1" ref="Q6" ca="1">INDIRECT("'results" &amp; $B6 &amp; "'!R$14")</f>
        <v>1088.093519474726</v>
      </c>
      <c r="R6" s="5"/>
      <c r="S6" s="5" cm="1">
        <f t="array" aca="1" ref="S6" ca="1">INDIRECT("'results" &amp; $B6 &amp; "'!T$14")</f>
        <v>76114.43745234891</v>
      </c>
      <c r="T6" s="5" cm="1">
        <f t="array" aca="1" ref="T6" ca="1">INDIRECT("'results" &amp; $B6 &amp; "'!U$14")</f>
        <v>1.7264412920012551</v>
      </c>
      <c r="U6" s="5" cm="1">
        <f t="array" aca="1" ref="U6" ca="1">INDIRECT("'results" &amp; $B6 &amp; "'!V$14")</f>
        <v>3</v>
      </c>
      <c r="V6" s="5" cm="1">
        <f t="array" aca="1" ref="V6" ca="1">INDIRECT("'results" &amp; $B6 &amp; "'!W$14")</f>
        <v>90</v>
      </c>
      <c r="W6" s="5" cm="1">
        <f t="array" aca="1" ref="W6" ca="1">INDIRECT("'results" &amp; $B6 &amp; "'!X$14")</f>
        <v>2.172210711290071</v>
      </c>
      <c r="X6" s="5" cm="1">
        <f t="array" aca="1" ref="X6" ca="1">INDIRECT("'results" &amp; $B6 &amp; "'!Y$14")</f>
        <v>41.748144592041832</v>
      </c>
      <c r="Y6" s="5" cm="1">
        <f t="array" aca="1" ref="Y6" ca="1">INDIRECT("'results" &amp; $B6 &amp; "'!Z$14")</f>
        <v>1534.261613853881</v>
      </c>
      <c r="Z6" s="5"/>
    </row>
    <row r="7" spans="2:26" x14ac:dyDescent="0.2">
      <c r="B7" s="4">
        <v>529</v>
      </c>
      <c r="C7" s="5" cm="1">
        <f t="array" aca="1" ref="C7" ca="1">INDIRECT("'results" &amp; $B7 &amp; "'!D$14")</f>
        <v>82016.345880946363</v>
      </c>
      <c r="D7" s="33" cm="1">
        <f t="array" aca="1" ref="D7" ca="1">INDIRECT("'results" &amp; $B7 &amp; "'!E$14")</f>
        <v>1.1675809580010541</v>
      </c>
      <c r="E7" s="5" cm="1">
        <f t="array" aca="1" ref="E7" ca="1">INDIRECT("'results" &amp; $B7 &amp; "'!F$14")</f>
        <v>2</v>
      </c>
      <c r="F7" s="5" cm="1">
        <f t="array" aca="1" ref="F7" ca="1">INDIRECT("'results" &amp; $B7 &amp; "'!G$14")</f>
        <v>90</v>
      </c>
      <c r="G7" s="5" cm="1">
        <f t="array" aca="1" ref="G7" ca="1">INDIRECT("'results" &amp; $B7 &amp; "'!H$14")</f>
        <v>10.80607104796575</v>
      </c>
      <c r="H7" s="33" cm="1">
        <f t="array" aca="1" ref="H7" ca="1">INDIRECT("'results" &amp; $B7 &amp; "'!I$14")</f>
        <v>33.183494197660266</v>
      </c>
      <c r="I7" s="5" cm="1">
        <f t="array" aca="1" ref="I7" ca="1">INDIRECT("'results" &amp; $B7 &amp; "'!J$14")</f>
        <v>1938.0390448547407</v>
      </c>
      <c r="J7" s="5"/>
      <c r="K7" s="5" cm="1">
        <f t="array" aca="1" ref="K7" ca="1">INDIRECT("'results" &amp; $B7 &amp; "'!L$14")</f>
        <v>93639.28892015887</v>
      </c>
      <c r="L7" s="5" cm="1">
        <f t="array" aca="1" ref="L7" ca="1">INDIRECT("'results" &amp; $B7 &amp; "'!M$14")</f>
        <v>0.80022120899957372</v>
      </c>
      <c r="M7" s="5" cm="1">
        <f t="array" aca="1" ref="M7" ca="1">INDIRECT("'results" &amp; $B7 &amp; "'!N$14")</f>
        <v>3</v>
      </c>
      <c r="N7" s="5" cm="1">
        <f t="array" aca="1" ref="N7" ca="1">INDIRECT("'results" &amp; $B7 &amp; "'!O$14")</f>
        <v>76.666666666666671</v>
      </c>
      <c r="O7" s="5" cm="1">
        <f t="array" aca="1" ref="O7" ca="1">INDIRECT("'results" &amp; $B7 &amp; "'!P$14")</f>
        <v>3.591581316710369E-2</v>
      </c>
      <c r="P7" s="5" cm="1">
        <f t="array" aca="1" ref="P7" ca="1">INDIRECT("'results" &amp; $B7 &amp; "'!Q$14")</f>
        <v>17.681191289320669</v>
      </c>
      <c r="Q7" s="5" cm="1">
        <f t="array" aca="1" ref="Q7" ca="1">INDIRECT("'results" &amp; $B7 &amp; "'!R$14")</f>
        <v>1470.733492882141</v>
      </c>
      <c r="R7" s="5"/>
      <c r="S7" s="5" cm="1">
        <f t="array" aca="1" ref="S7" ca="1">INDIRECT("'results" &amp; $B7 &amp; "'!T$14")</f>
        <v>102009.2470018123</v>
      </c>
      <c r="T7" s="5" cm="1">
        <f t="array" aca="1" ref="T7" ca="1">INDIRECT("'results" &amp; $B7 &amp; "'!U$14")</f>
        <v>1.063573374998668</v>
      </c>
      <c r="U7" s="5" cm="1">
        <f t="array" aca="1" ref="U7" ca="1">INDIRECT("'results" &amp; $B7 &amp; "'!V$14")</f>
        <v>2</v>
      </c>
      <c r="V7" s="5" cm="1">
        <f t="array" aca="1" ref="V7" ca="1">INDIRECT("'results" &amp; $B7 &amp; "'!W$14")</f>
        <v>70</v>
      </c>
      <c r="W7" s="5" cm="1">
        <f t="array" aca="1" ref="W7" ca="1">INDIRECT("'results" &amp; $B7 &amp; "'!X$14")</f>
        <v>38.73055629657869</v>
      </c>
      <c r="X7" s="5" cm="1">
        <f t="array" aca="1" ref="X7" ca="1">INDIRECT("'results" &amp; $B7 &amp; "'!Y$14")</f>
        <v>37.041352271424977</v>
      </c>
      <c r="Y7" s="5" cm="1">
        <f t="array" aca="1" ref="Y7" ca="1">INDIRECT("'results" &amp; $B7 &amp; "'!Z$14")</f>
        <v>2072.87065999276</v>
      </c>
      <c r="Z7" s="5"/>
    </row>
    <row r="8" spans="2:26" x14ac:dyDescent="0.2">
      <c r="B8" s="4">
        <v>74</v>
      </c>
      <c r="C8" s="5" cm="1">
        <f t="array" aca="1" ref="C8" ca="1">INDIRECT("'results" &amp; $B8 &amp; "'!D$14")</f>
        <v>82864.27742794808</v>
      </c>
      <c r="D8" s="33" cm="1">
        <f t="array" aca="1" ref="D8" ca="1">INDIRECT("'results" &amp; $B8 &amp; "'!E$14")</f>
        <v>2.0291110419984761</v>
      </c>
      <c r="E8" s="5" cm="1">
        <f t="array" aca="1" ref="E8" ca="1">INDIRECT("'results" &amp; $B8 &amp; "'!F$14")</f>
        <v>3</v>
      </c>
      <c r="F8" s="5" cm="1">
        <f t="array" aca="1" ref="F8" ca="1">INDIRECT("'results" &amp; $B8 &amp; "'!G$14")</f>
        <v>96.666666666666671</v>
      </c>
      <c r="G8" s="5" cm="1">
        <f t="array" aca="1" ref="G8" ca="1">INDIRECT("'results" &amp; $B8 &amp; "'!H$14")</f>
        <v>24.759466187687977</v>
      </c>
      <c r="H8" s="33" cm="1">
        <f t="array" aca="1" ref="H8" ca="1">INDIRECT("'results" &amp; $B8 &amp; "'!I$14")</f>
        <v>24.468185588724335</v>
      </c>
      <c r="I8" s="5" cm="1">
        <f t="array" aca="1" ref="I8" ca="1">INDIRECT("'results" &amp; $B8 &amp; "'!J$14")</f>
        <v>1777.0575889065008</v>
      </c>
      <c r="J8" s="5"/>
      <c r="K8" s="5" cm="1">
        <f t="array" aca="1" ref="K8" ca="1">INDIRECT("'results" &amp; $B8 &amp; "'!L$14")</f>
        <v>89348.791270843154</v>
      </c>
      <c r="L8" s="5" cm="1">
        <f t="array" aca="1" ref="L8" ca="1">INDIRECT("'results" &amp; $B8 &amp; "'!M$14")</f>
        <v>0.63649466700007906</v>
      </c>
      <c r="M8" s="5" cm="1">
        <f t="array" aca="1" ref="M8" ca="1">INDIRECT("'results" &amp; $B8 &amp; "'!N$14")</f>
        <v>3</v>
      </c>
      <c r="N8" s="5" cm="1">
        <f t="array" aca="1" ref="N8" ca="1">INDIRECT("'results" &amp; $B8 &amp; "'!O$14")</f>
        <v>83.333333333333329</v>
      </c>
      <c r="O8" s="5" cm="1">
        <f t="array" aca="1" ref="O8" ca="1">INDIRECT("'results" &amp; $B8 &amp; "'!P$14")</f>
        <v>0</v>
      </c>
      <c r="P8" s="5" cm="1">
        <f t="array" aca="1" ref="P8" ca="1">INDIRECT("'results" &amp; $B8 &amp; "'!Q$14")</f>
        <v>19.819490003400539</v>
      </c>
      <c r="Q8" s="5" cm="1">
        <f t="array" aca="1" ref="Q8" ca="1">INDIRECT("'results" &amp; $B8 &amp; "'!R$14")</f>
        <v>1523.6861014275819</v>
      </c>
      <c r="R8" s="5"/>
      <c r="S8" s="5" cm="1">
        <f t="array" aca="1" ref="S8" ca="1">INDIRECT("'results" &amp; $B8 &amp; "'!T$14")</f>
        <v>99615.491366808972</v>
      </c>
      <c r="T8" s="5" cm="1">
        <f t="array" aca="1" ref="T8" ca="1">INDIRECT("'results" &amp; $B8 &amp; "'!U$14")</f>
        <v>1.101049166998564</v>
      </c>
      <c r="U8" s="5" cm="1">
        <f t="array" aca="1" ref="U8" ca="1">INDIRECT("'results" &amp; $B8 &amp; "'!V$14")</f>
        <v>3</v>
      </c>
      <c r="V8" s="5" cm="1">
        <f t="array" aca="1" ref="V8" ca="1">INDIRECT("'results" &amp; $B8 &amp; "'!W$14")</f>
        <v>80</v>
      </c>
      <c r="W8" s="5" cm="1">
        <f t="array" aca="1" ref="W8" ca="1">INDIRECT("'results" &amp; $B8 &amp; "'!X$14")</f>
        <v>17.211515471374621</v>
      </c>
      <c r="X8" s="5" cm="1">
        <f t="array" aca="1" ref="X8" ca="1">INDIRECT("'results" &amp; $B8 &amp; "'!Y$14")</f>
        <v>32.952283654247168</v>
      </c>
      <c r="Y8" s="5" cm="1">
        <f t="array" aca="1" ref="Y8" ca="1">INDIRECT("'results" &amp; $B8 &amp; "'!Z$14")</f>
        <v>1939.21368138551</v>
      </c>
      <c r="Z8" s="5"/>
    </row>
    <row r="9" spans="2:26" x14ac:dyDescent="0.2">
      <c r="B9" s="4">
        <v>145</v>
      </c>
      <c r="C9" s="5" cm="1">
        <f t="array" aca="1" ref="C9" ca="1">INDIRECT("'results" &amp; $B9 &amp; "'!D$14")</f>
        <v>73439.394193460685</v>
      </c>
      <c r="D9" s="33" cm="1">
        <f t="array" aca="1" ref="D9" ca="1">INDIRECT("'results" &amp; $B9 &amp; "'!E$14")</f>
        <v>0.9149837920012942</v>
      </c>
      <c r="E9" s="5" cm="1">
        <f t="array" aca="1" ref="E9" ca="1">INDIRECT("'results" &amp; $B9 &amp; "'!F$14")</f>
        <v>2</v>
      </c>
      <c r="F9" s="5" cm="1">
        <f t="array" aca="1" ref="F9" ca="1">INDIRECT("'results" &amp; $B9 &amp; "'!G$14")</f>
        <v>93.333333333333329</v>
      </c>
      <c r="G9" s="5" cm="1">
        <f t="array" aca="1" ref="G9" ca="1">INDIRECT("'results" &amp; $B9 &amp; "'!H$14")</f>
        <v>30.876085681026943</v>
      </c>
      <c r="H9" s="33" cm="1">
        <f t="array" aca="1" ref="H9" ca="1">INDIRECT("'results" &amp; $B9 &amp; "'!I$14")</f>
        <v>35.582790983135382</v>
      </c>
      <c r="I9" s="5" cm="1">
        <f t="array" aca="1" ref="I9" ca="1">INDIRECT("'results" &amp; $B9 &amp; "'!J$14")</f>
        <v>1751.9974772275161</v>
      </c>
      <c r="J9" s="5"/>
      <c r="K9" s="5" cm="1">
        <f t="array" aca="1" ref="K9" ca="1">INDIRECT("'results" &amp; $B9 &amp; "'!L$14")</f>
        <v>96947.660636895351</v>
      </c>
      <c r="L9" s="5" cm="1">
        <f t="array" aca="1" ref="L9" ca="1">INDIRECT("'results" &amp; $B9 &amp; "'!M$14")</f>
        <v>1.4112022090012031</v>
      </c>
      <c r="M9" s="5" cm="1">
        <f t="array" aca="1" ref="M9" ca="1">INDIRECT("'results" &amp; $B9 &amp; "'!N$14")</f>
        <v>3</v>
      </c>
      <c r="N9" s="5" cm="1">
        <f t="array" aca="1" ref="N9" ca="1">INDIRECT("'results" &amp; $B9 &amp; "'!O$14")</f>
        <v>70</v>
      </c>
      <c r="O9" s="5" cm="1">
        <f t="array" aca="1" ref="O9" ca="1">INDIRECT("'results" &amp; $B9 &amp; "'!P$14")</f>
        <v>8.0041730964543003</v>
      </c>
      <c r="P9" s="5" cm="1">
        <f t="array" aca="1" ref="P9" ca="1">INDIRECT("'results" &amp; $B9 &amp; "'!Q$14")</f>
        <v>18.577283846629591</v>
      </c>
      <c r="Q9" s="5" cm="1">
        <f t="array" aca="1" ref="Q9" ca="1">INDIRECT("'results" &amp; $B9 &amp; "'!R$14")</f>
        <v>1339.884506105411</v>
      </c>
      <c r="R9" s="5"/>
      <c r="S9" s="5" cm="1">
        <f t="array" aca="1" ref="S9" ca="1">INDIRECT("'results" &amp; $B9 &amp; "'!T$14")</f>
        <v>97185.314636974101</v>
      </c>
      <c r="T9" s="5" cm="1">
        <f t="array" aca="1" ref="T9" ca="1">INDIRECT("'results" &amp; $B9 &amp; "'!U$14")</f>
        <v>1.605201792001026</v>
      </c>
      <c r="U9" s="5" cm="1">
        <f t="array" aca="1" ref="U9" ca="1">INDIRECT("'results" &amp; $B9 &amp; "'!V$14")</f>
        <v>2</v>
      </c>
      <c r="V9" s="5" cm="1">
        <f t="array" aca="1" ref="V9" ca="1">INDIRECT("'results" &amp; $B9 &amp; "'!W$14")</f>
        <v>73.333333333333329</v>
      </c>
      <c r="W9" s="5" cm="1">
        <f t="array" aca="1" ref="W9" ca="1">INDIRECT("'results" &amp; $B9 &amp; "'!X$14")</f>
        <v>44.137319642833447</v>
      </c>
      <c r="X9" s="5" cm="1">
        <f t="array" aca="1" ref="X9" ca="1">INDIRECT("'results" &amp; $B9 &amp; "'!Y$14")</f>
        <v>45.3193306486003</v>
      </c>
      <c r="Y9" s="5" cm="1">
        <f t="array" aca="1" ref="Y9" ca="1">INDIRECT("'results" &amp; $B9 &amp; "'!Z$14")</f>
        <v>2050.6659564774341</v>
      </c>
      <c r="Z9" s="5"/>
    </row>
    <row r="10" spans="2:26" x14ac:dyDescent="0.2">
      <c r="B10" s="4">
        <v>53</v>
      </c>
      <c r="C10" s="5" cm="1">
        <f t="array" aca="1" ref="C10" ca="1">INDIRECT("'results" &amp; $B10 &amp; "'!D$14")</f>
        <v>69943.203773729707</v>
      </c>
      <c r="D10" s="33" cm="1">
        <f t="array" aca="1" ref="D10" ca="1">INDIRECT("'results" &amp; $B10 &amp; "'!E$14")</f>
        <v>1.561401292001392</v>
      </c>
      <c r="E10" s="5" cm="1">
        <f t="array" aca="1" ref="E10" ca="1">INDIRECT("'results" &amp; $B10 &amp; "'!F$14")</f>
        <v>3</v>
      </c>
      <c r="F10" s="5" cm="1">
        <f t="array" aca="1" ref="F10" ca="1">INDIRECT("'results" &amp; $B10 &amp; "'!G$14")</f>
        <v>93.333333333333329</v>
      </c>
      <c r="G10" s="5" cm="1">
        <f t="array" aca="1" ref="G10" ca="1">INDIRECT("'results" &amp; $B10 &amp; "'!H$14")</f>
        <v>2.2224132751658447</v>
      </c>
      <c r="H10" s="33" cm="1">
        <f t="array" aca="1" ref="H10" ca="1">INDIRECT("'results" &amp; $B10 &amp; "'!I$14")</f>
        <v>25.466041941208065</v>
      </c>
      <c r="I10" s="5" cm="1">
        <f t="array" aca="1" ref="I10" ca="1">INDIRECT("'results" &amp; $B10 &amp; "'!J$14")</f>
        <v>1317.0500768496111</v>
      </c>
      <c r="J10" s="5"/>
      <c r="K10" s="5" cm="1">
        <f t="array" aca="1" ref="K10" ca="1">INDIRECT("'results" &amp; $B10 &amp; "'!L$14")</f>
        <v>84571.794559048431</v>
      </c>
      <c r="L10" s="5" cm="1">
        <f t="array" aca="1" ref="L10" ca="1">INDIRECT("'results" &amp; $B10 &amp; "'!M$14")</f>
        <v>0.61959574999855249</v>
      </c>
      <c r="M10" s="5" cm="1">
        <f t="array" aca="1" ref="M10" ca="1">INDIRECT("'results" &amp; $B10 &amp; "'!N$14")</f>
        <v>3</v>
      </c>
      <c r="N10" s="5" cm="1">
        <f t="array" aca="1" ref="N10" ca="1">INDIRECT("'results" &amp; $B10 &amp; "'!O$14")</f>
        <v>80</v>
      </c>
      <c r="O10" s="5" cm="1">
        <f t="array" aca="1" ref="O10" ca="1">INDIRECT("'results" &amp; $B10 &amp; "'!P$14")</f>
        <v>0</v>
      </c>
      <c r="P10" s="5" cm="1">
        <f t="array" aca="1" ref="P10" ca="1">INDIRECT("'results" &amp; $B10 &amp; "'!Q$14")</f>
        <v>19.110090344682028</v>
      </c>
      <c r="Q10" s="5" cm="1">
        <f t="array" aca="1" ref="Q10" ca="1">INDIRECT("'results" &amp; $B10 &amp; "'!R$14")</f>
        <v>1229.656574600868</v>
      </c>
      <c r="R10" s="5"/>
      <c r="S10" s="5" cm="1">
        <f t="array" aca="1" ref="S10" ca="1">INDIRECT("'results" &amp; $B10 &amp; "'!T$14")</f>
        <v>85236.303215617663</v>
      </c>
      <c r="T10" s="5" cm="1">
        <f t="array" aca="1" ref="T10" ca="1">INDIRECT("'results" &amp; $B10 &amp; "'!U$14")</f>
        <v>1.374640166999598</v>
      </c>
      <c r="U10" s="5" cm="1">
        <f t="array" aca="1" ref="U10" ca="1">INDIRECT("'results" &amp; $B10 &amp; "'!V$14")</f>
        <v>3</v>
      </c>
      <c r="V10" s="5" cm="1">
        <f t="array" aca="1" ref="V10" ca="1">INDIRECT("'results" &amp; $B10 &amp; "'!W$14")</f>
        <v>83.333333333333329</v>
      </c>
      <c r="W10" s="5" cm="1">
        <f t="array" aca="1" ref="W10" ca="1">INDIRECT("'results" &amp; $B10 &amp; "'!X$14")</f>
        <v>0</v>
      </c>
      <c r="X10" s="5" cm="1">
        <f t="array" aca="1" ref="X10" ca="1">INDIRECT("'results" &amp; $B10 &amp; "'!Y$14")</f>
        <v>33.036732611683533</v>
      </c>
      <c r="Y10" s="5" cm="1">
        <f t="array" aca="1" ref="Y10" ca="1">INDIRECT("'results" &amp; $B10 &amp; "'!Z$14")</f>
        <v>1577.2578880644539</v>
      </c>
      <c r="Z10" s="5"/>
    </row>
    <row r="11" spans="2:26" x14ac:dyDescent="0.2">
      <c r="B11" s="4">
        <v>997</v>
      </c>
      <c r="C11" s="5" cm="1">
        <f t="array" aca="1" ref="C11" ca="1">INDIRECT("'results" &amp; $B11 &amp; "'!D$14")</f>
        <v>77840.006300560955</v>
      </c>
      <c r="D11" s="33" cm="1">
        <f t="array" aca="1" ref="D11" ca="1">INDIRECT("'results" &amp; $B11 &amp; "'!E$14")</f>
        <v>1.2524284169994639</v>
      </c>
      <c r="E11" s="5" cm="1">
        <f t="array" aca="1" ref="E11" ca="1">INDIRECT("'results" &amp; $B11 &amp; "'!F$14")</f>
        <v>2</v>
      </c>
      <c r="F11" s="5" cm="1">
        <f t="array" aca="1" ref="F11" ca="1">INDIRECT("'results" &amp; $B11 &amp; "'!G$14")</f>
        <v>96.666666666666671</v>
      </c>
      <c r="G11" s="5" cm="1">
        <f t="array" aca="1" ref="G11" ca="1">INDIRECT("'results" &amp; $B11 &amp; "'!H$14")</f>
        <v>53.215832651093542</v>
      </c>
      <c r="H11" s="33" cm="1">
        <f t="array" aca="1" ref="H11" ca="1">INDIRECT("'results" &amp; $B11 &amp; "'!I$14")</f>
        <v>35.471837421837421</v>
      </c>
      <c r="I11" s="5" cm="1">
        <f t="array" aca="1" ref="I11" ca="1">INDIRECT("'results" &amp; $B11 &amp; "'!J$14")</f>
        <v>1855.8823560708863</v>
      </c>
      <c r="J11" s="5"/>
      <c r="K11" s="5" cm="1">
        <f t="array" aca="1" ref="K11" ca="1">INDIRECT("'results" &amp; $B11 &amp; "'!L$14")</f>
        <v>94821.739735121446</v>
      </c>
      <c r="L11" s="5" cm="1">
        <f t="array" aca="1" ref="L11" ca="1">INDIRECT("'results" &amp; $B11 &amp; "'!M$14")</f>
        <v>0.587235208000493</v>
      </c>
      <c r="M11" s="5" cm="1">
        <f t="array" aca="1" ref="M11" ca="1">INDIRECT("'results" &amp; $B11 &amp; "'!N$14")</f>
        <v>3</v>
      </c>
      <c r="N11" s="5" cm="1">
        <f t="array" aca="1" ref="N11" ca="1">INDIRECT("'results" &amp; $B11 &amp; "'!O$14")</f>
        <v>80</v>
      </c>
      <c r="O11" s="5" cm="1">
        <f t="array" aca="1" ref="O11" ca="1">INDIRECT("'results" &amp; $B11 &amp; "'!P$14")</f>
        <v>19.668178757025881</v>
      </c>
      <c r="P11" s="5" cm="1">
        <f t="array" aca="1" ref="P11" ca="1">INDIRECT("'results" &amp; $B11 &amp; "'!Q$14")</f>
        <v>18.513708513708512</v>
      </c>
      <c r="Q11" s="5" cm="1">
        <f t="array" aca="1" ref="Q11" ca="1">INDIRECT("'results" &amp; $B11 &amp; "'!R$14")</f>
        <v>1529.656571851355</v>
      </c>
      <c r="R11" s="5"/>
      <c r="S11" s="5" cm="1">
        <f t="array" aca="1" ref="S11" ca="1">INDIRECT("'results" &amp; $B11 &amp; "'!T$14")</f>
        <v>93043.441032278861</v>
      </c>
      <c r="T11" s="5" cm="1">
        <f t="array" aca="1" ref="T11" ca="1">INDIRECT("'results" &amp; $B11 &amp; "'!U$14")</f>
        <v>0.95992270799979451</v>
      </c>
      <c r="U11" s="5" cm="1">
        <f t="array" aca="1" ref="U11" ca="1">INDIRECT("'results" &amp; $B11 &amp; "'!V$14")</f>
        <v>2</v>
      </c>
      <c r="V11" s="5" cm="1">
        <f t="array" aca="1" ref="V11" ca="1">INDIRECT("'results" &amp; $B11 &amp; "'!W$14")</f>
        <v>80</v>
      </c>
      <c r="W11" s="5" cm="1">
        <f t="array" aca="1" ref="W11" ca="1">INDIRECT("'results" &amp; $B11 &amp; "'!X$14")</f>
        <v>57.421291490429631</v>
      </c>
      <c r="X11" s="5" cm="1">
        <f t="array" aca="1" ref="X11" ca="1">INDIRECT("'results" &amp; $B11 &amp; "'!Y$14")</f>
        <v>37.157116468878137</v>
      </c>
      <c r="Y11" s="5" cm="1">
        <f t="array" aca="1" ref="Y11" ca="1">INDIRECT("'results" &amp; $B11 &amp; "'!Z$14")</f>
        <v>1895.484570785206</v>
      </c>
      <c r="Z11" s="5"/>
    </row>
    <row r="12" spans="2:26" x14ac:dyDescent="0.2">
      <c r="B12" s="4">
        <v>587</v>
      </c>
      <c r="C12" s="5" cm="1">
        <f t="array" aca="1" ref="C12" ca="1">INDIRECT("'results" &amp; $B12 &amp; "'!D$14")</f>
        <v>67990.035746193927</v>
      </c>
      <c r="D12" s="33" cm="1">
        <f t="array" aca="1" ref="D12" ca="1">INDIRECT("'results" &amp; $B12 &amp; "'!E$14")</f>
        <v>0.97704675000022689</v>
      </c>
      <c r="E12" s="5" cm="1">
        <f t="array" aca="1" ref="E12" ca="1">INDIRECT("'results" &amp; $B12 &amp; "'!F$14")</f>
        <v>2</v>
      </c>
      <c r="F12" s="5" cm="1">
        <f t="array" aca="1" ref="F12" ca="1">INDIRECT("'results" &amp; $B12 &amp; "'!G$14")</f>
        <v>96.666666666666671</v>
      </c>
      <c r="G12" s="5" cm="1">
        <f t="array" aca="1" ref="G12" ca="1">INDIRECT("'results" &amp; $B12 &amp; "'!H$14")</f>
        <v>4.9417655605470578</v>
      </c>
      <c r="H12" s="33" cm="1">
        <f t="array" aca="1" ref="H12" ca="1">INDIRECT("'results" &amp; $B12 &amp; "'!I$14")</f>
        <v>40.428845223846622</v>
      </c>
      <c r="I12" s="5" cm="1">
        <f t="array" aca="1" ref="I12" ca="1">INDIRECT("'results" &amp; $B12 &amp; "'!J$14")</f>
        <v>1602.3419813402365</v>
      </c>
      <c r="J12" s="5"/>
      <c r="K12" s="5" cm="1">
        <f t="array" aca="1" ref="K12" ca="1">INDIRECT("'results" &amp; $B12 &amp; "'!L$14")</f>
        <v>92051.249194404547</v>
      </c>
      <c r="L12" s="5" cm="1">
        <f t="array" aca="1" ref="L12" ca="1">INDIRECT("'results" &amp; $B12 &amp; "'!M$14")</f>
        <v>1.3448973330014271</v>
      </c>
      <c r="M12" s="5" cm="1">
        <f t="array" aca="1" ref="M12" ca="1">INDIRECT("'results" &amp; $B12 &amp; "'!N$14")</f>
        <v>3</v>
      </c>
      <c r="N12" s="5" cm="1">
        <f t="array" aca="1" ref="N12" ca="1">INDIRECT("'results" &amp; $B12 &amp; "'!O$14")</f>
        <v>73.333333333333329</v>
      </c>
      <c r="O12" s="5" cm="1">
        <f t="array" aca="1" ref="O12" ca="1">INDIRECT("'results" &amp; $B12 &amp; "'!P$14")</f>
        <v>0</v>
      </c>
      <c r="P12" s="5" cm="1">
        <f t="array" aca="1" ref="P12" ca="1">INDIRECT("'results" &amp; $B12 &amp; "'!Q$14")</f>
        <v>19.020119028061881</v>
      </c>
      <c r="Q12" s="5" cm="1">
        <f t="array" aca="1" ref="Q12" ca="1">INDIRECT("'results" &amp; $B12 &amp; "'!R$14")</f>
        <v>1168.940829996832</v>
      </c>
      <c r="R12" s="5"/>
      <c r="S12" s="5" cm="1">
        <f t="array" aca="1" ref="S12" ca="1">INDIRECT("'results" &amp; $B12 &amp; "'!T$14")</f>
        <v>85297.817695101505</v>
      </c>
      <c r="T12" s="5" cm="1">
        <f t="array" aca="1" ref="T12" ca="1">INDIRECT("'results" &amp; $B12 &amp; "'!U$14")</f>
        <v>1.108925291999185</v>
      </c>
      <c r="U12" s="5" cm="1">
        <f t="array" aca="1" ref="U12" ca="1">INDIRECT("'results" &amp; $B12 &amp; "'!V$14")</f>
        <v>2</v>
      </c>
      <c r="V12" s="5" cm="1">
        <f t="array" aca="1" ref="V12" ca="1">INDIRECT("'results" &amp; $B12 &amp; "'!W$14")</f>
        <v>86.666666666666671</v>
      </c>
      <c r="W12" s="5" cm="1">
        <f t="array" aca="1" ref="W12" ca="1">INDIRECT("'results" &amp; $B12 &amp; "'!X$14")</f>
        <v>26.513671806130048</v>
      </c>
      <c r="X12" s="5" cm="1">
        <f t="array" aca="1" ref="X12" ca="1">INDIRECT("'results" &amp; $B12 &amp; "'!Y$14")</f>
        <v>58.134138989657757</v>
      </c>
      <c r="Y12" s="5" cm="1">
        <f t="array" aca="1" ref="Y12" ca="1">INDIRECT("'results" &amp; $B12 &amp; "'!Z$14")</f>
        <v>1984.233836194793</v>
      </c>
      <c r="Z12" s="5"/>
    </row>
    <row r="13" spans="2:26" x14ac:dyDescent="0.2">
      <c r="B13" s="8" t="s">
        <v>3</v>
      </c>
      <c r="C13" s="9">
        <f ca="1">AVERAGE(C3:C12)</f>
        <v>75169.766479702041</v>
      </c>
      <c r="D13" s="10">
        <f t="shared" ref="D13:I13" ca="1" si="0">AVERAGE(D3:D12)</f>
        <v>1.2430418086001738</v>
      </c>
      <c r="E13" s="9">
        <f t="shared" ca="1" si="0"/>
        <v>2.5</v>
      </c>
      <c r="F13" s="9">
        <f t="shared" ca="1" si="0"/>
        <v>95</v>
      </c>
      <c r="G13" s="9">
        <f t="shared" ca="1" si="0"/>
        <v>23.558678663283303</v>
      </c>
      <c r="H13" s="10">
        <f t="shared" ca="1" si="0"/>
        <v>31.842062430858874</v>
      </c>
      <c r="I13" s="9">
        <f t="shared" ca="1" si="0"/>
        <v>1681.6600849061815</v>
      </c>
      <c r="J13" s="32" t="e">
        <f ca="1">(C13-$D$15)/$D$15</f>
        <v>#DIV/0!</v>
      </c>
      <c r="K13" s="16">
        <f ca="1">AVERAGE(K3:K12)</f>
        <v>93507.390974145354</v>
      </c>
      <c r="L13" s="41">
        <f t="shared" ref="L13:Q13" ca="1" si="1">AVERAGE(L3:L12)</f>
        <v>0.99217252100024778</v>
      </c>
      <c r="M13" s="16">
        <f t="shared" ca="1" si="1"/>
        <v>3</v>
      </c>
      <c r="N13" s="16">
        <f ca="1">AVERAGE(N3:N12)</f>
        <v>74.333333333333343</v>
      </c>
      <c r="O13" s="16">
        <f t="shared" ca="1" si="1"/>
        <v>3.5891709758321655</v>
      </c>
      <c r="P13" s="41">
        <f t="shared" ca="1" si="1"/>
        <v>19.362904271523103</v>
      </c>
      <c r="Q13" s="16">
        <f t="shared" ca="1" si="1"/>
        <v>1339.275765104413</v>
      </c>
      <c r="R13" s="42" t="e">
        <f ca="1">(K13-$D$15)/$D$15</f>
        <v>#DIV/0!</v>
      </c>
      <c r="S13" s="38">
        <f ca="1">AVERAGE(S3:S12)</f>
        <v>91980.051331089679</v>
      </c>
      <c r="T13" s="43">
        <f t="shared" ref="T13:Y13" ca="1" si="2">AVERAGE(T3:T12)</f>
        <v>1.4781140458999289</v>
      </c>
      <c r="U13" s="38">
        <f t="shared" ca="1" si="2"/>
        <v>2.6</v>
      </c>
      <c r="V13" s="38">
        <f t="shared" ca="1" si="2"/>
        <v>81.333333333333343</v>
      </c>
      <c r="W13" s="38">
        <f t="shared" ca="1" si="2"/>
        <v>46.738602445111596</v>
      </c>
      <c r="X13" s="43">
        <f t="shared" ca="1" si="2"/>
        <v>40.857897835325637</v>
      </c>
      <c r="Y13" s="38">
        <f t="shared" ca="1" si="2"/>
        <v>1900.8111116432326</v>
      </c>
      <c r="Z13" s="44" t="e">
        <f ca="1">(S13-$D$15)/$D$15</f>
        <v>#DIV/0!</v>
      </c>
    </row>
    <row r="14" spans="2:26" x14ac:dyDescent="0.2">
      <c r="K14" s="45">
        <f ca="1">(K13-C13)/C13</f>
        <v>0.24394946736192122</v>
      </c>
      <c r="L14" s="45">
        <f t="shared" ref="L14:Q14" ca="1" si="3">(L13-D13)/D13</f>
        <v>-0.20181886551542247</v>
      </c>
      <c r="M14" s="45">
        <f t="shared" ca="1" si="3"/>
        <v>0.2</v>
      </c>
      <c r="N14" s="45">
        <f t="shared" ca="1" si="3"/>
        <v>-0.21754385964912271</v>
      </c>
      <c r="O14" s="45">
        <f t="shared" ca="1" si="3"/>
        <v>-0.84764973336870697</v>
      </c>
      <c r="P14" s="45">
        <f t="shared" ca="1" si="3"/>
        <v>-0.39190797349991791</v>
      </c>
      <c r="Q14" s="45">
        <f t="shared" ca="1" si="3"/>
        <v>-0.20359900486124091</v>
      </c>
      <c r="S14" s="45">
        <f ca="1">(S13-C13)/C13</f>
        <v>0.22363093087334374</v>
      </c>
      <c r="T14" s="45">
        <f t="shared" ref="T14:Y14" ca="1" si="4">(T13-D13)/D13</f>
        <v>0.18911048339112338</v>
      </c>
      <c r="U14" s="45">
        <f t="shared" ca="1" si="4"/>
        <v>4.0000000000000036E-2</v>
      </c>
      <c r="V14" s="45">
        <f ca="1">(V13-F13)/F13</f>
        <v>-0.14385964912280691</v>
      </c>
      <c r="W14" s="45">
        <f t="shared" ca="1" si="4"/>
        <v>0.98392291491095774</v>
      </c>
      <c r="X14" s="45">
        <f t="shared" ca="1" si="4"/>
        <v>0.28314231919001925</v>
      </c>
      <c r="Y14" s="45">
        <f t="shared" ca="1" si="4"/>
        <v>0.13031826627988102</v>
      </c>
    </row>
    <row r="17" spans="2:19" ht="15" customHeight="1" x14ac:dyDescent="0.2">
      <c r="B17" s="1" t="s">
        <v>21</v>
      </c>
      <c r="C17">
        <f ca="1">_xlfn.STDEV.S(C3:C12)</f>
        <v>7601.029393361915</v>
      </c>
      <c r="J17" s="1" t="s">
        <v>21</v>
      </c>
      <c r="K17">
        <f ca="1">_xlfn.STDEV.S(K3:K12)</f>
        <v>9742.9199468970855</v>
      </c>
      <c r="R17" s="1" t="s">
        <v>21</v>
      </c>
      <c r="S17">
        <f ca="1">_xlfn.STDEV.S(S3:S12)</f>
        <v>10264.899012566466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5AFEC-F5C9-C34A-8FE4-AA407CE81AD5}">
  <dimension ref="B1:AA35"/>
  <sheetViews>
    <sheetView topLeftCell="A2" zoomScaleNormal="100" workbookViewId="0">
      <selection activeCell="A17" sqref="A17:XFD35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30</v>
      </c>
      <c r="H2" s="28">
        <f>(Q14-H14)/H14</f>
        <v>7.5988013832647585</v>
      </c>
      <c r="J2" s="28" t="e">
        <f>(S14-J14)/J14</f>
        <v>#DIV/0!</v>
      </c>
      <c r="K2" s="28"/>
      <c r="L2" s="1" t="s">
        <v>19</v>
      </c>
      <c r="P2" s="1">
        <f>(P14-H14)/H14</f>
        <v>-1</v>
      </c>
      <c r="R2" s="1">
        <f>(R14-J14)/J14</f>
        <v>-6.6355489274780396E-2</v>
      </c>
      <c r="T2" s="1" t="s">
        <v>20</v>
      </c>
      <c r="X2" s="1" t="e">
        <f>(X14-P14)/P14</f>
        <v>#DIV/0!</v>
      </c>
      <c r="Z2" s="1">
        <f>(Z14-R14)/R14</f>
        <v>0.28268162074147674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279</v>
      </c>
      <c r="D4" s="23">
        <v>71222.894128635904</v>
      </c>
      <c r="E4" s="33">
        <v>1.0228748329991499</v>
      </c>
      <c r="F4" s="5">
        <v>3</v>
      </c>
      <c r="G4" s="23">
        <v>93.333333333333329</v>
      </c>
      <c r="H4" s="33">
        <v>0</v>
      </c>
      <c r="I4" s="23">
        <v>25.257234740875443</v>
      </c>
      <c r="J4" s="5">
        <v>1359.4819445850201</v>
      </c>
      <c r="K4" s="31"/>
      <c r="L4" s="23">
        <v>85531.076960885781</v>
      </c>
      <c r="M4" s="33">
        <v>1.3459699160011951</v>
      </c>
      <c r="N4" s="5">
        <v>3</v>
      </c>
      <c r="O4" s="5">
        <v>80</v>
      </c>
      <c r="P4" s="33">
        <v>3.983817537338211</v>
      </c>
      <c r="Q4" s="5">
        <v>18.9715304239452</v>
      </c>
      <c r="R4" s="5">
        <v>1273.3613722876089</v>
      </c>
      <c r="S4" s="31"/>
      <c r="T4" s="23">
        <v>85458.161277523322</v>
      </c>
      <c r="U4" s="33">
        <v>1.1998194169973431</v>
      </c>
      <c r="V4" s="5">
        <v>3</v>
      </c>
      <c r="W4" s="5">
        <v>86.666666666666671</v>
      </c>
      <c r="X4" s="33">
        <v>16.748093651233809</v>
      </c>
      <c r="Y4" s="5">
        <v>35.838311677052289</v>
      </c>
      <c r="Z4" s="5">
        <v>1721.511326190086</v>
      </c>
      <c r="AA4" s="35"/>
    </row>
    <row r="5" spans="2:27" x14ac:dyDescent="0.2">
      <c r="B5" s="4">
        <v>2</v>
      </c>
      <c r="C5" s="4">
        <v>421</v>
      </c>
      <c r="D5" s="23">
        <v>72194.193701332668</v>
      </c>
      <c r="E5" s="33">
        <v>4.7299473329985631</v>
      </c>
      <c r="F5" s="5">
        <v>3</v>
      </c>
      <c r="G5" s="23">
        <v>93.333333333333329</v>
      </c>
      <c r="H5" s="33">
        <v>0.34430684742860002</v>
      </c>
      <c r="I5" s="23">
        <v>24.943379060891584</v>
      </c>
      <c r="J5" s="5">
        <v>1373.5920605912927</v>
      </c>
      <c r="K5" s="31"/>
      <c r="L5" s="23">
        <v>85302.232268266933</v>
      </c>
      <c r="M5" s="33">
        <v>1.9764043329996639</v>
      </c>
      <c r="N5" s="5">
        <v>3</v>
      </c>
      <c r="O5" s="5">
        <v>80</v>
      </c>
      <c r="P5" s="33">
        <v>0</v>
      </c>
      <c r="Q5" s="5">
        <v>18.700535781501689</v>
      </c>
      <c r="R5" s="5">
        <v>1241.9638652317369</v>
      </c>
      <c r="S5" s="31"/>
      <c r="T5" s="23">
        <v>86869.032841001987</v>
      </c>
      <c r="U5" s="33">
        <v>3.1084389579991689</v>
      </c>
      <c r="V5" s="5">
        <v>3</v>
      </c>
      <c r="W5" s="5">
        <v>93.333333333333329</v>
      </c>
      <c r="X5" s="33">
        <v>15.134384206869511</v>
      </c>
      <c r="Y5" s="5">
        <v>49.959403498361247</v>
      </c>
      <c r="Z5" s="5">
        <v>2140.743639441067</v>
      </c>
      <c r="AA5" s="35"/>
    </row>
    <row r="6" spans="2:27" x14ac:dyDescent="0.2">
      <c r="B6" s="4">
        <v>3</v>
      </c>
      <c r="C6" s="4">
        <v>490</v>
      </c>
      <c r="D6" s="23">
        <v>71097.68296491963</v>
      </c>
      <c r="E6" s="33">
        <v>1.0340819169996389</v>
      </c>
      <c r="F6" s="5">
        <v>3</v>
      </c>
      <c r="G6" s="23">
        <v>93.333333333333329</v>
      </c>
      <c r="H6" s="33">
        <v>3.559264641364166</v>
      </c>
      <c r="I6" s="23">
        <v>26.962093721049808</v>
      </c>
      <c r="J6" s="5">
        <v>1359.6220922279547</v>
      </c>
      <c r="K6" s="31"/>
      <c r="L6" s="23">
        <v>84571.794559048431</v>
      </c>
      <c r="M6" s="33">
        <v>0.61959574999855249</v>
      </c>
      <c r="N6" s="5">
        <v>3</v>
      </c>
      <c r="O6" s="5">
        <v>80</v>
      </c>
      <c r="P6" s="33">
        <v>0</v>
      </c>
      <c r="Q6" s="5">
        <v>19.110090344682028</v>
      </c>
      <c r="R6" s="5">
        <v>1229.656574600868</v>
      </c>
      <c r="S6" s="31"/>
      <c r="T6" s="23">
        <v>86008.080200829922</v>
      </c>
      <c r="U6" s="33">
        <v>0.95220837499800837</v>
      </c>
      <c r="V6" s="5">
        <v>3</v>
      </c>
      <c r="W6" s="5">
        <v>86.666666666666671</v>
      </c>
      <c r="X6" s="33">
        <v>17.033717485626841</v>
      </c>
      <c r="Y6" s="5">
        <v>36.041071509761643</v>
      </c>
      <c r="Z6" s="5">
        <v>1745.6428624597129</v>
      </c>
      <c r="AA6" s="35"/>
    </row>
    <row r="7" spans="2:27" x14ac:dyDescent="0.2">
      <c r="B7" s="4">
        <v>4</v>
      </c>
      <c r="C7" s="4">
        <v>547</v>
      </c>
      <c r="D7" s="23">
        <v>70262.875655214943</v>
      </c>
      <c r="E7" s="33">
        <v>1.450651333998394</v>
      </c>
      <c r="F7" s="5">
        <v>3</v>
      </c>
      <c r="G7" s="23">
        <v>93.333333333333329</v>
      </c>
      <c r="H7" s="33">
        <v>0</v>
      </c>
      <c r="I7" s="23">
        <v>25.191982490771494</v>
      </c>
      <c r="J7" s="5">
        <v>1324.1228784831678</v>
      </c>
      <c r="K7" s="31"/>
      <c r="L7" s="23">
        <v>85969.603475026495</v>
      </c>
      <c r="M7" s="33">
        <v>0.68084124999950291</v>
      </c>
      <c r="N7" s="5">
        <v>3</v>
      </c>
      <c r="O7" s="5">
        <v>80</v>
      </c>
      <c r="P7" s="33">
        <v>0</v>
      </c>
      <c r="Q7" s="5">
        <v>19.230364349357519</v>
      </c>
      <c r="R7" s="5">
        <v>1293.8083777722361</v>
      </c>
      <c r="S7" s="31"/>
      <c r="T7" s="23">
        <v>85924.105926490403</v>
      </c>
      <c r="U7" s="33">
        <v>0.96178449999933946</v>
      </c>
      <c r="V7" s="5">
        <v>3</v>
      </c>
      <c r="W7" s="5">
        <v>90</v>
      </c>
      <c r="X7" s="33">
        <v>13.278734902239229</v>
      </c>
      <c r="Y7" s="5">
        <v>43.692833088015277</v>
      </c>
      <c r="Z7" s="5">
        <v>1941.4110119320669</v>
      </c>
      <c r="AA7" s="35"/>
    </row>
    <row r="8" spans="2:27" x14ac:dyDescent="0.2">
      <c r="B8" s="4">
        <v>5</v>
      </c>
      <c r="C8" s="4">
        <v>666</v>
      </c>
      <c r="D8" s="23">
        <v>71662.358614213386</v>
      </c>
      <c r="E8" s="33">
        <v>1.2730266670005219</v>
      </c>
      <c r="F8" s="5">
        <v>3</v>
      </c>
      <c r="G8" s="23">
        <v>93.333333333333329</v>
      </c>
      <c r="H8" s="33">
        <v>5.980987788874196</v>
      </c>
      <c r="I8" s="23">
        <v>25.989796443439065</v>
      </c>
      <c r="J8" s="5">
        <v>1355.7167992970874</v>
      </c>
      <c r="K8" s="31"/>
      <c r="L8" s="23">
        <v>85826.702565869404</v>
      </c>
      <c r="M8" s="33">
        <v>1.486163499997929</v>
      </c>
      <c r="N8" s="5">
        <v>3</v>
      </c>
      <c r="O8" s="5">
        <v>83.333333333333329</v>
      </c>
      <c r="P8" s="33">
        <v>0</v>
      </c>
      <c r="Q8" s="5">
        <v>19.3572348723904</v>
      </c>
      <c r="R8" s="5">
        <v>1443.830091000633</v>
      </c>
      <c r="S8" s="31"/>
      <c r="T8" s="23">
        <v>85661.96684433498</v>
      </c>
      <c r="U8" s="33">
        <v>2.138034792002145</v>
      </c>
      <c r="V8" s="5">
        <v>3</v>
      </c>
      <c r="W8" s="5">
        <v>86.666666666666671</v>
      </c>
      <c r="X8" s="33">
        <v>13.78945547540228</v>
      </c>
      <c r="Y8" s="5">
        <v>39.537620733918878</v>
      </c>
      <c r="Z8" s="5">
        <v>1784.433821722283</v>
      </c>
      <c r="AA8" s="35"/>
    </row>
    <row r="9" spans="2:27" x14ac:dyDescent="0.2">
      <c r="B9" s="4">
        <v>6</v>
      </c>
      <c r="C9" s="4">
        <v>694</v>
      </c>
      <c r="D9" s="23">
        <v>71301.018113756407</v>
      </c>
      <c r="E9" s="33">
        <v>1.603273582999464</v>
      </c>
      <c r="F9" s="5">
        <v>3</v>
      </c>
      <c r="G9" s="23">
        <v>93.333333333333329</v>
      </c>
      <c r="H9" s="33">
        <v>5.1073085104780755</v>
      </c>
      <c r="I9" s="23">
        <v>24.860283552743109</v>
      </c>
      <c r="J9" s="5">
        <v>1359.5480843391765</v>
      </c>
      <c r="K9" s="31"/>
      <c r="L9" s="23">
        <v>85417.698999615342</v>
      </c>
      <c r="M9" s="33">
        <v>0.77347199999712757</v>
      </c>
      <c r="N9" s="5">
        <v>3</v>
      </c>
      <c r="O9" s="5">
        <v>80</v>
      </c>
      <c r="P9" s="33">
        <v>0</v>
      </c>
      <c r="Q9" s="5">
        <v>19.12314079470282</v>
      </c>
      <c r="R9" s="5">
        <v>1263.979549556916</v>
      </c>
      <c r="S9" s="31"/>
      <c r="T9" s="23">
        <v>86307.072350002054</v>
      </c>
      <c r="U9" s="33">
        <v>1.3879126660031029</v>
      </c>
      <c r="V9" s="5">
        <v>3</v>
      </c>
      <c r="W9" s="5">
        <v>83.333333333333329</v>
      </c>
      <c r="X9" s="33">
        <v>0</v>
      </c>
      <c r="Y9" s="5">
        <v>32.725201535202693</v>
      </c>
      <c r="Z9" s="5">
        <v>1622.0806315341599</v>
      </c>
      <c r="AA9" s="35"/>
    </row>
    <row r="10" spans="2:27" x14ac:dyDescent="0.2">
      <c r="B10" s="4">
        <v>7</v>
      </c>
      <c r="C10" s="4">
        <v>723</v>
      </c>
      <c r="D10" s="23">
        <v>69943.203773729707</v>
      </c>
      <c r="E10" s="33">
        <v>1.561401292001392</v>
      </c>
      <c r="F10" s="5">
        <v>3</v>
      </c>
      <c r="G10" s="23">
        <v>93.333333333333329</v>
      </c>
      <c r="H10" s="33">
        <v>2.2224132751658447</v>
      </c>
      <c r="I10" s="23">
        <v>25.466041941208065</v>
      </c>
      <c r="J10" s="5">
        <v>1317.0500768496111</v>
      </c>
      <c r="K10" s="31"/>
      <c r="L10" s="23">
        <v>86260.438932890189</v>
      </c>
      <c r="M10" s="33">
        <v>0.68633350000163773</v>
      </c>
      <c r="N10" s="5">
        <v>3</v>
      </c>
      <c r="O10" s="5">
        <v>83.333333333333329</v>
      </c>
      <c r="P10" s="33">
        <v>0</v>
      </c>
      <c r="Q10" s="5">
        <v>19.378684201368142</v>
      </c>
      <c r="R10" s="5">
        <v>1455.2484130489061</v>
      </c>
      <c r="S10" s="31"/>
      <c r="T10" s="23">
        <v>85572.991075620841</v>
      </c>
      <c r="U10" s="33">
        <v>1.071335874999932</v>
      </c>
      <c r="V10" s="5">
        <v>3</v>
      </c>
      <c r="W10" s="5">
        <v>86.666666666666671</v>
      </c>
      <c r="X10" s="33">
        <v>0</v>
      </c>
      <c r="Y10" s="5">
        <v>39.985173739482732</v>
      </c>
      <c r="Z10" s="5">
        <v>1809.850723704157</v>
      </c>
      <c r="AA10" s="35"/>
    </row>
    <row r="11" spans="2:27" x14ac:dyDescent="0.2">
      <c r="B11" s="4">
        <v>8</v>
      </c>
      <c r="C11" s="4">
        <v>740</v>
      </c>
      <c r="D11" s="23">
        <v>71491.981413713729</v>
      </c>
      <c r="E11" s="33">
        <v>0.66397279200100456</v>
      </c>
      <c r="F11" s="5">
        <v>3</v>
      </c>
      <c r="G11" s="23">
        <v>93.333333333333329</v>
      </c>
      <c r="H11" s="33">
        <v>0</v>
      </c>
      <c r="I11" s="23">
        <v>25.641784442884688</v>
      </c>
      <c r="J11" s="5">
        <v>1350.150318980362</v>
      </c>
      <c r="K11" s="31"/>
      <c r="L11" s="23">
        <v>86106.587019163184</v>
      </c>
      <c r="M11" s="33">
        <v>0.61515058299846714</v>
      </c>
      <c r="N11" s="5">
        <v>3</v>
      </c>
      <c r="O11" s="5">
        <v>80</v>
      </c>
      <c r="P11" s="33">
        <v>0</v>
      </c>
      <c r="Q11" s="5">
        <v>19.007861819519182</v>
      </c>
      <c r="R11" s="5">
        <v>1280.7539039739561</v>
      </c>
      <c r="S11" s="31"/>
      <c r="T11" s="23">
        <v>85814.012483157421</v>
      </c>
      <c r="U11" s="33">
        <v>0.81530195899904356</v>
      </c>
      <c r="V11" s="5">
        <v>3</v>
      </c>
      <c r="W11" s="5">
        <v>90</v>
      </c>
      <c r="X11" s="33">
        <v>34.535938905389401</v>
      </c>
      <c r="Y11" s="5">
        <v>42.284974819287001</v>
      </c>
      <c r="Z11" s="5">
        <v>1919.0332461782159</v>
      </c>
      <c r="AA11" s="35"/>
    </row>
    <row r="12" spans="2:27" x14ac:dyDescent="0.2">
      <c r="B12" s="4">
        <v>9</v>
      </c>
      <c r="C12" s="4">
        <v>776</v>
      </c>
      <c r="D12" s="23">
        <v>71797.309637587838</v>
      </c>
      <c r="E12" s="33">
        <v>3.6456487499999639</v>
      </c>
      <c r="F12" s="5">
        <v>3</v>
      </c>
      <c r="G12" s="23">
        <v>93.333333333333329</v>
      </c>
      <c r="H12" s="33">
        <v>3.1876066480529386</v>
      </c>
      <c r="I12" s="23">
        <v>25.014713877989113</v>
      </c>
      <c r="J12" s="5">
        <v>1371.2094449099484</v>
      </c>
      <c r="K12" s="31"/>
      <c r="L12" s="23">
        <v>84884.378092116036</v>
      </c>
      <c r="M12" s="33">
        <v>0.75796241700300016</v>
      </c>
      <c r="N12" s="5">
        <v>3</v>
      </c>
      <c r="O12" s="5">
        <v>80</v>
      </c>
      <c r="P12" s="33">
        <v>0</v>
      </c>
      <c r="Q12" s="5">
        <v>19.103565119671629</v>
      </c>
      <c r="R12" s="5">
        <v>1241.346226320946</v>
      </c>
      <c r="S12" s="31"/>
      <c r="T12" s="23">
        <v>86869.032841001987</v>
      </c>
      <c r="U12" s="33">
        <v>2.914419875000021</v>
      </c>
      <c r="V12" s="5">
        <v>3</v>
      </c>
      <c r="W12" s="5">
        <v>93.333333333333329</v>
      </c>
      <c r="X12" s="33">
        <v>15.134384206869511</v>
      </c>
      <c r="Y12" s="5">
        <v>49.959403498361247</v>
      </c>
      <c r="Z12" s="5">
        <v>2140.743639441067</v>
      </c>
      <c r="AA12" s="35"/>
    </row>
    <row r="13" spans="2:27" x14ac:dyDescent="0.2">
      <c r="B13" s="4">
        <v>10</v>
      </c>
      <c r="C13" s="4">
        <v>940</v>
      </c>
      <c r="D13" s="23">
        <v>69943.203773729707</v>
      </c>
      <c r="E13" s="33">
        <v>1.347343583000111</v>
      </c>
      <c r="F13" s="5">
        <v>3</v>
      </c>
      <c r="G13" s="23">
        <v>93.333333333333329</v>
      </c>
      <c r="H13" s="33">
        <v>2.2224132751658447</v>
      </c>
      <c r="I13" s="23">
        <v>25.466041941208065</v>
      </c>
      <c r="J13" s="5">
        <v>1317.0500768496111</v>
      </c>
      <c r="K13" s="31"/>
      <c r="L13" s="23">
        <v>85406.182621596061</v>
      </c>
      <c r="M13" s="33">
        <v>0.98925666699869907</v>
      </c>
      <c r="N13" s="5">
        <v>3</v>
      </c>
      <c r="O13" s="5">
        <v>80</v>
      </c>
      <c r="P13" s="33">
        <v>0</v>
      </c>
      <c r="Q13" s="5">
        <v>19.200355957325819</v>
      </c>
      <c r="R13" s="5">
        <v>1263.599252946746</v>
      </c>
      <c r="S13" s="31"/>
      <c r="T13" s="23">
        <v>85236.303215617663</v>
      </c>
      <c r="U13" s="33">
        <v>1.374640166999598</v>
      </c>
      <c r="V13" s="5">
        <v>3</v>
      </c>
      <c r="W13" s="5">
        <v>83.333333333333329</v>
      </c>
      <c r="X13" s="33">
        <v>0</v>
      </c>
      <c r="Y13" s="5">
        <v>33.036732611683533</v>
      </c>
      <c r="Z13" s="5">
        <v>1577.2578880644539</v>
      </c>
      <c r="AA13" s="35"/>
    </row>
    <row r="14" spans="2:27" x14ac:dyDescent="0.2">
      <c r="B14" s="46" t="s">
        <v>3</v>
      </c>
      <c r="C14" s="47"/>
      <c r="D14" s="9">
        <f>MIN(D4:D13)</f>
        <v>69943.203773729707</v>
      </c>
      <c r="E14" s="22">
        <f>INDEX(E4:E13, MATCH($D$14, D4:D13, 0))</f>
        <v>1.561401292001392</v>
      </c>
      <c r="F14" s="9">
        <f>INDEX(F4:F13, MATCH($D$14, D4:D13, 0))</f>
        <v>3</v>
      </c>
      <c r="G14" s="9">
        <f>INDEX(G4:G13, MATCH($D$14, D4:D13, 0))</f>
        <v>93.333333333333329</v>
      </c>
      <c r="H14" s="22">
        <f>INDEX(H4:H13, MATCH($D$14, D4:D13, 0))</f>
        <v>2.2224132751658447</v>
      </c>
      <c r="I14" s="22">
        <f>INDEX(I4:I13, MATCH($D$14, D4:D13, 0))</f>
        <v>25.466041941208065</v>
      </c>
      <c r="J14" s="22">
        <f>INDEX(J4:J13, MATCH($D$14, D4:D13, 0))</f>
        <v>1317.0500768496111</v>
      </c>
      <c r="K14" s="32" t="e">
        <f>(D14-$D$15)/$D$15</f>
        <v>#DIV/0!</v>
      </c>
      <c r="L14" s="16">
        <f>MIN(L4:L13)</f>
        <v>84571.794559048431</v>
      </c>
      <c r="M14" s="21">
        <f>INDEX(M4:M13, MATCH($L$14, L4:L13, 0))</f>
        <v>0.61959574999855249</v>
      </c>
      <c r="N14" s="16">
        <f>INDEX(N4:N13, MATCH($L$14, L4:L13, 0))</f>
        <v>3</v>
      </c>
      <c r="O14" s="16">
        <f>INDEX(O4:O13, MATCH($L$14, L4:L13, 0))</f>
        <v>80</v>
      </c>
      <c r="P14" s="21">
        <f>INDEX(P4:P13, MATCH($L$14, L4:L13, 0))</f>
        <v>0</v>
      </c>
      <c r="Q14" s="21">
        <f>INDEX(Q4:Q13, MATCH($L$14, L4:L13, 0))</f>
        <v>19.110090344682028</v>
      </c>
      <c r="R14" s="21">
        <f>INDEX(R4:R13, MATCH($L$14, L4:L13, 0))</f>
        <v>1229.656574600868</v>
      </c>
      <c r="S14" s="36" t="e">
        <f>(L14-$D$15)/$D$15</f>
        <v>#DIV/0!</v>
      </c>
      <c r="T14" s="38">
        <f>MIN(T4:T13)</f>
        <v>85236.303215617663</v>
      </c>
      <c r="U14" s="39">
        <f>INDEX(U4:U13, MATCH($T$14, T4:T13, 0))</f>
        <v>1.374640166999598</v>
      </c>
      <c r="V14" s="38">
        <f>INDEX(V4:V13, MATCH($T$14, T4:T13, 0))</f>
        <v>3</v>
      </c>
      <c r="W14" s="38">
        <f>INDEX(W4:W13, MATCH($T$14, T4:T13, 0))</f>
        <v>83.333333333333329</v>
      </c>
      <c r="X14" s="39">
        <f>INDEX(X4:X13, MATCH($T$14, T4:T13, 0))</f>
        <v>0</v>
      </c>
      <c r="Y14" s="39">
        <f>INDEX(Y4:Y13, MATCH($T$14, T4:T13, 0))</f>
        <v>33.036732611683533</v>
      </c>
      <c r="Z14" s="39">
        <f>INDEX(Z4:Z13, MATCH($T$14, T4:T13, 0))</f>
        <v>1577.2578880644539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  <row r="33" s="1" customFormat="1" x14ac:dyDescent="0.2"/>
    <row r="34" s="1" customFormat="1" x14ac:dyDescent="0.2"/>
    <row r="35" s="1" customFormat="1" x14ac:dyDescent="0.2"/>
  </sheetData>
  <mergeCells count="1">
    <mergeCell ref="B14:C14"/>
  </mergeCells>
  <conditionalFormatting sqref="C1:C13 C15:C16 C24:C1048576">
    <cfRule type="duplicateValues" dxfId="165" priority="9"/>
    <cfRule type="duplicateValues" dxfId="164" priority="10"/>
  </conditionalFormatting>
  <conditionalFormatting sqref="C14">
    <cfRule type="duplicateValues" dxfId="163" priority="1"/>
    <cfRule type="duplicateValues" dxfId="162" priority="2"/>
  </conditionalFormatting>
  <conditionalFormatting sqref="C17">
    <cfRule type="duplicateValues" dxfId="161" priority="3"/>
    <cfRule type="duplicateValues" dxfId="160" priority="4"/>
  </conditionalFormatting>
  <conditionalFormatting sqref="C18:C23">
    <cfRule type="duplicateValues" dxfId="159" priority="5"/>
    <cfRule type="duplicateValues" dxfId="158" priority="6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E3752-38D0-8B47-BE69-24C80101B910}">
  <dimension ref="B1:AA35"/>
  <sheetViews>
    <sheetView topLeftCell="A3" zoomScaleNormal="100" workbookViewId="0">
      <selection activeCell="A17" sqref="A17:XFD35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30</v>
      </c>
      <c r="H2" s="28">
        <f>(Q14-H14)/H14</f>
        <v>-0.19951868698784456</v>
      </c>
      <c r="J2" s="28" t="e">
        <f>(S14-J14)/J14</f>
        <v>#DIV/0!</v>
      </c>
      <c r="K2" s="28"/>
      <c r="L2" s="1" t="s">
        <v>19</v>
      </c>
      <c r="P2" s="1">
        <f>(P14-H14)/H14</f>
        <v>-1</v>
      </c>
      <c r="R2" s="1">
        <f>(R14-J14)/J14</f>
        <v>-0.14257922143920454</v>
      </c>
      <c r="T2" s="1" t="s">
        <v>20</v>
      </c>
      <c r="X2" s="1" t="e">
        <f>(X14-P14)/P14</f>
        <v>#DIV/0!</v>
      </c>
      <c r="Z2" s="1">
        <f>(Z14-R14)/R14</f>
        <v>0.27271206291677091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64</v>
      </c>
      <c r="D4" s="23">
        <v>83469.224979584513</v>
      </c>
      <c r="E4" s="33">
        <v>2.9215196659988578</v>
      </c>
      <c r="F4" s="5">
        <v>3</v>
      </c>
      <c r="G4" s="23">
        <v>96.666666666666671</v>
      </c>
      <c r="H4" s="33">
        <v>24.759466187687977</v>
      </c>
      <c r="I4" s="23">
        <v>24.333664825603773</v>
      </c>
      <c r="J4" s="5">
        <v>1793.9023294998315</v>
      </c>
      <c r="K4" s="31"/>
      <c r="L4" s="23">
        <v>90495.874499694997</v>
      </c>
      <c r="M4" s="33">
        <v>0.74857491699731327</v>
      </c>
      <c r="N4" s="5">
        <v>3</v>
      </c>
      <c r="O4" s="5">
        <v>83.333333333333329</v>
      </c>
      <c r="P4" s="33">
        <v>0</v>
      </c>
      <c r="Q4" s="5">
        <v>20.528883672142321</v>
      </c>
      <c r="R4" s="5">
        <v>1561.245129648953</v>
      </c>
      <c r="S4" s="31"/>
      <c r="T4" s="23">
        <v>102664.2487164256</v>
      </c>
      <c r="U4" s="33">
        <v>1.814094249999471</v>
      </c>
      <c r="V4" s="5">
        <v>3</v>
      </c>
      <c r="W4" s="5">
        <v>76.666666666666671</v>
      </c>
      <c r="X4" s="33">
        <v>12.389975383441991</v>
      </c>
      <c r="Y4" s="5">
        <v>32.096123604673551</v>
      </c>
      <c r="Z4" s="5">
        <v>1932.824131145547</v>
      </c>
      <c r="AA4" s="35"/>
    </row>
    <row r="5" spans="2:27" x14ac:dyDescent="0.2">
      <c r="B5" s="4">
        <v>5</v>
      </c>
      <c r="C5" s="4">
        <v>68</v>
      </c>
      <c r="D5" s="23">
        <v>83246.461194655858</v>
      </c>
      <c r="E5" s="33">
        <v>1.038450292000562</v>
      </c>
      <c r="F5" s="5">
        <v>3</v>
      </c>
      <c r="G5" s="23">
        <v>96.666666666666671</v>
      </c>
      <c r="H5" s="33">
        <v>24.759466187687977</v>
      </c>
      <c r="I5" s="23">
        <v>24.693773325532259</v>
      </c>
      <c r="J5" s="5">
        <v>1797.186283697803</v>
      </c>
      <c r="K5" s="31"/>
      <c r="L5" s="23">
        <v>91039.198055030734</v>
      </c>
      <c r="M5" s="33">
        <v>0.72686554200117826</v>
      </c>
      <c r="N5" s="5">
        <v>3</v>
      </c>
      <c r="O5" s="5">
        <v>83.333333333333329</v>
      </c>
      <c r="P5" s="33">
        <v>0</v>
      </c>
      <c r="Q5" s="5">
        <v>19.508997367282049</v>
      </c>
      <c r="R5" s="5">
        <v>1568.924791635415</v>
      </c>
      <c r="S5" s="31"/>
      <c r="T5" s="23">
        <v>100321.7105423779</v>
      </c>
      <c r="U5" s="33">
        <v>1.7607815419978581</v>
      </c>
      <c r="V5" s="5">
        <v>2</v>
      </c>
      <c r="W5" s="5">
        <v>73.333333333333329</v>
      </c>
      <c r="X5" s="33">
        <v>47.982010807121782</v>
      </c>
      <c r="Y5" s="5">
        <v>40.432515386020818</v>
      </c>
      <c r="Z5" s="5">
        <v>2076.363276970289</v>
      </c>
      <c r="AA5" s="35"/>
    </row>
    <row r="6" spans="2:27" x14ac:dyDescent="0.2">
      <c r="B6" s="4">
        <v>2</v>
      </c>
      <c r="C6" s="4">
        <v>196</v>
      </c>
      <c r="D6" s="23">
        <v>83591.046006330813</v>
      </c>
      <c r="E6" s="33">
        <v>0.77512541599935503</v>
      </c>
      <c r="F6" s="5">
        <v>3</v>
      </c>
      <c r="G6" s="23">
        <v>96.666666666666671</v>
      </c>
      <c r="H6" s="33">
        <v>24.759466187687977</v>
      </c>
      <c r="I6" s="23">
        <v>24.854603402166688</v>
      </c>
      <c r="J6" s="5">
        <v>1804.5905961357391</v>
      </c>
      <c r="K6" s="31"/>
      <c r="L6" s="23">
        <v>90941.519800577793</v>
      </c>
      <c r="M6" s="33">
        <v>1.038257084001089</v>
      </c>
      <c r="N6" s="5">
        <v>3</v>
      </c>
      <c r="O6" s="5">
        <v>80</v>
      </c>
      <c r="P6" s="33">
        <v>0</v>
      </c>
      <c r="Q6" s="5">
        <v>17.57569379826343</v>
      </c>
      <c r="R6" s="5">
        <v>1417.125544140144</v>
      </c>
      <c r="S6" s="31"/>
      <c r="T6" s="23">
        <v>103180.3135362685</v>
      </c>
      <c r="U6" s="33">
        <v>0.85725820800143993</v>
      </c>
      <c r="V6" s="5">
        <v>3</v>
      </c>
      <c r="W6" s="5">
        <v>83.333333333333329</v>
      </c>
      <c r="X6" s="33">
        <v>46.612966321541393</v>
      </c>
      <c r="Y6" s="5">
        <v>32.988120543117162</v>
      </c>
      <c r="Z6" s="5">
        <v>2131.506011563537</v>
      </c>
      <c r="AA6" s="35"/>
    </row>
    <row r="7" spans="2:27" x14ac:dyDescent="0.2">
      <c r="B7" s="4">
        <v>8</v>
      </c>
      <c r="C7" s="4">
        <v>280</v>
      </c>
      <c r="D7" s="23">
        <v>82864.27742794808</v>
      </c>
      <c r="E7" s="33">
        <v>2.0291110419984761</v>
      </c>
      <c r="F7" s="5">
        <v>3</v>
      </c>
      <c r="G7" s="23">
        <v>96.666666666666671</v>
      </c>
      <c r="H7" s="33">
        <v>24.759466187687977</v>
      </c>
      <c r="I7" s="23">
        <v>24.468185588724335</v>
      </c>
      <c r="J7" s="5">
        <v>1777.0575889065008</v>
      </c>
      <c r="K7" s="31"/>
      <c r="L7" s="23">
        <v>90861.680995297647</v>
      </c>
      <c r="M7" s="33">
        <v>1.203166582999984</v>
      </c>
      <c r="N7" s="5">
        <v>3</v>
      </c>
      <c r="O7" s="5">
        <v>80</v>
      </c>
      <c r="P7" s="33">
        <v>0</v>
      </c>
      <c r="Q7" s="5">
        <v>17.583469299795379</v>
      </c>
      <c r="R7" s="5">
        <v>1409.1630050530609</v>
      </c>
      <c r="S7" s="31"/>
      <c r="T7" s="23">
        <v>104957.9817351293</v>
      </c>
      <c r="U7" s="33">
        <v>0.71566962500219233</v>
      </c>
      <c r="V7" s="5">
        <v>3</v>
      </c>
      <c r="W7" s="5">
        <v>80</v>
      </c>
      <c r="X7" s="33">
        <v>64.528776557945093</v>
      </c>
      <c r="Y7" s="5">
        <v>30.72565117514743</v>
      </c>
      <c r="Z7" s="5">
        <v>2071.396046497503</v>
      </c>
      <c r="AA7" s="35"/>
    </row>
    <row r="8" spans="2:27" x14ac:dyDescent="0.2">
      <c r="B8" s="4">
        <v>3</v>
      </c>
      <c r="C8" s="4">
        <v>288</v>
      </c>
      <c r="D8" s="23">
        <v>83293.077068510087</v>
      </c>
      <c r="E8" s="33">
        <v>0.74702058299953933</v>
      </c>
      <c r="F8" s="5">
        <v>3</v>
      </c>
      <c r="G8" s="23">
        <v>96.666666666666671</v>
      </c>
      <c r="H8" s="33">
        <v>24.759466187687977</v>
      </c>
      <c r="I8" s="23">
        <v>24.90268472290569</v>
      </c>
      <c r="J8" s="5">
        <v>1800.4609243117004</v>
      </c>
      <c r="K8" s="31"/>
      <c r="L8" s="23">
        <v>89784.982804373038</v>
      </c>
      <c r="M8" s="33">
        <v>0.6639182079998136</v>
      </c>
      <c r="N8" s="5">
        <v>3</v>
      </c>
      <c r="O8" s="5">
        <v>83.333333333333329</v>
      </c>
      <c r="P8" s="33">
        <v>0</v>
      </c>
      <c r="Q8" s="5">
        <v>19.749701976377839</v>
      </c>
      <c r="R8" s="5">
        <v>1526.9453728878859</v>
      </c>
      <c r="S8" s="31"/>
      <c r="T8" s="23">
        <v>104856.3546716048</v>
      </c>
      <c r="U8" s="33">
        <v>0.88311295799940126</v>
      </c>
      <c r="V8" s="5">
        <v>3</v>
      </c>
      <c r="W8" s="5">
        <v>80</v>
      </c>
      <c r="X8" s="33">
        <v>37.728707950072277</v>
      </c>
      <c r="Y8" s="5">
        <v>33.161321218673081</v>
      </c>
      <c r="Z8" s="5">
        <v>2112.1266994559651</v>
      </c>
      <c r="AA8" s="35"/>
    </row>
    <row r="9" spans="2:27" x14ac:dyDescent="0.2">
      <c r="B9" s="4">
        <v>4</v>
      </c>
      <c r="C9" s="4">
        <v>463</v>
      </c>
      <c r="D9" s="23">
        <v>84198.911814802123</v>
      </c>
      <c r="E9" s="33">
        <v>1.186503208000431</v>
      </c>
      <c r="F9" s="5">
        <v>2</v>
      </c>
      <c r="G9" s="23">
        <v>90</v>
      </c>
      <c r="H9" s="33">
        <v>7.0169591644557343</v>
      </c>
      <c r="I9" s="23">
        <v>35.466595247730098</v>
      </c>
      <c r="J9" s="5">
        <v>1969.9205990787591</v>
      </c>
      <c r="K9" s="31"/>
      <c r="L9" s="23">
        <v>89348.791270843154</v>
      </c>
      <c r="M9" s="33">
        <v>0.63649466700007906</v>
      </c>
      <c r="N9" s="5">
        <v>3</v>
      </c>
      <c r="O9" s="5">
        <v>83.333333333333329</v>
      </c>
      <c r="P9" s="33">
        <v>0</v>
      </c>
      <c r="Q9" s="5">
        <v>19.819490003400539</v>
      </c>
      <c r="R9" s="5">
        <v>1523.6861014275819</v>
      </c>
      <c r="S9" s="31"/>
      <c r="T9" s="23">
        <v>104197.46871550599</v>
      </c>
      <c r="U9" s="33">
        <v>1.1976875000000291</v>
      </c>
      <c r="V9" s="5">
        <v>3</v>
      </c>
      <c r="W9" s="5">
        <v>76.666666666666671</v>
      </c>
      <c r="X9" s="33">
        <v>20.25914554843553</v>
      </c>
      <c r="Y9" s="5">
        <v>27.7357874799599</v>
      </c>
      <c r="Z9" s="5">
        <v>1920.9255903775429</v>
      </c>
      <c r="AA9" s="35"/>
    </row>
    <row r="10" spans="2:27" x14ac:dyDescent="0.2">
      <c r="B10" s="4">
        <v>6</v>
      </c>
      <c r="C10" s="4">
        <v>484</v>
      </c>
      <c r="D10" s="23">
        <v>83011.519898435625</v>
      </c>
      <c r="E10" s="33">
        <v>1.044254291999096</v>
      </c>
      <c r="F10" s="5">
        <v>3</v>
      </c>
      <c r="G10" s="23">
        <v>96.666666666666671</v>
      </c>
      <c r="H10" s="33">
        <v>24.759466187687977</v>
      </c>
      <c r="I10" s="23">
        <v>23.988918265338231</v>
      </c>
      <c r="J10" s="5">
        <v>1778.2337798073727</v>
      </c>
      <c r="K10" s="31"/>
      <c r="L10" s="23">
        <v>90260.766800453101</v>
      </c>
      <c r="M10" s="33">
        <v>0.88371279100101674</v>
      </c>
      <c r="N10" s="5">
        <v>3</v>
      </c>
      <c r="O10" s="5">
        <v>83.333333333333329</v>
      </c>
      <c r="P10" s="33">
        <v>0</v>
      </c>
      <c r="Q10" s="5">
        <v>20.021574230925161</v>
      </c>
      <c r="R10" s="5">
        <v>1558.118613017097</v>
      </c>
      <c r="S10" s="31"/>
      <c r="T10" s="23">
        <v>99615.491366808972</v>
      </c>
      <c r="U10" s="33">
        <v>1.101049166998564</v>
      </c>
      <c r="V10" s="5">
        <v>3</v>
      </c>
      <c r="W10" s="5">
        <v>80</v>
      </c>
      <c r="X10" s="33">
        <v>17.211515471374621</v>
      </c>
      <c r="Y10" s="5">
        <v>32.952283654247168</v>
      </c>
      <c r="Z10" s="5">
        <v>1939.21368138551</v>
      </c>
      <c r="AA10" s="35"/>
    </row>
    <row r="11" spans="2:27" x14ac:dyDescent="0.2">
      <c r="B11" s="4">
        <v>9</v>
      </c>
      <c r="C11" s="4">
        <v>565</v>
      </c>
      <c r="D11" s="23">
        <v>83287.651493756508</v>
      </c>
      <c r="E11" s="33">
        <v>0.78450612500091665</v>
      </c>
      <c r="F11" s="5">
        <v>3</v>
      </c>
      <c r="G11" s="23">
        <v>96.666666666666671</v>
      </c>
      <c r="H11" s="33">
        <v>24.759466187687977</v>
      </c>
      <c r="I11" s="23">
        <v>24.459047667900993</v>
      </c>
      <c r="J11" s="5">
        <v>1777.0562171521283</v>
      </c>
      <c r="K11" s="31"/>
      <c r="L11" s="23">
        <v>90646.936737916869</v>
      </c>
      <c r="M11" s="33">
        <v>0.94043004199920688</v>
      </c>
      <c r="N11" s="5">
        <v>3</v>
      </c>
      <c r="O11" s="5">
        <v>80</v>
      </c>
      <c r="P11" s="33">
        <v>0</v>
      </c>
      <c r="Q11" s="5">
        <v>17.779143459757812</v>
      </c>
      <c r="R11" s="5">
        <v>1411.138882246044</v>
      </c>
      <c r="S11" s="31"/>
      <c r="T11" s="23">
        <v>103788.5522911974</v>
      </c>
      <c r="U11" s="33">
        <v>1.5761984999990091</v>
      </c>
      <c r="V11" s="5">
        <v>3</v>
      </c>
      <c r="W11" s="5">
        <v>83.333333333333329</v>
      </c>
      <c r="X11" s="33">
        <v>34.461618955897038</v>
      </c>
      <c r="Y11" s="5">
        <v>33.975853881419809</v>
      </c>
      <c r="Z11" s="5">
        <v>2176.7561702027951</v>
      </c>
      <c r="AA11" s="35"/>
    </row>
    <row r="12" spans="2:27" x14ac:dyDescent="0.2">
      <c r="B12" s="4">
        <v>10</v>
      </c>
      <c r="C12" s="4">
        <v>661</v>
      </c>
      <c r="D12" s="23">
        <v>83946.347972985212</v>
      </c>
      <c r="E12" s="33">
        <v>0.94740612500027055</v>
      </c>
      <c r="F12" s="5">
        <v>3</v>
      </c>
      <c r="G12" s="23">
        <v>96.666666666666671</v>
      </c>
      <c r="H12" s="33">
        <v>24.759466187687977</v>
      </c>
      <c r="I12" s="23">
        <v>24.488667098270749</v>
      </c>
      <c r="J12" s="5">
        <v>1812.1226972380996</v>
      </c>
      <c r="K12" s="31"/>
      <c r="L12" s="23">
        <v>90212.301179171103</v>
      </c>
      <c r="M12" s="33">
        <v>0.87867545800327207</v>
      </c>
      <c r="N12" s="5">
        <v>3</v>
      </c>
      <c r="O12" s="5">
        <v>83.333333333333329</v>
      </c>
      <c r="P12" s="33">
        <v>0</v>
      </c>
      <c r="Q12" s="5">
        <v>20.301130921158681</v>
      </c>
      <c r="R12" s="5">
        <v>1551.9752710182249</v>
      </c>
      <c r="S12" s="31"/>
      <c r="T12" s="23">
        <v>104795.65354669921</v>
      </c>
      <c r="U12" s="33">
        <v>0.68632833299852791</v>
      </c>
      <c r="V12" s="5">
        <v>3</v>
      </c>
      <c r="W12" s="5">
        <v>83.333333333333329</v>
      </c>
      <c r="X12" s="33">
        <v>55.157675163416897</v>
      </c>
      <c r="Y12" s="5">
        <v>33.231162877578129</v>
      </c>
      <c r="Z12" s="5">
        <v>2202.7526809362798</v>
      </c>
      <c r="AA12" s="35"/>
    </row>
    <row r="13" spans="2:27" x14ac:dyDescent="0.2">
      <c r="B13" s="4">
        <v>7</v>
      </c>
      <c r="C13" s="4">
        <v>718</v>
      </c>
      <c r="D13" s="23">
        <v>83273.956692790089</v>
      </c>
      <c r="E13" s="33">
        <v>1.003463750001174</v>
      </c>
      <c r="F13" s="5">
        <v>3</v>
      </c>
      <c r="G13" s="23">
        <v>96.666666666666671</v>
      </c>
      <c r="H13" s="33">
        <v>24.759466187687977</v>
      </c>
      <c r="I13" s="23">
        <v>24.465037618498197</v>
      </c>
      <c r="J13" s="5">
        <v>1785.9973737611233</v>
      </c>
      <c r="K13" s="31"/>
      <c r="L13" s="23">
        <v>91113.114920450782</v>
      </c>
      <c r="M13" s="33">
        <v>1.658602499999688</v>
      </c>
      <c r="N13" s="5">
        <v>3</v>
      </c>
      <c r="O13" s="5">
        <v>80</v>
      </c>
      <c r="P13" s="33">
        <v>0</v>
      </c>
      <c r="Q13" s="5">
        <v>17.880476705317491</v>
      </c>
      <c r="R13" s="5">
        <v>1431.8639090480369</v>
      </c>
      <c r="S13" s="31"/>
      <c r="T13" s="23">
        <v>104206.1557542006</v>
      </c>
      <c r="U13" s="33">
        <v>1.595884457998181</v>
      </c>
      <c r="V13" s="5">
        <v>3</v>
      </c>
      <c r="W13" s="5">
        <v>76.666666666666671</v>
      </c>
      <c r="X13" s="33">
        <v>31.973283368134521</v>
      </c>
      <c r="Y13" s="5">
        <v>28.475638054347669</v>
      </c>
      <c r="Z13" s="5">
        <v>1901.365714514465</v>
      </c>
      <c r="AA13" s="35"/>
    </row>
    <row r="14" spans="2:27" x14ac:dyDescent="0.2">
      <c r="B14" s="46" t="s">
        <v>3</v>
      </c>
      <c r="C14" s="47"/>
      <c r="D14" s="9">
        <f>MIN(D4:D13)</f>
        <v>82864.27742794808</v>
      </c>
      <c r="E14" s="22">
        <f>INDEX(E4:E13, MATCH($D$14, D4:D13, 0))</f>
        <v>2.0291110419984761</v>
      </c>
      <c r="F14" s="9">
        <f>INDEX(F4:F13, MATCH($D$14, D4:D13, 0))</f>
        <v>3</v>
      </c>
      <c r="G14" s="9">
        <f>INDEX(G4:G13, MATCH($D$14, D4:D13, 0))</f>
        <v>96.666666666666671</v>
      </c>
      <c r="H14" s="22">
        <f>INDEX(H4:H13, MATCH($D$14, D4:D13, 0))</f>
        <v>24.759466187687977</v>
      </c>
      <c r="I14" s="22">
        <f>INDEX(I4:I13, MATCH($D$14, D4:D13, 0))</f>
        <v>24.468185588724335</v>
      </c>
      <c r="J14" s="22">
        <f>INDEX(J4:J13, MATCH($D$14, D4:D13, 0))</f>
        <v>1777.0575889065008</v>
      </c>
      <c r="K14" s="32" t="e">
        <f>(D14-$D$15)/$D$15</f>
        <v>#DIV/0!</v>
      </c>
      <c r="L14" s="16">
        <f>MIN(L4:L13)</f>
        <v>89348.791270843154</v>
      </c>
      <c r="M14" s="21">
        <f>INDEX(M4:M13, MATCH($L$14, L4:L13, 0))</f>
        <v>0.63649466700007906</v>
      </c>
      <c r="N14" s="16">
        <f>INDEX(N4:N13, MATCH($L$14, L4:L13, 0))</f>
        <v>3</v>
      </c>
      <c r="O14" s="16">
        <f>INDEX(O4:O13, MATCH($L$14, L4:L13, 0))</f>
        <v>83.333333333333329</v>
      </c>
      <c r="P14" s="21">
        <f>INDEX(P4:P13, MATCH($L$14, L4:L13, 0))</f>
        <v>0</v>
      </c>
      <c r="Q14" s="21">
        <f>INDEX(Q4:Q13, MATCH($L$14, L4:L13, 0))</f>
        <v>19.819490003400539</v>
      </c>
      <c r="R14" s="21">
        <f>INDEX(R4:R13, MATCH($L$14, L4:L13, 0))</f>
        <v>1523.6861014275819</v>
      </c>
      <c r="S14" s="36" t="e">
        <f>(L14-$D$15)/$D$15</f>
        <v>#DIV/0!</v>
      </c>
      <c r="T14" s="38">
        <f>MIN(T4:T13)</f>
        <v>99615.491366808972</v>
      </c>
      <c r="U14" s="39">
        <f>INDEX(U4:U13, MATCH($T$14, T4:T13, 0))</f>
        <v>1.101049166998564</v>
      </c>
      <c r="V14" s="38">
        <f>INDEX(V4:V13, MATCH($T$14, T4:T13, 0))</f>
        <v>3</v>
      </c>
      <c r="W14" s="38">
        <f>INDEX(W4:W13, MATCH($T$14, T4:T13, 0))</f>
        <v>80</v>
      </c>
      <c r="X14" s="39">
        <f>INDEX(X4:X13, MATCH($T$14, T4:T13, 0))</f>
        <v>17.211515471374621</v>
      </c>
      <c r="Y14" s="39">
        <f>INDEX(Y4:Y13, MATCH($T$14, T4:T13, 0))</f>
        <v>32.952283654247168</v>
      </c>
      <c r="Z14" s="39">
        <f>INDEX(Z4:Z13, MATCH($T$14, T4:T13, 0))</f>
        <v>1939.21368138551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  <row r="33" s="1" customFormat="1" x14ac:dyDescent="0.2"/>
    <row r="34" s="1" customFormat="1" x14ac:dyDescent="0.2"/>
    <row r="35" s="1" customFormat="1" x14ac:dyDescent="0.2"/>
  </sheetData>
  <mergeCells count="1">
    <mergeCell ref="B14:C14"/>
  </mergeCells>
  <conditionalFormatting sqref="C14">
    <cfRule type="duplicateValues" dxfId="157" priority="7"/>
    <cfRule type="duplicateValues" dxfId="156" priority="8"/>
  </conditionalFormatting>
  <conditionalFormatting sqref="C15:C16 C36:C1048576 C1:C13">
    <cfRule type="duplicateValues" dxfId="155" priority="17"/>
    <cfRule type="duplicateValues" dxfId="154" priority="18"/>
  </conditionalFormatting>
  <conditionalFormatting sqref="C24:C35">
    <cfRule type="duplicateValues" dxfId="53" priority="5"/>
    <cfRule type="duplicateValues" dxfId="52" priority="6"/>
  </conditionalFormatting>
  <conditionalFormatting sqref="C17">
    <cfRule type="duplicateValues" dxfId="51" priority="1"/>
    <cfRule type="duplicateValues" dxfId="50" priority="2"/>
  </conditionalFormatting>
  <conditionalFormatting sqref="C18:C23">
    <cfRule type="duplicateValues" dxfId="49" priority="3"/>
    <cfRule type="duplicateValues" dxfId="48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D2767-9F1E-5541-BEF1-27DF900D9E59}">
  <dimension ref="B1:AA17"/>
  <sheetViews>
    <sheetView zoomScaleNormal="100" workbookViewId="0">
      <selection activeCell="A17" sqref="A17:XFD35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30</v>
      </c>
      <c r="H2" s="28" t="e">
        <f>(Q14-H14)/H14</f>
        <v>#DIV/0!</v>
      </c>
      <c r="J2" s="28" t="e">
        <f>(S14-J14)/J14</f>
        <v>#DIV/0!</v>
      </c>
      <c r="K2" s="28"/>
      <c r="L2" s="1" t="s">
        <v>19</v>
      </c>
      <c r="P2" s="1" t="e">
        <f>(P14-H14)/H14</f>
        <v>#DIV/0!</v>
      </c>
      <c r="R2" s="1">
        <f>(R14-J14)/J14</f>
        <v>-0.15003806239362569</v>
      </c>
      <c r="T2" s="1" t="s">
        <v>20</v>
      </c>
      <c r="X2" s="1" t="e">
        <f>(X14-P14)/P14</f>
        <v>#DIV/0!</v>
      </c>
      <c r="Z2" s="1">
        <f>(Z14-R14)/R14</f>
        <v>0.35085360888117817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65</v>
      </c>
      <c r="D4" s="23">
        <v>65562.008967649948</v>
      </c>
      <c r="E4" s="33">
        <v>1.520720124999571</v>
      </c>
      <c r="F4" s="5">
        <v>3</v>
      </c>
      <c r="G4" s="23">
        <v>96.666666666666671</v>
      </c>
      <c r="H4" s="33">
        <v>0.39556944265237243</v>
      </c>
      <c r="I4" s="23">
        <v>24.495490137684715</v>
      </c>
      <c r="J4" s="5">
        <v>1284.6353392636374</v>
      </c>
      <c r="K4" s="31"/>
      <c r="L4" s="23">
        <v>80277.808310820372</v>
      </c>
      <c r="M4" s="33">
        <v>0.97582758299904526</v>
      </c>
      <c r="N4" s="5">
        <v>3</v>
      </c>
      <c r="O4" s="5">
        <v>80</v>
      </c>
      <c r="P4" s="33">
        <v>0</v>
      </c>
      <c r="Q4" s="5">
        <v>17.730338050293579</v>
      </c>
      <c r="R4" s="5">
        <v>1062.5944082862641</v>
      </c>
      <c r="S4" s="31"/>
      <c r="T4" s="23">
        <v>79436.787454177684</v>
      </c>
      <c r="U4" s="33">
        <v>1.304607582998869</v>
      </c>
      <c r="V4" s="5">
        <v>3</v>
      </c>
      <c r="W4" s="5">
        <v>90</v>
      </c>
      <c r="X4" s="33">
        <v>35.656525941751049</v>
      </c>
      <c r="Y4" s="5">
        <v>37.976760131579383</v>
      </c>
      <c r="Z4" s="5">
        <v>1650.61012368259</v>
      </c>
      <c r="AA4" s="35"/>
    </row>
    <row r="5" spans="2:27" x14ac:dyDescent="0.2">
      <c r="B5" s="4">
        <v>2</v>
      </c>
      <c r="C5" s="4">
        <v>234</v>
      </c>
      <c r="D5" s="23">
        <v>64978.682317899613</v>
      </c>
      <c r="E5" s="33">
        <v>1.610019333000309</v>
      </c>
      <c r="F5" s="5">
        <v>3</v>
      </c>
      <c r="G5" s="23">
        <v>96.666666666666671</v>
      </c>
      <c r="H5" s="33">
        <v>0</v>
      </c>
      <c r="I5" s="23">
        <v>24.368197294725146</v>
      </c>
      <c r="J5" s="5">
        <v>1260.9156348236274</v>
      </c>
      <c r="K5" s="31"/>
      <c r="L5" s="23">
        <v>80554.094117626184</v>
      </c>
      <c r="M5" s="33">
        <v>1.641646000000037</v>
      </c>
      <c r="N5" s="5">
        <v>3</v>
      </c>
      <c r="O5" s="5">
        <v>80</v>
      </c>
      <c r="P5" s="33">
        <v>0</v>
      </c>
      <c r="Q5" s="5">
        <v>18.044322339661498</v>
      </c>
      <c r="R5" s="5">
        <v>1080.684998638565</v>
      </c>
      <c r="S5" s="31"/>
      <c r="T5" s="23">
        <v>79978.829136160057</v>
      </c>
      <c r="U5" s="33">
        <v>1.1507138340020899</v>
      </c>
      <c r="V5" s="5">
        <v>3</v>
      </c>
      <c r="W5" s="5">
        <v>86.666666666666671</v>
      </c>
      <c r="X5" s="33">
        <v>46.531670752342997</v>
      </c>
      <c r="Y5" s="5">
        <v>34.707283302423861</v>
      </c>
      <c r="Z5" s="5">
        <v>1515.4833692943059</v>
      </c>
      <c r="AA5" s="35"/>
    </row>
    <row r="6" spans="2:27" x14ac:dyDescent="0.2">
      <c r="B6" s="4">
        <v>3</v>
      </c>
      <c r="C6" s="4">
        <v>255</v>
      </c>
      <c r="D6" s="23">
        <v>64786.667066205191</v>
      </c>
      <c r="E6" s="33">
        <v>2.01952291699854</v>
      </c>
      <c r="F6" s="5">
        <v>3</v>
      </c>
      <c r="G6" s="23">
        <v>96.666666666666671</v>
      </c>
      <c r="H6" s="33">
        <v>0</v>
      </c>
      <c r="I6" s="23">
        <v>23.845399197300178</v>
      </c>
      <c r="J6" s="5">
        <v>1250.1670501607355</v>
      </c>
      <c r="K6" s="31"/>
      <c r="L6" s="23">
        <v>80634.954677137168</v>
      </c>
      <c r="M6" s="33">
        <v>1.2684613330020511</v>
      </c>
      <c r="N6" s="5">
        <v>3</v>
      </c>
      <c r="O6" s="5">
        <v>80</v>
      </c>
      <c r="P6" s="33">
        <v>0</v>
      </c>
      <c r="Q6" s="5">
        <v>17.90477376660909</v>
      </c>
      <c r="R6" s="5">
        <v>1079.944744700716</v>
      </c>
      <c r="S6" s="31"/>
      <c r="T6" s="23">
        <v>79633.724103218148</v>
      </c>
      <c r="U6" s="33">
        <v>1.1959626669995489</v>
      </c>
      <c r="V6" s="5">
        <v>3</v>
      </c>
      <c r="W6" s="5">
        <v>83.333333333333329</v>
      </c>
      <c r="X6" s="33">
        <v>0</v>
      </c>
      <c r="Y6" s="5">
        <v>30.425806964823089</v>
      </c>
      <c r="Z6" s="5">
        <v>1362.9681329644541</v>
      </c>
      <c r="AA6" s="35"/>
    </row>
    <row r="7" spans="2:27" x14ac:dyDescent="0.2">
      <c r="B7" s="4">
        <v>4</v>
      </c>
      <c r="C7" s="4">
        <v>399</v>
      </c>
      <c r="D7" s="23">
        <v>65038.571126637762</v>
      </c>
      <c r="E7" s="33">
        <v>0.83755529100017156</v>
      </c>
      <c r="F7" s="5">
        <v>3</v>
      </c>
      <c r="G7" s="23">
        <v>96.666666666666671</v>
      </c>
      <c r="H7" s="33">
        <v>0.73284996157382998</v>
      </c>
      <c r="I7" s="23">
        <v>24.332018952109038</v>
      </c>
      <c r="J7" s="5">
        <v>1262.9148333020316</v>
      </c>
      <c r="K7" s="31"/>
      <c r="L7" s="23">
        <v>81112.021056216152</v>
      </c>
      <c r="M7" s="33">
        <v>0.99867170799916494</v>
      </c>
      <c r="N7" s="5">
        <v>3</v>
      </c>
      <c r="O7" s="5">
        <v>80</v>
      </c>
      <c r="P7" s="33">
        <v>0</v>
      </c>
      <c r="Q7" s="5">
        <v>17.656576661680159</v>
      </c>
      <c r="R7" s="5">
        <v>1095.7597214703419</v>
      </c>
      <c r="S7" s="31"/>
      <c r="T7" s="23">
        <v>78469.230454954886</v>
      </c>
      <c r="U7" s="33">
        <v>0.77410716700251214</v>
      </c>
      <c r="V7" s="5">
        <v>3</v>
      </c>
      <c r="W7" s="5">
        <v>86.666666666666671</v>
      </c>
      <c r="X7" s="33">
        <v>10.358498324015519</v>
      </c>
      <c r="Y7" s="5">
        <v>35.369124007940208</v>
      </c>
      <c r="Z7" s="5">
        <v>1486.251624417941</v>
      </c>
      <c r="AA7" s="35"/>
    </row>
    <row r="8" spans="2:27" x14ac:dyDescent="0.2">
      <c r="B8" s="4">
        <v>5</v>
      </c>
      <c r="C8" s="4">
        <v>438</v>
      </c>
      <c r="D8" s="23">
        <v>64905.594219819533</v>
      </c>
      <c r="E8" s="33">
        <v>3.5459364170001209</v>
      </c>
      <c r="F8" s="5">
        <v>3</v>
      </c>
      <c r="G8" s="23">
        <v>96.666666666666671</v>
      </c>
      <c r="H8" s="33">
        <v>0</v>
      </c>
      <c r="I8" s="23">
        <v>24.474123706621707</v>
      </c>
      <c r="J8" s="5">
        <v>1263.0934526311421</v>
      </c>
      <c r="K8" s="31"/>
      <c r="L8" s="23">
        <v>80505.051536727522</v>
      </c>
      <c r="M8" s="33">
        <v>1.3237787079997361</v>
      </c>
      <c r="N8" s="5">
        <v>3</v>
      </c>
      <c r="O8" s="5">
        <v>80</v>
      </c>
      <c r="P8" s="33">
        <v>0</v>
      </c>
      <c r="Q8" s="5">
        <v>17.76024131594767</v>
      </c>
      <c r="R8" s="5">
        <v>1072.667574101991</v>
      </c>
      <c r="S8" s="31"/>
      <c r="T8" s="23">
        <v>81436.667522339267</v>
      </c>
      <c r="U8" s="33">
        <v>2.3774097089990391</v>
      </c>
      <c r="V8" s="5">
        <v>3</v>
      </c>
      <c r="W8" s="5">
        <v>86.666666666666671</v>
      </c>
      <c r="X8" s="33">
        <v>17.083861118606851</v>
      </c>
      <c r="Y8" s="5">
        <v>37.149001824022548</v>
      </c>
      <c r="Z8" s="5">
        <v>1606.792984743985</v>
      </c>
      <c r="AA8" s="35"/>
    </row>
    <row r="9" spans="2:27" x14ac:dyDescent="0.2">
      <c r="B9" s="4">
        <v>6</v>
      </c>
      <c r="C9" s="4">
        <v>745</v>
      </c>
      <c r="D9" s="23">
        <v>65732.644624062275</v>
      </c>
      <c r="E9" s="33">
        <v>0.72257520799939812</v>
      </c>
      <c r="F9" s="5">
        <v>3</v>
      </c>
      <c r="G9" s="23">
        <v>96.666666666666671</v>
      </c>
      <c r="H9" s="33">
        <v>0</v>
      </c>
      <c r="I9" s="23">
        <v>24.499477239771924</v>
      </c>
      <c r="J9" s="5">
        <v>1292.070658510298</v>
      </c>
      <c r="K9" s="31"/>
      <c r="L9" s="23">
        <v>80782.176991216984</v>
      </c>
      <c r="M9" s="33">
        <v>0.84145437500046683</v>
      </c>
      <c r="N9" s="5">
        <v>3</v>
      </c>
      <c r="O9" s="5">
        <v>80</v>
      </c>
      <c r="P9" s="33">
        <v>0</v>
      </c>
      <c r="Q9" s="5">
        <v>17.713392866422929</v>
      </c>
      <c r="R9" s="5">
        <v>1084.3097472811839</v>
      </c>
      <c r="S9" s="31"/>
      <c r="T9" s="23">
        <v>80364.2402449449</v>
      </c>
      <c r="U9" s="33">
        <v>1.257632042001205</v>
      </c>
      <c r="V9" s="5">
        <v>2</v>
      </c>
      <c r="W9" s="5">
        <v>80</v>
      </c>
      <c r="X9" s="33">
        <v>22.041447857704672</v>
      </c>
      <c r="Y9" s="5">
        <v>39.638530851995313</v>
      </c>
      <c r="Z9" s="5">
        <v>1572.891781464645</v>
      </c>
      <c r="AA9" s="35"/>
    </row>
    <row r="10" spans="2:27" x14ac:dyDescent="0.2">
      <c r="B10" s="4">
        <v>7</v>
      </c>
      <c r="C10" s="4">
        <v>759</v>
      </c>
      <c r="D10" s="23">
        <v>65119.231386965272</v>
      </c>
      <c r="E10" s="33">
        <v>1.836856042000363</v>
      </c>
      <c r="F10" s="5">
        <v>3</v>
      </c>
      <c r="G10" s="23">
        <v>96.666666666666671</v>
      </c>
      <c r="H10" s="33">
        <v>0</v>
      </c>
      <c r="I10" s="23">
        <v>23.813502380602483</v>
      </c>
      <c r="J10" s="5">
        <v>1262.1512082302534</v>
      </c>
      <c r="K10" s="31"/>
      <c r="L10" s="23">
        <v>80277.808310820372</v>
      </c>
      <c r="M10" s="33">
        <v>1.1767729169987431</v>
      </c>
      <c r="N10" s="5">
        <v>3</v>
      </c>
      <c r="O10" s="5">
        <v>80</v>
      </c>
      <c r="P10" s="33">
        <v>0</v>
      </c>
      <c r="Q10" s="5">
        <v>17.730338050293579</v>
      </c>
      <c r="R10" s="5">
        <v>1062.5944082862641</v>
      </c>
      <c r="S10" s="31"/>
      <c r="T10" s="23">
        <v>80225.929398413864</v>
      </c>
      <c r="U10" s="33">
        <v>1.8854029579997591</v>
      </c>
      <c r="V10" s="5">
        <v>3</v>
      </c>
      <c r="W10" s="5">
        <v>86.666666666666671</v>
      </c>
      <c r="X10" s="33">
        <v>21.07010481943913</v>
      </c>
      <c r="Y10" s="5">
        <v>36.798206901627097</v>
      </c>
      <c r="Z10" s="5">
        <v>1578.2940974943081</v>
      </c>
      <c r="AA10" s="35"/>
    </row>
    <row r="11" spans="2:27" x14ac:dyDescent="0.2">
      <c r="B11" s="4">
        <v>8</v>
      </c>
      <c r="C11" s="4">
        <v>807</v>
      </c>
      <c r="D11" s="23">
        <v>65106.025006517702</v>
      </c>
      <c r="E11" s="33">
        <v>1.133633958999781</v>
      </c>
      <c r="F11" s="5">
        <v>3</v>
      </c>
      <c r="G11" s="23">
        <v>96.666666666666671</v>
      </c>
      <c r="H11" s="33">
        <v>0</v>
      </c>
      <c r="I11" s="23">
        <v>24.586196710168778</v>
      </c>
      <c r="J11" s="5">
        <v>1272.4889211699553</v>
      </c>
      <c r="K11" s="31"/>
      <c r="L11" s="23">
        <v>80933.827476232036</v>
      </c>
      <c r="M11" s="33">
        <v>1.132178040999861</v>
      </c>
      <c r="N11" s="5">
        <v>3</v>
      </c>
      <c r="O11" s="5">
        <v>80</v>
      </c>
      <c r="P11" s="33">
        <v>0</v>
      </c>
      <c r="Q11" s="5">
        <v>17.96657384896087</v>
      </c>
      <c r="R11" s="5">
        <v>1093.8347853156811</v>
      </c>
      <c r="S11" s="31"/>
      <c r="T11" s="23">
        <v>77685.181886582097</v>
      </c>
      <c r="U11" s="33">
        <v>1.5123444160017241</v>
      </c>
      <c r="V11" s="5">
        <v>3</v>
      </c>
      <c r="W11" s="5">
        <v>86.666666666666671</v>
      </c>
      <c r="X11" s="33">
        <v>10.358498324015519</v>
      </c>
      <c r="Y11" s="5">
        <v>33.152041624917352</v>
      </c>
      <c r="Z11" s="5">
        <v>1435.4094912104599</v>
      </c>
      <c r="AA11" s="35"/>
    </row>
    <row r="12" spans="2:27" x14ac:dyDescent="0.2">
      <c r="B12" s="4">
        <v>9</v>
      </c>
      <c r="C12" s="4">
        <v>823</v>
      </c>
      <c r="D12" s="23">
        <v>65646.317549370346</v>
      </c>
      <c r="E12" s="33">
        <v>1.0010313749990021</v>
      </c>
      <c r="F12" s="5">
        <v>3</v>
      </c>
      <c r="G12" s="23">
        <v>96.666666666666671</v>
      </c>
      <c r="H12" s="33">
        <v>0.44704003088767069</v>
      </c>
      <c r="I12" s="23">
        <v>24.335303702505641</v>
      </c>
      <c r="J12" s="5">
        <v>1281.749210021962</v>
      </c>
      <c r="K12" s="31"/>
      <c r="L12" s="23">
        <v>81155.7275290947</v>
      </c>
      <c r="M12" s="33">
        <v>0.83177358400280355</v>
      </c>
      <c r="N12" s="5">
        <v>3</v>
      </c>
      <c r="O12" s="5">
        <v>80</v>
      </c>
      <c r="P12" s="33">
        <v>0</v>
      </c>
      <c r="Q12" s="5">
        <v>17.908760868696309</v>
      </c>
      <c r="R12" s="5">
        <v>1102.9153604391299</v>
      </c>
      <c r="S12" s="31"/>
      <c r="T12" s="23">
        <v>79267.795296727272</v>
      </c>
      <c r="U12" s="33">
        <v>0.88475045800078078</v>
      </c>
      <c r="V12" s="5">
        <v>3</v>
      </c>
      <c r="W12" s="5">
        <v>86.666666666666671</v>
      </c>
      <c r="X12" s="33">
        <v>5.9439574052416999</v>
      </c>
      <c r="Y12" s="5">
        <v>33.535684370660263</v>
      </c>
      <c r="Z12" s="5">
        <v>1495.3493589435211</v>
      </c>
      <c r="AA12" s="35"/>
    </row>
    <row r="13" spans="2:27" x14ac:dyDescent="0.2">
      <c r="B13" s="4">
        <v>10</v>
      </c>
      <c r="C13" s="4">
        <v>950</v>
      </c>
      <c r="D13" s="23">
        <v>65240.652041986439</v>
      </c>
      <c r="E13" s="33">
        <v>0.94703441699857649</v>
      </c>
      <c r="F13" s="5">
        <v>3</v>
      </c>
      <c r="G13" s="23">
        <v>96.666666666666671</v>
      </c>
      <c r="H13" s="33">
        <v>0</v>
      </c>
      <c r="I13" s="23">
        <v>23.915173483826379</v>
      </c>
      <c r="J13" s="5">
        <v>1267.7374151268052</v>
      </c>
      <c r="K13" s="31"/>
      <c r="L13" s="23">
        <v>80845.335762806862</v>
      </c>
      <c r="M13" s="33">
        <v>0.55641224999999395</v>
      </c>
      <c r="N13" s="5">
        <v>3</v>
      </c>
      <c r="O13" s="5">
        <v>80</v>
      </c>
      <c r="P13" s="33">
        <v>0</v>
      </c>
      <c r="Q13" s="5">
        <v>18.07123527875018</v>
      </c>
      <c r="R13" s="5">
        <v>1091.742412405049</v>
      </c>
      <c r="S13" s="31"/>
      <c r="T13" s="23">
        <v>79426.182871316181</v>
      </c>
      <c r="U13" s="33">
        <v>1.1341307919974499</v>
      </c>
      <c r="V13" s="5">
        <v>3</v>
      </c>
      <c r="W13" s="5">
        <v>86.666666666666671</v>
      </c>
      <c r="X13" s="33">
        <v>3.4790117403876519</v>
      </c>
      <c r="Y13" s="5">
        <v>35.61619744349148</v>
      </c>
      <c r="Z13" s="5">
        <v>1534.244507052073</v>
      </c>
      <c r="AA13" s="35"/>
    </row>
    <row r="14" spans="2:27" x14ac:dyDescent="0.2">
      <c r="B14" s="46" t="s">
        <v>3</v>
      </c>
      <c r="C14" s="47"/>
      <c r="D14" s="9">
        <f>MIN(D4:D13)</f>
        <v>64786.667066205191</v>
      </c>
      <c r="E14" s="22">
        <f>INDEX(E4:E13, MATCH($D$14, D4:D13, 0))</f>
        <v>2.01952291699854</v>
      </c>
      <c r="F14" s="9">
        <f>INDEX(F4:F13, MATCH($D$14, D4:D13, 0))</f>
        <v>3</v>
      </c>
      <c r="G14" s="9">
        <f>INDEX(G4:G13, MATCH($D$14, D4:D13, 0))</f>
        <v>96.666666666666671</v>
      </c>
      <c r="H14" s="22">
        <f>INDEX(H4:H13, MATCH($D$14, D4:D13, 0))</f>
        <v>0</v>
      </c>
      <c r="I14" s="22">
        <f>INDEX(I4:I13, MATCH($D$14, D4:D13, 0))</f>
        <v>23.845399197300178</v>
      </c>
      <c r="J14" s="22">
        <f>INDEX(J4:J13, MATCH($D$14, D4:D13, 0))</f>
        <v>1250.1670501607355</v>
      </c>
      <c r="K14" s="32" t="e">
        <f>(D14-$D$15)/$D$15</f>
        <v>#DIV/0!</v>
      </c>
      <c r="L14" s="16">
        <f>MIN(L4:L13)</f>
        <v>80277.808310820372</v>
      </c>
      <c r="M14" s="21">
        <f>INDEX(M4:M13, MATCH($L$14, L4:L13, 0))</f>
        <v>0.97582758299904526</v>
      </c>
      <c r="N14" s="16">
        <f>INDEX(N4:N13, MATCH($L$14, L4:L13, 0))</f>
        <v>3</v>
      </c>
      <c r="O14" s="16">
        <f>INDEX(O4:O13, MATCH($L$14, L4:L13, 0))</f>
        <v>80</v>
      </c>
      <c r="P14" s="21">
        <f>INDEX(P4:P13, MATCH($L$14, L4:L13, 0))</f>
        <v>0</v>
      </c>
      <c r="Q14" s="21">
        <f>INDEX(Q4:Q13, MATCH($L$14, L4:L13, 0))</f>
        <v>17.730338050293579</v>
      </c>
      <c r="R14" s="21">
        <f>INDEX(R4:R13, MATCH($L$14, L4:L13, 0))</f>
        <v>1062.5944082862641</v>
      </c>
      <c r="S14" s="36" t="e">
        <f>(L14-$D$15)/$D$15</f>
        <v>#DIV/0!</v>
      </c>
      <c r="T14" s="38">
        <f>MIN(T4:T13)</f>
        <v>77685.181886582097</v>
      </c>
      <c r="U14" s="39">
        <f>INDEX(U4:U13, MATCH($T$14, T4:T13, 0))</f>
        <v>1.5123444160017241</v>
      </c>
      <c r="V14" s="38">
        <f>INDEX(V4:V13, MATCH($T$14, T4:T13, 0))</f>
        <v>3</v>
      </c>
      <c r="W14" s="38">
        <f>INDEX(W4:W13, MATCH($T$14, T4:T13, 0))</f>
        <v>86.666666666666671</v>
      </c>
      <c r="X14" s="39">
        <f>INDEX(X4:X13, MATCH($T$14, T4:T13, 0))</f>
        <v>10.358498324015519</v>
      </c>
      <c r="Y14" s="39">
        <f>INDEX(Y4:Y13, MATCH($T$14, T4:T13, 0))</f>
        <v>33.152041624917352</v>
      </c>
      <c r="Z14" s="39">
        <f>INDEX(Z4:Z13, MATCH($T$14, T4:T13, 0))</f>
        <v>1435.4094912104599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6:C1048576">
    <cfRule type="duplicateValues" dxfId="149" priority="15"/>
    <cfRule type="duplicateValues" dxfId="148" priority="16"/>
  </conditionalFormatting>
  <conditionalFormatting sqref="C14">
    <cfRule type="duplicateValues" dxfId="147" priority="7"/>
    <cfRule type="duplicateValues" dxfId="146" priority="8"/>
  </conditionalFormatting>
  <conditionalFormatting sqref="C24:C35">
    <cfRule type="duplicateValues" dxfId="47" priority="5"/>
    <cfRule type="duplicateValues" dxfId="46" priority="6"/>
  </conditionalFormatting>
  <conditionalFormatting sqref="C17">
    <cfRule type="duplicateValues" dxfId="45" priority="1"/>
    <cfRule type="duplicateValues" dxfId="44" priority="2"/>
  </conditionalFormatting>
  <conditionalFormatting sqref="C18:C23">
    <cfRule type="duplicateValues" dxfId="43" priority="3"/>
    <cfRule type="duplicateValues" dxfId="42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A1696-FBE7-B34D-8F3B-412BFBF85863}">
  <dimension ref="B1:AA17"/>
  <sheetViews>
    <sheetView zoomScaleNormal="100" workbookViewId="0">
      <selection activeCell="A17" sqref="A17:XFD35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30</v>
      </c>
      <c r="H2" s="28">
        <f>(Q14-H14)/H14</f>
        <v>-0.39832775311783924</v>
      </c>
      <c r="J2" s="28" t="e">
        <f>(S14-J14)/J14</f>
        <v>#DIV/0!</v>
      </c>
      <c r="K2" s="28"/>
      <c r="L2" s="1" t="s">
        <v>19</v>
      </c>
      <c r="P2" s="1">
        <f>(P14-H14)/H14</f>
        <v>-0.74076464292969657</v>
      </c>
      <c r="R2" s="1">
        <f>(R14-J14)/J14</f>
        <v>-0.23522463729471896</v>
      </c>
      <c r="T2" s="1" t="s">
        <v>20</v>
      </c>
      <c r="X2" s="1">
        <f>(X14-P14)/P14</f>
        <v>4.5142884981317382</v>
      </c>
      <c r="Z2" s="1">
        <f>(Z14-R14)/R14</f>
        <v>0.53047963994898584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236</v>
      </c>
      <c r="D4" s="23">
        <v>74034.453881071458</v>
      </c>
      <c r="E4" s="33">
        <v>0.96225225000125647</v>
      </c>
      <c r="F4" s="5">
        <v>2</v>
      </c>
      <c r="G4" s="23">
        <v>90</v>
      </c>
      <c r="H4" s="33">
        <v>14.000750594290231</v>
      </c>
      <c r="I4" s="23">
        <v>33.807222801317209</v>
      </c>
      <c r="J4" s="5">
        <v>1652.3118233091677</v>
      </c>
      <c r="K4" s="31"/>
      <c r="L4" s="23">
        <v>101275.080164493</v>
      </c>
      <c r="M4" s="33">
        <v>0.76575237499855575</v>
      </c>
      <c r="N4" s="5">
        <v>4</v>
      </c>
      <c r="O4" s="5">
        <v>80</v>
      </c>
      <c r="P4" s="33">
        <v>11.72306664079874</v>
      </c>
      <c r="Q4" s="5">
        <v>17.673170003674901</v>
      </c>
      <c r="R4" s="5">
        <v>1547.6498448098309</v>
      </c>
      <c r="S4" s="31"/>
      <c r="T4" s="23">
        <v>98323.809691611139</v>
      </c>
      <c r="U4" s="33">
        <v>0.75980700000218349</v>
      </c>
      <c r="V4" s="5">
        <v>2</v>
      </c>
      <c r="W4" s="5">
        <v>76.666666666666671</v>
      </c>
      <c r="X4" s="33">
        <v>70.571699667122573</v>
      </c>
      <c r="Y4" s="5">
        <v>50.722029100876313</v>
      </c>
      <c r="Z4" s="5">
        <v>2229.1216909258428</v>
      </c>
      <c r="AA4" s="35"/>
    </row>
    <row r="5" spans="2:27" x14ac:dyDescent="0.2">
      <c r="B5" s="4">
        <v>2</v>
      </c>
      <c r="C5" s="4">
        <v>280</v>
      </c>
      <c r="D5" s="23">
        <v>73439.394193460685</v>
      </c>
      <c r="E5" s="33">
        <v>0.9149837920012942</v>
      </c>
      <c r="F5" s="5">
        <v>2</v>
      </c>
      <c r="G5" s="23">
        <v>93.333333333333329</v>
      </c>
      <c r="H5" s="33">
        <v>30.876085681026943</v>
      </c>
      <c r="I5" s="23">
        <v>35.582790983135382</v>
      </c>
      <c r="J5" s="5">
        <v>1751.9974772275161</v>
      </c>
      <c r="K5" s="31"/>
      <c r="L5" s="23">
        <v>99991.961882571108</v>
      </c>
      <c r="M5" s="33">
        <v>1.4564990420003601</v>
      </c>
      <c r="N5" s="5">
        <v>4</v>
      </c>
      <c r="O5" s="5">
        <v>80</v>
      </c>
      <c r="P5" s="33">
        <v>7.0036514593975134</v>
      </c>
      <c r="Q5" s="5">
        <v>17.654318158705141</v>
      </c>
      <c r="R5" s="5">
        <v>1520.890768790518</v>
      </c>
      <c r="S5" s="31"/>
      <c r="T5" s="23">
        <v>97919.229102389349</v>
      </c>
      <c r="U5" s="33">
        <v>1.440889166999114</v>
      </c>
      <c r="V5" s="5">
        <v>2</v>
      </c>
      <c r="W5" s="5">
        <v>73.333333333333329</v>
      </c>
      <c r="X5" s="33">
        <v>57.375050778021411</v>
      </c>
      <c r="Y5" s="5">
        <v>46.700587404814058</v>
      </c>
      <c r="Z5" s="5">
        <v>2096.998015450592</v>
      </c>
      <c r="AA5" s="35"/>
    </row>
    <row r="6" spans="2:27" x14ac:dyDescent="0.2">
      <c r="B6" s="4">
        <v>3</v>
      </c>
      <c r="C6" s="4">
        <v>336</v>
      </c>
      <c r="D6" s="23">
        <v>73439.394193460685</v>
      </c>
      <c r="E6" s="33">
        <v>0.81283379100023012</v>
      </c>
      <c r="F6" s="5">
        <v>2</v>
      </c>
      <c r="G6" s="23">
        <v>93.333333333333329</v>
      </c>
      <c r="H6" s="33">
        <v>30.876085681026943</v>
      </c>
      <c r="I6" s="23">
        <v>35.582790983135382</v>
      </c>
      <c r="J6" s="5">
        <v>1751.9974772275161</v>
      </c>
      <c r="K6" s="31"/>
      <c r="L6" s="23">
        <v>101869.2212207058</v>
      </c>
      <c r="M6" s="33">
        <v>1.0663425409984479</v>
      </c>
      <c r="N6" s="5">
        <v>3</v>
      </c>
      <c r="O6" s="5">
        <v>63.333333333333343</v>
      </c>
      <c r="P6" s="33">
        <v>0</v>
      </c>
      <c r="Q6" s="5">
        <v>15.81807271650754</v>
      </c>
      <c r="R6" s="5">
        <v>1130.044429554252</v>
      </c>
      <c r="S6" s="31"/>
      <c r="T6" s="23">
        <v>97785.672435216009</v>
      </c>
      <c r="U6" s="33">
        <v>2.498384749997058</v>
      </c>
      <c r="V6" s="5">
        <v>2</v>
      </c>
      <c r="W6" s="5">
        <v>73.333333333333329</v>
      </c>
      <c r="X6" s="33">
        <v>37.735601948365662</v>
      </c>
      <c r="Y6" s="5">
        <v>46.688934381507082</v>
      </c>
      <c r="Z6" s="5">
        <v>2096.6071333349778</v>
      </c>
      <c r="AA6" s="35"/>
    </row>
    <row r="7" spans="2:27" x14ac:dyDescent="0.2">
      <c r="B7" s="4">
        <v>4</v>
      </c>
      <c r="C7" s="4">
        <v>451</v>
      </c>
      <c r="D7" s="23">
        <v>73439.394193460685</v>
      </c>
      <c r="E7" s="33">
        <v>0.99525741599973117</v>
      </c>
      <c r="F7" s="5">
        <v>2</v>
      </c>
      <c r="G7" s="23">
        <v>93.333333333333329</v>
      </c>
      <c r="H7" s="33">
        <v>30.876085681026943</v>
      </c>
      <c r="I7" s="23">
        <v>35.582790983135382</v>
      </c>
      <c r="J7" s="5">
        <v>1751.9974772275161</v>
      </c>
      <c r="K7" s="31"/>
      <c r="L7" s="23">
        <v>100971.98848097031</v>
      </c>
      <c r="M7" s="33">
        <v>0.78151708299992606</v>
      </c>
      <c r="N7" s="5">
        <v>3</v>
      </c>
      <c r="O7" s="5">
        <v>70</v>
      </c>
      <c r="P7" s="33">
        <v>26.22794956570873</v>
      </c>
      <c r="Q7" s="5">
        <v>19.660420042715192</v>
      </c>
      <c r="R7" s="5">
        <v>1447.703528777517</v>
      </c>
      <c r="S7" s="31"/>
      <c r="T7" s="23">
        <v>97185.314636974101</v>
      </c>
      <c r="U7" s="33">
        <v>1.605201792001026</v>
      </c>
      <c r="V7" s="5">
        <v>2</v>
      </c>
      <c r="W7" s="5">
        <v>73.333333333333329</v>
      </c>
      <c r="X7" s="33">
        <v>44.137319642833447</v>
      </c>
      <c r="Y7" s="5">
        <v>45.3193306486003</v>
      </c>
      <c r="Z7" s="5">
        <v>2050.6659564774341</v>
      </c>
      <c r="AA7" s="35"/>
    </row>
    <row r="8" spans="2:27" x14ac:dyDescent="0.2">
      <c r="B8" s="4">
        <v>5</v>
      </c>
      <c r="C8" s="4">
        <v>576</v>
      </c>
      <c r="D8" s="23">
        <v>73439.394193460685</v>
      </c>
      <c r="E8" s="33">
        <v>1.535683874999449</v>
      </c>
      <c r="F8" s="5">
        <v>2</v>
      </c>
      <c r="G8" s="23">
        <v>93.333333333333329</v>
      </c>
      <c r="H8" s="33">
        <v>30.876085681026943</v>
      </c>
      <c r="I8" s="23">
        <v>35.582790983135382</v>
      </c>
      <c r="J8" s="5">
        <v>1751.9974772275161</v>
      </c>
      <c r="K8" s="31"/>
      <c r="L8" s="23">
        <v>96971.425115700011</v>
      </c>
      <c r="M8" s="33">
        <v>1.622707291000552</v>
      </c>
      <c r="N8" s="5">
        <v>3</v>
      </c>
      <c r="O8" s="5">
        <v>70</v>
      </c>
      <c r="P8" s="33">
        <v>8.0041730964543003</v>
      </c>
      <c r="Q8" s="5">
        <v>18.549080866422099</v>
      </c>
      <c r="R8" s="5">
        <v>1350.090281397004</v>
      </c>
      <c r="S8" s="31"/>
      <c r="T8" s="23">
        <v>98315.879557906039</v>
      </c>
      <c r="U8" s="33">
        <v>2.567274375000125</v>
      </c>
      <c r="V8" s="5">
        <v>3</v>
      </c>
      <c r="W8" s="5">
        <v>83.333333333333329</v>
      </c>
      <c r="X8" s="33">
        <v>74.673433106072039</v>
      </c>
      <c r="Y8" s="5">
        <v>45.915338460484712</v>
      </c>
      <c r="Z8" s="5">
        <v>2177.414643106416</v>
      </c>
      <c r="AA8" s="35"/>
    </row>
    <row r="9" spans="2:27" x14ac:dyDescent="0.2">
      <c r="B9" s="4">
        <v>6</v>
      </c>
      <c r="C9" s="4">
        <v>608</v>
      </c>
      <c r="D9" s="23">
        <v>73439.394193460685</v>
      </c>
      <c r="E9" s="33">
        <v>1.3409642090009579</v>
      </c>
      <c r="F9" s="5">
        <v>2</v>
      </c>
      <c r="G9" s="23">
        <v>93.333333333333329</v>
      </c>
      <c r="H9" s="33">
        <v>30.876085681026943</v>
      </c>
      <c r="I9" s="23">
        <v>35.582790983135382</v>
      </c>
      <c r="J9" s="5">
        <v>1751.9974772275161</v>
      </c>
      <c r="K9" s="31"/>
      <c r="L9" s="23">
        <v>102289.8696942461</v>
      </c>
      <c r="M9" s="33">
        <v>0.83635345800212235</v>
      </c>
      <c r="N9" s="5">
        <v>4</v>
      </c>
      <c r="O9" s="5">
        <v>80</v>
      </c>
      <c r="P9" s="33">
        <v>23.43785847435058</v>
      </c>
      <c r="Q9" s="5">
        <v>17.98245055468049</v>
      </c>
      <c r="R9" s="5">
        <v>1603.6867899218159</v>
      </c>
      <c r="S9" s="31"/>
      <c r="T9" s="23">
        <v>98840.43337019904</v>
      </c>
      <c r="U9" s="33">
        <v>1.3653184579998201</v>
      </c>
      <c r="V9" s="5">
        <v>3</v>
      </c>
      <c r="W9" s="5">
        <v>83.333333333333329</v>
      </c>
      <c r="X9" s="33">
        <v>60.615789761967768</v>
      </c>
      <c r="Y9" s="5">
        <v>45.259086672593682</v>
      </c>
      <c r="Z9" s="5">
        <v>2209.6141441833051</v>
      </c>
      <c r="AA9" s="35"/>
    </row>
    <row r="10" spans="2:27" x14ac:dyDescent="0.2">
      <c r="B10" s="4">
        <v>7</v>
      </c>
      <c r="C10" s="4">
        <v>710</v>
      </c>
      <c r="D10" s="23">
        <v>73439.394193460685</v>
      </c>
      <c r="E10" s="33">
        <v>1.59897487499984</v>
      </c>
      <c r="F10" s="5">
        <v>2</v>
      </c>
      <c r="G10" s="23">
        <v>93.333333333333329</v>
      </c>
      <c r="H10" s="33">
        <v>30.876085681026943</v>
      </c>
      <c r="I10" s="23">
        <v>35.582790983135382</v>
      </c>
      <c r="J10" s="5">
        <v>1751.9974772275161</v>
      </c>
      <c r="K10" s="31"/>
      <c r="L10" s="23">
        <v>98456.472279620968</v>
      </c>
      <c r="M10" s="33">
        <v>1.6022636659981799</v>
      </c>
      <c r="N10" s="5">
        <v>3</v>
      </c>
      <c r="O10" s="5">
        <v>70</v>
      </c>
      <c r="P10" s="33">
        <v>8.0041730964543003</v>
      </c>
      <c r="Q10" s="5">
        <v>18.951354193779139</v>
      </c>
      <c r="R10" s="5">
        <v>1393.3515858245021</v>
      </c>
      <c r="S10" s="31"/>
      <c r="T10" s="23">
        <v>98683.726737035497</v>
      </c>
      <c r="U10" s="33">
        <v>2.4522849999993919</v>
      </c>
      <c r="V10" s="5">
        <v>3</v>
      </c>
      <c r="W10" s="5">
        <v>83.333333333333329</v>
      </c>
      <c r="X10" s="33">
        <v>49.806919333718078</v>
      </c>
      <c r="Y10" s="5">
        <v>45.617953248394407</v>
      </c>
      <c r="Z10" s="5">
        <v>2208.7084174781912</v>
      </c>
      <c r="AA10" s="35"/>
    </row>
    <row r="11" spans="2:27" x14ac:dyDescent="0.2">
      <c r="B11" s="4">
        <v>8</v>
      </c>
      <c r="C11" s="4">
        <v>809</v>
      </c>
      <c r="D11" s="23">
        <v>73439.394193460685</v>
      </c>
      <c r="E11" s="33">
        <v>1.302534791999278</v>
      </c>
      <c r="F11" s="5">
        <v>2</v>
      </c>
      <c r="G11" s="23">
        <v>93.333333333333329</v>
      </c>
      <c r="H11" s="33">
        <v>30.876085681026943</v>
      </c>
      <c r="I11" s="23">
        <v>35.582790983135382</v>
      </c>
      <c r="J11" s="5">
        <v>1751.9974772275161</v>
      </c>
      <c r="K11" s="31"/>
      <c r="L11" s="23">
        <v>97967.505722116111</v>
      </c>
      <c r="M11" s="33">
        <v>1.060589000000618</v>
      </c>
      <c r="N11" s="5">
        <v>3</v>
      </c>
      <c r="O11" s="5">
        <v>70</v>
      </c>
      <c r="P11" s="33">
        <v>13.39779044662713</v>
      </c>
      <c r="Q11" s="5">
        <v>18.386003157682769</v>
      </c>
      <c r="R11" s="5">
        <v>1340.407486480505</v>
      </c>
      <c r="S11" s="31"/>
      <c r="T11" s="23">
        <v>98916.986512092117</v>
      </c>
      <c r="U11" s="33">
        <v>1.2306920410010209</v>
      </c>
      <c r="V11" s="5">
        <v>2</v>
      </c>
      <c r="W11" s="5">
        <v>66.666666666666671</v>
      </c>
      <c r="X11" s="33">
        <v>12.11752700005961</v>
      </c>
      <c r="Y11" s="5">
        <v>37.75884912703242</v>
      </c>
      <c r="Z11" s="5">
        <v>1828.278148446356</v>
      </c>
      <c r="AA11" s="35"/>
    </row>
    <row r="12" spans="2:27" x14ac:dyDescent="0.2">
      <c r="B12" s="4">
        <v>9</v>
      </c>
      <c r="C12" s="4">
        <v>960</v>
      </c>
      <c r="D12" s="23">
        <v>73439.394193460685</v>
      </c>
      <c r="E12" s="33">
        <v>1.436769625001034</v>
      </c>
      <c r="F12" s="5">
        <v>2</v>
      </c>
      <c r="G12" s="23">
        <v>93.333333333333329</v>
      </c>
      <c r="H12" s="33">
        <v>30.876085681026943</v>
      </c>
      <c r="I12" s="23">
        <v>35.582790983135382</v>
      </c>
      <c r="J12" s="5">
        <v>1751.9974772275161</v>
      </c>
      <c r="K12" s="31"/>
      <c r="L12" s="23">
        <v>96947.660636895351</v>
      </c>
      <c r="M12" s="33">
        <v>1.4112022090012031</v>
      </c>
      <c r="N12" s="5">
        <v>3</v>
      </c>
      <c r="O12" s="5">
        <v>70</v>
      </c>
      <c r="P12" s="33">
        <v>8.0041730964543003</v>
      </c>
      <c r="Q12" s="5">
        <v>18.577283846629591</v>
      </c>
      <c r="R12" s="5">
        <v>1339.884506105411</v>
      </c>
      <c r="S12" s="31"/>
      <c r="T12" s="23">
        <v>97185.314636974101</v>
      </c>
      <c r="U12" s="33">
        <v>1.621691125001234</v>
      </c>
      <c r="V12" s="5">
        <v>2</v>
      </c>
      <c r="W12" s="5">
        <v>73.333333333333329</v>
      </c>
      <c r="X12" s="33">
        <v>44.137319642833447</v>
      </c>
      <c r="Y12" s="5">
        <v>45.3193306486003</v>
      </c>
      <c r="Z12" s="5">
        <v>2050.6659564774341</v>
      </c>
      <c r="AA12" s="35"/>
    </row>
    <row r="13" spans="2:27" x14ac:dyDescent="0.2">
      <c r="B13" s="4">
        <v>10</v>
      </c>
      <c r="C13" s="4">
        <v>979</v>
      </c>
      <c r="D13" s="23">
        <v>73439.394193460685</v>
      </c>
      <c r="E13" s="33">
        <v>0.95966649999900255</v>
      </c>
      <c r="F13" s="5">
        <v>2</v>
      </c>
      <c r="G13" s="23">
        <v>93.333333333333329</v>
      </c>
      <c r="H13" s="33">
        <v>30.876085681026943</v>
      </c>
      <c r="I13" s="23">
        <v>35.582790983135382</v>
      </c>
      <c r="J13" s="5">
        <v>1751.9974772275161</v>
      </c>
      <c r="K13" s="31"/>
      <c r="L13" s="23">
        <v>102533.914786184</v>
      </c>
      <c r="M13" s="33">
        <v>0.86886037499789381</v>
      </c>
      <c r="N13" s="5">
        <v>4</v>
      </c>
      <c r="O13" s="5">
        <v>80</v>
      </c>
      <c r="P13" s="33">
        <v>26.109324379716981</v>
      </c>
      <c r="Q13" s="5">
        <v>17.953292645396679</v>
      </c>
      <c r="R13" s="5">
        <v>1564.6419538547459</v>
      </c>
      <c r="S13" s="31"/>
      <c r="T13" s="23">
        <v>100127.2498648984</v>
      </c>
      <c r="U13" s="33">
        <v>0.77475158300148905</v>
      </c>
      <c r="V13" s="5">
        <v>3</v>
      </c>
      <c r="W13" s="5">
        <v>86.666666666666671</v>
      </c>
      <c r="X13" s="33">
        <v>131.06854191408399</v>
      </c>
      <c r="Y13" s="5">
        <v>47.030832755189479</v>
      </c>
      <c r="Z13" s="5">
        <v>2294.3546834556851</v>
      </c>
      <c r="AA13" s="35"/>
    </row>
    <row r="14" spans="2:27" x14ac:dyDescent="0.2">
      <c r="B14" s="46" t="s">
        <v>3</v>
      </c>
      <c r="C14" s="47"/>
      <c r="D14" s="9">
        <f>MIN(D4:D13)</f>
        <v>73439.394193460685</v>
      </c>
      <c r="E14" s="22">
        <f>INDEX(E4:E13, MATCH($D$14, D4:D13, 0))</f>
        <v>0.9149837920012942</v>
      </c>
      <c r="F14" s="9">
        <f>INDEX(F4:F13, MATCH($D$14, D4:D13, 0))</f>
        <v>2</v>
      </c>
      <c r="G14" s="9">
        <f>INDEX(G4:G13, MATCH($D$14, D4:D13, 0))</f>
        <v>93.333333333333329</v>
      </c>
      <c r="H14" s="22">
        <f>INDEX(H4:H13, MATCH($D$14, D4:D13, 0))</f>
        <v>30.876085681026943</v>
      </c>
      <c r="I14" s="22">
        <f>INDEX(I4:I13, MATCH($D$14, D4:D13, 0))</f>
        <v>35.582790983135382</v>
      </c>
      <c r="J14" s="22">
        <f>INDEX(J4:J13, MATCH($D$14, D4:D13, 0))</f>
        <v>1751.9974772275161</v>
      </c>
      <c r="K14" s="32" t="e">
        <f>(D14-$D$15)/$D$15</f>
        <v>#DIV/0!</v>
      </c>
      <c r="L14" s="16">
        <f>MIN(L4:L13)</f>
        <v>96947.660636895351</v>
      </c>
      <c r="M14" s="21">
        <f>INDEX(M4:M13, MATCH($L$14, L4:L13, 0))</f>
        <v>1.4112022090012031</v>
      </c>
      <c r="N14" s="16">
        <f>INDEX(N4:N13, MATCH($L$14, L4:L13, 0))</f>
        <v>3</v>
      </c>
      <c r="O14" s="16">
        <f>INDEX(O4:O13, MATCH($L$14, L4:L13, 0))</f>
        <v>70</v>
      </c>
      <c r="P14" s="21">
        <f>INDEX(P4:P13, MATCH($L$14, L4:L13, 0))</f>
        <v>8.0041730964543003</v>
      </c>
      <c r="Q14" s="21">
        <f>INDEX(Q4:Q13, MATCH($L$14, L4:L13, 0))</f>
        <v>18.577283846629591</v>
      </c>
      <c r="R14" s="21">
        <f>INDEX(R4:R13, MATCH($L$14, L4:L13, 0))</f>
        <v>1339.884506105411</v>
      </c>
      <c r="S14" s="36" t="e">
        <f>(L14-$D$15)/$D$15</f>
        <v>#DIV/0!</v>
      </c>
      <c r="T14" s="38">
        <f>MIN(T4:T13)</f>
        <v>97185.314636974101</v>
      </c>
      <c r="U14" s="39">
        <f>INDEX(U4:U13, MATCH($T$14, T4:T13, 0))</f>
        <v>1.605201792001026</v>
      </c>
      <c r="V14" s="38">
        <f>INDEX(V4:V13, MATCH($T$14, T4:T13, 0))</f>
        <v>2</v>
      </c>
      <c r="W14" s="38">
        <f>INDEX(W4:W13, MATCH($T$14, T4:T13, 0))</f>
        <v>73.333333333333329</v>
      </c>
      <c r="X14" s="39">
        <f>INDEX(X4:X13, MATCH($T$14, T4:T13, 0))</f>
        <v>44.137319642833447</v>
      </c>
      <c r="Y14" s="39">
        <f>INDEX(Y4:Y13, MATCH($T$14, T4:T13, 0))</f>
        <v>45.3193306486003</v>
      </c>
      <c r="Z14" s="39">
        <f>INDEX(Z4:Z13, MATCH($T$14, T4:T13, 0))</f>
        <v>2050.6659564774341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6:C1048576">
    <cfRule type="duplicateValues" dxfId="141" priority="15"/>
    <cfRule type="duplicateValues" dxfId="140" priority="16"/>
  </conditionalFormatting>
  <conditionalFormatting sqref="C14">
    <cfRule type="duplicateValues" dxfId="139" priority="7"/>
    <cfRule type="duplicateValues" dxfId="138" priority="8"/>
  </conditionalFormatting>
  <conditionalFormatting sqref="C24:C35">
    <cfRule type="duplicateValues" dxfId="41" priority="5"/>
    <cfRule type="duplicateValues" dxfId="40" priority="6"/>
  </conditionalFormatting>
  <conditionalFormatting sqref="C17">
    <cfRule type="duplicateValues" dxfId="39" priority="1"/>
    <cfRule type="duplicateValues" dxfId="38" priority="2"/>
  </conditionalFormatting>
  <conditionalFormatting sqref="C18:C23">
    <cfRule type="duplicateValues" dxfId="37" priority="3"/>
    <cfRule type="duplicateValues" dxfId="36" priority="4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5F4F6-B175-974E-B2CC-C0B591AAEA59}">
  <dimension ref="B1:AA17"/>
  <sheetViews>
    <sheetView zoomScaleNormal="100" workbookViewId="0">
      <selection activeCell="A17" sqref="A17:XFD35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30</v>
      </c>
      <c r="H2" s="28">
        <f>(Q14-H14)/H14</f>
        <v>-0.69736062309056224</v>
      </c>
      <c r="J2" s="28" t="e">
        <f>(S14-J14)/J14</f>
        <v>#DIV/0!</v>
      </c>
      <c r="K2" s="28"/>
      <c r="L2" s="1" t="s">
        <v>19</v>
      </c>
      <c r="P2" s="1">
        <f>(P14-H14)/H14</f>
        <v>-0.90430278635832317</v>
      </c>
      <c r="R2" s="1">
        <f>(R14-J14)/J14</f>
        <v>-0.29176386873430832</v>
      </c>
      <c r="T2" s="1" t="s">
        <v>20</v>
      </c>
      <c r="X2" s="1">
        <f>(X14-P14)/P14</f>
        <v>25.557386240520227</v>
      </c>
      <c r="Z2" s="1">
        <f>(Z14-R14)/R14</f>
        <v>0.55502237536941723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52</v>
      </c>
      <c r="D4" s="23">
        <v>84634.7471834147</v>
      </c>
      <c r="E4" s="33">
        <v>1.034740915998555</v>
      </c>
      <c r="F4" s="5">
        <v>3</v>
      </c>
      <c r="G4" s="23">
        <v>100</v>
      </c>
      <c r="H4" s="33">
        <v>75.801238443388456</v>
      </c>
      <c r="I4" s="23">
        <v>39.553510791217825</v>
      </c>
      <c r="J4" s="5">
        <v>2129.1039203802661</v>
      </c>
      <c r="K4" s="31"/>
      <c r="L4" s="23">
        <v>114876.66576367601</v>
      </c>
      <c r="M4" s="33">
        <v>0.81212495799991302</v>
      </c>
      <c r="N4" s="5">
        <v>4</v>
      </c>
      <c r="O4" s="5">
        <v>63.333333333333343</v>
      </c>
      <c r="P4" s="33">
        <v>17.01768405151174</v>
      </c>
      <c r="Q4" s="5">
        <v>20.506550184345208</v>
      </c>
      <c r="R4" s="5">
        <v>1481.9253289363501</v>
      </c>
      <c r="S4" s="31"/>
      <c r="T4" s="23">
        <v>105828.3697715602</v>
      </c>
      <c r="U4" s="33">
        <v>1.968787834000977</v>
      </c>
      <c r="V4" s="5">
        <v>3</v>
      </c>
      <c r="W4" s="5">
        <v>80</v>
      </c>
      <c r="X4" s="33">
        <v>187.44567046561141</v>
      </c>
      <c r="Y4" s="5">
        <v>52.124264128915549</v>
      </c>
      <c r="Z4" s="5">
        <v>2421.0006148042048</v>
      </c>
      <c r="AA4" s="35"/>
    </row>
    <row r="5" spans="2:27" x14ac:dyDescent="0.2">
      <c r="B5" s="4">
        <v>2</v>
      </c>
      <c r="C5" s="4">
        <v>230</v>
      </c>
      <c r="D5" s="23">
        <v>85856.552835129231</v>
      </c>
      <c r="E5" s="33">
        <v>1.425223624999489</v>
      </c>
      <c r="F5" s="5">
        <v>3</v>
      </c>
      <c r="G5" s="23">
        <v>100</v>
      </c>
      <c r="H5" s="33">
        <v>83.50466281062171</v>
      </c>
      <c r="I5" s="23">
        <v>39.114156298421307</v>
      </c>
      <c r="J5" s="5">
        <v>2156.1481445453774</v>
      </c>
      <c r="K5" s="31"/>
      <c r="L5" s="23">
        <v>113016.6841757927</v>
      </c>
      <c r="M5" s="33">
        <v>1.5058595420014169</v>
      </c>
      <c r="N5" s="5">
        <v>3</v>
      </c>
      <c r="O5" s="5">
        <v>56.666666666666657</v>
      </c>
      <c r="P5" s="33">
        <v>9.9140839447523472</v>
      </c>
      <c r="Q5" s="5">
        <v>24.379739001892212</v>
      </c>
      <c r="R5" s="5">
        <v>1466.5481861310959</v>
      </c>
      <c r="S5" s="31"/>
      <c r="T5" s="23">
        <v>105522.6780458679</v>
      </c>
      <c r="U5" s="33">
        <v>1.8481613749972889</v>
      </c>
      <c r="V5" s="5">
        <v>3</v>
      </c>
      <c r="W5" s="5">
        <v>80</v>
      </c>
      <c r="X5" s="33">
        <v>212.29161456302401</v>
      </c>
      <c r="Y5" s="5">
        <v>51.203829828430422</v>
      </c>
      <c r="Z5" s="5">
        <v>2373.2234364176961</v>
      </c>
      <c r="AA5" s="35"/>
    </row>
    <row r="6" spans="2:27" x14ac:dyDescent="0.2">
      <c r="B6" s="4">
        <v>3</v>
      </c>
      <c r="C6" s="4">
        <v>432</v>
      </c>
      <c r="D6" s="23">
        <v>85505.498384110309</v>
      </c>
      <c r="E6" s="33">
        <v>1.05968487499922</v>
      </c>
      <c r="F6" s="5">
        <v>3</v>
      </c>
      <c r="G6" s="23">
        <v>100</v>
      </c>
      <c r="H6" s="33">
        <v>105.70689746628169</v>
      </c>
      <c r="I6" s="23">
        <v>40.859021284098908</v>
      </c>
      <c r="J6" s="5">
        <v>2158.1174091651824</v>
      </c>
      <c r="K6" s="31"/>
      <c r="L6" s="23">
        <v>110660.5389280707</v>
      </c>
      <c r="M6" s="33">
        <v>0.66004366700144601</v>
      </c>
      <c r="N6" s="5">
        <v>3</v>
      </c>
      <c r="O6" s="5">
        <v>60</v>
      </c>
      <c r="P6" s="33">
        <v>7.5834751783714482</v>
      </c>
      <c r="Q6" s="5">
        <v>23.982497665856879</v>
      </c>
      <c r="R6" s="5">
        <v>1524.190043167368</v>
      </c>
      <c r="S6" s="31"/>
      <c r="T6" s="23">
        <v>108037.1191603316</v>
      </c>
      <c r="U6" s="33">
        <v>1.1070366659987489</v>
      </c>
      <c r="V6" s="5">
        <v>3</v>
      </c>
      <c r="W6" s="5">
        <v>76.666666666666671</v>
      </c>
      <c r="X6" s="33">
        <v>136.5927520795108</v>
      </c>
      <c r="Y6" s="5">
        <v>46.539972762451143</v>
      </c>
      <c r="Z6" s="5">
        <v>2324.8910762814189</v>
      </c>
      <c r="AA6" s="35"/>
    </row>
    <row r="7" spans="2:27" x14ac:dyDescent="0.2">
      <c r="B7" s="4">
        <v>4</v>
      </c>
      <c r="C7" s="4">
        <v>448</v>
      </c>
      <c r="D7" s="23">
        <v>84613.696640188573</v>
      </c>
      <c r="E7" s="33">
        <v>0.84783770899957744</v>
      </c>
      <c r="F7" s="5">
        <v>3</v>
      </c>
      <c r="G7" s="23">
        <v>100</v>
      </c>
      <c r="H7" s="33">
        <v>79.244472119810908</v>
      </c>
      <c r="I7" s="23">
        <v>40.798766953658252</v>
      </c>
      <c r="J7" s="5">
        <v>2152.0930320844855</v>
      </c>
      <c r="K7" s="31"/>
      <c r="L7" s="23">
        <v>115676.5138376551</v>
      </c>
      <c r="M7" s="33">
        <v>0.60948970799654489</v>
      </c>
      <c r="N7" s="5">
        <v>4</v>
      </c>
      <c r="O7" s="5">
        <v>63.333333333333343</v>
      </c>
      <c r="P7" s="33">
        <v>17.712498198813179</v>
      </c>
      <c r="Q7" s="5">
        <v>20.751322090607811</v>
      </c>
      <c r="R7" s="5">
        <v>1494.911640141599</v>
      </c>
      <c r="S7" s="31"/>
      <c r="T7" s="23">
        <v>106601.1323697436</v>
      </c>
      <c r="U7" s="33">
        <v>1.087004500001058</v>
      </c>
      <c r="V7" s="5">
        <v>3</v>
      </c>
      <c r="W7" s="5">
        <v>80</v>
      </c>
      <c r="X7" s="33">
        <v>217.6745949003525</v>
      </c>
      <c r="Y7" s="5">
        <v>50.823590853044138</v>
      </c>
      <c r="Z7" s="5">
        <v>2375.82145833083</v>
      </c>
      <c r="AA7" s="35"/>
    </row>
    <row r="8" spans="2:27" x14ac:dyDescent="0.2">
      <c r="B8" s="4">
        <v>5</v>
      </c>
      <c r="C8" s="4">
        <v>477</v>
      </c>
      <c r="D8" s="23">
        <v>85237.929089590456</v>
      </c>
      <c r="E8" s="33">
        <v>3.5548435830005469</v>
      </c>
      <c r="F8" s="5">
        <v>3</v>
      </c>
      <c r="G8" s="23">
        <v>96.666666666666671</v>
      </c>
      <c r="H8" s="33">
        <v>75.920512510116751</v>
      </c>
      <c r="I8" s="23">
        <v>38.877631479210152</v>
      </c>
      <c r="J8" s="5">
        <v>2041.9071423389848</v>
      </c>
      <c r="K8" s="31"/>
      <c r="L8" s="23">
        <v>112990.8920374421</v>
      </c>
      <c r="M8" s="33">
        <v>1.369542832999286</v>
      </c>
      <c r="N8" s="5">
        <v>3</v>
      </c>
      <c r="O8" s="5">
        <v>56.666666666666657</v>
      </c>
      <c r="P8" s="33">
        <v>26.213041839084539</v>
      </c>
      <c r="Q8" s="5">
        <v>24.070105954163932</v>
      </c>
      <c r="R8" s="5">
        <v>1445.306716241852</v>
      </c>
      <c r="S8" s="31"/>
      <c r="T8" s="23">
        <v>105114.81422178489</v>
      </c>
      <c r="U8" s="33">
        <v>1.570279916999425</v>
      </c>
      <c r="V8" s="5">
        <v>3</v>
      </c>
      <c r="W8" s="5">
        <v>80</v>
      </c>
      <c r="X8" s="33">
        <v>201.39727935740859</v>
      </c>
      <c r="Y8" s="5">
        <v>51.464908974993762</v>
      </c>
      <c r="Z8" s="5">
        <v>2370.1496214405352</v>
      </c>
      <c r="AA8" s="35"/>
    </row>
    <row r="9" spans="2:27" x14ac:dyDescent="0.2">
      <c r="B9" s="4">
        <v>6</v>
      </c>
      <c r="C9" s="4">
        <v>548</v>
      </c>
      <c r="D9" s="23">
        <v>85450.041620484582</v>
      </c>
      <c r="E9" s="33">
        <v>1.067789165999784</v>
      </c>
      <c r="F9" s="5">
        <v>3</v>
      </c>
      <c r="G9" s="23">
        <v>100</v>
      </c>
      <c r="H9" s="33">
        <v>89.772337267968069</v>
      </c>
      <c r="I9" s="23">
        <v>39.131730478133164</v>
      </c>
      <c r="J9" s="5">
        <v>2136.9259805937536</v>
      </c>
      <c r="K9" s="31"/>
      <c r="L9" s="23">
        <v>113027.8155721158</v>
      </c>
      <c r="M9" s="33">
        <v>0.76760591600032058</v>
      </c>
      <c r="N9" s="5">
        <v>3</v>
      </c>
      <c r="O9" s="5">
        <v>56.666666666666657</v>
      </c>
      <c r="P9" s="33">
        <v>0</v>
      </c>
      <c r="Q9" s="5">
        <v>22.464562051130379</v>
      </c>
      <c r="R9" s="5">
        <v>1427.6066054478781</v>
      </c>
      <c r="S9" s="31"/>
      <c r="T9" s="23">
        <v>106066.00896539239</v>
      </c>
      <c r="U9" s="33">
        <v>1.782469625002705</v>
      </c>
      <c r="V9" s="5">
        <v>3</v>
      </c>
      <c r="W9" s="5">
        <v>80</v>
      </c>
      <c r="X9" s="33">
        <v>199.66454550184659</v>
      </c>
      <c r="Y9" s="5">
        <v>52.334086978477451</v>
      </c>
      <c r="Z9" s="5">
        <v>2415.6643861300881</v>
      </c>
      <c r="AA9" s="35"/>
    </row>
    <row r="10" spans="2:27" x14ac:dyDescent="0.2">
      <c r="B10" s="4">
        <v>7</v>
      </c>
      <c r="C10" s="4">
        <v>590</v>
      </c>
      <c r="D10" s="23">
        <v>84634.7471834147</v>
      </c>
      <c r="E10" s="33">
        <v>0.7076015839993488</v>
      </c>
      <c r="F10" s="5">
        <v>3</v>
      </c>
      <c r="G10" s="23">
        <v>100</v>
      </c>
      <c r="H10" s="33">
        <v>75.801238443388456</v>
      </c>
      <c r="I10" s="23">
        <v>39.553510791217825</v>
      </c>
      <c r="J10" s="5">
        <v>2129.1039203802661</v>
      </c>
      <c r="K10" s="31"/>
      <c r="L10" s="23">
        <v>114149.621975819</v>
      </c>
      <c r="M10" s="33">
        <v>0.93258174999937182</v>
      </c>
      <c r="N10" s="5">
        <v>4</v>
      </c>
      <c r="O10" s="5">
        <v>66.666666666666671</v>
      </c>
      <c r="P10" s="33">
        <v>18.445717944521199</v>
      </c>
      <c r="Q10" s="5">
        <v>22.260540995983551</v>
      </c>
      <c r="R10" s="5">
        <v>1613.5442099020729</v>
      </c>
      <c r="S10" s="31"/>
      <c r="T10" s="23">
        <v>105155.63763984269</v>
      </c>
      <c r="U10" s="33">
        <v>2.3776144160001418</v>
      </c>
      <c r="V10" s="5">
        <v>3</v>
      </c>
      <c r="W10" s="5">
        <v>80</v>
      </c>
      <c r="X10" s="33">
        <v>196.97518092752841</v>
      </c>
      <c r="Y10" s="5">
        <v>51.564132292233722</v>
      </c>
      <c r="Z10" s="5">
        <v>2378.1309331988309</v>
      </c>
      <c r="AA10" s="35"/>
    </row>
    <row r="11" spans="2:27" x14ac:dyDescent="0.2">
      <c r="B11" s="4">
        <v>8</v>
      </c>
      <c r="C11" s="4">
        <v>624</v>
      </c>
      <c r="D11" s="23">
        <v>85690.724368446216</v>
      </c>
      <c r="E11" s="33">
        <v>0.71867379099967366</v>
      </c>
      <c r="F11" s="5">
        <v>3</v>
      </c>
      <c r="G11" s="23">
        <v>100</v>
      </c>
      <c r="H11" s="33">
        <v>82.302090704712285</v>
      </c>
      <c r="I11" s="23">
        <v>40.540175452183725</v>
      </c>
      <c r="J11" s="5">
        <v>2173.9755091786906</v>
      </c>
      <c r="K11" s="31"/>
      <c r="L11" s="23">
        <v>115946.7469984135</v>
      </c>
      <c r="M11" s="33">
        <v>0.69481995899695903</v>
      </c>
      <c r="N11" s="5">
        <v>4</v>
      </c>
      <c r="O11" s="5">
        <v>63.333333333333343</v>
      </c>
      <c r="P11" s="33">
        <v>72.520971514350379</v>
      </c>
      <c r="Q11" s="5">
        <v>20.552816389384709</v>
      </c>
      <c r="R11" s="5">
        <v>1473.3082606902869</v>
      </c>
      <c r="S11" s="31"/>
      <c r="T11" s="23">
        <v>105667.6660636273</v>
      </c>
      <c r="U11" s="33">
        <v>1.177281208001659</v>
      </c>
      <c r="V11" s="5">
        <v>3</v>
      </c>
      <c r="W11" s="5">
        <v>80</v>
      </c>
      <c r="X11" s="33">
        <v>203.7590042380881</v>
      </c>
      <c r="Y11" s="5">
        <v>52.205408322160203</v>
      </c>
      <c r="Z11" s="5">
        <v>2397.4724560882069</v>
      </c>
      <c r="AA11" s="35"/>
    </row>
    <row r="12" spans="2:27" x14ac:dyDescent="0.2">
      <c r="B12" s="4">
        <v>9</v>
      </c>
      <c r="C12" s="4">
        <v>763</v>
      </c>
      <c r="D12" s="23">
        <v>85607.458851289994</v>
      </c>
      <c r="E12" s="33">
        <v>1.2283214590006539</v>
      </c>
      <c r="F12" s="5">
        <v>3</v>
      </c>
      <c r="G12" s="23">
        <v>100</v>
      </c>
      <c r="H12" s="33">
        <v>89.449940227339482</v>
      </c>
      <c r="I12" s="23">
        <v>40.19873424635329</v>
      </c>
      <c r="J12" s="5">
        <v>2153.1758955716236</v>
      </c>
      <c r="K12" s="31"/>
      <c r="L12" s="23">
        <v>113624.8207407419</v>
      </c>
      <c r="M12" s="33">
        <v>1.770625749999454</v>
      </c>
      <c r="N12" s="5">
        <v>3</v>
      </c>
      <c r="O12" s="5">
        <v>56.666666666666657</v>
      </c>
      <c r="P12" s="33">
        <v>16.43937237129742</v>
      </c>
      <c r="Q12" s="5">
        <v>24.040127808890741</v>
      </c>
      <c r="R12" s="5">
        <v>1469.223963025262</v>
      </c>
      <c r="S12" s="31"/>
      <c r="T12" s="23">
        <v>106295.4158682618</v>
      </c>
      <c r="U12" s="33">
        <v>1.4040497499991029</v>
      </c>
      <c r="V12" s="5">
        <v>3</v>
      </c>
      <c r="W12" s="5">
        <v>80</v>
      </c>
      <c r="X12" s="33">
        <v>210.966407991898</v>
      </c>
      <c r="Y12" s="5">
        <v>51.690488740789448</v>
      </c>
      <c r="Z12" s="5">
        <v>2407.205645279284</v>
      </c>
      <c r="AA12" s="35"/>
    </row>
    <row r="13" spans="2:27" x14ac:dyDescent="0.2">
      <c r="B13" s="4">
        <v>10</v>
      </c>
      <c r="C13" s="4">
        <v>882</v>
      </c>
      <c r="D13" s="23">
        <v>84681.483651126211</v>
      </c>
      <c r="E13" s="33">
        <v>0.75588045800031978</v>
      </c>
      <c r="F13" s="5">
        <v>3</v>
      </c>
      <c r="G13" s="23">
        <v>100</v>
      </c>
      <c r="H13" s="33">
        <v>84.18754881504853</v>
      </c>
      <c r="I13" s="23">
        <v>39.530915417302587</v>
      </c>
      <c r="J13" s="5">
        <v>2123.8269449540144</v>
      </c>
      <c r="K13" s="31"/>
      <c r="L13" s="23">
        <v>113486.7568087512</v>
      </c>
      <c r="M13" s="33">
        <v>0.68651250000038999</v>
      </c>
      <c r="N13" s="5">
        <v>3</v>
      </c>
      <c r="O13" s="5">
        <v>56.666666666666657</v>
      </c>
      <c r="P13" s="33">
        <v>15.17550682507895</v>
      </c>
      <c r="Q13" s="5">
        <v>23.217094590671191</v>
      </c>
      <c r="R13" s="5">
        <v>1433.9503087893399</v>
      </c>
      <c r="S13" s="31"/>
      <c r="T13" s="23">
        <v>106149.3492242397</v>
      </c>
      <c r="U13" s="33">
        <v>1.2258040410015381</v>
      </c>
      <c r="V13" s="5">
        <v>3</v>
      </c>
      <c r="W13" s="5">
        <v>80</v>
      </c>
      <c r="X13" s="33">
        <v>177.01987937392059</v>
      </c>
      <c r="Y13" s="5">
        <v>50.812841460855729</v>
      </c>
      <c r="Z13" s="5">
        <v>2369.2871209944151</v>
      </c>
      <c r="AA13" s="35"/>
    </row>
    <row r="14" spans="2:27" x14ac:dyDescent="0.2">
      <c r="B14" s="46" t="s">
        <v>3</v>
      </c>
      <c r="C14" s="47"/>
      <c r="D14" s="9">
        <f>MIN(D4:D13)</f>
        <v>84613.696640188573</v>
      </c>
      <c r="E14" s="22">
        <f>INDEX(E4:E13, MATCH($D$14, D4:D13, 0))</f>
        <v>0.84783770899957744</v>
      </c>
      <c r="F14" s="9">
        <f>INDEX(F4:F13, MATCH($D$14, D4:D13, 0))</f>
        <v>3</v>
      </c>
      <c r="G14" s="9">
        <f>INDEX(G4:G13, MATCH($D$14, D4:D13, 0))</f>
        <v>100</v>
      </c>
      <c r="H14" s="22">
        <f>INDEX(H4:H13, MATCH($D$14, D4:D13, 0))</f>
        <v>79.244472119810908</v>
      </c>
      <c r="I14" s="22">
        <f>INDEX(I4:I13, MATCH($D$14, D4:D13, 0))</f>
        <v>40.798766953658252</v>
      </c>
      <c r="J14" s="22">
        <f>INDEX(J4:J13, MATCH($D$14, D4:D13, 0))</f>
        <v>2152.0930320844855</v>
      </c>
      <c r="K14" s="32" t="e">
        <f>(D14-$D$15)/$D$15</f>
        <v>#DIV/0!</v>
      </c>
      <c r="L14" s="16">
        <f>MIN(L4:L13)</f>
        <v>110660.5389280707</v>
      </c>
      <c r="M14" s="21">
        <f>INDEX(M4:M13, MATCH($L$14, L4:L13, 0))</f>
        <v>0.66004366700144601</v>
      </c>
      <c r="N14" s="16">
        <f>INDEX(N4:N13, MATCH($L$14, L4:L13, 0))</f>
        <v>3</v>
      </c>
      <c r="O14" s="16">
        <f>INDEX(O4:O13, MATCH($L$14, L4:L13, 0))</f>
        <v>60</v>
      </c>
      <c r="P14" s="21">
        <f>INDEX(P4:P13, MATCH($L$14, L4:L13, 0))</f>
        <v>7.5834751783714482</v>
      </c>
      <c r="Q14" s="21">
        <f>INDEX(Q4:Q13, MATCH($L$14, L4:L13, 0))</f>
        <v>23.982497665856879</v>
      </c>
      <c r="R14" s="21">
        <f>INDEX(R4:R13, MATCH($L$14, L4:L13, 0))</f>
        <v>1524.190043167368</v>
      </c>
      <c r="S14" s="36" t="e">
        <f>(L14-$D$15)/$D$15</f>
        <v>#DIV/0!</v>
      </c>
      <c r="T14" s="38">
        <f>MIN(T4:T13)</f>
        <v>105114.81422178489</v>
      </c>
      <c r="U14" s="39">
        <f>INDEX(U4:U13, MATCH($T$14, T4:T13, 0))</f>
        <v>1.570279916999425</v>
      </c>
      <c r="V14" s="38">
        <f>INDEX(V4:V13, MATCH($T$14, T4:T13, 0))</f>
        <v>3</v>
      </c>
      <c r="W14" s="38">
        <f>INDEX(W4:W13, MATCH($T$14, T4:T13, 0))</f>
        <v>80</v>
      </c>
      <c r="X14" s="39">
        <f>INDEX(X4:X13, MATCH($T$14, T4:T13, 0))</f>
        <v>201.39727935740859</v>
      </c>
      <c r="Y14" s="39">
        <f>INDEX(Y4:Y13, MATCH($T$14, T4:T13, 0))</f>
        <v>51.464908974993762</v>
      </c>
      <c r="Z14" s="39">
        <f>INDEX(Z4:Z13, MATCH($T$14, T4:T13, 0))</f>
        <v>2370.1496214405352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6:C1048576">
    <cfRule type="duplicateValues" dxfId="133" priority="15"/>
    <cfRule type="duplicateValues" dxfId="132" priority="16"/>
  </conditionalFormatting>
  <conditionalFormatting sqref="C14">
    <cfRule type="duplicateValues" dxfId="131" priority="7"/>
    <cfRule type="duplicateValues" dxfId="130" priority="8"/>
  </conditionalFormatting>
  <conditionalFormatting sqref="C24:C35">
    <cfRule type="duplicateValues" dxfId="35" priority="5"/>
    <cfRule type="duplicateValues" dxfId="34" priority="6"/>
  </conditionalFormatting>
  <conditionalFormatting sqref="C17">
    <cfRule type="duplicateValues" dxfId="33" priority="1"/>
    <cfRule type="duplicateValues" dxfId="32" priority="2"/>
  </conditionalFormatting>
  <conditionalFormatting sqref="C18:C23">
    <cfRule type="duplicateValues" dxfId="31" priority="3"/>
    <cfRule type="duplicateValues" dxfId="30" priority="4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BC211-2063-D947-BA2F-4B0C333136EE}">
  <dimension ref="B1:AA17"/>
  <sheetViews>
    <sheetView zoomScaleNormal="100" workbookViewId="0">
      <selection activeCell="A17" sqref="A17:XFD35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30</v>
      </c>
      <c r="H2" s="28">
        <f>(Q14-H14)/H14</f>
        <v>0.63622756234322231</v>
      </c>
      <c r="J2" s="28" t="e">
        <f>(S14-J14)/J14</f>
        <v>#DIV/0!</v>
      </c>
      <c r="K2" s="28"/>
      <c r="L2" s="1" t="s">
        <v>19</v>
      </c>
      <c r="P2" s="1">
        <f>(P14-H14)/H14</f>
        <v>-0.99667633009188239</v>
      </c>
      <c r="R2" s="1">
        <f>(R14-J14)/J14</f>
        <v>-0.24112287789724329</v>
      </c>
      <c r="T2" s="1" t="s">
        <v>20</v>
      </c>
      <c r="X2" s="1">
        <f>(X14-P14)/P14</f>
        <v>1077.370580567924</v>
      </c>
      <c r="Z2" s="1">
        <f>(Z14-R14)/R14</f>
        <v>0.40941283381711358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23</v>
      </c>
      <c r="D4" s="23">
        <v>82016.345880946363</v>
      </c>
      <c r="E4" s="33">
        <v>1.1675809580010541</v>
      </c>
      <c r="F4" s="5">
        <v>2</v>
      </c>
      <c r="G4" s="23">
        <v>90</v>
      </c>
      <c r="H4" s="33">
        <v>10.80607104796575</v>
      </c>
      <c r="I4" s="23">
        <v>33.183494197660266</v>
      </c>
      <c r="J4" s="5">
        <v>1938.0390448547407</v>
      </c>
      <c r="K4" s="31"/>
      <c r="L4" s="23">
        <v>94382.823626198311</v>
      </c>
      <c r="M4" s="33">
        <v>0.58692275000066729</v>
      </c>
      <c r="N4" s="5">
        <v>3</v>
      </c>
      <c r="O4" s="5">
        <v>76.666666666666671</v>
      </c>
      <c r="P4" s="33">
        <v>3.591581316710369E-2</v>
      </c>
      <c r="Q4" s="5">
        <v>18.058095941824451</v>
      </c>
      <c r="R4" s="5">
        <v>1481.833744880372</v>
      </c>
      <c r="S4" s="31"/>
      <c r="T4" s="23">
        <v>104990.3596231198</v>
      </c>
      <c r="U4" s="33">
        <v>1.2441701250027111</v>
      </c>
      <c r="V4" s="5">
        <v>3</v>
      </c>
      <c r="W4" s="5">
        <v>80</v>
      </c>
      <c r="X4" s="33">
        <v>75.005982898751867</v>
      </c>
      <c r="Y4" s="5">
        <v>36.859063448278839</v>
      </c>
      <c r="Z4" s="5">
        <v>2227.1254998385921</v>
      </c>
      <c r="AA4" s="35"/>
    </row>
    <row r="5" spans="2:27" x14ac:dyDescent="0.2">
      <c r="B5" s="4">
        <v>2</v>
      </c>
      <c r="C5" s="4">
        <v>117</v>
      </c>
      <c r="D5" s="23">
        <v>83618.277423047024</v>
      </c>
      <c r="E5" s="33">
        <v>0.72306241700061946</v>
      </c>
      <c r="F5" s="5">
        <v>2</v>
      </c>
      <c r="G5" s="23">
        <v>96.666666666666671</v>
      </c>
      <c r="H5" s="33">
        <v>92.143553917841288</v>
      </c>
      <c r="I5" s="23">
        <v>36.672115923722949</v>
      </c>
      <c r="J5" s="5">
        <v>2128.9553909821966</v>
      </c>
      <c r="K5" s="31"/>
      <c r="L5" s="23">
        <v>93639.28892015887</v>
      </c>
      <c r="M5" s="33">
        <v>0.80022120899957372</v>
      </c>
      <c r="N5" s="5">
        <v>3</v>
      </c>
      <c r="O5" s="5">
        <v>76.666666666666671</v>
      </c>
      <c r="P5" s="33">
        <v>3.591581316710369E-2</v>
      </c>
      <c r="Q5" s="5">
        <v>17.681191289320669</v>
      </c>
      <c r="R5" s="5">
        <v>1470.733492882141</v>
      </c>
      <c r="S5" s="31"/>
      <c r="T5" s="23">
        <v>102009.2470018123</v>
      </c>
      <c r="U5" s="33">
        <v>1.063573374998668</v>
      </c>
      <c r="V5" s="5">
        <v>2</v>
      </c>
      <c r="W5" s="5">
        <v>70</v>
      </c>
      <c r="X5" s="33">
        <v>38.73055629657869</v>
      </c>
      <c r="Y5" s="5">
        <v>37.041352271424977</v>
      </c>
      <c r="Z5" s="5">
        <v>2072.87065999276</v>
      </c>
      <c r="AA5" s="35"/>
    </row>
    <row r="6" spans="2:27" x14ac:dyDescent="0.2">
      <c r="B6" s="4">
        <v>3</v>
      </c>
      <c r="C6" s="4">
        <v>182</v>
      </c>
      <c r="D6" s="23">
        <v>82016.345880946363</v>
      </c>
      <c r="E6" s="33">
        <v>1.118883582999842</v>
      </c>
      <c r="F6" s="5">
        <v>2</v>
      </c>
      <c r="G6" s="23">
        <v>90</v>
      </c>
      <c r="H6" s="33">
        <v>10.80607104796575</v>
      </c>
      <c r="I6" s="23">
        <v>33.183494197660266</v>
      </c>
      <c r="J6" s="5">
        <v>1938.0390448547407</v>
      </c>
      <c r="K6" s="31"/>
      <c r="L6" s="23">
        <v>93952.511046821761</v>
      </c>
      <c r="M6" s="33">
        <v>0.72877708300075028</v>
      </c>
      <c r="N6" s="5">
        <v>3</v>
      </c>
      <c r="O6" s="5">
        <v>76.666666666666671</v>
      </c>
      <c r="P6" s="33">
        <v>3.591581316710369E-2</v>
      </c>
      <c r="Q6" s="5">
        <v>17.422764424139999</v>
      </c>
      <c r="R6" s="5">
        <v>1458.1581877009789</v>
      </c>
      <c r="S6" s="31"/>
      <c r="T6" s="23">
        <v>103868.22705210029</v>
      </c>
      <c r="U6" s="33">
        <v>1.9233972090005409</v>
      </c>
      <c r="V6" s="5">
        <v>3</v>
      </c>
      <c r="W6" s="5">
        <v>80</v>
      </c>
      <c r="X6" s="33">
        <v>68.600403672904321</v>
      </c>
      <c r="Y6" s="5">
        <v>32.9930752396277</v>
      </c>
      <c r="Z6" s="5">
        <v>2116.412170673214</v>
      </c>
      <c r="AA6" s="35"/>
    </row>
    <row r="7" spans="2:27" x14ac:dyDescent="0.2">
      <c r="B7" s="4">
        <v>4</v>
      </c>
      <c r="C7" s="4">
        <v>186</v>
      </c>
      <c r="D7" s="23">
        <v>82016.345880946363</v>
      </c>
      <c r="E7" s="33">
        <v>1.3610324159999441</v>
      </c>
      <c r="F7" s="5">
        <v>2</v>
      </c>
      <c r="G7" s="23">
        <v>90</v>
      </c>
      <c r="H7" s="33">
        <v>10.80607104796575</v>
      </c>
      <c r="I7" s="23">
        <v>33.183494197660266</v>
      </c>
      <c r="J7" s="5">
        <v>1938.0390448547407</v>
      </c>
      <c r="K7" s="31"/>
      <c r="L7" s="23">
        <v>93768.50248059789</v>
      </c>
      <c r="M7" s="33">
        <v>0.93529695799952606</v>
      </c>
      <c r="N7" s="5">
        <v>3</v>
      </c>
      <c r="O7" s="5">
        <v>76.666666666666671</v>
      </c>
      <c r="P7" s="33">
        <v>3.591581316710369E-2</v>
      </c>
      <c r="Q7" s="5">
        <v>17.687482145284729</v>
      </c>
      <c r="R7" s="5">
        <v>1473.9879947463869</v>
      </c>
      <c r="S7" s="31"/>
      <c r="T7" s="23">
        <v>102009.2470018123</v>
      </c>
      <c r="U7" s="33">
        <v>1.6051800830027789</v>
      </c>
      <c r="V7" s="5">
        <v>2</v>
      </c>
      <c r="W7" s="5">
        <v>70</v>
      </c>
      <c r="X7" s="33">
        <v>38.73055629657869</v>
      </c>
      <c r="Y7" s="5">
        <v>37.041352271424977</v>
      </c>
      <c r="Z7" s="5">
        <v>2072.87065999276</v>
      </c>
      <c r="AA7" s="35"/>
    </row>
    <row r="8" spans="2:27" x14ac:dyDescent="0.2">
      <c r="B8" s="4">
        <v>5</v>
      </c>
      <c r="C8" s="4">
        <v>462</v>
      </c>
      <c r="D8" s="23">
        <v>82511.329880026315</v>
      </c>
      <c r="E8" s="33">
        <v>0.74761899999975867</v>
      </c>
      <c r="F8" s="5">
        <v>2</v>
      </c>
      <c r="G8" s="23">
        <v>93.333333333333329</v>
      </c>
      <c r="H8" s="33">
        <v>32.487531018846092</v>
      </c>
      <c r="I8" s="23">
        <v>34.879189930729751</v>
      </c>
      <c r="J8" s="5">
        <v>2027.6417095007753</v>
      </c>
      <c r="K8" s="31"/>
      <c r="L8" s="23">
        <v>94651.158927699973</v>
      </c>
      <c r="M8" s="33">
        <v>0.51865762499801349</v>
      </c>
      <c r="N8" s="5">
        <v>3</v>
      </c>
      <c r="O8" s="5">
        <v>76.666666666666671</v>
      </c>
      <c r="P8" s="33">
        <v>3.591581316710369E-2</v>
      </c>
      <c r="Q8" s="5">
        <v>18.697082147259461</v>
      </c>
      <c r="R8" s="5">
        <v>1510.5478882054881</v>
      </c>
      <c r="S8" s="31"/>
      <c r="T8" s="23">
        <v>104026.5072853086</v>
      </c>
      <c r="U8" s="33">
        <v>1.2278040829987731</v>
      </c>
      <c r="V8" s="5">
        <v>2</v>
      </c>
      <c r="W8" s="5">
        <v>73.333333333333329</v>
      </c>
      <c r="X8" s="33">
        <v>110.13783047502901</v>
      </c>
      <c r="Y8" s="5">
        <v>41.448180618160457</v>
      </c>
      <c r="Z8" s="5">
        <v>2252.008601246428</v>
      </c>
      <c r="AA8" s="35"/>
    </row>
    <row r="9" spans="2:27" x14ac:dyDescent="0.2">
      <c r="B9" s="4">
        <v>6</v>
      </c>
      <c r="C9" s="4">
        <v>577</v>
      </c>
      <c r="D9" s="23">
        <v>82016.345880946363</v>
      </c>
      <c r="E9" s="33">
        <v>1.281861749999734</v>
      </c>
      <c r="F9" s="5">
        <v>2</v>
      </c>
      <c r="G9" s="23">
        <v>90</v>
      </c>
      <c r="H9" s="33">
        <v>10.80607104796575</v>
      </c>
      <c r="I9" s="23">
        <v>33.183494197660266</v>
      </c>
      <c r="J9" s="5">
        <v>1938.0390448547407</v>
      </c>
      <c r="K9" s="31"/>
      <c r="L9" s="23">
        <v>94012.880773317331</v>
      </c>
      <c r="M9" s="33">
        <v>1.275882291000016</v>
      </c>
      <c r="N9" s="5">
        <v>3</v>
      </c>
      <c r="O9" s="5">
        <v>76.666666666666671</v>
      </c>
      <c r="P9" s="33">
        <v>3.591581316710369E-2</v>
      </c>
      <c r="Q9" s="5">
        <v>17.23332727936516</v>
      </c>
      <c r="R9" s="5">
        <v>1457.7912633583121</v>
      </c>
      <c r="S9" s="31"/>
      <c r="T9" s="23">
        <v>102200.1736509339</v>
      </c>
      <c r="U9" s="33">
        <v>1.8384422079980141</v>
      </c>
      <c r="V9" s="5">
        <v>2</v>
      </c>
      <c r="W9" s="5">
        <v>73.333333333333329</v>
      </c>
      <c r="X9" s="33">
        <v>80.495598115793669</v>
      </c>
      <c r="Y9" s="5">
        <v>39.152637915482671</v>
      </c>
      <c r="Z9" s="5">
        <v>2180.608041022339</v>
      </c>
      <c r="AA9" s="35"/>
    </row>
    <row r="10" spans="2:27" x14ac:dyDescent="0.2">
      <c r="B10" s="4">
        <v>7</v>
      </c>
      <c r="C10" s="4">
        <v>709</v>
      </c>
      <c r="D10" s="23">
        <v>82016.345880946363</v>
      </c>
      <c r="E10" s="33">
        <v>2.1381992079986958</v>
      </c>
      <c r="F10" s="5">
        <v>2</v>
      </c>
      <c r="G10" s="23">
        <v>90</v>
      </c>
      <c r="H10" s="33">
        <v>10.80607104796575</v>
      </c>
      <c r="I10" s="23">
        <v>33.183494197660266</v>
      </c>
      <c r="J10" s="5">
        <v>1938.0390448547407</v>
      </c>
      <c r="K10" s="31"/>
      <c r="L10" s="23">
        <v>93853.863782879547</v>
      </c>
      <c r="M10" s="33">
        <v>0.76120358400294208</v>
      </c>
      <c r="N10" s="5">
        <v>3</v>
      </c>
      <c r="O10" s="5">
        <v>76.666666666666671</v>
      </c>
      <c r="P10" s="33">
        <v>3.591581316710369E-2</v>
      </c>
      <c r="Q10" s="5">
        <v>17.371164427006239</v>
      </c>
      <c r="R10" s="5">
        <v>1463.9640372738111</v>
      </c>
      <c r="S10" s="31"/>
      <c r="T10" s="23">
        <v>102333.1234124497</v>
      </c>
      <c r="U10" s="33">
        <v>1.2614754999995059</v>
      </c>
      <c r="V10" s="5">
        <v>2</v>
      </c>
      <c r="W10" s="5">
        <v>66.666666666666671</v>
      </c>
      <c r="X10" s="33">
        <v>13.92496702580411</v>
      </c>
      <c r="Y10" s="5">
        <v>31.075197650421099</v>
      </c>
      <c r="Z10" s="5">
        <v>1871.6692830373929</v>
      </c>
      <c r="AA10" s="35"/>
    </row>
    <row r="11" spans="2:27" x14ac:dyDescent="0.2">
      <c r="B11" s="4">
        <v>8</v>
      </c>
      <c r="C11" s="4">
        <v>849</v>
      </c>
      <c r="D11" s="23">
        <v>82016.345880946363</v>
      </c>
      <c r="E11" s="33">
        <v>2.120133041000372</v>
      </c>
      <c r="F11" s="5">
        <v>2</v>
      </c>
      <c r="G11" s="23">
        <v>90</v>
      </c>
      <c r="H11" s="33">
        <v>10.80607104796575</v>
      </c>
      <c r="I11" s="23">
        <v>33.183494197660266</v>
      </c>
      <c r="J11" s="5">
        <v>1938.0390448547407</v>
      </c>
      <c r="K11" s="31"/>
      <c r="L11" s="23">
        <v>93999.490195829276</v>
      </c>
      <c r="M11" s="33">
        <v>1.004888667001069</v>
      </c>
      <c r="N11" s="5">
        <v>3</v>
      </c>
      <c r="O11" s="5">
        <v>76.666666666666671</v>
      </c>
      <c r="P11" s="33">
        <v>3.591581316710369E-2</v>
      </c>
      <c r="Q11" s="5">
        <v>17.698903044505201</v>
      </c>
      <c r="R11" s="5">
        <v>1482.20939592949</v>
      </c>
      <c r="S11" s="31"/>
      <c r="T11" s="23">
        <v>103736.3176791805</v>
      </c>
      <c r="U11" s="33">
        <v>0.88861079100024654</v>
      </c>
      <c r="V11" s="5">
        <v>3</v>
      </c>
      <c r="W11" s="5">
        <v>80</v>
      </c>
      <c r="X11" s="33">
        <v>87.594410533358314</v>
      </c>
      <c r="Y11" s="5">
        <v>36.510774905747972</v>
      </c>
      <c r="Z11" s="5">
        <v>2147.027679375165</v>
      </c>
      <c r="AA11" s="35"/>
    </row>
    <row r="12" spans="2:27" x14ac:dyDescent="0.2">
      <c r="B12" s="4">
        <v>9</v>
      </c>
      <c r="C12" s="4">
        <v>851</v>
      </c>
      <c r="D12" s="23">
        <v>82016.345880946363</v>
      </c>
      <c r="E12" s="33">
        <v>0.94729141700008768</v>
      </c>
      <c r="F12" s="5">
        <v>2</v>
      </c>
      <c r="G12" s="23">
        <v>90</v>
      </c>
      <c r="H12" s="33">
        <v>10.80607104796575</v>
      </c>
      <c r="I12" s="23">
        <v>33.183494197660266</v>
      </c>
      <c r="J12" s="5">
        <v>1938.0390448547407</v>
      </c>
      <c r="K12" s="31"/>
      <c r="L12" s="23">
        <v>94177.172885020263</v>
      </c>
      <c r="M12" s="33">
        <v>1.061171083998488</v>
      </c>
      <c r="N12" s="5">
        <v>3</v>
      </c>
      <c r="O12" s="5">
        <v>76.666666666666671</v>
      </c>
      <c r="P12" s="33">
        <v>3.591581316710369E-2</v>
      </c>
      <c r="Q12" s="5">
        <v>17.612890567425179</v>
      </c>
      <c r="R12" s="5">
        <v>1467.9767534053781</v>
      </c>
      <c r="S12" s="31"/>
      <c r="T12" s="23">
        <v>105093.92531728229</v>
      </c>
      <c r="U12" s="33">
        <v>1.2334073749989329</v>
      </c>
      <c r="V12" s="5">
        <v>3</v>
      </c>
      <c r="W12" s="5">
        <v>83.333333333333329</v>
      </c>
      <c r="X12" s="33">
        <v>106.8326357388743</v>
      </c>
      <c r="Y12" s="5">
        <v>37.97450480267247</v>
      </c>
      <c r="Z12" s="5">
        <v>2291.546002186823</v>
      </c>
      <c r="AA12" s="35"/>
    </row>
    <row r="13" spans="2:27" x14ac:dyDescent="0.2">
      <c r="B13" s="4">
        <v>10</v>
      </c>
      <c r="C13" s="4">
        <v>982</v>
      </c>
      <c r="D13" s="23">
        <v>82251.789479049607</v>
      </c>
      <c r="E13" s="33">
        <v>0.61462383399884857</v>
      </c>
      <c r="F13" s="5">
        <v>2</v>
      </c>
      <c r="G13" s="23">
        <v>93.333333333333329</v>
      </c>
      <c r="H13" s="33">
        <v>33.750565429690838</v>
      </c>
      <c r="I13" s="23">
        <v>34.945306507477866</v>
      </c>
      <c r="J13" s="5">
        <v>2031.1782058511415</v>
      </c>
      <c r="K13" s="31"/>
      <c r="L13" s="23">
        <v>93838.325748551797</v>
      </c>
      <c r="M13" s="33">
        <v>0.76654516700000386</v>
      </c>
      <c r="N13" s="5">
        <v>3</v>
      </c>
      <c r="O13" s="5">
        <v>76.666666666666671</v>
      </c>
      <c r="P13" s="33">
        <v>3.591581316710369E-2</v>
      </c>
      <c r="Q13" s="5">
        <v>17.692125396115351</v>
      </c>
      <c r="R13" s="5">
        <v>1475.197227788437</v>
      </c>
      <c r="S13" s="31"/>
      <c r="T13" s="23">
        <v>102009.2470018123</v>
      </c>
      <c r="U13" s="33">
        <v>2.6054181670006069</v>
      </c>
      <c r="V13" s="5">
        <v>2</v>
      </c>
      <c r="W13" s="5">
        <v>70</v>
      </c>
      <c r="X13" s="33">
        <v>38.73055629657869</v>
      </c>
      <c r="Y13" s="5">
        <v>37.041352271424977</v>
      </c>
      <c r="Z13" s="5">
        <v>2072.87065999276</v>
      </c>
      <c r="AA13" s="35"/>
    </row>
    <row r="14" spans="2:27" x14ac:dyDescent="0.2">
      <c r="B14" s="46" t="s">
        <v>3</v>
      </c>
      <c r="C14" s="47"/>
      <c r="D14" s="9">
        <f>MIN(D4:D13)</f>
        <v>82016.345880946363</v>
      </c>
      <c r="E14" s="22">
        <f>INDEX(E4:E13, MATCH($D$14, D4:D13, 0))</f>
        <v>1.1675809580010541</v>
      </c>
      <c r="F14" s="9">
        <f>INDEX(F4:F13, MATCH($D$14, D4:D13, 0))</f>
        <v>2</v>
      </c>
      <c r="G14" s="9">
        <f>INDEX(G4:G13, MATCH($D$14, D4:D13, 0))</f>
        <v>90</v>
      </c>
      <c r="H14" s="22">
        <f>INDEX(H4:H13, MATCH($D$14, D4:D13, 0))</f>
        <v>10.80607104796575</v>
      </c>
      <c r="I14" s="22">
        <f>INDEX(I4:I13, MATCH($D$14, D4:D13, 0))</f>
        <v>33.183494197660266</v>
      </c>
      <c r="J14" s="22">
        <f>INDEX(J4:J13, MATCH($D$14, D4:D13, 0))</f>
        <v>1938.0390448547407</v>
      </c>
      <c r="K14" s="32" t="e">
        <f>(D14-$D$15)/$D$15</f>
        <v>#DIV/0!</v>
      </c>
      <c r="L14" s="16">
        <f>MIN(L4:L13)</f>
        <v>93639.28892015887</v>
      </c>
      <c r="M14" s="21">
        <f>INDEX(M4:M13, MATCH($L$14, L4:L13, 0))</f>
        <v>0.80022120899957372</v>
      </c>
      <c r="N14" s="16">
        <f>INDEX(N4:N13, MATCH($L$14, L4:L13, 0))</f>
        <v>3</v>
      </c>
      <c r="O14" s="16">
        <f>INDEX(O4:O13, MATCH($L$14, L4:L13, 0))</f>
        <v>76.666666666666671</v>
      </c>
      <c r="P14" s="21">
        <f>INDEX(P4:P13, MATCH($L$14, L4:L13, 0))</f>
        <v>3.591581316710369E-2</v>
      </c>
      <c r="Q14" s="21">
        <f>INDEX(Q4:Q13, MATCH($L$14, L4:L13, 0))</f>
        <v>17.681191289320669</v>
      </c>
      <c r="R14" s="21">
        <f>INDEX(R4:R13, MATCH($L$14, L4:L13, 0))</f>
        <v>1470.733492882141</v>
      </c>
      <c r="S14" s="36" t="e">
        <f>(L14-$D$15)/$D$15</f>
        <v>#DIV/0!</v>
      </c>
      <c r="T14" s="38">
        <f>MIN(T4:T13)</f>
        <v>102009.2470018123</v>
      </c>
      <c r="U14" s="39">
        <f>INDEX(U4:U13, MATCH($T$14, T4:T13, 0))</f>
        <v>1.063573374998668</v>
      </c>
      <c r="V14" s="38">
        <f>INDEX(V4:V13, MATCH($T$14, T4:T13, 0))</f>
        <v>2</v>
      </c>
      <c r="W14" s="38">
        <f>INDEX(W4:W13, MATCH($T$14, T4:T13, 0))</f>
        <v>70</v>
      </c>
      <c r="X14" s="39">
        <f>INDEX(X4:X13, MATCH($T$14, T4:T13, 0))</f>
        <v>38.73055629657869</v>
      </c>
      <c r="Y14" s="39">
        <f>INDEX(Y4:Y13, MATCH($T$14, T4:T13, 0))</f>
        <v>37.041352271424977</v>
      </c>
      <c r="Z14" s="39">
        <f>INDEX(Z4:Z13, MATCH($T$14, T4:T13, 0))</f>
        <v>2072.87065999276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6:C1048576">
    <cfRule type="duplicateValues" dxfId="125" priority="15"/>
    <cfRule type="duplicateValues" dxfId="124" priority="16"/>
  </conditionalFormatting>
  <conditionalFormatting sqref="C14">
    <cfRule type="duplicateValues" dxfId="123" priority="7"/>
    <cfRule type="duplicateValues" dxfId="122" priority="8"/>
  </conditionalFormatting>
  <conditionalFormatting sqref="C24:C35">
    <cfRule type="duplicateValues" dxfId="29" priority="5"/>
    <cfRule type="duplicateValues" dxfId="28" priority="6"/>
  </conditionalFormatting>
  <conditionalFormatting sqref="C17">
    <cfRule type="duplicateValues" dxfId="27" priority="1"/>
    <cfRule type="duplicateValues" dxfId="26" priority="2"/>
  </conditionalFormatting>
  <conditionalFormatting sqref="C18:C23">
    <cfRule type="duplicateValues" dxfId="25" priority="3"/>
    <cfRule type="duplicateValues" dxfId="24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C56D8-2DD5-DC4B-8CCE-8A52B3A7F9B1}">
  <dimension ref="B1:AA17"/>
  <sheetViews>
    <sheetView zoomScaleNormal="100" workbookViewId="0">
      <selection activeCell="A17" sqref="A17:XFD35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30</v>
      </c>
      <c r="H2" s="28">
        <f>(Q14-H14)/H14</f>
        <v>2.8488509410301401</v>
      </c>
      <c r="J2" s="28" t="e">
        <f>(S14-J14)/J14</f>
        <v>#DIV/0!</v>
      </c>
      <c r="K2" s="28"/>
      <c r="L2" s="1" t="s">
        <v>19</v>
      </c>
      <c r="P2" s="1">
        <f>(P14-H14)/H14</f>
        <v>-1</v>
      </c>
      <c r="R2" s="1">
        <f>(R14-J14)/J14</f>
        <v>-0.27047980792520809</v>
      </c>
      <c r="T2" s="1" t="s">
        <v>20</v>
      </c>
      <c r="X2" s="1" t="e">
        <f>(X14-P14)/P14</f>
        <v>#DIV/0!</v>
      </c>
      <c r="Z2" s="1">
        <f>(Z14-R14)/R14</f>
        <v>0.69746302402677685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55</v>
      </c>
      <c r="D4" s="23">
        <v>67990.035746193927</v>
      </c>
      <c r="E4" s="33">
        <v>0.97704675000022689</v>
      </c>
      <c r="F4" s="5">
        <v>2</v>
      </c>
      <c r="G4" s="23">
        <v>96.666666666666671</v>
      </c>
      <c r="H4" s="33">
        <v>4.9417655605470578</v>
      </c>
      <c r="I4" s="23">
        <v>40.428845223846622</v>
      </c>
      <c r="J4" s="5">
        <v>1602.3419813402365</v>
      </c>
      <c r="K4" s="31"/>
      <c r="L4" s="23">
        <v>92465.197744400153</v>
      </c>
      <c r="M4" s="33">
        <v>0.72543095900255139</v>
      </c>
      <c r="N4" s="5">
        <v>3</v>
      </c>
      <c r="O4" s="5">
        <v>73.333333333333329</v>
      </c>
      <c r="P4" s="33">
        <v>0</v>
      </c>
      <c r="Q4" s="5">
        <v>18.200902960205681</v>
      </c>
      <c r="R4" s="5">
        <v>1166.2993265273531</v>
      </c>
      <c r="S4" s="31"/>
      <c r="T4" s="23">
        <v>88202.221842709187</v>
      </c>
      <c r="U4" s="33">
        <v>0.67257700000118348</v>
      </c>
      <c r="V4" s="5">
        <v>2</v>
      </c>
      <c r="W4" s="5">
        <v>90</v>
      </c>
      <c r="X4" s="33">
        <v>89.596513720255814</v>
      </c>
      <c r="Y4" s="5">
        <v>63.291044996072998</v>
      </c>
      <c r="Z4" s="5">
        <v>2165.6120164387248</v>
      </c>
      <c r="AA4" s="35"/>
    </row>
    <row r="5" spans="2:27" x14ac:dyDescent="0.2">
      <c r="B5" s="4">
        <v>2</v>
      </c>
      <c r="C5" s="4">
        <v>240</v>
      </c>
      <c r="D5" s="23">
        <v>67990.035746193927</v>
      </c>
      <c r="E5" s="33">
        <v>1.6581773329999121</v>
      </c>
      <c r="F5" s="5">
        <v>2</v>
      </c>
      <c r="G5" s="23">
        <v>96.666666666666671</v>
      </c>
      <c r="H5" s="33">
        <v>4.9417655605470578</v>
      </c>
      <c r="I5" s="23">
        <v>40.428845223846622</v>
      </c>
      <c r="J5" s="5">
        <v>1602.3419813402365</v>
      </c>
      <c r="K5" s="31"/>
      <c r="L5" s="23">
        <v>93014.245026951394</v>
      </c>
      <c r="M5" s="33">
        <v>0.64040212500185589</v>
      </c>
      <c r="N5" s="5">
        <v>3</v>
      </c>
      <c r="O5" s="5">
        <v>73.333333333333329</v>
      </c>
      <c r="P5" s="33">
        <v>0</v>
      </c>
      <c r="Q5" s="5">
        <v>18.231617000207649</v>
      </c>
      <c r="R5" s="5">
        <v>1198.095089514062</v>
      </c>
      <c r="S5" s="31"/>
      <c r="T5" s="23">
        <v>86994.839744487253</v>
      </c>
      <c r="U5" s="33">
        <v>1.5919620409986239</v>
      </c>
      <c r="V5" s="5">
        <v>2</v>
      </c>
      <c r="W5" s="5">
        <v>90</v>
      </c>
      <c r="X5" s="33">
        <v>53.453163549203282</v>
      </c>
      <c r="Y5" s="5">
        <v>68.106760687238889</v>
      </c>
      <c r="Z5" s="5">
        <v>2196.1615812708269</v>
      </c>
      <c r="AA5" s="35"/>
    </row>
    <row r="6" spans="2:27" x14ac:dyDescent="0.2">
      <c r="B6" s="4">
        <v>3</v>
      </c>
      <c r="C6" s="4">
        <v>376</v>
      </c>
      <c r="D6" s="23">
        <v>67990.035746193927</v>
      </c>
      <c r="E6" s="33">
        <v>1.300619292000192</v>
      </c>
      <c r="F6" s="5">
        <v>2</v>
      </c>
      <c r="G6" s="23">
        <v>96.666666666666671</v>
      </c>
      <c r="H6" s="33">
        <v>4.9417655605470578</v>
      </c>
      <c r="I6" s="23">
        <v>40.428845223846622</v>
      </c>
      <c r="J6" s="5">
        <v>1602.3419813402365</v>
      </c>
      <c r="K6" s="31"/>
      <c r="L6" s="23">
        <v>92596.653323224018</v>
      </c>
      <c r="M6" s="33">
        <v>0.62924945800114074</v>
      </c>
      <c r="N6" s="5">
        <v>3</v>
      </c>
      <c r="O6" s="5">
        <v>73.333333333333329</v>
      </c>
      <c r="P6" s="33">
        <v>0</v>
      </c>
      <c r="Q6" s="5">
        <v>18.79192027063019</v>
      </c>
      <c r="R6" s="5">
        <v>1196.858340118388</v>
      </c>
      <c r="S6" s="31"/>
      <c r="T6" s="23">
        <v>88005.614190780936</v>
      </c>
      <c r="U6" s="33">
        <v>2.2458834579992981</v>
      </c>
      <c r="V6" s="5">
        <v>3</v>
      </c>
      <c r="W6" s="5">
        <v>93.333333333333329</v>
      </c>
      <c r="X6" s="33">
        <v>19.132830210219439</v>
      </c>
      <c r="Y6" s="5">
        <v>47.668672055115572</v>
      </c>
      <c r="Z6" s="5">
        <v>2009.3727052823599</v>
      </c>
      <c r="AA6" s="35"/>
    </row>
    <row r="7" spans="2:27" x14ac:dyDescent="0.2">
      <c r="B7" s="4">
        <v>4</v>
      </c>
      <c r="C7" s="4">
        <v>409</v>
      </c>
      <c r="D7" s="23">
        <v>67990.035746193927</v>
      </c>
      <c r="E7" s="33">
        <v>1.5575943750009169</v>
      </c>
      <c r="F7" s="5">
        <v>2</v>
      </c>
      <c r="G7" s="23">
        <v>96.666666666666671</v>
      </c>
      <c r="H7" s="33">
        <v>4.9417655605470578</v>
      </c>
      <c r="I7" s="23">
        <v>40.428845223846622</v>
      </c>
      <c r="J7" s="5">
        <v>1602.3419813402365</v>
      </c>
      <c r="K7" s="31"/>
      <c r="L7" s="23">
        <v>92512.550194375784</v>
      </c>
      <c r="M7" s="33">
        <v>1.046629374999611</v>
      </c>
      <c r="N7" s="5">
        <v>3</v>
      </c>
      <c r="O7" s="5">
        <v>73.333333333333329</v>
      </c>
      <c r="P7" s="33">
        <v>0</v>
      </c>
      <c r="Q7" s="5">
        <v>18.474680041820069</v>
      </c>
      <c r="R7" s="5">
        <v>1194.1766029103189</v>
      </c>
      <c r="S7" s="31"/>
      <c r="T7" s="23">
        <v>86088.679811176451</v>
      </c>
      <c r="U7" s="33">
        <v>1.5012437920013331</v>
      </c>
      <c r="V7" s="5">
        <v>2</v>
      </c>
      <c r="W7" s="5">
        <v>83.333333333333329</v>
      </c>
      <c r="X7" s="33">
        <v>10.634490895081891</v>
      </c>
      <c r="Y7" s="5">
        <v>54.261786963547863</v>
      </c>
      <c r="Z7" s="5">
        <v>1885.0813058642509</v>
      </c>
      <c r="AA7" s="35"/>
    </row>
    <row r="8" spans="2:27" x14ac:dyDescent="0.2">
      <c r="B8" s="4">
        <v>5</v>
      </c>
      <c r="C8" s="4">
        <v>491</v>
      </c>
      <c r="D8" s="23">
        <v>67990.035746193927</v>
      </c>
      <c r="E8" s="33">
        <v>1.2002952090006149</v>
      </c>
      <c r="F8" s="5">
        <v>2</v>
      </c>
      <c r="G8" s="23">
        <v>96.666666666666671</v>
      </c>
      <c r="H8" s="33">
        <v>4.9417655605470578</v>
      </c>
      <c r="I8" s="23">
        <v>40.428845223846622</v>
      </c>
      <c r="J8" s="5">
        <v>1602.3419813402365</v>
      </c>
      <c r="K8" s="31"/>
      <c r="L8" s="23">
        <v>92080.021221161558</v>
      </c>
      <c r="M8" s="33">
        <v>0.78582304199881037</v>
      </c>
      <c r="N8" s="5">
        <v>3</v>
      </c>
      <c r="O8" s="5">
        <v>73.333333333333329</v>
      </c>
      <c r="P8" s="33">
        <v>0</v>
      </c>
      <c r="Q8" s="5">
        <v>18.418415097850961</v>
      </c>
      <c r="R8" s="5">
        <v>1165.21066386348</v>
      </c>
      <c r="S8" s="31"/>
      <c r="T8" s="23">
        <v>85297.817695101505</v>
      </c>
      <c r="U8" s="33">
        <v>1.108925291999185</v>
      </c>
      <c r="V8" s="5">
        <v>2</v>
      </c>
      <c r="W8" s="5">
        <v>86.666666666666671</v>
      </c>
      <c r="X8" s="33">
        <v>26.513671806130048</v>
      </c>
      <c r="Y8" s="5">
        <v>58.134138989657757</v>
      </c>
      <c r="Z8" s="5">
        <v>1984.233836194793</v>
      </c>
      <c r="AA8" s="35"/>
    </row>
    <row r="9" spans="2:27" x14ac:dyDescent="0.2">
      <c r="B9" s="4">
        <v>6</v>
      </c>
      <c r="C9" s="4">
        <v>525</v>
      </c>
      <c r="D9" s="23">
        <v>67990.035746193927</v>
      </c>
      <c r="E9" s="33">
        <v>1.1055060420003431</v>
      </c>
      <c r="F9" s="5">
        <v>2</v>
      </c>
      <c r="G9" s="23">
        <v>96.666666666666671</v>
      </c>
      <c r="H9" s="33">
        <v>4.9417655605470578</v>
      </c>
      <c r="I9" s="23">
        <v>40.428845223846622</v>
      </c>
      <c r="J9" s="5">
        <v>1602.3419813402365</v>
      </c>
      <c r="K9" s="31"/>
      <c r="L9" s="23">
        <v>92519.745768355991</v>
      </c>
      <c r="M9" s="33">
        <v>0.8870065409973904</v>
      </c>
      <c r="N9" s="5">
        <v>3</v>
      </c>
      <c r="O9" s="5">
        <v>73.333333333333329</v>
      </c>
      <c r="P9" s="33">
        <v>0</v>
      </c>
      <c r="Q9" s="5">
        <v>18.42702032457564</v>
      </c>
      <c r="R9" s="5">
        <v>1188.2684916787609</v>
      </c>
      <c r="S9" s="31"/>
      <c r="T9" s="23">
        <v>88281.923559654708</v>
      </c>
      <c r="U9" s="33">
        <v>1.052312333002192</v>
      </c>
      <c r="V9" s="5">
        <v>2</v>
      </c>
      <c r="W9" s="5">
        <v>86.666666666666671</v>
      </c>
      <c r="X9" s="33">
        <v>56.27488620690194</v>
      </c>
      <c r="Y9" s="5">
        <v>60.725636114823622</v>
      </c>
      <c r="Z9" s="5">
        <v>2073.1870901313682</v>
      </c>
      <c r="AA9" s="35"/>
    </row>
    <row r="10" spans="2:27" x14ac:dyDescent="0.2">
      <c r="B10" s="4">
        <v>7</v>
      </c>
      <c r="C10" s="4">
        <v>640</v>
      </c>
      <c r="D10" s="23">
        <v>67990.035746193927</v>
      </c>
      <c r="E10" s="33">
        <v>1.1362285000013801</v>
      </c>
      <c r="F10" s="5">
        <v>2</v>
      </c>
      <c r="G10" s="23">
        <v>96.666666666666671</v>
      </c>
      <c r="H10" s="33">
        <v>4.9417655605470578</v>
      </c>
      <c r="I10" s="23">
        <v>40.428845223846622</v>
      </c>
      <c r="J10" s="5">
        <v>1602.3419813402365</v>
      </c>
      <c r="K10" s="31"/>
      <c r="L10" s="23">
        <v>92765.469949244667</v>
      </c>
      <c r="M10" s="33">
        <v>0.93713208300323458</v>
      </c>
      <c r="N10" s="5">
        <v>3</v>
      </c>
      <c r="O10" s="5">
        <v>73.333333333333329</v>
      </c>
      <c r="P10" s="33">
        <v>0</v>
      </c>
      <c r="Q10" s="5">
        <v>18.78053136370697</v>
      </c>
      <c r="R10" s="5">
        <v>1190.958092721665</v>
      </c>
      <c r="S10" s="31"/>
      <c r="T10" s="23">
        <v>85297.817695101505</v>
      </c>
      <c r="U10" s="33">
        <v>1.5707175410025229</v>
      </c>
      <c r="V10" s="5">
        <v>2</v>
      </c>
      <c r="W10" s="5">
        <v>86.666666666666671</v>
      </c>
      <c r="X10" s="33">
        <v>26.513671806130048</v>
      </c>
      <c r="Y10" s="5">
        <v>58.134138989657757</v>
      </c>
      <c r="Z10" s="5">
        <v>1984.233836194793</v>
      </c>
      <c r="AA10" s="35"/>
    </row>
    <row r="11" spans="2:27" x14ac:dyDescent="0.2">
      <c r="B11" s="4">
        <v>8</v>
      </c>
      <c r="C11" s="4">
        <v>661</v>
      </c>
      <c r="D11" s="23">
        <v>67990.035746193927</v>
      </c>
      <c r="E11" s="33">
        <v>1.0493042920006701</v>
      </c>
      <c r="F11" s="5">
        <v>2</v>
      </c>
      <c r="G11" s="23">
        <v>96.666666666666671</v>
      </c>
      <c r="H11" s="33">
        <v>4.9417655605470578</v>
      </c>
      <c r="I11" s="23">
        <v>40.428845223846622</v>
      </c>
      <c r="J11" s="5">
        <v>1602.3419813402365</v>
      </c>
      <c r="K11" s="31"/>
      <c r="L11" s="23">
        <v>93097.828369403462</v>
      </c>
      <c r="M11" s="33">
        <v>1.160962917001598</v>
      </c>
      <c r="N11" s="5">
        <v>3</v>
      </c>
      <c r="O11" s="5">
        <v>73.333333333333329</v>
      </c>
      <c r="P11" s="33">
        <v>0</v>
      </c>
      <c r="Q11" s="5">
        <v>18.777354049224009</v>
      </c>
      <c r="R11" s="5">
        <v>1206.722795583943</v>
      </c>
      <c r="S11" s="31"/>
      <c r="T11" s="23">
        <v>87039.37170389833</v>
      </c>
      <c r="U11" s="33">
        <v>1.2894129579981379</v>
      </c>
      <c r="V11" s="5">
        <v>2</v>
      </c>
      <c r="W11" s="5">
        <v>80</v>
      </c>
      <c r="X11" s="33">
        <v>11.07759468237697</v>
      </c>
      <c r="Y11" s="5">
        <v>49.744485551029669</v>
      </c>
      <c r="Z11" s="5">
        <v>1778.9191062193461</v>
      </c>
      <c r="AA11" s="35"/>
    </row>
    <row r="12" spans="2:27" x14ac:dyDescent="0.2">
      <c r="B12" s="4">
        <v>9</v>
      </c>
      <c r="C12" s="4">
        <v>806</v>
      </c>
      <c r="D12" s="23">
        <v>67990.035746193927</v>
      </c>
      <c r="E12" s="33">
        <v>1.327326667000307</v>
      </c>
      <c r="F12" s="5">
        <v>2</v>
      </c>
      <c r="G12" s="23">
        <v>96.666666666666671</v>
      </c>
      <c r="H12" s="33">
        <v>4.9417655605470578</v>
      </c>
      <c r="I12" s="23">
        <v>40.428845223846622</v>
      </c>
      <c r="J12" s="5">
        <v>1602.3419813402365</v>
      </c>
      <c r="K12" s="31"/>
      <c r="L12" s="23">
        <v>92481.708868291738</v>
      </c>
      <c r="M12" s="33">
        <v>0.60410179100290406</v>
      </c>
      <c r="N12" s="5">
        <v>3</v>
      </c>
      <c r="O12" s="5">
        <v>73.333333333333329</v>
      </c>
      <c r="P12" s="33">
        <v>0</v>
      </c>
      <c r="Q12" s="5">
        <v>18.171148923495551</v>
      </c>
      <c r="R12" s="5">
        <v>1172.3325805793049</v>
      </c>
      <c r="S12" s="31"/>
      <c r="T12" s="23">
        <v>88213.014339265399</v>
      </c>
      <c r="U12" s="33">
        <v>0.97266533300353331</v>
      </c>
      <c r="V12" s="5">
        <v>2</v>
      </c>
      <c r="W12" s="5">
        <v>83.333333333333329</v>
      </c>
      <c r="X12" s="33">
        <v>15.6117377807275</v>
      </c>
      <c r="Y12" s="5">
        <v>59.155353670661981</v>
      </c>
      <c r="Z12" s="5">
        <v>2006.9746459087389</v>
      </c>
      <c r="AA12" s="35"/>
    </row>
    <row r="13" spans="2:27" x14ac:dyDescent="0.2">
      <c r="B13" s="4">
        <v>10</v>
      </c>
      <c r="C13" s="4">
        <v>832</v>
      </c>
      <c r="D13" s="23">
        <v>67990.035746193927</v>
      </c>
      <c r="E13" s="33">
        <v>2.2932934999989811</v>
      </c>
      <c r="F13" s="5">
        <v>2</v>
      </c>
      <c r="G13" s="23">
        <v>96.666666666666671</v>
      </c>
      <c r="H13" s="33">
        <v>4.9417655605470578</v>
      </c>
      <c r="I13" s="23">
        <v>40.428845223846622</v>
      </c>
      <c r="J13" s="5">
        <v>1602.3419813402365</v>
      </c>
      <c r="K13" s="31"/>
      <c r="L13" s="23">
        <v>92051.249194404547</v>
      </c>
      <c r="M13" s="33">
        <v>1.3448973330014271</v>
      </c>
      <c r="N13" s="5">
        <v>3</v>
      </c>
      <c r="O13" s="5">
        <v>73.333333333333329</v>
      </c>
      <c r="P13" s="33">
        <v>0</v>
      </c>
      <c r="Q13" s="5">
        <v>19.020119028061881</v>
      </c>
      <c r="R13" s="5">
        <v>1168.940829996832</v>
      </c>
      <c r="S13" s="31"/>
      <c r="T13" s="23">
        <v>88423.365685446188</v>
      </c>
      <c r="U13" s="33">
        <v>2.5863994579995051</v>
      </c>
      <c r="V13" s="5">
        <v>2</v>
      </c>
      <c r="W13" s="5">
        <v>83.333333333333329</v>
      </c>
      <c r="X13" s="33">
        <v>6.3944588546147862</v>
      </c>
      <c r="Y13" s="5">
        <v>58.90883464703203</v>
      </c>
      <c r="Z13" s="5">
        <v>2010.521081580981</v>
      </c>
      <c r="AA13" s="35"/>
    </row>
    <row r="14" spans="2:27" x14ac:dyDescent="0.2">
      <c r="B14" s="46" t="s">
        <v>3</v>
      </c>
      <c r="C14" s="47"/>
      <c r="D14" s="9">
        <f>MIN(D4:D13)</f>
        <v>67990.035746193927</v>
      </c>
      <c r="E14" s="22">
        <f>INDEX(E4:E13, MATCH($D$14, D4:D13, 0))</f>
        <v>0.97704675000022689</v>
      </c>
      <c r="F14" s="9">
        <f>INDEX(F4:F13, MATCH($D$14, D4:D13, 0))</f>
        <v>2</v>
      </c>
      <c r="G14" s="9">
        <f>INDEX(G4:G13, MATCH($D$14, D4:D13, 0))</f>
        <v>96.666666666666671</v>
      </c>
      <c r="H14" s="22">
        <f>INDEX(H4:H13, MATCH($D$14, D4:D13, 0))</f>
        <v>4.9417655605470578</v>
      </c>
      <c r="I14" s="22">
        <f>INDEX(I4:I13, MATCH($D$14, D4:D13, 0))</f>
        <v>40.428845223846622</v>
      </c>
      <c r="J14" s="22">
        <f>INDEX(J4:J13, MATCH($D$14, D4:D13, 0))</f>
        <v>1602.3419813402365</v>
      </c>
      <c r="K14" s="32" t="e">
        <f>(D14-$D$15)/$D$15</f>
        <v>#DIV/0!</v>
      </c>
      <c r="L14" s="16">
        <f>MIN(L4:L13)</f>
        <v>92051.249194404547</v>
      </c>
      <c r="M14" s="21">
        <f>INDEX(M4:M13, MATCH($L$14, L4:L13, 0))</f>
        <v>1.3448973330014271</v>
      </c>
      <c r="N14" s="16">
        <f>INDEX(N4:N13, MATCH($L$14, L4:L13, 0))</f>
        <v>3</v>
      </c>
      <c r="O14" s="16">
        <f>INDEX(O4:O13, MATCH($L$14, L4:L13, 0))</f>
        <v>73.333333333333329</v>
      </c>
      <c r="P14" s="21">
        <f>INDEX(P4:P13, MATCH($L$14, L4:L13, 0))</f>
        <v>0</v>
      </c>
      <c r="Q14" s="21">
        <f>INDEX(Q4:Q13, MATCH($L$14, L4:L13, 0))</f>
        <v>19.020119028061881</v>
      </c>
      <c r="R14" s="21">
        <f>INDEX(R4:R13, MATCH($L$14, L4:L13, 0))</f>
        <v>1168.940829996832</v>
      </c>
      <c r="S14" s="36" t="e">
        <f>(L14-$D$15)/$D$15</f>
        <v>#DIV/0!</v>
      </c>
      <c r="T14" s="38">
        <f>MIN(T4:T13)</f>
        <v>85297.817695101505</v>
      </c>
      <c r="U14" s="39">
        <f>INDEX(U4:U13, MATCH($T$14, T4:T13, 0))</f>
        <v>1.108925291999185</v>
      </c>
      <c r="V14" s="38">
        <f>INDEX(V4:V13, MATCH($T$14, T4:T13, 0))</f>
        <v>2</v>
      </c>
      <c r="W14" s="38">
        <f>INDEX(W4:W13, MATCH($T$14, T4:T13, 0))</f>
        <v>86.666666666666671</v>
      </c>
      <c r="X14" s="39">
        <f>INDEX(X4:X13, MATCH($T$14, T4:T13, 0))</f>
        <v>26.513671806130048</v>
      </c>
      <c r="Y14" s="39">
        <f>INDEX(Y4:Y13, MATCH($T$14, T4:T13, 0))</f>
        <v>58.134138989657757</v>
      </c>
      <c r="Z14" s="39">
        <f>INDEX(Z4:Z13, MATCH($T$14, T4:T13, 0))</f>
        <v>1984.233836194793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6:C1048576">
    <cfRule type="duplicateValues" dxfId="117" priority="15"/>
    <cfRule type="duplicateValues" dxfId="116" priority="16"/>
  </conditionalFormatting>
  <conditionalFormatting sqref="C14">
    <cfRule type="duplicateValues" dxfId="115" priority="7"/>
    <cfRule type="duplicateValues" dxfId="114" priority="8"/>
  </conditionalFormatting>
  <conditionalFormatting sqref="C24:C35">
    <cfRule type="duplicateValues" dxfId="23" priority="5"/>
    <cfRule type="duplicateValues" dxfId="22" priority="6"/>
  </conditionalFormatting>
  <conditionalFormatting sqref="C17">
    <cfRule type="duplicateValues" dxfId="21" priority="1"/>
    <cfRule type="duplicateValues" dxfId="20" priority="2"/>
  </conditionalFormatting>
  <conditionalFormatting sqref="C18:C23">
    <cfRule type="duplicateValues" dxfId="19" priority="3"/>
    <cfRule type="duplicateValues" dxfId="18" priority="4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79799-4B89-3A43-8FB0-28CA09F3F32D}">
  <dimension ref="B1:AA17"/>
  <sheetViews>
    <sheetView zoomScaleNormal="100" workbookViewId="0">
      <selection activeCell="A17" sqref="A17:XFD35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30</v>
      </c>
      <c r="H2" s="28">
        <f>(Q14-H14)/H14</f>
        <v>-0.18277193092763838</v>
      </c>
      <c r="J2" s="28" t="e">
        <f>(S14-J14)/J14</f>
        <v>#DIV/0!</v>
      </c>
      <c r="K2" s="28"/>
      <c r="L2" s="1" t="s">
        <v>19</v>
      </c>
      <c r="P2" s="1">
        <f>(P14-H14)/H14</f>
        <v>-0.98471797250434756</v>
      </c>
      <c r="R2" s="1">
        <f>(R14-J14)/J14</f>
        <v>-0.21942096482484943</v>
      </c>
      <c r="T2" s="1" t="s">
        <v>20</v>
      </c>
      <c r="X2" s="1">
        <f>(X14-P14)/P14</f>
        <v>199.56908374008975</v>
      </c>
      <c r="Z2" s="1">
        <f>(Z14-R14)/R14</f>
        <v>0.47634982688830918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71</v>
      </c>
      <c r="D4" s="23">
        <v>82352.998710568761</v>
      </c>
      <c r="E4" s="33">
        <v>2.059760750000351</v>
      </c>
      <c r="F4" s="5">
        <v>3</v>
      </c>
      <c r="G4" s="23">
        <v>96.666666666666671</v>
      </c>
      <c r="H4" s="33">
        <v>20.566252862246216</v>
      </c>
      <c r="I4" s="23">
        <v>28.703569633355887</v>
      </c>
      <c r="J4" s="5">
        <v>1875.567891466216</v>
      </c>
      <c r="K4" s="31"/>
      <c r="L4" s="23">
        <v>109452.12658113601</v>
      </c>
      <c r="M4" s="33">
        <v>1.3880537499971981</v>
      </c>
      <c r="N4" s="5">
        <v>4</v>
      </c>
      <c r="O4" s="5">
        <v>70</v>
      </c>
      <c r="P4" s="33">
        <v>3.190451617542077</v>
      </c>
      <c r="Q4" s="5">
        <v>16.090594166420289</v>
      </c>
      <c r="R4" s="5">
        <v>1460.104096318086</v>
      </c>
      <c r="S4" s="31"/>
      <c r="T4" s="23">
        <v>98498.464801587441</v>
      </c>
      <c r="U4" s="33">
        <v>2.7587623330000501</v>
      </c>
      <c r="V4" s="5">
        <v>3</v>
      </c>
      <c r="W4" s="5">
        <v>83.333333333333329</v>
      </c>
      <c r="X4" s="33">
        <v>69.443681351055361</v>
      </c>
      <c r="Y4" s="5">
        <v>38.572928516811587</v>
      </c>
      <c r="Z4" s="5">
        <v>2148.563797027291</v>
      </c>
      <c r="AA4" s="35"/>
    </row>
    <row r="5" spans="2:27" x14ac:dyDescent="0.2">
      <c r="B5" s="4">
        <v>2</v>
      </c>
      <c r="C5" s="4">
        <v>173</v>
      </c>
      <c r="D5" s="23">
        <v>83193.62500899563</v>
      </c>
      <c r="E5" s="33">
        <v>0.82066637500065553</v>
      </c>
      <c r="F5" s="5">
        <v>3</v>
      </c>
      <c r="G5" s="23">
        <v>96.666666666666671</v>
      </c>
      <c r="H5" s="33">
        <v>19.789569775218297</v>
      </c>
      <c r="I5" s="23">
        <v>28.754637326622895</v>
      </c>
      <c r="J5" s="5">
        <v>1905.4962065168536</v>
      </c>
      <c r="K5" s="31"/>
      <c r="L5" s="23">
        <v>109867.7013294366</v>
      </c>
      <c r="M5" s="33">
        <v>0.73648404199775541</v>
      </c>
      <c r="N5" s="5">
        <v>4</v>
      </c>
      <c r="O5" s="5">
        <v>70</v>
      </c>
      <c r="P5" s="33">
        <v>37.927931932655873</v>
      </c>
      <c r="Q5" s="5">
        <v>15.72436623964534</v>
      </c>
      <c r="R5" s="5">
        <v>1444.1517907909561</v>
      </c>
      <c r="S5" s="31"/>
      <c r="T5" s="23">
        <v>100003.0321933395</v>
      </c>
      <c r="U5" s="33">
        <v>0.64600862500083167</v>
      </c>
      <c r="V5" s="5">
        <v>3</v>
      </c>
      <c r="W5" s="5">
        <v>86.666666666666671</v>
      </c>
      <c r="X5" s="33">
        <v>108.90797583435629</v>
      </c>
      <c r="Y5" s="5">
        <v>45.293139707232037</v>
      </c>
      <c r="Z5" s="5">
        <v>2352.1059141532801</v>
      </c>
      <c r="AA5" s="35"/>
    </row>
    <row r="6" spans="2:27" x14ac:dyDescent="0.2">
      <c r="B6" s="4">
        <v>3</v>
      </c>
      <c r="C6" s="4">
        <v>275</v>
      </c>
      <c r="D6" s="23">
        <v>82579.994944416001</v>
      </c>
      <c r="E6" s="33">
        <v>0.73984716600170941</v>
      </c>
      <c r="F6" s="5">
        <v>3</v>
      </c>
      <c r="G6" s="23">
        <v>96.666666666666671</v>
      </c>
      <c r="H6" s="33">
        <v>55.255423616113838</v>
      </c>
      <c r="I6" s="23">
        <v>28.996147673319484</v>
      </c>
      <c r="J6" s="5">
        <v>1902.3969044647895</v>
      </c>
      <c r="K6" s="31"/>
      <c r="L6" s="23">
        <v>109926.32651754101</v>
      </c>
      <c r="M6" s="33">
        <v>1.053092874997674</v>
      </c>
      <c r="N6" s="5">
        <v>4</v>
      </c>
      <c r="O6" s="5">
        <v>66.666666666666671</v>
      </c>
      <c r="P6" s="33">
        <v>0</v>
      </c>
      <c r="Q6" s="5">
        <v>14.46676588993685</v>
      </c>
      <c r="R6" s="5">
        <v>1289.0916272568941</v>
      </c>
      <c r="S6" s="31"/>
      <c r="T6" s="23">
        <v>99051.600002024206</v>
      </c>
      <c r="U6" s="33">
        <v>1.391559791998588</v>
      </c>
      <c r="V6" s="5">
        <v>3</v>
      </c>
      <c r="W6" s="5">
        <v>83.333333333333329</v>
      </c>
      <c r="X6" s="33">
        <v>75.992637265117651</v>
      </c>
      <c r="Y6" s="5">
        <v>38.152878187349422</v>
      </c>
      <c r="Z6" s="5">
        <v>2153.4147635735558</v>
      </c>
      <c r="AA6" s="35"/>
    </row>
    <row r="7" spans="2:27" x14ac:dyDescent="0.2">
      <c r="B7" s="4">
        <v>4</v>
      </c>
      <c r="C7" s="4">
        <v>328</v>
      </c>
      <c r="D7" s="23">
        <v>83675.99534626829</v>
      </c>
      <c r="E7" s="33">
        <v>0.91534241699991981</v>
      </c>
      <c r="F7" s="5">
        <v>3</v>
      </c>
      <c r="G7" s="23">
        <v>100</v>
      </c>
      <c r="H7" s="33">
        <v>68.334395115138307</v>
      </c>
      <c r="I7" s="23">
        <v>29.882459237466843</v>
      </c>
      <c r="J7" s="5">
        <v>2016.0386180589849</v>
      </c>
      <c r="K7" s="31"/>
      <c r="L7" s="23">
        <v>110002.8766821732</v>
      </c>
      <c r="M7" s="33">
        <v>1.124492708000616</v>
      </c>
      <c r="N7" s="5">
        <v>4</v>
      </c>
      <c r="O7" s="5">
        <v>70</v>
      </c>
      <c r="P7" s="33">
        <v>2.2882556202157072</v>
      </c>
      <c r="Q7" s="5">
        <v>16.045817813992141</v>
      </c>
      <c r="R7" s="5">
        <v>1478.029591562276</v>
      </c>
      <c r="S7" s="31"/>
      <c r="T7" s="23">
        <v>100183.9503799348</v>
      </c>
      <c r="U7" s="33">
        <v>1.1254126249987171</v>
      </c>
      <c r="V7" s="5">
        <v>3</v>
      </c>
      <c r="W7" s="5">
        <v>86.666666666666671</v>
      </c>
      <c r="X7" s="33">
        <v>113.70516867472089</v>
      </c>
      <c r="Y7" s="5">
        <v>45.596199365272383</v>
      </c>
      <c r="Z7" s="5">
        <v>2358.2373383594158</v>
      </c>
      <c r="AA7" s="35"/>
    </row>
    <row r="8" spans="2:27" x14ac:dyDescent="0.2">
      <c r="B8" s="4">
        <v>5</v>
      </c>
      <c r="C8" s="4">
        <v>455</v>
      </c>
      <c r="D8" s="23">
        <v>82027.707563121658</v>
      </c>
      <c r="E8" s="33">
        <v>0.83596912500070175</v>
      </c>
      <c r="F8" s="5">
        <v>3</v>
      </c>
      <c r="G8" s="23">
        <v>96.666666666666671</v>
      </c>
      <c r="H8" s="33">
        <v>22.65623644188496</v>
      </c>
      <c r="I8" s="23">
        <v>28.566151113291962</v>
      </c>
      <c r="J8" s="5">
        <v>1864.4128751485491</v>
      </c>
      <c r="K8" s="31"/>
      <c r="L8" s="23">
        <v>109462.1770983009</v>
      </c>
      <c r="M8" s="33">
        <v>0.78942299999835086</v>
      </c>
      <c r="N8" s="5">
        <v>4</v>
      </c>
      <c r="O8" s="5">
        <v>70</v>
      </c>
      <c r="P8" s="33">
        <v>0</v>
      </c>
      <c r="Q8" s="5">
        <v>15.53125552659281</v>
      </c>
      <c r="R8" s="5">
        <v>1460.3397194288</v>
      </c>
      <c r="S8" s="31"/>
      <c r="T8" s="23">
        <v>98806.309623977955</v>
      </c>
      <c r="U8" s="33">
        <v>1.1938612909980291</v>
      </c>
      <c r="V8" s="5">
        <v>3</v>
      </c>
      <c r="W8" s="5">
        <v>83.333333333333329</v>
      </c>
      <c r="X8" s="33">
        <v>82.148275502585989</v>
      </c>
      <c r="Y8" s="5">
        <v>38.440822622839548</v>
      </c>
      <c r="Z8" s="5">
        <v>2146.6482289883202</v>
      </c>
      <c r="AA8" s="35"/>
    </row>
    <row r="9" spans="2:27" x14ac:dyDescent="0.2">
      <c r="B9" s="4">
        <v>6</v>
      </c>
      <c r="C9" s="4">
        <v>509</v>
      </c>
      <c r="D9" s="23">
        <v>83078.475531576172</v>
      </c>
      <c r="E9" s="33">
        <v>0.87303383300059068</v>
      </c>
      <c r="F9" s="5">
        <v>3</v>
      </c>
      <c r="G9" s="23">
        <v>96.666666666666671</v>
      </c>
      <c r="H9" s="33">
        <v>18.591540218568056</v>
      </c>
      <c r="I9" s="23">
        <v>28.885556322089212</v>
      </c>
      <c r="J9" s="5">
        <v>1905.7759192707158</v>
      </c>
      <c r="K9" s="31"/>
      <c r="L9" s="23">
        <v>108609.4380917589</v>
      </c>
      <c r="M9" s="33">
        <v>1.2619858750003909</v>
      </c>
      <c r="N9" s="5">
        <v>4</v>
      </c>
      <c r="O9" s="5">
        <v>70</v>
      </c>
      <c r="P9" s="33">
        <v>0</v>
      </c>
      <c r="Q9" s="5">
        <v>15.371999156103019</v>
      </c>
      <c r="R9" s="5">
        <v>1411.0520599586159</v>
      </c>
      <c r="S9" s="31"/>
      <c r="T9" s="23">
        <v>99439.637843552598</v>
      </c>
      <c r="U9" s="33">
        <v>1.631558042001416</v>
      </c>
      <c r="V9" s="5">
        <v>3</v>
      </c>
      <c r="W9" s="5">
        <v>86.666666666666671</v>
      </c>
      <c r="X9" s="33">
        <v>135.52579873736391</v>
      </c>
      <c r="Y9" s="5">
        <v>45.525492699432178</v>
      </c>
      <c r="Z9" s="5">
        <v>2325.2603952679392</v>
      </c>
      <c r="AA9" s="35"/>
    </row>
    <row r="10" spans="2:27" x14ac:dyDescent="0.2">
      <c r="B10" s="4">
        <v>7</v>
      </c>
      <c r="C10" s="4">
        <v>514</v>
      </c>
      <c r="D10" s="23">
        <v>82951.385898567707</v>
      </c>
      <c r="E10" s="33">
        <v>1.274124916000801</v>
      </c>
      <c r="F10" s="5">
        <v>3</v>
      </c>
      <c r="G10" s="23">
        <v>96.666666666666671</v>
      </c>
      <c r="H10" s="33">
        <v>17.162968789996629</v>
      </c>
      <c r="I10" s="23">
        <v>28.927338980216749</v>
      </c>
      <c r="J10" s="5">
        <v>1902.6226441474753</v>
      </c>
      <c r="K10" s="31"/>
      <c r="L10" s="23">
        <v>110351.79905248671</v>
      </c>
      <c r="M10" s="33">
        <v>1.0910066670003289</v>
      </c>
      <c r="N10" s="5">
        <v>3</v>
      </c>
      <c r="O10" s="5">
        <v>60</v>
      </c>
      <c r="P10" s="33">
        <v>0</v>
      </c>
      <c r="Q10" s="5">
        <v>16.855498148662459</v>
      </c>
      <c r="R10" s="5">
        <v>1388.429234287172</v>
      </c>
      <c r="S10" s="31"/>
      <c r="T10" s="23">
        <v>98900.560189055075</v>
      </c>
      <c r="U10" s="33">
        <v>1.630047124999692</v>
      </c>
      <c r="V10" s="5">
        <v>3</v>
      </c>
      <c r="W10" s="5">
        <v>86.666666666666671</v>
      </c>
      <c r="X10" s="33">
        <v>110.25390018653979</v>
      </c>
      <c r="Y10" s="5">
        <v>45.695718343655521</v>
      </c>
      <c r="Z10" s="5">
        <v>2325.6434695176731</v>
      </c>
      <c r="AA10" s="35"/>
    </row>
    <row r="11" spans="2:27" x14ac:dyDescent="0.2">
      <c r="B11" s="4">
        <v>8</v>
      </c>
      <c r="C11" s="4">
        <v>730</v>
      </c>
      <c r="D11" s="23">
        <v>82027.707563121658</v>
      </c>
      <c r="E11" s="33">
        <v>1.7479629999998001</v>
      </c>
      <c r="F11" s="5">
        <v>3</v>
      </c>
      <c r="G11" s="23">
        <v>96.666666666666671</v>
      </c>
      <c r="H11" s="33">
        <v>22.65623644188496</v>
      </c>
      <c r="I11" s="23">
        <v>28.566151113291962</v>
      </c>
      <c r="J11" s="5">
        <v>1864.4128751485491</v>
      </c>
      <c r="K11" s="31"/>
      <c r="L11" s="23">
        <v>110930.6380133434</v>
      </c>
      <c r="M11" s="33">
        <v>1.263992707998113</v>
      </c>
      <c r="N11" s="5">
        <v>4</v>
      </c>
      <c r="O11" s="5">
        <v>70</v>
      </c>
      <c r="P11" s="33">
        <v>0</v>
      </c>
      <c r="Q11" s="5">
        <v>15.31330194794713</v>
      </c>
      <c r="R11" s="5">
        <v>1507.180108180195</v>
      </c>
      <c r="S11" s="31"/>
      <c r="T11" s="23">
        <v>99545.75192040432</v>
      </c>
      <c r="U11" s="33">
        <v>1.6540099999983791</v>
      </c>
      <c r="V11" s="5">
        <v>3</v>
      </c>
      <c r="W11" s="5">
        <v>86.666666666666671</v>
      </c>
      <c r="X11" s="33">
        <v>134.63722287323259</v>
      </c>
      <c r="Y11" s="5">
        <v>45.685918118831637</v>
      </c>
      <c r="Z11" s="5">
        <v>2326.0993801527529</v>
      </c>
      <c r="AA11" s="35"/>
    </row>
    <row r="12" spans="2:27" x14ac:dyDescent="0.2">
      <c r="B12" s="4">
        <v>9</v>
      </c>
      <c r="C12" s="4">
        <v>804</v>
      </c>
      <c r="D12" s="23">
        <v>82027.707563121658</v>
      </c>
      <c r="E12" s="33">
        <v>1.0906049589993929</v>
      </c>
      <c r="F12" s="5">
        <v>3</v>
      </c>
      <c r="G12" s="23">
        <v>96.666666666666671</v>
      </c>
      <c r="H12" s="33">
        <v>22.65623644188496</v>
      </c>
      <c r="I12" s="23">
        <v>28.566151113291962</v>
      </c>
      <c r="J12" s="5">
        <v>1864.4128751485491</v>
      </c>
      <c r="K12" s="31"/>
      <c r="L12" s="23">
        <v>108073.89158866571</v>
      </c>
      <c r="M12" s="33">
        <v>0.74910770900169155</v>
      </c>
      <c r="N12" s="5">
        <v>3</v>
      </c>
      <c r="O12" s="5">
        <v>63.333333333333343</v>
      </c>
      <c r="P12" s="33">
        <v>3.2612840131097598</v>
      </c>
      <c r="Q12" s="5">
        <v>19.365811393701222</v>
      </c>
      <c r="R12" s="5">
        <v>1478.408187140303</v>
      </c>
      <c r="S12" s="31"/>
      <c r="T12" s="23">
        <v>99224.056737035426</v>
      </c>
      <c r="U12" s="33">
        <v>1.1337500419977</v>
      </c>
      <c r="V12" s="5">
        <v>3</v>
      </c>
      <c r="W12" s="5">
        <v>80</v>
      </c>
      <c r="X12" s="33">
        <v>72.047927712693124</v>
      </c>
      <c r="Y12" s="5">
        <v>36.462746073503041</v>
      </c>
      <c r="Z12" s="5">
        <v>2035.8464935024369</v>
      </c>
      <c r="AA12" s="35"/>
    </row>
    <row r="13" spans="2:27" x14ac:dyDescent="0.2">
      <c r="B13" s="4">
        <v>10</v>
      </c>
      <c r="C13" s="4">
        <v>816</v>
      </c>
      <c r="D13" s="23">
        <v>83252.960043873172</v>
      </c>
      <c r="E13" s="33">
        <v>0.91303120900010981</v>
      </c>
      <c r="F13" s="5">
        <v>3</v>
      </c>
      <c r="G13" s="23">
        <v>93.333333333333329</v>
      </c>
      <c r="H13" s="33">
        <v>3.5498769391410128</v>
      </c>
      <c r="I13" s="23">
        <v>28.150121462075379</v>
      </c>
      <c r="J13" s="5">
        <v>1813.8622685824823</v>
      </c>
      <c r="K13" s="31"/>
      <c r="L13" s="23">
        <v>107685.773601532</v>
      </c>
      <c r="M13" s="33">
        <v>1.3760530840008871</v>
      </c>
      <c r="N13" s="5">
        <v>3</v>
      </c>
      <c r="O13" s="5">
        <v>63.333333333333343</v>
      </c>
      <c r="P13" s="33">
        <v>0.34623322825288932</v>
      </c>
      <c r="Q13" s="5">
        <v>18.515312359848519</v>
      </c>
      <c r="R13" s="5">
        <v>1455.3216032515829</v>
      </c>
      <c r="S13" s="31"/>
      <c r="T13" s="23">
        <v>99715.601799528507</v>
      </c>
      <c r="U13" s="33">
        <v>1.072398833999614</v>
      </c>
      <c r="V13" s="5">
        <v>3</v>
      </c>
      <c r="W13" s="5">
        <v>83.333333333333329</v>
      </c>
      <c r="X13" s="33">
        <v>61.61443025880498</v>
      </c>
      <c r="Y13" s="5">
        <v>35.170473542248331</v>
      </c>
      <c r="Z13" s="5">
        <v>2138.263468547907</v>
      </c>
      <c r="AA13" s="35"/>
    </row>
    <row r="14" spans="2:27" x14ac:dyDescent="0.2">
      <c r="B14" s="46" t="s">
        <v>3</v>
      </c>
      <c r="C14" s="47"/>
      <c r="D14" s="9">
        <f>MIN(D4:D13)</f>
        <v>82027.707563121658</v>
      </c>
      <c r="E14" s="22">
        <f>INDEX(E4:E13, MATCH($D$14, D4:D13, 0))</f>
        <v>0.83596912500070175</v>
      </c>
      <c r="F14" s="9">
        <f>INDEX(F4:F13, MATCH($D$14, D4:D13, 0))</f>
        <v>3</v>
      </c>
      <c r="G14" s="9">
        <f>INDEX(G4:G13, MATCH($D$14, D4:D13, 0))</f>
        <v>96.666666666666671</v>
      </c>
      <c r="H14" s="22">
        <f>INDEX(H4:H13, MATCH($D$14, D4:D13, 0))</f>
        <v>22.65623644188496</v>
      </c>
      <c r="I14" s="22">
        <f>INDEX(I4:I13, MATCH($D$14, D4:D13, 0))</f>
        <v>28.566151113291962</v>
      </c>
      <c r="J14" s="22">
        <f>INDEX(J4:J13, MATCH($D$14, D4:D13, 0))</f>
        <v>1864.4128751485491</v>
      </c>
      <c r="K14" s="32" t="e">
        <f>(D14-$D$15)/$D$15</f>
        <v>#DIV/0!</v>
      </c>
      <c r="L14" s="16">
        <f>MIN(L4:L13)</f>
        <v>107685.773601532</v>
      </c>
      <c r="M14" s="21">
        <f>INDEX(M4:M13, MATCH($L$14, L4:L13, 0))</f>
        <v>1.3760530840008871</v>
      </c>
      <c r="N14" s="16">
        <f>INDEX(N4:N13, MATCH($L$14, L4:L13, 0))</f>
        <v>3</v>
      </c>
      <c r="O14" s="16">
        <f>INDEX(O4:O13, MATCH($L$14, L4:L13, 0))</f>
        <v>63.333333333333343</v>
      </c>
      <c r="P14" s="21">
        <f>INDEX(P4:P13, MATCH($L$14, L4:L13, 0))</f>
        <v>0.34623322825288932</v>
      </c>
      <c r="Q14" s="21">
        <f>INDEX(Q4:Q13, MATCH($L$14, L4:L13, 0))</f>
        <v>18.515312359848519</v>
      </c>
      <c r="R14" s="21">
        <f>INDEX(R4:R13, MATCH($L$14, L4:L13, 0))</f>
        <v>1455.3216032515829</v>
      </c>
      <c r="S14" s="36" t="e">
        <f>(L14-$D$15)/$D$15</f>
        <v>#DIV/0!</v>
      </c>
      <c r="T14" s="38">
        <f>MIN(T4:T13)</f>
        <v>98498.464801587441</v>
      </c>
      <c r="U14" s="39">
        <f>INDEX(U4:U13, MATCH($T$14, T4:T13, 0))</f>
        <v>2.7587623330000501</v>
      </c>
      <c r="V14" s="38">
        <f>INDEX(V4:V13, MATCH($T$14, T4:T13, 0))</f>
        <v>3</v>
      </c>
      <c r="W14" s="38">
        <f>INDEX(W4:W13, MATCH($T$14, T4:T13, 0))</f>
        <v>83.333333333333329</v>
      </c>
      <c r="X14" s="39">
        <f>INDEX(X4:X13, MATCH($T$14, T4:T13, 0))</f>
        <v>69.443681351055361</v>
      </c>
      <c r="Y14" s="39">
        <f>INDEX(Y4:Y13, MATCH($T$14, T4:T13, 0))</f>
        <v>38.572928516811587</v>
      </c>
      <c r="Z14" s="39">
        <f>INDEX(Z4:Z13, MATCH($T$14, T4:T13, 0))</f>
        <v>2148.563797027291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6:C1048576">
    <cfRule type="duplicateValues" dxfId="109" priority="15"/>
    <cfRule type="duplicateValues" dxfId="108" priority="16"/>
  </conditionalFormatting>
  <conditionalFormatting sqref="C14">
    <cfRule type="duplicateValues" dxfId="107" priority="7"/>
    <cfRule type="duplicateValues" dxfId="106" priority="8"/>
  </conditionalFormatting>
  <conditionalFormatting sqref="C24:C35">
    <cfRule type="duplicateValues" dxfId="17" priority="5"/>
    <cfRule type="duplicateValues" dxfId="16" priority="6"/>
  </conditionalFormatting>
  <conditionalFormatting sqref="C17">
    <cfRule type="duplicateValues" dxfId="15" priority="1"/>
    <cfRule type="duplicateValues" dxfId="14" priority="2"/>
  </conditionalFormatting>
  <conditionalFormatting sqref="C18:C23">
    <cfRule type="duplicateValues" dxfId="13" priority="3"/>
    <cfRule type="duplicateValues" dxfId="12" priority="4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72E27-D37E-7941-A9A2-169E38112C82}">
  <dimension ref="B1:AA17"/>
  <sheetViews>
    <sheetView zoomScaleNormal="100" workbookViewId="0">
      <selection activeCell="A17" sqref="A17:XFD35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30</v>
      </c>
      <c r="H2" s="28">
        <f>(Q14-H14)/H14</f>
        <v>2.0124817996369484</v>
      </c>
      <c r="J2" s="28" t="e">
        <f>(S14-J14)/J14</f>
        <v>#DIV/0!</v>
      </c>
      <c r="K2" s="28"/>
      <c r="L2" s="1" t="s">
        <v>19</v>
      </c>
      <c r="P2" s="1">
        <f>(P14-H14)/H14</f>
        <v>-0.96303652599761402</v>
      </c>
      <c r="R2" s="1">
        <f>(R14-J14)/J14</f>
        <v>-0.16784388730658548</v>
      </c>
      <c r="T2" s="1" t="s">
        <v>20</v>
      </c>
      <c r="X2" s="1">
        <f>(X14-P14)/P14</f>
        <v>7.5609867324545528</v>
      </c>
      <c r="Z2" s="1">
        <f>(Z14-R14)/R14</f>
        <v>0.41004572345448892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20</v>
      </c>
      <c r="D4" s="23">
        <v>66176.330204665122</v>
      </c>
      <c r="E4" s="33">
        <v>0.82453608400101075</v>
      </c>
      <c r="F4" s="5">
        <v>2</v>
      </c>
      <c r="G4" s="23">
        <v>90</v>
      </c>
      <c r="H4" s="33">
        <v>6.8644436676500442</v>
      </c>
      <c r="I4" s="23">
        <v>30.609111687926273</v>
      </c>
      <c r="J4" s="5">
        <v>1307.5593664185517</v>
      </c>
      <c r="K4" s="31"/>
      <c r="L4" s="23">
        <v>85841.308359612245</v>
      </c>
      <c r="M4" s="33">
        <v>0.69537591599873849</v>
      </c>
      <c r="N4" s="5">
        <v>3</v>
      </c>
      <c r="O4" s="5">
        <v>76.666666666666671</v>
      </c>
      <c r="P4" s="33">
        <v>0.25373368505002558</v>
      </c>
      <c r="Q4" s="5">
        <v>21.633080033764141</v>
      </c>
      <c r="R4" s="5">
        <v>1117.986424114732</v>
      </c>
      <c r="S4" s="31"/>
      <c r="T4" s="23">
        <v>76724.82881514258</v>
      </c>
      <c r="U4" s="33">
        <v>0.75994725000055041</v>
      </c>
      <c r="V4" s="5">
        <v>3</v>
      </c>
      <c r="W4" s="5">
        <v>90</v>
      </c>
      <c r="X4" s="33">
        <v>4.8722454759089722</v>
      </c>
      <c r="Y4" s="5">
        <v>41.113942012443403</v>
      </c>
      <c r="Z4" s="5">
        <v>1549.043592475439</v>
      </c>
      <c r="AA4" s="35"/>
    </row>
    <row r="5" spans="2:27" x14ac:dyDescent="0.2">
      <c r="B5" s="4">
        <v>2</v>
      </c>
      <c r="C5" s="4">
        <v>115</v>
      </c>
      <c r="D5" s="23">
        <v>66176.330204665122</v>
      </c>
      <c r="E5" s="33">
        <v>0.98756412500006263</v>
      </c>
      <c r="F5" s="5">
        <v>2</v>
      </c>
      <c r="G5" s="23">
        <v>90</v>
      </c>
      <c r="H5" s="33">
        <v>6.8644436676500442</v>
      </c>
      <c r="I5" s="23">
        <v>30.609111687926273</v>
      </c>
      <c r="J5" s="5">
        <v>1307.5593664185517</v>
      </c>
      <c r="K5" s="31"/>
      <c r="L5" s="23">
        <v>85723.029297526169</v>
      </c>
      <c r="M5" s="33">
        <v>0.7625890419985808</v>
      </c>
      <c r="N5" s="5">
        <v>3</v>
      </c>
      <c r="O5" s="5">
        <v>76.666666666666671</v>
      </c>
      <c r="P5" s="33">
        <v>0</v>
      </c>
      <c r="Q5" s="5">
        <v>19.28884201902105</v>
      </c>
      <c r="R5" s="5">
        <v>1097.26715678912</v>
      </c>
      <c r="S5" s="31"/>
      <c r="T5" s="23">
        <v>76613.627302358771</v>
      </c>
      <c r="U5" s="33">
        <v>1.311628790997929</v>
      </c>
      <c r="V5" s="5">
        <v>2</v>
      </c>
      <c r="W5" s="5">
        <v>86.666666666666671</v>
      </c>
      <c r="X5" s="33">
        <v>23.251232390231088</v>
      </c>
      <c r="Y5" s="5">
        <v>45.478722853812393</v>
      </c>
      <c r="Z5" s="5">
        <v>1665.404961670831</v>
      </c>
      <c r="AA5" s="35"/>
    </row>
    <row r="6" spans="2:27" x14ac:dyDescent="0.2">
      <c r="B6" s="4">
        <v>3</v>
      </c>
      <c r="C6" s="4">
        <v>363</v>
      </c>
      <c r="D6" s="23">
        <v>66176.330204665122</v>
      </c>
      <c r="E6" s="33">
        <v>1.033382542000254</v>
      </c>
      <c r="F6" s="5">
        <v>2</v>
      </c>
      <c r="G6" s="23">
        <v>90</v>
      </c>
      <c r="H6" s="33">
        <v>6.8644436676500442</v>
      </c>
      <c r="I6" s="23">
        <v>30.609111687926273</v>
      </c>
      <c r="J6" s="5">
        <v>1307.5593664185517</v>
      </c>
      <c r="K6" s="31"/>
      <c r="L6" s="23">
        <v>85312.749021372205</v>
      </c>
      <c r="M6" s="33">
        <v>1.1408240829987339</v>
      </c>
      <c r="N6" s="5">
        <v>3</v>
      </c>
      <c r="O6" s="5">
        <v>76.666666666666671</v>
      </c>
      <c r="P6" s="33">
        <v>0.25373368505002558</v>
      </c>
      <c r="Q6" s="5">
        <v>21.188497130410632</v>
      </c>
      <c r="R6" s="5">
        <v>1105.627503575002</v>
      </c>
      <c r="S6" s="31"/>
      <c r="T6" s="23">
        <v>77576.884186110925</v>
      </c>
      <c r="U6" s="33">
        <v>1.5742019589997649</v>
      </c>
      <c r="V6" s="5">
        <v>3</v>
      </c>
      <c r="W6" s="5">
        <v>90</v>
      </c>
      <c r="X6" s="33">
        <v>12.93447981191437</v>
      </c>
      <c r="Y6" s="5">
        <v>39.064690038712563</v>
      </c>
      <c r="Z6" s="5">
        <v>1553.5834335809641</v>
      </c>
      <c r="AA6" s="35"/>
    </row>
    <row r="7" spans="2:27" x14ac:dyDescent="0.2">
      <c r="B7" s="4">
        <v>4</v>
      </c>
      <c r="C7" s="4">
        <v>372</v>
      </c>
      <c r="D7" s="23">
        <v>66176.330204665122</v>
      </c>
      <c r="E7" s="33">
        <v>0.79624633300045389</v>
      </c>
      <c r="F7" s="5">
        <v>2</v>
      </c>
      <c r="G7" s="23">
        <v>90</v>
      </c>
      <c r="H7" s="33">
        <v>6.8644436676500442</v>
      </c>
      <c r="I7" s="23">
        <v>30.609111687926273</v>
      </c>
      <c r="J7" s="5">
        <v>1307.5593664185517</v>
      </c>
      <c r="K7" s="31"/>
      <c r="L7" s="23">
        <v>85403.208541215456</v>
      </c>
      <c r="M7" s="33">
        <v>1.5006903329995109</v>
      </c>
      <c r="N7" s="5">
        <v>3</v>
      </c>
      <c r="O7" s="5">
        <v>76.666666666666671</v>
      </c>
      <c r="P7" s="33">
        <v>0</v>
      </c>
      <c r="Q7" s="5">
        <v>20.991800094108179</v>
      </c>
      <c r="R7" s="5">
        <v>1107.141570071165</v>
      </c>
      <c r="S7" s="31"/>
      <c r="T7" s="23">
        <v>76388.562462498405</v>
      </c>
      <c r="U7" s="33">
        <v>1.093229582998902</v>
      </c>
      <c r="V7" s="5">
        <v>3</v>
      </c>
      <c r="W7" s="5">
        <v>90</v>
      </c>
      <c r="X7" s="33">
        <v>5.6955425246355667</v>
      </c>
      <c r="Y7" s="5">
        <v>41.031702527068433</v>
      </c>
      <c r="Z7" s="5">
        <v>1537.886163019145</v>
      </c>
      <c r="AA7" s="35"/>
    </row>
    <row r="8" spans="2:27" x14ac:dyDescent="0.2">
      <c r="B8" s="4">
        <v>5</v>
      </c>
      <c r="C8" s="4">
        <v>597</v>
      </c>
      <c r="D8" s="23">
        <v>66176.330204665122</v>
      </c>
      <c r="E8" s="33">
        <v>1.3236242089988079</v>
      </c>
      <c r="F8" s="5">
        <v>2</v>
      </c>
      <c r="G8" s="23">
        <v>90</v>
      </c>
      <c r="H8" s="33">
        <v>6.8644436676500442</v>
      </c>
      <c r="I8" s="23">
        <v>30.609111687926273</v>
      </c>
      <c r="J8" s="5">
        <v>1307.5593664185517</v>
      </c>
      <c r="K8" s="31"/>
      <c r="L8" s="23">
        <v>92779.518110645935</v>
      </c>
      <c r="M8" s="33">
        <v>1.073085041000013</v>
      </c>
      <c r="N8" s="5">
        <v>3</v>
      </c>
      <c r="O8" s="5">
        <v>73.333333333333329</v>
      </c>
      <c r="P8" s="33">
        <v>20.531362656834439</v>
      </c>
      <c r="Q8" s="5">
        <v>20.73014590416604</v>
      </c>
      <c r="R8" s="5">
        <v>1254.84153477779</v>
      </c>
      <c r="S8" s="31"/>
      <c r="T8" s="23">
        <v>77026.073028592364</v>
      </c>
      <c r="U8" s="33">
        <v>0.9470829580022837</v>
      </c>
      <c r="V8" s="5">
        <v>3</v>
      </c>
      <c r="W8" s="5">
        <v>90</v>
      </c>
      <c r="X8" s="33">
        <v>8.9240274974058078</v>
      </c>
      <c r="Y8" s="5">
        <v>40.310385736470877</v>
      </c>
      <c r="Z8" s="5">
        <v>1539.145372534218</v>
      </c>
      <c r="AA8" s="35"/>
    </row>
    <row r="9" spans="2:27" x14ac:dyDescent="0.2">
      <c r="B9" s="4">
        <v>6</v>
      </c>
      <c r="C9" s="4">
        <v>603</v>
      </c>
      <c r="D9" s="23">
        <v>66176.330204665122</v>
      </c>
      <c r="E9" s="33">
        <v>0.88885391699841421</v>
      </c>
      <c r="F9" s="5">
        <v>2</v>
      </c>
      <c r="G9" s="23">
        <v>90</v>
      </c>
      <c r="H9" s="33">
        <v>6.8644436676500442</v>
      </c>
      <c r="I9" s="23">
        <v>30.609111687926273</v>
      </c>
      <c r="J9" s="5">
        <v>1307.5593664185517</v>
      </c>
      <c r="K9" s="31"/>
      <c r="L9" s="23">
        <v>85069.264584558667</v>
      </c>
      <c r="M9" s="33">
        <v>1.5101544999997709</v>
      </c>
      <c r="N9" s="5">
        <v>3</v>
      </c>
      <c r="O9" s="5">
        <v>76.666666666666671</v>
      </c>
      <c r="P9" s="33">
        <v>0.25373368505002558</v>
      </c>
      <c r="Q9" s="5">
        <v>20.679011613428859</v>
      </c>
      <c r="R9" s="5">
        <v>1088.093519474726</v>
      </c>
      <c r="S9" s="31"/>
      <c r="T9" s="23">
        <v>76114.43745234891</v>
      </c>
      <c r="U9" s="33">
        <v>1.7264412920012551</v>
      </c>
      <c r="V9" s="5">
        <v>3</v>
      </c>
      <c r="W9" s="5">
        <v>90</v>
      </c>
      <c r="X9" s="33">
        <v>2.172210711290071</v>
      </c>
      <c r="Y9" s="5">
        <v>41.748144592041832</v>
      </c>
      <c r="Z9" s="5">
        <v>1534.261613853881</v>
      </c>
      <c r="AA9" s="35"/>
    </row>
    <row r="10" spans="2:27" x14ac:dyDescent="0.2">
      <c r="B10" s="4">
        <v>7</v>
      </c>
      <c r="C10" s="4">
        <v>807</v>
      </c>
      <c r="D10" s="23">
        <v>66176.330204665122</v>
      </c>
      <c r="E10" s="33">
        <v>1.189117874999283</v>
      </c>
      <c r="F10" s="5">
        <v>2</v>
      </c>
      <c r="G10" s="23">
        <v>90</v>
      </c>
      <c r="H10" s="33">
        <v>6.8644436676500442</v>
      </c>
      <c r="I10" s="23">
        <v>30.609111687926273</v>
      </c>
      <c r="J10" s="5">
        <v>1307.5593664185517</v>
      </c>
      <c r="K10" s="31"/>
      <c r="L10" s="23">
        <v>85720.645338644186</v>
      </c>
      <c r="M10" s="33">
        <v>0.8509099580005568</v>
      </c>
      <c r="N10" s="5">
        <v>3</v>
      </c>
      <c r="O10" s="5">
        <v>76.666666666666671</v>
      </c>
      <c r="P10" s="33">
        <v>0</v>
      </c>
      <c r="Q10" s="5">
        <v>20.984934112666458</v>
      </c>
      <c r="R10" s="5">
        <v>1111.3239938777899</v>
      </c>
      <c r="S10" s="31"/>
      <c r="T10" s="23">
        <v>76529.801631333743</v>
      </c>
      <c r="U10" s="33">
        <v>2.0846322910001618</v>
      </c>
      <c r="V10" s="5">
        <v>3</v>
      </c>
      <c r="W10" s="5">
        <v>90</v>
      </c>
      <c r="X10" s="33">
        <v>6.7085642207435852</v>
      </c>
      <c r="Y10" s="5">
        <v>40.237892971248847</v>
      </c>
      <c r="Z10" s="5">
        <v>1533.3908336816401</v>
      </c>
      <c r="AA10" s="35"/>
    </row>
    <row r="11" spans="2:27" x14ac:dyDescent="0.2">
      <c r="B11" s="4">
        <v>8</v>
      </c>
      <c r="C11" s="4">
        <v>810</v>
      </c>
      <c r="D11" s="23">
        <v>66176.330204665122</v>
      </c>
      <c r="E11" s="33">
        <v>1.507746582999971</v>
      </c>
      <c r="F11" s="5">
        <v>2</v>
      </c>
      <c r="G11" s="23">
        <v>90</v>
      </c>
      <c r="H11" s="33">
        <v>6.8644436676500442</v>
      </c>
      <c r="I11" s="23">
        <v>30.609111687926273</v>
      </c>
      <c r="J11" s="5">
        <v>1307.5593664185517</v>
      </c>
      <c r="K11" s="31"/>
      <c r="L11" s="23">
        <v>85069.264584558667</v>
      </c>
      <c r="M11" s="33">
        <v>1.6594446669987519</v>
      </c>
      <c r="N11" s="5">
        <v>3</v>
      </c>
      <c r="O11" s="5">
        <v>76.666666666666671</v>
      </c>
      <c r="P11" s="33">
        <v>0.25373368505002558</v>
      </c>
      <c r="Q11" s="5">
        <v>20.679011613428859</v>
      </c>
      <c r="R11" s="5">
        <v>1088.093519474726</v>
      </c>
      <c r="S11" s="31"/>
      <c r="T11" s="23">
        <v>76230.946652720799</v>
      </c>
      <c r="U11" s="33">
        <v>1.693568209000659</v>
      </c>
      <c r="V11" s="5">
        <v>3</v>
      </c>
      <c r="W11" s="5">
        <v>90</v>
      </c>
      <c r="X11" s="33">
        <v>2.5516826216334159</v>
      </c>
      <c r="Y11" s="5">
        <v>38.422199334723409</v>
      </c>
      <c r="Z11" s="5">
        <v>1509.848482903536</v>
      </c>
      <c r="AA11" s="35"/>
    </row>
    <row r="12" spans="2:27" x14ac:dyDescent="0.2">
      <c r="B12" s="4">
        <v>9</v>
      </c>
      <c r="C12" s="4">
        <v>895</v>
      </c>
      <c r="D12" s="23">
        <v>66176.330204665122</v>
      </c>
      <c r="E12" s="33">
        <v>0.68067416699886962</v>
      </c>
      <c r="F12" s="5">
        <v>2</v>
      </c>
      <c r="G12" s="23">
        <v>90</v>
      </c>
      <c r="H12" s="33">
        <v>6.8644436676500442</v>
      </c>
      <c r="I12" s="23">
        <v>30.609111687926273</v>
      </c>
      <c r="J12" s="5">
        <v>1307.5593664185517</v>
      </c>
      <c r="K12" s="31"/>
      <c r="L12" s="23">
        <v>86108.442658580549</v>
      </c>
      <c r="M12" s="33">
        <v>0.94028291599897784</v>
      </c>
      <c r="N12" s="5">
        <v>3</v>
      </c>
      <c r="O12" s="5">
        <v>76.666666666666671</v>
      </c>
      <c r="P12" s="33">
        <v>0</v>
      </c>
      <c r="Q12" s="5">
        <v>20.716926011390129</v>
      </c>
      <c r="R12" s="5">
        <v>1114.6587761739961</v>
      </c>
      <c r="S12" s="31"/>
      <c r="T12" s="23">
        <v>78451.481738270726</v>
      </c>
      <c r="U12" s="33">
        <v>0.93723983300151303</v>
      </c>
      <c r="V12" s="5">
        <v>3</v>
      </c>
      <c r="W12" s="5">
        <v>90</v>
      </c>
      <c r="X12" s="33">
        <v>12.29196907889223</v>
      </c>
      <c r="Y12" s="5">
        <v>40.474705394282111</v>
      </c>
      <c r="Z12" s="5">
        <v>1597.2241166369099</v>
      </c>
      <c r="AA12" s="35"/>
    </row>
    <row r="13" spans="2:27" x14ac:dyDescent="0.2">
      <c r="B13" s="4">
        <v>10</v>
      </c>
      <c r="C13" s="4">
        <v>921</v>
      </c>
      <c r="D13" s="23">
        <v>66176.330204665122</v>
      </c>
      <c r="E13" s="33">
        <v>0.95906541699878289</v>
      </c>
      <c r="F13" s="5">
        <v>2</v>
      </c>
      <c r="G13" s="23">
        <v>90</v>
      </c>
      <c r="H13" s="33">
        <v>6.8644436676500442</v>
      </c>
      <c r="I13" s="23">
        <v>30.609111687926273</v>
      </c>
      <c r="J13" s="5">
        <v>1307.5593664185517</v>
      </c>
      <c r="K13" s="31"/>
      <c r="L13" s="23">
        <v>85342.777980127299</v>
      </c>
      <c r="M13" s="33">
        <v>0.76539141700050095</v>
      </c>
      <c r="N13" s="5">
        <v>3</v>
      </c>
      <c r="O13" s="5">
        <v>76.666666666666671</v>
      </c>
      <c r="P13" s="33">
        <v>0</v>
      </c>
      <c r="Q13" s="5">
        <v>20.139423797626211</v>
      </c>
      <c r="R13" s="5">
        <v>1092.2469721601481</v>
      </c>
      <c r="S13" s="31"/>
      <c r="T13" s="23">
        <v>76613.627302358771</v>
      </c>
      <c r="U13" s="33">
        <v>0.91864725000050385</v>
      </c>
      <c r="V13" s="5">
        <v>2</v>
      </c>
      <c r="W13" s="5">
        <v>86.666666666666671</v>
      </c>
      <c r="X13" s="33">
        <v>23.251232390231088</v>
      </c>
      <c r="Y13" s="5">
        <v>45.478722853812393</v>
      </c>
      <c r="Z13" s="5">
        <v>1665.404961670831</v>
      </c>
      <c r="AA13" s="35"/>
    </row>
    <row r="14" spans="2:27" x14ac:dyDescent="0.2">
      <c r="B14" s="46" t="s">
        <v>3</v>
      </c>
      <c r="C14" s="47"/>
      <c r="D14" s="9">
        <f>MIN(D4:D13)</f>
        <v>66176.330204665122</v>
      </c>
      <c r="E14" s="22">
        <f>INDEX(E4:E13, MATCH($D$14, D4:D13, 0))</f>
        <v>0.82453608400101075</v>
      </c>
      <c r="F14" s="9">
        <f>INDEX(F4:F13, MATCH($D$14, D4:D13, 0))</f>
        <v>2</v>
      </c>
      <c r="G14" s="9">
        <f>INDEX(G4:G13, MATCH($D$14, D4:D13, 0))</f>
        <v>90</v>
      </c>
      <c r="H14" s="22">
        <f>INDEX(H4:H13, MATCH($D$14, D4:D13, 0))</f>
        <v>6.8644436676500442</v>
      </c>
      <c r="I14" s="22">
        <f>INDEX(I4:I13, MATCH($D$14, D4:D13, 0))</f>
        <v>30.609111687926273</v>
      </c>
      <c r="J14" s="22">
        <f>INDEX(J4:J13, MATCH($D$14, D4:D13, 0))</f>
        <v>1307.5593664185517</v>
      </c>
      <c r="K14" s="32" t="e">
        <f>(D14-$D$15)/$D$15</f>
        <v>#DIV/0!</v>
      </c>
      <c r="L14" s="16">
        <f>MIN(L4:L13)</f>
        <v>85069.264584558667</v>
      </c>
      <c r="M14" s="21">
        <f>INDEX(M4:M13, MATCH($L$14, L4:L13, 0))</f>
        <v>1.5101544999997709</v>
      </c>
      <c r="N14" s="16">
        <f>INDEX(N4:N13, MATCH($L$14, L4:L13, 0))</f>
        <v>3</v>
      </c>
      <c r="O14" s="16">
        <f>INDEX(O4:O13, MATCH($L$14, L4:L13, 0))</f>
        <v>76.666666666666671</v>
      </c>
      <c r="P14" s="21">
        <f>INDEX(P4:P13, MATCH($L$14, L4:L13, 0))</f>
        <v>0.25373368505002558</v>
      </c>
      <c r="Q14" s="21">
        <f>INDEX(Q4:Q13, MATCH($L$14, L4:L13, 0))</f>
        <v>20.679011613428859</v>
      </c>
      <c r="R14" s="21">
        <f>INDEX(R4:R13, MATCH($L$14, L4:L13, 0))</f>
        <v>1088.093519474726</v>
      </c>
      <c r="S14" s="36" t="e">
        <f>(L14-$D$15)/$D$15</f>
        <v>#DIV/0!</v>
      </c>
      <c r="T14" s="38">
        <f>MIN(T4:T13)</f>
        <v>76114.43745234891</v>
      </c>
      <c r="U14" s="39">
        <f>INDEX(U4:U13, MATCH($T$14, T4:T13, 0))</f>
        <v>1.7264412920012551</v>
      </c>
      <c r="V14" s="38">
        <f>INDEX(V4:V13, MATCH($T$14, T4:T13, 0))</f>
        <v>3</v>
      </c>
      <c r="W14" s="38">
        <f>INDEX(W4:W13, MATCH($T$14, T4:T13, 0))</f>
        <v>90</v>
      </c>
      <c r="X14" s="39">
        <f>INDEX(X4:X13, MATCH($T$14, T4:T13, 0))</f>
        <v>2.172210711290071</v>
      </c>
      <c r="Y14" s="39">
        <f>INDEX(Y4:Y13, MATCH($T$14, T4:T13, 0))</f>
        <v>41.748144592041832</v>
      </c>
      <c r="Z14" s="39">
        <f>INDEX(Z4:Z13, MATCH($T$14, T4:T13, 0))</f>
        <v>1534.261613853881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6:C1048576">
    <cfRule type="duplicateValues" dxfId="101" priority="15"/>
    <cfRule type="duplicateValues" dxfId="100" priority="16"/>
  </conditionalFormatting>
  <conditionalFormatting sqref="C14">
    <cfRule type="duplicateValues" dxfId="99" priority="7"/>
    <cfRule type="duplicateValues" dxfId="98" priority="8"/>
  </conditionalFormatting>
  <conditionalFormatting sqref="C24:C35">
    <cfRule type="duplicateValues" dxfId="11" priority="5"/>
    <cfRule type="duplicateValues" dxfId="10" priority="6"/>
  </conditionalFormatting>
  <conditionalFormatting sqref="C17">
    <cfRule type="duplicateValues" dxfId="9" priority="1"/>
    <cfRule type="duplicateValues" dxfId="8" priority="2"/>
  </conditionalFormatting>
  <conditionalFormatting sqref="C18:C23">
    <cfRule type="duplicateValues" dxfId="7" priority="3"/>
    <cfRule type="duplicateValues" dxfId="6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B0AFB-D662-C24D-962C-7AECAE461FEB}">
  <dimension ref="B1:AA17"/>
  <sheetViews>
    <sheetView tabSelected="1" zoomScaleNormal="100" workbookViewId="0">
      <selection activeCell="A17" sqref="A17:XFD35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30</v>
      </c>
      <c r="H2" s="28">
        <f>(Q14-H14)/H14</f>
        <v>-0.65210149702828946</v>
      </c>
      <c r="J2" s="28" t="e">
        <f>(S14-J14)/J14</f>
        <v>#DIV/0!</v>
      </c>
      <c r="K2" s="28"/>
      <c r="L2" s="1" t="s">
        <v>19</v>
      </c>
      <c r="P2" s="1">
        <f>(P14-H14)/H14</f>
        <v>-0.63040738484768011</v>
      </c>
      <c r="R2" s="1">
        <f>(R14-J14)/J14</f>
        <v>-0.17577934460791381</v>
      </c>
      <c r="T2" s="1" t="s">
        <v>20</v>
      </c>
      <c r="X2" s="1">
        <f>(X14-P14)/P14</f>
        <v>1.9195022172511809</v>
      </c>
      <c r="Z2" s="1">
        <f>(Z14-R14)/R14</f>
        <v>0.23915694912557173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30</v>
      </c>
      <c r="D4" s="23">
        <v>77840.006300560955</v>
      </c>
      <c r="E4" s="33">
        <v>1.2524284169994639</v>
      </c>
      <c r="F4" s="5">
        <v>2</v>
      </c>
      <c r="G4" s="23">
        <v>96.666666666666671</v>
      </c>
      <c r="H4" s="33">
        <v>53.215832651093542</v>
      </c>
      <c r="I4" s="23">
        <v>35.471837421837421</v>
      </c>
      <c r="J4" s="5">
        <v>1855.8823560708863</v>
      </c>
      <c r="K4" s="31"/>
      <c r="L4" s="23">
        <v>96378.208118335315</v>
      </c>
      <c r="M4" s="33">
        <v>0.70293300000048475</v>
      </c>
      <c r="N4" s="5">
        <v>3</v>
      </c>
      <c r="O4" s="5">
        <v>73.333333333333329</v>
      </c>
      <c r="P4" s="33">
        <v>0</v>
      </c>
      <c r="Q4" s="5">
        <v>16.82718663829775</v>
      </c>
      <c r="R4" s="5">
        <v>1320.9500085455329</v>
      </c>
      <c r="S4" s="31"/>
      <c r="T4" s="23">
        <v>93889.977939559642</v>
      </c>
      <c r="U4" s="33">
        <v>2.2097077090002131</v>
      </c>
      <c r="V4" s="5">
        <v>2</v>
      </c>
      <c r="W4" s="5">
        <v>83.333333333333329</v>
      </c>
      <c r="X4" s="33">
        <v>66.43907633779196</v>
      </c>
      <c r="Y4" s="5">
        <v>42.849976979446978</v>
      </c>
      <c r="Z4" s="5">
        <v>2084.6289356364518</v>
      </c>
      <c r="AA4" s="35"/>
    </row>
    <row r="5" spans="2:27" x14ac:dyDescent="0.2">
      <c r="B5" s="4">
        <v>2</v>
      </c>
      <c r="C5" s="4">
        <v>177</v>
      </c>
      <c r="D5" s="23">
        <v>77840.006300560955</v>
      </c>
      <c r="E5" s="33">
        <v>0.7763779169999907</v>
      </c>
      <c r="F5" s="5">
        <v>2</v>
      </c>
      <c r="G5" s="23">
        <v>96.666666666666671</v>
      </c>
      <c r="H5" s="33">
        <v>53.215832651093542</v>
      </c>
      <c r="I5" s="23">
        <v>35.471837421837421</v>
      </c>
      <c r="J5" s="5">
        <v>1855.8823560708863</v>
      </c>
      <c r="K5" s="31"/>
      <c r="L5" s="23">
        <v>95740.252124307663</v>
      </c>
      <c r="M5" s="33">
        <v>0.65997729099763092</v>
      </c>
      <c r="N5" s="5">
        <v>3</v>
      </c>
      <c r="O5" s="5">
        <v>73.333333333333329</v>
      </c>
      <c r="P5" s="33">
        <v>0</v>
      </c>
      <c r="Q5" s="5">
        <v>15.30227543560877</v>
      </c>
      <c r="R5" s="5">
        <v>1280.880108712272</v>
      </c>
      <c r="S5" s="31"/>
      <c r="T5" s="23">
        <v>95588.279228628031</v>
      </c>
      <c r="U5" s="33">
        <v>1.4334970410018291</v>
      </c>
      <c r="V5" s="5">
        <v>2</v>
      </c>
      <c r="W5" s="5">
        <v>83.333333333333329</v>
      </c>
      <c r="X5" s="33">
        <v>114.8613021918417</v>
      </c>
      <c r="Y5" s="5">
        <v>47.706020811954957</v>
      </c>
      <c r="Z5" s="5">
        <v>2140.4580865178109</v>
      </c>
      <c r="AA5" s="35"/>
    </row>
    <row r="6" spans="2:27" x14ac:dyDescent="0.2">
      <c r="B6" s="4">
        <v>3</v>
      </c>
      <c r="C6" s="4">
        <v>209</v>
      </c>
      <c r="D6" s="23">
        <v>77840.006300560955</v>
      </c>
      <c r="E6" s="33">
        <v>1.5226304579991849</v>
      </c>
      <c r="F6" s="5">
        <v>2</v>
      </c>
      <c r="G6" s="23">
        <v>96.666666666666671</v>
      </c>
      <c r="H6" s="33">
        <v>53.215832651093542</v>
      </c>
      <c r="I6" s="23">
        <v>35.471837421837421</v>
      </c>
      <c r="J6" s="5">
        <v>1855.8823560708863</v>
      </c>
      <c r="K6" s="31"/>
      <c r="L6" s="23">
        <v>95360.632550110196</v>
      </c>
      <c r="M6" s="33">
        <v>1.282621582999127</v>
      </c>
      <c r="N6" s="5">
        <v>3</v>
      </c>
      <c r="O6" s="5">
        <v>80</v>
      </c>
      <c r="P6" s="33">
        <v>17.436512090359219</v>
      </c>
      <c r="Q6" s="5">
        <v>17.85439118772452</v>
      </c>
      <c r="R6" s="5">
        <v>1539.4914203362041</v>
      </c>
      <c r="S6" s="31"/>
      <c r="T6" s="23">
        <v>96023.40403331691</v>
      </c>
      <c r="U6" s="33">
        <v>1.2799769579978599</v>
      </c>
      <c r="V6" s="5">
        <v>2</v>
      </c>
      <c r="W6" s="5">
        <v>86.666666666666671</v>
      </c>
      <c r="X6" s="33">
        <v>138.15603710053779</v>
      </c>
      <c r="Y6" s="5">
        <v>48.626861413800398</v>
      </c>
      <c r="Z6" s="5">
        <v>2242.392990361493</v>
      </c>
      <c r="AA6" s="35"/>
    </row>
    <row r="7" spans="2:27" x14ac:dyDescent="0.2">
      <c r="B7" s="4">
        <v>4</v>
      </c>
      <c r="C7" s="4">
        <v>303</v>
      </c>
      <c r="D7" s="23">
        <v>77840.006300560955</v>
      </c>
      <c r="E7" s="33">
        <v>1.1925937920004801</v>
      </c>
      <c r="F7" s="5">
        <v>2</v>
      </c>
      <c r="G7" s="23">
        <v>96.666666666666671</v>
      </c>
      <c r="H7" s="33">
        <v>53.215832651093542</v>
      </c>
      <c r="I7" s="23">
        <v>35.471837421837421</v>
      </c>
      <c r="J7" s="5">
        <v>1855.8823560708863</v>
      </c>
      <c r="K7" s="31"/>
      <c r="L7" s="23">
        <v>96125.137326555909</v>
      </c>
      <c r="M7" s="33">
        <v>0.6855752500014205</v>
      </c>
      <c r="N7" s="5">
        <v>3</v>
      </c>
      <c r="O7" s="5">
        <v>73.333333333333329</v>
      </c>
      <c r="P7" s="33">
        <v>0</v>
      </c>
      <c r="Q7" s="5">
        <v>15.393738327071659</v>
      </c>
      <c r="R7" s="5">
        <v>1295.4153814395449</v>
      </c>
      <c r="S7" s="31"/>
      <c r="T7" s="23">
        <v>94207.586235208117</v>
      </c>
      <c r="U7" s="33">
        <v>1.0911941669983209</v>
      </c>
      <c r="V7" s="5">
        <v>2</v>
      </c>
      <c r="W7" s="5">
        <v>83.333333333333329</v>
      </c>
      <c r="X7" s="33">
        <v>105.64643948437271</v>
      </c>
      <c r="Y7" s="5">
        <v>42.920242232003908</v>
      </c>
      <c r="Z7" s="5">
        <v>2066.68988008827</v>
      </c>
      <c r="AA7" s="35"/>
    </row>
    <row r="8" spans="2:27" x14ac:dyDescent="0.2">
      <c r="B8" s="4">
        <v>5</v>
      </c>
      <c r="C8" s="4">
        <v>354</v>
      </c>
      <c r="D8" s="23">
        <v>78896.709186421693</v>
      </c>
      <c r="E8" s="33">
        <v>0.80159066699889081</v>
      </c>
      <c r="F8" s="5">
        <v>2</v>
      </c>
      <c r="G8" s="23">
        <v>90</v>
      </c>
      <c r="H8" s="33">
        <v>26.554085893342524</v>
      </c>
      <c r="I8" s="23">
        <v>32.455563572230233</v>
      </c>
      <c r="J8" s="5">
        <v>1711.4675923295715</v>
      </c>
      <c r="K8" s="31"/>
      <c r="L8" s="23">
        <v>95427.060055688824</v>
      </c>
      <c r="M8" s="33">
        <v>0.56438924999747542</v>
      </c>
      <c r="N8" s="5">
        <v>3</v>
      </c>
      <c r="O8" s="5">
        <v>80</v>
      </c>
      <c r="P8" s="33">
        <v>17.436512090359219</v>
      </c>
      <c r="Q8" s="5">
        <v>17.608880525547189</v>
      </c>
      <c r="R8" s="5">
        <v>1538.2726029395001</v>
      </c>
      <c r="S8" s="31"/>
      <c r="T8" s="23">
        <v>94155.306690831276</v>
      </c>
      <c r="U8" s="33">
        <v>1.1261517499988261</v>
      </c>
      <c r="V8" s="5">
        <v>2</v>
      </c>
      <c r="W8" s="5">
        <v>76.666666666666671</v>
      </c>
      <c r="X8" s="33">
        <v>47.818299865709363</v>
      </c>
      <c r="Y8" s="5">
        <v>34.834236097217271</v>
      </c>
      <c r="Z8" s="5">
        <v>1818.424097136186</v>
      </c>
      <c r="AA8" s="35"/>
    </row>
    <row r="9" spans="2:27" x14ac:dyDescent="0.2">
      <c r="B9" s="4">
        <v>6</v>
      </c>
      <c r="C9" s="4">
        <v>365</v>
      </c>
      <c r="D9" s="23">
        <v>77840.006300560955</v>
      </c>
      <c r="E9" s="33">
        <v>0.7497321250011737</v>
      </c>
      <c r="F9" s="5">
        <v>2</v>
      </c>
      <c r="G9" s="23">
        <v>96.666666666666671</v>
      </c>
      <c r="H9" s="33">
        <v>53.215832651093542</v>
      </c>
      <c r="I9" s="23">
        <v>35.471837421837421</v>
      </c>
      <c r="J9" s="5">
        <v>1855.8823560708863</v>
      </c>
      <c r="K9" s="31"/>
      <c r="L9" s="23">
        <v>94846.172609136673</v>
      </c>
      <c r="M9" s="33">
        <v>0.69524958299734863</v>
      </c>
      <c r="N9" s="5">
        <v>3</v>
      </c>
      <c r="O9" s="5">
        <v>80</v>
      </c>
      <c r="P9" s="33">
        <v>17.436512090359219</v>
      </c>
      <c r="Q9" s="5">
        <v>17.610550666106221</v>
      </c>
      <c r="R9" s="5">
        <v>1517.3880091125991</v>
      </c>
      <c r="S9" s="31"/>
      <c r="T9" s="23">
        <v>93351.814115852496</v>
      </c>
      <c r="U9" s="33">
        <v>2.0884566660024571</v>
      </c>
      <c r="V9" s="5">
        <v>2</v>
      </c>
      <c r="W9" s="5">
        <v>76.666666666666671</v>
      </c>
      <c r="X9" s="33">
        <v>25.495128380961631</v>
      </c>
      <c r="Y9" s="5">
        <v>34.02753000595834</v>
      </c>
      <c r="Z9" s="5">
        <v>1795.9266195757541</v>
      </c>
      <c r="AA9" s="35"/>
    </row>
    <row r="10" spans="2:27" x14ac:dyDescent="0.2">
      <c r="B10" s="4">
        <v>7</v>
      </c>
      <c r="C10" s="4">
        <v>443</v>
      </c>
      <c r="D10" s="23">
        <v>77840.006300560955</v>
      </c>
      <c r="E10" s="33">
        <v>0.62465974999940954</v>
      </c>
      <c r="F10" s="5">
        <v>2</v>
      </c>
      <c r="G10" s="23">
        <v>96.666666666666671</v>
      </c>
      <c r="H10" s="33">
        <v>53.215832651093542</v>
      </c>
      <c r="I10" s="23">
        <v>35.471837421837421</v>
      </c>
      <c r="J10" s="5">
        <v>1855.8823560708863</v>
      </c>
      <c r="K10" s="31"/>
      <c r="L10" s="23">
        <v>94821.739735121446</v>
      </c>
      <c r="M10" s="33">
        <v>0.587235208000493</v>
      </c>
      <c r="N10" s="5">
        <v>3</v>
      </c>
      <c r="O10" s="5">
        <v>80</v>
      </c>
      <c r="P10" s="33">
        <v>19.668178757025881</v>
      </c>
      <c r="Q10" s="5">
        <v>18.513708513708512</v>
      </c>
      <c r="R10" s="5">
        <v>1529.656571851355</v>
      </c>
      <c r="S10" s="31"/>
      <c r="T10" s="23">
        <v>96906.568523066904</v>
      </c>
      <c r="U10" s="33">
        <v>0.8810356670001056</v>
      </c>
      <c r="V10" s="5">
        <v>3</v>
      </c>
      <c r="W10" s="5">
        <v>83.333333333333329</v>
      </c>
      <c r="X10" s="33">
        <v>84.177126659777585</v>
      </c>
      <c r="Y10" s="5">
        <v>35.66354811607097</v>
      </c>
      <c r="Z10" s="5">
        <v>1894.95248765991</v>
      </c>
      <c r="AA10" s="35"/>
    </row>
    <row r="11" spans="2:27" x14ac:dyDescent="0.2">
      <c r="B11" s="4">
        <v>8</v>
      </c>
      <c r="C11" s="4">
        <v>515</v>
      </c>
      <c r="D11" s="23">
        <v>77950.597575957421</v>
      </c>
      <c r="E11" s="33">
        <v>0.81830245899982401</v>
      </c>
      <c r="F11" s="5">
        <v>2</v>
      </c>
      <c r="G11" s="23">
        <v>93.333333333333329</v>
      </c>
      <c r="H11" s="33">
        <v>38.903708426809253</v>
      </c>
      <c r="I11" s="23">
        <v>34.496809363476032</v>
      </c>
      <c r="J11" s="5">
        <v>1777.2407584643422</v>
      </c>
      <c r="K11" s="31"/>
      <c r="L11" s="23">
        <v>95622.112567186501</v>
      </c>
      <c r="M11" s="33">
        <v>0.80047245800233213</v>
      </c>
      <c r="N11" s="5">
        <v>3</v>
      </c>
      <c r="O11" s="5">
        <v>73.333333333333329</v>
      </c>
      <c r="P11" s="33">
        <v>0</v>
      </c>
      <c r="Q11" s="5">
        <v>15.92904925127147</v>
      </c>
      <c r="R11" s="5">
        <v>1275.1660932761961</v>
      </c>
      <c r="S11" s="31"/>
      <c r="T11" s="23">
        <v>93102.970159086181</v>
      </c>
      <c r="U11" s="33">
        <v>1.6817082500019751</v>
      </c>
      <c r="V11" s="5">
        <v>2</v>
      </c>
      <c r="W11" s="5">
        <v>80</v>
      </c>
      <c r="X11" s="33">
        <v>37.907142726280888</v>
      </c>
      <c r="Y11" s="5">
        <v>38.520659499087841</v>
      </c>
      <c r="Z11" s="5">
        <v>1936.656752582388</v>
      </c>
      <c r="AA11" s="35"/>
    </row>
    <row r="12" spans="2:27" x14ac:dyDescent="0.2">
      <c r="B12" s="4">
        <v>9</v>
      </c>
      <c r="C12" s="4">
        <v>573</v>
      </c>
      <c r="D12" s="23">
        <v>77840.006300560955</v>
      </c>
      <c r="E12" s="33">
        <v>0.77110745800018776</v>
      </c>
      <c r="F12" s="5">
        <v>2</v>
      </c>
      <c r="G12" s="23">
        <v>96.666666666666671</v>
      </c>
      <c r="H12" s="33">
        <v>53.215832651093542</v>
      </c>
      <c r="I12" s="23">
        <v>35.471837421837421</v>
      </c>
      <c r="J12" s="5">
        <v>1855.8823560708863</v>
      </c>
      <c r="K12" s="31"/>
      <c r="L12" s="23">
        <v>95769.186415281423</v>
      </c>
      <c r="M12" s="33">
        <v>0.72172495799895842</v>
      </c>
      <c r="N12" s="5">
        <v>3</v>
      </c>
      <c r="O12" s="5">
        <v>80</v>
      </c>
      <c r="P12" s="33">
        <v>17.436512090359219</v>
      </c>
      <c r="Q12" s="5">
        <v>17.91785652896764</v>
      </c>
      <c r="R12" s="5">
        <v>1556.093431548067</v>
      </c>
      <c r="S12" s="31"/>
      <c r="T12" s="23">
        <v>93043.441032278861</v>
      </c>
      <c r="U12" s="33">
        <v>0.95992270799979451</v>
      </c>
      <c r="V12" s="5">
        <v>2</v>
      </c>
      <c r="W12" s="5">
        <v>80</v>
      </c>
      <c r="X12" s="33">
        <v>57.421291490429631</v>
      </c>
      <c r="Y12" s="5">
        <v>37.157116468878137</v>
      </c>
      <c r="Z12" s="5">
        <v>1895.484570785206</v>
      </c>
      <c r="AA12" s="35"/>
    </row>
    <row r="13" spans="2:27" x14ac:dyDescent="0.2">
      <c r="B13" s="4">
        <v>10</v>
      </c>
      <c r="C13" s="4">
        <v>998</v>
      </c>
      <c r="D13" s="23">
        <v>77840.006300560955</v>
      </c>
      <c r="E13" s="33">
        <v>0.91259779200117919</v>
      </c>
      <c r="F13" s="5">
        <v>2</v>
      </c>
      <c r="G13" s="23">
        <v>96.666666666666671</v>
      </c>
      <c r="H13" s="33">
        <v>53.215832651093542</v>
      </c>
      <c r="I13" s="23">
        <v>35.471837421837421</v>
      </c>
      <c r="J13" s="5">
        <v>1855.8823560708863</v>
      </c>
      <c r="K13" s="31"/>
      <c r="L13" s="23">
        <v>95572.550251637789</v>
      </c>
      <c r="M13" s="33">
        <v>1.1679874170004041</v>
      </c>
      <c r="N13" s="5">
        <v>3</v>
      </c>
      <c r="O13" s="5">
        <v>73.333333333333329</v>
      </c>
      <c r="P13" s="33">
        <v>0</v>
      </c>
      <c r="Q13" s="5">
        <v>16.66160619493953</v>
      </c>
      <c r="R13" s="5">
        <v>1287.489454826524</v>
      </c>
      <c r="S13" s="31"/>
      <c r="T13" s="23">
        <v>93043.441032278861</v>
      </c>
      <c r="U13" s="33">
        <v>1.2415956660006491</v>
      </c>
      <c r="V13" s="5">
        <v>2</v>
      </c>
      <c r="W13" s="5">
        <v>80</v>
      </c>
      <c r="X13" s="33">
        <v>57.421291490429631</v>
      </c>
      <c r="Y13" s="5">
        <v>37.157116468878137</v>
      </c>
      <c r="Z13" s="5">
        <v>1895.484570785206</v>
      </c>
      <c r="AA13" s="35"/>
    </row>
    <row r="14" spans="2:27" x14ac:dyDescent="0.2">
      <c r="B14" s="46" t="s">
        <v>3</v>
      </c>
      <c r="C14" s="47"/>
      <c r="D14" s="9">
        <f>MIN(D4:D13)</f>
        <v>77840.006300560955</v>
      </c>
      <c r="E14" s="22">
        <f>INDEX(E4:E13, MATCH($D$14, D4:D13, 0))</f>
        <v>1.2524284169994639</v>
      </c>
      <c r="F14" s="9">
        <f>INDEX(F4:F13, MATCH($D$14, D4:D13, 0))</f>
        <v>2</v>
      </c>
      <c r="G14" s="9">
        <f>INDEX(G4:G13, MATCH($D$14, D4:D13, 0))</f>
        <v>96.666666666666671</v>
      </c>
      <c r="H14" s="22">
        <f>INDEX(H4:H13, MATCH($D$14, D4:D13, 0))</f>
        <v>53.215832651093542</v>
      </c>
      <c r="I14" s="22">
        <f>INDEX(I4:I13, MATCH($D$14, D4:D13, 0))</f>
        <v>35.471837421837421</v>
      </c>
      <c r="J14" s="22">
        <f>INDEX(J4:J13, MATCH($D$14, D4:D13, 0))</f>
        <v>1855.8823560708863</v>
      </c>
      <c r="K14" s="32" t="e">
        <f>(D14-$D$15)/$D$15</f>
        <v>#DIV/0!</v>
      </c>
      <c r="L14" s="16">
        <f>MIN(L4:L13)</f>
        <v>94821.739735121446</v>
      </c>
      <c r="M14" s="21">
        <f>INDEX(M4:M13, MATCH($L$14, L4:L13, 0))</f>
        <v>0.587235208000493</v>
      </c>
      <c r="N14" s="16">
        <f>INDEX(N4:N13, MATCH($L$14, L4:L13, 0))</f>
        <v>3</v>
      </c>
      <c r="O14" s="16">
        <f>INDEX(O4:O13, MATCH($L$14, L4:L13, 0))</f>
        <v>80</v>
      </c>
      <c r="P14" s="21">
        <f>INDEX(P4:P13, MATCH($L$14, L4:L13, 0))</f>
        <v>19.668178757025881</v>
      </c>
      <c r="Q14" s="21">
        <f>INDEX(Q4:Q13, MATCH($L$14, L4:L13, 0))</f>
        <v>18.513708513708512</v>
      </c>
      <c r="R14" s="21">
        <f>INDEX(R4:R13, MATCH($L$14, L4:L13, 0))</f>
        <v>1529.656571851355</v>
      </c>
      <c r="S14" s="36" t="e">
        <f>(L14-$D$15)/$D$15</f>
        <v>#DIV/0!</v>
      </c>
      <c r="T14" s="38">
        <f>MIN(T4:T13)</f>
        <v>93043.441032278861</v>
      </c>
      <c r="U14" s="39">
        <f>INDEX(U4:U13, MATCH($T$14, T4:T13, 0))</f>
        <v>0.95992270799979451</v>
      </c>
      <c r="V14" s="38">
        <f>INDEX(V4:V13, MATCH($T$14, T4:T13, 0))</f>
        <v>2</v>
      </c>
      <c r="W14" s="38">
        <f>INDEX(W4:W13, MATCH($T$14, T4:T13, 0))</f>
        <v>80</v>
      </c>
      <c r="X14" s="39">
        <f>INDEX(X4:X13, MATCH($T$14, T4:T13, 0))</f>
        <v>57.421291490429631</v>
      </c>
      <c r="Y14" s="39">
        <f>INDEX(Y4:Y13, MATCH($T$14, T4:T13, 0))</f>
        <v>37.157116468878137</v>
      </c>
      <c r="Z14" s="39">
        <f>INDEX(Z4:Z13, MATCH($T$14, T4:T13, 0))</f>
        <v>1895.484570785206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6:C1048576">
    <cfRule type="duplicateValues" dxfId="93" priority="15"/>
    <cfRule type="duplicateValues" dxfId="92" priority="16"/>
  </conditionalFormatting>
  <conditionalFormatting sqref="C14">
    <cfRule type="duplicateValues" dxfId="91" priority="7"/>
    <cfRule type="duplicateValues" dxfId="90" priority="8"/>
  </conditionalFormatting>
  <conditionalFormatting sqref="C24:C35">
    <cfRule type="duplicateValues" dxfId="5" priority="5"/>
    <cfRule type="duplicateValues" dxfId="4" priority="6"/>
  </conditionalFormatting>
  <conditionalFormatting sqref="C17">
    <cfRule type="duplicateValues" dxfId="3" priority="1"/>
    <cfRule type="duplicateValues" dxfId="2" priority="2"/>
  </conditionalFormatting>
  <conditionalFormatting sqref="C18:C23"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dimension ref="B3:I14"/>
  <sheetViews>
    <sheetView zoomScale="125" workbookViewId="0">
      <selection activeCell="I4" sqref="I4"/>
    </sheetView>
  </sheetViews>
  <sheetFormatPr baseColWidth="10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46" t="s">
        <v>3</v>
      </c>
      <c r="C14" s="47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dimension ref="B3:T17"/>
  <sheetViews>
    <sheetView zoomScale="118" zoomScaleNormal="120" workbookViewId="0">
      <selection activeCell="H16" sqref="H16"/>
    </sheetView>
  </sheetViews>
  <sheetFormatPr baseColWidth="10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832031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85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dimension ref="B3:T17"/>
  <sheetViews>
    <sheetView zoomScaleNormal="120" workbookViewId="0">
      <selection activeCell="L4" sqref="L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84" priority="1"/>
  </conditionalFormatting>
  <conditionalFormatting sqref="L14">
    <cfRule type="duplicateValues" dxfId="83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dimension ref="B3:T16"/>
  <sheetViews>
    <sheetView zoomScale="118" zoomScaleNormal="120" workbookViewId="0">
      <selection activeCell="P14" sqref="P14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46" t="s">
        <v>3</v>
      </c>
      <c r="C14" s="47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82" priority="1"/>
  </conditionalFormatting>
  <conditionalFormatting sqref="L14">
    <cfRule type="duplicateValues" dxfId="81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dimension ref="B3:T14"/>
  <sheetViews>
    <sheetView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80" priority="1"/>
  </conditionalFormatting>
  <conditionalFormatting sqref="L14">
    <cfRule type="duplicateValues" dxfId="79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dimension ref="B3:T14"/>
  <sheetViews>
    <sheetView zoomScale="117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78" priority="1"/>
  </conditionalFormatting>
  <conditionalFormatting sqref="L14">
    <cfRule type="duplicateValues" dxfId="77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46" t="s">
        <v>3</v>
      </c>
      <c r="C14" s="47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76" priority="1"/>
  </conditionalFormatting>
  <conditionalFormatting sqref="L14">
    <cfRule type="duplicateValues" dxfId="75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74" priority="1"/>
    <cfRule type="duplicateValues" dxfId="73" priority="2"/>
  </conditionalFormatting>
  <conditionalFormatting sqref="L14">
    <cfRule type="duplicateValues" dxfId="72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71" priority="1"/>
  </conditionalFormatting>
  <conditionalFormatting sqref="L14">
    <cfRule type="duplicateValues" dxfId="70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69" priority="1"/>
  </conditionalFormatting>
  <conditionalFormatting sqref="L14">
    <cfRule type="duplicateValues" dxfId="68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67" priority="1"/>
  </conditionalFormatting>
  <conditionalFormatting sqref="L14">
    <cfRule type="duplicateValues" dxfId="66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dimension ref="B3:T14"/>
  <sheetViews>
    <sheetView zoomScale="118" zoomScaleNormal="120" workbookViewId="0">
      <selection activeCell="M7" sqref="M7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65" priority="1"/>
  </conditionalFormatting>
  <conditionalFormatting sqref="L14">
    <cfRule type="duplicateValues" dxfId="64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dimension ref="B3:T14"/>
  <sheetViews>
    <sheetView topLeftCell="G1" zoomScale="118" zoomScaleNormal="120" workbookViewId="0">
      <selection activeCell="Q15" sqref="Q15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63" priority="1"/>
  </conditionalFormatting>
  <conditionalFormatting sqref="L14">
    <cfRule type="duplicateValues" dxfId="62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dimension ref="B3:T17"/>
  <sheetViews>
    <sheetView topLeftCell="C1" zoomScale="117" zoomScaleNormal="120" workbookViewId="0">
      <selection activeCell="M4" sqref="M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61" priority="1"/>
  </conditionalFormatting>
  <conditionalFormatting sqref="L14">
    <cfRule type="duplicateValues" dxfId="60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dimension ref="B3:T17"/>
  <sheetViews>
    <sheetView zoomScale="118" zoomScaleNormal="120" workbookViewId="0">
      <selection activeCell="J23" sqref="J2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59" priority="1"/>
  </conditionalFormatting>
  <conditionalFormatting sqref="L14">
    <cfRule type="duplicateValues" dxfId="58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dimension ref="B3:T17"/>
  <sheetViews>
    <sheetView topLeftCell="C1" zoomScale="115" zoomScaleNormal="120" workbookViewId="0">
      <selection activeCell="M4" sqref="M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57" priority="1"/>
  </conditionalFormatting>
  <conditionalFormatting sqref="L14">
    <cfRule type="duplicateValues" dxfId="56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dimension ref="B3:T17"/>
  <sheetViews>
    <sheetView zoomScale="118" zoomScaleNormal="120" workbookViewId="0">
      <selection activeCell="J20" sqref="J2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55" priority="1"/>
  </conditionalFormatting>
  <conditionalFormatting sqref="L14">
    <cfRule type="duplicateValues" dxfId="54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results53</vt:lpstr>
      <vt:lpstr>results74</vt:lpstr>
      <vt:lpstr>results101</vt:lpstr>
      <vt:lpstr>results145</vt:lpstr>
      <vt:lpstr>results311</vt:lpstr>
      <vt:lpstr>results529</vt:lpstr>
      <vt:lpstr>results587</vt:lpstr>
      <vt:lpstr>results753</vt:lpstr>
      <vt:lpstr>results898</vt:lpstr>
      <vt:lpstr>results997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2026-10-21T18:37:46Z</dcterms:modified>
</cp:coreProperties>
</file>