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50-5-5/"/>
    </mc:Choice>
  </mc:AlternateContent>
  <xr:revisionPtr revIDLastSave="0" documentId="13_ncr:1_{743844A7-51DA-5E4E-8974-A163B04B8DA0}" xr6:coauthVersionLast="47" xr6:coauthVersionMax="47" xr10:uidLastSave="{00000000-0000-0000-0000-000000000000}"/>
  <bookViews>
    <workbookView xWindow="0" yWindow="760" windowWidth="34560" windowHeight="20520" tabRatio="828" xr2:uid="{41E620E7-D6DF-9342-B452-EA60AB3B07C5}"/>
  </bookViews>
  <sheets>
    <sheet name="Summary" sheetId="68" r:id="rId1"/>
    <sheet name="results107" sheetId="58" r:id="rId2"/>
    <sheet name="results130" sheetId="69" r:id="rId3"/>
    <sheet name="results191" sheetId="70" r:id="rId4"/>
    <sheet name="results199" sheetId="71" r:id="rId5"/>
    <sheet name="results211" sheetId="72" r:id="rId6"/>
    <sheet name="results299" sheetId="76" r:id="rId7"/>
    <sheet name="results603" sheetId="77" r:id="rId8"/>
    <sheet name="results732" sheetId="73" r:id="rId9"/>
    <sheet name="results986" sheetId="74" r:id="rId10"/>
    <sheet name="results99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5" l="1"/>
  <c r="J14" i="75"/>
  <c r="I14" i="75"/>
  <c r="H14" i="75"/>
  <c r="F14" i="75"/>
  <c r="E14" i="75"/>
  <c r="D14" i="75"/>
  <c r="G14" i="75" s="1"/>
  <c r="K14" i="74"/>
  <c r="J14" i="74"/>
  <c r="I14" i="74"/>
  <c r="H14" i="74"/>
  <c r="G14" i="74"/>
  <c r="F14" i="74"/>
  <c r="D14" i="74"/>
  <c r="E14" i="74" s="1"/>
  <c r="K14" i="73"/>
  <c r="J14" i="73"/>
  <c r="I14" i="73"/>
  <c r="H14" i="73"/>
  <c r="G14" i="73"/>
  <c r="F14" i="73"/>
  <c r="E14" i="73"/>
  <c r="D14" i="73"/>
  <c r="D14" i="77"/>
  <c r="K14" i="77" s="1"/>
  <c r="K14" i="76"/>
  <c r="J14" i="76"/>
  <c r="I14" i="76"/>
  <c r="H14" i="76"/>
  <c r="G14" i="76"/>
  <c r="D14" i="76"/>
  <c r="F14" i="76" s="1"/>
  <c r="D14" i="72"/>
  <c r="H14" i="72" s="1"/>
  <c r="K14" i="71"/>
  <c r="J14" i="71"/>
  <c r="I14" i="71"/>
  <c r="H14" i="71"/>
  <c r="D14" i="71"/>
  <c r="G14" i="71" s="1"/>
  <c r="K14" i="70"/>
  <c r="J14" i="70"/>
  <c r="I14" i="70"/>
  <c r="H14" i="70"/>
  <c r="D14" i="70"/>
  <c r="G14" i="70" s="1"/>
  <c r="K14" i="69"/>
  <c r="J14" i="69"/>
  <c r="I14" i="69"/>
  <c r="H14" i="69"/>
  <c r="G14" i="69"/>
  <c r="F14" i="69"/>
  <c r="D14" i="69"/>
  <c r="E14" i="69" s="1"/>
  <c r="T14" i="58"/>
  <c r="AA14" i="58" s="1"/>
  <c r="K14" i="58"/>
  <c r="J14" i="58"/>
  <c r="I14" i="58"/>
  <c r="H14" i="58"/>
  <c r="D14" i="58"/>
  <c r="G14" i="58" s="1"/>
  <c r="I14" i="77" l="1"/>
  <c r="H14" i="77"/>
  <c r="E14" i="77"/>
  <c r="F14" i="77"/>
  <c r="G14" i="77"/>
  <c r="J14" i="77"/>
  <c r="E14" i="76"/>
  <c r="F14" i="72"/>
  <c r="J14" i="72"/>
  <c r="E14" i="72"/>
  <c r="G14" i="72"/>
  <c r="I14" i="72"/>
  <c r="K14" i="72"/>
  <c r="E14" i="71"/>
  <c r="F14" i="71"/>
  <c r="E14" i="70"/>
  <c r="F14" i="70"/>
  <c r="U14" i="58"/>
  <c r="V14" i="58"/>
  <c r="W14" i="58"/>
  <c r="X14" i="58"/>
  <c r="Y14" i="58"/>
  <c r="F14" i="58"/>
  <c r="Z14" i="58"/>
  <c r="E14" i="58"/>
  <c r="L14" i="77"/>
  <c r="L14" i="74"/>
  <c r="L14" i="75" l="1"/>
  <c r="S14" i="75" s="1"/>
  <c r="J2" i="75" s="1"/>
  <c r="L14" i="73"/>
  <c r="L14" i="76"/>
  <c r="L14" i="71"/>
  <c r="M14" i="71" s="1"/>
  <c r="L14" i="70"/>
  <c r="L14" i="69"/>
  <c r="L14" i="72"/>
  <c r="N14" i="72" s="1"/>
  <c r="T14" i="75"/>
  <c r="T14" i="74"/>
  <c r="T14" i="73"/>
  <c r="W14" i="73" s="1"/>
  <c r="T14" i="77"/>
  <c r="T14" i="76"/>
  <c r="T14" i="72"/>
  <c r="X14" i="72" s="1"/>
  <c r="T14" i="71"/>
  <c r="T14" i="70"/>
  <c r="Z14" i="70" s="1"/>
  <c r="T14" i="69"/>
  <c r="AA14" i="75"/>
  <c r="Z14" i="75"/>
  <c r="Y14" i="75"/>
  <c r="X14" i="75"/>
  <c r="V14" i="75"/>
  <c r="U14" i="75"/>
  <c r="W14" i="75"/>
  <c r="R14" i="75"/>
  <c r="Q14" i="75"/>
  <c r="P14" i="75"/>
  <c r="O14" i="75"/>
  <c r="N14" i="75"/>
  <c r="M14" i="75"/>
  <c r="O14" i="74"/>
  <c r="M14" i="74"/>
  <c r="Q14" i="74"/>
  <c r="N14" i="74"/>
  <c r="S14" i="74"/>
  <c r="J2" i="74" s="1"/>
  <c r="R14" i="74"/>
  <c r="P14" i="74"/>
  <c r="Y14" i="74"/>
  <c r="X14" i="74"/>
  <c r="W14" i="74"/>
  <c r="V14" i="74"/>
  <c r="U14" i="74"/>
  <c r="Z14" i="74"/>
  <c r="AA14" i="74"/>
  <c r="Q14" i="73"/>
  <c r="O14" i="73"/>
  <c r="M14" i="73"/>
  <c r="S14" i="73"/>
  <c r="J2" i="73" s="1"/>
  <c r="R14" i="73"/>
  <c r="P14" i="73"/>
  <c r="N14" i="73"/>
  <c r="X14" i="73"/>
  <c r="AA14" i="73"/>
  <c r="Z14" i="73"/>
  <c r="W14" i="77"/>
  <c r="V14" i="77"/>
  <c r="U14" i="77"/>
  <c r="Z14" i="77"/>
  <c r="AA14" i="77"/>
  <c r="Y14" i="77"/>
  <c r="X14" i="77"/>
  <c r="Q14" i="77"/>
  <c r="S14" i="77"/>
  <c r="J2" i="77" s="1"/>
  <c r="R14" i="77"/>
  <c r="P14" i="77"/>
  <c r="O14" i="77"/>
  <c r="N14" i="77"/>
  <c r="M14" i="77"/>
  <c r="R14" i="76"/>
  <c r="S14" i="76"/>
  <c r="J2" i="76" s="1"/>
  <c r="O14" i="76"/>
  <c r="N14" i="76"/>
  <c r="P14" i="76"/>
  <c r="Q14" i="76"/>
  <c r="M14" i="76"/>
  <c r="AA14" i="76"/>
  <c r="Z14" i="76"/>
  <c r="Y14" i="76"/>
  <c r="X14" i="76"/>
  <c r="W14" i="76"/>
  <c r="V14" i="76"/>
  <c r="U14" i="76"/>
  <c r="S14" i="72"/>
  <c r="J2" i="72" s="1"/>
  <c r="Q14" i="72"/>
  <c r="R14" i="72"/>
  <c r="P14" i="72"/>
  <c r="O14" i="72"/>
  <c r="M14" i="72"/>
  <c r="V14" i="72"/>
  <c r="U14" i="72"/>
  <c r="Z14" i="72"/>
  <c r="W14" i="72"/>
  <c r="Y14" i="72"/>
  <c r="AA14" i="72"/>
  <c r="AA14" i="71"/>
  <c r="Z14" i="71"/>
  <c r="Y14" i="71"/>
  <c r="X14" i="71"/>
  <c r="W14" i="71"/>
  <c r="V14" i="71"/>
  <c r="U14" i="71"/>
  <c r="S14" i="71"/>
  <c r="J2" i="71" s="1"/>
  <c r="Q14" i="71"/>
  <c r="O14" i="71"/>
  <c r="P14" i="71"/>
  <c r="N14" i="71"/>
  <c r="AA14" i="70"/>
  <c r="W14" i="70"/>
  <c r="Y14" i="70"/>
  <c r="X14" i="70"/>
  <c r="V14" i="70"/>
  <c r="R14" i="70"/>
  <c r="P14" i="70"/>
  <c r="N14" i="70"/>
  <c r="S14" i="70"/>
  <c r="J2" i="70" s="1"/>
  <c r="O14" i="70"/>
  <c r="M14" i="70"/>
  <c r="Q14" i="70"/>
  <c r="P14" i="69"/>
  <c r="O14" i="69"/>
  <c r="N14" i="69"/>
  <c r="M14" i="69"/>
  <c r="S14" i="69"/>
  <c r="J2" i="69" s="1"/>
  <c r="R14" i="69"/>
  <c r="Q14" i="69"/>
  <c r="Y14" i="69"/>
  <c r="X14" i="69"/>
  <c r="W14" i="69"/>
  <c r="V14" i="69"/>
  <c r="U14" i="69"/>
  <c r="AA14" i="69"/>
  <c r="Z14" i="69"/>
  <c r="R14" i="71" l="1"/>
  <c r="Z2" i="71" s="1"/>
  <c r="Y14" i="73"/>
  <c r="U14" i="73"/>
  <c r="V14" i="73"/>
  <c r="U14" i="70"/>
  <c r="X2" i="76"/>
  <c r="R2" i="70"/>
  <c r="R2" i="72"/>
  <c r="R2" i="77"/>
  <c r="Z2" i="76"/>
  <c r="H2" i="77"/>
  <c r="X2" i="74"/>
  <c r="P2" i="77"/>
  <c r="X2" i="72"/>
  <c r="Z2" i="74"/>
  <c r="X2" i="77"/>
  <c r="P2" i="76"/>
  <c r="Z2" i="77"/>
  <c r="H2" i="76"/>
  <c r="X2" i="70"/>
  <c r="R2" i="76"/>
  <c r="P2" i="75"/>
  <c r="P2" i="73"/>
  <c r="H2" i="75"/>
  <c r="H2" i="73"/>
  <c r="R2" i="75"/>
  <c r="R2" i="73"/>
  <c r="X2" i="73"/>
  <c r="X2" i="75"/>
  <c r="P2" i="74"/>
  <c r="P2" i="72"/>
  <c r="Z2" i="73"/>
  <c r="Z2" i="75"/>
  <c r="Z2" i="72"/>
  <c r="H2" i="72"/>
  <c r="H2" i="74"/>
  <c r="R2" i="74"/>
  <c r="Z2" i="70"/>
  <c r="P2" i="71"/>
  <c r="H2" i="71"/>
  <c r="R2" i="71"/>
  <c r="X2" i="69"/>
  <c r="X2" i="71"/>
  <c r="P2" i="70"/>
  <c r="H2" i="70"/>
  <c r="H2" i="69"/>
  <c r="R2" i="69"/>
  <c r="P2" i="69"/>
  <c r="Z2" i="69"/>
  <c r="V10" i="68" a="1"/>
  <c r="D8" i="68" a="1"/>
  <c r="H8" i="68" a="1"/>
  <c r="S12" i="68" a="1"/>
  <c r="C4" i="68" a="1"/>
  <c r="Q7" i="68" a="1"/>
  <c r="E6" i="68" a="1"/>
  <c r="M5" i="68" a="1"/>
  <c r="D9" i="68" a="1"/>
  <c r="M11" i="68" a="1"/>
  <c r="P5" i="68" a="1"/>
  <c r="S9" i="68" a="1"/>
  <c r="W10" i="68" a="1"/>
  <c r="I6" i="68" a="1"/>
  <c r="K5" i="68" a="1"/>
  <c r="K12" i="68" a="1"/>
  <c r="U9" i="68" a="1"/>
  <c r="C11" i="68" a="1"/>
  <c r="V6" i="68" a="1"/>
  <c r="H6" i="68" a="1"/>
  <c r="M10" i="68" a="1"/>
  <c r="T5" i="68" a="1"/>
  <c r="Q10" i="68" a="1"/>
  <c r="F11" i="68" a="1"/>
  <c r="X6" i="68" a="1"/>
  <c r="V9" i="68" a="1"/>
  <c r="W7" i="68" a="1"/>
  <c r="I8" i="68" a="1"/>
  <c r="M8" i="68" a="1"/>
  <c r="E7" i="68" a="1"/>
  <c r="E4" i="68" a="1"/>
  <c r="L4" i="68" a="1"/>
  <c r="W6" i="68" a="1"/>
  <c r="W8" i="68" a="1"/>
  <c r="Y8" i="68" a="1"/>
  <c r="Q9" i="68" a="1"/>
  <c r="T11" i="68" a="1"/>
  <c r="D6" i="68" a="1"/>
  <c r="F12" i="68" a="1"/>
  <c r="I4" i="68" a="1"/>
  <c r="Y4" i="68" a="1"/>
  <c r="G4" i="68" a="1"/>
  <c r="K8" i="68" a="1"/>
  <c r="F7" i="68" a="1"/>
  <c r="X7" i="68" a="1"/>
  <c r="I10" i="68" a="1"/>
  <c r="I5" i="68" a="1"/>
  <c r="C6" i="68" a="1"/>
  <c r="L12" i="68" a="1"/>
  <c r="W9" i="68" a="1"/>
  <c r="F6" i="68" a="1"/>
  <c r="G10" i="68" a="1"/>
  <c r="H10" i="68" a="1"/>
  <c r="O7" i="68" a="1"/>
  <c r="C7" i="68" a="1"/>
  <c r="E11" i="68" a="1"/>
  <c r="N11" i="68" a="1"/>
  <c r="D4" i="68" a="1"/>
  <c r="C8" i="68" a="1"/>
  <c r="F9" i="68" a="1"/>
  <c r="K6" i="68" a="1"/>
  <c r="X8" i="68" a="1"/>
  <c r="N5" i="68" a="1"/>
  <c r="F10" i="68" a="1"/>
  <c r="I9" i="68" a="1"/>
  <c r="V4" i="68" a="1"/>
  <c r="Q4" i="68" a="1"/>
  <c r="Y9" i="68" a="1"/>
  <c r="E8" i="68" a="1"/>
  <c r="Y12" i="68" a="1"/>
  <c r="K4" i="68" a="1"/>
  <c r="G12" i="68" a="1"/>
  <c r="N4" i="68" a="1"/>
  <c r="Y11" i="68" a="1"/>
  <c r="S8" i="68" a="1"/>
  <c r="P9" i="68" a="1"/>
  <c r="U8" i="68" a="1"/>
  <c r="H11" i="68" a="1"/>
  <c r="Y7" i="68" a="1"/>
  <c r="D11" i="68" a="1"/>
  <c r="X12" i="68" a="1"/>
  <c r="P6" i="68" a="1"/>
  <c r="G11" i="68" a="1"/>
  <c r="S11" i="68" a="1"/>
  <c r="T9" i="68" a="1"/>
  <c r="O6" i="68" a="1"/>
  <c r="E10" i="68" a="1"/>
  <c r="L9" i="68" a="1"/>
  <c r="X10" i="68" a="1"/>
  <c r="L11" i="68" a="1"/>
  <c r="X11" i="68" a="1"/>
  <c r="P10" i="68" a="1"/>
  <c r="Q5" i="68" a="1"/>
  <c r="K10" i="68" a="1"/>
  <c r="H12" i="68" a="1"/>
  <c r="Y5" i="68" a="1"/>
  <c r="I7" i="68" a="1"/>
  <c r="V11" i="68" a="1"/>
  <c r="N8" i="68" a="1"/>
  <c r="I11" i="68" a="1"/>
  <c r="W11" i="68" a="1"/>
  <c r="U10" i="68" a="1"/>
  <c r="Q12" i="68" a="1"/>
  <c r="G7" i="68" a="1"/>
  <c r="V5" i="68" a="1"/>
  <c r="H5" i="68" a="1"/>
  <c r="F4" i="68" a="1"/>
  <c r="M6" i="68" a="1"/>
  <c r="E5" i="68" a="1"/>
  <c r="F8" i="68" a="1"/>
  <c r="S7" i="68" a="1"/>
  <c r="S10" i="68" a="1"/>
  <c r="E12" i="68" a="1"/>
  <c r="L6" i="68" a="1"/>
  <c r="N9" i="68" a="1"/>
  <c r="T7" i="68" a="1"/>
  <c r="I12" i="68" a="1"/>
  <c r="H4" i="68" a="1"/>
  <c r="G5" i="68" a="1"/>
  <c r="X9" i="68" a="1"/>
  <c r="V12" i="68" a="1"/>
  <c r="W5" i="68" a="1"/>
  <c r="M7" i="68" a="1"/>
  <c r="N6" i="68" a="1"/>
  <c r="C9" i="68" a="1"/>
  <c r="H7" i="68" a="1"/>
  <c r="M12" i="68" a="1"/>
  <c r="Y6" i="68" a="1"/>
  <c r="W4" i="68" a="1"/>
  <c r="P8" i="68" a="1"/>
  <c r="N12" i="68" a="1"/>
  <c r="W12" i="68" a="1"/>
  <c r="X4" i="68" a="1"/>
  <c r="O9" i="68" a="1"/>
  <c r="M4" i="68" a="1"/>
  <c r="L10" i="68" a="1"/>
  <c r="C5" i="68" a="1"/>
  <c r="T12" i="68" a="1"/>
  <c r="C12" i="68" a="1"/>
  <c r="F5" i="68" a="1"/>
  <c r="U5" i="68" a="1"/>
  <c r="T8" i="68" a="1"/>
  <c r="O11" i="68" a="1"/>
  <c r="U6" i="68" a="1"/>
  <c r="O5" i="68" a="1"/>
  <c r="X5" i="68" a="1"/>
  <c r="C10" i="68" a="1"/>
  <c r="N10" i="68" a="1"/>
  <c r="U4" i="68" a="1"/>
  <c r="O8" i="68" a="1"/>
  <c r="P11" i="68" a="1"/>
  <c r="G6" i="68" a="1"/>
  <c r="U11" i="68" a="1"/>
  <c r="T10" i="68" a="1"/>
  <c r="D10" i="68" a="1"/>
  <c r="S6" i="68" a="1"/>
  <c r="D5" i="68" a="1"/>
  <c r="Q11" i="68" a="1"/>
  <c r="P12" i="68" a="1"/>
  <c r="L7" i="68" a="1"/>
  <c r="K9" i="68" a="1"/>
  <c r="G8" i="68" a="1"/>
  <c r="K11" i="68" a="1"/>
  <c r="M9" i="68" a="1"/>
  <c r="Q6" i="68" a="1"/>
  <c r="K7" i="68" a="1"/>
  <c r="O12" i="68" a="1"/>
  <c r="V8" i="68" a="1"/>
  <c r="Y10" i="68" a="1"/>
  <c r="U7" i="68" a="1"/>
  <c r="P4" i="68" a="1"/>
  <c r="O10" i="68" a="1"/>
  <c r="D7" i="68" a="1"/>
  <c r="V7" i="68" a="1"/>
  <c r="N7" i="68" a="1"/>
  <c r="L5" i="68" a="1"/>
  <c r="T6" i="68" a="1"/>
  <c r="Q8" i="68" a="1"/>
  <c r="L8" i="68" a="1"/>
  <c r="O4" i="68" a="1"/>
  <c r="H9" i="68" a="1"/>
  <c r="E9" i="68" a="1"/>
  <c r="S5" i="68" a="1"/>
  <c r="D12" i="68" a="1"/>
  <c r="S4" i="68" a="1"/>
  <c r="T4" i="68" a="1"/>
  <c r="G9" i="68" a="1"/>
  <c r="P7" i="68" a="1"/>
  <c r="U12" i="68" a="1"/>
  <c r="K7" i="68" l="1"/>
  <c r="G10" i="68"/>
  <c r="U7" i="68"/>
  <c r="H9" i="68"/>
  <c r="I12" i="68"/>
  <c r="W7" i="68"/>
  <c r="F9" i="68"/>
  <c r="U10" i="68"/>
  <c r="F5" i="68"/>
  <c r="S7" i="68"/>
  <c r="X8" i="68"/>
  <c r="O9" i="68"/>
  <c r="X4" i="68"/>
  <c r="M8" i="68"/>
  <c r="I10" i="68"/>
  <c r="Y8" i="68"/>
  <c r="Y9" i="68"/>
  <c r="E11" i="68"/>
  <c r="V6" i="68"/>
  <c r="G11" i="68"/>
  <c r="E10" i="68"/>
  <c r="G7" i="68"/>
  <c r="U5" i="68"/>
  <c r="C9" i="68"/>
  <c r="P12" i="68"/>
  <c r="Q7" i="68"/>
  <c r="O6" i="68"/>
  <c r="D4" i="68"/>
  <c r="U12" i="68"/>
  <c r="V4" i="68"/>
  <c r="V12" i="68"/>
  <c r="H10" i="68"/>
  <c r="S10" i="68"/>
  <c r="N9" i="68"/>
  <c r="D8" i="68"/>
  <c r="P9" i="68"/>
  <c r="G5" i="68"/>
  <c r="W12" i="68"/>
  <c r="D12" i="68"/>
  <c r="X7" i="68"/>
  <c r="Y10" i="68"/>
  <c r="Q10" i="68"/>
  <c r="G9" i="68"/>
  <c r="W9" i="68"/>
  <c r="K6" i="68"/>
  <c r="Q6" i="68"/>
  <c r="Y5" i="68"/>
  <c r="U8" i="68"/>
  <c r="X6" i="68"/>
  <c r="E7" i="68"/>
  <c r="G12" i="68"/>
  <c r="O10" i="68"/>
  <c r="K11" i="68"/>
  <c r="L4" i="68"/>
  <c r="H11" i="68"/>
  <c r="U11" i="68"/>
  <c r="K10" i="68"/>
  <c r="F10" i="68"/>
  <c r="N7" i="68"/>
  <c r="T8" i="68"/>
  <c r="L10" i="68"/>
  <c r="I9" i="68"/>
  <c r="D7" i="68"/>
  <c r="G4" i="68"/>
  <c r="C4" i="68"/>
  <c r="P4" i="68"/>
  <c r="Y4" i="68"/>
  <c r="O11" i="68"/>
  <c r="X12" i="68"/>
  <c r="N11" i="68"/>
  <c r="M10" i="68"/>
  <c r="Q8" i="68"/>
  <c r="O5" i="68"/>
  <c r="V11" i="68"/>
  <c r="Q12" i="68"/>
  <c r="T10" i="68"/>
  <c r="U9" i="68"/>
  <c r="D6" i="68"/>
  <c r="I6" i="68"/>
  <c r="E12" i="68"/>
  <c r="E4" i="68"/>
  <c r="C11" i="68"/>
  <c r="X10" i="68"/>
  <c r="X11" i="68"/>
  <c r="Q4" i="68"/>
  <c r="Y11" i="68"/>
  <c r="Y7" i="68"/>
  <c r="V5" i="68"/>
  <c r="N10" i="68"/>
  <c r="N6" i="68"/>
  <c r="N12" i="68"/>
  <c r="H4" i="68"/>
  <c r="M7" i="68"/>
  <c r="L6" i="68"/>
  <c r="L12" i="68"/>
  <c r="S4" i="68"/>
  <c r="F4" i="68"/>
  <c r="I11" i="68"/>
  <c r="K12" i="68"/>
  <c r="M11" i="68"/>
  <c r="W4" i="68"/>
  <c r="G8" i="68"/>
  <c r="P8" i="68"/>
  <c r="S6" i="68"/>
  <c r="S12" i="68"/>
  <c r="H5" i="68"/>
  <c r="T4" i="68"/>
  <c r="P11" i="68"/>
  <c r="L9" i="68"/>
  <c r="K8" i="68"/>
  <c r="V8" i="68"/>
  <c r="H12" i="68"/>
  <c r="I4" i="68"/>
  <c r="Q11" i="68"/>
  <c r="T9" i="68"/>
  <c r="Y6" i="68"/>
  <c r="Y12" i="68"/>
  <c r="E6" i="68"/>
  <c r="I5" i="68"/>
  <c r="W11" i="68"/>
  <c r="V9" i="68"/>
  <c r="O8" i="68"/>
  <c r="M5" i="68"/>
  <c r="D9" i="68"/>
  <c r="X9" i="68"/>
  <c r="U4" i="68"/>
  <c r="H8" i="68"/>
  <c r="E9" i="68"/>
  <c r="D5" i="68"/>
  <c r="W10" i="68"/>
  <c r="H7" i="68"/>
  <c r="F7" i="68"/>
  <c r="V7" i="68"/>
  <c r="W5" i="68"/>
  <c r="F12" i="68"/>
  <c r="D10" i="68"/>
  <c r="L5" i="68"/>
  <c r="U6" i="68"/>
  <c r="C6" i="68"/>
  <c r="G6" i="68"/>
  <c r="L11" i="68"/>
  <c r="S5" i="68"/>
  <c r="Q9" i="68"/>
  <c r="S11" i="68"/>
  <c r="O12" i="68"/>
  <c r="C12" i="68"/>
  <c r="O7" i="68"/>
  <c r="I8" i="68"/>
  <c r="P6" i="68"/>
  <c r="M6" i="68"/>
  <c r="M12" i="68"/>
  <c r="M4" i="68"/>
  <c r="C5" i="68"/>
  <c r="O4" i="68"/>
  <c r="E5" i="68"/>
  <c r="E8" i="68"/>
  <c r="T7" i="68"/>
  <c r="T6" i="68"/>
  <c r="S9" i="68"/>
  <c r="V10" i="68"/>
  <c r="K4" i="68"/>
  <c r="L8" i="68"/>
  <c r="P10" i="68"/>
  <c r="W8" i="68"/>
  <c r="C7" i="68"/>
  <c r="T5" i="68"/>
  <c r="P5" i="68"/>
  <c r="D11" i="68"/>
  <c r="K5" i="68"/>
  <c r="H6" i="68"/>
  <c r="X5" i="68"/>
  <c r="L7" i="68"/>
  <c r="M9" i="68"/>
  <c r="T12" i="68"/>
  <c r="Q5" i="68"/>
  <c r="K9" i="68"/>
  <c r="N8" i="68"/>
  <c r="N4" i="68"/>
  <c r="N5" i="68"/>
  <c r="S8" i="68"/>
  <c r="T11" i="68"/>
  <c r="C10" i="68"/>
  <c r="I7" i="68"/>
  <c r="W6" i="68"/>
  <c r="F6" i="68"/>
  <c r="F11" i="68"/>
  <c r="P7" i="68"/>
  <c r="C8" i="68"/>
  <c r="F8" i="68"/>
  <c r="L14" i="58" l="1"/>
  <c r="R14" i="58" s="1"/>
  <c r="K3" i="68" a="1"/>
  <c r="C3" i="68" a="1"/>
  <c r="S3" i="68" a="1"/>
  <c r="Q14" i="58" l="1"/>
  <c r="M14" i="58"/>
  <c r="N14" i="58"/>
  <c r="O14" i="58"/>
  <c r="P14" i="58"/>
  <c r="S14" i="58"/>
  <c r="K3" i="68"/>
  <c r="S3" i="68"/>
  <c r="C3" i="68"/>
  <c r="C16" i="68" s="1"/>
  <c r="W3" i="68" a="1"/>
  <c r="G3" i="68" a="1"/>
  <c r="M3" i="68" a="1"/>
  <c r="I3" i="68" a="1"/>
  <c r="N3" i="68" a="1"/>
  <c r="E3" i="68" a="1"/>
  <c r="O3" i="68" a="1"/>
  <c r="Y3" i="68" a="1"/>
  <c r="X3" i="68" a="1"/>
  <c r="D3" i="68" a="1"/>
  <c r="L3" i="68" a="1"/>
  <c r="F3" i="68" a="1"/>
  <c r="U3" i="68" a="1"/>
  <c r="T3" i="68" a="1"/>
  <c r="P3" i="68" a="1"/>
  <c r="V3" i="68" a="1"/>
  <c r="Q3" i="68" a="1"/>
  <c r="H3" i="68" a="1"/>
  <c r="C13" i="68" l="1"/>
  <c r="S13" i="68"/>
  <c r="Z13" i="68" s="1"/>
  <c r="S16" i="68"/>
  <c r="K13" i="68"/>
  <c r="R13" i="68" s="1"/>
  <c r="K16" i="68"/>
  <c r="X3" i="68"/>
  <c r="X13" i="68" s="1"/>
  <c r="F3" i="68"/>
  <c r="F13" i="68" s="1"/>
  <c r="U3" i="68"/>
  <c r="U13" i="68" s="1"/>
  <c r="O3" i="68"/>
  <c r="O13" i="68" s="1"/>
  <c r="W3" i="68"/>
  <c r="W13" i="68" s="1"/>
  <c r="G3" i="68"/>
  <c r="G13" i="68" s="1"/>
  <c r="I3" i="68"/>
  <c r="I13" i="68" s="1"/>
  <c r="M3" i="68"/>
  <c r="M13" i="68" s="1"/>
  <c r="E3" i="68"/>
  <c r="E13" i="68" s="1"/>
  <c r="L3" i="68"/>
  <c r="L13" i="68" s="1"/>
  <c r="N3" i="68"/>
  <c r="N13" i="68" s="1"/>
  <c r="P3" i="68"/>
  <c r="P13" i="68" s="1"/>
  <c r="Y3" i="68"/>
  <c r="Y13" i="68" s="1"/>
  <c r="Q3" i="68"/>
  <c r="Q13" i="68" s="1"/>
  <c r="H3" i="68"/>
  <c r="H13" i="68" s="1"/>
  <c r="T3" i="68"/>
  <c r="T13" i="68" s="1"/>
  <c r="D3" i="68"/>
  <c r="D13" i="68" s="1"/>
  <c r="V3" i="68"/>
  <c r="V13" i="68" s="1"/>
  <c r="J2" i="58"/>
  <c r="J13" i="68"/>
  <c r="R2" i="58"/>
  <c r="H2" i="58"/>
  <c r="Z2" i="58"/>
  <c r="P2" i="58"/>
  <c r="X2" i="58"/>
  <c r="S14" i="68" l="1"/>
  <c r="K14" i="68"/>
  <c r="V14" i="68"/>
  <c r="N14" i="68"/>
  <c r="Y14" i="68"/>
  <c r="Q14" i="68"/>
  <c r="W14" i="68"/>
  <c r="L14" i="68"/>
  <c r="T14" i="68"/>
  <c r="P14" i="68"/>
  <c r="M14" i="68"/>
  <c r="O14" i="68"/>
  <c r="U14" i="68"/>
  <c r="X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F11" i="23" a="1"/>
  <c r="D6" i="23" a="1"/>
  <c r="F7" i="23" a="1"/>
  <c r="F5" i="23" a="1"/>
  <c r="F13" i="23" a="1"/>
  <c r="G5" i="23" a="1"/>
  <c r="E13" i="23" a="1"/>
  <c r="G12" i="23" a="1"/>
  <c r="D9" i="23" a="1"/>
  <c r="D10" i="23" a="1"/>
  <c r="D13" i="23" a="1"/>
  <c r="E12" i="23" a="1"/>
  <c r="E4" i="23" a="1"/>
  <c r="F9" i="23" a="1"/>
  <c r="D12" i="23" a="1"/>
  <c r="D4" i="23" a="1"/>
  <c r="F6" i="23" a="1"/>
  <c r="G11" i="23" a="1"/>
  <c r="E10" i="23" a="1"/>
  <c r="F10" i="23" a="1"/>
  <c r="F12" i="23" a="1"/>
  <c r="E6" i="23" a="1"/>
  <c r="G13" i="23" a="1"/>
  <c r="G10" i="23" a="1"/>
  <c r="F8" i="23" a="1"/>
  <c r="G6" i="23" a="1"/>
  <c r="F4" i="23" a="1"/>
  <c r="G7" i="23" a="1"/>
  <c r="G8" i="23" a="1"/>
  <c r="E7" i="23" a="1"/>
  <c r="E5" i="23" a="1"/>
  <c r="D5" i="23" a="1"/>
  <c r="G4" i="23" a="1"/>
  <c r="E11" i="23" a="1"/>
  <c r="D11" i="23" a="1"/>
  <c r="E8" i="23" a="1"/>
  <c r="G9" i="23" a="1"/>
  <c r="D7" i="23" a="1"/>
  <c r="D8" i="23" a="1"/>
  <c r="E9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<sst xmlns="http://schemas.openxmlformats.org/spreadsheetml/2006/main" count="677" uniqueCount="22">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</sst>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abSelected="1" topLeftCell="J1" zoomScale="85" zoomScaleNormal="85" workbookViewId="0">
      <selection activeCell="M24" sqref="M2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107</v>
      </c>
      <c r="C3" s="5" cm="1">
        <f t="array" aca="1" ref="C3" ca="1">INDIRECT("'results" &amp; $B3 &amp; "'!D$14")</f>
        <v>1753497.3289769711</v>
      </c>
      <c r="D3" s="33" cm="1">
        <f t="array" aca="1" ref="D3" ca="1">INDIRECT("'results" &amp; $B3 &amp; "'!E$14")</f>
        <v>135.808888888892</v>
      </c>
      <c r="E3" s="5" cm="1">
        <f t="array" aca="1" ref="E3" ca="1">INDIRECT("'results" &amp; $B3 &amp; "'!F$14")</f>
        <v>9</v>
      </c>
      <c r="F3" s="5" cm="1">
        <f t="array" aca="1" ref="F3" ca="1">INDIRECT("'results" &amp; $B3 &amp; "'!G$14")</f>
        <v>77.333333333333329</v>
      </c>
      <c r="G3" s="5" cm="1">
        <f t="array" aca="1" ref="G3" ca="1">INDIRECT("'results" &amp; $B3 &amp; "'!H$14")</f>
        <v>1576.2331082120779</v>
      </c>
      <c r="H3" s="33" cm="1">
        <f t="array" aca="1" ref="H3" ca="1">INDIRECT("'results" &amp; $B3 &amp; "'!I$14")</f>
        <v>44.021500190684989</v>
      </c>
      <c r="I3" s="5" cm="1">
        <f t="array" aca="1" ref="I3" ca="1">INDIRECT("'results" &amp; $B3 &amp; "'!J$14")</f>
        <v>7018.3660318880311</v>
      </c>
      <c r="J3" s="5"/>
      <c r="K3" s="5" cm="1">
        <f t="array" aca="1" ref="K3" ca="1">INDIRECT("'results" &amp; $B3 &amp; "'!L$14")</f>
        <v>2010932.2404123391</v>
      </c>
      <c r="L3" s="5" cm="1">
        <f t="array" aca="1" ref="L3" ca="1">INDIRECT("'results" &amp; $B3 &amp; "'!M$14")</f>
        <v>206.7640000000182</v>
      </c>
      <c r="M3" s="5" cm="1">
        <f t="array" aca="1" ref="M3" ca="1">INDIRECT("'results" &amp; $B3 &amp; "'!N$14")</f>
        <v>15</v>
      </c>
      <c r="N3" s="5" cm="1">
        <f t="array" aca="1" ref="N3" ca="1">INDIRECT("'results" &amp; $B3 &amp; "'!O$14")</f>
        <v>62.666666666666657</v>
      </c>
      <c r="O3" s="5" cm="1">
        <f t="array" aca="1" ref="O3" ca="1">INDIRECT("'results" &amp; $B3 &amp; "'!P$14")</f>
        <v>1163.3645060554918</v>
      </c>
      <c r="P3" s="5" cm="1">
        <f t="array" aca="1" ref="P3" ca="1">INDIRECT("'results" &amp; $B3 &amp; "'!Q$14")</f>
        <v>20.454133851125992</v>
      </c>
      <c r="Q3" s="5" cm="1">
        <f t="array" aca="1" ref="Q3" ca="1">INDIRECT("'results" &amp; $B3 &amp; "'!R$14")</f>
        <v>5840.7615125807006</v>
      </c>
      <c r="R3" s="5"/>
      <c r="S3" s="5" cm="1">
        <f t="array" aca="1" ref="S3" ca="1">INDIRECT("'results" &amp; $B3 &amp; "'!T$14")</f>
        <v>2027827.3786671979</v>
      </c>
      <c r="T3" s="5" cm="1">
        <f t="array" aca="1" ref="T3" ca="1">INDIRECT("'results" &amp; $B3 &amp; "'!U$14")</f>
        <v>188.87844444443988</v>
      </c>
      <c r="U3" s="5" cm="1">
        <f t="array" aca="1" ref="U3" ca="1">INDIRECT("'results" &amp; $B3 &amp; "'!V$14")</f>
        <v>7</v>
      </c>
      <c r="V3" s="5" cm="1">
        <f t="array" aca="1" ref="V3" ca="1">INDIRECT("'results" &amp; $B3 &amp; "'!W$14")</f>
        <v>55.333333333333343</v>
      </c>
      <c r="W3" s="5" cm="1">
        <f t="array" aca="1" ref="W3" ca="1">INDIRECT("'results" &amp; $B3 &amp; "'!X$14")</f>
        <v>1048.2858351592038</v>
      </c>
      <c r="X3" s="5" cm="1">
        <f t="array" aca="1" ref="X3" ca="1">INDIRECT("'results" &amp; $B3 &amp; "'!Y$14")</f>
        <v>56.864715695111059</v>
      </c>
      <c r="Y3" s="5" cm="1">
        <f t="array" aca="1" ref="Y3" ca="1">INDIRECT("'results" &amp; $B3 &amp; "'!Z$14")</f>
        <v>6405.6060653040158</v>
      </c>
      <c r="Z3" s="5"/>
    </row>
    <row r="4" spans="2:26" x14ac:dyDescent="0.2">
      <c r="B4" s="4">
        <v>130</v>
      </c>
      <c r="C4" s="5" cm="1">
        <f t="array" aca="1" ref="C4" ca="1">INDIRECT("'results" &amp; $B4 &amp; "'!D$14")</f>
        <v>1525583.565276447</v>
      </c>
      <c r="D4" s="33" cm="1">
        <f t="array" aca="1" ref="D4" ca="1">INDIRECT("'results" &amp; $B4 &amp; "'!E$14")</f>
        <v>87.975555555558671</v>
      </c>
      <c r="E4" s="5" cm="1">
        <f t="array" aca="1" ref="E4" ca="1">INDIRECT("'results" &amp; $B4 &amp; "'!F$14")</f>
        <v>10</v>
      </c>
      <c r="F4" s="5" cm="1">
        <f t="array" aca="1" ref="F4" ca="1">INDIRECT("'results" &amp; $B4 &amp; "'!G$14")</f>
        <v>86.666666666666671</v>
      </c>
      <c r="G4" s="5" cm="1">
        <f t="array" aca="1" ref="G4" ca="1">INDIRECT("'results" &amp; $B4 &amp; "'!H$14")</f>
        <v>1345.7965187066613</v>
      </c>
      <c r="H4" s="33" cm="1">
        <f t="array" aca="1" ref="H4" ca="1">INDIRECT("'results" &amp; $B4 &amp; "'!I$14")</f>
        <v>42.255756956596422</v>
      </c>
      <c r="I4" s="5" cm="1">
        <f t="array" aca="1" ref="I4" ca="1">INDIRECT("'results" &amp; $B4 &amp; "'!J$14")</f>
        <v>6724.8366455808073</v>
      </c>
      <c r="J4" s="5"/>
      <c r="K4" s="5" cm="1">
        <f t="array" aca="1" ref="K4" ca="1">INDIRECT("'results" &amp; $B4 &amp; "'!L$14")</f>
        <v>1927925.930903621</v>
      </c>
      <c r="L4" s="5" cm="1">
        <f t="array" aca="1" ref="L4" ca="1">INDIRECT("'results" &amp; $B4 &amp; "'!M$14")</f>
        <v>212.19800000001365</v>
      </c>
      <c r="M4" s="5" cm="1">
        <f t="array" aca="1" ref="M4" ca="1">INDIRECT("'results" &amp; $B4 &amp; "'!N$14")</f>
        <v>14</v>
      </c>
      <c r="N4" s="5" cm="1">
        <f t="array" aca="1" ref="N4" ca="1">INDIRECT("'results" &amp; $B4 &amp; "'!O$14")</f>
        <v>61.333333333333343</v>
      </c>
      <c r="O4" s="5" cm="1">
        <f t="array" aca="1" ref="O4" ca="1">INDIRECT("'results" &amp; $B4 &amp; "'!P$14")</f>
        <v>770.36953966550288</v>
      </c>
      <c r="P4" s="5" cm="1">
        <f t="array" aca="1" ref="P4" ca="1">INDIRECT("'results" &amp; $B4 &amp; "'!Q$14")</f>
        <v>20.273037660290438</v>
      </c>
      <c r="Q4" s="5" cm="1">
        <f t="array" aca="1" ref="Q4" ca="1">INDIRECT("'results" &amp; $B4 &amp; "'!R$14")</f>
        <v>5267.7905114129708</v>
      </c>
      <c r="R4" s="5"/>
      <c r="S4" s="5" cm="1">
        <f t="array" aca="1" ref="S4" ca="1">INDIRECT("'results" &amp; $B4 &amp; "'!T$14")</f>
        <v>1971744.6429464649</v>
      </c>
      <c r="T4" s="5" cm="1">
        <f t="array" aca="1" ref="T4" ca="1">INDIRECT("'results" &amp; $B4 &amp; "'!U$14")</f>
        <v>167.70155555555701</v>
      </c>
      <c r="U4" s="5" cm="1">
        <f t="array" aca="1" ref="U4" ca="1">INDIRECT("'results" &amp; $B4 &amp; "'!V$14")</f>
        <v>6</v>
      </c>
      <c r="V4" s="5" cm="1">
        <f t="array" aca="1" ref="V4" ca="1">INDIRECT("'results" &amp; $B4 &amp; "'!W$14")</f>
        <v>56.666666666666657</v>
      </c>
      <c r="W4" s="5" cm="1">
        <f t="array" aca="1" ref="W4" ca="1">INDIRECT("'results" &amp; $B4 &amp; "'!X$14")</f>
        <v>926.29039553264647</v>
      </c>
      <c r="X4" s="5" cm="1">
        <f t="array" aca="1" ref="X4" ca="1">INDIRECT("'results" &amp; $B4 &amp; "'!Y$14")</f>
        <v>65.864827956609759</v>
      </c>
      <c r="Y4" s="5" cm="1">
        <f t="array" aca="1" ref="Y4" ca="1">INDIRECT("'results" &amp; $B4 &amp; "'!Z$14")</f>
        <v>6565.6192864683335</v>
      </c>
      <c r="Z4" s="5"/>
    </row>
    <row r="5" spans="2:26" x14ac:dyDescent="0.2">
      <c r="B5" s="4">
        <v>191</v>
      </c>
      <c r="C5" s="5" cm="1">
        <f t="array" aca="1" ref="C5" ca="1">INDIRECT("'results" &amp; $B5 &amp; "'!D$14")</f>
        <v>1349995.7966444411</v>
      </c>
      <c r="D5" s="33" cm="1">
        <f t="array" aca="1" ref="D5" ca="1">INDIRECT("'results" &amp; $B5 &amp; "'!E$14")</f>
        <v>166.77777777777777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90.666666666666671</v>
      </c>
      <c r="G5" s="5" cm="1">
        <f t="array" aca="1" ref="G5" ca="1">INDIRECT("'results" &amp; $B5 &amp; "'!H$14")</f>
        <v>1105.3441752422204</v>
      </c>
      <c r="H5" s="33" cm="1">
        <f t="array" aca="1" ref="H5" ca="1">INDIRECT("'results" &amp; $B5 &amp; "'!I$14")</f>
        <v>57.675364513496319</v>
      </c>
      <c r="I5" s="5" cm="1">
        <f t="array" aca="1" ref="I5" ca="1">INDIRECT("'results" &amp; $B5 &amp; "'!J$14")</f>
        <v>6219.648598300063</v>
      </c>
      <c r="J5" s="5"/>
      <c r="K5" s="5" cm="1">
        <f t="array" aca="1" ref="K5" ca="1">INDIRECT("'results" &amp; $B5 &amp; "'!L$14")</f>
        <v>1827049.2040987769</v>
      </c>
      <c r="L5" s="5" cm="1">
        <f t="array" aca="1" ref="L5" ca="1">INDIRECT("'results" &amp; $B5 &amp; "'!M$14")</f>
        <v>321.28466666665759</v>
      </c>
      <c r="M5" s="5" cm="1">
        <f t="array" aca="1" ref="M5" ca="1">INDIRECT("'results" &amp; $B5 &amp; "'!N$14")</f>
        <v>17</v>
      </c>
      <c r="N5" s="5" cm="1">
        <f t="array" aca="1" ref="N5" ca="1">INDIRECT("'results" &amp; $B5 &amp; "'!O$14")</f>
        <v>70.666666666666671</v>
      </c>
      <c r="O5" s="5" cm="1">
        <f t="array" aca="1" ref="O5" ca="1">INDIRECT("'results" &amp; $B5 &amp; "'!P$14")</f>
        <v>915.66814339934569</v>
      </c>
      <c r="P5" s="5" cm="1">
        <f t="array" aca="1" ref="P5" ca="1">INDIRECT("'results" &amp; $B5 &amp; "'!Q$14")</f>
        <v>25.121145627779811</v>
      </c>
      <c r="Q5" s="5" cm="1">
        <f t="array" aca="1" ref="Q5" ca="1">INDIRECT("'results" &amp; $B5 &amp; "'!R$14")</f>
        <v>5730.7585409806325</v>
      </c>
      <c r="R5" s="5"/>
      <c r="S5" s="5" cm="1">
        <f t="array" aca="1" ref="S5" ca="1">INDIRECT("'results" &amp; $B5 &amp; "'!T$14")</f>
        <v>1821179.1971689281</v>
      </c>
      <c r="T5" s="5" cm="1">
        <f t="array" aca="1" ref="T5" ca="1">INDIRECT("'results" &amp; $B5 &amp; "'!U$14")</f>
        <v>175.61466666665444</v>
      </c>
      <c r="U5" s="5" cm="1">
        <f t="array" aca="1" ref="U5" ca="1">INDIRECT("'results" &amp; $B5 &amp; "'!V$14")</f>
        <v>8</v>
      </c>
      <c r="V5" s="5" cm="1">
        <f t="array" aca="1" ref="V5" ca="1">INDIRECT("'results" &amp; $B5 &amp; "'!W$14")</f>
        <v>66.666666666666671</v>
      </c>
      <c r="W5" s="5" cm="1">
        <f t="array" aca="1" ref="W5" ca="1">INDIRECT("'results" &amp; $B5 &amp; "'!X$14")</f>
        <v>1173.9525163718631</v>
      </c>
      <c r="X5" s="5" cm="1">
        <f t="array" aca="1" ref="X5" ca="1">INDIRECT("'results" &amp; $B5 &amp; "'!Y$14")</f>
        <v>76.457440447129215</v>
      </c>
      <c r="Y5" s="5" cm="1">
        <f t="array" aca="1" ref="Y5" ca="1">INDIRECT("'results" &amp; $B5 &amp; "'!Z$14")</f>
        <v>6719.8215323665727</v>
      </c>
      <c r="Z5" s="5"/>
    </row>
    <row r="6" spans="2:26" x14ac:dyDescent="0.2">
      <c r="B6" s="4">
        <v>199</v>
      </c>
      <c r="C6" s="5" cm="1">
        <f t="array" aca="1" ref="C6" ca="1">INDIRECT("'results" &amp; $B6 &amp; "'!D$14")</f>
        <v>1532913.441949663</v>
      </c>
      <c r="D6" s="33" cm="1">
        <f t="array" aca="1" ref="D6" ca="1">INDIRECT("'results" &amp; $B6 &amp; "'!E$14")</f>
        <v>166.67022222223588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89.333333333333329</v>
      </c>
      <c r="G6" s="5" cm="1">
        <f t="array" aca="1" ref="G6" ca="1">INDIRECT("'results" &amp; $B6 &amp; "'!H$14")</f>
        <v>1347.0620306018891</v>
      </c>
      <c r="H6" s="33" cm="1">
        <f t="array" aca="1" ref="H6" ca="1">INDIRECT("'results" &amp; $B6 &amp; "'!I$14")</f>
        <v>38.218232510448736</v>
      </c>
      <c r="I6" s="5" cm="1">
        <f t="array" aca="1" ref="I6" ca="1">INDIRECT("'results" &amp; $B6 &amp; "'!J$14")</f>
        <v>6810.377021778796</v>
      </c>
      <c r="J6" s="5"/>
      <c r="K6" s="5" cm="1">
        <f t="array" aca="1" ref="K6" ca="1">INDIRECT("'results" &amp; $B6 &amp; "'!L$14")</f>
        <v>1971790.9910054649</v>
      </c>
      <c r="L6" s="5" cm="1">
        <f t="array" aca="1" ref="L6" ca="1">INDIRECT("'results" &amp; $B6 &amp; "'!M$14")</f>
        <v>276.11111111111109</v>
      </c>
      <c r="M6" s="5" cm="1">
        <f t="array" aca="1" ref="M6" ca="1">INDIRECT("'results" &amp; $B6 &amp; "'!N$14")</f>
        <v>13</v>
      </c>
      <c r="N6" s="5" cm="1">
        <f t="array" aca="1" ref="N6" ca="1">INDIRECT("'results" &amp; $B6 &amp; "'!O$14")</f>
        <v>62</v>
      </c>
      <c r="O6" s="5" cm="1">
        <f t="array" aca="1" ref="O6" ca="1">INDIRECT("'results" &amp; $B6 &amp; "'!P$14")</f>
        <v>937.87900839059068</v>
      </c>
      <c r="P6" s="5" cm="1">
        <f t="array" aca="1" ref="P6" ca="1">INDIRECT("'results" &amp; $B6 &amp; "'!Q$14")</f>
        <v>18.73657357229299</v>
      </c>
      <c r="Q6" s="5" cm="1">
        <f t="array" aca="1" ref="Q6" ca="1">INDIRECT("'results" &amp; $B6 &amp; "'!R$14")</f>
        <v>5697.6154536074282</v>
      </c>
      <c r="R6" s="5"/>
      <c r="S6" s="5" cm="1">
        <f t="array" aca="1" ref="S6" ca="1">INDIRECT("'results" &amp; $B6 &amp; "'!T$14")</f>
        <v>1973308.4558667289</v>
      </c>
      <c r="T6" s="5" cm="1">
        <f t="array" aca="1" ref="T6" ca="1">INDIRECT("'results" &amp; $B6 &amp; "'!U$14")</f>
        <v>138.75355555554336</v>
      </c>
      <c r="U6" s="5" cm="1">
        <f t="array" aca="1" ref="U6" ca="1">INDIRECT("'results" &amp; $B6 &amp; "'!V$14")</f>
        <v>9</v>
      </c>
      <c r="V6" s="5" cm="1">
        <f t="array" aca="1" ref="V6" ca="1">INDIRECT("'results" &amp; $B6 &amp; "'!W$14")</f>
        <v>64</v>
      </c>
      <c r="W6" s="5" cm="1">
        <f t="array" aca="1" ref="W6" ca="1">INDIRECT("'results" &amp; $B6 &amp; "'!X$14")</f>
        <v>1489.8324658968261</v>
      </c>
      <c r="X6" s="5" cm="1">
        <f t="array" aca="1" ref="X6" ca="1">INDIRECT("'results" &amp; $B6 &amp; "'!Y$14")</f>
        <v>44.884847397210642</v>
      </c>
      <c r="Y6" s="5" cm="1">
        <f t="array" aca="1" ref="Y6" ca="1">INDIRECT("'results" &amp; $B6 &amp; "'!Z$14")</f>
        <v>6931.1743625228528</v>
      </c>
      <c r="Z6" s="5"/>
    </row>
    <row r="7" spans="2:26" x14ac:dyDescent="0.2">
      <c r="B7" s="4">
        <v>211</v>
      </c>
      <c r="C7" s="5" cm="1">
        <f t="array" aca="1" ref="C7" ca="1">INDIRECT("'results" &amp; $B7 &amp; "'!D$14")</f>
        <v>1839318.8723316721</v>
      </c>
      <c r="D7" s="33" cm="1">
        <f t="array" aca="1" ref="D7" ca="1">INDIRECT("'results" &amp; $B7 &amp; "'!E$14")</f>
        <v>180.34022222223899</v>
      </c>
      <c r="E7" s="5" cm="1">
        <f t="array" aca="1" ref="E7" ca="1">INDIRECT("'results" &amp; $B7 &amp; "'!F$14")</f>
        <v>12</v>
      </c>
      <c r="F7" s="5" cm="1">
        <f t="array" aca="1" ref="F7" ca="1">INDIRECT("'results" &amp; $B7 &amp; "'!G$14")</f>
        <v>76.666666666666671</v>
      </c>
      <c r="G7" s="5" cm="1">
        <f t="array" aca="1" ref="G7" ca="1">INDIRECT("'results" &amp; $B7 &amp; "'!H$14")</f>
        <v>1647.1616663832062</v>
      </c>
      <c r="H7" s="33" cm="1">
        <f t="array" aca="1" ref="H7" ca="1">INDIRECT("'results" &amp; $B7 &amp; "'!I$14")</f>
        <v>35.038792198895678</v>
      </c>
      <c r="I7" s="5" cm="1">
        <f t="array" aca="1" ref="I7" ca="1">INDIRECT("'results" &amp; $B7 &amp; "'!J$14")</f>
        <v>7194.2845660429302</v>
      </c>
      <c r="J7" s="5"/>
      <c r="K7" s="5" cm="1">
        <f t="array" aca="1" ref="K7" ca="1">INDIRECT("'results" &amp; $B7 &amp; "'!L$14")</f>
        <v>2129669.0558354799</v>
      </c>
      <c r="L7" s="5" cm="1">
        <f t="array" aca="1" ref="L7" ca="1">INDIRECT("'results" &amp; $B7 &amp; "'!M$14")</f>
        <v>611.91311111112327</v>
      </c>
      <c r="M7" s="5" cm="1">
        <f t="array" aca="1" ref="M7" ca="1">INDIRECT("'results" &amp; $B7 &amp; "'!N$14")</f>
        <v>11</v>
      </c>
      <c r="N7" s="5" cm="1">
        <f t="array" aca="1" ref="N7" ca="1">INDIRECT("'results" &amp; $B7 &amp; "'!O$14")</f>
        <v>53.333333333333343</v>
      </c>
      <c r="O7" s="5" cm="1">
        <f t="array" aca="1" ref="O7" ca="1">INDIRECT("'results" &amp; $B7 &amp; "'!P$14")</f>
        <v>1160.8576955232227</v>
      </c>
      <c r="P7" s="5" cm="1">
        <f t="array" aca="1" ref="P7" ca="1">INDIRECT("'results" &amp; $B7 &amp; "'!Q$14")</f>
        <v>26.214679110960677</v>
      </c>
      <c r="Q7" s="5" cm="1">
        <f t="array" aca="1" ref="Q7" ca="1">INDIRECT("'results" &amp; $B7 &amp; "'!R$14")</f>
        <v>6124.2226996047229</v>
      </c>
      <c r="R7" s="5"/>
      <c r="S7" s="5" cm="1">
        <f t="array" aca="1" ref="S7" ca="1">INDIRECT("'results" &amp; $B7 &amp; "'!T$14")</f>
        <v>2229754.579660296</v>
      </c>
      <c r="T7" s="5" cm="1">
        <f t="array" aca="1" ref="T7" ca="1">INDIRECT("'results" &amp; $B7 &amp; "'!U$14")</f>
        <v>132.78133333332113</v>
      </c>
      <c r="U7" s="5" cm="1">
        <f t="array" aca="1" ref="U7" ca="1">INDIRECT("'results" &amp; $B7 &amp; "'!V$14")</f>
        <v>6</v>
      </c>
      <c r="V7" s="5" cm="1">
        <f t="array" aca="1" ref="V7" ca="1">INDIRECT("'results" &amp; $B7 &amp; "'!W$14")</f>
        <v>46</v>
      </c>
      <c r="W7" s="5" cm="1">
        <f t="array" aca="1" ref="W7" ca="1">INDIRECT("'results" &amp; $B7 &amp; "'!X$14")</f>
        <v>1343.2205204495801</v>
      </c>
      <c r="X7" s="5" cm="1">
        <f t="array" aca="1" ref="X7" ca="1">INDIRECT("'results" &amp; $B7 &amp; "'!Y$14")</f>
        <v>60.956133119343519</v>
      </c>
      <c r="Y7" s="5" cm="1">
        <f t="array" aca="1" ref="Y7" ca="1">INDIRECT("'results" &amp; $B7 &amp; "'!Z$14")</f>
        <v>7027.473916404073</v>
      </c>
      <c r="Z7" s="5"/>
    </row>
    <row r="8" spans="2:26" x14ac:dyDescent="0.2">
      <c r="B8" s="4">
        <v>299</v>
      </c>
      <c r="C8" s="5" cm="1">
        <f t="array" aca="1" ref="C8" ca="1">INDIRECT("'results" &amp; $B8 &amp; "'!D$14")</f>
        <v>1804057.007044913</v>
      </c>
      <c r="D8" s="33" cm="1">
        <f t="array" aca="1" ref="D8" ca="1">INDIRECT("'results" &amp; $B8 &amp; "'!E$14")</f>
        <v>160.92711111111566</v>
      </c>
      <c r="E8" s="5" cm="1">
        <f t="array" aca="1" ref="E8" ca="1">INDIRECT("'results" &amp; $B8 &amp; "'!F$14")</f>
        <v>8</v>
      </c>
      <c r="F8" s="5" cm="1">
        <f t="array" aca="1" ref="F8" ca="1">INDIRECT("'results" &amp; $B8 &amp; "'!G$14")</f>
        <v>66.666666666666671</v>
      </c>
      <c r="G8" s="5" cm="1">
        <f t="array" aca="1" ref="G8" ca="1">INDIRECT("'results" &amp; $B8 &amp; "'!H$14")</f>
        <v>930.56829371674144</v>
      </c>
      <c r="H8" s="33" cm="1">
        <f t="array" aca="1" ref="H8" ca="1">INDIRECT("'results" &amp; $B8 &amp; "'!I$14")</f>
        <v>46.486238676176661</v>
      </c>
      <c r="I8" s="5" cm="1">
        <f t="array" aca="1" ref="I8" ca="1">INDIRECT("'results" &amp; $B8 &amp; "'!J$14")</f>
        <v>6403.1629860418498</v>
      </c>
      <c r="J8" s="5"/>
      <c r="K8" s="5" cm="1">
        <f t="array" aca="1" ref="K8" ca="1">INDIRECT("'results" &amp; $B8 &amp; "'!L$14")</f>
        <v>2214969.551862882</v>
      </c>
      <c r="L8" s="5" cm="1">
        <f t="array" aca="1" ref="L8" ca="1">INDIRECT("'results" &amp; $B8 &amp; "'!M$14")</f>
        <v>291.22911111110199</v>
      </c>
      <c r="M8" s="5" cm="1">
        <f t="array" aca="1" ref="M8" ca="1">INDIRECT("'results" &amp; $B8 &amp; "'!N$14")</f>
        <v>10</v>
      </c>
      <c r="N8" s="5" cm="1">
        <f t="array" aca="1" ref="N8" ca="1">INDIRECT("'results" &amp; $B8 &amp; "'!O$14")</f>
        <v>45.333333333333343</v>
      </c>
      <c r="O8" s="5" cm="1">
        <f t="array" aca="1" ref="O8" ca="1">INDIRECT("'results" &amp; $B8 &amp; "'!P$14")</f>
        <v>667.10029974821646</v>
      </c>
      <c r="P8" s="5" cm="1">
        <f t="array" aca="1" ref="P8" ca="1">INDIRECT("'results" &amp; $B8 &amp; "'!Q$14")</f>
        <v>24.100589940242156</v>
      </c>
      <c r="Q8" s="5" cm="1">
        <f t="array" aca="1" ref="Q8" ca="1">INDIRECT("'results" &amp; $B8 &amp; "'!R$14")</f>
        <v>5636.3940015216458</v>
      </c>
      <c r="R8" s="5"/>
      <c r="S8" s="5" cm="1">
        <f t="array" aca="1" ref="S8" ca="1">INDIRECT("'results" &amp; $B8 &amp; "'!T$14")</f>
        <v>2200468.9264011341</v>
      </c>
      <c r="T8" s="5" cm="1">
        <f t="array" aca="1" ref="T8" ca="1">INDIRECT("'results" &amp; $B8 &amp; "'!U$14")</f>
        <v>220.79866666667579</v>
      </c>
      <c r="U8" s="5" cm="1">
        <f t="array" aca="1" ref="U8" ca="1">INDIRECT("'results" &amp; $B8 &amp; "'!V$14")</f>
        <v>6</v>
      </c>
      <c r="V8" s="5" cm="1">
        <f t="array" aca="1" ref="V8" ca="1">INDIRECT("'results" &amp; $B8 &amp; "'!W$14")</f>
        <v>43.333333333333343</v>
      </c>
      <c r="W8" s="5" cm="1">
        <f t="array" aca="1" ref="W8" ca="1">INDIRECT("'results" &amp; $B8 &amp; "'!X$14")</f>
        <v>879.70897814405305</v>
      </c>
      <c r="X8" s="5" cm="1">
        <f t="array" aca="1" ref="X8" ca="1">INDIRECT("'results" &amp; $B8 &amp; "'!Y$14")</f>
        <v>70.242574475736532</v>
      </c>
      <c r="Y8" s="5" cm="1">
        <f t="array" aca="1" ref="Y8" ca="1">INDIRECT("'results" &amp; $B8 &amp; "'!Z$14")</f>
        <v>6470.2349125694045</v>
      </c>
      <c r="Z8" s="5"/>
    </row>
    <row r="9" spans="2:26" x14ac:dyDescent="0.2">
      <c r="B9" s="4">
        <v>603</v>
      </c>
      <c r="C9" s="5" cm="1">
        <f t="array" aca="1" ref="C9" ca="1">INDIRECT("'results" &amp; $B9 &amp; "'!D$14")</f>
        <v>1544384.775277681</v>
      </c>
      <c r="D9" s="33" cm="1">
        <f t="array" aca="1" ref="D9" ca="1">INDIRECT("'results" &amp; $B9 &amp; "'!E$14")</f>
        <v>266.23266666667109</v>
      </c>
      <c r="E9" s="5" cm="1">
        <f t="array" aca="1" ref="E9" ca="1">INDIRECT("'results" &amp; $B9 &amp; "'!F$14")</f>
        <v>9</v>
      </c>
      <c r="F9" s="5" cm="1">
        <f t="array" aca="1" ref="F9" ca="1">INDIRECT("'results" &amp; $B9 &amp; "'!G$14")</f>
        <v>88</v>
      </c>
      <c r="G9" s="5" cm="1">
        <f t="array" aca="1" ref="G9" ca="1">INDIRECT("'results" &amp; $B9 &amp; "'!H$14")</f>
        <v>1438.506410892684</v>
      </c>
      <c r="H9" s="33" cm="1">
        <f t="array" aca="1" ref="H9" ca="1">INDIRECT("'results" &amp; $B9 &amp; "'!I$14")</f>
        <v>40.530654632283017</v>
      </c>
      <c r="I9" s="5" cm="1">
        <f t="array" aca="1" ref="I9" ca="1">INDIRECT("'results" &amp; $B9 &amp; "'!J$14")</f>
        <v>7031.8937859267626</v>
      </c>
      <c r="J9" s="5"/>
      <c r="K9" s="5" cm="1">
        <f t="array" aca="1" ref="K9" ca="1">INDIRECT("'results" &amp; $B9 &amp; "'!L$14")</f>
        <v>1890881.846980477</v>
      </c>
      <c r="L9" s="5" cm="1">
        <f t="array" aca="1" ref="L9" ca="1">INDIRECT("'results" &amp; $B9 &amp; "'!M$14")</f>
        <v>330.85066666666222</v>
      </c>
      <c r="M9" s="5" cm="1">
        <f t="array" aca="1" ref="M9" ca="1">INDIRECT("'results" &amp; $B9 &amp; "'!N$14")</f>
        <v>14</v>
      </c>
      <c r="N9" s="5" cm="1">
        <f t="array" aca="1" ref="N9" ca="1">INDIRECT("'results" &amp; $B9 &amp; "'!O$14")</f>
        <v>68</v>
      </c>
      <c r="O9" s="5" cm="1">
        <f t="array" aca="1" ref="O9" ca="1">INDIRECT("'results" &amp; $B9 &amp; "'!P$14")</f>
        <v>1112.3806044332068</v>
      </c>
      <c r="P9" s="5" cm="1">
        <f t="array" aca="1" ref="P9" ca="1">INDIRECT("'results" &amp; $B9 &amp; "'!Q$14")</f>
        <v>19.252089937912501</v>
      </c>
      <c r="Q9" s="5" cm="1">
        <f t="array" aca="1" ref="Q9" ca="1">INDIRECT("'results" &amp; $B9 &amp; "'!R$14")</f>
        <v>6106.2407244127662</v>
      </c>
      <c r="R9" s="5"/>
      <c r="S9" s="5" cm="1">
        <f t="array" aca="1" ref="S9" ca="1">INDIRECT("'results" &amp; $B9 &amp; "'!T$14")</f>
        <v>2049148.626720133</v>
      </c>
      <c r="T9" s="5" cm="1">
        <f t="array" aca="1" ref="T9" ca="1">INDIRECT("'results" &amp; $B9 &amp; "'!U$14")</f>
        <v>273.47555555555869</v>
      </c>
      <c r="U9" s="5" cm="1">
        <f t="array" aca="1" ref="U9" ca="1">INDIRECT("'results" &amp; $B9 &amp; "'!V$14")</f>
        <v>5</v>
      </c>
      <c r="V9" s="5" cm="1">
        <f t="array" aca="1" ref="V9" ca="1">INDIRECT("'results" &amp; $B9 &amp; "'!W$14")</f>
        <v>52</v>
      </c>
      <c r="W9" s="5" cm="1">
        <f t="array" aca="1" ref="W9" ca="1">INDIRECT("'results" &amp; $B9 &amp; "'!X$14")</f>
        <v>814.16590444238307</v>
      </c>
      <c r="X9" s="5" cm="1">
        <f t="array" aca="1" ref="X9" ca="1">INDIRECT("'results" &amp; $B9 &amp; "'!Y$14")</f>
        <v>56.651353024459056</v>
      </c>
      <c r="Y9" s="5" cm="1">
        <f t="array" aca="1" ref="Y9" ca="1">INDIRECT("'results" &amp; $B9 &amp; "'!Z$14")</f>
        <v>6578.1730223785416</v>
      </c>
      <c r="Z9" s="5"/>
    </row>
    <row r="10" spans="2:26" x14ac:dyDescent="0.2">
      <c r="B10" s="4">
        <v>732</v>
      </c>
      <c r="C10" s="5" cm="1">
        <f t="array" aca="1" ref="C10" ca="1">INDIRECT("'results" &amp; $B10 &amp; "'!D$14")</f>
        <v>1459051.3620508739</v>
      </c>
      <c r="D10" s="33" cm="1">
        <f t="array" aca="1" ref="D10" ca="1">INDIRECT("'results" &amp; $B10 &amp; "'!E$14")</f>
        <v>126.23266666667122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92</v>
      </c>
      <c r="G10" s="5" cm="1">
        <f t="array" aca="1" ref="G10" ca="1">INDIRECT("'results" &amp; $B10 &amp; "'!H$14")</f>
        <v>1508.748454383262</v>
      </c>
      <c r="H10" s="33" cm="1">
        <f t="array" aca="1" ref="H10" ca="1">INDIRECT("'results" &amp; $B10 &amp; "'!I$14")</f>
        <v>56.561808781402057</v>
      </c>
      <c r="I10" s="5" cm="1">
        <f t="array" aca="1" ref="I10" ca="1">INDIRECT("'results" &amp; $B10 &amp; "'!J$14")</f>
        <v>6834.5593187050763</v>
      </c>
      <c r="J10" s="5"/>
      <c r="K10" s="5" cm="1">
        <f t="array" aca="1" ref="K10" ca="1">INDIRECT("'results" &amp; $B10 &amp; "'!L$14")</f>
        <v>2010815.148071775</v>
      </c>
      <c r="L10" s="5" cm="1">
        <f t="array" aca="1" ref="L10" ca="1">INDIRECT("'results" &amp; $B10 &amp; "'!M$14")</f>
        <v>245.92022222221001</v>
      </c>
      <c r="M10" s="5" cm="1">
        <f t="array" aca="1" ref="M10" ca="1">INDIRECT("'results" &amp; $B10 &amp; "'!N$14")</f>
        <v>11</v>
      </c>
      <c r="N10" s="5" cm="1">
        <f t="array" aca="1" ref="N10" ca="1">INDIRECT("'results" &amp; $B10 &amp; "'!O$14")</f>
        <v>54</v>
      </c>
      <c r="O10" s="5" cm="1">
        <f t="array" aca="1" ref="O10" ca="1">INDIRECT("'results" &amp; $B10 &amp; "'!P$14")</f>
        <v>518.00074806557518</v>
      </c>
      <c r="P10" s="5" cm="1">
        <f t="array" aca="1" ref="P10" ca="1">INDIRECT("'results" &amp; $B10 &amp; "'!Q$14")</f>
        <v>26.739107204489127</v>
      </c>
      <c r="Q10" s="5" cm="1">
        <f t="array" aca="1" ref="Q10" ca="1">INDIRECT("'results" &amp; $B10 &amp; "'!R$14")</f>
        <v>5243.4972454684312</v>
      </c>
      <c r="R10" s="5"/>
      <c r="S10" s="5" cm="1">
        <f t="array" aca="1" ref="S10" ca="1">INDIRECT("'results" &amp; $B10 &amp; "'!T$14")</f>
        <v>2013238.7076715941</v>
      </c>
      <c r="T10" s="5" cm="1">
        <f t="array" aca="1" ref="T10" ca="1">INDIRECT("'results" &amp; $B10 &amp; "'!U$14")</f>
        <v>158.18399999999545</v>
      </c>
      <c r="U10" s="5" cm="1">
        <f t="array" aca="1" ref="U10" ca="1">INDIRECT("'results" &amp; $B10 &amp; "'!V$14")</f>
        <v>6</v>
      </c>
      <c r="V10" s="5" cm="1">
        <f t="array" aca="1" ref="V10" ca="1">INDIRECT("'results" &amp; $B10 &amp; "'!W$14")</f>
        <v>55.333333333333343</v>
      </c>
      <c r="W10" s="5" cm="1">
        <f t="array" aca="1" ref="W10" ca="1">INDIRECT("'results" &amp; $B10 &amp; "'!X$14")</f>
        <v>1150.5563531742257</v>
      </c>
      <c r="X10" s="5" cm="1">
        <f t="array" aca="1" ref="X10" ca="1">INDIRECT("'results" &amp; $B10 &amp; "'!Y$14")</f>
        <v>79.127740872277215</v>
      </c>
      <c r="Y10" s="5" cm="1">
        <f t="array" aca="1" ref="Y10" ca="1">INDIRECT("'results" &amp; $B10 &amp; "'!Z$14")</f>
        <v>6745.7871916382028</v>
      </c>
      <c r="Z10" s="5"/>
    </row>
    <row r="11" spans="2:26" x14ac:dyDescent="0.2">
      <c r="B11" s="4">
        <v>986</v>
      </c>
      <c r="C11" s="5" cm="1">
        <f t="array" aca="1" ref="C11" ca="1">INDIRECT("'results" &amp; $B11 &amp; "'!D$14")</f>
        <v>1829774.9902676949</v>
      </c>
      <c r="D11" s="33" cm="1">
        <f t="array" aca="1" ref="D11" ca="1">INDIRECT("'results" &amp; $B11 &amp; "'!E$14")</f>
        <v>103.67000000000311</v>
      </c>
      <c r="E11" s="5" cm="1">
        <f t="array" aca="1" ref="E11" ca="1">INDIRECT("'results" &amp; $B11 &amp; "'!F$14")</f>
        <v>7</v>
      </c>
      <c r="F11" s="5" cm="1">
        <f t="array" aca="1" ref="F11" ca="1">INDIRECT("'results" &amp; $B11 &amp; "'!G$14")</f>
        <v>69.333333333333329</v>
      </c>
      <c r="G11" s="5" cm="1">
        <f t="array" aca="1" ref="G11" ca="1">INDIRECT("'results" &amp; $B11 &amp; "'!H$14")</f>
        <v>1416.8119873218618</v>
      </c>
      <c r="H11" s="33" cm="1">
        <f t="array" aca="1" ref="H11" ca="1">INDIRECT("'results" &amp; $B11 &amp; "'!I$14")</f>
        <v>55.70480228082301</v>
      </c>
      <c r="I11" s="5" cm="1">
        <f t="array" aca="1" ref="I11" ca="1">INDIRECT("'results" &amp; $B11 &amp; "'!J$14")</f>
        <v>6894.7396796399935</v>
      </c>
      <c r="J11" s="5"/>
      <c r="K11" s="5" cm="1">
        <f t="array" aca="1" ref="K11" ca="1">INDIRECT("'results" &amp; $B11 &amp; "'!L$14")</f>
        <v>2200431.7559729768</v>
      </c>
      <c r="L11" s="5" cm="1">
        <f t="array" aca="1" ref="L11" ca="1">INDIRECT("'results" &amp; $B11 &amp; "'!M$14")</f>
        <v>148.47911111112788</v>
      </c>
      <c r="M11" s="5" cm="1">
        <f t="array" aca="1" ref="M11" ca="1">INDIRECT("'results" &amp; $B11 &amp; "'!N$14")</f>
        <v>11</v>
      </c>
      <c r="N11" s="5" cm="1">
        <f t="array" aca="1" ref="N11" ca="1">INDIRECT("'results" &amp; $B11 &amp; "'!O$14")</f>
        <v>48</v>
      </c>
      <c r="O11" s="5" cm="1">
        <f t="array" aca="1" ref="O11" ca="1">INDIRECT("'results" &amp; $B11 &amp; "'!P$14")</f>
        <v>802.87927564545896</v>
      </c>
      <c r="P11" s="5" cm="1">
        <f t="array" aca="1" ref="P11" ca="1">INDIRECT("'results" &amp; $B11 &amp; "'!Q$14")</f>
        <v>23.641479687240352</v>
      </c>
      <c r="Q11" s="5" cm="1">
        <f t="array" aca="1" ref="Q11" ca="1">INDIRECT("'results" &amp; $B11 &amp; "'!R$14")</f>
        <v>5650.6997284805921</v>
      </c>
      <c r="R11" s="5"/>
      <c r="S11" s="5" cm="1">
        <f t="array" aca="1" ref="S11" ca="1">INDIRECT("'results" &amp; $B11 &amp; "'!T$14")</f>
        <v>2198102.9615007732</v>
      </c>
      <c r="T11" s="5" cm="1">
        <f t="array" aca="1" ref="T11" ca="1">INDIRECT("'results" &amp; $B11 &amp; "'!U$14")</f>
        <v>116.17355555554644</v>
      </c>
      <c r="U11" s="5" cm="1">
        <f t="array" aca="1" ref="U11" ca="1">INDIRECT("'results" &amp; $B11 &amp; "'!V$14")</f>
        <v>6</v>
      </c>
      <c r="V11" s="5" cm="1">
        <f t="array" aca="1" ref="V11" ca="1">INDIRECT("'results" &amp; $B11 &amp; "'!W$14")</f>
        <v>46</v>
      </c>
      <c r="W11" s="5" cm="1">
        <f t="array" aca="1" ref="W11" ca="1">INDIRECT("'results" &amp; $B11 &amp; "'!X$14")</f>
        <v>1115.5648859914318</v>
      </c>
      <c r="X11" s="5" cm="1">
        <f t="array" aca="1" ref="X11" ca="1">INDIRECT("'results" &amp; $B11 &amp; "'!Y$14")</f>
        <v>63.247115134665755</v>
      </c>
      <c r="Y11" s="5" cm="1">
        <f t="array" aca="1" ref="Y11" ca="1">INDIRECT("'results" &amp; $B11 &amp; "'!Z$14")</f>
        <v>6707.6034847558267</v>
      </c>
      <c r="Z11" s="5"/>
    </row>
    <row r="12" spans="2:26" x14ac:dyDescent="0.2">
      <c r="B12" s="4">
        <v>990</v>
      </c>
      <c r="C12" s="5" cm="1">
        <f t="array" aca="1" ref="C12" ca="1">INDIRECT("'results" &amp; $B12 &amp; "'!D$14")</f>
        <v>1544270.7538074381</v>
      </c>
      <c r="D12" s="33" cm="1">
        <f t="array" aca="1" ref="D12" ca="1">INDIRECT("'results" &amp; $B12 &amp; "'!E$14")</f>
        <v>145.36822222222366</v>
      </c>
      <c r="E12" s="5" cm="1">
        <f t="array" aca="1" ref="E12" ca="1">INDIRECT("'results" &amp; $B12 &amp; "'!F$14")</f>
        <v>9</v>
      </c>
      <c r="F12" s="5" cm="1">
        <f t="array" aca="1" ref="F12" ca="1">INDIRECT("'results" &amp; $B12 &amp; "'!G$14")</f>
        <v>87.333333333333329</v>
      </c>
      <c r="G12" s="5" cm="1">
        <f t="array" aca="1" ref="G12" ca="1">INDIRECT("'results" &amp; $B12 &amp; "'!H$14")</f>
        <v>1501.0985191362436</v>
      </c>
      <c r="H12" s="33" cm="1">
        <f t="array" aca="1" ref="H12" ca="1">INDIRECT("'results" &amp; $B12 &amp; "'!I$14")</f>
        <v>51.9801820850562</v>
      </c>
      <c r="I12" s="5" cm="1">
        <f t="array" aca="1" ref="I12" ca="1">INDIRECT("'results" &amp; $B12 &amp; "'!J$14")</f>
        <v>7040.8417122856345</v>
      </c>
      <c r="J12" s="5"/>
      <c r="K12" s="5" cm="1">
        <f t="array" aca="1" ref="K12" ca="1">INDIRECT("'results" &amp; $B12 &amp; "'!L$14")</f>
        <v>2079114.6780572161</v>
      </c>
      <c r="L12" s="5" cm="1">
        <f t="array" aca="1" ref="L12" ca="1">INDIRECT("'results" &amp; $B12 &amp; "'!M$14")</f>
        <v>478.26377777778532</v>
      </c>
      <c r="M12" s="5" cm="1">
        <f t="array" aca="1" ref="M12" ca="1">INDIRECT("'results" &amp; $B12 &amp; "'!N$14")</f>
        <v>17</v>
      </c>
      <c r="N12" s="5" cm="1">
        <f t="array" aca="1" ref="N12" ca="1">INDIRECT("'results" &amp; $B12 &amp; "'!O$14")</f>
        <v>65.333333333333329</v>
      </c>
      <c r="O12" s="5" cm="1">
        <f t="array" aca="1" ref="O12" ca="1">INDIRECT("'results" &amp; $B12 &amp; "'!P$14")</f>
        <v>1451.6376744074826</v>
      </c>
      <c r="P12" s="5" cm="1">
        <f t="array" aca="1" ref="P12" ca="1">INDIRECT("'results" &amp; $B12 &amp; "'!Q$14")</f>
        <v>19.571077491628376</v>
      </c>
      <c r="Q12" s="5" cm="1">
        <f t="array" aca="1" ref="Q12" ca="1">INDIRECT("'results" &amp; $B12 &amp; "'!R$14")</f>
        <v>6545.1618952606686</v>
      </c>
      <c r="R12" s="5"/>
      <c r="S12" s="5" cm="1">
        <f t="array" aca="1" ref="S12" ca="1">INDIRECT("'results" &amp; $B12 &amp; "'!T$14")</f>
        <v>2037856.2465866441</v>
      </c>
      <c r="T12" s="5" cm="1">
        <f t="array" aca="1" ref="T12" ca="1">INDIRECT("'results" &amp; $B12 &amp; "'!U$14")</f>
        <v>102.88555555555244</v>
      </c>
      <c r="U12" s="5" cm="1">
        <f t="array" aca="1" ref="U12" ca="1">INDIRECT("'results" &amp; $B12 &amp; "'!V$14")</f>
        <v>8</v>
      </c>
      <c r="V12" s="5" cm="1">
        <f t="array" aca="1" ref="V12" ca="1">INDIRECT("'results" &amp; $B12 &amp; "'!W$14")</f>
        <v>60</v>
      </c>
      <c r="W12" s="5" cm="1">
        <f t="array" aca="1" ref="W12" ca="1">INDIRECT("'results" &amp; $B12 &amp; "'!X$14")</f>
        <v>1707.2846747967178</v>
      </c>
      <c r="X12" s="5" cm="1">
        <f t="array" aca="1" ref="X12" ca="1">INDIRECT("'results" &amp; $B12 &amp; "'!Y$14")</f>
        <v>53.597110823404236</v>
      </c>
      <c r="Y12" s="5" cm="1">
        <f t="array" aca="1" ref="Y12" ca="1">INDIRECT("'results" &amp; $B12 &amp; "'!Z$14")</f>
        <v>7263.5187448485804</v>
      </c>
      <c r="Z12" s="5"/>
    </row>
    <row r="13" spans="2:26" x14ac:dyDescent="0.2">
      <c r="B13" s="8" t="s">
        <v>3</v>
      </c>
      <c r="C13" s="9">
        <f ca="1">AVERAGE(C3:C12)</f>
        <v>1618284.7893627794</v>
      </c>
      <c r="D13" s="10">
        <f t="shared" ref="D13:I13" ca="1" si="0">AVERAGE(D3:D12)</f>
        <v>154.0003333333388</v>
      </c>
      <c r="E13" s="9">
        <f t="shared" ca="1" si="0"/>
        <v>9.4</v>
      </c>
      <c r="F13" s="9">
        <f t="shared" ca="1" si="0"/>
        <v>82.4</v>
      </c>
      <c r="G13" s="9">
        <f t="shared" ca="1" si="0"/>
        <v>1381.7331164596849</v>
      </c>
      <c r="H13" s="10">
        <f t="shared" ca="1" si="0"/>
        <v>46.847333282586305</v>
      </c>
      <c r="I13" s="9">
        <f t="shared" ca="1" si="0"/>
        <v>6817.2710346189942</v>
      </c>
      <c r="J13" s="32" t="e">
        <f ca="1">(C13-$D$15)/$D$15</f>
        <v>#DIV/0!</v>
      </c>
      <c r="K13" s="16">
        <f ca="1">AVERAGE(K3:K12)</f>
        <v>2026358.040320101</v>
      </c>
      <c r="L13" s="41">
        <f t="shared" ref="L13:Q13" ca="1" si="1">AVERAGE(L3:L12)</f>
        <v>312.30137777778117</v>
      </c>
      <c r="M13" s="16">
        <f t="shared" ca="1" si="1"/>
        <v>13.3</v>
      </c>
      <c r="N13" s="16">
        <f ca="1">AVERAGE(N3:N12)</f>
        <v>59.066666666666677</v>
      </c>
      <c r="O13" s="16">
        <f t="shared" ca="1" si="1"/>
        <v>950.01374953340928</v>
      </c>
      <c r="P13" s="41">
        <f t="shared" ca="1" si="1"/>
        <v>22.410391408396244</v>
      </c>
      <c r="Q13" s="16">
        <f t="shared" ca="1" si="1"/>
        <v>5784.3142313330554</v>
      </c>
      <c r="R13" s="42" t="e">
        <f ca="1">(K13-$D$15)/$D$15</f>
        <v>#DIV/0!</v>
      </c>
      <c r="S13" s="38">
        <f ca="1">AVERAGE(S3:S12)</f>
        <v>2052262.972318989</v>
      </c>
      <c r="T13" s="43">
        <f t="shared" ref="T13:Y13" ca="1" si="2">AVERAGE(T3:T12)</f>
        <v>167.52468888888447</v>
      </c>
      <c r="U13" s="38">
        <f t="shared" ca="1" si="2"/>
        <v>6.7</v>
      </c>
      <c r="V13" s="38">
        <f t="shared" ca="1" si="2"/>
        <v>54.533333333333339</v>
      </c>
      <c r="W13" s="38">
        <f t="shared" ca="1" si="2"/>
        <v>1164.8862529958931</v>
      </c>
      <c r="X13" s="43">
        <f t="shared" ca="1" si="2"/>
        <v>62.789385894594702</v>
      </c>
      <c r="Y13" s="38">
        <f t="shared" ca="1" si="2"/>
        <v>6741.5012519256388</v>
      </c>
      <c r="Z13" s="44" t="e">
        <f ca="1">(S13-$D$15)/$D$15</f>
        <v>#DIV/0!</v>
      </c>
    </row>
    <row r="14" spans="2:26" x14ac:dyDescent="0.2">
      <c r="K14" s="45">
        <f ca="1">(K13-C13)/C13</f>
        <v>0.25216405273017845</v>
      </c>
      <c r="L14" s="45">
        <f t="shared" ref="L14:Q14" ca="1" si="3">(L13-D13)/D13</f>
        <v>1.0279266350793834</v>
      </c>
      <c r="M14" s="45">
        <f t="shared" ca="1" si="3"/>
        <v>0.41489361702127664</v>
      </c>
      <c r="N14" s="45">
        <f t="shared" ca="1" si="3"/>
        <v>-0.28317152103559862</v>
      </c>
      <c r="O14" s="45">
        <f t="shared" ca="1" si="3"/>
        <v>-0.31244772364755863</v>
      </c>
      <c r="P14" s="45">
        <f t="shared" ca="1" si="3"/>
        <v>-0.52162930442133737</v>
      </c>
      <c r="Q14" s="45">
        <f t="shared" ca="1" si="3"/>
        <v>-0.15152057150734494</v>
      </c>
      <c r="S14" s="45">
        <f ca="1">(S13-C13)/C13</f>
        <v>0.26817169994355206</v>
      </c>
      <c r="T14" s="45">
        <f t="shared" ref="T14:Y14" ca="1" si="4">(T13-D13)/D13</f>
        <v>8.7820300533192702E-2</v>
      </c>
      <c r="U14" s="45">
        <f t="shared" ca="1" si="4"/>
        <v>-0.28723404255319152</v>
      </c>
      <c r="V14" s="45">
        <f ca="1">(V13-F13)/F13</f>
        <v>-0.33818770226537215</v>
      </c>
      <c r="W14" s="45">
        <f t="shared" ca="1" si="4"/>
        <v>-0.15693831238510292</v>
      </c>
      <c r="X14" s="45">
        <f t="shared" ca="1" si="4"/>
        <v>0.34029797418446101</v>
      </c>
      <c r="Y14" s="45">
        <f t="shared" ca="1" si="4"/>
        <v>-1.1114386139055722E-2</v>
      </c>
    </row>
    <row r="16" spans="2:26" x14ac:dyDescent="0.2">
      <c r="B16" s="1" t="s">
        <v>21</v>
      </c>
      <c r="C16">
        <f ca="1">_xlfn.STDEV.S(C3:C12)</f>
        <v>173376.03963597084</v>
      </c>
      <c r="J16" s="1" t="s">
        <v>21</v>
      </c>
      <c r="K16">
        <f ca="1">_xlfn.STDEV.S(K3:K12)</f>
        <v>129338.56540740485</v>
      </c>
      <c r="R16" s="1" t="s">
        <v>21</v>
      </c>
      <c r="S16">
        <f ca="1">_xlfn.STDEV.S(S3:S12)</f>
        <v>126135.53137642612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5"/>
  <sheetViews>
    <sheetView zoomScale="75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9.3320312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-0.98702340805775413</v>
      </c>
      <c r="J2" s="28">
        <f>(S14-J14)/J14</f>
        <v>-0.99997194566411607</v>
      </c>
      <c r="K2" s="28"/>
      <c r="L2" s="1" t="s">
        <v>19</v>
      </c>
      <c r="P2" s="1">
        <f>(P14-H14)/H14</f>
        <v>-0.26193372033969214</v>
      </c>
      <c r="R2" s="1">
        <f>(R14-J14)/J14</f>
        <v>-0.16778898592020852</v>
      </c>
      <c r="T2" s="1" t="s">
        <v>20</v>
      </c>
      <c r="X2" s="1">
        <f>(X14-P14)/P14</f>
        <v>-9.8918842974223292E-2</v>
      </c>
      <c r="Z2" s="1">
        <f>(Z14-R14)/R14</f>
        <v>9.6707347407811298E-2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1775898.5255674841</v>
      </c>
      <c r="E4" s="33">
        <v>208.13888888888889</v>
      </c>
      <c r="F4" s="5">
        <v>6</v>
      </c>
      <c r="G4" s="23">
        <v>66</v>
      </c>
      <c r="H4" s="33">
        <v>800.75488259131475</v>
      </c>
      <c r="I4" s="23">
        <v>52.511397891118499</v>
      </c>
      <c r="J4" s="5">
        <v>6225.4337379948538</v>
      </c>
      <c r="K4" s="31"/>
      <c r="L4" s="23">
        <v>2145585.053902016</v>
      </c>
      <c r="M4" s="33">
        <v>121.52422222223443</v>
      </c>
      <c r="N4" s="5">
        <v>11</v>
      </c>
      <c r="O4" s="5">
        <v>50</v>
      </c>
      <c r="P4" s="33">
        <v>638.02697170807164</v>
      </c>
      <c r="Q4" s="5">
        <v>20.719427997689294</v>
      </c>
      <c r="R4" s="5">
        <v>5563.1026311704527</v>
      </c>
      <c r="S4" s="31"/>
      <c r="T4" s="23">
        <v>2168674.699259772</v>
      </c>
      <c r="U4" s="33">
        <v>123.6179999999909</v>
      </c>
      <c r="V4" s="5">
        <v>8</v>
      </c>
      <c r="W4" s="5">
        <v>52</v>
      </c>
      <c r="X4" s="33">
        <v>1394.8292649722396</v>
      </c>
      <c r="Y4" s="5">
        <v>47.52115618807256</v>
      </c>
      <c r="Z4" s="5">
        <v>6985.6529270854526</v>
      </c>
      <c r="AA4" s="35"/>
    </row>
    <row r="5" spans="2:27" x14ac:dyDescent="0.2">
      <c r="B5" s="4">
        <v>2</v>
      </c>
      <c r="C5" s="4">
        <v>261</v>
      </c>
      <c r="D5" s="23">
        <v>1790994.7572328891</v>
      </c>
      <c r="E5" s="33">
        <v>319.40622222224351</v>
      </c>
      <c r="F5" s="5">
        <v>5</v>
      </c>
      <c r="G5" s="23">
        <v>62.666666666666657</v>
      </c>
      <c r="H5" s="33">
        <v>579.93813499028261</v>
      </c>
      <c r="I5" s="23">
        <v>56.847125131919746</v>
      </c>
      <c r="J5" s="5">
        <v>5980.1589796366625</v>
      </c>
      <c r="K5" s="31"/>
      <c r="L5" s="23">
        <v>2077216.7025138731</v>
      </c>
      <c r="M5" s="33">
        <v>245.21511111110956</v>
      </c>
      <c r="N5" s="5">
        <v>11</v>
      </c>
      <c r="O5" s="5">
        <v>52</v>
      </c>
      <c r="P5" s="33">
        <v>675.23053544191646</v>
      </c>
      <c r="Q5" s="5">
        <v>21.790645910327921</v>
      </c>
      <c r="R5" s="5">
        <v>5157.8815435550996</v>
      </c>
      <c r="S5" s="31"/>
      <c r="T5" s="23">
        <v>2075563.7823887321</v>
      </c>
      <c r="U5" s="33">
        <v>143.4268888888829</v>
      </c>
      <c r="V5" s="5">
        <v>5</v>
      </c>
      <c r="W5" s="5">
        <v>50</v>
      </c>
      <c r="X5" s="33">
        <v>685.8771237528058</v>
      </c>
      <c r="Y5" s="5">
        <v>62.988135369678695</v>
      </c>
      <c r="Z5" s="5">
        <v>6286.1382692279503</v>
      </c>
      <c r="AA5" s="35"/>
    </row>
    <row r="6" spans="2:27" x14ac:dyDescent="0.2">
      <c r="B6" s="4">
        <v>3</v>
      </c>
      <c r="C6" s="4">
        <v>414</v>
      </c>
      <c r="D6" s="23">
        <v>1798763.7571561791</v>
      </c>
      <c r="E6" s="33">
        <v>220.98622222221456</v>
      </c>
      <c r="F6" s="5">
        <v>5</v>
      </c>
      <c r="G6" s="23">
        <v>62.666666666666657</v>
      </c>
      <c r="H6" s="33">
        <v>607.28167567834078</v>
      </c>
      <c r="I6" s="23">
        <v>57.62023240751104</v>
      </c>
      <c r="J6" s="5">
        <v>6048.8592475923469</v>
      </c>
      <c r="K6" s="31"/>
      <c r="L6" s="23">
        <v>2321724.1016244772</v>
      </c>
      <c r="M6" s="33">
        <v>140.85755555554189</v>
      </c>
      <c r="N6" s="5">
        <v>8</v>
      </c>
      <c r="O6" s="5">
        <v>38</v>
      </c>
      <c r="P6" s="33">
        <v>632.7173004172721</v>
      </c>
      <c r="Q6" s="5">
        <v>21.877986236009814</v>
      </c>
      <c r="R6" s="5">
        <v>5172.9423203998049</v>
      </c>
      <c r="S6" s="31"/>
      <c r="T6" s="23">
        <v>2151248.6115777278</v>
      </c>
      <c r="U6" s="33">
        <v>115.78822222222678</v>
      </c>
      <c r="V6" s="5">
        <v>5</v>
      </c>
      <c r="W6" s="5">
        <v>46</v>
      </c>
      <c r="X6" s="33">
        <v>642.55805914702262</v>
      </c>
      <c r="Y6" s="5">
        <v>62.147032481049088</v>
      </c>
      <c r="Z6" s="5">
        <v>6238.8768637249914</v>
      </c>
      <c r="AA6" s="35"/>
    </row>
    <row r="7" spans="2:27" x14ac:dyDescent="0.2">
      <c r="B7" s="4">
        <v>4</v>
      </c>
      <c r="C7" s="4">
        <v>452</v>
      </c>
      <c r="D7" s="23">
        <v>1898989.332277267</v>
      </c>
      <c r="E7" s="33">
        <v>78.75</v>
      </c>
      <c r="F7" s="5">
        <v>5</v>
      </c>
      <c r="G7" s="23">
        <v>58.666666666666657</v>
      </c>
      <c r="H7" s="33">
        <v>767.41322735915662</v>
      </c>
      <c r="I7" s="23">
        <v>58.813393232416537</v>
      </c>
      <c r="J7" s="5">
        <v>6208.7030634516323</v>
      </c>
      <c r="K7" s="31"/>
      <c r="L7" s="23">
        <v>2266216.5307573439</v>
      </c>
      <c r="M7" s="33">
        <v>137.07977777778999</v>
      </c>
      <c r="N7" s="5">
        <v>12</v>
      </c>
      <c r="O7" s="5">
        <v>44.666666666666657</v>
      </c>
      <c r="P7" s="33">
        <v>723.11829325016538</v>
      </c>
      <c r="Q7" s="5">
        <v>17.142917902074704</v>
      </c>
      <c r="R7" s="5">
        <v>5164.3241035221545</v>
      </c>
      <c r="S7" s="31"/>
      <c r="T7" s="23">
        <v>2080673.705037944</v>
      </c>
      <c r="U7" s="33">
        <v>117.29866666664991</v>
      </c>
      <c r="V7" s="5">
        <v>5</v>
      </c>
      <c r="W7" s="5">
        <v>50</v>
      </c>
      <c r="X7" s="33">
        <v>708.73792948440712</v>
      </c>
      <c r="Y7" s="5">
        <v>62.94894771395353</v>
      </c>
      <c r="Z7" s="5">
        <v>6281.2797126493724</v>
      </c>
      <c r="AA7" s="35"/>
    </row>
    <row r="8" spans="2:27" x14ac:dyDescent="0.2">
      <c r="B8" s="4">
        <v>5</v>
      </c>
      <c r="C8" s="4">
        <v>465</v>
      </c>
      <c r="D8" s="23">
        <v>1969640.546640083</v>
      </c>
      <c r="E8" s="33">
        <v>87.611111111111114</v>
      </c>
      <c r="F8" s="5">
        <v>5</v>
      </c>
      <c r="G8" s="23">
        <v>56.666666666666657</v>
      </c>
      <c r="H8" s="33">
        <v>893.72577419270181</v>
      </c>
      <c r="I8" s="23">
        <v>50.242208287161674</v>
      </c>
      <c r="J8" s="5">
        <v>6399.6577758732119</v>
      </c>
      <c r="K8" s="31"/>
      <c r="L8" s="23">
        <v>2185532.4465800859</v>
      </c>
      <c r="M8" s="33">
        <v>143.91666666666666</v>
      </c>
      <c r="N8" s="5">
        <v>13</v>
      </c>
      <c r="O8" s="5">
        <v>48.666666666666657</v>
      </c>
      <c r="P8" s="33">
        <v>668.2930518568819</v>
      </c>
      <c r="Q8" s="5">
        <v>18.665812413187794</v>
      </c>
      <c r="R8" s="5">
        <v>5062.7515177199612</v>
      </c>
      <c r="S8" s="31"/>
      <c r="T8" s="23">
        <v>2113680.8148955391</v>
      </c>
      <c r="U8" s="33">
        <v>86.628444444439893</v>
      </c>
      <c r="V8" s="5">
        <v>5</v>
      </c>
      <c r="W8" s="5">
        <v>49.333333333333343</v>
      </c>
      <c r="X8" s="33">
        <v>844.3238416856243</v>
      </c>
      <c r="Y8" s="5">
        <v>65.746391634199739</v>
      </c>
      <c r="Z8" s="5">
        <v>6531.6926716749585</v>
      </c>
      <c r="AA8" s="35"/>
    </row>
    <row r="9" spans="2:27" x14ac:dyDescent="0.2">
      <c r="B9" s="4">
        <v>6</v>
      </c>
      <c r="C9" s="4">
        <v>647</v>
      </c>
      <c r="D9" s="23">
        <v>1813226.9451252241</v>
      </c>
      <c r="E9" s="33">
        <v>93.336666666669785</v>
      </c>
      <c r="F9" s="5">
        <v>8</v>
      </c>
      <c r="G9" s="23">
        <v>74.666666666666671</v>
      </c>
      <c r="H9" s="33">
        <v>1642.8591490477309</v>
      </c>
      <c r="I9" s="23">
        <v>46.895584057361113</v>
      </c>
      <c r="J9" s="5">
        <v>7100.795705958134</v>
      </c>
      <c r="K9" s="31"/>
      <c r="L9" s="23">
        <v>2010932.2404123391</v>
      </c>
      <c r="M9" s="33">
        <v>206.7640000000182</v>
      </c>
      <c r="N9" s="5">
        <v>15</v>
      </c>
      <c r="O9" s="5">
        <v>62.666666666666657</v>
      </c>
      <c r="P9" s="33">
        <v>1163.3645060554918</v>
      </c>
      <c r="Q9" s="5">
        <v>20.454133851125992</v>
      </c>
      <c r="R9" s="5">
        <v>5840.7615125807006</v>
      </c>
      <c r="S9" s="31"/>
      <c r="T9" s="23">
        <v>2359217.5043733059</v>
      </c>
      <c r="U9" s="33">
        <v>90.100666666662107</v>
      </c>
      <c r="V9" s="5">
        <v>6</v>
      </c>
      <c r="W9" s="5">
        <v>38.666666666666657</v>
      </c>
      <c r="X9" s="33">
        <v>1301.4448509305284</v>
      </c>
      <c r="Y9" s="5">
        <v>59.606604522988896</v>
      </c>
      <c r="Z9" s="5">
        <v>6794.364432921855</v>
      </c>
      <c r="AA9" s="35"/>
    </row>
    <row r="10" spans="2:27" x14ac:dyDescent="0.2">
      <c r="B10" s="4">
        <v>7</v>
      </c>
      <c r="C10" s="4">
        <v>796</v>
      </c>
      <c r="D10" s="23">
        <v>1753497.3289769711</v>
      </c>
      <c r="E10" s="33">
        <v>135.808888888892</v>
      </c>
      <c r="F10" s="5">
        <v>9</v>
      </c>
      <c r="G10" s="23">
        <v>77.333333333333329</v>
      </c>
      <c r="H10" s="33">
        <v>1576.2331082120779</v>
      </c>
      <c r="I10" s="23">
        <v>44.021500190684989</v>
      </c>
      <c r="J10" s="5">
        <v>7018.3660318880311</v>
      </c>
      <c r="K10" s="31"/>
      <c r="L10" s="23">
        <v>2205727.1303761089</v>
      </c>
      <c r="M10" s="33">
        <v>154.50688888887979</v>
      </c>
      <c r="N10" s="5">
        <v>11</v>
      </c>
      <c r="O10" s="5">
        <v>52.666666666666657</v>
      </c>
      <c r="P10" s="33">
        <v>1270.8310650693898</v>
      </c>
      <c r="Q10" s="5">
        <v>22.616124889886553</v>
      </c>
      <c r="R10" s="5">
        <v>6506.2903473224042</v>
      </c>
      <c r="S10" s="31"/>
      <c r="T10" s="23">
        <v>2074237.625177487</v>
      </c>
      <c r="U10" s="33">
        <v>163.06600000000455</v>
      </c>
      <c r="V10" s="5">
        <v>5</v>
      </c>
      <c r="W10" s="5">
        <v>50</v>
      </c>
      <c r="X10" s="33">
        <v>678.40175365794516</v>
      </c>
      <c r="Y10" s="5">
        <v>62.46679811340293</v>
      </c>
      <c r="Z10" s="5">
        <v>6252.3684026477949</v>
      </c>
      <c r="AA10" s="35"/>
    </row>
    <row r="11" spans="2:27" x14ac:dyDescent="0.2">
      <c r="B11" s="4">
        <v>8</v>
      </c>
      <c r="C11" s="4">
        <v>909</v>
      </c>
      <c r="D11" s="23">
        <v>1824437.525293519</v>
      </c>
      <c r="E11" s="33">
        <v>136.89933333333789</v>
      </c>
      <c r="F11" s="5">
        <v>7</v>
      </c>
      <c r="G11" s="23">
        <v>69.333333333333329</v>
      </c>
      <c r="H11" s="33">
        <v>1338.4703629186463</v>
      </c>
      <c r="I11" s="23">
        <v>49.462318118229447</v>
      </c>
      <c r="J11" s="5">
        <v>6789.5190098912217</v>
      </c>
      <c r="K11" s="31"/>
      <c r="L11" s="23">
        <v>2227570.805715797</v>
      </c>
      <c r="M11" s="33">
        <v>200.22911111110201</v>
      </c>
      <c r="N11" s="5">
        <v>14</v>
      </c>
      <c r="O11" s="5">
        <v>49.333333333333343</v>
      </c>
      <c r="P11" s="33">
        <v>929.17403956548162</v>
      </c>
      <c r="Q11" s="5">
        <v>17.853822762781132</v>
      </c>
      <c r="R11" s="5">
        <v>5589.9809334757801</v>
      </c>
      <c r="S11" s="31"/>
      <c r="T11" s="23">
        <v>2027827.3786671979</v>
      </c>
      <c r="U11" s="33">
        <v>188.87844444443988</v>
      </c>
      <c r="V11" s="5">
        <v>7</v>
      </c>
      <c r="W11" s="5">
        <v>55.333333333333343</v>
      </c>
      <c r="X11" s="33">
        <v>1048.2858351592038</v>
      </c>
      <c r="Y11" s="5">
        <v>56.864715695111059</v>
      </c>
      <c r="Z11" s="5">
        <v>6405.6060653040158</v>
      </c>
      <c r="AA11" s="35"/>
    </row>
    <row r="12" spans="2:27" x14ac:dyDescent="0.2">
      <c r="B12" s="4">
        <v>9</v>
      </c>
      <c r="C12" s="4">
        <v>932</v>
      </c>
      <c r="D12" s="23">
        <v>1805980.2301625561</v>
      </c>
      <c r="E12" s="33">
        <v>154.63533333331966</v>
      </c>
      <c r="F12" s="5">
        <v>5</v>
      </c>
      <c r="G12" s="23">
        <v>64</v>
      </c>
      <c r="H12" s="33">
        <v>810.26208277421927</v>
      </c>
      <c r="I12" s="23">
        <v>60.300518547223945</v>
      </c>
      <c r="J12" s="5">
        <v>6273.3504777105582</v>
      </c>
      <c r="K12" s="31"/>
      <c r="L12" s="23">
        <v>2191858.434514984</v>
      </c>
      <c r="M12" s="33">
        <v>150.60755555556776</v>
      </c>
      <c r="N12" s="5">
        <v>10</v>
      </c>
      <c r="O12" s="5">
        <v>48</v>
      </c>
      <c r="P12" s="33">
        <v>981.00685856522614</v>
      </c>
      <c r="Q12" s="5">
        <v>21.592665628333449</v>
      </c>
      <c r="R12" s="5">
        <v>5584.1800730840168</v>
      </c>
      <c r="S12" s="31"/>
      <c r="T12" s="23">
        <v>2236688.9725098051</v>
      </c>
      <c r="U12" s="33">
        <v>61.940888888875214</v>
      </c>
      <c r="V12" s="5">
        <v>5</v>
      </c>
      <c r="W12" s="5">
        <v>42.666666666666657</v>
      </c>
      <c r="X12" s="33">
        <v>798.10918431217351</v>
      </c>
      <c r="Y12" s="5">
        <v>63.045253524538381</v>
      </c>
      <c r="Z12" s="5">
        <v>6499.6526176587668</v>
      </c>
      <c r="AA12" s="35"/>
    </row>
    <row r="13" spans="2:27" x14ac:dyDescent="0.2">
      <c r="B13" s="4">
        <v>10</v>
      </c>
      <c r="C13" s="4">
        <v>949</v>
      </c>
      <c r="D13" s="23">
        <v>2077996.353997644</v>
      </c>
      <c r="E13" s="33">
        <v>142.07977777776412</v>
      </c>
      <c r="F13" s="5">
        <v>9</v>
      </c>
      <c r="G13" s="23">
        <v>56.666666666666657</v>
      </c>
      <c r="H13" s="33">
        <v>1235.4657062872739</v>
      </c>
      <c r="I13" s="23">
        <v>31.217336470123794</v>
      </c>
      <c r="J13" s="5">
        <v>6443.1750576929917</v>
      </c>
      <c r="K13" s="31"/>
      <c r="L13" s="23">
        <v>2411714.108345951</v>
      </c>
      <c r="M13" s="33">
        <v>152.17711111111566</v>
      </c>
      <c r="N13" s="5">
        <v>7</v>
      </c>
      <c r="O13" s="5">
        <v>30.666666666666671</v>
      </c>
      <c r="P13" s="33">
        <v>215.29674397251006</v>
      </c>
      <c r="Q13" s="5">
        <v>20.905554245459388</v>
      </c>
      <c r="R13" s="5">
        <v>4393.5653242501376</v>
      </c>
      <c r="S13" s="31"/>
      <c r="T13" s="23">
        <v>2279341.2960562431</v>
      </c>
      <c r="U13" s="33">
        <v>87.600666666687985</v>
      </c>
      <c r="V13" s="5">
        <v>8</v>
      </c>
      <c r="W13" s="5">
        <v>47.333333333333343</v>
      </c>
      <c r="X13" s="33">
        <v>1541.0704695191619</v>
      </c>
      <c r="Y13" s="5">
        <v>41.252947529925677</v>
      </c>
      <c r="Z13" s="5">
        <v>7053.039846701543</v>
      </c>
      <c r="AA13" s="35"/>
    </row>
    <row r="14" spans="2:27" x14ac:dyDescent="0.2">
      <c r="B14" s="46" t="s">
        <v>3</v>
      </c>
      <c r="C14" s="47"/>
      <c r="D14" s="9">
        <f>MIN(D4:D13)</f>
        <v>1753497.3289769711</v>
      </c>
      <c r="E14" s="22">
        <f>INDEX(E4:E13, MATCH($D$14, D4:D13, 0))</f>
        <v>135.808888888892</v>
      </c>
      <c r="F14" s="9">
        <f>INDEX(F4:F13, MATCH($D$14, D4:D13, 0))</f>
        <v>9</v>
      </c>
      <c r="G14" s="9">
        <f>INDEX(G4:G13, MATCH($D$14, D4:D13, 0))</f>
        <v>77.333333333333329</v>
      </c>
      <c r="H14" s="22">
        <f>INDEX(H4:H13, MATCH($D$14, D4:D13, 0))</f>
        <v>1576.2331082120779</v>
      </c>
      <c r="I14" s="22">
        <f>INDEX(I4:I13, MATCH($D$14, D4:D13, 0))</f>
        <v>44.021500190684989</v>
      </c>
      <c r="J14" s="22">
        <f>INDEX(J4:J13, MATCH($D$14, D4:D13, 0))</f>
        <v>7018.3660318880311</v>
      </c>
      <c r="K14" s="32">
        <f>(D14-$D$15)/$D$15</f>
        <v>4.3671781677013806E-2</v>
      </c>
      <c r="L14" s="16">
        <f>MIN(L4:L13)</f>
        <v>2010932.2404123391</v>
      </c>
      <c r="M14" s="21">
        <f>INDEX(M4:M13, MATCH($L$14, L4:L13, 0))</f>
        <v>206.7640000000182</v>
      </c>
      <c r="N14" s="16">
        <f>INDEX(N4:N13, MATCH($L$14, L4:L13, 0))</f>
        <v>15</v>
      </c>
      <c r="O14" s="16">
        <f>INDEX(O4:O13, MATCH($L$14, L4:L13, 0))</f>
        <v>62.666666666666657</v>
      </c>
      <c r="P14" s="21">
        <f>INDEX(P4:P13, MATCH($L$14, L4:L13, 0))</f>
        <v>1163.3645060554918</v>
      </c>
      <c r="Q14" s="21">
        <f>INDEX(Q4:Q13, MATCH($L$14, L4:L13, 0))</f>
        <v>20.454133851125992</v>
      </c>
      <c r="R14" s="21">
        <f>INDEX(R4:R13, MATCH($L$14, L4:L13, 0))</f>
        <v>5840.7615125807006</v>
      </c>
      <c r="S14" s="36">
        <f>(L14-$D$15)/$D$15</f>
        <v>0.19689559801459966</v>
      </c>
      <c r="T14" s="38">
        <f>MIN(T4:T13)</f>
        <v>2027827.3786671979</v>
      </c>
      <c r="U14" s="39">
        <f>INDEX(U4:U13, MATCH($T$14, T4:T13, 0))</f>
        <v>188.87844444443988</v>
      </c>
      <c r="V14" s="38">
        <f>INDEX(V4:V13, MATCH($T$14, T4:T13, 0))</f>
        <v>7</v>
      </c>
      <c r="W14" s="38">
        <f>INDEX(W4:W13, MATCH($T$14, T4:T13, 0))</f>
        <v>55.333333333333343</v>
      </c>
      <c r="X14" s="39">
        <f>INDEX(X4:X13, MATCH($T$14, T4:T13, 0))</f>
        <v>1048.2858351592038</v>
      </c>
      <c r="Y14" s="39">
        <f>INDEX(Y4:Y13, MATCH($T$14, T4:T13, 0))</f>
        <v>56.864715695111059</v>
      </c>
      <c r="Z14" s="39">
        <f>INDEX(Z4:Z13, MATCH($T$14, T4:T13, 0))</f>
        <v>6405.6060653040158</v>
      </c>
      <c r="AA14" s="40">
        <f>(T14-$D$15)/$D$15</f>
        <v>0.20695148960493098</v>
      </c>
    </row>
    <row r="15" spans="2:27" x14ac:dyDescent="0.2">
      <c r="C15" s="1" t="s">
        <v>17</v>
      </c>
      <c r="D15" s="34">
        <v>1680123.348893635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:C13 C15:C1048576">
    <cfRule type="duplicateValues" dxfId="105" priority="5"/>
    <cfRule type="duplicateValues" dxfId="104" priority="6"/>
  </conditionalFormatting>
  <conditionalFormatting sqref="C14">
    <cfRule type="duplicateValues" dxfId="103" priority="1"/>
    <cfRule type="duplicateValues" dxfId="10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1826-6102-4522-AD70-AC8613734351}">
  <dimension ref="B1:AA35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-0.98493603053768253</v>
      </c>
      <c r="J2" s="28">
        <f>(S14-J14)/J14</f>
        <v>-0.99995619035142946</v>
      </c>
      <c r="K2" s="28"/>
      <c r="L2" s="1" t="s">
        <v>19</v>
      </c>
      <c r="P2" s="1">
        <f>(P14-H14)/H14</f>
        <v>-0.42757353808148935</v>
      </c>
      <c r="R2" s="1">
        <f>(R14-J14)/J14</f>
        <v>-0.21666639815337776</v>
      </c>
      <c r="T2" s="1" t="s">
        <v>20</v>
      </c>
      <c r="X2" s="1">
        <f>(X14-P14)/P14</f>
        <v>0.20239748307655694</v>
      </c>
      <c r="Z2" s="1">
        <f>(Z14-R14)/R14</f>
        <v>0.24637061254496398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675</v>
      </c>
      <c r="D4" s="23">
        <v>1528102.4334087011</v>
      </c>
      <c r="E4" s="33">
        <v>230.85422222220555</v>
      </c>
      <c r="F4" s="5">
        <v>10</v>
      </c>
      <c r="G4" s="23">
        <v>85.333333333333329</v>
      </c>
      <c r="H4" s="33">
        <v>1278.3819507181997</v>
      </c>
      <c r="I4" s="23">
        <v>42.403060401436846</v>
      </c>
      <c r="J4" s="5">
        <v>6635.8503597995523</v>
      </c>
      <c r="K4" s="31"/>
      <c r="L4" s="23">
        <v>1945517.7757106519</v>
      </c>
      <c r="M4" s="33">
        <v>350.4408888889011</v>
      </c>
      <c r="N4" s="5">
        <v>13</v>
      </c>
      <c r="O4" s="5">
        <v>60</v>
      </c>
      <c r="P4" s="33">
        <v>813.26116805817082</v>
      </c>
      <c r="Q4" s="5">
        <v>20.202099462635211</v>
      </c>
      <c r="R4" s="5">
        <v>5287.5038121160769</v>
      </c>
      <c r="S4" s="31"/>
      <c r="T4" s="23">
        <v>1978820.79772464</v>
      </c>
      <c r="U4" s="33">
        <v>149.20133333332421</v>
      </c>
      <c r="V4" s="5">
        <v>6</v>
      </c>
      <c r="W4" s="5">
        <v>54.666666666666657</v>
      </c>
      <c r="X4" s="33">
        <v>873.42091950414317</v>
      </c>
      <c r="Y4" s="5">
        <v>74.274859025131207</v>
      </c>
      <c r="Z4" s="5">
        <v>6414.8804471376789</v>
      </c>
      <c r="AA4" s="35"/>
    </row>
    <row r="5" spans="2:27" x14ac:dyDescent="0.2">
      <c r="B5" s="4">
        <v>2</v>
      </c>
      <c r="C5" s="4">
        <v>533</v>
      </c>
      <c r="D5" s="23">
        <v>1573873.5691284051</v>
      </c>
      <c r="E5" s="33">
        <v>121.71533333334244</v>
      </c>
      <c r="F5" s="5">
        <v>8</v>
      </c>
      <c r="G5" s="23">
        <v>79.333333333333329</v>
      </c>
      <c r="H5" s="33">
        <v>1012.0846553509119</v>
      </c>
      <c r="I5" s="23">
        <v>47.451680606858467</v>
      </c>
      <c r="J5" s="5">
        <v>6505.0049576045303</v>
      </c>
      <c r="K5" s="31"/>
      <c r="L5" s="23">
        <v>1927925.930903621</v>
      </c>
      <c r="M5" s="33">
        <v>212.19800000001365</v>
      </c>
      <c r="N5" s="5">
        <v>14</v>
      </c>
      <c r="O5" s="5">
        <v>61.333333333333343</v>
      </c>
      <c r="P5" s="33">
        <v>770.36953966550288</v>
      </c>
      <c r="Q5" s="5">
        <v>20.273037660290438</v>
      </c>
      <c r="R5" s="5">
        <v>5267.7905114129708</v>
      </c>
      <c r="S5" s="31"/>
      <c r="T5" s="23">
        <v>1982363.0005619819</v>
      </c>
      <c r="U5" s="33">
        <v>163.84377777778232</v>
      </c>
      <c r="V5" s="5">
        <v>6</v>
      </c>
      <c r="W5" s="5">
        <v>54</v>
      </c>
      <c r="X5" s="33">
        <v>781.45943948130582</v>
      </c>
      <c r="Y5" s="5">
        <v>72.930262006845297</v>
      </c>
      <c r="Z5" s="5">
        <v>6336.0602165313167</v>
      </c>
      <c r="AA5" s="35"/>
    </row>
    <row r="6" spans="2:27" x14ac:dyDescent="0.2">
      <c r="B6" s="4">
        <v>3</v>
      </c>
      <c r="C6" s="4">
        <v>999</v>
      </c>
      <c r="D6" s="23">
        <v>1819186.9472998539</v>
      </c>
      <c r="E6" s="33">
        <v>100.69444444444444</v>
      </c>
      <c r="F6" s="5">
        <v>9</v>
      </c>
      <c r="G6" s="23">
        <v>73.333333333333329</v>
      </c>
      <c r="H6" s="33">
        <v>1602.3388442738217</v>
      </c>
      <c r="I6" s="23">
        <v>35.440151937452221</v>
      </c>
      <c r="J6" s="5">
        <v>6965.2604616524723</v>
      </c>
      <c r="K6" s="31"/>
      <c r="L6" s="23">
        <v>2323124.3808366898</v>
      </c>
      <c r="M6" s="33">
        <v>275.37155555553426</v>
      </c>
      <c r="N6" s="5">
        <v>8</v>
      </c>
      <c r="O6" s="5">
        <v>38.666666666666657</v>
      </c>
      <c r="P6" s="33">
        <v>729.90306103861144</v>
      </c>
      <c r="Q6" s="5">
        <v>19.158395199356693</v>
      </c>
      <c r="R6" s="5">
        <v>5403.8198377682493</v>
      </c>
      <c r="S6" s="31"/>
      <c r="T6" s="23">
        <v>1971744.6429464649</v>
      </c>
      <c r="U6" s="33">
        <v>167.70155555555701</v>
      </c>
      <c r="V6" s="5">
        <v>6</v>
      </c>
      <c r="W6" s="5">
        <v>56.666666666666657</v>
      </c>
      <c r="X6" s="33">
        <v>926.29039553264647</v>
      </c>
      <c r="Y6" s="5">
        <v>65.864827956609759</v>
      </c>
      <c r="Z6" s="5">
        <v>6565.6192864683335</v>
      </c>
      <c r="AA6" s="35"/>
    </row>
    <row r="7" spans="2:27" x14ac:dyDescent="0.2">
      <c r="B7" s="4">
        <v>4</v>
      </c>
      <c r="C7" s="4">
        <v>561</v>
      </c>
      <c r="D7" s="23">
        <v>1527061.794732492</v>
      </c>
      <c r="E7" s="33">
        <v>123.81600000000455</v>
      </c>
      <c r="F7" s="5">
        <v>8</v>
      </c>
      <c r="G7" s="23">
        <v>82</v>
      </c>
      <c r="H7" s="33">
        <v>1172.1260099586684</v>
      </c>
      <c r="I7" s="23">
        <v>52.45316632226087</v>
      </c>
      <c r="J7" s="5">
        <v>6575.587167489688</v>
      </c>
      <c r="K7" s="31"/>
      <c r="L7" s="23">
        <v>2207179.9772944348</v>
      </c>
      <c r="M7" s="33">
        <v>180.04511111110656</v>
      </c>
      <c r="N7" s="5">
        <v>7</v>
      </c>
      <c r="O7" s="5">
        <v>40.666666666666657</v>
      </c>
      <c r="P7" s="33">
        <v>530.92968323002276</v>
      </c>
      <c r="Q7" s="5">
        <v>25.504169130021847</v>
      </c>
      <c r="R7" s="5">
        <v>4835.7401306824149</v>
      </c>
      <c r="S7" s="31"/>
      <c r="T7" s="23">
        <v>1984216.809460402</v>
      </c>
      <c r="U7" s="33">
        <v>179.74644444445664</v>
      </c>
      <c r="V7" s="5">
        <v>6</v>
      </c>
      <c r="W7" s="5">
        <v>55.333333333333343</v>
      </c>
      <c r="X7" s="33">
        <v>918.05462291663514</v>
      </c>
      <c r="Y7" s="5">
        <v>71.107531878723904</v>
      </c>
      <c r="Z7" s="5">
        <v>6562.9544464025157</v>
      </c>
      <c r="AA7" s="35"/>
    </row>
    <row r="8" spans="2:27" x14ac:dyDescent="0.2">
      <c r="B8" s="4">
        <v>5</v>
      </c>
      <c r="C8" s="4">
        <v>423</v>
      </c>
      <c r="D8" s="23">
        <v>1652158.861174912</v>
      </c>
      <c r="E8" s="33">
        <v>181.3091111110989</v>
      </c>
      <c r="F8" s="5">
        <v>9</v>
      </c>
      <c r="G8" s="23">
        <v>89.333333333333329</v>
      </c>
      <c r="H8" s="33">
        <v>2093.9925516867906</v>
      </c>
      <c r="I8" s="23">
        <v>52.749380291994825</v>
      </c>
      <c r="J8" s="5">
        <v>7540.8468378129755</v>
      </c>
      <c r="K8" s="31"/>
      <c r="L8" s="23">
        <v>1981529.4378636661</v>
      </c>
      <c r="M8" s="33">
        <v>289.39244444443221</v>
      </c>
      <c r="N8" s="5">
        <v>12</v>
      </c>
      <c r="O8" s="5">
        <v>58.666666666666657</v>
      </c>
      <c r="P8" s="33">
        <v>932.97011185159181</v>
      </c>
      <c r="Q8" s="5">
        <v>23.606277428650117</v>
      </c>
      <c r="R8" s="5">
        <v>5519.3208172929599</v>
      </c>
      <c r="S8" s="31"/>
      <c r="T8" s="23">
        <v>2007453.364768195</v>
      </c>
      <c r="U8" s="33">
        <v>226.12844444443999</v>
      </c>
      <c r="V8" s="5">
        <v>6</v>
      </c>
      <c r="W8" s="5">
        <v>54.666666666666657</v>
      </c>
      <c r="X8" s="33">
        <v>1003.6209342119448</v>
      </c>
      <c r="Y8" s="5">
        <v>70.679232492785843</v>
      </c>
      <c r="Z8" s="5">
        <v>6630.4698141933259</v>
      </c>
      <c r="AA8" s="35"/>
    </row>
    <row r="9" spans="2:27" x14ac:dyDescent="0.2">
      <c r="B9" s="4">
        <v>6</v>
      </c>
      <c r="C9" s="4">
        <v>515</v>
      </c>
      <c r="D9" s="23">
        <v>1579706.6454010259</v>
      </c>
      <c r="E9" s="33">
        <v>193.44799999998779</v>
      </c>
      <c r="F9" s="5">
        <v>9</v>
      </c>
      <c r="G9" s="23">
        <v>84</v>
      </c>
      <c r="H9" s="33">
        <v>1377.0604601428058</v>
      </c>
      <c r="I9" s="23">
        <v>44.997691459884763</v>
      </c>
      <c r="J9" s="5">
        <v>6852.3519566609984</v>
      </c>
      <c r="K9" s="31"/>
      <c r="L9" s="23">
        <v>1975620.6911105921</v>
      </c>
      <c r="M9" s="33">
        <v>371.27444444444131</v>
      </c>
      <c r="N9" s="5">
        <v>12</v>
      </c>
      <c r="O9" s="5">
        <v>56.666666666666657</v>
      </c>
      <c r="P9" s="33">
        <v>743.26113133989963</v>
      </c>
      <c r="Q9" s="5">
        <v>22.289406217727315</v>
      </c>
      <c r="R9" s="5">
        <v>5181.2382222835258</v>
      </c>
      <c r="S9" s="31"/>
      <c r="T9" s="23">
        <v>2002177.754202388</v>
      </c>
      <c r="U9" s="33">
        <v>79.458222222229892</v>
      </c>
      <c r="V9" s="5">
        <v>6</v>
      </c>
      <c r="W9" s="5">
        <v>55.333333333333343</v>
      </c>
      <c r="X9" s="33">
        <v>1026.5059648755505</v>
      </c>
      <c r="Y9" s="5">
        <v>76.790747007668855</v>
      </c>
      <c r="Z9" s="5">
        <v>6715.9516092497861</v>
      </c>
      <c r="AA9" s="35"/>
    </row>
    <row r="10" spans="2:27" x14ac:dyDescent="0.2">
      <c r="B10" s="4">
        <v>7</v>
      </c>
      <c r="C10" s="4">
        <v>521</v>
      </c>
      <c r="D10" s="23">
        <v>1533922.035089286</v>
      </c>
      <c r="E10" s="33">
        <v>288.69444444444446</v>
      </c>
      <c r="F10" s="5">
        <v>7</v>
      </c>
      <c r="G10" s="23">
        <v>79.333333333333329</v>
      </c>
      <c r="H10" s="33">
        <v>1059.0488949779838</v>
      </c>
      <c r="I10" s="23">
        <v>58.945352460770174</v>
      </c>
      <c r="J10" s="5">
        <v>6429.4915524068529</v>
      </c>
      <c r="K10" s="31"/>
      <c r="L10" s="23">
        <v>2069681.6732112849</v>
      </c>
      <c r="M10" s="33">
        <v>287.34733333335157</v>
      </c>
      <c r="N10" s="5">
        <v>15</v>
      </c>
      <c r="O10" s="5">
        <v>59.333333333333343</v>
      </c>
      <c r="P10" s="33">
        <v>1132.2412126091447</v>
      </c>
      <c r="Q10" s="5">
        <v>18.609543688489058</v>
      </c>
      <c r="R10" s="5">
        <v>5685.0165453289674</v>
      </c>
      <c r="S10" s="31"/>
      <c r="T10" s="23">
        <v>2023308.6476350341</v>
      </c>
      <c r="U10" s="33">
        <v>54.361111111111114</v>
      </c>
      <c r="V10" s="5">
        <v>6</v>
      </c>
      <c r="W10" s="5">
        <v>54.666666666666657</v>
      </c>
      <c r="X10" s="33">
        <v>1160.4279522320862</v>
      </c>
      <c r="Y10" s="5">
        <v>71.371725170118808</v>
      </c>
      <c r="Z10" s="5">
        <v>6669.3283743571674</v>
      </c>
      <c r="AA10" s="35"/>
    </row>
    <row r="11" spans="2:27" x14ac:dyDescent="0.2">
      <c r="B11" s="4">
        <v>8</v>
      </c>
      <c r="C11" s="4">
        <v>532</v>
      </c>
      <c r="D11" s="23">
        <v>1776910.270937423</v>
      </c>
      <c r="E11" s="33">
        <v>79.291555555563221</v>
      </c>
      <c r="F11" s="5">
        <v>9</v>
      </c>
      <c r="G11" s="23">
        <v>77.333333333333329</v>
      </c>
      <c r="H11" s="33">
        <v>1767.3191158148431</v>
      </c>
      <c r="I11" s="23">
        <v>42.423485787747822</v>
      </c>
      <c r="J11" s="5">
        <v>7147.0626801287071</v>
      </c>
      <c r="K11" s="31"/>
      <c r="L11" s="23">
        <v>2014933.447167275</v>
      </c>
      <c r="M11" s="33">
        <v>155.62155555553423</v>
      </c>
      <c r="N11" s="5">
        <v>17</v>
      </c>
      <c r="O11" s="5">
        <v>65.333333333333329</v>
      </c>
      <c r="P11" s="33">
        <v>1253.3085676749849</v>
      </c>
      <c r="Q11" s="5">
        <v>16.895121100373547</v>
      </c>
      <c r="R11" s="5">
        <v>5970.8700512191399</v>
      </c>
      <c r="S11" s="31"/>
      <c r="T11" s="23">
        <v>2580986.4972738489</v>
      </c>
      <c r="U11" s="33">
        <v>154.84733333332568</v>
      </c>
      <c r="V11" s="5">
        <v>12</v>
      </c>
      <c r="W11" s="5">
        <v>40</v>
      </c>
      <c r="X11" s="33">
        <v>2810.670638546314</v>
      </c>
      <c r="Y11" s="5">
        <v>32.141280161014024</v>
      </c>
      <c r="Z11" s="5">
        <v>7992.0098082833683</v>
      </c>
      <c r="AA11" s="35"/>
    </row>
    <row r="12" spans="2:27" x14ac:dyDescent="0.2">
      <c r="B12" s="4">
        <v>9</v>
      </c>
      <c r="C12" s="4">
        <v>485</v>
      </c>
      <c r="D12" s="23">
        <v>1525583.565276447</v>
      </c>
      <c r="E12" s="33">
        <v>87.975555555558671</v>
      </c>
      <c r="F12" s="5">
        <v>10</v>
      </c>
      <c r="G12" s="23">
        <v>86.666666666666671</v>
      </c>
      <c r="H12" s="33">
        <v>1345.7965187066613</v>
      </c>
      <c r="I12" s="23">
        <v>42.255756956596422</v>
      </c>
      <c r="J12" s="5">
        <v>6724.8366455808073</v>
      </c>
      <c r="K12" s="31"/>
      <c r="L12" s="23">
        <v>2209365.78372201</v>
      </c>
      <c r="M12" s="33">
        <v>234.19088888887532</v>
      </c>
      <c r="N12" s="5">
        <v>8</v>
      </c>
      <c r="O12" s="5">
        <v>42.666666666666657</v>
      </c>
      <c r="P12" s="33">
        <v>665.11286324156913</v>
      </c>
      <c r="Q12" s="5">
        <v>24.537432737567915</v>
      </c>
      <c r="R12" s="5">
        <v>5042.4688426658431</v>
      </c>
      <c r="S12" s="31"/>
      <c r="T12" s="23">
        <v>2153771.2287635501</v>
      </c>
      <c r="U12" s="33">
        <v>164.53111111111423</v>
      </c>
      <c r="V12" s="5">
        <v>5</v>
      </c>
      <c r="W12" s="5">
        <v>48</v>
      </c>
      <c r="X12" s="33">
        <v>1113.326113665833</v>
      </c>
      <c r="Y12" s="5">
        <v>73.794823732115674</v>
      </c>
      <c r="Z12" s="5">
        <v>6853.9069022375006</v>
      </c>
      <c r="AA12" s="35"/>
    </row>
    <row r="13" spans="2:27" x14ac:dyDescent="0.2">
      <c r="B13" s="4">
        <v>10</v>
      </c>
      <c r="C13" s="4">
        <v>769</v>
      </c>
      <c r="D13" s="23">
        <v>2483844.5235605841</v>
      </c>
      <c r="E13" s="33">
        <v>241.87866666667267</v>
      </c>
      <c r="F13" s="5">
        <v>15</v>
      </c>
      <c r="G13" s="23">
        <v>88.666666666666671</v>
      </c>
      <c r="H13" s="33">
        <v>5082.2394797014977</v>
      </c>
      <c r="I13" s="23">
        <v>31.844914676145486</v>
      </c>
      <c r="J13" s="5">
        <v>10610.762003719186</v>
      </c>
      <c r="K13" s="31"/>
      <c r="L13" s="23">
        <v>2391640.0796927991</v>
      </c>
      <c r="M13" s="33">
        <v>298.46177777777331</v>
      </c>
      <c r="N13" s="5">
        <v>19</v>
      </c>
      <c r="O13" s="5">
        <v>57.333333333333343</v>
      </c>
      <c r="P13" s="33">
        <v>2251.563795084458</v>
      </c>
      <c r="Q13" s="5">
        <v>13.827059304941187</v>
      </c>
      <c r="R13" s="5">
        <v>7407.2890950175515</v>
      </c>
      <c r="S13" s="31"/>
      <c r="T13" s="23">
        <v>2811094.4888010379</v>
      </c>
      <c r="U13" s="33">
        <v>214.70844444446266</v>
      </c>
      <c r="V13" s="5">
        <v>13</v>
      </c>
      <c r="W13" s="5">
        <v>24</v>
      </c>
      <c r="X13" s="33">
        <v>2040.4779296280487</v>
      </c>
      <c r="Y13" s="5">
        <v>15.862511219367956</v>
      </c>
      <c r="Z13" s="5">
        <v>7067.6979233840148</v>
      </c>
      <c r="AA13" s="35"/>
    </row>
    <row r="14" spans="2:27" x14ac:dyDescent="0.2">
      <c r="B14" s="46" t="s">
        <v>3</v>
      </c>
      <c r="C14" s="47"/>
      <c r="D14" s="9">
        <f>MIN(D4:D13)</f>
        <v>1525583.565276447</v>
      </c>
      <c r="E14" s="22">
        <f>INDEX(E4:E13, MATCH($D$14, D4:D13, 0))</f>
        <v>87.975555555558671</v>
      </c>
      <c r="F14" s="9">
        <f>INDEX(F4:F13, MATCH($D$14, D4:D13, 0))</f>
        <v>10</v>
      </c>
      <c r="G14" s="9">
        <f>INDEX(G4:G13, MATCH($D$14, D4:D13, 0))</f>
        <v>86.666666666666671</v>
      </c>
      <c r="H14" s="22">
        <f>INDEX(H4:H13, MATCH($D$14, D4:D13, 0))</f>
        <v>1345.7965187066613</v>
      </c>
      <c r="I14" s="22">
        <f>INDEX(I4:I13, MATCH($D$14, D4:D13, 0))</f>
        <v>42.255756956596422</v>
      </c>
      <c r="J14" s="22">
        <f>INDEX(J4:J13, MATCH($D$14, D4:D13, 0))</f>
        <v>6724.8366455808073</v>
      </c>
      <c r="K14" s="32">
        <f>(D14-$D$15)/$D$15</f>
        <v>2.4437647129469643E-2</v>
      </c>
      <c r="L14" s="16">
        <f>MIN(L4:L13)</f>
        <v>1927925.930903621</v>
      </c>
      <c r="M14" s="21">
        <f>INDEX(M4:M13, MATCH($L$14, L4:L13, 0))</f>
        <v>212.19800000001365</v>
      </c>
      <c r="N14" s="16">
        <f>INDEX(N4:N13, MATCH($L$14, L4:L13, 0))</f>
        <v>14</v>
      </c>
      <c r="O14" s="16">
        <f>INDEX(O4:O13, MATCH($L$14, L4:L13, 0))</f>
        <v>61.333333333333343</v>
      </c>
      <c r="P14" s="21">
        <f>INDEX(P4:P13, MATCH($L$14, L4:L13, 0))</f>
        <v>770.36953966550288</v>
      </c>
      <c r="Q14" s="21">
        <f>INDEX(Q4:Q13, MATCH($L$14, L4:L13, 0))</f>
        <v>20.273037660290438</v>
      </c>
      <c r="R14" s="21">
        <f>INDEX(R4:R13, MATCH($L$14, L4:L13, 0))</f>
        <v>5267.7905114129708</v>
      </c>
      <c r="S14" s="36">
        <f>(L14-$D$15)/$D$15</f>
        <v>0.29461273013707789</v>
      </c>
      <c r="T14" s="38">
        <f>MIN(T4:T13)</f>
        <v>1971744.6429464649</v>
      </c>
      <c r="U14" s="39">
        <f>INDEX(U4:U13, MATCH($T$14, T4:T13, 0))</f>
        <v>167.70155555555701</v>
      </c>
      <c r="V14" s="38">
        <f>INDEX(V4:V13, MATCH($T$14, T4:T13, 0))</f>
        <v>6</v>
      </c>
      <c r="W14" s="38">
        <f>INDEX(W4:W13, MATCH($T$14, T4:T13, 0))</f>
        <v>56.666666666666657</v>
      </c>
      <c r="X14" s="39">
        <f>INDEX(X4:X13, MATCH($T$14, T4:T13, 0))</f>
        <v>926.29039553264647</v>
      </c>
      <c r="Y14" s="39">
        <f>INDEX(Y4:Y13, MATCH($T$14, T4:T13, 0))</f>
        <v>65.864827956609759</v>
      </c>
      <c r="Z14" s="39">
        <f>INDEX(Z4:Z13, MATCH($T$14, T4:T13, 0))</f>
        <v>6565.6192864683335</v>
      </c>
      <c r="AA14" s="40">
        <f>(T14-$D$15)/$D$15</f>
        <v>0.3240372331843957</v>
      </c>
    </row>
    <row r="15" spans="2:27" x14ac:dyDescent="0.2">
      <c r="C15" s="1" t="s">
        <v>17</v>
      </c>
      <c r="D15" s="34">
        <v>1489191.235358458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:C13 C15:C16 C36:C1048576">
    <cfRule type="duplicateValues" dxfId="101" priority="7"/>
    <cfRule type="duplicateValues" dxfId="100" priority="8"/>
  </conditionalFormatting>
  <conditionalFormatting sqref="C14">
    <cfRule type="duplicateValues" dxfId="99" priority="3"/>
    <cfRule type="duplicateValues" dxfId="98" priority="4"/>
  </conditionalFormatting>
  <conditionalFormatting sqref="C17:C35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D7ED-C514-44DA-A441-3382BFC5DD14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-0.97727301035238656</v>
      </c>
      <c r="J2" s="28">
        <f>(S14-J14)/J14</f>
        <v>-0.99993871524992184</v>
      </c>
      <c r="K2" s="28"/>
      <c r="L2" s="1" t="s">
        <v>19</v>
      </c>
      <c r="P2" s="1">
        <f>(P14-H14)/H14</f>
        <v>-0.17159906940416086</v>
      </c>
      <c r="R2" s="1">
        <f>(R14-J14)/J14</f>
        <v>-7.8604128447554517E-2</v>
      </c>
      <c r="T2" s="1" t="s">
        <v>20</v>
      </c>
      <c r="X2" s="1">
        <f>(X14-P14)/P14</f>
        <v>0.28207203104572043</v>
      </c>
      <c r="Z2" s="1">
        <f>(Z14-R14)/R14</f>
        <v>0.17258849492840339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1414437.8565696001</v>
      </c>
      <c r="E4" s="33">
        <v>226.35755555554201</v>
      </c>
      <c r="F4" s="5">
        <v>10</v>
      </c>
      <c r="G4" s="23">
        <v>94</v>
      </c>
      <c r="H4" s="33">
        <v>1462.9859867417726</v>
      </c>
      <c r="I4" s="23">
        <v>60.978159969861075</v>
      </c>
      <c r="J4" s="5">
        <v>6859.9705299796615</v>
      </c>
      <c r="K4" s="31"/>
      <c r="L4" s="23">
        <v>1858675.8442120091</v>
      </c>
      <c r="M4" s="33">
        <v>306.06600000000446</v>
      </c>
      <c r="N4" s="5">
        <v>21</v>
      </c>
      <c r="O4" s="5">
        <v>70.666666666666671</v>
      </c>
      <c r="P4" s="33">
        <v>715.1705326395936</v>
      </c>
      <c r="Q4" s="5">
        <v>19.536563107517196</v>
      </c>
      <c r="R4" s="5">
        <v>5307.1480472705516</v>
      </c>
      <c r="S4" s="31"/>
      <c r="T4" s="23">
        <v>2468972.0904663922</v>
      </c>
      <c r="U4" s="33">
        <v>102.48266666667122</v>
      </c>
      <c r="V4" s="5">
        <v>9</v>
      </c>
      <c r="W4" s="5">
        <v>35.333333333333343</v>
      </c>
      <c r="X4" s="33">
        <v>1581.0938531340641</v>
      </c>
      <c r="Y4" s="5">
        <v>52.950830508704222</v>
      </c>
      <c r="Z4" s="5">
        <v>6885.6154672455723</v>
      </c>
      <c r="AA4" s="35"/>
    </row>
    <row r="5" spans="2:27" x14ac:dyDescent="0.2">
      <c r="B5" s="4">
        <v>2</v>
      </c>
      <c r="C5" s="4">
        <v>835</v>
      </c>
      <c r="D5" s="23">
        <v>1383460.100014104</v>
      </c>
      <c r="E5" s="33">
        <v>290.76022222221621</v>
      </c>
      <c r="F5" s="5">
        <v>10</v>
      </c>
      <c r="G5" s="23">
        <v>93.333333333333329</v>
      </c>
      <c r="H5" s="33">
        <v>1323.7636378304103</v>
      </c>
      <c r="I5" s="23">
        <v>60.592286110838153</v>
      </c>
      <c r="J5" s="5">
        <v>6698.8883316505435</v>
      </c>
      <c r="K5" s="31"/>
      <c r="L5" s="23">
        <v>1934334.0938306949</v>
      </c>
      <c r="M5" s="33">
        <v>243.96511111110956</v>
      </c>
      <c r="N5" s="5">
        <v>19</v>
      </c>
      <c r="O5" s="5">
        <v>72.666666666666671</v>
      </c>
      <c r="P5" s="33">
        <v>1322.0966722256615</v>
      </c>
      <c r="Q5" s="5">
        <v>23.463171206815645</v>
      </c>
      <c r="R5" s="5">
        <v>6325.1996688199852</v>
      </c>
      <c r="S5" s="31"/>
      <c r="T5" s="23">
        <v>2139794.6373737948</v>
      </c>
      <c r="U5" s="33">
        <v>140.07288888888434</v>
      </c>
      <c r="V5" s="5">
        <v>6</v>
      </c>
      <c r="W5" s="5">
        <v>50</v>
      </c>
      <c r="X5" s="33">
        <v>1388.186268718061</v>
      </c>
      <c r="Y5" s="5">
        <v>80.460294669311267</v>
      </c>
      <c r="Z5" s="5">
        <v>7037.6773725986914</v>
      </c>
      <c r="AA5" s="35"/>
    </row>
    <row r="6" spans="2:27" x14ac:dyDescent="0.2">
      <c r="B6" s="4">
        <v>3</v>
      </c>
      <c r="C6" s="4">
        <v>783</v>
      </c>
      <c r="D6" s="23">
        <v>1410238.090677137</v>
      </c>
      <c r="E6" s="33">
        <v>197.19444444444446</v>
      </c>
      <c r="F6" s="5">
        <v>10</v>
      </c>
      <c r="G6" s="23">
        <v>91.333333333333329</v>
      </c>
      <c r="H6" s="33">
        <v>1199.3856380130635</v>
      </c>
      <c r="I6" s="23">
        <v>57.241866948714105</v>
      </c>
      <c r="J6" s="5">
        <v>6648.902649616196</v>
      </c>
      <c r="K6" s="31"/>
      <c r="L6" s="23">
        <v>1982303.5095573231</v>
      </c>
      <c r="M6" s="33">
        <v>144.10755555554189</v>
      </c>
      <c r="N6" s="5">
        <v>17</v>
      </c>
      <c r="O6" s="5">
        <v>64</v>
      </c>
      <c r="P6" s="33">
        <v>1037.6317306083076</v>
      </c>
      <c r="Q6" s="5">
        <v>23.674462852648844</v>
      </c>
      <c r="R6" s="5">
        <v>5735.8882976035347</v>
      </c>
      <c r="S6" s="31"/>
      <c r="T6" s="23">
        <v>1934036.049777285</v>
      </c>
      <c r="U6" s="33">
        <v>161.84377777778232</v>
      </c>
      <c r="V6" s="5">
        <v>6</v>
      </c>
      <c r="W6" s="5">
        <v>57.333333333333343</v>
      </c>
      <c r="X6" s="33">
        <v>855.88026129692571</v>
      </c>
      <c r="Y6" s="5">
        <v>80.486452731506461</v>
      </c>
      <c r="Z6" s="5">
        <v>6512.3614302459209</v>
      </c>
      <c r="AA6" s="35"/>
    </row>
    <row r="7" spans="2:27" x14ac:dyDescent="0.2">
      <c r="B7" s="4">
        <v>4</v>
      </c>
      <c r="C7" s="4">
        <v>676</v>
      </c>
      <c r="D7" s="23">
        <v>1349995.7966444411</v>
      </c>
      <c r="E7" s="33">
        <v>166.77777777777777</v>
      </c>
      <c r="F7" s="5">
        <v>10</v>
      </c>
      <c r="G7" s="23">
        <v>90.666666666666671</v>
      </c>
      <c r="H7" s="33">
        <v>1105.3441752422204</v>
      </c>
      <c r="I7" s="23">
        <v>57.675364513496319</v>
      </c>
      <c r="J7" s="5">
        <v>6219.648598300063</v>
      </c>
      <c r="K7" s="31"/>
      <c r="L7" s="23">
        <v>1889288.4964344839</v>
      </c>
      <c r="M7" s="33">
        <v>388.39244444443221</v>
      </c>
      <c r="N7" s="5">
        <v>13</v>
      </c>
      <c r="O7" s="5">
        <v>59.333333333333343</v>
      </c>
      <c r="P7" s="33">
        <v>461.69917534920017</v>
      </c>
      <c r="Q7" s="5">
        <v>24.512670497957551</v>
      </c>
      <c r="R7" s="5">
        <v>4909.041306311231</v>
      </c>
      <c r="S7" s="31"/>
      <c r="T7" s="23">
        <v>1821179.1971689281</v>
      </c>
      <c r="U7" s="33">
        <v>175.61466666665444</v>
      </c>
      <c r="V7" s="5">
        <v>8</v>
      </c>
      <c r="W7" s="5">
        <v>66.666666666666671</v>
      </c>
      <c r="X7" s="33">
        <v>1173.9525163718631</v>
      </c>
      <c r="Y7" s="5">
        <v>76.457440447129215</v>
      </c>
      <c r="Z7" s="5">
        <v>6719.8215323665727</v>
      </c>
      <c r="AA7" s="35"/>
    </row>
    <row r="8" spans="2:27" x14ac:dyDescent="0.2">
      <c r="B8" s="4">
        <v>5</v>
      </c>
      <c r="C8" s="4">
        <v>843</v>
      </c>
      <c r="D8" s="23">
        <v>1400035.623646599</v>
      </c>
      <c r="E8" s="33">
        <v>73.423555555546443</v>
      </c>
      <c r="F8" s="5">
        <v>10</v>
      </c>
      <c r="G8" s="23">
        <v>94</v>
      </c>
      <c r="H8" s="33">
        <v>1347.0322009730921</v>
      </c>
      <c r="I8" s="23">
        <v>61.851610198811692</v>
      </c>
      <c r="J8" s="5">
        <v>6825.1581964534571</v>
      </c>
      <c r="K8" s="31"/>
      <c r="L8" s="23">
        <v>2103336.597641659</v>
      </c>
      <c r="M8" s="33">
        <v>361.62155555556001</v>
      </c>
      <c r="N8" s="5">
        <v>23</v>
      </c>
      <c r="O8" s="5">
        <v>70.666666666666671</v>
      </c>
      <c r="P8" s="33">
        <v>1626.6822465681969</v>
      </c>
      <c r="Q8" s="5">
        <v>18.968780244095168</v>
      </c>
      <c r="R8" s="5">
        <v>6523.5901559199328</v>
      </c>
      <c r="S8" s="31"/>
      <c r="T8" s="23">
        <v>2188393.8856755751</v>
      </c>
      <c r="U8" s="33">
        <v>252.97933333333489</v>
      </c>
      <c r="V8" s="5">
        <v>7</v>
      </c>
      <c r="W8" s="5">
        <v>49.333333333333343</v>
      </c>
      <c r="X8" s="33">
        <v>1536.4210316092158</v>
      </c>
      <c r="Y8" s="5">
        <v>81.326067716745385</v>
      </c>
      <c r="Z8" s="5">
        <v>7236.1104179806571</v>
      </c>
      <c r="AA8" s="35"/>
    </row>
    <row r="9" spans="2:27" x14ac:dyDescent="0.2">
      <c r="B9" s="4">
        <v>6</v>
      </c>
      <c r="C9" s="4">
        <v>225</v>
      </c>
      <c r="D9" s="23">
        <v>1499783.0267644741</v>
      </c>
      <c r="E9" s="33">
        <v>230.08666666666977</v>
      </c>
      <c r="F9" s="5">
        <v>10</v>
      </c>
      <c r="G9" s="23">
        <v>91.333333333333329</v>
      </c>
      <c r="H9" s="33">
        <v>1614.534214706385</v>
      </c>
      <c r="I9" s="23">
        <v>59.662427706117398</v>
      </c>
      <c r="J9" s="5">
        <v>6982.8005067144841</v>
      </c>
      <c r="K9" s="31"/>
      <c r="L9" s="23">
        <v>1848066.923800257</v>
      </c>
      <c r="M9" s="33">
        <v>385.97222222222223</v>
      </c>
      <c r="N9" s="5">
        <v>16</v>
      </c>
      <c r="O9" s="5">
        <v>66.666666666666671</v>
      </c>
      <c r="P9" s="33">
        <v>626.26948604033885</v>
      </c>
      <c r="Q9" s="5">
        <v>24.70346626600708</v>
      </c>
      <c r="R9" s="5">
        <v>5377.2428516546443</v>
      </c>
      <c r="S9" s="31"/>
      <c r="T9" s="23">
        <v>1988941.641800706</v>
      </c>
      <c r="U9" s="33">
        <v>90.541777777770108</v>
      </c>
      <c r="V9" s="5">
        <v>5</v>
      </c>
      <c r="W9" s="5">
        <v>51.333333333333343</v>
      </c>
      <c r="X9" s="33">
        <v>478.2075417872145</v>
      </c>
      <c r="Y9" s="5">
        <v>82.180426062851296</v>
      </c>
      <c r="Z9" s="5">
        <v>6113.7161522036949</v>
      </c>
      <c r="AA9" s="35"/>
    </row>
    <row r="10" spans="2:27" x14ac:dyDescent="0.2">
      <c r="B10" s="4">
        <v>7</v>
      </c>
      <c r="C10" s="4">
        <v>436</v>
      </c>
      <c r="D10" s="23">
        <v>1387564.9609891709</v>
      </c>
      <c r="E10" s="33">
        <v>274.808888888892</v>
      </c>
      <c r="F10" s="5">
        <v>9</v>
      </c>
      <c r="G10" s="23">
        <v>89.333333333333329</v>
      </c>
      <c r="H10" s="33">
        <v>1038.2774697686084</v>
      </c>
      <c r="I10" s="23">
        <v>62.530372313935949</v>
      </c>
      <c r="J10" s="5">
        <v>6476.2147761695041</v>
      </c>
      <c r="K10" s="31"/>
      <c r="L10" s="23">
        <v>1827049.2040987769</v>
      </c>
      <c r="M10" s="33">
        <v>321.28466666665759</v>
      </c>
      <c r="N10" s="5">
        <v>17</v>
      </c>
      <c r="O10" s="5">
        <v>70.666666666666671</v>
      </c>
      <c r="P10" s="33">
        <v>915.66814339934569</v>
      </c>
      <c r="Q10" s="5">
        <v>25.121145627779811</v>
      </c>
      <c r="R10" s="5">
        <v>5730.7585409806325</v>
      </c>
      <c r="S10" s="31"/>
      <c r="T10" s="23">
        <v>1972478.0292522791</v>
      </c>
      <c r="U10" s="33">
        <v>123.13177777777634</v>
      </c>
      <c r="V10" s="5">
        <v>11</v>
      </c>
      <c r="W10" s="5">
        <v>68</v>
      </c>
      <c r="X10" s="33">
        <v>1912.5415215575879</v>
      </c>
      <c r="Y10" s="5">
        <v>63.11990920424585</v>
      </c>
      <c r="Z10" s="5">
        <v>7522.3971299603036</v>
      </c>
      <c r="AA10" s="35"/>
    </row>
    <row r="11" spans="2:27" x14ac:dyDescent="0.2">
      <c r="B11" s="4">
        <v>8</v>
      </c>
      <c r="C11" s="4">
        <v>688</v>
      </c>
      <c r="D11" s="23">
        <v>1451469.044008947</v>
      </c>
      <c r="E11" s="33">
        <v>161.01377777778544</v>
      </c>
      <c r="F11" s="5">
        <v>10</v>
      </c>
      <c r="G11" s="23">
        <v>90</v>
      </c>
      <c r="H11" s="33">
        <v>1389.1354631787169</v>
      </c>
      <c r="I11" s="23">
        <v>57.798323338950254</v>
      </c>
      <c r="J11" s="5">
        <v>6678.0170509069385</v>
      </c>
      <c r="K11" s="31"/>
      <c r="L11" s="23">
        <v>1921161.3854854091</v>
      </c>
      <c r="M11" s="33">
        <v>144.21866666667887</v>
      </c>
      <c r="N11" s="5">
        <v>16</v>
      </c>
      <c r="O11" s="5">
        <v>66.666666666666671</v>
      </c>
      <c r="P11" s="33">
        <v>1107.5668232221108</v>
      </c>
      <c r="Q11" s="5">
        <v>25.163433272495741</v>
      </c>
      <c r="R11" s="5">
        <v>5884.6793791241898</v>
      </c>
      <c r="S11" s="31"/>
      <c r="T11" s="23">
        <v>2030365.359817765</v>
      </c>
      <c r="U11" s="33">
        <v>193.62488888889655</v>
      </c>
      <c r="V11" s="5">
        <v>8</v>
      </c>
      <c r="W11" s="5">
        <v>56.666666666666657</v>
      </c>
      <c r="X11" s="33">
        <v>1216.4786995276024</v>
      </c>
      <c r="Y11" s="5">
        <v>65.395591150274896</v>
      </c>
      <c r="Z11" s="5">
        <v>6922.588151514562</v>
      </c>
      <c r="AA11" s="35"/>
    </row>
    <row r="12" spans="2:27" x14ac:dyDescent="0.2">
      <c r="B12" s="4">
        <v>9</v>
      </c>
      <c r="C12" s="4">
        <v>956</v>
      </c>
      <c r="D12" s="23">
        <v>1357489.6265688059</v>
      </c>
      <c r="E12" s="33">
        <v>161.48266666667121</v>
      </c>
      <c r="F12" s="5">
        <v>11</v>
      </c>
      <c r="G12" s="23">
        <v>94</v>
      </c>
      <c r="H12" s="33">
        <v>1184.349445050196</v>
      </c>
      <c r="I12" s="23">
        <v>55.282019041975445</v>
      </c>
      <c r="J12" s="5">
        <v>6562.9078820738969</v>
      </c>
      <c r="K12" s="31"/>
      <c r="L12" s="23">
        <v>1915039.661450526</v>
      </c>
      <c r="M12" s="33">
        <v>276.8679999999909</v>
      </c>
      <c r="N12" s="5">
        <v>15</v>
      </c>
      <c r="O12" s="5">
        <v>66</v>
      </c>
      <c r="P12" s="33">
        <v>1051.4007880024221</v>
      </c>
      <c r="Q12" s="5">
        <v>26.881301393344117</v>
      </c>
      <c r="R12" s="5">
        <v>5854.6488402541008</v>
      </c>
      <c r="S12" s="31"/>
      <c r="T12" s="23">
        <v>2022562.960606501</v>
      </c>
      <c r="U12" s="33">
        <v>68.003333333336457</v>
      </c>
      <c r="V12" s="5">
        <v>7</v>
      </c>
      <c r="W12" s="5">
        <v>58.666666666666657</v>
      </c>
      <c r="X12" s="33">
        <v>1485.1406055680332</v>
      </c>
      <c r="Y12" s="5">
        <v>84.93165349175186</v>
      </c>
      <c r="Z12" s="5">
        <v>7294.3683195295916</v>
      </c>
      <c r="AA12" s="35"/>
    </row>
    <row r="13" spans="2:27" x14ac:dyDescent="0.2">
      <c r="B13" s="4">
        <v>10</v>
      </c>
      <c r="C13" s="4">
        <v>540</v>
      </c>
      <c r="D13" s="23">
        <v>1481587.7328345359</v>
      </c>
      <c r="E13" s="33">
        <v>80.059111111098915</v>
      </c>
      <c r="F13" s="5">
        <v>9</v>
      </c>
      <c r="G13" s="23">
        <v>88.666666666666671</v>
      </c>
      <c r="H13" s="33">
        <v>1351.3234867105232</v>
      </c>
      <c r="I13" s="23">
        <v>61.777209864118909</v>
      </c>
      <c r="J13" s="5">
        <v>6774.9571409545542</v>
      </c>
      <c r="K13" s="31"/>
      <c r="L13" s="23">
        <v>1870190.924066239</v>
      </c>
      <c r="M13" s="33">
        <v>508.66311111109758</v>
      </c>
      <c r="N13" s="5">
        <v>15</v>
      </c>
      <c r="O13" s="5">
        <v>66</v>
      </c>
      <c r="P13" s="33">
        <v>864.99627572428051</v>
      </c>
      <c r="Q13" s="5">
        <v>26.075456085373762</v>
      </c>
      <c r="R13" s="5">
        <v>5545.2254080423963</v>
      </c>
      <c r="S13" s="31"/>
      <c r="T13" s="23">
        <v>1957795.8778828329</v>
      </c>
      <c r="U13" s="33">
        <v>232.53822222222666</v>
      </c>
      <c r="V13" s="5">
        <v>8</v>
      </c>
      <c r="W13" s="5">
        <v>64</v>
      </c>
      <c r="X13" s="33">
        <v>1647.1815154860958</v>
      </c>
      <c r="Y13" s="5">
        <v>76.570565358249226</v>
      </c>
      <c r="Z13" s="5">
        <v>7306.564975057885</v>
      </c>
      <c r="AA13" s="35"/>
    </row>
    <row r="14" spans="2:27" x14ac:dyDescent="0.2">
      <c r="B14" s="46" t="s">
        <v>3</v>
      </c>
      <c r="C14" s="47"/>
      <c r="D14" s="9">
        <f>MIN(D4:D13)</f>
        <v>1349995.7966444411</v>
      </c>
      <c r="E14" s="22">
        <f>INDEX(E4:E13, MATCH($D$14, D4:D13, 0))</f>
        <v>166.77777777777777</v>
      </c>
      <c r="F14" s="9">
        <f>INDEX(F4:F13, MATCH($D$14, D4:D13, 0))</f>
        <v>10</v>
      </c>
      <c r="G14" s="9">
        <f>INDEX(G4:G13, MATCH($D$14, D4:D13, 0))</f>
        <v>90.666666666666671</v>
      </c>
      <c r="H14" s="22">
        <f>INDEX(H4:H13, MATCH($D$14, D4:D13, 0))</f>
        <v>1105.3441752422204</v>
      </c>
      <c r="I14" s="22">
        <f>INDEX(I4:I13, MATCH($D$14, D4:D13, 0))</f>
        <v>57.675364513496319</v>
      </c>
      <c r="J14" s="22">
        <f>INDEX(J4:J13, MATCH($D$14, D4:D13, 0))</f>
        <v>6219.648598300063</v>
      </c>
      <c r="K14" s="32">
        <f>(D14-$D$15)/$D$15</f>
        <v>2.0538014884109584E-2</v>
      </c>
      <c r="L14" s="16">
        <f>MIN(L4:L13)</f>
        <v>1827049.2040987769</v>
      </c>
      <c r="M14" s="21">
        <f>INDEX(M4:M13, MATCH($L$14, L4:L13, 0))</f>
        <v>321.28466666665759</v>
      </c>
      <c r="N14" s="16">
        <f>INDEX(N4:N13, MATCH($L$14, L4:L13, 0))</f>
        <v>17</v>
      </c>
      <c r="O14" s="16">
        <f>INDEX(O4:O13, MATCH($L$14, L4:L13, 0))</f>
        <v>70.666666666666671</v>
      </c>
      <c r="P14" s="21">
        <f>INDEX(P4:P13, MATCH($L$14, L4:L13, 0))</f>
        <v>915.66814339934569</v>
      </c>
      <c r="Q14" s="21">
        <f>INDEX(Q4:Q13, MATCH($L$14, L4:L13, 0))</f>
        <v>25.121145627779811</v>
      </c>
      <c r="R14" s="21">
        <f>INDEX(R4:R13, MATCH($L$14, L4:L13, 0))</f>
        <v>5730.7585409806325</v>
      </c>
      <c r="S14" s="36">
        <f>(L14-$D$15)/$D$15</f>
        <v>0.38116960992112286</v>
      </c>
      <c r="T14" s="38">
        <f>MIN(T4:T13)</f>
        <v>1821179.1971689281</v>
      </c>
      <c r="U14" s="39">
        <f>INDEX(U4:U13, MATCH($T$14, T4:T13, 0))</f>
        <v>175.61466666665444</v>
      </c>
      <c r="V14" s="38">
        <f>INDEX(V4:V13, MATCH($T$14, T4:T13, 0))</f>
        <v>8</v>
      </c>
      <c r="W14" s="38">
        <f>INDEX(W4:W13, MATCH($T$14, T4:T13, 0))</f>
        <v>66.666666666666671</v>
      </c>
      <c r="X14" s="39">
        <f>INDEX(X4:X13, MATCH($T$14, T4:T13, 0))</f>
        <v>1173.9525163718631</v>
      </c>
      <c r="Y14" s="39">
        <f>INDEX(Y4:Y13, MATCH($T$14, T4:T13, 0))</f>
        <v>76.457440447129215</v>
      </c>
      <c r="Z14" s="39">
        <f>INDEX(Z4:Z13, MATCH($T$14, T4:T13, 0))</f>
        <v>6719.8215323665727</v>
      </c>
      <c r="AA14" s="40">
        <f>(T14-$D$15)/$D$15</f>
        <v>0.37673214038645164</v>
      </c>
    </row>
    <row r="15" spans="2:27" x14ac:dyDescent="0.2">
      <c r="C15" s="1" t="s">
        <v>17</v>
      </c>
      <c r="D15" s="34">
        <v>1322827.544839419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97" priority="9"/>
    <cfRule type="duplicateValues" dxfId="96" priority="10"/>
  </conditionalFormatting>
  <conditionalFormatting sqref="C14">
    <cfRule type="duplicateValues" dxfId="95" priority="5"/>
    <cfRule type="duplicateValues" dxfId="94" priority="6"/>
  </conditionalFormatting>
  <conditionalFormatting sqref="C36:C39">
    <cfRule type="duplicateValues" dxfId="93" priority="3"/>
    <cfRule type="duplicateValues" dxfId="92" priority="4"/>
  </conditionalFormatting>
  <conditionalFormatting sqref="C17:C35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B4D8-216F-4151-93D9-988FB41023D8}">
  <dimension ref="B1:AA17"/>
  <sheetViews>
    <sheetView topLeftCell="A2"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-0.98609078635827829</v>
      </c>
      <c r="J2" s="28">
        <f>(S14-J14)/J14</f>
        <v>-0.99995523955303589</v>
      </c>
      <c r="K2" s="28"/>
      <c r="L2" s="1" t="s">
        <v>19</v>
      </c>
      <c r="P2" s="1">
        <f>(P14-H14)/H14</f>
        <v>-0.30375959897590521</v>
      </c>
      <c r="R2" s="1">
        <f>(R14-J14)/J14</f>
        <v>-0.16339206546317264</v>
      </c>
      <c r="T2" s="1" t="s">
        <v>20</v>
      </c>
      <c r="X2" s="1">
        <f>(X14-P14)/P14</f>
        <v>0.5885124334463917</v>
      </c>
      <c r="Z2" s="1">
        <f>(Z14-R14)/R14</f>
        <v>0.21650441644572563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334</v>
      </c>
      <c r="D4" s="23">
        <v>1589461.663295947</v>
      </c>
      <c r="E4" s="33">
        <v>172.37155555556012</v>
      </c>
      <c r="F4" s="5">
        <v>8</v>
      </c>
      <c r="G4" s="23">
        <v>79.333333333333329</v>
      </c>
      <c r="H4" s="33">
        <v>947.08985802200959</v>
      </c>
      <c r="I4" s="23">
        <v>41.451231633502431</v>
      </c>
      <c r="J4" s="5">
        <v>6381.1721245633398</v>
      </c>
      <c r="K4" s="31"/>
      <c r="L4" s="23">
        <v>2028211.427808274</v>
      </c>
      <c r="M4" s="33">
        <v>210.64577777779454</v>
      </c>
      <c r="N4" s="5">
        <v>15</v>
      </c>
      <c r="O4" s="5">
        <v>62.666666666666657</v>
      </c>
      <c r="P4" s="33">
        <v>1130.852229799531</v>
      </c>
      <c r="Q4" s="5">
        <v>16.799880586482789</v>
      </c>
      <c r="R4" s="5">
        <v>5888.5201881591274</v>
      </c>
      <c r="S4" s="31"/>
      <c r="T4" s="23">
        <v>2242866.5971753472</v>
      </c>
      <c r="U4" s="33">
        <v>80.27422222220855</v>
      </c>
      <c r="V4" s="5">
        <v>6</v>
      </c>
      <c r="W4" s="5">
        <v>50.666666666666657</v>
      </c>
      <c r="X4" s="33">
        <v>1948.1079705299569</v>
      </c>
      <c r="Y4" s="5">
        <v>58.608014297706205</v>
      </c>
      <c r="Z4" s="5">
        <v>7508.7167381721574</v>
      </c>
      <c r="AA4" s="35"/>
    </row>
    <row r="5" spans="2:27" x14ac:dyDescent="0.2">
      <c r="B5" s="4">
        <v>2</v>
      </c>
      <c r="C5" s="4">
        <v>46</v>
      </c>
      <c r="D5" s="23">
        <v>1547211.165687891</v>
      </c>
      <c r="E5" s="33">
        <v>177.43422222222821</v>
      </c>
      <c r="F5" s="5">
        <v>10</v>
      </c>
      <c r="G5" s="23">
        <v>87.333333333333329</v>
      </c>
      <c r="H5" s="33">
        <v>1301.7338247518812</v>
      </c>
      <c r="I5" s="23">
        <v>37.771116027375243</v>
      </c>
      <c r="J5" s="5">
        <v>6734.042747791972</v>
      </c>
      <c r="K5" s="31"/>
      <c r="L5" s="23">
        <v>1980317.3565498949</v>
      </c>
      <c r="M5" s="33">
        <v>178.41333333333023</v>
      </c>
      <c r="N5" s="5">
        <v>15</v>
      </c>
      <c r="O5" s="5">
        <v>64.666666666666671</v>
      </c>
      <c r="P5" s="33">
        <v>1026.4141087291466</v>
      </c>
      <c r="Q5" s="5">
        <v>17.375245872814858</v>
      </c>
      <c r="R5" s="5">
        <v>5867.6878590258784</v>
      </c>
      <c r="S5" s="31"/>
      <c r="T5" s="23">
        <v>2061252.8603524701</v>
      </c>
      <c r="U5" s="33">
        <v>83.8820000000091</v>
      </c>
      <c r="V5" s="5">
        <v>5</v>
      </c>
      <c r="W5" s="5">
        <v>52.666666666666657</v>
      </c>
      <c r="X5" s="33">
        <v>910.57803000574472</v>
      </c>
      <c r="Y5" s="5">
        <v>57.749653254139318</v>
      </c>
      <c r="Z5" s="5">
        <v>6539.7239122151641</v>
      </c>
      <c r="AA5" s="35"/>
    </row>
    <row r="6" spans="2:27" x14ac:dyDescent="0.2">
      <c r="B6" s="4">
        <v>3</v>
      </c>
      <c r="C6" s="4">
        <v>10</v>
      </c>
      <c r="D6" s="23">
        <v>1685878.191780736</v>
      </c>
      <c r="E6" s="33">
        <v>82.958444444436779</v>
      </c>
      <c r="F6" s="5">
        <v>8</v>
      </c>
      <c r="G6" s="23">
        <v>80.666666666666671</v>
      </c>
      <c r="H6" s="33">
        <v>1532.5820462791598</v>
      </c>
      <c r="I6" s="23">
        <v>42.335016836276033</v>
      </c>
      <c r="J6" s="5">
        <v>6927.0433888526486</v>
      </c>
      <c r="K6" s="31"/>
      <c r="L6" s="23">
        <v>1971790.9910054649</v>
      </c>
      <c r="M6" s="33">
        <v>276.11111111111109</v>
      </c>
      <c r="N6" s="5">
        <v>13</v>
      </c>
      <c r="O6" s="5">
        <v>62</v>
      </c>
      <c r="P6" s="33">
        <v>937.87900839059068</v>
      </c>
      <c r="Q6" s="5">
        <v>18.73657357229299</v>
      </c>
      <c r="R6" s="5">
        <v>5697.6154536074282</v>
      </c>
      <c r="S6" s="31"/>
      <c r="T6" s="23">
        <v>2061107.3052271961</v>
      </c>
      <c r="U6" s="33">
        <v>107.35755555556776</v>
      </c>
      <c r="V6" s="5">
        <v>5</v>
      </c>
      <c r="W6" s="5">
        <v>52.666666666666657</v>
      </c>
      <c r="X6" s="33">
        <v>892.42235490963867</v>
      </c>
      <c r="Y6" s="5">
        <v>57.693408470083419</v>
      </c>
      <c r="Z6" s="5">
        <v>6543.2986915750807</v>
      </c>
      <c r="AA6" s="35"/>
    </row>
    <row r="7" spans="2:27" x14ac:dyDescent="0.2">
      <c r="B7" s="4">
        <v>4</v>
      </c>
      <c r="C7" s="4">
        <v>371</v>
      </c>
      <c r="D7" s="23">
        <v>1577380.019856025</v>
      </c>
      <c r="E7" s="33">
        <v>198.04155555556321</v>
      </c>
      <c r="F7" s="5">
        <v>10</v>
      </c>
      <c r="G7" s="23">
        <v>88</v>
      </c>
      <c r="H7" s="33">
        <v>1506.9694083002432</v>
      </c>
      <c r="I7" s="23">
        <v>37.720018359571938</v>
      </c>
      <c r="J7" s="5">
        <v>6842.9793400980079</v>
      </c>
      <c r="K7" s="31"/>
      <c r="L7" s="23">
        <v>2082447.210839937</v>
      </c>
      <c r="M7" s="33">
        <v>191.61111111111111</v>
      </c>
      <c r="N7" s="5">
        <v>16</v>
      </c>
      <c r="O7" s="5">
        <v>60.666666666666657</v>
      </c>
      <c r="P7" s="33">
        <v>1005.9545899952628</v>
      </c>
      <c r="Q7" s="5">
        <v>15.683962320106362</v>
      </c>
      <c r="R7" s="5">
        <v>5873.7855109282164</v>
      </c>
      <c r="S7" s="31"/>
      <c r="T7" s="23">
        <v>2059807.108795719</v>
      </c>
      <c r="U7" s="33">
        <v>185.73622222221456</v>
      </c>
      <c r="V7" s="5">
        <v>5</v>
      </c>
      <c r="W7" s="5">
        <v>52</v>
      </c>
      <c r="X7" s="33">
        <v>842.3312248877113</v>
      </c>
      <c r="Y7" s="5">
        <v>56.81592093536409</v>
      </c>
      <c r="Z7" s="5">
        <v>6443.5864398665326</v>
      </c>
      <c r="AA7" s="35"/>
    </row>
    <row r="8" spans="2:27" x14ac:dyDescent="0.2">
      <c r="B8" s="4">
        <v>5</v>
      </c>
      <c r="C8" s="4">
        <v>271</v>
      </c>
      <c r="D8" s="23">
        <v>1538003.243070334</v>
      </c>
      <c r="E8" s="33">
        <v>98.732666666671221</v>
      </c>
      <c r="F8" s="5">
        <v>10</v>
      </c>
      <c r="G8" s="23">
        <v>88.666666666666671</v>
      </c>
      <c r="H8" s="33">
        <v>1345.1823588762807</v>
      </c>
      <c r="I8" s="23">
        <v>38.256580646667182</v>
      </c>
      <c r="J8" s="5">
        <v>6769.8897910479136</v>
      </c>
      <c r="K8" s="31"/>
      <c r="L8" s="23">
        <v>1998064.2355772641</v>
      </c>
      <c r="M8" s="33">
        <v>343.96200000000601</v>
      </c>
      <c r="N8" s="5">
        <v>13</v>
      </c>
      <c r="O8" s="5">
        <v>60.666666666666657</v>
      </c>
      <c r="P8" s="33">
        <v>1037.9830806738114</v>
      </c>
      <c r="Q8" s="5">
        <v>18.617985206733156</v>
      </c>
      <c r="R8" s="5">
        <v>5644.819815134234</v>
      </c>
      <c r="S8" s="31"/>
      <c r="T8" s="23">
        <v>1973308.4558667289</v>
      </c>
      <c r="U8" s="33">
        <v>138.75355555554336</v>
      </c>
      <c r="V8" s="5">
        <v>9</v>
      </c>
      <c r="W8" s="5">
        <v>64</v>
      </c>
      <c r="X8" s="33">
        <v>1489.8324658968261</v>
      </c>
      <c r="Y8" s="5">
        <v>44.884847397210642</v>
      </c>
      <c r="Z8" s="5">
        <v>6931.1743625228528</v>
      </c>
      <c r="AA8" s="35"/>
    </row>
    <row r="9" spans="2:27" x14ac:dyDescent="0.2">
      <c r="B9" s="4">
        <v>6</v>
      </c>
      <c r="C9" s="4">
        <v>50</v>
      </c>
      <c r="D9" s="23">
        <v>1633341.9411349171</v>
      </c>
      <c r="E9" s="33">
        <v>85.788222222226779</v>
      </c>
      <c r="F9" s="5">
        <v>9</v>
      </c>
      <c r="G9" s="23">
        <v>84</v>
      </c>
      <c r="H9" s="33">
        <v>1472.6965121478295</v>
      </c>
      <c r="I9" s="23">
        <v>39.606278938345675</v>
      </c>
      <c r="J9" s="5">
        <v>6917.6671323008113</v>
      </c>
      <c r="K9" s="31"/>
      <c r="L9" s="23">
        <v>2163549.0327129341</v>
      </c>
      <c r="M9" s="33">
        <v>234.34044444444601</v>
      </c>
      <c r="N9" s="5">
        <v>12</v>
      </c>
      <c r="O9" s="5">
        <v>50</v>
      </c>
      <c r="P9" s="33">
        <v>694.32401226863033</v>
      </c>
      <c r="Q9" s="5">
        <v>16.04159753072037</v>
      </c>
      <c r="R9" s="5">
        <v>5370.4592194899105</v>
      </c>
      <c r="S9" s="31"/>
      <c r="T9" s="23">
        <v>2058408.4961160161</v>
      </c>
      <c r="U9" s="33">
        <v>156.92711111111566</v>
      </c>
      <c r="V9" s="5">
        <v>5</v>
      </c>
      <c r="W9" s="5">
        <v>52</v>
      </c>
      <c r="X9" s="33">
        <v>812.41559301979191</v>
      </c>
      <c r="Y9" s="5">
        <v>56.254615573151398</v>
      </c>
      <c r="Z9" s="5">
        <v>6399.6641505492998</v>
      </c>
      <c r="AA9" s="35"/>
    </row>
    <row r="10" spans="2:27" x14ac:dyDescent="0.2">
      <c r="B10" s="4">
        <v>7</v>
      </c>
      <c r="C10" s="4">
        <v>417</v>
      </c>
      <c r="D10" s="23">
        <v>1532913.441949663</v>
      </c>
      <c r="E10" s="33">
        <v>166.67022222223588</v>
      </c>
      <c r="F10" s="5">
        <v>10</v>
      </c>
      <c r="G10" s="23">
        <v>89.333333333333329</v>
      </c>
      <c r="H10" s="33">
        <v>1347.0620306018891</v>
      </c>
      <c r="I10" s="23">
        <v>38.218232510448736</v>
      </c>
      <c r="J10" s="5">
        <v>6810.377021778796</v>
      </c>
      <c r="K10" s="31"/>
      <c r="L10" s="23">
        <v>2115513.573918696</v>
      </c>
      <c r="M10" s="33">
        <v>249.18755555553889</v>
      </c>
      <c r="N10" s="5">
        <v>13</v>
      </c>
      <c r="O10" s="5">
        <v>54.666666666666657</v>
      </c>
      <c r="P10" s="33">
        <v>933.72964851352322</v>
      </c>
      <c r="Q10" s="5">
        <v>17.473150367928231</v>
      </c>
      <c r="R10" s="5">
        <v>5527.4961305084125</v>
      </c>
      <c r="S10" s="31"/>
      <c r="T10" s="23">
        <v>2025043.3917779571</v>
      </c>
      <c r="U10" s="33">
        <v>257.09711111111869</v>
      </c>
      <c r="V10" s="5">
        <v>6</v>
      </c>
      <c r="W10" s="5">
        <v>56</v>
      </c>
      <c r="X10" s="33">
        <v>1086.787654176253</v>
      </c>
      <c r="Y10" s="5">
        <v>54.131963479271128</v>
      </c>
      <c r="Z10" s="5">
        <v>6643.4144622501935</v>
      </c>
      <c r="AA10" s="35"/>
    </row>
    <row r="11" spans="2:27" x14ac:dyDescent="0.2">
      <c r="B11" s="4">
        <v>8</v>
      </c>
      <c r="C11" s="4">
        <v>743</v>
      </c>
      <c r="D11" s="23">
        <v>1585892.5395597951</v>
      </c>
      <c r="E11" s="33">
        <v>118.82977777778999</v>
      </c>
      <c r="F11" s="5">
        <v>8</v>
      </c>
      <c r="G11" s="23">
        <v>84.666666666666671</v>
      </c>
      <c r="H11" s="33">
        <v>1357.915084951841</v>
      </c>
      <c r="I11" s="23">
        <v>44.482635435291655</v>
      </c>
      <c r="J11" s="5">
        <v>6825.1729789341371</v>
      </c>
      <c r="K11" s="31"/>
      <c r="L11" s="23">
        <v>2086564.546727848</v>
      </c>
      <c r="M11" s="33">
        <v>167.12511111112931</v>
      </c>
      <c r="N11" s="5">
        <v>18</v>
      </c>
      <c r="O11" s="5">
        <v>58</v>
      </c>
      <c r="P11" s="33">
        <v>697.17089752487811</v>
      </c>
      <c r="Q11" s="5">
        <v>11.942646605855169</v>
      </c>
      <c r="R11" s="5">
        <v>5160.3260200132636</v>
      </c>
      <c r="S11" s="31"/>
      <c r="T11" s="23">
        <v>2149123.1946434649</v>
      </c>
      <c r="U11" s="33">
        <v>104.85066666666211</v>
      </c>
      <c r="V11" s="5">
        <v>10</v>
      </c>
      <c r="W11" s="5">
        <v>62</v>
      </c>
      <c r="X11" s="33">
        <v>2278.2117718584013</v>
      </c>
      <c r="Y11" s="5">
        <v>43.201378341646972</v>
      </c>
      <c r="Z11" s="5">
        <v>7756.6733280269664</v>
      </c>
      <c r="AA11" s="35"/>
    </row>
    <row r="12" spans="2:27" x14ac:dyDescent="0.2">
      <c r="B12" s="4">
        <v>9</v>
      </c>
      <c r="C12" s="4">
        <v>511</v>
      </c>
      <c r="D12" s="23">
        <v>2155971.3645399641</v>
      </c>
      <c r="E12" s="33">
        <v>190.14933333333789</v>
      </c>
      <c r="F12" s="5">
        <v>14</v>
      </c>
      <c r="G12" s="23">
        <v>89.333333333333329</v>
      </c>
      <c r="H12" s="33">
        <v>3631.3454359958569</v>
      </c>
      <c r="I12" s="23">
        <v>29.587896544323286</v>
      </c>
      <c r="J12" s="5">
        <v>9079.677099762097</v>
      </c>
      <c r="K12" s="31"/>
      <c r="L12" s="23">
        <v>2340785.3835275448</v>
      </c>
      <c r="M12" s="33">
        <v>156.26044444444901</v>
      </c>
      <c r="N12" s="5">
        <v>10</v>
      </c>
      <c r="O12" s="5">
        <v>40.666666666666657</v>
      </c>
      <c r="P12" s="33">
        <v>768.11085393515054</v>
      </c>
      <c r="Q12" s="5">
        <v>14.480326824009799</v>
      </c>
      <c r="R12" s="5">
        <v>5650.5598127195599</v>
      </c>
      <c r="S12" s="31"/>
      <c r="T12" s="23">
        <v>2141737.261944674</v>
      </c>
      <c r="U12" s="33">
        <v>136.53822222222678</v>
      </c>
      <c r="V12" s="5">
        <v>5</v>
      </c>
      <c r="W12" s="5">
        <v>48.666666666666657</v>
      </c>
      <c r="X12" s="33">
        <v>980.82917330413045</v>
      </c>
      <c r="Y12" s="5">
        <v>60.945240229833736</v>
      </c>
      <c r="Z12" s="5">
        <v>6594.7373619631735</v>
      </c>
      <c r="AA12" s="35"/>
    </row>
    <row r="13" spans="2:27" x14ac:dyDescent="0.2">
      <c r="B13" s="4">
        <v>10</v>
      </c>
      <c r="C13" s="4">
        <v>261</v>
      </c>
      <c r="D13" s="23">
        <v>1729374.127813912</v>
      </c>
      <c r="E13" s="33">
        <v>76.954888888893436</v>
      </c>
      <c r="F13" s="5">
        <v>9</v>
      </c>
      <c r="G13" s="23">
        <v>78</v>
      </c>
      <c r="H13" s="33">
        <v>1418.2142325128655</v>
      </c>
      <c r="I13" s="23">
        <v>36.330267993449809</v>
      </c>
      <c r="J13" s="5">
        <v>6813.3285693774224</v>
      </c>
      <c r="K13" s="31"/>
      <c r="L13" s="23">
        <v>2049672.073442735</v>
      </c>
      <c r="M13" s="33">
        <v>197.29511111110656</v>
      </c>
      <c r="N13" s="5">
        <v>18</v>
      </c>
      <c r="O13" s="5">
        <v>68.666666666666671</v>
      </c>
      <c r="P13" s="33">
        <v>1491.1252777793663</v>
      </c>
      <c r="Q13" s="5">
        <v>15.212443646062674</v>
      </c>
      <c r="R13" s="5">
        <v>6337.4624554852435</v>
      </c>
      <c r="S13" s="31"/>
      <c r="T13" s="23">
        <v>2077793.867508719</v>
      </c>
      <c r="U13" s="33">
        <v>314.45133333335002</v>
      </c>
      <c r="V13" s="5">
        <v>5</v>
      </c>
      <c r="W13" s="5">
        <v>51.333333333333343</v>
      </c>
      <c r="X13" s="33">
        <v>885.14881334594884</v>
      </c>
      <c r="Y13" s="5">
        <v>56.492426077978543</v>
      </c>
      <c r="Z13" s="5">
        <v>6465.6679581231165</v>
      </c>
      <c r="AA13" s="35"/>
    </row>
    <row r="14" spans="2:27" x14ac:dyDescent="0.2">
      <c r="B14" s="46" t="s">
        <v>3</v>
      </c>
      <c r="C14" s="47"/>
      <c r="D14" s="9">
        <f>MIN(D4:D13)</f>
        <v>1532913.441949663</v>
      </c>
      <c r="E14" s="22">
        <f>INDEX(E4:E13, MATCH($D$14, D4:D13, 0))</f>
        <v>166.67022222223588</v>
      </c>
      <c r="F14" s="9">
        <f>INDEX(F4:F13, MATCH($D$14, D4:D13, 0))</f>
        <v>10</v>
      </c>
      <c r="G14" s="9">
        <f>INDEX(G4:G13, MATCH($D$14, D4:D13, 0))</f>
        <v>89.333333333333329</v>
      </c>
      <c r="H14" s="22">
        <f>INDEX(H4:H13, MATCH($D$14, D4:D13, 0))</f>
        <v>1347.0620306018891</v>
      </c>
      <c r="I14" s="22">
        <f>INDEX(I4:I13, MATCH($D$14, D4:D13, 0))</f>
        <v>38.218232510448736</v>
      </c>
      <c r="J14" s="22">
        <f>INDEX(J4:J13, MATCH($D$14, D4:D13, 0))</f>
        <v>6810.377021778796</v>
      </c>
      <c r="K14" s="32">
        <f>(D14-$D$15)/$D$15</f>
        <v>1.4407671239538906E-2</v>
      </c>
      <c r="L14" s="16">
        <f>MIN(L4:L13)</f>
        <v>1971790.9910054649</v>
      </c>
      <c r="M14" s="21">
        <f>INDEX(M4:M13, MATCH($L$14, L4:L13, 0))</f>
        <v>276.11111111111109</v>
      </c>
      <c r="N14" s="16">
        <f>INDEX(N4:N13, MATCH($L$14, L4:L13, 0))</f>
        <v>13</v>
      </c>
      <c r="O14" s="16">
        <f>INDEX(O4:O13, MATCH($L$14, L4:L13, 0))</f>
        <v>62</v>
      </c>
      <c r="P14" s="21">
        <f>INDEX(P4:P13, MATCH($L$14, L4:L13, 0))</f>
        <v>937.87900839059068</v>
      </c>
      <c r="Q14" s="21">
        <f>INDEX(Q4:Q13, MATCH($L$14, L4:L13, 0))</f>
        <v>18.73657357229299</v>
      </c>
      <c r="R14" s="21">
        <f>INDEX(R4:R13, MATCH($L$14, L4:L13, 0))</f>
        <v>5697.6154536074282</v>
      </c>
      <c r="S14" s="36">
        <f>(L14-$D$15)/$D$15</f>
        <v>0.3048355194882803</v>
      </c>
      <c r="T14" s="38">
        <f>MIN(T4:T13)</f>
        <v>1973308.4558667289</v>
      </c>
      <c r="U14" s="39">
        <f>INDEX(U4:U13, MATCH($T$14, T4:T13, 0))</f>
        <v>138.75355555554336</v>
      </c>
      <c r="V14" s="38">
        <f>INDEX(V4:V13, MATCH($T$14, T4:T13, 0))</f>
        <v>9</v>
      </c>
      <c r="W14" s="38">
        <f>INDEX(W4:W13, MATCH($T$14, T4:T13, 0))</f>
        <v>64</v>
      </c>
      <c r="X14" s="39">
        <f>INDEX(X4:X13, MATCH($T$14, T4:T13, 0))</f>
        <v>1489.8324658968261</v>
      </c>
      <c r="Y14" s="39">
        <f>INDEX(Y4:Y13, MATCH($T$14, T4:T13, 0))</f>
        <v>44.884847397210642</v>
      </c>
      <c r="Z14" s="39">
        <f>INDEX(Z4:Z13, MATCH($T$14, T4:T13, 0))</f>
        <v>6931.1743625228528</v>
      </c>
      <c r="AA14" s="40">
        <f>(T14-$D$15)/$D$15</f>
        <v>0.30583970403906929</v>
      </c>
    </row>
    <row r="15" spans="2:27" x14ac:dyDescent="0.2">
      <c r="C15" s="1" t="s">
        <v>17</v>
      </c>
      <c r="D15" s="34">
        <v>1511141.413270805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91" priority="9"/>
    <cfRule type="duplicateValues" dxfId="90" priority="10"/>
  </conditionalFormatting>
  <conditionalFormatting sqref="C14">
    <cfRule type="duplicateValues" dxfId="89" priority="5"/>
    <cfRule type="duplicateValues" dxfId="88" priority="6"/>
  </conditionalFormatting>
  <conditionalFormatting sqref="C36:C39">
    <cfRule type="duplicateValues" dxfId="87" priority="3"/>
    <cfRule type="duplicateValues" dxfId="86" priority="4"/>
  </conditionalFormatting>
  <conditionalFormatting sqref="C17:C35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A6BF-06C0-42E0-8355-662F9F25B721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-0.9840849385667636</v>
      </c>
      <c r="J2" s="28">
        <f>(S14-J14)/J14</f>
        <v>-0.99997385831882357</v>
      </c>
      <c r="K2" s="28"/>
      <c r="L2" s="1" t="s">
        <v>19</v>
      </c>
      <c r="P2" s="1">
        <f>(P14-H14)/H14</f>
        <v>-0.29523754758559728</v>
      </c>
      <c r="R2" s="1">
        <f>(R14-J14)/J14</f>
        <v>-0.14873777324418139</v>
      </c>
      <c r="T2" s="1" t="s">
        <v>20</v>
      </c>
      <c r="X2" s="1">
        <f>(X14-P14)/P14</f>
        <v>0.15709317828501171</v>
      </c>
      <c r="Z2" s="1">
        <f>(Z14-R14)/R14</f>
        <v>0.14748830359445433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576</v>
      </c>
      <c r="D4" s="23">
        <v>2013720.5268501269</v>
      </c>
      <c r="E4" s="33">
        <v>189.60755555554189</v>
      </c>
      <c r="F4" s="5">
        <v>5</v>
      </c>
      <c r="G4" s="23">
        <v>58</v>
      </c>
      <c r="H4" s="33">
        <v>1195.0465193566017</v>
      </c>
      <c r="I4" s="23">
        <v>59.900760781739564</v>
      </c>
      <c r="J4" s="5">
        <v>7011.6415660539387</v>
      </c>
      <c r="K4" s="31"/>
      <c r="L4" s="23">
        <v>2492005.7741930471</v>
      </c>
      <c r="M4" s="33">
        <v>101.74311111112021</v>
      </c>
      <c r="N4" s="5">
        <v>14</v>
      </c>
      <c r="O4" s="5">
        <v>40</v>
      </c>
      <c r="P4" s="33">
        <v>1317.515250294565</v>
      </c>
      <c r="Q4" s="5">
        <v>15.747922818944858</v>
      </c>
      <c r="R4" s="5">
        <v>6244.8854777942297</v>
      </c>
      <c r="S4" s="31"/>
      <c r="T4" s="23">
        <v>2482453.9271242572</v>
      </c>
      <c r="U4" s="33">
        <v>67.909777777786886</v>
      </c>
      <c r="V4" s="5">
        <v>6</v>
      </c>
      <c r="W4" s="5">
        <v>40.666666666666657</v>
      </c>
      <c r="X4" s="33">
        <v>2577.4660354969396</v>
      </c>
      <c r="Y4" s="5">
        <v>56.874749009780508</v>
      </c>
      <c r="Z4" s="5">
        <v>8521.5572602268967</v>
      </c>
      <c r="AA4" s="35"/>
    </row>
    <row r="5" spans="2:27" x14ac:dyDescent="0.2">
      <c r="B5" s="4">
        <v>2</v>
      </c>
      <c r="C5" s="4">
        <v>581</v>
      </c>
      <c r="D5" s="23">
        <v>1967680.447328798</v>
      </c>
      <c r="E5" s="33">
        <v>123.14933333333789</v>
      </c>
      <c r="F5" s="5">
        <v>5</v>
      </c>
      <c r="G5" s="23">
        <v>59.333333333333343</v>
      </c>
      <c r="H5" s="33">
        <v>1055.8611211378461</v>
      </c>
      <c r="I5" s="23">
        <v>57.18906897235852</v>
      </c>
      <c r="J5" s="5">
        <v>6840.8752899822803</v>
      </c>
      <c r="K5" s="31"/>
      <c r="L5" s="23">
        <v>2233934.1140540792</v>
      </c>
      <c r="M5" s="33">
        <v>229.77088888889799</v>
      </c>
      <c r="N5" s="5">
        <v>7</v>
      </c>
      <c r="O5" s="5">
        <v>39.333333333333343</v>
      </c>
      <c r="P5" s="33">
        <v>180.68386127850252</v>
      </c>
      <c r="Q5" s="5">
        <v>29.115398448224347</v>
      </c>
      <c r="R5" s="5">
        <v>5044.4956943862935</v>
      </c>
      <c r="S5" s="31"/>
      <c r="T5" s="23">
        <v>2311712.6486313092</v>
      </c>
      <c r="U5" s="33">
        <v>75.413111111123314</v>
      </c>
      <c r="V5" s="5">
        <v>5</v>
      </c>
      <c r="W5" s="5">
        <v>42.666666666666657</v>
      </c>
      <c r="X5" s="33">
        <v>1508.2503556997031</v>
      </c>
      <c r="Y5" s="5">
        <v>68.871063033886955</v>
      </c>
      <c r="Z5" s="5">
        <v>7236.2739395807139</v>
      </c>
      <c r="AA5" s="35"/>
    </row>
    <row r="6" spans="2:27" x14ac:dyDescent="0.2">
      <c r="B6" s="4">
        <v>3</v>
      </c>
      <c r="C6" s="4">
        <v>568</v>
      </c>
      <c r="D6" s="23">
        <v>1995743.158838175</v>
      </c>
      <c r="E6" s="33">
        <v>220.14244444445811</v>
      </c>
      <c r="F6" s="5">
        <v>9</v>
      </c>
      <c r="G6" s="23">
        <v>71.333333333333329</v>
      </c>
      <c r="H6" s="33">
        <v>2096.4662762423231</v>
      </c>
      <c r="I6" s="23">
        <v>42.049452513798684</v>
      </c>
      <c r="J6" s="5">
        <v>7747.5455878322473</v>
      </c>
      <c r="K6" s="31"/>
      <c r="L6" s="23">
        <v>2445926.728957104</v>
      </c>
      <c r="M6" s="33">
        <v>256.3679999999909</v>
      </c>
      <c r="N6" s="5">
        <v>13</v>
      </c>
      <c r="O6" s="5">
        <v>39.333333333333343</v>
      </c>
      <c r="P6" s="33">
        <v>969.83771649262678</v>
      </c>
      <c r="Q6" s="5">
        <v>15.556627798605573</v>
      </c>
      <c r="R6" s="5">
        <v>5896.7879367562755</v>
      </c>
      <c r="S6" s="31"/>
      <c r="T6" s="23">
        <v>2843600.5377028729</v>
      </c>
      <c r="U6" s="33">
        <v>97.138888888888886</v>
      </c>
      <c r="V6" s="5">
        <v>16</v>
      </c>
      <c r="W6" s="5">
        <v>41.333333333333343</v>
      </c>
      <c r="X6" s="33">
        <v>4405.3533443980377</v>
      </c>
      <c r="Y6" s="5">
        <v>27.486359818626109</v>
      </c>
      <c r="Z6" s="5">
        <v>9638.7915468588235</v>
      </c>
      <c r="AA6" s="35"/>
    </row>
    <row r="7" spans="2:27" x14ac:dyDescent="0.2">
      <c r="B7" s="4">
        <v>4</v>
      </c>
      <c r="C7" s="4">
        <v>589</v>
      </c>
      <c r="D7" s="23">
        <v>1924703.3880906031</v>
      </c>
      <c r="E7" s="33">
        <v>200.95466666666067</v>
      </c>
      <c r="F7" s="5">
        <v>5</v>
      </c>
      <c r="G7" s="23">
        <v>63.333333333333343</v>
      </c>
      <c r="H7" s="33">
        <v>1250.0473263380336</v>
      </c>
      <c r="I7" s="23">
        <v>61.605877922262053</v>
      </c>
      <c r="J7" s="5">
        <v>7067.4721794932593</v>
      </c>
      <c r="K7" s="31"/>
      <c r="L7" s="23">
        <v>2179726.4431178868</v>
      </c>
      <c r="M7" s="33">
        <v>318.46533333331666</v>
      </c>
      <c r="N7" s="5">
        <v>11</v>
      </c>
      <c r="O7" s="5">
        <v>49.333333333333343</v>
      </c>
      <c r="P7" s="33">
        <v>708.75424327693054</v>
      </c>
      <c r="Q7" s="5">
        <v>21.183409731081799</v>
      </c>
      <c r="R7" s="5">
        <v>5714.9657013747756</v>
      </c>
      <c r="S7" s="31"/>
      <c r="T7" s="23">
        <v>2369851.073460097</v>
      </c>
      <c r="U7" s="33">
        <v>107.3228888889102</v>
      </c>
      <c r="V7" s="5">
        <v>5</v>
      </c>
      <c r="W7" s="5">
        <v>39.333333333333343</v>
      </c>
      <c r="X7" s="33">
        <v>1571.2020892608455</v>
      </c>
      <c r="Y7" s="5">
        <v>67.610088712651503</v>
      </c>
      <c r="Z7" s="5">
        <v>7298.5325222050451</v>
      </c>
      <c r="AA7" s="35"/>
    </row>
    <row r="8" spans="2:27" x14ac:dyDescent="0.2">
      <c r="B8" s="4">
        <v>5</v>
      </c>
      <c r="C8" s="4">
        <v>616</v>
      </c>
      <c r="D8" s="23">
        <v>1839318.8723316721</v>
      </c>
      <c r="E8" s="33">
        <v>180.34022222223899</v>
      </c>
      <c r="F8" s="5">
        <v>12</v>
      </c>
      <c r="G8" s="23">
        <v>76.666666666666671</v>
      </c>
      <c r="H8" s="33">
        <v>1647.1616663832062</v>
      </c>
      <c r="I8" s="23">
        <v>35.038792198895678</v>
      </c>
      <c r="J8" s="5">
        <v>7194.2845660429302</v>
      </c>
      <c r="K8" s="31"/>
      <c r="L8" s="23">
        <v>2129669.0558354799</v>
      </c>
      <c r="M8" s="33">
        <v>611.91311111112327</v>
      </c>
      <c r="N8" s="5">
        <v>11</v>
      </c>
      <c r="O8" s="5">
        <v>53.333333333333343</v>
      </c>
      <c r="P8" s="33">
        <v>1160.8576955232227</v>
      </c>
      <c r="Q8" s="5">
        <v>26.214679110960677</v>
      </c>
      <c r="R8" s="5">
        <v>6124.2226996047229</v>
      </c>
      <c r="S8" s="31"/>
      <c r="T8" s="23">
        <v>2229754.579660296</v>
      </c>
      <c r="U8" s="33">
        <v>132.78133333332113</v>
      </c>
      <c r="V8" s="5">
        <v>6</v>
      </c>
      <c r="W8" s="5">
        <v>46</v>
      </c>
      <c r="X8" s="33">
        <v>1343.2205204495801</v>
      </c>
      <c r="Y8" s="5">
        <v>60.956133119343519</v>
      </c>
      <c r="Z8" s="5">
        <v>7027.473916404073</v>
      </c>
      <c r="AA8" s="35"/>
    </row>
    <row r="9" spans="2:27" x14ac:dyDescent="0.2">
      <c r="B9" s="4">
        <v>6</v>
      </c>
      <c r="C9" s="4">
        <v>623</v>
      </c>
      <c r="D9" s="23">
        <v>1851294.9361728679</v>
      </c>
      <c r="E9" s="33">
        <v>285.69777777778086</v>
      </c>
      <c r="F9" s="5">
        <v>8</v>
      </c>
      <c r="G9" s="23">
        <v>72.666666666666671</v>
      </c>
      <c r="H9" s="33">
        <v>1689.137559515998</v>
      </c>
      <c r="I9" s="23">
        <v>49.61116212815012</v>
      </c>
      <c r="J9" s="5">
        <v>7326.692119664247</v>
      </c>
      <c r="K9" s="31"/>
      <c r="L9" s="23">
        <v>2149976.2112488281</v>
      </c>
      <c r="M9" s="33">
        <v>164.48977777778379</v>
      </c>
      <c r="N9" s="5">
        <v>10</v>
      </c>
      <c r="O9" s="5">
        <v>50</v>
      </c>
      <c r="P9" s="33">
        <v>819.2840422002979</v>
      </c>
      <c r="Q9" s="5">
        <v>26.133457694057494</v>
      </c>
      <c r="R9" s="5">
        <v>5857.788725747756</v>
      </c>
      <c r="S9" s="31"/>
      <c r="T9" s="23">
        <v>2277773.5964991339</v>
      </c>
      <c r="U9" s="33">
        <v>120.05555555555556</v>
      </c>
      <c r="V9" s="5">
        <v>6</v>
      </c>
      <c r="W9" s="5">
        <v>45.333333333333343</v>
      </c>
      <c r="X9" s="33">
        <v>1651.8753603115613</v>
      </c>
      <c r="Y9" s="5">
        <v>65.862814425953388</v>
      </c>
      <c r="Z9" s="5">
        <v>7293.6002083575004</v>
      </c>
      <c r="AA9" s="35"/>
    </row>
    <row r="10" spans="2:27" x14ac:dyDescent="0.2">
      <c r="B10" s="4">
        <v>7</v>
      </c>
      <c r="C10" s="4">
        <v>184</v>
      </c>
      <c r="D10" s="23">
        <v>1984294.33133584</v>
      </c>
      <c r="E10" s="33">
        <v>184.13555555555246</v>
      </c>
      <c r="F10" s="5">
        <v>9</v>
      </c>
      <c r="G10" s="23">
        <v>68</v>
      </c>
      <c r="H10" s="33">
        <v>1791.2966955268137</v>
      </c>
      <c r="I10" s="23">
        <v>39.580820171454377</v>
      </c>
      <c r="J10" s="5">
        <v>7419.7838871407121</v>
      </c>
      <c r="K10" s="31"/>
      <c r="L10" s="23">
        <v>2143557.987899201</v>
      </c>
      <c r="M10" s="33">
        <v>399.95844444443691</v>
      </c>
      <c r="N10" s="5">
        <v>10</v>
      </c>
      <c r="O10" s="5">
        <v>48.666666666666657</v>
      </c>
      <c r="P10" s="33">
        <v>712.81081946320842</v>
      </c>
      <c r="Q10" s="5">
        <v>26.286827685082368</v>
      </c>
      <c r="R10" s="5">
        <v>5632.4626216587849</v>
      </c>
      <c r="S10" s="31"/>
      <c r="T10" s="23">
        <v>2293042.7965413532</v>
      </c>
      <c r="U10" s="33">
        <v>107.79155555556322</v>
      </c>
      <c r="V10" s="5">
        <v>6</v>
      </c>
      <c r="W10" s="5">
        <v>44</v>
      </c>
      <c r="X10" s="33">
        <v>1508.2763610322709</v>
      </c>
      <c r="Y10" s="5">
        <v>66.801290931912746</v>
      </c>
      <c r="Z10" s="5">
        <v>7206.2845542973882</v>
      </c>
      <c r="AA10" s="35"/>
    </row>
    <row r="11" spans="2:27" x14ac:dyDescent="0.2">
      <c r="B11" s="4">
        <v>8</v>
      </c>
      <c r="C11" s="4">
        <v>774</v>
      </c>
      <c r="D11" s="23">
        <v>1886095.461656163</v>
      </c>
      <c r="E11" s="33">
        <v>222.99644444443089</v>
      </c>
      <c r="F11" s="5">
        <v>6</v>
      </c>
      <c r="G11" s="23">
        <v>67.333333333333329</v>
      </c>
      <c r="H11" s="33">
        <v>1425.1096923984694</v>
      </c>
      <c r="I11" s="23">
        <v>59.150115601131205</v>
      </c>
      <c r="J11" s="5">
        <v>7195.8259443075976</v>
      </c>
      <c r="K11" s="31"/>
      <c r="L11" s="23">
        <v>2316797.266156083</v>
      </c>
      <c r="M11" s="33">
        <v>212.37866666667267</v>
      </c>
      <c r="N11" s="5">
        <v>9</v>
      </c>
      <c r="O11" s="5">
        <v>37.333333333333343</v>
      </c>
      <c r="P11" s="33">
        <v>379.1187166078422</v>
      </c>
      <c r="Q11" s="5">
        <v>22.64202796271455</v>
      </c>
      <c r="R11" s="5">
        <v>4840.5794520261979</v>
      </c>
      <c r="S11" s="31"/>
      <c r="T11" s="23">
        <v>2289944.1060104519</v>
      </c>
      <c r="U11" s="33">
        <v>230.25711111111266</v>
      </c>
      <c r="V11" s="5">
        <v>5</v>
      </c>
      <c r="W11" s="5">
        <v>42</v>
      </c>
      <c r="X11" s="33">
        <v>1201.1585526629856</v>
      </c>
      <c r="Y11" s="5">
        <v>66.254813191368697</v>
      </c>
      <c r="Z11" s="5">
        <v>6965.9898238259075</v>
      </c>
      <c r="AA11" s="35"/>
    </row>
    <row r="12" spans="2:27" x14ac:dyDescent="0.2">
      <c r="B12" s="4">
        <v>9</v>
      </c>
      <c r="C12" s="4">
        <v>188</v>
      </c>
      <c r="D12" s="23">
        <v>2006907.3073317581</v>
      </c>
      <c r="E12" s="33">
        <v>101.93755555556466</v>
      </c>
      <c r="F12" s="5">
        <v>7</v>
      </c>
      <c r="G12" s="23">
        <v>58</v>
      </c>
      <c r="H12" s="33">
        <v>1024.8901173859701</v>
      </c>
      <c r="I12" s="23">
        <v>42.574447324465226</v>
      </c>
      <c r="J12" s="5">
        <v>6683.00227738792</v>
      </c>
      <c r="K12" s="31"/>
      <c r="L12" s="23">
        <v>2207261.0702989069</v>
      </c>
      <c r="M12" s="33">
        <v>246.78466666665756</v>
      </c>
      <c r="N12" s="5">
        <v>9</v>
      </c>
      <c r="O12" s="5">
        <v>44.666666666666657</v>
      </c>
      <c r="P12" s="33">
        <v>666.24667588612363</v>
      </c>
      <c r="Q12" s="5">
        <v>25.740687890970001</v>
      </c>
      <c r="R12" s="5">
        <v>5449.7684167181633</v>
      </c>
      <c r="S12" s="31"/>
      <c r="T12" s="23">
        <v>2294302.0829693018</v>
      </c>
      <c r="U12" s="33">
        <v>146.60777777777469</v>
      </c>
      <c r="V12" s="5">
        <v>5</v>
      </c>
      <c r="W12" s="5">
        <v>42</v>
      </c>
      <c r="X12" s="33">
        <v>1231.9333550571944</v>
      </c>
      <c r="Y12" s="5">
        <v>65.189497248868221</v>
      </c>
      <c r="Z12" s="5">
        <v>6972.2409919178262</v>
      </c>
      <c r="AA12" s="35"/>
    </row>
    <row r="13" spans="2:27" x14ac:dyDescent="0.2">
      <c r="B13" s="4">
        <v>10</v>
      </c>
      <c r="C13" s="4">
        <v>339</v>
      </c>
      <c r="D13" s="23">
        <v>2003715.2874216251</v>
      </c>
      <c r="E13" s="33">
        <v>270.51044444444892</v>
      </c>
      <c r="F13" s="5">
        <v>5</v>
      </c>
      <c r="G13" s="23">
        <v>58.666666666666657</v>
      </c>
      <c r="H13" s="33">
        <v>1193.9450831779418</v>
      </c>
      <c r="I13" s="23">
        <v>59.733359170141526</v>
      </c>
      <c r="J13" s="5">
        <v>7061.2253612180757</v>
      </c>
      <c r="K13" s="31"/>
      <c r="L13" s="23">
        <v>2276176.6642083889</v>
      </c>
      <c r="M13" s="33">
        <v>255.51044444444889</v>
      </c>
      <c r="N13" s="5">
        <v>10</v>
      </c>
      <c r="O13" s="5">
        <v>44</v>
      </c>
      <c r="P13" s="33">
        <v>1048.878891306553</v>
      </c>
      <c r="Q13" s="5">
        <v>22.378284601215334</v>
      </c>
      <c r="R13" s="5">
        <v>5766.3489520413796</v>
      </c>
      <c r="S13" s="31"/>
      <c r="T13" s="23">
        <v>2321989.2225271869</v>
      </c>
      <c r="U13" s="33">
        <v>81.607555555567757</v>
      </c>
      <c r="V13" s="5">
        <v>5</v>
      </c>
      <c r="W13" s="5">
        <v>41.333333333333343</v>
      </c>
      <c r="X13" s="33">
        <v>1324.0380302229739</v>
      </c>
      <c r="Y13" s="5">
        <v>59.353144573232271</v>
      </c>
      <c r="Z13" s="5">
        <v>7145.3840498457621</v>
      </c>
      <c r="AA13" s="35"/>
    </row>
    <row r="14" spans="2:27" x14ac:dyDescent="0.2">
      <c r="B14" s="46" t="s">
        <v>3</v>
      </c>
      <c r="C14" s="47"/>
      <c r="D14" s="9">
        <f>MIN(D4:D13)</f>
        <v>1839318.8723316721</v>
      </c>
      <c r="E14" s="22">
        <f>INDEX(E4:E13, MATCH($D$14, D4:D13, 0))</f>
        <v>180.34022222223899</v>
      </c>
      <c r="F14" s="9">
        <f>INDEX(F4:F13, MATCH($D$14, D4:D13, 0))</f>
        <v>12</v>
      </c>
      <c r="G14" s="9">
        <f>INDEX(G4:G13, MATCH($D$14, D4:D13, 0))</f>
        <v>76.666666666666671</v>
      </c>
      <c r="H14" s="22">
        <f>INDEX(H4:H13, MATCH($D$14, D4:D13, 0))</f>
        <v>1647.1616663832062</v>
      </c>
      <c r="I14" s="22">
        <f>INDEX(I4:I13, MATCH($D$14, D4:D13, 0))</f>
        <v>35.038792198895678</v>
      </c>
      <c r="J14" s="22">
        <f>INDEX(J4:J13, MATCH($D$14, D4:D13, 0))</f>
        <v>7194.2845660429302</v>
      </c>
      <c r="K14" s="32">
        <f>(D14-$D$15)/$D$15</f>
        <v>2.6094097615722667E-2</v>
      </c>
      <c r="L14" s="16">
        <f>MIN(L4:L13)</f>
        <v>2129669.0558354799</v>
      </c>
      <c r="M14" s="21">
        <f>INDEX(M4:M13, MATCH($L$14, L4:L13, 0))</f>
        <v>611.91311111112327</v>
      </c>
      <c r="N14" s="16">
        <f>INDEX(N4:N13, MATCH($L$14, L4:L13, 0))</f>
        <v>11</v>
      </c>
      <c r="O14" s="16">
        <f>INDEX(O4:O13, MATCH($L$14, L4:L13, 0))</f>
        <v>53.333333333333343</v>
      </c>
      <c r="P14" s="21">
        <f>INDEX(P4:P13, MATCH($L$14, L4:L13, 0))</f>
        <v>1160.8576955232227</v>
      </c>
      <c r="Q14" s="21">
        <f>INDEX(Q4:Q13, MATCH($L$14, L4:L13, 0))</f>
        <v>26.214679110960677</v>
      </c>
      <c r="R14" s="21">
        <f>INDEX(R4:R13, MATCH($L$14, L4:L13, 0))</f>
        <v>6124.2226996047229</v>
      </c>
      <c r="S14" s="36">
        <f>(L14-$D$15)/$D$15</f>
        <v>0.18807069341785393</v>
      </c>
      <c r="T14" s="38">
        <f>MIN(T4:T13)</f>
        <v>2229754.579660296</v>
      </c>
      <c r="U14" s="39">
        <f>INDEX(U4:U13, MATCH($T$14, T4:T13, 0))</f>
        <v>132.78133333332113</v>
      </c>
      <c r="V14" s="38">
        <f>INDEX(V4:V13, MATCH($T$14, T4:T13, 0))</f>
        <v>6</v>
      </c>
      <c r="W14" s="38">
        <f>INDEX(W4:W13, MATCH($T$14, T4:T13, 0))</f>
        <v>46</v>
      </c>
      <c r="X14" s="39">
        <f>INDEX(X4:X13, MATCH($T$14, T4:T13, 0))</f>
        <v>1343.2205204495801</v>
      </c>
      <c r="Y14" s="39">
        <f>INDEX(Y4:Y13, MATCH($T$14, T4:T13, 0))</f>
        <v>60.956133119343519</v>
      </c>
      <c r="Z14" s="39">
        <f>INDEX(Z4:Z13, MATCH($T$14, T4:T13, 0))</f>
        <v>7027.473916404073</v>
      </c>
      <c r="AA14" s="40">
        <f>(T14-$D$15)/$D$15</f>
        <v>0.24390503883683731</v>
      </c>
    </row>
    <row r="15" spans="2:27" x14ac:dyDescent="0.2">
      <c r="C15" s="1" t="s">
        <v>17</v>
      </c>
      <c r="D15" s="34">
        <v>1792544.052836474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85" priority="9"/>
    <cfRule type="duplicateValues" dxfId="84" priority="10"/>
  </conditionalFormatting>
  <conditionalFormatting sqref="C14">
    <cfRule type="duplicateValues" dxfId="83" priority="5"/>
    <cfRule type="duplicateValues" dxfId="82" priority="6"/>
  </conditionalFormatting>
  <conditionalFormatting sqref="C36:C39">
    <cfRule type="duplicateValues" dxfId="81" priority="3"/>
    <cfRule type="duplicateValues" dxfId="80" priority="4"/>
  </conditionalFormatting>
  <conditionalFormatting sqref="C17:C35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5CF9-31CE-49D1-BD59-90936A847E49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-0.97410121309422326</v>
      </c>
      <c r="J2" s="28" t="e">
        <f>(S14-J14)/J14</f>
        <v>#DIV/0!</v>
      </c>
      <c r="K2" s="28"/>
      <c r="L2" s="1" t="s">
        <v>19</v>
      </c>
      <c r="P2" s="1">
        <f>(P14-H14)/H14</f>
        <v>-0.2831259089176778</v>
      </c>
      <c r="R2" s="1">
        <f>(R14-J14)/J14</f>
        <v>-0.11974847215222713</v>
      </c>
      <c r="T2" s="1" t="s">
        <v>20</v>
      </c>
      <c r="X2" s="1">
        <f>(X14-P14)/P14</f>
        <v>0.31870571558142224</v>
      </c>
      <c r="Z2" s="1">
        <f>(Z14-R14)/R14</f>
        <v>0.14793871947607787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779</v>
      </c>
      <c r="D4" s="23">
        <v>1957891.6870912949</v>
      </c>
      <c r="E4" s="33">
        <v>72.850666666662107</v>
      </c>
      <c r="F4" s="5">
        <v>6</v>
      </c>
      <c r="G4" s="23">
        <v>54.666666666666657</v>
      </c>
      <c r="H4" s="33">
        <v>659.82348024445832</v>
      </c>
      <c r="I4" s="23">
        <v>52.994508616984838</v>
      </c>
      <c r="J4" s="5">
        <v>6013.165137887625</v>
      </c>
      <c r="K4" s="31"/>
      <c r="L4" s="23">
        <v>2433860.12579442</v>
      </c>
      <c r="M4" s="33">
        <v>99.243111111120214</v>
      </c>
      <c r="N4" s="5">
        <v>10</v>
      </c>
      <c r="O4" s="5">
        <v>32</v>
      </c>
      <c r="P4" s="33">
        <v>277.83539366684158</v>
      </c>
      <c r="Q4" s="5">
        <v>17.844108949480304</v>
      </c>
      <c r="R4" s="5">
        <v>4500.3944964055991</v>
      </c>
      <c r="S4" s="31"/>
      <c r="T4" s="23">
        <v>2243048.0045023072</v>
      </c>
      <c r="U4" s="33">
        <v>65.579999999996886</v>
      </c>
      <c r="V4" s="5">
        <v>6</v>
      </c>
      <c r="W4" s="5">
        <v>42.666666666666657</v>
      </c>
      <c r="X4" s="33">
        <v>1149.3173653117619</v>
      </c>
      <c r="Y4" s="5">
        <v>70.175355044803709</v>
      </c>
      <c r="Z4" s="5">
        <v>6684.7111909186424</v>
      </c>
      <c r="AA4" s="35"/>
    </row>
    <row r="5" spans="2:27" x14ac:dyDescent="0.2">
      <c r="B5" s="4">
        <v>2</v>
      </c>
      <c r="C5" s="4">
        <v>379</v>
      </c>
      <c r="D5" s="23">
        <v>1950236.075240863</v>
      </c>
      <c r="E5" s="33">
        <v>359.81600000000446</v>
      </c>
      <c r="F5" s="5">
        <v>5</v>
      </c>
      <c r="G5" s="23">
        <v>55.333333333333343</v>
      </c>
      <c r="H5" s="33">
        <v>637.3887567737072</v>
      </c>
      <c r="I5" s="23">
        <v>58.09067409735875</v>
      </c>
      <c r="J5" s="5">
        <v>6139.5239669098119</v>
      </c>
      <c r="K5" s="31"/>
      <c r="L5" s="23">
        <v>2861945.7528863</v>
      </c>
      <c r="M5" s="33">
        <v>210.00711111111255</v>
      </c>
      <c r="N5" s="5">
        <v>31</v>
      </c>
      <c r="O5" s="5">
        <v>54</v>
      </c>
      <c r="P5" s="33">
        <v>3583.7284300605297</v>
      </c>
      <c r="Q5" s="5">
        <v>10.823283455717437</v>
      </c>
      <c r="R5" s="5">
        <v>8503.8725837424136</v>
      </c>
      <c r="S5" s="31"/>
      <c r="T5" s="23">
        <v>4076243.6857862808</v>
      </c>
      <c r="U5" s="33">
        <v>70.166666666666671</v>
      </c>
      <c r="V5" s="5">
        <v>23</v>
      </c>
      <c r="W5" s="5">
        <v>88.666666666666671</v>
      </c>
      <c r="X5" s="33">
        <v>11325.713930107531</v>
      </c>
      <c r="Y5" s="5">
        <v>54.920513709940529</v>
      </c>
      <c r="Z5" s="5">
        <v>16970.105541711306</v>
      </c>
      <c r="AA5" s="35"/>
    </row>
    <row r="6" spans="2:27" x14ac:dyDescent="0.2">
      <c r="B6" s="4">
        <v>3</v>
      </c>
      <c r="C6" s="4">
        <v>904</v>
      </c>
      <c r="D6" s="23">
        <v>2134243.2947124448</v>
      </c>
      <c r="E6" s="33">
        <v>113.31600000000455</v>
      </c>
      <c r="F6" s="5">
        <v>5</v>
      </c>
      <c r="G6" s="23">
        <v>46.666666666666657</v>
      </c>
      <c r="H6" s="33">
        <v>679.51708220295961</v>
      </c>
      <c r="I6" s="23">
        <v>46.372417913149341</v>
      </c>
      <c r="J6" s="5">
        <v>6250.8839878873441</v>
      </c>
      <c r="K6" s="31"/>
      <c r="L6" s="23">
        <v>2315268.7293719342</v>
      </c>
      <c r="M6" s="33">
        <v>194.81266666666812</v>
      </c>
      <c r="N6" s="5">
        <v>8</v>
      </c>
      <c r="O6" s="5">
        <v>41.333333333333343</v>
      </c>
      <c r="P6" s="33">
        <v>971.51155756793275</v>
      </c>
      <c r="Q6" s="5">
        <v>28.47363904452077</v>
      </c>
      <c r="R6" s="5">
        <v>6088.0255429335293</v>
      </c>
      <c r="S6" s="31"/>
      <c r="T6" s="23">
        <v>2326114.5117124771</v>
      </c>
      <c r="U6" s="33">
        <v>147.90266666667432</v>
      </c>
      <c r="V6" s="5">
        <v>6</v>
      </c>
      <c r="W6" s="5">
        <v>39.333333333333343</v>
      </c>
      <c r="X6" s="33">
        <v>1175.4081733246119</v>
      </c>
      <c r="Y6" s="5">
        <v>58.887509601386405</v>
      </c>
      <c r="Z6" s="5">
        <v>6818.1394909440551</v>
      </c>
      <c r="AA6" s="35"/>
    </row>
    <row r="7" spans="2:27" x14ac:dyDescent="0.2">
      <c r="B7" s="4">
        <v>4</v>
      </c>
      <c r="C7" s="4">
        <v>85</v>
      </c>
      <c r="D7" s="23">
        <v>1965569.0815058411</v>
      </c>
      <c r="E7" s="33">
        <v>186.26733333332879</v>
      </c>
      <c r="F7" s="5">
        <v>8</v>
      </c>
      <c r="G7" s="23">
        <v>58</v>
      </c>
      <c r="H7" s="33">
        <v>900.8763531905438</v>
      </c>
      <c r="I7" s="23">
        <v>42.061820266011281</v>
      </c>
      <c r="J7" s="5">
        <v>6236.8871161018433</v>
      </c>
      <c r="K7" s="31"/>
      <c r="L7" s="23">
        <v>2698236.5561090321</v>
      </c>
      <c r="M7" s="33">
        <v>206.64244444445811</v>
      </c>
      <c r="N7" s="5">
        <v>18</v>
      </c>
      <c r="O7" s="5">
        <v>38.666666666666657</v>
      </c>
      <c r="P7" s="33">
        <v>2430.7669591352019</v>
      </c>
      <c r="Q7" s="5">
        <v>13.680905945692331</v>
      </c>
      <c r="R7" s="5">
        <v>7258.2115324949591</v>
      </c>
      <c r="S7" s="31"/>
      <c r="T7" s="23">
        <v>2739398.669808703</v>
      </c>
      <c r="U7" s="33">
        <v>161.82288888888434</v>
      </c>
      <c r="V7" s="5">
        <v>6</v>
      </c>
      <c r="W7" s="5">
        <v>16</v>
      </c>
      <c r="X7" s="33">
        <v>515.88621247501408</v>
      </c>
      <c r="Y7" s="5">
        <v>23.526620964495791</v>
      </c>
      <c r="Z7" s="5">
        <v>4727.7877513370177</v>
      </c>
      <c r="AA7" s="35"/>
    </row>
    <row r="8" spans="2:27" x14ac:dyDescent="0.2">
      <c r="B8" s="4">
        <v>5</v>
      </c>
      <c r="C8" s="4">
        <v>213</v>
      </c>
      <c r="D8" s="23">
        <v>1943453.8983959821</v>
      </c>
      <c r="E8" s="33">
        <v>72.777777777777771</v>
      </c>
      <c r="F8" s="5">
        <v>7</v>
      </c>
      <c r="G8" s="23">
        <v>60.666666666666657</v>
      </c>
      <c r="H8" s="33">
        <v>1074.0343012917406</v>
      </c>
      <c r="I8" s="23">
        <v>51.931262326038414</v>
      </c>
      <c r="J8" s="5">
        <v>6607.543436068594</v>
      </c>
      <c r="K8" s="31"/>
      <c r="L8" s="23">
        <v>2332501.752917801</v>
      </c>
      <c r="M8" s="33">
        <v>210.87155555556012</v>
      </c>
      <c r="N8" s="5">
        <v>7</v>
      </c>
      <c r="O8" s="5">
        <v>34</v>
      </c>
      <c r="P8" s="33">
        <v>156.75933123660627</v>
      </c>
      <c r="Q8" s="5">
        <v>26.485964449700909</v>
      </c>
      <c r="R8" s="5">
        <v>4620.7175682662173</v>
      </c>
      <c r="S8" s="31"/>
      <c r="T8" s="23">
        <v>2233604.3592719128</v>
      </c>
      <c r="U8" s="33">
        <v>150.96200000000601</v>
      </c>
      <c r="V8" s="5">
        <v>6</v>
      </c>
      <c r="W8" s="5">
        <v>43.333333333333343</v>
      </c>
      <c r="X8" s="33">
        <v>1180.9007859974513</v>
      </c>
      <c r="Y8" s="5">
        <v>72.687733684328279</v>
      </c>
      <c r="Z8" s="5">
        <v>6749.734290110574</v>
      </c>
      <c r="AA8" s="35"/>
    </row>
    <row r="9" spans="2:27" x14ac:dyDescent="0.2">
      <c r="B9" s="4">
        <v>6</v>
      </c>
      <c r="C9" s="4">
        <v>340</v>
      </c>
      <c r="D9" s="23">
        <v>1804057.007044913</v>
      </c>
      <c r="E9" s="33">
        <v>160.92711111111566</v>
      </c>
      <c r="F9" s="5">
        <v>8</v>
      </c>
      <c r="G9" s="23">
        <v>66.666666666666671</v>
      </c>
      <c r="H9" s="33">
        <v>930.56829371674144</v>
      </c>
      <c r="I9" s="23">
        <v>46.486238676176661</v>
      </c>
      <c r="J9" s="5">
        <v>6403.1629860418498</v>
      </c>
      <c r="K9" s="31"/>
      <c r="L9" s="23">
        <v>2264293.948463432</v>
      </c>
      <c r="M9" s="33">
        <v>113.70133333332423</v>
      </c>
      <c r="N9" s="5">
        <v>9</v>
      </c>
      <c r="O9" s="5">
        <v>41.333333333333343</v>
      </c>
      <c r="P9" s="33">
        <v>732.86163587880958</v>
      </c>
      <c r="Q9" s="5">
        <v>25.813807751387618</v>
      </c>
      <c r="R9" s="5">
        <v>5364.4109750954549</v>
      </c>
      <c r="S9" s="31"/>
      <c r="T9" s="23">
        <v>2245200.586235336</v>
      </c>
      <c r="U9" s="33">
        <v>85.003555555569221</v>
      </c>
      <c r="V9" s="5">
        <v>7</v>
      </c>
      <c r="W9" s="5">
        <v>44</v>
      </c>
      <c r="X9" s="33">
        <v>1276.4839120485442</v>
      </c>
      <c r="Y9" s="5">
        <v>63.470990854979924</v>
      </c>
      <c r="Z9" s="5">
        <v>6844.308698150825</v>
      </c>
      <c r="AA9" s="35"/>
    </row>
    <row r="10" spans="2:27" x14ac:dyDescent="0.2">
      <c r="B10" s="4">
        <v>7</v>
      </c>
      <c r="C10" s="4">
        <v>888</v>
      </c>
      <c r="D10" s="23">
        <v>2220155.949464764</v>
      </c>
      <c r="E10" s="33">
        <v>371.49311111112024</v>
      </c>
      <c r="F10" s="5">
        <v>12</v>
      </c>
      <c r="G10" s="23">
        <v>58</v>
      </c>
      <c r="H10" s="33">
        <v>1907.0666027253199</v>
      </c>
      <c r="I10" s="23">
        <v>28.905355800337503</v>
      </c>
      <c r="J10" s="5">
        <v>7321.2179562782549</v>
      </c>
      <c r="K10" s="31"/>
      <c r="L10" s="23">
        <v>2312692.1905241781</v>
      </c>
      <c r="M10" s="33">
        <v>419.82644444445356</v>
      </c>
      <c r="N10" s="5">
        <v>9</v>
      </c>
      <c r="O10" s="5">
        <v>40.666666666666657</v>
      </c>
      <c r="P10" s="33">
        <v>803.38013947907029</v>
      </c>
      <c r="Q10" s="5">
        <v>24.244130313395065</v>
      </c>
      <c r="R10" s="5">
        <v>5838.7773890892468</v>
      </c>
      <c r="S10" s="31"/>
      <c r="T10" s="23">
        <v>3166574.9396043289</v>
      </c>
      <c r="U10" s="33">
        <v>111.65288888890711</v>
      </c>
      <c r="V10" s="5">
        <v>23</v>
      </c>
      <c r="W10" s="5">
        <v>68</v>
      </c>
      <c r="X10" s="33">
        <v>7202.7266665199395</v>
      </c>
      <c r="Y10" s="5">
        <v>41.95928925150821</v>
      </c>
      <c r="Z10" s="5">
        <v>12799.820505609587</v>
      </c>
      <c r="AA10" s="35"/>
    </row>
    <row r="11" spans="2:27" x14ac:dyDescent="0.2">
      <c r="B11" s="4">
        <v>8</v>
      </c>
      <c r="C11" s="4">
        <v>938</v>
      </c>
      <c r="D11" s="23">
        <v>1837635.182626717</v>
      </c>
      <c r="E11" s="33">
        <v>139.76022222221621</v>
      </c>
      <c r="F11" s="5">
        <v>7</v>
      </c>
      <c r="G11" s="23">
        <v>65.333333333333329</v>
      </c>
      <c r="H11" s="33">
        <v>1032.0269046223734</v>
      </c>
      <c r="I11" s="23">
        <v>52.832547395901962</v>
      </c>
      <c r="J11" s="5">
        <v>6517.1624232074628</v>
      </c>
      <c r="K11" s="31"/>
      <c r="L11" s="23">
        <v>2214969.551862882</v>
      </c>
      <c r="M11" s="33">
        <v>291.22911111110199</v>
      </c>
      <c r="N11" s="5">
        <v>10</v>
      </c>
      <c r="O11" s="5">
        <v>45.333333333333343</v>
      </c>
      <c r="P11" s="33">
        <v>667.10029974821646</v>
      </c>
      <c r="Q11" s="5">
        <v>24.100589940242156</v>
      </c>
      <c r="R11" s="5">
        <v>5636.3940015216458</v>
      </c>
      <c r="S11" s="31"/>
      <c r="T11" s="23">
        <v>2259553.4031847962</v>
      </c>
      <c r="U11" s="33">
        <v>88.774444444441329</v>
      </c>
      <c r="V11" s="5">
        <v>6</v>
      </c>
      <c r="W11" s="5">
        <v>42.666666666666657</v>
      </c>
      <c r="X11" s="33">
        <v>1310.9072311267732</v>
      </c>
      <c r="Y11" s="5">
        <v>73.999715117353475</v>
      </c>
      <c r="Z11" s="5">
        <v>6926.058277938283</v>
      </c>
      <c r="AA11" s="35"/>
    </row>
    <row r="12" spans="2:27" x14ac:dyDescent="0.2">
      <c r="B12" s="4">
        <v>9</v>
      </c>
      <c r="C12" s="4">
        <v>468</v>
      </c>
      <c r="D12" s="23">
        <v>1897693.721212622</v>
      </c>
      <c r="E12" s="33">
        <v>149.29844444444299</v>
      </c>
      <c r="F12" s="5">
        <v>6</v>
      </c>
      <c r="G12" s="23">
        <v>62.666666666666657</v>
      </c>
      <c r="H12" s="33">
        <v>1125.4774109133314</v>
      </c>
      <c r="I12" s="23">
        <v>57.764663730033469</v>
      </c>
      <c r="J12" s="5">
        <v>6771.2658713531073</v>
      </c>
      <c r="K12" s="31"/>
      <c r="L12" s="23">
        <v>2300567.300466028</v>
      </c>
      <c r="M12" s="33">
        <v>177.31955555554791</v>
      </c>
      <c r="N12" s="5">
        <v>8</v>
      </c>
      <c r="O12" s="5">
        <v>40.666666666666657</v>
      </c>
      <c r="P12" s="33">
        <v>694.9377077917527</v>
      </c>
      <c r="Q12" s="5">
        <v>25.692897483308752</v>
      </c>
      <c r="R12" s="5">
        <v>5710.426894694403</v>
      </c>
      <c r="S12" s="31"/>
      <c r="T12" s="23">
        <v>2204171.5749792578</v>
      </c>
      <c r="U12" s="33">
        <v>133.80555555555554</v>
      </c>
      <c r="V12" s="5">
        <v>6</v>
      </c>
      <c r="W12" s="5">
        <v>44</v>
      </c>
      <c r="X12" s="33">
        <v>988.74200126441713</v>
      </c>
      <c r="Y12" s="5">
        <v>70.830011352231921</v>
      </c>
      <c r="Z12" s="5">
        <v>6586.5359711525498</v>
      </c>
      <c r="AA12" s="35"/>
    </row>
    <row r="13" spans="2:27" x14ac:dyDescent="0.2">
      <c r="B13" s="4">
        <v>10</v>
      </c>
      <c r="C13" s="4">
        <v>199</v>
      </c>
      <c r="D13" s="23">
        <v>1884156.7827106239</v>
      </c>
      <c r="E13" s="33">
        <v>109.02777777777777</v>
      </c>
      <c r="F13" s="5">
        <v>6</v>
      </c>
      <c r="G13" s="23">
        <v>60.666666666666657</v>
      </c>
      <c r="H13" s="33">
        <v>875.58955032500603</v>
      </c>
      <c r="I13" s="23">
        <v>58.643288364600693</v>
      </c>
      <c r="J13" s="5">
        <v>6380.8830687058899</v>
      </c>
      <c r="K13" s="31"/>
      <c r="L13" s="23">
        <v>2262466.539240391</v>
      </c>
      <c r="M13" s="33">
        <v>123.27444444444134</v>
      </c>
      <c r="N13" s="5">
        <v>13</v>
      </c>
      <c r="O13" s="5">
        <v>46</v>
      </c>
      <c r="P13" s="33">
        <v>923.4063354462977</v>
      </c>
      <c r="Q13" s="5">
        <v>19.196337690820805</v>
      </c>
      <c r="R13" s="5">
        <v>5642.6917723739525</v>
      </c>
      <c r="S13" s="31"/>
      <c r="T13" s="23">
        <v>2200468.9264011341</v>
      </c>
      <c r="U13" s="33">
        <v>220.79866666667579</v>
      </c>
      <c r="V13" s="5">
        <v>6</v>
      </c>
      <c r="W13" s="5">
        <v>43.333333333333343</v>
      </c>
      <c r="X13" s="33">
        <v>879.70897814405305</v>
      </c>
      <c r="Y13" s="5">
        <v>70.242574475736532</v>
      </c>
      <c r="Z13" s="5">
        <v>6470.2349125694045</v>
      </c>
      <c r="AA13" s="35"/>
    </row>
    <row r="14" spans="2:27" x14ac:dyDescent="0.2">
      <c r="B14" s="46" t="s">
        <v>3</v>
      </c>
      <c r="C14" s="47"/>
      <c r="D14" s="9">
        <f>MIN(D4:D13)</f>
        <v>1804057.007044913</v>
      </c>
      <c r="E14" s="22">
        <f>INDEX(E4:E13, MATCH($D$14, D4:D13, 0))</f>
        <v>160.92711111111566</v>
      </c>
      <c r="F14" s="9">
        <f>INDEX(F4:F13, MATCH($D$14, D4:D13, 0))</f>
        <v>8</v>
      </c>
      <c r="G14" s="9">
        <f>INDEX(G4:G13, MATCH($D$14, D4:D13, 0))</f>
        <v>66.666666666666671</v>
      </c>
      <c r="H14" s="22">
        <f>INDEX(H4:H13, MATCH($D$14, D4:D13, 0))</f>
        <v>930.56829371674144</v>
      </c>
      <c r="I14" s="22">
        <f>INDEX(I4:I13, MATCH($D$14, D4:D13, 0))</f>
        <v>46.486238676176661</v>
      </c>
      <c r="J14" s="22">
        <f>INDEX(J4:J13, MATCH($D$14, D4:D13, 0))</f>
        <v>6403.1629860418498</v>
      </c>
      <c r="K14" s="32" t="e">
        <f>(D14-$D$15)/$D$15</f>
        <v>#DIV/0!</v>
      </c>
      <c r="L14" s="16">
        <f>MIN(L4:L13)</f>
        <v>2214969.551862882</v>
      </c>
      <c r="M14" s="21">
        <f>INDEX(M4:M13, MATCH($L$14, L4:L13, 0))</f>
        <v>291.22911111110199</v>
      </c>
      <c r="N14" s="16">
        <f>INDEX(N4:N13, MATCH($L$14, L4:L13, 0))</f>
        <v>10</v>
      </c>
      <c r="O14" s="16">
        <f>INDEX(O4:O13, MATCH($L$14, L4:L13, 0))</f>
        <v>45.333333333333343</v>
      </c>
      <c r="P14" s="21">
        <f>INDEX(P4:P13, MATCH($L$14, L4:L13, 0))</f>
        <v>667.10029974821646</v>
      </c>
      <c r="Q14" s="21">
        <f>INDEX(Q4:Q13, MATCH($L$14, L4:L13, 0))</f>
        <v>24.100589940242156</v>
      </c>
      <c r="R14" s="21">
        <f>INDEX(R4:R13, MATCH($L$14, L4:L13, 0))</f>
        <v>5636.3940015216458</v>
      </c>
      <c r="S14" s="36" t="e">
        <f>(L14-$D$15)/$D$15</f>
        <v>#DIV/0!</v>
      </c>
      <c r="T14" s="38">
        <f>MIN(T4:T13)</f>
        <v>2200468.9264011341</v>
      </c>
      <c r="U14" s="39">
        <f>INDEX(U4:U13, MATCH($T$14, T4:T13, 0))</f>
        <v>220.79866666667579</v>
      </c>
      <c r="V14" s="38">
        <f>INDEX(V4:V13, MATCH($T$14, T4:T13, 0))</f>
        <v>6</v>
      </c>
      <c r="W14" s="38">
        <f>INDEX(W4:W13, MATCH($T$14, T4:T13, 0))</f>
        <v>43.333333333333343</v>
      </c>
      <c r="X14" s="39">
        <f>INDEX(X4:X13, MATCH($T$14, T4:T13, 0))</f>
        <v>879.70897814405305</v>
      </c>
      <c r="Y14" s="39">
        <f>INDEX(Y4:Y13, MATCH($T$14, T4:T13, 0))</f>
        <v>70.242574475736532</v>
      </c>
      <c r="Z14" s="39">
        <f>INDEX(Z4:Z13, MATCH($T$14, T4:T13, 0))</f>
        <v>6470.2349125694045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79" priority="9"/>
    <cfRule type="duplicateValues" dxfId="78" priority="10"/>
  </conditionalFormatting>
  <conditionalFormatting sqref="C14">
    <cfRule type="duplicateValues" dxfId="77" priority="5"/>
    <cfRule type="duplicateValues" dxfId="76" priority="6"/>
  </conditionalFormatting>
  <conditionalFormatting sqref="C36:C39">
    <cfRule type="duplicateValues" dxfId="75" priority="3"/>
    <cfRule type="duplicateValues" dxfId="74" priority="4"/>
  </conditionalFormatting>
  <conditionalFormatting sqref="C17:C35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DE10-86FA-42D9-9FF0-14C5DEA49C35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-0.98661661165210568</v>
      </c>
      <c r="J2" s="28" t="e">
        <f>(S14-J14)/J14</f>
        <v>#DIV/0!</v>
      </c>
      <c r="K2" s="28"/>
      <c r="L2" s="1" t="s">
        <v>19</v>
      </c>
      <c r="P2" s="1">
        <f>(P14-H14)/H14</f>
        <v>-0.22671140287591457</v>
      </c>
      <c r="R2" s="1">
        <f>(R14-J14)/J14</f>
        <v>-0.13163638270056729</v>
      </c>
      <c r="T2" s="1" t="s">
        <v>20</v>
      </c>
      <c r="X2" s="1">
        <f>(X14-P14)/P14</f>
        <v>-0.26808692888237978</v>
      </c>
      <c r="Z2" s="1">
        <f>(Z14-R14)/R14</f>
        <v>7.7286880630006757E-2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72</v>
      </c>
      <c r="D4" s="23">
        <v>1758712.526213686</v>
      </c>
      <c r="E4" s="33">
        <v>114.67688888888289</v>
      </c>
      <c r="F4" s="5">
        <v>10</v>
      </c>
      <c r="G4" s="23">
        <v>89.333333333333329</v>
      </c>
      <c r="H4" s="33">
        <v>2425.0412955636148</v>
      </c>
      <c r="I4" s="23">
        <v>38.369321197831923</v>
      </c>
      <c r="J4" s="5">
        <v>7875.1443658834805</v>
      </c>
      <c r="K4" s="31"/>
      <c r="L4" s="23">
        <v>2302366.3358770991</v>
      </c>
      <c r="M4" s="33">
        <v>243.64577777776867</v>
      </c>
      <c r="N4" s="5">
        <v>18</v>
      </c>
      <c r="O4" s="5">
        <v>54</v>
      </c>
      <c r="P4" s="33">
        <v>1615.5112504533895</v>
      </c>
      <c r="Q4" s="5">
        <v>10.813666290917476</v>
      </c>
      <c r="R4" s="5">
        <v>6429.091711084403</v>
      </c>
      <c r="S4" s="31"/>
      <c r="T4" s="23">
        <v>2258505.743570169</v>
      </c>
      <c r="U4" s="33">
        <v>215.99644444445664</v>
      </c>
      <c r="V4" s="5">
        <v>5</v>
      </c>
      <c r="W4" s="5">
        <v>46.666666666666657</v>
      </c>
      <c r="X4" s="33">
        <v>1617.3403766757858</v>
      </c>
      <c r="Y4" s="5">
        <v>63.160953649330835</v>
      </c>
      <c r="Z4" s="5">
        <v>7510.6782105648326</v>
      </c>
      <c r="AA4" s="35"/>
    </row>
    <row r="5" spans="2:27" x14ac:dyDescent="0.2">
      <c r="B5" s="4">
        <v>2</v>
      </c>
      <c r="C5" s="4">
        <v>320</v>
      </c>
      <c r="D5" s="23">
        <v>1649953.495482686</v>
      </c>
      <c r="E5" s="33">
        <v>123.95822222222988</v>
      </c>
      <c r="F5" s="5">
        <v>5</v>
      </c>
      <c r="G5" s="23">
        <v>75.333333333333329</v>
      </c>
      <c r="H5" s="33">
        <v>1101.2520588932048</v>
      </c>
      <c r="I5" s="23">
        <v>57.770523659613694</v>
      </c>
      <c r="J5" s="5">
        <v>6757.1096018170228</v>
      </c>
      <c r="K5" s="31"/>
      <c r="L5" s="23">
        <v>2042652.7791120061</v>
      </c>
      <c r="M5" s="33">
        <v>253.06244444443533</v>
      </c>
      <c r="N5" s="5">
        <v>12</v>
      </c>
      <c r="O5" s="5">
        <v>59.333333333333343</v>
      </c>
      <c r="P5" s="33">
        <v>1161.7584561547476</v>
      </c>
      <c r="Q5" s="5">
        <v>18.436911047379432</v>
      </c>
      <c r="R5" s="5">
        <v>6106.3820344548594</v>
      </c>
      <c r="S5" s="31"/>
      <c r="T5" s="23">
        <v>2153164.8910537092</v>
      </c>
      <c r="U5" s="33">
        <v>259.57977777779001</v>
      </c>
      <c r="V5" s="5">
        <v>5</v>
      </c>
      <c r="W5" s="5">
        <v>47.333333333333343</v>
      </c>
      <c r="X5" s="33">
        <v>866.11781813680079</v>
      </c>
      <c r="Y5" s="5">
        <v>51.785975805897962</v>
      </c>
      <c r="Z5" s="5">
        <v>6640.7693776002006</v>
      </c>
      <c r="AA5" s="35"/>
    </row>
    <row r="6" spans="2:27" x14ac:dyDescent="0.2">
      <c r="B6" s="4">
        <v>3</v>
      </c>
      <c r="C6" s="4">
        <v>369</v>
      </c>
      <c r="D6" s="23">
        <v>1601219.9894825071</v>
      </c>
      <c r="E6" s="33">
        <v>237.29177777777022</v>
      </c>
      <c r="F6" s="5">
        <v>7</v>
      </c>
      <c r="G6" s="23">
        <v>81.333333333333329</v>
      </c>
      <c r="H6" s="33">
        <v>1373.1326911730591</v>
      </c>
      <c r="I6" s="23">
        <v>47.014449818074716</v>
      </c>
      <c r="J6" s="5">
        <v>6911.3430864286356</v>
      </c>
      <c r="K6" s="31"/>
      <c r="L6" s="23">
        <v>1972525.4223841</v>
      </c>
      <c r="M6" s="33">
        <v>244.08688888890245</v>
      </c>
      <c r="N6" s="5">
        <v>12</v>
      </c>
      <c r="O6" s="5">
        <v>61.333333333333343</v>
      </c>
      <c r="P6" s="33">
        <v>1054.9037964334043</v>
      </c>
      <c r="Q6" s="5">
        <v>20.564057176987561</v>
      </c>
      <c r="R6" s="5">
        <v>6033.5077195773329</v>
      </c>
      <c r="S6" s="31"/>
      <c r="T6" s="23">
        <v>2049148.626720133</v>
      </c>
      <c r="U6" s="33">
        <v>273.47555555555869</v>
      </c>
      <c r="V6" s="5">
        <v>5</v>
      </c>
      <c r="W6" s="5">
        <v>52</v>
      </c>
      <c r="X6" s="33">
        <v>814.16590444238307</v>
      </c>
      <c r="Y6" s="5">
        <v>56.651353024459056</v>
      </c>
      <c r="Z6" s="5">
        <v>6578.1730223785416</v>
      </c>
      <c r="AA6" s="35"/>
    </row>
    <row r="7" spans="2:27" x14ac:dyDescent="0.2">
      <c r="B7" s="4">
        <v>4</v>
      </c>
      <c r="C7" s="4">
        <v>559</v>
      </c>
      <c r="D7" s="23">
        <v>1653480.545389442</v>
      </c>
      <c r="E7" s="33">
        <v>272.39911111110513</v>
      </c>
      <c r="F7" s="5">
        <v>8</v>
      </c>
      <c r="G7" s="23">
        <v>80.666666666666671</v>
      </c>
      <c r="H7" s="33">
        <v>1530.5708475206222</v>
      </c>
      <c r="I7" s="23">
        <v>40.123488405328338</v>
      </c>
      <c r="J7" s="5">
        <v>6957.6929877540388</v>
      </c>
      <c r="K7" s="31"/>
      <c r="L7" s="23">
        <v>1986466.09924065</v>
      </c>
      <c r="M7" s="33">
        <v>189.68066666665902</v>
      </c>
      <c r="N7" s="5">
        <v>13</v>
      </c>
      <c r="O7" s="5">
        <v>65.333333333333329</v>
      </c>
      <c r="P7" s="33">
        <v>1445.7318372434443</v>
      </c>
      <c r="Q7" s="5">
        <v>19.497433746966792</v>
      </c>
      <c r="R7" s="5">
        <v>6420.275569434817</v>
      </c>
      <c r="S7" s="31"/>
      <c r="T7" s="23">
        <v>2162865.863708559</v>
      </c>
      <c r="U7" s="33">
        <v>199.5</v>
      </c>
      <c r="V7" s="5">
        <v>5</v>
      </c>
      <c r="W7" s="5">
        <v>46</v>
      </c>
      <c r="X7" s="33">
        <v>710.33905465868099</v>
      </c>
      <c r="Y7" s="5">
        <v>51.068759613839816</v>
      </c>
      <c r="Z7" s="5">
        <v>6533.6069756504321</v>
      </c>
      <c r="AA7" s="35"/>
    </row>
    <row r="8" spans="2:27" x14ac:dyDescent="0.2">
      <c r="B8" s="4">
        <v>5</v>
      </c>
      <c r="C8" s="4">
        <v>568</v>
      </c>
      <c r="D8" s="23">
        <v>1717726.531781727</v>
      </c>
      <c r="E8" s="33">
        <v>103.31244444446119</v>
      </c>
      <c r="F8" s="5">
        <v>10</v>
      </c>
      <c r="G8" s="23">
        <v>88.666666666666671</v>
      </c>
      <c r="H8" s="33">
        <v>2103.9265224890773</v>
      </c>
      <c r="I8" s="23">
        <v>39.353236193851274</v>
      </c>
      <c r="J8" s="5">
        <v>7611.5435882995025</v>
      </c>
      <c r="K8" s="31"/>
      <c r="L8" s="23">
        <v>2064713.381608915</v>
      </c>
      <c r="M8" s="33">
        <v>265.37133333332736</v>
      </c>
      <c r="N8" s="5">
        <v>10</v>
      </c>
      <c r="O8" s="5">
        <v>53.333333333333343</v>
      </c>
      <c r="P8" s="33">
        <v>717.48777896232832</v>
      </c>
      <c r="Q8" s="5">
        <v>20.022126444252621</v>
      </c>
      <c r="R8" s="5">
        <v>5737.8032941910687</v>
      </c>
      <c r="S8" s="31"/>
      <c r="T8" s="23">
        <v>2327530.3293289109</v>
      </c>
      <c r="U8" s="33">
        <v>128.70488888889344</v>
      </c>
      <c r="V8" s="5">
        <v>15</v>
      </c>
      <c r="W8" s="5">
        <v>69.333333333333329</v>
      </c>
      <c r="X8" s="33">
        <v>3459.2356962184135</v>
      </c>
      <c r="Y8" s="5">
        <v>36.639128063896464</v>
      </c>
      <c r="Z8" s="5">
        <v>8988.3268155943315</v>
      </c>
      <c r="AA8" s="35"/>
    </row>
    <row r="9" spans="2:27" x14ac:dyDescent="0.2">
      <c r="B9" s="4">
        <v>6</v>
      </c>
      <c r="C9" s="4">
        <v>576</v>
      </c>
      <c r="D9" s="23">
        <v>1796173.1598870561</v>
      </c>
      <c r="E9" s="33">
        <v>166.59022222221313</v>
      </c>
      <c r="F9" s="5">
        <v>7</v>
      </c>
      <c r="G9" s="23">
        <v>70.666666666666671</v>
      </c>
      <c r="H9" s="33">
        <v>1171.7341358952501</v>
      </c>
      <c r="I9" s="23">
        <v>39.971358131095691</v>
      </c>
      <c r="J9" s="5">
        <v>6813.3356983725771</v>
      </c>
      <c r="K9" s="31"/>
      <c r="L9" s="23">
        <v>2000593.3620227471</v>
      </c>
      <c r="M9" s="33">
        <v>558.92377777777938</v>
      </c>
      <c r="N9" s="5">
        <v>10</v>
      </c>
      <c r="O9" s="5">
        <v>57.333333333333343</v>
      </c>
      <c r="P9" s="33">
        <v>937.63042930658446</v>
      </c>
      <c r="Q9" s="5">
        <v>22.162200906102839</v>
      </c>
      <c r="R9" s="5">
        <v>5896.9501864845133</v>
      </c>
      <c r="S9" s="31"/>
      <c r="T9" s="23">
        <v>2487851.5455819271</v>
      </c>
      <c r="U9" s="33">
        <v>133.03822222222678</v>
      </c>
      <c r="V9" s="5">
        <v>5</v>
      </c>
      <c r="W9" s="5">
        <v>32</v>
      </c>
      <c r="X9" s="33">
        <v>1385.8033565419271</v>
      </c>
      <c r="Y9" s="5">
        <v>47.135163583302642</v>
      </c>
      <c r="Z9" s="5">
        <v>7059.2278118050199</v>
      </c>
      <c r="AA9" s="35"/>
    </row>
    <row r="10" spans="2:27" x14ac:dyDescent="0.2">
      <c r="B10" s="4">
        <v>7</v>
      </c>
      <c r="C10" s="4">
        <v>622</v>
      </c>
      <c r="D10" s="23">
        <v>1544384.775277681</v>
      </c>
      <c r="E10" s="33">
        <v>266.23266666667109</v>
      </c>
      <c r="F10" s="5">
        <v>9</v>
      </c>
      <c r="G10" s="23">
        <v>88</v>
      </c>
      <c r="H10" s="33">
        <v>1438.506410892684</v>
      </c>
      <c r="I10" s="23">
        <v>40.530654632283017</v>
      </c>
      <c r="J10" s="5">
        <v>7031.8937859267626</v>
      </c>
      <c r="K10" s="31"/>
      <c r="L10" s="23">
        <v>1974798.53106404</v>
      </c>
      <c r="M10" s="33">
        <v>398.21177777777331</v>
      </c>
      <c r="N10" s="5">
        <v>13</v>
      </c>
      <c r="O10" s="5">
        <v>64</v>
      </c>
      <c r="P10" s="33">
        <v>1289.9549217295207</v>
      </c>
      <c r="Q10" s="5">
        <v>18.849464328954262</v>
      </c>
      <c r="R10" s="5">
        <v>6155.4558822039844</v>
      </c>
      <c r="S10" s="31"/>
      <c r="T10" s="23">
        <v>2186684.8576370641</v>
      </c>
      <c r="U10" s="33">
        <v>154.6179999999909</v>
      </c>
      <c r="V10" s="5">
        <v>5</v>
      </c>
      <c r="W10" s="5">
        <v>44.666666666666657</v>
      </c>
      <c r="X10" s="33">
        <v>777.15155790838139</v>
      </c>
      <c r="Y10" s="5">
        <v>54.489531951361336</v>
      </c>
      <c r="Z10" s="5">
        <v>6436.0980005653382</v>
      </c>
      <c r="AA10" s="35"/>
    </row>
    <row r="11" spans="2:27" x14ac:dyDescent="0.2">
      <c r="B11" s="4">
        <v>8</v>
      </c>
      <c r="C11" s="4">
        <v>731</v>
      </c>
      <c r="D11" s="23">
        <v>1608847.158100443</v>
      </c>
      <c r="E11" s="33">
        <v>144.06933333331511</v>
      </c>
      <c r="F11" s="5">
        <v>6</v>
      </c>
      <c r="G11" s="23">
        <v>78.666666666666671</v>
      </c>
      <c r="H11" s="33">
        <v>1103.3167743419783</v>
      </c>
      <c r="I11" s="23">
        <v>51.069433393038445</v>
      </c>
      <c r="J11" s="5">
        <v>6766.5689174637346</v>
      </c>
      <c r="K11" s="31"/>
      <c r="L11" s="23">
        <v>1890881.846980477</v>
      </c>
      <c r="M11" s="33">
        <v>330.85066666666222</v>
      </c>
      <c r="N11" s="5">
        <v>14</v>
      </c>
      <c r="O11" s="5">
        <v>68</v>
      </c>
      <c r="P11" s="33">
        <v>1112.3806044332068</v>
      </c>
      <c r="Q11" s="5">
        <v>19.252089937912501</v>
      </c>
      <c r="R11" s="5">
        <v>6106.2407244127662</v>
      </c>
      <c r="S11" s="31"/>
      <c r="T11" s="23">
        <v>2140926.5305526732</v>
      </c>
      <c r="U11" s="33">
        <v>78.163333333330215</v>
      </c>
      <c r="V11" s="5">
        <v>5</v>
      </c>
      <c r="W11" s="5">
        <v>47.333333333333343</v>
      </c>
      <c r="X11" s="33">
        <v>743.51132375550367</v>
      </c>
      <c r="Y11" s="5">
        <v>54.12599215067587</v>
      </c>
      <c r="Z11" s="5">
        <v>6580.7611920976487</v>
      </c>
      <c r="AA11" s="35"/>
    </row>
    <row r="12" spans="2:27" x14ac:dyDescent="0.2">
      <c r="B12" s="4">
        <v>9</v>
      </c>
      <c r="C12" s="4">
        <v>913</v>
      </c>
      <c r="D12" s="23">
        <v>1694159.2525340179</v>
      </c>
      <c r="E12" s="33">
        <v>139.55555555555554</v>
      </c>
      <c r="F12" s="5">
        <v>10</v>
      </c>
      <c r="G12" s="23">
        <v>84</v>
      </c>
      <c r="H12" s="33">
        <v>1837.8634697258408</v>
      </c>
      <c r="I12" s="23">
        <v>35.289554104091053</v>
      </c>
      <c r="J12" s="5">
        <v>7262.5751923627067</v>
      </c>
      <c r="K12" s="31"/>
      <c r="L12" s="23">
        <v>1997482.2313492631</v>
      </c>
      <c r="M12" s="33">
        <v>76.427111111115664</v>
      </c>
      <c r="N12" s="5">
        <v>11</v>
      </c>
      <c r="O12" s="5">
        <v>58.666666666666657</v>
      </c>
      <c r="P12" s="33">
        <v>1076.9196033457893</v>
      </c>
      <c r="Q12" s="5">
        <v>20.782763113715344</v>
      </c>
      <c r="R12" s="5">
        <v>5809.579115966033</v>
      </c>
      <c r="S12" s="31"/>
      <c r="T12" s="23">
        <v>2349473.2290332159</v>
      </c>
      <c r="U12" s="33">
        <v>93.385555555552443</v>
      </c>
      <c r="V12" s="5">
        <v>13</v>
      </c>
      <c r="W12" s="5">
        <v>65.333333333333329</v>
      </c>
      <c r="X12" s="33">
        <v>3339.8555953704813</v>
      </c>
      <c r="Y12" s="5">
        <v>40.47805293446509</v>
      </c>
      <c r="Z12" s="5">
        <v>9121.5762603747535</v>
      </c>
      <c r="AA12" s="35"/>
    </row>
    <row r="13" spans="2:27" x14ac:dyDescent="0.2">
      <c r="B13" s="4">
        <v>10</v>
      </c>
      <c r="C13" s="4">
        <v>997</v>
      </c>
      <c r="D13" s="23">
        <v>1574630.007880348</v>
      </c>
      <c r="E13" s="33">
        <v>175.24311111112021</v>
      </c>
      <c r="F13" s="5">
        <v>9</v>
      </c>
      <c r="G13" s="23">
        <v>84.666666666666671</v>
      </c>
      <c r="H13" s="33">
        <v>1383.7952686026952</v>
      </c>
      <c r="I13" s="23">
        <v>38.981192103544785</v>
      </c>
      <c r="J13" s="5">
        <v>6838.2289349693019</v>
      </c>
      <c r="K13" s="31"/>
      <c r="L13" s="23">
        <v>2048935.950252075</v>
      </c>
      <c r="M13" s="33">
        <v>214.76733333332879</v>
      </c>
      <c r="N13" s="5">
        <v>9</v>
      </c>
      <c r="O13" s="5">
        <v>52</v>
      </c>
      <c r="P13" s="33">
        <v>544.90345108544977</v>
      </c>
      <c r="Q13" s="5">
        <v>19.793355070289071</v>
      </c>
      <c r="R13" s="5">
        <v>5461.0410167280033</v>
      </c>
      <c r="S13" s="31"/>
      <c r="T13" s="23">
        <v>2188715.3181005558</v>
      </c>
      <c r="U13" s="33">
        <v>106.958222222204</v>
      </c>
      <c r="V13" s="5">
        <v>5</v>
      </c>
      <c r="W13" s="5">
        <v>44.666666666666657</v>
      </c>
      <c r="X13" s="33">
        <v>802.9131894668318</v>
      </c>
      <c r="Y13" s="5">
        <v>54.46227880683508</v>
      </c>
      <c r="Z13" s="5">
        <v>6445.3159960061121</v>
      </c>
      <c r="AA13" s="35"/>
    </row>
    <row r="14" spans="2:27" x14ac:dyDescent="0.2">
      <c r="B14" s="46" t="s">
        <v>3</v>
      </c>
      <c r="C14" s="47"/>
      <c r="D14" s="9">
        <f>MIN(D4:D13)</f>
        <v>1544384.775277681</v>
      </c>
      <c r="E14" s="22">
        <f>INDEX(E4:E13, MATCH($D$14, D4:D13, 0))</f>
        <v>266.23266666667109</v>
      </c>
      <c r="F14" s="9">
        <f>INDEX(F4:F13, MATCH($D$14, D4:D13, 0))</f>
        <v>9</v>
      </c>
      <c r="G14" s="9">
        <f>INDEX(G4:G13, MATCH($D$14, D4:D13, 0))</f>
        <v>88</v>
      </c>
      <c r="H14" s="22">
        <f>INDEX(H4:H13, MATCH($D$14, D4:D13, 0))</f>
        <v>1438.506410892684</v>
      </c>
      <c r="I14" s="22">
        <f>INDEX(I4:I13, MATCH($D$14, D4:D13, 0))</f>
        <v>40.530654632283017</v>
      </c>
      <c r="J14" s="22">
        <f>INDEX(J4:J13, MATCH($D$14, D4:D13, 0))</f>
        <v>7031.8937859267626</v>
      </c>
      <c r="K14" s="32" t="e">
        <f>(D14-$D$15)/$D$15</f>
        <v>#DIV/0!</v>
      </c>
      <c r="L14" s="16">
        <f>MIN(L4:L13)</f>
        <v>1890881.846980477</v>
      </c>
      <c r="M14" s="21">
        <f>INDEX(M4:M13, MATCH($L$14, L4:L13, 0))</f>
        <v>330.85066666666222</v>
      </c>
      <c r="N14" s="16">
        <f>INDEX(N4:N13, MATCH($L$14, L4:L13, 0))</f>
        <v>14</v>
      </c>
      <c r="O14" s="16">
        <f>INDEX(O4:O13, MATCH($L$14, L4:L13, 0))</f>
        <v>68</v>
      </c>
      <c r="P14" s="21">
        <f>INDEX(P4:P13, MATCH($L$14, L4:L13, 0))</f>
        <v>1112.3806044332068</v>
      </c>
      <c r="Q14" s="21">
        <f>INDEX(Q4:Q13, MATCH($L$14, L4:L13, 0))</f>
        <v>19.252089937912501</v>
      </c>
      <c r="R14" s="21">
        <f>INDEX(R4:R13, MATCH($L$14, L4:L13, 0))</f>
        <v>6106.2407244127662</v>
      </c>
      <c r="S14" s="36" t="e">
        <f>(L14-$D$15)/$D$15</f>
        <v>#DIV/0!</v>
      </c>
      <c r="T14" s="38">
        <f>MIN(T4:T13)</f>
        <v>2049148.626720133</v>
      </c>
      <c r="U14" s="39">
        <f>INDEX(U4:U13, MATCH($T$14, T4:T13, 0))</f>
        <v>273.47555555555869</v>
      </c>
      <c r="V14" s="38">
        <f>INDEX(V4:V13, MATCH($T$14, T4:T13, 0))</f>
        <v>5</v>
      </c>
      <c r="W14" s="38">
        <f>INDEX(W4:W13, MATCH($T$14, T4:T13, 0))</f>
        <v>52</v>
      </c>
      <c r="X14" s="39">
        <f>INDEX(X4:X13, MATCH($T$14, T4:T13, 0))</f>
        <v>814.16590444238307</v>
      </c>
      <c r="Y14" s="39">
        <f>INDEX(Y4:Y13, MATCH($T$14, T4:T13, 0))</f>
        <v>56.651353024459056</v>
      </c>
      <c r="Z14" s="39">
        <f>INDEX(Z4:Z13, MATCH($T$14, T4:T13, 0))</f>
        <v>6578.1730223785416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73" priority="9"/>
    <cfRule type="duplicateValues" dxfId="72" priority="10"/>
  </conditionalFormatting>
  <conditionalFormatting sqref="C14">
    <cfRule type="duplicateValues" dxfId="71" priority="5"/>
    <cfRule type="duplicateValues" dxfId="70" priority="6"/>
  </conditionalFormatting>
  <conditionalFormatting sqref="C36:C39">
    <cfRule type="duplicateValues" dxfId="69" priority="3"/>
    <cfRule type="duplicateValues" dxfId="68" priority="4"/>
  </conditionalFormatting>
  <conditionalFormatting sqref="C17:C35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F8E3-A274-4469-B3D9-D6EC8A5BB268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-0.98227729272775344</v>
      </c>
      <c r="J2" s="28" t="e">
        <f>(S14-J14)/J14</f>
        <v>#DIV/0!</v>
      </c>
      <c r="K2" s="28"/>
      <c r="L2" s="1" t="s">
        <v>19</v>
      </c>
      <c r="P2" s="1">
        <f>(P14-H14)/H14</f>
        <v>-0.65666858079578239</v>
      </c>
      <c r="R2" s="1">
        <f>(R14-J14)/J14</f>
        <v>-0.23279658556509522</v>
      </c>
      <c r="T2" s="1" t="s">
        <v>20</v>
      </c>
      <c r="X2" s="1">
        <f>(X14-P14)/P14</f>
        <v>1.2211480533008294</v>
      </c>
      <c r="Z2" s="1">
        <f>(Z14-R14)/R14</f>
        <v>0.28650533715223941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608</v>
      </c>
      <c r="D4" s="23">
        <v>1501554.7502662491</v>
      </c>
      <c r="E4" s="33">
        <v>118.11444444444754</v>
      </c>
      <c r="F4" s="5">
        <v>9</v>
      </c>
      <c r="G4" s="23">
        <v>91.333333333333329</v>
      </c>
      <c r="H4" s="33">
        <v>1658.9225885267842</v>
      </c>
      <c r="I4" s="23">
        <v>64.939962392284258</v>
      </c>
      <c r="J4" s="5">
        <v>7007.2292087613951</v>
      </c>
      <c r="K4" s="31"/>
      <c r="L4" s="23">
        <v>2112512.3696426302</v>
      </c>
      <c r="M4" s="33">
        <v>229.70844444443688</v>
      </c>
      <c r="N4" s="5">
        <v>13</v>
      </c>
      <c r="O4" s="5">
        <v>56.666666666666657</v>
      </c>
      <c r="P4" s="33">
        <v>1095.0441688966657</v>
      </c>
      <c r="Q4" s="5">
        <v>23.579769378470367</v>
      </c>
      <c r="R4" s="5">
        <v>6070.9684059066876</v>
      </c>
      <c r="S4" s="31"/>
      <c r="T4" s="23">
        <v>2192142.011412811</v>
      </c>
      <c r="U4" s="33">
        <v>52.56600000000455</v>
      </c>
      <c r="V4" s="5">
        <v>6</v>
      </c>
      <c r="W4" s="5">
        <v>49.333333333333343</v>
      </c>
      <c r="X4" s="33">
        <v>1676.4749684053363</v>
      </c>
      <c r="Y4" s="5">
        <v>73.405256974437364</v>
      </c>
      <c r="Z4" s="5">
        <v>7202.4028287267256</v>
      </c>
      <c r="AA4" s="35"/>
    </row>
    <row r="5" spans="2:27" x14ac:dyDescent="0.2">
      <c r="B5" s="4">
        <v>2</v>
      </c>
      <c r="C5" s="4">
        <v>114</v>
      </c>
      <c r="D5" s="23">
        <v>1459051.3620508739</v>
      </c>
      <c r="E5" s="33">
        <v>126.23266666667122</v>
      </c>
      <c r="F5" s="5">
        <v>10</v>
      </c>
      <c r="G5" s="23">
        <v>92</v>
      </c>
      <c r="H5" s="33">
        <v>1508.748454383262</v>
      </c>
      <c r="I5" s="23">
        <v>56.561808781402057</v>
      </c>
      <c r="J5" s="5">
        <v>6834.5593187050763</v>
      </c>
      <c r="K5" s="31"/>
      <c r="L5" s="23">
        <v>2010815.148071775</v>
      </c>
      <c r="M5" s="33">
        <v>245.92022222221001</v>
      </c>
      <c r="N5" s="5">
        <v>11</v>
      </c>
      <c r="O5" s="5">
        <v>54</v>
      </c>
      <c r="P5" s="33">
        <v>518.00074806557518</v>
      </c>
      <c r="Q5" s="5">
        <v>26.739107204489127</v>
      </c>
      <c r="R5" s="5">
        <v>5243.4972454684312</v>
      </c>
      <c r="S5" s="31"/>
      <c r="T5" s="23">
        <v>2062674.1323829009</v>
      </c>
      <c r="U5" s="33">
        <v>85.128444444439893</v>
      </c>
      <c r="V5" s="5">
        <v>10</v>
      </c>
      <c r="W5" s="5">
        <v>65.333333333333329</v>
      </c>
      <c r="X5" s="33">
        <v>2222.8220087518075</v>
      </c>
      <c r="Y5" s="5">
        <v>74.731871496715243</v>
      </c>
      <c r="Z5" s="5">
        <v>7831.458392217749</v>
      </c>
      <c r="AA5" s="35"/>
    </row>
    <row r="6" spans="2:27" x14ac:dyDescent="0.2">
      <c r="B6" s="4">
        <v>3</v>
      </c>
      <c r="C6" s="4">
        <v>817</v>
      </c>
      <c r="D6" s="23">
        <v>1479959.6603515891</v>
      </c>
      <c r="E6" s="33">
        <v>74.336666666669785</v>
      </c>
      <c r="F6" s="5">
        <v>9</v>
      </c>
      <c r="G6" s="23">
        <v>86.666666666666671</v>
      </c>
      <c r="H6" s="33">
        <v>1223.604759173171</v>
      </c>
      <c r="I6" s="23">
        <v>57.366503926556646</v>
      </c>
      <c r="J6" s="5">
        <v>6593.1181373281097</v>
      </c>
      <c r="K6" s="31"/>
      <c r="L6" s="23">
        <v>2252062.394549652</v>
      </c>
      <c r="M6" s="33">
        <v>186.57977777778999</v>
      </c>
      <c r="N6" s="5">
        <v>7</v>
      </c>
      <c r="O6" s="5">
        <v>39.333333333333343</v>
      </c>
      <c r="P6" s="33">
        <v>421.15008450918043</v>
      </c>
      <c r="Q6" s="5">
        <v>30.31739905181783</v>
      </c>
      <c r="R6" s="5">
        <v>5267.5158666039206</v>
      </c>
      <c r="S6" s="31"/>
      <c r="T6" s="23">
        <v>2273456.4447511891</v>
      </c>
      <c r="U6" s="33">
        <v>101.9479999999878</v>
      </c>
      <c r="V6" s="5">
        <v>10</v>
      </c>
      <c r="W6" s="5">
        <v>52</v>
      </c>
      <c r="X6" s="33">
        <v>2180.3375375054889</v>
      </c>
      <c r="Y6" s="5">
        <v>59.225789266917545</v>
      </c>
      <c r="Z6" s="5">
        <v>7596.1152952646471</v>
      </c>
      <c r="AA6" s="35"/>
    </row>
    <row r="7" spans="2:27" x14ac:dyDescent="0.2">
      <c r="B7" s="4">
        <v>4</v>
      </c>
      <c r="C7" s="4">
        <v>146</v>
      </c>
      <c r="D7" s="23">
        <v>1669757.158092502</v>
      </c>
      <c r="E7" s="33">
        <v>115.48622222221456</v>
      </c>
      <c r="F7" s="5">
        <v>9</v>
      </c>
      <c r="G7" s="23">
        <v>88.666666666666671</v>
      </c>
      <c r="H7" s="33">
        <v>2047.0043659957762</v>
      </c>
      <c r="I7" s="23">
        <v>64.525985030761333</v>
      </c>
      <c r="J7" s="5">
        <v>7588.76992800476</v>
      </c>
      <c r="K7" s="31"/>
      <c r="L7" s="23">
        <v>2480384.2368804449</v>
      </c>
      <c r="M7" s="33">
        <v>158.86444444444754</v>
      </c>
      <c r="N7" s="5">
        <v>17</v>
      </c>
      <c r="O7" s="5">
        <v>44</v>
      </c>
      <c r="P7" s="33">
        <v>1356.0893754386241</v>
      </c>
      <c r="Q7" s="5">
        <v>15.032735230168289</v>
      </c>
      <c r="R7" s="5">
        <v>6300.6184644287132</v>
      </c>
      <c r="S7" s="31"/>
      <c r="T7" s="23">
        <v>2647702.2196249999</v>
      </c>
      <c r="U7" s="33">
        <v>109.93399999999545</v>
      </c>
      <c r="V7" s="5">
        <v>13</v>
      </c>
      <c r="W7" s="5">
        <v>62</v>
      </c>
      <c r="X7" s="33">
        <v>5250.1098845919169</v>
      </c>
      <c r="Y7" s="5">
        <v>67.529064032067595</v>
      </c>
      <c r="Z7" s="5">
        <v>10751.213466916439</v>
      </c>
      <c r="AA7" s="35"/>
    </row>
    <row r="8" spans="2:27" x14ac:dyDescent="0.2">
      <c r="B8" s="4">
        <v>5</v>
      </c>
      <c r="C8" s="4">
        <v>48</v>
      </c>
      <c r="D8" s="23">
        <v>1522714.4026797491</v>
      </c>
      <c r="E8" s="33">
        <v>92.600666666662107</v>
      </c>
      <c r="F8" s="5">
        <v>8</v>
      </c>
      <c r="G8" s="23">
        <v>86</v>
      </c>
      <c r="H8" s="33">
        <v>1423.2017522032368</v>
      </c>
      <c r="I8" s="23">
        <v>65.105190106111053</v>
      </c>
      <c r="J8" s="5">
        <v>6828.6733582338302</v>
      </c>
      <c r="K8" s="31"/>
      <c r="L8" s="23">
        <v>2400285.3575413069</v>
      </c>
      <c r="M8" s="33">
        <v>110.191111111108</v>
      </c>
      <c r="N8" s="5">
        <v>7</v>
      </c>
      <c r="O8" s="5">
        <v>30.666666666666671</v>
      </c>
      <c r="P8" s="33">
        <v>86.593931505162999</v>
      </c>
      <c r="Q8" s="5">
        <v>23.542650588732936</v>
      </c>
      <c r="R8" s="5">
        <v>4435.0696938303827</v>
      </c>
      <c r="S8" s="31"/>
      <c r="T8" s="23">
        <v>2148027.489539844</v>
      </c>
      <c r="U8" s="33">
        <v>64.888888888888886</v>
      </c>
      <c r="V8" s="5">
        <v>5</v>
      </c>
      <c r="W8" s="5">
        <v>47.333333333333343</v>
      </c>
      <c r="X8" s="33">
        <v>1170.017990355497</v>
      </c>
      <c r="Y8" s="5">
        <v>86.36099759215935</v>
      </c>
      <c r="Z8" s="5">
        <v>6710.8674140652975</v>
      </c>
      <c r="AA8" s="35"/>
    </row>
    <row r="9" spans="2:27" x14ac:dyDescent="0.2">
      <c r="B9" s="4">
        <v>6</v>
      </c>
      <c r="C9" s="4">
        <v>494</v>
      </c>
      <c r="D9" s="23">
        <v>1483015.184913581</v>
      </c>
      <c r="E9" s="33">
        <v>298.26377777775957</v>
      </c>
      <c r="F9" s="5">
        <v>10</v>
      </c>
      <c r="G9" s="23">
        <v>90.666666666666671</v>
      </c>
      <c r="H9" s="33">
        <v>1413.1595439679088</v>
      </c>
      <c r="I9" s="23">
        <v>55.284205492540067</v>
      </c>
      <c r="J9" s="5">
        <v>6878.9107025591848</v>
      </c>
      <c r="K9" s="31"/>
      <c r="L9" s="23">
        <v>2229073.630671286</v>
      </c>
      <c r="M9" s="33">
        <v>214.77422222220855</v>
      </c>
      <c r="N9" s="5">
        <v>8</v>
      </c>
      <c r="O9" s="5">
        <v>40.666666666666657</v>
      </c>
      <c r="P9" s="33">
        <v>411.18032981673491</v>
      </c>
      <c r="Q9" s="5">
        <v>26.873462957083444</v>
      </c>
      <c r="R9" s="5">
        <v>4918.3558790019251</v>
      </c>
      <c r="S9" s="31"/>
      <c r="T9" s="23">
        <v>2083254.2889105659</v>
      </c>
      <c r="U9" s="33">
        <v>136.76044444444901</v>
      </c>
      <c r="V9" s="5">
        <v>5</v>
      </c>
      <c r="W9" s="5">
        <v>49.333333333333343</v>
      </c>
      <c r="X9" s="33">
        <v>955.19881363512047</v>
      </c>
      <c r="Y9" s="5">
        <v>85.749003844311076</v>
      </c>
      <c r="Z9" s="5">
        <v>6509.2723732408012</v>
      </c>
      <c r="AA9" s="35"/>
    </row>
    <row r="10" spans="2:27" x14ac:dyDescent="0.2">
      <c r="B10" s="4">
        <v>7</v>
      </c>
      <c r="C10" s="4">
        <v>718</v>
      </c>
      <c r="D10" s="23">
        <v>1525443.7535604059</v>
      </c>
      <c r="E10" s="33">
        <v>177.21866666665301</v>
      </c>
      <c r="F10" s="5">
        <v>9</v>
      </c>
      <c r="G10" s="23">
        <v>86.666666666666671</v>
      </c>
      <c r="H10" s="33">
        <v>1328.1900971215778</v>
      </c>
      <c r="I10" s="23">
        <v>58.644553187385114</v>
      </c>
      <c r="J10" s="5">
        <v>6847.758033250424</v>
      </c>
      <c r="K10" s="31"/>
      <c r="L10" s="23">
        <v>2104978.181866202</v>
      </c>
      <c r="M10" s="33">
        <v>286.90288888888131</v>
      </c>
      <c r="N10" s="5">
        <v>9</v>
      </c>
      <c r="O10" s="5">
        <v>49.333333333333343</v>
      </c>
      <c r="P10" s="33">
        <v>718.85080956612171</v>
      </c>
      <c r="Q10" s="5">
        <v>28.533276699368155</v>
      </c>
      <c r="R10" s="5">
        <v>5392.3610364517444</v>
      </c>
      <c r="S10" s="31"/>
      <c r="T10" s="23">
        <v>2013238.7076715941</v>
      </c>
      <c r="U10" s="33">
        <v>158.18399999999545</v>
      </c>
      <c r="V10" s="5">
        <v>6</v>
      </c>
      <c r="W10" s="5">
        <v>55.333333333333343</v>
      </c>
      <c r="X10" s="33">
        <v>1150.5563531742257</v>
      </c>
      <c r="Y10" s="5">
        <v>79.127740872277215</v>
      </c>
      <c r="Z10" s="5">
        <v>6745.7871916382028</v>
      </c>
      <c r="AA10" s="35"/>
    </row>
    <row r="11" spans="2:27" x14ac:dyDescent="0.2">
      <c r="B11" s="4">
        <v>8</v>
      </c>
      <c r="C11" s="4">
        <v>589</v>
      </c>
      <c r="D11" s="23">
        <v>1472666.7915153429</v>
      </c>
      <c r="E11" s="33">
        <v>294.97555555555869</v>
      </c>
      <c r="F11" s="5">
        <v>9</v>
      </c>
      <c r="G11" s="23">
        <v>89.333333333333329</v>
      </c>
      <c r="H11" s="33">
        <v>1391.9639579792324</v>
      </c>
      <c r="I11" s="23">
        <v>63.211686952052709</v>
      </c>
      <c r="J11" s="5">
        <v>6779.301795125999</v>
      </c>
      <c r="K11" s="31"/>
      <c r="L11" s="23">
        <v>2157378.803381925</v>
      </c>
      <c r="M11" s="33">
        <v>282.82622222222068</v>
      </c>
      <c r="N11" s="5">
        <v>10</v>
      </c>
      <c r="O11" s="5">
        <v>48</v>
      </c>
      <c r="P11" s="33">
        <v>780.47438974334023</v>
      </c>
      <c r="Q11" s="5">
        <v>27.231764400701714</v>
      </c>
      <c r="R11" s="5">
        <v>5529.8170377928363</v>
      </c>
      <c r="S11" s="31"/>
      <c r="T11" s="23">
        <v>2251508.16861411</v>
      </c>
      <c r="U11" s="33">
        <v>219.01044444444901</v>
      </c>
      <c r="V11" s="5">
        <v>7</v>
      </c>
      <c r="W11" s="5">
        <v>51.333333333333343</v>
      </c>
      <c r="X11" s="33">
        <v>2324.9703622896354</v>
      </c>
      <c r="Y11" s="5">
        <v>81.840329370983341</v>
      </c>
      <c r="Z11" s="5">
        <v>7857.1517198780093</v>
      </c>
      <c r="AA11" s="35"/>
    </row>
    <row r="12" spans="2:27" x14ac:dyDescent="0.2">
      <c r="B12" s="4">
        <v>9</v>
      </c>
      <c r="C12" s="4">
        <v>371</v>
      </c>
      <c r="D12" s="23">
        <v>1468490.39508583</v>
      </c>
      <c r="E12" s="33">
        <v>182.46177777779909</v>
      </c>
      <c r="F12" s="5">
        <v>10</v>
      </c>
      <c r="G12" s="23">
        <v>92</v>
      </c>
      <c r="H12" s="33">
        <v>1522.1482201104143</v>
      </c>
      <c r="I12" s="23">
        <v>56.896058299123879</v>
      </c>
      <c r="J12" s="5">
        <v>6862.0699489970439</v>
      </c>
      <c r="K12" s="31"/>
      <c r="L12" s="23">
        <v>2131639.479424994</v>
      </c>
      <c r="M12" s="33">
        <v>400.25333333333646</v>
      </c>
      <c r="N12" s="5">
        <v>10</v>
      </c>
      <c r="O12" s="5">
        <v>51.333333333333343</v>
      </c>
      <c r="P12" s="33">
        <v>1090.8331554475617</v>
      </c>
      <c r="Q12" s="5">
        <v>26.591465135411397</v>
      </c>
      <c r="R12" s="5">
        <v>5833.5647311118464</v>
      </c>
      <c r="S12" s="31"/>
      <c r="T12" s="23">
        <v>2058035.906784493</v>
      </c>
      <c r="U12" s="33">
        <v>266.28466666665759</v>
      </c>
      <c r="V12" s="5">
        <v>6</v>
      </c>
      <c r="W12" s="5">
        <v>53.333333333333343</v>
      </c>
      <c r="X12" s="33">
        <v>1154.3030483893056</v>
      </c>
      <c r="Y12" s="5">
        <v>73.283561296433518</v>
      </c>
      <c r="Z12" s="5">
        <v>6683.855575788778</v>
      </c>
      <c r="AA12" s="35"/>
    </row>
    <row r="13" spans="2:27" x14ac:dyDescent="0.2">
      <c r="B13" s="4">
        <v>10</v>
      </c>
      <c r="C13" s="4">
        <v>679</v>
      </c>
      <c r="D13" s="23">
        <v>1591553.7046214531</v>
      </c>
      <c r="E13" s="33">
        <v>104.72577777776559</v>
      </c>
      <c r="F13" s="5">
        <v>8</v>
      </c>
      <c r="G13" s="23">
        <v>88</v>
      </c>
      <c r="H13" s="33">
        <v>1817.0915452983072</v>
      </c>
      <c r="I13" s="23">
        <v>66.5305094125046</v>
      </c>
      <c r="J13" s="5">
        <v>7271.6865806904589</v>
      </c>
      <c r="K13" s="31"/>
      <c r="L13" s="23">
        <v>2429768.9555405988</v>
      </c>
      <c r="M13" s="33">
        <v>205.09022222223899</v>
      </c>
      <c r="N13" s="5">
        <v>14</v>
      </c>
      <c r="O13" s="5">
        <v>38</v>
      </c>
      <c r="P13" s="33">
        <v>711.34295203604142</v>
      </c>
      <c r="Q13" s="5">
        <v>17.417370805471879</v>
      </c>
      <c r="R13" s="5">
        <v>5087.290462377191</v>
      </c>
      <c r="S13" s="31"/>
      <c r="T13" s="23">
        <v>2404114.0344659071</v>
      </c>
      <c r="U13" s="33">
        <v>259.89577777776867</v>
      </c>
      <c r="V13" s="5">
        <v>16</v>
      </c>
      <c r="W13" s="5">
        <v>65.333333333333329</v>
      </c>
      <c r="X13" s="33">
        <v>3726.345431274503</v>
      </c>
      <c r="Y13" s="5">
        <v>42.837028538370546</v>
      </c>
      <c r="Z13" s="5">
        <v>9166.8426867778817</v>
      </c>
      <c r="AA13" s="35"/>
    </row>
    <row r="14" spans="2:27" x14ac:dyDescent="0.2">
      <c r="B14" s="46" t="s">
        <v>3</v>
      </c>
      <c r="C14" s="47"/>
      <c r="D14" s="9">
        <f>MIN(D4:D13)</f>
        <v>1459051.3620508739</v>
      </c>
      <c r="E14" s="22">
        <f>INDEX(E4:E13, MATCH($D$14, D4:D13, 0))</f>
        <v>126.23266666667122</v>
      </c>
      <c r="F14" s="9">
        <f>INDEX(F4:F13, MATCH($D$14, D4:D13, 0))</f>
        <v>10</v>
      </c>
      <c r="G14" s="9">
        <f>INDEX(G4:G13, MATCH($D$14, D4:D13, 0))</f>
        <v>92</v>
      </c>
      <c r="H14" s="22">
        <f>INDEX(H4:H13, MATCH($D$14, D4:D13, 0))</f>
        <v>1508.748454383262</v>
      </c>
      <c r="I14" s="22">
        <f>INDEX(I4:I13, MATCH($D$14, D4:D13, 0))</f>
        <v>56.561808781402057</v>
      </c>
      <c r="J14" s="22">
        <f>INDEX(J4:J13, MATCH($D$14, D4:D13, 0))</f>
        <v>6834.5593187050763</v>
      </c>
      <c r="K14" s="32" t="e">
        <f>(D14-$D$15)/$D$15</f>
        <v>#DIV/0!</v>
      </c>
      <c r="L14" s="16">
        <f>MIN(L4:L13)</f>
        <v>2010815.148071775</v>
      </c>
      <c r="M14" s="21">
        <f>INDEX(M4:M13, MATCH($L$14, L4:L13, 0))</f>
        <v>245.92022222221001</v>
      </c>
      <c r="N14" s="16">
        <f>INDEX(N4:N13, MATCH($L$14, L4:L13, 0))</f>
        <v>11</v>
      </c>
      <c r="O14" s="16">
        <f>INDEX(O4:O13, MATCH($L$14, L4:L13, 0))</f>
        <v>54</v>
      </c>
      <c r="P14" s="21">
        <f>INDEX(P4:P13, MATCH($L$14, L4:L13, 0))</f>
        <v>518.00074806557518</v>
      </c>
      <c r="Q14" s="21">
        <f>INDEX(Q4:Q13, MATCH($L$14, L4:L13, 0))</f>
        <v>26.739107204489127</v>
      </c>
      <c r="R14" s="21">
        <f>INDEX(R4:R13, MATCH($L$14, L4:L13, 0))</f>
        <v>5243.4972454684312</v>
      </c>
      <c r="S14" s="36" t="e">
        <f>(L14-$D$15)/$D$15</f>
        <v>#DIV/0!</v>
      </c>
      <c r="T14" s="38">
        <f>MIN(T4:T13)</f>
        <v>2013238.7076715941</v>
      </c>
      <c r="U14" s="39">
        <f>INDEX(U4:U13, MATCH($T$14, T4:T13, 0))</f>
        <v>158.18399999999545</v>
      </c>
      <c r="V14" s="38">
        <f>INDEX(V4:V13, MATCH($T$14, T4:T13, 0))</f>
        <v>6</v>
      </c>
      <c r="W14" s="38">
        <f>INDEX(W4:W13, MATCH($T$14, T4:T13, 0))</f>
        <v>55.333333333333343</v>
      </c>
      <c r="X14" s="39">
        <f>INDEX(X4:X13, MATCH($T$14, T4:T13, 0))</f>
        <v>1150.5563531742257</v>
      </c>
      <c r="Y14" s="39">
        <f>INDEX(Y4:Y13, MATCH($T$14, T4:T13, 0))</f>
        <v>79.127740872277215</v>
      </c>
      <c r="Z14" s="39">
        <f>INDEX(Z4:Z13, MATCH($T$14, T4:T13, 0))</f>
        <v>6745.7871916382028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67" priority="9"/>
    <cfRule type="duplicateValues" dxfId="66" priority="10"/>
  </conditionalFormatting>
  <conditionalFormatting sqref="C14">
    <cfRule type="duplicateValues" dxfId="65" priority="5"/>
    <cfRule type="duplicateValues" dxfId="64" priority="6"/>
  </conditionalFormatting>
  <conditionalFormatting sqref="C36:C39">
    <cfRule type="duplicateValues" dxfId="63" priority="3"/>
    <cfRule type="duplicateValues" dxfId="62" priority="4"/>
  </conditionalFormatting>
  <conditionalFormatting sqref="C17:C35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DF05-E090-46B1-A9F2-94618C9EBF1C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-0.98331360836949944</v>
      </c>
      <c r="J2" s="28" t="e">
        <f>(S14-J14)/J14</f>
        <v>#DIV/0!</v>
      </c>
      <c r="K2" s="28"/>
      <c r="L2" s="1" t="s">
        <v>19</v>
      </c>
      <c r="P2" s="1">
        <f>(P14-H14)/H14</f>
        <v>-0.43331981742820597</v>
      </c>
      <c r="R2" s="1">
        <f>(R14-J14)/J14</f>
        <v>-0.18043320110156191</v>
      </c>
      <c r="T2" s="1" t="s">
        <v>20</v>
      </c>
      <c r="X2" s="1">
        <f>(X14-P14)/P14</f>
        <v>0.38945532638714003</v>
      </c>
      <c r="Z2" s="1">
        <f>(Z14-R14)/R14</f>
        <v>0.18703944768967998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758</v>
      </c>
      <c r="D4" s="23">
        <v>1938178.658543952</v>
      </c>
      <c r="E4" s="33">
        <v>338.71177777777331</v>
      </c>
      <c r="F4" s="5">
        <v>5</v>
      </c>
      <c r="G4" s="23">
        <v>58</v>
      </c>
      <c r="H4" s="33">
        <v>832.80048961813418</v>
      </c>
      <c r="I4" s="23">
        <v>65.862279052984121</v>
      </c>
      <c r="J4" s="5">
        <v>6522.173284225365</v>
      </c>
      <c r="K4" s="31"/>
      <c r="L4" s="23">
        <v>2505502.8067106181</v>
      </c>
      <c r="M4" s="33">
        <v>84.343777777782336</v>
      </c>
      <c r="N4" s="5">
        <v>6</v>
      </c>
      <c r="O4" s="5">
        <v>26.666666666666671</v>
      </c>
      <c r="P4" s="33">
        <v>258.45230568616978</v>
      </c>
      <c r="Q4" s="5">
        <v>23.159289361738946</v>
      </c>
      <c r="R4" s="5">
        <v>4958.6756975320768</v>
      </c>
      <c r="S4" s="31"/>
      <c r="T4" s="23">
        <v>2263008.2254580958</v>
      </c>
      <c r="U4" s="33">
        <v>40.840222222238978</v>
      </c>
      <c r="V4" s="5">
        <v>6</v>
      </c>
      <c r="W4" s="5">
        <v>44</v>
      </c>
      <c r="X4" s="33">
        <v>1360.1002069707824</v>
      </c>
      <c r="Y4" s="5">
        <v>69.161878488262801</v>
      </c>
      <c r="Z4" s="5">
        <v>6996.6706968184262</v>
      </c>
      <c r="AA4" s="35"/>
    </row>
    <row r="5" spans="2:27" x14ac:dyDescent="0.2">
      <c r="B5" s="4">
        <v>2</v>
      </c>
      <c r="C5" s="4">
        <v>771</v>
      </c>
      <c r="D5" s="23">
        <v>1829774.9902676949</v>
      </c>
      <c r="E5" s="33">
        <v>103.67000000000311</v>
      </c>
      <c r="F5" s="5">
        <v>7</v>
      </c>
      <c r="G5" s="23">
        <v>69.333333333333329</v>
      </c>
      <c r="H5" s="33">
        <v>1416.8119873218618</v>
      </c>
      <c r="I5" s="23">
        <v>55.70480228082301</v>
      </c>
      <c r="J5" s="5">
        <v>6894.7396796399935</v>
      </c>
      <c r="K5" s="31"/>
      <c r="L5" s="23">
        <v>2335773.9863176518</v>
      </c>
      <c r="M5" s="33">
        <v>294.06244444443536</v>
      </c>
      <c r="N5" s="5">
        <v>7</v>
      </c>
      <c r="O5" s="5">
        <v>34.666666666666657</v>
      </c>
      <c r="P5" s="33">
        <v>345.10106654134046</v>
      </c>
      <c r="Q5" s="5">
        <v>26.440937372431584</v>
      </c>
      <c r="R5" s="5">
        <v>4742.2354726799331</v>
      </c>
      <c r="S5" s="31"/>
      <c r="T5" s="23">
        <v>2277928.461826208</v>
      </c>
      <c r="U5" s="33">
        <v>56.906222222217671</v>
      </c>
      <c r="V5" s="5">
        <v>7</v>
      </c>
      <c r="W5" s="5">
        <v>48.666666666666657</v>
      </c>
      <c r="X5" s="33">
        <v>1862.2503950226053</v>
      </c>
      <c r="Y5" s="5">
        <v>48.731611829804912</v>
      </c>
      <c r="Z5" s="5">
        <v>7478.7087493692043</v>
      </c>
      <c r="AA5" s="35"/>
    </row>
    <row r="6" spans="2:27" x14ac:dyDescent="0.2">
      <c r="B6" s="4">
        <v>3</v>
      </c>
      <c r="C6" s="4">
        <v>858</v>
      </c>
      <c r="D6" s="23">
        <v>1873986.51067934</v>
      </c>
      <c r="E6" s="33">
        <v>117.70155555555701</v>
      </c>
      <c r="F6" s="5">
        <v>9</v>
      </c>
      <c r="G6" s="23">
        <v>72</v>
      </c>
      <c r="H6" s="33">
        <v>1635.4818319645494</v>
      </c>
      <c r="I6" s="23">
        <v>40.809008589144909</v>
      </c>
      <c r="J6" s="5">
        <v>7179.5892083826784</v>
      </c>
      <c r="K6" s="31"/>
      <c r="L6" s="23">
        <v>2270718.24369821</v>
      </c>
      <c r="M6" s="33">
        <v>295.95466666666067</v>
      </c>
      <c r="N6" s="5">
        <v>8</v>
      </c>
      <c r="O6" s="5">
        <v>40</v>
      </c>
      <c r="P6" s="33">
        <v>540.14948116613618</v>
      </c>
      <c r="Q6" s="5">
        <v>23.945627826694743</v>
      </c>
      <c r="R6" s="5">
        <v>5175.4139278540679</v>
      </c>
      <c r="S6" s="31"/>
      <c r="T6" s="23">
        <v>2272172.4809269952</v>
      </c>
      <c r="U6" s="33">
        <v>79.048666666675771</v>
      </c>
      <c r="V6" s="5">
        <v>6</v>
      </c>
      <c r="W6" s="5">
        <v>44.666666666666657</v>
      </c>
      <c r="X6" s="33">
        <v>1523.220245220067</v>
      </c>
      <c r="Y6" s="5">
        <v>70.048807487998531</v>
      </c>
      <c r="Z6" s="5">
        <v>7189.8583462098659</v>
      </c>
      <c r="AA6" s="35"/>
    </row>
    <row r="7" spans="2:27" x14ac:dyDescent="0.2">
      <c r="B7" s="4">
        <v>4</v>
      </c>
      <c r="C7" s="4">
        <v>33</v>
      </c>
      <c r="D7" s="23">
        <v>1980890.9714488699</v>
      </c>
      <c r="E7" s="33">
        <v>267.47911111110199</v>
      </c>
      <c r="F7" s="5">
        <v>6</v>
      </c>
      <c r="G7" s="23">
        <v>58.666666666666657</v>
      </c>
      <c r="H7" s="33">
        <v>1110.3412617290758</v>
      </c>
      <c r="I7" s="23">
        <v>48.393215609403541</v>
      </c>
      <c r="J7" s="5">
        <v>6632.0805615143408</v>
      </c>
      <c r="K7" s="31"/>
      <c r="L7" s="23">
        <v>2295068.1007431732</v>
      </c>
      <c r="M7" s="33">
        <v>210.29866666667579</v>
      </c>
      <c r="N7" s="5">
        <v>9</v>
      </c>
      <c r="O7" s="5">
        <v>37.333333333333343</v>
      </c>
      <c r="P7" s="33">
        <v>131.10314660219319</v>
      </c>
      <c r="Q7" s="5">
        <v>20.049801655634646</v>
      </c>
      <c r="R7" s="5">
        <v>4559.7869800320213</v>
      </c>
      <c r="S7" s="31"/>
      <c r="T7" s="23">
        <v>2469761.6075159232</v>
      </c>
      <c r="U7" s="33">
        <v>65.666666666666671</v>
      </c>
      <c r="V7" s="5">
        <v>6</v>
      </c>
      <c r="W7" s="5">
        <v>38</v>
      </c>
      <c r="X7" s="33">
        <v>2118.7521782764929</v>
      </c>
      <c r="Y7" s="5">
        <v>64.227840953471969</v>
      </c>
      <c r="Z7" s="5">
        <v>7914.2105976938292</v>
      </c>
      <c r="AA7" s="35"/>
    </row>
    <row r="8" spans="2:27" x14ac:dyDescent="0.2">
      <c r="B8" s="4">
        <v>5</v>
      </c>
      <c r="C8" s="4">
        <v>58</v>
      </c>
      <c r="D8" s="23">
        <v>1848566.2164869669</v>
      </c>
      <c r="E8" s="33">
        <v>163.87488888889655</v>
      </c>
      <c r="F8" s="5">
        <v>6</v>
      </c>
      <c r="G8" s="23">
        <v>64.666666666666671</v>
      </c>
      <c r="H8" s="33">
        <v>1129.9444469024604</v>
      </c>
      <c r="I8" s="23">
        <v>60.450993126864766</v>
      </c>
      <c r="J8" s="5">
        <v>6659.5473839468013</v>
      </c>
      <c r="K8" s="31"/>
      <c r="L8" s="23">
        <v>2330280.8559214319</v>
      </c>
      <c r="M8" s="33">
        <v>238.78111111111423</v>
      </c>
      <c r="N8" s="5">
        <v>8</v>
      </c>
      <c r="O8" s="5">
        <v>39.333333333333343</v>
      </c>
      <c r="P8" s="33">
        <v>715.52349224061379</v>
      </c>
      <c r="Q8" s="5">
        <v>23.240860266542857</v>
      </c>
      <c r="R8" s="5">
        <v>5732.6983549586084</v>
      </c>
      <c r="S8" s="31"/>
      <c r="T8" s="23">
        <v>2198102.9615007732</v>
      </c>
      <c r="U8" s="33">
        <v>116.17355555554644</v>
      </c>
      <c r="V8" s="5">
        <v>6</v>
      </c>
      <c r="W8" s="5">
        <v>46</v>
      </c>
      <c r="X8" s="33">
        <v>1115.5648859914318</v>
      </c>
      <c r="Y8" s="5">
        <v>63.247115134665755</v>
      </c>
      <c r="Z8" s="5">
        <v>6707.6034847558267</v>
      </c>
      <c r="AA8" s="35"/>
    </row>
    <row r="9" spans="2:27" x14ac:dyDescent="0.2">
      <c r="B9" s="4">
        <v>6</v>
      </c>
      <c r="C9" s="4">
        <v>276</v>
      </c>
      <c r="D9" s="23">
        <v>1989288.804078256</v>
      </c>
      <c r="E9" s="33">
        <v>126.37844444443989</v>
      </c>
      <c r="F9" s="5">
        <v>7</v>
      </c>
      <c r="G9" s="23">
        <v>60</v>
      </c>
      <c r="H9" s="33">
        <v>1329.5537744338867</v>
      </c>
      <c r="I9" s="23">
        <v>45.299274799904261</v>
      </c>
      <c r="J9" s="5">
        <v>6729.6711173599142</v>
      </c>
      <c r="K9" s="31"/>
      <c r="L9" s="23">
        <v>2356152.8718292341</v>
      </c>
      <c r="M9" s="33">
        <v>275.27066666666514</v>
      </c>
      <c r="N9" s="5">
        <v>6</v>
      </c>
      <c r="O9" s="5">
        <v>32</v>
      </c>
      <c r="P9" s="33">
        <v>105.99202862414249</v>
      </c>
      <c r="Q9" s="5">
        <v>28.196985054377734</v>
      </c>
      <c r="R9" s="5">
        <v>4450.5080823062763</v>
      </c>
      <c r="S9" s="31"/>
      <c r="T9" s="23">
        <v>2219727.5949102929</v>
      </c>
      <c r="U9" s="33">
        <v>114.91311111112333</v>
      </c>
      <c r="V9" s="5">
        <v>6</v>
      </c>
      <c r="W9" s="5">
        <v>44</v>
      </c>
      <c r="X9" s="33">
        <v>1016.6662955899031</v>
      </c>
      <c r="Y9" s="5">
        <v>63.532048095467211</v>
      </c>
      <c r="Z9" s="5">
        <v>6508.2638704238461</v>
      </c>
      <c r="AA9" s="35"/>
    </row>
    <row r="10" spans="2:27" x14ac:dyDescent="0.2">
      <c r="B10" s="4">
        <v>7</v>
      </c>
      <c r="C10" s="4">
        <v>333</v>
      </c>
      <c r="D10" s="23">
        <v>1936117.924685752</v>
      </c>
      <c r="E10" s="33">
        <v>393.26399999999245</v>
      </c>
      <c r="F10" s="5">
        <v>5</v>
      </c>
      <c r="G10" s="23">
        <v>58</v>
      </c>
      <c r="H10" s="33">
        <v>848.14703804783585</v>
      </c>
      <c r="I10" s="23">
        <v>65.926527761913349</v>
      </c>
      <c r="J10" s="5">
        <v>6513.1175096455463</v>
      </c>
      <c r="K10" s="31"/>
      <c r="L10" s="23">
        <v>2206032.228071745</v>
      </c>
      <c r="M10" s="33">
        <v>311.86111111111109</v>
      </c>
      <c r="N10" s="5">
        <v>12</v>
      </c>
      <c r="O10" s="5">
        <v>51.333333333333343</v>
      </c>
      <c r="P10" s="33">
        <v>1205.3904516100251</v>
      </c>
      <c r="Q10" s="5">
        <v>21.118012849926213</v>
      </c>
      <c r="R10" s="5">
        <v>6012.6510812133292</v>
      </c>
      <c r="S10" s="31"/>
      <c r="T10" s="23">
        <v>2256636.7332578921</v>
      </c>
      <c r="U10" s="33">
        <v>74.493111111094365</v>
      </c>
      <c r="V10" s="5">
        <v>6</v>
      </c>
      <c r="W10" s="5">
        <v>46</v>
      </c>
      <c r="X10" s="33">
        <v>1710.6474197857926</v>
      </c>
      <c r="Y10" s="5">
        <v>70.950652457060883</v>
      </c>
      <c r="Z10" s="5">
        <v>7319.732407701078</v>
      </c>
      <c r="AA10" s="35"/>
    </row>
    <row r="11" spans="2:27" x14ac:dyDescent="0.2">
      <c r="B11" s="4">
        <v>8</v>
      </c>
      <c r="C11" s="4">
        <v>470</v>
      </c>
      <c r="D11" s="23">
        <v>1932197.7313140309</v>
      </c>
      <c r="E11" s="33">
        <v>82.944444444444443</v>
      </c>
      <c r="F11" s="5">
        <v>7</v>
      </c>
      <c r="G11" s="23">
        <v>64</v>
      </c>
      <c r="H11" s="33">
        <v>1354.4891072176674</v>
      </c>
      <c r="I11" s="23">
        <v>47.772469960118883</v>
      </c>
      <c r="J11" s="5">
        <v>6906.1269351588935</v>
      </c>
      <c r="K11" s="31"/>
      <c r="L11" s="23">
        <v>2200431.7559729768</v>
      </c>
      <c r="M11" s="33">
        <v>148.47911111112788</v>
      </c>
      <c r="N11" s="5">
        <v>11</v>
      </c>
      <c r="O11" s="5">
        <v>48</v>
      </c>
      <c r="P11" s="33">
        <v>802.87927564545896</v>
      </c>
      <c r="Q11" s="5">
        <v>23.641479687240352</v>
      </c>
      <c r="R11" s="5">
        <v>5650.6997284805921</v>
      </c>
      <c r="S11" s="31"/>
      <c r="T11" s="23">
        <v>2207032.6454003542</v>
      </c>
      <c r="U11" s="33">
        <v>52.392444444432243</v>
      </c>
      <c r="V11" s="5">
        <v>10</v>
      </c>
      <c r="W11" s="5">
        <v>58</v>
      </c>
      <c r="X11" s="33">
        <v>2197.8862796842614</v>
      </c>
      <c r="Y11" s="5">
        <v>50.612120803453045</v>
      </c>
      <c r="Z11" s="5">
        <v>7866.7834044297661</v>
      </c>
      <c r="AA11" s="35"/>
    </row>
    <row r="12" spans="2:27" x14ac:dyDescent="0.2">
      <c r="B12" s="4">
        <v>9</v>
      </c>
      <c r="C12" s="4">
        <v>95</v>
      </c>
      <c r="D12" s="23">
        <v>2047968.440602846</v>
      </c>
      <c r="E12" s="33">
        <v>78.729333333334779</v>
      </c>
      <c r="F12" s="5">
        <v>11</v>
      </c>
      <c r="G12" s="23">
        <v>88.666666666666671</v>
      </c>
      <c r="H12" s="33">
        <v>3319.4888103984713</v>
      </c>
      <c r="I12" s="23">
        <v>48.925184384230349</v>
      </c>
      <c r="J12" s="5">
        <v>9013.102276852951</v>
      </c>
      <c r="K12" s="31"/>
      <c r="L12" s="23">
        <v>2703068.7953831591</v>
      </c>
      <c r="M12" s="33">
        <v>167.66666666666666</v>
      </c>
      <c r="N12" s="5">
        <v>31</v>
      </c>
      <c r="O12" s="5">
        <v>78.666666666666671</v>
      </c>
      <c r="P12" s="33">
        <v>4206.6939053429769</v>
      </c>
      <c r="Q12" s="5">
        <v>15.119934910411743</v>
      </c>
      <c r="R12" s="5">
        <v>9528.7356498228855</v>
      </c>
      <c r="S12" s="31"/>
      <c r="T12" s="23">
        <v>2682504.3874561479</v>
      </c>
      <c r="U12" s="33">
        <v>82.375111111103436</v>
      </c>
      <c r="V12" s="5">
        <v>15</v>
      </c>
      <c r="W12" s="5">
        <v>62.666666666666657</v>
      </c>
      <c r="X12" s="33">
        <v>4836.8537339547447</v>
      </c>
      <c r="Y12" s="5">
        <v>41.402001275912347</v>
      </c>
      <c r="Z12" s="5">
        <v>10494.072039203009</v>
      </c>
      <c r="AA12" s="35"/>
    </row>
    <row r="13" spans="2:27" x14ac:dyDescent="0.2">
      <c r="B13" s="4">
        <v>10</v>
      </c>
      <c r="C13" s="4">
        <v>728</v>
      </c>
      <c r="D13" s="23">
        <v>1883230.382911654</v>
      </c>
      <c r="E13" s="33">
        <v>115.71533333334244</v>
      </c>
      <c r="F13" s="5">
        <v>6</v>
      </c>
      <c r="G13" s="23">
        <v>65.333333333333329</v>
      </c>
      <c r="H13" s="33">
        <v>1272.8604402614155</v>
      </c>
      <c r="I13" s="23">
        <v>57.563982937346488</v>
      </c>
      <c r="J13" s="5">
        <v>6838.2559109493741</v>
      </c>
      <c r="K13" s="31"/>
      <c r="L13" s="23">
        <v>2348660.8623134508</v>
      </c>
      <c r="M13" s="33">
        <v>67.430444444452121</v>
      </c>
      <c r="N13" s="5">
        <v>8</v>
      </c>
      <c r="O13" s="5">
        <v>38</v>
      </c>
      <c r="P13" s="33">
        <v>867.08803315023169</v>
      </c>
      <c r="Q13" s="5">
        <v>24.68242825754356</v>
      </c>
      <c r="R13" s="5">
        <v>5559.5917492349654</v>
      </c>
      <c r="S13" s="31"/>
      <c r="T13" s="23">
        <v>2275084.570272957</v>
      </c>
      <c r="U13" s="33">
        <v>148.37844444446577</v>
      </c>
      <c r="V13" s="5">
        <v>5</v>
      </c>
      <c r="W13" s="5">
        <v>42.666666666666657</v>
      </c>
      <c r="X13" s="33">
        <v>1171.4186561815372</v>
      </c>
      <c r="Y13" s="5">
        <v>70.282126190360572</v>
      </c>
      <c r="Z13" s="5">
        <v>6859.4834953043455</v>
      </c>
      <c r="AA13" s="35"/>
    </row>
    <row r="14" spans="2:27" x14ac:dyDescent="0.2">
      <c r="B14" s="46" t="s">
        <v>3</v>
      </c>
      <c r="C14" s="47"/>
      <c r="D14" s="9">
        <f>MIN(D4:D13)</f>
        <v>1829774.9902676949</v>
      </c>
      <c r="E14" s="22">
        <f>INDEX(E4:E13, MATCH($D$14, D4:D13, 0))</f>
        <v>103.67000000000311</v>
      </c>
      <c r="F14" s="9">
        <f>INDEX(F4:F13, MATCH($D$14, D4:D13, 0))</f>
        <v>7</v>
      </c>
      <c r="G14" s="9">
        <f>INDEX(G4:G13, MATCH($D$14, D4:D13, 0))</f>
        <v>69.333333333333329</v>
      </c>
      <c r="H14" s="22">
        <f>INDEX(H4:H13, MATCH($D$14, D4:D13, 0))</f>
        <v>1416.8119873218618</v>
      </c>
      <c r="I14" s="22">
        <f>INDEX(I4:I13, MATCH($D$14, D4:D13, 0))</f>
        <v>55.70480228082301</v>
      </c>
      <c r="J14" s="22">
        <f>INDEX(J4:J13, MATCH($D$14, D4:D13, 0))</f>
        <v>6894.7396796399935</v>
      </c>
      <c r="K14" s="32" t="e">
        <f>(D14-$D$15)/$D$15</f>
        <v>#DIV/0!</v>
      </c>
      <c r="L14" s="16">
        <f>MIN(L4:L13)</f>
        <v>2200431.7559729768</v>
      </c>
      <c r="M14" s="21">
        <f>INDEX(M4:M13, MATCH($L$14, L4:L13, 0))</f>
        <v>148.47911111112788</v>
      </c>
      <c r="N14" s="16">
        <f>INDEX(N4:N13, MATCH($L$14, L4:L13, 0))</f>
        <v>11</v>
      </c>
      <c r="O14" s="16">
        <f>INDEX(O4:O13, MATCH($L$14, L4:L13, 0))</f>
        <v>48</v>
      </c>
      <c r="P14" s="21">
        <f>INDEX(P4:P13, MATCH($L$14, L4:L13, 0))</f>
        <v>802.87927564545896</v>
      </c>
      <c r="Q14" s="21">
        <f>INDEX(Q4:Q13, MATCH($L$14, L4:L13, 0))</f>
        <v>23.641479687240352</v>
      </c>
      <c r="R14" s="21">
        <f>INDEX(R4:R13, MATCH($L$14, L4:L13, 0))</f>
        <v>5650.6997284805921</v>
      </c>
      <c r="S14" s="36" t="e">
        <f>(L14-$D$15)/$D$15</f>
        <v>#DIV/0!</v>
      </c>
      <c r="T14" s="38">
        <f>MIN(T4:T13)</f>
        <v>2198102.9615007732</v>
      </c>
      <c r="U14" s="39">
        <f>INDEX(U4:U13, MATCH($T$14, T4:T13, 0))</f>
        <v>116.17355555554644</v>
      </c>
      <c r="V14" s="38">
        <f>INDEX(V4:V13, MATCH($T$14, T4:T13, 0))</f>
        <v>6</v>
      </c>
      <c r="W14" s="38">
        <f>INDEX(W4:W13, MATCH($T$14, T4:T13, 0))</f>
        <v>46</v>
      </c>
      <c r="X14" s="39">
        <f>INDEX(X4:X13, MATCH($T$14, T4:T13, 0))</f>
        <v>1115.5648859914318</v>
      </c>
      <c r="Y14" s="39">
        <f>INDEX(Y4:Y13, MATCH($T$14, T4:T13, 0))</f>
        <v>63.247115134665755</v>
      </c>
      <c r="Z14" s="39">
        <f>INDEX(Z4:Z13, MATCH($T$14, T4:T13, 0))</f>
        <v>6707.6034847558267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61" priority="9"/>
    <cfRule type="duplicateValues" dxfId="60" priority="10"/>
  </conditionalFormatting>
  <conditionalFormatting sqref="C14">
    <cfRule type="duplicateValues" dxfId="59" priority="5"/>
    <cfRule type="duplicateValues" dxfId="58" priority="6"/>
  </conditionalFormatting>
  <conditionalFormatting sqref="C36:C39">
    <cfRule type="duplicateValues" dxfId="57" priority="3"/>
    <cfRule type="duplicateValues" dxfId="56" priority="4"/>
  </conditionalFormatting>
  <conditionalFormatting sqref="C17:C35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924F-E647-48AE-AB6D-9264B14EADF8}">
  <dimension ref="B1:AA17"/>
  <sheetViews>
    <sheetView zoomScale="70" zoomScaleNormal="7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-0.9869621632143839</v>
      </c>
      <c r="J2" s="28" t="e">
        <f>(S14-J14)/J14</f>
        <v>#DIV/0!</v>
      </c>
      <c r="K2" s="28"/>
      <c r="L2" s="1" t="s">
        <v>19</v>
      </c>
      <c r="P2" s="1">
        <f>(P14-H14)/H14</f>
        <v>-3.2949765853624038E-2</v>
      </c>
      <c r="R2" s="1">
        <f>(R14-J14)/J14</f>
        <v>-7.0400647718020584E-2</v>
      </c>
      <c r="T2" s="1" t="s">
        <v>20</v>
      </c>
      <c r="X2" s="1">
        <f>(X14-P14)/P14</f>
        <v>0.17610937281135469</v>
      </c>
      <c r="Z2" s="1">
        <f>(Z14-R14)/R14</f>
        <v>0.10975387027600825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735</v>
      </c>
      <c r="D4" s="23">
        <v>1573715.6864993819</v>
      </c>
      <c r="E4" s="33">
        <v>204.51044444442311</v>
      </c>
      <c r="F4" s="5">
        <v>10</v>
      </c>
      <c r="G4" s="23">
        <v>86.666666666666671</v>
      </c>
      <c r="H4" s="33">
        <v>1574.065917307732</v>
      </c>
      <c r="I4" s="23">
        <v>46.183452577035936</v>
      </c>
      <c r="J4" s="5">
        <v>6982.930655053543</v>
      </c>
      <c r="K4" s="31"/>
      <c r="L4" s="23">
        <v>2121604.5265657292</v>
      </c>
      <c r="M4" s="33">
        <v>85.111111111111114</v>
      </c>
      <c r="N4" s="5">
        <v>15</v>
      </c>
      <c r="O4" s="5">
        <v>59.333333333333343</v>
      </c>
      <c r="P4" s="33">
        <v>1460.5468432083242</v>
      </c>
      <c r="Q4" s="5">
        <v>20.394871155365198</v>
      </c>
      <c r="R4" s="5">
        <v>6260.7869714859235</v>
      </c>
      <c r="S4" s="31"/>
      <c r="T4" s="23">
        <v>2087856.938030018</v>
      </c>
      <c r="U4" s="33">
        <v>56.416666666666664</v>
      </c>
      <c r="V4" s="5">
        <v>6</v>
      </c>
      <c r="W4" s="5">
        <v>54</v>
      </c>
      <c r="X4" s="33">
        <v>1343.9421608884231</v>
      </c>
      <c r="Y4" s="5">
        <v>64.215473222217852</v>
      </c>
      <c r="Z4" s="5">
        <v>7036.8428361575752</v>
      </c>
      <c r="AA4" s="35"/>
    </row>
    <row r="5" spans="2:27" x14ac:dyDescent="0.2">
      <c r="B5" s="4">
        <v>2</v>
      </c>
      <c r="C5" s="4">
        <v>503</v>
      </c>
      <c r="D5" s="23">
        <v>1640350.1448310991</v>
      </c>
      <c r="E5" s="33">
        <v>92.25</v>
      </c>
      <c r="F5" s="5">
        <v>10</v>
      </c>
      <c r="G5" s="23">
        <v>84</v>
      </c>
      <c r="H5" s="33">
        <v>1570.229952101859</v>
      </c>
      <c r="I5" s="23">
        <v>44.012687312373707</v>
      </c>
      <c r="J5" s="5">
        <v>7144.8140812566089</v>
      </c>
      <c r="K5" s="31"/>
      <c r="L5" s="23">
        <v>2250852.3077580952</v>
      </c>
      <c r="M5" s="33">
        <v>163.75</v>
      </c>
      <c r="N5" s="5">
        <v>12</v>
      </c>
      <c r="O5" s="5">
        <v>46.666666666666657</v>
      </c>
      <c r="P5" s="33">
        <v>1072.6338669791298</v>
      </c>
      <c r="Q5" s="5">
        <v>18.803029837893334</v>
      </c>
      <c r="R5" s="5">
        <v>5670.5713978695521</v>
      </c>
      <c r="S5" s="31"/>
      <c r="T5" s="23">
        <v>2178582.1682475819</v>
      </c>
      <c r="U5" s="33">
        <v>51.506888888879779</v>
      </c>
      <c r="V5" s="5">
        <v>6</v>
      </c>
      <c r="W5" s="5">
        <v>48</v>
      </c>
      <c r="X5" s="33">
        <v>1339.0903445795079</v>
      </c>
      <c r="Y5" s="5">
        <v>61.296355116779658</v>
      </c>
      <c r="Z5" s="5">
        <v>6928.8283126674523</v>
      </c>
      <c r="AA5" s="35"/>
    </row>
    <row r="6" spans="2:27" x14ac:dyDescent="0.2">
      <c r="B6" s="4">
        <v>3</v>
      </c>
      <c r="C6" s="4">
        <v>837</v>
      </c>
      <c r="D6" s="23">
        <v>1579549.970106205</v>
      </c>
      <c r="E6" s="33">
        <v>133.81577777777179</v>
      </c>
      <c r="F6" s="5">
        <v>10</v>
      </c>
      <c r="G6" s="23">
        <v>90.666666666666671</v>
      </c>
      <c r="H6" s="33">
        <v>1899.2562490008681</v>
      </c>
      <c r="I6" s="23">
        <v>50.772294917533557</v>
      </c>
      <c r="J6" s="5">
        <v>7252.1257068542418</v>
      </c>
      <c r="K6" s="31"/>
      <c r="L6" s="23">
        <v>2310556.7103743041</v>
      </c>
      <c r="M6" s="33">
        <v>137.16311111109746</v>
      </c>
      <c r="N6" s="5">
        <v>13</v>
      </c>
      <c r="O6" s="5">
        <v>44.666666666666657</v>
      </c>
      <c r="P6" s="33">
        <v>778.105438650162</v>
      </c>
      <c r="Q6" s="5">
        <v>15.738214736291074</v>
      </c>
      <c r="R6" s="5">
        <v>5587.6317068376375</v>
      </c>
      <c r="S6" s="31"/>
      <c r="T6" s="23">
        <v>2037856.2465866441</v>
      </c>
      <c r="U6" s="33">
        <v>102.88555555555244</v>
      </c>
      <c r="V6" s="5">
        <v>8</v>
      </c>
      <c r="W6" s="5">
        <v>60</v>
      </c>
      <c r="X6" s="33">
        <v>1707.2846747967178</v>
      </c>
      <c r="Y6" s="5">
        <v>53.597110823404236</v>
      </c>
      <c r="Z6" s="5">
        <v>7263.5187448485804</v>
      </c>
      <c r="AA6" s="35"/>
    </row>
    <row r="7" spans="2:27" x14ac:dyDescent="0.2">
      <c r="B7" s="4">
        <v>4</v>
      </c>
      <c r="C7" s="4">
        <v>420</v>
      </c>
      <c r="D7" s="23">
        <v>1548969.7794314399</v>
      </c>
      <c r="E7" s="33">
        <v>113.29511111110656</v>
      </c>
      <c r="F7" s="5">
        <v>10</v>
      </c>
      <c r="G7" s="23">
        <v>85.333333333333329</v>
      </c>
      <c r="H7" s="33">
        <v>1334.1966733961183</v>
      </c>
      <c r="I7" s="23">
        <v>45.272175539889517</v>
      </c>
      <c r="J7" s="5">
        <v>6793.4092855904155</v>
      </c>
      <c r="K7" s="31"/>
      <c r="L7" s="23">
        <v>2365645.283272224</v>
      </c>
      <c r="M7" s="33">
        <v>161.28822222220091</v>
      </c>
      <c r="N7" s="5">
        <v>23</v>
      </c>
      <c r="O7" s="5">
        <v>54.666666666666657</v>
      </c>
      <c r="P7" s="33">
        <v>1419.0162546255808</v>
      </c>
      <c r="Q7" s="5">
        <v>11.435161573384544</v>
      </c>
      <c r="R7" s="5">
        <v>6095.8171619410869</v>
      </c>
      <c r="S7" s="31"/>
      <c r="T7" s="23">
        <v>2105433.6089882948</v>
      </c>
      <c r="U7" s="33">
        <v>122.37866666667267</v>
      </c>
      <c r="V7" s="5">
        <v>5</v>
      </c>
      <c r="W7" s="5">
        <v>48.666666666666657</v>
      </c>
      <c r="X7" s="33">
        <v>802.10003796338879</v>
      </c>
      <c r="Y7" s="5">
        <v>69.051734658352018</v>
      </c>
      <c r="Z7" s="5">
        <v>6558.0613287023116</v>
      </c>
      <c r="AA7" s="35"/>
    </row>
    <row r="8" spans="2:27" x14ac:dyDescent="0.2">
      <c r="B8" s="4">
        <v>5</v>
      </c>
      <c r="C8" s="4">
        <v>464</v>
      </c>
      <c r="D8" s="23">
        <v>1768455.4701188181</v>
      </c>
      <c r="E8" s="33">
        <v>106.67000000000311</v>
      </c>
      <c r="F8" s="5">
        <v>9</v>
      </c>
      <c r="G8" s="23">
        <v>88.666666666666671</v>
      </c>
      <c r="H8" s="33">
        <v>2456.1530242202093</v>
      </c>
      <c r="I8" s="23">
        <v>52.199684143347866</v>
      </c>
      <c r="J8" s="5">
        <v>7918.5108583163174</v>
      </c>
      <c r="K8" s="31"/>
      <c r="L8" s="23">
        <v>2662506.7048602649</v>
      </c>
      <c r="M8" s="33">
        <v>121.68044444442623</v>
      </c>
      <c r="N8" s="5">
        <v>14</v>
      </c>
      <c r="O8" s="5">
        <v>28.666666666666671</v>
      </c>
      <c r="P8" s="33">
        <v>1175.545879740481</v>
      </c>
      <c r="Q8" s="5">
        <v>10.799353313719353</v>
      </c>
      <c r="R8" s="5">
        <v>5421.2119289021502</v>
      </c>
      <c r="S8" s="31"/>
      <c r="T8" s="23">
        <v>2220757.65220385</v>
      </c>
      <c r="U8" s="33">
        <v>146.59044444444589</v>
      </c>
      <c r="V8" s="5">
        <v>8</v>
      </c>
      <c r="W8" s="5">
        <v>46.666666666666657</v>
      </c>
      <c r="X8" s="33">
        <v>1296.0850749810415</v>
      </c>
      <c r="Y8" s="5">
        <v>54.383778818190478</v>
      </c>
      <c r="Z8" s="5">
        <v>6808.4742956150067</v>
      </c>
      <c r="AA8" s="35"/>
    </row>
    <row r="9" spans="2:27" x14ac:dyDescent="0.2">
      <c r="B9" s="4">
        <v>6</v>
      </c>
      <c r="C9" s="4">
        <v>787</v>
      </c>
      <c r="D9" s="23">
        <v>1552357.953938659</v>
      </c>
      <c r="E9" s="33">
        <v>220.87133333332733</v>
      </c>
      <c r="F9" s="5">
        <v>8</v>
      </c>
      <c r="G9" s="23">
        <v>86</v>
      </c>
      <c r="H9" s="33">
        <v>1512.6656693341722</v>
      </c>
      <c r="I9" s="23">
        <v>57.005102441339844</v>
      </c>
      <c r="J9" s="5">
        <v>7054.9478268906996</v>
      </c>
      <c r="K9" s="31"/>
      <c r="L9" s="23">
        <v>2276048.4442740208</v>
      </c>
      <c r="M9" s="33">
        <v>141.00355555554336</v>
      </c>
      <c r="N9" s="5">
        <v>19</v>
      </c>
      <c r="O9" s="5">
        <v>54</v>
      </c>
      <c r="P9" s="33">
        <v>1235.658594749656</v>
      </c>
      <c r="Q9" s="5">
        <v>13.451774018084855</v>
      </c>
      <c r="R9" s="5">
        <v>5936.5443096723875</v>
      </c>
      <c r="S9" s="31"/>
      <c r="T9" s="23">
        <v>2069567.67499165</v>
      </c>
      <c r="U9" s="33">
        <v>96.840222222213114</v>
      </c>
      <c r="V9" s="5">
        <v>5</v>
      </c>
      <c r="W9" s="5">
        <v>50.666666666666657</v>
      </c>
      <c r="X9" s="33">
        <v>821.01497714994298</v>
      </c>
      <c r="Y9" s="5">
        <v>68.641057566246261</v>
      </c>
      <c r="Z9" s="5">
        <v>6593.4664287982487</v>
      </c>
      <c r="AA9" s="35"/>
    </row>
    <row r="10" spans="2:27" x14ac:dyDescent="0.2">
      <c r="B10" s="4">
        <v>7</v>
      </c>
      <c r="C10" s="4">
        <v>259</v>
      </c>
      <c r="D10" s="23">
        <v>1952269.199696488</v>
      </c>
      <c r="E10" s="33">
        <v>119.66311111112333</v>
      </c>
      <c r="F10" s="5">
        <v>10</v>
      </c>
      <c r="G10" s="23">
        <v>88.666666666666671</v>
      </c>
      <c r="H10" s="33">
        <v>3071.1368835861344</v>
      </c>
      <c r="I10" s="23">
        <v>47.364766590550396</v>
      </c>
      <c r="J10" s="5">
        <v>8773.2374717951952</v>
      </c>
      <c r="K10" s="31"/>
      <c r="L10" s="23">
        <v>2079114.6780572161</v>
      </c>
      <c r="M10" s="33">
        <v>478.26377777778532</v>
      </c>
      <c r="N10" s="5">
        <v>17</v>
      </c>
      <c r="O10" s="5">
        <v>65.333333333333329</v>
      </c>
      <c r="P10" s="33">
        <v>1451.6376744074826</v>
      </c>
      <c r="Q10" s="5">
        <v>19.571077491628376</v>
      </c>
      <c r="R10" s="5">
        <v>6545.1618952606686</v>
      </c>
      <c r="S10" s="31"/>
      <c r="T10" s="23">
        <v>2483236.2405830389</v>
      </c>
      <c r="U10" s="33">
        <v>157.15288888890711</v>
      </c>
      <c r="V10" s="5">
        <v>18</v>
      </c>
      <c r="W10" s="5">
        <v>62</v>
      </c>
      <c r="X10" s="33">
        <v>3791.3725301900149</v>
      </c>
      <c r="Y10" s="5">
        <v>37.582015957045996</v>
      </c>
      <c r="Z10" s="5">
        <v>9043.3205013231873</v>
      </c>
      <c r="AA10" s="35"/>
    </row>
    <row r="11" spans="2:27" x14ac:dyDescent="0.2">
      <c r="B11" s="4">
        <v>8</v>
      </c>
      <c r="C11" s="4">
        <v>698</v>
      </c>
      <c r="D11" s="23">
        <v>1544270.7538074381</v>
      </c>
      <c r="E11" s="33">
        <v>145.36822222222366</v>
      </c>
      <c r="F11" s="5">
        <v>9</v>
      </c>
      <c r="G11" s="23">
        <v>87.333333333333329</v>
      </c>
      <c r="H11" s="33">
        <v>1501.0985191362436</v>
      </c>
      <c r="I11" s="23">
        <v>51.9801820850562</v>
      </c>
      <c r="J11" s="5">
        <v>7040.8417122856345</v>
      </c>
      <c r="K11" s="31"/>
      <c r="L11" s="23">
        <v>2118325.8239319529</v>
      </c>
      <c r="M11" s="33">
        <v>157.26399999999234</v>
      </c>
      <c r="N11" s="5">
        <v>14</v>
      </c>
      <c r="O11" s="5">
        <v>56</v>
      </c>
      <c r="P11" s="33">
        <v>994.41065643384059</v>
      </c>
      <c r="Q11" s="5">
        <v>19.735987079701232</v>
      </c>
      <c r="R11" s="5">
        <v>5874.0891933186622</v>
      </c>
      <c r="S11" s="31"/>
      <c r="T11" s="23">
        <v>2067526.4470232499</v>
      </c>
      <c r="U11" s="33">
        <v>146.54155555556321</v>
      </c>
      <c r="V11" s="5">
        <v>5</v>
      </c>
      <c r="W11" s="5">
        <v>52</v>
      </c>
      <c r="X11" s="33">
        <v>1059.2015458934443</v>
      </c>
      <c r="Y11" s="5">
        <v>68.747724758085525</v>
      </c>
      <c r="Z11" s="5">
        <v>6805.6877986378659</v>
      </c>
      <c r="AA11" s="35"/>
    </row>
    <row r="12" spans="2:27" x14ac:dyDescent="0.2">
      <c r="B12" s="4">
        <v>9</v>
      </c>
      <c r="C12" s="4">
        <v>895</v>
      </c>
      <c r="D12" s="23">
        <v>1580051.3223419811</v>
      </c>
      <c r="E12" s="33">
        <v>197.02088888887212</v>
      </c>
      <c r="F12" s="5">
        <v>8</v>
      </c>
      <c r="G12" s="23">
        <v>84.666666666666671</v>
      </c>
      <c r="H12" s="33">
        <v>1535.0283980190202</v>
      </c>
      <c r="I12" s="23">
        <v>57.212799059487949</v>
      </c>
      <c r="J12" s="5">
        <v>7082.9245174845591</v>
      </c>
      <c r="K12" s="31"/>
      <c r="L12" s="23">
        <v>2097363.2855620328</v>
      </c>
      <c r="M12" s="33">
        <v>538.14577777776867</v>
      </c>
      <c r="N12" s="5">
        <v>12</v>
      </c>
      <c r="O12" s="5">
        <v>52.666666666666657</v>
      </c>
      <c r="P12" s="33">
        <v>854.05283702747772</v>
      </c>
      <c r="Q12" s="5">
        <v>21.765623209181285</v>
      </c>
      <c r="R12" s="5">
        <v>5517.5999296286554</v>
      </c>
      <c r="S12" s="31"/>
      <c r="T12" s="23">
        <v>2073171.7230639721</v>
      </c>
      <c r="U12" s="33">
        <v>131.20844444443679</v>
      </c>
      <c r="V12" s="5">
        <v>5</v>
      </c>
      <c r="W12" s="5">
        <v>52.666666666666657</v>
      </c>
      <c r="X12" s="33">
        <v>1210.2562733443572</v>
      </c>
      <c r="Y12" s="5">
        <v>70.494947656953997</v>
      </c>
      <c r="Z12" s="5">
        <v>6954.1212493521371</v>
      </c>
      <c r="AA12" s="35"/>
    </row>
    <row r="13" spans="2:27" x14ac:dyDescent="0.2">
      <c r="B13" s="4">
        <v>10</v>
      </c>
      <c r="C13" s="4">
        <v>880</v>
      </c>
      <c r="D13" s="23">
        <v>1549595.88286023</v>
      </c>
      <c r="E13" s="33">
        <v>130.6320000000091</v>
      </c>
      <c r="F13" s="5">
        <v>9</v>
      </c>
      <c r="G13" s="23">
        <v>87.333333333333329</v>
      </c>
      <c r="H13" s="33">
        <v>1492.1090137542667</v>
      </c>
      <c r="I13" s="23">
        <v>51.599810997230342</v>
      </c>
      <c r="J13" s="5">
        <v>7085.5108054299571</v>
      </c>
      <c r="K13" s="31"/>
      <c r="L13" s="23">
        <v>2476544.285118965</v>
      </c>
      <c r="M13" s="33">
        <v>123.86111111111111</v>
      </c>
      <c r="N13" s="5">
        <v>24</v>
      </c>
      <c r="O13" s="5">
        <v>62</v>
      </c>
      <c r="P13" s="33">
        <v>2627.7736855496487</v>
      </c>
      <c r="Q13" s="5">
        <v>13.028974783140798</v>
      </c>
      <c r="R13" s="5">
        <v>7864.724768856966</v>
      </c>
      <c r="S13" s="31"/>
      <c r="T13" s="23">
        <v>2224227.0390982018</v>
      </c>
      <c r="U13" s="33">
        <v>155.52088888889799</v>
      </c>
      <c r="V13" s="5">
        <v>6</v>
      </c>
      <c r="W13" s="5">
        <v>48</v>
      </c>
      <c r="X13" s="33">
        <v>1616.716160099839</v>
      </c>
      <c r="Y13" s="5">
        <v>53.697609010032416</v>
      </c>
      <c r="Z13" s="5">
        <v>7231.3143162823026</v>
      </c>
      <c r="AA13" s="35"/>
    </row>
    <row r="14" spans="2:27" x14ac:dyDescent="0.2">
      <c r="B14" s="46" t="s">
        <v>3</v>
      </c>
      <c r="C14" s="47"/>
      <c r="D14" s="9">
        <f>MIN(D4:D13)</f>
        <v>1544270.7538074381</v>
      </c>
      <c r="E14" s="22">
        <f>INDEX(E4:E13, MATCH($D$14, D4:D13, 0))</f>
        <v>145.36822222222366</v>
      </c>
      <c r="F14" s="9">
        <f>INDEX(F4:F13, MATCH($D$14, D4:D13, 0))</f>
        <v>9</v>
      </c>
      <c r="G14" s="9">
        <f>INDEX(G4:G13, MATCH($D$14, D4:D13, 0))</f>
        <v>87.333333333333329</v>
      </c>
      <c r="H14" s="22">
        <f>INDEX(H4:H13, MATCH($D$14, D4:D13, 0))</f>
        <v>1501.0985191362436</v>
      </c>
      <c r="I14" s="22">
        <f>INDEX(I4:I13, MATCH($D$14, D4:D13, 0))</f>
        <v>51.9801820850562</v>
      </c>
      <c r="J14" s="22">
        <f>INDEX(J4:J13, MATCH($D$14, D4:D13, 0))</f>
        <v>7040.8417122856345</v>
      </c>
      <c r="K14" s="32" t="e">
        <f>(D14-$D$15)/$D$15</f>
        <v>#DIV/0!</v>
      </c>
      <c r="L14" s="16">
        <f>MIN(L4:L13)</f>
        <v>2079114.6780572161</v>
      </c>
      <c r="M14" s="21">
        <f>INDEX(M4:M13, MATCH($L$14, L4:L13, 0))</f>
        <v>478.26377777778532</v>
      </c>
      <c r="N14" s="16">
        <f>INDEX(N4:N13, MATCH($L$14, L4:L13, 0))</f>
        <v>17</v>
      </c>
      <c r="O14" s="16">
        <f>INDEX(O4:O13, MATCH($L$14, L4:L13, 0))</f>
        <v>65.333333333333329</v>
      </c>
      <c r="P14" s="21">
        <f>INDEX(P4:P13, MATCH($L$14, L4:L13, 0))</f>
        <v>1451.6376744074826</v>
      </c>
      <c r="Q14" s="21">
        <f>INDEX(Q4:Q13, MATCH($L$14, L4:L13, 0))</f>
        <v>19.571077491628376</v>
      </c>
      <c r="R14" s="21">
        <f>INDEX(R4:R13, MATCH($L$14, L4:L13, 0))</f>
        <v>6545.1618952606686</v>
      </c>
      <c r="S14" s="36" t="e">
        <f>(L14-$D$15)/$D$15</f>
        <v>#DIV/0!</v>
      </c>
      <c r="T14" s="38">
        <f>MIN(T4:T13)</f>
        <v>2037856.2465866441</v>
      </c>
      <c r="U14" s="39">
        <f>INDEX(U4:U13, MATCH($T$14, T4:T13, 0))</f>
        <v>102.88555555555244</v>
      </c>
      <c r="V14" s="38">
        <f>INDEX(V4:V13, MATCH($T$14, T4:T13, 0))</f>
        <v>8</v>
      </c>
      <c r="W14" s="38">
        <f>INDEX(W4:W13, MATCH($T$14, T4:T13, 0))</f>
        <v>60</v>
      </c>
      <c r="X14" s="39">
        <f>INDEX(X4:X13, MATCH($T$14, T4:T13, 0))</f>
        <v>1707.2846747967178</v>
      </c>
      <c r="Y14" s="39">
        <f>INDEX(Y4:Y13, MATCH($T$14, T4:T13, 0))</f>
        <v>53.597110823404236</v>
      </c>
      <c r="Z14" s="39">
        <f>INDEX(Z4:Z13, MATCH($T$14, T4:T13, 0))</f>
        <v>7263.5187448485804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40:C1048576">
    <cfRule type="duplicateValues" dxfId="55" priority="9"/>
    <cfRule type="duplicateValues" dxfId="54" priority="10"/>
  </conditionalFormatting>
  <conditionalFormatting sqref="C14">
    <cfRule type="duplicateValues" dxfId="53" priority="5"/>
    <cfRule type="duplicateValues" dxfId="52" priority="6"/>
  </conditionalFormatting>
  <conditionalFormatting sqref="C36:C39">
    <cfRule type="duplicateValues" dxfId="51" priority="3"/>
    <cfRule type="duplicateValues" dxfId="50" priority="4"/>
  </conditionalFormatting>
  <conditionalFormatting sqref="C17:C3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results107</vt:lpstr>
      <vt:lpstr>results130</vt:lpstr>
      <vt:lpstr>results191</vt:lpstr>
      <vt:lpstr>results199</vt:lpstr>
      <vt:lpstr>results211</vt:lpstr>
      <vt:lpstr>results299</vt:lpstr>
      <vt:lpstr>results603</vt:lpstr>
      <vt:lpstr>results732</vt:lpstr>
      <vt:lpstr>results986</vt:lpstr>
      <vt:lpstr>results990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2026-10-21T19:48:40Z</dcterms:modified>
</cp:coreProperties>
</file>