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ALNS/150-10-10/"/>
    </mc:Choice>
  </mc:AlternateContent>
  <xr:revisionPtr revIDLastSave="0" documentId="13_ncr:1_{299DEE99-8067-764F-BFA4-A9891A60C630}" xr6:coauthVersionLast="47" xr6:coauthVersionMax="47" xr10:uidLastSave="{00000000-0000-0000-0000-000000000000}"/>
  <bookViews>
    <workbookView xWindow="0" yWindow="760" windowWidth="34560" windowHeight="20500" tabRatio="857" activeTab="10" xr2:uid="{41E620E7-D6DF-9342-B452-EA60AB3B07C5}"/>
  </bookViews>
  <sheets>
    <sheet name="Summary" sheetId="68" r:id="rId1"/>
    <sheet name="results45" sheetId="58" r:id="rId2"/>
    <sheet name="results229" sheetId="69" r:id="rId3"/>
    <sheet name="results268" sheetId="70" r:id="rId4"/>
    <sheet name="results346" sheetId="71" r:id="rId5"/>
    <sheet name="results418" sheetId="72" r:id="rId6"/>
    <sheet name="results464" sheetId="76" r:id="rId7"/>
    <sheet name="results658" sheetId="77" r:id="rId8"/>
    <sheet name="results720" sheetId="78" r:id="rId9"/>
    <sheet name="results846" sheetId="79" r:id="rId10"/>
    <sheet name="results910" sheetId="73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8" l="1"/>
  <c r="G14" i="58" s="1"/>
  <c r="D14" i="69"/>
  <c r="G14" i="69" s="1"/>
  <c r="K14" i="70"/>
  <c r="J14" i="70"/>
  <c r="I14" i="70"/>
  <c r="H14" i="70"/>
  <c r="D14" i="70"/>
  <c r="G14" i="70" s="1"/>
  <c r="J14" i="71"/>
  <c r="I14" i="71"/>
  <c r="H14" i="71"/>
  <c r="D14" i="71"/>
  <c r="G14" i="71" s="1"/>
  <c r="K14" i="72"/>
  <c r="J14" i="72"/>
  <c r="I14" i="72"/>
  <c r="H14" i="72"/>
  <c r="F14" i="72"/>
  <c r="E14" i="72"/>
  <c r="D14" i="72"/>
  <c r="G14" i="72" s="1"/>
  <c r="T14" i="76"/>
  <c r="AA14" i="76" s="1"/>
  <c r="K14" i="76"/>
  <c r="J14" i="76"/>
  <c r="I14" i="76"/>
  <c r="H14" i="76"/>
  <c r="D14" i="76"/>
  <c r="G14" i="76" s="1"/>
  <c r="D14" i="77"/>
  <c r="G14" i="77" s="1"/>
  <c r="K14" i="78"/>
  <c r="J14" i="78"/>
  <c r="I14" i="78"/>
  <c r="H14" i="78"/>
  <c r="D14" i="78"/>
  <c r="G14" i="78" s="1"/>
  <c r="K14" i="79"/>
  <c r="J14" i="79"/>
  <c r="I14" i="79"/>
  <c r="H14" i="79"/>
  <c r="D14" i="79"/>
  <c r="G14" i="79" s="1"/>
  <c r="W14" i="73"/>
  <c r="V14" i="73"/>
  <c r="T14" i="73"/>
  <c r="AA14" i="73" s="1"/>
  <c r="K14" i="73"/>
  <c r="J14" i="73"/>
  <c r="I14" i="73"/>
  <c r="H14" i="73"/>
  <c r="D14" i="73"/>
  <c r="G14" i="73" s="1"/>
  <c r="I14" i="58" l="1"/>
  <c r="J14" i="58"/>
  <c r="K14" i="58"/>
  <c r="H14" i="58"/>
  <c r="E14" i="58"/>
  <c r="F14" i="58"/>
  <c r="I14" i="69"/>
  <c r="K14" i="69"/>
  <c r="J14" i="69"/>
  <c r="H14" i="69"/>
  <c r="E14" i="69"/>
  <c r="F14" i="69"/>
  <c r="E14" i="70"/>
  <c r="F14" i="70"/>
  <c r="K14" i="71"/>
  <c r="E14" i="71"/>
  <c r="F14" i="71"/>
  <c r="U14" i="76"/>
  <c r="V14" i="76"/>
  <c r="X14" i="76"/>
  <c r="W14" i="76"/>
  <c r="E14" i="76"/>
  <c r="F14" i="76"/>
  <c r="Z14" i="76"/>
  <c r="Y14" i="76"/>
  <c r="H14" i="77"/>
  <c r="I14" i="77"/>
  <c r="J14" i="77"/>
  <c r="K14" i="77"/>
  <c r="E14" i="77"/>
  <c r="F14" i="77"/>
  <c r="E14" i="78"/>
  <c r="F14" i="78"/>
  <c r="E14" i="79"/>
  <c r="F14" i="79"/>
  <c r="U14" i="73"/>
  <c r="X14" i="73"/>
  <c r="Y14" i="73"/>
  <c r="F14" i="73"/>
  <c r="Z14" i="73"/>
  <c r="E14" i="73"/>
  <c r="L14" i="73" l="1"/>
  <c r="P14" i="73" s="1"/>
  <c r="L14" i="79"/>
  <c r="S14" i="79" s="1"/>
  <c r="J2" i="79" s="1"/>
  <c r="L14" i="78"/>
  <c r="P14" i="78" s="1"/>
  <c r="L14" i="77"/>
  <c r="P14" i="77" s="1"/>
  <c r="L14" i="76"/>
  <c r="R14" i="76" s="1"/>
  <c r="L14" i="71"/>
  <c r="L14" i="70"/>
  <c r="L14" i="69"/>
  <c r="S14" i="69" s="1"/>
  <c r="J2" i="69" s="1"/>
  <c r="T14" i="77"/>
  <c r="L14" i="72"/>
  <c r="T14" i="69"/>
  <c r="R14" i="69"/>
  <c r="Q14" i="69"/>
  <c r="P14" i="69"/>
  <c r="O14" i="69"/>
  <c r="N14" i="69"/>
  <c r="M14" i="69"/>
  <c r="T14" i="70"/>
  <c r="S14" i="70"/>
  <c r="J2" i="70" s="1"/>
  <c r="R14" i="70"/>
  <c r="M14" i="70"/>
  <c r="Q14" i="70"/>
  <c r="P14" i="70"/>
  <c r="O14" i="70"/>
  <c r="N14" i="70"/>
  <c r="AA14" i="70"/>
  <c r="Y14" i="70"/>
  <c r="X14" i="70"/>
  <c r="V14" i="70"/>
  <c r="U14" i="70"/>
  <c r="Z14" i="70"/>
  <c r="W14" i="70"/>
  <c r="T14" i="71"/>
  <c r="AA14" i="71" s="1"/>
  <c r="S14" i="71"/>
  <c r="J2" i="71" s="1"/>
  <c r="R14" i="71"/>
  <c r="P14" i="71"/>
  <c r="Q14" i="71"/>
  <c r="N14" i="71"/>
  <c r="M14" i="71"/>
  <c r="O14" i="71"/>
  <c r="S14" i="72"/>
  <c r="J2" i="72" s="1"/>
  <c r="R14" i="72"/>
  <c r="Q14" i="72"/>
  <c r="P14" i="72"/>
  <c r="O14" i="72"/>
  <c r="N14" i="72"/>
  <c r="M14" i="72"/>
  <c r="T14" i="72"/>
  <c r="Q14" i="76"/>
  <c r="N14" i="76"/>
  <c r="S14" i="76"/>
  <c r="J2" i="76" s="1"/>
  <c r="P14" i="76"/>
  <c r="O14" i="76"/>
  <c r="M14" i="76"/>
  <c r="AA14" i="77"/>
  <c r="Z14" i="77"/>
  <c r="Y14" i="77"/>
  <c r="V14" i="77"/>
  <c r="X14" i="77"/>
  <c r="U14" i="77"/>
  <c r="W14" i="77"/>
  <c r="S14" i="77"/>
  <c r="J2" i="77" s="1"/>
  <c r="R14" i="77"/>
  <c r="Q14" i="77"/>
  <c r="O14" i="77"/>
  <c r="M14" i="77"/>
  <c r="N14" i="77"/>
  <c r="T14" i="78"/>
  <c r="W14" i="78" s="1"/>
  <c r="S14" i="78"/>
  <c r="J2" i="78" s="1"/>
  <c r="O14" i="78"/>
  <c r="Q14" i="78"/>
  <c r="N14" i="78"/>
  <c r="R14" i="78"/>
  <c r="M14" i="78"/>
  <c r="T14" i="79"/>
  <c r="N14" i="79"/>
  <c r="M14" i="79"/>
  <c r="AA14" i="79"/>
  <c r="Z14" i="79"/>
  <c r="X14" i="79"/>
  <c r="W14" i="79"/>
  <c r="Y14" i="79"/>
  <c r="V14" i="79"/>
  <c r="U14" i="79"/>
  <c r="Q14" i="73"/>
  <c r="O14" i="73"/>
  <c r="M14" i="73"/>
  <c r="R14" i="73"/>
  <c r="S14" i="73" l="1"/>
  <c r="J2" i="73" s="1"/>
  <c r="N14" i="73"/>
  <c r="Q14" i="79"/>
  <c r="P14" i="79"/>
  <c r="R14" i="79"/>
  <c r="Z2" i="79" s="1"/>
  <c r="O14" i="79"/>
  <c r="AA14" i="69"/>
  <c r="Z14" i="69"/>
  <c r="Y14" i="69"/>
  <c r="W14" i="69"/>
  <c r="V14" i="69"/>
  <c r="U14" i="69"/>
  <c r="X14" i="69"/>
  <c r="X2" i="69" s="1"/>
  <c r="U14" i="71"/>
  <c r="V14" i="71"/>
  <c r="W14" i="71"/>
  <c r="X14" i="71"/>
  <c r="X2" i="71" s="1"/>
  <c r="Y14" i="71"/>
  <c r="Z14" i="71"/>
  <c r="AA14" i="72"/>
  <c r="Z14" i="72"/>
  <c r="Y14" i="72"/>
  <c r="X14" i="72"/>
  <c r="W14" i="72"/>
  <c r="U14" i="72"/>
  <c r="V14" i="72"/>
  <c r="U14" i="78"/>
  <c r="V14" i="78"/>
  <c r="AA14" i="78"/>
  <c r="X14" i="78"/>
  <c r="Y14" i="78"/>
  <c r="Z14" i="78"/>
  <c r="Z2" i="78" s="1"/>
  <c r="Z2" i="77"/>
  <c r="Z2" i="76"/>
  <c r="H2" i="76"/>
  <c r="H2" i="77"/>
  <c r="P2" i="77"/>
  <c r="X2" i="79"/>
  <c r="P2" i="76"/>
  <c r="R2" i="79"/>
  <c r="R2" i="73"/>
  <c r="R2" i="72"/>
  <c r="H2" i="70"/>
  <c r="X2" i="73"/>
  <c r="P2" i="78"/>
  <c r="X2" i="78"/>
  <c r="R2" i="78"/>
  <c r="X2" i="77"/>
  <c r="X2" i="72"/>
  <c r="R2" i="77"/>
  <c r="R2" i="71"/>
  <c r="Z2" i="69"/>
  <c r="X2" i="76"/>
  <c r="Z2" i="72"/>
  <c r="R2" i="76"/>
  <c r="Z2" i="73"/>
  <c r="X2" i="70"/>
  <c r="H2" i="78"/>
  <c r="P2" i="79"/>
  <c r="H2" i="79"/>
  <c r="R2" i="70"/>
  <c r="R2" i="69"/>
  <c r="P2" i="73"/>
  <c r="H2" i="73"/>
  <c r="P2" i="72"/>
  <c r="H2" i="72"/>
  <c r="Z2" i="70"/>
  <c r="Z2" i="71"/>
  <c r="P2" i="71"/>
  <c r="P2" i="70"/>
  <c r="H2" i="71"/>
  <c r="P2" i="69"/>
  <c r="H2" i="69"/>
  <c r="V7" i="68" a="1"/>
  <c r="I5" i="68" a="1"/>
  <c r="W9" i="68" a="1"/>
  <c r="T10" i="68" a="1"/>
  <c r="L6" i="68" a="1"/>
  <c r="Q6" i="68" a="1"/>
  <c r="D12" i="68" a="1"/>
  <c r="W7" i="68" a="1"/>
  <c r="E12" i="68" a="1"/>
  <c r="E8" i="68" a="1"/>
  <c r="N11" i="68" a="1"/>
  <c r="V4" i="68" a="1"/>
  <c r="M4" i="68" a="1"/>
  <c r="S8" i="68" a="1"/>
  <c r="G7" i="68" a="1"/>
  <c r="S6" i="68" a="1"/>
  <c r="I10" i="68" a="1"/>
  <c r="C7" i="68" a="1"/>
  <c r="N4" i="68" a="1"/>
  <c r="O8" i="68" a="1"/>
  <c r="G8" i="68" a="1"/>
  <c r="P12" i="68" a="1"/>
  <c r="D5" i="68" a="1"/>
  <c r="K5" i="68" a="1"/>
  <c r="V9" i="68" a="1"/>
  <c r="H11" i="68" a="1"/>
  <c r="K8" i="68" a="1"/>
  <c r="Q12" i="68" a="1"/>
  <c r="S4" i="68" a="1"/>
  <c r="E10" i="68" a="1"/>
  <c r="G4" i="68" a="1"/>
  <c r="V5" i="68" a="1"/>
  <c r="M8" i="68" a="1"/>
  <c r="E7" i="68" a="1"/>
  <c r="L9" i="68" a="1"/>
  <c r="Y5" i="68" a="1"/>
  <c r="G9" i="68" a="1"/>
  <c r="F5" i="68" a="1"/>
  <c r="F11" i="68" a="1"/>
  <c r="Y12" i="68" a="1"/>
  <c r="L12" i="68" a="1"/>
  <c r="L4" i="68" a="1"/>
  <c r="C4" i="68" a="1"/>
  <c r="X11" i="68" a="1"/>
  <c r="N8" i="68" a="1"/>
  <c r="V6" i="68" a="1"/>
  <c r="Q11" i="68" a="1"/>
  <c r="V11" i="68" a="1"/>
  <c r="M5" i="68" a="1"/>
  <c r="I9" i="68" a="1"/>
  <c r="V12" i="68" a="1"/>
  <c r="O6" i="68" a="1"/>
  <c r="P10" i="68" a="1"/>
  <c r="C9" i="68" a="1"/>
  <c r="G11" i="68" a="1"/>
  <c r="Y11" i="68" a="1"/>
  <c r="Q9" i="68" a="1"/>
  <c r="N7" i="68" a="1"/>
  <c r="T4" i="68" a="1"/>
  <c r="T5" i="68" a="1"/>
  <c r="M6" i="68" a="1"/>
  <c r="L11" i="68" a="1"/>
  <c r="X5" i="68" a="1"/>
  <c r="M10" i="68" a="1"/>
  <c r="C10" i="68" a="1"/>
  <c r="I7" i="68" a="1"/>
  <c r="I6" i="68" a="1"/>
  <c r="M9" i="68" a="1"/>
  <c r="Q10" i="68" a="1"/>
  <c r="X9" i="68" a="1"/>
  <c r="N10" i="68" a="1"/>
  <c r="L7" i="68" a="1"/>
  <c r="F6" i="68" a="1"/>
  <c r="P6" i="68" a="1"/>
  <c r="C8" i="68" a="1"/>
  <c r="S5" i="68" a="1"/>
  <c r="U12" i="68" a="1"/>
  <c r="G5" i="68" a="1"/>
  <c r="D7" i="68" a="1"/>
  <c r="W6" i="68" a="1"/>
  <c r="T12" i="68" a="1"/>
  <c r="O9" i="68" a="1"/>
  <c r="G12" i="68" a="1"/>
  <c r="F10" i="68" a="1"/>
  <c r="U10" i="68" a="1"/>
  <c r="D11" i="68" a="1"/>
  <c r="U8" i="68" a="1"/>
  <c r="W11" i="68" a="1"/>
  <c r="I8" i="68" a="1"/>
  <c r="U7" i="68" a="1"/>
  <c r="U4" i="68" a="1"/>
  <c r="Q7" i="68" a="1"/>
  <c r="O10" i="68" a="1"/>
  <c r="X4" i="68" a="1"/>
  <c r="K9" i="68" a="1"/>
  <c r="D4" i="68" a="1"/>
  <c r="D8" i="68" a="1"/>
  <c r="E4" i="68" a="1"/>
  <c r="C6" i="68" a="1"/>
  <c r="N6" i="68" a="1"/>
  <c r="H5" i="68" a="1"/>
  <c r="Y9" i="68" a="1"/>
  <c r="K6" i="68" a="1"/>
  <c r="T8" i="68" a="1"/>
  <c r="W8" i="68" a="1"/>
  <c r="D10" i="68" a="1"/>
  <c r="M12" i="68" a="1"/>
  <c r="V8" i="68" a="1"/>
  <c r="P5" i="68" a="1"/>
  <c r="Y7" i="68" a="1"/>
  <c r="M11" i="68" a="1"/>
  <c r="X10" i="68" a="1"/>
  <c r="H8" i="68" a="1"/>
  <c r="H9" i="68" a="1"/>
  <c r="N9" i="68" a="1"/>
  <c r="H4" i="68" a="1"/>
  <c r="O12" i="68" a="1"/>
  <c r="O4" i="68" a="1"/>
  <c r="P7" i="68" a="1"/>
  <c r="X7" i="68" a="1"/>
  <c r="I4" i="68" a="1"/>
  <c r="Q5" i="68" a="1"/>
  <c r="L5" i="68" a="1"/>
  <c r="H6" i="68" a="1"/>
  <c r="W5" i="68" a="1"/>
  <c r="T9" i="68" a="1"/>
  <c r="K12" i="68" a="1"/>
  <c r="H12" i="68" a="1"/>
  <c r="E5" i="68" a="1"/>
  <c r="C5" i="68" a="1"/>
  <c r="E11" i="68" a="1"/>
  <c r="M7" i="68" a="1"/>
  <c r="F9" i="68" a="1"/>
  <c r="T6" i="68" a="1"/>
  <c r="K10" i="68" a="1"/>
  <c r="P11" i="68" a="1"/>
  <c r="S11" i="68" a="1"/>
  <c r="P8" i="68" a="1"/>
  <c r="Y6" i="68" a="1"/>
  <c r="W10" i="68" a="1"/>
  <c r="K7" i="68" a="1"/>
  <c r="Q4" i="68" a="1"/>
  <c r="P4" i="68" a="1"/>
  <c r="P9" i="68" a="1"/>
  <c r="C11" i="68" a="1"/>
  <c r="S10" i="68" a="1"/>
  <c r="Q8" i="68" a="1"/>
  <c r="U9" i="68" a="1"/>
  <c r="U11" i="68" a="1"/>
  <c r="Y8" i="68" a="1"/>
  <c r="L10" i="68" a="1"/>
  <c r="F8" i="68" a="1"/>
  <c r="H7" i="68" a="1"/>
  <c r="E9" i="68" a="1"/>
  <c r="X12" i="68" a="1"/>
  <c r="H10" i="68" a="1"/>
  <c r="W4" i="68" a="1"/>
  <c r="T7" i="68" a="1"/>
  <c r="S7" i="68" a="1"/>
  <c r="K11" i="68" a="1"/>
  <c r="E6" i="68" a="1"/>
  <c r="U6" i="68" a="1"/>
  <c r="U5" i="68" a="1"/>
  <c r="N12" i="68" a="1"/>
  <c r="D6" i="68" a="1"/>
  <c r="L8" i="68" a="1"/>
  <c r="I11" i="68" a="1"/>
  <c r="V10" i="68" a="1"/>
  <c r="D9" i="68" a="1"/>
  <c r="C12" i="68" a="1"/>
  <c r="X8" i="68" a="1"/>
  <c r="T11" i="68" a="1"/>
  <c r="F7" i="68" a="1"/>
  <c r="S9" i="68" a="1"/>
  <c r="O11" i="68" a="1"/>
  <c r="I12" i="68" a="1"/>
  <c r="G6" i="68" a="1"/>
  <c r="S12" i="68" a="1"/>
  <c r="F12" i="68" a="1"/>
  <c r="O5" i="68" a="1"/>
  <c r="G10" i="68" a="1"/>
  <c r="F4" i="68" a="1"/>
  <c r="X6" i="68" a="1"/>
  <c r="Y4" i="68" a="1"/>
  <c r="Y10" i="68" a="1"/>
  <c r="W12" i="68" a="1"/>
  <c r="N5" i="68" a="1"/>
  <c r="K4" i="68" a="1"/>
  <c r="O7" i="68" a="1"/>
  <c r="E5" i="68" l="1"/>
  <c r="S9" i="68"/>
  <c r="O4" i="68"/>
  <c r="K5" i="68"/>
  <c r="G10" i="68"/>
  <c r="U7" i="68"/>
  <c r="H9" i="68"/>
  <c r="I12" i="68"/>
  <c r="W7" i="68"/>
  <c r="F9" i="68"/>
  <c r="U10" i="68"/>
  <c r="F5" i="68"/>
  <c r="S7" i="68"/>
  <c r="X8" i="68"/>
  <c r="O9" i="68"/>
  <c r="X4" i="68"/>
  <c r="M8" i="68"/>
  <c r="I10" i="68"/>
  <c r="K7" i="68"/>
  <c r="L9" i="68"/>
  <c r="D10" i="68"/>
  <c r="D6" i="68"/>
  <c r="M11" i="68"/>
  <c r="Y9" i="68"/>
  <c r="L5" i="68"/>
  <c r="E11" i="68"/>
  <c r="V6" i="68"/>
  <c r="G11" i="68"/>
  <c r="E10" i="68"/>
  <c r="G7" i="68"/>
  <c r="U5" i="68"/>
  <c r="C9" i="68"/>
  <c r="P12" i="68"/>
  <c r="X5" i="68"/>
  <c r="X11" i="68"/>
  <c r="Q4" i="68"/>
  <c r="U8" i="68"/>
  <c r="O8" i="68"/>
  <c r="D12" i="68"/>
  <c r="L10" i="68"/>
  <c r="K8" i="68"/>
  <c r="X6" i="68"/>
  <c r="I9" i="68"/>
  <c r="D4" i="68"/>
  <c r="Y5" i="68"/>
  <c r="T8" i="68"/>
  <c r="U6" i="68"/>
  <c r="U12" i="68"/>
  <c r="V12" i="68"/>
  <c r="H10" i="68"/>
  <c r="S10" i="68"/>
  <c r="N9" i="68"/>
  <c r="D8" i="68"/>
  <c r="P9" i="68"/>
  <c r="G5" i="68"/>
  <c r="G12" i="68"/>
  <c r="H6" i="68"/>
  <c r="O6" i="68"/>
  <c r="V9" i="68"/>
  <c r="Y11" i="68"/>
  <c r="V4" i="68"/>
  <c r="X7" i="68"/>
  <c r="E7" i="68"/>
  <c r="D7" i="68"/>
  <c r="Y10" i="68"/>
  <c r="Q10" i="68"/>
  <c r="G9" i="68"/>
  <c r="W9" i="68"/>
  <c r="K6" i="68"/>
  <c r="N7" i="68"/>
  <c r="U11" i="68"/>
  <c r="P4" i="68"/>
  <c r="Q8" i="68"/>
  <c r="F10" i="68"/>
  <c r="G4" i="68"/>
  <c r="C4" i="68"/>
  <c r="Y4" i="68"/>
  <c r="O11" i="68"/>
  <c r="X12" i="68"/>
  <c r="M10" i="68"/>
  <c r="Y7" i="68"/>
  <c r="W4" i="68"/>
  <c r="M5" i="68"/>
  <c r="C6" i="68"/>
  <c r="O5" i="68"/>
  <c r="V11" i="68"/>
  <c r="Q12" i="68"/>
  <c r="T10" i="68"/>
  <c r="U9" i="68"/>
  <c r="K10" i="68"/>
  <c r="N11" i="68"/>
  <c r="G6" i="68"/>
  <c r="L11" i="68"/>
  <c r="D9" i="68"/>
  <c r="V8" i="68"/>
  <c r="I6" i="68"/>
  <c r="V5" i="68"/>
  <c r="E12" i="68"/>
  <c r="E4" i="68"/>
  <c r="C11" i="68"/>
  <c r="X10" i="68"/>
  <c r="M7" i="68"/>
  <c r="K12" i="68"/>
  <c r="O10" i="68"/>
  <c r="N12" i="68"/>
  <c r="H4" i="68"/>
  <c r="L6" i="68"/>
  <c r="L12" i="68"/>
  <c r="S4" i="68"/>
  <c r="F4" i="68"/>
  <c r="I11" i="68"/>
  <c r="X9" i="68"/>
  <c r="S5" i="68"/>
  <c r="G8" i="68"/>
  <c r="P8" i="68"/>
  <c r="S6" i="68"/>
  <c r="S12" i="68"/>
  <c r="H5" i="68"/>
  <c r="T4" i="68"/>
  <c r="P11" i="68"/>
  <c r="H11" i="68"/>
  <c r="N10" i="68"/>
  <c r="H12" i="68"/>
  <c r="Y6" i="68"/>
  <c r="Y12" i="68"/>
  <c r="E6" i="68"/>
  <c r="L4" i="68"/>
  <c r="Q11" i="68"/>
  <c r="W11" i="68"/>
  <c r="U4" i="68"/>
  <c r="H8" i="68"/>
  <c r="E9" i="68"/>
  <c r="D5" i="68"/>
  <c r="W10" i="68"/>
  <c r="H7" i="68"/>
  <c r="F7" i="68"/>
  <c r="V7" i="68"/>
  <c r="W5" i="68"/>
  <c r="F12" i="68"/>
  <c r="K11" i="68"/>
  <c r="N6" i="68"/>
  <c r="I4" i="68"/>
  <c r="T9" i="68"/>
  <c r="I5" i="68"/>
  <c r="Q9" i="68"/>
  <c r="S11" i="68"/>
  <c r="O12" i="68"/>
  <c r="C12" i="68"/>
  <c r="O7" i="68"/>
  <c r="I8" i="68"/>
  <c r="P6" i="68"/>
  <c r="M6" i="68"/>
  <c r="M12" i="68"/>
  <c r="M4" i="68"/>
  <c r="E8" i="68"/>
  <c r="M9" i="68"/>
  <c r="T7" i="68"/>
  <c r="T6" i="68"/>
  <c r="T12" i="68"/>
  <c r="C5" i="68"/>
  <c r="K4" i="68"/>
  <c r="P10" i="68"/>
  <c r="C7" i="68"/>
  <c r="P5" i="68"/>
  <c r="V10" i="68"/>
  <c r="L8" i="68"/>
  <c r="W8" i="68"/>
  <c r="T5" i="68"/>
  <c r="Q5" i="68"/>
  <c r="K9" i="68"/>
  <c r="N8" i="68"/>
  <c r="N4" i="68"/>
  <c r="N5" i="68"/>
  <c r="S8" i="68"/>
  <c r="T11" i="68"/>
  <c r="C10" i="68"/>
  <c r="I7" i="68"/>
  <c r="W6" i="68"/>
  <c r="F6" i="68"/>
  <c r="L7" i="68"/>
  <c r="D11" i="68"/>
  <c r="Q7" i="68"/>
  <c r="Q6" i="68"/>
  <c r="Y8" i="68"/>
  <c r="W12" i="68"/>
  <c r="F11" i="68"/>
  <c r="P7" i="68"/>
  <c r="C8" i="68"/>
  <c r="F8" i="68"/>
  <c r="L14" i="58" l="1"/>
  <c r="S14" i="58" s="1"/>
  <c r="T14" i="58"/>
  <c r="AA14" i="58" s="1"/>
  <c r="K3" i="68" a="1"/>
  <c r="C3" i="68" a="1"/>
  <c r="S3" i="68" a="1"/>
  <c r="M14" i="58" l="1"/>
  <c r="N14" i="58"/>
  <c r="O14" i="58"/>
  <c r="P14" i="58"/>
  <c r="R14" i="58"/>
  <c r="Q14" i="58"/>
  <c r="K3" i="68"/>
  <c r="Z14" i="58"/>
  <c r="S3" i="68"/>
  <c r="W14" i="58"/>
  <c r="U14" i="58"/>
  <c r="V14" i="58"/>
  <c r="X14" i="58"/>
  <c r="Y14" i="58"/>
  <c r="C3" i="68"/>
  <c r="C16" i="68" s="1"/>
  <c r="G3" i="68" a="1"/>
  <c r="N3" i="68" a="1"/>
  <c r="O3" i="68" a="1"/>
  <c r="D3" i="68" a="1"/>
  <c r="U3" i="68" a="1"/>
  <c r="P3" i="68" a="1"/>
  <c r="W3" i="68" a="1"/>
  <c r="F3" i="68" a="1"/>
  <c r="H3" i="68" a="1"/>
  <c r="Q3" i="68" a="1"/>
  <c r="T3" i="68" a="1"/>
  <c r="E3" i="68" a="1"/>
  <c r="V3" i="68" a="1"/>
  <c r="M3" i="68" a="1"/>
  <c r="I3" i="68" a="1"/>
  <c r="X3" i="68" a="1"/>
  <c r="L3" i="68" a="1"/>
  <c r="Y3" i="68" a="1"/>
  <c r="S13" i="68" l="1"/>
  <c r="Z13" i="68" s="1"/>
  <c r="S16" i="68"/>
  <c r="K13" i="68"/>
  <c r="R13" i="68" s="1"/>
  <c r="K16" i="68"/>
  <c r="C13" i="68"/>
  <c r="J13" i="68" s="1"/>
  <c r="E3" i="68"/>
  <c r="E13" i="68" s="1"/>
  <c r="X3" i="68"/>
  <c r="X13" i="68" s="1"/>
  <c r="O3" i="68"/>
  <c r="O13" i="68" s="1"/>
  <c r="F3" i="68"/>
  <c r="F13" i="68" s="1"/>
  <c r="N3" i="68"/>
  <c r="N13" i="68" s="1"/>
  <c r="G3" i="68"/>
  <c r="G13" i="68" s="1"/>
  <c r="H3" i="68"/>
  <c r="H13" i="68" s="1"/>
  <c r="V3" i="68"/>
  <c r="V13" i="68" s="1"/>
  <c r="M3" i="68"/>
  <c r="M13" i="68" s="1"/>
  <c r="W3" i="68"/>
  <c r="W13" i="68" s="1"/>
  <c r="L3" i="68"/>
  <c r="L13" i="68" s="1"/>
  <c r="L16" i="68" s="1"/>
  <c r="P3" i="68"/>
  <c r="P13" i="68" s="1"/>
  <c r="Y3" i="68"/>
  <c r="Y13" i="68" s="1"/>
  <c r="Q3" i="68"/>
  <c r="Q13" i="68" s="1"/>
  <c r="T3" i="68"/>
  <c r="T13" i="68" s="1"/>
  <c r="T16" i="68" s="1"/>
  <c r="I3" i="68"/>
  <c r="I13" i="68" s="1"/>
  <c r="U3" i="68"/>
  <c r="U13" i="68" s="1"/>
  <c r="D3" i="68"/>
  <c r="D13" i="68" s="1"/>
  <c r="D16" i="68" s="1"/>
  <c r="J2" i="58"/>
  <c r="R2" i="58"/>
  <c r="H2" i="58"/>
  <c r="Z2" i="58"/>
  <c r="P2" i="58"/>
  <c r="X2" i="58"/>
  <c r="S14" i="68" l="1"/>
  <c r="K14" i="68"/>
  <c r="V14" i="68"/>
  <c r="W14" i="68"/>
  <c r="M14" i="68"/>
  <c r="U14" i="68"/>
  <c r="P14" i="68"/>
  <c r="N14" i="68"/>
  <c r="Q14" i="68"/>
  <c r="L14" i="68"/>
  <c r="X14" i="68"/>
  <c r="T14" i="68"/>
  <c r="Y14" i="68"/>
  <c r="O14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P14" i="42" l="1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H4" i="23" a="1"/>
  <c r="I4" i="23" a="1"/>
  <c r="H4" i="23" l="1"/>
  <c r="I4" i="23"/>
  <c r="G9" i="23" a="1"/>
  <c r="F5" i="23" a="1"/>
  <c r="D8" i="23" a="1"/>
  <c r="G4" i="23" a="1"/>
  <c r="E7" i="23" a="1"/>
  <c r="E12" i="23" a="1"/>
  <c r="F12" i="23" a="1"/>
  <c r="G11" i="23" a="1"/>
  <c r="E6" i="23" a="1"/>
  <c r="F7" i="23" a="1"/>
  <c r="G10" i="23" a="1"/>
  <c r="D7" i="23" a="1"/>
  <c r="F6" i="23" a="1"/>
  <c r="D5" i="23" a="1"/>
  <c r="E4" i="23" a="1"/>
  <c r="F4" i="23" a="1"/>
  <c r="G6" i="23" a="1"/>
  <c r="G8" i="23" a="1"/>
  <c r="F10" i="23" a="1"/>
  <c r="E10" i="23" a="1"/>
  <c r="E5" i="23" a="1"/>
  <c r="E13" i="23" a="1"/>
  <c r="D4" i="23" a="1"/>
  <c r="E9" i="23" a="1"/>
  <c r="F13" i="23" a="1"/>
  <c r="G5" i="23" a="1"/>
  <c r="D6" i="23" a="1"/>
  <c r="F8" i="23" a="1"/>
  <c r="G13" i="23" a="1"/>
  <c r="F11" i="23" a="1"/>
  <c r="D11" i="23" a="1"/>
  <c r="D9" i="23" a="1"/>
  <c r="D12" i="23" a="1"/>
  <c r="G7" i="23" a="1"/>
  <c r="F9" i="23" a="1"/>
  <c r="E11" i="23" a="1"/>
  <c r="D13" i="23" a="1"/>
  <c r="D10" i="23" a="1"/>
  <c r="E8" i="23" a="1"/>
  <c r="G12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<sst xmlns="http://schemas.openxmlformats.org/spreadsheetml/2006/main" count="677" uniqueCount="22">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</sst>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6"/>
  <sheetViews>
    <sheetView zoomScale="85" zoomScaleNormal="85" workbookViewId="0">
      <selection activeCell="I16" sqref="A16:XFD16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45</v>
      </c>
      <c r="C3" s="5" cm="1">
        <f t="array" aca="1" ref="C3" ca="1">INDIRECT("'results" &amp; $B3 &amp; "'!D$14")</f>
        <v>1183560.238055374</v>
      </c>
      <c r="D3" s="33" cm="1">
        <f t="array" aca="1" ref="D3" ca="1">INDIRECT("'results" &amp; $B3 &amp; "'!E$14")</f>
        <v>314.665599999996</v>
      </c>
      <c r="E3" s="5" cm="1">
        <f t="array" aca="1" ref="E3" ca="1">INDIRECT("'results" &amp; $B3 &amp; "'!F$14")</f>
        <v>11</v>
      </c>
      <c r="F3" s="5" cm="1">
        <f t="array" aca="1" ref="F3" ca="1">INDIRECT("'results" &amp; $B3 &amp; "'!G$14")</f>
        <v>96</v>
      </c>
      <c r="G3" s="5" cm="1">
        <f t="array" aca="1" ref="G3" ca="1">INDIRECT("'results" &amp; $B3 &amp; "'!H$14")</f>
        <v>663.40381746490812</v>
      </c>
      <c r="H3" s="33" cm="1">
        <f t="array" aca="1" ref="H3" ca="1">INDIRECT("'results" &amp; $B3 &amp; "'!I$14")</f>
        <v>49.509948860127018</v>
      </c>
      <c r="I3" s="5" cm="1">
        <f t="array" aca="1" ref="I3" ca="1">INDIRECT("'results" &amp; $B3 &amp; "'!J$14")</f>
        <v>5868.2051027109046</v>
      </c>
      <c r="J3" s="5"/>
      <c r="K3" s="5" cm="1">
        <f t="array" aca="1" ref="K3" ca="1">INDIRECT("'results" &amp; $B3 &amp; "'!L$14")</f>
        <v>1703061.234202273</v>
      </c>
      <c r="L3" s="5" cm="1">
        <f t="array" aca="1" ref="L3" ca="1">INDIRECT("'results" &amp; $B3 &amp; "'!M$14")</f>
        <v>158.54679999998771</v>
      </c>
      <c r="M3" s="5" cm="1">
        <f t="array" aca="1" ref="M3" ca="1">INDIRECT("'results" &amp; $B3 &amp; "'!N$14")</f>
        <v>24</v>
      </c>
      <c r="N3" s="5" cm="1">
        <f t="array" aca="1" ref="N3" ca="1">INDIRECT("'results" &amp; $B3 &amp; "'!O$14")</f>
        <v>80.666666666666671</v>
      </c>
      <c r="O3" s="5" cm="1">
        <f t="array" aca="1" ref="O3" ca="1">INDIRECT("'results" &amp; $B3 &amp; "'!P$14")</f>
        <v>707.90863191619474</v>
      </c>
      <c r="P3" s="5" cm="1">
        <f t="array" aca="1" ref="P3" ca="1">INDIRECT("'results" &amp; $B3 &amp; "'!Q$14")</f>
        <v>18.272104560353657</v>
      </c>
      <c r="Q3" s="5" cm="1">
        <f t="array" aca="1" ref="Q3" ca="1">INDIRECT("'results" &amp; $B3 &amp; "'!R$14")</f>
        <v>5276.7446246355648</v>
      </c>
      <c r="R3" s="5"/>
      <c r="S3" s="5" cm="1">
        <f t="array" aca="1" ref="S3" ca="1">INDIRECT("'results" &amp; $B3 &amp; "'!T$14")</f>
        <v>1589162.381058577</v>
      </c>
      <c r="T3" s="5" cm="1">
        <f t="array" aca="1" ref="T3" ca="1">INDIRECT("'results" &amp; $B3 &amp; "'!U$14")</f>
        <v>139.2782000000123</v>
      </c>
      <c r="U3" s="5" cm="1">
        <f t="array" aca="1" ref="U3" ca="1">INDIRECT("'results" &amp; $B3 &amp; "'!V$14")</f>
        <v>19</v>
      </c>
      <c r="V3" s="5" cm="1">
        <f t="array" aca="1" ref="V3" ca="1">INDIRECT("'results" &amp; $B3 &amp; "'!W$14")</f>
        <v>86.666666666666671</v>
      </c>
      <c r="W3" s="5" cm="1">
        <f t="array" aca="1" ref="W3" ca="1">INDIRECT("'results" &amp; $B3 &amp; "'!X$14")</f>
        <v>1241.6774080783948</v>
      </c>
      <c r="X3" s="5" cm="1">
        <f t="array" aca="1" ref="X3" ca="1">INDIRECT("'results" &amp; $B3 &amp; "'!Y$14")</f>
        <v>47.250004443228697</v>
      </c>
      <c r="Y3" s="5" cm="1">
        <f t="array" aca="1" ref="Y3" ca="1">INDIRECT("'results" &amp; $B3 &amp; "'!Z$14")</f>
        <v>6506.3682430682738</v>
      </c>
      <c r="Z3" s="5"/>
    </row>
    <row r="4" spans="2:26" x14ac:dyDescent="0.2">
      <c r="B4" s="4">
        <v>229</v>
      </c>
      <c r="C4" s="5" cm="1">
        <f t="array" aca="1" ref="C4" ca="1">INDIRECT("'results" &amp; $B4 &amp; "'!D$14")</f>
        <v>1051059.3047286849</v>
      </c>
      <c r="D4" s="33" cm="1">
        <f t="array" aca="1" ref="D4" ca="1">INDIRECT("'results" &amp; $B4 &amp; "'!E$14")</f>
        <v>47.2374000000069</v>
      </c>
      <c r="E4" s="5" cm="1">
        <f t="array" aca="1" ref="E4" ca="1">INDIRECT("'results" &amp; $B4 &amp; "'!F$14")</f>
        <v>11</v>
      </c>
      <c r="F4" s="5" cm="1">
        <f t="array" aca="1" ref="F4" ca="1">INDIRECT("'results" &amp; $B4 &amp; "'!G$14")</f>
        <v>96</v>
      </c>
      <c r="G4" s="5" cm="1">
        <f t="array" aca="1" ref="G4" ca="1">INDIRECT("'results" &amp; $B4 &amp; "'!H$14")</f>
        <v>307.31513474561274</v>
      </c>
      <c r="H4" s="33" cm="1">
        <f t="array" aca="1" ref="H4" ca="1">INDIRECT("'results" &amp; $B4 &amp; "'!I$14")</f>
        <v>40.04855393495005</v>
      </c>
      <c r="I4" s="5" cm="1">
        <f t="array" aca="1" ref="I4" ca="1">INDIRECT("'results" &amp; $B4 &amp; "'!J$14")</f>
        <v>5136.7152436413999</v>
      </c>
      <c r="J4" s="5"/>
      <c r="K4" s="5" cm="1">
        <f t="array" aca="1" ref="K4" ca="1">INDIRECT("'results" &amp; $B4 &amp; "'!L$14")</f>
        <v>1512385.360307005</v>
      </c>
      <c r="L4" s="5" cm="1">
        <f t="array" aca="1" ref="L4" ca="1">INDIRECT("'results" &amp; $B4 &amp; "'!M$14")</f>
        <v>202.93759999999321</v>
      </c>
      <c r="M4" s="5" cm="1">
        <f t="array" aca="1" ref="M4" ca="1">INDIRECT("'results" &amp; $B4 &amp; "'!N$14")</f>
        <v>22</v>
      </c>
      <c r="N4" s="5" cm="1">
        <f t="array" aca="1" ref="N4" ca="1">INDIRECT("'results" &amp; $B4 &amp; "'!O$14")</f>
        <v>81.333333333333329</v>
      </c>
      <c r="O4" s="5" cm="1">
        <f t="array" aca="1" ref="O4" ca="1">INDIRECT("'results" &amp; $B4 &amp; "'!P$14")</f>
        <v>308.30365525975395</v>
      </c>
      <c r="P4" s="5" cm="1">
        <f t="array" aca="1" ref="P4" ca="1">INDIRECT("'results" &amp; $B4 &amp; "'!Q$14")</f>
        <v>16.458528113968104</v>
      </c>
      <c r="Q4" s="5" cm="1">
        <f t="array" aca="1" ref="Q4" ca="1">INDIRECT("'results" &amp; $B4 &amp; "'!R$14")</f>
        <v>4436.5108779794919</v>
      </c>
      <c r="R4" s="5"/>
      <c r="S4" s="5" cm="1">
        <f t="array" aca="1" ref="S4" ca="1">INDIRECT("'results" &amp; $B4 &amp; "'!T$14")</f>
        <v>1393969.489761305</v>
      </c>
      <c r="T4" s="5" cm="1">
        <f t="array" aca="1" ref="T4" ca="1">INDIRECT("'results" &amp; $B4 &amp; "'!U$14")</f>
        <v>226.38140000000141</v>
      </c>
      <c r="U4" s="5" cm="1">
        <f t="array" aca="1" ref="U4" ca="1">INDIRECT("'results" &amp; $B4 &amp; "'!V$14")</f>
        <v>17</v>
      </c>
      <c r="V4" s="5" cm="1">
        <f t="array" aca="1" ref="V4" ca="1">INDIRECT("'results" &amp; $B4 &amp; "'!W$14")</f>
        <v>93.333333333333329</v>
      </c>
      <c r="W4" s="5" cm="1">
        <f t="array" aca="1" ref="W4" ca="1">INDIRECT("'results" &amp; $B4 &amp; "'!X$14")</f>
        <v>1107.498273341175</v>
      </c>
      <c r="X4" s="5" cm="1">
        <f t="array" aca="1" ref="X4" ca="1">INDIRECT("'results" &amp; $B4 &amp; "'!Y$14")</f>
        <v>52.388893557752269</v>
      </c>
      <c r="Y4" s="5" cm="1">
        <f t="array" aca="1" ref="Y4" ca="1">INDIRECT("'results" &amp; $B4 &amp; "'!Z$14")</f>
        <v>6321.7603796331896</v>
      </c>
      <c r="Z4" s="5"/>
    </row>
    <row r="5" spans="2:26" x14ac:dyDescent="0.2">
      <c r="B5" s="4">
        <v>268</v>
      </c>
      <c r="C5" s="5" cm="1">
        <f t="array" aca="1" ref="C5" ca="1">INDIRECT("'results" &amp; $B5 &amp; "'!D$14")</f>
        <v>1238979.516822983</v>
      </c>
      <c r="D5" s="33" cm="1">
        <f t="array" aca="1" ref="D5" ca="1">INDIRECT("'results" &amp; $B5 &amp; "'!E$14")</f>
        <v>206.07499999999999</v>
      </c>
      <c r="E5" s="5" cm="1">
        <f t="array" aca="1" ref="E5" ca="1">INDIRECT("'results" &amp; $B5 &amp; "'!F$14")</f>
        <v>13</v>
      </c>
      <c r="F5" s="5" cm="1">
        <f t="array" aca="1" ref="F5" ca="1">INDIRECT("'results" &amp; $B5 &amp; "'!G$14")</f>
        <v>96</v>
      </c>
      <c r="G5" s="5" cm="1">
        <f t="array" aca="1" ref="G5" ca="1">INDIRECT("'results" &amp; $B5 &amp; "'!H$14")</f>
        <v>810.83383519252595</v>
      </c>
      <c r="H5" s="33" cm="1">
        <f t="array" aca="1" ref="H5" ca="1">INDIRECT("'results" &amp; $B5 &amp; "'!I$14")</f>
        <v>47.195033540473858</v>
      </c>
      <c r="I5" s="5" cm="1">
        <f t="array" aca="1" ref="I5" ca="1">INDIRECT("'results" &amp; $B5 &amp; "'!J$14")</f>
        <v>5926.5841420139877</v>
      </c>
      <c r="J5" s="5"/>
      <c r="K5" s="5" cm="1">
        <f t="array" aca="1" ref="K5" ca="1">INDIRECT("'results" &amp; $B5 &amp; "'!L$14")</f>
        <v>1681185.559044505</v>
      </c>
      <c r="L5" s="5" cm="1">
        <f t="array" aca="1" ref="L5" ca="1">INDIRECT("'results" &amp; $B5 &amp; "'!M$14")</f>
        <v>473.30300000000278</v>
      </c>
      <c r="M5" s="5" cm="1">
        <f t="array" aca="1" ref="M5" ca="1">INDIRECT("'results" &amp; $B5 &amp; "'!N$14")</f>
        <v>23</v>
      </c>
      <c r="N5" s="5" cm="1">
        <f t="array" aca="1" ref="N5" ca="1">INDIRECT("'results" &amp; $B5 &amp; "'!O$14")</f>
        <v>81.333333333333329</v>
      </c>
      <c r="O5" s="5" cm="1">
        <f t="array" aca="1" ref="O5" ca="1">INDIRECT("'results" &amp; $B5 &amp; "'!P$14")</f>
        <v>830.03053445366868</v>
      </c>
      <c r="P5" s="5" cm="1">
        <f t="array" aca="1" ref="P5" ca="1">INDIRECT("'results" &amp; $B5 &amp; "'!Q$14")</f>
        <v>22.512300455609093</v>
      </c>
      <c r="Q5" s="5" cm="1">
        <f t="array" aca="1" ref="Q5" ca="1">INDIRECT("'results" &amp; $B5 &amp; "'!R$14")</f>
        <v>5357.9089679918143</v>
      </c>
      <c r="R5" s="5"/>
      <c r="S5" s="5" cm="1">
        <f t="array" aca="1" ref="S5" ca="1">INDIRECT("'results" &amp; $B5 &amp; "'!T$14")</f>
        <v>1628845.627663421</v>
      </c>
      <c r="T5" s="5" cm="1">
        <f t="array" aca="1" ref="T5" ca="1">INDIRECT("'results" &amp; $B5 &amp; "'!U$14")</f>
        <v>134.0344000000041</v>
      </c>
      <c r="U5" s="5" cm="1">
        <f t="array" aca="1" ref="U5" ca="1">INDIRECT("'results" &amp; $B5 &amp; "'!V$14")</f>
        <v>17</v>
      </c>
      <c r="V5" s="5" cm="1">
        <f t="array" aca="1" ref="V5" ca="1">INDIRECT("'results" &amp; $B5 &amp; "'!W$14")</f>
        <v>82</v>
      </c>
      <c r="W5" s="5" cm="1">
        <f t="array" aca="1" ref="W5" ca="1">INDIRECT("'results" &amp; $B5 &amp; "'!X$14")</f>
        <v>1137.3329534132658</v>
      </c>
      <c r="X5" s="5" cm="1">
        <f t="array" aca="1" ref="X5" ca="1">INDIRECT("'results" &amp; $B5 &amp; "'!Y$14")</f>
        <v>47.889142193313198</v>
      </c>
      <c r="Y5" s="5" cm="1">
        <f t="array" aca="1" ref="Y5" ca="1">INDIRECT("'results" &amp; $B5 &amp; "'!Z$14")</f>
        <v>6336.1139149867931</v>
      </c>
      <c r="Z5" s="5"/>
    </row>
    <row r="6" spans="2:26" x14ac:dyDescent="0.2">
      <c r="B6" s="4">
        <v>346</v>
      </c>
      <c r="C6" s="5" cm="1">
        <f t="array" aca="1" ref="C6" ca="1">INDIRECT("'results" &amp; $B6 &amp; "'!D$14")</f>
        <v>1182862.3431391381</v>
      </c>
      <c r="D6" s="33" cm="1">
        <f t="array" aca="1" ref="D6" ca="1">INDIRECT("'results" &amp; $B6 &amp; "'!E$14")</f>
        <v>199.71879999998492</v>
      </c>
      <c r="E6" s="5" cm="1">
        <f t="array" aca="1" ref="E6" ca="1">INDIRECT("'results" &amp; $B6 &amp; "'!F$14")</f>
        <v>12</v>
      </c>
      <c r="F6" s="5" cm="1">
        <f t="array" aca="1" ref="F6" ca="1">INDIRECT("'results" &amp; $B6 &amp; "'!G$14")</f>
        <v>92.666666666666671</v>
      </c>
      <c r="G6" s="5" cm="1">
        <f t="array" aca="1" ref="G6" ca="1">INDIRECT("'results" &amp; $B6 &amp; "'!H$14")</f>
        <v>481.64414467284894</v>
      </c>
      <c r="H6" s="33" cm="1">
        <f t="array" aca="1" ref="H6" ca="1">INDIRECT("'results" &amp; $B6 &amp; "'!I$14")</f>
        <v>44.549732662661</v>
      </c>
      <c r="I6" s="5" cm="1">
        <f t="array" aca="1" ref="I6" ca="1">INDIRECT("'results" &amp; $B6 &amp; "'!J$14")</f>
        <v>5406.0951759209638</v>
      </c>
      <c r="J6" s="5"/>
      <c r="K6" s="5" cm="1">
        <f t="array" aca="1" ref="K6" ca="1">INDIRECT("'results" &amp; $B6 &amp; "'!L$14")</f>
        <v>1663214.220287727</v>
      </c>
      <c r="L6" s="5" cm="1">
        <f t="array" aca="1" ref="L6" ca="1">INDIRECT("'results" &amp; $B6 &amp; "'!M$14")</f>
        <v>390.0688000000082</v>
      </c>
      <c r="M6" s="5" cm="1">
        <f t="array" aca="1" ref="M6" ca="1">INDIRECT("'results" &amp; $B6 &amp; "'!N$14")</f>
        <v>23</v>
      </c>
      <c r="N6" s="5" cm="1">
        <f t="array" aca="1" ref="N6" ca="1">INDIRECT("'results" &amp; $B6 &amp; "'!O$14")</f>
        <v>79.333333333333329</v>
      </c>
      <c r="O6" s="5" cm="1">
        <f t="array" aca="1" ref="O6" ca="1">INDIRECT("'results" &amp; $B6 &amp; "'!P$14")</f>
        <v>444.51066792816192</v>
      </c>
      <c r="P6" s="5" cm="1">
        <f t="array" aca="1" ref="P6" ca="1">INDIRECT("'results" &amp; $B6 &amp; "'!Q$14")</f>
        <v>18.652674615273835</v>
      </c>
      <c r="Q6" s="5" cm="1">
        <f t="array" aca="1" ref="Q6" ca="1">INDIRECT("'results" &amp; $B6 &amp; "'!R$14")</f>
        <v>5083.6339393127046</v>
      </c>
      <c r="R6" s="5"/>
      <c r="S6" s="5" cm="1">
        <f t="array" aca="1" ref="S6" ca="1">INDIRECT("'results" &amp; $B6 &amp; "'!T$14")</f>
        <v>1623396.2301638101</v>
      </c>
      <c r="T6" s="5" cm="1">
        <f t="array" aca="1" ref="T6" ca="1">INDIRECT("'results" &amp; $B6 &amp; "'!U$14")</f>
        <v>301.74060000001919</v>
      </c>
      <c r="U6" s="5" cm="1">
        <f t="array" aca="1" ref="U6" ca="1">INDIRECT("'results" &amp; $B6 &amp; "'!V$14")</f>
        <v>18</v>
      </c>
      <c r="V6" s="5" cm="1">
        <f t="array" aca="1" ref="V6" ca="1">INDIRECT("'results" &amp; $B6 &amp; "'!W$14")</f>
        <v>87.333333333333329</v>
      </c>
      <c r="W6" s="5" cm="1">
        <f t="array" aca="1" ref="W6" ca="1">INDIRECT("'results" &amp; $B6 &amp; "'!X$14")</f>
        <v>1424.1971243377093</v>
      </c>
      <c r="X6" s="5" cm="1">
        <f t="array" aca="1" ref="X6" ca="1">INDIRECT("'results" &amp; $B6 &amp; "'!Y$14")</f>
        <v>51.821793927261112</v>
      </c>
      <c r="Y6" s="5" cm="1">
        <f t="array" aca="1" ref="Y6" ca="1">INDIRECT("'results" &amp; $B6 &amp; "'!Z$14")</f>
        <v>6916.5484783231195</v>
      </c>
      <c r="Z6" s="5"/>
    </row>
    <row r="7" spans="2:26" x14ac:dyDescent="0.2">
      <c r="B7" s="4">
        <v>418</v>
      </c>
      <c r="C7" s="5" cm="1">
        <f t="array" aca="1" ref="C7" ca="1">INDIRECT("'results" &amp; $B7 &amp; "'!D$14")</f>
        <v>1195063.839849619</v>
      </c>
      <c r="D7" s="33" cm="1">
        <f t="array" aca="1" ref="D7" ca="1">INDIRECT("'results" &amp; $B7 &amp; "'!E$14")</f>
        <v>313.56559999999598</v>
      </c>
      <c r="E7" s="5" cm="1">
        <f t="array" aca="1" ref="E7" ca="1">INDIRECT("'results" &amp; $B7 &amp; "'!F$14")</f>
        <v>12</v>
      </c>
      <c r="F7" s="5" cm="1">
        <f t="array" aca="1" ref="F7" ca="1">INDIRECT("'results" &amp; $B7 &amp; "'!G$14")</f>
        <v>93.333333333333329</v>
      </c>
      <c r="G7" s="5" cm="1">
        <f t="array" aca="1" ref="G7" ca="1">INDIRECT("'results" &amp; $B7 &amp; "'!H$14")</f>
        <v>414.21953491031945</v>
      </c>
      <c r="H7" s="33" cm="1">
        <f t="array" aca="1" ref="H7" ca="1">INDIRECT("'results" &amp; $B7 &amp; "'!I$14")</f>
        <v>46.877808033614002</v>
      </c>
      <c r="I7" s="5" cm="1">
        <f t="array" aca="1" ref="I7" ca="1">INDIRECT("'results" &amp; $B7 &amp; "'!J$14")</f>
        <v>5548.2843529043284</v>
      </c>
      <c r="J7" s="5"/>
      <c r="K7" s="5" cm="1">
        <f t="array" aca="1" ref="K7" ca="1">INDIRECT("'results" &amp; $B7 &amp; "'!L$14")</f>
        <v>1560760.768691771</v>
      </c>
      <c r="L7" s="5" cm="1">
        <f t="array" aca="1" ref="L7" ca="1">INDIRECT("'results" &amp; $B7 &amp; "'!M$14")</f>
        <v>418.86239999998361</v>
      </c>
      <c r="M7" s="5" cm="1">
        <f t="array" aca="1" ref="M7" ca="1">INDIRECT("'results" &amp; $B7 &amp; "'!N$14")</f>
        <v>24</v>
      </c>
      <c r="N7" s="5" cm="1">
        <f t="array" aca="1" ref="N7" ca="1">INDIRECT("'results" &amp; $B7 &amp; "'!O$14")</f>
        <v>84.666666666666671</v>
      </c>
      <c r="O7" s="5" cm="1">
        <f t="array" aca="1" ref="O7" ca="1">INDIRECT("'results" &amp; $B7 &amp; "'!P$14")</f>
        <v>477.45141474034233</v>
      </c>
      <c r="P7" s="5" cm="1">
        <f t="array" aca="1" ref="P7" ca="1">INDIRECT("'results" &amp; $B7 &amp; "'!Q$14")</f>
        <v>21.008110740747423</v>
      </c>
      <c r="Q7" s="5" cm="1">
        <f t="array" aca="1" ref="Q7" ca="1">INDIRECT("'results" &amp; $B7 &amp; "'!R$14")</f>
        <v>5077.0080204879932</v>
      </c>
      <c r="R7" s="5"/>
      <c r="S7" s="5" cm="1">
        <f t="array" aca="1" ref="S7" ca="1">INDIRECT("'results" &amp; $B7 &amp; "'!T$14")</f>
        <v>1577708.256208047</v>
      </c>
      <c r="T7" s="5" cm="1">
        <f t="array" aca="1" ref="T7" ca="1">INDIRECT("'results" &amp; $B7 &amp; "'!U$14")</f>
        <v>139.346800000011</v>
      </c>
      <c r="U7" s="5" cm="1">
        <f t="array" aca="1" ref="U7" ca="1">INDIRECT("'results" &amp; $B7 &amp; "'!V$14")</f>
        <v>14</v>
      </c>
      <c r="V7" s="5" cm="1">
        <f t="array" aca="1" ref="V7" ca="1">INDIRECT("'results" &amp; $B7 &amp; "'!W$14")</f>
        <v>81.333333333333329</v>
      </c>
      <c r="W7" s="5" cm="1">
        <f t="array" aca="1" ref="W7" ca="1">INDIRECT("'results" &amp; $B7 &amp; "'!X$14")</f>
        <v>930.87338532678439</v>
      </c>
      <c r="X7" s="5" cm="1">
        <f t="array" aca="1" ref="X7" ca="1">INDIRECT("'results" &amp; $B7 &amp; "'!Y$14")</f>
        <v>59.802090207854071</v>
      </c>
      <c r="Y7" s="5" cm="1">
        <f t="array" aca="1" ref="Y7" ca="1">INDIRECT("'results" &amp; $B7 &amp; "'!Z$14")</f>
        <v>6415.7699672510225</v>
      </c>
      <c r="Z7" s="5"/>
    </row>
    <row r="8" spans="2:26" x14ac:dyDescent="0.2">
      <c r="B8" s="4">
        <v>464</v>
      </c>
      <c r="C8" s="5" cm="1">
        <f t="array" aca="1" ref="C8" ca="1">INDIRECT("'results" &amp; $B8 &amp; "'!D$14")</f>
        <v>1182971.978969686</v>
      </c>
      <c r="D8" s="33" cm="1">
        <f t="array" aca="1" ref="D8" ca="1">INDIRECT("'results" &amp; $B8 &amp; "'!E$14")</f>
        <v>309.28119999999183</v>
      </c>
      <c r="E8" s="5" cm="1">
        <f t="array" aca="1" ref="E8" ca="1">INDIRECT("'results" &amp; $B8 &amp; "'!F$14")</f>
        <v>14</v>
      </c>
      <c r="F8" s="5" cm="1">
        <f t="array" aca="1" ref="F8" ca="1">INDIRECT("'results" &amp; $B8 &amp; "'!G$14")</f>
        <v>98.666666666666671</v>
      </c>
      <c r="G8" s="5" cm="1">
        <f t="array" aca="1" ref="G8" ca="1">INDIRECT("'results" &amp; $B8 &amp; "'!H$14")</f>
        <v>719.59943274103523</v>
      </c>
      <c r="H8" s="33" cm="1">
        <f t="array" aca="1" ref="H8" ca="1">INDIRECT("'results" &amp; $B8 &amp; "'!I$14")</f>
        <v>41.141428012354545</v>
      </c>
      <c r="I8" s="5" cm="1">
        <f t="array" aca="1" ref="I8" ca="1">INDIRECT("'results" &amp; $B8 &amp; "'!J$14")</f>
        <v>5870.3140144029267</v>
      </c>
      <c r="J8" s="5"/>
      <c r="K8" s="5" cm="1">
        <f t="array" aca="1" ref="K8" ca="1">INDIRECT("'results" &amp; $B8 &amp; "'!L$14")</f>
        <v>1725398.3851347971</v>
      </c>
      <c r="L8" s="5" cm="1">
        <f t="array" aca="1" ref="L8" ca="1">INDIRECT("'results" &amp; $B8 &amp; "'!M$14")</f>
        <v>245.88120000001499</v>
      </c>
      <c r="M8" s="5" cm="1">
        <f t="array" aca="1" ref="M8" ca="1">INDIRECT("'results" &amp; $B8 &amp; "'!N$14")</f>
        <v>28</v>
      </c>
      <c r="N8" s="5" cm="1">
        <f t="array" aca="1" ref="N8" ca="1">INDIRECT("'results" &amp; $B8 &amp; "'!O$14")</f>
        <v>81.333333333333329</v>
      </c>
      <c r="O8" s="5" cm="1">
        <f t="array" aca="1" ref="O8" ca="1">INDIRECT("'results" &amp; $B8 &amp; "'!P$14")</f>
        <v>591.86870969247661</v>
      </c>
      <c r="P8" s="5" cm="1">
        <f t="array" aca="1" ref="P8" ca="1">INDIRECT("'results" &amp; $B8 &amp; "'!Q$14")</f>
        <v>16.500046876449645</v>
      </c>
      <c r="Q8" s="5" cm="1">
        <f t="array" aca="1" ref="Q8" ca="1">INDIRECT("'results" &amp; $B8 &amp; "'!R$14")</f>
        <v>5211.4457983407374</v>
      </c>
      <c r="R8" s="5"/>
      <c r="S8" s="5" cm="1">
        <f t="array" aca="1" ref="S8" ca="1">INDIRECT("'results" &amp; $B8 &amp; "'!T$14")</f>
        <v>1594855.3353590199</v>
      </c>
      <c r="T8" s="5" cm="1">
        <f t="array" aca="1" ref="T8" ca="1">INDIRECT("'results" &amp; $B8 &amp; "'!U$14")</f>
        <v>463.72500000000002</v>
      </c>
      <c r="U8" s="5" cm="1">
        <f t="array" aca="1" ref="U8" ca="1">INDIRECT("'results" &amp; $B8 &amp; "'!V$14")</f>
        <v>16</v>
      </c>
      <c r="V8" s="5" cm="1">
        <f t="array" aca="1" ref="V8" ca="1">INDIRECT("'results" &amp; $B8 &amp; "'!W$14")</f>
        <v>86</v>
      </c>
      <c r="W8" s="5" cm="1">
        <f t="array" aca="1" ref="W8" ca="1">INDIRECT("'results" &amp; $B8 &amp; "'!X$14")</f>
        <v>1421.870995667741</v>
      </c>
      <c r="X8" s="5" cm="1">
        <f t="array" aca="1" ref="X8" ca="1">INDIRECT("'results" &amp; $B8 &amp; "'!Y$14")</f>
        <v>55.590157858001213</v>
      </c>
      <c r="Y8" s="5" cm="1">
        <f t="array" aca="1" ref="Y8" ca="1">INDIRECT("'results" &amp; $B8 &amp; "'!Z$14")</f>
        <v>6858.7686712936875</v>
      </c>
      <c r="Z8" s="5"/>
    </row>
    <row r="9" spans="2:26" x14ac:dyDescent="0.2">
      <c r="B9" s="4">
        <v>658</v>
      </c>
      <c r="C9" s="5" cm="1">
        <f t="array" aca="1" ref="C9" ca="1">INDIRECT("'results" &amp; $B9 &amp; "'!D$14")</f>
        <v>1129085.1656773461</v>
      </c>
      <c r="D9" s="33" cm="1">
        <f t="array" aca="1" ref="D9" ca="1">INDIRECT("'results" &amp; $B9 &amp; "'!E$14")</f>
        <v>150.77500000000001</v>
      </c>
      <c r="E9" s="5" cm="1">
        <f t="array" aca="1" ref="E9" ca="1">INDIRECT("'results" &amp; $B9 &amp; "'!F$14")</f>
        <v>11</v>
      </c>
      <c r="F9" s="5" cm="1">
        <f t="array" aca="1" ref="F9" ca="1">INDIRECT("'results" &amp; $B9 &amp; "'!G$14")</f>
        <v>96</v>
      </c>
      <c r="G9" s="5" cm="1">
        <f t="array" aca="1" ref="G9" ca="1">INDIRECT("'results" &amp; $B9 &amp; "'!H$14")</f>
        <v>559.54537365369799</v>
      </c>
      <c r="H9" s="33" cm="1">
        <f t="array" aca="1" ref="H9" ca="1">INDIRECT("'results" &amp; $B9 &amp; "'!I$14")</f>
        <v>48.214260287000528</v>
      </c>
      <c r="I9" s="5" cm="1">
        <f t="array" aca="1" ref="I9" ca="1">INDIRECT("'results" &amp; $B9 &amp; "'!J$14")</f>
        <v>5563.6787800264938</v>
      </c>
      <c r="J9" s="5"/>
      <c r="K9" s="5" cm="1">
        <f t="array" aca="1" ref="K9" ca="1">INDIRECT("'results" &amp; $B9 &amp; "'!L$14")</f>
        <v>1616434.6448830881</v>
      </c>
      <c r="L9" s="5" cm="1">
        <f t="array" aca="1" ref="L9" ca="1">INDIRECT("'results" &amp; $B9 &amp; "'!M$14")</f>
        <v>573.6124000000068</v>
      </c>
      <c r="M9" s="5" cm="1">
        <f t="array" aca="1" ref="M9" ca="1">INDIRECT("'results" &amp; $B9 &amp; "'!N$14")</f>
        <v>20</v>
      </c>
      <c r="N9" s="5" cm="1">
        <f t="array" aca="1" ref="N9" ca="1">INDIRECT("'results" &amp; $B9 &amp; "'!O$14")</f>
        <v>76.666666666666671</v>
      </c>
      <c r="O9" s="5" cm="1">
        <f t="array" aca="1" ref="O9" ca="1">INDIRECT("'results" &amp; $B9 &amp; "'!P$14")</f>
        <v>326.54709537505704</v>
      </c>
      <c r="P9" s="5" cm="1">
        <f t="array" aca="1" ref="P9" ca="1">INDIRECT("'results" &amp; $B9 &amp; "'!Q$14")</f>
        <v>19.720027974795226</v>
      </c>
      <c r="Q9" s="5" cm="1">
        <f t="array" aca="1" ref="Q9" ca="1">INDIRECT("'results" &amp; $B9 &amp; "'!R$14")</f>
        <v>4692.6874247728483</v>
      </c>
      <c r="R9" s="5"/>
      <c r="S9" s="5" cm="1">
        <f t="array" aca="1" ref="S9" ca="1">INDIRECT("'results" &amp; $B9 &amp; "'!T$14")</f>
        <v>1541850.954532671</v>
      </c>
      <c r="T9" s="5" cm="1">
        <f t="array" aca="1" ref="T9" ca="1">INDIRECT("'results" &amp; $B9 &amp; "'!U$14")</f>
        <v>225.90940000000401</v>
      </c>
      <c r="U9" s="5" cm="1">
        <f t="array" aca="1" ref="U9" ca="1">INDIRECT("'results" &amp; $B9 &amp; "'!V$14")</f>
        <v>17</v>
      </c>
      <c r="V9" s="5" cm="1">
        <f t="array" aca="1" ref="V9" ca="1">INDIRECT("'results" &amp; $B9 &amp; "'!W$14")</f>
        <v>87.333333333333329</v>
      </c>
      <c r="W9" s="5" cm="1">
        <f t="array" aca="1" ref="W9" ca="1">INDIRECT("'results" &amp; $B9 &amp; "'!X$14")</f>
        <v>1141.920138758547</v>
      </c>
      <c r="X9" s="5" cm="1">
        <f t="array" aca="1" ref="X9" ca="1">INDIRECT("'results" &amp; $B9 &amp; "'!Y$14")</f>
        <v>54.216011106088729</v>
      </c>
      <c r="Y9" s="5" cm="1">
        <f t="array" aca="1" ref="Y9" ca="1">INDIRECT("'results" &amp; $B9 &amp; "'!Z$14")</f>
        <v>6489.0331933381694</v>
      </c>
      <c r="Z9" s="5"/>
    </row>
    <row r="10" spans="2:26" x14ac:dyDescent="0.2">
      <c r="B10" s="4">
        <v>720</v>
      </c>
      <c r="C10" s="5" cm="1">
        <f t="array" aca="1" ref="C10" ca="1">INDIRECT("'results" &amp; $B10 &amp; "'!D$14")</f>
        <v>1419171.509540891</v>
      </c>
      <c r="D10" s="33" cm="1">
        <f t="array" aca="1" ref="D10" ca="1">INDIRECT("'results" &amp; $B10 &amp; "'!E$14")</f>
        <v>335.19680000001097</v>
      </c>
      <c r="E10" s="5" cm="1">
        <f t="array" aca="1" ref="E10" ca="1">INDIRECT("'results" &amp; $B10 &amp; "'!F$14")</f>
        <v>13</v>
      </c>
      <c r="F10" s="5" cm="1">
        <f t="array" aca="1" ref="F10" ca="1">INDIRECT("'results" &amp; $B10 &amp; "'!G$14")</f>
        <v>93.333333333333329</v>
      </c>
      <c r="G10" s="5" cm="1">
        <f t="array" aca="1" ref="G10" ca="1">INDIRECT("'results" &amp; $B10 &amp; "'!H$14")</f>
        <v>1031.1221233392098</v>
      </c>
      <c r="H10" s="33" cm="1">
        <f t="array" aca="1" ref="H10" ca="1">INDIRECT("'results" &amp; $B10 &amp; "'!I$14")</f>
        <v>39.140705277902399</v>
      </c>
      <c r="I10" s="5" cm="1">
        <f t="array" aca="1" ref="I10" ca="1">INDIRECT("'results" &amp; $B10 &amp; "'!J$14")</f>
        <v>6404.8874826505926</v>
      </c>
      <c r="J10" s="5"/>
      <c r="K10" s="5" cm="1">
        <f t="array" aca="1" ref="K10" ca="1">INDIRECT("'results" &amp; $B10 &amp; "'!L$14")</f>
        <v>1608005.0469167361</v>
      </c>
      <c r="L10" s="5" cm="1">
        <f t="array" aca="1" ref="L10" ca="1">INDIRECT("'results" &amp; $B10 &amp; "'!M$14")</f>
        <v>449.28439999998079</v>
      </c>
      <c r="M10" s="5" cm="1">
        <f t="array" aca="1" ref="M10" ca="1">INDIRECT("'results" &amp; $B10 &amp; "'!N$14")</f>
        <v>22</v>
      </c>
      <c r="N10" s="5" cm="1">
        <f t="array" aca="1" ref="N10" ca="1">INDIRECT("'results" &amp; $B10 &amp; "'!O$14")</f>
        <v>82.666666666666671</v>
      </c>
      <c r="O10" s="5" cm="1">
        <f t="array" aca="1" ref="O10" ca="1">INDIRECT("'results" &amp; $B10 &amp; "'!P$14")</f>
        <v>562.34240351643029</v>
      </c>
      <c r="P10" s="5" cm="1">
        <f t="array" aca="1" ref="P10" ca="1">INDIRECT("'results" &amp; $B10 &amp; "'!Q$14")</f>
        <v>20.304867770708</v>
      </c>
      <c r="Q10" s="5" cm="1">
        <f t="array" aca="1" ref="Q10" ca="1">INDIRECT("'results" &amp; $B10 &amp; "'!R$14")</f>
        <v>5308.2886731479357</v>
      </c>
      <c r="R10" s="5"/>
      <c r="S10" s="5" cm="1">
        <f t="array" aca="1" ref="S10" ca="1">INDIRECT("'results" &amp; $B10 &amp; "'!T$14")</f>
        <v>1660939.752032998</v>
      </c>
      <c r="T10" s="5" cm="1">
        <f t="array" aca="1" ref="T10" ca="1">INDIRECT("'results" &amp; $B10 &amp; "'!U$14")</f>
        <v>117.52500000000001</v>
      </c>
      <c r="U10" s="5" cm="1">
        <f t="array" aca="1" ref="U10" ca="1">INDIRECT("'results" &amp; $B10 &amp; "'!V$14")</f>
        <v>18</v>
      </c>
      <c r="V10" s="5" cm="1">
        <f t="array" aca="1" ref="V10" ca="1">INDIRECT("'results" &amp; $B10 &amp; "'!W$14")</f>
        <v>86.666666666666671</v>
      </c>
      <c r="W10" s="5" cm="1">
        <f t="array" aca="1" ref="W10" ca="1">INDIRECT("'results" &amp; $B10 &amp; "'!X$14")</f>
        <v>1270.2558918786046</v>
      </c>
      <c r="X10" s="5" cm="1">
        <f t="array" aca="1" ref="X10" ca="1">INDIRECT("'results" &amp; $B10 &amp; "'!Y$14")</f>
        <v>43.961285276240716</v>
      </c>
      <c r="Y10" s="5" cm="1">
        <f t="array" aca="1" ref="Y10" ca="1">INDIRECT("'results" &amp; $B10 &amp; "'!Z$14")</f>
        <v>6880.7504777685699</v>
      </c>
      <c r="Z10" s="5"/>
    </row>
    <row r="11" spans="2:26" x14ac:dyDescent="0.2">
      <c r="B11" s="4">
        <v>846</v>
      </c>
      <c r="C11" s="5" cm="1">
        <f t="array" aca="1" ref="C11" ca="1">INDIRECT("'results" &amp; $B11 &amp; "'!D$14")</f>
        <v>1238633.3154280861</v>
      </c>
      <c r="D11" s="33" cm="1">
        <f t="array" aca="1" ref="D11" ca="1">INDIRECT("'results" &amp; $B11 &amp; "'!E$14")</f>
        <v>167.19379999998492</v>
      </c>
      <c r="E11" s="5" cm="1">
        <f t="array" aca="1" ref="E11" ca="1">INDIRECT("'results" &amp; $B11 &amp; "'!F$14")</f>
        <v>11</v>
      </c>
      <c r="F11" s="5" cm="1">
        <f t="array" aca="1" ref="F11" ca="1">INDIRECT("'results" &amp; $B11 &amp; "'!G$14")</f>
        <v>94.666666666666671</v>
      </c>
      <c r="G11" s="5" cm="1">
        <f t="array" aca="1" ref="G11" ca="1">INDIRECT("'results" &amp; $B11 &amp; "'!H$14")</f>
        <v>658.3838136311432</v>
      </c>
      <c r="H11" s="33" cm="1">
        <f t="array" aca="1" ref="H11" ca="1">INDIRECT("'results" &amp; $B11 &amp; "'!I$14")</f>
        <v>47.534541198248419</v>
      </c>
      <c r="I11" s="5" cm="1">
        <f t="array" aca="1" ref="I11" ca="1">INDIRECT("'results" &amp; $B11 &amp; "'!J$14")</f>
        <v>5972.197943473162</v>
      </c>
      <c r="J11" s="5"/>
      <c r="K11" s="5" cm="1">
        <f t="array" aca="1" ref="K11" ca="1">INDIRECT("'results" &amp; $B11 &amp; "'!L$14")</f>
        <v>1536795.5660272359</v>
      </c>
      <c r="L11" s="5" cm="1">
        <f t="array" aca="1" ref="L11" ca="1">INDIRECT("'results" &amp; $B11 &amp; "'!M$14")</f>
        <v>398.25</v>
      </c>
      <c r="M11" s="5" cm="1">
        <f t="array" aca="1" ref="M11" ca="1">INDIRECT("'results" &amp; $B11 &amp; "'!N$14")</f>
        <v>23</v>
      </c>
      <c r="N11" s="5" cm="1">
        <f t="array" aca="1" ref="N11" ca="1">INDIRECT("'results" &amp; $B11 &amp; "'!O$14")</f>
        <v>84.666666666666671</v>
      </c>
      <c r="O11" s="5" cm="1">
        <f t="array" aca="1" ref="O11" ca="1">INDIRECT("'results" &amp; $B11 &amp; "'!P$14")</f>
        <v>508.18944786178804</v>
      </c>
      <c r="P11" s="5" cm="1">
        <f t="array" aca="1" ref="P11" ca="1">INDIRECT("'results" &amp; $B11 &amp; "'!Q$14")</f>
        <v>19.902564478282489</v>
      </c>
      <c r="Q11" s="5" cm="1">
        <f t="array" aca="1" ref="Q11" ca="1">INDIRECT("'results" &amp; $B11 &amp; "'!R$14")</f>
        <v>5006.1260216034507</v>
      </c>
      <c r="R11" s="5"/>
      <c r="S11" s="5" cm="1">
        <f t="array" aca="1" ref="S11" ca="1">INDIRECT("'results" &amp; $B11 &amp; "'!T$14")</f>
        <v>1595962.046957118</v>
      </c>
      <c r="T11" s="5" cm="1">
        <f t="array" aca="1" ref="T11" ca="1">INDIRECT("'results" &amp; $B11 &amp; "'!U$14")</f>
        <v>97.640599999995899</v>
      </c>
      <c r="U11" s="5" cm="1">
        <f t="array" aca="1" ref="U11" ca="1">INDIRECT("'results" &amp; $B11 &amp; "'!V$14")</f>
        <v>16</v>
      </c>
      <c r="V11" s="5" cm="1">
        <f t="array" aca="1" ref="V11" ca="1">INDIRECT("'results" &amp; $B11 &amp; "'!W$14")</f>
        <v>84.666666666666671</v>
      </c>
      <c r="W11" s="5" cm="1">
        <f t="array" aca="1" ref="W11" ca="1">INDIRECT("'results" &amp; $B11 &amp; "'!X$14")</f>
        <v>1177.7261342078173</v>
      </c>
      <c r="X11" s="5" cm="1">
        <f t="array" aca="1" ref="X11" ca="1">INDIRECT("'results" &amp; $B11 &amp; "'!Y$14")</f>
        <v>51.1121410679444</v>
      </c>
      <c r="Y11" s="5" cm="1">
        <f t="array" aca="1" ref="Y11" ca="1">INDIRECT("'results" &amp; $B11 &amp; "'!Z$14")</f>
        <v>6605.2499648535877</v>
      </c>
      <c r="Z11" s="5"/>
    </row>
    <row r="12" spans="2:26" x14ac:dyDescent="0.2">
      <c r="B12" s="4">
        <v>910</v>
      </c>
      <c r="C12" s="5" cm="1">
        <f t="array" aca="1" ref="C12" ca="1">INDIRECT("'results" &amp; $B12 &amp; "'!D$14")</f>
        <v>1294854.825321686</v>
      </c>
      <c r="D12" s="33" cm="1">
        <f t="array" aca="1" ref="D12" ca="1">INDIRECT("'results" &amp; $B12 &amp; "'!E$14")</f>
        <v>176.33120000001509</v>
      </c>
      <c r="E12" s="5" cm="1">
        <f t="array" aca="1" ref="E12" ca="1">INDIRECT("'results" &amp; $B12 &amp; "'!F$14")</f>
        <v>11</v>
      </c>
      <c r="F12" s="5" cm="1">
        <f t="array" aca="1" ref="F12" ca="1">INDIRECT("'results" &amp; $B12 &amp; "'!G$14")</f>
        <v>92.666666666666671</v>
      </c>
      <c r="G12" s="5" cm="1">
        <f t="array" aca="1" ref="G12" ca="1">INDIRECT("'results" &amp; $B12 &amp; "'!H$14")</f>
        <v>760.66972016658838</v>
      </c>
      <c r="H12" s="33" cm="1">
        <f t="array" aca="1" ref="H12" ca="1">INDIRECT("'results" &amp; $B12 &amp; "'!I$14")</f>
        <v>42.228509018663338</v>
      </c>
      <c r="I12" s="5" cm="1">
        <f t="array" aca="1" ref="I12" ca="1">INDIRECT("'results" &amp; $B12 &amp; "'!J$14")</f>
        <v>5909.5472362769751</v>
      </c>
      <c r="J12" s="5"/>
      <c r="K12" s="5" cm="1">
        <f t="array" aca="1" ref="K12" ca="1">INDIRECT("'results" &amp; $B12 &amp; "'!L$14")</f>
        <v>1681178.663387259</v>
      </c>
      <c r="L12" s="5" cm="1">
        <f t="array" aca="1" ref="L12" ca="1">INDIRECT("'results" &amp; $B12 &amp; "'!M$14")</f>
        <v>310.49359999999859</v>
      </c>
      <c r="M12" s="5" cm="1">
        <f t="array" aca="1" ref="M12" ca="1">INDIRECT("'results" &amp; $B12 &amp; "'!N$14")</f>
        <v>22</v>
      </c>
      <c r="N12" s="5" cm="1">
        <f t="array" aca="1" ref="N12" ca="1">INDIRECT("'results" &amp; $B12 &amp; "'!O$14")</f>
        <v>78.666666666666671</v>
      </c>
      <c r="O12" s="5" cm="1">
        <f t="array" aca="1" ref="O12" ca="1">INDIRECT("'results" &amp; $B12 &amp; "'!P$14")</f>
        <v>543.7364544825939</v>
      </c>
      <c r="P12" s="5" cm="1">
        <f t="array" aca="1" ref="P12" ca="1">INDIRECT("'results" &amp; $B12 &amp; "'!Q$14")</f>
        <v>17.263540242197021</v>
      </c>
      <c r="Q12" s="5" cm="1">
        <f t="array" aca="1" ref="Q12" ca="1">INDIRECT("'results" &amp; $B12 &amp; "'!R$14")</f>
        <v>5069.2193839168276</v>
      </c>
      <c r="R12" s="5"/>
      <c r="S12" s="5" cm="1">
        <f t="array" aca="1" ref="S12" ca="1">INDIRECT("'results" &amp; $B12 &amp; "'!T$14")</f>
        <v>1691674.444638208</v>
      </c>
      <c r="T12" s="5" cm="1">
        <f t="array" aca="1" ref="T12" ca="1">INDIRECT("'results" &amp; $B12 &amp; "'!U$14")</f>
        <v>305.040599999996</v>
      </c>
      <c r="U12" s="5" cm="1">
        <f t="array" aca="1" ref="U12" ca="1">INDIRECT("'results" &amp; $B12 &amp; "'!V$14")</f>
        <v>12</v>
      </c>
      <c r="V12" s="5" cm="1">
        <f t="array" aca="1" ref="V12" ca="1">INDIRECT("'results" &amp; $B12 &amp; "'!W$14")</f>
        <v>76</v>
      </c>
      <c r="W12" s="5" cm="1">
        <f t="array" aca="1" ref="W12" ca="1">INDIRECT("'results" &amp; $B12 &amp; "'!X$14")</f>
        <v>1003.2870711246937</v>
      </c>
      <c r="X12" s="5" cm="1">
        <f t="array" aca="1" ref="X12" ca="1">INDIRECT("'results" &amp; $B12 &amp; "'!Y$14")</f>
        <v>53.771202773052778</v>
      </c>
      <c r="Y12" s="5" cm="1">
        <f t="array" aca="1" ref="Y12" ca="1">INDIRECT("'results" &amp; $B12 &amp; "'!Z$14")</f>
        <v>6508.3247589483281</v>
      </c>
      <c r="Z12" s="5"/>
    </row>
    <row r="13" spans="2:26" x14ac:dyDescent="0.2">
      <c r="B13" s="8" t="s">
        <v>3</v>
      </c>
      <c r="C13" s="9">
        <f ca="1">AVERAGE(C3:C12)</f>
        <v>1211624.2037533494</v>
      </c>
      <c r="D13" s="10">
        <f t="shared" ref="D13:I13" ca="1" si="0">AVERAGE(D3:D12)</f>
        <v>222.00403999999872</v>
      </c>
      <c r="E13" s="9">
        <f t="shared" ca="1" si="0"/>
        <v>11.9</v>
      </c>
      <c r="F13" s="9">
        <f t="shared" ca="1" si="0"/>
        <v>94.933333333333323</v>
      </c>
      <c r="G13" s="9">
        <f t="shared" ca="1" si="0"/>
        <v>640.67369305178897</v>
      </c>
      <c r="H13" s="10">
        <f t="shared" ca="1" si="0"/>
        <v>44.644052082599508</v>
      </c>
      <c r="I13" s="9">
        <f t="shared" ca="1" si="0"/>
        <v>5760.6509474021732</v>
      </c>
      <c r="J13" s="32" t="e">
        <f ca="1">(C13-$D$15)/$D$15</f>
        <v>#DIV/0!</v>
      </c>
      <c r="K13" s="16">
        <f ca="1">AVERAGE(K3:K12)</f>
        <v>1628841.9448882397</v>
      </c>
      <c r="L13" s="41">
        <f t="shared" ref="L13:Q13" ca="1" si="1">AVERAGE(L3:L12)</f>
        <v>362.12401999999764</v>
      </c>
      <c r="M13" s="16">
        <f t="shared" ca="1" si="1"/>
        <v>23.1</v>
      </c>
      <c r="N13" s="16">
        <f ca="1">AVERAGE(N3:N12)</f>
        <v>81.133333333333312</v>
      </c>
      <c r="O13" s="16">
        <f t="shared" ca="1" si="1"/>
        <v>530.08890152264678</v>
      </c>
      <c r="P13" s="41">
        <f t="shared" ca="1" si="1"/>
        <v>19.05947658283845</v>
      </c>
      <c r="Q13" s="16">
        <f t="shared" ca="1" si="1"/>
        <v>5051.9573732189365</v>
      </c>
      <c r="R13" s="42" t="e">
        <f ca="1">(K13-$D$15)/$D$15</f>
        <v>#DIV/0!</v>
      </c>
      <c r="S13" s="38">
        <f ca="1">AVERAGE(S3:S12)</f>
        <v>1589836.4518375176</v>
      </c>
      <c r="T13" s="43">
        <f t="shared" ref="T13:Y13" ca="1" si="2">AVERAGE(T3:T12)</f>
        <v>215.0622000000044</v>
      </c>
      <c r="U13" s="38">
        <f t="shared" ca="1" si="2"/>
        <v>16.399999999999999</v>
      </c>
      <c r="V13" s="38">
        <f t="shared" ca="1" si="2"/>
        <v>85.133333333333326</v>
      </c>
      <c r="W13" s="38">
        <f t="shared" ca="1" si="2"/>
        <v>1185.6639376134735</v>
      </c>
      <c r="X13" s="43">
        <f t="shared" ca="1" si="2"/>
        <v>51.780272241073703</v>
      </c>
      <c r="Y13" s="38">
        <f t="shared" ca="1" si="2"/>
        <v>6583.8688049464736</v>
      </c>
      <c r="Z13" s="44" t="e">
        <f ca="1">(S13-$D$15)/$D$15</f>
        <v>#DIV/0!</v>
      </c>
    </row>
    <row r="14" spans="2:26" x14ac:dyDescent="0.2">
      <c r="K14" s="45">
        <f ca="1">(K13-C13)/C13</f>
        <v>0.34434582921209411</v>
      </c>
      <c r="L14" s="45">
        <f t="shared" ref="L14:Q14" ca="1" si="3">(L13-D13)/D13</f>
        <v>0.63115959511367326</v>
      </c>
      <c r="M14" s="45">
        <f t="shared" ca="1" si="3"/>
        <v>0.94117647058823539</v>
      </c>
      <c r="N14" s="45">
        <f t="shared" ca="1" si="3"/>
        <v>-0.14536516853932599</v>
      </c>
      <c r="O14" s="45">
        <f t="shared" ca="1" si="3"/>
        <v>-0.17260704275585584</v>
      </c>
      <c r="P14" s="45">
        <f t="shared" ca="1" si="3"/>
        <v>-0.57307915178543833</v>
      </c>
      <c r="Q14" s="45">
        <f t="shared" ca="1" si="3"/>
        <v>-0.12302317579280335</v>
      </c>
      <c r="S14" s="45">
        <f ca="1">(S13-C13)/C13</f>
        <v>0.31215309739814417</v>
      </c>
      <c r="T14" s="45">
        <f t="shared" ref="T14:Y14" ca="1" si="4">(T13-D13)/D13</f>
        <v>-3.1268980510419403E-2</v>
      </c>
      <c r="U14" s="45">
        <f t="shared" ca="1" si="4"/>
        <v>0.3781512605042015</v>
      </c>
      <c r="V14" s="45">
        <f ca="1">(V13-F13)/F13</f>
        <v>-0.10323033707865166</v>
      </c>
      <c r="W14" s="45">
        <f t="shared" ca="1" si="4"/>
        <v>0.85065182240537252</v>
      </c>
      <c r="X14" s="45">
        <f t="shared" ca="1" si="4"/>
        <v>0.15984705297966473</v>
      </c>
      <c r="Y14" s="45">
        <f t="shared" ca="1" si="4"/>
        <v>0.14290361715381128</v>
      </c>
    </row>
    <row r="16" spans="2:26" x14ac:dyDescent="0.2">
      <c r="B16" s="1" t="s">
        <v>21</v>
      </c>
      <c r="C16">
        <f ca="1">_xlfn.STDEV.S(C3:C12)</f>
        <v>98197.551345683692</v>
      </c>
      <c r="D16">
        <f ca="1">D13/5</f>
        <v>44.400807999999742</v>
      </c>
      <c r="J16" s="1" t="s">
        <v>21</v>
      </c>
      <c r="K16">
        <f ca="1">_xlfn.STDEV.S(K3:K12)</f>
        <v>73597.950105985336</v>
      </c>
      <c r="L16">
        <f ca="1">L13/5</f>
        <v>72.424803999999526</v>
      </c>
      <c r="R16" s="1" t="s">
        <v>21</v>
      </c>
      <c r="S16">
        <f ca="1">_xlfn.STDEV.S(S3:S12)</f>
        <v>80933.007267917827</v>
      </c>
      <c r="T16">
        <f ca="1">T13/5</f>
        <v>43.012440000000879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37"/>
  <sheetViews>
    <sheetView zoomScale="85" zoomScaleNormal="85" workbookViewId="0">
      <selection activeCell="U20" sqref="U20:U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-0.97245704037372349</v>
      </c>
      <c r="J2" s="28" t="e">
        <f>(S14-J14)/J14</f>
        <v>#DIV/0!</v>
      </c>
      <c r="K2" s="28"/>
      <c r="L2" s="1" t="s">
        <v>19</v>
      </c>
      <c r="P2" s="1">
        <f>(P14-H14)/H14</f>
        <v>6.7085556759915357E-2</v>
      </c>
      <c r="R2" s="1">
        <f>(R14-J14)/J14</f>
        <v>-0.1007906962560163</v>
      </c>
      <c r="T2" s="1" t="s">
        <v>20</v>
      </c>
      <c r="X2" s="1">
        <f>(X14-P14)/P14</f>
        <v>0.75400800625551623</v>
      </c>
      <c r="Z2" s="1">
        <f>(Z14-R14)/R14</f>
        <v>0.23302693344149325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106</v>
      </c>
      <c r="D4" s="23">
        <v>1261661.4045606731</v>
      </c>
      <c r="E4" s="33">
        <v>167.2093999999808</v>
      </c>
      <c r="F4" s="5">
        <v>11</v>
      </c>
      <c r="G4" s="23">
        <v>94</v>
      </c>
      <c r="H4" s="33">
        <v>748.09694791606489</v>
      </c>
      <c r="I4" s="23">
        <v>47.141649137347073</v>
      </c>
      <c r="J4" s="5">
        <v>6014.0393302005923</v>
      </c>
      <c r="K4" s="31"/>
      <c r="L4" s="23">
        <v>1724056.143130054</v>
      </c>
      <c r="M4" s="33">
        <v>488.73439999998084</v>
      </c>
      <c r="N4" s="5">
        <v>26</v>
      </c>
      <c r="O4" s="5">
        <v>81.333333333333329</v>
      </c>
      <c r="P4" s="33">
        <v>672.6190976270592</v>
      </c>
      <c r="Q4" s="5">
        <v>16.945282906798589</v>
      </c>
      <c r="R4" s="5">
        <v>5274.3013305729828</v>
      </c>
      <c r="S4" s="31"/>
      <c r="T4" s="23">
        <v>1605171.3573494451</v>
      </c>
      <c r="U4" s="33">
        <v>228.48439999998081</v>
      </c>
      <c r="V4" s="5">
        <v>19</v>
      </c>
      <c r="W4" s="5">
        <v>87.333333333333329</v>
      </c>
      <c r="X4" s="33">
        <v>1322.5590685610161</v>
      </c>
      <c r="Y4" s="5">
        <v>46.55052681092576</v>
      </c>
      <c r="Z4" s="5">
        <v>6606.7456515142139</v>
      </c>
      <c r="AA4" s="35"/>
    </row>
    <row r="5" spans="2:27" x14ac:dyDescent="0.2">
      <c r="B5" s="4">
        <v>2</v>
      </c>
      <c r="C5" s="4">
        <v>241</v>
      </c>
      <c r="D5" s="23">
        <v>1296529.919668583</v>
      </c>
      <c r="E5" s="33">
        <v>83.909400000004098</v>
      </c>
      <c r="F5" s="5">
        <v>12</v>
      </c>
      <c r="G5" s="23">
        <v>94.666666666666671</v>
      </c>
      <c r="H5" s="33">
        <v>847.54782119584877</v>
      </c>
      <c r="I5" s="23">
        <v>44.55739194672045</v>
      </c>
      <c r="J5" s="5">
        <v>6118.0579168899112</v>
      </c>
      <c r="K5" s="31"/>
      <c r="L5" s="23">
        <v>1918713.1463467369</v>
      </c>
      <c r="M5" s="33">
        <v>178.0594000000041</v>
      </c>
      <c r="N5" s="5">
        <v>34</v>
      </c>
      <c r="O5" s="5">
        <v>90</v>
      </c>
      <c r="P5" s="33">
        <v>1417.4596440469168</v>
      </c>
      <c r="Q5" s="5">
        <v>14.898135762801232</v>
      </c>
      <c r="R5" s="5">
        <v>6349.2113979157175</v>
      </c>
      <c r="S5" s="31"/>
      <c r="T5" s="23">
        <v>1910018.1558496631</v>
      </c>
      <c r="U5" s="33">
        <v>269.14379999998499</v>
      </c>
      <c r="V5" s="5">
        <v>18</v>
      </c>
      <c r="W5" s="5">
        <v>90</v>
      </c>
      <c r="X5" s="33">
        <v>2777.6164530767969</v>
      </c>
      <c r="Y5" s="5">
        <v>54.188433995188639</v>
      </c>
      <c r="Z5" s="5">
        <v>8232.1480660566831</v>
      </c>
      <c r="AA5" s="35"/>
    </row>
    <row r="6" spans="2:27" x14ac:dyDescent="0.2">
      <c r="B6" s="4">
        <v>3</v>
      </c>
      <c r="C6" s="4">
        <v>265</v>
      </c>
      <c r="D6" s="23">
        <v>1210533.2019813149</v>
      </c>
      <c r="E6" s="33">
        <v>179.04059999999589</v>
      </c>
      <c r="F6" s="5">
        <v>12</v>
      </c>
      <c r="G6" s="23">
        <v>96</v>
      </c>
      <c r="H6" s="33">
        <v>762.08124816163718</v>
      </c>
      <c r="I6" s="23">
        <v>45.593121201845626</v>
      </c>
      <c r="J6" s="5">
        <v>5836.559055697322</v>
      </c>
      <c r="K6" s="31"/>
      <c r="L6" s="23">
        <v>1716502.1655599589</v>
      </c>
      <c r="M6" s="33">
        <v>180.0564000000013</v>
      </c>
      <c r="N6" s="5">
        <v>27</v>
      </c>
      <c r="O6" s="5">
        <v>83.333333333333329</v>
      </c>
      <c r="P6" s="33">
        <v>764.40973516554573</v>
      </c>
      <c r="Q6" s="5">
        <v>16.546009853194175</v>
      </c>
      <c r="R6" s="5">
        <v>5364.9455618841112</v>
      </c>
      <c r="S6" s="31"/>
      <c r="T6" s="23">
        <v>1815799.0703252391</v>
      </c>
      <c r="U6" s="33">
        <v>83.443800000008196</v>
      </c>
      <c r="V6" s="5">
        <v>14</v>
      </c>
      <c r="W6" s="5">
        <v>75.333333333333329</v>
      </c>
      <c r="X6" s="33">
        <v>1560.0529426714675</v>
      </c>
      <c r="Y6" s="5">
        <v>54.390133240123717</v>
      </c>
      <c r="Z6" s="5">
        <v>6991.3515501371921</v>
      </c>
      <c r="AA6" s="35"/>
    </row>
    <row r="7" spans="2:27" x14ac:dyDescent="0.2">
      <c r="B7" s="4">
        <v>4</v>
      </c>
      <c r="C7" s="4">
        <v>646</v>
      </c>
      <c r="D7" s="23">
        <v>1249560.4372128081</v>
      </c>
      <c r="E7" s="33">
        <v>49.806400000001297</v>
      </c>
      <c r="F7" s="5">
        <v>12</v>
      </c>
      <c r="G7" s="23">
        <v>96</v>
      </c>
      <c r="H7" s="33">
        <v>901.6819496986958</v>
      </c>
      <c r="I7" s="23">
        <v>45.574859774349257</v>
      </c>
      <c r="J7" s="5">
        <v>5982.8036915694574</v>
      </c>
      <c r="K7" s="31"/>
      <c r="L7" s="23">
        <v>1885051.2902642391</v>
      </c>
      <c r="M7" s="33">
        <v>99.484400000004101</v>
      </c>
      <c r="N7" s="5">
        <v>26</v>
      </c>
      <c r="O7" s="5">
        <v>76.666666666666671</v>
      </c>
      <c r="P7" s="33">
        <v>926.88738416614297</v>
      </c>
      <c r="Q7" s="5">
        <v>15.752368079089759</v>
      </c>
      <c r="R7" s="5">
        <v>5552.1715002426454</v>
      </c>
      <c r="S7" s="31"/>
      <c r="T7" s="23">
        <v>1954575.8620088119</v>
      </c>
      <c r="U7" s="33">
        <v>109.01879999998491</v>
      </c>
      <c r="V7" s="5">
        <v>18</v>
      </c>
      <c r="W7" s="5">
        <v>73.333333333333329</v>
      </c>
      <c r="X7" s="33">
        <v>1664.774437766737</v>
      </c>
      <c r="Y7" s="5">
        <v>38.879592160783687</v>
      </c>
      <c r="Z7" s="5">
        <v>7034.6439136144227</v>
      </c>
      <c r="AA7" s="35"/>
    </row>
    <row r="8" spans="2:27" x14ac:dyDescent="0.2">
      <c r="B8" s="4">
        <v>5</v>
      </c>
      <c r="C8" s="4">
        <v>900</v>
      </c>
      <c r="D8" s="23">
        <v>1254399.515337649</v>
      </c>
      <c r="E8" s="33">
        <v>83.328000000002802</v>
      </c>
      <c r="F8" s="5">
        <v>13</v>
      </c>
      <c r="G8" s="23">
        <v>95.333333333333329</v>
      </c>
      <c r="H8" s="33">
        <v>681.67860450900173</v>
      </c>
      <c r="I8" s="23">
        <v>40.453726634553881</v>
      </c>
      <c r="J8" s="5">
        <v>5919.6520914556831</v>
      </c>
      <c r="K8" s="31"/>
      <c r="L8" s="23">
        <v>1725832.0941726509</v>
      </c>
      <c r="M8" s="33">
        <v>163.4435999999987</v>
      </c>
      <c r="N8" s="5">
        <v>28</v>
      </c>
      <c r="O8" s="5">
        <v>86</v>
      </c>
      <c r="P8" s="33">
        <v>981.91973858143137</v>
      </c>
      <c r="Q8" s="5">
        <v>17.045879043220388</v>
      </c>
      <c r="R8" s="5">
        <v>5443.2638128135331</v>
      </c>
      <c r="S8" s="31"/>
      <c r="T8" s="23">
        <v>1701978.5206956831</v>
      </c>
      <c r="U8" s="33">
        <v>346.77179999998782</v>
      </c>
      <c r="V8" s="5">
        <v>11</v>
      </c>
      <c r="W8" s="5">
        <v>74</v>
      </c>
      <c r="X8" s="33">
        <v>1007.1371217748642</v>
      </c>
      <c r="Y8" s="5">
        <v>59.771322576861444</v>
      </c>
      <c r="Z8" s="5">
        <v>6545.7053841587904</v>
      </c>
      <c r="AA8" s="35"/>
    </row>
    <row r="9" spans="2:27" x14ac:dyDescent="0.2">
      <c r="B9" s="4">
        <v>6</v>
      </c>
      <c r="C9" s="4">
        <v>450</v>
      </c>
      <c r="D9" s="23">
        <v>1446337.0020033261</v>
      </c>
      <c r="E9" s="33">
        <v>70.784400000004098</v>
      </c>
      <c r="F9" s="5">
        <v>10</v>
      </c>
      <c r="G9" s="23">
        <v>86.666666666666671</v>
      </c>
      <c r="H9" s="33">
        <v>890.06052280507845</v>
      </c>
      <c r="I9" s="23">
        <v>46.721725189266678</v>
      </c>
      <c r="J9" s="5">
        <v>6262.7139963113596</v>
      </c>
      <c r="K9" s="31"/>
      <c r="L9" s="23">
        <v>1883260.1101888779</v>
      </c>
      <c r="M9" s="33">
        <v>181.66559999999589</v>
      </c>
      <c r="N9" s="5">
        <v>34</v>
      </c>
      <c r="O9" s="5">
        <v>88.666666666666671</v>
      </c>
      <c r="P9" s="33">
        <v>1278.2109455941861</v>
      </c>
      <c r="Q9" s="5">
        <v>14.584785985349908</v>
      </c>
      <c r="R9" s="5">
        <v>6058.7183078532389</v>
      </c>
      <c r="S9" s="31"/>
      <c r="T9" s="23">
        <v>1795588.394079346</v>
      </c>
      <c r="U9" s="33">
        <v>119.68759999999311</v>
      </c>
      <c r="V9" s="5">
        <v>12</v>
      </c>
      <c r="W9" s="5">
        <v>72</v>
      </c>
      <c r="X9" s="33">
        <v>1294.0035878285553</v>
      </c>
      <c r="Y9" s="5">
        <v>58.731262002519451</v>
      </c>
      <c r="Z9" s="5">
        <v>6659.0466833288547</v>
      </c>
      <c r="AA9" s="35"/>
    </row>
    <row r="10" spans="2:27" x14ac:dyDescent="0.2">
      <c r="B10" s="4">
        <v>7</v>
      </c>
      <c r="C10" s="4">
        <v>991</v>
      </c>
      <c r="D10" s="23">
        <v>1210963.3158004689</v>
      </c>
      <c r="E10" s="33">
        <v>129.596800000011</v>
      </c>
      <c r="F10" s="5">
        <v>12</v>
      </c>
      <c r="G10" s="23">
        <v>95.333333333333329</v>
      </c>
      <c r="H10" s="33">
        <v>686.27529883122656</v>
      </c>
      <c r="I10" s="23">
        <v>44.841434834292862</v>
      </c>
      <c r="J10" s="5">
        <v>5761.2340304246145</v>
      </c>
      <c r="K10" s="31"/>
      <c r="L10" s="23">
        <v>1774156.4250572119</v>
      </c>
      <c r="M10" s="33">
        <v>178.45940000000411</v>
      </c>
      <c r="N10" s="5">
        <v>21</v>
      </c>
      <c r="O10" s="5">
        <v>74.666666666666671</v>
      </c>
      <c r="P10" s="33">
        <v>680.04218849085748</v>
      </c>
      <c r="Q10" s="5">
        <v>19.231488220707217</v>
      </c>
      <c r="R10" s="5">
        <v>5315.8150304828368</v>
      </c>
      <c r="S10" s="31"/>
      <c r="T10" s="23">
        <v>1589162.381058577</v>
      </c>
      <c r="U10" s="33">
        <v>139.2782000000123</v>
      </c>
      <c r="V10" s="5">
        <v>19</v>
      </c>
      <c r="W10" s="5">
        <v>86.666666666666671</v>
      </c>
      <c r="X10" s="33">
        <v>1241.6774080783948</v>
      </c>
      <c r="Y10" s="5">
        <v>47.250004443228697</v>
      </c>
      <c r="Z10" s="5">
        <v>6506.3682430682738</v>
      </c>
      <c r="AA10" s="35"/>
    </row>
    <row r="11" spans="2:27" x14ac:dyDescent="0.2">
      <c r="B11" s="4">
        <v>8</v>
      </c>
      <c r="C11" s="4">
        <v>258</v>
      </c>
      <c r="D11" s="23">
        <v>1183560.238055374</v>
      </c>
      <c r="E11" s="33">
        <v>314.665599999996</v>
      </c>
      <c r="F11" s="5">
        <v>11</v>
      </c>
      <c r="G11" s="23">
        <v>96</v>
      </c>
      <c r="H11" s="33">
        <v>663.40381746490812</v>
      </c>
      <c r="I11" s="23">
        <v>49.509948860127018</v>
      </c>
      <c r="J11" s="5">
        <v>5868.2051027109046</v>
      </c>
      <c r="K11" s="31"/>
      <c r="L11" s="23">
        <v>1942894.9828200659</v>
      </c>
      <c r="M11" s="33">
        <v>113.91259999999311</v>
      </c>
      <c r="N11" s="5">
        <v>35</v>
      </c>
      <c r="O11" s="5">
        <v>88.666666666666671</v>
      </c>
      <c r="P11" s="33">
        <v>1275.5189118355772</v>
      </c>
      <c r="Q11" s="5">
        <v>14.060261969756258</v>
      </c>
      <c r="R11" s="5">
        <v>6254.5559331955401</v>
      </c>
      <c r="S11" s="31"/>
      <c r="T11" s="23">
        <v>1867817.6056408021</v>
      </c>
      <c r="U11" s="33">
        <v>388.36879999998501</v>
      </c>
      <c r="V11" s="5">
        <v>14</v>
      </c>
      <c r="W11" s="5">
        <v>70</v>
      </c>
      <c r="X11" s="33">
        <v>1369.9390228639172</v>
      </c>
      <c r="Y11" s="5">
        <v>49.685385320292475</v>
      </c>
      <c r="Z11" s="5">
        <v>6647.2454854932466</v>
      </c>
      <c r="AA11" s="35"/>
    </row>
    <row r="12" spans="2:27" x14ac:dyDescent="0.2">
      <c r="B12" s="4">
        <v>9</v>
      </c>
      <c r="C12" s="4">
        <v>156</v>
      </c>
      <c r="D12" s="23">
        <v>1191583.6268849969</v>
      </c>
      <c r="E12" s="33">
        <v>184.8155999999959</v>
      </c>
      <c r="F12" s="5">
        <v>11</v>
      </c>
      <c r="G12" s="23">
        <v>95.333333333333329</v>
      </c>
      <c r="H12" s="33">
        <v>715.23811042764953</v>
      </c>
      <c r="I12" s="23">
        <v>47.934733197231033</v>
      </c>
      <c r="J12" s="5">
        <v>5737.604596664527</v>
      </c>
      <c r="K12" s="31"/>
      <c r="L12" s="23">
        <v>1703061.234202273</v>
      </c>
      <c r="M12" s="33">
        <v>158.54679999998771</v>
      </c>
      <c r="N12" s="5">
        <v>24</v>
      </c>
      <c r="O12" s="5">
        <v>80.666666666666671</v>
      </c>
      <c r="P12" s="33">
        <v>707.90863191619474</v>
      </c>
      <c r="Q12" s="5">
        <v>18.272104560353657</v>
      </c>
      <c r="R12" s="5">
        <v>5276.7446246355648</v>
      </c>
      <c r="S12" s="31"/>
      <c r="T12" s="23">
        <v>1596278.362704104</v>
      </c>
      <c r="U12" s="33">
        <v>631.72819999998899</v>
      </c>
      <c r="V12" s="5">
        <v>14</v>
      </c>
      <c r="W12" s="5">
        <v>81.333333333333329</v>
      </c>
      <c r="X12" s="33">
        <v>1170.167510636458</v>
      </c>
      <c r="Y12" s="5">
        <v>57.18175269822391</v>
      </c>
      <c r="Z12" s="5">
        <v>6485.9597871095502</v>
      </c>
      <c r="AA12" s="35"/>
    </row>
    <row r="13" spans="2:27" x14ac:dyDescent="0.2">
      <c r="B13" s="4">
        <v>10</v>
      </c>
      <c r="C13" s="4">
        <v>225</v>
      </c>
      <c r="D13" s="23">
        <v>1436566.118008882</v>
      </c>
      <c r="E13" s="33">
        <v>96.437599999993097</v>
      </c>
      <c r="F13" s="5">
        <v>15</v>
      </c>
      <c r="G13" s="23">
        <v>96</v>
      </c>
      <c r="H13" s="33">
        <v>1284.2805606584341</v>
      </c>
      <c r="I13" s="23">
        <v>35.680381517392284</v>
      </c>
      <c r="J13" s="5">
        <v>6548.3821642342482</v>
      </c>
      <c r="K13" s="31"/>
      <c r="L13" s="23">
        <v>1783549.124068361</v>
      </c>
      <c r="M13" s="33">
        <v>186.85</v>
      </c>
      <c r="N13" s="5">
        <v>20</v>
      </c>
      <c r="O13" s="5">
        <v>73.333333333333329</v>
      </c>
      <c r="P13" s="33">
        <v>718.95587383945531</v>
      </c>
      <c r="Q13" s="5">
        <v>19.344466174898223</v>
      </c>
      <c r="R13" s="5">
        <v>5246.9976587786205</v>
      </c>
      <c r="S13" s="31"/>
      <c r="T13" s="23">
        <v>1845061.413990797</v>
      </c>
      <c r="U13" s="33">
        <v>207.06259999999321</v>
      </c>
      <c r="V13" s="5">
        <v>12</v>
      </c>
      <c r="W13" s="5">
        <v>76.666666666666671</v>
      </c>
      <c r="X13" s="33">
        <v>1873.8203244612059</v>
      </c>
      <c r="Y13" s="5">
        <v>60.017301773151154</v>
      </c>
      <c r="Z13" s="5">
        <v>7446.1235157204501</v>
      </c>
      <c r="AA13" s="35"/>
    </row>
    <row r="14" spans="2:27" x14ac:dyDescent="0.2">
      <c r="B14" s="46" t="s">
        <v>3</v>
      </c>
      <c r="C14" s="47"/>
      <c r="D14" s="9">
        <f>MIN(D4:D13)</f>
        <v>1183560.238055374</v>
      </c>
      <c r="E14" s="22">
        <f>INDEX(E4:E13, MATCH($D$14, D4:D13, 0))</f>
        <v>314.665599999996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663.40381746490812</v>
      </c>
      <c r="I14" s="22">
        <f>INDEX(I4:I13, MATCH($D$14, D4:D13, 0))</f>
        <v>49.509948860127018</v>
      </c>
      <c r="J14" s="22">
        <f>INDEX(J4:J13, MATCH($D$14, D4:D13, 0))</f>
        <v>5868.2051027109046</v>
      </c>
      <c r="K14" s="32" t="e">
        <f>(D14-$D$15)/$D$15</f>
        <v>#DIV/0!</v>
      </c>
      <c r="L14" s="16">
        <f>MIN(L4:L13)</f>
        <v>1703061.234202273</v>
      </c>
      <c r="M14" s="21">
        <f>INDEX(M4:M13, MATCH($L$14, L4:L13, 0))</f>
        <v>158.54679999998771</v>
      </c>
      <c r="N14" s="16">
        <f>INDEX(N4:N13, MATCH($L$14, L4:L13, 0))</f>
        <v>24</v>
      </c>
      <c r="O14" s="16">
        <f>INDEX(O4:O13, MATCH($L$14, L4:L13, 0))</f>
        <v>80.666666666666671</v>
      </c>
      <c r="P14" s="21">
        <f>INDEX(P4:P13, MATCH($L$14, L4:L13, 0))</f>
        <v>707.90863191619474</v>
      </c>
      <c r="Q14" s="21">
        <f>INDEX(Q4:Q13, MATCH($L$14, L4:L13, 0))</f>
        <v>18.272104560353657</v>
      </c>
      <c r="R14" s="21">
        <f>INDEX(R4:R13, MATCH($L$14, L4:L13, 0))</f>
        <v>5276.7446246355648</v>
      </c>
      <c r="S14" s="36" t="e">
        <f>(L14-$D$15)/$D$15</f>
        <v>#DIV/0!</v>
      </c>
      <c r="T14" s="38">
        <f>MIN(T4:T13)</f>
        <v>1589162.381058577</v>
      </c>
      <c r="U14" s="39">
        <f>INDEX(U4:U13, MATCH($T$14, T4:T13, 0))</f>
        <v>139.2782000000123</v>
      </c>
      <c r="V14" s="38">
        <f>INDEX(V4:V13, MATCH($T$14, T4:T13, 0))</f>
        <v>19</v>
      </c>
      <c r="W14" s="38">
        <f>INDEX(W4:W13, MATCH($T$14, T4:T13, 0))</f>
        <v>86.666666666666671</v>
      </c>
      <c r="X14" s="39">
        <f>INDEX(X4:X13, MATCH($T$14, T4:T13, 0))</f>
        <v>1241.6774080783948</v>
      </c>
      <c r="Y14" s="39">
        <f>INDEX(Y4:Y13, MATCH($T$14, T4:T13, 0))</f>
        <v>47.250004443228697</v>
      </c>
      <c r="Z14" s="39">
        <f>INDEX(Z4:Z13, MATCH($T$14, T4:T13, 0))</f>
        <v>6506.3682430682738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</sheetData>
  <mergeCells count="1">
    <mergeCell ref="B14:C14"/>
  </mergeCells>
  <conditionalFormatting sqref="C1:C13 C15:C1048576">
    <cfRule type="duplicateValues" dxfId="89" priority="5"/>
    <cfRule type="duplicateValues" dxfId="88" priority="6"/>
  </conditionalFormatting>
  <conditionalFormatting sqref="C14">
    <cfRule type="duplicateValues" dxfId="87" priority="1"/>
    <cfRule type="duplicateValues" dxfId="8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38E4-E1C1-48FF-9806-083DCDC66F8E}">
  <dimension ref="B1:AA37"/>
  <sheetViews>
    <sheetView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-0.94644413420252782</v>
      </c>
      <c r="J2" s="28" t="e">
        <f>(S14-J14)/J14</f>
        <v>#DIV/0!</v>
      </c>
      <c r="K2" s="28"/>
      <c r="L2" s="1" t="s">
        <v>19</v>
      </c>
      <c r="P2" s="1">
        <f>(P14-H14)/H14</f>
        <v>3.2166346605723966E-3</v>
      </c>
      <c r="R2" s="1">
        <f>(R14-J14)/J14</f>
        <v>-0.13631364256149336</v>
      </c>
      <c r="T2" s="1" t="s">
        <v>20</v>
      </c>
      <c r="X2" s="1">
        <f>(X14-P14)/P14</f>
        <v>2.5922320557895384</v>
      </c>
      <c r="Z2" s="1">
        <f>(Z14-R14)/R14</f>
        <v>0.42493967748644218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784</v>
      </c>
      <c r="D4" s="23">
        <v>1193738.1041256119</v>
      </c>
      <c r="E4" s="33">
        <v>77.931199999991804</v>
      </c>
      <c r="F4" s="5">
        <v>11</v>
      </c>
      <c r="G4" s="23">
        <v>94</v>
      </c>
      <c r="H4" s="33">
        <v>628.06533938773464</v>
      </c>
      <c r="I4" s="23">
        <v>39.418630896590649</v>
      </c>
      <c r="J4" s="5">
        <v>5575.7119195951564</v>
      </c>
      <c r="K4" s="31"/>
      <c r="L4" s="23">
        <v>1628228.8978358819</v>
      </c>
      <c r="M4" s="33">
        <v>216.2530000000028</v>
      </c>
      <c r="N4" s="5">
        <v>25</v>
      </c>
      <c r="O4" s="5">
        <v>82</v>
      </c>
      <c r="P4" s="33">
        <v>413.59005239290548</v>
      </c>
      <c r="Q4" s="5">
        <v>15.031361239796672</v>
      </c>
      <c r="R4" s="5">
        <v>4861.9754826327598</v>
      </c>
      <c r="S4" s="31"/>
      <c r="T4" s="23">
        <v>1433369.689420908</v>
      </c>
      <c r="U4" s="33">
        <v>96.912599999993091</v>
      </c>
      <c r="V4" s="5">
        <v>15</v>
      </c>
      <c r="W4" s="5">
        <v>88.666666666666671</v>
      </c>
      <c r="X4" s="33">
        <v>921.03780235924955</v>
      </c>
      <c r="Y4" s="5">
        <v>48.554258162746343</v>
      </c>
      <c r="Z4" s="5">
        <v>6187.602395570013</v>
      </c>
      <c r="AA4" s="35"/>
    </row>
    <row r="5" spans="2:27" x14ac:dyDescent="0.2">
      <c r="B5" s="4">
        <v>2</v>
      </c>
      <c r="C5" s="4">
        <v>857</v>
      </c>
      <c r="D5" s="23">
        <v>1418936.339903926</v>
      </c>
      <c r="E5" s="33">
        <v>64.940599999995896</v>
      </c>
      <c r="F5" s="5">
        <v>13</v>
      </c>
      <c r="G5" s="23">
        <v>94.666666666666671</v>
      </c>
      <c r="H5" s="33">
        <v>1279.2575482136062</v>
      </c>
      <c r="I5" s="23">
        <v>35.377868049667811</v>
      </c>
      <c r="J5" s="5">
        <v>6490.4675561063423</v>
      </c>
      <c r="K5" s="31"/>
      <c r="L5" s="23">
        <v>1530791.8022952389</v>
      </c>
      <c r="M5" s="33">
        <v>492.13760000001639</v>
      </c>
      <c r="N5" s="5">
        <v>24</v>
      </c>
      <c r="O5" s="5">
        <v>85.333333333333329</v>
      </c>
      <c r="P5" s="33">
        <v>504.11316536382822</v>
      </c>
      <c r="Q5" s="5">
        <v>15.673664262052194</v>
      </c>
      <c r="R5" s="5">
        <v>4834.0487231472953</v>
      </c>
      <c r="S5" s="31"/>
      <c r="T5" s="23">
        <v>1553428.447246416</v>
      </c>
      <c r="U5" s="33">
        <v>113.26259999999311</v>
      </c>
      <c r="V5" s="5">
        <v>16</v>
      </c>
      <c r="W5" s="5">
        <v>89.333333333333329</v>
      </c>
      <c r="X5" s="33">
        <v>1436.2736233668481</v>
      </c>
      <c r="Y5" s="5">
        <v>47.568067251417055</v>
      </c>
      <c r="Z5" s="5">
        <v>6598.545956282459</v>
      </c>
      <c r="AA5" s="35"/>
    </row>
    <row r="6" spans="2:27" x14ac:dyDescent="0.2">
      <c r="B6" s="4">
        <v>3</v>
      </c>
      <c r="C6" s="4">
        <v>979</v>
      </c>
      <c r="D6" s="23">
        <v>1051059.3047286849</v>
      </c>
      <c r="E6" s="33">
        <v>47.2374000000069</v>
      </c>
      <c r="F6" s="5">
        <v>11</v>
      </c>
      <c r="G6" s="23">
        <v>96</v>
      </c>
      <c r="H6" s="33">
        <v>307.31513474561274</v>
      </c>
      <c r="I6" s="23">
        <v>40.04855393495005</v>
      </c>
      <c r="J6" s="5">
        <v>5136.7152436413999</v>
      </c>
      <c r="K6" s="31"/>
      <c r="L6" s="23">
        <v>1856828.71913074</v>
      </c>
      <c r="M6" s="33">
        <v>114.12819999998901</v>
      </c>
      <c r="N6" s="5">
        <v>25</v>
      </c>
      <c r="O6" s="5">
        <v>78</v>
      </c>
      <c r="P6" s="33">
        <v>1005.521808014568</v>
      </c>
      <c r="Q6" s="5">
        <v>14.503366210512365</v>
      </c>
      <c r="R6" s="5">
        <v>5742.3634460946605</v>
      </c>
      <c r="S6" s="31"/>
      <c r="T6" s="23">
        <v>1510779.021116043</v>
      </c>
      <c r="U6" s="33">
        <v>137.60940000000409</v>
      </c>
      <c r="V6" s="5">
        <v>14</v>
      </c>
      <c r="W6" s="5">
        <v>88.666666666666671</v>
      </c>
      <c r="X6" s="33">
        <v>1236.0292397874071</v>
      </c>
      <c r="Y6" s="5">
        <v>52.015949922217132</v>
      </c>
      <c r="Z6" s="5">
        <v>6586.9084898858973</v>
      </c>
      <c r="AA6" s="35"/>
    </row>
    <row r="7" spans="2:27" x14ac:dyDescent="0.2">
      <c r="B7" s="4">
        <v>4</v>
      </c>
      <c r="C7" s="4">
        <v>365</v>
      </c>
      <c r="D7" s="23">
        <v>1361575.4878778071</v>
      </c>
      <c r="E7" s="33">
        <v>58.265599999995899</v>
      </c>
      <c r="F7" s="5">
        <v>17</v>
      </c>
      <c r="G7" s="23">
        <v>95.333333333333329</v>
      </c>
      <c r="H7" s="33">
        <v>968.6820796859048</v>
      </c>
      <c r="I7" s="23">
        <v>27.156569396440833</v>
      </c>
      <c r="J7" s="5">
        <v>5904.8925014950828</v>
      </c>
      <c r="K7" s="31"/>
      <c r="L7" s="23">
        <v>1831177.014459644</v>
      </c>
      <c r="M7" s="33">
        <v>299.05940000000402</v>
      </c>
      <c r="N7" s="5">
        <v>34</v>
      </c>
      <c r="O7" s="5">
        <v>90</v>
      </c>
      <c r="P7" s="33">
        <v>1040.8449701734471</v>
      </c>
      <c r="Q7" s="5">
        <v>12.211363751485875</v>
      </c>
      <c r="R7" s="5">
        <v>5888.1667098966645</v>
      </c>
      <c r="S7" s="31"/>
      <c r="T7" s="23">
        <v>2174852.3184372261</v>
      </c>
      <c r="U7" s="33">
        <v>156.5685999999987</v>
      </c>
      <c r="V7" s="5">
        <v>15</v>
      </c>
      <c r="W7" s="5">
        <v>81.333333333333329</v>
      </c>
      <c r="X7" s="33">
        <v>3333.8158583983504</v>
      </c>
      <c r="Y7" s="5">
        <v>45.012221171585701</v>
      </c>
      <c r="Z7" s="5">
        <v>8920.9290225607256</v>
      </c>
      <c r="AA7" s="35"/>
    </row>
    <row r="8" spans="2:27" x14ac:dyDescent="0.2">
      <c r="B8" s="4">
        <v>5</v>
      </c>
      <c r="C8" s="4">
        <v>218</v>
      </c>
      <c r="D8" s="23">
        <v>1391881.998069871</v>
      </c>
      <c r="E8" s="33">
        <v>120.1408000000054</v>
      </c>
      <c r="F8" s="5">
        <v>16</v>
      </c>
      <c r="G8" s="23">
        <v>95.333333333333329</v>
      </c>
      <c r="H8" s="33">
        <v>1094.2779751378132</v>
      </c>
      <c r="I8" s="23">
        <v>28.068686542147201</v>
      </c>
      <c r="J8" s="5">
        <v>6097.168443334328</v>
      </c>
      <c r="K8" s="31"/>
      <c r="L8" s="23">
        <v>1574395.5747818979</v>
      </c>
      <c r="M8" s="33">
        <v>242.58119999999181</v>
      </c>
      <c r="N8" s="5">
        <v>30</v>
      </c>
      <c r="O8" s="5">
        <v>89.333333333333329</v>
      </c>
      <c r="P8" s="33">
        <v>610.12345476285293</v>
      </c>
      <c r="Q8" s="5">
        <v>13.927894211731429</v>
      </c>
      <c r="R8" s="5">
        <v>4910.88776358616</v>
      </c>
      <c r="S8" s="31"/>
      <c r="T8" s="23">
        <v>1878576.4685392231</v>
      </c>
      <c r="U8" s="33">
        <v>108.79059999999591</v>
      </c>
      <c r="V8" s="5">
        <v>19</v>
      </c>
      <c r="W8" s="5">
        <v>88.666666666666671</v>
      </c>
      <c r="X8" s="33">
        <v>2524.3930122256893</v>
      </c>
      <c r="Y8" s="5">
        <v>43.634113921412748</v>
      </c>
      <c r="Z8" s="5">
        <v>7736.0086730162302</v>
      </c>
      <c r="AA8" s="35"/>
    </row>
    <row r="9" spans="2:27" x14ac:dyDescent="0.2">
      <c r="B9" s="4">
        <v>6</v>
      </c>
      <c r="C9" s="4">
        <v>330</v>
      </c>
      <c r="D9" s="23">
        <v>1390708.3464766799</v>
      </c>
      <c r="E9" s="33">
        <v>54.431199999991804</v>
      </c>
      <c r="F9" s="5">
        <v>14</v>
      </c>
      <c r="G9" s="23">
        <v>95.333333333333329</v>
      </c>
      <c r="H9" s="33">
        <v>1145.765932748079</v>
      </c>
      <c r="I9" s="23">
        <v>32.711748319767374</v>
      </c>
      <c r="J9" s="5">
        <v>6334.316589455947</v>
      </c>
      <c r="K9" s="31"/>
      <c r="L9" s="23">
        <v>1645423.349523074</v>
      </c>
      <c r="M9" s="33">
        <v>230.42199999999721</v>
      </c>
      <c r="N9" s="5">
        <v>34</v>
      </c>
      <c r="O9" s="5">
        <v>90</v>
      </c>
      <c r="P9" s="33">
        <v>603.78820606246688</v>
      </c>
      <c r="Q9" s="5">
        <v>12.413936265239967</v>
      </c>
      <c r="R9" s="5">
        <v>4929.3786186245925</v>
      </c>
      <c r="S9" s="31"/>
      <c r="T9" s="23">
        <v>1538426.784009645</v>
      </c>
      <c r="U9" s="33">
        <v>239.61559999999599</v>
      </c>
      <c r="V9" s="5">
        <v>20</v>
      </c>
      <c r="W9" s="5">
        <v>95.333333333333329</v>
      </c>
      <c r="X9" s="33">
        <v>1666.3406848528762</v>
      </c>
      <c r="Y9" s="5">
        <v>46.830096624789803</v>
      </c>
      <c r="Z9" s="5">
        <v>6770.6537602674834</v>
      </c>
      <c r="AA9" s="35"/>
    </row>
    <row r="10" spans="2:27" x14ac:dyDescent="0.2">
      <c r="B10" s="4">
        <v>7</v>
      </c>
      <c r="C10" s="4">
        <v>72</v>
      </c>
      <c r="D10" s="23">
        <v>1057649.0575718209</v>
      </c>
      <c r="E10" s="33">
        <v>61.924999999999997</v>
      </c>
      <c r="F10" s="5">
        <v>10</v>
      </c>
      <c r="G10" s="23">
        <v>94</v>
      </c>
      <c r="H10" s="33">
        <v>240.6129466350294</v>
      </c>
      <c r="I10" s="23">
        <v>43.102806305426419</v>
      </c>
      <c r="J10" s="5">
        <v>5033.0104679213619</v>
      </c>
      <c r="K10" s="31"/>
      <c r="L10" s="23">
        <v>1856572.3523833719</v>
      </c>
      <c r="M10" s="33">
        <v>228.00640000000141</v>
      </c>
      <c r="N10" s="5">
        <v>34</v>
      </c>
      <c r="O10" s="5">
        <v>88.666666666666671</v>
      </c>
      <c r="P10" s="33">
        <v>1300.4034518011188</v>
      </c>
      <c r="Q10" s="5">
        <v>12.355631303084296</v>
      </c>
      <c r="R10" s="5">
        <v>5745.97660504342</v>
      </c>
      <c r="S10" s="31"/>
      <c r="T10" s="23">
        <v>1518467.4548652819</v>
      </c>
      <c r="U10" s="33">
        <v>114.04699999999721</v>
      </c>
      <c r="V10" s="5">
        <v>15</v>
      </c>
      <c r="W10" s="5">
        <v>89.333333333333329</v>
      </c>
      <c r="X10" s="33">
        <v>1343.8290554312318</v>
      </c>
      <c r="Y10" s="5">
        <v>54.130713496179091</v>
      </c>
      <c r="Z10" s="5">
        <v>6626.8132005857588</v>
      </c>
      <c r="AA10" s="35"/>
    </row>
    <row r="11" spans="2:27" x14ac:dyDescent="0.2">
      <c r="B11" s="4">
        <v>8</v>
      </c>
      <c r="C11" s="4">
        <v>169</v>
      </c>
      <c r="D11" s="23">
        <v>1386013.094901704</v>
      </c>
      <c r="E11" s="33">
        <v>90.5</v>
      </c>
      <c r="F11" s="5">
        <v>13</v>
      </c>
      <c r="G11" s="23">
        <v>88.666666666666671</v>
      </c>
      <c r="H11" s="33">
        <v>761.15360123799769</v>
      </c>
      <c r="I11" s="23">
        <v>31.706086132708386</v>
      </c>
      <c r="J11" s="5">
        <v>5761.8895425316005</v>
      </c>
      <c r="K11" s="31"/>
      <c r="L11" s="23">
        <v>1798329.976780694</v>
      </c>
      <c r="M11" s="33">
        <v>309.1375999999932</v>
      </c>
      <c r="N11" s="5">
        <v>33</v>
      </c>
      <c r="O11" s="5">
        <v>88</v>
      </c>
      <c r="P11" s="33">
        <v>916.49332004028702</v>
      </c>
      <c r="Q11" s="5">
        <v>12.400860497789743</v>
      </c>
      <c r="R11" s="5">
        <v>5595.0658324781707</v>
      </c>
      <c r="S11" s="31"/>
      <c r="T11" s="23">
        <v>1812705.088161703</v>
      </c>
      <c r="U11" s="33">
        <v>171.4311999999918</v>
      </c>
      <c r="V11" s="5">
        <v>19</v>
      </c>
      <c r="W11" s="5">
        <v>80.666666666666671</v>
      </c>
      <c r="X11" s="33">
        <v>1641.871702229254</v>
      </c>
      <c r="Y11" s="5">
        <v>45.634653350317478</v>
      </c>
      <c r="Z11" s="5">
        <v>6956.3006948870679</v>
      </c>
      <c r="AA11" s="35"/>
    </row>
    <row r="12" spans="2:27" x14ac:dyDescent="0.2">
      <c r="B12" s="4">
        <v>9</v>
      </c>
      <c r="C12" s="4">
        <v>18</v>
      </c>
      <c r="D12" s="23">
        <v>1057227.830714091</v>
      </c>
      <c r="E12" s="33">
        <v>63.659199999994598</v>
      </c>
      <c r="F12" s="5">
        <v>11</v>
      </c>
      <c r="G12" s="23">
        <v>94.666666666666671</v>
      </c>
      <c r="H12" s="33">
        <v>236.4210414375566</v>
      </c>
      <c r="I12" s="23">
        <v>40.198608246557221</v>
      </c>
      <c r="J12" s="5">
        <v>5027.571649247895</v>
      </c>
      <c r="K12" s="31"/>
      <c r="L12" s="23">
        <v>1520714.315660808</v>
      </c>
      <c r="M12" s="33">
        <v>182.60940000000409</v>
      </c>
      <c r="N12" s="5">
        <v>32</v>
      </c>
      <c r="O12" s="5">
        <v>91.333333333333329</v>
      </c>
      <c r="P12" s="33">
        <v>379.39703061778238</v>
      </c>
      <c r="Q12" s="5">
        <v>13.301249001612556</v>
      </c>
      <c r="R12" s="5">
        <v>4748.8082343788128</v>
      </c>
      <c r="S12" s="31"/>
      <c r="T12" s="23">
        <v>1413969.663402742</v>
      </c>
      <c r="U12" s="33">
        <v>315.19680000001097</v>
      </c>
      <c r="V12" s="5">
        <v>16</v>
      </c>
      <c r="W12" s="5">
        <v>92.666666666666671</v>
      </c>
      <c r="X12" s="33">
        <v>1264.0170002837285</v>
      </c>
      <c r="Y12" s="5">
        <v>53.099741250100159</v>
      </c>
      <c r="Z12" s="5">
        <v>6292.9288335677229</v>
      </c>
      <c r="AA12" s="35"/>
    </row>
    <row r="13" spans="2:27" x14ac:dyDescent="0.2">
      <c r="B13" s="4">
        <v>10</v>
      </c>
      <c r="C13" s="4">
        <v>785</v>
      </c>
      <c r="D13" s="23">
        <v>1144877.102296842</v>
      </c>
      <c r="E13" s="33">
        <v>89.443799999984918</v>
      </c>
      <c r="F13" s="5">
        <v>12</v>
      </c>
      <c r="G13" s="23">
        <v>96</v>
      </c>
      <c r="H13" s="33">
        <v>556.12280367468929</v>
      </c>
      <c r="I13" s="23">
        <v>38.530416112968389</v>
      </c>
      <c r="J13" s="5">
        <v>5467.0409769317293</v>
      </c>
      <c r="K13" s="31"/>
      <c r="L13" s="23">
        <v>1512385.360307005</v>
      </c>
      <c r="M13" s="33">
        <v>202.93759999999321</v>
      </c>
      <c r="N13" s="5">
        <v>22</v>
      </c>
      <c r="O13" s="5">
        <v>81.333333333333329</v>
      </c>
      <c r="P13" s="33">
        <v>308.30365525975395</v>
      </c>
      <c r="Q13" s="5">
        <v>16.458528113968104</v>
      </c>
      <c r="R13" s="5">
        <v>4436.5108779794919</v>
      </c>
      <c r="S13" s="31"/>
      <c r="T13" s="23">
        <v>1393969.489761305</v>
      </c>
      <c r="U13" s="33">
        <v>226.38140000000141</v>
      </c>
      <c r="V13" s="5">
        <v>17</v>
      </c>
      <c r="W13" s="5">
        <v>93.333333333333329</v>
      </c>
      <c r="X13" s="33">
        <v>1107.498273341175</v>
      </c>
      <c r="Y13" s="5">
        <v>52.388893557752269</v>
      </c>
      <c r="Z13" s="5">
        <v>6321.7603796331896</v>
      </c>
      <c r="AA13" s="35"/>
    </row>
    <row r="14" spans="2:27" x14ac:dyDescent="0.2">
      <c r="B14" s="46" t="s">
        <v>3</v>
      </c>
      <c r="C14" s="47"/>
      <c r="D14" s="9">
        <f>MIN(D4:D13)</f>
        <v>1051059.3047286849</v>
      </c>
      <c r="E14" s="22">
        <f>INDEX(E4:E13, MATCH($D$14, D4:D13, 0))</f>
        <v>47.2374000000069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307.31513474561274</v>
      </c>
      <c r="I14" s="22">
        <f>INDEX(I4:I13, MATCH($D$14, D4:D13, 0))</f>
        <v>40.04855393495005</v>
      </c>
      <c r="J14" s="22">
        <f>INDEX(J4:J13, MATCH($D$14, D4:D13, 0))</f>
        <v>5136.7152436413999</v>
      </c>
      <c r="K14" s="32" t="e">
        <f>(D14-$D$15)/$D$15</f>
        <v>#DIV/0!</v>
      </c>
      <c r="L14" s="16">
        <f>MIN(L4:L13)</f>
        <v>1512385.360307005</v>
      </c>
      <c r="M14" s="21">
        <f>INDEX(M4:M13, MATCH($L$14, L4:L13, 0))</f>
        <v>202.93759999999321</v>
      </c>
      <c r="N14" s="16">
        <f>INDEX(N4:N13, MATCH($L$14, L4:L13, 0))</f>
        <v>22</v>
      </c>
      <c r="O14" s="16">
        <f>INDEX(O4:O13, MATCH($L$14, L4:L13, 0))</f>
        <v>81.333333333333329</v>
      </c>
      <c r="P14" s="21">
        <f>INDEX(P4:P13, MATCH($L$14, L4:L13, 0))</f>
        <v>308.30365525975395</v>
      </c>
      <c r="Q14" s="21">
        <f>INDEX(Q4:Q13, MATCH($L$14, L4:L13, 0))</f>
        <v>16.458528113968104</v>
      </c>
      <c r="R14" s="21">
        <f>INDEX(R4:R13, MATCH($L$14, L4:L13, 0))</f>
        <v>4436.5108779794919</v>
      </c>
      <c r="S14" s="36" t="e">
        <f>(L14-$D$15)/$D$15</f>
        <v>#DIV/0!</v>
      </c>
      <c r="T14" s="38">
        <f>MIN(T4:T13)</f>
        <v>1393969.489761305</v>
      </c>
      <c r="U14" s="39">
        <f>INDEX(U4:U13, MATCH($T$14, T4:T13, 0))</f>
        <v>226.38140000000141</v>
      </c>
      <c r="V14" s="38">
        <f>INDEX(V4:V13, MATCH($T$14, T4:T13, 0))</f>
        <v>17</v>
      </c>
      <c r="W14" s="38">
        <f>INDEX(W4:W13, MATCH($T$14, T4:T13, 0))</f>
        <v>93.333333333333329</v>
      </c>
      <c r="X14" s="39">
        <f>INDEX(X4:X13, MATCH($T$14, T4:T13, 0))</f>
        <v>1107.498273341175</v>
      </c>
      <c r="Y14" s="39">
        <f>INDEX(Y4:Y13, MATCH($T$14, T4:T13, 0))</f>
        <v>52.388893557752269</v>
      </c>
      <c r="Z14" s="39">
        <f>INDEX(Z4:Z13, MATCH($T$14, T4:T13, 0))</f>
        <v>6321.7603796331896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</sheetData>
  <mergeCells count="1">
    <mergeCell ref="B14:C14"/>
  </mergeCells>
  <conditionalFormatting sqref="C1:C13 C15:C16 C38:C1048576">
    <cfRule type="duplicateValues" dxfId="85" priority="7"/>
    <cfRule type="duplicateValues" dxfId="84" priority="8"/>
  </conditionalFormatting>
  <conditionalFormatting sqref="C14">
    <cfRule type="duplicateValues" dxfId="83" priority="3"/>
    <cfRule type="duplicateValues" dxfId="82" priority="4"/>
  </conditionalFormatting>
  <conditionalFormatting sqref="C17:C37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F74B-9F00-457B-AD59-382825433386}">
  <dimension ref="B1:AA17"/>
  <sheetViews>
    <sheetView zoomScale="85" zoomScaleNormal="85" workbookViewId="0">
      <selection activeCell="U19" sqref="U19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-0.97223561785595225</v>
      </c>
      <c r="J2" s="28" t="e">
        <f>(S14-J14)/J14</f>
        <v>#DIV/0!</v>
      </c>
      <c r="K2" s="28"/>
      <c r="L2" s="1" t="s">
        <v>19</v>
      </c>
      <c r="P2" s="1">
        <f>(P14-H14)/H14</f>
        <v>2.3675256788691638E-2</v>
      </c>
      <c r="R2" s="1">
        <f>(R14-J14)/J14</f>
        <v>-9.5953277705245699E-2</v>
      </c>
      <c r="T2" s="1" t="s">
        <v>20</v>
      </c>
      <c r="X2" s="1">
        <f>(X14-P14)/P14</f>
        <v>0.37023025804932047</v>
      </c>
      <c r="Z2" s="1">
        <f>(Z14-R14)/R14</f>
        <v>0.18257214761183552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774</v>
      </c>
      <c r="D4" s="23">
        <v>1295142.3051641299</v>
      </c>
      <c r="E4" s="33">
        <v>286.25319999998902</v>
      </c>
      <c r="F4" s="5">
        <v>13</v>
      </c>
      <c r="G4" s="23">
        <v>96.666666666666671</v>
      </c>
      <c r="H4" s="33">
        <v>1047.7203210302127</v>
      </c>
      <c r="I4" s="23">
        <v>49.283383668275555</v>
      </c>
      <c r="J4" s="5">
        <v>6263.8486570343939</v>
      </c>
      <c r="K4" s="31"/>
      <c r="L4" s="23">
        <v>1681185.559044505</v>
      </c>
      <c r="M4" s="33">
        <v>473.30300000000278</v>
      </c>
      <c r="N4" s="5">
        <v>23</v>
      </c>
      <c r="O4" s="5">
        <v>81.333333333333329</v>
      </c>
      <c r="P4" s="33">
        <v>830.03053445366868</v>
      </c>
      <c r="Q4" s="5">
        <v>22.512300455609093</v>
      </c>
      <c r="R4" s="5">
        <v>5357.9089679918143</v>
      </c>
      <c r="S4" s="31"/>
      <c r="T4" s="23">
        <v>1628845.627663421</v>
      </c>
      <c r="U4" s="33">
        <v>134.0344000000041</v>
      </c>
      <c r="V4" s="5">
        <v>17</v>
      </c>
      <c r="W4" s="5">
        <v>82</v>
      </c>
      <c r="X4" s="33">
        <v>1137.3329534132658</v>
      </c>
      <c r="Y4" s="5">
        <v>47.889142193313198</v>
      </c>
      <c r="Z4" s="5">
        <v>6336.1139149867931</v>
      </c>
      <c r="AA4" s="35"/>
    </row>
    <row r="5" spans="2:27" x14ac:dyDescent="0.2">
      <c r="B5" s="4">
        <v>2</v>
      </c>
      <c r="C5" s="4">
        <v>169</v>
      </c>
      <c r="D5" s="23">
        <v>1527496.1099292119</v>
      </c>
      <c r="E5" s="33">
        <v>255.640599999996</v>
      </c>
      <c r="F5" s="5">
        <v>16</v>
      </c>
      <c r="G5" s="23">
        <v>96.666666666666671</v>
      </c>
      <c r="H5" s="33">
        <v>1558.2408822207149</v>
      </c>
      <c r="I5" s="23">
        <v>39.437746915237071</v>
      </c>
      <c r="J5" s="5">
        <v>6974.6077730102543</v>
      </c>
      <c r="K5" s="31"/>
      <c r="L5" s="23">
        <v>2088495.9206373</v>
      </c>
      <c r="M5" s="33">
        <v>188.7876000000164</v>
      </c>
      <c r="N5" s="5">
        <v>37</v>
      </c>
      <c r="O5" s="5">
        <v>88.666666666666671</v>
      </c>
      <c r="P5" s="33">
        <v>1770.5859725525622</v>
      </c>
      <c r="Q5" s="5">
        <v>15.180944213304997</v>
      </c>
      <c r="R5" s="5">
        <v>6722.6029938870788</v>
      </c>
      <c r="S5" s="31"/>
      <c r="T5" s="23">
        <v>1812705.088161703</v>
      </c>
      <c r="U5" s="33">
        <v>171.4311999999918</v>
      </c>
      <c r="V5" s="5">
        <v>19</v>
      </c>
      <c r="W5" s="5">
        <v>80.666666666666671</v>
      </c>
      <c r="X5" s="33">
        <v>1641.871702229254</v>
      </c>
      <c r="Y5" s="5">
        <v>45.634653350317478</v>
      </c>
      <c r="Z5" s="5">
        <v>6956.3006948870679</v>
      </c>
      <c r="AA5" s="35"/>
    </row>
    <row r="6" spans="2:27" x14ac:dyDescent="0.2">
      <c r="B6" s="4">
        <v>3</v>
      </c>
      <c r="C6" s="4">
        <v>84</v>
      </c>
      <c r="D6" s="23">
        <v>1368503.815864654</v>
      </c>
      <c r="E6" s="33">
        <v>151.98440000000409</v>
      </c>
      <c r="F6" s="5">
        <v>12</v>
      </c>
      <c r="G6" s="23">
        <v>92.666666666666671</v>
      </c>
      <c r="H6" s="33">
        <v>1049.4792168554943</v>
      </c>
      <c r="I6" s="23">
        <v>50.104798509120279</v>
      </c>
      <c r="J6" s="5">
        <v>6311.0787020249518</v>
      </c>
      <c r="K6" s="31"/>
      <c r="L6" s="23">
        <v>1848191.8599418481</v>
      </c>
      <c r="M6" s="33">
        <v>281.04359999999861</v>
      </c>
      <c r="N6" s="5">
        <v>35</v>
      </c>
      <c r="O6" s="5">
        <v>90</v>
      </c>
      <c r="P6" s="33">
        <v>1245.6482249678411</v>
      </c>
      <c r="Q6" s="5">
        <v>16.602336985323571</v>
      </c>
      <c r="R6" s="5">
        <v>5918.5148490969368</v>
      </c>
      <c r="S6" s="31"/>
      <c r="T6" s="23">
        <v>1828699.468056886</v>
      </c>
      <c r="U6" s="33">
        <v>183.66239999998362</v>
      </c>
      <c r="V6" s="5">
        <v>16</v>
      </c>
      <c r="W6" s="5">
        <v>76.666666666666671</v>
      </c>
      <c r="X6" s="33">
        <v>1495.1223276676631</v>
      </c>
      <c r="Y6" s="5">
        <v>48.299137518001935</v>
      </c>
      <c r="Z6" s="5">
        <v>7003.0474782566107</v>
      </c>
      <c r="AA6" s="35"/>
    </row>
    <row r="7" spans="2:27" x14ac:dyDescent="0.2">
      <c r="B7" s="4">
        <v>4</v>
      </c>
      <c r="C7" s="4">
        <v>901</v>
      </c>
      <c r="D7" s="23">
        <v>1353412.9565652311</v>
      </c>
      <c r="E7" s="33">
        <v>470.90619999999183</v>
      </c>
      <c r="F7" s="5">
        <v>15</v>
      </c>
      <c r="G7" s="23">
        <v>96.666666666666671</v>
      </c>
      <c r="H7" s="33">
        <v>1148.9239258939424</v>
      </c>
      <c r="I7" s="23">
        <v>42.02379355377456</v>
      </c>
      <c r="J7" s="5">
        <v>6240.7997662251091</v>
      </c>
      <c r="K7" s="31"/>
      <c r="L7" s="23">
        <v>1874415.565027935</v>
      </c>
      <c r="M7" s="33">
        <v>204.54380000000819</v>
      </c>
      <c r="N7" s="5">
        <v>30</v>
      </c>
      <c r="O7" s="5">
        <v>88.666666666666671</v>
      </c>
      <c r="P7" s="33">
        <v>1583.8555482143909</v>
      </c>
      <c r="Q7" s="5">
        <v>18.991222887035082</v>
      </c>
      <c r="R7" s="5">
        <v>6363.0932424485563</v>
      </c>
      <c r="S7" s="31"/>
      <c r="T7" s="23">
        <v>1744603.4118367841</v>
      </c>
      <c r="U7" s="33">
        <v>200.01879999998499</v>
      </c>
      <c r="V7" s="5">
        <v>14</v>
      </c>
      <c r="W7" s="5">
        <v>75.333333333333329</v>
      </c>
      <c r="X7" s="33">
        <v>1176.1025951980346</v>
      </c>
      <c r="Y7" s="5">
        <v>54.361173049977616</v>
      </c>
      <c r="Z7" s="5">
        <v>6552.616389782097</v>
      </c>
      <c r="AA7" s="35"/>
    </row>
    <row r="8" spans="2:27" x14ac:dyDescent="0.2">
      <c r="B8" s="4">
        <v>5</v>
      </c>
      <c r="C8" s="4">
        <v>202</v>
      </c>
      <c r="D8" s="23">
        <v>1353533.1089744309</v>
      </c>
      <c r="E8" s="33">
        <v>270.81559999999598</v>
      </c>
      <c r="F8" s="5">
        <v>12</v>
      </c>
      <c r="G8" s="23">
        <v>92</v>
      </c>
      <c r="H8" s="33">
        <v>921.82438805816344</v>
      </c>
      <c r="I8" s="23">
        <v>50.087025382317229</v>
      </c>
      <c r="J8" s="5">
        <v>6211.501010739461</v>
      </c>
      <c r="K8" s="31"/>
      <c r="L8" s="23">
        <v>1742366.618447142</v>
      </c>
      <c r="M8" s="33">
        <v>468.13119999999179</v>
      </c>
      <c r="N8" s="5">
        <v>21</v>
      </c>
      <c r="O8" s="5">
        <v>75.333333333333329</v>
      </c>
      <c r="P8" s="33">
        <v>547.70377420409795</v>
      </c>
      <c r="Q8" s="5">
        <v>21.85117558061933</v>
      </c>
      <c r="R8" s="5">
        <v>5195.7185297313436</v>
      </c>
      <c r="S8" s="31"/>
      <c r="T8" s="23">
        <v>1733270.2069553831</v>
      </c>
      <c r="U8" s="33">
        <v>100.89680000001098</v>
      </c>
      <c r="V8" s="5">
        <v>15</v>
      </c>
      <c r="W8" s="5">
        <v>78.666666666666671</v>
      </c>
      <c r="X8" s="33">
        <v>1434.5924847120853</v>
      </c>
      <c r="Y8" s="5">
        <v>54.586481820229714</v>
      </c>
      <c r="Z8" s="5">
        <v>6733.4887678766881</v>
      </c>
      <c r="AA8" s="35"/>
    </row>
    <row r="9" spans="2:27" x14ac:dyDescent="0.2">
      <c r="B9" s="4">
        <v>6</v>
      </c>
      <c r="C9" s="4">
        <v>703</v>
      </c>
      <c r="D9" s="23">
        <v>1328516.9401337169</v>
      </c>
      <c r="E9" s="33">
        <v>235.571800000011</v>
      </c>
      <c r="F9" s="5">
        <v>13</v>
      </c>
      <c r="G9" s="23">
        <v>93.333333333333329</v>
      </c>
      <c r="H9" s="33">
        <v>886.43486370608423</v>
      </c>
      <c r="I9" s="23">
        <v>46.628201871889551</v>
      </c>
      <c r="J9" s="5">
        <v>6078.2802840922495</v>
      </c>
      <c r="K9" s="31"/>
      <c r="L9" s="23">
        <v>1763518.7238944811</v>
      </c>
      <c r="M9" s="33">
        <v>454.64060000001916</v>
      </c>
      <c r="N9" s="5">
        <v>26</v>
      </c>
      <c r="O9" s="5">
        <v>80</v>
      </c>
      <c r="P9" s="33">
        <v>776.62206409835449</v>
      </c>
      <c r="Q9" s="5">
        <v>19.022635180460988</v>
      </c>
      <c r="R9" s="5">
        <v>5338.6708600652046</v>
      </c>
      <c r="S9" s="31"/>
      <c r="T9" s="23">
        <v>1683323.539275364</v>
      </c>
      <c r="U9" s="33">
        <v>307.209400000004</v>
      </c>
      <c r="V9" s="5">
        <v>16</v>
      </c>
      <c r="W9" s="5">
        <v>83.333333333333329</v>
      </c>
      <c r="X9" s="33">
        <v>1495.4508281187607</v>
      </c>
      <c r="Y9" s="5">
        <v>54.584116305810376</v>
      </c>
      <c r="Z9" s="5">
        <v>6884.3412402737213</v>
      </c>
      <c r="AA9" s="35"/>
    </row>
    <row r="10" spans="2:27" x14ac:dyDescent="0.2">
      <c r="B10" s="4">
        <v>7</v>
      </c>
      <c r="C10" s="4">
        <v>778</v>
      </c>
      <c r="D10" s="23">
        <v>1238979.516822983</v>
      </c>
      <c r="E10" s="33">
        <v>206.07499999999999</v>
      </c>
      <c r="F10" s="5">
        <v>13</v>
      </c>
      <c r="G10" s="23">
        <v>96</v>
      </c>
      <c r="H10" s="33">
        <v>810.83383519252595</v>
      </c>
      <c r="I10" s="23">
        <v>47.195033540473858</v>
      </c>
      <c r="J10" s="5">
        <v>5926.5841420139877</v>
      </c>
      <c r="K10" s="31"/>
      <c r="L10" s="23">
        <v>1882537.642999677</v>
      </c>
      <c r="M10" s="33">
        <v>192.63440000000409</v>
      </c>
      <c r="N10" s="5">
        <v>34</v>
      </c>
      <c r="O10" s="5">
        <v>88.666666666666671</v>
      </c>
      <c r="P10" s="33">
        <v>1273.8071230658559</v>
      </c>
      <c r="Q10" s="5">
        <v>16.839803176062944</v>
      </c>
      <c r="R10" s="5">
        <v>6083.5817130199457</v>
      </c>
      <c r="S10" s="31"/>
      <c r="T10" s="23">
        <v>1748052.2809824401</v>
      </c>
      <c r="U10" s="33">
        <v>124.44060000001919</v>
      </c>
      <c r="V10" s="5">
        <v>16</v>
      </c>
      <c r="W10" s="5">
        <v>77.333333333333329</v>
      </c>
      <c r="X10" s="33">
        <v>1291.8960400344843</v>
      </c>
      <c r="Y10" s="5">
        <v>49.801159240731835</v>
      </c>
      <c r="Z10" s="5">
        <v>6597.0317355669004</v>
      </c>
      <c r="AA10" s="35"/>
    </row>
    <row r="11" spans="2:27" x14ac:dyDescent="0.2">
      <c r="B11" s="4">
        <v>8</v>
      </c>
      <c r="C11" s="4">
        <v>709</v>
      </c>
      <c r="D11" s="23">
        <v>1407678.9663740799</v>
      </c>
      <c r="E11" s="33">
        <v>133.38119999999179</v>
      </c>
      <c r="F11" s="5">
        <v>14</v>
      </c>
      <c r="G11" s="23">
        <v>94</v>
      </c>
      <c r="H11" s="33">
        <v>1206.2449221932573</v>
      </c>
      <c r="I11" s="23">
        <v>44.750501395090907</v>
      </c>
      <c r="J11" s="5">
        <v>6346.7084222319736</v>
      </c>
      <c r="K11" s="31"/>
      <c r="L11" s="23">
        <v>1783122.9489146059</v>
      </c>
      <c r="M11" s="33">
        <v>489.26879999998499</v>
      </c>
      <c r="N11" s="5">
        <v>25</v>
      </c>
      <c r="O11" s="5">
        <v>78.666666666666671</v>
      </c>
      <c r="P11" s="33">
        <v>853.93570433008074</v>
      </c>
      <c r="Q11" s="5">
        <v>20.463210581100796</v>
      </c>
      <c r="R11" s="5">
        <v>5443.5254087335379</v>
      </c>
      <c r="S11" s="31"/>
      <c r="T11" s="23">
        <v>1689290.969650968</v>
      </c>
      <c r="U11" s="33">
        <v>194.76880000000818</v>
      </c>
      <c r="V11" s="5">
        <v>14</v>
      </c>
      <c r="W11" s="5">
        <v>80.666666666666671</v>
      </c>
      <c r="X11" s="33">
        <v>1528.0739326187254</v>
      </c>
      <c r="Y11" s="5">
        <v>58.376317484979033</v>
      </c>
      <c r="Z11" s="5">
        <v>6828.0795543531431</v>
      </c>
      <c r="AA11" s="35"/>
    </row>
    <row r="12" spans="2:27" x14ac:dyDescent="0.2">
      <c r="B12" s="4">
        <v>9</v>
      </c>
      <c r="C12" s="4">
        <v>527</v>
      </c>
      <c r="D12" s="23">
        <v>1523433.025493473</v>
      </c>
      <c r="E12" s="33">
        <v>136.23140000000132</v>
      </c>
      <c r="F12" s="5">
        <v>16</v>
      </c>
      <c r="G12" s="23">
        <v>92</v>
      </c>
      <c r="H12" s="33">
        <v>1220.4527522912144</v>
      </c>
      <c r="I12" s="23">
        <v>37.072671799564496</v>
      </c>
      <c r="J12" s="5">
        <v>6577.9928767969441</v>
      </c>
      <c r="K12" s="31"/>
      <c r="L12" s="23">
        <v>1793146.0576844779</v>
      </c>
      <c r="M12" s="33">
        <v>342.28440000000398</v>
      </c>
      <c r="N12" s="5">
        <v>31</v>
      </c>
      <c r="O12" s="5">
        <v>85.333333333333329</v>
      </c>
      <c r="P12" s="33">
        <v>987.14136117048406</v>
      </c>
      <c r="Q12" s="5">
        <v>17.519576798127929</v>
      </c>
      <c r="R12" s="5">
        <v>5573.4866270894054</v>
      </c>
      <c r="S12" s="31"/>
      <c r="T12" s="23">
        <v>1908631.4041048789</v>
      </c>
      <c r="U12" s="33">
        <v>174.32800000000279</v>
      </c>
      <c r="V12" s="5">
        <v>18</v>
      </c>
      <c r="W12" s="5">
        <v>74</v>
      </c>
      <c r="X12" s="33">
        <v>1626.2478322239951</v>
      </c>
      <c r="Y12" s="5">
        <v>43.710195171840034</v>
      </c>
      <c r="Z12" s="5">
        <v>6894.7096709383186</v>
      </c>
      <c r="AA12" s="35"/>
    </row>
    <row r="13" spans="2:27" x14ac:dyDescent="0.2">
      <c r="B13" s="4">
        <v>10</v>
      </c>
      <c r="C13" s="4">
        <v>240</v>
      </c>
      <c r="D13" s="23">
        <v>1432248.5070011099</v>
      </c>
      <c r="E13" s="33">
        <v>286.15640000000138</v>
      </c>
      <c r="F13" s="5">
        <v>13</v>
      </c>
      <c r="G13" s="23">
        <v>92.666666666666671</v>
      </c>
      <c r="H13" s="33">
        <v>1208.2209217668587</v>
      </c>
      <c r="I13" s="23">
        <v>46.502650332771921</v>
      </c>
      <c r="J13" s="5">
        <v>6432.7648811788213</v>
      </c>
      <c r="K13" s="31"/>
      <c r="L13" s="23">
        <v>1755104.5549873789</v>
      </c>
      <c r="M13" s="33">
        <v>357.24059999999599</v>
      </c>
      <c r="N13" s="5">
        <v>26</v>
      </c>
      <c r="O13" s="5">
        <v>82</v>
      </c>
      <c r="P13" s="33">
        <v>881.67608660242809</v>
      </c>
      <c r="Q13" s="5">
        <v>20.148254500642359</v>
      </c>
      <c r="R13" s="5">
        <v>5544.4739186579891</v>
      </c>
      <c r="S13" s="31"/>
      <c r="T13" s="23">
        <v>1903494.228065806</v>
      </c>
      <c r="U13" s="33">
        <v>202.5375999999932</v>
      </c>
      <c r="V13" s="5">
        <v>17</v>
      </c>
      <c r="W13" s="5">
        <v>81.333333333333329</v>
      </c>
      <c r="X13" s="33">
        <v>2185.6634304406225</v>
      </c>
      <c r="Y13" s="5">
        <v>52.80138892845153</v>
      </c>
      <c r="Z13" s="5">
        <v>7739.9672967305532</v>
      </c>
      <c r="AA13" s="35"/>
    </row>
    <row r="14" spans="2:27" x14ac:dyDescent="0.2">
      <c r="B14" s="46" t="s">
        <v>3</v>
      </c>
      <c r="C14" s="47"/>
      <c r="D14" s="9">
        <f>MIN(D4:D13)</f>
        <v>1238979.516822983</v>
      </c>
      <c r="E14" s="22">
        <f>INDEX(E4:E13, MATCH($D$14, D4:D13, 0))</f>
        <v>206.07499999999999</v>
      </c>
      <c r="F14" s="9">
        <f>INDEX(F4:F13, MATCH($D$14, D4:D13, 0))</f>
        <v>13</v>
      </c>
      <c r="G14" s="9">
        <f>INDEX(G4:G13, MATCH($D$14, D4:D13, 0))</f>
        <v>96</v>
      </c>
      <c r="H14" s="22">
        <f>INDEX(H4:H13, MATCH($D$14, D4:D13, 0))</f>
        <v>810.83383519252595</v>
      </c>
      <c r="I14" s="22">
        <f>INDEX(I4:I13, MATCH($D$14, D4:D13, 0))</f>
        <v>47.195033540473858</v>
      </c>
      <c r="J14" s="22">
        <f>INDEX(J4:J13, MATCH($D$14, D4:D13, 0))</f>
        <v>5926.5841420139877</v>
      </c>
      <c r="K14" s="32" t="e">
        <f>(D14-$D$15)/$D$15</f>
        <v>#DIV/0!</v>
      </c>
      <c r="L14" s="16">
        <f>MIN(L4:L13)</f>
        <v>1681185.559044505</v>
      </c>
      <c r="M14" s="21">
        <f>INDEX(M4:M13, MATCH($L$14, L4:L13, 0))</f>
        <v>473.30300000000278</v>
      </c>
      <c r="N14" s="16">
        <f>INDEX(N4:N13, MATCH($L$14, L4:L13, 0))</f>
        <v>23</v>
      </c>
      <c r="O14" s="16">
        <f>INDEX(O4:O13, MATCH($L$14, L4:L13, 0))</f>
        <v>81.333333333333329</v>
      </c>
      <c r="P14" s="21">
        <f>INDEX(P4:P13, MATCH($L$14, L4:L13, 0))</f>
        <v>830.03053445366868</v>
      </c>
      <c r="Q14" s="21">
        <f>INDEX(Q4:Q13, MATCH($L$14, L4:L13, 0))</f>
        <v>22.512300455609093</v>
      </c>
      <c r="R14" s="21">
        <f>INDEX(R4:R13, MATCH($L$14, L4:L13, 0))</f>
        <v>5357.9089679918143</v>
      </c>
      <c r="S14" s="36" t="e">
        <f>(L14-$D$15)/$D$15</f>
        <v>#DIV/0!</v>
      </c>
      <c r="T14" s="38">
        <f>MIN(T4:T13)</f>
        <v>1628845.627663421</v>
      </c>
      <c r="U14" s="39">
        <f>INDEX(U4:U13, MATCH($T$14, T4:T13, 0))</f>
        <v>134.0344000000041</v>
      </c>
      <c r="V14" s="38">
        <f>INDEX(V4:V13, MATCH($T$14, T4:T13, 0))</f>
        <v>17</v>
      </c>
      <c r="W14" s="38">
        <f>INDEX(W4:W13, MATCH($T$14, T4:T13, 0))</f>
        <v>82</v>
      </c>
      <c r="X14" s="39">
        <f>INDEX(X4:X13, MATCH($T$14, T4:T13, 0))</f>
        <v>1137.3329534132658</v>
      </c>
      <c r="Y14" s="39">
        <f>INDEX(Y4:Y13, MATCH($T$14, T4:T13, 0))</f>
        <v>47.889142193313198</v>
      </c>
      <c r="Z14" s="39">
        <f>INDEX(Z4:Z13, MATCH($T$14, T4:T13, 0))</f>
        <v>6336.1139149867931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8:C1048576">
    <cfRule type="duplicateValues" dxfId="81" priority="7"/>
    <cfRule type="duplicateValues" dxfId="80" priority="8"/>
  </conditionalFormatting>
  <conditionalFormatting sqref="C14">
    <cfRule type="duplicateValues" dxfId="79" priority="3"/>
    <cfRule type="duplicateValues" dxfId="78" priority="4"/>
  </conditionalFormatting>
  <conditionalFormatting sqref="C17:C37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1FEE-3C90-408C-B89B-E51242173C56}">
  <dimension ref="B1:AA17"/>
  <sheetViews>
    <sheetView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-0.96127291316300867</v>
      </c>
      <c r="J2" s="28" t="e">
        <f>(S14-J14)/J14</f>
        <v>#DIV/0!</v>
      </c>
      <c r="K2" s="28"/>
      <c r="L2" s="1" t="s">
        <v>19</v>
      </c>
      <c r="P2" s="1">
        <f>(P14-H14)/H14</f>
        <v>-7.7097328298072615E-2</v>
      </c>
      <c r="R2" s="1">
        <f>(R14-J14)/J14</f>
        <v>-5.9647717273739236E-2</v>
      </c>
      <c r="T2" s="1" t="s">
        <v>20</v>
      </c>
      <c r="X2" s="1">
        <f>(X14-P14)/P14</f>
        <v>2.2039661297124957</v>
      </c>
      <c r="Z2" s="1">
        <f>(Z14-R14)/R14</f>
        <v>0.36055203047492063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87</v>
      </c>
      <c r="D4" s="23">
        <v>1182862.3431391381</v>
      </c>
      <c r="E4" s="33">
        <v>199.71879999998492</v>
      </c>
      <c r="F4" s="5">
        <v>12</v>
      </c>
      <c r="G4" s="23">
        <v>92.666666666666671</v>
      </c>
      <c r="H4" s="33">
        <v>481.64414467284894</v>
      </c>
      <c r="I4" s="23">
        <v>44.549732662661</v>
      </c>
      <c r="J4" s="5">
        <v>5406.0951759209638</v>
      </c>
      <c r="K4" s="31"/>
      <c r="L4" s="23">
        <v>1742987.0262114529</v>
      </c>
      <c r="M4" s="33">
        <v>642.30940000000396</v>
      </c>
      <c r="N4" s="5">
        <v>19</v>
      </c>
      <c r="O4" s="5">
        <v>72.666666666666671</v>
      </c>
      <c r="P4" s="33">
        <v>378.93443284542866</v>
      </c>
      <c r="Q4" s="5">
        <v>19.898048158304366</v>
      </c>
      <c r="R4" s="5">
        <v>5099.8521268518798</v>
      </c>
      <c r="S4" s="31"/>
      <c r="T4" s="23">
        <v>1693360.200964117</v>
      </c>
      <c r="U4" s="33">
        <v>135.10619999999182</v>
      </c>
      <c r="V4" s="5">
        <v>18</v>
      </c>
      <c r="W4" s="5">
        <v>84.666666666666671</v>
      </c>
      <c r="X4" s="33">
        <v>1480.9511536542432</v>
      </c>
      <c r="Y4" s="5">
        <v>51.083165345726755</v>
      </c>
      <c r="Z4" s="5">
        <v>7027.536127143564</v>
      </c>
      <c r="AA4" s="35"/>
    </row>
    <row r="5" spans="2:27" x14ac:dyDescent="0.2">
      <c r="B5" s="4">
        <v>2</v>
      </c>
      <c r="C5" s="4">
        <v>771</v>
      </c>
      <c r="D5" s="23">
        <v>1318451.765735894</v>
      </c>
      <c r="E5" s="33">
        <v>194.63140000000129</v>
      </c>
      <c r="F5" s="5">
        <v>13</v>
      </c>
      <c r="G5" s="23">
        <v>91.333333333333329</v>
      </c>
      <c r="H5" s="33">
        <v>687.38482523856055</v>
      </c>
      <c r="I5" s="23">
        <v>39.215125350145883</v>
      </c>
      <c r="J5" s="5">
        <v>5863.2203907267303</v>
      </c>
      <c r="K5" s="31"/>
      <c r="L5" s="23">
        <v>1764707.2257313291</v>
      </c>
      <c r="M5" s="33">
        <v>293.18140000000142</v>
      </c>
      <c r="N5" s="5">
        <v>23</v>
      </c>
      <c r="O5" s="5">
        <v>78</v>
      </c>
      <c r="P5" s="33">
        <v>703.02793202153373</v>
      </c>
      <c r="Q5" s="5">
        <v>18.799876003616998</v>
      </c>
      <c r="R5" s="5">
        <v>5470.7695808655963</v>
      </c>
      <c r="S5" s="31"/>
      <c r="T5" s="23">
        <v>1695414.9102177049</v>
      </c>
      <c r="U5" s="33">
        <v>165.3438000000082</v>
      </c>
      <c r="V5" s="5">
        <v>15</v>
      </c>
      <c r="W5" s="5">
        <v>80.666666666666671</v>
      </c>
      <c r="X5" s="33">
        <v>1298.4368095325963</v>
      </c>
      <c r="Y5" s="5">
        <v>52.730592376512163</v>
      </c>
      <c r="Z5" s="5">
        <v>6867.9873358330688</v>
      </c>
      <c r="AA5" s="35"/>
    </row>
    <row r="6" spans="2:27" x14ac:dyDescent="0.2">
      <c r="B6" s="4">
        <v>3</v>
      </c>
      <c r="C6" s="4">
        <v>5</v>
      </c>
      <c r="D6" s="23">
        <v>1543458.5915012909</v>
      </c>
      <c r="E6" s="33">
        <v>193.45</v>
      </c>
      <c r="F6" s="5">
        <v>14</v>
      </c>
      <c r="G6" s="23">
        <v>89.333333333333329</v>
      </c>
      <c r="H6" s="33">
        <v>1141.8525393098605</v>
      </c>
      <c r="I6" s="23">
        <v>35.929528909764826</v>
      </c>
      <c r="J6" s="5">
        <v>6723.2826399598034</v>
      </c>
      <c r="K6" s="31"/>
      <c r="L6" s="23">
        <v>1774091.0112840559</v>
      </c>
      <c r="M6" s="33">
        <v>227.459400000004</v>
      </c>
      <c r="N6" s="5">
        <v>25</v>
      </c>
      <c r="O6" s="5">
        <v>78</v>
      </c>
      <c r="P6" s="33">
        <v>523.58551198420798</v>
      </c>
      <c r="Q6" s="5">
        <v>17.176380258337321</v>
      </c>
      <c r="R6" s="5">
        <v>5288.8661341223115</v>
      </c>
      <c r="S6" s="31"/>
      <c r="T6" s="23">
        <v>1743374.3767353061</v>
      </c>
      <c r="U6" s="33">
        <v>174.08440000000411</v>
      </c>
      <c r="V6" s="5">
        <v>18</v>
      </c>
      <c r="W6" s="5">
        <v>84.666666666666671</v>
      </c>
      <c r="X6" s="33">
        <v>1596.7662358725061</v>
      </c>
      <c r="Y6" s="5">
        <v>50.106766011818728</v>
      </c>
      <c r="Z6" s="5">
        <v>7196.1742562969457</v>
      </c>
      <c r="AA6" s="35"/>
    </row>
    <row r="7" spans="2:27" x14ac:dyDescent="0.2">
      <c r="B7" s="4">
        <v>4</v>
      </c>
      <c r="C7" s="4">
        <v>546</v>
      </c>
      <c r="D7" s="23">
        <v>1303305.487379764</v>
      </c>
      <c r="E7" s="33">
        <v>160.23140000000132</v>
      </c>
      <c r="F7" s="5">
        <v>16</v>
      </c>
      <c r="G7" s="23">
        <v>93.333333333333329</v>
      </c>
      <c r="H7" s="33">
        <v>558.92766152198431</v>
      </c>
      <c r="I7" s="23">
        <v>33.754086337505257</v>
      </c>
      <c r="J7" s="5">
        <v>5708.9763725619569</v>
      </c>
      <c r="K7" s="31"/>
      <c r="L7" s="23">
        <v>1673359.2746685341</v>
      </c>
      <c r="M7" s="33">
        <v>531.27820000001225</v>
      </c>
      <c r="N7" s="5">
        <v>24</v>
      </c>
      <c r="O7" s="5">
        <v>78.666666666666671</v>
      </c>
      <c r="P7" s="33">
        <v>390.58726379653842</v>
      </c>
      <c r="Q7" s="5">
        <v>17.656245642561704</v>
      </c>
      <c r="R7" s="5">
        <v>4871.5352946318353</v>
      </c>
      <c r="S7" s="31"/>
      <c r="T7" s="23">
        <v>1938415.5576761251</v>
      </c>
      <c r="U7" s="33">
        <v>215.6124000000068</v>
      </c>
      <c r="V7" s="5">
        <v>18</v>
      </c>
      <c r="W7" s="5">
        <v>88.666666666666671</v>
      </c>
      <c r="X7" s="33">
        <v>2730.7799516886162</v>
      </c>
      <c r="Y7" s="5">
        <v>56.884256200305181</v>
      </c>
      <c r="Z7" s="5">
        <v>8396.8892357093646</v>
      </c>
      <c r="AA7" s="35"/>
    </row>
    <row r="8" spans="2:27" x14ac:dyDescent="0.2">
      <c r="B8" s="4">
        <v>5</v>
      </c>
      <c r="C8" s="4">
        <v>308</v>
      </c>
      <c r="D8" s="23">
        <v>1366744.0326758991</v>
      </c>
      <c r="E8" s="33">
        <v>98.087399999983603</v>
      </c>
      <c r="F8" s="5">
        <v>14</v>
      </c>
      <c r="G8" s="23">
        <v>92</v>
      </c>
      <c r="H8" s="33">
        <v>812.0663739749159</v>
      </c>
      <c r="I8" s="23">
        <v>37.692541246749052</v>
      </c>
      <c r="J8" s="5">
        <v>6036.5373593770801</v>
      </c>
      <c r="K8" s="31"/>
      <c r="L8" s="23">
        <v>1687652.2706702771</v>
      </c>
      <c r="M8" s="33">
        <v>432.0561999999918</v>
      </c>
      <c r="N8" s="5">
        <v>28</v>
      </c>
      <c r="O8" s="5">
        <v>80</v>
      </c>
      <c r="P8" s="33">
        <v>377.01300722501298</v>
      </c>
      <c r="Q8" s="5">
        <v>15.421418051244128</v>
      </c>
      <c r="R8" s="5">
        <v>4670.6961153238672</v>
      </c>
      <c r="S8" s="31"/>
      <c r="T8" s="23">
        <v>1671637.4833631851</v>
      </c>
      <c r="U8" s="33">
        <v>252.821800000011</v>
      </c>
      <c r="V8" s="5">
        <v>18</v>
      </c>
      <c r="W8" s="5">
        <v>89.333333333333329</v>
      </c>
      <c r="X8" s="33">
        <v>1635.3768362596747</v>
      </c>
      <c r="Y8" s="5">
        <v>54.635834579444236</v>
      </c>
      <c r="Z8" s="5">
        <v>7292.575144493283</v>
      </c>
      <c r="AA8" s="35"/>
    </row>
    <row r="9" spans="2:27" x14ac:dyDescent="0.2">
      <c r="B9" s="4">
        <v>6</v>
      </c>
      <c r="C9" s="4">
        <v>253</v>
      </c>
      <c r="D9" s="23">
        <v>1367539.429404225</v>
      </c>
      <c r="E9" s="33">
        <v>192.0311999999918</v>
      </c>
      <c r="F9" s="5">
        <v>13</v>
      </c>
      <c r="G9" s="23">
        <v>94</v>
      </c>
      <c r="H9" s="33">
        <v>929.70965143381522</v>
      </c>
      <c r="I9" s="23">
        <v>41.102635655850627</v>
      </c>
      <c r="J9" s="5">
        <v>6422.6639159858469</v>
      </c>
      <c r="K9" s="31"/>
      <c r="L9" s="23">
        <v>1663214.220287727</v>
      </c>
      <c r="M9" s="33">
        <v>390.0688000000082</v>
      </c>
      <c r="N9" s="5">
        <v>23</v>
      </c>
      <c r="O9" s="5">
        <v>79.333333333333329</v>
      </c>
      <c r="P9" s="33">
        <v>444.51066792816192</v>
      </c>
      <c r="Q9" s="5">
        <v>18.652674615273835</v>
      </c>
      <c r="R9" s="5">
        <v>5083.6339393127046</v>
      </c>
      <c r="S9" s="31"/>
      <c r="T9" s="23">
        <v>1776954.6185392521</v>
      </c>
      <c r="U9" s="33">
        <v>147.45940000000411</v>
      </c>
      <c r="V9" s="5">
        <v>19</v>
      </c>
      <c r="W9" s="5">
        <v>82</v>
      </c>
      <c r="X9" s="33">
        <v>1559.3604405950653</v>
      </c>
      <c r="Y9" s="5">
        <v>45.308637831745706</v>
      </c>
      <c r="Z9" s="5">
        <v>7043.1734400592222</v>
      </c>
      <c r="AA9" s="35"/>
    </row>
    <row r="10" spans="2:27" x14ac:dyDescent="0.2">
      <c r="B10" s="4">
        <v>7</v>
      </c>
      <c r="C10" s="4">
        <v>282</v>
      </c>
      <c r="D10" s="23">
        <v>1345403.440752621</v>
      </c>
      <c r="E10" s="33">
        <v>241.83140000000139</v>
      </c>
      <c r="F10" s="5">
        <v>12</v>
      </c>
      <c r="G10" s="23">
        <v>92.666666666666671</v>
      </c>
      <c r="H10" s="33">
        <v>850.17060493070028</v>
      </c>
      <c r="I10" s="23">
        <v>42.948642933703091</v>
      </c>
      <c r="J10" s="5">
        <v>6264.3741241726075</v>
      </c>
      <c r="K10" s="31"/>
      <c r="L10" s="23">
        <v>1769573.5378543851</v>
      </c>
      <c r="M10" s="33">
        <v>224.08760000001638</v>
      </c>
      <c r="N10" s="5">
        <v>20</v>
      </c>
      <c r="O10" s="5">
        <v>72.666666666666671</v>
      </c>
      <c r="P10" s="33">
        <v>506.12554668713528</v>
      </c>
      <c r="Q10" s="5">
        <v>19.003266581181013</v>
      </c>
      <c r="R10" s="5">
        <v>5157.765060286999</v>
      </c>
      <c r="S10" s="31"/>
      <c r="T10" s="23">
        <v>2111788.0443759062</v>
      </c>
      <c r="U10" s="33">
        <v>160.76880000000818</v>
      </c>
      <c r="V10" s="5">
        <v>12</v>
      </c>
      <c r="W10" s="5">
        <v>59.333333333333343</v>
      </c>
      <c r="X10" s="33">
        <v>1481.6370418374547</v>
      </c>
      <c r="Y10" s="5">
        <v>46.281840124303834</v>
      </c>
      <c r="Z10" s="5">
        <v>7307.7845092709422</v>
      </c>
      <c r="AA10" s="35"/>
    </row>
    <row r="11" spans="2:27" x14ac:dyDescent="0.2">
      <c r="B11" s="4">
        <v>8</v>
      </c>
      <c r="C11" s="4">
        <v>945</v>
      </c>
      <c r="D11" s="23">
        <v>1238307.5184957581</v>
      </c>
      <c r="E11" s="33">
        <v>104.48740000000689</v>
      </c>
      <c r="F11" s="5">
        <v>14</v>
      </c>
      <c r="G11" s="23">
        <v>94</v>
      </c>
      <c r="H11" s="33">
        <v>516.14864260884201</v>
      </c>
      <c r="I11" s="23">
        <v>39.969966946485883</v>
      </c>
      <c r="J11" s="5">
        <v>5666.3714217889019</v>
      </c>
      <c r="K11" s="31"/>
      <c r="L11" s="23">
        <v>1681611.8113558909</v>
      </c>
      <c r="M11" s="33">
        <v>162.57819999998901</v>
      </c>
      <c r="N11" s="5">
        <v>26</v>
      </c>
      <c r="O11" s="5">
        <v>80</v>
      </c>
      <c r="P11" s="33">
        <v>433.10017150558076</v>
      </c>
      <c r="Q11" s="5">
        <v>16.582187611233074</v>
      </c>
      <c r="R11" s="5">
        <v>4889.5331534422812</v>
      </c>
      <c r="S11" s="31"/>
      <c r="T11" s="23">
        <v>1676928.34382528</v>
      </c>
      <c r="U11" s="33">
        <v>331.40940000000398</v>
      </c>
      <c r="V11" s="5">
        <v>20</v>
      </c>
      <c r="W11" s="5">
        <v>84</v>
      </c>
      <c r="X11" s="33">
        <v>1313.9405179058938</v>
      </c>
      <c r="Y11" s="5">
        <v>44.79169386093276</v>
      </c>
      <c r="Z11" s="5">
        <v>6581.1450206560157</v>
      </c>
      <c r="AA11" s="35"/>
    </row>
    <row r="12" spans="2:27" x14ac:dyDescent="0.2">
      <c r="B12" s="4">
        <v>9</v>
      </c>
      <c r="C12" s="4">
        <v>974</v>
      </c>
      <c r="D12" s="23">
        <v>1303777.804802825</v>
      </c>
      <c r="E12" s="33">
        <v>220.98120000001501</v>
      </c>
      <c r="F12" s="5">
        <v>14</v>
      </c>
      <c r="G12" s="23">
        <v>93.333333333333329</v>
      </c>
      <c r="H12" s="33">
        <v>772.35530271629807</v>
      </c>
      <c r="I12" s="23">
        <v>37.438406921760979</v>
      </c>
      <c r="J12" s="5">
        <v>5856.8685715465181</v>
      </c>
      <c r="K12" s="31"/>
      <c r="L12" s="23">
        <v>1724590.928770904</v>
      </c>
      <c r="M12" s="33">
        <v>245.54699999999721</v>
      </c>
      <c r="N12" s="5">
        <v>24</v>
      </c>
      <c r="O12" s="5">
        <v>78.666666666666671</v>
      </c>
      <c r="P12" s="33">
        <v>529.46629743528956</v>
      </c>
      <c r="Q12" s="5">
        <v>18.070102724333015</v>
      </c>
      <c r="R12" s="5">
        <v>5174.4911624062761</v>
      </c>
      <c r="S12" s="31"/>
      <c r="T12" s="23">
        <v>1623396.2301638101</v>
      </c>
      <c r="U12" s="33">
        <v>301.74060000001919</v>
      </c>
      <c r="V12" s="5">
        <v>18</v>
      </c>
      <c r="W12" s="5">
        <v>87.333333333333329</v>
      </c>
      <c r="X12" s="33">
        <v>1424.1971243377093</v>
      </c>
      <c r="Y12" s="5">
        <v>51.821793927261112</v>
      </c>
      <c r="Z12" s="5">
        <v>6916.5484783231195</v>
      </c>
      <c r="AA12" s="35"/>
    </row>
    <row r="13" spans="2:27" x14ac:dyDescent="0.2">
      <c r="B13" s="4">
        <v>10</v>
      </c>
      <c r="C13" s="4">
        <v>80</v>
      </c>
      <c r="D13" s="23">
        <v>1351018.200689516</v>
      </c>
      <c r="E13" s="33">
        <v>172.63440000000409</v>
      </c>
      <c r="F13" s="5">
        <v>11</v>
      </c>
      <c r="G13" s="23">
        <v>93.333333333333329</v>
      </c>
      <c r="H13" s="33">
        <v>957.60015398337339</v>
      </c>
      <c r="I13" s="23">
        <v>48.258017072603813</v>
      </c>
      <c r="J13" s="5">
        <v>6370.8782913168798</v>
      </c>
      <c r="K13" s="31"/>
      <c r="L13" s="23">
        <v>1828331.9281358931</v>
      </c>
      <c r="M13" s="33">
        <v>525.08119999999178</v>
      </c>
      <c r="N13" s="5">
        <v>36</v>
      </c>
      <c r="O13" s="5">
        <v>89.333333333333329</v>
      </c>
      <c r="P13" s="33">
        <v>910.99371763131819</v>
      </c>
      <c r="Q13" s="5">
        <v>14.048707141100529</v>
      </c>
      <c r="R13" s="5">
        <v>5717.8185236310892</v>
      </c>
      <c r="S13" s="31"/>
      <c r="T13" s="23">
        <v>2021184.6026808119</v>
      </c>
      <c r="U13" s="33">
        <v>309.53440000000398</v>
      </c>
      <c r="V13" s="5">
        <v>23</v>
      </c>
      <c r="W13" s="5">
        <v>89.333333333333329</v>
      </c>
      <c r="X13" s="33">
        <v>2836.5877344476903</v>
      </c>
      <c r="Y13" s="5">
        <v>48.151343296460588</v>
      </c>
      <c r="Z13" s="5">
        <v>8445.2890816510171</v>
      </c>
      <c r="AA13" s="35"/>
    </row>
    <row r="14" spans="2:27" x14ac:dyDescent="0.2">
      <c r="B14" s="46" t="s">
        <v>3</v>
      </c>
      <c r="C14" s="47"/>
      <c r="D14" s="9">
        <f>MIN(D4:D13)</f>
        <v>1182862.3431391381</v>
      </c>
      <c r="E14" s="22">
        <f>INDEX(E4:E13, MATCH($D$14, D4:D13, 0))</f>
        <v>199.71879999998492</v>
      </c>
      <c r="F14" s="9">
        <f>INDEX(F4:F13, MATCH($D$14, D4:D13, 0))</f>
        <v>12</v>
      </c>
      <c r="G14" s="9">
        <f>INDEX(G4:G13, MATCH($D$14, D4:D13, 0))</f>
        <v>92.666666666666671</v>
      </c>
      <c r="H14" s="22">
        <f>INDEX(H4:H13, MATCH($D$14, D4:D13, 0))</f>
        <v>481.64414467284894</v>
      </c>
      <c r="I14" s="22">
        <f>INDEX(I4:I13, MATCH($D$14, D4:D13, 0))</f>
        <v>44.549732662661</v>
      </c>
      <c r="J14" s="22">
        <f>INDEX(J4:J13, MATCH($D$14, D4:D13, 0))</f>
        <v>5406.0951759209638</v>
      </c>
      <c r="K14" s="32" t="e">
        <f>(D14-$D$15)/$D$15</f>
        <v>#DIV/0!</v>
      </c>
      <c r="L14" s="16">
        <f>MIN(L4:L13)</f>
        <v>1663214.220287727</v>
      </c>
      <c r="M14" s="21">
        <f>INDEX(M4:M13, MATCH($L$14, L4:L13, 0))</f>
        <v>390.0688000000082</v>
      </c>
      <c r="N14" s="16">
        <f>INDEX(N4:N13, MATCH($L$14, L4:L13, 0))</f>
        <v>23</v>
      </c>
      <c r="O14" s="16">
        <f>INDEX(O4:O13, MATCH($L$14, L4:L13, 0))</f>
        <v>79.333333333333329</v>
      </c>
      <c r="P14" s="21">
        <f>INDEX(P4:P13, MATCH($L$14, L4:L13, 0))</f>
        <v>444.51066792816192</v>
      </c>
      <c r="Q14" s="21">
        <f>INDEX(Q4:Q13, MATCH($L$14, L4:L13, 0))</f>
        <v>18.652674615273835</v>
      </c>
      <c r="R14" s="21">
        <f>INDEX(R4:R13, MATCH($L$14, L4:L13, 0))</f>
        <v>5083.6339393127046</v>
      </c>
      <c r="S14" s="36" t="e">
        <f>(L14-$D$15)/$D$15</f>
        <v>#DIV/0!</v>
      </c>
      <c r="T14" s="38">
        <f>MIN(T4:T13)</f>
        <v>1623396.2301638101</v>
      </c>
      <c r="U14" s="39">
        <f>INDEX(U4:U13, MATCH($T$14, T4:T13, 0))</f>
        <v>301.74060000001919</v>
      </c>
      <c r="V14" s="38">
        <f>INDEX(V4:V13, MATCH($T$14, T4:T13, 0))</f>
        <v>18</v>
      </c>
      <c r="W14" s="38">
        <f>INDEX(W4:W13, MATCH($T$14, T4:T13, 0))</f>
        <v>87.333333333333329</v>
      </c>
      <c r="X14" s="39">
        <f>INDEX(X4:X13, MATCH($T$14, T4:T13, 0))</f>
        <v>1424.1971243377093</v>
      </c>
      <c r="Y14" s="39">
        <f>INDEX(Y4:Y13, MATCH($T$14, T4:T13, 0))</f>
        <v>51.821793927261112</v>
      </c>
      <c r="Z14" s="39">
        <f>INDEX(Z4:Z13, MATCH($T$14, T4:T13, 0))</f>
        <v>6916.5484783231195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8:C1048576">
    <cfRule type="duplicateValues" dxfId="77" priority="7"/>
    <cfRule type="duplicateValues" dxfId="76" priority="8"/>
  </conditionalFormatting>
  <conditionalFormatting sqref="C14">
    <cfRule type="duplicateValues" dxfId="75" priority="3"/>
    <cfRule type="duplicateValues" dxfId="74" priority="4"/>
  </conditionalFormatting>
  <conditionalFormatting sqref="C17:C37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ABD1-92AB-457C-BA7F-9A7A0BA773A6}">
  <dimension ref="B1:AA17"/>
  <sheetViews>
    <sheetView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-0.94928266542210327</v>
      </c>
      <c r="J2" s="28" t="e">
        <f>(S14-J14)/J14</f>
        <v>#DIV/0!</v>
      </c>
      <c r="K2" s="28"/>
      <c r="L2" s="1" t="s">
        <v>19</v>
      </c>
      <c r="P2" s="1">
        <f>(P14-H14)/H14</f>
        <v>0.15265306075850066</v>
      </c>
      <c r="R2" s="1">
        <f>(R14-J14)/J14</f>
        <v>-8.4940911900025257E-2</v>
      </c>
      <c r="T2" s="1" t="s">
        <v>20</v>
      </c>
      <c r="X2" s="1">
        <f>(X14-P14)/P14</f>
        <v>0.94967143585286373</v>
      </c>
      <c r="Z2" s="1">
        <f>(Z14-R14)/R14</f>
        <v>0.26369112307101494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343</v>
      </c>
      <c r="D4" s="23">
        <v>1205164.466204155</v>
      </c>
      <c r="E4" s="33">
        <v>172.02800000000281</v>
      </c>
      <c r="F4" s="5">
        <v>12</v>
      </c>
      <c r="G4" s="23">
        <v>94</v>
      </c>
      <c r="H4" s="33">
        <v>506.04057180372433</v>
      </c>
      <c r="I4" s="23">
        <v>47.008621228483442</v>
      </c>
      <c r="J4" s="5">
        <v>5670.7331091807491</v>
      </c>
      <c r="K4" s="31"/>
      <c r="L4" s="23">
        <v>1701316.92525192</v>
      </c>
      <c r="M4" s="33">
        <v>346.42500000000001</v>
      </c>
      <c r="N4" s="5">
        <v>32</v>
      </c>
      <c r="O4" s="5">
        <v>90</v>
      </c>
      <c r="P4" s="33">
        <v>904.38756901183808</v>
      </c>
      <c r="Q4" s="5">
        <v>16.754176487888614</v>
      </c>
      <c r="R4" s="5">
        <v>5427.2505377501193</v>
      </c>
      <c r="S4" s="31"/>
      <c r="T4" s="23">
        <v>1613216.621579495</v>
      </c>
      <c r="U4" s="33">
        <v>63.915599999995905</v>
      </c>
      <c r="V4" s="5">
        <v>15</v>
      </c>
      <c r="W4" s="5">
        <v>81.333333333333329</v>
      </c>
      <c r="X4" s="33">
        <v>994.05158417242251</v>
      </c>
      <c r="Y4" s="5">
        <v>52.054718205681446</v>
      </c>
      <c r="Z4" s="5">
        <v>6405.8948581880786</v>
      </c>
      <c r="AA4" s="35"/>
    </row>
    <row r="5" spans="2:27" x14ac:dyDescent="0.2">
      <c r="B5" s="4">
        <v>2</v>
      </c>
      <c r="C5" s="4">
        <v>9</v>
      </c>
      <c r="D5" s="23">
        <v>1195063.839849619</v>
      </c>
      <c r="E5" s="33">
        <v>313.56559999999598</v>
      </c>
      <c r="F5" s="5">
        <v>12</v>
      </c>
      <c r="G5" s="23">
        <v>93.333333333333329</v>
      </c>
      <c r="H5" s="33">
        <v>414.21953491031945</v>
      </c>
      <c r="I5" s="23">
        <v>46.877808033614002</v>
      </c>
      <c r="J5" s="5">
        <v>5548.2843529043284</v>
      </c>
      <c r="K5" s="31"/>
      <c r="L5" s="23">
        <v>1654432.1670001789</v>
      </c>
      <c r="M5" s="33">
        <v>152.75</v>
      </c>
      <c r="N5" s="5">
        <v>25</v>
      </c>
      <c r="O5" s="5">
        <v>82.666666666666671</v>
      </c>
      <c r="P5" s="33">
        <v>531.89049374428771</v>
      </c>
      <c r="Q5" s="5">
        <v>19.687585764312495</v>
      </c>
      <c r="R5" s="5">
        <v>5212.2237005996785</v>
      </c>
      <c r="S5" s="31"/>
      <c r="T5" s="23">
        <v>1592459.083241716</v>
      </c>
      <c r="U5" s="33">
        <v>116.97180000001099</v>
      </c>
      <c r="V5" s="5">
        <v>19</v>
      </c>
      <c r="W5" s="5">
        <v>90</v>
      </c>
      <c r="X5" s="33">
        <v>1419.3655255007882</v>
      </c>
      <c r="Y5" s="5">
        <v>52.109009030500353</v>
      </c>
      <c r="Z5" s="5">
        <v>6824.0004855013676</v>
      </c>
      <c r="AA5" s="35"/>
    </row>
    <row r="6" spans="2:27" x14ac:dyDescent="0.2">
      <c r="B6" s="4">
        <v>3</v>
      </c>
      <c r="C6" s="4">
        <v>893</v>
      </c>
      <c r="D6" s="23">
        <v>1215389.542479774</v>
      </c>
      <c r="E6" s="33">
        <v>236.6280000000028</v>
      </c>
      <c r="F6" s="5">
        <v>12</v>
      </c>
      <c r="G6" s="23">
        <v>92.666666666666671</v>
      </c>
      <c r="H6" s="33">
        <v>522.5485204163117</v>
      </c>
      <c r="I6" s="23">
        <v>46.950809010223452</v>
      </c>
      <c r="J6" s="5">
        <v>5546.6915995884974</v>
      </c>
      <c r="K6" s="31"/>
      <c r="L6" s="23">
        <v>1842391.819444757</v>
      </c>
      <c r="M6" s="33">
        <v>303.56240000000679</v>
      </c>
      <c r="N6" s="5">
        <v>34</v>
      </c>
      <c r="O6" s="5">
        <v>88.666666666666671</v>
      </c>
      <c r="P6" s="33">
        <v>1120.6266252560479</v>
      </c>
      <c r="Q6" s="5">
        <v>15.760222016743178</v>
      </c>
      <c r="R6" s="5">
        <v>5898.4680218658486</v>
      </c>
      <c r="S6" s="31"/>
      <c r="T6" s="23">
        <v>1584934.5006311729</v>
      </c>
      <c r="U6" s="33">
        <v>149.7188000000082</v>
      </c>
      <c r="V6" s="5">
        <v>17</v>
      </c>
      <c r="W6" s="5">
        <v>88.666666666666671</v>
      </c>
      <c r="X6" s="33">
        <v>1370.0282455473321</v>
      </c>
      <c r="Y6" s="5">
        <v>55.255939993592413</v>
      </c>
      <c r="Z6" s="5">
        <v>6837.679611870999</v>
      </c>
      <c r="AA6" s="35"/>
    </row>
    <row r="7" spans="2:27" x14ac:dyDescent="0.2">
      <c r="B7" s="4">
        <v>4</v>
      </c>
      <c r="C7" s="4">
        <v>720</v>
      </c>
      <c r="D7" s="23">
        <v>1294459.8909656</v>
      </c>
      <c r="E7" s="33">
        <v>222.1782000000122</v>
      </c>
      <c r="F7" s="5">
        <v>12</v>
      </c>
      <c r="G7" s="23">
        <v>91.333333333333329</v>
      </c>
      <c r="H7" s="33">
        <v>656.69088222762502</v>
      </c>
      <c r="I7" s="23">
        <v>46.275700966605378</v>
      </c>
      <c r="J7" s="5">
        <v>5809.1612025107097</v>
      </c>
      <c r="K7" s="31"/>
      <c r="L7" s="23">
        <v>1859978.73991818</v>
      </c>
      <c r="M7" s="33">
        <v>185.9623999999836</v>
      </c>
      <c r="N7" s="5">
        <v>24</v>
      </c>
      <c r="O7" s="5">
        <v>76.666666666666671</v>
      </c>
      <c r="P7" s="33">
        <v>842.81056588952663</v>
      </c>
      <c r="Q7" s="5">
        <v>18.9088245304123</v>
      </c>
      <c r="R7" s="5">
        <v>5766.5556260806825</v>
      </c>
      <c r="S7" s="31"/>
      <c r="T7" s="23">
        <v>1639297.7344360449</v>
      </c>
      <c r="U7" s="33">
        <v>177.8185999999987</v>
      </c>
      <c r="V7" s="5">
        <v>14</v>
      </c>
      <c r="W7" s="5">
        <v>81.333333333333329</v>
      </c>
      <c r="X7" s="33">
        <v>1201.1429841812217</v>
      </c>
      <c r="Y7" s="5">
        <v>57.328633098767689</v>
      </c>
      <c r="Z7" s="5">
        <v>6628.7680795592678</v>
      </c>
      <c r="AA7" s="35"/>
    </row>
    <row r="8" spans="2:27" x14ac:dyDescent="0.2">
      <c r="B8" s="4">
        <v>5</v>
      </c>
      <c r="C8" s="4">
        <v>574</v>
      </c>
      <c r="D8" s="23">
        <v>1358417.677148965</v>
      </c>
      <c r="E8" s="33">
        <v>253.4311999999918</v>
      </c>
      <c r="F8" s="5">
        <v>11</v>
      </c>
      <c r="G8" s="23">
        <v>88.666666666666671</v>
      </c>
      <c r="H8" s="33">
        <v>726.02686612347668</v>
      </c>
      <c r="I8" s="23">
        <v>49.364026919922303</v>
      </c>
      <c r="J8" s="5">
        <v>5917.0230892305635</v>
      </c>
      <c r="K8" s="31"/>
      <c r="L8" s="23">
        <v>1815632.603515855</v>
      </c>
      <c r="M8" s="33">
        <v>317.82499999999999</v>
      </c>
      <c r="N8" s="5">
        <v>31</v>
      </c>
      <c r="O8" s="5">
        <v>88</v>
      </c>
      <c r="P8" s="33">
        <v>1120.2161079142738</v>
      </c>
      <c r="Q8" s="5">
        <v>17.337572245012009</v>
      </c>
      <c r="R8" s="5">
        <v>5984.8510678543771</v>
      </c>
      <c r="S8" s="31"/>
      <c r="T8" s="23">
        <v>2177027.658181096</v>
      </c>
      <c r="U8" s="33">
        <v>125.63759999999311</v>
      </c>
      <c r="V8" s="5">
        <v>24</v>
      </c>
      <c r="W8" s="5">
        <v>88.666666666666671</v>
      </c>
      <c r="X8" s="33">
        <v>3310.1823765446265</v>
      </c>
      <c r="Y8" s="5">
        <v>44.993875040035306</v>
      </c>
      <c r="Z8" s="5">
        <v>8778.788145754037</v>
      </c>
      <c r="AA8" s="35"/>
    </row>
    <row r="9" spans="2:27" x14ac:dyDescent="0.2">
      <c r="B9" s="4">
        <v>6</v>
      </c>
      <c r="C9" s="4">
        <v>969</v>
      </c>
      <c r="D9" s="23">
        <v>1388603.7727880529</v>
      </c>
      <c r="E9" s="33">
        <v>143.6875999999931</v>
      </c>
      <c r="F9" s="5">
        <v>11</v>
      </c>
      <c r="G9" s="23">
        <v>90</v>
      </c>
      <c r="H9" s="33">
        <v>682.64865416777877</v>
      </c>
      <c r="I9" s="23">
        <v>47.03429702943383</v>
      </c>
      <c r="J9" s="5">
        <v>6315.719838007768</v>
      </c>
      <c r="K9" s="31"/>
      <c r="L9" s="23">
        <v>1709762.1511712871</v>
      </c>
      <c r="M9" s="33">
        <v>199.36880000000821</v>
      </c>
      <c r="N9" s="5">
        <v>22</v>
      </c>
      <c r="O9" s="5">
        <v>80.666666666666671</v>
      </c>
      <c r="P9" s="33">
        <v>861.38320206255935</v>
      </c>
      <c r="Q9" s="5">
        <v>22.011566929735395</v>
      </c>
      <c r="R9" s="5">
        <v>5615.014824738817</v>
      </c>
      <c r="S9" s="31"/>
      <c r="T9" s="23">
        <v>2035778.336805023</v>
      </c>
      <c r="U9" s="33">
        <v>199.9094000000041</v>
      </c>
      <c r="V9" s="5">
        <v>19</v>
      </c>
      <c r="W9" s="5">
        <v>69.333333333333329</v>
      </c>
      <c r="X9" s="33">
        <v>1571.0164295832469</v>
      </c>
      <c r="Y9" s="5">
        <v>32.515001781957061</v>
      </c>
      <c r="Z9" s="5">
        <v>6721.8850372175084</v>
      </c>
      <c r="AA9" s="35"/>
    </row>
    <row r="10" spans="2:27" x14ac:dyDescent="0.2">
      <c r="B10" s="4">
        <v>7</v>
      </c>
      <c r="C10" s="4">
        <v>629</v>
      </c>
      <c r="D10" s="23">
        <v>1267594.9536016269</v>
      </c>
      <c r="E10" s="33">
        <v>240.48119999999182</v>
      </c>
      <c r="F10" s="5">
        <v>13</v>
      </c>
      <c r="G10" s="23">
        <v>93.333333333333329</v>
      </c>
      <c r="H10" s="33">
        <v>618.96580679098975</v>
      </c>
      <c r="I10" s="23">
        <v>42.771735544223283</v>
      </c>
      <c r="J10" s="5">
        <v>5766.1760297774672</v>
      </c>
      <c r="K10" s="31"/>
      <c r="L10" s="23">
        <v>1560760.768691771</v>
      </c>
      <c r="M10" s="33">
        <v>418.86239999998361</v>
      </c>
      <c r="N10" s="5">
        <v>24</v>
      </c>
      <c r="O10" s="5">
        <v>84.666666666666671</v>
      </c>
      <c r="P10" s="33">
        <v>477.45141474034233</v>
      </c>
      <c r="Q10" s="5">
        <v>21.008110740747423</v>
      </c>
      <c r="R10" s="5">
        <v>5077.0080204879932</v>
      </c>
      <c r="S10" s="31"/>
      <c r="T10" s="23">
        <v>1685445.930543992</v>
      </c>
      <c r="U10" s="33">
        <v>96.2530000000028</v>
      </c>
      <c r="V10" s="5">
        <v>20</v>
      </c>
      <c r="W10" s="5">
        <v>90.666666666666671</v>
      </c>
      <c r="X10" s="33">
        <v>1910.8917847414764</v>
      </c>
      <c r="Y10" s="5">
        <v>54.562985405118653</v>
      </c>
      <c r="Z10" s="5">
        <v>7185.4476768798604</v>
      </c>
      <c r="AA10" s="35"/>
    </row>
    <row r="11" spans="2:27" x14ac:dyDescent="0.2">
      <c r="B11" s="4">
        <v>8</v>
      </c>
      <c r="C11" s="4">
        <v>230</v>
      </c>
      <c r="D11" s="23">
        <v>1300696.7214740489</v>
      </c>
      <c r="E11" s="33">
        <v>185.13439999998081</v>
      </c>
      <c r="F11" s="5">
        <v>13</v>
      </c>
      <c r="G11" s="23">
        <v>92</v>
      </c>
      <c r="H11" s="33">
        <v>602.59135304278573</v>
      </c>
      <c r="I11" s="23">
        <v>41.978036887858508</v>
      </c>
      <c r="J11" s="5">
        <v>5788.1705128013564</v>
      </c>
      <c r="K11" s="31"/>
      <c r="L11" s="23">
        <v>1625280.278972754</v>
      </c>
      <c r="M11" s="33">
        <v>371.58739999998363</v>
      </c>
      <c r="N11" s="5">
        <v>20</v>
      </c>
      <c r="O11" s="5">
        <v>78</v>
      </c>
      <c r="P11" s="33">
        <v>394.14175431419466</v>
      </c>
      <c r="Q11" s="5">
        <v>22.618460296984093</v>
      </c>
      <c r="R11" s="5">
        <v>5011.1615910437604</v>
      </c>
      <c r="S11" s="31"/>
      <c r="T11" s="23">
        <v>1770243.4102316049</v>
      </c>
      <c r="U11" s="33">
        <v>106.29059999999591</v>
      </c>
      <c r="V11" s="5">
        <v>15</v>
      </c>
      <c r="W11" s="5">
        <v>88</v>
      </c>
      <c r="X11" s="33">
        <v>2094.3809797397544</v>
      </c>
      <c r="Y11" s="5">
        <v>65.267402021845143</v>
      </c>
      <c r="Z11" s="5">
        <v>7826.9767569881442</v>
      </c>
      <c r="AA11" s="35"/>
    </row>
    <row r="12" spans="2:27" x14ac:dyDescent="0.2">
      <c r="B12" s="4">
        <v>9</v>
      </c>
      <c r="C12" s="4">
        <v>294</v>
      </c>
      <c r="D12" s="23">
        <v>1319205.297428411</v>
      </c>
      <c r="E12" s="33">
        <v>199.61880000000821</v>
      </c>
      <c r="F12" s="5">
        <v>12</v>
      </c>
      <c r="G12" s="23">
        <v>92</v>
      </c>
      <c r="H12" s="33">
        <v>675.55042275502956</v>
      </c>
      <c r="I12" s="23">
        <v>45.44106790665294</v>
      </c>
      <c r="J12" s="5">
        <v>6025.738500217115</v>
      </c>
      <c r="K12" s="31"/>
      <c r="L12" s="23">
        <v>1717114.0196481859</v>
      </c>
      <c r="M12" s="33">
        <v>529.90319999998906</v>
      </c>
      <c r="N12" s="5">
        <v>18</v>
      </c>
      <c r="O12" s="5">
        <v>73.333333333333329</v>
      </c>
      <c r="P12" s="33">
        <v>424.6750321303719</v>
      </c>
      <c r="Q12" s="5">
        <v>23.176573889585622</v>
      </c>
      <c r="R12" s="5">
        <v>5258.6422243734141</v>
      </c>
      <c r="S12" s="31"/>
      <c r="T12" s="23">
        <v>1577708.256208047</v>
      </c>
      <c r="U12" s="33">
        <v>139.346800000011</v>
      </c>
      <c r="V12" s="5">
        <v>14</v>
      </c>
      <c r="W12" s="5">
        <v>81.333333333333329</v>
      </c>
      <c r="X12" s="33">
        <v>930.87338532678439</v>
      </c>
      <c r="Y12" s="5">
        <v>59.802090207854071</v>
      </c>
      <c r="Z12" s="5">
        <v>6415.7699672510225</v>
      </c>
      <c r="AA12" s="35"/>
    </row>
    <row r="13" spans="2:27" x14ac:dyDescent="0.2">
      <c r="B13" s="4">
        <v>10</v>
      </c>
      <c r="C13" s="4">
        <v>863</v>
      </c>
      <c r="D13" s="23">
        <v>1433266.9668771401</v>
      </c>
      <c r="E13" s="33">
        <v>121.75</v>
      </c>
      <c r="F13" s="5">
        <v>12</v>
      </c>
      <c r="G13" s="23">
        <v>94</v>
      </c>
      <c r="H13" s="33">
        <v>1099.7643156498407</v>
      </c>
      <c r="I13" s="23">
        <v>47.226331544638533</v>
      </c>
      <c r="J13" s="5">
        <v>6754.0123551843753</v>
      </c>
      <c r="K13" s="31"/>
      <c r="L13" s="23">
        <v>1638496.42707476</v>
      </c>
      <c r="M13" s="33">
        <v>145.8061999999918</v>
      </c>
      <c r="N13" s="5">
        <v>20</v>
      </c>
      <c r="O13" s="5">
        <v>80</v>
      </c>
      <c r="P13" s="33">
        <v>543.61518525913846</v>
      </c>
      <c r="Q13" s="5">
        <v>23.469531596697667</v>
      </c>
      <c r="R13" s="5">
        <v>5363.9136083128069</v>
      </c>
      <c r="S13" s="31"/>
      <c r="T13" s="23">
        <v>1590389.4305493161</v>
      </c>
      <c r="U13" s="33">
        <v>282.5406000000192</v>
      </c>
      <c r="V13" s="5">
        <v>13</v>
      </c>
      <c r="W13" s="5">
        <v>80.666666666666671</v>
      </c>
      <c r="X13" s="33">
        <v>908.55314564429125</v>
      </c>
      <c r="Y13" s="5">
        <v>59.583150156033149</v>
      </c>
      <c r="Z13" s="5">
        <v>6488.6771362306581</v>
      </c>
      <c r="AA13" s="35"/>
    </row>
    <row r="14" spans="2:27" x14ac:dyDescent="0.2">
      <c r="B14" s="46" t="s">
        <v>3</v>
      </c>
      <c r="C14" s="47"/>
      <c r="D14" s="9">
        <f>MIN(D4:D13)</f>
        <v>1195063.839849619</v>
      </c>
      <c r="E14" s="22">
        <f>INDEX(E4:E13, MATCH($D$14, D4:D13, 0))</f>
        <v>313.56559999999598</v>
      </c>
      <c r="F14" s="9">
        <f>INDEX(F4:F13, MATCH($D$14, D4:D13, 0))</f>
        <v>12</v>
      </c>
      <c r="G14" s="9">
        <f>INDEX(G4:G13, MATCH($D$14, D4:D13, 0))</f>
        <v>93.333333333333329</v>
      </c>
      <c r="H14" s="22">
        <f>INDEX(H4:H13, MATCH($D$14, D4:D13, 0))</f>
        <v>414.21953491031945</v>
      </c>
      <c r="I14" s="22">
        <f>INDEX(I4:I13, MATCH($D$14, D4:D13, 0))</f>
        <v>46.877808033614002</v>
      </c>
      <c r="J14" s="22">
        <f>INDEX(J4:J13, MATCH($D$14, D4:D13, 0))</f>
        <v>5548.2843529043284</v>
      </c>
      <c r="K14" s="32" t="e">
        <f>(D14-$D$15)/$D$15</f>
        <v>#DIV/0!</v>
      </c>
      <c r="L14" s="16">
        <f>MIN(L4:L13)</f>
        <v>1560760.768691771</v>
      </c>
      <c r="M14" s="21">
        <f>INDEX(M4:M13, MATCH($L$14, L4:L13, 0))</f>
        <v>418.86239999998361</v>
      </c>
      <c r="N14" s="16">
        <f>INDEX(N4:N13, MATCH($L$14, L4:L13, 0))</f>
        <v>24</v>
      </c>
      <c r="O14" s="16">
        <f>INDEX(O4:O13, MATCH($L$14, L4:L13, 0))</f>
        <v>84.666666666666671</v>
      </c>
      <c r="P14" s="21">
        <f>INDEX(P4:P13, MATCH($L$14, L4:L13, 0))</f>
        <v>477.45141474034233</v>
      </c>
      <c r="Q14" s="21">
        <f>INDEX(Q4:Q13, MATCH($L$14, L4:L13, 0))</f>
        <v>21.008110740747423</v>
      </c>
      <c r="R14" s="21">
        <f>INDEX(R4:R13, MATCH($L$14, L4:L13, 0))</f>
        <v>5077.0080204879932</v>
      </c>
      <c r="S14" s="36" t="e">
        <f>(L14-$D$15)/$D$15</f>
        <v>#DIV/0!</v>
      </c>
      <c r="T14" s="38">
        <f>MIN(T4:T13)</f>
        <v>1577708.256208047</v>
      </c>
      <c r="U14" s="39">
        <f>INDEX(U4:U13, MATCH($T$14, T4:T13, 0))</f>
        <v>139.346800000011</v>
      </c>
      <c r="V14" s="38">
        <f>INDEX(V4:V13, MATCH($T$14, T4:T13, 0))</f>
        <v>14</v>
      </c>
      <c r="W14" s="38">
        <f>INDEX(W4:W13, MATCH($T$14, T4:T13, 0))</f>
        <v>81.333333333333329</v>
      </c>
      <c r="X14" s="39">
        <f>INDEX(X4:X13, MATCH($T$14, T4:T13, 0))</f>
        <v>930.87338532678439</v>
      </c>
      <c r="Y14" s="39">
        <f>INDEX(Y4:Y13, MATCH($T$14, T4:T13, 0))</f>
        <v>59.802090207854071</v>
      </c>
      <c r="Z14" s="39">
        <f>INDEX(Z4:Z13, MATCH($T$14, T4:T13, 0))</f>
        <v>6415.7699672510225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8:C1048576">
    <cfRule type="duplicateValues" dxfId="73" priority="7"/>
    <cfRule type="duplicateValues" dxfId="72" priority="8"/>
  </conditionalFormatting>
  <conditionalFormatting sqref="C14">
    <cfRule type="duplicateValues" dxfId="71" priority="3"/>
    <cfRule type="duplicateValues" dxfId="70" priority="4"/>
  </conditionalFormatting>
  <conditionalFormatting sqref="C17:C37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630D-1CFF-4A1C-BFAE-D44901A59EA7}">
  <dimension ref="B1:AA17"/>
  <sheetViews>
    <sheetView zoomScale="85" zoomScaleNormal="85" workbookViewId="0">
      <selection activeCell="U20" sqref="U20:U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-0.97707051155724356</v>
      </c>
      <c r="J2" s="28" t="e">
        <f>(S14-J14)/J14</f>
        <v>#DIV/0!</v>
      </c>
      <c r="K2" s="28"/>
      <c r="L2" s="1" t="s">
        <v>19</v>
      </c>
      <c r="P2" s="1">
        <f>(P14-H14)/H14</f>
        <v>-0.17750253437807464</v>
      </c>
      <c r="R2" s="1">
        <f>(R14-J14)/J14</f>
        <v>-0.11223730356598363</v>
      </c>
      <c r="T2" s="1" t="s">
        <v>20</v>
      </c>
      <c r="X2" s="1">
        <f>(X14-P14)/P14</f>
        <v>1.4023418916781685</v>
      </c>
      <c r="Z2" s="1">
        <f>(Z14-R14)/R14</f>
        <v>0.31609709410725106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38</v>
      </c>
      <c r="D4" s="23">
        <v>1182971.978969686</v>
      </c>
      <c r="E4" s="33">
        <v>309.28119999999183</v>
      </c>
      <c r="F4" s="5">
        <v>14</v>
      </c>
      <c r="G4" s="23">
        <v>98.666666666666671</v>
      </c>
      <c r="H4" s="33">
        <v>719.59943274103523</v>
      </c>
      <c r="I4" s="23">
        <v>41.141428012354545</v>
      </c>
      <c r="J4" s="5">
        <v>5870.3140144029267</v>
      </c>
      <c r="K4" s="31"/>
      <c r="L4" s="23">
        <v>1861890.3325460609</v>
      </c>
      <c r="M4" s="33">
        <v>322.14359999999863</v>
      </c>
      <c r="N4" s="5">
        <v>30</v>
      </c>
      <c r="O4" s="5">
        <v>80</v>
      </c>
      <c r="P4" s="33">
        <v>818.09645633773619</v>
      </c>
      <c r="Q4" s="5">
        <v>14.609526388139383</v>
      </c>
      <c r="R4" s="5">
        <v>5448.9503895806656</v>
      </c>
      <c r="S4" s="31"/>
      <c r="T4" s="23">
        <v>1686392.973494808</v>
      </c>
      <c r="U4" s="33">
        <v>172.4655999999959</v>
      </c>
      <c r="V4" s="5">
        <v>15</v>
      </c>
      <c r="W4" s="5">
        <v>76.666666666666671</v>
      </c>
      <c r="X4" s="33">
        <v>1021.1280882619386</v>
      </c>
      <c r="Y4" s="5">
        <v>55.788584577340757</v>
      </c>
      <c r="Z4" s="5">
        <v>6521.9909725014913</v>
      </c>
      <c r="AA4" s="35"/>
    </row>
    <row r="5" spans="2:27" x14ac:dyDescent="0.2">
      <c r="B5" s="4">
        <v>2</v>
      </c>
      <c r="C5" s="4">
        <v>99</v>
      </c>
      <c r="D5" s="23">
        <v>1266245.68094843</v>
      </c>
      <c r="E5" s="33">
        <v>174.39059999999591</v>
      </c>
      <c r="F5" s="5">
        <v>13</v>
      </c>
      <c r="G5" s="23">
        <v>94</v>
      </c>
      <c r="H5" s="33">
        <v>836.63448672754578</v>
      </c>
      <c r="I5" s="23">
        <v>43.317812643748361</v>
      </c>
      <c r="J5" s="5">
        <v>5875.3175746147499</v>
      </c>
      <c r="K5" s="31"/>
      <c r="L5" s="23">
        <v>1798464.338516664</v>
      </c>
      <c r="M5" s="33">
        <v>324.34059999999602</v>
      </c>
      <c r="N5" s="5">
        <v>36</v>
      </c>
      <c r="O5" s="5">
        <v>90</v>
      </c>
      <c r="P5" s="33">
        <v>956.22187017638328</v>
      </c>
      <c r="Q5" s="5">
        <v>14.216276225734426</v>
      </c>
      <c r="R5" s="5">
        <v>5596.2104309981787</v>
      </c>
      <c r="S5" s="31"/>
      <c r="T5" s="23">
        <v>1654409.14993769</v>
      </c>
      <c r="U5" s="33">
        <v>190.15300000000281</v>
      </c>
      <c r="V5" s="5">
        <v>11</v>
      </c>
      <c r="W5" s="5">
        <v>74.666666666666671</v>
      </c>
      <c r="X5" s="33">
        <v>854.20524064574795</v>
      </c>
      <c r="Y5" s="5">
        <v>62.641016711998979</v>
      </c>
      <c r="Z5" s="5">
        <v>6500.9207500092889</v>
      </c>
      <c r="AA5" s="35"/>
    </row>
    <row r="6" spans="2:27" x14ac:dyDescent="0.2">
      <c r="B6" s="4">
        <v>3</v>
      </c>
      <c r="C6" s="4">
        <v>341</v>
      </c>
      <c r="D6" s="23">
        <v>1417362.2129818769</v>
      </c>
      <c r="E6" s="33">
        <v>337.75300000000277</v>
      </c>
      <c r="F6" s="5">
        <v>13</v>
      </c>
      <c r="G6" s="23">
        <v>91.333333333333329</v>
      </c>
      <c r="H6" s="33">
        <v>1043.6155249502765</v>
      </c>
      <c r="I6" s="23">
        <v>39.983733265823403</v>
      </c>
      <c r="J6" s="5">
        <v>6347.8238335068627</v>
      </c>
      <c r="K6" s="31"/>
      <c r="L6" s="23">
        <v>1939907.055043682</v>
      </c>
      <c r="M6" s="33">
        <v>371.81580000000542</v>
      </c>
      <c r="N6" s="5">
        <v>37</v>
      </c>
      <c r="O6" s="5">
        <v>88</v>
      </c>
      <c r="P6" s="33">
        <v>1254.9252710231922</v>
      </c>
      <c r="Q6" s="5">
        <v>13.599649567226956</v>
      </c>
      <c r="R6" s="5">
        <v>6037.408792849631</v>
      </c>
      <c r="S6" s="31"/>
      <c r="T6" s="23">
        <v>1882192.4718712289</v>
      </c>
      <c r="U6" s="33">
        <v>224.18740000000679</v>
      </c>
      <c r="V6" s="5">
        <v>19</v>
      </c>
      <c r="W6" s="5">
        <v>79.333333333333329</v>
      </c>
      <c r="X6" s="33">
        <v>1892.4178945727383</v>
      </c>
      <c r="Y6" s="5">
        <v>47.3095817033605</v>
      </c>
      <c r="Z6" s="5">
        <v>7343.2578235778692</v>
      </c>
      <c r="AA6" s="35"/>
    </row>
    <row r="7" spans="2:27" x14ac:dyDescent="0.2">
      <c r="B7" s="4">
        <v>4</v>
      </c>
      <c r="C7" s="4">
        <v>272</v>
      </c>
      <c r="D7" s="23">
        <v>1254022.927549419</v>
      </c>
      <c r="E7" s="33">
        <v>221.72499999999999</v>
      </c>
      <c r="F7" s="5">
        <v>13</v>
      </c>
      <c r="G7" s="23">
        <v>97.333333333333329</v>
      </c>
      <c r="H7" s="33">
        <v>879.47322301240899</v>
      </c>
      <c r="I7" s="23">
        <v>43.719738476969027</v>
      </c>
      <c r="J7" s="5">
        <v>6197.0675973867801</v>
      </c>
      <c r="K7" s="31"/>
      <c r="L7" s="23">
        <v>1780454.263097961</v>
      </c>
      <c r="M7" s="33">
        <v>296.25940000000401</v>
      </c>
      <c r="N7" s="5">
        <v>28</v>
      </c>
      <c r="O7" s="5">
        <v>79.333333333333329</v>
      </c>
      <c r="P7" s="33">
        <v>593.62262583077757</v>
      </c>
      <c r="Q7" s="5">
        <v>15.409148712558418</v>
      </c>
      <c r="R7" s="5">
        <v>5137.0113341691613</v>
      </c>
      <c r="S7" s="31"/>
      <c r="T7" s="23">
        <v>1729543.7388440331</v>
      </c>
      <c r="U7" s="33">
        <v>269.4438000000082</v>
      </c>
      <c r="V7" s="5">
        <v>12</v>
      </c>
      <c r="W7" s="5">
        <v>72</v>
      </c>
      <c r="X7" s="33">
        <v>929.06172079949624</v>
      </c>
      <c r="Y7" s="5">
        <v>55.49350233746781</v>
      </c>
      <c r="Z7" s="5">
        <v>6427.6853615623204</v>
      </c>
      <c r="AA7" s="35"/>
    </row>
    <row r="8" spans="2:27" x14ac:dyDescent="0.2">
      <c r="B8" s="4">
        <v>5</v>
      </c>
      <c r="C8" s="4">
        <v>380</v>
      </c>
      <c r="D8" s="23">
        <v>1187436.5353898059</v>
      </c>
      <c r="E8" s="33">
        <v>289.08419999999461</v>
      </c>
      <c r="F8" s="5">
        <v>13</v>
      </c>
      <c r="G8" s="23">
        <v>98</v>
      </c>
      <c r="H8" s="33">
        <v>738.63828769972235</v>
      </c>
      <c r="I8" s="23">
        <v>44.72918024716941</v>
      </c>
      <c r="J8" s="5">
        <v>5969.0142766977215</v>
      </c>
      <c r="K8" s="31"/>
      <c r="L8" s="23">
        <v>1725398.3851347971</v>
      </c>
      <c r="M8" s="33">
        <v>245.88120000001499</v>
      </c>
      <c r="N8" s="5">
        <v>28</v>
      </c>
      <c r="O8" s="5">
        <v>81.333333333333329</v>
      </c>
      <c r="P8" s="33">
        <v>591.86870969247661</v>
      </c>
      <c r="Q8" s="5">
        <v>16.500046876449645</v>
      </c>
      <c r="R8" s="5">
        <v>5211.4457983407374</v>
      </c>
      <c r="S8" s="31"/>
      <c r="T8" s="23">
        <v>1872051.6935421331</v>
      </c>
      <c r="U8" s="33">
        <v>200.20919999999461</v>
      </c>
      <c r="V8" s="5">
        <v>17</v>
      </c>
      <c r="W8" s="5">
        <v>78</v>
      </c>
      <c r="X8" s="33">
        <v>1773.608457075027</v>
      </c>
      <c r="Y8" s="5">
        <v>45.815177704320227</v>
      </c>
      <c r="Z8" s="5">
        <v>7386.3929128307327</v>
      </c>
      <c r="AA8" s="35"/>
    </row>
    <row r="9" spans="2:27" x14ac:dyDescent="0.2">
      <c r="B9" s="4">
        <v>6</v>
      </c>
      <c r="C9" s="4">
        <v>126</v>
      </c>
      <c r="D9" s="23">
        <v>1382570.764890468</v>
      </c>
      <c r="E9" s="33">
        <v>107.9625999999931</v>
      </c>
      <c r="F9" s="5">
        <v>14</v>
      </c>
      <c r="G9" s="23">
        <v>90.666666666666671</v>
      </c>
      <c r="H9" s="33">
        <v>693.26595753887705</v>
      </c>
      <c r="I9" s="23">
        <v>35.990691947145429</v>
      </c>
      <c r="J9" s="5">
        <v>6102.7880209627792</v>
      </c>
      <c r="K9" s="31"/>
      <c r="L9" s="23">
        <v>1853122.2011270139</v>
      </c>
      <c r="M9" s="33">
        <v>257.1124000000068</v>
      </c>
      <c r="N9" s="5">
        <v>38</v>
      </c>
      <c r="O9" s="5">
        <v>91.333333333333329</v>
      </c>
      <c r="P9" s="33">
        <v>1149.9996058606512</v>
      </c>
      <c r="Q9" s="5">
        <v>13.918495147656307</v>
      </c>
      <c r="R9" s="5">
        <v>5801.0151914644712</v>
      </c>
      <c r="S9" s="31"/>
      <c r="T9" s="23">
        <v>1868108.803243828</v>
      </c>
      <c r="U9" s="33">
        <v>262.72500000000002</v>
      </c>
      <c r="V9" s="5">
        <v>16</v>
      </c>
      <c r="W9" s="5">
        <v>76.666666666666671</v>
      </c>
      <c r="X9" s="33">
        <v>1662.7516948956957</v>
      </c>
      <c r="Y9" s="5">
        <v>46.527263804838825</v>
      </c>
      <c r="Z9" s="5">
        <v>7238.8692728830183</v>
      </c>
      <c r="AA9" s="35"/>
    </row>
    <row r="10" spans="2:27" x14ac:dyDescent="0.2">
      <c r="B10" s="4">
        <v>7</v>
      </c>
      <c r="C10" s="4">
        <v>125</v>
      </c>
      <c r="D10" s="23">
        <v>1211095.141569457</v>
      </c>
      <c r="E10" s="33">
        <v>181.1217999999877</v>
      </c>
      <c r="F10" s="5">
        <v>15</v>
      </c>
      <c r="G10" s="23">
        <v>98.666666666666671</v>
      </c>
      <c r="H10" s="33">
        <v>877.60771067328187</v>
      </c>
      <c r="I10" s="23">
        <v>40.079118494222186</v>
      </c>
      <c r="J10" s="5">
        <v>5849.1485023369469</v>
      </c>
      <c r="K10" s="31"/>
      <c r="L10" s="23">
        <v>1740897.5645628329</v>
      </c>
      <c r="M10" s="33">
        <v>140.9</v>
      </c>
      <c r="N10" s="5">
        <v>23</v>
      </c>
      <c r="O10" s="5">
        <v>76</v>
      </c>
      <c r="P10" s="33">
        <v>526.91608181071354</v>
      </c>
      <c r="Q10" s="5">
        <v>18.587898127437512</v>
      </c>
      <c r="R10" s="5">
        <v>5178.7531359843406</v>
      </c>
      <c r="S10" s="31"/>
      <c r="T10" s="23">
        <v>1660961.007537479</v>
      </c>
      <c r="U10" s="33">
        <v>490.45619999999178</v>
      </c>
      <c r="V10" s="5">
        <v>13</v>
      </c>
      <c r="W10" s="5">
        <v>79.333333333333329</v>
      </c>
      <c r="X10" s="33">
        <v>1262.1557859191541</v>
      </c>
      <c r="Y10" s="5">
        <v>58.386666424848144</v>
      </c>
      <c r="Z10" s="5">
        <v>6832.2074554030269</v>
      </c>
      <c r="AA10" s="35"/>
    </row>
    <row r="11" spans="2:27" x14ac:dyDescent="0.2">
      <c r="B11" s="4">
        <v>8</v>
      </c>
      <c r="C11" s="4">
        <v>879</v>
      </c>
      <c r="D11" s="23">
        <v>1258935.9371488451</v>
      </c>
      <c r="E11" s="33">
        <v>135.16259999999312</v>
      </c>
      <c r="F11" s="5">
        <v>16</v>
      </c>
      <c r="G11" s="23">
        <v>98.666666666666671</v>
      </c>
      <c r="H11" s="33">
        <v>789.27561759890852</v>
      </c>
      <c r="I11" s="23">
        <v>35.807992977072935</v>
      </c>
      <c r="J11" s="5">
        <v>6044.8329205560167</v>
      </c>
      <c r="K11" s="31"/>
      <c r="L11" s="23">
        <v>1946093.8461574661</v>
      </c>
      <c r="M11" s="33">
        <v>383.89699999999721</v>
      </c>
      <c r="N11" s="5">
        <v>36</v>
      </c>
      <c r="O11" s="5">
        <v>88.666666666666671</v>
      </c>
      <c r="P11" s="33">
        <v>1286.0992042703581</v>
      </c>
      <c r="Q11" s="5">
        <v>14.097127032600287</v>
      </c>
      <c r="R11" s="5">
        <v>6247.8940971399325</v>
      </c>
      <c r="S11" s="31"/>
      <c r="T11" s="23">
        <v>1761060.304742472</v>
      </c>
      <c r="U11" s="33">
        <v>266.04080000000539</v>
      </c>
      <c r="V11" s="5">
        <v>20</v>
      </c>
      <c r="W11" s="5">
        <v>89.333333333333329</v>
      </c>
      <c r="X11" s="33">
        <v>2063.5074617851387</v>
      </c>
      <c r="Y11" s="5">
        <v>51.02127292320138</v>
      </c>
      <c r="Z11" s="5">
        <v>7423.9358691723028</v>
      </c>
      <c r="AA11" s="35"/>
    </row>
    <row r="12" spans="2:27" x14ac:dyDescent="0.2">
      <c r="B12" s="4">
        <v>9</v>
      </c>
      <c r="C12" s="4">
        <v>40</v>
      </c>
      <c r="D12" s="23">
        <v>1402412.9589309739</v>
      </c>
      <c r="E12" s="33">
        <v>107.51259999999311</v>
      </c>
      <c r="F12" s="5">
        <v>12</v>
      </c>
      <c r="G12" s="23">
        <v>88.666666666666671</v>
      </c>
      <c r="H12" s="33">
        <v>792.43603058942335</v>
      </c>
      <c r="I12" s="23">
        <v>42.890458419265066</v>
      </c>
      <c r="J12" s="5">
        <v>6188.1690581005887</v>
      </c>
      <c r="K12" s="31"/>
      <c r="L12" s="23">
        <v>1786166.454202068</v>
      </c>
      <c r="M12" s="33">
        <v>188.7188000000082</v>
      </c>
      <c r="N12" s="5">
        <v>37</v>
      </c>
      <c r="O12" s="5">
        <v>89.333333333333329</v>
      </c>
      <c r="P12" s="33">
        <v>834.38190107755531</v>
      </c>
      <c r="Q12" s="5">
        <v>13.621947335506986</v>
      </c>
      <c r="R12" s="5">
        <v>5345.6383725709165</v>
      </c>
      <c r="S12" s="31"/>
      <c r="T12" s="23">
        <v>1594855.3353590199</v>
      </c>
      <c r="U12" s="33">
        <v>463.72500000000002</v>
      </c>
      <c r="V12" s="5">
        <v>16</v>
      </c>
      <c r="W12" s="5">
        <v>86</v>
      </c>
      <c r="X12" s="33">
        <v>1421.870995667741</v>
      </c>
      <c r="Y12" s="5">
        <v>55.590157858001213</v>
      </c>
      <c r="Z12" s="5">
        <v>6858.7686712936875</v>
      </c>
      <c r="AA12" s="35"/>
    </row>
    <row r="13" spans="2:27" x14ac:dyDescent="0.2">
      <c r="B13" s="4">
        <v>10</v>
      </c>
      <c r="C13" s="4">
        <v>212</v>
      </c>
      <c r="D13" s="23">
        <v>1341165.077992606</v>
      </c>
      <c r="E13" s="33">
        <v>98.846999999997195</v>
      </c>
      <c r="F13" s="5">
        <v>15</v>
      </c>
      <c r="G13" s="23">
        <v>97.333333333333329</v>
      </c>
      <c r="H13" s="33">
        <v>1163.992165283976</v>
      </c>
      <c r="I13" s="23">
        <v>38.94895961387963</v>
      </c>
      <c r="J13" s="5">
        <v>6372.6622297508384</v>
      </c>
      <c r="K13" s="31"/>
      <c r="L13" s="23">
        <v>1788471.830395784</v>
      </c>
      <c r="M13" s="33">
        <v>319.32499999999999</v>
      </c>
      <c r="N13" s="5">
        <v>35</v>
      </c>
      <c r="O13" s="5">
        <v>88.666666666666671</v>
      </c>
      <c r="P13" s="33">
        <v>992.20530332918293</v>
      </c>
      <c r="Q13" s="5">
        <v>14.652486552894301</v>
      </c>
      <c r="R13" s="5">
        <v>5496.0371363198674</v>
      </c>
      <c r="S13" s="31"/>
      <c r="T13" s="23">
        <v>1735306.153315753</v>
      </c>
      <c r="U13" s="33">
        <v>281.80940000000402</v>
      </c>
      <c r="V13" s="5">
        <v>15</v>
      </c>
      <c r="W13" s="5">
        <v>77.333333333333329</v>
      </c>
      <c r="X13" s="33">
        <v>1384.56594471875</v>
      </c>
      <c r="Y13" s="5">
        <v>53.909366721580206</v>
      </c>
      <c r="Z13" s="5">
        <v>6741.5237650144654</v>
      </c>
      <c r="AA13" s="35"/>
    </row>
    <row r="14" spans="2:27" x14ac:dyDescent="0.2">
      <c r="B14" s="46" t="s">
        <v>3</v>
      </c>
      <c r="C14" s="47"/>
      <c r="D14" s="9">
        <f>MIN(D4:D13)</f>
        <v>1182971.978969686</v>
      </c>
      <c r="E14" s="22">
        <f>INDEX(E4:E13, MATCH($D$14, D4:D13, 0))</f>
        <v>309.28119999999183</v>
      </c>
      <c r="F14" s="9">
        <f>INDEX(F4:F13, MATCH($D$14, D4:D13, 0))</f>
        <v>14</v>
      </c>
      <c r="G14" s="9">
        <f>INDEX(G4:G13, MATCH($D$14, D4:D13, 0))</f>
        <v>98.666666666666671</v>
      </c>
      <c r="H14" s="22">
        <f>INDEX(H4:H13, MATCH($D$14, D4:D13, 0))</f>
        <v>719.59943274103523</v>
      </c>
      <c r="I14" s="22">
        <f>INDEX(I4:I13, MATCH($D$14, D4:D13, 0))</f>
        <v>41.141428012354545</v>
      </c>
      <c r="J14" s="22">
        <f>INDEX(J4:J13, MATCH($D$14, D4:D13, 0))</f>
        <v>5870.3140144029267</v>
      </c>
      <c r="K14" s="32" t="e">
        <f>(D14-$D$15)/$D$15</f>
        <v>#DIV/0!</v>
      </c>
      <c r="L14" s="16">
        <f>MIN(L4:L13)</f>
        <v>1725398.3851347971</v>
      </c>
      <c r="M14" s="21">
        <f>INDEX(M4:M13, MATCH($L$14, L4:L13, 0))</f>
        <v>245.88120000001499</v>
      </c>
      <c r="N14" s="16">
        <f>INDEX(N4:N13, MATCH($L$14, L4:L13, 0))</f>
        <v>28</v>
      </c>
      <c r="O14" s="16">
        <f>INDEX(O4:O13, MATCH($L$14, L4:L13, 0))</f>
        <v>81.333333333333329</v>
      </c>
      <c r="P14" s="21">
        <f>INDEX(P4:P13, MATCH($L$14, L4:L13, 0))</f>
        <v>591.86870969247661</v>
      </c>
      <c r="Q14" s="21">
        <f>INDEX(Q4:Q13, MATCH($L$14, L4:L13, 0))</f>
        <v>16.500046876449645</v>
      </c>
      <c r="R14" s="21">
        <f>INDEX(R4:R13, MATCH($L$14, L4:L13, 0))</f>
        <v>5211.4457983407374</v>
      </c>
      <c r="S14" s="36" t="e">
        <f>(L14-$D$15)/$D$15</f>
        <v>#DIV/0!</v>
      </c>
      <c r="T14" s="38">
        <f>MIN(T4:T13)</f>
        <v>1594855.3353590199</v>
      </c>
      <c r="U14" s="39">
        <f>INDEX(U4:U13, MATCH($T$14, T4:T13, 0))</f>
        <v>463.72500000000002</v>
      </c>
      <c r="V14" s="38">
        <f>INDEX(V4:V13, MATCH($T$14, T4:T13, 0))</f>
        <v>16</v>
      </c>
      <c r="W14" s="38">
        <f>INDEX(W4:W13, MATCH($T$14, T4:T13, 0))</f>
        <v>86</v>
      </c>
      <c r="X14" s="39">
        <f>INDEX(X4:X13, MATCH($T$14, T4:T13, 0))</f>
        <v>1421.870995667741</v>
      </c>
      <c r="Y14" s="39">
        <f>INDEX(Y4:Y13, MATCH($T$14, T4:T13, 0))</f>
        <v>55.590157858001213</v>
      </c>
      <c r="Z14" s="39">
        <f>INDEX(Z4:Z13, MATCH($T$14, T4:T13, 0))</f>
        <v>6858.7686712936875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8:C1048576">
    <cfRule type="duplicateValues" dxfId="69" priority="7"/>
    <cfRule type="duplicateValues" dxfId="68" priority="8"/>
  </conditionalFormatting>
  <conditionalFormatting sqref="C14">
    <cfRule type="duplicateValues" dxfId="67" priority="3"/>
    <cfRule type="duplicateValues" dxfId="66" priority="4"/>
  </conditionalFormatting>
  <conditionalFormatting sqref="C17:C37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67FC-DF0C-4E6F-BFB5-A5BD25C3570A}">
  <dimension ref="B1:AA17"/>
  <sheetViews>
    <sheetView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13" style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-0.96475705295170588</v>
      </c>
      <c r="J2" s="28" t="e">
        <f>(S14-J14)/J14</f>
        <v>#DIV/0!</v>
      </c>
      <c r="K2" s="28"/>
      <c r="L2" s="1" t="s">
        <v>19</v>
      </c>
      <c r="P2" s="1">
        <f>(P14-H14)/H14</f>
        <v>-0.41640640643173887</v>
      </c>
      <c r="R2" s="1">
        <f>(R14-J14)/J14</f>
        <v>-0.15654954027548978</v>
      </c>
      <c r="T2" s="1" t="s">
        <v>20</v>
      </c>
      <c r="X2" s="1">
        <f>(X14-P14)/P14</f>
        <v>2.4969539001625161</v>
      </c>
      <c r="Z2" s="1">
        <f>(Z14-R14)/R14</f>
        <v>0.3827968083027124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483</v>
      </c>
      <c r="D4" s="23">
        <v>1216625.577658985</v>
      </c>
      <c r="E4" s="33">
        <v>108.9969999999972</v>
      </c>
      <c r="F4" s="5">
        <v>12</v>
      </c>
      <c r="G4" s="23">
        <v>95.333333333333329</v>
      </c>
      <c r="H4" s="33">
        <v>716.61634134933342</v>
      </c>
      <c r="I4" s="23">
        <v>43.581527438734348</v>
      </c>
      <c r="J4" s="5">
        <v>5825.5447410423621</v>
      </c>
      <c r="K4" s="31"/>
      <c r="L4" s="23">
        <v>1665152.3080652349</v>
      </c>
      <c r="M4" s="33">
        <v>149.85300000000279</v>
      </c>
      <c r="N4" s="5">
        <v>24</v>
      </c>
      <c r="O4" s="5">
        <v>82</v>
      </c>
      <c r="P4" s="33">
        <v>681.12806692065874</v>
      </c>
      <c r="Q4" s="5">
        <v>18.09625653589443</v>
      </c>
      <c r="R4" s="5">
        <v>5170.5196312743237</v>
      </c>
      <c r="S4" s="31"/>
      <c r="T4" s="23">
        <v>1722819.9602645121</v>
      </c>
      <c r="U4" s="33">
        <v>116.4625999999931</v>
      </c>
      <c r="V4" s="5">
        <v>13</v>
      </c>
      <c r="W4" s="5">
        <v>85.333333333333329</v>
      </c>
      <c r="X4" s="33">
        <v>1875.1093384278561</v>
      </c>
      <c r="Y4" s="5">
        <v>67.903165587939966</v>
      </c>
      <c r="Z4" s="5">
        <v>7518.9482661685006</v>
      </c>
      <c r="AA4" s="35"/>
    </row>
    <row r="5" spans="2:27" x14ac:dyDescent="0.2">
      <c r="B5" s="4">
        <v>2</v>
      </c>
      <c r="C5" s="4">
        <v>72</v>
      </c>
      <c r="D5" s="23">
        <v>1449292.3527104079</v>
      </c>
      <c r="E5" s="33">
        <v>218.3374000000068</v>
      </c>
      <c r="F5" s="5">
        <v>15</v>
      </c>
      <c r="G5" s="23">
        <v>94.666666666666671</v>
      </c>
      <c r="H5" s="33">
        <v>1229.9848899953695</v>
      </c>
      <c r="I5" s="23">
        <v>33.675061016538379</v>
      </c>
      <c r="J5" s="5">
        <v>6403.9057753955431</v>
      </c>
      <c r="K5" s="31"/>
      <c r="L5" s="23">
        <v>1789152.072066423</v>
      </c>
      <c r="M5" s="33">
        <v>300.14060000001916</v>
      </c>
      <c r="N5" s="5">
        <v>33</v>
      </c>
      <c r="O5" s="5">
        <v>89.333333333333329</v>
      </c>
      <c r="P5" s="33">
        <v>1014.8581141686482</v>
      </c>
      <c r="Q5" s="5">
        <v>15.098090787652151</v>
      </c>
      <c r="R5" s="5">
        <v>5855.2704927324612</v>
      </c>
      <c r="S5" s="31"/>
      <c r="T5" s="23">
        <v>1797176.4580978211</v>
      </c>
      <c r="U5" s="33">
        <v>126.49379999998492</v>
      </c>
      <c r="V5" s="5">
        <v>20</v>
      </c>
      <c r="W5" s="5">
        <v>80.666666666666671</v>
      </c>
      <c r="X5" s="33">
        <v>1524.7538672785934</v>
      </c>
      <c r="Y5" s="5">
        <v>44.099843055537818</v>
      </c>
      <c r="Z5" s="5">
        <v>6787.9391313247825</v>
      </c>
      <c r="AA5" s="35"/>
    </row>
    <row r="6" spans="2:27" x14ac:dyDescent="0.2">
      <c r="B6" s="4">
        <v>3</v>
      </c>
      <c r="C6" s="4">
        <v>258</v>
      </c>
      <c r="D6" s="23">
        <v>1171693.2290033679</v>
      </c>
      <c r="E6" s="33">
        <v>199.3438000000082</v>
      </c>
      <c r="F6" s="5">
        <v>12</v>
      </c>
      <c r="G6" s="23">
        <v>96.666666666666671</v>
      </c>
      <c r="H6" s="33">
        <v>714.66062070555529</v>
      </c>
      <c r="I6" s="23">
        <v>42.758511801375427</v>
      </c>
      <c r="J6" s="5">
        <v>5667.2711176434586</v>
      </c>
      <c r="K6" s="31"/>
      <c r="L6" s="23">
        <v>1702391.064013927</v>
      </c>
      <c r="M6" s="33">
        <v>235.57819999998901</v>
      </c>
      <c r="N6" s="5">
        <v>31</v>
      </c>
      <c r="O6" s="5">
        <v>90</v>
      </c>
      <c r="P6" s="33">
        <v>918.7144171554188</v>
      </c>
      <c r="Q6" s="5">
        <v>15.669715617003906</v>
      </c>
      <c r="R6" s="5">
        <v>5540.3899990579366</v>
      </c>
      <c r="S6" s="31"/>
      <c r="T6" s="23">
        <v>1844901.0772778159</v>
      </c>
      <c r="U6" s="33">
        <v>136.72819999998902</v>
      </c>
      <c r="V6" s="5">
        <v>14</v>
      </c>
      <c r="W6" s="5">
        <v>72.666666666666671</v>
      </c>
      <c r="X6" s="33">
        <v>1313.6687187640803</v>
      </c>
      <c r="Y6" s="5">
        <v>50.644380298344572</v>
      </c>
      <c r="Z6" s="5">
        <v>6761.184913443426</v>
      </c>
      <c r="AA6" s="35"/>
    </row>
    <row r="7" spans="2:27" x14ac:dyDescent="0.2">
      <c r="B7" s="4">
        <v>4</v>
      </c>
      <c r="C7" s="4">
        <v>667</v>
      </c>
      <c r="D7" s="23">
        <v>1282748.311490078</v>
      </c>
      <c r="E7" s="33">
        <v>468.25319999998902</v>
      </c>
      <c r="F7" s="5">
        <v>11</v>
      </c>
      <c r="G7" s="23">
        <v>92.666666666666671</v>
      </c>
      <c r="H7" s="33">
        <v>692.15791114764284</v>
      </c>
      <c r="I7" s="23">
        <v>44.646815848221358</v>
      </c>
      <c r="J7" s="5">
        <v>5949.0657367760059</v>
      </c>
      <c r="K7" s="31"/>
      <c r="L7" s="23">
        <v>1779345.436316272</v>
      </c>
      <c r="M7" s="33">
        <v>210.41859999999861</v>
      </c>
      <c r="N7" s="5">
        <v>28</v>
      </c>
      <c r="O7" s="5">
        <v>83.333333333333329</v>
      </c>
      <c r="P7" s="33">
        <v>853.17046376241899</v>
      </c>
      <c r="Q7" s="5">
        <v>16.090860590726656</v>
      </c>
      <c r="R7" s="5">
        <v>5652.6156954955013</v>
      </c>
      <c r="S7" s="31"/>
      <c r="T7" s="23">
        <v>1669116.946007401</v>
      </c>
      <c r="U7" s="33">
        <v>223.02800000000281</v>
      </c>
      <c r="V7" s="5">
        <v>18</v>
      </c>
      <c r="W7" s="5">
        <v>84</v>
      </c>
      <c r="X7" s="33">
        <v>1336.2628259849857</v>
      </c>
      <c r="Y7" s="5">
        <v>44.600456866132077</v>
      </c>
      <c r="Z7" s="5">
        <v>6586.2064143266152</v>
      </c>
      <c r="AA7" s="35"/>
    </row>
    <row r="8" spans="2:27" x14ac:dyDescent="0.2">
      <c r="B8" s="4">
        <v>5</v>
      </c>
      <c r="C8" s="4">
        <v>561</v>
      </c>
      <c r="D8" s="23">
        <v>1129085.1656773461</v>
      </c>
      <c r="E8" s="33">
        <v>150.77500000000001</v>
      </c>
      <c r="F8" s="5">
        <v>11</v>
      </c>
      <c r="G8" s="23">
        <v>96</v>
      </c>
      <c r="H8" s="33">
        <v>559.54537365369799</v>
      </c>
      <c r="I8" s="23">
        <v>48.214260287000528</v>
      </c>
      <c r="J8" s="5">
        <v>5563.6787800264938</v>
      </c>
      <c r="K8" s="31"/>
      <c r="L8" s="23">
        <v>1896524.9313094651</v>
      </c>
      <c r="M8" s="33">
        <v>158.20620000001509</v>
      </c>
      <c r="N8" s="5">
        <v>30</v>
      </c>
      <c r="O8" s="5">
        <v>82.666666666666671</v>
      </c>
      <c r="P8" s="33">
        <v>1111.5093572362748</v>
      </c>
      <c r="Q8" s="5">
        <v>14.737804610181392</v>
      </c>
      <c r="R8" s="5">
        <v>5889.9656524180518</v>
      </c>
      <c r="S8" s="31"/>
      <c r="T8" s="23">
        <v>1541850.954532671</v>
      </c>
      <c r="U8" s="33">
        <v>225.90940000000401</v>
      </c>
      <c r="V8" s="5">
        <v>17</v>
      </c>
      <c r="W8" s="5">
        <v>87.333333333333329</v>
      </c>
      <c r="X8" s="33">
        <v>1141.920138758547</v>
      </c>
      <c r="Y8" s="5">
        <v>54.216011106088729</v>
      </c>
      <c r="Z8" s="5">
        <v>6489.0331933381694</v>
      </c>
      <c r="AA8" s="35"/>
    </row>
    <row r="9" spans="2:27" x14ac:dyDescent="0.2">
      <c r="B9" s="4">
        <v>6</v>
      </c>
      <c r="C9" s="4">
        <v>448</v>
      </c>
      <c r="D9" s="23">
        <v>1540691.312676938</v>
      </c>
      <c r="E9" s="33">
        <v>203.053199999989</v>
      </c>
      <c r="F9" s="5">
        <v>20</v>
      </c>
      <c r="G9" s="23">
        <v>95.333333333333329</v>
      </c>
      <c r="H9" s="33">
        <v>1294.7249704065955</v>
      </c>
      <c r="I9" s="23">
        <v>25.595436755609033</v>
      </c>
      <c r="J9" s="5">
        <v>6478.6999921181441</v>
      </c>
      <c r="K9" s="31"/>
      <c r="L9" s="23">
        <v>1754317.683155189</v>
      </c>
      <c r="M9" s="33">
        <v>524.48419999999464</v>
      </c>
      <c r="N9" s="5">
        <v>19</v>
      </c>
      <c r="O9" s="5">
        <v>74.666666666666671</v>
      </c>
      <c r="P9" s="33">
        <v>594.46259840030245</v>
      </c>
      <c r="Q9" s="5">
        <v>19.922981758265838</v>
      </c>
      <c r="R9" s="5">
        <v>5413.6310507985618</v>
      </c>
      <c r="S9" s="31"/>
      <c r="T9" s="23">
        <v>1597168.541567466</v>
      </c>
      <c r="U9" s="33">
        <v>178.78739999998362</v>
      </c>
      <c r="V9" s="5">
        <v>16</v>
      </c>
      <c r="W9" s="5">
        <v>83.333333333333329</v>
      </c>
      <c r="X9" s="33">
        <v>1167.0918996797948</v>
      </c>
      <c r="Y9" s="5">
        <v>53.292940684407398</v>
      </c>
      <c r="Z9" s="5">
        <v>6427.5015052484605</v>
      </c>
      <c r="AA9" s="35"/>
    </row>
    <row r="10" spans="2:27" x14ac:dyDescent="0.2">
      <c r="B10" s="4">
        <v>7</v>
      </c>
      <c r="C10" s="4">
        <v>392</v>
      </c>
      <c r="D10" s="23">
        <v>1237789.9746307901</v>
      </c>
      <c r="E10" s="33">
        <v>169.97499999999999</v>
      </c>
      <c r="F10" s="5">
        <v>14</v>
      </c>
      <c r="G10" s="23">
        <v>94</v>
      </c>
      <c r="H10" s="33">
        <v>605.90265734056982</v>
      </c>
      <c r="I10" s="23">
        <v>36.378377591454459</v>
      </c>
      <c r="J10" s="5">
        <v>5603.4696578361782</v>
      </c>
      <c r="K10" s="31"/>
      <c r="L10" s="23">
        <v>1679486.398222045</v>
      </c>
      <c r="M10" s="33">
        <v>138.3435999999987</v>
      </c>
      <c r="N10" s="5">
        <v>25</v>
      </c>
      <c r="O10" s="5">
        <v>82.666666666666671</v>
      </c>
      <c r="P10" s="33">
        <v>627.45498298458847</v>
      </c>
      <c r="Q10" s="5">
        <v>16.362720713668249</v>
      </c>
      <c r="R10" s="5">
        <v>5307.8295907213533</v>
      </c>
      <c r="S10" s="31"/>
      <c r="T10" s="23">
        <v>1552399.252872393</v>
      </c>
      <c r="U10" s="33">
        <v>120.77180000001098</v>
      </c>
      <c r="V10" s="5">
        <v>17</v>
      </c>
      <c r="W10" s="5">
        <v>87.333333333333329</v>
      </c>
      <c r="X10" s="33">
        <v>1254.6653734387219</v>
      </c>
      <c r="Y10" s="5">
        <v>52.964514845826535</v>
      </c>
      <c r="Z10" s="5">
        <v>6469.1503861941464</v>
      </c>
      <c r="AA10" s="35"/>
    </row>
    <row r="11" spans="2:27" x14ac:dyDescent="0.2">
      <c r="B11" s="4">
        <v>8</v>
      </c>
      <c r="C11" s="4">
        <v>888</v>
      </c>
      <c r="D11" s="23">
        <v>1482021.672521499</v>
      </c>
      <c r="E11" s="33">
        <v>152.39680000001098</v>
      </c>
      <c r="F11" s="5">
        <v>17</v>
      </c>
      <c r="G11" s="23">
        <v>95.333333333333329</v>
      </c>
      <c r="H11" s="33">
        <v>1284.3869837482735</v>
      </c>
      <c r="I11" s="23">
        <v>29.87905748774741</v>
      </c>
      <c r="J11" s="5">
        <v>6501.6289466833641</v>
      </c>
      <c r="K11" s="31"/>
      <c r="L11" s="23">
        <v>1996397.6432873481</v>
      </c>
      <c r="M11" s="33">
        <v>234.2</v>
      </c>
      <c r="N11" s="5">
        <v>35</v>
      </c>
      <c r="O11" s="5">
        <v>88.666666666666671</v>
      </c>
      <c r="P11" s="33">
        <v>1534.0989832436896</v>
      </c>
      <c r="Q11" s="5">
        <v>14.036592270175266</v>
      </c>
      <c r="R11" s="5">
        <v>6452.6907290985264</v>
      </c>
      <c r="S11" s="31"/>
      <c r="T11" s="23">
        <v>1823185.0546874099</v>
      </c>
      <c r="U11" s="33">
        <v>242.82199999999722</v>
      </c>
      <c r="V11" s="5">
        <v>22</v>
      </c>
      <c r="W11" s="5">
        <v>88.666666666666671</v>
      </c>
      <c r="X11" s="33">
        <v>2126.3061702576238</v>
      </c>
      <c r="Y11" s="5">
        <v>46.77659571582781</v>
      </c>
      <c r="Z11" s="5">
        <v>7495.032444426879</v>
      </c>
      <c r="AA11" s="35"/>
    </row>
    <row r="12" spans="2:27" x14ac:dyDescent="0.2">
      <c r="B12" s="4">
        <v>9</v>
      </c>
      <c r="C12" s="4">
        <v>978</v>
      </c>
      <c r="D12" s="23">
        <v>1237073.5114263601</v>
      </c>
      <c r="E12" s="33">
        <v>96.746799999987701</v>
      </c>
      <c r="F12" s="5">
        <v>13</v>
      </c>
      <c r="G12" s="23">
        <v>95.333333333333329</v>
      </c>
      <c r="H12" s="33">
        <v>670.79568158154245</v>
      </c>
      <c r="I12" s="23">
        <v>39.558186866773632</v>
      </c>
      <c r="J12" s="5">
        <v>5810.7828891859472</v>
      </c>
      <c r="K12" s="31"/>
      <c r="L12" s="23">
        <v>1616434.6448830881</v>
      </c>
      <c r="M12" s="33">
        <v>573.6124000000068</v>
      </c>
      <c r="N12" s="5">
        <v>20</v>
      </c>
      <c r="O12" s="5">
        <v>76.666666666666671</v>
      </c>
      <c r="P12" s="33">
        <v>326.54709537505704</v>
      </c>
      <c r="Q12" s="5">
        <v>19.720027974795226</v>
      </c>
      <c r="R12" s="5">
        <v>4692.6874247728483</v>
      </c>
      <c r="S12" s="31"/>
      <c r="T12" s="23">
        <v>1552624.544116436</v>
      </c>
      <c r="U12" s="33">
        <v>203.97199999999719</v>
      </c>
      <c r="V12" s="5">
        <v>13</v>
      </c>
      <c r="W12" s="5">
        <v>81.333333333333329</v>
      </c>
      <c r="X12" s="33">
        <v>937.66047401507956</v>
      </c>
      <c r="Y12" s="5">
        <v>60.298887354396079</v>
      </c>
      <c r="Z12" s="5">
        <v>6322.0401630333672</v>
      </c>
      <c r="AA12" s="35"/>
    </row>
    <row r="13" spans="2:27" x14ac:dyDescent="0.2">
      <c r="B13" s="4">
        <v>10</v>
      </c>
      <c r="C13" s="4">
        <v>911</v>
      </c>
      <c r="D13" s="23">
        <v>1235655.2641013029</v>
      </c>
      <c r="E13" s="33">
        <v>87.2</v>
      </c>
      <c r="F13" s="5">
        <v>13</v>
      </c>
      <c r="G13" s="23">
        <v>96</v>
      </c>
      <c r="H13" s="33">
        <v>937.59499195907927</v>
      </c>
      <c r="I13" s="23">
        <v>41.844249124294294</v>
      </c>
      <c r="J13" s="5">
        <v>5717.4034135823258</v>
      </c>
      <c r="K13" s="31"/>
      <c r="L13" s="23">
        <v>1666389.134680236</v>
      </c>
      <c r="M13" s="33">
        <v>274.89679999998782</v>
      </c>
      <c r="N13" s="5">
        <v>23</v>
      </c>
      <c r="O13" s="5">
        <v>82</v>
      </c>
      <c r="P13" s="33">
        <v>687.97168201423176</v>
      </c>
      <c r="Q13" s="5">
        <v>18.617974679491784</v>
      </c>
      <c r="R13" s="5">
        <v>5369.9992921432531</v>
      </c>
      <c r="S13" s="31"/>
      <c r="T13" s="23">
        <v>1756141.020672495</v>
      </c>
      <c r="U13" s="33">
        <v>399.21880000000817</v>
      </c>
      <c r="V13" s="5">
        <v>19</v>
      </c>
      <c r="W13" s="5">
        <v>88.666666666666671</v>
      </c>
      <c r="X13" s="33">
        <v>2081.1503743862527</v>
      </c>
      <c r="Y13" s="5">
        <v>51.351629484779686</v>
      </c>
      <c r="Z13" s="5">
        <v>7448.2877848329572</v>
      </c>
      <c r="AA13" s="35"/>
    </row>
    <row r="14" spans="2:27" x14ac:dyDescent="0.2">
      <c r="B14" s="46" t="s">
        <v>3</v>
      </c>
      <c r="C14" s="47"/>
      <c r="D14" s="9">
        <f>MIN(D4:D13)</f>
        <v>1129085.1656773461</v>
      </c>
      <c r="E14" s="22">
        <f>INDEX(E4:E13, MATCH($D$14, D4:D13, 0))</f>
        <v>150.77500000000001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559.54537365369799</v>
      </c>
      <c r="I14" s="22">
        <f>INDEX(I4:I13, MATCH($D$14, D4:D13, 0))</f>
        <v>48.214260287000528</v>
      </c>
      <c r="J14" s="22">
        <f>INDEX(J4:J13, MATCH($D$14, D4:D13, 0))</f>
        <v>5563.6787800264938</v>
      </c>
      <c r="K14" s="32" t="e">
        <f>(D14-$D$15)/$D$15</f>
        <v>#DIV/0!</v>
      </c>
      <c r="L14" s="16">
        <f>MIN(L4:L13)</f>
        <v>1616434.6448830881</v>
      </c>
      <c r="M14" s="21">
        <f>INDEX(M4:M13, MATCH($L$14, L4:L13, 0))</f>
        <v>573.6124000000068</v>
      </c>
      <c r="N14" s="16">
        <f>INDEX(N4:N13, MATCH($L$14, L4:L13, 0))</f>
        <v>20</v>
      </c>
      <c r="O14" s="16">
        <f>INDEX(O4:O13, MATCH($L$14, L4:L13, 0))</f>
        <v>76.666666666666671</v>
      </c>
      <c r="P14" s="21">
        <f>INDEX(P4:P13, MATCH($L$14, L4:L13, 0))</f>
        <v>326.54709537505704</v>
      </c>
      <c r="Q14" s="21">
        <f>INDEX(Q4:Q13, MATCH($L$14, L4:L13, 0))</f>
        <v>19.720027974795226</v>
      </c>
      <c r="R14" s="21">
        <f>INDEX(R4:R13, MATCH($L$14, L4:L13, 0))</f>
        <v>4692.6874247728483</v>
      </c>
      <c r="S14" s="36" t="e">
        <f>(L14-$D$15)/$D$15</f>
        <v>#DIV/0!</v>
      </c>
      <c r="T14" s="38">
        <f>MIN(T4:T13)</f>
        <v>1541850.954532671</v>
      </c>
      <c r="U14" s="39">
        <f>INDEX(U4:U13, MATCH($T$14, T4:T13, 0))</f>
        <v>225.90940000000401</v>
      </c>
      <c r="V14" s="38">
        <f>INDEX(V4:V13, MATCH($T$14, T4:T13, 0))</f>
        <v>17</v>
      </c>
      <c r="W14" s="38">
        <f>INDEX(W4:W13, MATCH($T$14, T4:T13, 0))</f>
        <v>87.333333333333329</v>
      </c>
      <c r="X14" s="39">
        <f>INDEX(X4:X13, MATCH($T$14, T4:T13, 0))</f>
        <v>1141.920138758547</v>
      </c>
      <c r="Y14" s="39">
        <f>INDEX(Y4:Y13, MATCH($T$14, T4:T13, 0))</f>
        <v>54.216011106088729</v>
      </c>
      <c r="Z14" s="39">
        <f>INDEX(Z4:Z13, MATCH($T$14, T4:T13, 0))</f>
        <v>6489.0331933381694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8:C1048576">
    <cfRule type="duplicateValues" dxfId="65" priority="7"/>
    <cfRule type="duplicateValues" dxfId="64" priority="8"/>
  </conditionalFormatting>
  <conditionalFormatting sqref="C14">
    <cfRule type="duplicateValues" dxfId="63" priority="3"/>
    <cfRule type="duplicateValues" dxfId="62" priority="4"/>
  </conditionalFormatting>
  <conditionalFormatting sqref="C17:C37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20A4-49DA-465E-8FC3-79A6C780D1F8}">
  <dimension ref="B1:AA17"/>
  <sheetViews>
    <sheetView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-0.98030798941162056</v>
      </c>
      <c r="J2" s="28" t="e">
        <f>(S14-J14)/J14</f>
        <v>#DIV/0!</v>
      </c>
      <c r="K2" s="28"/>
      <c r="L2" s="1" t="s">
        <v>19</v>
      </c>
      <c r="P2" s="1">
        <f>(P14-H14)/H14</f>
        <v>-0.45463064870014852</v>
      </c>
      <c r="R2" s="1">
        <f>(R14-J14)/J14</f>
        <v>-0.17121281403820093</v>
      </c>
      <c r="T2" s="1" t="s">
        <v>20</v>
      </c>
      <c r="X2" s="1">
        <f>(X14-P14)/P14</f>
        <v>1.2588655664866482</v>
      </c>
      <c r="Z2" s="1">
        <f>(Z14-R14)/R14</f>
        <v>0.29622763595637852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957</v>
      </c>
      <c r="D4" s="23">
        <v>1484019.8989548259</v>
      </c>
      <c r="E4" s="33">
        <v>422.35</v>
      </c>
      <c r="F4" s="5">
        <v>17</v>
      </c>
      <c r="G4" s="23">
        <v>93.333333333333329</v>
      </c>
      <c r="H4" s="33">
        <v>1238.9162988173141</v>
      </c>
      <c r="I4" s="23">
        <v>30.419719333075303</v>
      </c>
      <c r="J4" s="5">
        <v>6282.6559141890075</v>
      </c>
      <c r="K4" s="31"/>
      <c r="L4" s="23">
        <v>1673524.895426773</v>
      </c>
      <c r="M4" s="33">
        <v>404.08759999999319</v>
      </c>
      <c r="N4" s="5">
        <v>21</v>
      </c>
      <c r="O4" s="5">
        <v>82.666666666666671</v>
      </c>
      <c r="P4" s="33">
        <v>968.94721562345819</v>
      </c>
      <c r="Q4" s="5">
        <v>21.209586655848813</v>
      </c>
      <c r="R4" s="5">
        <v>5727.6259986931282</v>
      </c>
      <c r="S4" s="31"/>
      <c r="T4" s="23">
        <v>1660939.752032998</v>
      </c>
      <c r="U4" s="33">
        <v>117.52500000000001</v>
      </c>
      <c r="V4" s="5">
        <v>18</v>
      </c>
      <c r="W4" s="5">
        <v>86.666666666666671</v>
      </c>
      <c r="X4" s="33">
        <v>1270.2558918786046</v>
      </c>
      <c r="Y4" s="5">
        <v>43.961285276240716</v>
      </c>
      <c r="Z4" s="5">
        <v>6880.7504777685699</v>
      </c>
      <c r="AA4" s="35"/>
    </row>
    <row r="5" spans="2:27" x14ac:dyDescent="0.2">
      <c r="B5" s="4">
        <v>2</v>
      </c>
      <c r="C5" s="4">
        <v>545</v>
      </c>
      <c r="D5" s="23">
        <v>1458783.82163921</v>
      </c>
      <c r="E5" s="33">
        <v>307.15620000001502</v>
      </c>
      <c r="F5" s="5">
        <v>13</v>
      </c>
      <c r="G5" s="23">
        <v>90</v>
      </c>
      <c r="H5" s="33">
        <v>1010.1005901752471</v>
      </c>
      <c r="I5" s="23">
        <v>36.924085888221995</v>
      </c>
      <c r="J5" s="5">
        <v>6277.5458863290423</v>
      </c>
      <c r="K5" s="31"/>
      <c r="L5" s="23">
        <v>1724686.7637547581</v>
      </c>
      <c r="M5" s="33">
        <v>570.86559999999599</v>
      </c>
      <c r="N5" s="5">
        <v>24</v>
      </c>
      <c r="O5" s="5">
        <v>80</v>
      </c>
      <c r="P5" s="33">
        <v>609.54010997517992</v>
      </c>
      <c r="Q5" s="5">
        <v>17.542581683354417</v>
      </c>
      <c r="R5" s="5">
        <v>5302.2804135487686</v>
      </c>
      <c r="S5" s="31"/>
      <c r="T5" s="23">
        <v>1853150.1943268259</v>
      </c>
      <c r="U5" s="33">
        <v>157.5938000000082</v>
      </c>
      <c r="V5" s="5">
        <v>13</v>
      </c>
      <c r="W5" s="5">
        <v>71.333333333333329</v>
      </c>
      <c r="X5" s="33">
        <v>1143.6064823340716</v>
      </c>
      <c r="Y5" s="5">
        <v>45.205718506827743</v>
      </c>
      <c r="Z5" s="5">
        <v>6759.8996960419836</v>
      </c>
      <c r="AA5" s="35"/>
    </row>
    <row r="6" spans="2:27" x14ac:dyDescent="0.2">
      <c r="B6" s="4">
        <v>3</v>
      </c>
      <c r="C6" s="4">
        <v>552</v>
      </c>
      <c r="D6" s="23">
        <v>1538397.4453260009</v>
      </c>
      <c r="E6" s="33">
        <v>260.04380000000822</v>
      </c>
      <c r="F6" s="5">
        <v>14</v>
      </c>
      <c r="G6" s="23">
        <v>93.333333333333329</v>
      </c>
      <c r="H6" s="33">
        <v>1383.808416633173</v>
      </c>
      <c r="I6" s="23">
        <v>37.230317388488878</v>
      </c>
      <c r="J6" s="5">
        <v>6888.816483882234</v>
      </c>
      <c r="K6" s="31"/>
      <c r="L6" s="23">
        <v>1690306.739151852</v>
      </c>
      <c r="M6" s="33">
        <v>446.55940000000402</v>
      </c>
      <c r="N6" s="5">
        <v>22</v>
      </c>
      <c r="O6" s="5">
        <v>81.333333333333329</v>
      </c>
      <c r="P6" s="33">
        <v>745.88417502130733</v>
      </c>
      <c r="Q6" s="5">
        <v>19.397295115376497</v>
      </c>
      <c r="R6" s="5">
        <v>5545.6305503627136</v>
      </c>
      <c r="S6" s="31"/>
      <c r="T6" s="23">
        <v>1930936.3289435999</v>
      </c>
      <c r="U6" s="33">
        <v>210.956200000015</v>
      </c>
      <c r="V6" s="5">
        <v>15</v>
      </c>
      <c r="W6" s="5">
        <v>70.666666666666671</v>
      </c>
      <c r="X6" s="33">
        <v>1411.463821837782</v>
      </c>
      <c r="Y6" s="5">
        <v>38.51335347379279</v>
      </c>
      <c r="Z6" s="5">
        <v>6891.8119426805952</v>
      </c>
      <c r="AA6" s="35"/>
    </row>
    <row r="7" spans="2:27" x14ac:dyDescent="0.2">
      <c r="B7" s="4">
        <v>4</v>
      </c>
      <c r="C7" s="4">
        <v>725</v>
      </c>
      <c r="D7" s="23">
        <v>1454574.35587231</v>
      </c>
      <c r="E7" s="33">
        <v>196.17180000001099</v>
      </c>
      <c r="F7" s="5">
        <v>14</v>
      </c>
      <c r="G7" s="23">
        <v>93.333333333333329</v>
      </c>
      <c r="H7" s="33">
        <v>1070.4333136061903</v>
      </c>
      <c r="I7" s="23">
        <v>36.595421013754155</v>
      </c>
      <c r="J7" s="5">
        <v>6562.6623497229175</v>
      </c>
      <c r="K7" s="31"/>
      <c r="L7" s="23">
        <v>1865067.1118377</v>
      </c>
      <c r="M7" s="33">
        <v>322.84380000000817</v>
      </c>
      <c r="N7" s="5">
        <v>29</v>
      </c>
      <c r="O7" s="5">
        <v>89.333333333333329</v>
      </c>
      <c r="P7" s="33">
        <v>1459.4484799140398</v>
      </c>
      <c r="Q7" s="5">
        <v>17.008620980831353</v>
      </c>
      <c r="R7" s="5">
        <v>6461.0590992851467</v>
      </c>
      <c r="S7" s="31"/>
      <c r="T7" s="23">
        <v>1713178.634357905</v>
      </c>
      <c r="U7" s="33">
        <v>218.7032000000122</v>
      </c>
      <c r="V7" s="5">
        <v>15</v>
      </c>
      <c r="W7" s="5">
        <v>83.333333333333329</v>
      </c>
      <c r="X7" s="33">
        <v>1494.4049118094315</v>
      </c>
      <c r="Y7" s="5">
        <v>49.589357511537841</v>
      </c>
      <c r="Z7" s="5">
        <v>7050.5295872738216</v>
      </c>
      <c r="AA7" s="35"/>
    </row>
    <row r="8" spans="2:27" x14ac:dyDescent="0.2">
      <c r="B8" s="4">
        <v>5</v>
      </c>
      <c r="C8" s="4">
        <v>840</v>
      </c>
      <c r="D8" s="23">
        <v>1435734.2221411089</v>
      </c>
      <c r="E8" s="33">
        <v>230.34379999998501</v>
      </c>
      <c r="F8" s="5">
        <v>14</v>
      </c>
      <c r="G8" s="23">
        <v>93.333333333333329</v>
      </c>
      <c r="H8" s="33">
        <v>984.97044274707332</v>
      </c>
      <c r="I8" s="23">
        <v>36.651282653717352</v>
      </c>
      <c r="J8" s="5">
        <v>6416.7435716425171</v>
      </c>
      <c r="K8" s="31"/>
      <c r="L8" s="23">
        <v>1608005.0469167361</v>
      </c>
      <c r="M8" s="33">
        <v>449.28439999998079</v>
      </c>
      <c r="N8" s="5">
        <v>22</v>
      </c>
      <c r="O8" s="5">
        <v>82.666666666666671</v>
      </c>
      <c r="P8" s="33">
        <v>562.34240351643029</v>
      </c>
      <c r="Q8" s="5">
        <v>20.304867770708</v>
      </c>
      <c r="R8" s="5">
        <v>5308.2886731479357</v>
      </c>
      <c r="S8" s="31"/>
      <c r="T8" s="23">
        <v>1798279.041074818</v>
      </c>
      <c r="U8" s="33">
        <v>107.31240000000689</v>
      </c>
      <c r="V8" s="5">
        <v>19</v>
      </c>
      <c r="W8" s="5">
        <v>92.666666666666671</v>
      </c>
      <c r="X8" s="33">
        <v>2233.7611494112152</v>
      </c>
      <c r="Y8" s="5">
        <v>48.471751435159021</v>
      </c>
      <c r="Z8" s="5">
        <v>7812.1658039029417</v>
      </c>
      <c r="AA8" s="35"/>
    </row>
    <row r="9" spans="2:27" x14ac:dyDescent="0.2">
      <c r="B9" s="4">
        <v>6</v>
      </c>
      <c r="C9" s="4">
        <v>939</v>
      </c>
      <c r="D9" s="23">
        <v>1495400.0566310349</v>
      </c>
      <c r="E9" s="33">
        <v>418.13740000000678</v>
      </c>
      <c r="F9" s="5">
        <v>13</v>
      </c>
      <c r="G9" s="23">
        <v>91.333333333333329</v>
      </c>
      <c r="H9" s="33">
        <v>1164.0705011066711</v>
      </c>
      <c r="I9" s="23">
        <v>37.78208027429892</v>
      </c>
      <c r="J9" s="5">
        <v>6575.0805878020001</v>
      </c>
      <c r="K9" s="31"/>
      <c r="L9" s="23">
        <v>1853577.2446863169</v>
      </c>
      <c r="M9" s="33">
        <v>219.84059999999599</v>
      </c>
      <c r="N9" s="5">
        <v>20</v>
      </c>
      <c r="O9" s="5">
        <v>72.666666666666671</v>
      </c>
      <c r="P9" s="33">
        <v>742.76840752896567</v>
      </c>
      <c r="Q9" s="5">
        <v>18.72155408811917</v>
      </c>
      <c r="R9" s="5">
        <v>5713.0049373251159</v>
      </c>
      <c r="S9" s="31"/>
      <c r="T9" s="23">
        <v>1833202.1972434339</v>
      </c>
      <c r="U9" s="33">
        <v>226.9467999999878</v>
      </c>
      <c r="V9" s="5">
        <v>11</v>
      </c>
      <c r="W9" s="5">
        <v>70</v>
      </c>
      <c r="X9" s="33">
        <v>1033.4573060813848</v>
      </c>
      <c r="Y9" s="5">
        <v>52.64242261263923</v>
      </c>
      <c r="Z9" s="5">
        <v>6784.4478578892358</v>
      </c>
      <c r="AA9" s="35"/>
    </row>
    <row r="10" spans="2:27" x14ac:dyDescent="0.2">
      <c r="B10" s="4">
        <v>7</v>
      </c>
      <c r="C10" s="4">
        <v>375</v>
      </c>
      <c r="D10" s="23">
        <v>1543484.7762479139</v>
      </c>
      <c r="E10" s="33">
        <v>319.33759999999319</v>
      </c>
      <c r="F10" s="5">
        <v>14</v>
      </c>
      <c r="G10" s="23">
        <v>91.333333333333329</v>
      </c>
      <c r="H10" s="33">
        <v>1226.4656394144354</v>
      </c>
      <c r="I10" s="23">
        <v>35.2427417176904</v>
      </c>
      <c r="J10" s="5">
        <v>6725.3009485227012</v>
      </c>
      <c r="K10" s="31"/>
      <c r="L10" s="23">
        <v>1633814.8313248721</v>
      </c>
      <c r="M10" s="33">
        <v>255.19059999999598</v>
      </c>
      <c r="N10" s="5">
        <v>29</v>
      </c>
      <c r="O10" s="5">
        <v>90.666666666666671</v>
      </c>
      <c r="P10" s="33">
        <v>921.11293286969556</v>
      </c>
      <c r="Q10" s="5">
        <v>17.395682173395929</v>
      </c>
      <c r="R10" s="5">
        <v>5460.6225766949792</v>
      </c>
      <c r="S10" s="31"/>
      <c r="T10" s="23">
        <v>1890408.319585395</v>
      </c>
      <c r="U10" s="33">
        <v>114.97499999999999</v>
      </c>
      <c r="V10" s="5">
        <v>14</v>
      </c>
      <c r="W10" s="5">
        <v>73.333333333333329</v>
      </c>
      <c r="X10" s="33">
        <v>1531.2896462826709</v>
      </c>
      <c r="Y10" s="5">
        <v>43.052017667242282</v>
      </c>
      <c r="Z10" s="5">
        <v>7057.5019477583364</v>
      </c>
      <c r="AA10" s="35"/>
    </row>
    <row r="11" spans="2:27" x14ac:dyDescent="0.2">
      <c r="B11" s="4">
        <v>8</v>
      </c>
      <c r="C11" s="4">
        <v>882</v>
      </c>
      <c r="D11" s="23">
        <v>1419171.509540891</v>
      </c>
      <c r="E11" s="33">
        <v>335.19680000001097</v>
      </c>
      <c r="F11" s="5">
        <v>13</v>
      </c>
      <c r="G11" s="23">
        <v>93.333333333333329</v>
      </c>
      <c r="H11" s="33">
        <v>1031.1221233392098</v>
      </c>
      <c r="I11" s="23">
        <v>39.140705277902399</v>
      </c>
      <c r="J11" s="5">
        <v>6404.8874826505926</v>
      </c>
      <c r="K11" s="31"/>
      <c r="L11" s="23">
        <v>1768536.6699098039</v>
      </c>
      <c r="M11" s="33">
        <v>187.91259999999312</v>
      </c>
      <c r="N11" s="5">
        <v>24</v>
      </c>
      <c r="O11" s="5">
        <v>83.333333333333329</v>
      </c>
      <c r="P11" s="33">
        <v>1026.6251078683486</v>
      </c>
      <c r="Q11" s="5">
        <v>18.770510193546205</v>
      </c>
      <c r="R11" s="5">
        <v>5992.1078486784181</v>
      </c>
      <c r="S11" s="31"/>
      <c r="T11" s="23">
        <v>1855416.253701678</v>
      </c>
      <c r="U11" s="33">
        <v>132.98119999999182</v>
      </c>
      <c r="V11" s="5">
        <v>10</v>
      </c>
      <c r="W11" s="5">
        <v>66</v>
      </c>
      <c r="X11" s="33">
        <v>812.8957441230624</v>
      </c>
      <c r="Y11" s="5">
        <v>53.286464863282731</v>
      </c>
      <c r="Z11" s="5">
        <v>6562.0654268970648</v>
      </c>
      <c r="AA11" s="35"/>
    </row>
    <row r="12" spans="2:27" x14ac:dyDescent="0.2">
      <c r="B12" s="4">
        <v>9</v>
      </c>
      <c r="C12" s="4">
        <v>249</v>
      </c>
      <c r="D12" s="23">
        <v>1549480.3687584591</v>
      </c>
      <c r="E12" s="33">
        <v>200.60300000000279</v>
      </c>
      <c r="F12" s="5">
        <v>16</v>
      </c>
      <c r="G12" s="23">
        <v>90</v>
      </c>
      <c r="H12" s="33">
        <v>1134.0824739551774</v>
      </c>
      <c r="I12" s="23">
        <v>30.307254964212731</v>
      </c>
      <c r="J12" s="5">
        <v>6431.3624886412154</v>
      </c>
      <c r="K12" s="31"/>
      <c r="L12" s="23">
        <v>1885071.9146776521</v>
      </c>
      <c r="M12" s="33">
        <v>300.7158000000054</v>
      </c>
      <c r="N12" s="5">
        <v>30</v>
      </c>
      <c r="O12" s="5">
        <v>89.333333333333329</v>
      </c>
      <c r="P12" s="33">
        <v>1530.7215515888349</v>
      </c>
      <c r="Q12" s="5">
        <v>15.942395087579406</v>
      </c>
      <c r="R12" s="5">
        <v>6428.7684779002784</v>
      </c>
      <c r="S12" s="31"/>
      <c r="T12" s="23">
        <v>1897862.6012210089</v>
      </c>
      <c r="U12" s="33">
        <v>215.38119999999179</v>
      </c>
      <c r="V12" s="5">
        <v>16</v>
      </c>
      <c r="W12" s="5">
        <v>74.666666666666671</v>
      </c>
      <c r="X12" s="33">
        <v>1482.271309423131</v>
      </c>
      <c r="Y12" s="5">
        <v>40.107446257230087</v>
      </c>
      <c r="Z12" s="5">
        <v>7037.59300983507</v>
      </c>
      <c r="AA12" s="35"/>
    </row>
    <row r="13" spans="2:27" x14ac:dyDescent="0.2">
      <c r="B13" s="4">
        <v>10</v>
      </c>
      <c r="C13" s="4">
        <v>431</v>
      </c>
      <c r="D13" s="23">
        <v>1579388.366943812</v>
      </c>
      <c r="E13" s="33">
        <v>152.7814000000013</v>
      </c>
      <c r="F13" s="5">
        <v>15</v>
      </c>
      <c r="G13" s="23">
        <v>88.666666666666671</v>
      </c>
      <c r="H13" s="33">
        <v>1299.1808667984267</v>
      </c>
      <c r="I13" s="23">
        <v>32.85508929094788</v>
      </c>
      <c r="J13" s="5">
        <v>6460.6021663859447</v>
      </c>
      <c r="K13" s="31"/>
      <c r="L13" s="23">
        <v>1633414.9382747649</v>
      </c>
      <c r="M13" s="33">
        <v>430.50919999999462</v>
      </c>
      <c r="N13" s="5">
        <v>22</v>
      </c>
      <c r="O13" s="5">
        <v>83.333333333333329</v>
      </c>
      <c r="P13" s="33">
        <v>671.24996672699353</v>
      </c>
      <c r="Q13" s="5">
        <v>19.802331329060348</v>
      </c>
      <c r="R13" s="5">
        <v>5487.1634774328659</v>
      </c>
      <c r="S13" s="31"/>
      <c r="T13" s="23">
        <v>1775950.4095184051</v>
      </c>
      <c r="U13" s="33">
        <v>191.45940000000411</v>
      </c>
      <c r="V13" s="5">
        <v>12</v>
      </c>
      <c r="W13" s="5">
        <v>74.666666666666671</v>
      </c>
      <c r="X13" s="33">
        <v>1183.1383990027978</v>
      </c>
      <c r="Y13" s="5">
        <v>49.688735066288103</v>
      </c>
      <c r="Z13" s="5">
        <v>6800.9423627163214</v>
      </c>
      <c r="AA13" s="35"/>
    </row>
    <row r="14" spans="2:27" x14ac:dyDescent="0.2">
      <c r="B14" s="46" t="s">
        <v>3</v>
      </c>
      <c r="C14" s="47"/>
      <c r="D14" s="9">
        <f>MIN(D4:D13)</f>
        <v>1419171.509540891</v>
      </c>
      <c r="E14" s="22">
        <f>INDEX(E4:E13, MATCH($D$14, D4:D13, 0))</f>
        <v>335.19680000001097</v>
      </c>
      <c r="F14" s="9">
        <f>INDEX(F4:F13, MATCH($D$14, D4:D13, 0))</f>
        <v>13</v>
      </c>
      <c r="G14" s="9">
        <f>INDEX(G4:G13, MATCH($D$14, D4:D13, 0))</f>
        <v>93.333333333333329</v>
      </c>
      <c r="H14" s="22">
        <f>INDEX(H4:H13, MATCH($D$14, D4:D13, 0))</f>
        <v>1031.1221233392098</v>
      </c>
      <c r="I14" s="22">
        <f>INDEX(I4:I13, MATCH($D$14, D4:D13, 0))</f>
        <v>39.140705277902399</v>
      </c>
      <c r="J14" s="22">
        <f>INDEX(J4:J13, MATCH($D$14, D4:D13, 0))</f>
        <v>6404.8874826505926</v>
      </c>
      <c r="K14" s="32" t="e">
        <f>(D14-$D$15)/$D$15</f>
        <v>#DIV/0!</v>
      </c>
      <c r="L14" s="16">
        <f>MIN(L4:L13)</f>
        <v>1608005.0469167361</v>
      </c>
      <c r="M14" s="21">
        <f>INDEX(M4:M13, MATCH($L$14, L4:L13, 0))</f>
        <v>449.28439999998079</v>
      </c>
      <c r="N14" s="16">
        <f>INDEX(N4:N13, MATCH($L$14, L4:L13, 0))</f>
        <v>22</v>
      </c>
      <c r="O14" s="16">
        <f>INDEX(O4:O13, MATCH($L$14, L4:L13, 0))</f>
        <v>82.666666666666671</v>
      </c>
      <c r="P14" s="21">
        <f>INDEX(P4:P13, MATCH($L$14, L4:L13, 0))</f>
        <v>562.34240351643029</v>
      </c>
      <c r="Q14" s="21">
        <f>INDEX(Q4:Q13, MATCH($L$14, L4:L13, 0))</f>
        <v>20.304867770708</v>
      </c>
      <c r="R14" s="21">
        <f>INDEX(R4:R13, MATCH($L$14, L4:L13, 0))</f>
        <v>5308.2886731479357</v>
      </c>
      <c r="S14" s="36" t="e">
        <f>(L14-$D$15)/$D$15</f>
        <v>#DIV/0!</v>
      </c>
      <c r="T14" s="38">
        <f>MIN(T4:T13)</f>
        <v>1660939.752032998</v>
      </c>
      <c r="U14" s="39">
        <f>INDEX(U4:U13, MATCH($T$14, T4:T13, 0))</f>
        <v>117.52500000000001</v>
      </c>
      <c r="V14" s="38">
        <f>INDEX(V4:V13, MATCH($T$14, T4:T13, 0))</f>
        <v>18</v>
      </c>
      <c r="W14" s="38">
        <f>INDEX(W4:W13, MATCH($T$14, T4:T13, 0))</f>
        <v>86.666666666666671</v>
      </c>
      <c r="X14" s="39">
        <f>INDEX(X4:X13, MATCH($T$14, T4:T13, 0))</f>
        <v>1270.2558918786046</v>
      </c>
      <c r="Y14" s="39">
        <f>INDEX(Y4:Y13, MATCH($T$14, T4:T13, 0))</f>
        <v>43.961285276240716</v>
      </c>
      <c r="Z14" s="39">
        <f>INDEX(Z4:Z13, MATCH($T$14, T4:T13, 0))</f>
        <v>6880.7504777685699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8:C1048576">
    <cfRule type="duplicateValues" dxfId="61" priority="7"/>
    <cfRule type="duplicateValues" dxfId="60" priority="8"/>
  </conditionalFormatting>
  <conditionalFormatting sqref="C14">
    <cfRule type="duplicateValues" dxfId="59" priority="3"/>
    <cfRule type="duplicateValues" dxfId="58" priority="4"/>
  </conditionalFormatting>
  <conditionalFormatting sqref="C17:C37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A3F8-EDA8-439C-BB3A-ECBF2DE16FD1}">
  <dimension ref="B1:AA17"/>
  <sheetViews>
    <sheetView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-0.96977057444879289</v>
      </c>
      <c r="J2" s="28" t="e">
        <f>(S14-J14)/J14</f>
        <v>#DIV/0!</v>
      </c>
      <c r="K2" s="28"/>
      <c r="L2" s="1" t="s">
        <v>19</v>
      </c>
      <c r="P2" s="1">
        <f>(P14-H14)/H14</f>
        <v>-0.22812584796244845</v>
      </c>
      <c r="R2" s="1">
        <f>(R14-J14)/J14</f>
        <v>-0.16176153754674236</v>
      </c>
      <c r="T2" s="1" t="s">
        <v>20</v>
      </c>
      <c r="X2" s="1">
        <f>(X14-P14)/P14</f>
        <v>1.3174942714043183</v>
      </c>
      <c r="Z2" s="1">
        <f>(Z14-R14)/R14</f>
        <v>0.31943341744679876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29</v>
      </c>
      <c r="D4" s="23">
        <v>1325557.602234096</v>
      </c>
      <c r="E4" s="33">
        <v>184.1874000000069</v>
      </c>
      <c r="F4" s="5">
        <v>11</v>
      </c>
      <c r="G4" s="23">
        <v>93.333333333333329</v>
      </c>
      <c r="H4" s="33">
        <v>748.53519115630172</v>
      </c>
      <c r="I4" s="23">
        <v>45.698108214207643</v>
      </c>
      <c r="J4" s="5">
        <v>6354.770224541453</v>
      </c>
      <c r="K4" s="31"/>
      <c r="L4" s="23">
        <v>1600872.466381788</v>
      </c>
      <c r="M4" s="33">
        <v>207.56560000001917</v>
      </c>
      <c r="N4" s="5">
        <v>23</v>
      </c>
      <c r="O4" s="5">
        <v>86</v>
      </c>
      <c r="P4" s="33">
        <v>824.23041232001503</v>
      </c>
      <c r="Q4" s="5">
        <v>19.818874563988995</v>
      </c>
      <c r="R4" s="5">
        <v>5466.1736798077654</v>
      </c>
      <c r="S4" s="31"/>
      <c r="T4" s="23">
        <v>1764198.2986045401</v>
      </c>
      <c r="U4" s="33">
        <v>88.918799999984927</v>
      </c>
      <c r="V4" s="5">
        <v>15</v>
      </c>
      <c r="W4" s="5">
        <v>77.333333333333329</v>
      </c>
      <c r="X4" s="33">
        <v>1350.1925669400457</v>
      </c>
      <c r="Y4" s="5">
        <v>51.242421716864008</v>
      </c>
      <c r="Z4" s="5">
        <v>6866.1783850035463</v>
      </c>
      <c r="AA4" s="35"/>
    </row>
    <row r="5" spans="2:27" x14ac:dyDescent="0.2">
      <c r="B5" s="4">
        <v>2</v>
      </c>
      <c r="C5" s="4">
        <v>715</v>
      </c>
      <c r="D5" s="23">
        <v>1320098.3811339331</v>
      </c>
      <c r="E5" s="33">
        <v>146.72800000000279</v>
      </c>
      <c r="F5" s="5">
        <v>14</v>
      </c>
      <c r="G5" s="23">
        <v>94.666666666666671</v>
      </c>
      <c r="H5" s="33">
        <v>911.16276553246746</v>
      </c>
      <c r="I5" s="23">
        <v>38.15265095978414</v>
      </c>
      <c r="J5" s="5">
        <v>6023.2635473835226</v>
      </c>
      <c r="K5" s="31"/>
      <c r="L5" s="23">
        <v>1665410.1945438059</v>
      </c>
      <c r="M5" s="33">
        <v>170.0594000000041</v>
      </c>
      <c r="N5" s="5">
        <v>26</v>
      </c>
      <c r="O5" s="5">
        <v>88.666666666666671</v>
      </c>
      <c r="P5" s="33">
        <v>954.09226922439871</v>
      </c>
      <c r="Q5" s="5">
        <v>18.292711130298226</v>
      </c>
      <c r="R5" s="5">
        <v>5764.3845516627398</v>
      </c>
      <c r="S5" s="31"/>
      <c r="T5" s="23">
        <v>1595962.046957118</v>
      </c>
      <c r="U5" s="33">
        <v>97.640599999995899</v>
      </c>
      <c r="V5" s="5">
        <v>16</v>
      </c>
      <c r="W5" s="5">
        <v>84.666666666666671</v>
      </c>
      <c r="X5" s="33">
        <v>1177.7261342078173</v>
      </c>
      <c r="Y5" s="5">
        <v>51.1121410679444</v>
      </c>
      <c r="Z5" s="5">
        <v>6605.2499648535877</v>
      </c>
      <c r="AA5" s="35"/>
    </row>
    <row r="6" spans="2:27" x14ac:dyDescent="0.2">
      <c r="B6" s="4">
        <v>3</v>
      </c>
      <c r="C6" s="4">
        <v>34</v>
      </c>
      <c r="D6" s="23">
        <v>1441583.4429824101</v>
      </c>
      <c r="E6" s="33">
        <v>102.3905999999959</v>
      </c>
      <c r="F6" s="5">
        <v>12</v>
      </c>
      <c r="G6" s="23">
        <v>94.666666666666671</v>
      </c>
      <c r="H6" s="33">
        <v>1284.6685282216126</v>
      </c>
      <c r="I6" s="23">
        <v>44.365963556742884</v>
      </c>
      <c r="J6" s="5">
        <v>6844.8375214646339</v>
      </c>
      <c r="K6" s="31"/>
      <c r="L6" s="23">
        <v>1764519.6719449661</v>
      </c>
      <c r="M6" s="33">
        <v>502.96559999999602</v>
      </c>
      <c r="N6" s="5">
        <v>31</v>
      </c>
      <c r="O6" s="5">
        <v>90</v>
      </c>
      <c r="P6" s="33">
        <v>1019.7767846653907</v>
      </c>
      <c r="Q6" s="5">
        <v>15.567524365703273</v>
      </c>
      <c r="R6" s="5">
        <v>5891.7916201049293</v>
      </c>
      <c r="S6" s="31"/>
      <c r="T6" s="23">
        <v>1911593.8817494151</v>
      </c>
      <c r="U6" s="33">
        <v>123.2125999999931</v>
      </c>
      <c r="V6" s="5">
        <v>18</v>
      </c>
      <c r="W6" s="5">
        <v>89.333333333333329</v>
      </c>
      <c r="X6" s="33">
        <v>2663.8551580739618</v>
      </c>
      <c r="Y6" s="5">
        <v>52.354026119187985</v>
      </c>
      <c r="Z6" s="5">
        <v>8256.1381740697907</v>
      </c>
      <c r="AA6" s="35"/>
    </row>
    <row r="7" spans="2:27" x14ac:dyDescent="0.2">
      <c r="B7" s="4">
        <v>4</v>
      </c>
      <c r="C7" s="4">
        <v>668</v>
      </c>
      <c r="D7" s="23">
        <v>1482859.4649529301</v>
      </c>
      <c r="E7" s="33">
        <v>129.6594000000041</v>
      </c>
      <c r="F7" s="5">
        <v>13</v>
      </c>
      <c r="G7" s="23">
        <v>88.666666666666671</v>
      </c>
      <c r="H7" s="33">
        <v>947.94950715000505</v>
      </c>
      <c r="I7" s="23">
        <v>36.42318849832165</v>
      </c>
      <c r="J7" s="5">
        <v>6406.6769983753557</v>
      </c>
      <c r="K7" s="31"/>
      <c r="L7" s="23">
        <v>1554542.084483203</v>
      </c>
      <c r="M7" s="33">
        <v>595.73440000000403</v>
      </c>
      <c r="N7" s="5">
        <v>23</v>
      </c>
      <c r="O7" s="5">
        <v>85.333333333333329</v>
      </c>
      <c r="P7" s="33">
        <v>573.43068834181452</v>
      </c>
      <c r="Q7" s="5">
        <v>19.686621183558486</v>
      </c>
      <c r="R7" s="5">
        <v>5159.5523073084005</v>
      </c>
      <c r="S7" s="31"/>
      <c r="T7" s="23">
        <v>1748041.7682562801</v>
      </c>
      <c r="U7" s="33">
        <v>153.01879999998491</v>
      </c>
      <c r="V7" s="5">
        <v>14</v>
      </c>
      <c r="W7" s="5">
        <v>76.666666666666671</v>
      </c>
      <c r="X7" s="33">
        <v>1251.6998388435554</v>
      </c>
      <c r="Y7" s="5">
        <v>52.113510208698429</v>
      </c>
      <c r="Z7" s="5">
        <v>6819.8291092049567</v>
      </c>
      <c r="AA7" s="35"/>
    </row>
    <row r="8" spans="2:27" x14ac:dyDescent="0.2">
      <c r="B8" s="4">
        <v>5</v>
      </c>
      <c r="C8" s="4">
        <v>806</v>
      </c>
      <c r="D8" s="23">
        <v>1285310.155879213</v>
      </c>
      <c r="E8" s="33">
        <v>164.83760000001638</v>
      </c>
      <c r="F8" s="5">
        <v>13</v>
      </c>
      <c r="G8" s="23">
        <v>94</v>
      </c>
      <c r="H8" s="33">
        <v>671.95505501372418</v>
      </c>
      <c r="I8" s="23">
        <v>39.219681710630432</v>
      </c>
      <c r="J8" s="5">
        <v>5920.745118077707</v>
      </c>
      <c r="K8" s="31"/>
      <c r="L8" s="23">
        <v>1636917.556193806</v>
      </c>
      <c r="M8" s="33">
        <v>224.803199999989</v>
      </c>
      <c r="N8" s="5">
        <v>30</v>
      </c>
      <c r="O8" s="5">
        <v>92.666666666666671</v>
      </c>
      <c r="P8" s="33">
        <v>985.87518573195416</v>
      </c>
      <c r="Q8" s="5">
        <v>16.589620287304225</v>
      </c>
      <c r="R8" s="5">
        <v>5629.361881180791</v>
      </c>
      <c r="S8" s="31"/>
      <c r="T8" s="23">
        <v>1907473.21729753</v>
      </c>
      <c r="U8" s="33">
        <v>167.39699999999721</v>
      </c>
      <c r="V8" s="5">
        <v>21</v>
      </c>
      <c r="W8" s="5">
        <v>89.333333333333329</v>
      </c>
      <c r="X8" s="33">
        <v>2376.9922376041964</v>
      </c>
      <c r="Y8" s="5">
        <v>43.965257177913841</v>
      </c>
      <c r="Z8" s="5">
        <v>7886.2769295097023</v>
      </c>
      <c r="AA8" s="35"/>
    </row>
    <row r="9" spans="2:27" x14ac:dyDescent="0.2">
      <c r="B9" s="4">
        <v>6</v>
      </c>
      <c r="C9" s="4">
        <v>602</v>
      </c>
      <c r="D9" s="23">
        <v>1304090.552540902</v>
      </c>
      <c r="E9" s="33">
        <v>255.375</v>
      </c>
      <c r="F9" s="5">
        <v>12</v>
      </c>
      <c r="G9" s="23">
        <v>94.666666666666671</v>
      </c>
      <c r="H9" s="33">
        <v>905.38125540795352</v>
      </c>
      <c r="I9" s="23">
        <v>43.929143605509609</v>
      </c>
      <c r="J9" s="5">
        <v>6135.6130748947771</v>
      </c>
      <c r="K9" s="31"/>
      <c r="L9" s="23">
        <v>1650298.406358483</v>
      </c>
      <c r="M9" s="33">
        <v>90.365599999995908</v>
      </c>
      <c r="N9" s="5">
        <v>23</v>
      </c>
      <c r="O9" s="5">
        <v>82.666666666666671</v>
      </c>
      <c r="P9" s="33">
        <v>702.11736876297221</v>
      </c>
      <c r="Q9" s="5">
        <v>19.224288669819419</v>
      </c>
      <c r="R9" s="5">
        <v>5357.7757479531538</v>
      </c>
      <c r="S9" s="31"/>
      <c r="T9" s="23">
        <v>1840019.4723082569</v>
      </c>
      <c r="U9" s="33">
        <v>129.42500000000001</v>
      </c>
      <c r="V9" s="5">
        <v>19</v>
      </c>
      <c r="W9" s="5">
        <v>80</v>
      </c>
      <c r="X9" s="33">
        <v>1558.2004760716347</v>
      </c>
      <c r="Y9" s="5">
        <v>40.727312878953356</v>
      </c>
      <c r="Z9" s="5">
        <v>7082.0330180779602</v>
      </c>
      <c r="AA9" s="35"/>
    </row>
    <row r="10" spans="2:27" x14ac:dyDescent="0.2">
      <c r="B10" s="4">
        <v>7</v>
      </c>
      <c r="C10" s="4">
        <v>924</v>
      </c>
      <c r="D10" s="23">
        <v>1238633.3154280861</v>
      </c>
      <c r="E10" s="33">
        <v>167.19379999998492</v>
      </c>
      <c r="F10" s="5">
        <v>11</v>
      </c>
      <c r="G10" s="23">
        <v>94.666666666666671</v>
      </c>
      <c r="H10" s="33">
        <v>658.3838136311432</v>
      </c>
      <c r="I10" s="23">
        <v>47.534541198248419</v>
      </c>
      <c r="J10" s="5">
        <v>5972.197943473162</v>
      </c>
      <c r="K10" s="31"/>
      <c r="L10" s="23">
        <v>1625656.1258801799</v>
      </c>
      <c r="M10" s="33">
        <v>144.4405999999959</v>
      </c>
      <c r="N10" s="5">
        <v>30</v>
      </c>
      <c r="O10" s="5">
        <v>92</v>
      </c>
      <c r="P10" s="33">
        <v>864.19573500344302</v>
      </c>
      <c r="Q10" s="5">
        <v>16.679034666956962</v>
      </c>
      <c r="R10" s="5">
        <v>5574.237483072473</v>
      </c>
      <c r="S10" s="31"/>
      <c r="T10" s="23">
        <v>1675901.9440916851</v>
      </c>
      <c r="U10" s="33">
        <v>154.05620000001508</v>
      </c>
      <c r="V10" s="5">
        <v>14</v>
      </c>
      <c r="W10" s="5">
        <v>77.333333333333329</v>
      </c>
      <c r="X10" s="33">
        <v>951.30136830801462</v>
      </c>
      <c r="Y10" s="5">
        <v>50.199649912886194</v>
      </c>
      <c r="Z10" s="5">
        <v>6440.6078301488524</v>
      </c>
      <c r="AA10" s="35"/>
    </row>
    <row r="11" spans="2:27" x14ac:dyDescent="0.2">
      <c r="B11" s="4">
        <v>8</v>
      </c>
      <c r="C11" s="4">
        <v>526</v>
      </c>
      <c r="D11" s="23">
        <v>1287758.5264656339</v>
      </c>
      <c r="E11" s="33">
        <v>170.0030000000028</v>
      </c>
      <c r="F11" s="5">
        <v>13</v>
      </c>
      <c r="G11" s="23">
        <v>94.666666666666671</v>
      </c>
      <c r="H11" s="33">
        <v>744.3165585929338</v>
      </c>
      <c r="I11" s="23">
        <v>39.782789375310912</v>
      </c>
      <c r="J11" s="5">
        <v>5989.7080808648698</v>
      </c>
      <c r="K11" s="31"/>
      <c r="L11" s="23">
        <v>1536795.5660272359</v>
      </c>
      <c r="M11" s="33">
        <v>398.25</v>
      </c>
      <c r="N11" s="5">
        <v>23</v>
      </c>
      <c r="O11" s="5">
        <v>84.666666666666671</v>
      </c>
      <c r="P11" s="33">
        <v>508.18944786178804</v>
      </c>
      <c r="Q11" s="5">
        <v>19.902564478282489</v>
      </c>
      <c r="R11" s="5">
        <v>5006.1260216034507</v>
      </c>
      <c r="S11" s="31"/>
      <c r="T11" s="23">
        <v>1660745.558208114</v>
      </c>
      <c r="U11" s="33">
        <v>183.8064000000013</v>
      </c>
      <c r="V11" s="5">
        <v>16</v>
      </c>
      <c r="W11" s="5">
        <v>82</v>
      </c>
      <c r="X11" s="33">
        <v>1276.5018673619904</v>
      </c>
      <c r="Y11" s="5">
        <v>48.829945619212907</v>
      </c>
      <c r="Z11" s="5">
        <v>6651.4192044244628</v>
      </c>
      <c r="AA11" s="35"/>
    </row>
    <row r="12" spans="2:27" x14ac:dyDescent="0.2">
      <c r="B12" s="4">
        <v>9</v>
      </c>
      <c r="C12" s="4">
        <v>491</v>
      </c>
      <c r="D12" s="23">
        <v>1388891.114726014</v>
      </c>
      <c r="E12" s="33">
        <v>82.746800000010978</v>
      </c>
      <c r="F12" s="5">
        <v>13</v>
      </c>
      <c r="G12" s="23">
        <v>92</v>
      </c>
      <c r="H12" s="33">
        <v>823.25750699108698</v>
      </c>
      <c r="I12" s="23">
        <v>38.593029338189496</v>
      </c>
      <c r="J12" s="5">
        <v>6344.325026418267</v>
      </c>
      <c r="K12" s="31"/>
      <c r="L12" s="23">
        <v>1613800.1661137331</v>
      </c>
      <c r="M12" s="33">
        <v>102.0282000000123</v>
      </c>
      <c r="N12" s="5">
        <v>20</v>
      </c>
      <c r="O12" s="5">
        <v>79.333333333333329</v>
      </c>
      <c r="P12" s="33">
        <v>547.12451092142453</v>
      </c>
      <c r="Q12" s="5">
        <v>20.430721667659309</v>
      </c>
      <c r="R12" s="5">
        <v>5014.0381677734313</v>
      </c>
      <c r="S12" s="31"/>
      <c r="T12" s="23">
        <v>1681767.4339736421</v>
      </c>
      <c r="U12" s="33">
        <v>250.8032000000122</v>
      </c>
      <c r="V12" s="5">
        <v>16</v>
      </c>
      <c r="W12" s="5">
        <v>80.666666666666671</v>
      </c>
      <c r="X12" s="33">
        <v>1232.4871311838933</v>
      </c>
      <c r="Y12" s="5">
        <v>47.107030228795139</v>
      </c>
      <c r="Z12" s="5">
        <v>6632.7766942103017</v>
      </c>
      <c r="AA12" s="35"/>
    </row>
    <row r="13" spans="2:27" x14ac:dyDescent="0.2">
      <c r="B13" s="4">
        <v>10</v>
      </c>
      <c r="C13" s="4">
        <v>773</v>
      </c>
      <c r="D13" s="23">
        <v>1300909.8117117721</v>
      </c>
      <c r="E13" s="33">
        <v>121.2</v>
      </c>
      <c r="F13" s="5">
        <v>11</v>
      </c>
      <c r="G13" s="23">
        <v>93.333333333333329</v>
      </c>
      <c r="H13" s="33">
        <v>743.04019707300256</v>
      </c>
      <c r="I13" s="23">
        <v>45.329893032344664</v>
      </c>
      <c r="J13" s="5">
        <v>6140.891047218498</v>
      </c>
      <c r="K13" s="31"/>
      <c r="L13" s="23">
        <v>1611810.233835205</v>
      </c>
      <c r="M13" s="33">
        <v>340.06560000001917</v>
      </c>
      <c r="N13" s="5">
        <v>21</v>
      </c>
      <c r="O13" s="5">
        <v>85.333333333333329</v>
      </c>
      <c r="P13" s="33">
        <v>872.74162063019571</v>
      </c>
      <c r="Q13" s="5">
        <v>21.544548072971367</v>
      </c>
      <c r="R13" s="5">
        <v>5719.1225404347961</v>
      </c>
      <c r="S13" s="31"/>
      <c r="T13" s="23">
        <v>1699205.7065671009</v>
      </c>
      <c r="U13" s="33">
        <v>242.85919999999459</v>
      </c>
      <c r="V13" s="5">
        <v>12</v>
      </c>
      <c r="W13" s="5">
        <v>74.666666666666671</v>
      </c>
      <c r="X13" s="33">
        <v>1008.7667537132484</v>
      </c>
      <c r="Y13" s="5">
        <v>57.629622892654169</v>
      </c>
      <c r="Z13" s="5">
        <v>6554.7011957007026</v>
      </c>
      <c r="AA13" s="35"/>
    </row>
    <row r="14" spans="2:27" x14ac:dyDescent="0.2">
      <c r="B14" s="46" t="s">
        <v>3</v>
      </c>
      <c r="C14" s="47"/>
      <c r="D14" s="9">
        <f>MIN(D4:D13)</f>
        <v>1238633.3154280861</v>
      </c>
      <c r="E14" s="22">
        <f>INDEX(E4:E13, MATCH($D$14, D4:D13, 0))</f>
        <v>167.19379999998492</v>
      </c>
      <c r="F14" s="9">
        <f>INDEX(F4:F13, MATCH($D$14, D4:D13, 0))</f>
        <v>11</v>
      </c>
      <c r="G14" s="9">
        <f>INDEX(G4:G13, MATCH($D$14, D4:D13, 0))</f>
        <v>94.666666666666671</v>
      </c>
      <c r="H14" s="22">
        <f>INDEX(H4:H13, MATCH($D$14, D4:D13, 0))</f>
        <v>658.3838136311432</v>
      </c>
      <c r="I14" s="22">
        <f>INDEX(I4:I13, MATCH($D$14, D4:D13, 0))</f>
        <v>47.534541198248419</v>
      </c>
      <c r="J14" s="22">
        <f>INDEX(J4:J13, MATCH($D$14, D4:D13, 0))</f>
        <v>5972.197943473162</v>
      </c>
      <c r="K14" s="32" t="e">
        <f>(D14-$D$15)/$D$15</f>
        <v>#DIV/0!</v>
      </c>
      <c r="L14" s="16">
        <f>MIN(L4:L13)</f>
        <v>1536795.5660272359</v>
      </c>
      <c r="M14" s="21">
        <f>INDEX(M4:M13, MATCH($L$14, L4:L13, 0))</f>
        <v>398.25</v>
      </c>
      <c r="N14" s="16">
        <f>INDEX(N4:N13, MATCH($L$14, L4:L13, 0))</f>
        <v>23</v>
      </c>
      <c r="O14" s="16">
        <f>INDEX(O4:O13, MATCH($L$14, L4:L13, 0))</f>
        <v>84.666666666666671</v>
      </c>
      <c r="P14" s="21">
        <f>INDEX(P4:P13, MATCH($L$14, L4:L13, 0))</f>
        <v>508.18944786178804</v>
      </c>
      <c r="Q14" s="21">
        <f>INDEX(Q4:Q13, MATCH($L$14, L4:L13, 0))</f>
        <v>19.902564478282489</v>
      </c>
      <c r="R14" s="21">
        <f>INDEX(R4:R13, MATCH($L$14, L4:L13, 0))</f>
        <v>5006.1260216034507</v>
      </c>
      <c r="S14" s="36" t="e">
        <f>(L14-$D$15)/$D$15</f>
        <v>#DIV/0!</v>
      </c>
      <c r="T14" s="38">
        <f>MIN(T4:T13)</f>
        <v>1595962.046957118</v>
      </c>
      <c r="U14" s="39">
        <f>INDEX(U4:U13, MATCH($T$14, T4:T13, 0))</f>
        <v>97.640599999995899</v>
      </c>
      <c r="V14" s="38">
        <f>INDEX(V4:V13, MATCH($T$14, T4:T13, 0))</f>
        <v>16</v>
      </c>
      <c r="W14" s="38">
        <f>INDEX(W4:W13, MATCH($T$14, T4:T13, 0))</f>
        <v>84.666666666666671</v>
      </c>
      <c r="X14" s="39">
        <f>INDEX(X4:X13, MATCH($T$14, T4:T13, 0))</f>
        <v>1177.7261342078173</v>
      </c>
      <c r="Y14" s="39">
        <f>INDEX(Y4:Y13, MATCH($T$14, T4:T13, 0))</f>
        <v>51.1121410679444</v>
      </c>
      <c r="Z14" s="39">
        <f>INDEX(Z4:Z13, MATCH($T$14, T4:T13, 0))</f>
        <v>6605.2499648535877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8:C1048576">
    <cfRule type="duplicateValues" dxfId="57" priority="7"/>
    <cfRule type="duplicateValues" dxfId="56" priority="8"/>
  </conditionalFormatting>
  <conditionalFormatting sqref="C14">
    <cfRule type="duplicateValues" dxfId="55" priority="3"/>
    <cfRule type="duplicateValues" dxfId="54" priority="4"/>
  </conditionalFormatting>
  <conditionalFormatting sqref="C17:C37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2DD6-E148-4B06-B29B-F91851858691}">
  <dimension ref="B1:AA17"/>
  <sheetViews>
    <sheetView tabSelected="1" zoomScale="85" zoomScaleNormal="85" workbookViewId="0">
      <selection activeCell="U20" sqref="U20:U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-0.97730481471194064</v>
      </c>
      <c r="J2" s="28" t="e">
        <f>(S14-J14)/J14</f>
        <v>#DIV/0!</v>
      </c>
      <c r="K2" s="28"/>
      <c r="L2" s="1" t="s">
        <v>19</v>
      </c>
      <c r="P2" s="1">
        <f>(P14-H14)/H14</f>
        <v>-0.28518719745605964</v>
      </c>
      <c r="R2" s="1">
        <f>(R14-J14)/J14</f>
        <v>-0.14219834765032785</v>
      </c>
      <c r="T2" s="1" t="s">
        <v>20</v>
      </c>
      <c r="X2" s="1">
        <f>(X14-P14)/P14</f>
        <v>0.84517161366235194</v>
      </c>
      <c r="Z2" s="1">
        <f>(Z14-R14)/R14</f>
        <v>0.2838909240340568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51</v>
      </c>
      <c r="D4" s="23">
        <v>1683398.103107298</v>
      </c>
      <c r="E4" s="33">
        <v>137.6282000000123</v>
      </c>
      <c r="F4" s="5">
        <v>15</v>
      </c>
      <c r="G4" s="23">
        <v>89.333333333333329</v>
      </c>
      <c r="H4" s="33">
        <v>1599.8389697273662</v>
      </c>
      <c r="I4" s="23">
        <v>29.451287967798006</v>
      </c>
      <c r="J4" s="5">
        <v>6975.3872272676927</v>
      </c>
      <c r="K4" s="31"/>
      <c r="L4" s="23">
        <v>2020849.8466703941</v>
      </c>
      <c r="M4" s="33">
        <v>153.16559999999589</v>
      </c>
      <c r="N4" s="5">
        <v>35</v>
      </c>
      <c r="O4" s="5">
        <v>89.333333333333329</v>
      </c>
      <c r="P4" s="33">
        <v>1640.8946858575832</v>
      </c>
      <c r="Q4" s="5">
        <v>12.834036456432964</v>
      </c>
      <c r="R4" s="5">
        <v>6469.0133625844592</v>
      </c>
      <c r="S4" s="31"/>
      <c r="T4" s="23">
        <v>2073068.984388889</v>
      </c>
      <c r="U4" s="33">
        <v>132.0905999999959</v>
      </c>
      <c r="V4" s="5">
        <v>22</v>
      </c>
      <c r="W4" s="5">
        <v>88.666666666666671</v>
      </c>
      <c r="X4" s="33">
        <v>2992.3604342370204</v>
      </c>
      <c r="Y4" s="5">
        <v>43.145508644435203</v>
      </c>
      <c r="Z4" s="5">
        <v>8369.6158610340135</v>
      </c>
      <c r="AA4" s="35"/>
    </row>
    <row r="5" spans="2:27" x14ac:dyDescent="0.2">
      <c r="B5" s="4">
        <v>2</v>
      </c>
      <c r="C5" s="4">
        <v>179</v>
      </c>
      <c r="D5" s="23">
        <v>1370133.0828145631</v>
      </c>
      <c r="E5" s="33">
        <v>202.3</v>
      </c>
      <c r="F5" s="5">
        <v>12</v>
      </c>
      <c r="G5" s="23">
        <v>91.333333333333329</v>
      </c>
      <c r="H5" s="33">
        <v>725.56393783113413</v>
      </c>
      <c r="I5" s="23">
        <v>37.946548053963141</v>
      </c>
      <c r="J5" s="5">
        <v>6116.4860079409691</v>
      </c>
      <c r="K5" s="31"/>
      <c r="L5" s="23">
        <v>1719049.6695642329</v>
      </c>
      <c r="M5" s="33">
        <v>432.43740000000679</v>
      </c>
      <c r="N5" s="5">
        <v>20</v>
      </c>
      <c r="O5" s="5">
        <v>77.333333333333329</v>
      </c>
      <c r="P5" s="33">
        <v>746.59935930920039</v>
      </c>
      <c r="Q5" s="5">
        <v>18.579773832359798</v>
      </c>
      <c r="R5" s="5">
        <v>5312.8131991330865</v>
      </c>
      <c r="S5" s="31"/>
      <c r="T5" s="23">
        <v>1927751.8205825209</v>
      </c>
      <c r="U5" s="33">
        <v>200.375</v>
      </c>
      <c r="V5" s="5">
        <v>10</v>
      </c>
      <c r="W5" s="5">
        <v>63.333333333333343</v>
      </c>
      <c r="X5" s="33">
        <v>931.07176955707689</v>
      </c>
      <c r="Y5" s="5">
        <v>49.432733460399234</v>
      </c>
      <c r="Z5" s="5">
        <v>6554.3296721166344</v>
      </c>
      <c r="AA5" s="35"/>
    </row>
    <row r="6" spans="2:27" x14ac:dyDescent="0.2">
      <c r="B6" s="4">
        <v>3</v>
      </c>
      <c r="C6" s="4">
        <v>209</v>
      </c>
      <c r="D6" s="23">
        <v>1385633.865749734</v>
      </c>
      <c r="E6" s="33">
        <v>216.7530000000028</v>
      </c>
      <c r="F6" s="5">
        <v>13</v>
      </c>
      <c r="G6" s="23">
        <v>92</v>
      </c>
      <c r="H6" s="33">
        <v>867.39604618636406</v>
      </c>
      <c r="I6" s="23">
        <v>35.701651410711897</v>
      </c>
      <c r="J6" s="5">
        <v>6103.3353073476746</v>
      </c>
      <c r="K6" s="31"/>
      <c r="L6" s="23">
        <v>1751183.030325945</v>
      </c>
      <c r="M6" s="33">
        <v>291.67500000000001</v>
      </c>
      <c r="N6" s="5">
        <v>29</v>
      </c>
      <c r="O6" s="5">
        <v>88.666666666666671</v>
      </c>
      <c r="P6" s="33">
        <v>1036.066706025458</v>
      </c>
      <c r="Q6" s="5">
        <v>15.541716767345006</v>
      </c>
      <c r="R6" s="5">
        <v>5815.2311616610068</v>
      </c>
      <c r="S6" s="31"/>
      <c r="T6" s="23">
        <v>1900766.682418325</v>
      </c>
      <c r="U6" s="33">
        <v>185.4655999999959</v>
      </c>
      <c r="V6" s="5">
        <v>14</v>
      </c>
      <c r="W6" s="5">
        <v>70</v>
      </c>
      <c r="X6" s="33">
        <v>1254.8923261374446</v>
      </c>
      <c r="Y6" s="5">
        <v>42.243078386249564</v>
      </c>
      <c r="Z6" s="5">
        <v>6694.497790664851</v>
      </c>
      <c r="AA6" s="35"/>
    </row>
    <row r="7" spans="2:27" x14ac:dyDescent="0.2">
      <c r="B7" s="4">
        <v>4</v>
      </c>
      <c r="C7" s="4">
        <v>238</v>
      </c>
      <c r="D7" s="23">
        <v>1429376.9392982449</v>
      </c>
      <c r="E7" s="33">
        <v>167.97499999999999</v>
      </c>
      <c r="F7" s="5">
        <v>12</v>
      </c>
      <c r="G7" s="23">
        <v>89.333333333333329</v>
      </c>
      <c r="H7" s="33">
        <v>867.30792428187272</v>
      </c>
      <c r="I7" s="23">
        <v>38.021195185220868</v>
      </c>
      <c r="J7" s="5">
        <v>6171.837072671894</v>
      </c>
      <c r="K7" s="31"/>
      <c r="L7" s="23">
        <v>1704315.348421965</v>
      </c>
      <c r="M7" s="33">
        <v>471.47500000000002</v>
      </c>
      <c r="N7" s="5">
        <v>23</v>
      </c>
      <c r="O7" s="5">
        <v>81.333333333333329</v>
      </c>
      <c r="P7" s="33">
        <v>839.54880733688583</v>
      </c>
      <c r="Q7" s="5">
        <v>17.005777713059512</v>
      </c>
      <c r="R7" s="5">
        <v>5364.1978294783094</v>
      </c>
      <c r="S7" s="31"/>
      <c r="T7" s="23">
        <v>2202187.2527094372</v>
      </c>
      <c r="U7" s="33">
        <v>146.73759999999311</v>
      </c>
      <c r="V7" s="5">
        <v>12</v>
      </c>
      <c r="W7" s="5">
        <v>56.666666666666657</v>
      </c>
      <c r="X7" s="33">
        <v>1751.1553069167569</v>
      </c>
      <c r="Y7" s="5">
        <v>44.455954289776606</v>
      </c>
      <c r="Z7" s="5">
        <v>7444.8109298162872</v>
      </c>
      <c r="AA7" s="35"/>
    </row>
    <row r="8" spans="2:27" x14ac:dyDescent="0.2">
      <c r="B8" s="4">
        <v>5</v>
      </c>
      <c r="C8" s="4">
        <v>383</v>
      </c>
      <c r="D8" s="23">
        <v>1504032.057091726</v>
      </c>
      <c r="E8" s="33">
        <v>138.9655999999959</v>
      </c>
      <c r="F8" s="5">
        <v>13</v>
      </c>
      <c r="G8" s="23">
        <v>92</v>
      </c>
      <c r="H8" s="33">
        <v>1225.3923743873484</v>
      </c>
      <c r="I8" s="23">
        <v>35.982445843302486</v>
      </c>
      <c r="J8" s="5">
        <v>6659.3969664524793</v>
      </c>
      <c r="K8" s="31"/>
      <c r="L8" s="23">
        <v>1721089.568675983</v>
      </c>
      <c r="M8" s="33">
        <v>379.09379999998498</v>
      </c>
      <c r="N8" s="5">
        <v>32</v>
      </c>
      <c r="O8" s="5">
        <v>91.333333333333329</v>
      </c>
      <c r="P8" s="33">
        <v>924.22167692240805</v>
      </c>
      <c r="Q8" s="5">
        <v>14.321054917620554</v>
      </c>
      <c r="R8" s="5">
        <v>5615.2849494082748</v>
      </c>
      <c r="S8" s="31"/>
      <c r="T8" s="23">
        <v>1691674.444638208</v>
      </c>
      <c r="U8" s="33">
        <v>305.040599999996</v>
      </c>
      <c r="V8" s="5">
        <v>12</v>
      </c>
      <c r="W8" s="5">
        <v>76</v>
      </c>
      <c r="X8" s="33">
        <v>1003.2870711246937</v>
      </c>
      <c r="Y8" s="5">
        <v>53.771202773052778</v>
      </c>
      <c r="Z8" s="5">
        <v>6508.3247589483281</v>
      </c>
      <c r="AA8" s="35"/>
    </row>
    <row r="9" spans="2:27" x14ac:dyDescent="0.2">
      <c r="B9" s="4">
        <v>6</v>
      </c>
      <c r="C9" s="4">
        <v>576</v>
      </c>
      <c r="D9" s="23">
        <v>1632808.319082075</v>
      </c>
      <c r="E9" s="33">
        <v>116.3064000000013</v>
      </c>
      <c r="F9" s="5">
        <v>15</v>
      </c>
      <c r="G9" s="23">
        <v>88.666666666666671</v>
      </c>
      <c r="H9" s="33">
        <v>1340.0029495838762</v>
      </c>
      <c r="I9" s="23">
        <v>30.326486602756859</v>
      </c>
      <c r="J9" s="5">
        <v>6753.3717911973927</v>
      </c>
      <c r="K9" s="31"/>
      <c r="L9" s="23">
        <v>1822324.026560663</v>
      </c>
      <c r="M9" s="33">
        <v>219.2469999999972</v>
      </c>
      <c r="N9" s="5">
        <v>30</v>
      </c>
      <c r="O9" s="5">
        <v>88.666666666666671</v>
      </c>
      <c r="P9" s="33">
        <v>1238.771348292684</v>
      </c>
      <c r="Q9" s="5">
        <v>14.715790295981344</v>
      </c>
      <c r="R9" s="5">
        <v>6042.3529665949245</v>
      </c>
      <c r="S9" s="31"/>
      <c r="T9" s="23">
        <v>2066485.322328073</v>
      </c>
      <c r="U9" s="33">
        <v>245.40940000000401</v>
      </c>
      <c r="V9" s="5">
        <v>17</v>
      </c>
      <c r="W9" s="5">
        <v>61.333333333333343</v>
      </c>
      <c r="X9" s="33">
        <v>1062.2869102720701</v>
      </c>
      <c r="Y9" s="5">
        <v>28.170378226991311</v>
      </c>
      <c r="Z9" s="5">
        <v>6121.7069496698387</v>
      </c>
      <c r="AA9" s="35"/>
    </row>
    <row r="10" spans="2:27" x14ac:dyDescent="0.2">
      <c r="B10" s="4">
        <v>7</v>
      </c>
      <c r="C10" s="4">
        <v>596</v>
      </c>
      <c r="D10" s="23">
        <v>1558098.2703326901</v>
      </c>
      <c r="E10" s="33">
        <v>325.07499999999999</v>
      </c>
      <c r="F10" s="5">
        <v>14</v>
      </c>
      <c r="G10" s="23">
        <v>86.666666666666671</v>
      </c>
      <c r="H10" s="33">
        <v>1183.3954478430869</v>
      </c>
      <c r="I10" s="23">
        <v>30.096269085656129</v>
      </c>
      <c r="J10" s="5">
        <v>6201.4703592664437</v>
      </c>
      <c r="K10" s="31"/>
      <c r="L10" s="23">
        <v>1681178.663387259</v>
      </c>
      <c r="M10" s="33">
        <v>310.49359999999859</v>
      </c>
      <c r="N10" s="5">
        <v>22</v>
      </c>
      <c r="O10" s="5">
        <v>78.666666666666671</v>
      </c>
      <c r="P10" s="33">
        <v>543.7364544825939</v>
      </c>
      <c r="Q10" s="5">
        <v>17.263540242197021</v>
      </c>
      <c r="R10" s="5">
        <v>5069.2193839168276</v>
      </c>
      <c r="S10" s="31"/>
      <c r="T10" s="23">
        <v>2007118.076511364</v>
      </c>
      <c r="U10" s="33">
        <v>184.6624000000069</v>
      </c>
      <c r="V10" s="5">
        <v>16</v>
      </c>
      <c r="W10" s="5">
        <v>70</v>
      </c>
      <c r="X10" s="33">
        <v>1796.0220275178135</v>
      </c>
      <c r="Y10" s="5">
        <v>37.336971464174574</v>
      </c>
      <c r="Z10" s="5">
        <v>7038.3694919380205</v>
      </c>
      <c r="AA10" s="35"/>
    </row>
    <row r="11" spans="2:27" x14ac:dyDescent="0.2">
      <c r="B11" s="4">
        <v>8</v>
      </c>
      <c r="C11" s="4">
        <v>849</v>
      </c>
      <c r="D11" s="23">
        <v>1316967.0385921709</v>
      </c>
      <c r="E11" s="33">
        <v>142.61880000000821</v>
      </c>
      <c r="F11" s="5">
        <v>12</v>
      </c>
      <c r="G11" s="23">
        <v>92.666666666666671</v>
      </c>
      <c r="H11" s="33">
        <v>719.0221511618322</v>
      </c>
      <c r="I11" s="23">
        <v>38.020171872873334</v>
      </c>
      <c r="J11" s="5">
        <v>5947.7138020910161</v>
      </c>
      <c r="K11" s="31"/>
      <c r="L11" s="23">
        <v>1718538.5608830641</v>
      </c>
      <c r="M11" s="33">
        <v>138.1564000000013</v>
      </c>
      <c r="N11" s="5">
        <v>23</v>
      </c>
      <c r="O11" s="5">
        <v>81.333333333333329</v>
      </c>
      <c r="P11" s="33">
        <v>766.77758032975601</v>
      </c>
      <c r="Q11" s="5">
        <v>16.736831512329118</v>
      </c>
      <c r="R11" s="5">
        <v>5426.8613918567826</v>
      </c>
      <c r="S11" s="31"/>
      <c r="T11" s="23">
        <v>1858662.257399654</v>
      </c>
      <c r="U11" s="33">
        <v>206.60320000001221</v>
      </c>
      <c r="V11" s="5">
        <v>11</v>
      </c>
      <c r="W11" s="5">
        <v>68</v>
      </c>
      <c r="X11" s="33">
        <v>1041.62370776122</v>
      </c>
      <c r="Y11" s="5">
        <v>50.71304748039374</v>
      </c>
      <c r="Z11" s="5">
        <v>6611.1610900106352</v>
      </c>
      <c r="AA11" s="35"/>
    </row>
    <row r="12" spans="2:27" x14ac:dyDescent="0.2">
      <c r="B12" s="4">
        <v>9</v>
      </c>
      <c r="C12" s="4">
        <v>966</v>
      </c>
      <c r="D12" s="23">
        <v>1566320.061434601</v>
      </c>
      <c r="E12" s="33">
        <v>160.52500000000001</v>
      </c>
      <c r="F12" s="5">
        <v>13</v>
      </c>
      <c r="G12" s="23">
        <v>92</v>
      </c>
      <c r="H12" s="33">
        <v>1418.0708186094957</v>
      </c>
      <c r="I12" s="23">
        <v>35.125546151664018</v>
      </c>
      <c r="J12" s="5">
        <v>6896.3488664399229</v>
      </c>
      <c r="K12" s="31"/>
      <c r="L12" s="23">
        <v>1831843.6531286731</v>
      </c>
      <c r="M12" s="33">
        <v>236.55300000000278</v>
      </c>
      <c r="N12" s="5">
        <v>26</v>
      </c>
      <c r="O12" s="5">
        <v>80.666666666666671</v>
      </c>
      <c r="P12" s="33">
        <v>982.89087440602214</v>
      </c>
      <c r="Q12" s="5">
        <v>15.440200570860954</v>
      </c>
      <c r="R12" s="5">
        <v>5713.3014514475371</v>
      </c>
      <c r="S12" s="31"/>
      <c r="T12" s="23">
        <v>1888611.2856878149</v>
      </c>
      <c r="U12" s="33">
        <v>138.1624000000069</v>
      </c>
      <c r="V12" s="5">
        <v>17</v>
      </c>
      <c r="W12" s="5">
        <v>75.333333333333329</v>
      </c>
      <c r="X12" s="33">
        <v>1524.1267833384884</v>
      </c>
      <c r="Y12" s="5">
        <v>39.745807045679555</v>
      </c>
      <c r="Z12" s="5">
        <v>6875.3135812736809</v>
      </c>
      <c r="AA12" s="35"/>
    </row>
    <row r="13" spans="2:27" x14ac:dyDescent="0.2">
      <c r="B13" s="4">
        <v>10</v>
      </c>
      <c r="C13" s="4">
        <v>980</v>
      </c>
      <c r="D13" s="23">
        <v>1294854.825321686</v>
      </c>
      <c r="E13" s="33">
        <v>176.33120000001509</v>
      </c>
      <c r="F13" s="5">
        <v>11</v>
      </c>
      <c r="G13" s="23">
        <v>92.666666666666671</v>
      </c>
      <c r="H13" s="33">
        <v>760.66972016658838</v>
      </c>
      <c r="I13" s="23">
        <v>42.228509018663338</v>
      </c>
      <c r="J13" s="5">
        <v>5909.5472362769751</v>
      </c>
      <c r="K13" s="31"/>
      <c r="L13" s="23">
        <v>1847422.446174874</v>
      </c>
      <c r="M13" s="33">
        <v>215.5125999999932</v>
      </c>
      <c r="N13" s="5">
        <v>31</v>
      </c>
      <c r="O13" s="5">
        <v>88.666666666666671</v>
      </c>
      <c r="P13" s="33">
        <v>1373.7035966906399</v>
      </c>
      <c r="Q13" s="5">
        <v>14.245774934078677</v>
      </c>
      <c r="R13" s="5">
        <v>6037.3738206956778</v>
      </c>
      <c r="S13" s="31"/>
      <c r="T13" s="23">
        <v>1832796.228012041</v>
      </c>
      <c r="U13" s="33">
        <v>125.85620000001509</v>
      </c>
      <c r="V13" s="5">
        <v>15</v>
      </c>
      <c r="W13" s="5">
        <v>84</v>
      </c>
      <c r="X13" s="33">
        <v>2129.4862456715841</v>
      </c>
      <c r="Y13" s="5">
        <v>50.632130958416397</v>
      </c>
      <c r="Z13" s="5">
        <v>7519.3929446791171</v>
      </c>
      <c r="AA13" s="35"/>
    </row>
    <row r="14" spans="2:27" x14ac:dyDescent="0.2">
      <c r="B14" s="46" t="s">
        <v>3</v>
      </c>
      <c r="C14" s="47"/>
      <c r="D14" s="9">
        <f>MIN(D4:D13)</f>
        <v>1294854.825321686</v>
      </c>
      <c r="E14" s="22">
        <f>INDEX(E4:E13, MATCH($D$14, D4:D13, 0))</f>
        <v>176.33120000001509</v>
      </c>
      <c r="F14" s="9">
        <f>INDEX(F4:F13, MATCH($D$14, D4:D13, 0))</f>
        <v>11</v>
      </c>
      <c r="G14" s="9">
        <f>INDEX(G4:G13, MATCH($D$14, D4:D13, 0))</f>
        <v>92.666666666666671</v>
      </c>
      <c r="H14" s="22">
        <f>INDEX(H4:H13, MATCH($D$14, D4:D13, 0))</f>
        <v>760.66972016658838</v>
      </c>
      <c r="I14" s="22">
        <f>INDEX(I4:I13, MATCH($D$14, D4:D13, 0))</f>
        <v>42.228509018663338</v>
      </c>
      <c r="J14" s="22">
        <f>INDEX(J4:J13, MATCH($D$14, D4:D13, 0))</f>
        <v>5909.5472362769751</v>
      </c>
      <c r="K14" s="32" t="e">
        <f>(D14-$D$15)/$D$15</f>
        <v>#DIV/0!</v>
      </c>
      <c r="L14" s="16">
        <f>MIN(L4:L13)</f>
        <v>1681178.663387259</v>
      </c>
      <c r="M14" s="21">
        <f>INDEX(M4:M13, MATCH($L$14, L4:L13, 0))</f>
        <v>310.49359999999859</v>
      </c>
      <c r="N14" s="16">
        <f>INDEX(N4:N13, MATCH($L$14, L4:L13, 0))</f>
        <v>22</v>
      </c>
      <c r="O14" s="16">
        <f>INDEX(O4:O13, MATCH($L$14, L4:L13, 0))</f>
        <v>78.666666666666671</v>
      </c>
      <c r="P14" s="21">
        <f>INDEX(P4:P13, MATCH($L$14, L4:L13, 0))</f>
        <v>543.7364544825939</v>
      </c>
      <c r="Q14" s="21">
        <f>INDEX(Q4:Q13, MATCH($L$14, L4:L13, 0))</f>
        <v>17.263540242197021</v>
      </c>
      <c r="R14" s="21">
        <f>INDEX(R4:R13, MATCH($L$14, L4:L13, 0))</f>
        <v>5069.2193839168276</v>
      </c>
      <c r="S14" s="36" t="e">
        <f>(L14-$D$15)/$D$15</f>
        <v>#DIV/0!</v>
      </c>
      <c r="T14" s="38">
        <f>MIN(T4:T13)</f>
        <v>1691674.444638208</v>
      </c>
      <c r="U14" s="39">
        <f>INDEX(U4:U13, MATCH($T$14, T4:T13, 0))</f>
        <v>305.040599999996</v>
      </c>
      <c r="V14" s="38">
        <f>INDEX(V4:V13, MATCH($T$14, T4:T13, 0))</f>
        <v>12</v>
      </c>
      <c r="W14" s="38">
        <f>INDEX(W4:W13, MATCH($T$14, T4:T13, 0))</f>
        <v>76</v>
      </c>
      <c r="X14" s="39">
        <f>INDEX(X4:X13, MATCH($T$14, T4:T13, 0))</f>
        <v>1003.2870711246937</v>
      </c>
      <c r="Y14" s="39">
        <f>INDEX(Y4:Y13, MATCH($T$14, T4:T13, 0))</f>
        <v>53.771202773052778</v>
      </c>
      <c r="Z14" s="39">
        <f>INDEX(Z4:Z13, MATCH($T$14, T4:T13, 0))</f>
        <v>6508.3247589483281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8:C1048576">
    <cfRule type="duplicateValues" dxfId="53" priority="7"/>
    <cfRule type="duplicateValues" dxfId="52" priority="8"/>
  </conditionalFormatting>
  <conditionalFormatting sqref="C14">
    <cfRule type="duplicateValues" dxfId="51" priority="3"/>
    <cfRule type="duplicateValues" dxfId="50" priority="4"/>
  </conditionalFormatting>
  <conditionalFormatting sqref="C17:C3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results45</vt:lpstr>
      <vt:lpstr>results229</vt:lpstr>
      <vt:lpstr>results268</vt:lpstr>
      <vt:lpstr>results346</vt:lpstr>
      <vt:lpstr>results418</vt:lpstr>
      <vt:lpstr>results464</vt:lpstr>
      <vt:lpstr>results658</vt:lpstr>
      <vt:lpstr>results720</vt:lpstr>
      <vt:lpstr>results846</vt:lpstr>
      <vt:lpstr>results910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2026-10-22T00:54:30Z</dcterms:modified>
</cp:coreProperties>
</file>