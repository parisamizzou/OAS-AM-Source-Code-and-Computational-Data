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SA-AOS/100-5-5/"/>
    </mc:Choice>
  </mc:AlternateContent>
  <xr:revisionPtr revIDLastSave="0" documentId="13_ncr:1_{F6424AAD-856C-574B-9C99-B1CFF455043E}" xr6:coauthVersionLast="47" xr6:coauthVersionMax="47" xr10:uidLastSave="{00000000-0000-0000-0000-000000000000}"/>
  <bookViews>
    <workbookView xWindow="1540" yWindow="4300" windowWidth="26460" windowHeight="14640" xr2:uid="{41E620E7-D6DF-9342-B452-EA60AB3B07C5}"/>
  </bookViews>
  <sheets>
    <sheet name="Summary" sheetId="67" r:id="rId1"/>
    <sheet name="results116" sheetId="57" r:id="rId2"/>
    <sheet name="results123" sheetId="58" r:id="rId3"/>
    <sheet name="results163" sheetId="59" r:id="rId4"/>
    <sheet name="results246" sheetId="60" r:id="rId5"/>
    <sheet name="results305" sheetId="65" r:id="rId6"/>
    <sheet name="results449" sheetId="66" r:id="rId7"/>
    <sheet name="results466" sheetId="61" r:id="rId8"/>
    <sheet name="results590" sheetId="62" r:id="rId9"/>
    <sheet name="results715" sheetId="63" r:id="rId10"/>
    <sheet name="results874" sheetId="64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N8" i="67" a="1"/>
  <c r="Y9" i="67" a="1"/>
  <c r="F11" i="67" a="1"/>
  <c r="Q4" i="67" a="1"/>
  <c r="G5" i="67" a="1"/>
  <c r="N9" i="67" a="1"/>
  <c r="C7" i="67" a="1"/>
  <c r="M9" i="67" a="1"/>
  <c r="E12" i="67" a="1"/>
  <c r="D3" i="67" a="1"/>
  <c r="O8" i="67" a="1"/>
  <c r="E7" i="67" a="1"/>
  <c r="K12" i="67" a="1"/>
  <c r="O6" i="67" a="1"/>
  <c r="U5" i="67" a="1"/>
  <c r="D6" i="67" a="1"/>
  <c r="X9" i="67" a="1"/>
  <c r="P9" i="67" a="1"/>
  <c r="V5" i="67" a="1"/>
  <c r="O9" i="67" a="1"/>
  <c r="C10" i="67" a="1"/>
  <c r="V10" i="67" a="1"/>
  <c r="T9" i="67" a="1"/>
  <c r="O4" i="67" a="1"/>
  <c r="M11" i="67" a="1"/>
  <c r="P8" i="67" a="1"/>
  <c r="V6" i="67" a="1"/>
  <c r="Q5" i="67" a="1"/>
  <c r="N11" i="67" a="1"/>
  <c r="G3" i="67" a="1"/>
  <c r="K3" i="67" a="1"/>
  <c r="N10" i="67" a="1"/>
  <c r="H12" i="67" a="1"/>
  <c r="L11" i="67" a="1"/>
  <c r="M12" i="67" a="1"/>
  <c r="H4" i="67" a="1"/>
  <c r="G11" i="67" a="1"/>
  <c r="L3" i="67" a="1"/>
  <c r="H9" i="67" a="1"/>
  <c r="V9" i="67" a="1"/>
  <c r="X10" i="67" a="1"/>
  <c r="D5" i="67" a="1"/>
  <c r="K4" i="67" a="1"/>
  <c r="X11" i="67" a="1"/>
  <c r="V11" i="67" a="1"/>
  <c r="U8" i="67" a="1"/>
  <c r="V3" i="67" a="1"/>
  <c r="X7" i="67" a="1"/>
  <c r="M4" i="67" a="1"/>
  <c r="K10" i="67" a="1"/>
  <c r="P5" i="67" a="1"/>
  <c r="I8" i="67" a="1"/>
  <c r="I12" i="67" a="1"/>
  <c r="P6" i="67" a="1"/>
  <c r="N6" i="67" a="1"/>
  <c r="D4" i="67" a="1"/>
  <c r="E10" i="67" a="1"/>
  <c r="S3" i="67" a="1"/>
  <c r="M5" i="67" a="1"/>
  <c r="K11" i="67" a="1"/>
  <c r="W8" i="67" a="1"/>
  <c r="W7" i="67" a="1"/>
  <c r="K8" i="67" a="1"/>
  <c r="W11" i="67" a="1"/>
  <c r="S5" i="67" a="1"/>
  <c r="S12" i="67" a="1"/>
  <c r="I9" i="67" a="1"/>
  <c r="T5" i="67" a="1"/>
  <c r="S7" i="67" a="1"/>
  <c r="K5" i="67" a="1"/>
  <c r="Y5" i="67" a="1"/>
  <c r="O10" i="67" a="1"/>
  <c r="M6" i="67" a="1"/>
  <c r="N5" i="67" a="1"/>
  <c r="I3" i="67" a="1"/>
  <c r="F4" i="67" a="1"/>
  <c r="X5" i="67" a="1"/>
  <c r="Y8" i="67" a="1"/>
  <c r="L6" i="67" a="1"/>
  <c r="I10" i="67" a="1"/>
  <c r="Q11" i="67" a="1"/>
  <c r="V7" i="67" a="1"/>
  <c r="U9" i="67" a="1"/>
  <c r="T3" i="67" a="1"/>
  <c r="D8" i="67" a="1"/>
  <c r="L5" i="67" a="1"/>
  <c r="F8" i="67" a="1"/>
  <c r="E4" i="67" a="1"/>
  <c r="Q8" i="67" a="1"/>
  <c r="K7" i="67" a="1"/>
  <c r="W9" i="67" a="1"/>
  <c r="L8" i="67" a="1"/>
  <c r="E6" i="67" a="1"/>
  <c r="Q10" i="67" a="1"/>
  <c r="K9" i="67" a="1"/>
  <c r="E5" i="67" a="1"/>
  <c r="N7" i="67" a="1"/>
  <c r="P4" i="67" a="1"/>
  <c r="I11" i="67" a="1"/>
  <c r="Q3" i="67" a="1"/>
  <c r="C5" i="67" a="1"/>
  <c r="D9" i="67" a="1"/>
  <c r="L4" i="67" a="1"/>
  <c r="I4" i="67" a="1"/>
  <c r="F5" i="67" a="1"/>
  <c r="L7" i="67" a="1"/>
  <c r="N3" i="67" a="1"/>
  <c r="W4" i="67" a="1"/>
  <c r="W6" i="67" a="1"/>
  <c r="V8" i="67" a="1"/>
  <c r="H11" i="67" a="1"/>
  <c r="F12" i="67" a="1"/>
  <c r="X12" i="67" a="1"/>
  <c r="G12" i="67" a="1"/>
  <c r="X8" i="67" a="1"/>
  <c r="O5" i="67" a="1"/>
  <c r="S8" i="67" a="1"/>
  <c r="T7" i="67" a="1"/>
  <c r="G6" i="67" a="1"/>
  <c r="C3" i="67" a="1"/>
  <c r="C9" i="67" a="1"/>
  <c r="H5" i="67" a="1"/>
  <c r="P12" i="67" a="1"/>
  <c r="T12" i="67" a="1"/>
  <c r="Q9" i="67" a="1"/>
  <c r="T10" i="67" a="1"/>
  <c r="C4" i="67" a="1"/>
  <c r="S4" i="67" a="1"/>
  <c r="I5" i="67" a="1"/>
  <c r="D7" i="67" a="1"/>
  <c r="U10" i="67" a="1"/>
  <c r="T8" i="67" a="1"/>
  <c r="U12" i="67" a="1"/>
  <c r="O7" i="67" a="1"/>
  <c r="O12" i="67" a="1"/>
  <c r="Q12" i="67" a="1"/>
  <c r="H3" i="67" a="1"/>
  <c r="N4" i="67" a="1"/>
  <c r="E3" i="67" a="1"/>
  <c r="L9" i="67" a="1"/>
  <c r="O11" i="67" a="1"/>
  <c r="D12" i="67" a="1"/>
  <c r="H10" i="67" a="1"/>
  <c r="Y6" i="67" a="1"/>
  <c r="P11" i="67" a="1"/>
  <c r="Y4" i="67" a="1"/>
  <c r="U11" i="67" a="1"/>
  <c r="Y7" i="67" a="1"/>
  <c r="S11" i="67" a="1"/>
  <c r="H7" i="67" a="1"/>
  <c r="E11" i="67" a="1"/>
  <c r="T4" i="67" a="1"/>
  <c r="U7" i="67" a="1"/>
  <c r="X3" i="67" a="1"/>
  <c r="F10" i="67" a="1"/>
  <c r="I7" i="67" a="1"/>
  <c r="M8" i="67" a="1"/>
  <c r="M10" i="67" a="1"/>
  <c r="F3" i="67" a="1"/>
  <c r="D10" i="67" a="1"/>
  <c r="P3" i="67" a="1"/>
  <c r="L10" i="67" a="1"/>
  <c r="C6" i="67" a="1"/>
  <c r="G4" i="67" a="1"/>
  <c r="S10" i="67" a="1"/>
  <c r="I6" i="67" a="1"/>
  <c r="U3" i="67" a="1"/>
  <c r="C11" i="67" a="1"/>
  <c r="V12" i="67" a="1"/>
  <c r="X6" i="67" a="1"/>
  <c r="Q7" i="67" a="1"/>
  <c r="S9" i="67" a="1"/>
  <c r="G8" i="67" a="1"/>
  <c r="E9" i="67" a="1"/>
  <c r="Q6" i="67" a="1"/>
  <c r="M3" i="67" a="1"/>
  <c r="P10" i="67" a="1"/>
  <c r="G9" i="67" a="1"/>
  <c r="E8" i="67" a="1"/>
  <c r="V4" i="67" a="1"/>
  <c r="W5" i="67" a="1"/>
  <c r="P7" i="67" a="1"/>
  <c r="Y12" i="67" a="1"/>
  <c r="D11" i="67" a="1"/>
  <c r="K6" i="67" a="1"/>
  <c r="N12" i="67" a="1"/>
  <c r="S6" i="67" a="1"/>
  <c r="U6" i="67" a="1"/>
  <c r="W3" i="67" a="1"/>
  <c r="O3" i="67" a="1"/>
  <c r="M7" i="67" a="1"/>
  <c r="Y3" i="67" a="1"/>
  <c r="F7" i="67" a="1"/>
  <c r="G10" i="67" a="1"/>
  <c r="F9" i="67" a="1"/>
  <c r="L12" i="67" a="1"/>
  <c r="Y11" i="67" a="1"/>
  <c r="C8" i="67" a="1"/>
  <c r="G7" i="67" a="1"/>
  <c r="W12" i="67" a="1"/>
  <c r="H6" i="67" a="1"/>
  <c r="U4" i="67" a="1"/>
  <c r="H8" i="67" a="1"/>
  <c r="T6" i="67" a="1"/>
  <c r="W10" i="67" a="1"/>
  <c r="Y10" i="67" a="1"/>
  <c r="T11" i="67" a="1"/>
  <c r="X4" i="67" a="1"/>
  <c r="C12" i="67" a="1"/>
  <c r="F6" i="67" a="1"/>
  <c r="E3" i="67" l="1"/>
  <c r="O6" i="67"/>
  <c r="E5" i="67"/>
  <c r="S5" i="67"/>
  <c r="H8" i="67"/>
  <c r="L3" i="67"/>
  <c r="E11" i="67"/>
  <c r="L5" i="67"/>
  <c r="S11" i="67"/>
  <c r="Y3" i="67"/>
  <c r="Y9" i="67"/>
  <c r="V4" i="67"/>
  <c r="V10" i="67"/>
  <c r="V6" i="67"/>
  <c r="L11" i="67"/>
  <c r="S3" i="67"/>
  <c r="E7" i="67"/>
  <c r="E9" i="67"/>
  <c r="L7" i="67"/>
  <c r="O12" i="67"/>
  <c r="Y5" i="67"/>
  <c r="S9" i="67"/>
  <c r="O4" i="67"/>
  <c r="Y7" i="67"/>
  <c r="O10" i="67"/>
  <c r="O8" i="67"/>
  <c r="V8" i="67"/>
  <c r="Y11" i="67"/>
  <c r="H12" i="67"/>
  <c r="L9" i="67"/>
  <c r="H4" i="67"/>
  <c r="S7" i="67"/>
  <c r="V12" i="67"/>
  <c r="H6" i="67"/>
  <c r="H10" i="67"/>
  <c r="F3" i="67"/>
  <c r="P4" i="67"/>
  <c r="C6" i="67"/>
  <c r="D3" i="67"/>
  <c r="K3" i="67"/>
  <c r="Q3" i="67"/>
  <c r="X3" i="67"/>
  <c r="G4" i="67"/>
  <c r="N4" i="67"/>
  <c r="U4" i="67"/>
  <c r="D5" i="67"/>
  <c r="K5" i="67"/>
  <c r="Q5" i="67"/>
  <c r="X5" i="67"/>
  <c r="G6" i="67"/>
  <c r="N6" i="67"/>
  <c r="U6" i="67"/>
  <c r="D7" i="67"/>
  <c r="K7" i="67"/>
  <c r="Q7" i="67"/>
  <c r="X7" i="67"/>
  <c r="G8" i="67"/>
  <c r="N8" i="67"/>
  <c r="U8" i="67"/>
  <c r="D9" i="67"/>
  <c r="K9" i="67"/>
  <c r="Q9" i="67"/>
  <c r="X9" i="67"/>
  <c r="G10" i="67"/>
  <c r="N10" i="67"/>
  <c r="U10" i="67"/>
  <c r="D11" i="67"/>
  <c r="K11" i="67"/>
  <c r="Q11" i="67"/>
  <c r="X11" i="67"/>
  <c r="G12" i="67"/>
  <c r="N12" i="67"/>
  <c r="U12" i="67"/>
  <c r="Q12" i="67"/>
  <c r="T3" i="67"/>
  <c r="F5" i="67"/>
  <c r="W6" i="67"/>
  <c r="C8" i="67"/>
  <c r="W8" i="67"/>
  <c r="I10" i="67"/>
  <c r="M11" i="67"/>
  <c r="P12" i="67"/>
  <c r="D4" i="67"/>
  <c r="G5" i="67"/>
  <c r="K6" i="67"/>
  <c r="N7" i="67"/>
  <c r="Q8" i="67"/>
  <c r="U9" i="67"/>
  <c r="X10" i="67"/>
  <c r="U11" i="67"/>
  <c r="H3" i="67"/>
  <c r="E4" i="67"/>
  <c r="Y4" i="67"/>
  <c r="O5" i="67"/>
  <c r="E6" i="67"/>
  <c r="S6" i="67"/>
  <c r="H7" i="67"/>
  <c r="V7" i="67"/>
  <c r="L8" i="67"/>
  <c r="S8" i="67"/>
  <c r="Y8" i="67"/>
  <c r="H9" i="67"/>
  <c r="V9" i="67"/>
  <c r="E10" i="67"/>
  <c r="L10" i="67"/>
  <c r="S10" i="67"/>
  <c r="Y10" i="67"/>
  <c r="H11" i="67"/>
  <c r="O11" i="67"/>
  <c r="V11" i="67"/>
  <c r="E12" i="67"/>
  <c r="L12" i="67"/>
  <c r="S12" i="67"/>
  <c r="Y12" i="67"/>
  <c r="I4" i="67"/>
  <c r="T5" i="67"/>
  <c r="F7" i="67"/>
  <c r="I8" i="67"/>
  <c r="M9" i="67"/>
  <c r="P10" i="67"/>
  <c r="I12" i="67"/>
  <c r="N3" i="67"/>
  <c r="X4" i="67"/>
  <c r="D6" i="67"/>
  <c r="G7" i="67"/>
  <c r="K8" i="67"/>
  <c r="N9" i="67"/>
  <c r="Q10" i="67"/>
  <c r="K12" i="67"/>
  <c r="V3" i="67"/>
  <c r="L4" i="67"/>
  <c r="S4" i="67"/>
  <c r="H5" i="67"/>
  <c r="V5" i="67"/>
  <c r="L6" i="67"/>
  <c r="Y6" i="67"/>
  <c r="O7" i="67"/>
  <c r="E8" i="67"/>
  <c r="O9" i="67"/>
  <c r="M3" i="67"/>
  <c r="W4" i="67"/>
  <c r="I6" i="67"/>
  <c r="M7" i="67"/>
  <c r="P8" i="67"/>
  <c r="T9" i="67"/>
  <c r="W10" i="67"/>
  <c r="T11" i="67"/>
  <c r="W12" i="67"/>
  <c r="U3" i="67"/>
  <c r="Q4" i="67"/>
  <c r="U5" i="67"/>
  <c r="X6" i="67"/>
  <c r="U7" i="67"/>
  <c r="X8" i="67"/>
  <c r="D10" i="67"/>
  <c r="G11" i="67"/>
  <c r="N11" i="67"/>
  <c r="X12" i="67"/>
  <c r="P3" i="67"/>
  <c r="F4" i="67"/>
  <c r="C5" i="67"/>
  <c r="W5" i="67"/>
  <c r="T6" i="67"/>
  <c r="I7" i="67"/>
  <c r="W7" i="67"/>
  <c r="M8" i="67"/>
  <c r="C9" i="67"/>
  <c r="I9" i="67"/>
  <c r="P9" i="67"/>
  <c r="W9" i="67"/>
  <c r="M10" i="67"/>
  <c r="T10" i="67"/>
  <c r="C11" i="67"/>
  <c r="I11" i="67"/>
  <c r="P11" i="67"/>
  <c r="W11" i="67"/>
  <c r="F12" i="67"/>
  <c r="M12" i="67"/>
  <c r="T12" i="67"/>
  <c r="C4" i="67"/>
  <c r="M5" i="67"/>
  <c r="P6" i="67"/>
  <c r="T7" i="67"/>
  <c r="F9" i="67"/>
  <c r="C10" i="67"/>
  <c r="F11" i="67"/>
  <c r="C12" i="67"/>
  <c r="G3" i="67"/>
  <c r="K4" i="67"/>
  <c r="N5" i="67"/>
  <c r="Q6" i="67"/>
  <c r="D8" i="67"/>
  <c r="G9" i="67"/>
  <c r="K10" i="67"/>
  <c r="D12" i="67"/>
  <c r="O3" i="67"/>
  <c r="C3" i="67"/>
  <c r="I3" i="67"/>
  <c r="W3" i="67"/>
  <c r="M4" i="67"/>
  <c r="T4" i="67"/>
  <c r="I5" i="67"/>
  <c r="P5" i="67"/>
  <c r="F6" i="67"/>
  <c r="M6" i="67"/>
  <c r="C7" i="67"/>
  <c r="P7" i="67"/>
  <c r="F8" i="67"/>
  <c r="T8" i="67"/>
  <c r="F10" i="67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C16" i="67" l="1"/>
  <c r="K16" i="67"/>
  <c r="S16" i="67"/>
  <c r="D13" i="67"/>
  <c r="F13" i="67"/>
  <c r="X13" i="67"/>
  <c r="G13" i="67"/>
  <c r="V13" i="67"/>
  <c r="Y13" i="67"/>
  <c r="P13" i="67"/>
  <c r="O13" i="67"/>
  <c r="H13" i="67"/>
  <c r="L13" i="67"/>
  <c r="I13" i="67"/>
  <c r="Q13" i="67"/>
  <c r="K13" i="67"/>
  <c r="R13" i="67" s="1"/>
  <c r="S13" i="67"/>
  <c r="Z13" i="67" s="1"/>
  <c r="T13" i="67"/>
  <c r="M13" i="67"/>
  <c r="W13" i="67"/>
  <c r="C13" i="67"/>
  <c r="J13" i="67" s="1"/>
  <c r="U13" i="67"/>
  <c r="N13" i="67"/>
  <c r="E13" i="67"/>
  <c r="D14" i="66"/>
  <c r="D14" i="65"/>
  <c r="D14" i="61"/>
  <c r="D14" i="63"/>
  <c r="D14" i="62"/>
  <c r="D14" i="64"/>
  <c r="D14" i="60"/>
  <c r="D14" i="59"/>
  <c r="D14" i="58"/>
  <c r="D14" i="57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V14" i="67" l="1"/>
  <c r="N14" i="67"/>
  <c r="X14" i="67"/>
  <c r="O14" i="67"/>
  <c r="W14" i="67"/>
  <c r="Y14" i="67"/>
  <c r="Q14" i="67"/>
  <c r="P14" i="67"/>
  <c r="L14" i="67"/>
  <c r="M14" i="67"/>
  <c r="S14" i="67"/>
  <c r="T14" i="67"/>
  <c r="U14" i="67"/>
  <c r="K14" i="67"/>
  <c r="T14" i="57"/>
  <c r="T15" i="57" s="1"/>
  <c r="T14" i="58"/>
  <c r="W14" i="58" s="1"/>
  <c r="W15" i="58" s="1"/>
  <c r="T14" i="59"/>
  <c r="T14" i="60"/>
  <c r="T15" i="60" s="1"/>
  <c r="T14" i="65"/>
  <c r="T14" i="66"/>
  <c r="T14" i="61"/>
  <c r="T14" i="62"/>
  <c r="T14" i="63"/>
  <c r="T14" i="64"/>
  <c r="U14" i="64" s="1"/>
  <c r="U15" i="64" s="1"/>
  <c r="L14" i="64"/>
  <c r="Q14" i="64" s="1"/>
  <c r="Q15" i="64" s="1"/>
  <c r="L14" i="63"/>
  <c r="L14" i="62"/>
  <c r="L14" i="61"/>
  <c r="Q14" i="61" s="1"/>
  <c r="Q15" i="61" s="1"/>
  <c r="Y14" i="60"/>
  <c r="Y15" i="60" s="1"/>
  <c r="X14" i="60"/>
  <c r="X15" i="60" s="1"/>
  <c r="L14" i="66"/>
  <c r="W14" i="57"/>
  <c r="W15" i="57" s="1"/>
  <c r="V14" i="57"/>
  <c r="V15" i="57" s="1"/>
  <c r="L14" i="65"/>
  <c r="Y14" i="64"/>
  <c r="Y15" i="64" s="1"/>
  <c r="Z14" i="57"/>
  <c r="Z15" i="57" s="1"/>
  <c r="U14" i="58"/>
  <c r="U15" i="58" s="1"/>
  <c r="X14" i="64"/>
  <c r="X15" i="64" s="1"/>
  <c r="Z14" i="64"/>
  <c r="Z15" i="64" s="1"/>
  <c r="AA14" i="64"/>
  <c r="W14" i="64"/>
  <c r="W15" i="64" s="1"/>
  <c r="L14" i="60"/>
  <c r="N14" i="60" s="1"/>
  <c r="N15" i="60" s="1"/>
  <c r="L14" i="59"/>
  <c r="N14" i="59" s="1"/>
  <c r="N15" i="59" s="1"/>
  <c r="L14" i="58"/>
  <c r="R14" i="58" s="1"/>
  <c r="R15" i="58" s="1"/>
  <c r="L14" i="57"/>
  <c r="S14" i="57" s="1"/>
  <c r="Z14" i="60"/>
  <c r="Z15" i="60" s="1"/>
  <c r="AA14" i="57"/>
  <c r="X14" i="57"/>
  <c r="X15" i="57" s="1"/>
  <c r="N14" i="58"/>
  <c r="N15" i="58" s="1"/>
  <c r="Y14" i="57"/>
  <c r="Y15" i="57" s="1"/>
  <c r="U14" i="60"/>
  <c r="U15" i="60" s="1"/>
  <c r="M14" i="57"/>
  <c r="M15" i="57" s="1"/>
  <c r="W14" i="60"/>
  <c r="W15" i="60" s="1"/>
  <c r="Y14" i="58"/>
  <c r="Y15" i="58" s="1"/>
  <c r="M14" i="59"/>
  <c r="M15" i="59" s="1"/>
  <c r="Z14" i="58"/>
  <c r="Z15" i="58" s="1"/>
  <c r="X14" i="58"/>
  <c r="X15" i="58" s="1"/>
  <c r="V14" i="58"/>
  <c r="V15" i="58" s="1"/>
  <c r="P14" i="64"/>
  <c r="P15" i="64" s="1"/>
  <c r="V14" i="64"/>
  <c r="V15" i="64" s="1"/>
  <c r="T15" i="64"/>
  <c r="M14" i="64"/>
  <c r="M15" i="64" s="1"/>
  <c r="L15" i="64"/>
  <c r="U14" i="63"/>
  <c r="U15" i="63" s="1"/>
  <c r="T15" i="63"/>
  <c r="P14" i="63"/>
  <c r="P15" i="63" s="1"/>
  <c r="L15" i="63"/>
  <c r="N14" i="64"/>
  <c r="N15" i="64" s="1"/>
  <c r="M14" i="62"/>
  <c r="M15" i="62" s="1"/>
  <c r="L15" i="62"/>
  <c r="AA14" i="62"/>
  <c r="T15" i="62"/>
  <c r="S14" i="61"/>
  <c r="L15" i="61"/>
  <c r="X14" i="61"/>
  <c r="X15" i="61" s="1"/>
  <c r="T15" i="61"/>
  <c r="Z14" i="66"/>
  <c r="Z15" i="66" s="1"/>
  <c r="T15" i="66"/>
  <c r="U14" i="61"/>
  <c r="U15" i="61" s="1"/>
  <c r="S14" i="66"/>
  <c r="L15" i="66"/>
  <c r="M14" i="61"/>
  <c r="M15" i="61" s="1"/>
  <c r="N14" i="61"/>
  <c r="N15" i="61" s="1"/>
  <c r="P14" i="61"/>
  <c r="P15" i="61" s="1"/>
  <c r="O14" i="61"/>
  <c r="O15" i="61" s="1"/>
  <c r="R14" i="61"/>
  <c r="R15" i="61" s="1"/>
  <c r="Z14" i="65"/>
  <c r="Z15" i="65" s="1"/>
  <c r="T15" i="65"/>
  <c r="Z14" i="61"/>
  <c r="Z15" i="61" s="1"/>
  <c r="Q14" i="65"/>
  <c r="Q15" i="65" s="1"/>
  <c r="L15" i="65"/>
  <c r="R14" i="64"/>
  <c r="S14" i="64"/>
  <c r="O14" i="58"/>
  <c r="O15" i="58" s="1"/>
  <c r="Y14" i="61"/>
  <c r="Y15" i="61" s="1"/>
  <c r="P14" i="59"/>
  <c r="P15" i="59" s="1"/>
  <c r="L15" i="59"/>
  <c r="V14" i="59"/>
  <c r="V15" i="59" s="1"/>
  <c r="T15" i="59"/>
  <c r="M14" i="58"/>
  <c r="M15" i="58" s="1"/>
  <c r="AA14" i="58"/>
  <c r="T15" i="58"/>
  <c r="AA14" i="63"/>
  <c r="R14" i="59"/>
  <c r="R15" i="59" s="1"/>
  <c r="S14" i="59"/>
  <c r="O14" i="63"/>
  <c r="O15" i="63" s="1"/>
  <c r="W14" i="61"/>
  <c r="W15" i="61" s="1"/>
  <c r="X14" i="66"/>
  <c r="X15" i="66" s="1"/>
  <c r="O14" i="64"/>
  <c r="O15" i="64" s="1"/>
  <c r="AA14" i="61"/>
  <c r="W14" i="59"/>
  <c r="W15" i="59" s="1"/>
  <c r="V14" i="61"/>
  <c r="V15" i="61" s="1"/>
  <c r="N14" i="62"/>
  <c r="N15" i="62" s="1"/>
  <c r="AA14" i="66"/>
  <c r="U14" i="62"/>
  <c r="U15" i="62" s="1"/>
  <c r="W14" i="62"/>
  <c r="W15" i="62" s="1"/>
  <c r="X14" i="63"/>
  <c r="Y14" i="63"/>
  <c r="Y15" i="63" s="1"/>
  <c r="V14" i="63"/>
  <c r="V15" i="63" s="1"/>
  <c r="M14" i="63"/>
  <c r="M15" i="63" s="1"/>
  <c r="O14" i="59"/>
  <c r="O15" i="59" s="1"/>
  <c r="Q14" i="59"/>
  <c r="Q15" i="59" s="1"/>
  <c r="W14" i="63"/>
  <c r="W15" i="63" s="1"/>
  <c r="N14" i="63"/>
  <c r="N15" i="63" s="1"/>
  <c r="Q14" i="63"/>
  <c r="Q15" i="63" s="1"/>
  <c r="S14" i="63"/>
  <c r="R14" i="63"/>
  <c r="R15" i="63" s="1"/>
  <c r="S14" i="65"/>
  <c r="R14" i="65"/>
  <c r="Z14" i="63"/>
  <c r="Z15" i="63" s="1"/>
  <c r="Q14" i="62"/>
  <c r="Q15" i="62" s="1"/>
  <c r="W14" i="66"/>
  <c r="W15" i="66" s="1"/>
  <c r="Y14" i="66"/>
  <c r="Y15" i="66" s="1"/>
  <c r="U14" i="66"/>
  <c r="U15" i="66" s="1"/>
  <c r="Y14" i="59"/>
  <c r="Y15" i="59" s="1"/>
  <c r="Q14" i="66"/>
  <c r="Q15" i="66" s="1"/>
  <c r="AA14" i="59"/>
  <c r="P14" i="66"/>
  <c r="P15" i="66" s="1"/>
  <c r="X14" i="62"/>
  <c r="X15" i="62" s="1"/>
  <c r="Y14" i="62"/>
  <c r="Y15" i="62" s="1"/>
  <c r="M14" i="66"/>
  <c r="M15" i="66" s="1"/>
  <c r="Z14" i="59"/>
  <c r="P14" i="62"/>
  <c r="P15" i="62" s="1"/>
  <c r="Z14" i="62"/>
  <c r="Z15" i="62" s="1"/>
  <c r="N14" i="66"/>
  <c r="N15" i="66" s="1"/>
  <c r="V14" i="62"/>
  <c r="V15" i="62" s="1"/>
  <c r="O14" i="66"/>
  <c r="O15" i="66" s="1"/>
  <c r="X14" i="59"/>
  <c r="R14" i="66"/>
  <c r="U14" i="59"/>
  <c r="U15" i="59" s="1"/>
  <c r="O14" i="65"/>
  <c r="O15" i="65" s="1"/>
  <c r="V14" i="66"/>
  <c r="V15" i="66" s="1"/>
  <c r="V14" i="65"/>
  <c r="V15" i="65" s="1"/>
  <c r="R14" i="62"/>
  <c r="R15" i="62" s="1"/>
  <c r="N14" i="65"/>
  <c r="N15" i="65" s="1"/>
  <c r="W14" i="65"/>
  <c r="W15" i="65" s="1"/>
  <c r="S14" i="62"/>
  <c r="X14" i="65"/>
  <c r="X15" i="65" s="1"/>
  <c r="U14" i="65"/>
  <c r="U15" i="65" s="1"/>
  <c r="Y14" i="65"/>
  <c r="Y15" i="65" s="1"/>
  <c r="M14" i="65"/>
  <c r="M15" i="65" s="1"/>
  <c r="AA14" i="65"/>
  <c r="P14" i="65"/>
  <c r="P15" i="65" s="1"/>
  <c r="O14" i="62"/>
  <c r="O15" i="62" s="1"/>
  <c r="G14" i="65"/>
  <c r="F14" i="65"/>
  <c r="E14" i="65"/>
  <c r="I14" i="65"/>
  <c r="H14" i="65"/>
  <c r="K14" i="65"/>
  <c r="J14" i="65"/>
  <c r="I14" i="66"/>
  <c r="K14" i="66"/>
  <c r="J14" i="66"/>
  <c r="E14" i="66"/>
  <c r="F14" i="66"/>
  <c r="H14" i="66"/>
  <c r="G14" i="66"/>
  <c r="G14" i="63"/>
  <c r="E14" i="63"/>
  <c r="H14" i="63"/>
  <c r="K14" i="63"/>
  <c r="J14" i="63"/>
  <c r="I14" i="63"/>
  <c r="F14" i="63"/>
  <c r="H14" i="61"/>
  <c r="G14" i="61"/>
  <c r="E14" i="61"/>
  <c r="K14" i="61"/>
  <c r="J14" i="61"/>
  <c r="I14" i="61"/>
  <c r="F14" i="61"/>
  <c r="K14" i="62"/>
  <c r="I14" i="62"/>
  <c r="H14" i="62"/>
  <c r="G14" i="62"/>
  <c r="J14" i="62"/>
  <c r="F14" i="62"/>
  <c r="E14" i="62"/>
  <c r="K14" i="64"/>
  <c r="E14" i="64"/>
  <c r="J14" i="64"/>
  <c r="I14" i="64"/>
  <c r="H14" i="64"/>
  <c r="G14" i="64"/>
  <c r="F14" i="64"/>
  <c r="G14" i="59"/>
  <c r="F14" i="59"/>
  <c r="E14" i="59"/>
  <c r="H14" i="59"/>
  <c r="K14" i="59"/>
  <c r="J14" i="59"/>
  <c r="I14" i="59"/>
  <c r="J14" i="60"/>
  <c r="K14" i="60"/>
  <c r="I14" i="60"/>
  <c r="H14" i="60"/>
  <c r="G14" i="60"/>
  <c r="F14" i="60"/>
  <c r="E14" i="60"/>
  <c r="F14" i="58"/>
  <c r="G14" i="58"/>
  <c r="H14" i="58"/>
  <c r="J14" i="58"/>
  <c r="K14" i="58"/>
  <c r="I14" i="58"/>
  <c r="E14" i="58"/>
  <c r="K14" i="57"/>
  <c r="I14" i="57"/>
  <c r="H14" i="57"/>
  <c r="J14" i="57"/>
  <c r="G14" i="57"/>
  <c r="E14" i="57"/>
  <c r="F14" i="57"/>
  <c r="G14" i="26"/>
  <c r="E14" i="26"/>
  <c r="D14" i="26"/>
  <c r="K14" i="26"/>
  <c r="P14" i="25"/>
  <c r="N14" i="25"/>
  <c r="M14" i="25"/>
  <c r="T14" i="25"/>
  <c r="D14" i="25"/>
  <c r="I4" i="23" a="1"/>
  <c r="H4" i="23" a="1"/>
  <c r="U14" i="57" l="1"/>
  <c r="U15" i="57" s="1"/>
  <c r="AA14" i="60"/>
  <c r="V14" i="60"/>
  <c r="V15" i="60" s="1"/>
  <c r="P14" i="60"/>
  <c r="P15" i="60" s="1"/>
  <c r="M14" i="60"/>
  <c r="M15" i="60" s="1"/>
  <c r="L15" i="60"/>
  <c r="O14" i="60"/>
  <c r="O15" i="60" s="1"/>
  <c r="S14" i="60"/>
  <c r="J2" i="60" s="1"/>
  <c r="R14" i="60"/>
  <c r="R2" i="60" s="1"/>
  <c r="Q14" i="60"/>
  <c r="Q15" i="60" s="1"/>
  <c r="P14" i="58"/>
  <c r="P15" i="58" s="1"/>
  <c r="L15" i="58"/>
  <c r="S14" i="58"/>
  <c r="J2" i="58" s="1"/>
  <c r="Q14" i="58"/>
  <c r="Q15" i="58" s="1"/>
  <c r="R14" i="57"/>
  <c r="R15" i="57" s="1"/>
  <c r="P14" i="57"/>
  <c r="P15" i="57" s="1"/>
  <c r="Q14" i="57"/>
  <c r="Q15" i="57" s="1"/>
  <c r="Z2" i="57"/>
  <c r="J2" i="57"/>
  <c r="L15" i="57"/>
  <c r="N14" i="57"/>
  <c r="N15" i="57" s="1"/>
  <c r="O14" i="57"/>
  <c r="O15" i="57" s="1"/>
  <c r="X2" i="60"/>
  <c r="X2" i="57"/>
  <c r="Z2" i="58"/>
  <c r="P2" i="64"/>
  <c r="R2" i="58"/>
  <c r="X2" i="64"/>
  <c r="Z2" i="64"/>
  <c r="R15" i="64"/>
  <c r="P2" i="63"/>
  <c r="R2" i="64"/>
  <c r="X2" i="61"/>
  <c r="X2" i="63"/>
  <c r="X15" i="63"/>
  <c r="R2" i="61"/>
  <c r="J2" i="59"/>
  <c r="P2" i="61"/>
  <c r="J2" i="66"/>
  <c r="Z2" i="61"/>
  <c r="Z2" i="66"/>
  <c r="R15" i="66"/>
  <c r="Z2" i="65"/>
  <c r="R15" i="65"/>
  <c r="X2" i="66"/>
  <c r="Z2" i="59"/>
  <c r="Z15" i="59"/>
  <c r="X2" i="59"/>
  <c r="X15" i="59"/>
  <c r="R2" i="63"/>
  <c r="R2" i="65"/>
  <c r="Z2" i="62"/>
  <c r="X2" i="62"/>
  <c r="Z2" i="63"/>
  <c r="H2" i="59"/>
  <c r="P2" i="62"/>
  <c r="P2" i="65"/>
  <c r="P2" i="66"/>
  <c r="X2" i="65"/>
  <c r="R2" i="62"/>
  <c r="J2" i="64"/>
  <c r="J2" i="63"/>
  <c r="H2" i="66"/>
  <c r="J2" i="65"/>
  <c r="H2" i="65"/>
  <c r="H2" i="62"/>
  <c r="R2" i="66"/>
  <c r="H2" i="63"/>
  <c r="P2" i="59"/>
  <c r="J2" i="61"/>
  <c r="H2" i="61"/>
  <c r="J2" i="62"/>
  <c r="H2" i="64"/>
  <c r="P2" i="60"/>
  <c r="R2" i="59"/>
  <c r="R2" i="57"/>
  <c r="P2" i="57"/>
  <c r="H4" i="23"/>
  <c r="I4" i="23"/>
  <c r="F10" i="23" a="1"/>
  <c r="G4" i="23" a="1"/>
  <c r="D12" i="23" a="1"/>
  <c r="G8" i="23" a="1"/>
  <c r="F12" i="23" a="1"/>
  <c r="D5" i="23" a="1"/>
  <c r="D7" i="23" a="1"/>
  <c r="D8" i="23" a="1"/>
  <c r="F9" i="23" a="1"/>
  <c r="D13" i="23" a="1"/>
  <c r="F6" i="23" a="1"/>
  <c r="D11" i="23" a="1"/>
  <c r="G9" i="23" a="1"/>
  <c r="F5" i="23" a="1"/>
  <c r="E6" i="23" a="1"/>
  <c r="D9" i="23" a="1"/>
  <c r="G12" i="23" a="1"/>
  <c r="G13" i="23" a="1"/>
  <c r="G6" i="23" a="1"/>
  <c r="D6" i="23" a="1"/>
  <c r="F4" i="23" a="1"/>
  <c r="E13" i="23" a="1"/>
  <c r="E4" i="23" a="1"/>
  <c r="E7" i="23" a="1"/>
  <c r="F8" i="23" a="1"/>
  <c r="G7" i="23" a="1"/>
  <c r="E8" i="23" a="1"/>
  <c r="E11" i="23" a="1"/>
  <c r="F13" i="23" a="1"/>
  <c r="G10" i="23" a="1"/>
  <c r="E12" i="23" a="1"/>
  <c r="F11" i="23" a="1"/>
  <c r="D10" i="23" a="1"/>
  <c r="G11" i="23" a="1"/>
  <c r="E9" i="23" a="1"/>
  <c r="D4" i="23" a="1"/>
  <c r="E5" i="23" a="1"/>
  <c r="E10" i="23" a="1"/>
  <c r="F7" i="23" a="1"/>
  <c r="G5" i="23" a="1"/>
  <c r="R15" i="60" l="1"/>
  <c r="Z2" i="60"/>
  <c r="H2" i="60"/>
  <c r="P2" i="58"/>
  <c r="X2" i="58"/>
  <c r="H2" i="58"/>
  <c r="H2" i="57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<sst xmlns="http://schemas.openxmlformats.org/spreadsheetml/2006/main" count="676" uniqueCount="22">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</sst>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306F6-199B-A249-8A5E-01FAAB58AABA}">
  <dimension ref="B2:Z16"/>
  <sheetViews>
    <sheetView tabSelected="1" zoomScale="111" zoomScaleNormal="85" workbookViewId="0">
      <selection activeCell="T13" sqref="T13:Y13"/>
    </sheetView>
  </sheetViews>
  <sheetFormatPr baseColWidth="10" defaultColWidth="11.5" defaultRowHeight="16" x14ac:dyDescent="0.2"/>
  <cols>
    <col min="1" max="1" width="3.5" customWidth="1"/>
    <col min="2" max="2" width="11.6640625" style="1" bestFit="1" customWidth="1"/>
    <col min="3" max="4" width="9.6640625" bestFit="1" customWidth="1"/>
    <col min="5" max="5" width="9.33203125" bestFit="1" customWidth="1"/>
    <col min="6" max="6" width="18.5" bestFit="1" customWidth="1"/>
    <col min="7" max="7" width="19.5" bestFit="1" customWidth="1"/>
    <col min="8" max="8" width="25" bestFit="1" customWidth="1"/>
    <col min="9" max="9" width="18.1640625" bestFit="1" customWidth="1"/>
    <col min="10" max="10" width="11.6640625" bestFit="1" customWidth="1"/>
    <col min="11" max="11" width="8.5" bestFit="1" customWidth="1"/>
    <col min="12" max="12" width="9.33203125" bestFit="1" customWidth="1"/>
    <col min="13" max="13" width="9" bestFit="1" customWidth="1"/>
    <col min="14" max="14" width="17.83203125" bestFit="1" customWidth="1"/>
    <col min="15" max="15" width="12.33203125" bestFit="1" customWidth="1"/>
    <col min="16" max="16" width="24" bestFit="1" customWidth="1"/>
    <col min="17" max="17" width="17.5" bestFit="1" customWidth="1"/>
    <col min="18" max="18" width="7.33203125" bestFit="1" customWidth="1"/>
    <col min="19" max="19" width="8.5" bestFit="1" customWidth="1"/>
    <col min="20" max="20" width="9.33203125" bestFit="1" customWidth="1"/>
    <col min="21" max="21" width="9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116</v>
      </c>
      <c r="C3" s="5" cm="1">
        <f t="array" aca="1" ref="C3" ca="1">INDIRECT("'results" &amp; $B3 &amp; "'!D$14")</f>
        <v>1009255.623355802</v>
      </c>
      <c r="D3" s="33" cm="1">
        <f t="array" aca="1" ref="D3" ca="1">INDIRECT("'results" &amp; $B3 &amp; "'!E$14")</f>
        <v>46.492284874999307</v>
      </c>
      <c r="E3" s="5" cm="1">
        <f t="array" aca="1" ref="E3" ca="1">INDIRECT("'results" &amp; $B3 &amp; "'!F$14")</f>
        <v>9</v>
      </c>
      <c r="F3" s="5" cm="1">
        <f t="array" aca="1" ref="F3" ca="1">INDIRECT("'results" &amp; $B3 &amp; "'!G$14")</f>
        <v>90</v>
      </c>
      <c r="G3" s="5" cm="1">
        <f t="array" aca="1" ref="G3" ca="1">INDIRECT("'results" &amp; $B3 &amp; "'!H$14")</f>
        <v>1257.6713452479735</v>
      </c>
      <c r="H3" s="33" cm="1">
        <f t="array" aca="1" ref="H3" ca="1">INDIRECT("'results" &amp; $B3 &amp; "'!I$14")</f>
        <v>37.94406789107834</v>
      </c>
      <c r="I3" s="5" cm="1">
        <f t="array" aca="1" ref="I3" ca="1">INDIRECT("'results" &amp; $B3 &amp; "'!J$14")</f>
        <v>6513.807226471331</v>
      </c>
      <c r="J3" s="5"/>
      <c r="K3" s="5" cm="1">
        <f t="array" aca="1" ref="K3" ca="1">INDIRECT("'results" &amp; $B3 &amp; "'!L$14")</f>
        <v>1173832.890289129</v>
      </c>
      <c r="L3" s="5" cm="1">
        <f t="array" aca="1" ref="L3" ca="1">INDIRECT("'results" &amp; $B3 &amp; "'!M$14")</f>
        <v>149.6374999579966</v>
      </c>
      <c r="M3" s="5" cm="1">
        <f t="array" aca="1" ref="M3" ca="1">INDIRECT("'results" &amp; $B3 &amp; "'!N$14")</f>
        <v>16</v>
      </c>
      <c r="N3" s="5" cm="1">
        <f t="array" aca="1" ref="N3" ca="1">INDIRECT("'results" &amp; $B3 &amp; "'!O$14")</f>
        <v>82</v>
      </c>
      <c r="O3" s="5" cm="1">
        <f t="array" aca="1" ref="O3" ca="1">INDIRECT("'results" &amp; $B3 &amp; "'!P$14")</f>
        <v>992.11930741527988</v>
      </c>
      <c r="P3" s="5" cm="1">
        <f t="array" aca="1" ref="P3" ca="1">INDIRECT("'results" &amp; $B3 &amp; "'!Q$14")</f>
        <v>18.873243560392869</v>
      </c>
      <c r="Q3" s="5" cm="1">
        <f t="array" aca="1" ref="Q3" ca="1">INDIRECT("'results" &amp; $B3 &amp; "'!R$14")</f>
        <v>5800.9599631637566</v>
      </c>
      <c r="R3" s="5"/>
      <c r="S3" s="5" cm="1">
        <f t="array" aca="1" ref="S3" ca="1">INDIRECT("'results" &amp; $B3 &amp; "'!T$14")</f>
        <v>1280838.620129924</v>
      </c>
      <c r="T3" s="5" cm="1">
        <f t="array" aca="1" ref="T3" ca="1">INDIRECT("'results" &amp; $B3 &amp; "'!U$14")</f>
        <v>181.12745066700151</v>
      </c>
      <c r="U3" s="5" cm="1">
        <f t="array" aca="1" ref="U3" ca="1">INDIRECT("'results" &amp; $B3 &amp; "'!V$14")</f>
        <v>8</v>
      </c>
      <c r="V3" s="5" cm="1">
        <f t="array" aca="1" ref="V3" ca="1">INDIRECT("'results" &amp; $B3 &amp; "'!W$14")</f>
        <v>66</v>
      </c>
      <c r="W3" s="5" cm="1">
        <f t="array" aca="1" ref="W3" ca="1">INDIRECT("'results" &amp; $B3 &amp; "'!X$14")</f>
        <v>1250.0846471014356</v>
      </c>
      <c r="X3" s="5" cm="1">
        <f t="array" aca="1" ref="X3" ca="1">INDIRECT("'results" &amp; $B3 &amp; "'!Y$14")</f>
        <v>47.147964490625981</v>
      </c>
      <c r="Y3" s="5" cm="1">
        <f t="array" aca="1" ref="Y3" ca="1">INDIRECT("'results" &amp; $B3 &amp; "'!Z$14")</f>
        <v>6721.3471641497808</v>
      </c>
      <c r="Z3" s="5"/>
    </row>
    <row r="4" spans="2:26" x14ac:dyDescent="0.2">
      <c r="B4" s="4">
        <v>123</v>
      </c>
      <c r="C4" s="5" cm="1">
        <f t="array" aca="1" ref="C4" ca="1">INDIRECT("'results" &amp; $B4 &amp; "'!D$14")</f>
        <v>840081.54234725807</v>
      </c>
      <c r="D4" s="33" cm="1">
        <f t="array" aca="1" ref="D4" ca="1">INDIRECT("'results" &amp; $B4 &amp; "'!E$14")</f>
        <v>66.585687834001874</v>
      </c>
      <c r="E4" s="5" cm="1">
        <f t="array" aca="1" ref="E4" ca="1">INDIRECT("'results" &amp; $B4 &amp; "'!F$14")</f>
        <v>10</v>
      </c>
      <c r="F4" s="5" cm="1">
        <f t="array" aca="1" ref="F4" ca="1">INDIRECT("'results" &amp; $B4 &amp; "'!G$14")</f>
        <v>94</v>
      </c>
      <c r="G4" s="5" cm="1">
        <f t="array" aca="1" ref="G4" ca="1">INDIRECT("'results" &amp; $B4 &amp; "'!H$14")</f>
        <v>754.27361909300259</v>
      </c>
      <c r="H4" s="33" cm="1">
        <f t="array" aca="1" ref="H4" ca="1">INDIRECT("'results" &amp; $B4 &amp; "'!I$14")</f>
        <v>43.145281822330695</v>
      </c>
      <c r="I4" s="5" cm="1">
        <f t="array" aca="1" ref="I4" ca="1">INDIRECT("'results" &amp; $B4 &amp; "'!J$14")</f>
        <v>5660.8595362974856</v>
      </c>
      <c r="J4" s="5"/>
      <c r="K4" s="5" cm="1">
        <f t="array" aca="1" ref="K4" ca="1">INDIRECT("'results" &amp; $B4 &amp; "'!L$14")</f>
        <v>1075795.959771994</v>
      </c>
      <c r="L4" s="5" cm="1">
        <f t="array" aca="1" ref="L4" ca="1">INDIRECT("'results" &amp; $B4 &amp; "'!M$14")</f>
        <v>124.3190589160004</v>
      </c>
      <c r="M4" s="5" cm="1">
        <f t="array" aca="1" ref="M4" ca="1">INDIRECT("'results" &amp; $B4 &amp; "'!N$14")</f>
        <v>17</v>
      </c>
      <c r="N4" s="5" cm="1">
        <f t="array" aca="1" ref="N4" ca="1">INDIRECT("'results" &amp; $B4 &amp; "'!O$14")</f>
        <v>82</v>
      </c>
      <c r="O4" s="5" cm="1">
        <f t="array" aca="1" ref="O4" ca="1">INDIRECT("'results" &amp; $B4 &amp; "'!P$14")</f>
        <v>606.98500876399441</v>
      </c>
      <c r="P4" s="5" cm="1">
        <f t="array" aca="1" ref="P4" ca="1">INDIRECT("'results" &amp; $B4 &amp; "'!Q$14")</f>
        <v>20.944264627654675</v>
      </c>
      <c r="Q4" s="5" cm="1">
        <f t="array" aca="1" ref="Q4" ca="1">INDIRECT("'results" &amp; $B4 &amp; "'!R$14")</f>
        <v>4859.8789567309923</v>
      </c>
      <c r="R4" s="5"/>
      <c r="S4" s="5" cm="1">
        <f t="array" aca="1" ref="S4" ca="1">INDIRECT("'results" &amp; $B4 &amp; "'!T$14")</f>
        <v>1166276.017754134</v>
      </c>
      <c r="T4" s="5" cm="1">
        <f t="array" aca="1" ref="T4" ca="1">INDIRECT("'results" &amp; $B4 &amp; "'!U$14")</f>
        <v>65.858780750000733</v>
      </c>
      <c r="U4" s="5" cm="1">
        <f t="array" aca="1" ref="U4" ca="1">INDIRECT("'results" &amp; $B4 &amp; "'!V$14")</f>
        <v>9</v>
      </c>
      <c r="V4" s="5" cm="1">
        <f t="array" aca="1" ref="V4" ca="1">INDIRECT("'results" &amp; $B4 &amp; "'!W$14")</f>
        <v>74</v>
      </c>
      <c r="W4" s="5" cm="1">
        <f t="array" aca="1" ref="W4" ca="1">INDIRECT("'results" &amp; $B4 &amp; "'!X$14")</f>
        <v>1376.0016013007689</v>
      </c>
      <c r="X4" s="5" cm="1">
        <f t="array" aca="1" ref="X4" ca="1">INDIRECT("'results" &amp; $B4 &amp; "'!Y$14")</f>
        <v>66.012400620684076</v>
      </c>
      <c r="Y4" s="5" cm="1">
        <f t="array" aca="1" ref="Y4" ca="1">INDIRECT("'results" &amp; $B4 &amp; "'!Z$14")</f>
        <v>6669.0572730792992</v>
      </c>
      <c r="Z4" s="5"/>
    </row>
    <row r="5" spans="2:26" x14ac:dyDescent="0.2">
      <c r="B5" s="4">
        <v>163</v>
      </c>
      <c r="C5" s="5" cm="1">
        <f t="array" aca="1" ref="C5" ca="1">INDIRECT("'results" &amp; $B5 &amp; "'!D$14")</f>
        <v>923876.48224449821</v>
      </c>
      <c r="D5" s="33" cm="1">
        <f t="array" aca="1" ref="D5" ca="1">INDIRECT("'results" &amp; $B5 &amp; "'!E$14")</f>
        <v>79.120659708001767</v>
      </c>
      <c r="E5" s="5" cm="1">
        <f t="array" aca="1" ref="E5" ca="1">INDIRECT("'results" &amp; $B5 &amp; "'!F$14")</f>
        <v>9</v>
      </c>
      <c r="F5" s="5" cm="1">
        <f t="array" aca="1" ref="F5" ca="1">INDIRECT("'results" &amp; $B5 &amp; "'!G$14")</f>
        <v>90</v>
      </c>
      <c r="G5" s="5" cm="1">
        <f t="array" aca="1" ref="G5" ca="1">INDIRECT("'results" &amp; $B5 &amp; "'!H$14")</f>
        <v>890.34797302726201</v>
      </c>
      <c r="H5" s="33" cm="1">
        <f t="array" aca="1" ref="H5" ca="1">INDIRECT("'results" &amp; $B5 &amp; "'!I$14")</f>
        <v>40.805320173621283</v>
      </c>
      <c r="I5" s="5" cm="1">
        <f t="array" aca="1" ref="I5" ca="1">INDIRECT("'results" &amp; $B5 &amp; "'!J$14")</f>
        <v>5931.7347640728913</v>
      </c>
      <c r="J5" s="5"/>
      <c r="K5" s="5" cm="1">
        <f t="array" aca="1" ref="K5" ca="1">INDIRECT("'results" &amp; $B5 &amp; "'!L$14")</f>
        <v>1215936.742059296</v>
      </c>
      <c r="L5" s="5" cm="1">
        <f t="array" aca="1" ref="L5" ca="1">INDIRECT("'results" &amp; $B5 &amp; "'!M$14")</f>
        <v>167.15902925000049</v>
      </c>
      <c r="M5" s="5" cm="1">
        <f t="array" aca="1" ref="M5" ca="1">INDIRECT("'results" &amp; $B5 &amp; "'!N$14")</f>
        <v>14</v>
      </c>
      <c r="N5" s="5" cm="1">
        <f t="array" aca="1" ref="N5" ca="1">INDIRECT("'results" &amp; $B5 &amp; "'!O$14")</f>
        <v>71</v>
      </c>
      <c r="O5" s="5" cm="1">
        <f t="array" aca="1" ref="O5" ca="1">INDIRECT("'results" &amp; $B5 &amp; "'!P$14")</f>
        <v>649.604378686475</v>
      </c>
      <c r="P5" s="5" cm="1">
        <f t="array" aca="1" ref="P5" ca="1">INDIRECT("'results" &amp; $B5 &amp; "'!Q$14")</f>
        <v>19.598694972077958</v>
      </c>
      <c r="Q5" s="5" cm="1">
        <f t="array" aca="1" ref="Q5" ca="1">INDIRECT("'results" &amp; $B5 &amp; "'!R$14")</f>
        <v>5113.2028241857688</v>
      </c>
      <c r="R5" s="5"/>
      <c r="S5" s="5" cm="1">
        <f t="array" aca="1" ref="S5" ca="1">INDIRECT("'results" &amp; $B5 &amp; "'!T$14")</f>
        <v>1209446.32015807</v>
      </c>
      <c r="T5" s="5" cm="1">
        <f t="array" aca="1" ref="T5" ca="1">INDIRECT("'results" &amp; $B5 &amp; "'!U$14")</f>
        <v>48.344124166997062</v>
      </c>
      <c r="U5" s="5" cm="1">
        <f t="array" aca="1" ref="U5" ca="1">INDIRECT("'results" &amp; $B5 &amp; "'!V$14")</f>
        <v>9</v>
      </c>
      <c r="V5" s="5" cm="1">
        <f t="array" aca="1" ref="V5" ca="1">INDIRECT("'results" &amp; $B5 &amp; "'!W$14")</f>
        <v>71</v>
      </c>
      <c r="W5" s="5" cm="1">
        <f t="array" aca="1" ref="W5" ca="1">INDIRECT("'results" &amp; $B5 &amp; "'!X$14")</f>
        <v>1305.0474101913192</v>
      </c>
      <c r="X5" s="5" cm="1">
        <f t="array" aca="1" ref="X5" ca="1">INDIRECT("'results" &amp; $B5 &amp; "'!Y$14")</f>
        <v>57.877300361310873</v>
      </c>
      <c r="Y5" s="5" cm="1">
        <f t="array" aca="1" ref="Y5" ca="1">INDIRECT("'results" &amp; $B5 &amp; "'!Z$14")</f>
        <v>6716.2383128865995</v>
      </c>
      <c r="Z5" s="5"/>
    </row>
    <row r="6" spans="2:26" x14ac:dyDescent="0.2">
      <c r="B6" s="4">
        <v>246</v>
      </c>
      <c r="C6" s="5" cm="1">
        <f t="array" aca="1" ref="C6" ca="1">INDIRECT("'results" &amp; $B6 &amp; "'!D$14")</f>
        <v>901773.55968866288</v>
      </c>
      <c r="D6" s="33" cm="1">
        <f t="array" aca="1" ref="D6" ca="1">INDIRECT("'results" &amp; $B6 &amp; "'!E$14")</f>
        <v>96.584095082995191</v>
      </c>
      <c r="E6" s="5" cm="1">
        <f t="array" aca="1" ref="E6" ca="1">INDIRECT("'results" &amp; $B6 &amp; "'!F$14")</f>
        <v>9</v>
      </c>
      <c r="F6" s="5" cm="1">
        <f t="array" aca="1" ref="F6" ca="1">INDIRECT("'results" &amp; $B6 &amp; "'!G$14")</f>
        <v>97</v>
      </c>
      <c r="G6" s="5" cm="1">
        <f t="array" aca="1" ref="G6" ca="1">INDIRECT("'results" &amp; $B6 &amp; "'!H$14")</f>
        <v>1225.1893023990203</v>
      </c>
      <c r="H6" s="33" cm="1">
        <f t="array" aca="1" ref="H6" ca="1">INDIRECT("'results" &amp; $B6 &amp; "'!I$14")</f>
        <v>47.007598950289584</v>
      </c>
      <c r="I6" s="5" cm="1">
        <f t="array" aca="1" ref="I6" ca="1">INDIRECT("'results" &amp; $B6 &amp; "'!J$14")</f>
        <v>6523.9455565577782</v>
      </c>
      <c r="J6" s="5"/>
      <c r="K6" s="5" cm="1">
        <f t="array" aca="1" ref="K6" ca="1">INDIRECT("'results" &amp; $B6 &amp; "'!L$14")</f>
        <v>1184454.855319726</v>
      </c>
      <c r="L6" s="5" cm="1">
        <f t="array" aca="1" ref="L6" ca="1">INDIRECT("'results" &amp; $B6 &amp; "'!M$14")</f>
        <v>114.65166116600081</v>
      </c>
      <c r="M6" s="5" cm="1">
        <f t="array" aca="1" ref="M6" ca="1">INDIRECT("'results" &amp; $B6 &amp; "'!N$14")</f>
        <v>15</v>
      </c>
      <c r="N6" s="5" cm="1">
        <f t="array" aca="1" ref="N6" ca="1">INDIRECT("'results" &amp; $B6 &amp; "'!O$14")</f>
        <v>78</v>
      </c>
      <c r="O6" s="5" cm="1">
        <f t="array" aca="1" ref="O6" ca="1">INDIRECT("'results" &amp; $B6 &amp; "'!P$14")</f>
        <v>1001.0380285535907</v>
      </c>
      <c r="P6" s="5" cm="1">
        <f t="array" aca="1" ref="P6" ca="1">INDIRECT("'results" &amp; $B6 &amp; "'!Q$14")</f>
        <v>21.536228967644281</v>
      </c>
      <c r="Q6" s="5" cm="1">
        <f t="array" aca="1" ref="Q6" ca="1">INDIRECT("'results" &amp; $B6 &amp; "'!R$14")</f>
        <v>5580.5810703658144</v>
      </c>
      <c r="R6" s="5"/>
      <c r="S6" s="5" cm="1">
        <f t="array" aca="1" ref="S6" ca="1">INDIRECT("'results" &amp; $B6 &amp; "'!T$14")</f>
        <v>1165606.707918528</v>
      </c>
      <c r="T6" s="5" cm="1">
        <f t="array" aca="1" ref="T6" ca="1">INDIRECT("'results" &amp; $B6 &amp; "'!U$14")</f>
        <v>119.1483011659984</v>
      </c>
      <c r="U6" s="5" cm="1">
        <f t="array" aca="1" ref="U6" ca="1">INDIRECT("'results" &amp; $B6 &amp; "'!V$14")</f>
        <v>9</v>
      </c>
      <c r="V6" s="5" cm="1">
        <f t="array" aca="1" ref="V6" ca="1">INDIRECT("'results" &amp; $B6 &amp; "'!W$14")</f>
        <v>81</v>
      </c>
      <c r="W6" s="5" cm="1">
        <f t="array" aca="1" ref="W6" ca="1">INDIRECT("'results" &amp; $B6 &amp; "'!X$14")</f>
        <v>1847.1253766293744</v>
      </c>
      <c r="X6" s="5" cm="1">
        <f t="array" aca="1" ref="X6" ca="1">INDIRECT("'results" &amp; $B6 &amp; "'!Y$14")</f>
        <v>59.624635269810014</v>
      </c>
      <c r="Y6" s="5" cm="1">
        <f t="array" aca="1" ref="Y6" ca="1">INDIRECT("'results" &amp; $B6 &amp; "'!Z$14")</f>
        <v>7291.2203153087876</v>
      </c>
      <c r="Z6" s="5"/>
    </row>
    <row r="7" spans="2:26" x14ac:dyDescent="0.2">
      <c r="B7" s="4">
        <v>305</v>
      </c>
      <c r="C7" s="5" cm="1">
        <f t="array" aca="1" ref="C7" ca="1">INDIRECT("'results" &amp; $B7 &amp; "'!D$14")</f>
        <v>909547.47140884202</v>
      </c>
      <c r="D7" s="33" cm="1">
        <f t="array" aca="1" ref="D7" ca="1">INDIRECT("'results" &amp; $B7 &amp; "'!E$14")</f>
        <v>99.468230750004295</v>
      </c>
      <c r="E7" s="5" cm="1">
        <f t="array" aca="1" ref="E7" ca="1">INDIRECT("'results" &amp; $B7 &amp; "'!F$14")</f>
        <v>10</v>
      </c>
      <c r="F7" s="5" cm="1">
        <f t="array" aca="1" ref="F7" ca="1">INDIRECT("'results" &amp; $B7 &amp; "'!G$14")</f>
        <v>98</v>
      </c>
      <c r="G7" s="5" cm="1">
        <f t="array" aca="1" ref="G7" ca="1">INDIRECT("'results" &amp; $B7 &amp; "'!H$14")</f>
        <v>1179.470600815039</v>
      </c>
      <c r="H7" s="33" cm="1">
        <f t="array" aca="1" ref="H7" ca="1">INDIRECT("'results" &amp; $B7 &amp; "'!I$14")</f>
        <v>37.420057671905603</v>
      </c>
      <c r="I7" s="5" cm="1">
        <f t="array" aca="1" ref="I7" ca="1">INDIRECT("'results" &amp; $B7 &amp; "'!J$14")</f>
        <v>6460.295745092938</v>
      </c>
      <c r="J7" s="5"/>
      <c r="K7" s="5" cm="1">
        <f t="array" aca="1" ref="K7" ca="1">INDIRECT("'results" &amp; $B7 &amp; "'!L$14")</f>
        <v>1167825.4595986779</v>
      </c>
      <c r="L7" s="5" cm="1">
        <f t="array" aca="1" ref="L7" ca="1">INDIRECT("'results" &amp; $B7 &amp; "'!M$14")</f>
        <v>90.685958916998061</v>
      </c>
      <c r="M7" s="5" cm="1">
        <f t="array" aca="1" ref="M7" ca="1">INDIRECT("'results" &amp; $B7 &amp; "'!N$14")</f>
        <v>16</v>
      </c>
      <c r="N7" s="5" cm="1">
        <f t="array" aca="1" ref="N7" ca="1">INDIRECT("'results" &amp; $B7 &amp; "'!O$14")</f>
        <v>80</v>
      </c>
      <c r="O7" s="5" cm="1">
        <f t="array" aca="1" ref="O7" ca="1">INDIRECT("'results" &amp; $B7 &amp; "'!P$14")</f>
        <v>843.8666488390536</v>
      </c>
      <c r="P7" s="5" cm="1">
        <f t="array" aca="1" ref="P7" ca="1">INDIRECT("'results" &amp; $B7 &amp; "'!Q$14")</f>
        <v>18.699584383558051</v>
      </c>
      <c r="Q7" s="5" cm="1">
        <f t="array" aca="1" ref="Q7" ca="1">INDIRECT("'results" &amp; $B7 &amp; "'!R$14")</f>
        <v>5572.932792241103</v>
      </c>
      <c r="R7" s="5"/>
      <c r="S7" s="5" cm="1">
        <f t="array" aca="1" ref="S7" ca="1">INDIRECT("'results" &amp; $B7 &amp; "'!T$14")</f>
        <v>1276787.2648273599</v>
      </c>
      <c r="T7" s="5" cm="1">
        <f t="array" aca="1" ref="T7" ca="1">INDIRECT("'results" &amp; $B7 &amp; "'!U$14")</f>
        <v>87.451858125001309</v>
      </c>
      <c r="U7" s="5" cm="1">
        <f t="array" aca="1" ref="U7" ca="1">INDIRECT("'results" &amp; $B7 &amp; "'!V$14")</f>
        <v>7</v>
      </c>
      <c r="V7" s="5" cm="1">
        <f t="array" aca="1" ref="V7" ca="1">INDIRECT("'results" &amp; $B7 &amp; "'!W$14")</f>
        <v>63</v>
      </c>
      <c r="W7" s="5" cm="1">
        <f t="array" aca="1" ref="W7" ca="1">INDIRECT("'results" &amp; $B7 &amp; "'!X$14")</f>
        <v>909.12760199785089</v>
      </c>
      <c r="X7" s="5" cm="1">
        <f t="array" aca="1" ref="X7" ca="1">INDIRECT("'results" &amp; $B7 &amp; "'!Y$14")</f>
        <v>49.761333712174178</v>
      </c>
      <c r="Y7" s="5" cm="1">
        <f t="array" aca="1" ref="Y7" ca="1">INDIRECT("'results" &amp; $B7 &amp; "'!Z$14")</f>
        <v>6596.845255304117</v>
      </c>
      <c r="Z7" s="5"/>
    </row>
    <row r="8" spans="2:26" x14ac:dyDescent="0.2">
      <c r="B8" s="4">
        <v>449</v>
      </c>
      <c r="C8" s="5" cm="1">
        <f t="array" aca="1" ref="C8" ca="1">INDIRECT("'results" &amp; $B8 &amp; "'!D$14")</f>
        <v>870386.12515364704</v>
      </c>
      <c r="D8" s="33" cm="1">
        <f t="array" aca="1" ref="D8" ca="1">INDIRECT("'results" &amp; $B8 &amp; "'!E$14")</f>
        <v>32.945481040995219</v>
      </c>
      <c r="E8" s="5" cm="1">
        <f t="array" aca="1" ref="E8" ca="1">INDIRECT("'results" &amp; $B8 &amp; "'!F$14")</f>
        <v>10</v>
      </c>
      <c r="F8" s="5" cm="1">
        <f t="array" aca="1" ref="F8" ca="1">INDIRECT("'results" &amp; $B8 &amp; "'!G$14")</f>
        <v>96</v>
      </c>
      <c r="G8" s="5" cm="1">
        <f t="array" aca="1" ref="G8" ca="1">INDIRECT("'results" &amp; $B8 &amp; "'!H$14")</f>
        <v>1022.2273336391542</v>
      </c>
      <c r="H8" s="33" cm="1">
        <f t="array" aca="1" ref="H8" ca="1">INDIRECT("'results" &amp; $B8 &amp; "'!I$14")</f>
        <v>37.725611842676578</v>
      </c>
      <c r="I8" s="5" cm="1">
        <f t="array" aca="1" ref="I8" ca="1">INDIRECT("'results" &amp; $B8 &amp; "'!J$14")</f>
        <v>6019.1932306287063</v>
      </c>
      <c r="J8" s="5"/>
      <c r="K8" s="5" cm="1">
        <f t="array" aca="1" ref="K8" ca="1">INDIRECT("'results" &amp; $B8 &amp; "'!L$14")</f>
        <v>1102356.237153186</v>
      </c>
      <c r="L8" s="5" cm="1">
        <f t="array" aca="1" ref="L8" ca="1">INDIRECT("'results" &amp; $B8 &amp; "'!M$14")</f>
        <v>163.37680883299981</v>
      </c>
      <c r="M8" s="5" cm="1">
        <f t="array" aca="1" ref="M8" ca="1">INDIRECT("'results" &amp; $B8 &amp; "'!N$14")</f>
        <v>14</v>
      </c>
      <c r="N8" s="5" cm="1">
        <f t="array" aca="1" ref="N8" ca="1">INDIRECT("'results" &amp; $B8 &amp; "'!O$14")</f>
        <v>78</v>
      </c>
      <c r="O8" s="5" cm="1">
        <f t="array" aca="1" ref="O8" ca="1">INDIRECT("'results" &amp; $B8 &amp; "'!P$14")</f>
        <v>669.05456312548188</v>
      </c>
      <c r="P8" s="5" cm="1">
        <f t="array" aca="1" ref="P8" ca="1">INDIRECT("'results" &amp; $B8 &amp; "'!Q$14")</f>
        <v>19.837289670903434</v>
      </c>
      <c r="Q8" s="5" cm="1">
        <f t="array" aca="1" ref="Q8" ca="1">INDIRECT("'results" &amp; $B8 &amp; "'!R$14")</f>
        <v>5099.640052034094</v>
      </c>
      <c r="R8" s="5"/>
      <c r="S8" s="5" cm="1">
        <f t="array" aca="1" ref="S8" ca="1">INDIRECT("'results" &amp; $B8 &amp; "'!T$14")</f>
        <v>1179715.4491579749</v>
      </c>
      <c r="T8" s="5" cm="1">
        <f t="array" aca="1" ref="T8" ca="1">INDIRECT("'results" &amp; $B8 &amp; "'!U$14")</f>
        <v>52.63509787500152</v>
      </c>
      <c r="U8" s="5" cm="1">
        <f t="array" aca="1" ref="U8" ca="1">INDIRECT("'results" &amp; $B8 &amp; "'!V$14")</f>
        <v>8</v>
      </c>
      <c r="V8" s="5" cm="1">
        <f t="array" aca="1" ref="V8" ca="1">INDIRECT("'results" &amp; $B8 &amp; "'!W$14")</f>
        <v>72</v>
      </c>
      <c r="W8" s="5" cm="1">
        <f t="array" aca="1" ref="W8" ca="1">INDIRECT("'results" &amp; $B8 &amp; "'!X$14")</f>
        <v>1338.2393715183646</v>
      </c>
      <c r="X8" s="5" cm="1">
        <f t="array" aca="1" ref="X8" ca="1">INDIRECT("'results" &amp; $B8 &amp; "'!Y$14")</f>
        <v>51.655257707071499</v>
      </c>
      <c r="Y8" s="5" cm="1">
        <f t="array" aca="1" ref="Y8" ca="1">INDIRECT("'results" &amp; $B8 &amp; "'!Z$14")</f>
        <v>6459.6812210444077</v>
      </c>
      <c r="Z8" s="5"/>
    </row>
    <row r="9" spans="2:26" x14ac:dyDescent="0.2">
      <c r="B9" s="4">
        <v>466</v>
      </c>
      <c r="C9" s="5" cm="1">
        <f t="array" aca="1" ref="C9" ca="1">INDIRECT("'results" &amp; $B9 &amp; "'!D$14")</f>
        <v>841295.51641844609</v>
      </c>
      <c r="D9" s="33" cm="1">
        <f t="array" aca="1" ref="D9" ca="1">INDIRECT("'results" &amp; $B9 &amp; "'!E$14")</f>
        <v>71.618620666995412</v>
      </c>
      <c r="E9" s="5" cm="1">
        <f t="array" aca="1" ref="E9" ca="1">INDIRECT("'results" &amp; $B9 &amp; "'!F$14")</f>
        <v>9</v>
      </c>
      <c r="F9" s="5" cm="1">
        <f t="array" aca="1" ref="F9" ca="1">INDIRECT("'results" &amp; $B9 &amp; "'!G$14")</f>
        <v>98</v>
      </c>
      <c r="G9" s="5" cm="1">
        <f t="array" aca="1" ref="G9" ca="1">INDIRECT("'results" &amp; $B9 &amp; "'!H$14")</f>
        <v>902.08973282164072</v>
      </c>
      <c r="H9" s="33" cm="1">
        <f t="array" aca="1" ref="H9" ca="1">INDIRECT("'results" &amp; $B9 &amp; "'!I$14")</f>
        <v>35.754745820257455</v>
      </c>
      <c r="I9" s="5" cm="1">
        <f t="array" aca="1" ref="I9" ca="1">INDIRECT("'results" &amp; $B9 &amp; "'!J$14")</f>
        <v>6043.8758109359223</v>
      </c>
      <c r="J9" s="5"/>
      <c r="K9" s="5" cm="1">
        <f t="array" aca="1" ref="K9" ca="1">INDIRECT("'results" &amp; $B9 &amp; "'!L$14")</f>
        <v>1068529.907119225</v>
      </c>
      <c r="L9" s="5" cm="1">
        <f t="array" aca="1" ref="L9" ca="1">INDIRECT("'results" &amp; $B9 &amp; "'!M$14")</f>
        <v>60.17893133400139</v>
      </c>
      <c r="M9" s="5" cm="1">
        <f t="array" aca="1" ref="M9" ca="1">INDIRECT("'results" &amp; $B9 &amp; "'!N$14")</f>
        <v>16</v>
      </c>
      <c r="N9" s="5" cm="1">
        <f t="array" aca="1" ref="N9" ca="1">INDIRECT("'results" &amp; $B9 &amp; "'!O$14")</f>
        <v>85</v>
      </c>
      <c r="O9" s="5" cm="1">
        <f t="array" aca="1" ref="O9" ca="1">INDIRECT("'results" &amp; $B9 &amp; "'!P$14")</f>
        <v>719.58228032447551</v>
      </c>
      <c r="P9" s="5" cm="1">
        <f t="array" aca="1" ref="P9" ca="1">INDIRECT("'results" &amp; $B9 &amp; "'!Q$14")</f>
        <v>15.895537607293644</v>
      </c>
      <c r="Q9" s="5" cm="1">
        <f t="array" aca="1" ref="Q9" ca="1">INDIRECT("'results" &amp; $B9 &amp; "'!R$14")</f>
        <v>5213.4635872455201</v>
      </c>
      <c r="R9" s="5"/>
      <c r="S9" s="5" cm="1">
        <f t="array" aca="1" ref="S9" ca="1">INDIRECT("'results" &amp; $B9 &amp; "'!T$14")</f>
        <v>1077629.325040126</v>
      </c>
      <c r="T9" s="5" cm="1">
        <f t="array" aca="1" ref="T9" ca="1">INDIRECT("'results" &amp; $B9 &amp; "'!U$14")</f>
        <v>127.2179004999998</v>
      </c>
      <c r="U9" s="5" cm="1">
        <f t="array" aca="1" ref="U9" ca="1">INDIRECT("'results" &amp; $B9 &amp; "'!V$14")</f>
        <v>9</v>
      </c>
      <c r="V9" s="5" cm="1">
        <f t="array" aca="1" ref="V9" ca="1">INDIRECT("'results" &amp; $B9 &amp; "'!W$14")</f>
        <v>81</v>
      </c>
      <c r="W9" s="5" cm="1">
        <f t="array" aca="1" ref="W9" ca="1">INDIRECT("'results" &amp; $B9 &amp; "'!X$14")</f>
        <v>1165.0763899970168</v>
      </c>
      <c r="X9" s="5" cm="1">
        <f t="array" aca="1" ref="X9" ca="1">INDIRECT("'results" &amp; $B9 &amp; "'!Y$14")</f>
        <v>47.125786065237904</v>
      </c>
      <c r="Y9" s="5" cm="1">
        <f t="array" aca="1" ref="Y9" ca="1">INDIRECT("'results" &amp; $B9 &amp; "'!Z$14")</f>
        <v>6515.5156210482874</v>
      </c>
      <c r="Z9" s="5"/>
    </row>
    <row r="10" spans="2:26" x14ac:dyDescent="0.2">
      <c r="B10" s="4">
        <v>590</v>
      </c>
      <c r="C10" s="5" cm="1">
        <f t="array" aca="1" ref="C10" ca="1">INDIRECT("'results" &amp; $B10 &amp; "'!D$14")</f>
        <v>1021007.379007168</v>
      </c>
      <c r="D10" s="33" cm="1">
        <f t="array" aca="1" ref="D10" ca="1">INDIRECT("'results" &amp; $B10 &amp; "'!E$14")</f>
        <v>46.236058915994363</v>
      </c>
      <c r="E10" s="5" cm="1">
        <f t="array" aca="1" ref="E10" ca="1">INDIRECT("'results" &amp; $B10 &amp; "'!F$14")</f>
        <v>8</v>
      </c>
      <c r="F10" s="5" cm="1">
        <f t="array" aca="1" ref="F10" ca="1">INDIRECT("'results" &amp; $B10 &amp; "'!G$14")</f>
        <v>87</v>
      </c>
      <c r="G10" s="5" cm="1">
        <f t="array" aca="1" ref="G10" ca="1">INDIRECT("'results" &amp; $B10 &amp; "'!H$14")</f>
        <v>1180.5585915125478</v>
      </c>
      <c r="H10" s="33" cm="1">
        <f t="array" aca="1" ref="H10" ca="1">INDIRECT("'results" &amp; $B10 &amp; "'!I$14")</f>
        <v>47.013767929145949</v>
      </c>
      <c r="I10" s="5" cm="1">
        <f t="array" aca="1" ref="I10" ca="1">INDIRECT("'results" &amp; $B10 &amp; "'!J$14")</f>
        <v>6629.0270370344933</v>
      </c>
      <c r="J10" s="5"/>
      <c r="K10" s="5" cm="1">
        <f t="array" aca="1" ref="K10" ca="1">INDIRECT("'results" &amp; $B10 &amp; "'!L$14")</f>
        <v>1191378.165540173</v>
      </c>
      <c r="L10" s="5" cm="1">
        <f t="array" aca="1" ref="L10" ca="1">INDIRECT("'results" &amp; $B10 &amp; "'!M$14")</f>
        <v>108.920896292002</v>
      </c>
      <c r="M10" s="5" cm="1">
        <f t="array" aca="1" ref="M10" ca="1">INDIRECT("'results" &amp; $B10 &amp; "'!N$14")</f>
        <v>14</v>
      </c>
      <c r="N10" s="5" cm="1">
        <f t="array" aca="1" ref="N10" ca="1">INDIRECT("'results" &amp; $B10 &amp; "'!O$14")</f>
        <v>76</v>
      </c>
      <c r="O10" s="5" cm="1">
        <f t="array" aca="1" ref="O10" ca="1">INDIRECT("'results" &amp; $B10 &amp; "'!P$14")</f>
        <v>950.14674912335397</v>
      </c>
      <c r="P10" s="5" cm="1">
        <f t="array" aca="1" ref="P10" ca="1">INDIRECT("'results" &amp; $B10 &amp; "'!Q$14")</f>
        <v>22.365572942430731</v>
      </c>
      <c r="Q10" s="5" cm="1">
        <f t="array" aca="1" ref="Q10" ca="1">INDIRECT("'results" &amp; $B10 &amp; "'!R$14")</f>
        <v>5582.7207179828793</v>
      </c>
      <c r="R10" s="5"/>
      <c r="S10" s="5" cm="1">
        <f t="array" aca="1" ref="S10" ca="1">INDIRECT("'results" &amp; $B10 &amp; "'!T$14")</f>
        <v>1292259.374734571</v>
      </c>
      <c r="T10" s="5" cm="1">
        <f t="array" aca="1" ref="T10" ca="1">INDIRECT("'results" &amp; $B10 &amp; "'!U$14")</f>
        <v>84.919777582999814</v>
      </c>
      <c r="U10" s="5" cm="1">
        <f t="array" aca="1" ref="U10" ca="1">INDIRECT("'results" &amp; $B10 &amp; "'!V$14")</f>
        <v>8</v>
      </c>
      <c r="V10" s="5" cm="1">
        <f t="array" aca="1" ref="V10" ca="1">INDIRECT("'results" &amp; $B10 &amp; "'!W$14")</f>
        <v>66</v>
      </c>
      <c r="W10" s="5" cm="1">
        <f t="array" aca="1" ref="W10" ca="1">INDIRECT("'results" &amp; $B10 &amp; "'!X$14")</f>
        <v>1452.8150226646023</v>
      </c>
      <c r="X10" s="5" cm="1">
        <f t="array" aca="1" ref="X10" ca="1">INDIRECT("'results" &amp; $B10 &amp; "'!Y$14")</f>
        <v>55.793882980526163</v>
      </c>
      <c r="Y10" s="5" cm="1">
        <f t="array" aca="1" ref="Y10" ca="1">INDIRECT("'results" &amp; $B10 &amp; "'!Z$14")</f>
        <v>6893.5923144776561</v>
      </c>
      <c r="Z10" s="5"/>
    </row>
    <row r="11" spans="2:26" x14ac:dyDescent="0.2">
      <c r="B11" s="4">
        <v>715</v>
      </c>
      <c r="C11" s="5" cm="1">
        <f t="array" aca="1" ref="C11" ca="1">INDIRECT("'results" &amp; $B11 &amp; "'!D$14")</f>
        <v>811399.39514901163</v>
      </c>
      <c r="D11" s="33" cm="1">
        <f t="array" aca="1" ref="D11" ca="1">INDIRECT("'results" &amp; $B11 &amp; "'!E$14")</f>
        <v>42.264680874999613</v>
      </c>
      <c r="E11" s="5" cm="1">
        <f t="array" aca="1" ref="E11" ca="1">INDIRECT("'results" &amp; $B11 &amp; "'!F$14")</f>
        <v>8</v>
      </c>
      <c r="F11" s="5" cm="1">
        <f t="array" aca="1" ref="F11" ca="1">INDIRECT("'results" &amp; $B11 &amp; "'!G$14")</f>
        <v>94</v>
      </c>
      <c r="G11" s="5" cm="1">
        <f t="array" aca="1" ref="G11" ca="1">INDIRECT("'results" &amp; $B11 &amp; "'!H$14")</f>
        <v>577.30917928301506</v>
      </c>
      <c r="H11" s="33" cm="1">
        <f t="array" aca="1" ref="H11" ca="1">INDIRECT("'results" &amp; $B11 &amp; "'!I$14")</f>
        <v>37.798912232036948</v>
      </c>
      <c r="I11" s="5" cm="1">
        <f t="array" aca="1" ref="I11" ca="1">INDIRECT("'results" &amp; $B11 &amp; "'!J$14")</f>
        <v>5574.2574906796635</v>
      </c>
      <c r="J11" s="5"/>
      <c r="K11" s="5" cm="1">
        <f t="array" aca="1" ref="K11" ca="1">INDIRECT("'results" &amp; $B11 &amp; "'!L$14")</f>
        <v>985934.32146675885</v>
      </c>
      <c r="L11" s="5" cm="1">
        <f t="array" aca="1" ref="L11" ca="1">INDIRECT("'results" &amp; $B11 &amp; "'!M$14")</f>
        <v>127.5776068330015</v>
      </c>
      <c r="M11" s="5" cm="1">
        <f t="array" aca="1" ref="M11" ca="1">INDIRECT("'results" &amp; $B11 &amp; "'!N$14")</f>
        <v>15</v>
      </c>
      <c r="N11" s="5" cm="1">
        <f t="array" aca="1" ref="N11" ca="1">INDIRECT("'results" &amp; $B11 &amp; "'!O$14")</f>
        <v>88</v>
      </c>
      <c r="O11" s="5" cm="1">
        <f t="array" aca="1" ref="O11" ca="1">INDIRECT("'results" &amp; $B11 &amp; "'!P$14")</f>
        <v>587.9856307527624</v>
      </c>
      <c r="P11" s="5" cm="1">
        <f t="array" aca="1" ref="P11" ca="1">INDIRECT("'results" &amp; $B11 &amp; "'!Q$14")</f>
        <v>18.909746438270975</v>
      </c>
      <c r="Q11" s="5" cm="1">
        <f t="array" aca="1" ref="Q11" ca="1">INDIRECT("'results" &amp; $B11 &amp; "'!R$14")</f>
        <v>5067.6891981681583</v>
      </c>
      <c r="R11" s="5"/>
      <c r="S11" s="5" cm="1">
        <f t="array" aca="1" ref="S11" ca="1">INDIRECT("'results" &amp; $B11 &amp; "'!T$14")</f>
        <v>1082207.231883202</v>
      </c>
      <c r="T11" s="5" cm="1">
        <f t="array" aca="1" ref="T11" ca="1">INDIRECT("'results" &amp; $B11 &amp; "'!U$14")</f>
        <v>52.221068832997837</v>
      </c>
      <c r="U11" s="5" cm="1">
        <f t="array" aca="1" ref="U11" ca="1">INDIRECT("'results" &amp; $B11 &amp; "'!V$14")</f>
        <v>8</v>
      </c>
      <c r="V11" s="5" cm="1">
        <f t="array" aca="1" ref="V11" ca="1">INDIRECT("'results" &amp; $B11 &amp; "'!W$14")</f>
        <v>80</v>
      </c>
      <c r="W11" s="5" cm="1">
        <f t="array" aca="1" ref="W11" ca="1">INDIRECT("'results" &amp; $B11 &amp; "'!X$14")</f>
        <v>990.85237170918276</v>
      </c>
      <c r="X11" s="5" cm="1">
        <f t="array" aca="1" ref="X11" ca="1">INDIRECT("'results" &amp; $B11 &amp; "'!Y$14")</f>
        <v>49.467380362782677</v>
      </c>
      <c r="Y11" s="5" cm="1">
        <f t="array" aca="1" ref="Y11" ca="1">INDIRECT("'results" &amp; $B11 &amp; "'!Z$14")</f>
        <v>6455.0033529335324</v>
      </c>
      <c r="Z11" s="5"/>
    </row>
    <row r="12" spans="2:26" x14ac:dyDescent="0.2">
      <c r="B12" s="4">
        <v>874</v>
      </c>
      <c r="C12" s="5" cm="1">
        <f t="array" aca="1" ref="C12" ca="1">INDIRECT("'results" &amp; $B12 &amp; "'!D$14")</f>
        <v>740342.87148666324</v>
      </c>
      <c r="D12" s="33" cm="1">
        <f t="array" aca="1" ref="D12" ca="1">INDIRECT("'results" &amp; $B12 &amp; "'!E$14")</f>
        <v>70.861096166998323</v>
      </c>
      <c r="E12" s="5" cm="1">
        <f t="array" aca="1" ref="E12" ca="1">INDIRECT("'results" &amp; $B12 &amp; "'!F$14")</f>
        <v>8</v>
      </c>
      <c r="F12" s="5" cm="1">
        <f t="array" aca="1" ref="F12" ca="1">INDIRECT("'results" &amp; $B12 &amp; "'!G$14")</f>
        <v>98</v>
      </c>
      <c r="G12" s="5" cm="1">
        <f t="array" aca="1" ref="G12" ca="1">INDIRECT("'results" &amp; $B12 &amp; "'!H$14")</f>
        <v>737.37929912288917</v>
      </c>
      <c r="H12" s="33" cm="1">
        <f t="array" aca="1" ref="H12" ca="1">INDIRECT("'results" &amp; $B12 &amp; "'!I$14")</f>
        <v>53.917463046954545</v>
      </c>
      <c r="I12" s="5" cm="1">
        <f t="array" aca="1" ref="I12" ca="1">INDIRECT("'results" &amp; $B12 &amp; "'!J$14")</f>
        <v>5727.6918290378326</v>
      </c>
      <c r="J12" s="5"/>
      <c r="K12" s="5" cm="1">
        <f t="array" aca="1" ref="K12" ca="1">INDIRECT("'results" &amp; $B12 &amp; "'!L$14")</f>
        <v>1085288.7137342531</v>
      </c>
      <c r="L12" s="5" cm="1">
        <f t="array" aca="1" ref="L12" ca="1">INDIRECT("'results" &amp; $B12 &amp; "'!M$14")</f>
        <v>126.3469811249997</v>
      </c>
      <c r="M12" s="5" cm="1">
        <f t="array" aca="1" ref="M12" ca="1">INDIRECT("'results" &amp; $B12 &amp; "'!N$14")</f>
        <v>16</v>
      </c>
      <c r="N12" s="5" cm="1">
        <f t="array" aca="1" ref="N12" ca="1">INDIRECT("'results" &amp; $B12 &amp; "'!O$14")</f>
        <v>79</v>
      </c>
      <c r="O12" s="5" cm="1">
        <f t="array" aca="1" ref="O12" ca="1">INDIRECT("'results" &amp; $B12 &amp; "'!P$14")</f>
        <v>398.31840063972288</v>
      </c>
      <c r="P12" s="5" cm="1">
        <f t="array" aca="1" ref="P12" ca="1">INDIRECT("'results" &amp; $B12 &amp; "'!Q$14")</f>
        <v>19.843047523783525</v>
      </c>
      <c r="Q12" s="5" cm="1">
        <f t="array" aca="1" ref="Q12" ca="1">INDIRECT("'results" &amp; $B12 &amp; "'!R$14")</f>
        <v>4775.6466540084803</v>
      </c>
      <c r="R12" s="5"/>
      <c r="S12" s="5" cm="1">
        <f t="array" aca="1" ref="S12" ca="1">INDIRECT("'results" &amp; $B12 &amp; "'!T$14")</f>
        <v>1059182.600214856</v>
      </c>
      <c r="T12" s="5" cm="1">
        <f t="array" aca="1" ref="T12" ca="1">INDIRECT("'results" &amp; $B12 &amp; "'!U$14")</f>
        <v>80.525186250000843</v>
      </c>
      <c r="U12" s="5" cm="1">
        <f t="array" aca="1" ref="U12" ca="1">INDIRECT("'results" &amp; $B12 &amp; "'!V$14")</f>
        <v>9</v>
      </c>
      <c r="V12" s="5" cm="1">
        <f t="array" aca="1" ref="V12" ca="1">INDIRECT("'results" &amp; $B12 &amp; "'!W$14")</f>
        <v>80</v>
      </c>
      <c r="W12" s="5" cm="1">
        <f t="array" aca="1" ref="W12" ca="1">INDIRECT("'results" &amp; $B12 &amp; "'!X$14")</f>
        <v>1197.6325279726523</v>
      </c>
      <c r="X12" s="5" cm="1">
        <f t="array" aca="1" ref="X12" ca="1">INDIRECT("'results" &amp; $B12 &amp; "'!Y$14")</f>
        <v>62.816153081198195</v>
      </c>
      <c r="Y12" s="5" cm="1">
        <f t="array" aca="1" ref="Y12" ca="1">INDIRECT("'results" &amp; $B12 &amp; "'!Z$14")</f>
        <v>6412.3648813874588</v>
      </c>
      <c r="Z12" s="5"/>
    </row>
    <row r="13" spans="2:26" x14ac:dyDescent="0.2">
      <c r="B13" s="8"/>
      <c r="C13" s="9">
        <f ca="1">AVERAGE(C3:C12)</f>
        <v>886896.5966259999</v>
      </c>
      <c r="D13" s="10">
        <f ca="1">AVERAGE(D3:D12)</f>
        <v>65.217689591598543</v>
      </c>
      <c r="E13" s="9">
        <f t="shared" ref="E13:I13" ca="1" si="0">AVERAGE(E3:E12)</f>
        <v>9</v>
      </c>
      <c r="F13" s="9">
        <f t="shared" ca="1" si="0"/>
        <v>94.2</v>
      </c>
      <c r="G13" s="9">
        <f t="shared" ca="1" si="0"/>
        <v>972.65169769615443</v>
      </c>
      <c r="H13" s="10">
        <f t="shared" ca="1" si="0"/>
        <v>41.853282738029698</v>
      </c>
      <c r="I13" s="9">
        <f t="shared" ca="1" si="0"/>
        <v>6108.4688226809049</v>
      </c>
      <c r="J13" s="32" t="e">
        <f ca="1">(C13-$D$15)/$D$15</f>
        <v>#DIV/0!</v>
      </c>
      <c r="K13" s="16">
        <f ca="1">AVERAGE(K3:K12)</f>
        <v>1125133.3252052418</v>
      </c>
      <c r="L13" s="41">
        <f t="shared" ref="L13:Q13" ca="1" si="1">AVERAGE(L3:L12)</f>
        <v>123.28544326240008</v>
      </c>
      <c r="M13" s="16">
        <f t="shared" ca="1" si="1"/>
        <v>15.3</v>
      </c>
      <c r="N13" s="16">
        <f ca="1">AVERAGE(N3:N12)</f>
        <v>79.900000000000006</v>
      </c>
      <c r="O13" s="16">
        <f t="shared" ca="1" si="1"/>
        <v>741.87009962241905</v>
      </c>
      <c r="P13" s="41">
        <f t="shared" ca="1" si="1"/>
        <v>19.650321069401013</v>
      </c>
      <c r="Q13" s="16">
        <f t="shared" ca="1" si="1"/>
        <v>5266.6715816126571</v>
      </c>
      <c r="R13" s="42" t="e">
        <f ca="1">(K13-$D$15)/$D$15</f>
        <v>#DIV/0!</v>
      </c>
      <c r="S13" s="38">
        <f ca="1">AVERAGE(S3:S12)</f>
        <v>1178994.8911818746</v>
      </c>
      <c r="T13" s="43">
        <f t="shared" ref="T13:Y13" ca="1" si="2">AVERAGE(T3:T12)</f>
        <v>89.944954591599895</v>
      </c>
      <c r="U13" s="38">
        <f t="shared" ca="1" si="2"/>
        <v>8.4</v>
      </c>
      <c r="V13" s="38">
        <f t="shared" ca="1" si="2"/>
        <v>73.400000000000006</v>
      </c>
      <c r="W13" s="38">
        <f t="shared" ca="1" si="2"/>
        <v>1283.2002321082568</v>
      </c>
      <c r="X13" s="43">
        <f t="shared" ca="1" si="2"/>
        <v>54.72820946514215</v>
      </c>
      <c r="Y13" s="38">
        <f t="shared" ca="1" si="2"/>
        <v>6673.0865711619936</v>
      </c>
      <c r="Z13" s="44" t="e">
        <f ca="1">(S13-$D$15)/$D$15</f>
        <v>#DIV/0!</v>
      </c>
    </row>
    <row r="14" spans="2:26" x14ac:dyDescent="0.2">
      <c r="K14" s="45">
        <f ca="1">(K13-C13)/C13</f>
        <v>0.26861838176576652</v>
      </c>
      <c r="L14" s="45">
        <f t="shared" ref="L14:Q14" ca="1" si="3">(L13-D13)/D13</f>
        <v>0.89036815064178432</v>
      </c>
      <c r="M14" s="45">
        <f t="shared" ca="1" si="3"/>
        <v>0.70000000000000007</v>
      </c>
      <c r="N14" s="45">
        <f t="shared" ca="1" si="3"/>
        <v>-0.15180467091295113</v>
      </c>
      <c r="O14" s="45">
        <f t="shared" ca="1" si="3"/>
        <v>-0.23727054465680786</v>
      </c>
      <c r="P14" s="45">
        <f t="shared" ca="1" si="3"/>
        <v>-0.53049510614502204</v>
      </c>
      <c r="Q14" s="45">
        <f t="shared" ca="1" si="3"/>
        <v>-0.13780822420548872</v>
      </c>
      <c r="S14" s="45">
        <f ca="1">(S13-C13)/C13</f>
        <v>0.32934876023551946</v>
      </c>
      <c r="T14" s="45">
        <f t="shared" ref="T14:Y14" ca="1" si="4">(T13-D13)/D13</f>
        <v>0.37914966253552723</v>
      </c>
      <c r="U14" s="45">
        <f t="shared" ca="1" si="4"/>
        <v>-6.6666666666666624E-2</v>
      </c>
      <c r="V14" s="45">
        <f ca="1">(V13-F13)/F13</f>
        <v>-0.22080679405520165</v>
      </c>
      <c r="W14" s="45">
        <f t="shared" ca="1" si="4"/>
        <v>0.31928030881730318</v>
      </c>
      <c r="X14" s="45">
        <f t="shared" ca="1" si="4"/>
        <v>0.30762047526116126</v>
      </c>
      <c r="Y14" s="45">
        <f t="shared" ca="1" si="4"/>
        <v>9.2431960425933296E-2</v>
      </c>
    </row>
    <row r="16" spans="2:26" x14ac:dyDescent="0.2">
      <c r="B16" s="1" t="s">
        <v>21</v>
      </c>
      <c r="C16">
        <f ca="1">_xlfn.STDEV.S(C3:C12)</f>
        <v>86139.974425631721</v>
      </c>
      <c r="J16" s="1" t="s">
        <v>21</v>
      </c>
      <c r="K16">
        <f ca="1">_xlfn.STDEV.S(K3:K12)</f>
        <v>72623.705426616638</v>
      </c>
      <c r="R16" s="1" t="s">
        <v>21</v>
      </c>
      <c r="S16">
        <f ca="1">_xlfn.STDEV.S(S3:S12)</f>
        <v>86942.492286627603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4E82-063F-6245-8783-0B22CB3C11EB}">
  <dimension ref="B1:AA17"/>
  <sheetViews>
    <sheetView zoomScale="118" zoomScaleNormal="120" workbookViewId="0">
      <selection activeCell="A17" sqref="A17:XFD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-0.98499350117842455</v>
      </c>
      <c r="J2" s="28" t="e">
        <f>(S14-J14)/J14</f>
        <v>#DIV/0!</v>
      </c>
      <c r="K2" s="28"/>
      <c r="L2" s="1" t="s">
        <v>19</v>
      </c>
      <c r="P2" s="1">
        <f>(P14-H14)/H14</f>
        <v>-0.21114581232693588</v>
      </c>
      <c r="R2" s="1">
        <f>(R14-J14)/J14</f>
        <v>-0.10943634629079114</v>
      </c>
      <c r="T2" s="1" t="s">
        <v>20</v>
      </c>
      <c r="X2" s="1">
        <f>(X14-P14)/P14</f>
        <v>0.26001443350419245</v>
      </c>
      <c r="Z2" s="1">
        <f>(Z14-R14)/R14</f>
        <v>0.15866118829133563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23</v>
      </c>
      <c r="D4" s="23">
        <v>1009255.623355802</v>
      </c>
      <c r="E4" s="33">
        <v>46.492284874999307</v>
      </c>
      <c r="F4" s="5">
        <v>9</v>
      </c>
      <c r="G4" s="23">
        <v>90</v>
      </c>
      <c r="H4" s="33">
        <v>1257.6713452479735</v>
      </c>
      <c r="I4" s="23">
        <v>37.94406789107834</v>
      </c>
      <c r="J4" s="5">
        <v>6513.807226471331</v>
      </c>
      <c r="K4" s="31"/>
      <c r="L4" s="23">
        <v>1200506.579317217</v>
      </c>
      <c r="M4" s="33">
        <v>78.071055707998312</v>
      </c>
      <c r="N4" s="5">
        <v>16</v>
      </c>
      <c r="O4" s="5">
        <v>82</v>
      </c>
      <c r="P4" s="33">
        <v>1111.646271747881</v>
      </c>
      <c r="Q4" s="5">
        <v>18.918435104523311</v>
      </c>
      <c r="R4" s="5">
        <v>5999.6273643875047</v>
      </c>
      <c r="S4" s="35"/>
      <c r="T4" s="23">
        <v>1312507.7722309709</v>
      </c>
      <c r="U4" s="33">
        <v>49.742563207997591</v>
      </c>
      <c r="V4" s="5">
        <v>7</v>
      </c>
      <c r="W4" s="5">
        <v>63</v>
      </c>
      <c r="X4" s="33">
        <v>1358.6967527106217</v>
      </c>
      <c r="Y4" s="5">
        <v>48.01903418730452</v>
      </c>
      <c r="Z4" s="5">
        <v>6764.5244054249961</v>
      </c>
      <c r="AA4" s="35"/>
    </row>
    <row r="5" spans="2:27" x14ac:dyDescent="0.2">
      <c r="B5" s="4">
        <v>2</v>
      </c>
      <c r="C5" s="4">
        <v>554</v>
      </c>
      <c r="D5" s="23">
        <v>1017109.756783276</v>
      </c>
      <c r="E5" s="33">
        <v>79.170002915998339</v>
      </c>
      <c r="F5" s="5">
        <v>8</v>
      </c>
      <c r="G5" s="23">
        <v>88</v>
      </c>
      <c r="H5" s="33">
        <v>1216.791583910421</v>
      </c>
      <c r="I5" s="23">
        <v>41.524322400467497</v>
      </c>
      <c r="J5" s="5">
        <v>6599.5766828233136</v>
      </c>
      <c r="K5" s="31"/>
      <c r="L5" s="23">
        <v>1209714.134364848</v>
      </c>
      <c r="M5" s="33">
        <v>47.89289145800285</v>
      </c>
      <c r="N5" s="5">
        <v>13</v>
      </c>
      <c r="O5" s="5">
        <v>73</v>
      </c>
      <c r="P5" s="33">
        <v>705.08593802373764</v>
      </c>
      <c r="Q5" s="5">
        <v>19.15387268103856</v>
      </c>
      <c r="R5" s="5">
        <v>5453.76998060598</v>
      </c>
      <c r="S5" s="35"/>
      <c r="T5" s="23">
        <v>1343878.5176619189</v>
      </c>
      <c r="U5" s="33">
        <v>64.925582957999723</v>
      </c>
      <c r="V5" s="5">
        <v>8</v>
      </c>
      <c r="W5" s="5">
        <v>62</v>
      </c>
      <c r="X5" s="33">
        <v>1375.2252696879548</v>
      </c>
      <c r="Y5" s="5">
        <v>47.214686357260938</v>
      </c>
      <c r="Z5" s="5">
        <v>6957.2925279109049</v>
      </c>
      <c r="AA5" s="35"/>
    </row>
    <row r="6" spans="2:27" x14ac:dyDescent="0.2">
      <c r="B6" s="4">
        <v>3</v>
      </c>
      <c r="C6" s="4">
        <v>604</v>
      </c>
      <c r="D6" s="23">
        <v>1026106.613609385</v>
      </c>
      <c r="E6" s="33">
        <v>49.062147874999937</v>
      </c>
      <c r="F6" s="5">
        <v>8</v>
      </c>
      <c r="G6" s="23">
        <v>87</v>
      </c>
      <c r="H6" s="33">
        <v>1143.0170426934842</v>
      </c>
      <c r="I6" s="23">
        <v>40.072421925028628</v>
      </c>
      <c r="J6" s="5">
        <v>6553.1625274121088</v>
      </c>
      <c r="K6" s="31"/>
      <c r="L6" s="23">
        <v>1182749.4139968229</v>
      </c>
      <c r="M6" s="33">
        <v>88.000713124998583</v>
      </c>
      <c r="N6" s="5">
        <v>13</v>
      </c>
      <c r="O6" s="5">
        <v>77</v>
      </c>
      <c r="P6" s="33">
        <v>1008.6096852248527</v>
      </c>
      <c r="Q6" s="5">
        <v>21.237797040402711</v>
      </c>
      <c r="R6" s="5">
        <v>5760.9142502858194</v>
      </c>
      <c r="S6" s="35"/>
      <c r="T6" s="23">
        <v>1312260.9340393201</v>
      </c>
      <c r="U6" s="33">
        <v>83.013600458998553</v>
      </c>
      <c r="V6" s="5">
        <v>7</v>
      </c>
      <c r="W6" s="5">
        <v>63</v>
      </c>
      <c r="X6" s="33">
        <v>1352.982861377616</v>
      </c>
      <c r="Y6" s="5">
        <v>48.321182539081022</v>
      </c>
      <c r="Z6" s="5">
        <v>6795.8438372617375</v>
      </c>
      <c r="AA6" s="35"/>
    </row>
    <row r="7" spans="2:27" x14ac:dyDescent="0.2">
      <c r="B7" s="4">
        <v>4</v>
      </c>
      <c r="C7" s="4">
        <v>655</v>
      </c>
      <c r="D7" s="23">
        <v>1048360.203142112</v>
      </c>
      <c r="E7" s="33">
        <v>73.128335166999022</v>
      </c>
      <c r="F7" s="5">
        <v>10</v>
      </c>
      <c r="G7" s="23">
        <v>89</v>
      </c>
      <c r="H7" s="33">
        <v>1271.8207573670838</v>
      </c>
      <c r="I7" s="23">
        <v>33.549043853586099</v>
      </c>
      <c r="J7" s="5">
        <v>6589.7160484097149</v>
      </c>
      <c r="K7" s="31"/>
      <c r="L7" s="23">
        <v>1240026.0985371219</v>
      </c>
      <c r="M7" s="33">
        <v>102.6682087500012</v>
      </c>
      <c r="N7" s="5">
        <v>13</v>
      </c>
      <c r="O7" s="5">
        <v>75</v>
      </c>
      <c r="P7" s="33">
        <v>1149.4918452950578</v>
      </c>
      <c r="Q7" s="5">
        <v>19.97241158141539</v>
      </c>
      <c r="R7" s="5">
        <v>6129.5299932051703</v>
      </c>
      <c r="S7" s="35"/>
      <c r="T7" s="23">
        <v>1344517.2170658431</v>
      </c>
      <c r="U7" s="33">
        <v>103.1882870000009</v>
      </c>
      <c r="V7" s="5">
        <v>8</v>
      </c>
      <c r="W7" s="5">
        <v>61</v>
      </c>
      <c r="X7" s="33">
        <v>1258.1561497904781</v>
      </c>
      <c r="Y7" s="5">
        <v>45.483489525490974</v>
      </c>
      <c r="Z7" s="5">
        <v>6853.4868056892146</v>
      </c>
      <c r="AA7" s="35"/>
    </row>
    <row r="8" spans="2:27" x14ac:dyDescent="0.2">
      <c r="B8" s="4">
        <v>5</v>
      </c>
      <c r="C8" s="4">
        <v>698</v>
      </c>
      <c r="D8" s="23">
        <v>1021166.207652346</v>
      </c>
      <c r="E8" s="33">
        <v>139.02620670800019</v>
      </c>
      <c r="F8" s="5">
        <v>9</v>
      </c>
      <c r="G8" s="23">
        <v>87</v>
      </c>
      <c r="H8" s="33">
        <v>1084.4808206805633</v>
      </c>
      <c r="I8" s="23">
        <v>36.151242990941654</v>
      </c>
      <c r="J8" s="5">
        <v>6339.7794422508559</v>
      </c>
      <c r="K8" s="31"/>
      <c r="L8" s="23">
        <v>1184010.5875083681</v>
      </c>
      <c r="M8" s="33">
        <v>142.83753325000001</v>
      </c>
      <c r="N8" s="5">
        <v>14</v>
      </c>
      <c r="O8" s="5">
        <v>78</v>
      </c>
      <c r="P8" s="33">
        <v>985.49112266779468</v>
      </c>
      <c r="Q8" s="5">
        <v>19.768699690475874</v>
      </c>
      <c r="R8" s="5">
        <v>5703.4973089870664</v>
      </c>
      <c r="S8" s="35"/>
      <c r="T8" s="23">
        <v>1288107.2426524791</v>
      </c>
      <c r="U8" s="33">
        <v>91.017300665997027</v>
      </c>
      <c r="V8" s="5">
        <v>8</v>
      </c>
      <c r="W8" s="5">
        <v>64</v>
      </c>
      <c r="X8" s="33">
        <v>1056.6791955606723</v>
      </c>
      <c r="Y8" s="5">
        <v>44.965776574157474</v>
      </c>
      <c r="Z8" s="5">
        <v>6609.818707842237</v>
      </c>
      <c r="AA8" s="35"/>
    </row>
    <row r="9" spans="2:27" x14ac:dyDescent="0.2">
      <c r="B9" s="4">
        <v>6</v>
      </c>
      <c r="C9" s="4">
        <v>723</v>
      </c>
      <c r="D9" s="23">
        <v>1023094.99844509</v>
      </c>
      <c r="E9" s="33">
        <v>59.804751499999838</v>
      </c>
      <c r="F9" s="5">
        <v>9</v>
      </c>
      <c r="G9" s="23">
        <v>90</v>
      </c>
      <c r="H9" s="33">
        <v>1250.4944989396852</v>
      </c>
      <c r="I9" s="23">
        <v>38.091617872112067</v>
      </c>
      <c r="J9" s="5">
        <v>6680.9506666793877</v>
      </c>
      <c r="K9" s="31"/>
      <c r="L9" s="23">
        <v>1195313.317796723</v>
      </c>
      <c r="M9" s="33">
        <v>116.14312429200071</v>
      </c>
      <c r="N9" s="5">
        <v>14</v>
      </c>
      <c r="O9" s="5">
        <v>77</v>
      </c>
      <c r="P9" s="33">
        <v>912.98432241052421</v>
      </c>
      <c r="Q9" s="5">
        <v>19.461785179823636</v>
      </c>
      <c r="R9" s="5">
        <v>5789.8492170134314</v>
      </c>
      <c r="S9" s="35"/>
      <c r="T9" s="23">
        <v>1293014.544918627</v>
      </c>
      <c r="U9" s="33">
        <v>83.04239916699953</v>
      </c>
      <c r="V9" s="5">
        <v>9</v>
      </c>
      <c r="W9" s="5">
        <v>67</v>
      </c>
      <c r="X9" s="33">
        <v>1353.6737627804587</v>
      </c>
      <c r="Y9" s="5">
        <v>42.313082289782443</v>
      </c>
      <c r="Z9" s="5">
        <v>6682.4769390958299</v>
      </c>
      <c r="AA9" s="35"/>
    </row>
    <row r="10" spans="2:27" x14ac:dyDescent="0.2">
      <c r="B10" s="4">
        <v>7</v>
      </c>
      <c r="C10" s="4">
        <v>775</v>
      </c>
      <c r="D10" s="23">
        <v>1017037.523397942</v>
      </c>
      <c r="E10" s="33">
        <v>40.97347679199811</v>
      </c>
      <c r="F10" s="5">
        <v>8</v>
      </c>
      <c r="G10" s="23">
        <v>88</v>
      </c>
      <c r="H10" s="33">
        <v>1207.2221281927941</v>
      </c>
      <c r="I10" s="23">
        <v>41.403571977646799</v>
      </c>
      <c r="J10" s="5">
        <v>6593.9300203198618</v>
      </c>
      <c r="K10" s="31"/>
      <c r="L10" s="23">
        <v>1173832.890289129</v>
      </c>
      <c r="M10" s="33">
        <v>149.6374999579966</v>
      </c>
      <c r="N10" s="5">
        <v>16</v>
      </c>
      <c r="O10" s="5">
        <v>82</v>
      </c>
      <c r="P10" s="33">
        <v>992.11930741527988</v>
      </c>
      <c r="Q10" s="5">
        <v>18.873243560392869</v>
      </c>
      <c r="R10" s="5">
        <v>5800.9599631637566</v>
      </c>
      <c r="S10" s="35"/>
      <c r="T10" s="23">
        <v>1309095.109151151</v>
      </c>
      <c r="U10" s="33">
        <v>66.429300166000758</v>
      </c>
      <c r="V10" s="5">
        <v>8</v>
      </c>
      <c r="W10" s="5">
        <v>65</v>
      </c>
      <c r="X10" s="33">
        <v>1423.8852563182363</v>
      </c>
      <c r="Y10" s="5">
        <v>46.400437563337626</v>
      </c>
      <c r="Z10" s="5">
        <v>6829.4107404752895</v>
      </c>
      <c r="AA10" s="35"/>
    </row>
    <row r="11" spans="2:27" x14ac:dyDescent="0.2">
      <c r="B11" s="4">
        <v>8</v>
      </c>
      <c r="C11" s="4">
        <v>854</v>
      </c>
      <c r="D11" s="23">
        <v>1023249.310549668</v>
      </c>
      <c r="E11" s="33">
        <v>43.612417958000151</v>
      </c>
      <c r="F11" s="5">
        <v>9</v>
      </c>
      <c r="G11" s="23">
        <v>90</v>
      </c>
      <c r="H11" s="33">
        <v>1286.4178862956571</v>
      </c>
      <c r="I11" s="23">
        <v>38.332828114928205</v>
      </c>
      <c r="J11" s="5">
        <v>6607.5348055549484</v>
      </c>
      <c r="K11" s="31"/>
      <c r="L11" s="23">
        <v>1203250.573612995</v>
      </c>
      <c r="M11" s="33">
        <v>122.6578042500005</v>
      </c>
      <c r="N11" s="5">
        <v>16</v>
      </c>
      <c r="O11" s="5">
        <v>81</v>
      </c>
      <c r="P11" s="33">
        <v>1129.7264943099713</v>
      </c>
      <c r="Q11" s="5">
        <v>18.566015494412358</v>
      </c>
      <c r="R11" s="5">
        <v>5937.455687021602</v>
      </c>
      <c r="S11" s="35"/>
      <c r="T11" s="23">
        <v>1358215.5288883869</v>
      </c>
      <c r="U11" s="33">
        <v>115.95966549999871</v>
      </c>
      <c r="V11" s="5">
        <v>7</v>
      </c>
      <c r="W11" s="5">
        <v>57</v>
      </c>
      <c r="X11" s="33">
        <v>1013.6947732893494</v>
      </c>
      <c r="Y11" s="5">
        <v>43.333088945969187</v>
      </c>
      <c r="Z11" s="5">
        <v>6542.9082822336113</v>
      </c>
      <c r="AA11" s="35"/>
    </row>
    <row r="12" spans="2:27" x14ac:dyDescent="0.2">
      <c r="B12" s="4">
        <v>9</v>
      </c>
      <c r="C12" s="4">
        <v>956</v>
      </c>
      <c r="D12" s="23">
        <v>1047293.806461498</v>
      </c>
      <c r="E12" s="33">
        <v>142.41028158300111</v>
      </c>
      <c r="F12" s="5">
        <v>10</v>
      </c>
      <c r="G12" s="23">
        <v>89</v>
      </c>
      <c r="H12" s="33">
        <v>1237.9517056669033</v>
      </c>
      <c r="I12" s="23">
        <v>33.338921220455795</v>
      </c>
      <c r="J12" s="5">
        <v>6609.0816039429992</v>
      </c>
      <c r="K12" s="31"/>
      <c r="L12" s="23">
        <v>1193697.982901714</v>
      </c>
      <c r="M12" s="33">
        <v>49.157131374999153</v>
      </c>
      <c r="N12" s="5">
        <v>15</v>
      </c>
      <c r="O12" s="5">
        <v>79</v>
      </c>
      <c r="P12" s="33">
        <v>975.94275110620981</v>
      </c>
      <c r="Q12" s="5">
        <v>19.086205097296148</v>
      </c>
      <c r="R12" s="5">
        <v>5831.4093101156968</v>
      </c>
      <c r="S12" s="35"/>
      <c r="T12" s="23">
        <v>1286869.33501871</v>
      </c>
      <c r="U12" s="33">
        <v>64.451472249998915</v>
      </c>
      <c r="V12" s="5">
        <v>8</v>
      </c>
      <c r="W12" s="5">
        <v>66</v>
      </c>
      <c r="X12" s="33">
        <v>1195.3026130692595</v>
      </c>
      <c r="Y12" s="5">
        <v>46.158730768145105</v>
      </c>
      <c r="Z12" s="5">
        <v>6758.6364439201952</v>
      </c>
      <c r="AA12" s="35"/>
    </row>
    <row r="13" spans="2:27" x14ac:dyDescent="0.2">
      <c r="B13" s="4">
        <v>10</v>
      </c>
      <c r="C13" s="4">
        <v>965</v>
      </c>
      <c r="D13" s="23">
        <v>1047208.19748013</v>
      </c>
      <c r="E13" s="33">
        <v>133.60343954199931</v>
      </c>
      <c r="F13" s="5">
        <v>10</v>
      </c>
      <c r="G13" s="23">
        <v>89</v>
      </c>
      <c r="H13" s="33">
        <v>1232.6594188882543</v>
      </c>
      <c r="I13" s="23">
        <v>33.630781622950927</v>
      </c>
      <c r="J13" s="5">
        <v>6585.2424149684348</v>
      </c>
      <c r="K13" s="31"/>
      <c r="L13" s="23">
        <v>1185807.4774787489</v>
      </c>
      <c r="M13" s="33">
        <v>73.333473833998141</v>
      </c>
      <c r="N13" s="5">
        <v>16</v>
      </c>
      <c r="O13" s="5">
        <v>83</v>
      </c>
      <c r="P13" s="33">
        <v>1180.5296213457723</v>
      </c>
      <c r="Q13" s="5">
        <v>19.187022267800469</v>
      </c>
      <c r="R13" s="5">
        <v>6031.9894031412541</v>
      </c>
      <c r="S13" s="35"/>
      <c r="T13" s="23">
        <v>1280838.620129924</v>
      </c>
      <c r="U13" s="33">
        <v>181.12745066700151</v>
      </c>
      <c r="V13" s="5">
        <v>8</v>
      </c>
      <c r="W13" s="5">
        <v>66</v>
      </c>
      <c r="X13" s="33">
        <v>1250.0846471014356</v>
      </c>
      <c r="Y13" s="5">
        <v>47.147964490625981</v>
      </c>
      <c r="Z13" s="5">
        <v>6721.3471641497808</v>
      </c>
      <c r="AA13" s="35"/>
    </row>
    <row r="14" spans="2:27" x14ac:dyDescent="0.2">
      <c r="B14" s="47" t="s">
        <v>3</v>
      </c>
      <c r="C14" s="48"/>
      <c r="D14" s="9">
        <f>MIN(D4:D13)</f>
        <v>1009255.623355802</v>
      </c>
      <c r="E14" s="22">
        <f>INDEX(E4:E13, MATCH($D$14, D4:D13, 0))</f>
        <v>46.492284874999307</v>
      </c>
      <c r="F14" s="9">
        <f>INDEX(F4:F13, MATCH($D$14, D4:D13, 0))</f>
        <v>9</v>
      </c>
      <c r="G14" s="9">
        <f>INDEX(G4:G13, MATCH($D$14, D4:D13, 0))</f>
        <v>90</v>
      </c>
      <c r="H14" s="22">
        <f>INDEX(H4:H13, MATCH($D$14, D4:D13, 0))</f>
        <v>1257.6713452479735</v>
      </c>
      <c r="I14" s="22">
        <f>INDEX(I4:I13, MATCH($D$14, D4:D13, 0))</f>
        <v>37.94406789107834</v>
      </c>
      <c r="J14" s="22">
        <f>INDEX(J4:J13, MATCH($D$14, D4:D13, 0))</f>
        <v>6513.807226471331</v>
      </c>
      <c r="K14" s="32" t="e">
        <f>(D14-$D$15)/$D$15</f>
        <v>#DIV/0!</v>
      </c>
      <c r="L14" s="16">
        <f>MIN(L4:L13)</f>
        <v>1173832.890289129</v>
      </c>
      <c r="M14" s="21">
        <f>INDEX(M4:M13, MATCH($L$14, L4:L13, 0))</f>
        <v>149.6374999579966</v>
      </c>
      <c r="N14" s="16">
        <f>INDEX(N4:N13, MATCH($L$14, L4:L13, 0))</f>
        <v>16</v>
      </c>
      <c r="O14" s="16">
        <f>INDEX(O4:O13, MATCH($L$14, L4:L13, 0))</f>
        <v>82</v>
      </c>
      <c r="P14" s="21">
        <f>INDEX(P4:P13, MATCH($L$14, L4:L13, 0))</f>
        <v>992.11930741527988</v>
      </c>
      <c r="Q14" s="21">
        <f>INDEX(Q4:Q13, MATCH($L$14, L4:L13, 0))</f>
        <v>18.873243560392869</v>
      </c>
      <c r="R14" s="21">
        <f>INDEX(R4:R13, MATCH($L$14, L4:L13, 0))</f>
        <v>5800.9599631637566</v>
      </c>
      <c r="S14" s="36" t="e">
        <f>(L14-$D$15)/$D$15</f>
        <v>#DIV/0!</v>
      </c>
      <c r="T14" s="38">
        <f>MIN(T4:T13)</f>
        <v>1280838.620129924</v>
      </c>
      <c r="U14" s="39">
        <f>INDEX(U4:U13, MATCH($T$14, T4:T13, 0))</f>
        <v>181.12745066700151</v>
      </c>
      <c r="V14" s="38">
        <f>INDEX(V4:V13, MATCH($T$14, T4:T13, 0))</f>
        <v>8</v>
      </c>
      <c r="W14" s="38">
        <f>INDEX(W4:W13, MATCH($T$14, T4:T13, 0))</f>
        <v>66</v>
      </c>
      <c r="X14" s="39">
        <f>INDEX(X4:X13, MATCH($T$14, T4:T13, 0))</f>
        <v>1250.0846471014356</v>
      </c>
      <c r="Y14" s="39">
        <f>INDEX(Y4:Y13, MATCH($T$14, T4:T13, 0))</f>
        <v>47.147964490625981</v>
      </c>
      <c r="Z14" s="39">
        <f>INDEX(Z4:Z13, MATCH($T$14, T4:T13, 0))</f>
        <v>6721.3471641497808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0.16306797121040864</v>
      </c>
      <c r="M15" s="46">
        <f t="shared" ref="M15:R15" si="0">(M14-E14)/E14</f>
        <v>2.2185447620033498</v>
      </c>
      <c r="N15" s="46">
        <f t="shared" si="0"/>
        <v>0.77777777777777779</v>
      </c>
      <c r="O15" s="46">
        <f t="shared" si="0"/>
        <v>-8.8888888888888892E-2</v>
      </c>
      <c r="P15" s="46">
        <f t="shared" si="0"/>
        <v>-0.21114581232693588</v>
      </c>
      <c r="Q15" s="46">
        <f t="shared" si="0"/>
        <v>-0.50260357917948828</v>
      </c>
      <c r="R15" s="46">
        <f t="shared" si="0"/>
        <v>-0.10943634629079114</v>
      </c>
      <c r="T15" s="46">
        <f>(T14-D14)/D14</f>
        <v>0.26909237906557432</v>
      </c>
      <c r="U15" s="46">
        <f t="shared" ref="U15:Z15" si="1">(U14-E14)/E14</f>
        <v>2.8958603810070156</v>
      </c>
      <c r="V15" s="46">
        <f t="shared" si="1"/>
        <v>-0.1111111111111111</v>
      </c>
      <c r="W15" s="46">
        <f t="shared" si="1"/>
        <v>-0.26666666666666666</v>
      </c>
      <c r="X15" s="46">
        <f t="shared" si="1"/>
        <v>-6.0323376017142188E-3</v>
      </c>
      <c r="Y15" s="46">
        <f t="shared" si="1"/>
        <v>0.24256483585176489</v>
      </c>
      <c r="Z15" s="46">
        <f t="shared" si="1"/>
        <v>3.1861541255785476E-2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048576">
    <cfRule type="duplicateValues" dxfId="109" priority="5"/>
    <cfRule type="duplicateValues" dxfId="108" priority="6"/>
  </conditionalFormatting>
  <conditionalFormatting sqref="C14">
    <cfRule type="duplicateValues" dxfId="107" priority="3"/>
    <cfRule type="duplicateValues" dxfId="106" priority="4"/>
  </conditionalFormatting>
  <conditionalFormatting sqref="C15">
    <cfRule type="duplicateValues" dxfId="105" priority="1"/>
    <cfRule type="duplicateValues" dxfId="104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F745-00CD-B845-94C0-790CEEF59CBC}">
  <dimension ref="B1:AA17"/>
  <sheetViews>
    <sheetView zoomScale="118" zoomScaleNormal="120" workbookViewId="0">
      <selection activeCell="A17" sqref="A17:XFD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-0.97223253724180403</v>
      </c>
      <c r="J2" s="28" t="e">
        <f>(S14-J14)/J14</f>
        <v>#DIV/0!</v>
      </c>
      <c r="K2" s="28"/>
      <c r="L2" s="1" t="s">
        <v>19</v>
      </c>
      <c r="P2" s="1">
        <f>(P14-H14)/H14</f>
        <v>-0.19527212221225435</v>
      </c>
      <c r="R2" s="1">
        <f>(R14-J14)/J14</f>
        <v>-0.14149451588236703</v>
      </c>
      <c r="T2" s="1" t="s">
        <v>20</v>
      </c>
      <c r="X2" s="1">
        <f>(X14-P14)/P14</f>
        <v>1.2669449515775117</v>
      </c>
      <c r="Z2" s="1">
        <f>(Z14-R14)/R14</f>
        <v>0.37226818454862393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</v>
      </c>
      <c r="D4" s="23">
        <v>841265.59677013895</v>
      </c>
      <c r="E4" s="33">
        <v>51.726819999999861</v>
      </c>
      <c r="F4" s="5">
        <v>10</v>
      </c>
      <c r="G4" s="23">
        <v>95</v>
      </c>
      <c r="H4" s="33">
        <v>813.24250869891898</v>
      </c>
      <c r="I4" s="23">
        <v>43.773026383569551</v>
      </c>
      <c r="J4" s="5">
        <v>5748.4828580474741</v>
      </c>
      <c r="K4" s="31"/>
      <c r="L4" s="23">
        <v>1081802.237928252</v>
      </c>
      <c r="M4" s="33">
        <v>146.04202462499961</v>
      </c>
      <c r="N4" s="5">
        <v>20</v>
      </c>
      <c r="O4" s="5">
        <v>88</v>
      </c>
      <c r="P4" s="33">
        <v>794.63784137186076</v>
      </c>
      <c r="Q4" s="5">
        <v>19.792235481364354</v>
      </c>
      <c r="R4" s="5">
        <v>5122.2761089913047</v>
      </c>
      <c r="S4" s="35"/>
      <c r="T4" s="23">
        <v>1183531.697005098</v>
      </c>
      <c r="U4" s="33">
        <v>42.885264459000609</v>
      </c>
      <c r="V4" s="5">
        <v>9</v>
      </c>
      <c r="W4" s="5">
        <v>73</v>
      </c>
      <c r="X4" s="33">
        <v>1279.9105239115011</v>
      </c>
      <c r="Y4" s="5">
        <v>64.900987677273562</v>
      </c>
      <c r="Z4" s="5">
        <v>6619.7480784365853</v>
      </c>
      <c r="AA4" s="35"/>
    </row>
    <row r="5" spans="2:27" x14ac:dyDescent="0.2">
      <c r="B5" s="4">
        <v>2</v>
      </c>
      <c r="C5" s="4">
        <v>50</v>
      </c>
      <c r="D5" s="23">
        <v>840081.54234725807</v>
      </c>
      <c r="E5" s="33">
        <v>66.585687834001874</v>
      </c>
      <c r="F5" s="5">
        <v>10</v>
      </c>
      <c r="G5" s="23">
        <v>94</v>
      </c>
      <c r="H5" s="33">
        <v>754.27361909300259</v>
      </c>
      <c r="I5" s="23">
        <v>43.145281822330695</v>
      </c>
      <c r="J5" s="5">
        <v>5660.8595362974856</v>
      </c>
      <c r="K5" s="31"/>
      <c r="L5" s="23">
        <v>1088424.969871155</v>
      </c>
      <c r="M5" s="33">
        <v>165.30963645899831</v>
      </c>
      <c r="N5" s="5">
        <v>17</v>
      </c>
      <c r="O5" s="5">
        <v>82</v>
      </c>
      <c r="P5" s="33">
        <v>694.66068437755712</v>
      </c>
      <c r="Q5" s="5">
        <v>21.446521967402457</v>
      </c>
      <c r="R5" s="5">
        <v>4970.9806842457365</v>
      </c>
      <c r="S5" s="35"/>
      <c r="T5" s="23">
        <v>1166276.017754134</v>
      </c>
      <c r="U5" s="33">
        <v>65.858780750000733</v>
      </c>
      <c r="V5" s="5">
        <v>9</v>
      </c>
      <c r="W5" s="5">
        <v>74</v>
      </c>
      <c r="X5" s="33">
        <v>1376.0016013007689</v>
      </c>
      <c r="Y5" s="5">
        <v>66.012400620684076</v>
      </c>
      <c r="Z5" s="5">
        <v>6669.0572730792992</v>
      </c>
      <c r="AA5" s="35"/>
    </row>
    <row r="6" spans="2:27" x14ac:dyDescent="0.2">
      <c r="B6" s="4">
        <v>3</v>
      </c>
      <c r="C6" s="4">
        <v>99</v>
      </c>
      <c r="D6" s="23">
        <v>853347.95645014627</v>
      </c>
      <c r="E6" s="33">
        <v>49.42615074999776</v>
      </c>
      <c r="F6" s="5">
        <v>9</v>
      </c>
      <c r="G6" s="23">
        <v>94</v>
      </c>
      <c r="H6" s="33">
        <v>825.45376720572517</v>
      </c>
      <c r="I6" s="23">
        <v>48.969802435903162</v>
      </c>
      <c r="J6" s="5">
        <v>5916.2477746213908</v>
      </c>
      <c r="K6" s="31"/>
      <c r="L6" s="23">
        <v>1122362.82537799</v>
      </c>
      <c r="M6" s="33">
        <v>93.05789087499943</v>
      </c>
      <c r="N6" s="5">
        <v>16</v>
      </c>
      <c r="O6" s="5">
        <v>79</v>
      </c>
      <c r="P6" s="33">
        <v>585.63061069366347</v>
      </c>
      <c r="Q6" s="5">
        <v>22.319523948172666</v>
      </c>
      <c r="R6" s="5">
        <v>5029.9800950983872</v>
      </c>
      <c r="S6" s="35"/>
      <c r="T6" s="23">
        <v>1175504.1406519371</v>
      </c>
      <c r="U6" s="33">
        <v>74.493169666999165</v>
      </c>
      <c r="V6" s="5">
        <v>8</v>
      </c>
      <c r="W6" s="5">
        <v>72</v>
      </c>
      <c r="X6" s="33">
        <v>1204.8702618749737</v>
      </c>
      <c r="Y6" s="5">
        <v>67.676265698543119</v>
      </c>
      <c r="Z6" s="5">
        <v>6633.9350395985784</v>
      </c>
      <c r="AA6" s="35"/>
    </row>
    <row r="7" spans="2:27" x14ac:dyDescent="0.2">
      <c r="B7" s="4">
        <v>4</v>
      </c>
      <c r="C7" s="4">
        <v>286</v>
      </c>
      <c r="D7" s="23">
        <v>854226.57483351638</v>
      </c>
      <c r="E7" s="33">
        <v>44.682540375000833</v>
      </c>
      <c r="F7" s="5">
        <v>9</v>
      </c>
      <c r="G7" s="23">
        <v>94</v>
      </c>
      <c r="H7" s="33">
        <v>815.32905878190491</v>
      </c>
      <c r="I7" s="23">
        <v>48.939800975766339</v>
      </c>
      <c r="J7" s="5">
        <v>5922.522042228713</v>
      </c>
      <c r="K7" s="31"/>
      <c r="L7" s="23">
        <v>1092474.213505653</v>
      </c>
      <c r="M7" s="33">
        <v>96.410650290999911</v>
      </c>
      <c r="N7" s="5">
        <v>19</v>
      </c>
      <c r="O7" s="5">
        <v>84</v>
      </c>
      <c r="P7" s="33">
        <v>615.43996729621767</v>
      </c>
      <c r="Q7" s="5">
        <v>19.364318288884384</v>
      </c>
      <c r="R7" s="5">
        <v>4943.3357917187986</v>
      </c>
      <c r="S7" s="35"/>
      <c r="T7" s="23">
        <v>1168797.036561277</v>
      </c>
      <c r="U7" s="33">
        <v>135.97728379200271</v>
      </c>
      <c r="V7" s="5">
        <v>8</v>
      </c>
      <c r="W7" s="5">
        <v>73</v>
      </c>
      <c r="X7" s="33">
        <v>1219.6936321703088</v>
      </c>
      <c r="Y7" s="5">
        <v>65.771129042114637</v>
      </c>
      <c r="Z7" s="5">
        <v>6637.3751473789098</v>
      </c>
      <c r="AA7" s="35"/>
    </row>
    <row r="8" spans="2:27" x14ac:dyDescent="0.2">
      <c r="B8" s="4">
        <v>5</v>
      </c>
      <c r="C8" s="4">
        <v>681</v>
      </c>
      <c r="D8" s="23">
        <v>847931.34157102299</v>
      </c>
      <c r="E8" s="33">
        <v>35.785888291997253</v>
      </c>
      <c r="F8" s="5">
        <v>10</v>
      </c>
      <c r="G8" s="23">
        <v>95</v>
      </c>
      <c r="H8" s="33">
        <v>743.50540176018058</v>
      </c>
      <c r="I8" s="23">
        <v>43.919105974919354</v>
      </c>
      <c r="J8" s="5">
        <v>5885.7963669496121</v>
      </c>
      <c r="K8" s="31"/>
      <c r="L8" s="23">
        <v>1080562.0362945369</v>
      </c>
      <c r="M8" s="33">
        <v>111.66034070800011</v>
      </c>
      <c r="N8" s="5">
        <v>18</v>
      </c>
      <c r="O8" s="5">
        <v>83</v>
      </c>
      <c r="P8" s="33">
        <v>617.55146013045623</v>
      </c>
      <c r="Q8" s="5">
        <v>20.184312766637561</v>
      </c>
      <c r="R8" s="5">
        <v>4842.18673848245</v>
      </c>
      <c r="S8" s="35"/>
      <c r="T8" s="23">
        <v>1179863.927920596</v>
      </c>
      <c r="U8" s="33">
        <v>95.208856041001127</v>
      </c>
      <c r="V8" s="5">
        <v>8</v>
      </c>
      <c r="W8" s="5">
        <v>71</v>
      </c>
      <c r="X8" s="33">
        <v>1232.4952832062718</v>
      </c>
      <c r="Y8" s="5">
        <v>68.400226345569791</v>
      </c>
      <c r="Z8" s="5">
        <v>6557.5027047366593</v>
      </c>
      <c r="AA8" s="35"/>
    </row>
    <row r="9" spans="2:27" x14ac:dyDescent="0.2">
      <c r="B9" s="4">
        <v>6</v>
      </c>
      <c r="C9" s="4">
        <v>749</v>
      </c>
      <c r="D9" s="23">
        <v>853576.66553538851</v>
      </c>
      <c r="E9" s="33">
        <v>42.561708208002528</v>
      </c>
      <c r="F9" s="5">
        <v>9</v>
      </c>
      <c r="G9" s="23">
        <v>94</v>
      </c>
      <c r="H9" s="33">
        <v>793.80136496665489</v>
      </c>
      <c r="I9" s="23">
        <v>47.796588937931539</v>
      </c>
      <c r="J9" s="5">
        <v>5895.3602357257178</v>
      </c>
      <c r="K9" s="31"/>
      <c r="L9" s="23">
        <v>1075795.959771994</v>
      </c>
      <c r="M9" s="33">
        <v>124.3190589160004</v>
      </c>
      <c r="N9" s="5">
        <v>17</v>
      </c>
      <c r="O9" s="5">
        <v>82</v>
      </c>
      <c r="P9" s="33">
        <v>606.98500876399441</v>
      </c>
      <c r="Q9" s="5">
        <v>20.944264627654675</v>
      </c>
      <c r="R9" s="5">
        <v>4859.8789567309923</v>
      </c>
      <c r="S9" s="35"/>
      <c r="T9" s="23">
        <v>1180035.0337783601</v>
      </c>
      <c r="U9" s="33">
        <v>82.578883124999265</v>
      </c>
      <c r="V9" s="5">
        <v>9</v>
      </c>
      <c r="W9" s="5">
        <v>74</v>
      </c>
      <c r="X9" s="33">
        <v>1362.3971008662775</v>
      </c>
      <c r="Y9" s="5">
        <v>64.502641362027987</v>
      </c>
      <c r="Z9" s="5">
        <v>6768.7205812943084</v>
      </c>
      <c r="AA9" s="35"/>
    </row>
    <row r="10" spans="2:27" x14ac:dyDescent="0.2">
      <c r="B10" s="4">
        <v>7</v>
      </c>
      <c r="C10" s="4">
        <v>837</v>
      </c>
      <c r="D10" s="23">
        <v>853180.79793901974</v>
      </c>
      <c r="E10" s="33">
        <v>41.064174875002209</v>
      </c>
      <c r="F10" s="5">
        <v>9</v>
      </c>
      <c r="G10" s="23">
        <v>94</v>
      </c>
      <c r="H10" s="33">
        <v>752.86663017808814</v>
      </c>
      <c r="I10" s="23">
        <v>49.103772391849205</v>
      </c>
      <c r="J10" s="5">
        <v>5977.3551696994209</v>
      </c>
      <c r="K10" s="31"/>
      <c r="L10" s="23">
        <v>1096713.0229068419</v>
      </c>
      <c r="M10" s="33">
        <v>79.114790499999799</v>
      </c>
      <c r="N10" s="5">
        <v>17</v>
      </c>
      <c r="O10" s="5">
        <v>81</v>
      </c>
      <c r="P10" s="33">
        <v>627.48655735664101</v>
      </c>
      <c r="Q10" s="5">
        <v>21.247153811607639</v>
      </c>
      <c r="R10" s="5">
        <v>4890.0124741592099</v>
      </c>
      <c r="S10" s="35"/>
      <c r="T10" s="23">
        <v>1273298.9560497459</v>
      </c>
      <c r="U10" s="33">
        <v>77.373177250003209</v>
      </c>
      <c r="V10" s="5">
        <v>9</v>
      </c>
      <c r="W10" s="5">
        <v>68</v>
      </c>
      <c r="X10" s="33">
        <v>1520.3970702834258</v>
      </c>
      <c r="Y10" s="5">
        <v>60.321868318325365</v>
      </c>
      <c r="Z10" s="5">
        <v>6999.3552230834748</v>
      </c>
      <c r="AA10" s="35"/>
    </row>
    <row r="11" spans="2:27" x14ac:dyDescent="0.2">
      <c r="B11" s="4">
        <v>8</v>
      </c>
      <c r="C11" s="4">
        <v>903</v>
      </c>
      <c r="D11" s="23">
        <v>859764.86697132606</v>
      </c>
      <c r="E11" s="33">
        <v>114.9142050839982</v>
      </c>
      <c r="F11" s="5">
        <v>8</v>
      </c>
      <c r="G11" s="23">
        <v>93</v>
      </c>
      <c r="H11" s="33">
        <v>847.57347752260887</v>
      </c>
      <c r="I11" s="23">
        <v>53.401574465453706</v>
      </c>
      <c r="J11" s="5">
        <v>5980.028033582129</v>
      </c>
      <c r="K11" s="31"/>
      <c r="L11" s="23">
        <v>1080185.9473941801</v>
      </c>
      <c r="M11" s="33">
        <v>197.23637608299759</v>
      </c>
      <c r="N11" s="5">
        <v>17</v>
      </c>
      <c r="O11" s="5">
        <v>82</v>
      </c>
      <c r="P11" s="33">
        <v>570.56321393329597</v>
      </c>
      <c r="Q11" s="5">
        <v>21.062863830852457</v>
      </c>
      <c r="R11" s="5">
        <v>4913.2541860438141</v>
      </c>
      <c r="S11" s="35"/>
      <c r="T11" s="23">
        <v>1269052.109074892</v>
      </c>
      <c r="U11" s="33">
        <v>34.325933208001523</v>
      </c>
      <c r="V11" s="5">
        <v>9</v>
      </c>
      <c r="W11" s="5">
        <v>67</v>
      </c>
      <c r="X11" s="33">
        <v>1288.5776705025532</v>
      </c>
      <c r="Y11" s="5">
        <v>52.992135323983717</v>
      </c>
      <c r="Z11" s="5">
        <v>6638.643652775605</v>
      </c>
      <c r="AA11" s="35"/>
    </row>
    <row r="12" spans="2:27" x14ac:dyDescent="0.2">
      <c r="B12" s="4">
        <v>9</v>
      </c>
      <c r="C12" s="4">
        <v>907</v>
      </c>
      <c r="D12" s="23">
        <v>847880.05769784912</v>
      </c>
      <c r="E12" s="33">
        <v>47.278247375001229</v>
      </c>
      <c r="F12" s="5">
        <v>10</v>
      </c>
      <c r="G12" s="23">
        <v>95</v>
      </c>
      <c r="H12" s="33">
        <v>734.76881837603503</v>
      </c>
      <c r="I12" s="23">
        <v>43.531876736969579</v>
      </c>
      <c r="J12" s="5">
        <v>5846.8715522692628</v>
      </c>
      <c r="K12" s="31"/>
      <c r="L12" s="23">
        <v>1094786.931958524</v>
      </c>
      <c r="M12" s="33">
        <v>91.383566292002797</v>
      </c>
      <c r="N12" s="5">
        <v>21</v>
      </c>
      <c r="O12" s="5">
        <v>89</v>
      </c>
      <c r="P12" s="33">
        <v>786.31705719620243</v>
      </c>
      <c r="Q12" s="5">
        <v>19.155211704490323</v>
      </c>
      <c r="R12" s="5">
        <v>5216.4018459571244</v>
      </c>
      <c r="S12" s="35"/>
      <c r="T12" s="23">
        <v>1181578.234869401</v>
      </c>
      <c r="U12" s="33">
        <v>41.013672375000169</v>
      </c>
      <c r="V12" s="5">
        <v>8</v>
      </c>
      <c r="W12" s="5">
        <v>69</v>
      </c>
      <c r="X12" s="33">
        <v>1034.9621710946778</v>
      </c>
      <c r="Y12" s="5">
        <v>64.331222879746633</v>
      </c>
      <c r="Z12" s="5">
        <v>6273.5239054025924</v>
      </c>
      <c r="AA12" s="35"/>
    </row>
    <row r="13" spans="2:27" x14ac:dyDescent="0.2">
      <c r="B13" s="4">
        <v>10</v>
      </c>
      <c r="C13" s="4">
        <v>996</v>
      </c>
      <c r="D13" s="23">
        <v>848003.52107282705</v>
      </c>
      <c r="E13" s="33">
        <v>51.036883208002109</v>
      </c>
      <c r="F13" s="5">
        <v>10</v>
      </c>
      <c r="G13" s="23">
        <v>95</v>
      </c>
      <c r="H13" s="33">
        <v>770.40331754127772</v>
      </c>
      <c r="I13" s="23">
        <v>43.61500071533203</v>
      </c>
      <c r="J13" s="5">
        <v>5849.0220634370489</v>
      </c>
      <c r="K13" s="31"/>
      <c r="L13" s="23">
        <v>1081156.548576843</v>
      </c>
      <c r="M13" s="33">
        <v>127.12161091699819</v>
      </c>
      <c r="N13" s="5">
        <v>19</v>
      </c>
      <c r="O13" s="5">
        <v>85</v>
      </c>
      <c r="P13" s="33">
        <v>642.82319981881801</v>
      </c>
      <c r="Q13" s="5">
        <v>19.871610797274336</v>
      </c>
      <c r="R13" s="5">
        <v>4967.7752726087137</v>
      </c>
      <c r="S13" s="35"/>
      <c r="T13" s="23">
        <v>1181309.8502819201</v>
      </c>
      <c r="U13" s="33">
        <v>41.736431624998659</v>
      </c>
      <c r="V13" s="5">
        <v>8</v>
      </c>
      <c r="W13" s="5">
        <v>71</v>
      </c>
      <c r="X13" s="33">
        <v>1284.7478297412183</v>
      </c>
      <c r="Y13" s="5">
        <v>68.34410635055545</v>
      </c>
      <c r="Z13" s="5">
        <v>6597.2324642439289</v>
      </c>
      <c r="AA13" s="35"/>
    </row>
    <row r="14" spans="2:27" x14ac:dyDescent="0.2">
      <c r="B14" s="47" t="s">
        <v>3</v>
      </c>
      <c r="C14" s="48"/>
      <c r="D14" s="9">
        <f>MIN(D4:D13)</f>
        <v>840081.54234725807</v>
      </c>
      <c r="E14" s="22">
        <f>INDEX(E4:E13, MATCH($D$14, D4:D13, 0))</f>
        <v>66.585687834001874</v>
      </c>
      <c r="F14" s="9">
        <f>INDEX(F4:F13, MATCH($D$14, D4:D13, 0))</f>
        <v>10</v>
      </c>
      <c r="G14" s="9">
        <f>INDEX(G4:G13, MATCH($D$14, D4:D13, 0))</f>
        <v>94</v>
      </c>
      <c r="H14" s="22">
        <f>INDEX(H4:H13, MATCH($D$14, D4:D13, 0))</f>
        <v>754.27361909300259</v>
      </c>
      <c r="I14" s="22">
        <f>INDEX(I4:I13, MATCH($D$14, D4:D13, 0))</f>
        <v>43.145281822330695</v>
      </c>
      <c r="J14" s="22">
        <f>INDEX(J4:J13, MATCH($D$14, D4:D13, 0))</f>
        <v>5660.8595362974856</v>
      </c>
      <c r="K14" s="32" t="e">
        <f>(D14-$D$15)/$D$15</f>
        <v>#DIV/0!</v>
      </c>
      <c r="L14" s="16">
        <f>MIN(L4:L13)</f>
        <v>1075795.959771994</v>
      </c>
      <c r="M14" s="21">
        <f>INDEX(M4:M13, MATCH($L$14, L4:L13, 0))</f>
        <v>124.3190589160004</v>
      </c>
      <c r="N14" s="16">
        <f>INDEX(N4:N13, MATCH($L$14, L4:L13, 0))</f>
        <v>17</v>
      </c>
      <c r="O14" s="16">
        <f>INDEX(O4:O13, MATCH($L$14, L4:L13, 0))</f>
        <v>82</v>
      </c>
      <c r="P14" s="21">
        <f>INDEX(P4:P13, MATCH($L$14, L4:L13, 0))</f>
        <v>606.98500876399441</v>
      </c>
      <c r="Q14" s="21">
        <f>INDEX(Q4:Q13, MATCH($L$14, L4:L13, 0))</f>
        <v>20.944264627654675</v>
      </c>
      <c r="R14" s="21">
        <f>INDEX(R4:R13, MATCH($L$14, L4:L13, 0))</f>
        <v>4859.8789567309923</v>
      </c>
      <c r="S14" s="36" t="e">
        <f>(L14-$D$15)/$D$15</f>
        <v>#DIV/0!</v>
      </c>
      <c r="T14" s="38">
        <f>MIN(T4:T13)</f>
        <v>1166276.017754134</v>
      </c>
      <c r="U14" s="39">
        <f>INDEX(U4:U13, MATCH($T$14, T4:T13, 0))</f>
        <v>65.858780750000733</v>
      </c>
      <c r="V14" s="38">
        <f>INDEX(V4:V13, MATCH($T$14, T4:T13, 0))</f>
        <v>9</v>
      </c>
      <c r="W14" s="38">
        <f>INDEX(W4:W13, MATCH($T$14, T4:T13, 0))</f>
        <v>74</v>
      </c>
      <c r="X14" s="39">
        <f>INDEX(X4:X13, MATCH($T$14, T4:T13, 0))</f>
        <v>1376.0016013007689</v>
      </c>
      <c r="Y14" s="39">
        <f>INDEX(Y4:Y13, MATCH($T$14, T4:T13, 0))</f>
        <v>66.012400620684076</v>
      </c>
      <c r="Z14" s="39">
        <f>INDEX(Z4:Z13, MATCH($T$14, T4:T13, 0))</f>
        <v>6669.0572730792992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0.2805851641093437</v>
      </c>
      <c r="M15" s="46">
        <f t="shared" ref="M15:R15" si="0">(M14-E14)/E14</f>
        <v>0.86705376125163458</v>
      </c>
      <c r="N15" s="46">
        <f t="shared" si="0"/>
        <v>0.7</v>
      </c>
      <c r="O15" s="46">
        <f t="shared" si="0"/>
        <v>-0.1276595744680851</v>
      </c>
      <c r="P15" s="46">
        <f t="shared" si="0"/>
        <v>-0.19527212221225435</v>
      </c>
      <c r="Q15" s="46">
        <f t="shared" si="0"/>
        <v>-0.51456419466903203</v>
      </c>
      <c r="R15" s="46">
        <f t="shared" si="0"/>
        <v>-0.14149451588236703</v>
      </c>
      <c r="T15" s="46">
        <f>(T14-D14)/D14</f>
        <v>0.38828906357763954</v>
      </c>
      <c r="U15" s="46">
        <f t="shared" ref="U15:Z15" si="1">(U14-E14)/E14</f>
        <v>-1.0916866786948577E-2</v>
      </c>
      <c r="V15" s="46">
        <f t="shared" si="1"/>
        <v>-0.1</v>
      </c>
      <c r="W15" s="46">
        <f t="shared" si="1"/>
        <v>-0.21276595744680851</v>
      </c>
      <c r="X15" s="46">
        <f t="shared" si="1"/>
        <v>0.82427379994461492</v>
      </c>
      <c r="Y15" s="46">
        <f t="shared" si="1"/>
        <v>0.53000276814782676</v>
      </c>
      <c r="Z15" s="46">
        <f t="shared" si="1"/>
        <v>0.1780997621151417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24:C1048576">
    <cfRule type="duplicateValues" dxfId="103" priority="7"/>
    <cfRule type="duplicateValues" dxfId="102" priority="8"/>
  </conditionalFormatting>
  <conditionalFormatting sqref="C14">
    <cfRule type="duplicateValues" dxfId="101" priority="5"/>
    <cfRule type="duplicateValues" dxfId="100" priority="6"/>
  </conditionalFormatting>
  <conditionalFormatting sqref="C15">
    <cfRule type="duplicateValues" dxfId="99" priority="3"/>
    <cfRule type="duplicateValues" dxfId="98" priority="4"/>
  </conditionalFormatting>
  <conditionalFormatting sqref="C17:C23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CC54-F7A0-3E4F-AFC6-74D499DF33F7}">
  <dimension ref="B1:AA17"/>
  <sheetViews>
    <sheetView zoomScale="120" zoomScaleNormal="120" workbookViewId="0">
      <selection activeCell="A17" sqref="A17:XFD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-0.97798760084167913</v>
      </c>
      <c r="J2" s="28" t="e">
        <f>(S14-J14)/J14</f>
        <v>#DIV/0!</v>
      </c>
      <c r="K2" s="28"/>
      <c r="L2" s="1" t="s">
        <v>19</v>
      </c>
      <c r="P2" s="1">
        <f>(P14-H14)/H14</f>
        <v>-0.27039270221758066</v>
      </c>
      <c r="R2" s="1">
        <f>(R14-J14)/J14</f>
        <v>-0.13799199938014356</v>
      </c>
      <c r="T2" s="1" t="s">
        <v>20</v>
      </c>
      <c r="X2" s="1">
        <f>(X14-P14)/P14</f>
        <v>1.0089880133354014</v>
      </c>
      <c r="Z2" s="1">
        <f>(Z14-R14)/R14</f>
        <v>0.31350907519615157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297</v>
      </c>
      <c r="D4" s="23">
        <v>924131.28868719842</v>
      </c>
      <c r="E4" s="33">
        <v>119.58361737499941</v>
      </c>
      <c r="F4" s="5">
        <v>9</v>
      </c>
      <c r="G4" s="23">
        <v>90</v>
      </c>
      <c r="H4" s="33">
        <v>882.50587446762381</v>
      </c>
      <c r="I4" s="23">
        <v>40.910436104427816</v>
      </c>
      <c r="J4" s="5">
        <v>5947.164116811201</v>
      </c>
      <c r="K4" s="31"/>
      <c r="L4" s="23">
        <v>1230910.459934924</v>
      </c>
      <c r="M4" s="33">
        <v>117.58482749999889</v>
      </c>
      <c r="N4" s="5">
        <v>15</v>
      </c>
      <c r="O4" s="5">
        <v>75</v>
      </c>
      <c r="P4" s="33">
        <v>845.89240952005514</v>
      </c>
      <c r="Q4" s="5">
        <v>19.880687251468668</v>
      </c>
      <c r="R4" s="5">
        <v>5649.6772329229871</v>
      </c>
      <c r="S4" s="35"/>
      <c r="T4" s="23">
        <v>1311216.5446095951</v>
      </c>
      <c r="U4" s="33">
        <v>29.396089083002149</v>
      </c>
      <c r="V4" s="5">
        <v>7</v>
      </c>
      <c r="W4" s="5">
        <v>62</v>
      </c>
      <c r="X4" s="33">
        <v>1111.3528223148314</v>
      </c>
      <c r="Y4" s="5">
        <v>51.871643604657983</v>
      </c>
      <c r="Z4" s="5">
        <v>6781.576314202458</v>
      </c>
      <c r="AA4" s="35"/>
    </row>
    <row r="5" spans="2:27" x14ac:dyDescent="0.2">
      <c r="B5" s="4">
        <v>2</v>
      </c>
      <c r="C5" s="4">
        <v>399</v>
      </c>
      <c r="D5" s="23">
        <v>1007989.614263547</v>
      </c>
      <c r="E5" s="33">
        <v>48.417698749999538</v>
      </c>
      <c r="F5" s="5">
        <v>9</v>
      </c>
      <c r="G5" s="23">
        <v>89</v>
      </c>
      <c r="H5" s="33">
        <v>1049.6704756774948</v>
      </c>
      <c r="I5" s="23">
        <v>39.638550150266298</v>
      </c>
      <c r="J5" s="5">
        <v>6501.1657521575353</v>
      </c>
      <c r="K5" s="31"/>
      <c r="L5" s="23">
        <v>1215936.742059296</v>
      </c>
      <c r="M5" s="33">
        <v>167.15902925000049</v>
      </c>
      <c r="N5" s="5">
        <v>14</v>
      </c>
      <c r="O5" s="5">
        <v>71</v>
      </c>
      <c r="P5" s="33">
        <v>649.604378686475</v>
      </c>
      <c r="Q5" s="5">
        <v>19.598694972077958</v>
      </c>
      <c r="R5" s="5">
        <v>5113.2028241857688</v>
      </c>
      <c r="S5" s="35"/>
      <c r="T5" s="23">
        <v>1247971.7406709581</v>
      </c>
      <c r="U5" s="33">
        <v>86.777741666999646</v>
      </c>
      <c r="V5" s="5">
        <v>8</v>
      </c>
      <c r="W5" s="5">
        <v>67</v>
      </c>
      <c r="X5" s="33">
        <v>1066.7949324020467</v>
      </c>
      <c r="Y5" s="5">
        <v>55.341549402988669</v>
      </c>
      <c r="Z5" s="5">
        <v>6641.9045951085118</v>
      </c>
      <c r="AA5" s="35"/>
    </row>
    <row r="6" spans="2:27" x14ac:dyDescent="0.2">
      <c r="B6" s="4">
        <v>3</v>
      </c>
      <c r="C6" s="4">
        <v>474</v>
      </c>
      <c r="D6" s="23">
        <v>924231.37568572455</v>
      </c>
      <c r="E6" s="33">
        <v>119.25461062500111</v>
      </c>
      <c r="F6" s="5">
        <v>9</v>
      </c>
      <c r="G6" s="23">
        <v>91</v>
      </c>
      <c r="H6" s="33">
        <v>923.07582522146777</v>
      </c>
      <c r="I6" s="23">
        <v>41.309745915283131</v>
      </c>
      <c r="J6" s="5">
        <v>6015.8713867573688</v>
      </c>
      <c r="K6" s="31"/>
      <c r="L6" s="23">
        <v>1225880.659179671</v>
      </c>
      <c r="M6" s="33">
        <v>100.97143604200031</v>
      </c>
      <c r="N6" s="5">
        <v>16</v>
      </c>
      <c r="O6" s="5">
        <v>76</v>
      </c>
      <c r="P6" s="33">
        <v>904.33940039127356</v>
      </c>
      <c r="Q6" s="5">
        <v>19.103077286276466</v>
      </c>
      <c r="R6" s="5">
        <v>5509.6017013861274</v>
      </c>
      <c r="S6" s="35"/>
      <c r="T6" s="23">
        <v>1325896.8560194981</v>
      </c>
      <c r="U6" s="33">
        <v>38.597424375002447</v>
      </c>
      <c r="V6" s="5">
        <v>6</v>
      </c>
      <c r="W6" s="5">
        <v>59</v>
      </c>
      <c r="X6" s="33">
        <v>943.45704729635531</v>
      </c>
      <c r="Y6" s="5">
        <v>55.184511998284002</v>
      </c>
      <c r="Z6" s="5">
        <v>6669.4386665739048</v>
      </c>
      <c r="AA6" s="35"/>
    </row>
    <row r="7" spans="2:27" x14ac:dyDescent="0.2">
      <c r="B7" s="4">
        <v>4</v>
      </c>
      <c r="C7" s="4">
        <v>500</v>
      </c>
      <c r="D7" s="23">
        <v>948502.61692114768</v>
      </c>
      <c r="E7" s="33">
        <v>60.51321433299745</v>
      </c>
      <c r="F7" s="5">
        <v>9</v>
      </c>
      <c r="G7" s="23">
        <v>90</v>
      </c>
      <c r="H7" s="33">
        <v>974.5766839851857</v>
      </c>
      <c r="I7" s="23">
        <v>41.147959677383106</v>
      </c>
      <c r="J7" s="5">
        <v>6123.1711977946907</v>
      </c>
      <c r="K7" s="31"/>
      <c r="L7" s="23">
        <v>1224326.242217259</v>
      </c>
      <c r="M7" s="33">
        <v>61.122357249998458</v>
      </c>
      <c r="N7" s="5">
        <v>15</v>
      </c>
      <c r="O7" s="5">
        <v>73</v>
      </c>
      <c r="P7" s="33">
        <v>770.19159127814373</v>
      </c>
      <c r="Q7" s="5">
        <v>19.31688874497636</v>
      </c>
      <c r="R7" s="5">
        <v>5286.7231906913858</v>
      </c>
      <c r="S7" s="35"/>
      <c r="T7" s="23">
        <v>1332827.07088954</v>
      </c>
      <c r="U7" s="33">
        <v>40.146133457998083</v>
      </c>
      <c r="V7" s="5">
        <v>6</v>
      </c>
      <c r="W7" s="5">
        <v>59</v>
      </c>
      <c r="X7" s="33">
        <v>1074.5569864335268</v>
      </c>
      <c r="Y7" s="5">
        <v>56.26901324652875</v>
      </c>
      <c r="Z7" s="5">
        <v>6830.8524128639056</v>
      </c>
      <c r="AA7" s="35"/>
    </row>
    <row r="8" spans="2:27" x14ac:dyDescent="0.2">
      <c r="B8" s="4">
        <v>5</v>
      </c>
      <c r="C8" s="4">
        <v>516</v>
      </c>
      <c r="D8" s="23">
        <v>932126.65878907859</v>
      </c>
      <c r="E8" s="33">
        <v>102.2523110000002</v>
      </c>
      <c r="F8" s="5">
        <v>9</v>
      </c>
      <c r="G8" s="23">
        <v>90</v>
      </c>
      <c r="H8" s="33">
        <v>893.8784194525939</v>
      </c>
      <c r="I8" s="23">
        <v>40.856894750415989</v>
      </c>
      <c r="J8" s="5">
        <v>6005.0669230451585</v>
      </c>
      <c r="K8" s="31"/>
      <c r="L8" s="23">
        <v>1217287.442026424</v>
      </c>
      <c r="M8" s="33">
        <v>139.26390379199799</v>
      </c>
      <c r="N8" s="5">
        <v>15</v>
      </c>
      <c r="O8" s="5">
        <v>75</v>
      </c>
      <c r="P8" s="33">
        <v>828.58966970384631</v>
      </c>
      <c r="Q8" s="5">
        <v>19.896822720043247</v>
      </c>
      <c r="R8" s="5">
        <v>5476.7915487377559</v>
      </c>
      <c r="S8" s="35"/>
      <c r="T8" s="23">
        <v>1259367.10631144</v>
      </c>
      <c r="U8" s="33">
        <v>37.785293375000037</v>
      </c>
      <c r="V8" s="5">
        <v>7</v>
      </c>
      <c r="W8" s="5">
        <v>65</v>
      </c>
      <c r="X8" s="33">
        <v>1035.0246462636878</v>
      </c>
      <c r="Y8" s="5">
        <v>56.665199252077699</v>
      </c>
      <c r="Z8" s="5">
        <v>6588.5451549359796</v>
      </c>
      <c r="AA8" s="35"/>
    </row>
    <row r="9" spans="2:27" x14ac:dyDescent="0.2">
      <c r="B9" s="4">
        <v>6</v>
      </c>
      <c r="C9" s="4">
        <v>530</v>
      </c>
      <c r="D9" s="23">
        <v>946788.12036648707</v>
      </c>
      <c r="E9" s="33">
        <v>41.070228582997522</v>
      </c>
      <c r="F9" s="5">
        <v>9</v>
      </c>
      <c r="G9" s="23">
        <v>91</v>
      </c>
      <c r="H9" s="33">
        <v>1021.1487522255649</v>
      </c>
      <c r="I9" s="23">
        <v>41.861997567607439</v>
      </c>
      <c r="J9" s="5">
        <v>6241.9187631485765</v>
      </c>
      <c r="K9" s="31"/>
      <c r="L9" s="23">
        <v>1224549.7073550511</v>
      </c>
      <c r="M9" s="33">
        <v>112.5158289999999</v>
      </c>
      <c r="N9" s="5">
        <v>15</v>
      </c>
      <c r="O9" s="5">
        <v>75</v>
      </c>
      <c r="P9" s="33">
        <v>874.03700177463452</v>
      </c>
      <c r="Q9" s="5">
        <v>20.064548732528234</v>
      </c>
      <c r="R9" s="5">
        <v>5544.0751607914726</v>
      </c>
      <c r="S9" s="35"/>
      <c r="T9" s="23">
        <v>1235630.4418502341</v>
      </c>
      <c r="U9" s="33">
        <v>104.99113737500009</v>
      </c>
      <c r="V9" s="5">
        <v>9</v>
      </c>
      <c r="W9" s="5">
        <v>70</v>
      </c>
      <c r="X9" s="33">
        <v>1281.8748639448113</v>
      </c>
      <c r="Y9" s="5">
        <v>49.985111647393893</v>
      </c>
      <c r="Z9" s="5">
        <v>6660.6631404009613</v>
      </c>
      <c r="AA9" s="35"/>
    </row>
    <row r="10" spans="2:27" x14ac:dyDescent="0.2">
      <c r="B10" s="4">
        <v>7</v>
      </c>
      <c r="C10" s="4">
        <v>596</v>
      </c>
      <c r="D10" s="23">
        <v>924192.05433515226</v>
      </c>
      <c r="E10" s="33">
        <v>72.801780666999548</v>
      </c>
      <c r="F10" s="5">
        <v>9</v>
      </c>
      <c r="G10" s="23">
        <v>90</v>
      </c>
      <c r="H10" s="33">
        <v>865.65406132943644</v>
      </c>
      <c r="I10" s="23">
        <v>40.860937500753749</v>
      </c>
      <c r="J10" s="5">
        <v>5943.9621973092399</v>
      </c>
      <c r="K10" s="31"/>
      <c r="L10" s="23">
        <v>1219403.150176113</v>
      </c>
      <c r="M10" s="33">
        <v>241.2166373750006</v>
      </c>
      <c r="N10" s="5">
        <v>15</v>
      </c>
      <c r="O10" s="5">
        <v>75</v>
      </c>
      <c r="P10" s="33">
        <v>838.0800010345298</v>
      </c>
      <c r="Q10" s="5">
        <v>19.958112516746517</v>
      </c>
      <c r="R10" s="5">
        <v>5549.6513015989012</v>
      </c>
      <c r="S10" s="35"/>
      <c r="T10" s="23">
        <v>1246516.55997952</v>
      </c>
      <c r="U10" s="33">
        <v>39.638551042000472</v>
      </c>
      <c r="V10" s="5">
        <v>8</v>
      </c>
      <c r="W10" s="5">
        <v>66</v>
      </c>
      <c r="X10" s="33">
        <v>972.17094388715134</v>
      </c>
      <c r="Y10" s="5">
        <v>53.932425864047644</v>
      </c>
      <c r="Z10" s="5">
        <v>6460.2612095935428</v>
      </c>
      <c r="AA10" s="35"/>
    </row>
    <row r="11" spans="2:27" x14ac:dyDescent="0.2">
      <c r="B11" s="4">
        <v>8</v>
      </c>
      <c r="C11" s="4">
        <v>684</v>
      </c>
      <c r="D11" s="23">
        <v>924089.58427340817</v>
      </c>
      <c r="E11" s="33">
        <v>77.874014208999142</v>
      </c>
      <c r="F11" s="5">
        <v>9</v>
      </c>
      <c r="G11" s="23">
        <v>90</v>
      </c>
      <c r="H11" s="33">
        <v>843.78077191038142</v>
      </c>
      <c r="I11" s="23">
        <v>40.862240647084519</v>
      </c>
      <c r="J11" s="5">
        <v>5945.289480962886</v>
      </c>
      <c r="K11" s="31"/>
      <c r="L11" s="23">
        <v>1231728.796629423</v>
      </c>
      <c r="M11" s="33">
        <v>96.407953583999188</v>
      </c>
      <c r="N11" s="5">
        <v>16</v>
      </c>
      <c r="O11" s="5">
        <v>74</v>
      </c>
      <c r="P11" s="33">
        <v>794.00306790203138</v>
      </c>
      <c r="Q11" s="5">
        <v>17.936679815871404</v>
      </c>
      <c r="R11" s="5">
        <v>5320.9386015018536</v>
      </c>
      <c r="S11" s="35"/>
      <c r="T11" s="23">
        <v>1284936.6264354039</v>
      </c>
      <c r="U11" s="33">
        <v>54.591740916999697</v>
      </c>
      <c r="V11" s="5">
        <v>6</v>
      </c>
      <c r="W11" s="5">
        <v>61</v>
      </c>
      <c r="X11" s="33">
        <v>865.65931134944253</v>
      </c>
      <c r="Y11" s="5">
        <v>60.567266293057578</v>
      </c>
      <c r="Z11" s="5">
        <v>6521.6912671462278</v>
      </c>
      <c r="AA11" s="35"/>
    </row>
    <row r="12" spans="2:27" x14ac:dyDescent="0.2">
      <c r="B12" s="4">
        <v>9</v>
      </c>
      <c r="C12" s="4">
        <v>760</v>
      </c>
      <c r="D12" s="23">
        <v>995562.20413621934</v>
      </c>
      <c r="E12" s="33">
        <v>88.316708875001495</v>
      </c>
      <c r="F12" s="5">
        <v>9</v>
      </c>
      <c r="G12" s="23">
        <v>89</v>
      </c>
      <c r="H12" s="33">
        <v>1095.2774155842712</v>
      </c>
      <c r="I12" s="23">
        <v>39.683540064432627</v>
      </c>
      <c r="J12" s="5">
        <v>6406.4330698779722</v>
      </c>
      <c r="K12" s="31"/>
      <c r="L12" s="23">
        <v>1248382.463829166</v>
      </c>
      <c r="M12" s="33">
        <v>55.255881707998917</v>
      </c>
      <c r="N12" s="5">
        <v>15</v>
      </c>
      <c r="O12" s="5">
        <v>73</v>
      </c>
      <c r="P12" s="33">
        <v>874.6064584735476</v>
      </c>
      <c r="Q12" s="5">
        <v>19.108785495114418</v>
      </c>
      <c r="R12" s="5">
        <v>5484.1378431790408</v>
      </c>
      <c r="S12" s="35"/>
      <c r="T12" s="23">
        <v>1216259.8012594611</v>
      </c>
      <c r="U12" s="33">
        <v>70.907157541998458</v>
      </c>
      <c r="V12" s="5">
        <v>9</v>
      </c>
      <c r="W12" s="5">
        <v>72</v>
      </c>
      <c r="X12" s="33">
        <v>1368.8967780855212</v>
      </c>
      <c r="Y12" s="5">
        <v>54.164071100874601</v>
      </c>
      <c r="Z12" s="5">
        <v>6704.9755594019798</v>
      </c>
      <c r="AA12" s="35"/>
    </row>
    <row r="13" spans="2:27" x14ac:dyDescent="0.2">
      <c r="B13" s="4">
        <v>10</v>
      </c>
      <c r="C13" s="4">
        <v>902</v>
      </c>
      <c r="D13" s="23">
        <v>923876.48224449821</v>
      </c>
      <c r="E13" s="33">
        <v>79.120659708001767</v>
      </c>
      <c r="F13" s="5">
        <v>9</v>
      </c>
      <c r="G13" s="23">
        <v>90</v>
      </c>
      <c r="H13" s="33">
        <v>890.34797302726201</v>
      </c>
      <c r="I13" s="23">
        <v>40.805320173621283</v>
      </c>
      <c r="J13" s="5">
        <v>5931.7347640728913</v>
      </c>
      <c r="K13" s="31"/>
      <c r="L13" s="23">
        <v>1246298.8329354741</v>
      </c>
      <c r="M13" s="33">
        <v>95.558737417002703</v>
      </c>
      <c r="N13" s="5">
        <v>18</v>
      </c>
      <c r="O13" s="5">
        <v>79</v>
      </c>
      <c r="P13" s="33">
        <v>1093.8936275518631</v>
      </c>
      <c r="Q13" s="5">
        <v>17.71043609439819</v>
      </c>
      <c r="R13" s="5">
        <v>5703.385055900284</v>
      </c>
      <c r="S13" s="35"/>
      <c r="T13" s="23">
        <v>1209446.32015807</v>
      </c>
      <c r="U13" s="33">
        <v>48.344124166997062</v>
      </c>
      <c r="V13" s="5">
        <v>9</v>
      </c>
      <c r="W13" s="5">
        <v>71</v>
      </c>
      <c r="X13" s="33">
        <v>1305.0474101913192</v>
      </c>
      <c r="Y13" s="5">
        <v>57.877300361310873</v>
      </c>
      <c r="Z13" s="5">
        <v>6716.2383128865995</v>
      </c>
      <c r="AA13" s="35"/>
    </row>
    <row r="14" spans="2:27" x14ac:dyDescent="0.2">
      <c r="B14" s="47" t="s">
        <v>3</v>
      </c>
      <c r="C14" s="48"/>
      <c r="D14" s="9">
        <f>MIN(D4:D13)</f>
        <v>923876.48224449821</v>
      </c>
      <c r="E14" s="22">
        <f>INDEX(E4:E13, MATCH($D$14, D4:D13, 0))</f>
        <v>79.120659708001767</v>
      </c>
      <c r="F14" s="9">
        <f>INDEX(F4:F13, MATCH($D$14, D4:D13, 0))</f>
        <v>9</v>
      </c>
      <c r="G14" s="9">
        <f>INDEX(G4:G13, MATCH($D$14, D4:D13, 0))</f>
        <v>90</v>
      </c>
      <c r="H14" s="22">
        <f>INDEX(H4:H13, MATCH($D$14, D4:D13, 0))</f>
        <v>890.34797302726201</v>
      </c>
      <c r="I14" s="22">
        <f>INDEX(I4:I13, MATCH($D$14, D4:D13, 0))</f>
        <v>40.805320173621283</v>
      </c>
      <c r="J14" s="22">
        <f>INDEX(J4:J13, MATCH($D$14, D4:D13, 0))</f>
        <v>5931.7347640728913</v>
      </c>
      <c r="K14" s="32" t="e">
        <f>(D14-$D$15)/$D$15</f>
        <v>#DIV/0!</v>
      </c>
      <c r="L14" s="16">
        <f>MIN(L4:L13)</f>
        <v>1215936.742059296</v>
      </c>
      <c r="M14" s="21">
        <f>INDEX(M4:M13, MATCH($L$14, L4:L13, 0))</f>
        <v>167.15902925000049</v>
      </c>
      <c r="N14" s="16">
        <f>INDEX(N4:N13, MATCH($L$14, L4:L13, 0))</f>
        <v>14</v>
      </c>
      <c r="O14" s="16">
        <f>INDEX(O4:O13, MATCH($L$14, L4:L13, 0))</f>
        <v>71</v>
      </c>
      <c r="P14" s="21">
        <f>INDEX(P4:P13, MATCH($L$14, L4:L13, 0))</f>
        <v>649.604378686475</v>
      </c>
      <c r="Q14" s="21">
        <f>INDEX(Q4:Q13, MATCH($L$14, L4:L13, 0))</f>
        <v>19.598694972077958</v>
      </c>
      <c r="R14" s="21">
        <f>INDEX(R4:R13, MATCH($L$14, L4:L13, 0))</f>
        <v>5113.2028241857688</v>
      </c>
      <c r="S14" s="36" t="e">
        <f>(L14-$D$15)/$D$15</f>
        <v>#DIV/0!</v>
      </c>
      <c r="T14" s="38">
        <f>MIN(T4:T13)</f>
        <v>1209446.32015807</v>
      </c>
      <c r="U14" s="39">
        <f>INDEX(U4:U13, MATCH($T$14, T4:T13, 0))</f>
        <v>48.344124166997062</v>
      </c>
      <c r="V14" s="38">
        <f>INDEX(V4:V13, MATCH($T$14, T4:T13, 0))</f>
        <v>9</v>
      </c>
      <c r="W14" s="38">
        <f>INDEX(W4:W13, MATCH($T$14, T4:T13, 0))</f>
        <v>71</v>
      </c>
      <c r="X14" s="39">
        <f>INDEX(X4:X13, MATCH($T$14, T4:T13, 0))</f>
        <v>1305.0474101913192</v>
      </c>
      <c r="Y14" s="39">
        <f>INDEX(Y4:Y13, MATCH($T$14, T4:T13, 0))</f>
        <v>57.877300361310873</v>
      </c>
      <c r="Z14" s="39">
        <f>INDEX(Z4:Z13, MATCH($T$14, T4:T13, 0))</f>
        <v>6716.2383128865995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0.31612479095176904</v>
      </c>
      <c r="M15" s="46">
        <f t="shared" ref="M15:R15" si="0">(M14-E14)/E14</f>
        <v>1.1127102562959934</v>
      </c>
      <c r="N15" s="46">
        <f t="shared" si="0"/>
        <v>0.55555555555555558</v>
      </c>
      <c r="O15" s="46">
        <f t="shared" si="0"/>
        <v>-0.21111111111111111</v>
      </c>
      <c r="P15" s="46">
        <f t="shared" si="0"/>
        <v>-0.27039270221758066</v>
      </c>
      <c r="Q15" s="46">
        <f t="shared" si="0"/>
        <v>-0.51970245819201799</v>
      </c>
      <c r="R15" s="46">
        <f t="shared" si="0"/>
        <v>-0.13799199938014356</v>
      </c>
      <c r="T15" s="46">
        <f>(T14-D14)/D14</f>
        <v>0.30909958571496299</v>
      </c>
      <c r="U15" s="46">
        <f t="shared" ref="U15:Z15" si="1">(U14-E14)/E14</f>
        <v>-0.3889822917880974</v>
      </c>
      <c r="V15" s="46">
        <f t="shared" si="1"/>
        <v>0</v>
      </c>
      <c r="W15" s="46">
        <f t="shared" si="1"/>
        <v>-0.21111111111111111</v>
      </c>
      <c r="X15" s="46">
        <f t="shared" si="1"/>
        <v>0.46577231568691319</v>
      </c>
      <c r="Y15" s="46">
        <f t="shared" si="1"/>
        <v>0.41837633218047438</v>
      </c>
      <c r="Z15" s="46">
        <f t="shared" si="1"/>
        <v>0.13225533170587125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24:C1048576">
    <cfRule type="duplicateValues" dxfId="97" priority="7"/>
    <cfRule type="duplicateValues" dxfId="96" priority="8"/>
  </conditionalFormatting>
  <conditionalFormatting sqref="C14">
    <cfRule type="duplicateValues" dxfId="95" priority="5"/>
    <cfRule type="duplicateValues" dxfId="94" priority="6"/>
  </conditionalFormatting>
  <conditionalFormatting sqref="C15">
    <cfRule type="duplicateValues" dxfId="93" priority="3"/>
    <cfRule type="duplicateValues" dxfId="92" priority="4"/>
  </conditionalFormatting>
  <conditionalFormatting sqref="C17:C23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7005E-2F51-AB42-A3E8-D544DBF57B9D}">
  <dimension ref="B1:AA17"/>
  <sheetViews>
    <sheetView zoomScale="118" zoomScaleNormal="120" workbookViewId="0">
      <selection activeCell="A17" sqref="A17:XFD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-0.98242212127915696</v>
      </c>
      <c r="J2" s="28" t="e">
        <f>(S14-J14)/J14</f>
        <v>#DIV/0!</v>
      </c>
      <c r="K2" s="28"/>
      <c r="L2" s="1" t="s">
        <v>19</v>
      </c>
      <c r="P2" s="1">
        <f>(P14-H14)/H14</f>
        <v>-0.18295235961212131</v>
      </c>
      <c r="R2" s="1">
        <f>(R14-J14)/J14</f>
        <v>-0.14460030023452711</v>
      </c>
      <c r="T2" s="1" t="s">
        <v>20</v>
      </c>
      <c r="X2" s="1">
        <f>(X14-P14)/P14</f>
        <v>0.84520999596619051</v>
      </c>
      <c r="Z2" s="1">
        <f>(Z14-R14)/R14</f>
        <v>0.30653425214568891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174</v>
      </c>
      <c r="D4" s="23">
        <v>906630.93778234394</v>
      </c>
      <c r="E4" s="33">
        <v>44.761771874997073</v>
      </c>
      <c r="F4" s="5">
        <v>9</v>
      </c>
      <c r="G4" s="23">
        <v>99</v>
      </c>
      <c r="H4" s="33">
        <v>1315.2798389599377</v>
      </c>
      <c r="I4" s="23">
        <v>48.378852061408196</v>
      </c>
      <c r="J4" s="5">
        <v>6746.8932026472803</v>
      </c>
      <c r="K4" s="31"/>
      <c r="L4" s="23">
        <v>1189055.7528381669</v>
      </c>
      <c r="M4" s="33">
        <v>108.6998435419991</v>
      </c>
      <c r="N4" s="5">
        <v>17</v>
      </c>
      <c r="O4" s="5">
        <v>84</v>
      </c>
      <c r="P4" s="33">
        <v>1374.155133159441</v>
      </c>
      <c r="Q4" s="5">
        <v>21.204187061348851</v>
      </c>
      <c r="R4" s="5">
        <v>5955.4425735432142</v>
      </c>
      <c r="S4" s="35"/>
      <c r="T4" s="23">
        <v>1196418.8718057601</v>
      </c>
      <c r="U4" s="33">
        <v>123.6555348340007</v>
      </c>
      <c r="V4" s="5">
        <v>9</v>
      </c>
      <c r="W4" s="5">
        <v>74</v>
      </c>
      <c r="X4" s="33">
        <v>1477.9270004732432</v>
      </c>
      <c r="Y4" s="5">
        <v>56.702739942233713</v>
      </c>
      <c r="Z4" s="5">
        <v>6839.767322960538</v>
      </c>
      <c r="AA4" s="35"/>
    </row>
    <row r="5" spans="2:27" x14ac:dyDescent="0.2">
      <c r="B5" s="4">
        <v>2</v>
      </c>
      <c r="C5" s="4">
        <v>248</v>
      </c>
      <c r="D5" s="23">
        <v>906204.37856841937</v>
      </c>
      <c r="E5" s="33">
        <v>62.12126900000294</v>
      </c>
      <c r="F5" s="5">
        <v>8</v>
      </c>
      <c r="G5" s="23">
        <v>96</v>
      </c>
      <c r="H5" s="33">
        <v>1239.8822760260857</v>
      </c>
      <c r="I5" s="23">
        <v>52.830373084658561</v>
      </c>
      <c r="J5" s="5">
        <v>6658.504721947972</v>
      </c>
      <c r="K5" s="31"/>
      <c r="L5" s="23">
        <v>1193532.570579231</v>
      </c>
      <c r="M5" s="33">
        <v>225.7936047080002</v>
      </c>
      <c r="N5" s="5">
        <v>17</v>
      </c>
      <c r="O5" s="5">
        <v>81</v>
      </c>
      <c r="P5" s="33">
        <v>1033.7632135724091</v>
      </c>
      <c r="Q5" s="5">
        <v>20.126629410786666</v>
      </c>
      <c r="R5" s="5">
        <v>5689.3208251352899</v>
      </c>
      <c r="S5" s="35"/>
      <c r="T5" s="23">
        <v>1181777.5912157539</v>
      </c>
      <c r="U5" s="33">
        <v>94.772521499999129</v>
      </c>
      <c r="V5" s="5">
        <v>8</v>
      </c>
      <c r="W5" s="5">
        <v>77</v>
      </c>
      <c r="X5" s="33">
        <v>1711.4603529638089</v>
      </c>
      <c r="Y5" s="5">
        <v>62.831326064554929</v>
      </c>
      <c r="Z5" s="5">
        <v>7222.3901030435181</v>
      </c>
      <c r="AA5" s="35"/>
    </row>
    <row r="6" spans="2:27" x14ac:dyDescent="0.2">
      <c r="B6" s="4">
        <v>3</v>
      </c>
      <c r="C6" s="4">
        <v>271</v>
      </c>
      <c r="D6" s="23">
        <v>933892.76972407417</v>
      </c>
      <c r="E6" s="33">
        <v>97.82546233299945</v>
      </c>
      <c r="F6" s="5">
        <v>9</v>
      </c>
      <c r="G6" s="23">
        <v>93</v>
      </c>
      <c r="H6" s="33">
        <v>1144.470211276287</v>
      </c>
      <c r="I6" s="23">
        <v>45.019471355669879</v>
      </c>
      <c r="J6" s="5">
        <v>6411.1291606733985</v>
      </c>
      <c r="K6" s="31"/>
      <c r="L6" s="23">
        <v>1192322.469299457</v>
      </c>
      <c r="M6" s="33">
        <v>91.771100792000652</v>
      </c>
      <c r="N6" s="5">
        <v>16</v>
      </c>
      <c r="O6" s="5">
        <v>79</v>
      </c>
      <c r="P6" s="33">
        <v>978.97225042341609</v>
      </c>
      <c r="Q6" s="5">
        <v>20.361816374619302</v>
      </c>
      <c r="R6" s="5">
        <v>5611.4594728685561</v>
      </c>
      <c r="S6" s="35"/>
      <c r="T6" s="23">
        <v>1231380.905382768</v>
      </c>
      <c r="U6" s="33">
        <v>125.4765593329976</v>
      </c>
      <c r="V6" s="5">
        <v>7</v>
      </c>
      <c r="W6" s="5">
        <v>67</v>
      </c>
      <c r="X6" s="33">
        <v>1201.0798893429424</v>
      </c>
      <c r="Y6" s="5">
        <v>60.256846630646699</v>
      </c>
      <c r="Z6" s="5">
        <v>6560.0477992634596</v>
      </c>
      <c r="AA6" s="35"/>
    </row>
    <row r="7" spans="2:27" x14ac:dyDescent="0.2">
      <c r="B7" s="4">
        <v>4</v>
      </c>
      <c r="C7" s="4">
        <v>288</v>
      </c>
      <c r="D7" s="23">
        <v>901773.55968866288</v>
      </c>
      <c r="E7" s="33">
        <v>96.584095082995191</v>
      </c>
      <c r="F7" s="5">
        <v>9</v>
      </c>
      <c r="G7" s="23">
        <v>97</v>
      </c>
      <c r="H7" s="33">
        <v>1225.1893023990203</v>
      </c>
      <c r="I7" s="23">
        <v>47.007598950289584</v>
      </c>
      <c r="J7" s="5">
        <v>6523.9455565577782</v>
      </c>
      <c r="K7" s="31"/>
      <c r="L7" s="23">
        <v>1213283.092936906</v>
      </c>
      <c r="M7" s="33">
        <v>123.2408558329989</v>
      </c>
      <c r="N7" s="5">
        <v>15</v>
      </c>
      <c r="O7" s="5">
        <v>76</v>
      </c>
      <c r="P7" s="33">
        <v>965.62408302030997</v>
      </c>
      <c r="Q7" s="5">
        <v>20.606463201227744</v>
      </c>
      <c r="R7" s="5">
        <v>5588.372066900035</v>
      </c>
      <c r="S7" s="35"/>
      <c r="T7" s="23">
        <v>1166896.1136726451</v>
      </c>
      <c r="U7" s="33">
        <v>77.532477208998898</v>
      </c>
      <c r="V7" s="5">
        <v>9</v>
      </c>
      <c r="W7" s="5">
        <v>81</v>
      </c>
      <c r="X7" s="33">
        <v>1839.9742391473972</v>
      </c>
      <c r="Y7" s="5">
        <v>59.251411925195576</v>
      </c>
      <c r="Z7" s="5">
        <v>7288.6642316322368</v>
      </c>
      <c r="AA7" s="35"/>
    </row>
    <row r="8" spans="2:27" x14ac:dyDescent="0.2">
      <c r="B8" s="4">
        <v>5</v>
      </c>
      <c r="C8" s="4">
        <v>455</v>
      </c>
      <c r="D8" s="23">
        <v>903067.28835305816</v>
      </c>
      <c r="E8" s="33">
        <v>37.76833379099844</v>
      </c>
      <c r="F8" s="5">
        <v>9</v>
      </c>
      <c r="G8" s="23">
        <v>97</v>
      </c>
      <c r="H8" s="33">
        <v>1230.4818615184574</v>
      </c>
      <c r="I8" s="23">
        <v>47.007598950289577</v>
      </c>
      <c r="J8" s="5">
        <v>6531.0183991823715</v>
      </c>
      <c r="K8" s="31"/>
      <c r="L8" s="23">
        <v>1212169.281500519</v>
      </c>
      <c r="M8" s="33">
        <v>159.74561299999911</v>
      </c>
      <c r="N8" s="5">
        <v>14</v>
      </c>
      <c r="O8" s="5">
        <v>75</v>
      </c>
      <c r="P8" s="33">
        <v>1011.0391373280403</v>
      </c>
      <c r="Q8" s="5">
        <v>22.505066548096881</v>
      </c>
      <c r="R8" s="5">
        <v>5679.8980100902299</v>
      </c>
      <c r="S8" s="35"/>
      <c r="T8" s="23">
        <v>1165606.707918528</v>
      </c>
      <c r="U8" s="33">
        <v>119.1483011659984</v>
      </c>
      <c r="V8" s="5">
        <v>9</v>
      </c>
      <c r="W8" s="5">
        <v>81</v>
      </c>
      <c r="X8" s="33">
        <v>1847.1253766293744</v>
      </c>
      <c r="Y8" s="5">
        <v>59.624635269810014</v>
      </c>
      <c r="Z8" s="5">
        <v>7291.2203153087876</v>
      </c>
      <c r="AA8" s="35"/>
    </row>
    <row r="9" spans="2:27" x14ac:dyDescent="0.2">
      <c r="B9" s="4">
        <v>6</v>
      </c>
      <c r="C9" s="4">
        <v>546</v>
      </c>
      <c r="D9" s="23">
        <v>949072.68785818247</v>
      </c>
      <c r="E9" s="33">
        <v>48.974204250000177</v>
      </c>
      <c r="F9" s="5">
        <v>8</v>
      </c>
      <c r="G9" s="23">
        <v>91</v>
      </c>
      <c r="H9" s="33">
        <v>1182.0667750978012</v>
      </c>
      <c r="I9" s="23">
        <v>47.730764513381999</v>
      </c>
      <c r="J9" s="5">
        <v>6443.8877195050518</v>
      </c>
      <c r="K9" s="31"/>
      <c r="L9" s="23">
        <v>1207218.278889986</v>
      </c>
      <c r="M9" s="33">
        <v>56.314281499999197</v>
      </c>
      <c r="N9" s="5">
        <v>17</v>
      </c>
      <c r="O9" s="5">
        <v>82</v>
      </c>
      <c r="P9" s="33">
        <v>1208.849302443562</v>
      </c>
      <c r="Q9" s="5">
        <v>20.299432122996937</v>
      </c>
      <c r="R9" s="5">
        <v>5915.9919748262573</v>
      </c>
      <c r="S9" s="35"/>
      <c r="T9" s="23">
        <v>1166615.1604065381</v>
      </c>
      <c r="U9" s="33">
        <v>134.90511041599891</v>
      </c>
      <c r="V9" s="5">
        <v>9</v>
      </c>
      <c r="W9" s="5">
        <v>81</v>
      </c>
      <c r="X9" s="33">
        <v>1786.7776241846466</v>
      </c>
      <c r="Y9" s="5">
        <v>59.183065085203516</v>
      </c>
      <c r="Z9" s="5">
        <v>7279.4242223026931</v>
      </c>
      <c r="AA9" s="35"/>
    </row>
    <row r="10" spans="2:27" x14ac:dyDescent="0.2">
      <c r="B10" s="4">
        <v>7</v>
      </c>
      <c r="C10" s="4">
        <v>606</v>
      </c>
      <c r="D10" s="23">
        <v>906900.72659814649</v>
      </c>
      <c r="E10" s="33">
        <v>91.268398457999865</v>
      </c>
      <c r="F10" s="5">
        <v>10</v>
      </c>
      <c r="G10" s="23">
        <v>99</v>
      </c>
      <c r="H10" s="33">
        <v>1303.0916535234908</v>
      </c>
      <c r="I10" s="23">
        <v>43.699686785694794</v>
      </c>
      <c r="J10" s="5">
        <v>6560.6792213212511</v>
      </c>
      <c r="K10" s="31"/>
      <c r="L10" s="23">
        <v>1224695.0506971609</v>
      </c>
      <c r="M10" s="33">
        <v>170.43583087499789</v>
      </c>
      <c r="N10" s="5">
        <v>14</v>
      </c>
      <c r="O10" s="5">
        <v>73</v>
      </c>
      <c r="P10" s="33">
        <v>844.54777011044712</v>
      </c>
      <c r="Q10" s="5">
        <v>20.808399243235282</v>
      </c>
      <c r="R10" s="5">
        <v>5530.8218890305106</v>
      </c>
      <c r="S10" s="35"/>
      <c r="T10" s="23">
        <v>1180844.7439643459</v>
      </c>
      <c r="U10" s="33">
        <v>124.6987786669997</v>
      </c>
      <c r="V10" s="5">
        <v>9</v>
      </c>
      <c r="W10" s="5">
        <v>78</v>
      </c>
      <c r="X10" s="33">
        <v>1530.5517682710433</v>
      </c>
      <c r="Y10" s="5">
        <v>54.720850508013562</v>
      </c>
      <c r="Z10" s="5">
        <v>7066.0383469267217</v>
      </c>
      <c r="AA10" s="35"/>
    </row>
    <row r="11" spans="2:27" x14ac:dyDescent="0.2">
      <c r="B11" s="4">
        <v>8</v>
      </c>
      <c r="C11" s="4">
        <v>688</v>
      </c>
      <c r="D11" s="23">
        <v>907570.37373017007</v>
      </c>
      <c r="E11" s="33">
        <v>42.434902124994551</v>
      </c>
      <c r="F11" s="5">
        <v>9</v>
      </c>
      <c r="G11" s="23">
        <v>99</v>
      </c>
      <c r="H11" s="33">
        <v>1308.2077070134628</v>
      </c>
      <c r="I11" s="23">
        <v>48.459911092806891</v>
      </c>
      <c r="J11" s="5">
        <v>6744.9741879847179</v>
      </c>
      <c r="K11" s="31"/>
      <c r="L11" s="23">
        <v>1191257.8677541481</v>
      </c>
      <c r="M11" s="33">
        <v>61.771492542000487</v>
      </c>
      <c r="N11" s="5">
        <v>13</v>
      </c>
      <c r="O11" s="5">
        <v>72</v>
      </c>
      <c r="P11" s="33">
        <v>682.52339446269207</v>
      </c>
      <c r="Q11" s="5">
        <v>23.136580376683721</v>
      </c>
      <c r="R11" s="5">
        <v>5297.1042961104586</v>
      </c>
      <c r="S11" s="35"/>
      <c r="T11" s="23">
        <v>1177373.8962777159</v>
      </c>
      <c r="U11" s="33">
        <v>164.42588766699919</v>
      </c>
      <c r="V11" s="5">
        <v>9</v>
      </c>
      <c r="W11" s="5">
        <v>77</v>
      </c>
      <c r="X11" s="33">
        <v>1517.4747161573055</v>
      </c>
      <c r="Y11" s="5">
        <v>54.998503357511467</v>
      </c>
      <c r="Z11" s="5">
        <v>6919.8862171730207</v>
      </c>
      <c r="AA11" s="35"/>
    </row>
    <row r="12" spans="2:27" x14ac:dyDescent="0.2">
      <c r="B12" s="4">
        <v>9</v>
      </c>
      <c r="C12" s="4">
        <v>830</v>
      </c>
      <c r="D12" s="23">
        <v>906705.1424233343</v>
      </c>
      <c r="E12" s="33">
        <v>26.599065583002812</v>
      </c>
      <c r="F12" s="5">
        <v>8</v>
      </c>
      <c r="G12" s="23">
        <v>97</v>
      </c>
      <c r="H12" s="33">
        <v>1314.3963889502966</v>
      </c>
      <c r="I12" s="23">
        <v>53.552227878130303</v>
      </c>
      <c r="J12" s="5">
        <v>6729.6484495185987</v>
      </c>
      <c r="K12" s="31"/>
      <c r="L12" s="23">
        <v>1184454.855319726</v>
      </c>
      <c r="M12" s="33">
        <v>114.65166116600081</v>
      </c>
      <c r="N12" s="5">
        <v>15</v>
      </c>
      <c r="O12" s="5">
        <v>78</v>
      </c>
      <c r="P12" s="33">
        <v>1001.0380285535907</v>
      </c>
      <c r="Q12" s="5">
        <v>21.536228967644281</v>
      </c>
      <c r="R12" s="5">
        <v>5580.5810703658144</v>
      </c>
      <c r="S12" s="35"/>
      <c r="T12" s="23">
        <v>1191731.6930809431</v>
      </c>
      <c r="U12" s="33">
        <v>116.9331921249977</v>
      </c>
      <c r="V12" s="5">
        <v>8</v>
      </c>
      <c r="W12" s="5">
        <v>76</v>
      </c>
      <c r="X12" s="33">
        <v>1557.0344258485152</v>
      </c>
      <c r="Y12" s="5">
        <v>59.572759274376004</v>
      </c>
      <c r="Z12" s="5">
        <v>7151.5337816299107</v>
      </c>
      <c r="AA12" s="35"/>
    </row>
    <row r="13" spans="2:27" x14ac:dyDescent="0.2">
      <c r="B13" s="4">
        <v>10</v>
      </c>
      <c r="C13" s="4">
        <v>971</v>
      </c>
      <c r="D13" s="23">
        <v>924448.37569571543</v>
      </c>
      <c r="E13" s="33">
        <v>38.817226541999837</v>
      </c>
      <c r="F13" s="5">
        <v>9</v>
      </c>
      <c r="G13" s="23">
        <v>95</v>
      </c>
      <c r="H13" s="33">
        <v>1180.5685250045806</v>
      </c>
      <c r="I13" s="23">
        <v>47.252391575713951</v>
      </c>
      <c r="J13" s="5">
        <v>6573.9513565662301</v>
      </c>
      <c r="K13" s="31"/>
      <c r="L13" s="23">
        <v>1198721.758551402</v>
      </c>
      <c r="M13" s="33">
        <v>228.5463121249995</v>
      </c>
      <c r="N13" s="5">
        <v>16</v>
      </c>
      <c r="O13" s="5">
        <v>79</v>
      </c>
      <c r="P13" s="33">
        <v>1068.4797603820818</v>
      </c>
      <c r="Q13" s="5">
        <v>20.384845166957149</v>
      </c>
      <c r="R13" s="5">
        <v>5639.6787092784998</v>
      </c>
      <c r="S13" s="35"/>
      <c r="T13" s="23">
        <v>1289784.757280692</v>
      </c>
      <c r="U13" s="33">
        <v>28.70346816700112</v>
      </c>
      <c r="V13" s="5">
        <v>7</v>
      </c>
      <c r="W13" s="5">
        <v>64</v>
      </c>
      <c r="X13" s="33">
        <v>1186.5775496065237</v>
      </c>
      <c r="Y13" s="5">
        <v>53.349215679183054</v>
      </c>
      <c r="Z13" s="5">
        <v>6742.3571470464394</v>
      </c>
      <c r="AA13" s="35"/>
    </row>
    <row r="14" spans="2:27" x14ac:dyDescent="0.2">
      <c r="B14" s="47" t="s">
        <v>3</v>
      </c>
      <c r="C14" s="48"/>
      <c r="D14" s="9">
        <f>MIN(D4:D13)</f>
        <v>901773.55968866288</v>
      </c>
      <c r="E14" s="22">
        <f>INDEX(E4:E13, MATCH($D$14, D4:D13, 0))</f>
        <v>96.584095082995191</v>
      </c>
      <c r="F14" s="9">
        <f>INDEX(F4:F13, MATCH($D$14, D4:D13, 0))</f>
        <v>9</v>
      </c>
      <c r="G14" s="9">
        <f>INDEX(G4:G13, MATCH($D$14, D4:D13, 0))</f>
        <v>97</v>
      </c>
      <c r="H14" s="22">
        <f>INDEX(H4:H13, MATCH($D$14, D4:D13, 0))</f>
        <v>1225.1893023990203</v>
      </c>
      <c r="I14" s="22">
        <f>INDEX(I4:I13, MATCH($D$14, D4:D13, 0))</f>
        <v>47.007598950289584</v>
      </c>
      <c r="J14" s="22">
        <f>INDEX(J4:J13, MATCH($D$14, D4:D13, 0))</f>
        <v>6523.9455565577782</v>
      </c>
      <c r="K14" s="32" t="e">
        <f>(D14-$D$15)/$D$15</f>
        <v>#DIV/0!</v>
      </c>
      <c r="L14" s="16">
        <f>MIN(L4:L13)</f>
        <v>1184454.855319726</v>
      </c>
      <c r="M14" s="21">
        <f>INDEX(M4:M13, MATCH($L$14, L4:L13, 0))</f>
        <v>114.65166116600081</v>
      </c>
      <c r="N14" s="16">
        <f>INDEX(N4:N13, MATCH($L$14, L4:L13, 0))</f>
        <v>15</v>
      </c>
      <c r="O14" s="16">
        <f>INDEX(O4:O13, MATCH($L$14, L4:L13, 0))</f>
        <v>78</v>
      </c>
      <c r="P14" s="21">
        <f>INDEX(P4:P13, MATCH($L$14, L4:L13, 0))</f>
        <v>1001.0380285535907</v>
      </c>
      <c r="Q14" s="21">
        <f>INDEX(Q4:Q13, MATCH($L$14, L4:L13, 0))</f>
        <v>21.536228967644281</v>
      </c>
      <c r="R14" s="21">
        <f>INDEX(R4:R13, MATCH($L$14, L4:L13, 0))</f>
        <v>5580.5810703658144</v>
      </c>
      <c r="S14" s="36" t="e">
        <f>(L14-$D$15)/$D$15</f>
        <v>#DIV/0!</v>
      </c>
      <c r="T14" s="38">
        <f>MIN(T4:T13)</f>
        <v>1165606.707918528</v>
      </c>
      <c r="U14" s="39">
        <f>INDEX(U4:U13, MATCH($T$14, T4:T13, 0))</f>
        <v>119.1483011659984</v>
      </c>
      <c r="V14" s="38">
        <f>INDEX(V4:V13, MATCH($T$14, T4:T13, 0))</f>
        <v>9</v>
      </c>
      <c r="W14" s="38">
        <f>INDEX(W4:W13, MATCH($T$14, T4:T13, 0))</f>
        <v>81</v>
      </c>
      <c r="X14" s="39">
        <f>INDEX(X4:X13, MATCH($T$14, T4:T13, 0))</f>
        <v>1847.1253766293744</v>
      </c>
      <c r="Y14" s="39">
        <f>INDEX(Y4:Y13, MATCH($T$14, T4:T13, 0))</f>
        <v>59.624635269810014</v>
      </c>
      <c r="Z14" s="39">
        <f>INDEX(Z4:Z13, MATCH($T$14, T4:T13, 0))</f>
        <v>7291.2203153087876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0.31347259253050047</v>
      </c>
      <c r="M15" s="46">
        <f t="shared" ref="M15:R15" si="0">(M14-E14)/E14</f>
        <v>0.1870656454096305</v>
      </c>
      <c r="N15" s="46">
        <f t="shared" si="0"/>
        <v>0.66666666666666663</v>
      </c>
      <c r="O15" s="46">
        <f t="shared" si="0"/>
        <v>-0.19587628865979381</v>
      </c>
      <c r="P15" s="46">
        <f t="shared" si="0"/>
        <v>-0.18295235961212131</v>
      </c>
      <c r="Q15" s="46">
        <f t="shared" si="0"/>
        <v>-0.54185643494749036</v>
      </c>
      <c r="R15" s="46">
        <f t="shared" si="0"/>
        <v>-0.14460030023452711</v>
      </c>
      <c r="T15" s="46">
        <f>(T14-D14)/D14</f>
        <v>0.29257139488648731</v>
      </c>
      <c r="U15" s="46">
        <f t="shared" ref="U15:Z15" si="1">(U14-E14)/E14</f>
        <v>0.23362237916722914</v>
      </c>
      <c r="V15" s="46">
        <f t="shared" si="1"/>
        <v>0</v>
      </c>
      <c r="W15" s="46">
        <f t="shared" si="1"/>
        <v>-0.16494845360824742</v>
      </c>
      <c r="X15" s="46">
        <f t="shared" si="1"/>
        <v>0.50762447322430304</v>
      </c>
      <c r="Y15" s="46">
        <f t="shared" si="1"/>
        <v>0.26840418573309632</v>
      </c>
      <c r="Z15" s="46">
        <f t="shared" si="1"/>
        <v>0.11760900701872896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24:C1048576">
    <cfRule type="duplicateValues" dxfId="91" priority="7"/>
    <cfRule type="duplicateValues" dxfId="90" priority="8"/>
  </conditionalFormatting>
  <conditionalFormatting sqref="C14">
    <cfRule type="duplicateValues" dxfId="89" priority="5"/>
    <cfRule type="duplicateValues" dxfId="88" priority="6"/>
  </conditionalFormatting>
  <conditionalFormatting sqref="C15">
    <cfRule type="duplicateValues" dxfId="87" priority="3"/>
    <cfRule type="duplicateValues" dxfId="86" priority="4"/>
  </conditionalFormatting>
  <conditionalFormatting sqref="C17:C23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339A-EAD3-C44C-A38C-8614802F53FE}">
  <dimension ref="B1:AA17"/>
  <sheetViews>
    <sheetView zoomScale="118" zoomScaleNormal="120" workbookViewId="0">
      <selection activeCell="H17" sqref="A17:XFD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-0.98414578170016598</v>
      </c>
      <c r="J2" s="28" t="e">
        <f>(S14-J14)/J14</f>
        <v>#DIV/0!</v>
      </c>
      <c r="K2" s="28"/>
      <c r="L2" s="1" t="s">
        <v>19</v>
      </c>
      <c r="P2" s="1">
        <f>(P14-H14)/H14</f>
        <v>-0.28453778478588276</v>
      </c>
      <c r="R2" s="1">
        <f>(R14-J14)/J14</f>
        <v>-0.13735639789027482</v>
      </c>
      <c r="T2" s="1" t="s">
        <v>20</v>
      </c>
      <c r="X2" s="1">
        <f>(X14-P14)/P14</f>
        <v>7.7335623168162657E-2</v>
      </c>
      <c r="Z2" s="1">
        <f>(Z14-R14)/R14</f>
        <v>0.18372955519731957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56</v>
      </c>
      <c r="D4" s="23">
        <v>909801.86096414598</v>
      </c>
      <c r="E4" s="33">
        <v>85.65335254099773</v>
      </c>
      <c r="F4" s="5">
        <v>10</v>
      </c>
      <c r="G4" s="23">
        <v>97</v>
      </c>
      <c r="H4" s="33">
        <v>1092.7327444252392</v>
      </c>
      <c r="I4" s="23">
        <v>36.891509313038547</v>
      </c>
      <c r="J4" s="5">
        <v>6388.0273101594794</v>
      </c>
      <c r="K4" s="31"/>
      <c r="L4" s="23">
        <v>1192278.2348464751</v>
      </c>
      <c r="M4" s="33">
        <v>104.79119295800049</v>
      </c>
      <c r="N4" s="5">
        <v>16</v>
      </c>
      <c r="O4" s="5">
        <v>79</v>
      </c>
      <c r="P4" s="33">
        <v>1003.6955463344217</v>
      </c>
      <c r="Q4" s="5">
        <v>18.117592890199795</v>
      </c>
      <c r="R4" s="5">
        <v>5611.1060214611025</v>
      </c>
      <c r="S4" s="35"/>
      <c r="T4" s="23">
        <v>1290296.262378956</v>
      </c>
      <c r="U4" s="33">
        <v>68.090383583999937</v>
      </c>
      <c r="V4" s="5">
        <v>6</v>
      </c>
      <c r="W4" s="5">
        <v>60</v>
      </c>
      <c r="X4" s="33">
        <v>772.4472341807284</v>
      </c>
      <c r="Y4" s="5">
        <v>53.402294286370328</v>
      </c>
      <c r="Z4" s="5">
        <v>6535.5233987834245</v>
      </c>
      <c r="AA4" s="35"/>
    </row>
    <row r="5" spans="2:27" x14ac:dyDescent="0.2">
      <c r="B5" s="4">
        <v>2</v>
      </c>
      <c r="C5" s="4">
        <v>106</v>
      </c>
      <c r="D5" s="23">
        <v>930380.58409847284</v>
      </c>
      <c r="E5" s="33">
        <v>68.94512454100186</v>
      </c>
      <c r="F5" s="5">
        <v>9</v>
      </c>
      <c r="G5" s="23">
        <v>96</v>
      </c>
      <c r="H5" s="33">
        <v>1125.8065647992778</v>
      </c>
      <c r="I5" s="23">
        <v>40.72466649084501</v>
      </c>
      <c r="J5" s="5">
        <v>6633.05488359223</v>
      </c>
      <c r="K5" s="31"/>
      <c r="L5" s="23">
        <v>1180661.8674119629</v>
      </c>
      <c r="M5" s="33">
        <v>73.879797457997483</v>
      </c>
      <c r="N5" s="5">
        <v>17</v>
      </c>
      <c r="O5" s="5">
        <v>81</v>
      </c>
      <c r="P5" s="33">
        <v>958.50050494334278</v>
      </c>
      <c r="Q5" s="5">
        <v>17.689596506759901</v>
      </c>
      <c r="R5" s="5">
        <v>5605.8730759281334</v>
      </c>
      <c r="S5" s="35"/>
      <c r="T5" s="23">
        <v>1286618.194626749</v>
      </c>
      <c r="U5" s="33">
        <v>52.985409916000208</v>
      </c>
      <c r="V5" s="5">
        <v>6</v>
      </c>
      <c r="W5" s="5">
        <v>59</v>
      </c>
      <c r="X5" s="33">
        <v>654.22608191092127</v>
      </c>
      <c r="Y5" s="5">
        <v>52.105436727673315</v>
      </c>
      <c r="Z5" s="5">
        <v>6324.5565995277948</v>
      </c>
      <c r="AA5" s="35"/>
    </row>
    <row r="6" spans="2:27" x14ac:dyDescent="0.2">
      <c r="B6" s="4">
        <v>3</v>
      </c>
      <c r="C6" s="4">
        <v>149</v>
      </c>
      <c r="D6" s="23">
        <v>942818.02652763005</v>
      </c>
      <c r="E6" s="33">
        <v>33.573948500001279</v>
      </c>
      <c r="F6" s="5">
        <v>8</v>
      </c>
      <c r="G6" s="23">
        <v>93</v>
      </c>
      <c r="H6" s="33">
        <v>1025.3632565589016</v>
      </c>
      <c r="I6" s="23">
        <v>43.594736512301814</v>
      </c>
      <c r="J6" s="5">
        <v>6624.935217200702</v>
      </c>
      <c r="K6" s="31"/>
      <c r="L6" s="23">
        <v>1178225.7142301211</v>
      </c>
      <c r="M6" s="33">
        <v>91.383280833000754</v>
      </c>
      <c r="N6" s="5">
        <v>18</v>
      </c>
      <c r="O6" s="5">
        <v>84</v>
      </c>
      <c r="P6" s="33">
        <v>1017.1676596635062</v>
      </c>
      <c r="Q6" s="5">
        <v>17.428295001424804</v>
      </c>
      <c r="R6" s="5">
        <v>5757.6765612745776</v>
      </c>
      <c r="S6" s="35"/>
      <c r="T6" s="23">
        <v>1282432.720990988</v>
      </c>
      <c r="U6" s="33">
        <v>93.018149499999708</v>
      </c>
      <c r="V6" s="5">
        <v>7</v>
      </c>
      <c r="W6" s="5">
        <v>62</v>
      </c>
      <c r="X6" s="33">
        <v>894.24973449888955</v>
      </c>
      <c r="Y6" s="5">
        <v>47.727567901462535</v>
      </c>
      <c r="Z6" s="5">
        <v>6511.0822342198853</v>
      </c>
      <c r="AA6" s="35"/>
    </row>
    <row r="7" spans="2:27" x14ac:dyDescent="0.2">
      <c r="B7" s="4">
        <v>4</v>
      </c>
      <c r="C7" s="4">
        <v>504</v>
      </c>
      <c r="D7" s="23">
        <v>946046.73560572101</v>
      </c>
      <c r="E7" s="33">
        <v>34.759507750000921</v>
      </c>
      <c r="F7" s="5">
        <v>7</v>
      </c>
      <c r="G7" s="23">
        <v>89</v>
      </c>
      <c r="H7" s="33">
        <v>871.190427073661</v>
      </c>
      <c r="I7" s="23">
        <v>46.933816808810313</v>
      </c>
      <c r="J7" s="5">
        <v>6472.7172775813742</v>
      </c>
      <c r="K7" s="31"/>
      <c r="L7" s="23">
        <v>1177244.33435504</v>
      </c>
      <c r="M7" s="33">
        <v>188.27514083400089</v>
      </c>
      <c r="N7" s="5">
        <v>18</v>
      </c>
      <c r="O7" s="5">
        <v>84</v>
      </c>
      <c r="P7" s="33">
        <v>1096.9380747205457</v>
      </c>
      <c r="Q7" s="5">
        <v>17.47761117545484</v>
      </c>
      <c r="R7" s="5">
        <v>5760.0709493812756</v>
      </c>
      <c r="S7" s="35"/>
      <c r="T7" s="23">
        <v>1277218.4517686351</v>
      </c>
      <c r="U7" s="33">
        <v>64.073532583999622</v>
      </c>
      <c r="V7" s="5">
        <v>7</v>
      </c>
      <c r="W7" s="5">
        <v>63</v>
      </c>
      <c r="X7" s="33">
        <v>932.28660751871496</v>
      </c>
      <c r="Y7" s="5">
        <v>50.001109532676345</v>
      </c>
      <c r="Z7" s="5">
        <v>6631.9490290380045</v>
      </c>
      <c r="AA7" s="35"/>
    </row>
    <row r="8" spans="2:27" x14ac:dyDescent="0.2">
      <c r="B8" s="4">
        <v>5</v>
      </c>
      <c r="C8" s="4">
        <v>714</v>
      </c>
      <c r="D8" s="23">
        <v>909553.44454632583</v>
      </c>
      <c r="E8" s="33">
        <v>144.0882891670044</v>
      </c>
      <c r="F8" s="5">
        <v>10</v>
      </c>
      <c r="G8" s="23">
        <v>97</v>
      </c>
      <c r="H8" s="33">
        <v>1062.2084645888765</v>
      </c>
      <c r="I8" s="23">
        <v>36.781241916855421</v>
      </c>
      <c r="J8" s="5">
        <v>6400.4038258998271</v>
      </c>
      <c r="K8" s="31"/>
      <c r="L8" s="23">
        <v>1167825.4595986779</v>
      </c>
      <c r="M8" s="33">
        <v>90.685958916998061</v>
      </c>
      <c r="N8" s="5">
        <v>16</v>
      </c>
      <c r="O8" s="5">
        <v>80</v>
      </c>
      <c r="P8" s="33">
        <v>843.8666488390536</v>
      </c>
      <c r="Q8" s="5">
        <v>18.699584383558051</v>
      </c>
      <c r="R8" s="5">
        <v>5572.932792241103</v>
      </c>
      <c r="S8" s="35"/>
      <c r="T8" s="23">
        <v>1288137.6957558731</v>
      </c>
      <c r="U8" s="33">
        <v>47.351484958002402</v>
      </c>
      <c r="V8" s="5">
        <v>6</v>
      </c>
      <c r="W8" s="5">
        <v>60</v>
      </c>
      <c r="X8" s="33">
        <v>757.66354274559694</v>
      </c>
      <c r="Y8" s="5">
        <v>55.525952429049632</v>
      </c>
      <c r="Z8" s="5">
        <v>6523.19990501955</v>
      </c>
      <c r="AA8" s="35"/>
    </row>
    <row r="9" spans="2:27" x14ac:dyDescent="0.2">
      <c r="B9" s="4">
        <v>6</v>
      </c>
      <c r="C9" s="4">
        <v>726</v>
      </c>
      <c r="D9" s="23">
        <v>921116.54794373957</v>
      </c>
      <c r="E9" s="33">
        <v>42.052615334003349</v>
      </c>
      <c r="F9" s="5">
        <v>9</v>
      </c>
      <c r="G9" s="23">
        <v>94</v>
      </c>
      <c r="H9" s="33">
        <v>967.41250807860297</v>
      </c>
      <c r="I9" s="23">
        <v>38.754626637991002</v>
      </c>
      <c r="J9" s="5">
        <v>6389.4137758301895</v>
      </c>
      <c r="K9" s="31"/>
      <c r="L9" s="23">
        <v>1170833.5438029461</v>
      </c>
      <c r="M9" s="33">
        <v>144.423771167003</v>
      </c>
      <c r="N9" s="5">
        <v>17</v>
      </c>
      <c r="O9" s="5">
        <v>83</v>
      </c>
      <c r="P9" s="33">
        <v>1048.5781139731466</v>
      </c>
      <c r="Q9" s="5">
        <v>18.349486036584111</v>
      </c>
      <c r="R9" s="5">
        <v>5786.6244027993025</v>
      </c>
      <c r="S9" s="35"/>
      <c r="T9" s="23">
        <v>1301226.515601971</v>
      </c>
      <c r="U9" s="33">
        <v>74.432451167002</v>
      </c>
      <c r="V9" s="5">
        <v>7</v>
      </c>
      <c r="W9" s="5">
        <v>62</v>
      </c>
      <c r="X9" s="33">
        <v>965.06318096480766</v>
      </c>
      <c r="Y9" s="5">
        <v>47.119029585492164</v>
      </c>
      <c r="Z9" s="5">
        <v>6749.261195547324</v>
      </c>
      <c r="AA9" s="35"/>
    </row>
    <row r="10" spans="2:27" x14ac:dyDescent="0.2">
      <c r="B10" s="4">
        <v>7</v>
      </c>
      <c r="C10" s="4">
        <v>771</v>
      </c>
      <c r="D10" s="23">
        <v>930225.2555592343</v>
      </c>
      <c r="E10" s="33">
        <v>100.8618317090004</v>
      </c>
      <c r="F10" s="5">
        <v>9</v>
      </c>
      <c r="G10" s="23">
        <v>96</v>
      </c>
      <c r="H10" s="33">
        <v>1120.7903610955739</v>
      </c>
      <c r="I10" s="23">
        <v>40.626159126391137</v>
      </c>
      <c r="J10" s="5">
        <v>6626.8407632218587</v>
      </c>
      <c r="K10" s="31"/>
      <c r="L10" s="23">
        <v>1170307.545364951</v>
      </c>
      <c r="M10" s="33">
        <v>124.8160932499995</v>
      </c>
      <c r="N10" s="5">
        <v>16</v>
      </c>
      <c r="O10" s="5">
        <v>80</v>
      </c>
      <c r="P10" s="33">
        <v>1008.9618799070198</v>
      </c>
      <c r="Q10" s="5">
        <v>18.452332036987549</v>
      </c>
      <c r="R10" s="5">
        <v>5509.3366210633012</v>
      </c>
      <c r="S10" s="35"/>
      <c r="T10" s="23">
        <v>1281903.379572554</v>
      </c>
      <c r="U10" s="33">
        <v>93.868589582998538</v>
      </c>
      <c r="V10" s="5">
        <v>7</v>
      </c>
      <c r="W10" s="5">
        <v>63</v>
      </c>
      <c r="X10" s="33">
        <v>949.1552015467206</v>
      </c>
      <c r="Y10" s="5">
        <v>49.363591062091764</v>
      </c>
      <c r="Z10" s="5">
        <v>6657.8005405529102</v>
      </c>
      <c r="AA10" s="35"/>
    </row>
    <row r="11" spans="2:27" x14ac:dyDescent="0.2">
      <c r="B11" s="4">
        <v>8</v>
      </c>
      <c r="C11" s="4">
        <v>785</v>
      </c>
      <c r="D11" s="23">
        <v>942531.1562382495</v>
      </c>
      <c r="E11" s="33">
        <v>65.940533583001525</v>
      </c>
      <c r="F11" s="5">
        <v>8</v>
      </c>
      <c r="G11" s="23">
        <v>92</v>
      </c>
      <c r="H11" s="33">
        <v>977.15241324864826</v>
      </c>
      <c r="I11" s="23">
        <v>42.683814015731166</v>
      </c>
      <c r="J11" s="5">
        <v>6529.8716911166293</v>
      </c>
      <c r="K11" s="31"/>
      <c r="L11" s="23">
        <v>1187552.211182548</v>
      </c>
      <c r="M11" s="33">
        <v>138.1291393749998</v>
      </c>
      <c r="N11" s="5">
        <v>18</v>
      </c>
      <c r="O11" s="5">
        <v>83</v>
      </c>
      <c r="P11" s="33">
        <v>927.82563948306802</v>
      </c>
      <c r="Q11" s="5">
        <v>17.318429672504255</v>
      </c>
      <c r="R11" s="5">
        <v>5754.1285166612643</v>
      </c>
      <c r="S11" s="35"/>
      <c r="T11" s="23">
        <v>1290527.2267028829</v>
      </c>
      <c r="U11" s="33">
        <v>76.766938875000051</v>
      </c>
      <c r="V11" s="5">
        <v>6</v>
      </c>
      <c r="W11" s="5">
        <v>60</v>
      </c>
      <c r="X11" s="33">
        <v>759.85986880575445</v>
      </c>
      <c r="Y11" s="5">
        <v>53.483025405975042</v>
      </c>
      <c r="Z11" s="5">
        <v>6543.2193667417887</v>
      </c>
      <c r="AA11" s="35"/>
    </row>
    <row r="12" spans="2:27" x14ac:dyDescent="0.2">
      <c r="B12" s="4">
        <v>9</v>
      </c>
      <c r="C12" s="4">
        <v>818</v>
      </c>
      <c r="D12" s="23">
        <v>909547.47140884202</v>
      </c>
      <c r="E12" s="33">
        <v>99.468230750004295</v>
      </c>
      <c r="F12" s="5">
        <v>10</v>
      </c>
      <c r="G12" s="23">
        <v>98</v>
      </c>
      <c r="H12" s="33">
        <v>1179.470600815039</v>
      </c>
      <c r="I12" s="23">
        <v>37.420057671905603</v>
      </c>
      <c r="J12" s="5">
        <v>6460.295745092938</v>
      </c>
      <c r="K12" s="31"/>
      <c r="L12" s="23">
        <v>1173110.8973172121</v>
      </c>
      <c r="M12" s="33">
        <v>91.503927291996661</v>
      </c>
      <c r="N12" s="5">
        <v>14</v>
      </c>
      <c r="O12" s="5">
        <v>76</v>
      </c>
      <c r="P12" s="33">
        <v>766.46847122012798</v>
      </c>
      <c r="Q12" s="5">
        <v>20.099359568615224</v>
      </c>
      <c r="R12" s="5">
        <v>5507.6858049528455</v>
      </c>
      <c r="S12" s="35"/>
      <c r="T12" s="23">
        <v>1299567.621668152</v>
      </c>
      <c r="U12" s="33">
        <v>66.507569124998554</v>
      </c>
      <c r="V12" s="5">
        <v>7</v>
      </c>
      <c r="W12" s="5">
        <v>62</v>
      </c>
      <c r="X12" s="33">
        <v>984.57461754082976</v>
      </c>
      <c r="Y12" s="5">
        <v>51.183640623545166</v>
      </c>
      <c r="Z12" s="5">
        <v>6838.4932608477911</v>
      </c>
      <c r="AA12" s="35"/>
    </row>
    <row r="13" spans="2:27" x14ac:dyDescent="0.2">
      <c r="B13" s="4">
        <v>10</v>
      </c>
      <c r="C13" s="4">
        <v>895</v>
      </c>
      <c r="D13" s="23">
        <v>909667.06868976518</v>
      </c>
      <c r="E13" s="33">
        <v>95.081486999995832</v>
      </c>
      <c r="F13" s="5">
        <v>10</v>
      </c>
      <c r="G13" s="23">
        <v>98</v>
      </c>
      <c r="H13" s="33">
        <v>1173.5049429443761</v>
      </c>
      <c r="I13" s="23">
        <v>37.466231275299855</v>
      </c>
      <c r="J13" s="5">
        <v>6459.5247073469491</v>
      </c>
      <c r="K13" s="31"/>
      <c r="L13" s="23">
        <v>1169991.4120775419</v>
      </c>
      <c r="M13" s="33">
        <v>105.180794625001</v>
      </c>
      <c r="N13" s="5">
        <v>16</v>
      </c>
      <c r="O13" s="5">
        <v>81</v>
      </c>
      <c r="P13" s="33">
        <v>898.61786829420805</v>
      </c>
      <c r="Q13" s="5">
        <v>18.838379010200832</v>
      </c>
      <c r="R13" s="5">
        <v>5768.5091545851319</v>
      </c>
      <c r="S13" s="35"/>
      <c r="T13" s="23">
        <v>1276787.2648273599</v>
      </c>
      <c r="U13" s="33">
        <v>87.451858125001309</v>
      </c>
      <c r="V13" s="5">
        <v>7</v>
      </c>
      <c r="W13" s="5">
        <v>63</v>
      </c>
      <c r="X13" s="33">
        <v>909.12760199785089</v>
      </c>
      <c r="Y13" s="5">
        <v>49.761333712174178</v>
      </c>
      <c r="Z13" s="5">
        <v>6596.845255304117</v>
      </c>
      <c r="AA13" s="35"/>
    </row>
    <row r="14" spans="2:27" x14ac:dyDescent="0.2">
      <c r="B14" s="47" t="s">
        <v>3</v>
      </c>
      <c r="C14" s="48"/>
      <c r="D14" s="9">
        <f>MIN(D4:D13)</f>
        <v>909547.47140884202</v>
      </c>
      <c r="E14" s="22">
        <f>INDEX(E4:E13, MATCH($D$14, D4:D13, 0))</f>
        <v>99.468230750004295</v>
      </c>
      <c r="F14" s="9">
        <f>INDEX(F4:F13, MATCH($D$14, D4:D13, 0))</f>
        <v>10</v>
      </c>
      <c r="G14" s="9">
        <f>INDEX(G4:G13, MATCH($D$14, D4:D13, 0))</f>
        <v>98</v>
      </c>
      <c r="H14" s="22">
        <f>INDEX(H4:H13, MATCH($D$14, D4:D13, 0))</f>
        <v>1179.470600815039</v>
      </c>
      <c r="I14" s="22">
        <f>INDEX(I4:I13, MATCH($D$14, D4:D13, 0))</f>
        <v>37.420057671905603</v>
      </c>
      <c r="J14" s="22">
        <f>INDEX(J4:J13, MATCH($D$14, D4:D13, 0))</f>
        <v>6460.295745092938</v>
      </c>
      <c r="K14" s="32" t="e">
        <f>(D14-$D$15)/$D$15</f>
        <v>#DIV/0!</v>
      </c>
      <c r="L14" s="16">
        <f>MIN(L4:L13)</f>
        <v>1167825.4595986779</v>
      </c>
      <c r="M14" s="21">
        <f>INDEX(M4:M13, MATCH($L$14, L4:L13, 0))</f>
        <v>90.685958916998061</v>
      </c>
      <c r="N14" s="16">
        <f>INDEX(N4:N13, MATCH($L$14, L4:L13, 0))</f>
        <v>16</v>
      </c>
      <c r="O14" s="16">
        <f>INDEX(O4:O13, MATCH($L$14, L4:L13, 0))</f>
        <v>80</v>
      </c>
      <c r="P14" s="21">
        <f>INDEX(P4:P13, MATCH($L$14, L4:L13, 0))</f>
        <v>843.8666488390536</v>
      </c>
      <c r="Q14" s="21">
        <f>INDEX(Q4:Q13, MATCH($L$14, L4:L13, 0))</f>
        <v>18.699584383558051</v>
      </c>
      <c r="R14" s="21">
        <f>INDEX(R4:R13, MATCH($L$14, L4:L13, 0))</f>
        <v>5572.932792241103</v>
      </c>
      <c r="S14" s="36" t="e">
        <f>(L14-$D$15)/$D$15</f>
        <v>#DIV/0!</v>
      </c>
      <c r="T14" s="38">
        <f>MIN(T4:T13)</f>
        <v>1276787.2648273599</v>
      </c>
      <c r="U14" s="39">
        <f>INDEX(U4:U13, MATCH($T$14, T4:T13, 0))</f>
        <v>87.451858125001309</v>
      </c>
      <c r="V14" s="38">
        <f>INDEX(V4:V13, MATCH($T$14, T4:T13, 0))</f>
        <v>7</v>
      </c>
      <c r="W14" s="38">
        <f>INDEX(W4:W13, MATCH($T$14, T4:T13, 0))</f>
        <v>63</v>
      </c>
      <c r="X14" s="39">
        <f>INDEX(X4:X13, MATCH($T$14, T4:T13, 0))</f>
        <v>909.12760199785089</v>
      </c>
      <c r="Y14" s="39">
        <f>INDEX(Y4:Y13, MATCH($T$14, T4:T13, 0))</f>
        <v>49.761333712174178</v>
      </c>
      <c r="Z14" s="39">
        <f>INDEX(Z4:Z13, MATCH($T$14, T4:T13, 0))</f>
        <v>6596.845255304117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0.28396317543467703</v>
      </c>
      <c r="M15" s="46">
        <f t="shared" ref="M15:R15" si="0">(M14-E14)/E14</f>
        <v>-8.8292229255378163E-2</v>
      </c>
      <c r="N15" s="46">
        <f t="shared" si="0"/>
        <v>0.6</v>
      </c>
      <c r="O15" s="46">
        <f t="shared" si="0"/>
        <v>-0.18367346938775511</v>
      </c>
      <c r="P15" s="46">
        <f t="shared" si="0"/>
        <v>-0.28453778478588276</v>
      </c>
      <c r="Q15" s="46">
        <f t="shared" si="0"/>
        <v>-0.50027911374392653</v>
      </c>
      <c r="R15" s="46">
        <f t="shared" si="0"/>
        <v>-0.13735639789027482</v>
      </c>
      <c r="T15" s="46">
        <f>(T14-D14)/D14</f>
        <v>0.40376099649827235</v>
      </c>
      <c r="U15" s="46">
        <f t="shared" ref="U15:Z15" si="1">(U14-E14)/E14</f>
        <v>-0.12080613613409895</v>
      </c>
      <c r="V15" s="46">
        <f t="shared" si="1"/>
        <v>-0.3</v>
      </c>
      <c r="W15" s="46">
        <f t="shared" si="1"/>
        <v>-0.35714285714285715</v>
      </c>
      <c r="X15" s="46">
        <f t="shared" si="1"/>
        <v>-0.22920706851902489</v>
      </c>
      <c r="Y15" s="46">
        <f t="shared" si="1"/>
        <v>0.32980376856912791</v>
      </c>
      <c r="Z15" s="46">
        <f t="shared" si="1"/>
        <v>2.1136727419158521E-2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24:C1048576">
    <cfRule type="duplicateValues" dxfId="85" priority="7"/>
    <cfRule type="duplicateValues" dxfId="84" priority="8"/>
  </conditionalFormatting>
  <conditionalFormatting sqref="C14">
    <cfRule type="duplicateValues" dxfId="83" priority="5"/>
    <cfRule type="duplicateValues" dxfId="82" priority="6"/>
  </conditionalFormatting>
  <conditionalFormatting sqref="C15">
    <cfRule type="duplicateValues" dxfId="81" priority="3"/>
    <cfRule type="duplicateValues" dxfId="80" priority="4"/>
  </conditionalFormatting>
  <conditionalFormatting sqref="C17:C23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4021-14AE-2941-9A19-0EB1CF8FB074}">
  <dimension ref="B1:AA17"/>
  <sheetViews>
    <sheetView zoomScale="118" zoomScaleNormal="120" workbookViewId="0">
      <selection activeCell="A17" sqref="A17:XFD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-0.98059405279226663</v>
      </c>
      <c r="J2" s="28" t="e">
        <f>(S14-J14)/J14</f>
        <v>#DIV/0!</v>
      </c>
      <c r="K2" s="28"/>
      <c r="L2" s="1" t="s">
        <v>19</v>
      </c>
      <c r="P2" s="1">
        <f>(P14-H14)/H14</f>
        <v>-0.3454933740192298</v>
      </c>
      <c r="R2" s="1">
        <f>(R14-J14)/J14</f>
        <v>-0.15277017091185238</v>
      </c>
      <c r="T2" s="1" t="s">
        <v>20</v>
      </c>
      <c r="X2" s="1">
        <f>(X14-P14)/P14</f>
        <v>1.0001946706211708</v>
      </c>
      <c r="Z2" s="1">
        <f>(Z14-R14)/R14</f>
        <v>0.2666935617285055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</v>
      </c>
      <c r="D4" s="23">
        <v>882162.06808591017</v>
      </c>
      <c r="E4" s="33">
        <v>37.796484459002393</v>
      </c>
      <c r="F4" s="5">
        <v>9</v>
      </c>
      <c r="G4" s="23">
        <v>94</v>
      </c>
      <c r="H4" s="33">
        <v>1045.0358503642594</v>
      </c>
      <c r="I4" s="23">
        <v>40.757016994378247</v>
      </c>
      <c r="J4" s="5">
        <v>6081.0796440974646</v>
      </c>
      <c r="K4" s="31"/>
      <c r="L4" s="23">
        <v>1102356.237153186</v>
      </c>
      <c r="M4" s="33">
        <v>163.37680883299981</v>
      </c>
      <c r="N4" s="5">
        <v>14</v>
      </c>
      <c r="O4" s="5">
        <v>78</v>
      </c>
      <c r="P4" s="33">
        <v>669.05456312548188</v>
      </c>
      <c r="Q4" s="5">
        <v>19.837289670903434</v>
      </c>
      <c r="R4" s="5">
        <v>5099.640052034094</v>
      </c>
      <c r="S4" s="35"/>
      <c r="T4" s="23">
        <v>1192139.870400232</v>
      </c>
      <c r="U4" s="33">
        <v>82.032199958001002</v>
      </c>
      <c r="V4" s="5">
        <v>10</v>
      </c>
      <c r="W4" s="5">
        <v>73</v>
      </c>
      <c r="X4" s="33">
        <v>1346.5756755387085</v>
      </c>
      <c r="Y4" s="5">
        <v>47.452116482253913</v>
      </c>
      <c r="Z4" s="5">
        <v>6447.096166650218</v>
      </c>
      <c r="AA4" s="35"/>
    </row>
    <row r="5" spans="2:27" x14ac:dyDescent="0.2">
      <c r="B5" s="4">
        <v>2</v>
      </c>
      <c r="C5" s="4">
        <v>206</v>
      </c>
      <c r="D5" s="23">
        <v>885751.20832217089</v>
      </c>
      <c r="E5" s="33">
        <v>118.0407437500035</v>
      </c>
      <c r="F5" s="5">
        <v>10</v>
      </c>
      <c r="G5" s="23">
        <v>96</v>
      </c>
      <c r="H5" s="33">
        <v>1162.7594985581757</v>
      </c>
      <c r="I5" s="23">
        <v>38.810234841132846</v>
      </c>
      <c r="J5" s="5">
        <v>6076.9930578842768</v>
      </c>
      <c r="K5" s="31"/>
      <c r="L5" s="23">
        <v>1121073.9103296259</v>
      </c>
      <c r="M5" s="33">
        <v>114.2863635409994</v>
      </c>
      <c r="N5" s="5">
        <v>16</v>
      </c>
      <c r="O5" s="5">
        <v>81</v>
      </c>
      <c r="P5" s="33">
        <v>868.850419845141</v>
      </c>
      <c r="Q5" s="5">
        <v>18.518711658647135</v>
      </c>
      <c r="R5" s="5">
        <v>5255.9101545646017</v>
      </c>
      <c r="S5" s="35"/>
      <c r="T5" s="23">
        <v>1188892.346274191</v>
      </c>
      <c r="U5" s="33">
        <v>56.385344709000492</v>
      </c>
      <c r="V5" s="5">
        <v>9</v>
      </c>
      <c r="W5" s="5">
        <v>73</v>
      </c>
      <c r="X5" s="33">
        <v>1344.2406599416686</v>
      </c>
      <c r="Y5" s="5">
        <v>45.130266706013096</v>
      </c>
      <c r="Z5" s="5">
        <v>6448.1116212965671</v>
      </c>
      <c r="AA5" s="35"/>
    </row>
    <row r="6" spans="2:27" x14ac:dyDescent="0.2">
      <c r="B6" s="4">
        <v>3</v>
      </c>
      <c r="C6" s="4">
        <v>395</v>
      </c>
      <c r="D6" s="23">
        <v>870386.12515364704</v>
      </c>
      <c r="E6" s="33">
        <v>32.945481040995219</v>
      </c>
      <c r="F6" s="5">
        <v>10</v>
      </c>
      <c r="G6" s="23">
        <v>96</v>
      </c>
      <c r="H6" s="33">
        <v>1022.2273336391542</v>
      </c>
      <c r="I6" s="23">
        <v>37.725611842676578</v>
      </c>
      <c r="J6" s="5">
        <v>6019.1932306287063</v>
      </c>
      <c r="K6" s="31"/>
      <c r="L6" s="23">
        <v>1140587.9625875561</v>
      </c>
      <c r="M6" s="33">
        <v>65.732427041002666</v>
      </c>
      <c r="N6" s="5">
        <v>14</v>
      </c>
      <c r="O6" s="5">
        <v>78</v>
      </c>
      <c r="P6" s="33">
        <v>983.47626323562179</v>
      </c>
      <c r="Q6" s="5">
        <v>20.194813873505502</v>
      </c>
      <c r="R6" s="5">
        <v>5330.1361501601878</v>
      </c>
      <c r="S6" s="35"/>
      <c r="T6" s="23">
        <v>1242176.08787544</v>
      </c>
      <c r="U6" s="33">
        <v>90.076491125000757</v>
      </c>
      <c r="V6" s="5">
        <v>7</v>
      </c>
      <c r="W6" s="5">
        <v>65</v>
      </c>
      <c r="X6" s="33">
        <v>1131.6902706435374</v>
      </c>
      <c r="Y6" s="5">
        <v>52.718465975311339</v>
      </c>
      <c r="Z6" s="5">
        <v>6507.5002709410574</v>
      </c>
      <c r="AA6" s="35"/>
    </row>
    <row r="7" spans="2:27" x14ac:dyDescent="0.2">
      <c r="B7" s="4">
        <v>4</v>
      </c>
      <c r="C7" s="4">
        <v>471</v>
      </c>
      <c r="D7" s="23">
        <v>892893.96879488498</v>
      </c>
      <c r="E7" s="33">
        <v>39.153224125002453</v>
      </c>
      <c r="F7" s="5">
        <v>10</v>
      </c>
      <c r="G7" s="23">
        <v>95</v>
      </c>
      <c r="H7" s="33">
        <v>1096.2003065883246</v>
      </c>
      <c r="I7" s="23">
        <v>37.567732639990965</v>
      </c>
      <c r="J7" s="5">
        <v>6066.4886896435182</v>
      </c>
      <c r="K7" s="31"/>
      <c r="L7" s="23">
        <v>1138793.354710869</v>
      </c>
      <c r="M7" s="33">
        <v>91.80394512500061</v>
      </c>
      <c r="N7" s="5">
        <v>14</v>
      </c>
      <c r="O7" s="5">
        <v>77</v>
      </c>
      <c r="P7" s="33">
        <v>873.97929067530856</v>
      </c>
      <c r="Q7" s="5">
        <v>19.857588848207751</v>
      </c>
      <c r="R7" s="5">
        <v>5177.4626298717803</v>
      </c>
      <c r="S7" s="35"/>
      <c r="T7" s="23">
        <v>1179715.4491579749</v>
      </c>
      <c r="U7" s="33">
        <v>52.63509787500152</v>
      </c>
      <c r="V7" s="5">
        <v>8</v>
      </c>
      <c r="W7" s="5">
        <v>72</v>
      </c>
      <c r="X7" s="33">
        <v>1338.2393715183646</v>
      </c>
      <c r="Y7" s="5">
        <v>51.655257707071499</v>
      </c>
      <c r="Z7" s="5">
        <v>6459.6812210444077</v>
      </c>
      <c r="AA7" s="35"/>
    </row>
    <row r="8" spans="2:27" x14ac:dyDescent="0.2">
      <c r="B8" s="4">
        <v>5</v>
      </c>
      <c r="C8" s="4">
        <v>541</v>
      </c>
      <c r="D8" s="23">
        <v>918959.82349534996</v>
      </c>
      <c r="E8" s="33">
        <v>71.674908250002773</v>
      </c>
      <c r="F8" s="5">
        <v>9</v>
      </c>
      <c r="G8" s="23">
        <v>93</v>
      </c>
      <c r="H8" s="33">
        <v>1195.1989824713289</v>
      </c>
      <c r="I8" s="23">
        <v>40.176354103071709</v>
      </c>
      <c r="J8" s="5">
        <v>6217.0786658532916</v>
      </c>
      <c r="K8" s="31"/>
      <c r="L8" s="23">
        <v>1141308.7427545229</v>
      </c>
      <c r="M8" s="33">
        <v>117.3574440000011</v>
      </c>
      <c r="N8" s="5">
        <v>15</v>
      </c>
      <c r="O8" s="5">
        <v>79</v>
      </c>
      <c r="P8" s="33">
        <v>940.1227650145928</v>
      </c>
      <c r="Q8" s="5">
        <v>19.224971197848692</v>
      </c>
      <c r="R8" s="5">
        <v>5272.7110114428151</v>
      </c>
      <c r="S8" s="35"/>
      <c r="T8" s="23">
        <v>1190587.798580274</v>
      </c>
      <c r="U8" s="33">
        <v>88.144377458000235</v>
      </c>
      <c r="V8" s="5">
        <v>9</v>
      </c>
      <c r="W8" s="5">
        <v>73</v>
      </c>
      <c r="X8" s="33">
        <v>1387.2857048635553</v>
      </c>
      <c r="Y8" s="5">
        <v>45.702560004896455</v>
      </c>
      <c r="Z8" s="5">
        <v>6512.0638292031945</v>
      </c>
      <c r="AA8" s="35"/>
    </row>
    <row r="9" spans="2:27" x14ac:dyDescent="0.2">
      <c r="B9" s="4">
        <v>6</v>
      </c>
      <c r="C9" s="4">
        <v>699</v>
      </c>
      <c r="D9" s="23">
        <v>919247.1667843794</v>
      </c>
      <c r="E9" s="33">
        <v>40.618119625003601</v>
      </c>
      <c r="F9" s="5">
        <v>9</v>
      </c>
      <c r="G9" s="23">
        <v>92</v>
      </c>
      <c r="H9" s="33">
        <v>1147.9710372735422</v>
      </c>
      <c r="I9" s="23">
        <v>39.577957026145526</v>
      </c>
      <c r="J9" s="5">
        <v>6130.6956754303083</v>
      </c>
      <c r="K9" s="31"/>
      <c r="L9" s="23">
        <v>1131077.096250796</v>
      </c>
      <c r="M9" s="33">
        <v>116.3507270840018</v>
      </c>
      <c r="N9" s="5">
        <v>16</v>
      </c>
      <c r="O9" s="5">
        <v>80</v>
      </c>
      <c r="P9" s="33">
        <v>911.45620933016107</v>
      </c>
      <c r="Q9" s="5">
        <v>18.240807781291654</v>
      </c>
      <c r="R9" s="5">
        <v>5140.3677852247502</v>
      </c>
      <c r="S9" s="35"/>
      <c r="T9" s="23">
        <v>1221826.2118918879</v>
      </c>
      <c r="U9" s="33">
        <v>60.089014582998061</v>
      </c>
      <c r="V9" s="5">
        <v>8</v>
      </c>
      <c r="W9" s="5">
        <v>69</v>
      </c>
      <c r="X9" s="33">
        <v>1347.785155490096</v>
      </c>
      <c r="Y9" s="5">
        <v>57.722096187045963</v>
      </c>
      <c r="Z9" s="5">
        <v>6664.7279714257465</v>
      </c>
      <c r="AA9" s="35"/>
    </row>
    <row r="10" spans="2:27" x14ac:dyDescent="0.2">
      <c r="B10" s="4">
        <v>7</v>
      </c>
      <c r="C10" s="4">
        <v>777</v>
      </c>
      <c r="D10" s="23">
        <v>887135.37617435527</v>
      </c>
      <c r="E10" s="33">
        <v>103.9000169589999</v>
      </c>
      <c r="F10" s="5">
        <v>10</v>
      </c>
      <c r="G10" s="23">
        <v>95</v>
      </c>
      <c r="H10" s="33">
        <v>1090.9891199937126</v>
      </c>
      <c r="I10" s="23">
        <v>37.297596391633839</v>
      </c>
      <c r="J10" s="5">
        <v>6021.8035352968591</v>
      </c>
      <c r="K10" s="31"/>
      <c r="L10" s="23">
        <v>1131715.5468044421</v>
      </c>
      <c r="M10" s="33">
        <v>126.8018394999999</v>
      </c>
      <c r="N10" s="5">
        <v>14</v>
      </c>
      <c r="O10" s="5">
        <v>76</v>
      </c>
      <c r="P10" s="33">
        <v>693.86906369968074</v>
      </c>
      <c r="Q10" s="5">
        <v>19.404029551731202</v>
      </c>
      <c r="R10" s="5">
        <v>5000.9033435395368</v>
      </c>
      <c r="S10" s="35"/>
      <c r="T10" s="23">
        <v>1258132.9628974269</v>
      </c>
      <c r="U10" s="33">
        <v>28.893889500002839</v>
      </c>
      <c r="V10" s="5">
        <v>6</v>
      </c>
      <c r="W10" s="5">
        <v>63</v>
      </c>
      <c r="X10" s="33">
        <v>1134.0753257800916</v>
      </c>
      <c r="Y10" s="5">
        <v>55.272118434619848</v>
      </c>
      <c r="Z10" s="5">
        <v>6490.6536406144469</v>
      </c>
      <c r="AA10" s="35"/>
    </row>
    <row r="11" spans="2:27" x14ac:dyDescent="0.2">
      <c r="B11" s="4">
        <v>8</v>
      </c>
      <c r="C11" s="4">
        <v>800</v>
      </c>
      <c r="D11" s="23">
        <v>872150.94555896474</v>
      </c>
      <c r="E11" s="33">
        <v>30.676414458001091</v>
      </c>
      <c r="F11" s="5">
        <v>10</v>
      </c>
      <c r="G11" s="23">
        <v>97</v>
      </c>
      <c r="H11" s="33">
        <v>996.38780887714915</v>
      </c>
      <c r="I11" s="23">
        <v>38.260069076480221</v>
      </c>
      <c r="J11" s="5">
        <v>6116.5774880164508</v>
      </c>
      <c r="K11" s="31"/>
      <c r="L11" s="23">
        <v>1151262.1627365239</v>
      </c>
      <c r="M11" s="33">
        <v>88.73228441700121</v>
      </c>
      <c r="N11" s="5">
        <v>12</v>
      </c>
      <c r="O11" s="5">
        <v>70</v>
      </c>
      <c r="P11" s="33">
        <v>508.07008205744268</v>
      </c>
      <c r="Q11" s="5">
        <v>19.596521396142332</v>
      </c>
      <c r="R11" s="5">
        <v>4715.7403810335154</v>
      </c>
      <c r="S11" s="35"/>
      <c r="T11" s="23">
        <v>1369351.4731779159</v>
      </c>
      <c r="U11" s="33">
        <v>32.191152792001958</v>
      </c>
      <c r="V11" s="5">
        <v>6</v>
      </c>
      <c r="W11" s="5">
        <v>55</v>
      </c>
      <c r="X11" s="33">
        <v>1103.0832205281454</v>
      </c>
      <c r="Y11" s="5">
        <v>46.519840282475087</v>
      </c>
      <c r="Z11" s="5">
        <v>6491.547498374166</v>
      </c>
      <c r="AA11" s="35"/>
    </row>
    <row r="12" spans="2:27" x14ac:dyDescent="0.2">
      <c r="B12" s="4">
        <v>9</v>
      </c>
      <c r="C12" s="4">
        <v>818</v>
      </c>
      <c r="D12" s="23">
        <v>919374.23996111611</v>
      </c>
      <c r="E12" s="33">
        <v>71.095562417001929</v>
      </c>
      <c r="F12" s="5">
        <v>9</v>
      </c>
      <c r="G12" s="23">
        <v>92</v>
      </c>
      <c r="H12" s="33">
        <v>1158.9106832780953</v>
      </c>
      <c r="I12" s="23">
        <v>39.344526952029184</v>
      </c>
      <c r="J12" s="5">
        <v>6124.0094173071975</v>
      </c>
      <c r="K12" s="31"/>
      <c r="L12" s="23">
        <v>1134460.0983659709</v>
      </c>
      <c r="M12" s="33">
        <v>99.657954624999547</v>
      </c>
      <c r="N12" s="5">
        <v>13</v>
      </c>
      <c r="O12" s="5">
        <v>75</v>
      </c>
      <c r="P12" s="33">
        <v>724.87935078796363</v>
      </c>
      <c r="Q12" s="5">
        <v>20.909853814808422</v>
      </c>
      <c r="R12" s="5">
        <v>5176.6342983002514</v>
      </c>
      <c r="S12" s="35"/>
      <c r="T12" s="23">
        <v>1214519.083920019</v>
      </c>
      <c r="U12" s="33">
        <v>46.596377458001371</v>
      </c>
      <c r="V12" s="5">
        <v>6</v>
      </c>
      <c r="W12" s="5">
        <v>65</v>
      </c>
      <c r="X12" s="33">
        <v>1048.0426425930741</v>
      </c>
      <c r="Y12" s="5">
        <v>62.177948960674918</v>
      </c>
      <c r="Z12" s="5">
        <v>6387.6976222233752</v>
      </c>
      <c r="AA12" s="35"/>
    </row>
    <row r="13" spans="2:27" x14ac:dyDescent="0.2">
      <c r="B13" s="4">
        <v>10</v>
      </c>
      <c r="C13" s="4">
        <v>873</v>
      </c>
      <c r="D13" s="23">
        <v>872035.75620263082</v>
      </c>
      <c r="E13" s="33">
        <v>47.711472792005218</v>
      </c>
      <c r="F13" s="5">
        <v>10</v>
      </c>
      <c r="G13" s="23">
        <v>97</v>
      </c>
      <c r="H13" s="33">
        <v>1095.5997011140516</v>
      </c>
      <c r="I13" s="23">
        <v>38.260069076480221</v>
      </c>
      <c r="J13" s="5">
        <v>6074.2417703719893</v>
      </c>
      <c r="K13" s="31"/>
      <c r="L13" s="23">
        <v>1139106.058834861</v>
      </c>
      <c r="M13" s="33">
        <v>151.5795213749989</v>
      </c>
      <c r="N13" s="5">
        <v>14</v>
      </c>
      <c r="O13" s="5">
        <v>77</v>
      </c>
      <c r="P13" s="33">
        <v>879.37108693595735</v>
      </c>
      <c r="Q13" s="5">
        <v>19.908168076995651</v>
      </c>
      <c r="R13" s="5">
        <v>5165.9069573724328</v>
      </c>
      <c r="S13" s="35"/>
      <c r="T13" s="23">
        <v>1242427.920737755</v>
      </c>
      <c r="U13" s="33">
        <v>43.064608583001252</v>
      </c>
      <c r="V13" s="5">
        <v>8</v>
      </c>
      <c r="W13" s="5">
        <v>67</v>
      </c>
      <c r="X13" s="33">
        <v>1117.1197967055696</v>
      </c>
      <c r="Y13" s="5">
        <v>45.571073787838301</v>
      </c>
      <c r="Z13" s="5">
        <v>6400.5661560908138</v>
      </c>
      <c r="AA13" s="35"/>
    </row>
    <row r="14" spans="2:27" x14ac:dyDescent="0.2">
      <c r="B14" s="47" t="s">
        <v>3</v>
      </c>
      <c r="C14" s="48"/>
      <c r="D14" s="9">
        <f>MIN(D4:D13)</f>
        <v>870386.12515364704</v>
      </c>
      <c r="E14" s="22">
        <f>INDEX(E4:E13, MATCH($D$14, D4:D13, 0))</f>
        <v>32.945481040995219</v>
      </c>
      <c r="F14" s="9">
        <f>INDEX(F4:F13, MATCH($D$14, D4:D13, 0))</f>
        <v>10</v>
      </c>
      <c r="G14" s="9">
        <f>INDEX(G4:G13, MATCH($D$14, D4:D13, 0))</f>
        <v>96</v>
      </c>
      <c r="H14" s="22">
        <f>INDEX(H4:H13, MATCH($D$14, D4:D13, 0))</f>
        <v>1022.2273336391542</v>
      </c>
      <c r="I14" s="22">
        <f>INDEX(I4:I13, MATCH($D$14, D4:D13, 0))</f>
        <v>37.725611842676578</v>
      </c>
      <c r="J14" s="22">
        <f>INDEX(J4:J13, MATCH($D$14, D4:D13, 0))</f>
        <v>6019.1932306287063</v>
      </c>
      <c r="K14" s="32" t="e">
        <f>(D14-$D$15)/$D$15</f>
        <v>#DIV/0!</v>
      </c>
      <c r="L14" s="16">
        <f>MIN(L4:L13)</f>
        <v>1102356.237153186</v>
      </c>
      <c r="M14" s="21">
        <f>INDEX(M4:M13, MATCH($L$14, L4:L13, 0))</f>
        <v>163.37680883299981</v>
      </c>
      <c r="N14" s="16">
        <f>INDEX(N4:N13, MATCH($L$14, L4:L13, 0))</f>
        <v>14</v>
      </c>
      <c r="O14" s="16">
        <f>INDEX(O4:O13, MATCH($L$14, L4:L13, 0))</f>
        <v>78</v>
      </c>
      <c r="P14" s="21">
        <f>INDEX(P4:P13, MATCH($L$14, L4:L13, 0))</f>
        <v>669.05456312548188</v>
      </c>
      <c r="Q14" s="21">
        <f>INDEX(Q4:Q13, MATCH($L$14, L4:L13, 0))</f>
        <v>19.837289670903434</v>
      </c>
      <c r="R14" s="21">
        <f>INDEX(R4:R13, MATCH($L$14, L4:L13, 0))</f>
        <v>5099.640052034094</v>
      </c>
      <c r="S14" s="36" t="e">
        <f>(L14-$D$15)/$D$15</f>
        <v>#DIV/0!</v>
      </c>
      <c r="T14" s="38">
        <f>MIN(T4:T13)</f>
        <v>1179715.4491579749</v>
      </c>
      <c r="U14" s="39">
        <f>INDEX(U4:U13, MATCH($T$14, T4:T13, 0))</f>
        <v>52.63509787500152</v>
      </c>
      <c r="V14" s="38">
        <f>INDEX(V4:V13, MATCH($T$14, T4:T13, 0))</f>
        <v>8</v>
      </c>
      <c r="W14" s="38">
        <f>INDEX(W4:W13, MATCH($T$14, T4:T13, 0))</f>
        <v>72</v>
      </c>
      <c r="X14" s="39">
        <f>INDEX(X4:X13, MATCH($T$14, T4:T13, 0))</f>
        <v>1338.2393715183646</v>
      </c>
      <c r="Y14" s="39">
        <f>INDEX(Y4:Y13, MATCH($T$14, T4:T13, 0))</f>
        <v>51.655257707071499</v>
      </c>
      <c r="Z14" s="39">
        <f>INDEX(Z4:Z13, MATCH($T$14, T4:T13, 0))</f>
        <v>6459.6812210444077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0.26651402785009914</v>
      </c>
      <c r="M15" s="46">
        <f t="shared" ref="M15:R15" si="0">(M14-E14)/E14</f>
        <v>3.9590051099786434</v>
      </c>
      <c r="N15" s="46">
        <f t="shared" si="0"/>
        <v>0.4</v>
      </c>
      <c r="O15" s="46">
        <f t="shared" si="0"/>
        <v>-0.1875</v>
      </c>
      <c r="P15" s="46">
        <f t="shared" si="0"/>
        <v>-0.3454933740192298</v>
      </c>
      <c r="Q15" s="46">
        <f t="shared" si="0"/>
        <v>-0.47416917309044743</v>
      </c>
      <c r="R15" s="46">
        <f t="shared" si="0"/>
        <v>-0.15277017091185238</v>
      </c>
      <c r="T15" s="46">
        <f>(T14-D14)/D14</f>
        <v>0.35539321579801464</v>
      </c>
      <c r="U15" s="46">
        <f t="shared" ref="U15:Z15" si="1">(U14-E14)/E14</f>
        <v>0.59764241443328203</v>
      </c>
      <c r="V15" s="46">
        <f t="shared" si="1"/>
        <v>-0.2</v>
      </c>
      <c r="W15" s="46">
        <f t="shared" si="1"/>
        <v>-0.25</v>
      </c>
      <c r="X15" s="46">
        <f t="shared" si="1"/>
        <v>0.30914066517298056</v>
      </c>
      <c r="Y15" s="46">
        <f t="shared" si="1"/>
        <v>0.36923578396778184</v>
      </c>
      <c r="Z15" s="46">
        <f t="shared" si="1"/>
        <v>7.3180569810298704E-2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24:C1048576">
    <cfRule type="duplicateValues" dxfId="79" priority="7"/>
    <cfRule type="duplicateValues" dxfId="78" priority="8"/>
  </conditionalFormatting>
  <conditionalFormatting sqref="C14">
    <cfRule type="duplicateValues" dxfId="77" priority="5"/>
    <cfRule type="duplicateValues" dxfId="76" priority="6"/>
  </conditionalFormatting>
  <conditionalFormatting sqref="C15">
    <cfRule type="duplicateValues" dxfId="75" priority="3"/>
    <cfRule type="duplicateValues" dxfId="74" priority="4"/>
  </conditionalFormatting>
  <conditionalFormatting sqref="C17:C23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90F3-4BD0-5B45-9F8A-1ECA800BADA8}">
  <dimension ref="B1:AA17"/>
  <sheetViews>
    <sheetView zoomScale="118" zoomScaleNormal="120" workbookViewId="0">
      <selection activeCell="A17" sqref="A17:XFD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-0.98237920571651549</v>
      </c>
      <c r="J2" s="28" t="e">
        <f>(S14-J14)/J14</f>
        <v>#DIV/0!</v>
      </c>
      <c r="K2" s="28"/>
      <c r="L2" s="1" t="s">
        <v>19</v>
      </c>
      <c r="P2" s="1">
        <f>(P14-H14)/H14</f>
        <v>-0.20231629499462467</v>
      </c>
      <c r="R2" s="1">
        <f>(R14-J14)/J14</f>
        <v>-0.13739730094848013</v>
      </c>
      <c r="T2" s="1" t="s">
        <v>20</v>
      </c>
      <c r="X2" s="1">
        <f>(X14-P14)/P14</f>
        <v>0.61910100047441163</v>
      </c>
      <c r="Z2" s="1">
        <f>(Z14-R14)/R14</f>
        <v>0.24974798653781199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25</v>
      </c>
      <c r="D4" s="23">
        <v>843061.40453932481</v>
      </c>
      <c r="E4" s="33">
        <v>74.583548499998869</v>
      </c>
      <c r="F4" s="5">
        <v>8</v>
      </c>
      <c r="G4" s="23">
        <v>97</v>
      </c>
      <c r="H4" s="33">
        <v>840.41093056802276</v>
      </c>
      <c r="I4" s="23">
        <v>39.481528775772176</v>
      </c>
      <c r="J4" s="5">
        <v>6165.5199521796212</v>
      </c>
      <c r="K4" s="31"/>
      <c r="L4" s="23">
        <v>1103148.218644982</v>
      </c>
      <c r="M4" s="33">
        <v>131.71579745800051</v>
      </c>
      <c r="N4" s="5">
        <v>13</v>
      </c>
      <c r="O4" s="5">
        <v>75</v>
      </c>
      <c r="P4" s="33">
        <v>383.67565660460997</v>
      </c>
      <c r="Q4" s="5">
        <v>16.442444594926705</v>
      </c>
      <c r="R4" s="5">
        <v>4755.0431128102191</v>
      </c>
      <c r="S4" s="35"/>
      <c r="T4" s="23">
        <v>1077629.325040126</v>
      </c>
      <c r="U4" s="33">
        <v>127.2179004999998</v>
      </c>
      <c r="V4" s="5">
        <v>9</v>
      </c>
      <c r="W4" s="5">
        <v>81</v>
      </c>
      <c r="X4" s="33">
        <v>1165.0763899970168</v>
      </c>
      <c r="Y4" s="5">
        <v>47.125786065237904</v>
      </c>
      <c r="Z4" s="5">
        <v>6515.5156210482874</v>
      </c>
      <c r="AA4" s="35"/>
    </row>
    <row r="5" spans="2:27" x14ac:dyDescent="0.2">
      <c r="B5" s="4">
        <v>2</v>
      </c>
      <c r="C5" s="4">
        <v>128</v>
      </c>
      <c r="D5" s="23">
        <v>863283.19427924347</v>
      </c>
      <c r="E5" s="33">
        <v>36.819499375000312</v>
      </c>
      <c r="F5" s="5">
        <v>7</v>
      </c>
      <c r="G5" s="23">
        <v>94</v>
      </c>
      <c r="H5" s="33">
        <v>844.61898838433376</v>
      </c>
      <c r="I5" s="23">
        <v>43.663062440111354</v>
      </c>
      <c r="J5" s="5">
        <v>6137.1825598162941</v>
      </c>
      <c r="K5" s="31"/>
      <c r="L5" s="23">
        <v>1089854.0331523139</v>
      </c>
      <c r="M5" s="33">
        <v>100.95620020899879</v>
      </c>
      <c r="N5" s="5">
        <v>16</v>
      </c>
      <c r="O5" s="5">
        <v>83</v>
      </c>
      <c r="P5" s="33">
        <v>747.62619743272649</v>
      </c>
      <c r="Q5" s="5">
        <v>15.812086632285864</v>
      </c>
      <c r="R5" s="5">
        <v>5151.3123408326073</v>
      </c>
      <c r="S5" s="35"/>
      <c r="T5" s="23">
        <v>1129637.0799403591</v>
      </c>
      <c r="U5" s="33">
        <v>66.716788458001247</v>
      </c>
      <c r="V5" s="5">
        <v>7</v>
      </c>
      <c r="W5" s="5">
        <v>72</v>
      </c>
      <c r="X5" s="33">
        <v>903.1094242139402</v>
      </c>
      <c r="Y5" s="5">
        <v>45.932733988320706</v>
      </c>
      <c r="Z5" s="5">
        <v>6102.3297233210151</v>
      </c>
      <c r="AA5" s="35"/>
    </row>
    <row r="6" spans="2:27" x14ac:dyDescent="0.2">
      <c r="B6" s="4">
        <v>3</v>
      </c>
      <c r="C6" s="4">
        <v>256</v>
      </c>
      <c r="D6" s="23">
        <v>847981.51642545976</v>
      </c>
      <c r="E6" s="33">
        <v>50.583397000002151</v>
      </c>
      <c r="F6" s="5">
        <v>8</v>
      </c>
      <c r="G6" s="23">
        <v>97</v>
      </c>
      <c r="H6" s="33">
        <v>833.59037114140631</v>
      </c>
      <c r="I6" s="23">
        <v>39.224446292017014</v>
      </c>
      <c r="J6" s="5">
        <v>6234.1601606259419</v>
      </c>
      <c r="K6" s="31"/>
      <c r="L6" s="23">
        <v>1068710.045013082</v>
      </c>
      <c r="M6" s="33">
        <v>93.390956999999617</v>
      </c>
      <c r="N6" s="5">
        <v>15</v>
      </c>
      <c r="O6" s="5">
        <v>84</v>
      </c>
      <c r="P6" s="33">
        <v>675.03280236010949</v>
      </c>
      <c r="Q6" s="5">
        <v>16.969166772046151</v>
      </c>
      <c r="R6" s="5">
        <v>5266.9654698666136</v>
      </c>
      <c r="S6" s="35"/>
      <c r="T6" s="23">
        <v>1079946.111038761</v>
      </c>
      <c r="U6" s="33">
        <v>55.998469709000346</v>
      </c>
      <c r="V6" s="5">
        <v>9</v>
      </c>
      <c r="W6" s="5">
        <v>80</v>
      </c>
      <c r="X6" s="33">
        <v>1122.3931856236054</v>
      </c>
      <c r="Y6" s="5">
        <v>46.038173712637303</v>
      </c>
      <c r="Z6" s="5">
        <v>6369.0853289663628</v>
      </c>
      <c r="AA6" s="35"/>
    </row>
    <row r="7" spans="2:27" x14ac:dyDescent="0.2">
      <c r="B7" s="4">
        <v>4</v>
      </c>
      <c r="C7" s="4">
        <v>351</v>
      </c>
      <c r="D7" s="23">
        <v>843389.55229604826</v>
      </c>
      <c r="E7" s="33">
        <v>43.395311749998648</v>
      </c>
      <c r="F7" s="5">
        <v>8</v>
      </c>
      <c r="G7" s="23">
        <v>98</v>
      </c>
      <c r="H7" s="33">
        <v>891.58979915544148</v>
      </c>
      <c r="I7" s="23">
        <v>40.005362872764422</v>
      </c>
      <c r="J7" s="5">
        <v>6252.6317864322837</v>
      </c>
      <c r="K7" s="31"/>
      <c r="L7" s="23">
        <v>1068529.907119225</v>
      </c>
      <c r="M7" s="33">
        <v>60.17893133400139</v>
      </c>
      <c r="N7" s="5">
        <v>16</v>
      </c>
      <c r="O7" s="5">
        <v>85</v>
      </c>
      <c r="P7" s="33">
        <v>719.58228032447551</v>
      </c>
      <c r="Q7" s="5">
        <v>15.895537607293644</v>
      </c>
      <c r="R7" s="5">
        <v>5213.4635872455201</v>
      </c>
      <c r="S7" s="35"/>
      <c r="T7" s="23">
        <v>1077846.0972175801</v>
      </c>
      <c r="U7" s="33">
        <v>95.481336666998686</v>
      </c>
      <c r="V7" s="5">
        <v>9</v>
      </c>
      <c r="W7" s="5">
        <v>81</v>
      </c>
      <c r="X7" s="33">
        <v>1192.2986122192392</v>
      </c>
      <c r="Y7" s="5">
        <v>47.125786065237904</v>
      </c>
      <c r="Z7" s="5">
        <v>6493.1277011150214</v>
      </c>
      <c r="AA7" s="35"/>
    </row>
    <row r="8" spans="2:27" x14ac:dyDescent="0.2">
      <c r="B8" s="4">
        <v>5</v>
      </c>
      <c r="C8" s="4">
        <v>574</v>
      </c>
      <c r="D8" s="23">
        <v>859884.74978480325</v>
      </c>
      <c r="E8" s="33">
        <v>82.847671167000954</v>
      </c>
      <c r="F8" s="5">
        <v>8</v>
      </c>
      <c r="G8" s="23">
        <v>97</v>
      </c>
      <c r="H8" s="33">
        <v>962.00271550705361</v>
      </c>
      <c r="I8" s="23">
        <v>40.06675599987647</v>
      </c>
      <c r="J8" s="5">
        <v>6277.8356174590435</v>
      </c>
      <c r="K8" s="31"/>
      <c r="L8" s="23">
        <v>1101843.4358259761</v>
      </c>
      <c r="M8" s="33">
        <v>105.4280574590011</v>
      </c>
      <c r="N8" s="5">
        <v>14</v>
      </c>
      <c r="O8" s="5">
        <v>78</v>
      </c>
      <c r="P8" s="33">
        <v>564.34432655348246</v>
      </c>
      <c r="Q8" s="5">
        <v>15.851246404229853</v>
      </c>
      <c r="R8" s="5">
        <v>4928.0926752334508</v>
      </c>
      <c r="S8" s="35"/>
      <c r="T8" s="23">
        <v>1126147.424762368</v>
      </c>
      <c r="U8" s="33">
        <v>61.909767458000722</v>
      </c>
      <c r="V8" s="5">
        <v>7</v>
      </c>
      <c r="W8" s="5">
        <v>73</v>
      </c>
      <c r="X8" s="33">
        <v>941.14966164076623</v>
      </c>
      <c r="Y8" s="5">
        <v>46.134962008756055</v>
      </c>
      <c r="Z8" s="5">
        <v>6228.8251700945766</v>
      </c>
      <c r="AA8" s="35"/>
    </row>
    <row r="9" spans="2:27" x14ac:dyDescent="0.2">
      <c r="B9" s="4">
        <v>6</v>
      </c>
      <c r="C9" s="4">
        <v>748</v>
      </c>
      <c r="D9" s="23">
        <v>859433.81714357401</v>
      </c>
      <c r="E9" s="33">
        <v>43.0285612499938</v>
      </c>
      <c r="F9" s="5">
        <v>8</v>
      </c>
      <c r="G9" s="23">
        <v>97</v>
      </c>
      <c r="H9" s="33">
        <v>970.48603873325123</v>
      </c>
      <c r="I9" s="23">
        <v>39.910822847379386</v>
      </c>
      <c r="J9" s="5">
        <v>6270.7622396543129</v>
      </c>
      <c r="K9" s="31"/>
      <c r="L9" s="23">
        <v>1076124.4704272819</v>
      </c>
      <c r="M9" s="33">
        <v>90.622950916000264</v>
      </c>
      <c r="N9" s="5">
        <v>14</v>
      </c>
      <c r="O9" s="5">
        <v>80</v>
      </c>
      <c r="P9" s="33">
        <v>700.81248819263612</v>
      </c>
      <c r="Q9" s="5">
        <v>17.089898130515866</v>
      </c>
      <c r="R9" s="5">
        <v>4940.9635687603823</v>
      </c>
      <c r="S9" s="35"/>
      <c r="T9" s="23">
        <v>1123800.619974372</v>
      </c>
      <c r="U9" s="33">
        <v>64.870492499998363</v>
      </c>
      <c r="V9" s="5">
        <v>8</v>
      </c>
      <c r="W9" s="5">
        <v>75</v>
      </c>
      <c r="X9" s="33">
        <v>1019.8317046185279</v>
      </c>
      <c r="Y9" s="5">
        <v>42.156275883660378</v>
      </c>
      <c r="Z9" s="5">
        <v>6250.996796636894</v>
      </c>
      <c r="AA9" s="35"/>
    </row>
    <row r="10" spans="2:27" x14ac:dyDescent="0.2">
      <c r="B10" s="4">
        <v>7</v>
      </c>
      <c r="C10" s="4">
        <v>886</v>
      </c>
      <c r="D10" s="23">
        <v>844398.7347890886</v>
      </c>
      <c r="E10" s="33">
        <v>27.614856957996381</v>
      </c>
      <c r="F10" s="5">
        <v>7</v>
      </c>
      <c r="G10" s="23">
        <v>96</v>
      </c>
      <c r="H10" s="33">
        <v>864.13462860481934</v>
      </c>
      <c r="I10" s="23">
        <v>44.534828312008997</v>
      </c>
      <c r="J10" s="5">
        <v>6262.3475077548974</v>
      </c>
      <c r="K10" s="31"/>
      <c r="L10" s="23">
        <v>1081443.272271998</v>
      </c>
      <c r="M10" s="33">
        <v>112.3954379999996</v>
      </c>
      <c r="N10" s="5">
        <v>12</v>
      </c>
      <c r="O10" s="5">
        <v>76</v>
      </c>
      <c r="P10" s="33">
        <v>538.84974581169183</v>
      </c>
      <c r="Q10" s="5">
        <v>18.425566933721552</v>
      </c>
      <c r="R10" s="5">
        <v>4844.6794695321878</v>
      </c>
      <c r="S10" s="35"/>
      <c r="T10" s="23">
        <v>1088248.5490188419</v>
      </c>
      <c r="U10" s="33">
        <v>78.163591541997448</v>
      </c>
      <c r="V10" s="5">
        <v>9</v>
      </c>
      <c r="W10" s="5">
        <v>81</v>
      </c>
      <c r="X10" s="33">
        <v>1297.9870102613552</v>
      </c>
      <c r="Y10" s="5">
        <v>47.10474673163646</v>
      </c>
      <c r="Z10" s="5">
        <v>6520.1932893452413</v>
      </c>
      <c r="AA10" s="35"/>
    </row>
    <row r="11" spans="2:27" x14ac:dyDescent="0.2">
      <c r="B11" s="4">
        <v>8</v>
      </c>
      <c r="C11" s="4">
        <v>912</v>
      </c>
      <c r="D11" s="23">
        <v>871107.60099083139</v>
      </c>
      <c r="E11" s="33">
        <v>38.951709125001798</v>
      </c>
      <c r="F11" s="5">
        <v>7</v>
      </c>
      <c r="G11" s="23">
        <v>95</v>
      </c>
      <c r="H11" s="33">
        <v>946.36489943100821</v>
      </c>
      <c r="I11" s="23">
        <v>44.605799092725718</v>
      </c>
      <c r="J11" s="5">
        <v>6362.3684097404011</v>
      </c>
      <c r="K11" s="31"/>
      <c r="L11" s="23">
        <v>1083751.7903292051</v>
      </c>
      <c r="M11" s="33">
        <v>122.31170799999749</v>
      </c>
      <c r="N11" s="5">
        <v>15</v>
      </c>
      <c r="O11" s="5">
        <v>82</v>
      </c>
      <c r="P11" s="33">
        <v>756.10251481679575</v>
      </c>
      <c r="Q11" s="5">
        <v>16.482806562315446</v>
      </c>
      <c r="R11" s="5">
        <v>5114.4698891962807</v>
      </c>
      <c r="S11" s="35"/>
      <c r="T11" s="23">
        <v>1115834.4891010891</v>
      </c>
      <c r="U11" s="33">
        <v>90.931889208000939</v>
      </c>
      <c r="V11" s="5">
        <v>9</v>
      </c>
      <c r="W11" s="5">
        <v>77</v>
      </c>
      <c r="X11" s="33">
        <v>1067.0860226419832</v>
      </c>
      <c r="Y11" s="5">
        <v>38.603940079685806</v>
      </c>
      <c r="Z11" s="5">
        <v>6275.2977379633003</v>
      </c>
      <c r="AA11" s="35"/>
    </row>
    <row r="12" spans="2:27" x14ac:dyDescent="0.2">
      <c r="B12" s="4">
        <v>9</v>
      </c>
      <c r="C12" s="4">
        <v>920</v>
      </c>
      <c r="D12" s="23">
        <v>843389.55229604826</v>
      </c>
      <c r="E12" s="33">
        <v>55.225771917001111</v>
      </c>
      <c r="F12" s="5">
        <v>8</v>
      </c>
      <c r="G12" s="23">
        <v>98</v>
      </c>
      <c r="H12" s="33">
        <v>891.58979915544148</v>
      </c>
      <c r="I12" s="23">
        <v>40.005362872764422</v>
      </c>
      <c r="J12" s="5">
        <v>6252.6317864322837</v>
      </c>
      <c r="K12" s="31"/>
      <c r="L12" s="23">
        <v>1074699.569852072</v>
      </c>
      <c r="M12" s="33">
        <v>104.00949112499799</v>
      </c>
      <c r="N12" s="5">
        <v>16</v>
      </c>
      <c r="O12" s="5">
        <v>85</v>
      </c>
      <c r="P12" s="33">
        <v>692.23699053838845</v>
      </c>
      <c r="Q12" s="5">
        <v>16.301512566179269</v>
      </c>
      <c r="R12" s="5">
        <v>5251.7424662794456</v>
      </c>
      <c r="S12" s="35"/>
      <c r="T12" s="23">
        <v>1098441.848687293</v>
      </c>
      <c r="U12" s="33">
        <v>77.789505207998445</v>
      </c>
      <c r="V12" s="5">
        <v>8</v>
      </c>
      <c r="W12" s="5">
        <v>78</v>
      </c>
      <c r="X12" s="33">
        <v>1096.1697089807967</v>
      </c>
      <c r="Y12" s="5">
        <v>43.544679257753842</v>
      </c>
      <c r="Z12" s="5">
        <v>6352.3914685372201</v>
      </c>
      <c r="AA12" s="35"/>
    </row>
    <row r="13" spans="2:27" x14ac:dyDescent="0.2">
      <c r="B13" s="4">
        <v>10</v>
      </c>
      <c r="C13" s="4">
        <v>944</v>
      </c>
      <c r="D13" s="23">
        <v>841295.51641844609</v>
      </c>
      <c r="E13" s="33">
        <v>71.618620666995412</v>
      </c>
      <c r="F13" s="5">
        <v>9</v>
      </c>
      <c r="G13" s="23">
        <v>98</v>
      </c>
      <c r="H13" s="33">
        <v>902.08973282164072</v>
      </c>
      <c r="I13" s="23">
        <v>35.754745820257455</v>
      </c>
      <c r="J13" s="5">
        <v>6043.8758109359223</v>
      </c>
      <c r="K13" s="31"/>
      <c r="L13" s="23">
        <v>1078857.2544487659</v>
      </c>
      <c r="M13" s="33">
        <v>72.467574292000791</v>
      </c>
      <c r="N13" s="5">
        <v>14</v>
      </c>
      <c r="O13" s="5">
        <v>77</v>
      </c>
      <c r="P13" s="33">
        <v>318.96649756556991</v>
      </c>
      <c r="Q13" s="5">
        <v>15.894707166690784</v>
      </c>
      <c r="R13" s="5">
        <v>4631.6073885652668</v>
      </c>
      <c r="S13" s="35"/>
      <c r="T13" s="23">
        <v>1116967.261566041</v>
      </c>
      <c r="U13" s="33">
        <v>76.442550167001173</v>
      </c>
      <c r="V13" s="5">
        <v>9</v>
      </c>
      <c r="W13" s="5">
        <v>78</v>
      </c>
      <c r="X13" s="33">
        <v>1168.9538959409517</v>
      </c>
      <c r="Y13" s="5">
        <v>39.306741277483546</v>
      </c>
      <c r="Z13" s="5">
        <v>6387.3213622105732</v>
      </c>
      <c r="AA13" s="35"/>
    </row>
    <row r="14" spans="2:27" x14ac:dyDescent="0.2">
      <c r="B14" s="47" t="s">
        <v>3</v>
      </c>
      <c r="C14" s="48"/>
      <c r="D14" s="9">
        <f>MIN(D4:D13)</f>
        <v>841295.51641844609</v>
      </c>
      <c r="E14" s="22">
        <f>INDEX(E4:E13, MATCH($D$14, D4:D13, 0))</f>
        <v>71.618620666995412</v>
      </c>
      <c r="F14" s="9">
        <f>INDEX(F4:F13, MATCH($D$14, D4:D13, 0))</f>
        <v>9</v>
      </c>
      <c r="G14" s="9">
        <f>INDEX(G4:G13, MATCH($D$14, D4:D13, 0))</f>
        <v>98</v>
      </c>
      <c r="H14" s="22">
        <f>INDEX(H4:H13, MATCH($D$14, D4:D13, 0))</f>
        <v>902.08973282164072</v>
      </c>
      <c r="I14" s="22">
        <f>INDEX(I4:I13, MATCH($D$14, D4:D13, 0))</f>
        <v>35.754745820257455</v>
      </c>
      <c r="J14" s="22">
        <f>INDEX(J4:J13, MATCH($D$14, D4:D13, 0))</f>
        <v>6043.8758109359223</v>
      </c>
      <c r="K14" s="32" t="e">
        <f>(D14-$D$15)/$D$15</f>
        <v>#DIV/0!</v>
      </c>
      <c r="L14" s="16">
        <f>MIN(L4:L13)</f>
        <v>1068529.907119225</v>
      </c>
      <c r="M14" s="21">
        <f>INDEX(M4:M13, MATCH($L$14, L4:L13, 0))</f>
        <v>60.17893133400139</v>
      </c>
      <c r="N14" s="16">
        <f>INDEX(N4:N13, MATCH($L$14, L4:L13, 0))</f>
        <v>16</v>
      </c>
      <c r="O14" s="16">
        <f>INDEX(O4:O13, MATCH($L$14, L4:L13, 0))</f>
        <v>85</v>
      </c>
      <c r="P14" s="21">
        <f>INDEX(P4:P13, MATCH($L$14, L4:L13, 0))</f>
        <v>719.58228032447551</v>
      </c>
      <c r="Q14" s="21">
        <f>INDEX(Q4:Q13, MATCH($L$14, L4:L13, 0))</f>
        <v>15.895537607293644</v>
      </c>
      <c r="R14" s="21">
        <f>INDEX(R4:R13, MATCH($L$14, L4:L13, 0))</f>
        <v>5213.4635872455201</v>
      </c>
      <c r="S14" s="36" t="e">
        <f>(L14-$D$15)/$D$15</f>
        <v>#DIV/0!</v>
      </c>
      <c r="T14" s="38">
        <f>MIN(T4:T13)</f>
        <v>1077629.325040126</v>
      </c>
      <c r="U14" s="39">
        <f>INDEX(U4:U13, MATCH($T$14, T4:T13, 0))</f>
        <v>127.2179004999998</v>
      </c>
      <c r="V14" s="38">
        <f>INDEX(V4:V13, MATCH($T$14, T4:T13, 0))</f>
        <v>9</v>
      </c>
      <c r="W14" s="38">
        <f>INDEX(W4:W13, MATCH($T$14, T4:T13, 0))</f>
        <v>81</v>
      </c>
      <c r="X14" s="39">
        <f>INDEX(X4:X13, MATCH($T$14, T4:T13, 0))</f>
        <v>1165.0763899970168</v>
      </c>
      <c r="Y14" s="39">
        <f>INDEX(Y4:Y13, MATCH($T$14, T4:T13, 0))</f>
        <v>47.125786065237904</v>
      </c>
      <c r="Z14" s="39">
        <f>INDEX(Z4:Z13, MATCH($T$14, T4:T13, 0))</f>
        <v>6515.5156210482874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0.27010056070209271</v>
      </c>
      <c r="M15" s="46">
        <f t="shared" ref="M15:R15" si="0">(M14-E14)/E14</f>
        <v>-0.15973065700587927</v>
      </c>
      <c r="N15" s="46">
        <f t="shared" si="0"/>
        <v>0.77777777777777779</v>
      </c>
      <c r="O15" s="46">
        <f t="shared" si="0"/>
        <v>-0.1326530612244898</v>
      </c>
      <c r="P15" s="46">
        <f t="shared" si="0"/>
        <v>-0.20231629499462467</v>
      </c>
      <c r="Q15" s="46">
        <f t="shared" si="0"/>
        <v>-0.55542859436892544</v>
      </c>
      <c r="R15" s="46">
        <f t="shared" si="0"/>
        <v>-0.13739730094848013</v>
      </c>
      <c r="T15" s="46">
        <f>(T14-D14)/D14</f>
        <v>0.28091651983098348</v>
      </c>
      <c r="U15" s="46">
        <f t="shared" ref="U15:Z15" si="1">(U14-E14)/E14</f>
        <v>0.77632435971538694</v>
      </c>
      <c r="V15" s="46">
        <f t="shared" si="1"/>
        <v>0</v>
      </c>
      <c r="W15" s="46">
        <f t="shared" si="1"/>
        <v>-0.17346938775510204</v>
      </c>
      <c r="X15" s="46">
        <f t="shared" si="1"/>
        <v>0.29153048483633859</v>
      </c>
      <c r="Y15" s="46">
        <f t="shared" si="1"/>
        <v>0.31802883740647359</v>
      </c>
      <c r="Z15" s="46">
        <f t="shared" si="1"/>
        <v>7.8035986321719167E-2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24:C1048576">
    <cfRule type="duplicateValues" dxfId="73" priority="7"/>
    <cfRule type="duplicateValues" dxfId="72" priority="8"/>
  </conditionalFormatting>
  <conditionalFormatting sqref="C14">
    <cfRule type="duplicateValues" dxfId="71" priority="5"/>
    <cfRule type="duplicateValues" dxfId="70" priority="6"/>
  </conditionalFormatting>
  <conditionalFormatting sqref="C15">
    <cfRule type="duplicateValues" dxfId="69" priority="3"/>
    <cfRule type="duplicateValues" dxfId="68" priority="4"/>
  </conditionalFormatting>
  <conditionalFormatting sqref="C17:C23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2C536-EE4A-5C48-93A0-B71813B946AE}">
  <dimension ref="B1:AA17"/>
  <sheetViews>
    <sheetView topLeftCell="A2" zoomScale="118" zoomScaleNormal="120" workbookViewId="0">
      <selection activeCell="A17" sqref="A17:XFD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-0.98105509281519387</v>
      </c>
      <c r="J2" s="28" t="e">
        <f>(S14-J14)/J14</f>
        <v>#DIV/0!</v>
      </c>
      <c r="K2" s="28"/>
      <c r="L2" s="1" t="s">
        <v>19</v>
      </c>
      <c r="P2" s="1">
        <f>(P14-H14)/H14</f>
        <v>-0.19517188223075568</v>
      </c>
      <c r="R2" s="1">
        <f>(R14-J14)/J14</f>
        <v>-0.15783708728388005</v>
      </c>
      <c r="T2" s="1" t="s">
        <v>20</v>
      </c>
      <c r="X2" s="1">
        <f>(X14-P14)/P14</f>
        <v>0.52904277576598735</v>
      </c>
      <c r="Z2" s="1">
        <f>(Z14-R14)/R14</f>
        <v>0.23480873622644954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150</v>
      </c>
      <c r="D4" s="23">
        <v>1021379.855289411</v>
      </c>
      <c r="E4" s="33">
        <v>60.866255250002723</v>
      </c>
      <c r="F4" s="5">
        <v>8</v>
      </c>
      <c r="G4" s="23">
        <v>88</v>
      </c>
      <c r="H4" s="33">
        <v>1299.7355760177336</v>
      </c>
      <c r="I4" s="23">
        <v>47.23490258263508</v>
      </c>
      <c r="J4" s="5">
        <v>6667.7036586663808</v>
      </c>
      <c r="K4" s="31"/>
      <c r="L4" s="23">
        <v>1206980.385212223</v>
      </c>
      <c r="M4" s="33">
        <v>82.469516417000705</v>
      </c>
      <c r="N4" s="5">
        <v>17</v>
      </c>
      <c r="O4" s="5">
        <v>81</v>
      </c>
      <c r="P4" s="33">
        <v>1061.8918527709229</v>
      </c>
      <c r="Q4" s="5">
        <v>19.844296566574961</v>
      </c>
      <c r="R4" s="5">
        <v>5790.4807931525138</v>
      </c>
      <c r="S4" s="35"/>
      <c r="T4" s="23">
        <v>1300398.401272537</v>
      </c>
      <c r="U4" s="33">
        <v>37.666692040998903</v>
      </c>
      <c r="V4" s="5">
        <v>7</v>
      </c>
      <c r="W4" s="5">
        <v>64</v>
      </c>
      <c r="X4" s="33">
        <v>1331.9691425279088</v>
      </c>
      <c r="Y4" s="5">
        <v>59.714149865802824</v>
      </c>
      <c r="Z4" s="5">
        <v>6901.2603051104215</v>
      </c>
      <c r="AA4" s="35"/>
    </row>
    <row r="5" spans="2:27" x14ac:dyDescent="0.2">
      <c r="B5" s="4">
        <v>2</v>
      </c>
      <c r="C5" s="4">
        <v>164</v>
      </c>
      <c r="D5" s="23">
        <v>1021830.568177873</v>
      </c>
      <c r="E5" s="33">
        <v>49.672248999995652</v>
      </c>
      <c r="F5" s="5">
        <v>8</v>
      </c>
      <c r="G5" s="23">
        <v>87</v>
      </c>
      <c r="H5" s="33">
        <v>1209.1309875224999</v>
      </c>
      <c r="I5" s="23">
        <v>47.062631889421439</v>
      </c>
      <c r="J5" s="5">
        <v>6605.5680493362024</v>
      </c>
      <c r="K5" s="31"/>
      <c r="L5" s="23">
        <v>1201323.814697443</v>
      </c>
      <c r="M5" s="33">
        <v>108.29578241600031</v>
      </c>
      <c r="N5" s="5">
        <v>13</v>
      </c>
      <c r="O5" s="5">
        <v>72</v>
      </c>
      <c r="P5" s="33">
        <v>733.77711367386564</v>
      </c>
      <c r="Q5" s="5">
        <v>22.572420032204828</v>
      </c>
      <c r="R5" s="5">
        <v>5435.6660522618495</v>
      </c>
      <c r="S5" s="35"/>
      <c r="T5" s="23">
        <v>1309714.542534654</v>
      </c>
      <c r="U5" s="33">
        <v>48.173850375002083</v>
      </c>
      <c r="V5" s="5">
        <v>7</v>
      </c>
      <c r="W5" s="5">
        <v>63</v>
      </c>
      <c r="X5" s="33">
        <v>1401.3157157596916</v>
      </c>
      <c r="Y5" s="5">
        <v>58.481490288215468</v>
      </c>
      <c r="Z5" s="5">
        <v>6910.1373501325725</v>
      </c>
      <c r="AA5" s="35"/>
    </row>
    <row r="6" spans="2:27" x14ac:dyDescent="0.2">
      <c r="B6" s="4">
        <v>3</v>
      </c>
      <c r="C6" s="4">
        <v>389</v>
      </c>
      <c r="D6" s="23">
        <v>1021651.480632117</v>
      </c>
      <c r="E6" s="33">
        <v>50.167321624998287</v>
      </c>
      <c r="F6" s="5">
        <v>8</v>
      </c>
      <c r="G6" s="23">
        <v>88</v>
      </c>
      <c r="H6" s="33">
        <v>1280.534006426604</v>
      </c>
      <c r="I6" s="23">
        <v>47.674580328577541</v>
      </c>
      <c r="J6" s="5">
        <v>6700.852466316227</v>
      </c>
      <c r="K6" s="31"/>
      <c r="L6" s="23">
        <v>1198344.0243808299</v>
      </c>
      <c r="M6" s="33">
        <v>69.195032375002484</v>
      </c>
      <c r="N6" s="5">
        <v>15</v>
      </c>
      <c r="O6" s="5">
        <v>78</v>
      </c>
      <c r="P6" s="33">
        <v>1011.6962764884441</v>
      </c>
      <c r="Q6" s="5">
        <v>21.430094973118905</v>
      </c>
      <c r="R6" s="5">
        <v>5705.5197327007636</v>
      </c>
      <c r="S6" s="35"/>
      <c r="T6" s="23">
        <v>1294737.5564456701</v>
      </c>
      <c r="U6" s="33">
        <v>115.67821912499861</v>
      </c>
      <c r="V6" s="5">
        <v>8</v>
      </c>
      <c r="W6" s="5">
        <v>64</v>
      </c>
      <c r="X6" s="33">
        <v>1199.6133604825579</v>
      </c>
      <c r="Y6" s="5">
        <v>51.97441830569467</v>
      </c>
      <c r="Z6" s="5">
        <v>6624.4802559974141</v>
      </c>
      <c r="AA6" s="35"/>
    </row>
    <row r="7" spans="2:27" x14ac:dyDescent="0.2">
      <c r="B7" s="4">
        <v>4</v>
      </c>
      <c r="C7" s="4">
        <v>527</v>
      </c>
      <c r="D7" s="23">
        <v>1021007.379007168</v>
      </c>
      <c r="E7" s="33">
        <v>46.236058915994363</v>
      </c>
      <c r="F7" s="5">
        <v>8</v>
      </c>
      <c r="G7" s="23">
        <v>87</v>
      </c>
      <c r="H7" s="33">
        <v>1180.5585915125478</v>
      </c>
      <c r="I7" s="23">
        <v>47.013767929145949</v>
      </c>
      <c r="J7" s="5">
        <v>6629.0270370344933</v>
      </c>
      <c r="K7" s="31"/>
      <c r="L7" s="23">
        <v>1209768.477064335</v>
      </c>
      <c r="M7" s="33">
        <v>84.818474916999548</v>
      </c>
      <c r="N7" s="5">
        <v>13</v>
      </c>
      <c r="O7" s="5">
        <v>72</v>
      </c>
      <c r="P7" s="33">
        <v>801.50795560252072</v>
      </c>
      <c r="Q7" s="5">
        <v>21.864250283175604</v>
      </c>
      <c r="R7" s="5">
        <v>5395.6876739359532</v>
      </c>
      <c r="S7" s="35"/>
      <c r="T7" s="23">
        <v>1295376.4265346229</v>
      </c>
      <c r="U7" s="33">
        <v>69.971568332999595</v>
      </c>
      <c r="V7" s="5">
        <v>8</v>
      </c>
      <c r="W7" s="5">
        <v>64</v>
      </c>
      <c r="X7" s="33">
        <v>1200.8691332658098</v>
      </c>
      <c r="Y7" s="5">
        <v>51.300926926384321</v>
      </c>
      <c r="Z7" s="5">
        <v>6598.8454037806659</v>
      </c>
      <c r="AA7" s="35"/>
    </row>
    <row r="8" spans="2:27" x14ac:dyDescent="0.2">
      <c r="B8" s="4">
        <v>5</v>
      </c>
      <c r="C8" s="4">
        <v>563</v>
      </c>
      <c r="D8" s="23">
        <v>1021745.468665503</v>
      </c>
      <c r="E8" s="33">
        <v>43.308909665996907</v>
      </c>
      <c r="F8" s="5">
        <v>8</v>
      </c>
      <c r="G8" s="23">
        <v>88</v>
      </c>
      <c r="H8" s="33">
        <v>1281.7516865899047</v>
      </c>
      <c r="I8" s="23">
        <v>47.806858339404215</v>
      </c>
      <c r="J8" s="5">
        <v>6729.8615204642474</v>
      </c>
      <c r="K8" s="31"/>
      <c r="L8" s="23">
        <v>1207978.0372653359</v>
      </c>
      <c r="M8" s="33">
        <v>102.3389404580012</v>
      </c>
      <c r="N8" s="5">
        <v>14</v>
      </c>
      <c r="O8" s="5">
        <v>76</v>
      </c>
      <c r="P8" s="33">
        <v>985.66081260147007</v>
      </c>
      <c r="Q8" s="5">
        <v>22.537508115279156</v>
      </c>
      <c r="R8" s="5">
        <v>5734.9148037736168</v>
      </c>
      <c r="S8" s="35"/>
      <c r="T8" s="23">
        <v>1310214.9699605191</v>
      </c>
      <c r="U8" s="33">
        <v>42.565475040999438</v>
      </c>
      <c r="V8" s="5">
        <v>6</v>
      </c>
      <c r="W8" s="5">
        <v>61</v>
      </c>
      <c r="X8" s="33">
        <v>1272.8788505273731</v>
      </c>
      <c r="Y8" s="5">
        <v>61.272459332199155</v>
      </c>
      <c r="Z8" s="5">
        <v>6634.1962783393437</v>
      </c>
      <c r="AA8" s="35"/>
    </row>
    <row r="9" spans="2:27" x14ac:dyDescent="0.2">
      <c r="B9" s="4">
        <v>6</v>
      </c>
      <c r="C9" s="4">
        <v>644</v>
      </c>
      <c r="D9" s="23">
        <v>1022877.608263501</v>
      </c>
      <c r="E9" s="33">
        <v>36.271437499999593</v>
      </c>
      <c r="F9" s="5">
        <v>8</v>
      </c>
      <c r="G9" s="23">
        <v>88</v>
      </c>
      <c r="H9" s="33">
        <v>1261.5960101053568</v>
      </c>
      <c r="I9" s="23">
        <v>47.75771678900152</v>
      </c>
      <c r="J9" s="5">
        <v>6718.0621487594481</v>
      </c>
      <c r="K9" s="31"/>
      <c r="L9" s="23">
        <v>1193392.7648597751</v>
      </c>
      <c r="M9" s="33">
        <v>59.702395416999927</v>
      </c>
      <c r="N9" s="5">
        <v>14</v>
      </c>
      <c r="O9" s="5">
        <v>76</v>
      </c>
      <c r="P9" s="33">
        <v>931.4065157209443</v>
      </c>
      <c r="Q9" s="5">
        <v>22.451987174719712</v>
      </c>
      <c r="R9" s="5">
        <v>5620.7792825124898</v>
      </c>
      <c r="S9" s="35"/>
      <c r="T9" s="23">
        <v>1309132.7788933341</v>
      </c>
      <c r="U9" s="33">
        <v>59.641392749999802</v>
      </c>
      <c r="V9" s="5">
        <v>6</v>
      </c>
      <c r="W9" s="5">
        <v>62</v>
      </c>
      <c r="X9" s="33">
        <v>1253.7325098837043</v>
      </c>
      <c r="Y9" s="5">
        <v>63.003867633097222</v>
      </c>
      <c r="Z9" s="5">
        <v>6868.9123221728196</v>
      </c>
      <c r="AA9" s="35"/>
    </row>
    <row r="10" spans="2:27" x14ac:dyDescent="0.2">
      <c r="B10" s="4">
        <v>7</v>
      </c>
      <c r="C10" s="4">
        <v>686</v>
      </c>
      <c r="D10" s="23">
        <v>1021518.833095853</v>
      </c>
      <c r="E10" s="33">
        <v>49.52848095799709</v>
      </c>
      <c r="F10" s="5">
        <v>8</v>
      </c>
      <c r="G10" s="23">
        <v>88</v>
      </c>
      <c r="H10" s="33">
        <v>1266.2509300415668</v>
      </c>
      <c r="I10" s="23">
        <v>47.434989864089836</v>
      </c>
      <c r="J10" s="5">
        <v>6671.4022135777977</v>
      </c>
      <c r="K10" s="31"/>
      <c r="L10" s="23">
        <v>1208574.9532188249</v>
      </c>
      <c r="M10" s="33">
        <v>115.7827564170002</v>
      </c>
      <c r="N10" s="5">
        <v>12</v>
      </c>
      <c r="O10" s="5">
        <v>72</v>
      </c>
      <c r="P10" s="33">
        <v>881.75491058259695</v>
      </c>
      <c r="Q10" s="5">
        <v>24.533430013405475</v>
      </c>
      <c r="R10" s="5">
        <v>5603.0231298536055</v>
      </c>
      <c r="S10" s="35"/>
      <c r="T10" s="23">
        <v>1299828.9971242391</v>
      </c>
      <c r="U10" s="33">
        <v>66.457955207999476</v>
      </c>
      <c r="V10" s="5">
        <v>7</v>
      </c>
      <c r="W10" s="5">
        <v>64</v>
      </c>
      <c r="X10" s="33">
        <v>1319.4550457025389</v>
      </c>
      <c r="Y10" s="5">
        <v>59.714149865802824</v>
      </c>
      <c r="Z10" s="5">
        <v>6918.1980548665124</v>
      </c>
      <c r="AA10" s="35"/>
    </row>
    <row r="11" spans="2:27" x14ac:dyDescent="0.2">
      <c r="B11" s="4">
        <v>8</v>
      </c>
      <c r="C11" s="4">
        <v>740</v>
      </c>
      <c r="D11" s="23">
        <v>1021324.739039259</v>
      </c>
      <c r="E11" s="33">
        <v>55.117616499999713</v>
      </c>
      <c r="F11" s="5">
        <v>8</v>
      </c>
      <c r="G11" s="23">
        <v>87</v>
      </c>
      <c r="H11" s="33">
        <v>1204.0783724500716</v>
      </c>
      <c r="I11" s="23">
        <v>47.165612504405154</v>
      </c>
      <c r="J11" s="5">
        <v>6594.5644451815169</v>
      </c>
      <c r="K11" s="31"/>
      <c r="L11" s="23">
        <v>1229669.7534426621</v>
      </c>
      <c r="M11" s="33">
        <v>71.406758166001964</v>
      </c>
      <c r="N11" s="5">
        <v>14</v>
      </c>
      <c r="O11" s="5">
        <v>74</v>
      </c>
      <c r="P11" s="33">
        <v>986.60369141821707</v>
      </c>
      <c r="Q11" s="5">
        <v>21.47716009101811</v>
      </c>
      <c r="R11" s="5">
        <v>5663.242967477262</v>
      </c>
      <c r="S11" s="35"/>
      <c r="T11" s="23">
        <v>1317853.56907262</v>
      </c>
      <c r="U11" s="33">
        <v>38.435048625000491</v>
      </c>
      <c r="V11" s="5">
        <v>6</v>
      </c>
      <c r="W11" s="5">
        <v>61</v>
      </c>
      <c r="X11" s="33">
        <v>1272.8380937505408</v>
      </c>
      <c r="Y11" s="5">
        <v>63.503069538986459</v>
      </c>
      <c r="Z11" s="5">
        <v>6918.72491524416</v>
      </c>
      <c r="AA11" s="35"/>
    </row>
    <row r="12" spans="2:27" x14ac:dyDescent="0.2">
      <c r="B12" s="4">
        <v>9</v>
      </c>
      <c r="C12" s="4">
        <v>751</v>
      </c>
      <c r="D12" s="23">
        <v>1021605.033493518</v>
      </c>
      <c r="E12" s="33">
        <v>58.983768541002057</v>
      </c>
      <c r="F12" s="5">
        <v>8</v>
      </c>
      <c r="G12" s="23">
        <v>87</v>
      </c>
      <c r="H12" s="33">
        <v>1165.0763364121253</v>
      </c>
      <c r="I12" s="23">
        <v>47.115639273498388</v>
      </c>
      <c r="J12" s="5">
        <v>6637.7438377180088</v>
      </c>
      <c r="K12" s="31"/>
      <c r="L12" s="23">
        <v>1206462.4068929181</v>
      </c>
      <c r="M12" s="33">
        <v>68.115710792000755</v>
      </c>
      <c r="N12" s="5">
        <v>13</v>
      </c>
      <c r="O12" s="5">
        <v>74</v>
      </c>
      <c r="P12" s="33">
        <v>914.44042449744461</v>
      </c>
      <c r="Q12" s="5">
        <v>23.525712845912153</v>
      </c>
      <c r="R12" s="5">
        <v>5620.4589159128773</v>
      </c>
      <c r="S12" s="35"/>
      <c r="T12" s="23">
        <v>1292259.374734571</v>
      </c>
      <c r="U12" s="33">
        <v>84.919777582999814</v>
      </c>
      <c r="V12" s="5">
        <v>8</v>
      </c>
      <c r="W12" s="5">
        <v>66</v>
      </c>
      <c r="X12" s="33">
        <v>1452.8150226646023</v>
      </c>
      <c r="Y12" s="5">
        <v>55.793882980526163</v>
      </c>
      <c r="Z12" s="5">
        <v>6893.5923144776561</v>
      </c>
      <c r="AA12" s="35"/>
    </row>
    <row r="13" spans="2:27" x14ac:dyDescent="0.2">
      <c r="B13" s="4">
        <v>10</v>
      </c>
      <c r="C13" s="4">
        <v>772</v>
      </c>
      <c r="D13" s="23">
        <v>1022791.7608004051</v>
      </c>
      <c r="E13" s="33">
        <v>34.323030084000493</v>
      </c>
      <c r="F13" s="5">
        <v>8</v>
      </c>
      <c r="G13" s="23">
        <v>88</v>
      </c>
      <c r="H13" s="33">
        <v>1281.1770346448293</v>
      </c>
      <c r="I13" s="23">
        <v>47.880713226587943</v>
      </c>
      <c r="J13" s="5">
        <v>6712.5864036253633</v>
      </c>
      <c r="K13" s="31"/>
      <c r="L13" s="23">
        <v>1191378.165540173</v>
      </c>
      <c r="M13" s="33">
        <v>108.920896292002</v>
      </c>
      <c r="N13" s="5">
        <v>14</v>
      </c>
      <c r="O13" s="5">
        <v>76</v>
      </c>
      <c r="P13" s="33">
        <v>950.14674912335397</v>
      </c>
      <c r="Q13" s="5">
        <v>22.365572942430731</v>
      </c>
      <c r="R13" s="5">
        <v>5582.7207179828793</v>
      </c>
      <c r="S13" s="35"/>
      <c r="T13" s="23">
        <v>1312366.967307193</v>
      </c>
      <c r="U13" s="33">
        <v>82.659197749999294</v>
      </c>
      <c r="V13" s="5">
        <v>8</v>
      </c>
      <c r="W13" s="5">
        <v>63</v>
      </c>
      <c r="X13" s="33">
        <v>1235.6389601017643</v>
      </c>
      <c r="Y13" s="5">
        <v>51.001448751736049</v>
      </c>
      <c r="Z13" s="5">
        <v>6679.9019715864688</v>
      </c>
      <c r="AA13" s="35"/>
    </row>
    <row r="14" spans="2:27" x14ac:dyDescent="0.2">
      <c r="B14" s="47" t="s">
        <v>3</v>
      </c>
      <c r="C14" s="48"/>
      <c r="D14" s="9">
        <f>MIN(D4:D13)</f>
        <v>1021007.379007168</v>
      </c>
      <c r="E14" s="22">
        <f>INDEX(E4:E13, MATCH($D$14, D4:D13, 0))</f>
        <v>46.236058915994363</v>
      </c>
      <c r="F14" s="9">
        <f>INDEX(F4:F13, MATCH($D$14, D4:D13, 0))</f>
        <v>8</v>
      </c>
      <c r="G14" s="9">
        <f>INDEX(G4:G13, MATCH($D$14, D4:D13, 0))</f>
        <v>87</v>
      </c>
      <c r="H14" s="22">
        <f>INDEX(H4:H13, MATCH($D$14, D4:D13, 0))</f>
        <v>1180.5585915125478</v>
      </c>
      <c r="I14" s="22">
        <f>INDEX(I4:I13, MATCH($D$14, D4:D13, 0))</f>
        <v>47.013767929145949</v>
      </c>
      <c r="J14" s="22">
        <f>INDEX(J4:J13, MATCH($D$14, D4:D13, 0))</f>
        <v>6629.0270370344933</v>
      </c>
      <c r="K14" s="32" t="e">
        <f>(D14-$D$15)/$D$15</f>
        <v>#DIV/0!</v>
      </c>
      <c r="L14" s="16">
        <f>MIN(L4:L13)</f>
        <v>1191378.165540173</v>
      </c>
      <c r="M14" s="21">
        <f>INDEX(M4:M13, MATCH($L$14, L4:L13, 0))</f>
        <v>108.920896292002</v>
      </c>
      <c r="N14" s="16">
        <f>INDEX(N4:N13, MATCH($L$14, L4:L13, 0))</f>
        <v>14</v>
      </c>
      <c r="O14" s="16">
        <f>INDEX(O4:O13, MATCH($L$14, L4:L13, 0))</f>
        <v>76</v>
      </c>
      <c r="P14" s="21">
        <f>INDEX(P4:P13, MATCH($L$14, L4:L13, 0))</f>
        <v>950.14674912335397</v>
      </c>
      <c r="Q14" s="21">
        <f>INDEX(Q4:Q13, MATCH($L$14, L4:L13, 0))</f>
        <v>22.365572942430731</v>
      </c>
      <c r="R14" s="21">
        <f>INDEX(R4:R13, MATCH($L$14, L4:L13, 0))</f>
        <v>5582.7207179828793</v>
      </c>
      <c r="S14" s="36" t="e">
        <f>(L14-$D$15)/$D$15</f>
        <v>#DIV/0!</v>
      </c>
      <c r="T14" s="38">
        <f>MIN(T4:T13)</f>
        <v>1292259.374734571</v>
      </c>
      <c r="U14" s="39">
        <f>INDEX(U4:U13, MATCH($T$14, T4:T13, 0))</f>
        <v>84.919777582999814</v>
      </c>
      <c r="V14" s="38">
        <f>INDEX(V4:V13, MATCH($T$14, T4:T13, 0))</f>
        <v>8</v>
      </c>
      <c r="W14" s="38">
        <f>INDEX(W4:W13, MATCH($T$14, T4:T13, 0))</f>
        <v>66</v>
      </c>
      <c r="X14" s="39">
        <f>INDEX(X4:X13, MATCH($T$14, T4:T13, 0))</f>
        <v>1452.8150226646023</v>
      </c>
      <c r="Y14" s="39">
        <f>INDEX(Y4:Y13, MATCH($T$14, T4:T13, 0))</f>
        <v>55.793882980526163</v>
      </c>
      <c r="Z14" s="39">
        <f>INDEX(Z4:Z13, MATCH($T$14, T4:T13, 0))</f>
        <v>6893.5923144776561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0.16686538220583111</v>
      </c>
      <c r="M15" s="46">
        <f t="shared" ref="M15:R15" si="0">(M14-E14)/E14</f>
        <v>1.3557564992703817</v>
      </c>
      <c r="N15" s="46">
        <f t="shared" si="0"/>
        <v>0.75</v>
      </c>
      <c r="O15" s="46">
        <f t="shared" si="0"/>
        <v>-0.12643678160919541</v>
      </c>
      <c r="P15" s="46">
        <f t="shared" si="0"/>
        <v>-0.19517188223075568</v>
      </c>
      <c r="Q15" s="46">
        <f t="shared" si="0"/>
        <v>-0.52427610192534035</v>
      </c>
      <c r="R15" s="46">
        <f t="shared" si="0"/>
        <v>-0.15783708728388005</v>
      </c>
      <c r="T15" s="46">
        <f>(T14-D14)/D14</f>
        <v>0.26567094548441911</v>
      </c>
      <c r="U15" s="46">
        <f t="shared" ref="U15:Z15" si="1">(U14-E14)/E14</f>
        <v>0.8366569204630816</v>
      </c>
      <c r="V15" s="46">
        <f t="shared" si="1"/>
        <v>0</v>
      </c>
      <c r="W15" s="46">
        <f t="shared" si="1"/>
        <v>-0.2413793103448276</v>
      </c>
      <c r="X15" s="46">
        <f t="shared" si="1"/>
        <v>0.23061661920840026</v>
      </c>
      <c r="Y15" s="46">
        <f t="shared" si="1"/>
        <v>0.18675625116056749</v>
      </c>
      <c r="Z15" s="46">
        <f t="shared" si="1"/>
        <v>3.9910121947777807E-2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24:C1048576">
    <cfRule type="duplicateValues" dxfId="67" priority="7"/>
    <cfRule type="duplicateValues" dxfId="66" priority="8"/>
  </conditionalFormatting>
  <conditionalFormatting sqref="C14">
    <cfRule type="duplicateValues" dxfId="65" priority="5"/>
    <cfRule type="duplicateValues" dxfId="64" priority="6"/>
  </conditionalFormatting>
  <conditionalFormatting sqref="C15">
    <cfRule type="duplicateValues" dxfId="63" priority="3"/>
    <cfRule type="duplicateValues" dxfId="62" priority="4"/>
  </conditionalFormatting>
  <conditionalFormatting sqref="C17:C23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3600F-66A8-D84B-93AB-F6D8C8CF5A8E}">
  <dimension ref="B1:AA17"/>
  <sheetViews>
    <sheetView topLeftCell="E1" zoomScale="118" zoomScaleNormal="120" workbookViewId="0">
      <selection activeCell="E17" sqref="A17:XFD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-0.9672450272456159</v>
      </c>
      <c r="J2" s="28" t="e">
        <f>(S14-J14)/J14</f>
        <v>#DIV/0!</v>
      </c>
      <c r="K2" s="28"/>
      <c r="L2" s="1" t="s">
        <v>19</v>
      </c>
      <c r="P2" s="1">
        <f>(P14-H14)/H14</f>
        <v>1.8493472566999351E-2</v>
      </c>
      <c r="R2" s="1">
        <f>(R14-J14)/J14</f>
        <v>-9.0876371132568523E-2</v>
      </c>
      <c r="T2" s="1" t="s">
        <v>20</v>
      </c>
      <c r="X2" s="1">
        <f>(X14-P14)/P14</f>
        <v>0.68516426233180983</v>
      </c>
      <c r="Z2" s="1">
        <f>(Z14-R14)/R14</f>
        <v>0.27375675589316983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47</v>
      </c>
      <c r="D4" s="23">
        <v>909299.81917802186</v>
      </c>
      <c r="E4" s="33">
        <v>27.248116167000259</v>
      </c>
      <c r="F4" s="5">
        <v>10</v>
      </c>
      <c r="G4" s="23">
        <v>94</v>
      </c>
      <c r="H4" s="33">
        <v>856.74292216344702</v>
      </c>
      <c r="I4" s="23">
        <v>30.624355352250625</v>
      </c>
      <c r="J4" s="5">
        <v>6010.4741133081097</v>
      </c>
      <c r="K4" s="31"/>
      <c r="L4" s="23">
        <v>1015895.647853602</v>
      </c>
      <c r="M4" s="33">
        <v>81.554331417002686</v>
      </c>
      <c r="N4" s="5">
        <v>16</v>
      </c>
      <c r="O4" s="5">
        <v>90</v>
      </c>
      <c r="P4" s="33">
        <v>731.35085084987281</v>
      </c>
      <c r="Q4" s="5">
        <v>18.072703148576629</v>
      </c>
      <c r="R4" s="5">
        <v>5291.9692414910123</v>
      </c>
      <c r="S4" s="35"/>
      <c r="T4" s="23">
        <v>1089507.474740475</v>
      </c>
      <c r="U4" s="33">
        <v>27.14123129200016</v>
      </c>
      <c r="V4" s="5">
        <v>7</v>
      </c>
      <c r="W4" s="5">
        <v>77</v>
      </c>
      <c r="X4" s="33">
        <v>879.59846115049731</v>
      </c>
      <c r="Y4" s="5">
        <v>53.476284661863566</v>
      </c>
      <c r="Z4" s="5">
        <v>6333.0533638154739</v>
      </c>
      <c r="AA4" s="35"/>
    </row>
    <row r="5" spans="2:27" x14ac:dyDescent="0.2">
      <c r="B5" s="4">
        <v>2</v>
      </c>
      <c r="C5" s="4">
        <v>267</v>
      </c>
      <c r="D5" s="23">
        <v>814255.2448514885</v>
      </c>
      <c r="E5" s="33">
        <v>57.810738583000777</v>
      </c>
      <c r="F5" s="5">
        <v>8</v>
      </c>
      <c r="G5" s="23">
        <v>94</v>
      </c>
      <c r="H5" s="33">
        <v>564.36268202143219</v>
      </c>
      <c r="I5" s="23">
        <v>37.536691745598809</v>
      </c>
      <c r="J5" s="5">
        <v>5611.2574575183917</v>
      </c>
      <c r="K5" s="31"/>
      <c r="L5" s="23">
        <v>1011033.0686660029</v>
      </c>
      <c r="M5" s="33">
        <v>74.959704749999219</v>
      </c>
      <c r="N5" s="5">
        <v>15</v>
      </c>
      <c r="O5" s="5">
        <v>89</v>
      </c>
      <c r="P5" s="33">
        <v>725.841952061043</v>
      </c>
      <c r="Q5" s="5">
        <v>19.34805019642495</v>
      </c>
      <c r="R5" s="5">
        <v>5333.4264105616412</v>
      </c>
      <c r="S5" s="35"/>
      <c r="T5" s="23">
        <v>1087777.1620224491</v>
      </c>
      <c r="U5" s="33">
        <v>33.51340133299891</v>
      </c>
      <c r="V5" s="5">
        <v>7</v>
      </c>
      <c r="W5" s="5">
        <v>78</v>
      </c>
      <c r="X5" s="33">
        <v>987.88156696774615</v>
      </c>
      <c r="Y5" s="5">
        <v>53.952441870738348</v>
      </c>
      <c r="Z5" s="5">
        <v>6417.5722599334931</v>
      </c>
      <c r="AA5" s="35"/>
    </row>
    <row r="6" spans="2:27" x14ac:dyDescent="0.2">
      <c r="B6" s="4">
        <v>3</v>
      </c>
      <c r="C6" s="4">
        <v>276</v>
      </c>
      <c r="D6" s="23">
        <v>814121.11594554223</v>
      </c>
      <c r="E6" s="33">
        <v>25.82804837499862</v>
      </c>
      <c r="F6" s="5">
        <v>8</v>
      </c>
      <c r="G6" s="23">
        <v>94</v>
      </c>
      <c r="H6" s="33">
        <v>554.36910350757921</v>
      </c>
      <c r="I6" s="23">
        <v>37.482669945812319</v>
      </c>
      <c r="J6" s="5">
        <v>5616.7056981075893</v>
      </c>
      <c r="K6" s="31"/>
      <c r="L6" s="23">
        <v>988359.16463246371</v>
      </c>
      <c r="M6" s="33">
        <v>127.49091537500141</v>
      </c>
      <c r="N6" s="5">
        <v>15</v>
      </c>
      <c r="O6" s="5">
        <v>88</v>
      </c>
      <c r="P6" s="33">
        <v>587.3908918900047</v>
      </c>
      <c r="Q6" s="5">
        <v>18.772859068001665</v>
      </c>
      <c r="R6" s="5">
        <v>5059.9896000657454</v>
      </c>
      <c r="S6" s="35"/>
      <c r="T6" s="23">
        <v>1083490.03829711</v>
      </c>
      <c r="U6" s="33">
        <v>73.323578415998782</v>
      </c>
      <c r="V6" s="5">
        <v>7</v>
      </c>
      <c r="W6" s="5">
        <v>77</v>
      </c>
      <c r="X6" s="33">
        <v>1028.4759044741388</v>
      </c>
      <c r="Y6" s="5">
        <v>54.828040747460527</v>
      </c>
      <c r="Z6" s="5">
        <v>6266.2703223182989</v>
      </c>
      <c r="AA6" s="35"/>
    </row>
    <row r="7" spans="2:27" x14ac:dyDescent="0.2">
      <c r="B7" s="4">
        <v>4</v>
      </c>
      <c r="C7" s="4">
        <v>299</v>
      </c>
      <c r="D7" s="23">
        <v>903460.57305003167</v>
      </c>
      <c r="E7" s="33">
        <v>66.61620208399836</v>
      </c>
      <c r="F7" s="5">
        <v>8</v>
      </c>
      <c r="G7" s="23">
        <v>91</v>
      </c>
      <c r="H7" s="33">
        <v>756.70794632409559</v>
      </c>
      <c r="I7" s="23">
        <v>36.713877409059549</v>
      </c>
      <c r="J7" s="5">
        <v>6039.0795863535332</v>
      </c>
      <c r="K7" s="31"/>
      <c r="L7" s="23">
        <v>1017671.745735598</v>
      </c>
      <c r="M7" s="33">
        <v>44.505833750001329</v>
      </c>
      <c r="N7" s="5">
        <v>15</v>
      </c>
      <c r="O7" s="5">
        <v>86</v>
      </c>
      <c r="P7" s="33">
        <v>632.89212182905101</v>
      </c>
      <c r="Q7" s="5">
        <v>17.920856264278509</v>
      </c>
      <c r="R7" s="5">
        <v>5025.9642888183207</v>
      </c>
      <c r="S7" s="35"/>
      <c r="T7" s="23">
        <v>1082207.231883202</v>
      </c>
      <c r="U7" s="33">
        <v>52.221068832997837</v>
      </c>
      <c r="V7" s="5">
        <v>8</v>
      </c>
      <c r="W7" s="5">
        <v>80</v>
      </c>
      <c r="X7" s="33">
        <v>990.85237170918276</v>
      </c>
      <c r="Y7" s="5">
        <v>49.467380362782677</v>
      </c>
      <c r="Z7" s="5">
        <v>6455.0033529335324</v>
      </c>
      <c r="AA7" s="35"/>
    </row>
    <row r="8" spans="2:27" x14ac:dyDescent="0.2">
      <c r="B8" s="4">
        <v>5</v>
      </c>
      <c r="C8" s="4">
        <v>397</v>
      </c>
      <c r="D8" s="23">
        <v>812560.20308324508</v>
      </c>
      <c r="E8" s="33">
        <v>32.921392958000069</v>
      </c>
      <c r="F8" s="5">
        <v>8</v>
      </c>
      <c r="G8" s="23">
        <v>94</v>
      </c>
      <c r="H8" s="33">
        <v>573.71150042631371</v>
      </c>
      <c r="I8" s="23">
        <v>37.811189913806608</v>
      </c>
      <c r="J8" s="5">
        <v>5575.1049799734137</v>
      </c>
      <c r="K8" s="31"/>
      <c r="L8" s="23">
        <v>985934.32146675885</v>
      </c>
      <c r="M8" s="33">
        <v>127.5776068330015</v>
      </c>
      <c r="N8" s="5">
        <v>15</v>
      </c>
      <c r="O8" s="5">
        <v>88</v>
      </c>
      <c r="P8" s="33">
        <v>587.9856307527624</v>
      </c>
      <c r="Q8" s="5">
        <v>18.909746438270975</v>
      </c>
      <c r="R8" s="5">
        <v>5067.6891981681583</v>
      </c>
      <c r="S8" s="35"/>
      <c r="T8" s="23">
        <v>1164569.617697014</v>
      </c>
      <c r="U8" s="33">
        <v>74.27871345800304</v>
      </c>
      <c r="V8" s="5">
        <v>7</v>
      </c>
      <c r="W8" s="5">
        <v>74</v>
      </c>
      <c r="X8" s="33">
        <v>1135.1605479008263</v>
      </c>
      <c r="Y8" s="5">
        <v>52.176658440609287</v>
      </c>
      <c r="Z8" s="5">
        <v>6608.5054470544701</v>
      </c>
      <c r="AA8" s="35"/>
    </row>
    <row r="9" spans="2:27" x14ac:dyDescent="0.2">
      <c r="B9" s="4">
        <v>6</v>
      </c>
      <c r="C9" s="4">
        <v>527</v>
      </c>
      <c r="D9" s="23">
        <v>811399.39514901163</v>
      </c>
      <c r="E9" s="33">
        <v>42.264680874999613</v>
      </c>
      <c r="F9" s="5">
        <v>8</v>
      </c>
      <c r="G9" s="23">
        <v>94</v>
      </c>
      <c r="H9" s="33">
        <v>577.30917928301506</v>
      </c>
      <c r="I9" s="23">
        <v>37.798912232036948</v>
      </c>
      <c r="J9" s="5">
        <v>5574.2574906796635</v>
      </c>
      <c r="K9" s="31"/>
      <c r="L9" s="23">
        <v>992891.31742311735</v>
      </c>
      <c r="M9" s="33">
        <v>81.943308459001855</v>
      </c>
      <c r="N9" s="5">
        <v>16</v>
      </c>
      <c r="O9" s="5">
        <v>90</v>
      </c>
      <c r="P9" s="33">
        <v>622.76552058478217</v>
      </c>
      <c r="Q9" s="5">
        <v>18.136419050836555</v>
      </c>
      <c r="R9" s="5">
        <v>5121.9602365236897</v>
      </c>
      <c r="S9" s="35"/>
      <c r="T9" s="23">
        <v>1110270.196439438</v>
      </c>
      <c r="U9" s="33">
        <v>37.054859457999562</v>
      </c>
      <c r="V9" s="5">
        <v>7</v>
      </c>
      <c r="W9" s="5">
        <v>74</v>
      </c>
      <c r="X9" s="33">
        <v>782.38313089648614</v>
      </c>
      <c r="Y9" s="5">
        <v>51.272408700565329</v>
      </c>
      <c r="Z9" s="5">
        <v>6221.9368754868456</v>
      </c>
      <c r="AA9" s="35"/>
    </row>
    <row r="10" spans="2:27" x14ac:dyDescent="0.2">
      <c r="B10" s="4">
        <v>7</v>
      </c>
      <c r="C10" s="4">
        <v>582</v>
      </c>
      <c r="D10" s="23">
        <v>813985.32370302535</v>
      </c>
      <c r="E10" s="33">
        <v>44.797491040997564</v>
      </c>
      <c r="F10" s="5">
        <v>9</v>
      </c>
      <c r="G10" s="23">
        <v>94</v>
      </c>
      <c r="H10" s="33">
        <v>476.70212249673165</v>
      </c>
      <c r="I10" s="23">
        <v>33.479817472206285</v>
      </c>
      <c r="J10" s="5">
        <v>5484.7918461999307</v>
      </c>
      <c r="K10" s="31"/>
      <c r="L10" s="23">
        <v>996285.14225459401</v>
      </c>
      <c r="M10" s="33">
        <v>54.348993874999003</v>
      </c>
      <c r="N10" s="5">
        <v>15</v>
      </c>
      <c r="O10" s="5">
        <v>89</v>
      </c>
      <c r="P10" s="33">
        <v>692.64313494937505</v>
      </c>
      <c r="Q10" s="5">
        <v>18.945862385761036</v>
      </c>
      <c r="R10" s="5">
        <v>5194.690052649742</v>
      </c>
      <c r="S10" s="35"/>
      <c r="T10" s="23">
        <v>1115058.4419298039</v>
      </c>
      <c r="U10" s="33">
        <v>45.846959333001003</v>
      </c>
      <c r="V10" s="5">
        <v>6</v>
      </c>
      <c r="W10" s="5">
        <v>71</v>
      </c>
      <c r="X10" s="33">
        <v>633.38179902179411</v>
      </c>
      <c r="Y10" s="5">
        <v>57.092449690046585</v>
      </c>
      <c r="Z10" s="5">
        <v>6088.6379651920888</v>
      </c>
      <c r="AA10" s="35"/>
    </row>
    <row r="11" spans="2:27" x14ac:dyDescent="0.2">
      <c r="B11" s="4">
        <v>8</v>
      </c>
      <c r="C11" s="4">
        <v>687</v>
      </c>
      <c r="D11" s="23">
        <v>813455.57069593703</v>
      </c>
      <c r="E11" s="33">
        <v>64.969534458003181</v>
      </c>
      <c r="F11" s="5">
        <v>8</v>
      </c>
      <c r="G11" s="23">
        <v>94</v>
      </c>
      <c r="H11" s="33">
        <v>639.99781094223692</v>
      </c>
      <c r="I11" s="23">
        <v>37.124493747634901</v>
      </c>
      <c r="J11" s="5">
        <v>5553.962215318702</v>
      </c>
      <c r="K11" s="31"/>
      <c r="L11" s="23">
        <v>995574.22365605284</v>
      </c>
      <c r="M11" s="33">
        <v>97.138651917000971</v>
      </c>
      <c r="N11" s="5">
        <v>16</v>
      </c>
      <c r="O11" s="5">
        <v>90</v>
      </c>
      <c r="P11" s="33">
        <v>719.30040477434648</v>
      </c>
      <c r="Q11" s="5">
        <v>18.466840245462407</v>
      </c>
      <c r="R11" s="5">
        <v>5148.6246732269474</v>
      </c>
      <c r="S11" s="35"/>
      <c r="T11" s="23">
        <v>1087310.041671698</v>
      </c>
      <c r="U11" s="33">
        <v>35.021208666999883</v>
      </c>
      <c r="V11" s="5">
        <v>7</v>
      </c>
      <c r="W11" s="5">
        <v>78</v>
      </c>
      <c r="X11" s="33">
        <v>981.90864277450282</v>
      </c>
      <c r="Y11" s="5">
        <v>53.962538777400759</v>
      </c>
      <c r="Z11" s="5">
        <v>6416.7028397798395</v>
      </c>
      <c r="AA11" s="35"/>
    </row>
    <row r="12" spans="2:27" x14ac:dyDescent="0.2">
      <c r="B12" s="4">
        <v>9</v>
      </c>
      <c r="C12" s="4">
        <v>698</v>
      </c>
      <c r="D12" s="23">
        <v>834343.03345610248</v>
      </c>
      <c r="E12" s="33">
        <v>35.631532125000383</v>
      </c>
      <c r="F12" s="5">
        <v>8</v>
      </c>
      <c r="G12" s="23">
        <v>93</v>
      </c>
      <c r="H12" s="33">
        <v>556.69813164268101</v>
      </c>
      <c r="I12" s="23">
        <v>36.28823648261212</v>
      </c>
      <c r="J12" s="5">
        <v>5659.24531611772</v>
      </c>
      <c r="K12" s="31"/>
      <c r="L12" s="23">
        <v>993826.90578021575</v>
      </c>
      <c r="M12" s="33">
        <v>95.382476416998543</v>
      </c>
      <c r="N12" s="5">
        <v>14</v>
      </c>
      <c r="O12" s="5">
        <v>87</v>
      </c>
      <c r="P12" s="33">
        <v>645.42918623362698</v>
      </c>
      <c r="Q12" s="5">
        <v>19.75335853675919</v>
      </c>
      <c r="R12" s="5">
        <v>5131.3504532608649</v>
      </c>
      <c r="S12" s="35"/>
      <c r="T12" s="23">
        <v>1205932.202903698</v>
      </c>
      <c r="U12" s="33">
        <v>42.006741291999788</v>
      </c>
      <c r="V12" s="5">
        <v>6</v>
      </c>
      <c r="W12" s="5">
        <v>69</v>
      </c>
      <c r="X12" s="33">
        <v>1144.1057507885332</v>
      </c>
      <c r="Y12" s="5">
        <v>53.67082119073936</v>
      </c>
      <c r="Z12" s="5">
        <v>6554.646091846138</v>
      </c>
      <c r="AA12" s="35"/>
    </row>
    <row r="13" spans="2:27" x14ac:dyDescent="0.2">
      <c r="B13" s="4">
        <v>10</v>
      </c>
      <c r="C13" s="4">
        <v>747</v>
      </c>
      <c r="D13" s="23">
        <v>877571.36567591084</v>
      </c>
      <c r="E13" s="33">
        <v>57.334381083994231</v>
      </c>
      <c r="F13" s="5">
        <v>9</v>
      </c>
      <c r="G13" s="23">
        <v>93</v>
      </c>
      <c r="H13" s="33">
        <v>799.92673084797639</v>
      </c>
      <c r="I13" s="23">
        <v>33.769514438411335</v>
      </c>
      <c r="J13" s="5">
        <v>5735.7710874372933</v>
      </c>
      <c r="K13" s="31"/>
      <c r="L13" s="23">
        <v>995391.48226334085</v>
      </c>
      <c r="M13" s="33">
        <v>87.521661499999027</v>
      </c>
      <c r="N13" s="5">
        <v>16</v>
      </c>
      <c r="O13" s="5">
        <v>91</v>
      </c>
      <c r="P13" s="33">
        <v>709.02797038973847</v>
      </c>
      <c r="Q13" s="5">
        <v>18.833892077688912</v>
      </c>
      <c r="R13" s="5">
        <v>5254.9929179765068</v>
      </c>
      <c r="S13" s="35"/>
      <c r="T13" s="23">
        <v>1094725.320388759</v>
      </c>
      <c r="U13" s="33">
        <v>51.216104999999523</v>
      </c>
      <c r="V13" s="5">
        <v>6</v>
      </c>
      <c r="W13" s="5">
        <v>75</v>
      </c>
      <c r="X13" s="33">
        <v>943.80144388123006</v>
      </c>
      <c r="Y13" s="5">
        <v>59.800951052773655</v>
      </c>
      <c r="Z13" s="5">
        <v>6300.0681001143739</v>
      </c>
      <c r="AA13" s="35"/>
    </row>
    <row r="14" spans="2:27" x14ac:dyDescent="0.2">
      <c r="B14" s="47" t="s">
        <v>3</v>
      </c>
      <c r="C14" s="48"/>
      <c r="D14" s="9">
        <f>MIN(D4:D13)</f>
        <v>811399.39514901163</v>
      </c>
      <c r="E14" s="22">
        <f>INDEX(E4:E13, MATCH($D$14, D4:D13, 0))</f>
        <v>42.264680874999613</v>
      </c>
      <c r="F14" s="9">
        <f>INDEX(F4:F13, MATCH($D$14, D4:D13, 0))</f>
        <v>8</v>
      </c>
      <c r="G14" s="9">
        <f>INDEX(G4:G13, MATCH($D$14, D4:D13, 0))</f>
        <v>94</v>
      </c>
      <c r="H14" s="22">
        <f>INDEX(H4:H13, MATCH($D$14, D4:D13, 0))</f>
        <v>577.30917928301506</v>
      </c>
      <c r="I14" s="22">
        <f>INDEX(I4:I13, MATCH($D$14, D4:D13, 0))</f>
        <v>37.798912232036948</v>
      </c>
      <c r="J14" s="22">
        <f>INDEX(J4:J13, MATCH($D$14, D4:D13, 0))</f>
        <v>5574.2574906796635</v>
      </c>
      <c r="K14" s="32" t="e">
        <f>(D14-$D$15)/$D$15</f>
        <v>#DIV/0!</v>
      </c>
      <c r="L14" s="16">
        <f>MIN(L4:L13)</f>
        <v>985934.32146675885</v>
      </c>
      <c r="M14" s="21">
        <f>INDEX(M4:M13, MATCH($L$14, L4:L13, 0))</f>
        <v>127.5776068330015</v>
      </c>
      <c r="N14" s="16">
        <f>INDEX(N4:N13, MATCH($L$14, L4:L13, 0))</f>
        <v>15</v>
      </c>
      <c r="O14" s="16">
        <f>INDEX(O4:O13, MATCH($L$14, L4:L13, 0))</f>
        <v>88</v>
      </c>
      <c r="P14" s="21">
        <f>INDEX(P4:P13, MATCH($L$14, L4:L13, 0))</f>
        <v>587.9856307527624</v>
      </c>
      <c r="Q14" s="21">
        <f>INDEX(Q4:Q13, MATCH($L$14, L4:L13, 0))</f>
        <v>18.909746438270975</v>
      </c>
      <c r="R14" s="21">
        <f>INDEX(R4:R13, MATCH($L$14, L4:L13, 0))</f>
        <v>5067.6891981681583</v>
      </c>
      <c r="S14" s="36" t="e">
        <f>(L14-$D$15)/$D$15</f>
        <v>#DIV/0!</v>
      </c>
      <c r="T14" s="38">
        <f>MIN(T4:T13)</f>
        <v>1082207.231883202</v>
      </c>
      <c r="U14" s="39">
        <f>INDEX(U4:U13, MATCH($T$14, T4:T13, 0))</f>
        <v>52.221068832997837</v>
      </c>
      <c r="V14" s="38">
        <f>INDEX(V4:V13, MATCH($T$14, T4:T13, 0))</f>
        <v>8</v>
      </c>
      <c r="W14" s="38">
        <f>INDEX(W4:W13, MATCH($T$14, T4:T13, 0))</f>
        <v>80</v>
      </c>
      <c r="X14" s="39">
        <f>INDEX(X4:X13, MATCH($T$14, T4:T13, 0))</f>
        <v>990.85237170918276</v>
      </c>
      <c r="Y14" s="39">
        <f>INDEX(Y4:Y13, MATCH($T$14, T4:T13, 0))</f>
        <v>49.467380362782677</v>
      </c>
      <c r="Z14" s="39">
        <f>INDEX(Z4:Z13, MATCH($T$14, T4:T13, 0))</f>
        <v>6455.0033529335324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0.21510359431028941</v>
      </c>
      <c r="M15" s="46">
        <f t="shared" ref="M15:R15" si="0">(M14-E14)/E14</f>
        <v>2.0185394563919719</v>
      </c>
      <c r="N15" s="46">
        <f t="shared" si="0"/>
        <v>0.875</v>
      </c>
      <c r="O15" s="46">
        <f t="shared" si="0"/>
        <v>-6.3829787234042548E-2</v>
      </c>
      <c r="P15" s="46">
        <f t="shared" si="0"/>
        <v>1.8493472566999351E-2</v>
      </c>
      <c r="Q15" s="46">
        <f t="shared" si="0"/>
        <v>-0.49972776141838865</v>
      </c>
      <c r="R15" s="46">
        <f t="shared" si="0"/>
        <v>-9.0876371132568523E-2</v>
      </c>
      <c r="T15" s="46">
        <f>(T14-D14)/D14</f>
        <v>0.33375405300179833</v>
      </c>
      <c r="U15" s="46">
        <f t="shared" ref="U15:Z15" si="1">(U14-E14)/E14</f>
        <v>0.23557229705448038</v>
      </c>
      <c r="V15" s="46">
        <f t="shared" si="1"/>
        <v>0</v>
      </c>
      <c r="W15" s="46">
        <f t="shared" si="1"/>
        <v>-0.14893617021276595</v>
      </c>
      <c r="X15" s="46">
        <f t="shared" si="1"/>
        <v>0.71632880138813082</v>
      </c>
      <c r="Y15" s="46">
        <f t="shared" si="1"/>
        <v>0.30869851648418528</v>
      </c>
      <c r="Z15" s="46">
        <f t="shared" si="1"/>
        <v>0.15800236421200564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24:C1048576">
    <cfRule type="duplicateValues" dxfId="61" priority="7"/>
    <cfRule type="duplicateValues" dxfId="60" priority="8"/>
  </conditionalFormatting>
  <conditionalFormatting sqref="C14">
    <cfRule type="duplicateValues" dxfId="59" priority="5"/>
    <cfRule type="duplicateValues" dxfId="58" priority="6"/>
  </conditionalFormatting>
  <conditionalFormatting sqref="C15">
    <cfRule type="duplicateValues" dxfId="57" priority="3"/>
    <cfRule type="duplicateValues" dxfId="56" priority="4"/>
  </conditionalFormatting>
  <conditionalFormatting sqref="C17:C23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E742-737E-0A4C-A25C-F21B3E56F734}">
  <dimension ref="B1:AA17"/>
  <sheetViews>
    <sheetView topLeftCell="O1" zoomScale="118" zoomScaleNormal="120" workbookViewId="0">
      <selection activeCell="A17" sqref="A17:XFD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100</v>
      </c>
      <c r="H2" s="28">
        <f>(Q14-H14)/H14</f>
        <v>-0.97308976866127539</v>
      </c>
      <c r="J2" s="28" t="e">
        <f>(S14-J14)/J14</f>
        <v>#DIV/0!</v>
      </c>
      <c r="K2" s="28"/>
      <c r="L2" s="1" t="s">
        <v>19</v>
      </c>
      <c r="P2" s="1">
        <f>(P14-H14)/H14</f>
        <v>-0.45981884613044927</v>
      </c>
      <c r="R2" s="1">
        <f>(R14-J14)/J14</f>
        <v>-0.16621794667840603</v>
      </c>
      <c r="T2" s="1" t="s">
        <v>20</v>
      </c>
      <c r="X2" s="1">
        <f>(X14-P14)/P14</f>
        <v>2.0067215726142296</v>
      </c>
      <c r="Z2" s="1">
        <f>(Z14-R14)/R14</f>
        <v>0.3427218020841607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35</v>
      </c>
      <c r="D4" s="23">
        <v>740942.08219008986</v>
      </c>
      <c r="E4" s="33">
        <v>52.853703000000678</v>
      </c>
      <c r="F4" s="5">
        <v>8</v>
      </c>
      <c r="G4" s="23">
        <v>98</v>
      </c>
      <c r="H4" s="33">
        <v>667.5231721025591</v>
      </c>
      <c r="I4" s="23">
        <v>53.917463046954545</v>
      </c>
      <c r="J4" s="5">
        <v>5771.6309008131475</v>
      </c>
      <c r="K4" s="31"/>
      <c r="L4" s="23">
        <v>1086234.1939684979</v>
      </c>
      <c r="M4" s="33">
        <v>138.9572754580004</v>
      </c>
      <c r="N4" s="5">
        <v>16</v>
      </c>
      <c r="O4" s="5">
        <v>79</v>
      </c>
      <c r="P4" s="33">
        <v>378.66862979993368</v>
      </c>
      <c r="Q4" s="5">
        <v>19.845352493139718</v>
      </c>
      <c r="R4" s="5">
        <v>4749.4630273704433</v>
      </c>
      <c r="S4" s="35"/>
      <c r="T4" s="23">
        <v>1076184.654290338</v>
      </c>
      <c r="U4" s="33">
        <v>52.165183499997511</v>
      </c>
      <c r="V4" s="5">
        <v>8</v>
      </c>
      <c r="W4" s="5">
        <v>79</v>
      </c>
      <c r="X4" s="33">
        <v>1186.6990757705455</v>
      </c>
      <c r="Y4" s="5">
        <v>70.672710803392846</v>
      </c>
      <c r="Z4" s="5">
        <v>6689.1842506742842</v>
      </c>
      <c r="AA4" s="35"/>
    </row>
    <row r="5" spans="2:27" x14ac:dyDescent="0.2">
      <c r="B5" s="4">
        <v>2</v>
      </c>
      <c r="C5" s="4">
        <v>125</v>
      </c>
      <c r="D5" s="23">
        <v>740413.59679407801</v>
      </c>
      <c r="E5" s="33">
        <v>46.166830374997517</v>
      </c>
      <c r="F5" s="5">
        <v>8</v>
      </c>
      <c r="G5" s="23">
        <v>98</v>
      </c>
      <c r="H5" s="33">
        <v>710.16040777806529</v>
      </c>
      <c r="I5" s="23">
        <v>53.917463046954545</v>
      </c>
      <c r="J5" s="5">
        <v>5748.6549266516531</v>
      </c>
      <c r="K5" s="31"/>
      <c r="L5" s="23">
        <v>1092982.4122385881</v>
      </c>
      <c r="M5" s="33">
        <v>130.7585370829984</v>
      </c>
      <c r="N5" s="5">
        <v>18</v>
      </c>
      <c r="O5" s="5">
        <v>82</v>
      </c>
      <c r="P5" s="33">
        <v>452.71190334693927</v>
      </c>
      <c r="Q5" s="5">
        <v>18.749974595244499</v>
      </c>
      <c r="R5" s="5">
        <v>4947.7240319398206</v>
      </c>
      <c r="S5" s="35"/>
      <c r="T5" s="23">
        <v>1099082.155999061</v>
      </c>
      <c r="U5" s="33">
        <v>117.9972318330001</v>
      </c>
      <c r="V5" s="5">
        <v>10</v>
      </c>
      <c r="W5" s="5">
        <v>81</v>
      </c>
      <c r="X5" s="33">
        <v>1406.8681065182827</v>
      </c>
      <c r="Y5" s="5">
        <v>63.414547780636404</v>
      </c>
      <c r="Z5" s="5">
        <v>6943.7113030494975</v>
      </c>
      <c r="AA5" s="35"/>
    </row>
    <row r="6" spans="2:27" x14ac:dyDescent="0.2">
      <c r="B6" s="4">
        <v>3</v>
      </c>
      <c r="C6" s="4">
        <v>240</v>
      </c>
      <c r="D6" s="23">
        <v>740695.45954395505</v>
      </c>
      <c r="E6" s="33">
        <v>25.52980333299638</v>
      </c>
      <c r="F6" s="5">
        <v>8</v>
      </c>
      <c r="G6" s="23">
        <v>98</v>
      </c>
      <c r="H6" s="33">
        <v>701.95045402913149</v>
      </c>
      <c r="I6" s="23">
        <v>53.917463046954545</v>
      </c>
      <c r="J6" s="5">
        <v>5767.6435600298773</v>
      </c>
      <c r="K6" s="31"/>
      <c r="L6" s="23">
        <v>1109417.2654409299</v>
      </c>
      <c r="M6" s="33">
        <v>107.6924397500006</v>
      </c>
      <c r="N6" s="5">
        <v>17</v>
      </c>
      <c r="O6" s="5">
        <v>80</v>
      </c>
      <c r="P6" s="33">
        <v>573.86429802554278</v>
      </c>
      <c r="Q6" s="5">
        <v>18.679212389618968</v>
      </c>
      <c r="R6" s="5">
        <v>4869.1495428200615</v>
      </c>
      <c r="S6" s="35"/>
      <c r="T6" s="23">
        <v>1074034.7665725909</v>
      </c>
      <c r="U6" s="33">
        <v>74.340086832999077</v>
      </c>
      <c r="V6" s="5">
        <v>9</v>
      </c>
      <c r="W6" s="5">
        <v>80</v>
      </c>
      <c r="X6" s="33">
        <v>1257.7823952080723</v>
      </c>
      <c r="Y6" s="5">
        <v>68.153686225930926</v>
      </c>
      <c r="Z6" s="5">
        <v>6715.3869084270646</v>
      </c>
      <c r="AA6" s="35"/>
    </row>
    <row r="7" spans="2:27" x14ac:dyDescent="0.2">
      <c r="B7" s="4">
        <v>4</v>
      </c>
      <c r="C7" s="4">
        <v>268</v>
      </c>
      <c r="D7" s="23">
        <v>740342.87148666324</v>
      </c>
      <c r="E7" s="33">
        <v>70.861096166998323</v>
      </c>
      <c r="F7" s="5">
        <v>8</v>
      </c>
      <c r="G7" s="23">
        <v>98</v>
      </c>
      <c r="H7" s="33">
        <v>737.37929912288917</v>
      </c>
      <c r="I7" s="23">
        <v>53.917463046954545</v>
      </c>
      <c r="J7" s="5">
        <v>5727.6918290378326</v>
      </c>
      <c r="K7" s="31"/>
      <c r="L7" s="23">
        <v>1085288.7137342531</v>
      </c>
      <c r="M7" s="33">
        <v>126.3469811249997</v>
      </c>
      <c r="N7" s="5">
        <v>16</v>
      </c>
      <c r="O7" s="5">
        <v>79</v>
      </c>
      <c r="P7" s="33">
        <v>398.31840063972288</v>
      </c>
      <c r="Q7" s="5">
        <v>19.843047523783525</v>
      </c>
      <c r="R7" s="5">
        <v>4775.6466540084803</v>
      </c>
      <c r="S7" s="35"/>
      <c r="T7" s="23">
        <v>1074412.61802364</v>
      </c>
      <c r="U7" s="33">
        <v>35.119378625000543</v>
      </c>
      <c r="V7" s="5">
        <v>8</v>
      </c>
      <c r="W7" s="5">
        <v>78</v>
      </c>
      <c r="X7" s="33">
        <v>1191.0032318808696</v>
      </c>
      <c r="Y7" s="5">
        <v>68.384597297637924</v>
      </c>
      <c r="Z7" s="5">
        <v>6493.1848878017418</v>
      </c>
      <c r="AA7" s="35"/>
    </row>
    <row r="8" spans="2:27" x14ac:dyDescent="0.2">
      <c r="B8" s="4">
        <v>5</v>
      </c>
      <c r="C8" s="4">
        <v>416</v>
      </c>
      <c r="D8" s="23">
        <v>740342.87148666324</v>
      </c>
      <c r="E8" s="33">
        <v>37.160591792002378</v>
      </c>
      <c r="F8" s="5">
        <v>8</v>
      </c>
      <c r="G8" s="23">
        <v>98</v>
      </c>
      <c r="H8" s="33">
        <v>737.37929912288917</v>
      </c>
      <c r="I8" s="23">
        <v>53.917463046954545</v>
      </c>
      <c r="J8" s="5">
        <v>5727.6918290378326</v>
      </c>
      <c r="K8" s="31"/>
      <c r="L8" s="23">
        <v>1118624.6169895499</v>
      </c>
      <c r="M8" s="33">
        <v>133.9820949589994</v>
      </c>
      <c r="N8" s="5">
        <v>16</v>
      </c>
      <c r="O8" s="5">
        <v>79</v>
      </c>
      <c r="P8" s="33">
        <v>521.94766211223271</v>
      </c>
      <c r="Q8" s="5">
        <v>20.032551687010482</v>
      </c>
      <c r="R8" s="5">
        <v>5073.9948648257796</v>
      </c>
      <c r="S8" s="35"/>
      <c r="T8" s="23">
        <v>1157202.071202846</v>
      </c>
      <c r="U8" s="33">
        <v>40.314855500000697</v>
      </c>
      <c r="V8" s="5">
        <v>7</v>
      </c>
      <c r="W8" s="5">
        <v>70</v>
      </c>
      <c r="X8" s="33">
        <v>1065.4043475036397</v>
      </c>
      <c r="Y8" s="5">
        <v>67.822755126163358</v>
      </c>
      <c r="Z8" s="5">
        <v>6399.5773354420626</v>
      </c>
      <c r="AA8" s="35"/>
    </row>
    <row r="9" spans="2:27" x14ac:dyDescent="0.2">
      <c r="B9" s="4">
        <v>6</v>
      </c>
      <c r="C9" s="4">
        <v>470</v>
      </c>
      <c r="D9" s="23">
        <v>740413.59679407801</v>
      </c>
      <c r="E9" s="33">
        <v>56.667071625000972</v>
      </c>
      <c r="F9" s="5">
        <v>8</v>
      </c>
      <c r="G9" s="23">
        <v>98</v>
      </c>
      <c r="H9" s="33">
        <v>710.16040777806529</v>
      </c>
      <c r="I9" s="23">
        <v>53.917463046954545</v>
      </c>
      <c r="J9" s="5">
        <v>5748.6549266516531</v>
      </c>
      <c r="K9" s="31"/>
      <c r="L9" s="23">
        <v>1085612.2098792321</v>
      </c>
      <c r="M9" s="33">
        <v>88.633123207997414</v>
      </c>
      <c r="N9" s="5">
        <v>16</v>
      </c>
      <c r="O9" s="5">
        <v>79</v>
      </c>
      <c r="P9" s="33">
        <v>349.60219483381456</v>
      </c>
      <c r="Q9" s="5">
        <v>19.957608070995093</v>
      </c>
      <c r="R9" s="5">
        <v>4766.6905794630793</v>
      </c>
      <c r="S9" s="35"/>
      <c r="T9" s="23">
        <v>1098174.358473653</v>
      </c>
      <c r="U9" s="33">
        <v>44.993386041998747</v>
      </c>
      <c r="V9" s="5">
        <v>8</v>
      </c>
      <c r="W9" s="5">
        <v>77</v>
      </c>
      <c r="X9" s="33">
        <v>1216.0874758720909</v>
      </c>
      <c r="Y9" s="5">
        <v>69.109715371254524</v>
      </c>
      <c r="Z9" s="5">
        <v>6700.7512906287247</v>
      </c>
      <c r="AA9" s="35"/>
    </row>
    <row r="10" spans="2:27" x14ac:dyDescent="0.2">
      <c r="B10" s="4">
        <v>7</v>
      </c>
      <c r="C10" s="4">
        <v>554</v>
      </c>
      <c r="D10" s="23">
        <v>740413.59679407801</v>
      </c>
      <c r="E10" s="33">
        <v>75.453992125003424</v>
      </c>
      <c r="F10" s="5">
        <v>8</v>
      </c>
      <c r="G10" s="23">
        <v>98</v>
      </c>
      <c r="H10" s="33">
        <v>710.16040777806529</v>
      </c>
      <c r="I10" s="23">
        <v>53.917463046954545</v>
      </c>
      <c r="J10" s="5">
        <v>5748.6549266516531</v>
      </c>
      <c r="K10" s="31"/>
      <c r="L10" s="23">
        <v>1091255.5536420899</v>
      </c>
      <c r="M10" s="33">
        <v>162.47825154200109</v>
      </c>
      <c r="N10" s="5">
        <v>16</v>
      </c>
      <c r="O10" s="5">
        <v>79</v>
      </c>
      <c r="P10" s="33">
        <v>428.88477937637902</v>
      </c>
      <c r="Q10" s="5">
        <v>20.025395782619867</v>
      </c>
      <c r="R10" s="5">
        <v>4754.6276624286029</v>
      </c>
      <c r="S10" s="35"/>
      <c r="T10" s="23">
        <v>1121459.7631744861</v>
      </c>
      <c r="U10" s="33">
        <v>119.8906606669989</v>
      </c>
      <c r="V10" s="5">
        <v>8</v>
      </c>
      <c r="W10" s="5">
        <v>75</v>
      </c>
      <c r="X10" s="33">
        <v>1255.2011035587011</v>
      </c>
      <c r="Y10" s="5">
        <v>66.441428041136462</v>
      </c>
      <c r="Z10" s="5">
        <v>6564.4826597413185</v>
      </c>
      <c r="AA10" s="35"/>
    </row>
    <row r="11" spans="2:27" x14ac:dyDescent="0.2">
      <c r="B11" s="4">
        <v>8</v>
      </c>
      <c r="C11" s="4">
        <v>760</v>
      </c>
      <c r="D11" s="23">
        <v>740676.35815465241</v>
      </c>
      <c r="E11" s="33">
        <v>33.971719207998831</v>
      </c>
      <c r="F11" s="5">
        <v>8</v>
      </c>
      <c r="G11" s="23">
        <v>98</v>
      </c>
      <c r="H11" s="33">
        <v>712.88315893398919</v>
      </c>
      <c r="I11" s="23">
        <v>53.938717762009674</v>
      </c>
      <c r="J11" s="5">
        <v>5751.581852260606</v>
      </c>
      <c r="K11" s="31"/>
      <c r="L11" s="23">
        <v>1098974.098191021</v>
      </c>
      <c r="M11" s="33">
        <v>102.94352104100111</v>
      </c>
      <c r="N11" s="5">
        <v>15</v>
      </c>
      <c r="O11" s="5">
        <v>76</v>
      </c>
      <c r="P11" s="33">
        <v>253.82789398817786</v>
      </c>
      <c r="Q11" s="5">
        <v>20.438452257253868</v>
      </c>
      <c r="R11" s="5">
        <v>4707.6710352288446</v>
      </c>
      <c r="S11" s="35"/>
      <c r="T11" s="23">
        <v>1059574.829382319</v>
      </c>
      <c r="U11" s="33">
        <v>106.755622583998</v>
      </c>
      <c r="V11" s="5">
        <v>9</v>
      </c>
      <c r="W11" s="5">
        <v>80</v>
      </c>
      <c r="X11" s="33">
        <v>1200.0707489957199</v>
      </c>
      <c r="Y11" s="5">
        <v>62.816153081198195</v>
      </c>
      <c r="Z11" s="5">
        <v>6417.1909642226692</v>
      </c>
      <c r="AA11" s="35"/>
    </row>
    <row r="12" spans="2:27" x14ac:dyDescent="0.2">
      <c r="B12" s="4">
        <v>9</v>
      </c>
      <c r="C12" s="4">
        <v>794</v>
      </c>
      <c r="D12" s="23">
        <v>740342.87148666324</v>
      </c>
      <c r="E12" s="33">
        <v>65.697326125002292</v>
      </c>
      <c r="F12" s="5">
        <v>8</v>
      </c>
      <c r="G12" s="23">
        <v>98</v>
      </c>
      <c r="H12" s="33">
        <v>737.37929912288917</v>
      </c>
      <c r="I12" s="23">
        <v>53.917463046954545</v>
      </c>
      <c r="J12" s="5">
        <v>5727.6918290378326</v>
      </c>
      <c r="K12" s="31"/>
      <c r="L12" s="23">
        <v>1087073.5405185551</v>
      </c>
      <c r="M12" s="33">
        <v>120.06966370900049</v>
      </c>
      <c r="N12" s="5">
        <v>16</v>
      </c>
      <c r="O12" s="5">
        <v>80</v>
      </c>
      <c r="P12" s="33">
        <v>523.43749582056819</v>
      </c>
      <c r="Q12" s="5">
        <v>20.716105387809442</v>
      </c>
      <c r="R12" s="5">
        <v>4927.3012205338528</v>
      </c>
      <c r="S12" s="35"/>
      <c r="T12" s="23">
        <v>1065765.2430694541</v>
      </c>
      <c r="U12" s="33">
        <v>86.825051291998534</v>
      </c>
      <c r="V12" s="5">
        <v>9</v>
      </c>
      <c r="W12" s="5">
        <v>81</v>
      </c>
      <c r="X12" s="33">
        <v>1333.5190554664498</v>
      </c>
      <c r="Y12" s="5">
        <v>65.739856987512326</v>
      </c>
      <c r="Z12" s="5">
        <v>6732.6838579999057</v>
      </c>
      <c r="AA12" s="35"/>
    </row>
    <row r="13" spans="2:27" x14ac:dyDescent="0.2">
      <c r="B13" s="4">
        <v>10</v>
      </c>
      <c r="C13" s="4">
        <v>818</v>
      </c>
      <c r="D13" s="23">
        <v>740342.87148666324</v>
      </c>
      <c r="E13" s="33">
        <v>54.639354540995548</v>
      </c>
      <c r="F13" s="5">
        <v>8</v>
      </c>
      <c r="G13" s="23">
        <v>98</v>
      </c>
      <c r="H13" s="33">
        <v>737.37929912288917</v>
      </c>
      <c r="I13" s="23">
        <v>53.917463046954545</v>
      </c>
      <c r="J13" s="5">
        <v>5727.6918290378326</v>
      </c>
      <c r="K13" s="31"/>
      <c r="L13" s="23">
        <v>1103577.8423637301</v>
      </c>
      <c r="M13" s="33">
        <v>112.0415983330022</v>
      </c>
      <c r="N13" s="5">
        <v>17</v>
      </c>
      <c r="O13" s="5">
        <v>81</v>
      </c>
      <c r="P13" s="33">
        <v>596.59643645473534</v>
      </c>
      <c r="Q13" s="5">
        <v>19.39885641374002</v>
      </c>
      <c r="R13" s="5">
        <v>5012.2099377460063</v>
      </c>
      <c r="S13" s="35"/>
      <c r="T13" s="23">
        <v>1059182.600214856</v>
      </c>
      <c r="U13" s="33">
        <v>80.525186250000843</v>
      </c>
      <c r="V13" s="5">
        <v>9</v>
      </c>
      <c r="W13" s="5">
        <v>80</v>
      </c>
      <c r="X13" s="33">
        <v>1197.6325279726523</v>
      </c>
      <c r="Y13" s="5">
        <v>62.816153081198195</v>
      </c>
      <c r="Z13" s="5">
        <v>6412.3648813874588</v>
      </c>
      <c r="AA13" s="35"/>
    </row>
    <row r="14" spans="2:27" x14ac:dyDescent="0.2">
      <c r="B14" s="47" t="s">
        <v>3</v>
      </c>
      <c r="C14" s="48"/>
      <c r="D14" s="9">
        <f>MIN(D4:D13)</f>
        <v>740342.87148666324</v>
      </c>
      <c r="E14" s="22">
        <f>INDEX(E4:E13, MATCH($D$14, D4:D13, 0))</f>
        <v>70.861096166998323</v>
      </c>
      <c r="F14" s="9">
        <f>INDEX(F4:F13, MATCH($D$14, D4:D13, 0))</f>
        <v>8</v>
      </c>
      <c r="G14" s="9">
        <f>INDEX(G4:G13, MATCH($D$14, D4:D13, 0))</f>
        <v>98</v>
      </c>
      <c r="H14" s="22">
        <f>INDEX(H4:H13, MATCH($D$14, D4:D13, 0))</f>
        <v>737.37929912288917</v>
      </c>
      <c r="I14" s="22">
        <f>INDEX(I4:I13, MATCH($D$14, D4:D13, 0))</f>
        <v>53.917463046954545</v>
      </c>
      <c r="J14" s="22">
        <f>INDEX(J4:J13, MATCH($D$14, D4:D13, 0))</f>
        <v>5727.6918290378326</v>
      </c>
      <c r="K14" s="32" t="e">
        <f>(D14-$D$15)/$D$15</f>
        <v>#DIV/0!</v>
      </c>
      <c r="L14" s="16">
        <f>MIN(L4:L13)</f>
        <v>1085288.7137342531</v>
      </c>
      <c r="M14" s="21">
        <f>INDEX(M4:M13, MATCH($L$14, L4:L13, 0))</f>
        <v>126.3469811249997</v>
      </c>
      <c r="N14" s="16">
        <f>INDEX(N4:N13, MATCH($L$14, L4:L13, 0))</f>
        <v>16</v>
      </c>
      <c r="O14" s="16">
        <f>INDEX(O4:O13, MATCH($L$14, L4:L13, 0))</f>
        <v>79</v>
      </c>
      <c r="P14" s="21">
        <f>INDEX(P4:P13, MATCH($L$14, L4:L13, 0))</f>
        <v>398.31840063972288</v>
      </c>
      <c r="Q14" s="21">
        <f>INDEX(Q4:Q13, MATCH($L$14, L4:L13, 0))</f>
        <v>19.843047523783525</v>
      </c>
      <c r="R14" s="21">
        <f>INDEX(R4:R13, MATCH($L$14, L4:L13, 0))</f>
        <v>4775.6466540084803</v>
      </c>
      <c r="S14" s="36" t="e">
        <f>(L14-$D$15)/$D$15</f>
        <v>#DIV/0!</v>
      </c>
      <c r="T14" s="38">
        <f>MIN(T4:T13)</f>
        <v>1059182.600214856</v>
      </c>
      <c r="U14" s="39">
        <f>INDEX(U4:U13, MATCH($T$14, T4:T13, 0))</f>
        <v>80.525186250000843</v>
      </c>
      <c r="V14" s="38">
        <f>INDEX(V4:V13, MATCH($T$14, T4:T13, 0))</f>
        <v>9</v>
      </c>
      <c r="W14" s="38">
        <f>INDEX(W4:W13, MATCH($T$14, T4:T13, 0))</f>
        <v>80</v>
      </c>
      <c r="X14" s="39">
        <f>INDEX(X4:X13, MATCH($T$14, T4:T13, 0))</f>
        <v>1197.6325279726523</v>
      </c>
      <c r="Y14" s="39">
        <f>INDEX(Y4:Y13, MATCH($T$14, T4:T13, 0))</f>
        <v>62.816153081198195</v>
      </c>
      <c r="Z14" s="39">
        <f>INDEX(Z4:Z13, MATCH($T$14, T4:T13, 0))</f>
        <v>6412.3648813874588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6">
        <f>(L14-D14)/D14</f>
        <v>0.46592714745117092</v>
      </c>
      <c r="M15" s="46">
        <f t="shared" ref="M15:R15" si="0">(M14-E14)/E14</f>
        <v>0.78302323784602224</v>
      </c>
      <c r="N15" s="46">
        <f t="shared" si="0"/>
        <v>1</v>
      </c>
      <c r="O15" s="46">
        <f t="shared" si="0"/>
        <v>-0.19387755102040816</v>
      </c>
      <c r="P15" s="46">
        <f t="shared" si="0"/>
        <v>-0.45981884613044927</v>
      </c>
      <c r="Q15" s="46">
        <f t="shared" si="0"/>
        <v>-0.6319736426303475</v>
      </c>
      <c r="R15" s="46">
        <f t="shared" si="0"/>
        <v>-0.16621794667840603</v>
      </c>
      <c r="T15" s="46">
        <f>(T14-D14)/D14</f>
        <v>0.43066495404749289</v>
      </c>
      <c r="U15" s="46">
        <f t="shared" ref="U15:Z15" si="1">(U14-E14)/E14</f>
        <v>0.1363807590589223</v>
      </c>
      <c r="V15" s="46">
        <f t="shared" si="1"/>
        <v>0.125</v>
      </c>
      <c r="W15" s="46">
        <f t="shared" si="1"/>
        <v>-0.18367346938775511</v>
      </c>
      <c r="X15" s="46">
        <f t="shared" si="1"/>
        <v>0.62417432845922471</v>
      </c>
      <c r="Y15" s="46">
        <f t="shared" si="1"/>
        <v>0.16504281788062133</v>
      </c>
      <c r="Z15" s="46">
        <f t="shared" si="1"/>
        <v>0.11953734118140241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24:C1048576">
    <cfRule type="duplicateValues" dxfId="55" priority="7"/>
    <cfRule type="duplicateValues" dxfId="54" priority="8"/>
  </conditionalFormatting>
  <conditionalFormatting sqref="C14">
    <cfRule type="duplicateValues" dxfId="53" priority="5"/>
    <cfRule type="duplicateValues" dxfId="52" priority="6"/>
  </conditionalFormatting>
  <conditionalFormatting sqref="C15">
    <cfRule type="duplicateValues" dxfId="51" priority="3"/>
    <cfRule type="duplicateValues" dxfId="50" priority="4"/>
  </conditionalFormatting>
  <conditionalFormatting sqref="C17:C2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7" t="s">
        <v>3</v>
      </c>
      <c r="C14" s="48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7" t="s">
        <v>3</v>
      </c>
      <c r="C14" s="48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7" t="s">
        <v>3</v>
      </c>
      <c r="C14" s="48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results116</vt:lpstr>
      <vt:lpstr>results123</vt:lpstr>
      <vt:lpstr>results163</vt:lpstr>
      <vt:lpstr>results246</vt:lpstr>
      <vt:lpstr>results305</vt:lpstr>
      <vt:lpstr>results449</vt:lpstr>
      <vt:lpstr>results466</vt:lpstr>
      <vt:lpstr>results590</vt:lpstr>
      <vt:lpstr>results715</vt:lpstr>
      <vt:lpstr>results874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2026-10-16T18:59:25Z</dcterms:modified>
</cp:coreProperties>
</file>