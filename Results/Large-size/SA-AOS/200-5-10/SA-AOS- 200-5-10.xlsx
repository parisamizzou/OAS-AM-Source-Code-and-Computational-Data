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200-5-10/"/>
    </mc:Choice>
  </mc:AlternateContent>
  <xr:revisionPtr revIDLastSave="0" documentId="13_ncr:1_{58614D37-FB5B-F84C-AE22-3542A2C32ECD}" xr6:coauthVersionLast="47" xr6:coauthVersionMax="47" xr10:uidLastSave="{00000000-0000-0000-0000-000000000000}"/>
  <bookViews>
    <workbookView xWindow="0" yWindow="740" windowWidth="34560" windowHeight="21600" tabRatio="842" activeTab="1" xr2:uid="{41E620E7-D6DF-9342-B452-EA60AB3B07C5}"/>
  </bookViews>
  <sheets>
    <sheet name="Summary" sheetId="68" r:id="rId1"/>
    <sheet name="results158" sheetId="57" r:id="rId2"/>
    <sheet name="results174" sheetId="58" r:id="rId3"/>
    <sheet name="results242" sheetId="59" r:id="rId4"/>
    <sheet name="results315" sheetId="60" r:id="rId5"/>
    <sheet name="results465" sheetId="61" r:id="rId6"/>
    <sheet name="results712" sheetId="63" r:id="rId7"/>
    <sheet name="results858" sheetId="64" r:id="rId8"/>
    <sheet name="results945" sheetId="65" r:id="rId9"/>
    <sheet name="results965" sheetId="66" r:id="rId10"/>
    <sheet name="results971" sheetId="67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59" l="1"/>
  <c r="W15" i="59"/>
  <c r="X15" i="59"/>
  <c r="Y15" i="59"/>
  <c r="Z15" i="59"/>
  <c r="T15" i="59"/>
  <c r="N15" i="59"/>
  <c r="O15" i="59"/>
  <c r="P15" i="59"/>
  <c r="Q15" i="59"/>
  <c r="R15" i="59"/>
  <c r="L15" i="59"/>
  <c r="T14" i="57"/>
  <c r="AA14" i="57" s="1"/>
  <c r="N5" i="68" a="1"/>
  <c r="G9" i="68" a="1"/>
  <c r="U6" i="68" a="1"/>
  <c r="V7" i="68" a="1"/>
  <c r="K8" i="68" a="1"/>
  <c r="V6" i="68" a="1"/>
  <c r="H6" i="68" a="1"/>
  <c r="P9" i="68" a="1"/>
  <c r="H5" i="68" a="1"/>
  <c r="K3" i="68" a="1"/>
  <c r="Y10" i="68" a="1"/>
  <c r="G6" i="68" a="1"/>
  <c r="S12" i="68" a="1"/>
  <c r="S11" i="68" a="1"/>
  <c r="W11" i="68" a="1"/>
  <c r="M10" i="68" a="1"/>
  <c r="W5" i="68" a="1"/>
  <c r="W9" i="68" a="1"/>
  <c r="G5" i="68" a="1"/>
  <c r="V11" i="68" a="1"/>
  <c r="N12" i="68" a="1"/>
  <c r="Q5" i="68" a="1"/>
  <c r="Q10" i="68" a="1"/>
  <c r="X6" i="68" a="1"/>
  <c r="I6" i="68" a="1"/>
  <c r="G8" i="68" a="1"/>
  <c r="E9" i="68" a="1"/>
  <c r="U9" i="68" a="1"/>
  <c r="K9" i="68" a="1"/>
  <c r="I4" i="68" a="1"/>
  <c r="F10" i="68" a="1"/>
  <c r="P4" i="68" a="1"/>
  <c r="P5" i="68" a="1"/>
  <c r="S4" i="68" a="1"/>
  <c r="P12" i="68" a="1"/>
  <c r="Q12" i="68" a="1"/>
  <c r="U12" i="68" a="1"/>
  <c r="X11" i="68" a="1"/>
  <c r="G11" i="68" a="1"/>
  <c r="C6" i="68" a="1"/>
  <c r="C9" i="68" a="1"/>
  <c r="Q8" i="68" a="1"/>
  <c r="M5" i="68" a="1"/>
  <c r="Q7" i="68" a="1"/>
  <c r="P6" i="68" a="1"/>
  <c r="U5" i="68" a="1"/>
  <c r="W12" i="68" a="1"/>
  <c r="S10" i="68" a="1"/>
  <c r="V3" i="68" a="1"/>
  <c r="M12" i="68" a="1"/>
  <c r="O11" i="68" a="1"/>
  <c r="X12" i="68" a="1"/>
  <c r="V12" i="68" a="1"/>
  <c r="O4" i="68" a="1"/>
  <c r="K7" i="68" a="1"/>
  <c r="P10" i="68" a="1"/>
  <c r="M7" i="68" a="1"/>
  <c r="S6" i="68" a="1"/>
  <c r="E12" i="68" a="1"/>
  <c r="Y12" i="68" a="1"/>
  <c r="C5" i="68" a="1"/>
  <c r="E5" i="68" a="1"/>
  <c r="X3" i="68" a="1"/>
  <c r="C12" i="68" a="1"/>
  <c r="E6" i="68" a="1"/>
  <c r="E4" i="68" a="1"/>
  <c r="M8" i="68" a="1"/>
  <c r="C4" i="68" a="1"/>
  <c r="C7" i="68" a="1"/>
  <c r="K11" i="68" a="1"/>
  <c r="X8" i="68" a="1"/>
  <c r="F9" i="68" a="1"/>
  <c r="Q11" i="68" a="1"/>
  <c r="U4" i="68" a="1"/>
  <c r="S7" i="68" a="1"/>
  <c r="F5" i="68" a="1"/>
  <c r="S9" i="68" a="1"/>
  <c r="M4" i="68" a="1"/>
  <c r="I3" i="68" a="1"/>
  <c r="F3" i="68" a="1"/>
  <c r="I9" i="68" a="1"/>
  <c r="K6" i="68" a="1"/>
  <c r="C11" i="68" a="1"/>
  <c r="I12" i="68" a="1"/>
  <c r="V10" i="68" a="1"/>
  <c r="U10" i="68" a="1"/>
  <c r="P8" i="68" a="1"/>
  <c r="E7" i="68" a="1"/>
  <c r="O12" i="68" a="1"/>
  <c r="Y8" i="68" a="1"/>
  <c r="H11" i="68" a="1"/>
  <c r="I7" i="68" a="1"/>
  <c r="N11" i="68" a="1"/>
  <c r="Y5" i="68" a="1"/>
  <c r="P3" i="68" a="1"/>
  <c r="C10" i="68" a="1"/>
  <c r="F11" i="68" a="1"/>
  <c r="X7" i="68" a="1"/>
  <c r="E10" i="68" a="1"/>
  <c r="M9" i="68" a="1"/>
  <c r="N8" i="68" a="1"/>
  <c r="M3" i="68" a="1"/>
  <c r="P11" i="68" a="1"/>
  <c r="W10" i="68" a="1"/>
  <c r="W6" i="68" a="1"/>
  <c r="V5" i="68" a="1"/>
  <c r="H7" i="68" a="1"/>
  <c r="V8" i="68" a="1"/>
  <c r="Y7" i="68" a="1"/>
  <c r="Q9" i="68" a="1"/>
  <c r="K4" i="68" a="1"/>
  <c r="W7" i="68" a="1"/>
  <c r="N9" i="68" a="1"/>
  <c r="O10" i="68" a="1"/>
  <c r="K12" i="68" a="1"/>
  <c r="G12" i="68" a="1"/>
  <c r="I10" i="68" a="1"/>
  <c r="X10" i="68" a="1"/>
  <c r="H9" i="68" a="1"/>
  <c r="K10" i="68" a="1"/>
  <c r="X9" i="68" a="1"/>
  <c r="N7" i="68" a="1"/>
  <c r="G10" i="68" a="1"/>
  <c r="I5" i="68" a="1"/>
  <c r="X5" i="68" a="1"/>
  <c r="W3" i="68" a="1"/>
  <c r="N10" i="68" a="1"/>
  <c r="N4" i="68" a="1"/>
  <c r="Y11" i="68" a="1"/>
  <c r="W8" i="68" a="1"/>
  <c r="G3" i="68" a="1"/>
  <c r="G7" i="68" a="1"/>
  <c r="O3" i="68" a="1"/>
  <c r="Q3" i="68" a="1"/>
  <c r="F7" i="68" a="1"/>
  <c r="Q4" i="68" a="1"/>
  <c r="V4" i="68" a="1"/>
  <c r="H4" i="68" a="1"/>
  <c r="U7" i="68" a="1"/>
  <c r="M11" i="68" a="1"/>
  <c r="K5" i="68" a="1"/>
  <c r="H10" i="68" a="1"/>
  <c r="H8" i="68" a="1"/>
  <c r="C8" i="68" a="1"/>
  <c r="F8" i="68" a="1"/>
  <c r="F12" i="68" a="1"/>
  <c r="O7" i="68" a="1"/>
  <c r="V9" i="68" a="1"/>
  <c r="C3" i="68" a="1"/>
  <c r="F4" i="68" a="1"/>
  <c r="E3" i="68" a="1"/>
  <c r="Y4" i="68" a="1"/>
  <c r="X4" i="68" a="1"/>
  <c r="U3" i="68" a="1"/>
  <c r="G4" i="68" a="1"/>
  <c r="P7" i="68" a="1"/>
  <c r="N3" i="68" a="1"/>
  <c r="I8" i="68" a="1"/>
  <c r="E8" i="68" a="1"/>
  <c r="U11" i="68" a="1"/>
  <c r="N6" i="68" a="1"/>
  <c r="Y9" i="68" a="1"/>
  <c r="O9" i="68" a="1"/>
  <c r="M6" i="68" a="1"/>
  <c r="Y3" i="68" a="1"/>
  <c r="W4" i="68" a="1"/>
  <c r="O6" i="68" a="1"/>
  <c r="Y6" i="68" a="1"/>
  <c r="I11" i="68" a="1"/>
  <c r="H12" i="68" a="1"/>
  <c r="O8" i="68" a="1"/>
  <c r="F6" i="68" a="1"/>
  <c r="E11" i="68" a="1"/>
  <c r="S3" i="68" a="1"/>
  <c r="Q6" i="68" a="1"/>
  <c r="S8" i="68" a="1"/>
  <c r="U8" i="68" a="1"/>
  <c r="H3" i="68" a="1"/>
  <c r="S5" i="68" a="1"/>
  <c r="O5" i="68" a="1"/>
  <c r="P11" i="68" l="1"/>
  <c r="K11" i="68"/>
  <c r="U4" i="68"/>
  <c r="S8" i="68"/>
  <c r="C10" i="68"/>
  <c r="Y10" i="68"/>
  <c r="V7" i="68"/>
  <c r="Y12" i="68"/>
  <c r="Q8" i="68"/>
  <c r="E3" i="68"/>
  <c r="G9" i="68"/>
  <c r="K4" i="68"/>
  <c r="Q5" i="68"/>
  <c r="I3" i="68"/>
  <c r="N11" i="68"/>
  <c r="Q9" i="68"/>
  <c r="N4" i="68"/>
  <c r="H3" i="68"/>
  <c r="W5" i="68"/>
  <c r="S10" i="68"/>
  <c r="C4" i="68"/>
  <c r="I10" i="68"/>
  <c r="O12" i="68"/>
  <c r="P7" i="68"/>
  <c r="W6" i="68"/>
  <c r="U10" i="68"/>
  <c r="O3" i="68"/>
  <c r="M11" i="68"/>
  <c r="H5" i="68"/>
  <c r="K6" i="68"/>
  <c r="H11" i="68"/>
  <c r="E8" i="68"/>
  <c r="U11" i="68"/>
  <c r="U9" i="68"/>
  <c r="K10" i="68"/>
  <c r="E11" i="68"/>
  <c r="C3" i="68"/>
  <c r="I7" i="68"/>
  <c r="Q10" i="68"/>
  <c r="E7" i="68"/>
  <c r="E5" i="68"/>
  <c r="C7" i="68"/>
  <c r="X5" i="68"/>
  <c r="H4" i="68"/>
  <c r="M4" i="68"/>
  <c r="X3" i="68"/>
  <c r="N9" i="68"/>
  <c r="I6" i="68"/>
  <c r="M7" i="68"/>
  <c r="F8" i="68"/>
  <c r="M3" i="68"/>
  <c r="U12" i="68"/>
  <c r="X8" i="68"/>
  <c r="X12" i="68"/>
  <c r="N12" i="68"/>
  <c r="M5" i="68"/>
  <c r="Y6" i="68"/>
  <c r="Q11" i="68"/>
  <c r="K12" i="68"/>
  <c r="Y11" i="68"/>
  <c r="C9" i="68"/>
  <c r="G7" i="68"/>
  <c r="M8" i="68"/>
  <c r="V3" i="68"/>
  <c r="G3" i="68"/>
  <c r="H6" i="68"/>
  <c r="W8" i="68"/>
  <c r="Q12" i="68"/>
  <c r="V6" i="68"/>
  <c r="E6" i="68"/>
  <c r="Y9" i="68"/>
  <c r="P4" i="68"/>
  <c r="U8" i="68"/>
  <c r="I12" i="68"/>
  <c r="G6" i="68"/>
  <c r="O9" i="68"/>
  <c r="F9" i="68"/>
  <c r="P8" i="68"/>
  <c r="V4" i="68"/>
  <c r="F12" i="68"/>
  <c r="W12" i="68"/>
  <c r="W4" i="68"/>
  <c r="N7" i="68"/>
  <c r="O7" i="68"/>
  <c r="I8" i="68"/>
  <c r="F10" i="68"/>
  <c r="Y4" i="68"/>
  <c r="V8" i="68"/>
  <c r="S6" i="68"/>
  <c r="S11" i="68"/>
  <c r="O11" i="68"/>
  <c r="F4" i="68"/>
  <c r="W11" i="68"/>
  <c r="U7" i="68"/>
  <c r="H7" i="68"/>
  <c r="X9" i="68"/>
  <c r="E9" i="68"/>
  <c r="G12" i="68"/>
  <c r="H10" i="68"/>
  <c r="O8" i="68"/>
  <c r="F3" i="68"/>
  <c r="I4" i="68"/>
  <c r="I11" i="68"/>
  <c r="X7" i="68"/>
  <c r="P9" i="68"/>
  <c r="C12" i="68"/>
  <c r="W10" i="68"/>
  <c r="I9" i="68"/>
  <c r="X6" i="68"/>
  <c r="F5" i="68"/>
  <c r="E4" i="68"/>
  <c r="P12" i="68"/>
  <c r="S7" i="68"/>
  <c r="U3" i="68"/>
  <c r="K8" i="68"/>
  <c r="K5" i="68"/>
  <c r="N5" i="68"/>
  <c r="F6" i="68"/>
  <c r="P6" i="68"/>
  <c r="C5" i="68"/>
  <c r="G11" i="68"/>
  <c r="F11" i="68"/>
  <c r="S5" i="68"/>
  <c r="H12" i="68"/>
  <c r="O4" i="68"/>
  <c r="K9" i="68"/>
  <c r="M6" i="68"/>
  <c r="M12" i="68"/>
  <c r="C6" i="68"/>
  <c r="F7" i="68"/>
  <c r="K3" i="68"/>
  <c r="Y3" i="68"/>
  <c r="U6" i="68"/>
  <c r="G5" i="68"/>
  <c r="N3" i="68"/>
  <c r="W9" i="68"/>
  <c r="V5" i="68"/>
  <c r="P10" i="68"/>
  <c r="O5" i="68"/>
  <c r="K7" i="68"/>
  <c r="P5" i="68"/>
  <c r="Y8" i="68"/>
  <c r="N6" i="68"/>
  <c r="V12" i="68"/>
  <c r="N8" i="68"/>
  <c r="Y7" i="68"/>
  <c r="S4" i="68"/>
  <c r="Q4" i="68"/>
  <c r="M10" i="68"/>
  <c r="G4" i="68"/>
  <c r="Q6" i="68"/>
  <c r="N10" i="68"/>
  <c r="C8" i="68"/>
  <c r="X11" i="68"/>
  <c r="E12" i="68"/>
  <c r="O10" i="68"/>
  <c r="S12" i="68"/>
  <c r="Q3" i="68"/>
  <c r="W3" i="68"/>
  <c r="S3" i="68"/>
  <c r="H9" i="68"/>
  <c r="G8" i="68"/>
  <c r="V9" i="68"/>
  <c r="H8" i="68"/>
  <c r="V11" i="68"/>
  <c r="X10" i="68"/>
  <c r="Y5" i="68"/>
  <c r="M9" i="68"/>
  <c r="I5" i="68"/>
  <c r="E10" i="68"/>
  <c r="S9" i="68"/>
  <c r="W7" i="68"/>
  <c r="O6" i="68"/>
  <c r="Q7" i="68"/>
  <c r="G10" i="68"/>
  <c r="V10" i="68"/>
  <c r="X4" i="68"/>
  <c r="U5" i="68"/>
  <c r="C11" i="68"/>
  <c r="P3" i="68"/>
  <c r="U14" i="57"/>
  <c r="V14" i="57"/>
  <c r="W14" i="57"/>
  <c r="X14" i="57"/>
  <c r="Y14" i="57"/>
  <c r="Z14" i="57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T3" i="68" a="1"/>
  <c r="T3" i="68" l="1"/>
  <c r="C16" i="68"/>
  <c r="S16" i="68"/>
  <c r="K16" i="68"/>
  <c r="P13" i="68"/>
  <c r="U13" i="68"/>
  <c r="O13" i="68"/>
  <c r="W13" i="68"/>
  <c r="E13" i="68"/>
  <c r="X13" i="68"/>
  <c r="C13" i="68"/>
  <c r="J13" i="68" s="1"/>
  <c r="Q13" i="68"/>
  <c r="N13" i="68"/>
  <c r="K13" i="68"/>
  <c r="G13" i="68"/>
  <c r="Y13" i="68"/>
  <c r="V13" i="68"/>
  <c r="F13" i="68"/>
  <c r="H13" i="68"/>
  <c r="I13" i="68"/>
  <c r="S13" i="68"/>
  <c r="M13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68" l="1"/>
  <c r="U14" i="68"/>
  <c r="M14" i="68"/>
  <c r="Y14" i="68"/>
  <c r="V14" i="68"/>
  <c r="R13" i="68"/>
  <c r="K14" i="68"/>
  <c r="Q14" i="68"/>
  <c r="X14" i="68"/>
  <c r="W14" i="68"/>
  <c r="Z13" i="68"/>
  <c r="S14" i="68"/>
  <c r="O14" i="68"/>
  <c r="N14" i="68"/>
  <c r="T14" i="59"/>
  <c r="AA14" i="59" s="1"/>
  <c r="T14" i="58"/>
  <c r="AA14" i="58" s="1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D14" i="67" l="1"/>
  <c r="D14" i="57"/>
  <c r="T14" i="63"/>
  <c r="V14" i="63" s="1"/>
  <c r="T14" i="61"/>
  <c r="Z14" i="61" s="1"/>
  <c r="T14" i="60"/>
  <c r="X14" i="60" s="1"/>
  <c r="Z14" i="59"/>
  <c r="U14" i="59"/>
  <c r="V14" i="59"/>
  <c r="X14" i="59"/>
  <c r="W14" i="59"/>
  <c r="Y14" i="59"/>
  <c r="U14" i="58"/>
  <c r="V14" i="58"/>
  <c r="W14" i="58"/>
  <c r="X14" i="58"/>
  <c r="Y14" i="58"/>
  <c r="Z14" i="58"/>
  <c r="G14" i="26"/>
  <c r="E14" i="26"/>
  <c r="D14" i="26"/>
  <c r="K14" i="26"/>
  <c r="P14" i="25"/>
  <c r="N14" i="25"/>
  <c r="M14" i="25"/>
  <c r="T14" i="25"/>
  <c r="D14" i="25"/>
  <c r="T5" i="68" a="1"/>
  <c r="T4" i="68" a="1"/>
  <c r="H4" i="23" a="1"/>
  <c r="I4" i="23" a="1"/>
  <c r="T5" i="68" l="1"/>
  <c r="T4" i="68"/>
  <c r="D14" i="66"/>
  <c r="G14" i="66" s="1"/>
  <c r="D14" i="64"/>
  <c r="D14" i="63"/>
  <c r="D14" i="65"/>
  <c r="H14" i="65" s="1"/>
  <c r="D14" i="58"/>
  <c r="L15" i="58" s="1"/>
  <c r="D14" i="61"/>
  <c r="D14" i="60"/>
  <c r="J14" i="67"/>
  <c r="T15" i="67"/>
  <c r="L15" i="67"/>
  <c r="K14" i="66"/>
  <c r="T15" i="66"/>
  <c r="L15" i="66"/>
  <c r="F14" i="65"/>
  <c r="T15" i="65"/>
  <c r="L15" i="65"/>
  <c r="F14" i="64"/>
  <c r="T15" i="64"/>
  <c r="L15" i="64"/>
  <c r="K14" i="63"/>
  <c r="T15" i="63"/>
  <c r="L15" i="63"/>
  <c r="K14" i="61"/>
  <c r="T15" i="61"/>
  <c r="L15" i="61"/>
  <c r="I14" i="60"/>
  <c r="L15" i="60"/>
  <c r="T15" i="60"/>
  <c r="F14" i="58"/>
  <c r="T15" i="58"/>
  <c r="I14" i="57"/>
  <c r="T15" i="57"/>
  <c r="L15" i="57"/>
  <c r="D14" i="59"/>
  <c r="F14" i="59" s="1"/>
  <c r="L14" i="67"/>
  <c r="S14" i="67" s="1"/>
  <c r="L14" i="66"/>
  <c r="R14" i="66" s="1"/>
  <c r="L14" i="64"/>
  <c r="R14" i="64" s="1"/>
  <c r="L14" i="60"/>
  <c r="S14" i="60" s="1"/>
  <c r="L14" i="61"/>
  <c r="R14" i="61" s="1"/>
  <c r="L14" i="63"/>
  <c r="N14" i="63" s="1"/>
  <c r="L14" i="65"/>
  <c r="N14" i="65" s="1"/>
  <c r="L14" i="59"/>
  <c r="O14" i="59" s="1"/>
  <c r="L14" i="58"/>
  <c r="S14" i="58" s="1"/>
  <c r="L14" i="57"/>
  <c r="R14" i="57" s="1"/>
  <c r="Z2" i="57" s="1"/>
  <c r="T14" i="67"/>
  <c r="Z14" i="67" s="1"/>
  <c r="T14" i="66"/>
  <c r="U14" i="66" s="1"/>
  <c r="T14" i="65"/>
  <c r="Z14" i="65" s="1"/>
  <c r="H14" i="67"/>
  <c r="F14" i="67"/>
  <c r="J14" i="60"/>
  <c r="G14" i="60"/>
  <c r="H14" i="61"/>
  <c r="O14" i="63"/>
  <c r="R14" i="63"/>
  <c r="Z2" i="63" s="1"/>
  <c r="S14" i="63"/>
  <c r="Q14" i="64"/>
  <c r="J14" i="57"/>
  <c r="R14" i="60"/>
  <c r="Q14" i="60"/>
  <c r="R14" i="67"/>
  <c r="R2" i="67" s="1"/>
  <c r="Q14" i="67"/>
  <c r="O14" i="67"/>
  <c r="N14" i="67"/>
  <c r="E14" i="66"/>
  <c r="S14" i="66"/>
  <c r="P14" i="66"/>
  <c r="K14" i="57"/>
  <c r="P14" i="67"/>
  <c r="M14" i="66"/>
  <c r="J14" i="63"/>
  <c r="Q14" i="63"/>
  <c r="G14" i="63"/>
  <c r="T14" i="64"/>
  <c r="X14" i="64" s="1"/>
  <c r="M14" i="60"/>
  <c r="H14" i="57"/>
  <c r="Q14" i="66"/>
  <c r="G14" i="57"/>
  <c r="E14" i="59"/>
  <c r="F14" i="57"/>
  <c r="O14" i="66"/>
  <c r="M14" i="67"/>
  <c r="N14" i="66"/>
  <c r="I14" i="61"/>
  <c r="F14" i="66"/>
  <c r="F14" i="61"/>
  <c r="J14" i="61"/>
  <c r="P14" i="58"/>
  <c r="X2" i="58" s="1"/>
  <c r="P14" i="63"/>
  <c r="X2" i="63" s="1"/>
  <c r="I14" i="66"/>
  <c r="N14" i="60"/>
  <c r="K14" i="59"/>
  <c r="M14" i="63"/>
  <c r="E14" i="57"/>
  <c r="J14" i="59"/>
  <c r="J14" i="64"/>
  <c r="F14" i="63"/>
  <c r="E14" i="61"/>
  <c r="G14" i="61"/>
  <c r="G14" i="64"/>
  <c r="E14" i="63"/>
  <c r="G14" i="59"/>
  <c r="I14" i="59"/>
  <c r="O14" i="58"/>
  <c r="K14" i="58"/>
  <c r="W14" i="64"/>
  <c r="M14" i="57"/>
  <c r="O14" i="60"/>
  <c r="I14" i="64"/>
  <c r="H14" i="60"/>
  <c r="I14" i="67"/>
  <c r="Q14" i="59"/>
  <c r="K14" i="67"/>
  <c r="Q14" i="61"/>
  <c r="S14" i="61"/>
  <c r="E14" i="60"/>
  <c r="I14" i="63"/>
  <c r="N14" i="61"/>
  <c r="O14" i="61"/>
  <c r="F14" i="60"/>
  <c r="G14" i="58"/>
  <c r="N14" i="59"/>
  <c r="E14" i="58"/>
  <c r="K14" i="64"/>
  <c r="E14" i="65"/>
  <c r="H14" i="63"/>
  <c r="H14" i="59"/>
  <c r="J14" i="58"/>
  <c r="E14" i="64"/>
  <c r="I14" i="58"/>
  <c r="K14" i="60"/>
  <c r="H14" i="58"/>
  <c r="G14" i="67"/>
  <c r="E14" i="67"/>
  <c r="P14" i="61"/>
  <c r="I14" i="65"/>
  <c r="K14" i="65"/>
  <c r="H14" i="64"/>
  <c r="J14" i="66"/>
  <c r="J14" i="65"/>
  <c r="S14" i="59"/>
  <c r="G14" i="65"/>
  <c r="H14" i="66"/>
  <c r="M14" i="61"/>
  <c r="U14" i="63"/>
  <c r="W14" i="63"/>
  <c r="Z14" i="63"/>
  <c r="X14" i="63"/>
  <c r="AA14" i="63"/>
  <c r="Y14" i="63"/>
  <c r="V14" i="61"/>
  <c r="W14" i="61"/>
  <c r="AA14" i="61"/>
  <c r="U14" i="61"/>
  <c r="X14" i="61"/>
  <c r="Y14" i="61"/>
  <c r="W14" i="60"/>
  <c r="AA14" i="60"/>
  <c r="Z14" i="60"/>
  <c r="U14" i="60"/>
  <c r="V14" i="60"/>
  <c r="Y14" i="60"/>
  <c r="Z2" i="61"/>
  <c r="H4" i="23"/>
  <c r="I4" i="23"/>
  <c r="L12" i="68" a="1"/>
  <c r="D12" i="68" a="1"/>
  <c r="T11" i="68" a="1"/>
  <c r="L11" i="68" a="1"/>
  <c r="D11" i="68" a="1"/>
  <c r="D10" i="68" a="1"/>
  <c r="D9" i="68" a="1"/>
  <c r="T8" i="68" a="1"/>
  <c r="L8" i="68" a="1"/>
  <c r="D8" i="68" a="1"/>
  <c r="T7" i="68" a="1"/>
  <c r="L7" i="68" a="1"/>
  <c r="D7" i="68" a="1"/>
  <c r="T6" i="68" a="1"/>
  <c r="L6" i="68" a="1"/>
  <c r="D6" i="68" a="1"/>
  <c r="D5" i="68" a="1"/>
  <c r="D4" i="68" a="1"/>
  <c r="L3" i="68" a="1"/>
  <c r="D3" i="68" a="1"/>
  <c r="G5" i="23" a="1"/>
  <c r="F5" i="23" a="1"/>
  <c r="F10" i="23" a="1"/>
  <c r="G8" i="23" a="1"/>
  <c r="F12" i="23" a="1"/>
  <c r="F4" i="23" a="1"/>
  <c r="D6" i="23" a="1"/>
  <c r="E11" i="23" a="1"/>
  <c r="E4" i="23" a="1"/>
  <c r="E6" i="23" a="1"/>
  <c r="D4" i="23" a="1"/>
  <c r="D10" i="23" a="1"/>
  <c r="G4" i="23" a="1"/>
  <c r="D12" i="23" a="1"/>
  <c r="G6" i="23" a="1"/>
  <c r="G7" i="23" a="1"/>
  <c r="G9" i="23" a="1"/>
  <c r="D5" i="23" a="1"/>
  <c r="F6" i="23" a="1"/>
  <c r="E12" i="23" a="1"/>
  <c r="F8" i="23" a="1"/>
  <c r="G12" i="23" a="1"/>
  <c r="E9" i="23" a="1"/>
  <c r="E8" i="23" a="1"/>
  <c r="F7" i="23" a="1"/>
  <c r="G10" i="23" a="1"/>
  <c r="F11" i="23" a="1"/>
  <c r="G11" i="23" a="1"/>
  <c r="E10" i="23" a="1"/>
  <c r="G13" i="23" a="1"/>
  <c r="D8" i="23" a="1"/>
  <c r="E7" i="23" a="1"/>
  <c r="F9" i="23" a="1"/>
  <c r="E13" i="23" a="1"/>
  <c r="D11" i="23" a="1"/>
  <c r="F13" i="23" a="1"/>
  <c r="D13" i="23" a="1"/>
  <c r="E5" i="23" a="1"/>
  <c r="D7" i="23" a="1"/>
  <c r="D9" i="23" a="1"/>
  <c r="L12" i="68" l="1"/>
  <c r="D12" i="68"/>
  <c r="T11" i="68"/>
  <c r="L11" i="68"/>
  <c r="D11" i="68"/>
  <c r="D10" i="68"/>
  <c r="D9" i="68"/>
  <c r="T8" i="68"/>
  <c r="L8" i="68"/>
  <c r="D8" i="68"/>
  <c r="T7" i="68"/>
  <c r="L7" i="68"/>
  <c r="D7" i="68"/>
  <c r="T6" i="68"/>
  <c r="L6" i="68"/>
  <c r="D6" i="68"/>
  <c r="D5" i="68"/>
  <c r="U15" i="59"/>
  <c r="D4" i="68"/>
  <c r="L3" i="68"/>
  <c r="D3" i="68"/>
  <c r="J2" i="67"/>
  <c r="V15" i="67"/>
  <c r="N15" i="67"/>
  <c r="X15" i="67"/>
  <c r="P15" i="67"/>
  <c r="M15" i="67"/>
  <c r="W15" i="67"/>
  <c r="O15" i="67"/>
  <c r="Y15" i="67"/>
  <c r="Q15" i="67"/>
  <c r="R15" i="67"/>
  <c r="Z15" i="67"/>
  <c r="X15" i="66"/>
  <c r="P15" i="66"/>
  <c r="W15" i="66"/>
  <c r="O15" i="66"/>
  <c r="Y15" i="66"/>
  <c r="Q15" i="66"/>
  <c r="R2" i="66"/>
  <c r="R15" i="66"/>
  <c r="Z15" i="66"/>
  <c r="V15" i="66"/>
  <c r="N15" i="66"/>
  <c r="U15" i="66"/>
  <c r="M15" i="66"/>
  <c r="Z15" i="65"/>
  <c r="R15" i="65"/>
  <c r="Q15" i="65"/>
  <c r="Y15" i="65"/>
  <c r="X15" i="65"/>
  <c r="P15" i="65"/>
  <c r="W15" i="65"/>
  <c r="O15" i="65"/>
  <c r="V15" i="65"/>
  <c r="N15" i="65"/>
  <c r="Z15" i="64"/>
  <c r="R15" i="64"/>
  <c r="Y15" i="64"/>
  <c r="Q15" i="64"/>
  <c r="U15" i="64"/>
  <c r="X15" i="64"/>
  <c r="P15" i="64"/>
  <c r="O15" i="64"/>
  <c r="W15" i="64"/>
  <c r="V15" i="64"/>
  <c r="N15" i="64"/>
  <c r="V15" i="63"/>
  <c r="N15" i="63"/>
  <c r="Y15" i="63"/>
  <c r="Q15" i="63"/>
  <c r="U15" i="63"/>
  <c r="M15" i="63"/>
  <c r="X15" i="63"/>
  <c r="P15" i="63"/>
  <c r="O15" i="63"/>
  <c r="W15" i="63"/>
  <c r="Z15" i="63"/>
  <c r="R15" i="63"/>
  <c r="Q15" i="61"/>
  <c r="Y15" i="61"/>
  <c r="W15" i="61"/>
  <c r="O15" i="61"/>
  <c r="U15" i="61"/>
  <c r="M15" i="61"/>
  <c r="V15" i="61"/>
  <c r="N15" i="61"/>
  <c r="R2" i="61"/>
  <c r="Z15" i="61"/>
  <c r="R15" i="61"/>
  <c r="X15" i="61"/>
  <c r="P15" i="61"/>
  <c r="V15" i="60"/>
  <c r="N15" i="60"/>
  <c r="U15" i="60"/>
  <c r="M15" i="60"/>
  <c r="P15" i="60"/>
  <c r="X15" i="60"/>
  <c r="W15" i="60"/>
  <c r="O15" i="60"/>
  <c r="J2" i="60"/>
  <c r="Z15" i="60"/>
  <c r="R15" i="60"/>
  <c r="Q15" i="60"/>
  <c r="Y15" i="60"/>
  <c r="U15" i="58"/>
  <c r="Y15" i="58"/>
  <c r="Q15" i="58"/>
  <c r="P15" i="58"/>
  <c r="X15" i="58"/>
  <c r="W15" i="58"/>
  <c r="O15" i="58"/>
  <c r="Z15" i="58"/>
  <c r="R15" i="58"/>
  <c r="V15" i="58"/>
  <c r="N15" i="58"/>
  <c r="V15" i="57"/>
  <c r="N15" i="57"/>
  <c r="W15" i="57"/>
  <c r="O15" i="57"/>
  <c r="X15" i="57"/>
  <c r="P15" i="57"/>
  <c r="R15" i="57"/>
  <c r="Z15" i="57"/>
  <c r="U15" i="57"/>
  <c r="M15" i="57"/>
  <c r="Y15" i="57"/>
  <c r="Q15" i="57"/>
  <c r="O14" i="64"/>
  <c r="M14" i="64"/>
  <c r="M15" i="64" s="1"/>
  <c r="N14" i="64"/>
  <c r="S14" i="64"/>
  <c r="J2" i="64" s="1"/>
  <c r="P14" i="64"/>
  <c r="R2" i="64"/>
  <c r="P14" i="60"/>
  <c r="X2" i="60" s="1"/>
  <c r="S14" i="65"/>
  <c r="J2" i="65" s="1"/>
  <c r="O14" i="65"/>
  <c r="P14" i="65"/>
  <c r="P2" i="65" s="1"/>
  <c r="M14" i="65"/>
  <c r="M15" i="65" s="1"/>
  <c r="Q14" i="65"/>
  <c r="H2" i="65" s="1"/>
  <c r="R14" i="65"/>
  <c r="Z2" i="65" s="1"/>
  <c r="P14" i="59"/>
  <c r="X2" i="59" s="1"/>
  <c r="R14" i="59"/>
  <c r="Z2" i="59" s="1"/>
  <c r="M14" i="59"/>
  <c r="M15" i="59" s="1"/>
  <c r="M14" i="58"/>
  <c r="N14" i="58"/>
  <c r="J2" i="58"/>
  <c r="R14" i="58"/>
  <c r="Z2" i="58" s="1"/>
  <c r="Q14" i="58"/>
  <c r="H2" i="58" s="1"/>
  <c r="S14" i="57"/>
  <c r="J2" i="57" s="1"/>
  <c r="R2" i="57"/>
  <c r="P14" i="57"/>
  <c r="X2" i="57" s="1"/>
  <c r="N14" i="57"/>
  <c r="Q14" i="57"/>
  <c r="O14" i="57"/>
  <c r="AA14" i="67"/>
  <c r="U14" i="67"/>
  <c r="U15" i="67" s="1"/>
  <c r="Y14" i="67"/>
  <c r="X14" i="67"/>
  <c r="V14" i="67"/>
  <c r="W14" i="67"/>
  <c r="Y14" i="66"/>
  <c r="AA14" i="66"/>
  <c r="V14" i="66"/>
  <c r="X14" i="66"/>
  <c r="W14" i="66"/>
  <c r="Z14" i="66"/>
  <c r="Z2" i="66" s="1"/>
  <c r="X2" i="64"/>
  <c r="X14" i="65"/>
  <c r="Y14" i="65"/>
  <c r="U14" i="65"/>
  <c r="V14" i="65"/>
  <c r="W14" i="65"/>
  <c r="AA14" i="65"/>
  <c r="P2" i="61"/>
  <c r="H2" i="67"/>
  <c r="R2" i="60"/>
  <c r="P2" i="67"/>
  <c r="Y14" i="64"/>
  <c r="H2" i="61"/>
  <c r="H2" i="57"/>
  <c r="P2" i="60"/>
  <c r="R2" i="63"/>
  <c r="H2" i="64"/>
  <c r="Z2" i="60"/>
  <c r="P2" i="63"/>
  <c r="J2" i="63"/>
  <c r="Z2" i="67"/>
  <c r="R2" i="59"/>
  <c r="P2" i="66"/>
  <c r="X2" i="66"/>
  <c r="X2" i="67"/>
  <c r="J2" i="61"/>
  <c r="J2" i="59"/>
  <c r="AA14" i="64"/>
  <c r="H2" i="59"/>
  <c r="V14" i="64"/>
  <c r="Z14" i="64"/>
  <c r="Z2" i="64" s="1"/>
  <c r="U14" i="64"/>
  <c r="P2" i="59"/>
  <c r="X2" i="61"/>
  <c r="H2" i="60"/>
  <c r="J2" i="66"/>
  <c r="H2" i="66"/>
  <c r="P2" i="64"/>
  <c r="P2" i="58"/>
  <c r="H2" i="63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T12" i="68" a="1"/>
  <c r="T10" i="68" a="1"/>
  <c r="L10" i="68" a="1"/>
  <c r="T9" i="68" a="1"/>
  <c r="L9" i="68" a="1"/>
  <c r="L5" i="68" a="1"/>
  <c r="L4" i="68" a="1"/>
  <c r="T12" i="68" l="1"/>
  <c r="T10" i="68"/>
  <c r="U15" i="65"/>
  <c r="L10" i="68"/>
  <c r="T9" i="68"/>
  <c r="T13" i="68" s="1"/>
  <c r="T16" i="68" s="1"/>
  <c r="L9" i="68"/>
  <c r="L5" i="68"/>
  <c r="L4" i="68"/>
  <c r="M15" i="58"/>
  <c r="D13" i="68"/>
  <c r="D16" i="68" s="1"/>
  <c r="R2" i="65"/>
  <c r="X2" i="65"/>
  <c r="R2" i="58"/>
  <c r="P2" i="57"/>
  <c r="L13" i="68" l="1"/>
  <c r="L16" i="68" s="1"/>
  <c r="T14" i="68"/>
  <c r="L14" i="6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<sst xmlns="http://schemas.openxmlformats.org/spreadsheetml/2006/main" count="677" uniqueCount="22">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</sst>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B7B-A94E-4263-BFCA-D4E84F62D125}">
  <dimension ref="B2:Z16"/>
  <sheetViews>
    <sheetView topLeftCell="O1" zoomScale="85" zoomScaleNormal="85" workbookViewId="0">
      <selection activeCell="O16" sqref="A16:XFD16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6640625" bestFit="1" customWidth="1"/>
    <col min="9" max="9" width="18" bestFit="1" customWidth="1"/>
    <col min="11" max="11" width="8" bestFit="1" customWidth="1"/>
    <col min="12" max="12" width="9.1640625" bestFit="1" customWidth="1"/>
    <col min="13" max="13" width="8.6640625" bestFit="1" customWidth="1"/>
    <col min="14" max="14" width="17.6640625" bestFit="1" customWidth="1"/>
    <col min="15" max="15" width="12.1640625" bestFit="1" customWidth="1"/>
    <col min="16" max="16" width="23.66406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6640625" bestFit="1" customWidth="1"/>
    <col min="22" max="22" width="17.6640625" bestFit="1" customWidth="1"/>
    <col min="23" max="23" width="12.1640625" bestFit="1" customWidth="1"/>
    <col min="24" max="24" width="23.66406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158</v>
      </c>
      <c r="C3" s="5" cm="1">
        <f t="array" aca="1" ref="C3" ca="1">INDIRECT("'results" &amp; $B3 &amp; "'!D$14")</f>
        <v>2579236.443428576</v>
      </c>
      <c r="D3" s="33" cm="1">
        <f t="array" aca="1" ref="D3" ca="1">INDIRECT("'results" &amp; $B3 &amp; "'!E$14")</f>
        <v>427.25168684622844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68</v>
      </c>
      <c r="G3" s="5" cm="1">
        <f t="array" aca="1" ref="G3" ca="1">INDIRECT("'results" &amp; $B3 &amp; "'!H$14")</f>
        <v>1753.7336660998767</v>
      </c>
      <c r="H3" s="33" cm="1">
        <f t="array" aca="1" ref="H3" ca="1">INDIRECT("'results" &amp; $B3 &amp; "'!I$14")</f>
        <v>41.949257156348175</v>
      </c>
      <c r="I3" s="5" cm="1">
        <f t="array" aca="1" ref="I3" ca="1">INDIRECT("'results" &amp; $B3 &amp; "'!J$14")</f>
        <v>7169.328577234347</v>
      </c>
      <c r="J3" s="5"/>
      <c r="K3" s="5" cm="1">
        <f t="array" aca="1" ref="K3" ca="1">INDIRECT("'results" &amp; $B3 &amp; "'!L$14")</f>
        <v>2932955.0705046742</v>
      </c>
      <c r="L3" s="5" cm="1">
        <f t="array" aca="1" ref="L3" ca="1">INDIRECT("'results" &amp; $B3 &amp; "'!M$14")</f>
        <v>523.48958330775179</v>
      </c>
      <c r="M3" s="5" cm="1">
        <f t="array" aca="1" ref="M3" ca="1">INDIRECT("'results" &amp; $B3 &amp; "'!N$14")</f>
        <v>16</v>
      </c>
      <c r="N3" s="5" cm="1">
        <f t="array" aca="1" ref="N3" ca="1">INDIRECT("'results" &amp; $B3 &amp; "'!O$14")</f>
        <v>52</v>
      </c>
      <c r="O3" s="5" cm="1">
        <f t="array" aca="1" ref="O3" ca="1">INDIRECT("'results" &amp; $B3 &amp; "'!P$14")</f>
        <v>1335.5978506308313</v>
      </c>
      <c r="P3" s="5" cm="1">
        <f t="array" aca="1" ref="P3" ca="1">INDIRECT("'results" &amp; $B3 &amp; "'!Q$14")</f>
        <v>21.219136371650457</v>
      </c>
      <c r="Q3" s="5" cm="1">
        <f t="array" aca="1" ref="Q3" ca="1">INDIRECT("'results" &amp; $B3 &amp; "'!R$14")</f>
        <v>6203.6933880300066</v>
      </c>
      <c r="R3" s="5"/>
      <c r="S3" s="5" cm="1">
        <f t="array" aca="1" ref="S3" ca="1">INDIRECT("'results" &amp; $B3 &amp; "'!T$14")</f>
        <v>3016759.0693954928</v>
      </c>
      <c r="T3" s="5" cm="1">
        <f t="array" aca="1" ref="T3" ca="1">INDIRECT("'results" &amp; $B3 &amp; "'!U$14")</f>
        <v>389.93408838461613</v>
      </c>
      <c r="U3" s="5" cm="1">
        <f t="array" aca="1" ref="U3" ca="1">INDIRECT("'results" &amp; $B3 &amp; "'!V$14")</f>
        <v>11</v>
      </c>
      <c r="V3" s="5" cm="1">
        <f t="array" aca="1" ref="V3" ca="1">INDIRECT("'results" &amp; $B3 &amp; "'!W$14")</f>
        <v>49</v>
      </c>
      <c r="W3" s="5" cm="1">
        <f t="array" aca="1" ref="W3" ca="1">INDIRECT("'results" &amp; $B3 &amp; "'!X$14")</f>
        <v>1844.9467656570341</v>
      </c>
      <c r="X3" s="5" cm="1">
        <f t="array" aca="1" ref="X3" ca="1">INDIRECT("'results" &amp; $B3 &amp; "'!Y$14")</f>
        <v>43.274588972589115</v>
      </c>
      <c r="Y3" s="5" cm="1">
        <f t="array" aca="1" ref="Y3" ca="1">INDIRECT("'results" &amp; $B3 &amp; "'!Z$14")</f>
        <v>7243.4968880344677</v>
      </c>
      <c r="Z3" s="5"/>
    </row>
    <row r="4" spans="2:26" x14ac:dyDescent="0.2">
      <c r="B4" s="4">
        <v>174</v>
      </c>
      <c r="C4" s="5" cm="1">
        <f t="array" aca="1" ref="C4" ca="1">INDIRECT("'results" &amp; $B4 &amp; "'!D$14")</f>
        <v>2581283.389286655</v>
      </c>
      <c r="D4" s="33" cm="1">
        <f t="array" aca="1" ref="D4" ca="1">INDIRECT("'results" &amp; $B4 &amp; "'!E$14")</f>
        <v>184.00337623074077</v>
      </c>
      <c r="E4" s="5" cm="1">
        <f t="array" aca="1" ref="E4" ca="1">INDIRECT("'results" &amp; $B4 &amp; "'!F$14")</f>
        <v>11</v>
      </c>
      <c r="F4" s="5" cm="1">
        <f t="array" aca="1" ref="F4" ca="1">INDIRECT("'results" &amp; $B4 &amp; "'!G$14")</f>
        <v>66.5</v>
      </c>
      <c r="G4" s="5" cm="1">
        <f t="array" aca="1" ref="G4" ca="1">INDIRECT("'results" &amp; $B4 &amp; "'!H$14")</f>
        <v>1553.4014456142847</v>
      </c>
      <c r="H4" s="33" cm="1">
        <f t="array" aca="1" ref="H4" ca="1">INDIRECT("'results" &amp; $B4 &amp; "'!I$14")</f>
        <v>44.33519078558151</v>
      </c>
      <c r="I4" s="5" cm="1">
        <f t="array" aca="1" ref="I4" ca="1">INDIRECT("'results" &amp; $B4 &amp; "'!J$14")</f>
        <v>6992.10387505778</v>
      </c>
      <c r="J4" s="5"/>
      <c r="K4" s="5" cm="1">
        <f t="array" aca="1" ref="K4" ca="1">INDIRECT("'results" &amp; $B4 &amp; "'!L$14")</f>
        <v>2919655.1354187098</v>
      </c>
      <c r="L4" s="5" cm="1">
        <f t="array" aca="1" ref="L4" ca="1">INDIRECT("'results" &amp; $B4 &amp; "'!M$14")</f>
        <v>879.18754169233841</v>
      </c>
      <c r="M4" s="5" cm="1">
        <f t="array" aca="1" ref="M4" ca="1">INDIRECT("'results" &amp; $B4 &amp; "'!N$14")</f>
        <v>14</v>
      </c>
      <c r="N4" s="5" cm="1">
        <f t="array" aca="1" ref="N4" ca="1">INDIRECT("'results" &amp; $B4 &amp; "'!O$14")</f>
        <v>50</v>
      </c>
      <c r="O4" s="5" cm="1">
        <f t="array" aca="1" ref="O4" ca="1">INDIRECT("'results" &amp; $B4 &amp; "'!P$14")</f>
        <v>1221.5655561120136</v>
      </c>
      <c r="P4" s="5" cm="1">
        <f t="array" aca="1" ref="P4" ca="1">INDIRECT("'results" &amp; $B4 &amp; "'!Q$14")</f>
        <v>24.484962011140734</v>
      </c>
      <c r="Q4" s="5" cm="1">
        <f t="array" aca="1" ref="Q4" ca="1">INDIRECT("'results" &amp; $B4 &amp; "'!R$14")</f>
        <v>6056.9086737379212</v>
      </c>
      <c r="R4" s="5"/>
      <c r="S4" s="5" cm="1">
        <f t="array" aca="1" ref="S4" ca="1">INDIRECT("'results" &amp; $B4 &amp; "'!T$14")</f>
        <v>2953514.1696443888</v>
      </c>
      <c r="T4" s="5" cm="1">
        <f t="array" aca="1" ref="T4" ca="1">INDIRECT("'results" &amp; $B4 &amp; "'!U$14")</f>
        <v>492.89787846156213</v>
      </c>
      <c r="U4" s="5" cm="1">
        <f t="array" aca="1" ref="U4" ca="1">INDIRECT("'results" &amp; $B4 &amp; "'!V$14")</f>
        <v>10</v>
      </c>
      <c r="V4" s="5" cm="1">
        <f t="array" aca="1" ref="V4" ca="1">INDIRECT("'results" &amp; $B4 &amp; "'!W$14")</f>
        <v>50</v>
      </c>
      <c r="W4" s="5" cm="1">
        <f t="array" aca="1" ref="W4" ca="1">INDIRECT("'results" &amp; $B4 &amp; "'!X$14")</f>
        <v>1582.0023637434847</v>
      </c>
      <c r="X4" s="5" cm="1">
        <f t="array" aca="1" ref="X4" ca="1">INDIRECT("'results" &amp; $B4 &amp; "'!Y$14")</f>
        <v>50.924384377363062</v>
      </c>
      <c r="Y4" s="5" cm="1">
        <f t="array" aca="1" ref="Y4" ca="1">INDIRECT("'results" &amp; $B4 &amp; "'!Z$14")</f>
        <v>7166.7577111864402</v>
      </c>
      <c r="Z4" s="5"/>
    </row>
    <row r="5" spans="2:26" x14ac:dyDescent="0.2">
      <c r="B5" s="4">
        <v>242</v>
      </c>
      <c r="C5" s="5" cm="1">
        <f t="array" aca="1" ref="C5" ca="1">INDIRECT("'results" &amp; $B5 &amp; "'!D$14")</f>
        <v>2569304.4905320331</v>
      </c>
      <c r="D5" s="33" cm="1">
        <f t="array" aca="1" ref="D5" ca="1">INDIRECT("'results" &amp; $B5 &amp; "'!E$14")</f>
        <v>305.77530684612259</v>
      </c>
      <c r="E5" s="5" cm="1">
        <f t="array" aca="1" ref="E5" ca="1">INDIRECT("'results" &amp; $B5 &amp; "'!F$14")</f>
        <v>11</v>
      </c>
      <c r="F5" s="5" cm="1">
        <f t="array" aca="1" ref="F5" ca="1">INDIRECT("'results" &amp; $B5 &amp; "'!G$14")</f>
        <v>67.5</v>
      </c>
      <c r="G5" s="5" cm="1">
        <f t="array" aca="1" ref="G5" ca="1">INDIRECT("'results" &amp; $B5 &amp; "'!H$14")</f>
        <v>1630.2254439534495</v>
      </c>
      <c r="H5" s="33" cm="1">
        <f t="array" aca="1" ref="H5" ca="1">INDIRECT("'results" &amp; $B5 &amp; "'!I$14")</f>
        <v>44.726837487284698</v>
      </c>
      <c r="I5" s="5" cm="1">
        <f t="array" aca="1" ref="I5" ca="1">INDIRECT("'results" &amp; $B5 &amp; "'!J$14")</f>
        <v>7019.5119702603579</v>
      </c>
      <c r="J5" s="5"/>
      <c r="K5" s="5" cm="1">
        <f t="array" aca="1" ref="K5" ca="1">INDIRECT("'results" &amp; $B5 &amp; "'!L$14")</f>
        <v>2881261.6253068121</v>
      </c>
      <c r="L5" s="5" cm="1">
        <f t="array" aca="1" ref="L5" ca="1">INDIRECT("'results" &amp; $B5 &amp; "'!M$14")</f>
        <v>1068.808951153814</v>
      </c>
      <c r="M5" s="5" cm="1">
        <f t="array" aca="1" ref="M5" ca="1">INDIRECT("'results" &amp; $B5 &amp; "'!N$14")</f>
        <v>15</v>
      </c>
      <c r="N5" s="5" cm="1">
        <f t="array" aca="1" ref="N5" ca="1">INDIRECT("'results" &amp; $B5 &amp; "'!O$14")</f>
        <v>53</v>
      </c>
      <c r="O5" s="5" cm="1">
        <f t="array" aca="1" ref="O5" ca="1">INDIRECT("'results" &amp; $B5 &amp; "'!P$14")</f>
        <v>1364.4286189524107</v>
      </c>
      <c r="P5" s="5" cm="1">
        <f t="array" aca="1" ref="P5" ca="1">INDIRECT("'results" &amp; $B5 &amp; "'!Q$14")</f>
        <v>23.601833097732126</v>
      </c>
      <c r="Q5" s="5" cm="1">
        <f t="array" aca="1" ref="Q5" ca="1">INDIRECT("'results" &amp; $B5 &amp; "'!R$14")</f>
        <v>6192.7413202729513</v>
      </c>
      <c r="R5" s="5"/>
      <c r="S5" s="5" cm="1">
        <f t="array" aca="1" ref="S5" ca="1">INDIRECT("'results" &amp; $B5 &amp; "'!T$14")</f>
        <v>2984579.4290183201</v>
      </c>
      <c r="T5" s="5" cm="1">
        <f t="array" aca="1" ref="T5" ca="1">INDIRECT("'results" &amp; $B5 &amp; "'!U$14")</f>
        <v>590.7632913076892</v>
      </c>
      <c r="U5" s="5" cm="1">
        <f t="array" aca="1" ref="U5" ca="1">INDIRECT("'results" &amp; $B5 &amp; "'!V$14")</f>
        <v>10</v>
      </c>
      <c r="V5" s="5" cm="1">
        <f t="array" aca="1" ref="V5" ca="1">INDIRECT("'results" &amp; $B5 &amp; "'!W$14")</f>
        <v>49</v>
      </c>
      <c r="W5" s="5" cm="1">
        <f t="array" aca="1" ref="W5" ca="1">INDIRECT("'results" &amp; $B5 &amp; "'!X$14")</f>
        <v>1712.5209221395205</v>
      </c>
      <c r="X5" s="5" cm="1">
        <f t="array" aca="1" ref="X5" ca="1">INDIRECT("'results" &amp; $B5 &amp; "'!Y$14")</f>
        <v>50.393641158730119</v>
      </c>
      <c r="Y5" s="5" cm="1">
        <f t="array" aca="1" ref="Y5" ca="1">INDIRECT("'results" &amp; $B5 &amp; "'!Z$14")</f>
        <v>7165.3406978888779</v>
      </c>
      <c r="Z5" s="5"/>
    </row>
    <row r="6" spans="2:26" x14ac:dyDescent="0.2">
      <c r="B6" s="4">
        <v>315</v>
      </c>
      <c r="C6" s="5" cm="1">
        <f t="array" aca="1" ref="C6" ca="1">INDIRECT("'results" &amp; $B6 &amp; "'!D$14")</f>
        <v>2688211.04487686</v>
      </c>
      <c r="D6" s="33" cm="1">
        <f t="array" aca="1" ref="D6" ca="1">INDIRECT("'results" &amp; $B6 &amp; "'!E$14")</f>
        <v>465.28057746150387</v>
      </c>
      <c r="E6" s="5" cm="1">
        <f t="array" aca="1" ref="E6" ca="1">INDIRECT("'results" &amp; $B6 &amp; "'!F$14")</f>
        <v>11</v>
      </c>
      <c r="F6" s="5" cm="1">
        <f t="array" aca="1" ref="F6" ca="1">INDIRECT("'results" &amp; $B6 &amp; "'!G$14")</f>
        <v>59.5</v>
      </c>
      <c r="G6" s="5" cm="1">
        <f t="array" aca="1" ref="G6" ca="1">INDIRECT("'results" &amp; $B6 &amp; "'!H$14")</f>
        <v>1345.4432185010435</v>
      </c>
      <c r="H6" s="33" cm="1">
        <f t="array" aca="1" ref="H6" ca="1">INDIRECT("'results" &amp; $B6 &amp; "'!I$14")</f>
        <v>38.023195211510512</v>
      </c>
      <c r="I6" s="5" cm="1">
        <f t="array" aca="1" ref="I6" ca="1">INDIRECT("'results" &amp; $B6 &amp; "'!J$14")</f>
        <v>6623.5531632736556</v>
      </c>
      <c r="J6" s="5"/>
      <c r="K6" s="5" cm="1">
        <f t="array" aca="1" ref="K6" ca="1">INDIRECT("'results" &amp; $B6 &amp; "'!L$14")</f>
        <v>2985398.7853363822</v>
      </c>
      <c r="L6" s="5" cm="1">
        <f t="array" aca="1" ref="L6" ca="1">INDIRECT("'results" &amp; $B6 &amp; "'!M$14")</f>
        <v>500.50594000002513</v>
      </c>
      <c r="M6" s="5" cm="1">
        <f t="array" aca="1" ref="M6" ca="1">INDIRECT("'results" &amp; $B6 &amp; "'!N$14")</f>
        <v>14</v>
      </c>
      <c r="N6" s="5" cm="1">
        <f t="array" aca="1" ref="N6" ca="1">INDIRECT("'results" &amp; $B6 &amp; "'!O$14")</f>
        <v>47.5</v>
      </c>
      <c r="O6" s="5" cm="1">
        <f t="array" aca="1" ref="O6" ca="1">INDIRECT("'results" &amp; $B6 &amp; "'!P$14")</f>
        <v>1164.1359169314119</v>
      </c>
      <c r="P6" s="5" cm="1">
        <f t="array" aca="1" ref="P6" ca="1">INDIRECT("'results" &amp; $B6 &amp; "'!Q$14")</f>
        <v>21.583681005640106</v>
      </c>
      <c r="Q6" s="5" cm="1">
        <f t="array" aca="1" ref="Q6" ca="1">INDIRECT("'results" &amp; $B6 &amp; "'!R$14")</f>
        <v>5959.2366514480454</v>
      </c>
      <c r="R6" s="5"/>
      <c r="S6" s="5" cm="1">
        <f t="array" aca="1" ref="S6" ca="1">INDIRECT("'results" &amp; $B6 &amp; "'!T$14")</f>
        <v>3121641.3806532798</v>
      </c>
      <c r="T6" s="5" cm="1">
        <f t="array" aca="1" ref="T6" ca="1">INDIRECT("'results" &amp; $B6 &amp; "'!U$14")</f>
        <v>251.37926023077361</v>
      </c>
      <c r="U6" s="5" cm="1">
        <f t="array" aca="1" ref="U6" ca="1">INDIRECT("'results" &amp; $B6 &amp; "'!V$14")</f>
        <v>10</v>
      </c>
      <c r="V6" s="5" cm="1">
        <f t="array" aca="1" ref="V6" ca="1">INDIRECT("'results" &amp; $B6 &amp; "'!W$14")</f>
        <v>42</v>
      </c>
      <c r="W6" s="5" cm="1">
        <f t="array" aca="1" ref="W6" ca="1">INDIRECT("'results" &amp; $B6 &amp; "'!X$14")</f>
        <v>1483.3999054610522</v>
      </c>
      <c r="X6" s="5" cm="1">
        <f t="array" aca="1" ref="X6" ca="1">INDIRECT("'results" &amp; $B6 &amp; "'!Y$14")</f>
        <v>42.804340634771577</v>
      </c>
      <c r="Y6" s="5" cm="1">
        <f t="array" aca="1" ref="Y6" ca="1">INDIRECT("'results" &amp; $B6 &amp; "'!Z$14")</f>
        <v>6847.4803988085459</v>
      </c>
      <c r="Z6" s="5"/>
    </row>
    <row r="7" spans="2:26" x14ac:dyDescent="0.2">
      <c r="B7" s="4">
        <v>465</v>
      </c>
      <c r="C7" s="5" cm="1">
        <f t="array" aca="1" ref="C7" ca="1">INDIRECT("'results" &amp; $B7 &amp; "'!D$14")</f>
        <v>2549365.6258458318</v>
      </c>
      <c r="D7" s="33" cm="1">
        <f t="array" aca="1" ref="D7" ca="1">INDIRECT("'results" &amp; $B7 &amp; "'!E$14")</f>
        <v>401.01635523077744</v>
      </c>
      <c r="E7" s="5" cm="1">
        <f t="array" aca="1" ref="E7" ca="1">INDIRECT("'results" &amp; $B7 &amp; "'!F$14")</f>
        <v>10</v>
      </c>
      <c r="F7" s="5" cm="1">
        <f t="array" aca="1" ref="F7" ca="1">INDIRECT("'results" &amp; $B7 &amp; "'!G$14")</f>
        <v>68</v>
      </c>
      <c r="G7" s="5" cm="1">
        <f t="array" aca="1" ref="G7" ca="1">INDIRECT("'results" &amp; $B7 &amp; "'!H$14")</f>
        <v>1755.8515086440102</v>
      </c>
      <c r="H7" s="33" cm="1">
        <f t="array" aca="1" ref="H7" ca="1">INDIRECT("'results" &amp; $B7 &amp; "'!I$14")</f>
        <v>48.784030144238649</v>
      </c>
      <c r="I7" s="5" cm="1">
        <f t="array" aca="1" ref="I7" ca="1">INDIRECT("'results" &amp; $B7 &amp; "'!J$14")</f>
        <v>7112.7763442095329</v>
      </c>
      <c r="J7" s="5"/>
      <c r="K7" s="5" cm="1">
        <f t="array" aca="1" ref="K7" ca="1">INDIRECT("'results" &amp; $B7 &amp; "'!L$14")</f>
        <v>2800978.2453060551</v>
      </c>
      <c r="L7" s="5" cm="1">
        <f t="array" aca="1" ref="L7" ca="1">INDIRECT("'results" &amp; $B7 &amp; "'!M$14")</f>
        <v>585.60095669227076</v>
      </c>
      <c r="M7" s="5" cm="1">
        <f t="array" aca="1" ref="M7" ca="1">INDIRECT("'results" &amp; $B7 &amp; "'!N$14")</f>
        <v>15</v>
      </c>
      <c r="N7" s="5" cm="1">
        <f t="array" aca="1" ref="N7" ca="1">INDIRECT("'results" &amp; $B7 &amp; "'!O$14")</f>
        <v>57</v>
      </c>
      <c r="O7" s="5" cm="1">
        <f t="array" aca="1" ref="O7" ca="1">INDIRECT("'results" &amp; $B7 &amp; "'!P$14")</f>
        <v>1475.2883617739844</v>
      </c>
      <c r="P7" s="5" cm="1">
        <f t="array" aca="1" ref="P7" ca="1">INDIRECT("'results" &amp; $B7 &amp; "'!Q$14")</f>
        <v>26.063629423371879</v>
      </c>
      <c r="Q7" s="5" cm="1">
        <f t="array" aca="1" ref="Q7" ca="1">INDIRECT("'results" &amp; $B7 &amp; "'!R$14")</f>
        <v>6466.6763183129287</v>
      </c>
      <c r="R7" s="5"/>
      <c r="S7" s="5" cm="1">
        <f t="array" aca="1" ref="S7" ca="1">INDIRECT("'results" &amp; $B7 &amp; "'!T$14")</f>
        <v>2959802.796037077</v>
      </c>
      <c r="T7" s="5" cm="1">
        <f t="array" aca="1" ref="T7" ca="1">INDIRECT("'results" &amp; $B7 &amp; "'!U$14")</f>
        <v>205.99740923077871</v>
      </c>
      <c r="U7" s="5" cm="1">
        <f t="array" aca="1" ref="U7" ca="1">INDIRECT("'results" &amp; $B7 &amp; "'!V$14")</f>
        <v>10</v>
      </c>
      <c r="V7" s="5" cm="1">
        <f t="array" aca="1" ref="V7" ca="1">INDIRECT("'results" &amp; $B7 &amp; "'!W$14")</f>
        <v>51</v>
      </c>
      <c r="W7" s="5" cm="1">
        <f t="array" aca="1" ref="W7" ca="1">INDIRECT("'results" &amp; $B7 &amp; "'!X$14")</f>
        <v>1881.3821408101369</v>
      </c>
      <c r="X7" s="5" cm="1">
        <f t="array" aca="1" ref="X7" ca="1">INDIRECT("'results" &amp; $B7 &amp; "'!Y$14")</f>
        <v>53.041754639080217</v>
      </c>
      <c r="Y7" s="5" cm="1">
        <f t="array" aca="1" ref="Y7" ca="1">INDIRECT("'results" &amp; $B7 &amp; "'!Z$14")</f>
        <v>7383.5979602551433</v>
      </c>
      <c r="Z7" s="5"/>
    </row>
    <row r="8" spans="2:26" x14ac:dyDescent="0.2">
      <c r="B8" s="4">
        <v>712</v>
      </c>
      <c r="C8" s="5" cm="1">
        <f t="array" aca="1" ref="C8" ca="1">INDIRECT("'results" &amp; $B8 &amp; "'!D$14")</f>
        <v>2419270.370282515</v>
      </c>
      <c r="D8" s="33" cm="1">
        <f t="array" aca="1" ref="D8" ca="1">INDIRECT("'results" &amp; $B8 &amp; "'!E$14")</f>
        <v>299.37531661537764</v>
      </c>
      <c r="E8" s="5" cm="1">
        <f t="array" aca="1" ref="E8" ca="1">INDIRECT("'results" &amp; $B8 &amp; "'!F$14")</f>
        <v>11</v>
      </c>
      <c r="F8" s="5" cm="1">
        <f t="array" aca="1" ref="F8" ca="1">INDIRECT("'results" &amp; $B8 &amp; "'!G$14")</f>
        <v>73</v>
      </c>
      <c r="G8" s="5" cm="1">
        <f t="array" aca="1" ref="G8" ca="1">INDIRECT("'results" &amp; $B8 &amp; "'!H$14")</f>
        <v>1815.1539119788995</v>
      </c>
      <c r="H8" s="33" cm="1">
        <f t="array" aca="1" ref="H8" ca="1">INDIRECT("'results" &amp; $B8 &amp; "'!I$14")</f>
        <v>45.033451894276666</v>
      </c>
      <c r="I8" s="5" cm="1">
        <f t="array" aca="1" ref="I8" ca="1">INDIRECT("'results" &amp; $B8 &amp; "'!J$14")</f>
        <v>7195.7700491451633</v>
      </c>
      <c r="J8" s="5"/>
      <c r="K8" s="5" cm="1">
        <f t="array" aca="1" ref="K8" ca="1">INDIRECT("'results" &amp; $B8 &amp; "'!L$14")</f>
        <v>2795462.8645293922</v>
      </c>
      <c r="L8" s="5" cm="1">
        <f t="array" aca="1" ref="L8" ca="1">INDIRECT("'results" &amp; $B8 &amp; "'!M$14")</f>
        <v>1038.0420439230961</v>
      </c>
      <c r="M8" s="5" cm="1">
        <f t="array" aca="1" ref="M8" ca="1">INDIRECT("'results" &amp; $B8 &amp; "'!N$14")</f>
        <v>16</v>
      </c>
      <c r="N8" s="5" cm="1">
        <f t="array" aca="1" ref="N8" ca="1">INDIRECT("'results" &amp; $B8 &amp; "'!O$14")</f>
        <v>54.5</v>
      </c>
      <c r="O8" s="5" cm="1">
        <f t="array" aca="1" ref="O8" ca="1">INDIRECT("'results" &amp; $B8 &amp; "'!P$14")</f>
        <v>1138.0781122295964</v>
      </c>
      <c r="P8" s="5" cm="1">
        <f t="array" aca="1" ref="P8" ca="1">INDIRECT("'results" &amp; $B8 &amp; "'!Q$14")</f>
        <v>20.136225860626148</v>
      </c>
      <c r="Q8" s="5" cm="1">
        <f t="array" aca="1" ref="Q8" ca="1">INDIRECT("'results" &amp; $B8 &amp; "'!R$14")</f>
        <v>5837.3779625822726</v>
      </c>
      <c r="R8" s="5"/>
      <c r="S8" s="5" cm="1">
        <f t="array" aca="1" ref="S8" ca="1">INDIRECT("'results" &amp; $B8 &amp; "'!T$14")</f>
        <v>2891988.3989618812</v>
      </c>
      <c r="T8" s="5" cm="1">
        <f t="array" aca="1" ref="T8" ca="1">INDIRECT("'results" &amp; $B8 &amp; "'!U$14")</f>
        <v>565.91273623079849</v>
      </c>
      <c r="U8" s="5" cm="1">
        <f t="array" aca="1" ref="U8" ca="1">INDIRECT("'results" &amp; $B8 &amp; "'!V$14")</f>
        <v>10</v>
      </c>
      <c r="V8" s="5" cm="1">
        <f t="array" aca="1" ref="V8" ca="1">INDIRECT("'results" &amp; $B8 &amp; "'!W$14")</f>
        <v>52</v>
      </c>
      <c r="W8" s="5" cm="1">
        <f t="array" aca="1" ref="W8" ca="1">INDIRECT("'results" &amp; $B8 &amp; "'!X$14")</f>
        <v>1813.8829968011139</v>
      </c>
      <c r="X8" s="5" cm="1">
        <f t="array" aca="1" ref="X8" ca="1">INDIRECT("'results" &amp; $B8 &amp; "'!Y$14")</f>
        <v>49.259740844479587</v>
      </c>
      <c r="Y8" s="5" cm="1">
        <f t="array" aca="1" ref="Y8" ca="1">INDIRECT("'results" &amp; $B8 &amp; "'!Z$14")</f>
        <v>7259.4348478989741</v>
      </c>
      <c r="Z8" s="5"/>
    </row>
    <row r="9" spans="2:26" x14ac:dyDescent="0.2">
      <c r="B9" s="4">
        <v>858</v>
      </c>
      <c r="C9" s="5" cm="1">
        <f t="array" aca="1" ref="C9" ca="1">INDIRECT("'results" &amp; $B9 &amp; "'!D$14")</f>
        <v>2525075.5917424932</v>
      </c>
      <c r="D9" s="33" cm="1">
        <f t="array" aca="1" ref="D9" ca="1">INDIRECT("'results" &amp; $B9 &amp; "'!E$14")</f>
        <v>331.73215376920638</v>
      </c>
      <c r="E9" s="5" cm="1">
        <f t="array" aca="1" ref="E9" ca="1">INDIRECT("'results" &amp; $B9 &amp; "'!F$14")</f>
        <v>11</v>
      </c>
      <c r="F9" s="5" cm="1">
        <f t="array" aca="1" ref="F9" ca="1">INDIRECT("'results" &amp; $B9 &amp; "'!G$14")</f>
        <v>66</v>
      </c>
      <c r="G9" s="5" cm="1">
        <f t="array" aca="1" ref="G9" ca="1">INDIRECT("'results" &amp; $B9 &amp; "'!H$14")</f>
        <v>1425.835680038959</v>
      </c>
      <c r="H9" s="33" cm="1">
        <f t="array" aca="1" ref="H9" ca="1">INDIRECT("'results" &amp; $B9 &amp; "'!I$14")</f>
        <v>44.910329325842952</v>
      </c>
      <c r="I9" s="5" cm="1">
        <f t="array" aca="1" ref="I9" ca="1">INDIRECT("'results" &amp; $B9 &amp; "'!J$14")</f>
        <v>6740.1328569647712</v>
      </c>
      <c r="J9" s="5"/>
      <c r="K9" s="5" cm="1">
        <f t="array" aca="1" ref="K9" ca="1">INDIRECT("'results" &amp; $B9 &amp; "'!L$14")</f>
        <v>2865115.6299361689</v>
      </c>
      <c r="L9" s="5" cm="1">
        <f t="array" aca="1" ref="L9" ca="1">INDIRECT("'results" &amp; $B9 &amp; "'!M$14")</f>
        <v>527.59185000000377</v>
      </c>
      <c r="M9" s="5" cm="1">
        <f t="array" aca="1" ref="M9" ca="1">INDIRECT("'results" &amp; $B9 &amp; "'!N$14")</f>
        <v>14</v>
      </c>
      <c r="N9" s="5" cm="1">
        <f t="array" aca="1" ref="N9" ca="1">INDIRECT("'results" &amp; $B9 &amp; "'!O$14")</f>
        <v>51</v>
      </c>
      <c r="O9" s="5" cm="1">
        <f t="array" aca="1" ref="O9" ca="1">INDIRECT("'results" &amp; $B9 &amp; "'!P$14")</f>
        <v>1125.9407119208547</v>
      </c>
      <c r="P9" s="5" cm="1">
        <f t="array" aca="1" ref="P9" ca="1">INDIRECT("'results" &amp; $B9 &amp; "'!Q$14")</f>
        <v>25.017875231025823</v>
      </c>
      <c r="Q9" s="5" cm="1">
        <f t="array" aca="1" ref="Q9" ca="1">INDIRECT("'results" &amp; $B9 &amp; "'!R$14")</f>
        <v>5987.9107463679702</v>
      </c>
      <c r="R9" s="5"/>
      <c r="S9" s="5" cm="1">
        <f t="array" aca="1" ref="S9" ca="1">INDIRECT("'results" &amp; $B9 &amp; "'!T$14")</f>
        <v>2949824.0014970098</v>
      </c>
      <c r="T9" s="5" cm="1">
        <f t="array" aca="1" ref="T9" ca="1">INDIRECT("'results" &amp; $B9 &amp; "'!U$14")</f>
        <v>754.25651930765105</v>
      </c>
      <c r="U9" s="5" cm="1">
        <f t="array" aca="1" ref="U9" ca="1">INDIRECT("'results" &amp; $B9 &amp; "'!V$14")</f>
        <v>11</v>
      </c>
      <c r="V9" s="5" cm="1">
        <f t="array" aca="1" ref="V9" ca="1">INDIRECT("'results" &amp; $B9 &amp; "'!W$14")</f>
        <v>50</v>
      </c>
      <c r="W9" s="5" cm="1">
        <f t="array" aca="1" ref="W9" ca="1">INDIRECT("'results" &amp; $B9 &amp; "'!X$14")</f>
        <v>1613.9421674287007</v>
      </c>
      <c r="X9" s="5" cm="1">
        <f t="array" aca="1" ref="X9" ca="1">INDIRECT("'results" &amp; $B9 &amp; "'!Y$14")</f>
        <v>45.527568431855606</v>
      </c>
      <c r="Y9" s="5" cm="1">
        <f t="array" aca="1" ref="Y9" ca="1">INDIRECT("'results" &amp; $B9 &amp; "'!Z$14")</f>
        <v>7100.2784937740116</v>
      </c>
      <c r="Z9" s="5"/>
    </row>
    <row r="10" spans="2:26" x14ac:dyDescent="0.2">
      <c r="B10" s="4">
        <v>945</v>
      </c>
      <c r="C10" s="5" cm="1">
        <f t="array" aca="1" ref="C10" ca="1">INDIRECT("'results" &amp; $B10 &amp; "'!D$14")</f>
        <v>2605576.6812629951</v>
      </c>
      <c r="D10" s="33" cm="1">
        <f t="array" aca="1" ref="D10" ca="1">INDIRECT("'results" &amp; $B10 &amp; "'!E$14")</f>
        <v>487.4256310768676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64.5</v>
      </c>
      <c r="G10" s="5" cm="1">
        <f t="array" aca="1" ref="G10" ca="1">INDIRECT("'results" &amp; $B10 &amp; "'!H$14")</f>
        <v>1550.4863019698325</v>
      </c>
      <c r="H10" s="33" cm="1">
        <f t="array" aca="1" ref="H10" ca="1">INDIRECT("'results" &amp; $B10 &amp; "'!I$14")</f>
        <v>40.820908741441073</v>
      </c>
      <c r="I10" s="5" cm="1">
        <f t="array" aca="1" ref="I10" ca="1">INDIRECT("'results" &amp; $B10 &amp; "'!J$14")</f>
        <v>6983.5551371735373</v>
      </c>
      <c r="J10" s="5"/>
      <c r="K10" s="5" cm="1">
        <f t="array" aca="1" ref="K10" ca="1">INDIRECT("'results" &amp; $B10 &amp; "'!L$14")</f>
        <v>2966498.7769892872</v>
      </c>
      <c r="L10" s="5" cm="1">
        <f t="array" aca="1" ref="L10" ca="1">INDIRECT("'results" &amp; $B10 &amp; "'!M$14")</f>
        <v>360.62870807694981</v>
      </c>
      <c r="M10" s="5" cm="1">
        <f t="array" aca="1" ref="M10" ca="1">INDIRECT("'results" &amp; $B10 &amp; "'!N$14")</f>
        <v>15</v>
      </c>
      <c r="N10" s="5" cm="1">
        <f t="array" aca="1" ref="N10" ca="1">INDIRECT("'results" &amp; $B10 &amp; "'!O$14")</f>
        <v>49</v>
      </c>
      <c r="O10" s="5" cm="1">
        <f t="array" aca="1" ref="O10" ca="1">INDIRECT("'results" &amp; $B10 &amp; "'!P$14")</f>
        <v>1144.8420326808675</v>
      </c>
      <c r="P10" s="5" cm="1">
        <f t="array" aca="1" ref="P10" ca="1">INDIRECT("'results" &amp; $B10 &amp; "'!Q$14")</f>
        <v>18.977085264563925</v>
      </c>
      <c r="Q10" s="5" cm="1">
        <f t="array" aca="1" ref="Q10" ca="1">INDIRECT("'results" &amp; $B10 &amp; "'!R$14")</f>
        <v>5970.3489932660787</v>
      </c>
      <c r="R10" s="5"/>
      <c r="S10" s="5" cm="1">
        <f t="array" aca="1" ref="S10" ca="1">INDIRECT("'results" &amp; $B10 &amp; "'!T$14")</f>
        <v>3073713.3795882249</v>
      </c>
      <c r="T10" s="5" cm="1">
        <f t="array" aca="1" ref="T10" ca="1">INDIRECT("'results" &amp; $B10 &amp; "'!U$14")</f>
        <v>583.35877361537246</v>
      </c>
      <c r="U10" s="5" cm="1">
        <f t="array" aca="1" ref="U10" ca="1">INDIRECT("'results" &amp; $B10 &amp; "'!V$14")</f>
        <v>10</v>
      </c>
      <c r="V10" s="5" cm="1">
        <f t="array" aca="1" ref="V10" ca="1">INDIRECT("'results" &amp; $B10 &amp; "'!W$14")</f>
        <v>46</v>
      </c>
      <c r="W10" s="5" cm="1">
        <f t="array" aca="1" ref="W10" ca="1">INDIRECT("'results" &amp; $B10 &amp; "'!X$14")</f>
        <v>1708.0180851173393</v>
      </c>
      <c r="X10" s="5" cm="1">
        <f t="array" aca="1" ref="X10" ca="1">INDIRECT("'results" &amp; $B10 &amp; "'!Y$14")</f>
        <v>42.122190843589038</v>
      </c>
      <c r="Y10" s="5" cm="1">
        <f t="array" aca="1" ref="Y10" ca="1">INDIRECT("'results" &amp; $B10 &amp; "'!Z$14")</f>
        <v>7288.3450296583169</v>
      </c>
      <c r="Z10" s="5"/>
    </row>
    <row r="11" spans="2:26" x14ac:dyDescent="0.2">
      <c r="B11" s="4">
        <v>965</v>
      </c>
      <c r="C11" s="5" cm="1">
        <f t="array" aca="1" ref="C11" ca="1">INDIRECT("'results" &amp; $B11 &amp; "'!D$14")</f>
        <v>2640110.161292254</v>
      </c>
      <c r="D11" s="33" cm="1">
        <f t="array" aca="1" ref="D11" ca="1">INDIRECT("'results" &amp; $B11 &amp; "'!E$14")</f>
        <v>789.18230792310533</v>
      </c>
      <c r="E11" s="5" cm="1">
        <f t="array" aca="1" ref="E11" ca="1">INDIRECT("'results" &amp; $B11 &amp; "'!F$14")</f>
        <v>10</v>
      </c>
      <c r="F11" s="5" cm="1">
        <f t="array" aca="1" ref="F11" ca="1">INDIRECT("'results" &amp; $B11 &amp; "'!G$14")</f>
        <v>62.5</v>
      </c>
      <c r="G11" s="5" cm="1">
        <f t="array" aca="1" ref="G11" ca="1">INDIRECT("'results" &amp; $B11 &amp; "'!H$14")</f>
        <v>1509.3185688013573</v>
      </c>
      <c r="H11" s="33" cm="1">
        <f t="array" aca="1" ref="H11" ca="1">INDIRECT("'results" &amp; $B11 &amp; "'!I$14")</f>
        <v>41.196642056791347</v>
      </c>
      <c r="I11" s="5" cm="1">
        <f t="array" aca="1" ref="I11" ca="1">INDIRECT("'results" &amp; $B11 &amp; "'!J$14")</f>
        <v>6997.8878739361644</v>
      </c>
      <c r="J11" s="5"/>
      <c r="K11" s="5" cm="1">
        <f t="array" aca="1" ref="K11" ca="1">INDIRECT("'results" &amp; $B11 &amp; "'!L$14")</f>
        <v>2996873.7539434182</v>
      </c>
      <c r="L11" s="5" cm="1">
        <f t="array" aca="1" ref="L11" ca="1">INDIRECT("'results" &amp; $B11 &amp; "'!M$14")</f>
        <v>590.39554676918601</v>
      </c>
      <c r="M11" s="5" cm="1">
        <f t="array" aca="1" ref="M11" ca="1">INDIRECT("'results" &amp; $B11 &amp; "'!N$14")</f>
        <v>15</v>
      </c>
      <c r="N11" s="5" cm="1">
        <f t="array" aca="1" ref="N11" ca="1">INDIRECT("'results" &amp; $B11 &amp; "'!O$14")</f>
        <v>49.5</v>
      </c>
      <c r="O11" s="5" cm="1">
        <f t="array" aca="1" ref="O11" ca="1">INDIRECT("'results" &amp; $B11 &amp; "'!P$14")</f>
        <v>1377.4233658199551</v>
      </c>
      <c r="P11" s="5" cm="1">
        <f t="array" aca="1" ref="P11" ca="1">INDIRECT("'results" &amp; $B11 &amp; "'!Q$14")</f>
        <v>18.861088816704797</v>
      </c>
      <c r="Q11" s="5" cm="1">
        <f t="array" aca="1" ref="Q11" ca="1">INDIRECT("'results" &amp; $B11 &amp; "'!R$14")</f>
        <v>6229.5146430910063</v>
      </c>
      <c r="R11" s="5"/>
      <c r="S11" s="5" cm="1">
        <f t="array" aca="1" ref="S11" ca="1">INDIRECT("'results" &amp; $B11 &amp; "'!T$14")</f>
        <v>3038867.2524994188</v>
      </c>
      <c r="T11" s="5" cm="1">
        <f t="array" aca="1" ref="T11" ca="1">INDIRECT("'results" &amp; $B11 &amp; "'!U$14")</f>
        <v>261.49138969225953</v>
      </c>
      <c r="U11" s="5" cm="1">
        <f t="array" aca="1" ref="U11" ca="1">INDIRECT("'results" &amp; $B11 &amp; "'!V$14")</f>
        <v>10</v>
      </c>
      <c r="V11" s="5" cm="1">
        <f t="array" aca="1" ref="V11" ca="1">INDIRECT("'results" &amp; $B11 &amp; "'!W$14")</f>
        <v>46</v>
      </c>
      <c r="W11" s="5" cm="1">
        <f t="array" aca="1" ref="W11" ca="1">INDIRECT("'results" &amp; $B11 &amp; "'!X$14")</f>
        <v>1538.1476509822946</v>
      </c>
      <c r="X11" s="5" cm="1">
        <f t="array" aca="1" ref="X11" ca="1">INDIRECT("'results" &amp; $B11 &amp; "'!Y$14")</f>
        <v>42.708155553056898</v>
      </c>
      <c r="Y11" s="5" cm="1">
        <f t="array" aca="1" ref="Y11" ca="1">INDIRECT("'results" &amp; $B11 &amp; "'!Z$14")</f>
        <v>7075.6624395038207</v>
      </c>
      <c r="Z11" s="5"/>
    </row>
    <row r="12" spans="2:26" x14ac:dyDescent="0.2">
      <c r="B12" s="4">
        <v>971</v>
      </c>
      <c r="C12" s="5" cm="1">
        <f t="array" aca="1" ref="C12" ca="1">INDIRECT("'results" &amp; $B12 &amp; "'!D$14")</f>
        <v>2358432.887403694</v>
      </c>
      <c r="D12" s="33" cm="1">
        <f t="array" aca="1" ref="D12" ca="1">INDIRECT("'results" &amp; $B12 &amp; "'!E$14")</f>
        <v>905.66663384616697</v>
      </c>
      <c r="E12" s="5" cm="1">
        <f t="array" aca="1" ref="E12" ca="1">INDIRECT("'results" &amp; $B12 &amp; "'!F$14")</f>
        <v>11</v>
      </c>
      <c r="F12" s="5" cm="1">
        <f t="array" aca="1" ref="F12" ca="1">INDIRECT("'results" &amp; $B12 &amp; "'!G$14")</f>
        <v>75.5</v>
      </c>
      <c r="G12" s="5" cm="1">
        <f t="array" aca="1" ref="G12" ca="1">INDIRECT("'results" &amp; $B12 &amp; "'!H$14")</f>
        <v>1706.1699539183212</v>
      </c>
      <c r="H12" s="33" cm="1">
        <f t="array" aca="1" ref="H12" ca="1">INDIRECT("'results" &amp; $B12 &amp; "'!I$14")</f>
        <v>58.828370093920377</v>
      </c>
      <c r="I12" s="5" cm="1">
        <f t="array" aca="1" ref="I12" ca="1">INDIRECT("'results" &amp; $B12 &amp; "'!J$14")</f>
        <v>7108.3040804819339</v>
      </c>
      <c r="J12" s="5"/>
      <c r="K12" s="5" cm="1">
        <f t="array" aca="1" ref="K12" ca="1">INDIRECT("'results" &amp; $B12 &amp; "'!L$14")</f>
        <v>2850267.360251402</v>
      </c>
      <c r="L12" s="5" cm="1">
        <f t="array" aca="1" ref="L12" ca="1">INDIRECT("'results" &amp; $B12 &amp; "'!M$14")</f>
        <v>414.37764938464028</v>
      </c>
      <c r="M12" s="5" cm="1">
        <f t="array" aca="1" ref="M12" ca="1">INDIRECT("'results" &amp; $B12 &amp; "'!N$14")</f>
        <v>13</v>
      </c>
      <c r="N12" s="5" cm="1">
        <f t="array" aca="1" ref="N12" ca="1">INDIRECT("'results" &amp; $B12 &amp; "'!O$14")</f>
        <v>50.5</v>
      </c>
      <c r="O12" s="5" cm="1">
        <f t="array" aca="1" ref="O12" ca="1">INDIRECT("'results" &amp; $B12 &amp; "'!P$14")</f>
        <v>1044.8575977469475</v>
      </c>
      <c r="P12" s="5" cm="1">
        <f t="array" aca="1" ref="P12" ca="1">INDIRECT("'results" &amp; $B12 &amp; "'!Q$14")</f>
        <v>28.850937860020597</v>
      </c>
      <c r="Q12" s="5" cm="1">
        <f t="array" aca="1" ref="Q12" ca="1">INDIRECT("'results" &amp; $B12 &amp; "'!R$14")</f>
        <v>5839.7116418290725</v>
      </c>
      <c r="R12" s="5"/>
      <c r="S12" s="5" cm="1">
        <f t="array" aca="1" ref="S12" ca="1">INDIRECT("'results" &amp; $B12 &amp; "'!T$14")</f>
        <v>2871171.7206472661</v>
      </c>
      <c r="T12" s="5" cm="1">
        <f t="array" aca="1" ref="T12" ca="1">INDIRECT("'results" &amp; $B12 &amp; "'!U$14")</f>
        <v>644.9708293845805</v>
      </c>
      <c r="U12" s="5" cm="1">
        <f t="array" aca="1" ref="U12" ca="1">INDIRECT("'results" &amp; $B12 &amp; "'!V$14")</f>
        <v>10</v>
      </c>
      <c r="V12" s="5" cm="1">
        <f t="array" aca="1" ref="V12" ca="1">INDIRECT("'results" &amp; $B12 &amp; "'!W$14")</f>
        <v>53.5</v>
      </c>
      <c r="W12" s="5" cm="1">
        <f t="array" aca="1" ref="W12" ca="1">INDIRECT("'results" &amp; $B12 &amp; "'!X$14")</f>
        <v>1778.7244360677184</v>
      </c>
      <c r="X12" s="5" cm="1">
        <f t="array" aca="1" ref="X12" ca="1">INDIRECT("'results" &amp; $B12 &amp; "'!Y$14")</f>
        <v>65.574884716514404</v>
      </c>
      <c r="Y12" s="5" cm="1">
        <f t="array" aca="1" ref="Y12" ca="1">INDIRECT("'results" &amp; $B12 &amp; "'!Z$14")</f>
        <v>7307.5755082853784</v>
      </c>
      <c r="Z12" s="5"/>
    </row>
    <row r="13" spans="2:26" x14ac:dyDescent="0.2">
      <c r="B13" s="8" t="s">
        <v>3</v>
      </c>
      <c r="C13" s="9">
        <f ca="1">AVERAGE(C3:C12)</f>
        <v>2551586.6685953909</v>
      </c>
      <c r="D13" s="10">
        <f t="shared" ref="D13:I13" ca="1" si="0">AVERAGE(D3:D12)</f>
        <v>459.67093458460977</v>
      </c>
      <c r="E13" s="9">
        <f t="shared" ca="1" si="0"/>
        <v>10.7</v>
      </c>
      <c r="F13" s="9">
        <f t="shared" ca="1" si="0"/>
        <v>67.099999999999994</v>
      </c>
      <c r="G13" s="9">
        <f t="shared" ca="1" si="0"/>
        <v>1604.5619699520034</v>
      </c>
      <c r="H13" s="10">
        <f t="shared" ca="1" si="0"/>
        <v>44.860821289723603</v>
      </c>
      <c r="I13" s="9">
        <f t="shared" ca="1" si="0"/>
        <v>6994.2923927737238</v>
      </c>
      <c r="J13" s="32" t="e">
        <f ca="1">(C13-$D$15)/$D$15</f>
        <v>#DIV/0!</v>
      </c>
      <c r="K13" s="16">
        <f ca="1">AVERAGE(K3:K12)</f>
        <v>2899446.7247522306</v>
      </c>
      <c r="L13" s="42">
        <f t="shared" ref="L13:Q13" ca="1" si="1">AVERAGE(L3:L12)</f>
        <v>648.86287710000749</v>
      </c>
      <c r="M13" s="16">
        <f t="shared" ca="1" si="1"/>
        <v>14.7</v>
      </c>
      <c r="N13" s="16">
        <f ca="1">AVERAGE(N3:N12)</f>
        <v>51.4</v>
      </c>
      <c r="O13" s="16">
        <f t="shared" ca="1" si="1"/>
        <v>1239.2158124798875</v>
      </c>
      <c r="P13" s="42">
        <f t="shared" ca="1" si="1"/>
        <v>22.879645494247658</v>
      </c>
      <c r="Q13" s="16">
        <f t="shared" ca="1" si="1"/>
        <v>6074.4120338938264</v>
      </c>
      <c r="R13" s="43" t="e">
        <f ca="1">(K13-$D$15)/$D$15</f>
        <v>#DIV/0!</v>
      </c>
      <c r="S13" s="38">
        <f ca="1">AVERAGE(S3:S12)</f>
        <v>2986186.1597942361</v>
      </c>
      <c r="T13" s="44">
        <f t="shared" ref="T13:Y13" ca="1" si="2">AVERAGE(T3:T12)</f>
        <v>474.09621758460815</v>
      </c>
      <c r="U13" s="38">
        <f t="shared" ca="1" si="2"/>
        <v>10.199999999999999</v>
      </c>
      <c r="V13" s="38">
        <f t="shared" ca="1" si="2"/>
        <v>48.85</v>
      </c>
      <c r="W13" s="38">
        <f t="shared" ca="1" si="2"/>
        <v>1695.6967434208395</v>
      </c>
      <c r="X13" s="44">
        <f t="shared" ca="1" si="2"/>
        <v>48.563125017202957</v>
      </c>
      <c r="Y13" s="38">
        <f t="shared" ca="1" si="2"/>
        <v>7183.7969975293991</v>
      </c>
      <c r="Z13" s="45" t="e">
        <f ca="1">(S13-$D$15)/$D$15</f>
        <v>#DIV/0!</v>
      </c>
    </row>
    <row r="14" spans="2:26" x14ac:dyDescent="0.2">
      <c r="K14" s="46">
        <f ca="1">(K13-C13)/C13</f>
        <v>0.13633088009051689</v>
      </c>
      <c r="L14" s="46">
        <f t="shared" ref="L14:Q14" ca="1" si="3">(L13-D13)/D13</f>
        <v>0.41158126016030261</v>
      </c>
      <c r="M14" s="46">
        <f t="shared" ca="1" si="3"/>
        <v>0.37383177570093462</v>
      </c>
      <c r="N14" s="46">
        <f t="shared" ca="1" si="3"/>
        <v>-0.23397913561847983</v>
      </c>
      <c r="O14" s="46">
        <f t="shared" ca="1" si="3"/>
        <v>-0.22769214546636946</v>
      </c>
      <c r="P14" s="46">
        <f t="shared" ca="1" si="3"/>
        <v>-0.48998603154220977</v>
      </c>
      <c r="Q14" s="46">
        <f t="shared" ca="1" si="3"/>
        <v>-0.13151871657957678</v>
      </c>
      <c r="S14" s="46">
        <f ca="1">(S13-C13)/C13</f>
        <v>0.17032519277038138</v>
      </c>
      <c r="T14" s="46">
        <f t="shared" ref="T14:Y14" ca="1" si="4">(T13-D13)/D13</f>
        <v>3.1381760112881761E-2</v>
      </c>
      <c r="U14" s="46">
        <f t="shared" ca="1" si="4"/>
        <v>-4.6728971962616828E-2</v>
      </c>
      <c r="V14" s="46">
        <f ca="1">(V13-F13)/F13</f>
        <v>-0.27198211624441126</v>
      </c>
      <c r="W14" s="46">
        <f t="shared" ca="1" si="4"/>
        <v>5.6797291208118425E-2</v>
      </c>
      <c r="X14" s="46">
        <f t="shared" ca="1" si="4"/>
        <v>8.2528665794343162E-2</v>
      </c>
      <c r="Y14" s="46">
        <f t="shared" ca="1" si="4"/>
        <v>2.7094178240455784E-2</v>
      </c>
    </row>
    <row r="16" spans="2:26" x14ac:dyDescent="0.2">
      <c r="B16" s="1" t="s">
        <v>21</v>
      </c>
      <c r="C16">
        <f ca="1">_xlfn.STDEV.S(C3:C12)</f>
        <v>98263.609811334056</v>
      </c>
      <c r="D16">
        <f ca="1">D13/1.4</f>
        <v>328.33638184614983</v>
      </c>
      <c r="J16" s="1" t="s">
        <v>21</v>
      </c>
      <c r="K16">
        <f ca="1">_xlfn.STDEV.S(K3:K12)</f>
        <v>72528.588982945017</v>
      </c>
      <c r="L16">
        <f ca="1">L13/1.4</f>
        <v>463.4734836428625</v>
      </c>
      <c r="R16" s="1" t="s">
        <v>21</v>
      </c>
      <c r="S16">
        <f ca="1">_xlfn.STDEV.S(S3:S12)</f>
        <v>78108.898137558164</v>
      </c>
      <c r="T16">
        <f ca="1">T13/1.4</f>
        <v>338.64015541757726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0C0B-936D-4C3C-A6E1-2B18D6DD3E0D}">
  <dimension ref="B1:AA33"/>
  <sheetViews>
    <sheetView tabSelected="1" zoomScale="90" zoomScaleNormal="90" workbookViewId="0">
      <selection activeCell="U20" sqref="U20:U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-0.98790059358395077</v>
      </c>
      <c r="J2" s="28" t="e">
        <f>(S14-J14)/J14</f>
        <v>#DIV/0!</v>
      </c>
      <c r="K2" s="28"/>
      <c r="L2" s="1" t="s">
        <v>19</v>
      </c>
      <c r="P2" s="1">
        <f>(P14-H14)/H14</f>
        <v>-0.23842606408927328</v>
      </c>
      <c r="R2" s="1">
        <f>(R14-J14)/J14</f>
        <v>-0.13468976610594202</v>
      </c>
      <c r="T2" s="1" t="s">
        <v>20</v>
      </c>
      <c r="X2" s="1">
        <f>(X14-P14)/P14</f>
        <v>0.38136398226878432</v>
      </c>
      <c r="Z2" s="1">
        <f>(Z14-R14)/R14</f>
        <v>0.16761039512538714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462</v>
      </c>
      <c r="D4" s="23">
        <v>2581610.0028629699</v>
      </c>
      <c r="E4" s="33">
        <v>141.78127169223998</v>
      </c>
      <c r="F4" s="5">
        <v>11</v>
      </c>
      <c r="G4" s="23">
        <v>67</v>
      </c>
      <c r="H4" s="33">
        <v>1637.9678551842185</v>
      </c>
      <c r="I4" s="23">
        <v>40.929021655351761</v>
      </c>
      <c r="J4" s="5">
        <v>7031.1675657446176</v>
      </c>
      <c r="K4" s="31"/>
      <c r="L4" s="23">
        <v>3043765.1036360739</v>
      </c>
      <c r="M4" s="33">
        <v>264.86751246158605</v>
      </c>
      <c r="N4" s="5">
        <v>12</v>
      </c>
      <c r="O4" s="5">
        <v>43</v>
      </c>
      <c r="P4" s="33">
        <v>1044.4170728260208</v>
      </c>
      <c r="Q4" s="5">
        <v>23.151434010436457</v>
      </c>
      <c r="R4" s="5">
        <v>5894.6467683061719</v>
      </c>
      <c r="S4" s="35"/>
      <c r="T4" s="23">
        <v>3063766.0876747472</v>
      </c>
      <c r="U4" s="33">
        <v>219.39584161539992</v>
      </c>
      <c r="V4" s="5">
        <v>9</v>
      </c>
      <c r="W4" s="5">
        <v>45</v>
      </c>
      <c r="X4" s="33">
        <v>1600.6285170608617</v>
      </c>
      <c r="Y4" s="5">
        <v>45.991744682655138</v>
      </c>
      <c r="Z4" s="5">
        <v>7165.4125267938671</v>
      </c>
      <c r="AA4" s="35"/>
    </row>
    <row r="5" spans="2:27" x14ac:dyDescent="0.2">
      <c r="B5" s="4">
        <v>2</v>
      </c>
      <c r="C5" s="4">
        <v>4</v>
      </c>
      <c r="D5" s="23">
        <v>2598828.9981529359</v>
      </c>
      <c r="E5" s="33">
        <v>347.24121176924268</v>
      </c>
      <c r="F5" s="5">
        <v>10</v>
      </c>
      <c r="G5" s="23">
        <v>64.5</v>
      </c>
      <c r="H5" s="33">
        <v>1483.6174782278583</v>
      </c>
      <c r="I5" s="23">
        <v>43.354348791451422</v>
      </c>
      <c r="J5" s="5">
        <v>6943.1188429758695</v>
      </c>
      <c r="K5" s="31"/>
      <c r="L5" s="23">
        <v>2937458.7954409961</v>
      </c>
      <c r="M5" s="33">
        <v>390.42249623077129</v>
      </c>
      <c r="N5" s="5">
        <v>14</v>
      </c>
      <c r="O5" s="5">
        <v>49.5</v>
      </c>
      <c r="P5" s="33">
        <v>1253.7477763486966</v>
      </c>
      <c r="Q5" s="5">
        <v>23.318104591717351</v>
      </c>
      <c r="R5" s="5">
        <v>6123.5337166546215</v>
      </c>
      <c r="S5" s="35"/>
      <c r="T5" s="23">
        <v>3021643.7115526772</v>
      </c>
      <c r="U5" s="33">
        <v>242.50346223080462</v>
      </c>
      <c r="V5" s="5">
        <v>10</v>
      </c>
      <c r="W5" s="5">
        <v>48.5</v>
      </c>
      <c r="X5" s="33">
        <v>1819.5585401854842</v>
      </c>
      <c r="Y5" s="5">
        <v>48.299901558517448</v>
      </c>
      <c r="Z5" s="5">
        <v>7340.9186589413057</v>
      </c>
      <c r="AA5" s="35"/>
    </row>
    <row r="6" spans="2:27" x14ac:dyDescent="0.2">
      <c r="B6" s="4">
        <v>3</v>
      </c>
      <c r="C6" s="4">
        <v>204</v>
      </c>
      <c r="D6" s="23">
        <v>2579236.443428576</v>
      </c>
      <c r="E6" s="33">
        <v>427.25168684622844</v>
      </c>
      <c r="F6" s="5">
        <v>11</v>
      </c>
      <c r="G6" s="23">
        <v>68</v>
      </c>
      <c r="H6" s="33">
        <v>1753.7336660998767</v>
      </c>
      <c r="I6" s="23">
        <v>41.949257156348175</v>
      </c>
      <c r="J6" s="5">
        <v>7169.328577234347</v>
      </c>
      <c r="K6" s="31"/>
      <c r="L6" s="23">
        <v>2934088.7100276658</v>
      </c>
      <c r="M6" s="33">
        <v>292.1024994615716</v>
      </c>
      <c r="N6" s="5">
        <v>15</v>
      </c>
      <c r="O6" s="5">
        <v>51.5</v>
      </c>
      <c r="P6" s="33">
        <v>1405.5471848858192</v>
      </c>
      <c r="Q6" s="5">
        <v>21.816765990375849</v>
      </c>
      <c r="R6" s="5">
        <v>6177.7797487033822</v>
      </c>
      <c r="S6" s="35"/>
      <c r="T6" s="23">
        <v>3057192.1040805462</v>
      </c>
      <c r="U6" s="33">
        <v>407.49971823077288</v>
      </c>
      <c r="V6" s="5">
        <v>10</v>
      </c>
      <c r="W6" s="5">
        <v>48</v>
      </c>
      <c r="X6" s="33">
        <v>1859.1133024551239</v>
      </c>
      <c r="Y6" s="5">
        <v>47.702751373453786</v>
      </c>
      <c r="Z6" s="5">
        <v>7431.8177642273358</v>
      </c>
      <c r="AA6" s="35"/>
    </row>
    <row r="7" spans="2:27" x14ac:dyDescent="0.2">
      <c r="B7" s="4">
        <v>4</v>
      </c>
      <c r="C7" s="4">
        <v>523</v>
      </c>
      <c r="D7" s="23">
        <v>2615276.1712689572</v>
      </c>
      <c r="E7" s="33">
        <v>513.94432330763755</v>
      </c>
      <c r="F7" s="5">
        <v>10</v>
      </c>
      <c r="G7" s="23">
        <v>64.5</v>
      </c>
      <c r="H7" s="33">
        <v>1473.3474137396199</v>
      </c>
      <c r="I7" s="23">
        <v>42.959275333634125</v>
      </c>
      <c r="J7" s="5">
        <v>7063.1027816006681</v>
      </c>
      <c r="K7" s="31"/>
      <c r="L7" s="23">
        <v>3005019.8172535691</v>
      </c>
      <c r="M7" s="33">
        <v>279.04181823071735</v>
      </c>
      <c r="N7" s="5">
        <v>12</v>
      </c>
      <c r="O7" s="5">
        <v>46.5</v>
      </c>
      <c r="P7" s="33">
        <v>1356.5659455437435</v>
      </c>
      <c r="Q7" s="5">
        <v>24.373986700940449</v>
      </c>
      <c r="R7" s="5">
        <v>6285.688454146939</v>
      </c>
      <c r="S7" s="35"/>
      <c r="T7" s="23">
        <v>3032614.7515086932</v>
      </c>
      <c r="U7" s="33">
        <v>408.51901761538238</v>
      </c>
      <c r="V7" s="5">
        <v>10</v>
      </c>
      <c r="W7" s="5">
        <v>47</v>
      </c>
      <c r="X7" s="33">
        <v>1642.7082111372533</v>
      </c>
      <c r="Y7" s="5">
        <v>44.488223942042438</v>
      </c>
      <c r="Z7" s="5">
        <v>7217.2433611991746</v>
      </c>
      <c r="AA7" s="35"/>
    </row>
    <row r="8" spans="2:27" x14ac:dyDescent="0.2">
      <c r="B8" s="4">
        <v>5</v>
      </c>
      <c r="C8" s="4">
        <v>489</v>
      </c>
      <c r="D8" s="23">
        <v>2622473.4030644381</v>
      </c>
      <c r="E8" s="33">
        <v>324.58709930768237</v>
      </c>
      <c r="F8" s="5">
        <v>11</v>
      </c>
      <c r="G8" s="23">
        <v>64.5</v>
      </c>
      <c r="H8" s="33">
        <v>1730.4845707081063</v>
      </c>
      <c r="I8" s="23">
        <v>40.800653375796585</v>
      </c>
      <c r="J8" s="5">
        <v>6992.8665578499431</v>
      </c>
      <c r="K8" s="31"/>
      <c r="L8" s="23">
        <v>2936924.028142829</v>
      </c>
      <c r="M8" s="33">
        <v>631.53368261544244</v>
      </c>
      <c r="N8" s="5">
        <v>15</v>
      </c>
      <c r="O8" s="5">
        <v>51.5</v>
      </c>
      <c r="P8" s="33">
        <v>1466.1695518400927</v>
      </c>
      <c r="Q8" s="5">
        <v>22.640193932081079</v>
      </c>
      <c r="R8" s="5">
        <v>6211.4660553957901</v>
      </c>
      <c r="S8" s="35"/>
      <c r="T8" s="23">
        <v>3023603.6225949568</v>
      </c>
      <c r="U8" s="33">
        <v>444.87223961538314</v>
      </c>
      <c r="V8" s="5">
        <v>10</v>
      </c>
      <c r="W8" s="5">
        <v>48</v>
      </c>
      <c r="X8" s="33">
        <v>1643.7061349662199</v>
      </c>
      <c r="Y8" s="5">
        <v>48.16633426191887</v>
      </c>
      <c r="Z8" s="5">
        <v>7219.3644693431952</v>
      </c>
      <c r="AA8" s="35"/>
    </row>
    <row r="9" spans="2:27" x14ac:dyDescent="0.2">
      <c r="B9" s="4">
        <v>6</v>
      </c>
      <c r="C9" s="4">
        <v>73</v>
      </c>
      <c r="D9" s="23">
        <v>2589352.4959464562</v>
      </c>
      <c r="E9" s="33">
        <v>910.12638038463081</v>
      </c>
      <c r="F9" s="5">
        <v>10</v>
      </c>
      <c r="G9" s="23">
        <v>65</v>
      </c>
      <c r="H9" s="33">
        <v>1536.3351779973063</v>
      </c>
      <c r="I9" s="23">
        <v>43.346747173527156</v>
      </c>
      <c r="J9" s="5">
        <v>6936.4191114210398</v>
      </c>
      <c r="K9" s="31"/>
      <c r="L9" s="23">
        <v>2932955.0705046742</v>
      </c>
      <c r="M9" s="33">
        <v>523.48958330775179</v>
      </c>
      <c r="N9" s="5">
        <v>16</v>
      </c>
      <c r="O9" s="5">
        <v>52</v>
      </c>
      <c r="P9" s="33">
        <v>1335.5978506308313</v>
      </c>
      <c r="Q9" s="5">
        <v>21.219136371650457</v>
      </c>
      <c r="R9" s="5">
        <v>6203.6933880300066</v>
      </c>
      <c r="S9" s="35"/>
      <c r="T9" s="23">
        <v>3016759.0693954928</v>
      </c>
      <c r="U9" s="33">
        <v>389.93408838461613</v>
      </c>
      <c r="V9" s="5">
        <v>11</v>
      </c>
      <c r="W9" s="5">
        <v>49</v>
      </c>
      <c r="X9" s="33">
        <v>1844.9467656570341</v>
      </c>
      <c r="Y9" s="5">
        <v>43.274588972589115</v>
      </c>
      <c r="Z9" s="5">
        <v>7243.4968880344677</v>
      </c>
      <c r="AA9" s="35"/>
    </row>
    <row r="10" spans="2:27" x14ac:dyDescent="0.2">
      <c r="B10" s="4">
        <v>7</v>
      </c>
      <c r="C10" s="4">
        <v>979</v>
      </c>
      <c r="D10" s="23">
        <v>2628404.5782863968</v>
      </c>
      <c r="E10" s="33">
        <v>395.66970746158262</v>
      </c>
      <c r="F10" s="5">
        <v>10</v>
      </c>
      <c r="G10" s="23">
        <v>62</v>
      </c>
      <c r="H10" s="33">
        <v>1479.3994431729504</v>
      </c>
      <c r="I10" s="23">
        <v>42.418214795490535</v>
      </c>
      <c r="J10" s="5">
        <v>6749.6685265717624</v>
      </c>
      <c r="K10" s="31"/>
      <c r="L10" s="23">
        <v>2994729.3239783822</v>
      </c>
      <c r="M10" s="33">
        <v>439.3456373846409</v>
      </c>
      <c r="N10" s="5">
        <v>13</v>
      </c>
      <c r="O10" s="5">
        <v>46.5</v>
      </c>
      <c r="P10" s="33">
        <v>1249.0192882808115</v>
      </c>
      <c r="Q10" s="5">
        <v>23.787745892012577</v>
      </c>
      <c r="R10" s="5">
        <v>5887.2422413597942</v>
      </c>
      <c r="S10" s="35"/>
      <c r="T10" s="23">
        <v>3042291.5140537438</v>
      </c>
      <c r="U10" s="33">
        <v>329.7579381538805</v>
      </c>
      <c r="V10" s="5">
        <v>10</v>
      </c>
      <c r="W10" s="5">
        <v>47.5</v>
      </c>
      <c r="X10" s="33">
        <v>1643.6992762055713</v>
      </c>
      <c r="Y10" s="5">
        <v>43.516451213189377</v>
      </c>
      <c r="Z10" s="5">
        <v>7239.7210998087194</v>
      </c>
      <c r="AA10" s="35"/>
    </row>
    <row r="11" spans="2:27" x14ac:dyDescent="0.2">
      <c r="B11" s="4">
        <v>8</v>
      </c>
      <c r="C11" s="4">
        <v>353</v>
      </c>
      <c r="D11" s="23">
        <v>2616837.6370547968</v>
      </c>
      <c r="E11" s="33">
        <v>359.27068930764034</v>
      </c>
      <c r="F11" s="5">
        <v>11</v>
      </c>
      <c r="G11" s="23">
        <v>64.5</v>
      </c>
      <c r="H11" s="33">
        <v>1515.1543507160131</v>
      </c>
      <c r="I11" s="23">
        <v>40.020077709555238</v>
      </c>
      <c r="J11" s="5">
        <v>6885.1189337762426</v>
      </c>
      <c r="K11" s="31"/>
      <c r="L11" s="23">
        <v>2989453.8075936828</v>
      </c>
      <c r="M11" s="33">
        <v>473.03576176923411</v>
      </c>
      <c r="N11" s="5">
        <v>13</v>
      </c>
      <c r="O11" s="5">
        <v>46.5</v>
      </c>
      <c r="P11" s="33">
        <v>1193.7014016944411</v>
      </c>
      <c r="Q11" s="5">
        <v>22.977829953916206</v>
      </c>
      <c r="R11" s="5">
        <v>5906.4250425308719</v>
      </c>
      <c r="S11" s="35"/>
      <c r="T11" s="23">
        <v>3060759.3714741259</v>
      </c>
      <c r="U11" s="33">
        <v>496.57941961540087</v>
      </c>
      <c r="V11" s="5">
        <v>10</v>
      </c>
      <c r="W11" s="5">
        <v>47</v>
      </c>
      <c r="X11" s="33">
        <v>1797.9121431627027</v>
      </c>
      <c r="Y11" s="5">
        <v>46.697236805917306</v>
      </c>
      <c r="Z11" s="5">
        <v>7261.742879041105</v>
      </c>
      <c r="AA11" s="35"/>
    </row>
    <row r="12" spans="2:27" x14ac:dyDescent="0.2">
      <c r="B12" s="4">
        <v>9</v>
      </c>
      <c r="C12" s="4">
        <v>380</v>
      </c>
      <c r="D12" s="23">
        <v>2703559.0975590181</v>
      </c>
      <c r="E12" s="33">
        <v>223.05348876917446</v>
      </c>
      <c r="F12" s="5">
        <v>11</v>
      </c>
      <c r="G12" s="23">
        <v>62.5</v>
      </c>
      <c r="H12" s="33">
        <v>1714.117416753536</v>
      </c>
      <c r="I12" s="23">
        <v>40.344334948945011</v>
      </c>
      <c r="J12" s="5">
        <v>7152.0131923223271</v>
      </c>
      <c r="K12" s="31"/>
      <c r="L12" s="23">
        <v>2994650.3439938878</v>
      </c>
      <c r="M12" s="33">
        <v>756.89372469223315</v>
      </c>
      <c r="N12" s="5">
        <v>12</v>
      </c>
      <c r="O12" s="5">
        <v>46</v>
      </c>
      <c r="P12" s="33">
        <v>1153.2229933451699</v>
      </c>
      <c r="Q12" s="5">
        <v>25.135886130995754</v>
      </c>
      <c r="R12" s="5">
        <v>6035.1173071375069</v>
      </c>
      <c r="S12" s="35"/>
      <c r="T12" s="23">
        <v>3088184.50490177</v>
      </c>
      <c r="U12" s="33">
        <v>436.42987953843726</v>
      </c>
      <c r="V12" s="5">
        <v>10</v>
      </c>
      <c r="W12" s="5">
        <v>46</v>
      </c>
      <c r="X12" s="33">
        <v>1761.6489273300101</v>
      </c>
      <c r="Y12" s="5">
        <v>42.893566526643397</v>
      </c>
      <c r="Z12" s="5">
        <v>7272.7020921060248</v>
      </c>
      <c r="AA12" s="35"/>
    </row>
    <row r="13" spans="2:27" x14ac:dyDescent="0.2">
      <c r="B13" s="4">
        <v>10</v>
      </c>
      <c r="C13" s="4">
        <v>19</v>
      </c>
      <c r="D13" s="23">
        <v>2615802.363808345</v>
      </c>
      <c r="E13" s="33">
        <v>422.98086223076098</v>
      </c>
      <c r="F13" s="5">
        <v>10</v>
      </c>
      <c r="G13" s="23">
        <v>63.5</v>
      </c>
      <c r="H13" s="33">
        <v>1538.8909835850332</v>
      </c>
      <c r="I13" s="23">
        <v>43.096273701999436</v>
      </c>
      <c r="J13" s="5">
        <v>6893.5964197200174</v>
      </c>
      <c r="K13" s="31"/>
      <c r="L13" s="23">
        <v>3081046.4304372151</v>
      </c>
      <c r="M13" s="33">
        <v>351.7783666923284</v>
      </c>
      <c r="N13" s="5">
        <v>9</v>
      </c>
      <c r="O13" s="5">
        <v>38</v>
      </c>
      <c r="P13" s="33">
        <v>595.14008169560248</v>
      </c>
      <c r="Q13" s="5">
        <v>25.583825116199918</v>
      </c>
      <c r="R13" s="5">
        <v>5368.7302643526973</v>
      </c>
      <c r="S13" s="35"/>
      <c r="T13" s="23">
        <v>3080068.6629846478</v>
      </c>
      <c r="U13" s="33">
        <v>471.32339615383756</v>
      </c>
      <c r="V13" s="5">
        <v>10</v>
      </c>
      <c r="W13" s="5">
        <v>47</v>
      </c>
      <c r="X13" s="33">
        <v>1890.9682742503355</v>
      </c>
      <c r="Y13" s="5">
        <v>43.99965513786092</v>
      </c>
      <c r="Z13" s="5">
        <v>7399.3528731009437</v>
      </c>
      <c r="AA13" s="35"/>
    </row>
    <row r="14" spans="2:27" x14ac:dyDescent="0.2">
      <c r="B14" s="47" t="s">
        <v>3</v>
      </c>
      <c r="C14" s="48"/>
      <c r="D14" s="9">
        <f>MIN(D4:D13)</f>
        <v>2579236.443428576</v>
      </c>
      <c r="E14" s="22">
        <f>INDEX(E4:E13, MATCH($D$14, D4:D13, 0))</f>
        <v>427.25168684622844</v>
      </c>
      <c r="F14" s="9">
        <f>INDEX(F4:F13, MATCH($D$14, D4:D13, 0))</f>
        <v>11</v>
      </c>
      <c r="G14" s="9">
        <f>INDEX(G4:G13, MATCH($D$14, D4:D13, 0))</f>
        <v>68</v>
      </c>
      <c r="H14" s="22">
        <f>INDEX(H4:H13, MATCH($D$14, D4:D13, 0))</f>
        <v>1753.7336660998767</v>
      </c>
      <c r="I14" s="22">
        <f>INDEX(I4:I13, MATCH($D$14, D4:D13, 0))</f>
        <v>41.949257156348175</v>
      </c>
      <c r="J14" s="22">
        <f>INDEX(J4:J13, MATCH($D$14, D4:D13, 0))</f>
        <v>7169.328577234347</v>
      </c>
      <c r="K14" s="32" t="e">
        <f>(D14-$D$15)/$D$15</f>
        <v>#DIV/0!</v>
      </c>
      <c r="L14" s="16">
        <f>MIN(L4:L13)</f>
        <v>2932955.0705046742</v>
      </c>
      <c r="M14" s="21">
        <f>INDEX(M4:M13, MATCH($L$14, L4:L13, 0))</f>
        <v>523.48958330775179</v>
      </c>
      <c r="N14" s="16">
        <f>INDEX(N4:N13, MATCH($L$14, L4:L13, 0))</f>
        <v>16</v>
      </c>
      <c r="O14" s="16">
        <f>INDEX(O4:O13, MATCH($L$14, L4:L13, 0))</f>
        <v>52</v>
      </c>
      <c r="P14" s="21">
        <f>INDEX(P4:P13, MATCH($L$14, L4:L13, 0))</f>
        <v>1335.5978506308313</v>
      </c>
      <c r="Q14" s="21">
        <f>INDEX(Q4:Q13, MATCH($L$14, L4:L13, 0))</f>
        <v>21.219136371650457</v>
      </c>
      <c r="R14" s="21">
        <f>INDEX(R4:R13, MATCH($L$14, L4:L13, 0))</f>
        <v>6203.6933880300066</v>
      </c>
      <c r="S14" s="36" t="e">
        <f>(L14-$D$15)/$D$15</f>
        <v>#DIV/0!</v>
      </c>
      <c r="T14" s="38">
        <f>MIN(T4:T13)</f>
        <v>3016759.0693954928</v>
      </c>
      <c r="U14" s="39">
        <f>INDEX(U4:U13, MATCH($T$14, T4:T13, 0))</f>
        <v>389.93408838461613</v>
      </c>
      <c r="V14" s="38">
        <f>INDEX(V4:V13, MATCH($T$14, T4:T13, 0))</f>
        <v>11</v>
      </c>
      <c r="W14" s="38">
        <f>INDEX(W4:W13, MATCH($T$14, T4:T13, 0))</f>
        <v>49</v>
      </c>
      <c r="X14" s="39">
        <f>INDEX(X4:X13, MATCH($T$14, T4:T13, 0))</f>
        <v>1844.9467656570341</v>
      </c>
      <c r="Y14" s="39">
        <f>INDEX(Y4:Y13, MATCH($T$14, T4:T13, 0))</f>
        <v>43.274588972589115</v>
      </c>
      <c r="Z14" s="39">
        <f>INDEX(Z4:Z13, MATCH($T$14, T4:T13, 0))</f>
        <v>7243.4968880344677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0.13714083017759338</v>
      </c>
      <c r="M15" s="41">
        <f t="shared" ref="M15:R15" si="0">(M14-E14)/E14</f>
        <v>0.2252487220633495</v>
      </c>
      <c r="N15" s="41">
        <f t="shared" si="0"/>
        <v>0.45454545454545453</v>
      </c>
      <c r="O15" s="41">
        <f t="shared" si="0"/>
        <v>-0.23529411764705882</v>
      </c>
      <c r="P15" s="41">
        <f t="shared" si="0"/>
        <v>-0.23842606408927328</v>
      </c>
      <c r="Q15" s="41">
        <f t="shared" si="0"/>
        <v>-0.49417134390330036</v>
      </c>
      <c r="R15" s="41">
        <f t="shared" si="0"/>
        <v>-0.13468976610594202</v>
      </c>
      <c r="T15" s="41">
        <f>(T14-D14)/D14</f>
        <v>0.16963261630458296</v>
      </c>
      <c r="U15" s="41">
        <f t="shared" ref="U15:Z15" si="1">(U14-E14)/E14</f>
        <v>-8.7343361326606611E-2</v>
      </c>
      <c r="V15" s="41">
        <f t="shared" si="1"/>
        <v>0</v>
      </c>
      <c r="W15" s="41">
        <f t="shared" si="1"/>
        <v>-0.27941176470588236</v>
      </c>
      <c r="X15" s="41">
        <f t="shared" si="1"/>
        <v>5.2010804901753395E-2</v>
      </c>
      <c r="Y15" s="41">
        <f t="shared" si="1"/>
        <v>3.1593689759542687E-2</v>
      </c>
      <c r="Z15" s="41">
        <f t="shared" si="1"/>
        <v>1.0345224103082189E-2</v>
      </c>
    </row>
    <row r="16" spans="2:27" x14ac:dyDescent="0.2">
      <c r="D16" s="2"/>
    </row>
    <row r="17" spans="4:4" x14ac:dyDescent="0.2">
      <c r="D17" s="2"/>
    </row>
    <row r="33" s="1" customFormat="1" x14ac:dyDescent="0.2"/>
  </sheetData>
  <mergeCells count="1">
    <mergeCell ref="B14:C14"/>
  </mergeCells>
  <conditionalFormatting sqref="C1:C13 C16:C1048576">
    <cfRule type="duplicateValues" dxfId="107" priority="5"/>
    <cfRule type="duplicateValues" dxfId="106" priority="6"/>
  </conditionalFormatting>
  <conditionalFormatting sqref="C14">
    <cfRule type="duplicateValues" dxfId="105" priority="3"/>
    <cfRule type="duplicateValues" dxfId="104" priority="4"/>
  </conditionalFormatting>
  <conditionalFormatting sqref="C15">
    <cfRule type="duplicateValues" dxfId="103" priority="1"/>
    <cfRule type="duplicateValues" dxfId="10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550B5-1683-4968-82D7-815A76EA5997}">
  <dimension ref="B1:AA33"/>
  <sheetViews>
    <sheetView zoomScale="90" zoomScaleNormal="90" workbookViewId="0">
      <selection activeCell="U20" sqref="U20:U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-0.98423784007651793</v>
      </c>
      <c r="J2" s="28" t="e">
        <f>(S14-J14)/J14</f>
        <v>#DIV/0!</v>
      </c>
      <c r="K2" s="28"/>
      <c r="L2" s="1" t="s">
        <v>19</v>
      </c>
      <c r="P2" s="1">
        <f>(P14-H14)/H14</f>
        <v>-0.21361888804670728</v>
      </c>
      <c r="R2" s="1">
        <f>(R14-J14)/J14</f>
        <v>-0.1337501870725756</v>
      </c>
      <c r="T2" s="1" t="s">
        <v>20</v>
      </c>
      <c r="X2" s="1">
        <f>(X14-P14)/P14</f>
        <v>0.29506137090068724</v>
      </c>
      <c r="Z2" s="1">
        <f>(Z14-R14)/R14</f>
        <v>0.18323687828754961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396</v>
      </c>
      <c r="D4" s="23">
        <v>2715749.983058868</v>
      </c>
      <c r="E4" s="33">
        <v>576.46538669234496</v>
      </c>
      <c r="F4" s="5">
        <v>10</v>
      </c>
      <c r="G4" s="23">
        <v>62</v>
      </c>
      <c r="H4" s="33">
        <v>1763.3325791083757</v>
      </c>
      <c r="I4" s="23">
        <v>44.988602459116606</v>
      </c>
      <c r="J4" s="5">
        <v>7273.3121834291387</v>
      </c>
      <c r="K4" s="31"/>
      <c r="L4" s="23">
        <v>2979215.9912102348</v>
      </c>
      <c r="M4" s="33">
        <v>704.63873969229792</v>
      </c>
      <c r="N4" s="5">
        <v>13</v>
      </c>
      <c r="O4" s="5">
        <v>45</v>
      </c>
      <c r="P4" s="33">
        <v>988.21487726306657</v>
      </c>
      <c r="Q4" s="5">
        <v>23.049132477707481</v>
      </c>
      <c r="R4" s="5">
        <v>5530.7398102384886</v>
      </c>
      <c r="S4" s="35"/>
      <c r="T4" s="23">
        <v>3242791.1897547962</v>
      </c>
      <c r="U4" s="33">
        <v>171.69311807692378</v>
      </c>
      <c r="V4" s="5">
        <v>8</v>
      </c>
      <c r="W4" s="5">
        <v>36.5</v>
      </c>
      <c r="X4" s="33">
        <v>1449.904316574135</v>
      </c>
      <c r="Y4" s="5">
        <v>48.977787886093438</v>
      </c>
      <c r="Z4" s="5">
        <v>7098.2690258967732</v>
      </c>
      <c r="AA4" s="35"/>
    </row>
    <row r="5" spans="2:27" x14ac:dyDescent="0.2">
      <c r="B5" s="4">
        <v>2</v>
      </c>
      <c r="C5" s="4">
        <v>941</v>
      </c>
      <c r="D5" s="23">
        <v>2584602.5793640958</v>
      </c>
      <c r="E5" s="33">
        <v>438.83688653846127</v>
      </c>
      <c r="F5" s="5">
        <v>10</v>
      </c>
      <c r="G5" s="23">
        <v>65</v>
      </c>
      <c r="H5" s="33">
        <v>1463.861282382363</v>
      </c>
      <c r="I5" s="23">
        <v>47.308015931491319</v>
      </c>
      <c r="J5" s="5">
        <v>6938.9977717116744</v>
      </c>
      <c r="K5" s="31"/>
      <c r="L5" s="23">
        <v>2951818.3780505271</v>
      </c>
      <c r="M5" s="33">
        <v>320.7113944615524</v>
      </c>
      <c r="N5" s="5">
        <v>11</v>
      </c>
      <c r="O5" s="5">
        <v>45</v>
      </c>
      <c r="P5" s="33">
        <v>1031.2358676732479</v>
      </c>
      <c r="Q5" s="5">
        <v>26.892977365410783</v>
      </c>
      <c r="R5" s="5">
        <v>5678.7204573644703</v>
      </c>
      <c r="S5" s="35"/>
      <c r="T5" s="23">
        <v>2983608.774544179</v>
      </c>
      <c r="U5" s="33">
        <v>262.11656246155212</v>
      </c>
      <c r="V5" s="5">
        <v>10</v>
      </c>
      <c r="W5" s="5">
        <v>47.5</v>
      </c>
      <c r="X5" s="33">
        <v>1449.5241584374903</v>
      </c>
      <c r="Y5" s="5">
        <v>49.116686745203488</v>
      </c>
      <c r="Z5" s="5">
        <v>6969.7247418944689</v>
      </c>
      <c r="AA5" s="35"/>
    </row>
    <row r="6" spans="2:27" x14ac:dyDescent="0.2">
      <c r="B6" s="4">
        <v>3</v>
      </c>
      <c r="C6" s="4">
        <v>7</v>
      </c>
      <c r="D6" s="23">
        <v>2599477.948226898</v>
      </c>
      <c r="E6" s="33">
        <v>710.89360561535261</v>
      </c>
      <c r="F6" s="5">
        <v>10</v>
      </c>
      <c r="G6" s="23">
        <v>65</v>
      </c>
      <c r="H6" s="33">
        <v>1559.2205488712953</v>
      </c>
      <c r="I6" s="23">
        <v>49.188061589131848</v>
      </c>
      <c r="J6" s="5">
        <v>7074.4676116285618</v>
      </c>
      <c r="K6" s="31"/>
      <c r="L6" s="23">
        <v>2988838.3057831898</v>
      </c>
      <c r="M6" s="33">
        <v>533.47688900002345</v>
      </c>
      <c r="N6" s="5">
        <v>12</v>
      </c>
      <c r="O6" s="5">
        <v>46</v>
      </c>
      <c r="P6" s="33">
        <v>1110.8781524024969</v>
      </c>
      <c r="Q6" s="5">
        <v>26.383685988055742</v>
      </c>
      <c r="R6" s="5">
        <v>6071.1570838278012</v>
      </c>
      <c r="S6" s="35"/>
      <c r="T6" s="23">
        <v>3099720.0614221208</v>
      </c>
      <c r="U6" s="33">
        <v>361.70211284618387</v>
      </c>
      <c r="V6" s="5">
        <v>9</v>
      </c>
      <c r="W6" s="5">
        <v>43</v>
      </c>
      <c r="X6" s="33">
        <v>1562.6704438058598</v>
      </c>
      <c r="Y6" s="5">
        <v>49.276662483045143</v>
      </c>
      <c r="Z6" s="5">
        <v>7188.1072742548868</v>
      </c>
      <c r="AA6" s="35"/>
    </row>
    <row r="7" spans="2:27" x14ac:dyDescent="0.2">
      <c r="B7" s="4">
        <v>4</v>
      </c>
      <c r="C7" s="4">
        <v>556</v>
      </c>
      <c r="D7" s="23">
        <v>2642420.854365678</v>
      </c>
      <c r="E7" s="33">
        <v>733.50613323076129</v>
      </c>
      <c r="F7" s="5">
        <v>10</v>
      </c>
      <c r="G7" s="23">
        <v>63</v>
      </c>
      <c r="H7" s="33">
        <v>1569.2258745975892</v>
      </c>
      <c r="I7" s="23">
        <v>46.599582232187366</v>
      </c>
      <c r="J7" s="5">
        <v>7025.300327902457</v>
      </c>
      <c r="K7" s="31"/>
      <c r="L7" s="23">
        <v>3018722.459051888</v>
      </c>
      <c r="M7" s="33">
        <v>500.84478576918343</v>
      </c>
      <c r="N7" s="5">
        <v>12</v>
      </c>
      <c r="O7" s="5">
        <v>45.5</v>
      </c>
      <c r="P7" s="33">
        <v>1217.1248838151243</v>
      </c>
      <c r="Q7" s="5">
        <v>25.858298764517667</v>
      </c>
      <c r="R7" s="5">
        <v>6141.9340251342364</v>
      </c>
      <c r="S7" s="35"/>
      <c r="T7" s="23">
        <v>2970625.972012246</v>
      </c>
      <c r="U7" s="33">
        <v>412.58705523079976</v>
      </c>
      <c r="V7" s="5">
        <v>11</v>
      </c>
      <c r="W7" s="5">
        <v>49</v>
      </c>
      <c r="X7" s="33">
        <v>1464.4326366343296</v>
      </c>
      <c r="Y7" s="5">
        <v>45.781628147529304</v>
      </c>
      <c r="Z7" s="5">
        <v>6991.3663098151865</v>
      </c>
      <c r="AA7" s="35"/>
    </row>
    <row r="8" spans="2:27" x14ac:dyDescent="0.2">
      <c r="B8" s="4">
        <v>5</v>
      </c>
      <c r="C8" s="4">
        <v>24</v>
      </c>
      <c r="D8" s="23">
        <v>2714691.479104307</v>
      </c>
      <c r="E8" s="33">
        <v>521.22225361544849</v>
      </c>
      <c r="F8" s="5">
        <v>11</v>
      </c>
      <c r="G8" s="23">
        <v>63</v>
      </c>
      <c r="H8" s="33">
        <v>1841.4052173151999</v>
      </c>
      <c r="I8" s="23">
        <v>42.989530153261221</v>
      </c>
      <c r="J8" s="5">
        <v>7275.8099822071936</v>
      </c>
      <c r="K8" s="31"/>
      <c r="L8" s="23">
        <v>3103821.5452959142</v>
      </c>
      <c r="M8" s="33">
        <v>399.58912415385174</v>
      </c>
      <c r="N8" s="5">
        <v>10</v>
      </c>
      <c r="O8" s="5">
        <v>38.5</v>
      </c>
      <c r="P8" s="33">
        <v>913.01497175679469</v>
      </c>
      <c r="Q8" s="5">
        <v>27.696068525745993</v>
      </c>
      <c r="R8" s="5">
        <v>5668.7463049916687</v>
      </c>
      <c r="S8" s="35"/>
      <c r="T8" s="23">
        <v>3120720.9918705248</v>
      </c>
      <c r="U8" s="33">
        <v>256.69407346156032</v>
      </c>
      <c r="V8" s="5">
        <v>9</v>
      </c>
      <c r="W8" s="5">
        <v>41.5</v>
      </c>
      <c r="X8" s="33">
        <v>1447.3885099986599</v>
      </c>
      <c r="Y8" s="5">
        <v>46.740046190586249</v>
      </c>
      <c r="Z8" s="5">
        <v>6989.1151924346032</v>
      </c>
      <c r="AA8" s="35"/>
    </row>
    <row r="9" spans="2:27" x14ac:dyDescent="0.2">
      <c r="B9" s="4">
        <v>6</v>
      </c>
      <c r="C9" s="4">
        <v>738</v>
      </c>
      <c r="D9" s="23">
        <v>2583708.584857027</v>
      </c>
      <c r="E9" s="33">
        <v>552.54906807685848</v>
      </c>
      <c r="F9" s="5">
        <v>10</v>
      </c>
      <c r="G9" s="23">
        <v>65.5</v>
      </c>
      <c r="H9" s="33">
        <v>1507.3454525363661</v>
      </c>
      <c r="I9" s="23">
        <v>47.746935122307818</v>
      </c>
      <c r="J9" s="5">
        <v>6960.3739879333625</v>
      </c>
      <c r="K9" s="31"/>
      <c r="L9" s="23">
        <v>2930398.083083652</v>
      </c>
      <c r="M9" s="33">
        <v>366.86869023081198</v>
      </c>
      <c r="N9" s="5">
        <v>13</v>
      </c>
      <c r="O9" s="5">
        <v>46</v>
      </c>
      <c r="P9" s="33">
        <v>842.1557113010798</v>
      </c>
      <c r="Q9" s="5">
        <v>24.169613254977264</v>
      </c>
      <c r="R9" s="5">
        <v>5394.142627465596</v>
      </c>
      <c r="S9" s="35"/>
      <c r="T9" s="23">
        <v>2953514.1696443888</v>
      </c>
      <c r="U9" s="33">
        <v>492.89787846156213</v>
      </c>
      <c r="V9" s="5">
        <v>10</v>
      </c>
      <c r="W9" s="5">
        <v>50</v>
      </c>
      <c r="X9" s="33">
        <v>1582.0023637434847</v>
      </c>
      <c r="Y9" s="5">
        <v>50.924384377363062</v>
      </c>
      <c r="Z9" s="5">
        <v>7166.7577111864402</v>
      </c>
      <c r="AA9" s="35"/>
    </row>
    <row r="10" spans="2:27" x14ac:dyDescent="0.2">
      <c r="B10" s="4">
        <v>7</v>
      </c>
      <c r="C10" s="4">
        <v>574</v>
      </c>
      <c r="D10" s="23">
        <v>2666258.7116721598</v>
      </c>
      <c r="E10" s="33">
        <v>241.05430523076882</v>
      </c>
      <c r="F10" s="5">
        <v>12</v>
      </c>
      <c r="G10" s="23">
        <v>66</v>
      </c>
      <c r="H10" s="33">
        <v>1929.5576018885208</v>
      </c>
      <c r="I10" s="23">
        <v>41.759876825913246</v>
      </c>
      <c r="J10" s="5">
        <v>7266.2905476368815</v>
      </c>
      <c r="K10" s="31"/>
      <c r="L10" s="23">
        <v>2957569.1886269189</v>
      </c>
      <c r="M10" s="33">
        <v>611.43772961544948</v>
      </c>
      <c r="N10" s="5">
        <v>12</v>
      </c>
      <c r="O10" s="5">
        <v>46</v>
      </c>
      <c r="P10" s="33">
        <v>1041.663763001899</v>
      </c>
      <c r="Q10" s="5">
        <v>25.566930087102602</v>
      </c>
      <c r="R10" s="5">
        <v>5828.2742117558082</v>
      </c>
      <c r="S10" s="35"/>
      <c r="T10" s="23">
        <v>3030288.8218155759</v>
      </c>
      <c r="U10" s="33">
        <v>324.11095746152569</v>
      </c>
      <c r="V10" s="5">
        <v>10</v>
      </c>
      <c r="W10" s="5">
        <v>47.5</v>
      </c>
      <c r="X10" s="33">
        <v>1703.2491481160389</v>
      </c>
      <c r="Y10" s="5">
        <v>46.300999512125451</v>
      </c>
      <c r="Z10" s="5">
        <v>7157.6171375252507</v>
      </c>
      <c r="AA10" s="35"/>
    </row>
    <row r="11" spans="2:27" x14ac:dyDescent="0.2">
      <c r="B11" s="4">
        <v>8</v>
      </c>
      <c r="C11" s="4">
        <v>60</v>
      </c>
      <c r="D11" s="23">
        <v>2581283.389286655</v>
      </c>
      <c r="E11" s="33">
        <v>184.00337623074077</v>
      </c>
      <c r="F11" s="5">
        <v>11</v>
      </c>
      <c r="G11" s="23">
        <v>66.5</v>
      </c>
      <c r="H11" s="33">
        <v>1553.4014456142847</v>
      </c>
      <c r="I11" s="23">
        <v>44.33519078558151</v>
      </c>
      <c r="J11" s="5">
        <v>6992.10387505778</v>
      </c>
      <c r="K11" s="31"/>
      <c r="L11" s="23">
        <v>2919655.1354187098</v>
      </c>
      <c r="M11" s="33">
        <v>879.18754169233841</v>
      </c>
      <c r="N11" s="5">
        <v>14</v>
      </c>
      <c r="O11" s="5">
        <v>50</v>
      </c>
      <c r="P11" s="33">
        <v>1221.5655561120136</v>
      </c>
      <c r="Q11" s="5">
        <v>24.484962011140734</v>
      </c>
      <c r="R11" s="5">
        <v>6056.9086737379212</v>
      </c>
      <c r="S11" s="35"/>
      <c r="T11" s="23">
        <v>3060386.9541256852</v>
      </c>
      <c r="U11" s="33">
        <v>510.69411630769116</v>
      </c>
      <c r="V11" s="5">
        <v>9</v>
      </c>
      <c r="W11" s="5">
        <v>45</v>
      </c>
      <c r="X11" s="33">
        <v>1608.6060719076982</v>
      </c>
      <c r="Y11" s="5">
        <v>52.129404746937979</v>
      </c>
      <c r="Z11" s="5">
        <v>7166.5564456567909</v>
      </c>
      <c r="AA11" s="35"/>
    </row>
    <row r="12" spans="2:27" x14ac:dyDescent="0.2">
      <c r="B12" s="4">
        <v>9</v>
      </c>
      <c r="C12" s="4">
        <v>406</v>
      </c>
      <c r="D12" s="23">
        <v>2722103.1441249638</v>
      </c>
      <c r="E12" s="33">
        <v>432.00606438465633</v>
      </c>
      <c r="F12" s="5">
        <v>10</v>
      </c>
      <c r="G12" s="23">
        <v>61.5</v>
      </c>
      <c r="H12" s="33">
        <v>1720.9793818837975</v>
      </c>
      <c r="I12" s="23">
        <v>45.09973102462002</v>
      </c>
      <c r="J12" s="5">
        <v>7256.894915202518</v>
      </c>
      <c r="K12" s="31"/>
      <c r="L12" s="23">
        <v>3005088.0926961252</v>
      </c>
      <c r="M12" s="33">
        <v>653.57422376920181</v>
      </c>
      <c r="N12" s="5">
        <v>10</v>
      </c>
      <c r="O12" s="5">
        <v>43</v>
      </c>
      <c r="P12" s="33">
        <v>1101.1184546099958</v>
      </c>
      <c r="Q12" s="5">
        <v>30.775184590990932</v>
      </c>
      <c r="R12" s="5">
        <v>5843.0258720835882</v>
      </c>
      <c r="S12" s="35"/>
      <c r="T12" s="23">
        <v>2954144.85704525</v>
      </c>
      <c r="U12" s="33">
        <v>591.61416415384826</v>
      </c>
      <c r="V12" s="5">
        <v>10</v>
      </c>
      <c r="W12" s="5">
        <v>49.5</v>
      </c>
      <c r="X12" s="33">
        <v>1519.5530007284815</v>
      </c>
      <c r="Y12" s="5">
        <v>50.179798316901504</v>
      </c>
      <c r="Z12" s="5">
        <v>7064.3148782595881</v>
      </c>
      <c r="AA12" s="35"/>
    </row>
    <row r="13" spans="2:27" x14ac:dyDescent="0.2">
      <c r="B13" s="4">
        <v>10</v>
      </c>
      <c r="C13" s="4">
        <v>519</v>
      </c>
      <c r="D13" s="23">
        <v>2584232.4168926468</v>
      </c>
      <c r="E13" s="33">
        <v>608.72503176922555</v>
      </c>
      <c r="F13" s="5">
        <v>10</v>
      </c>
      <c r="G13" s="23">
        <v>65.5</v>
      </c>
      <c r="H13" s="33">
        <v>1521.0650470344895</v>
      </c>
      <c r="I13" s="23">
        <v>47.704782365385412</v>
      </c>
      <c r="J13" s="5">
        <v>6973.3648032785322</v>
      </c>
      <c r="K13" s="31"/>
      <c r="L13" s="23">
        <v>3063997.8096680972</v>
      </c>
      <c r="M13" s="33">
        <v>634.54894884614851</v>
      </c>
      <c r="N13" s="5">
        <v>10</v>
      </c>
      <c r="O13" s="5">
        <v>40.5</v>
      </c>
      <c r="P13" s="33">
        <v>960.46708250128165</v>
      </c>
      <c r="Q13" s="5">
        <v>27.882733691803555</v>
      </c>
      <c r="R13" s="5">
        <v>5838.6159570598911</v>
      </c>
      <c r="S13" s="35"/>
      <c r="T13" s="23">
        <v>2954897.275022699</v>
      </c>
      <c r="U13" s="33">
        <v>528.22258184614702</v>
      </c>
      <c r="V13" s="5">
        <v>10</v>
      </c>
      <c r="W13" s="5">
        <v>50</v>
      </c>
      <c r="X13" s="33">
        <v>1594.6016641330787</v>
      </c>
      <c r="Y13" s="5">
        <v>50.856819801769014</v>
      </c>
      <c r="Z13" s="5">
        <v>7129.8273867336693</v>
      </c>
      <c r="AA13" s="35"/>
    </row>
    <row r="14" spans="2:27" x14ac:dyDescent="0.2">
      <c r="B14" s="47" t="s">
        <v>3</v>
      </c>
      <c r="C14" s="48"/>
      <c r="D14" s="9">
        <f>MIN(D4:D13)</f>
        <v>2581283.389286655</v>
      </c>
      <c r="E14" s="22">
        <f>INDEX(E4:E13, MATCH($D$14, D4:D13, 0))</f>
        <v>184.00337623074077</v>
      </c>
      <c r="F14" s="9">
        <f>INDEX(F4:F13, MATCH($D$14, D4:D13, 0))</f>
        <v>11</v>
      </c>
      <c r="G14" s="9">
        <f>INDEX(G4:G13, MATCH($D$14, D4:D13, 0))</f>
        <v>66.5</v>
      </c>
      <c r="H14" s="22">
        <f>INDEX(H4:H13, MATCH($D$14, D4:D13, 0))</f>
        <v>1553.4014456142847</v>
      </c>
      <c r="I14" s="22">
        <f>INDEX(I4:I13, MATCH($D$14, D4:D13, 0))</f>
        <v>44.33519078558151</v>
      </c>
      <c r="J14" s="22">
        <f>INDEX(J4:J13, MATCH($D$14, D4:D13, 0))</f>
        <v>6992.10387505778</v>
      </c>
      <c r="K14" s="32" t="e">
        <f>(D14-$D$15)/$D$15</f>
        <v>#DIV/0!</v>
      </c>
      <c r="L14" s="16">
        <f>MIN(L4:L13)</f>
        <v>2919655.1354187098</v>
      </c>
      <c r="M14" s="21">
        <f>INDEX(M4:M13, MATCH($L$14, L4:L13, 0))</f>
        <v>879.18754169233841</v>
      </c>
      <c r="N14" s="16">
        <f>INDEX(N4:N13, MATCH($L$14, L4:L13, 0))</f>
        <v>14</v>
      </c>
      <c r="O14" s="16">
        <f>INDEX(O4:O13, MATCH($L$14, L4:L13, 0))</f>
        <v>50</v>
      </c>
      <c r="P14" s="21">
        <f>INDEX(P4:P13, MATCH($L$14, L4:L13, 0))</f>
        <v>1221.5655561120136</v>
      </c>
      <c r="Q14" s="21">
        <f>INDEX(Q4:Q13, MATCH($L$14, L4:L13, 0))</f>
        <v>24.484962011140734</v>
      </c>
      <c r="R14" s="21">
        <f>INDEX(R4:R13, MATCH($L$14, L4:L13, 0))</f>
        <v>6056.9086737379212</v>
      </c>
      <c r="S14" s="36" t="e">
        <f>(L14-$D$15)/$D$15</f>
        <v>#DIV/0!</v>
      </c>
      <c r="T14" s="38">
        <f>MIN(T4:T13)</f>
        <v>2953514.1696443888</v>
      </c>
      <c r="U14" s="39">
        <f>INDEX(U4:U13, MATCH($T$14, T4:T13, 0))</f>
        <v>492.89787846156213</v>
      </c>
      <c r="V14" s="38">
        <f>INDEX(V4:V13, MATCH($T$14, T4:T13, 0))</f>
        <v>10</v>
      </c>
      <c r="W14" s="38">
        <f>INDEX(W4:W13, MATCH($T$14, T4:T13, 0))</f>
        <v>50</v>
      </c>
      <c r="X14" s="39">
        <f>INDEX(X4:X13, MATCH($T$14, T4:T13, 0))</f>
        <v>1582.0023637434847</v>
      </c>
      <c r="Y14" s="39">
        <f>INDEX(Y4:Y13, MATCH($T$14, T4:T13, 0))</f>
        <v>50.924384377363062</v>
      </c>
      <c r="Z14" s="39">
        <f>INDEX(Z4:Z13, MATCH($T$14, T4:T13, 0))</f>
        <v>7166.7577111864402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0.13108663215221977</v>
      </c>
      <c r="M15" s="41">
        <f t="shared" ref="M15:R15" si="0">(M14-E14)/E14</f>
        <v>3.7781054875310263</v>
      </c>
      <c r="N15" s="41">
        <f t="shared" si="0"/>
        <v>0.27272727272727271</v>
      </c>
      <c r="O15" s="41">
        <f t="shared" si="0"/>
        <v>-0.24812030075187969</v>
      </c>
      <c r="P15" s="41">
        <f t="shared" si="0"/>
        <v>-0.21361888804670728</v>
      </c>
      <c r="Q15" s="41">
        <f t="shared" si="0"/>
        <v>-0.44773076246457427</v>
      </c>
      <c r="R15" s="41">
        <f t="shared" si="0"/>
        <v>-0.1337501870725756</v>
      </c>
      <c r="T15" s="41">
        <f>(T14-D14)/D14</f>
        <v>0.14420376387290079</v>
      </c>
      <c r="U15" s="41">
        <f t="shared" ref="U15:Z15" si="1">(U14-E14)/E14</f>
        <v>1.6787436652437655</v>
      </c>
      <c r="V15" s="41">
        <f t="shared" si="1"/>
        <v>-9.0909090909090912E-2</v>
      </c>
      <c r="W15" s="41">
        <f t="shared" si="1"/>
        <v>-0.24812030075187969</v>
      </c>
      <c r="X15" s="41">
        <f t="shared" si="1"/>
        <v>1.8411800896638065E-2</v>
      </c>
      <c r="Y15" s="41">
        <f t="shared" si="1"/>
        <v>0.14862219999568513</v>
      </c>
      <c r="Z15" s="41">
        <f t="shared" si="1"/>
        <v>2.4978724465419499E-2</v>
      </c>
    </row>
    <row r="16" spans="2:27" x14ac:dyDescent="0.2">
      <c r="D16" s="2"/>
    </row>
    <row r="17" spans="4:4" x14ac:dyDescent="0.2">
      <c r="D17" s="2"/>
    </row>
    <row r="33" s="1" customFormat="1" x14ac:dyDescent="0.2"/>
  </sheetData>
  <mergeCells count="1">
    <mergeCell ref="B14:C14"/>
  </mergeCells>
  <conditionalFormatting sqref="C1:C13 C16:C19 C34:C1048576">
    <cfRule type="duplicateValues" dxfId="101" priority="7"/>
    <cfRule type="duplicateValues" dxfId="100" priority="8"/>
  </conditionalFormatting>
  <conditionalFormatting sqref="C14">
    <cfRule type="duplicateValues" dxfId="99" priority="5"/>
    <cfRule type="duplicateValues" dxfId="98" priority="6"/>
  </conditionalFormatting>
  <conditionalFormatting sqref="C15">
    <cfRule type="duplicateValues" dxfId="97" priority="3"/>
    <cfRule type="duplicateValues" dxfId="96" priority="4"/>
  </conditionalFormatting>
  <conditionalFormatting sqref="C20:C33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01E2-E0DD-4F49-AB2D-67C29A962699}">
  <dimension ref="B1:AA17"/>
  <sheetViews>
    <sheetView zoomScale="90" zoomScaleNormal="90" workbookViewId="0">
      <selection activeCell="U20" sqref="U20:U3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-0.98552235018458823</v>
      </c>
      <c r="J2" s="28" t="e">
        <f>(S14-J14)/J14</f>
        <v>#DIV/0!</v>
      </c>
      <c r="K2" s="28"/>
      <c r="L2" s="1" t="s">
        <v>19</v>
      </c>
      <c r="P2" s="1">
        <f>(P14-H14)/H14</f>
        <v>-0.16304298646968518</v>
      </c>
      <c r="R2" s="1">
        <f>(R14-J14)/J14</f>
        <v>-0.11778178504291961</v>
      </c>
      <c r="T2" s="1" t="s">
        <v>20</v>
      </c>
      <c r="X2" s="1">
        <f>(X14-P14)/P14</f>
        <v>0.25511946785048395</v>
      </c>
      <c r="Z2" s="1">
        <f>(Z14-R14)/R14</f>
        <v>0.15705473994722879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411</v>
      </c>
      <c r="D4" s="23">
        <v>2623466.0034252452</v>
      </c>
      <c r="E4" s="33">
        <v>743.06571484615017</v>
      </c>
      <c r="F4" s="5">
        <v>11</v>
      </c>
      <c r="G4" s="23">
        <v>67</v>
      </c>
      <c r="H4" s="33">
        <v>1792.4178419848356</v>
      </c>
      <c r="I4" s="23">
        <v>42.896139013209392</v>
      </c>
      <c r="J4" s="5">
        <v>7200.9834083663018</v>
      </c>
      <c r="K4" s="31"/>
      <c r="L4" s="23">
        <v>2893843.531958973</v>
      </c>
      <c r="M4" s="33">
        <v>430.61888653847672</v>
      </c>
      <c r="N4" s="5">
        <v>14</v>
      </c>
      <c r="O4" s="5">
        <v>51.5</v>
      </c>
      <c r="P4" s="33">
        <v>1321.5643362399981</v>
      </c>
      <c r="Q4" s="5">
        <v>24.882629228704339</v>
      </c>
      <c r="R4" s="5">
        <v>6177.1808458482374</v>
      </c>
      <c r="S4" s="35"/>
      <c r="T4" s="23">
        <v>2987146.2250083671</v>
      </c>
      <c r="U4" s="33">
        <v>298.49169876918984</v>
      </c>
      <c r="V4" s="5">
        <v>10</v>
      </c>
      <c r="W4" s="5">
        <v>48</v>
      </c>
      <c r="X4" s="33">
        <v>1608.4963198971845</v>
      </c>
      <c r="Y4" s="5">
        <v>49.018295464222312</v>
      </c>
      <c r="Z4" s="5">
        <v>7019.1302749478773</v>
      </c>
      <c r="AA4" s="35"/>
    </row>
    <row r="5" spans="2:27" x14ac:dyDescent="0.2">
      <c r="B5" s="4">
        <v>2</v>
      </c>
      <c r="C5" s="4">
        <v>718</v>
      </c>
      <c r="D5" s="23">
        <v>2627281.8301881291</v>
      </c>
      <c r="E5" s="33">
        <v>265.41453030775301</v>
      </c>
      <c r="F5" s="5">
        <v>11</v>
      </c>
      <c r="G5" s="23">
        <v>65</v>
      </c>
      <c r="H5" s="33">
        <v>1691.0337464113682</v>
      </c>
      <c r="I5" s="23">
        <v>42.83161233953939</v>
      </c>
      <c r="J5" s="5">
        <v>7012.5130895736129</v>
      </c>
      <c r="K5" s="31"/>
      <c r="L5" s="23">
        <v>2907110.2069047112</v>
      </c>
      <c r="M5" s="33">
        <v>933.37675915377304</v>
      </c>
      <c r="N5" s="5">
        <v>14</v>
      </c>
      <c r="O5" s="5">
        <v>50.5</v>
      </c>
      <c r="P5" s="33">
        <v>1188.0326120845657</v>
      </c>
      <c r="Q5" s="5">
        <v>24.869679112053976</v>
      </c>
      <c r="R5" s="5">
        <v>6073.7745672535075</v>
      </c>
      <c r="S5" s="35"/>
      <c r="T5" s="23">
        <v>3032889.4349409929</v>
      </c>
      <c r="U5" s="33">
        <v>340.5830457691963</v>
      </c>
      <c r="V5" s="5">
        <v>11</v>
      </c>
      <c r="W5" s="5">
        <v>47.5</v>
      </c>
      <c r="X5" s="33">
        <v>1718.1512754517892</v>
      </c>
      <c r="Y5" s="5">
        <v>45.506652323465801</v>
      </c>
      <c r="Z5" s="5">
        <v>7190.0518766434516</v>
      </c>
      <c r="AA5" s="35"/>
    </row>
    <row r="6" spans="2:27" x14ac:dyDescent="0.2">
      <c r="B6" s="4">
        <v>3</v>
      </c>
      <c r="C6" s="4">
        <v>931</v>
      </c>
      <c r="D6" s="23">
        <v>2625693.9763161149</v>
      </c>
      <c r="E6" s="33">
        <v>358.99836546150391</v>
      </c>
      <c r="F6" s="5">
        <v>11</v>
      </c>
      <c r="G6" s="23">
        <v>65.5</v>
      </c>
      <c r="H6" s="33">
        <v>1730.2994842526414</v>
      </c>
      <c r="I6" s="23">
        <v>43.327150476603578</v>
      </c>
      <c r="J6" s="5">
        <v>7068.2680757510907</v>
      </c>
      <c r="K6" s="31"/>
      <c r="L6" s="23">
        <v>2946349.4160661348</v>
      </c>
      <c r="M6" s="33">
        <v>303.61656623077579</v>
      </c>
      <c r="N6" s="5">
        <v>11</v>
      </c>
      <c r="O6" s="5">
        <v>45</v>
      </c>
      <c r="P6" s="33">
        <v>860.95859812787853</v>
      </c>
      <c r="Q6" s="5">
        <v>25.945025684076732</v>
      </c>
      <c r="R6" s="5">
        <v>5557.7623020385836</v>
      </c>
      <c r="S6" s="35"/>
      <c r="T6" s="23">
        <v>2986966.4406587612</v>
      </c>
      <c r="U6" s="33">
        <v>342.74182899998351</v>
      </c>
      <c r="V6" s="5">
        <v>10</v>
      </c>
      <c r="W6" s="5">
        <v>48.5</v>
      </c>
      <c r="X6" s="33">
        <v>1660.7335840276212</v>
      </c>
      <c r="Y6" s="5">
        <v>49.463146880833285</v>
      </c>
      <c r="Z6" s="5">
        <v>7096.8249209850037</v>
      </c>
      <c r="AA6" s="35"/>
    </row>
    <row r="7" spans="2:27" x14ac:dyDescent="0.2">
      <c r="B7" s="4">
        <v>4</v>
      </c>
      <c r="C7" s="4">
        <v>95</v>
      </c>
      <c r="D7" s="23">
        <v>2621966.7103918651</v>
      </c>
      <c r="E7" s="33">
        <v>218.28081153843624</v>
      </c>
      <c r="F7" s="5">
        <v>11</v>
      </c>
      <c r="G7" s="23">
        <v>66.5</v>
      </c>
      <c r="H7" s="33">
        <v>1817.1005048262614</v>
      </c>
      <c r="I7" s="23">
        <v>44.044770198925839</v>
      </c>
      <c r="J7" s="5">
        <v>7159.0085270606478</v>
      </c>
      <c r="K7" s="31"/>
      <c r="L7" s="23">
        <v>2950415.3607808012</v>
      </c>
      <c r="M7" s="33">
        <v>499.88941169236426</v>
      </c>
      <c r="N7" s="5">
        <v>13</v>
      </c>
      <c r="O7" s="5">
        <v>46</v>
      </c>
      <c r="P7" s="33">
        <v>974.05396698095899</v>
      </c>
      <c r="Q7" s="5">
        <v>24.508198823966186</v>
      </c>
      <c r="R7" s="5">
        <v>5617.3140028807902</v>
      </c>
      <c r="S7" s="35"/>
      <c r="T7" s="23">
        <v>3030825.6890787249</v>
      </c>
      <c r="U7" s="33">
        <v>367.75265969233055</v>
      </c>
      <c r="V7" s="5">
        <v>11</v>
      </c>
      <c r="W7" s="5">
        <v>49</v>
      </c>
      <c r="X7" s="33">
        <v>1926.9950405613449</v>
      </c>
      <c r="Y7" s="5">
        <v>49.836682998740635</v>
      </c>
      <c r="Z7" s="5">
        <v>7432.0226722014713</v>
      </c>
      <c r="AA7" s="35"/>
    </row>
    <row r="8" spans="2:27" x14ac:dyDescent="0.2">
      <c r="B8" s="4">
        <v>5</v>
      </c>
      <c r="C8" s="4">
        <v>611</v>
      </c>
      <c r="D8" s="23">
        <v>2588127.5660862699</v>
      </c>
      <c r="E8" s="33">
        <v>243.93557776920855</v>
      </c>
      <c r="F8" s="5">
        <v>10</v>
      </c>
      <c r="G8" s="23">
        <v>65.5</v>
      </c>
      <c r="H8" s="33">
        <v>1591.071528455748</v>
      </c>
      <c r="I8" s="23">
        <v>47.747201843049886</v>
      </c>
      <c r="J8" s="5">
        <v>6986.8336220848851</v>
      </c>
      <c r="K8" s="31"/>
      <c r="L8" s="23">
        <v>2977640.1510698171</v>
      </c>
      <c r="M8" s="33">
        <v>413.53292038467208</v>
      </c>
      <c r="N8" s="5">
        <v>11</v>
      </c>
      <c r="O8" s="5">
        <v>43</v>
      </c>
      <c r="P8" s="33">
        <v>780.63462877843415</v>
      </c>
      <c r="Q8" s="5">
        <v>25.045804974232954</v>
      </c>
      <c r="R8" s="5">
        <v>5480.9888543919742</v>
      </c>
      <c r="S8" s="35"/>
      <c r="T8" s="23">
        <v>3048725.6527956268</v>
      </c>
      <c r="U8" s="33">
        <v>253.255817461535</v>
      </c>
      <c r="V8" s="5">
        <v>10</v>
      </c>
      <c r="W8" s="5">
        <v>46</v>
      </c>
      <c r="X8" s="33">
        <v>1756.716706244647</v>
      </c>
      <c r="Y8" s="5">
        <v>48.868635302741247</v>
      </c>
      <c r="Z8" s="5">
        <v>7110.2412028014442</v>
      </c>
      <c r="AA8" s="35"/>
    </row>
    <row r="9" spans="2:27" x14ac:dyDescent="0.2">
      <c r="B9" s="4">
        <v>6</v>
      </c>
      <c r="C9" s="4">
        <v>459</v>
      </c>
      <c r="D9" s="23">
        <v>2599757.5825933549</v>
      </c>
      <c r="E9" s="33">
        <v>457.7655636923065</v>
      </c>
      <c r="F9" s="5">
        <v>10</v>
      </c>
      <c r="G9" s="23">
        <v>65.5</v>
      </c>
      <c r="H9" s="33">
        <v>1594.4286213809025</v>
      </c>
      <c r="I9" s="23">
        <v>46.270743152556243</v>
      </c>
      <c r="J9" s="5">
        <v>7007.4990627352036</v>
      </c>
      <c r="K9" s="31"/>
      <c r="L9" s="23">
        <v>2923642.3540469091</v>
      </c>
      <c r="M9" s="33">
        <v>281.13996592305529</v>
      </c>
      <c r="N9" s="5">
        <v>12</v>
      </c>
      <c r="O9" s="5">
        <v>48</v>
      </c>
      <c r="P9" s="33">
        <v>1092.4689537613265</v>
      </c>
      <c r="Q9" s="5">
        <v>26.639863930466717</v>
      </c>
      <c r="R9" s="5">
        <v>5889.7242391215777</v>
      </c>
      <c r="S9" s="35"/>
      <c r="T9" s="23">
        <v>3057403.5453286869</v>
      </c>
      <c r="U9" s="33">
        <v>300.73481876922483</v>
      </c>
      <c r="V9" s="5">
        <v>11</v>
      </c>
      <c r="W9" s="5">
        <v>46</v>
      </c>
      <c r="X9" s="33">
        <v>1695.2066486452709</v>
      </c>
      <c r="Y9" s="5">
        <v>45.933891058812144</v>
      </c>
      <c r="Z9" s="5">
        <v>7114.7195701165547</v>
      </c>
      <c r="AA9" s="35"/>
    </row>
    <row r="10" spans="2:27" x14ac:dyDescent="0.2">
      <c r="B10" s="4">
        <v>7</v>
      </c>
      <c r="C10" s="4">
        <v>783</v>
      </c>
      <c r="D10" s="23">
        <v>2570081.406432597</v>
      </c>
      <c r="E10" s="33">
        <v>386.03258053843791</v>
      </c>
      <c r="F10" s="5">
        <v>11</v>
      </c>
      <c r="G10" s="23">
        <v>68.5</v>
      </c>
      <c r="H10" s="33">
        <v>1697.4756510709303</v>
      </c>
      <c r="I10" s="23">
        <v>46.657068756157237</v>
      </c>
      <c r="J10" s="5">
        <v>7137.1652141749992</v>
      </c>
      <c r="K10" s="31"/>
      <c r="L10" s="23">
        <v>2881261.6253068121</v>
      </c>
      <c r="M10" s="33">
        <v>1068.808951153814</v>
      </c>
      <c r="N10" s="5">
        <v>15</v>
      </c>
      <c r="O10" s="5">
        <v>53</v>
      </c>
      <c r="P10" s="33">
        <v>1364.4286189524107</v>
      </c>
      <c r="Q10" s="5">
        <v>23.601833097732126</v>
      </c>
      <c r="R10" s="5">
        <v>6192.7413202729513</v>
      </c>
      <c r="S10" s="35"/>
      <c r="T10" s="23">
        <v>2986253.288148066</v>
      </c>
      <c r="U10" s="33">
        <v>395.47557515383232</v>
      </c>
      <c r="V10" s="5">
        <v>10</v>
      </c>
      <c r="W10" s="5">
        <v>49</v>
      </c>
      <c r="X10" s="33">
        <v>1722.7181282691997</v>
      </c>
      <c r="Y10" s="5">
        <v>50.688355141851353</v>
      </c>
      <c r="Z10" s="5">
        <v>7188.8888658831593</v>
      </c>
      <c r="AA10" s="35"/>
    </row>
    <row r="11" spans="2:27" x14ac:dyDescent="0.2">
      <c r="B11" s="4">
        <v>8</v>
      </c>
      <c r="C11" s="4">
        <v>736</v>
      </c>
      <c r="D11" s="23">
        <v>2569304.4905320331</v>
      </c>
      <c r="E11" s="33">
        <v>305.77530684612259</v>
      </c>
      <c r="F11" s="5">
        <v>11</v>
      </c>
      <c r="G11" s="23">
        <v>67.5</v>
      </c>
      <c r="H11" s="33">
        <v>1630.2254439534495</v>
      </c>
      <c r="I11" s="23">
        <v>44.726837487284698</v>
      </c>
      <c r="J11" s="5">
        <v>7019.5119702603579</v>
      </c>
      <c r="K11" s="31"/>
      <c r="L11" s="23">
        <v>2985194.1617036681</v>
      </c>
      <c r="M11" s="33">
        <v>808.9041807692355</v>
      </c>
      <c r="N11" s="5">
        <v>10</v>
      </c>
      <c r="O11" s="5">
        <v>44.5</v>
      </c>
      <c r="P11" s="33">
        <v>1111.7869496492244</v>
      </c>
      <c r="Q11" s="5">
        <v>29.823535498064519</v>
      </c>
      <c r="R11" s="5">
        <v>5921.6649657559756</v>
      </c>
      <c r="S11" s="35"/>
      <c r="T11" s="23">
        <v>2984579.4290183201</v>
      </c>
      <c r="U11" s="33">
        <v>590.7632913076892</v>
      </c>
      <c r="V11" s="5">
        <v>10</v>
      </c>
      <c r="W11" s="5">
        <v>49</v>
      </c>
      <c r="X11" s="33">
        <v>1712.5209221395205</v>
      </c>
      <c r="Y11" s="5">
        <v>50.393641158730119</v>
      </c>
      <c r="Z11" s="5">
        <v>7165.3406978888779</v>
      </c>
      <c r="AA11" s="35"/>
    </row>
    <row r="12" spans="2:27" x14ac:dyDescent="0.2">
      <c r="B12" s="4">
        <v>9</v>
      </c>
      <c r="C12" s="4">
        <v>135</v>
      </c>
      <c r="D12" s="23">
        <v>2623758.4394239872</v>
      </c>
      <c r="E12" s="33">
        <v>388.96055292302316</v>
      </c>
      <c r="F12" s="5">
        <v>11</v>
      </c>
      <c r="G12" s="23">
        <v>67.5</v>
      </c>
      <c r="H12" s="33">
        <v>1816.6272173142779</v>
      </c>
      <c r="I12" s="23">
        <v>42.964163340313547</v>
      </c>
      <c r="J12" s="5">
        <v>7213.6291595180037</v>
      </c>
      <c r="K12" s="31"/>
      <c r="L12" s="23">
        <v>2988427.3221814409</v>
      </c>
      <c r="M12" s="33">
        <v>551.52807469228992</v>
      </c>
      <c r="N12" s="5">
        <v>13</v>
      </c>
      <c r="O12" s="5">
        <v>46.5</v>
      </c>
      <c r="P12" s="33">
        <v>1185.7236525678511</v>
      </c>
      <c r="Q12" s="5">
        <v>24.064948283723215</v>
      </c>
      <c r="R12" s="5">
        <v>6049.5519688135073</v>
      </c>
      <c r="S12" s="35"/>
      <c r="T12" s="23">
        <v>3015271.681638354</v>
      </c>
      <c r="U12" s="33">
        <v>777.05076846155305</v>
      </c>
      <c r="V12" s="5">
        <v>11</v>
      </c>
      <c r="W12" s="5">
        <v>49.5</v>
      </c>
      <c r="X12" s="33">
        <v>1857.8748854125781</v>
      </c>
      <c r="Y12" s="5">
        <v>46.313553300890696</v>
      </c>
      <c r="Z12" s="5">
        <v>7350.8100022725403</v>
      </c>
      <c r="AA12" s="35"/>
    </row>
    <row r="13" spans="2:27" x14ac:dyDescent="0.2">
      <c r="B13" s="4">
        <v>10</v>
      </c>
      <c r="C13" s="4">
        <v>35</v>
      </c>
      <c r="D13" s="23">
        <v>2612174.7779052062</v>
      </c>
      <c r="E13" s="33">
        <v>297.82259707697307</v>
      </c>
      <c r="F13" s="5">
        <v>11</v>
      </c>
      <c r="G13" s="23">
        <v>66.5</v>
      </c>
      <c r="H13" s="33">
        <v>1704.2645712157805</v>
      </c>
      <c r="I13" s="23">
        <v>44.805454215700841</v>
      </c>
      <c r="J13" s="5">
        <v>7200.3574715011609</v>
      </c>
      <c r="K13" s="31"/>
      <c r="L13" s="23">
        <v>2935503.2899212679</v>
      </c>
      <c r="M13" s="33">
        <v>410.94763992309498</v>
      </c>
      <c r="N13" s="5">
        <v>14</v>
      </c>
      <c r="O13" s="5">
        <v>51</v>
      </c>
      <c r="P13" s="33">
        <v>1421.6872685599978</v>
      </c>
      <c r="Q13" s="5">
        <v>23.784329793901353</v>
      </c>
      <c r="R13" s="5">
        <v>6225.8231448301221</v>
      </c>
      <c r="S13" s="35"/>
      <c r="T13" s="23">
        <v>3007189.3828110648</v>
      </c>
      <c r="U13" s="33">
        <v>318.85516338462298</v>
      </c>
      <c r="V13" s="5">
        <v>11</v>
      </c>
      <c r="W13" s="5">
        <v>49</v>
      </c>
      <c r="X13" s="33">
        <v>1712.9142218635313</v>
      </c>
      <c r="Y13" s="5">
        <v>46.866536320976067</v>
      </c>
      <c r="Z13" s="5">
        <v>7196.0698685315638</v>
      </c>
      <c r="AA13" s="35"/>
    </row>
    <row r="14" spans="2:27" x14ac:dyDescent="0.2">
      <c r="B14" s="47" t="s">
        <v>3</v>
      </c>
      <c r="C14" s="48"/>
      <c r="D14" s="9">
        <f>MIN(D4:D13)</f>
        <v>2569304.4905320331</v>
      </c>
      <c r="E14" s="22">
        <f>INDEX(E4:E13, MATCH($D$14, D4:D13, 0))</f>
        <v>305.77530684612259</v>
      </c>
      <c r="F14" s="9">
        <f>INDEX(F4:F13, MATCH($D$14, D4:D13, 0))</f>
        <v>11</v>
      </c>
      <c r="G14" s="9">
        <f>INDEX(G4:G13, MATCH($D$14, D4:D13, 0))</f>
        <v>67.5</v>
      </c>
      <c r="H14" s="22">
        <f>INDEX(H4:H13, MATCH($D$14, D4:D13, 0))</f>
        <v>1630.2254439534495</v>
      </c>
      <c r="I14" s="22">
        <f>INDEX(I4:I13, MATCH($D$14, D4:D13, 0))</f>
        <v>44.726837487284698</v>
      </c>
      <c r="J14" s="22">
        <f>INDEX(J4:J13, MATCH($D$14, D4:D13, 0))</f>
        <v>7019.5119702603579</v>
      </c>
      <c r="K14" s="32" t="e">
        <f>(D14-$D$15)/$D$15</f>
        <v>#DIV/0!</v>
      </c>
      <c r="L14" s="16">
        <f>MIN(L4:L13)</f>
        <v>2881261.6253068121</v>
      </c>
      <c r="M14" s="21">
        <f>INDEX(M4:M13, MATCH($L$14, L4:L13, 0))</f>
        <v>1068.808951153814</v>
      </c>
      <c r="N14" s="16">
        <f>INDEX(N4:N13, MATCH($L$14, L4:L13, 0))</f>
        <v>15</v>
      </c>
      <c r="O14" s="16">
        <f>INDEX(O4:O13, MATCH($L$14, L4:L13, 0))</f>
        <v>53</v>
      </c>
      <c r="P14" s="21">
        <f>INDEX(P4:P13, MATCH($L$14, L4:L13, 0))</f>
        <v>1364.4286189524107</v>
      </c>
      <c r="Q14" s="21">
        <f>INDEX(Q4:Q13, MATCH($L$14, L4:L13, 0))</f>
        <v>23.601833097732126</v>
      </c>
      <c r="R14" s="21">
        <f>INDEX(R4:R13, MATCH($L$14, L4:L13, 0))</f>
        <v>6192.7413202729513</v>
      </c>
      <c r="S14" s="36" t="e">
        <f>(L14-$D$15)/$D$15</f>
        <v>#DIV/0!</v>
      </c>
      <c r="T14" s="38">
        <f>MIN(T4:T13)</f>
        <v>2984579.4290183201</v>
      </c>
      <c r="U14" s="39">
        <f>INDEX(U4:U13, MATCH($T$14, T4:T13, 0))</f>
        <v>590.7632913076892</v>
      </c>
      <c r="V14" s="38">
        <f>INDEX(V4:V13, MATCH($T$14, T4:T13, 0))</f>
        <v>10</v>
      </c>
      <c r="W14" s="38">
        <f>INDEX(W4:W13, MATCH($T$14, T4:T13, 0))</f>
        <v>49</v>
      </c>
      <c r="X14" s="39">
        <f>INDEX(X4:X13, MATCH($T$14, T4:T13, 0))</f>
        <v>1712.5209221395205</v>
      </c>
      <c r="Y14" s="39">
        <f>INDEX(Y4:Y13, MATCH($T$14, T4:T13, 0))</f>
        <v>50.393641158730119</v>
      </c>
      <c r="Z14" s="39">
        <f>INDEX(Z4:Z13, MATCH($T$14, T4:T13, 0))</f>
        <v>7165.3406978888779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0.12141695775037591</v>
      </c>
      <c r="M15" s="41">
        <f t="shared" ref="M15:R15" si="0">(M14-E14)/E14</f>
        <v>2.4954063563140436</v>
      </c>
      <c r="N15" s="41">
        <f t="shared" si="0"/>
        <v>0.36363636363636365</v>
      </c>
      <c r="O15" s="41">
        <f t="shared" si="0"/>
        <v>-0.21481481481481482</v>
      </c>
      <c r="P15" s="41">
        <f t="shared" si="0"/>
        <v>-0.16304298646968518</v>
      </c>
      <c r="Q15" s="41">
        <f t="shared" si="0"/>
        <v>-0.47231160476208844</v>
      </c>
      <c r="R15" s="41">
        <f t="shared" si="0"/>
        <v>-0.11778178504291961</v>
      </c>
      <c r="T15" s="41">
        <f>(T14-D14)/D14</f>
        <v>0.16162932031473418</v>
      </c>
      <c r="U15" s="41">
        <f t="shared" ref="U15:Z15" si="1">(U14-E14)/E14</f>
        <v>0.93201765505866396</v>
      </c>
      <c r="V15" s="41">
        <f t="shared" si="1"/>
        <v>-9.0909090909090912E-2</v>
      </c>
      <c r="W15" s="41">
        <f t="shared" si="1"/>
        <v>-0.27407407407407408</v>
      </c>
      <c r="X15" s="41">
        <f t="shared" si="1"/>
        <v>5.0481041435899057E-2</v>
      </c>
      <c r="Y15" s="41">
        <f t="shared" si="1"/>
        <v>0.126698062948368</v>
      </c>
      <c r="Z15" s="41">
        <f t="shared" si="1"/>
        <v>2.0774767283873036E-2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9 C34:C1048576">
    <cfRule type="duplicateValues" dxfId="95" priority="5"/>
    <cfRule type="duplicateValues" dxfId="94" priority="6"/>
  </conditionalFormatting>
  <conditionalFormatting sqref="C14">
    <cfRule type="duplicateValues" dxfId="93" priority="3"/>
    <cfRule type="duplicateValues" dxfId="92" priority="4"/>
  </conditionalFormatting>
  <conditionalFormatting sqref="C20:C33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7F7D4-454A-4416-B593-548A7AAF89E6}">
  <dimension ref="B1:AA17"/>
  <sheetViews>
    <sheetView zoomScale="90" zoomScaleNormal="90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-0.98395793987524316</v>
      </c>
      <c r="J2" s="28" t="e">
        <f>(S14-J14)/J14</f>
        <v>#DIV/0!</v>
      </c>
      <c r="K2" s="28"/>
      <c r="L2" s="1" t="s">
        <v>19</v>
      </c>
      <c r="P2" s="1">
        <f>(P14-H14)/H14</f>
        <v>-0.13475656131488464</v>
      </c>
      <c r="R2" s="1">
        <f>(R14-J14)/J14</f>
        <v>-0.10029609417330854</v>
      </c>
      <c r="T2" s="1" t="s">
        <v>20</v>
      </c>
      <c r="X2" s="1">
        <f>(X14-P14)/P14</f>
        <v>0.27424975373253652</v>
      </c>
      <c r="Z2" s="1">
        <f>(Z14-R14)/R14</f>
        <v>0.14905327633609997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726</v>
      </c>
      <c r="D4" s="23">
        <v>2704648.5763061228</v>
      </c>
      <c r="E4" s="33">
        <v>205.22421192306169</v>
      </c>
      <c r="F4" s="5">
        <v>11</v>
      </c>
      <c r="G4" s="23">
        <v>61</v>
      </c>
      <c r="H4" s="33">
        <v>1529.4572701923264</v>
      </c>
      <c r="I4" s="23">
        <v>39.450004149343876</v>
      </c>
      <c r="J4" s="5">
        <v>6955.0938760420577</v>
      </c>
      <c r="K4" s="31"/>
      <c r="L4" s="23">
        <v>3022299.3905118741</v>
      </c>
      <c r="M4" s="33">
        <v>392.77068953844713</v>
      </c>
      <c r="N4" s="5">
        <v>13</v>
      </c>
      <c r="O4" s="5">
        <v>45.5</v>
      </c>
      <c r="P4" s="33">
        <v>1182.7121884425146</v>
      </c>
      <c r="Q4" s="5">
        <v>22.25759615803296</v>
      </c>
      <c r="R4" s="5">
        <v>6132.3497631643286</v>
      </c>
      <c r="S4" s="35"/>
      <c r="T4" s="23">
        <v>3121641.3806532798</v>
      </c>
      <c r="U4" s="33">
        <v>251.37926023077361</v>
      </c>
      <c r="V4" s="5">
        <v>10</v>
      </c>
      <c r="W4" s="5">
        <v>42</v>
      </c>
      <c r="X4" s="33">
        <v>1483.3999054610522</v>
      </c>
      <c r="Y4" s="5">
        <v>42.804340634771577</v>
      </c>
      <c r="Z4" s="5">
        <v>6847.4803988085459</v>
      </c>
      <c r="AA4" s="35"/>
    </row>
    <row r="5" spans="2:27" x14ac:dyDescent="0.2">
      <c r="B5" s="4">
        <v>2</v>
      </c>
      <c r="C5" s="4">
        <v>275</v>
      </c>
      <c r="D5" s="23">
        <v>2702857.763758359</v>
      </c>
      <c r="E5" s="33">
        <v>315.4384576154049</v>
      </c>
      <c r="F5" s="5">
        <v>11</v>
      </c>
      <c r="G5" s="23">
        <v>61.5</v>
      </c>
      <c r="H5" s="33">
        <v>1562.262047155763</v>
      </c>
      <c r="I5" s="23">
        <v>40.719356646211246</v>
      </c>
      <c r="J5" s="5">
        <v>6973.8984580623965</v>
      </c>
      <c r="K5" s="31"/>
      <c r="L5" s="23">
        <v>2985398.7853363822</v>
      </c>
      <c r="M5" s="33">
        <v>500.50594000002513</v>
      </c>
      <c r="N5" s="5">
        <v>14</v>
      </c>
      <c r="O5" s="5">
        <v>47.5</v>
      </c>
      <c r="P5" s="33">
        <v>1164.1359169314119</v>
      </c>
      <c r="Q5" s="5">
        <v>21.583681005640106</v>
      </c>
      <c r="R5" s="5">
        <v>5959.2366514480454</v>
      </c>
      <c r="S5" s="35"/>
      <c r="T5" s="23">
        <v>3127464.3007937032</v>
      </c>
      <c r="U5" s="33">
        <v>298.64396146153854</v>
      </c>
      <c r="V5" s="5">
        <v>9</v>
      </c>
      <c r="W5" s="5">
        <v>40</v>
      </c>
      <c r="X5" s="33">
        <v>1260.3373140015167</v>
      </c>
      <c r="Y5" s="5">
        <v>44.833548998467649</v>
      </c>
      <c r="Z5" s="5">
        <v>6664.4567588853552</v>
      </c>
      <c r="AA5" s="35"/>
    </row>
    <row r="6" spans="2:27" x14ac:dyDescent="0.2">
      <c r="B6" s="4">
        <v>3</v>
      </c>
      <c r="C6" s="4">
        <v>80</v>
      </c>
      <c r="D6" s="23">
        <v>2688211.04487686</v>
      </c>
      <c r="E6" s="33">
        <v>465.28057746150387</v>
      </c>
      <c r="F6" s="5">
        <v>11</v>
      </c>
      <c r="G6" s="23">
        <v>59.5</v>
      </c>
      <c r="H6" s="33">
        <v>1345.4432185010435</v>
      </c>
      <c r="I6" s="23">
        <v>38.023195211510512</v>
      </c>
      <c r="J6" s="5">
        <v>6623.5531632736556</v>
      </c>
      <c r="K6" s="31"/>
      <c r="L6" s="23">
        <v>3087931.3278306052</v>
      </c>
      <c r="M6" s="33">
        <v>488.22825992309771</v>
      </c>
      <c r="N6" s="5">
        <v>12</v>
      </c>
      <c r="O6" s="5">
        <v>44</v>
      </c>
      <c r="P6" s="33">
        <v>1381.26507818296</v>
      </c>
      <c r="Q6" s="5">
        <v>22.380792457349013</v>
      </c>
      <c r="R6" s="5">
        <v>6449.6676318579648</v>
      </c>
      <c r="S6" s="35"/>
      <c r="T6" s="23">
        <v>3138203.6315688579</v>
      </c>
      <c r="U6" s="33">
        <v>375.13697107694145</v>
      </c>
      <c r="V6" s="5">
        <v>10</v>
      </c>
      <c r="W6" s="5">
        <v>40.5</v>
      </c>
      <c r="X6" s="33">
        <v>1355.552909357009</v>
      </c>
      <c r="Y6" s="5">
        <v>40.740938647541313</v>
      </c>
      <c r="Z6" s="5">
        <v>6685.6468876515082</v>
      </c>
      <c r="AA6" s="35"/>
    </row>
    <row r="7" spans="2:27" x14ac:dyDescent="0.2">
      <c r="B7" s="4">
        <v>4</v>
      </c>
      <c r="C7" s="4">
        <v>960</v>
      </c>
      <c r="D7" s="23">
        <v>2807363.3355168491</v>
      </c>
      <c r="E7" s="33">
        <v>183.42022884610253</v>
      </c>
      <c r="F7" s="5">
        <v>10</v>
      </c>
      <c r="G7" s="23">
        <v>57</v>
      </c>
      <c r="H7" s="33">
        <v>1614.4577954220006</v>
      </c>
      <c r="I7" s="23">
        <v>38.727109784947459</v>
      </c>
      <c r="J7" s="5">
        <v>7064.0565483797627</v>
      </c>
      <c r="K7" s="31"/>
      <c r="L7" s="23">
        <v>3062441.874542702</v>
      </c>
      <c r="M7" s="33">
        <v>214.59177169232413</v>
      </c>
      <c r="N7" s="5">
        <v>12</v>
      </c>
      <c r="O7" s="5">
        <v>43.5</v>
      </c>
      <c r="P7" s="33">
        <v>1134.5888284352122</v>
      </c>
      <c r="Q7" s="5">
        <v>20.231316590096128</v>
      </c>
      <c r="R7" s="5">
        <v>6054.0898879953529</v>
      </c>
      <c r="S7" s="35"/>
      <c r="T7" s="23">
        <v>3196572.4213628648</v>
      </c>
      <c r="U7" s="33">
        <v>443.75144569230122</v>
      </c>
      <c r="V7" s="5">
        <v>9</v>
      </c>
      <c r="W7" s="5">
        <v>39</v>
      </c>
      <c r="X7" s="33">
        <v>1591.4284429207939</v>
      </c>
      <c r="Y7" s="5">
        <v>43.511251217270186</v>
      </c>
      <c r="Z7" s="5">
        <v>7052.8511557366683</v>
      </c>
      <c r="AA7" s="35"/>
    </row>
    <row r="8" spans="2:27" x14ac:dyDescent="0.2">
      <c r="B8" s="4">
        <v>5</v>
      </c>
      <c r="C8" s="4">
        <v>832</v>
      </c>
      <c r="D8" s="23">
        <v>2820813.6769772009</v>
      </c>
      <c r="E8" s="33">
        <v>215.10459738461154</v>
      </c>
      <c r="F8" s="5">
        <v>11</v>
      </c>
      <c r="G8" s="23">
        <v>58.5</v>
      </c>
      <c r="H8" s="33">
        <v>1700.6052993293051</v>
      </c>
      <c r="I8" s="23">
        <v>36.734168633357605</v>
      </c>
      <c r="J8" s="5">
        <v>7238.1358345026165</v>
      </c>
      <c r="K8" s="31"/>
      <c r="L8" s="23">
        <v>3031124.1902103708</v>
      </c>
      <c r="M8" s="33">
        <v>489.40765207696057</v>
      </c>
      <c r="N8" s="5">
        <v>13</v>
      </c>
      <c r="O8" s="5">
        <v>43</v>
      </c>
      <c r="P8" s="33">
        <v>933.72083047354022</v>
      </c>
      <c r="Q8" s="5">
        <v>20.290603530485928</v>
      </c>
      <c r="R8" s="5">
        <v>5587.3783120050939</v>
      </c>
      <c r="S8" s="35"/>
      <c r="T8" s="23">
        <v>3135797.2460107021</v>
      </c>
      <c r="U8" s="33">
        <v>234.3909778461182</v>
      </c>
      <c r="V8" s="5">
        <v>9</v>
      </c>
      <c r="W8" s="5">
        <v>39</v>
      </c>
      <c r="X8" s="33">
        <v>1190.7185574047548</v>
      </c>
      <c r="Y8" s="5">
        <v>44.583049943143301</v>
      </c>
      <c r="Z8" s="5">
        <v>6611.4167279115118</v>
      </c>
      <c r="AA8" s="35"/>
    </row>
    <row r="9" spans="2:27" x14ac:dyDescent="0.2">
      <c r="B9" s="4">
        <v>6</v>
      </c>
      <c r="C9" s="4">
        <v>950</v>
      </c>
      <c r="D9" s="23">
        <v>2704740.2464603288</v>
      </c>
      <c r="E9" s="33">
        <v>384.21960323072898</v>
      </c>
      <c r="F9" s="5">
        <v>11</v>
      </c>
      <c r="G9" s="23">
        <v>60.5</v>
      </c>
      <c r="H9" s="33">
        <v>1504.5810342055011</v>
      </c>
      <c r="I9" s="23">
        <v>39.359552349898273</v>
      </c>
      <c r="J9" s="5">
        <v>6925.2286117286758</v>
      </c>
      <c r="K9" s="31"/>
      <c r="L9" s="23">
        <v>3014796.0932868328</v>
      </c>
      <c r="M9" s="33">
        <v>305.49971453845501</v>
      </c>
      <c r="N9" s="5">
        <v>15</v>
      </c>
      <c r="O9" s="5">
        <v>48</v>
      </c>
      <c r="P9" s="33">
        <v>1186.3907903665349</v>
      </c>
      <c r="Q9" s="5">
        <v>20.429066956679886</v>
      </c>
      <c r="R9" s="5">
        <v>6256.5788790506631</v>
      </c>
      <c r="S9" s="35"/>
      <c r="T9" s="23">
        <v>3198590.3806739328</v>
      </c>
      <c r="U9" s="33">
        <v>658.97751807691884</v>
      </c>
      <c r="V9" s="5">
        <v>9</v>
      </c>
      <c r="W9" s="5">
        <v>37.5</v>
      </c>
      <c r="X9" s="33">
        <v>1353.7038674090702</v>
      </c>
      <c r="Y9" s="5">
        <v>42.339437679765673</v>
      </c>
      <c r="Z9" s="5">
        <v>6716.8377417956863</v>
      </c>
      <c r="AA9" s="35"/>
    </row>
    <row r="10" spans="2:27" x14ac:dyDescent="0.2">
      <c r="B10" s="4">
        <v>7</v>
      </c>
      <c r="C10" s="4">
        <v>78</v>
      </c>
      <c r="D10" s="23">
        <v>2716436.86470513</v>
      </c>
      <c r="E10" s="33">
        <v>316.61806315389606</v>
      </c>
      <c r="F10" s="5">
        <v>11</v>
      </c>
      <c r="G10" s="23">
        <v>60.5</v>
      </c>
      <c r="H10" s="33">
        <v>1534.9693921343778</v>
      </c>
      <c r="I10" s="23">
        <v>38.891554790991748</v>
      </c>
      <c r="J10" s="5">
        <v>6954.5907065579922</v>
      </c>
      <c r="K10" s="31"/>
      <c r="L10" s="23">
        <v>3082419.485173767</v>
      </c>
      <c r="M10" s="33">
        <v>329.03155646152572</v>
      </c>
      <c r="N10" s="5">
        <v>15</v>
      </c>
      <c r="O10" s="5">
        <v>44.5</v>
      </c>
      <c r="P10" s="33">
        <v>1041.1479340874243</v>
      </c>
      <c r="Q10" s="5">
        <v>17.480814179171453</v>
      </c>
      <c r="R10" s="5">
        <v>5957.9098830611074</v>
      </c>
      <c r="S10" s="35"/>
      <c r="T10" s="23">
        <v>3127550.0831799358</v>
      </c>
      <c r="U10" s="33">
        <v>376.38218723076324</v>
      </c>
      <c r="V10" s="5">
        <v>10</v>
      </c>
      <c r="W10" s="5">
        <v>42.5</v>
      </c>
      <c r="X10" s="33">
        <v>1581.8527598048113</v>
      </c>
      <c r="Y10" s="5">
        <v>41.659949790463763</v>
      </c>
      <c r="Z10" s="5">
        <v>6962.2432279508384</v>
      </c>
      <c r="AA10" s="35"/>
    </row>
    <row r="11" spans="2:27" x14ac:dyDescent="0.2">
      <c r="B11" s="4">
        <v>8</v>
      </c>
      <c r="C11" s="4">
        <v>250</v>
      </c>
      <c r="D11" s="23">
        <v>2706083.0902643679</v>
      </c>
      <c r="E11" s="33">
        <v>323.64011176924504</v>
      </c>
      <c r="F11" s="5">
        <v>11</v>
      </c>
      <c r="G11" s="23">
        <v>60.5</v>
      </c>
      <c r="H11" s="33">
        <v>1488.2196373819229</v>
      </c>
      <c r="I11" s="23">
        <v>38.663146409147572</v>
      </c>
      <c r="J11" s="5">
        <v>6877.1736895641752</v>
      </c>
      <c r="K11" s="31"/>
      <c r="L11" s="23">
        <v>3027176.4290085249</v>
      </c>
      <c r="M11" s="33">
        <v>554.61878376923357</v>
      </c>
      <c r="N11" s="5">
        <v>13</v>
      </c>
      <c r="O11" s="5">
        <v>45.5</v>
      </c>
      <c r="P11" s="33">
        <v>1137.5320270908228</v>
      </c>
      <c r="Q11" s="5">
        <v>21.250472241998786</v>
      </c>
      <c r="R11" s="5">
        <v>6143.5839905287112</v>
      </c>
      <c r="S11" s="35"/>
      <c r="T11" s="23">
        <v>3194452.6376235811</v>
      </c>
      <c r="U11" s="33">
        <v>259.43318592308339</v>
      </c>
      <c r="V11" s="5">
        <v>8</v>
      </c>
      <c r="W11" s="5">
        <v>35.5</v>
      </c>
      <c r="X11" s="33">
        <v>1149.6420877422986</v>
      </c>
      <c r="Y11" s="5">
        <v>48.085679383261478</v>
      </c>
      <c r="Z11" s="5">
        <v>6428.5495503360398</v>
      </c>
      <c r="AA11" s="35"/>
    </row>
    <row r="12" spans="2:27" x14ac:dyDescent="0.2">
      <c r="B12" s="4">
        <v>9</v>
      </c>
      <c r="C12" s="4">
        <v>330</v>
      </c>
      <c r="D12" s="23">
        <v>2713601.5253424719</v>
      </c>
      <c r="E12" s="33">
        <v>209.30460184615538</v>
      </c>
      <c r="F12" s="5">
        <v>10</v>
      </c>
      <c r="G12" s="23">
        <v>59.5</v>
      </c>
      <c r="H12" s="33">
        <v>1453.1687844260002</v>
      </c>
      <c r="I12" s="23">
        <v>42.421563255634382</v>
      </c>
      <c r="J12" s="5">
        <v>6924.5898546471135</v>
      </c>
      <c r="K12" s="31"/>
      <c r="L12" s="23">
        <v>3069367.2280576308</v>
      </c>
      <c r="M12" s="33">
        <v>288.81765092311139</v>
      </c>
      <c r="N12" s="5">
        <v>13</v>
      </c>
      <c r="O12" s="5">
        <v>43</v>
      </c>
      <c r="P12" s="33">
        <v>951.85907909650257</v>
      </c>
      <c r="Q12" s="5">
        <v>19.107498838493136</v>
      </c>
      <c r="R12" s="5">
        <v>5883.0047841039013</v>
      </c>
      <c r="S12" s="35"/>
      <c r="T12" s="23">
        <v>3206466.0898540099</v>
      </c>
      <c r="U12" s="33">
        <v>435.656129692305</v>
      </c>
      <c r="V12" s="5">
        <v>9</v>
      </c>
      <c r="W12" s="5">
        <v>38</v>
      </c>
      <c r="X12" s="33">
        <v>1495.8941546046267</v>
      </c>
      <c r="Y12" s="5">
        <v>48.570575721412936</v>
      </c>
      <c r="Z12" s="5">
        <v>7102.9946741129361</v>
      </c>
      <c r="AA12" s="35"/>
    </row>
    <row r="13" spans="2:27" x14ac:dyDescent="0.2">
      <c r="B13" s="4">
        <v>10</v>
      </c>
      <c r="C13" s="4">
        <v>489</v>
      </c>
      <c r="D13" s="23">
        <v>2689283.7246624641</v>
      </c>
      <c r="E13" s="33">
        <v>285.89073923076143</v>
      </c>
      <c r="F13" s="5">
        <v>11</v>
      </c>
      <c r="G13" s="23">
        <v>62</v>
      </c>
      <c r="H13" s="33">
        <v>1549.1804299229727</v>
      </c>
      <c r="I13" s="23">
        <v>40.17691618213405</v>
      </c>
      <c r="J13" s="5">
        <v>7005.049155607986</v>
      </c>
      <c r="K13" s="31"/>
      <c r="L13" s="23">
        <v>3001799.9168305672</v>
      </c>
      <c r="M13" s="33">
        <v>973.08039246153839</v>
      </c>
      <c r="N13" s="5">
        <v>14</v>
      </c>
      <c r="O13" s="5">
        <v>47</v>
      </c>
      <c r="P13" s="33">
        <v>1243.9901497219598</v>
      </c>
      <c r="Q13" s="5">
        <v>21.144779715233817</v>
      </c>
      <c r="R13" s="5">
        <v>5968.9087173059006</v>
      </c>
      <c r="S13" s="35"/>
      <c r="T13" s="23">
        <v>3175789.3181610871</v>
      </c>
      <c r="U13" s="33">
        <v>429.8914282307781</v>
      </c>
      <c r="V13" s="5">
        <v>10</v>
      </c>
      <c r="W13" s="5">
        <v>39.5</v>
      </c>
      <c r="X13" s="33">
        <v>1437.2424483140255</v>
      </c>
      <c r="Y13" s="5">
        <v>40.712690214263624</v>
      </c>
      <c r="Z13" s="5">
        <v>6759.1046978536497</v>
      </c>
      <c r="AA13" s="35"/>
    </row>
    <row r="14" spans="2:27" x14ac:dyDescent="0.2">
      <c r="B14" s="47" t="s">
        <v>3</v>
      </c>
      <c r="C14" s="48"/>
      <c r="D14" s="9">
        <f>MIN(D4:D13)</f>
        <v>2688211.04487686</v>
      </c>
      <c r="E14" s="22">
        <f>INDEX(E4:E13, MATCH($D$14, D4:D13, 0))</f>
        <v>465.28057746150387</v>
      </c>
      <c r="F14" s="9">
        <f>INDEX(F4:F13, MATCH($D$14, D4:D13, 0))</f>
        <v>11</v>
      </c>
      <c r="G14" s="9">
        <f>INDEX(G4:G13, MATCH($D$14, D4:D13, 0))</f>
        <v>59.5</v>
      </c>
      <c r="H14" s="22">
        <f>INDEX(H4:H13, MATCH($D$14, D4:D13, 0))</f>
        <v>1345.4432185010435</v>
      </c>
      <c r="I14" s="22">
        <f>INDEX(I4:I13, MATCH($D$14, D4:D13, 0))</f>
        <v>38.023195211510512</v>
      </c>
      <c r="J14" s="22">
        <f>INDEX(J4:J13, MATCH($D$14, D4:D13, 0))</f>
        <v>6623.5531632736556</v>
      </c>
      <c r="K14" s="32" t="e">
        <f>(D14-$D$15)/$D$15</f>
        <v>#DIV/0!</v>
      </c>
      <c r="L14" s="16">
        <f>MIN(L4:L13)</f>
        <v>2985398.7853363822</v>
      </c>
      <c r="M14" s="21">
        <f>INDEX(M4:M13, MATCH($L$14, L4:L13, 0))</f>
        <v>500.50594000002513</v>
      </c>
      <c r="N14" s="16">
        <f>INDEX(N4:N13, MATCH($L$14, L4:L13, 0))</f>
        <v>14</v>
      </c>
      <c r="O14" s="16">
        <f>INDEX(O4:O13, MATCH($L$14, L4:L13, 0))</f>
        <v>47.5</v>
      </c>
      <c r="P14" s="21">
        <f>INDEX(P4:P13, MATCH($L$14, L4:L13, 0))</f>
        <v>1164.1359169314119</v>
      </c>
      <c r="Q14" s="21">
        <f>INDEX(Q4:Q13, MATCH($L$14, L4:L13, 0))</f>
        <v>21.583681005640106</v>
      </c>
      <c r="R14" s="21">
        <f>INDEX(R4:R13, MATCH($L$14, L4:L13, 0))</f>
        <v>5959.2366514480454</v>
      </c>
      <c r="S14" s="36" t="e">
        <f>(L14-$D$15)/$D$15</f>
        <v>#DIV/0!</v>
      </c>
      <c r="T14" s="38">
        <f>MIN(T4:T13)</f>
        <v>3121641.3806532798</v>
      </c>
      <c r="U14" s="39">
        <f>INDEX(U4:U13, MATCH($T$14, T4:T13, 0))</f>
        <v>251.37926023077361</v>
      </c>
      <c r="V14" s="38">
        <f>INDEX(V4:V13, MATCH($T$14, T4:T13, 0))</f>
        <v>10</v>
      </c>
      <c r="W14" s="38">
        <f>INDEX(W4:W13, MATCH($T$14, T4:T13, 0))</f>
        <v>42</v>
      </c>
      <c r="X14" s="39">
        <f>INDEX(X4:X13, MATCH($T$14, T4:T13, 0))</f>
        <v>1483.3999054610522</v>
      </c>
      <c r="Y14" s="39">
        <f>INDEX(Y4:Y13, MATCH($T$14, T4:T13, 0))</f>
        <v>42.804340634771577</v>
      </c>
      <c r="Z14" s="39">
        <f>INDEX(Z4:Z13, MATCH($T$14, T4:T13, 0))</f>
        <v>6847.4803988085459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0.11055223548236542</v>
      </c>
      <c r="M15" s="41">
        <f t="shared" ref="M15:R15" si="0">(M14-E14)/E14</f>
        <v>7.5707786322621054E-2</v>
      </c>
      <c r="N15" s="41">
        <f t="shared" si="0"/>
        <v>0.27272727272727271</v>
      </c>
      <c r="O15" s="41">
        <f t="shared" si="0"/>
        <v>-0.20168067226890757</v>
      </c>
      <c r="P15" s="41">
        <f t="shared" si="0"/>
        <v>-0.13475656131488464</v>
      </c>
      <c r="Q15" s="41">
        <f t="shared" si="0"/>
        <v>-0.43235488533835209</v>
      </c>
      <c r="R15" s="41">
        <f t="shared" si="0"/>
        <v>-0.10029609417330854</v>
      </c>
      <c r="T15" s="41">
        <f>(T14-D14)/D14</f>
        <v>0.16123374561771961</v>
      </c>
      <c r="U15" s="41">
        <f t="shared" ref="U15:Z15" si="1">(U14-E14)/E14</f>
        <v>-0.45972543792337411</v>
      </c>
      <c r="V15" s="41">
        <f t="shared" si="1"/>
        <v>-9.0909090909090912E-2</v>
      </c>
      <c r="W15" s="41">
        <f t="shared" si="1"/>
        <v>-0.29411764705882354</v>
      </c>
      <c r="X15" s="41">
        <f t="shared" si="1"/>
        <v>0.10253623866320132</v>
      </c>
      <c r="Y15" s="41">
        <f t="shared" si="1"/>
        <v>0.12574286291999209</v>
      </c>
      <c r="Z15" s="41">
        <f t="shared" si="1"/>
        <v>3.3807720722545766E-2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4:C1048576">
    <cfRule type="duplicateValues" dxfId="91" priority="7"/>
    <cfRule type="duplicateValues" dxfId="90" priority="8"/>
  </conditionalFormatting>
  <conditionalFormatting sqref="C14">
    <cfRule type="duplicateValues" dxfId="89" priority="5"/>
    <cfRule type="duplicateValues" dxfId="88" priority="6"/>
  </conditionalFormatting>
  <conditionalFormatting sqref="C15">
    <cfRule type="duplicateValues" dxfId="87" priority="3"/>
    <cfRule type="duplicateValues" dxfId="86" priority="4"/>
  </conditionalFormatting>
  <conditionalFormatting sqref="C20:C33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B5B7-2E39-4309-B94E-43620FF3B691}">
  <dimension ref="B1:AA17"/>
  <sheetViews>
    <sheetView zoomScale="90" zoomScaleNormal="90" workbookViewId="0">
      <selection activeCell="U19" sqref="U19:U2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-0.98515613120183498</v>
      </c>
      <c r="J2" s="28" t="e">
        <f>(S14-J14)/J14</f>
        <v>#DIV/0!</v>
      </c>
      <c r="K2" s="28"/>
      <c r="L2" s="1" t="s">
        <v>19</v>
      </c>
      <c r="P2" s="1">
        <f>(P14-H14)/H14</f>
        <v>-0.15978751363017937</v>
      </c>
      <c r="R2" s="1">
        <f>(R14-J14)/J14</f>
        <v>-9.0836544638802003E-2</v>
      </c>
      <c r="T2" s="1" t="s">
        <v>20</v>
      </c>
      <c r="X2" s="1">
        <f>(X14-P14)/P14</f>
        <v>0.27526400231873205</v>
      </c>
      <c r="Z2" s="1">
        <f>(Z14-R14)/R14</f>
        <v>0.14179179485844862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488</v>
      </c>
      <c r="D4" s="23">
        <v>2573546.7903481992</v>
      </c>
      <c r="E4" s="33">
        <v>403.41827176923215</v>
      </c>
      <c r="F4" s="5">
        <v>10</v>
      </c>
      <c r="G4" s="23">
        <v>66.5</v>
      </c>
      <c r="H4" s="33">
        <v>1651.9776823034929</v>
      </c>
      <c r="I4" s="23">
        <v>47.865429804859751</v>
      </c>
      <c r="J4" s="5">
        <v>7107.4999644120535</v>
      </c>
      <c r="K4" s="31"/>
      <c r="L4" s="23">
        <v>2835071.8799754209</v>
      </c>
      <c r="M4" s="33">
        <v>483.11900138460959</v>
      </c>
      <c r="N4" s="5">
        <v>13</v>
      </c>
      <c r="O4" s="5">
        <v>52</v>
      </c>
      <c r="P4" s="33">
        <v>1221.2395893901105</v>
      </c>
      <c r="Q4" s="5">
        <v>27.814667801934242</v>
      </c>
      <c r="R4" s="5">
        <v>6031.593098829665</v>
      </c>
      <c r="S4" s="35"/>
      <c r="T4" s="23">
        <v>3023350.5863729739</v>
      </c>
      <c r="U4" s="33">
        <v>153.39632976921101</v>
      </c>
      <c r="V4" s="5">
        <v>10</v>
      </c>
      <c r="W4" s="5">
        <v>48</v>
      </c>
      <c r="X4" s="33">
        <v>1789.3892462159765</v>
      </c>
      <c r="Y4" s="5">
        <v>50.354699283654909</v>
      </c>
      <c r="Z4" s="5">
        <v>7313.0053745440191</v>
      </c>
      <c r="AA4" s="35"/>
    </row>
    <row r="5" spans="2:27" x14ac:dyDescent="0.2">
      <c r="B5" s="4">
        <v>2</v>
      </c>
      <c r="C5" s="4">
        <v>634</v>
      </c>
      <c r="D5" s="23">
        <v>2714785.2461534939</v>
      </c>
      <c r="E5" s="33">
        <v>518.46193253850709</v>
      </c>
      <c r="F5" s="5">
        <v>10</v>
      </c>
      <c r="G5" s="23">
        <v>60.5</v>
      </c>
      <c r="H5" s="33">
        <v>1620.4605412308658</v>
      </c>
      <c r="I5" s="23">
        <v>41.98520510385886</v>
      </c>
      <c r="J5" s="5">
        <v>7098.7945210862054</v>
      </c>
      <c r="K5" s="31"/>
      <c r="L5" s="23">
        <v>2923896.0221415199</v>
      </c>
      <c r="M5" s="33">
        <v>504.59934138460085</v>
      </c>
      <c r="N5" s="5">
        <v>13</v>
      </c>
      <c r="O5" s="5">
        <v>49.5</v>
      </c>
      <c r="P5" s="33">
        <v>1322.9888986059398</v>
      </c>
      <c r="Q5" s="5">
        <v>25.79683696350488</v>
      </c>
      <c r="R5" s="5">
        <v>6193.8326799983106</v>
      </c>
      <c r="S5" s="35"/>
      <c r="T5" s="23">
        <v>2962718.021692514</v>
      </c>
      <c r="U5" s="33">
        <v>252.8059403077126</v>
      </c>
      <c r="V5" s="5">
        <v>10</v>
      </c>
      <c r="W5" s="5">
        <v>50.5</v>
      </c>
      <c r="X5" s="33">
        <v>1861.7310765006912</v>
      </c>
      <c r="Y5" s="5">
        <v>51.418177145268714</v>
      </c>
      <c r="Z5" s="5">
        <v>7234.537099678435</v>
      </c>
      <c r="AA5" s="35"/>
    </row>
    <row r="6" spans="2:27" x14ac:dyDescent="0.2">
      <c r="B6" s="4">
        <v>3</v>
      </c>
      <c r="C6" s="4">
        <v>37</v>
      </c>
      <c r="D6" s="23">
        <v>2552347.0197366579</v>
      </c>
      <c r="E6" s="33">
        <v>202.00361661541348</v>
      </c>
      <c r="F6" s="5">
        <v>11</v>
      </c>
      <c r="G6" s="23">
        <v>68.5</v>
      </c>
      <c r="H6" s="33">
        <v>1748.2333489576392</v>
      </c>
      <c r="I6" s="23">
        <v>45.246606716697592</v>
      </c>
      <c r="J6" s="5">
        <v>7167.2792223930655</v>
      </c>
      <c r="K6" s="31"/>
      <c r="L6" s="23">
        <v>2834498.8346439628</v>
      </c>
      <c r="M6" s="33">
        <v>341.27256830769159</v>
      </c>
      <c r="N6" s="5">
        <v>14</v>
      </c>
      <c r="O6" s="5">
        <v>55</v>
      </c>
      <c r="P6" s="33">
        <v>1474.2489549524346</v>
      </c>
      <c r="Q6" s="5">
        <v>26.743605250149916</v>
      </c>
      <c r="R6" s="5">
        <v>6434.6332612153692</v>
      </c>
      <c r="S6" s="35"/>
      <c r="T6" s="23">
        <v>2963511.4495588192</v>
      </c>
      <c r="U6" s="33">
        <v>275.73140115383114</v>
      </c>
      <c r="V6" s="5">
        <v>10</v>
      </c>
      <c r="W6" s="5">
        <v>50</v>
      </c>
      <c r="X6" s="33">
        <v>1804.8171675465655</v>
      </c>
      <c r="Y6" s="5">
        <v>51.952774812694756</v>
      </c>
      <c r="Z6" s="5">
        <v>7263.2802912436728</v>
      </c>
      <c r="AA6" s="35"/>
    </row>
    <row r="7" spans="2:27" x14ac:dyDescent="0.2">
      <c r="B7" s="4">
        <v>4</v>
      </c>
      <c r="C7" s="4">
        <v>616</v>
      </c>
      <c r="D7" s="23">
        <v>2553714.4758473351</v>
      </c>
      <c r="E7" s="33">
        <v>237.15719507693746</v>
      </c>
      <c r="F7" s="5">
        <v>10</v>
      </c>
      <c r="G7" s="23">
        <v>68</v>
      </c>
      <c r="H7" s="33">
        <v>1811.7085652123317</v>
      </c>
      <c r="I7" s="23">
        <v>49.593676200259679</v>
      </c>
      <c r="J7" s="5">
        <v>7229.1675278380799</v>
      </c>
      <c r="K7" s="31"/>
      <c r="L7" s="23">
        <v>2851743.9420704939</v>
      </c>
      <c r="M7" s="33">
        <v>388.36358992302291</v>
      </c>
      <c r="N7" s="5">
        <v>13</v>
      </c>
      <c r="O7" s="5">
        <v>52.5</v>
      </c>
      <c r="P7" s="33">
        <v>1243.5679797843998</v>
      </c>
      <c r="Q7" s="5">
        <v>27.228179736611921</v>
      </c>
      <c r="R7" s="5">
        <v>6350.4331684583103</v>
      </c>
      <c r="S7" s="35"/>
      <c r="T7" s="23">
        <v>3068090.52697002</v>
      </c>
      <c r="U7" s="33">
        <v>350.57539907696014</v>
      </c>
      <c r="V7" s="5">
        <v>10</v>
      </c>
      <c r="W7" s="5">
        <v>46</v>
      </c>
      <c r="X7" s="33">
        <v>1807.4258783918476</v>
      </c>
      <c r="Y7" s="5">
        <v>47.631031298883634</v>
      </c>
      <c r="Z7" s="5">
        <v>7371.2645747857132</v>
      </c>
      <c r="AA7" s="35"/>
    </row>
    <row r="8" spans="2:27" x14ac:dyDescent="0.2">
      <c r="B8" s="4">
        <v>5</v>
      </c>
      <c r="C8" s="4">
        <v>839</v>
      </c>
      <c r="D8" s="23">
        <v>2576798.6203049389</v>
      </c>
      <c r="E8" s="33">
        <v>268.68658146158288</v>
      </c>
      <c r="F8" s="5">
        <v>10</v>
      </c>
      <c r="G8" s="23">
        <v>66</v>
      </c>
      <c r="H8" s="33">
        <v>1596.648591770843</v>
      </c>
      <c r="I8" s="23">
        <v>47.707922846245459</v>
      </c>
      <c r="J8" s="5">
        <v>7087.6733857511235</v>
      </c>
      <c r="K8" s="31"/>
      <c r="L8" s="23">
        <v>2800978.2453060551</v>
      </c>
      <c r="M8" s="33">
        <v>585.60095669227076</v>
      </c>
      <c r="N8" s="5">
        <v>15</v>
      </c>
      <c r="O8" s="5">
        <v>57</v>
      </c>
      <c r="P8" s="33">
        <v>1475.2883617739844</v>
      </c>
      <c r="Q8" s="5">
        <v>26.063629423371879</v>
      </c>
      <c r="R8" s="5">
        <v>6466.6763183129287</v>
      </c>
      <c r="S8" s="35"/>
      <c r="T8" s="23">
        <v>2959802.796037077</v>
      </c>
      <c r="U8" s="33">
        <v>205.99740923077871</v>
      </c>
      <c r="V8" s="5">
        <v>10</v>
      </c>
      <c r="W8" s="5">
        <v>51</v>
      </c>
      <c r="X8" s="33">
        <v>1881.3821408101369</v>
      </c>
      <c r="Y8" s="5">
        <v>53.041754639080217</v>
      </c>
      <c r="Z8" s="5">
        <v>7383.5979602551433</v>
      </c>
      <c r="AA8" s="35"/>
    </row>
    <row r="9" spans="2:27" x14ac:dyDescent="0.2">
      <c r="B9" s="4">
        <v>6</v>
      </c>
      <c r="C9" s="4">
        <v>889</v>
      </c>
      <c r="D9" s="23">
        <v>2549365.6258458318</v>
      </c>
      <c r="E9" s="33">
        <v>401.01635523077744</v>
      </c>
      <c r="F9" s="5">
        <v>10</v>
      </c>
      <c r="G9" s="23">
        <v>68</v>
      </c>
      <c r="H9" s="33">
        <v>1755.8515086440102</v>
      </c>
      <c r="I9" s="23">
        <v>48.784030144238649</v>
      </c>
      <c r="J9" s="5">
        <v>7112.7763442095329</v>
      </c>
      <c r="K9" s="31"/>
      <c r="L9" s="23">
        <v>2814798.3464367958</v>
      </c>
      <c r="M9" s="33">
        <v>517.05150569233899</v>
      </c>
      <c r="N9" s="5">
        <v>13</v>
      </c>
      <c r="O9" s="5">
        <v>53.5</v>
      </c>
      <c r="P9" s="33">
        <v>1281.6134629075868</v>
      </c>
      <c r="Q9" s="5">
        <v>27.84678692174484</v>
      </c>
      <c r="R9" s="5">
        <v>6111.9725021577087</v>
      </c>
      <c r="S9" s="35"/>
      <c r="T9" s="23">
        <v>3007559.2141447598</v>
      </c>
      <c r="U9" s="33">
        <v>180.32873961537214</v>
      </c>
      <c r="V9" s="5">
        <v>11</v>
      </c>
      <c r="W9" s="5">
        <v>49.5</v>
      </c>
      <c r="X9" s="33">
        <v>1945.0951254606671</v>
      </c>
      <c r="Y9" s="5">
        <v>49.443358228783204</v>
      </c>
      <c r="Z9" s="5">
        <v>7461.0267074191306</v>
      </c>
      <c r="AA9" s="35"/>
    </row>
    <row r="10" spans="2:27" x14ac:dyDescent="0.2">
      <c r="B10" s="4">
        <v>7</v>
      </c>
      <c r="C10" s="4">
        <v>983</v>
      </c>
      <c r="D10" s="23">
        <v>2552089.2358089429</v>
      </c>
      <c r="E10" s="33">
        <v>231.43121669230123</v>
      </c>
      <c r="F10" s="5">
        <v>10</v>
      </c>
      <c r="G10" s="23">
        <v>68</v>
      </c>
      <c r="H10" s="33">
        <v>1786.6832307163866</v>
      </c>
      <c r="I10" s="23">
        <v>49.612073682502583</v>
      </c>
      <c r="J10" s="5">
        <v>7147.8677513452876</v>
      </c>
      <c r="K10" s="31"/>
      <c r="L10" s="23">
        <v>2838531.9320680788</v>
      </c>
      <c r="M10" s="33">
        <v>413.09663576924669</v>
      </c>
      <c r="N10" s="5">
        <v>14</v>
      </c>
      <c r="O10" s="5">
        <v>54.5</v>
      </c>
      <c r="P10" s="33">
        <v>1497.2253138589149</v>
      </c>
      <c r="Q10" s="5">
        <v>26.589294905604955</v>
      </c>
      <c r="R10" s="5">
        <v>6370.6888715261975</v>
      </c>
      <c r="S10" s="35"/>
      <c r="T10" s="23">
        <v>2960980.563829429</v>
      </c>
      <c r="U10" s="33">
        <v>310.18913815384553</v>
      </c>
      <c r="V10" s="5">
        <v>10</v>
      </c>
      <c r="W10" s="5">
        <v>50.5</v>
      </c>
      <c r="X10" s="33">
        <v>1836.9752697834913</v>
      </c>
      <c r="Y10" s="5">
        <v>51.064139513552561</v>
      </c>
      <c r="Z10" s="5">
        <v>7239.8411089251695</v>
      </c>
      <c r="AA10" s="35"/>
    </row>
    <row r="11" spans="2:27" x14ac:dyDescent="0.2">
      <c r="B11" s="4">
        <v>8</v>
      </c>
      <c r="C11" s="4">
        <v>135</v>
      </c>
      <c r="D11" s="23">
        <v>2557920.655263532</v>
      </c>
      <c r="E11" s="33">
        <v>246.1625316154319</v>
      </c>
      <c r="F11" s="5">
        <v>11</v>
      </c>
      <c r="G11" s="23">
        <v>68.5</v>
      </c>
      <c r="H11" s="33">
        <v>1772.6451209480631</v>
      </c>
      <c r="I11" s="23">
        <v>43.828674565895376</v>
      </c>
      <c r="J11" s="5">
        <v>7118.689957444526</v>
      </c>
      <c r="K11" s="31"/>
      <c r="L11" s="23">
        <v>2884866.1491847918</v>
      </c>
      <c r="M11" s="33">
        <v>494.06654830771282</v>
      </c>
      <c r="N11" s="5">
        <v>12</v>
      </c>
      <c r="O11" s="5">
        <v>48.5</v>
      </c>
      <c r="P11" s="33">
        <v>1095.4010258024405</v>
      </c>
      <c r="Q11" s="5">
        <v>27.05969257004271</v>
      </c>
      <c r="R11" s="5">
        <v>5983.5106676870482</v>
      </c>
      <c r="S11" s="35"/>
      <c r="T11" s="23">
        <v>2960504.0606787489</v>
      </c>
      <c r="U11" s="33">
        <v>594.55509807690623</v>
      </c>
      <c r="V11" s="5">
        <v>10</v>
      </c>
      <c r="W11" s="5">
        <v>51</v>
      </c>
      <c r="X11" s="33">
        <v>1888.527071899437</v>
      </c>
      <c r="Y11" s="5">
        <v>52.996631066715111</v>
      </c>
      <c r="Z11" s="5">
        <v>7377.6987756905855</v>
      </c>
      <c r="AA11" s="35"/>
    </row>
    <row r="12" spans="2:27" x14ac:dyDescent="0.2">
      <c r="B12" s="4">
        <v>9</v>
      </c>
      <c r="C12" s="4">
        <v>728</v>
      </c>
      <c r="D12" s="23">
        <v>2572043.869877418</v>
      </c>
      <c r="E12" s="33">
        <v>617.51447069225833</v>
      </c>
      <c r="F12" s="5">
        <v>10</v>
      </c>
      <c r="G12" s="23">
        <v>67.5</v>
      </c>
      <c r="H12" s="33">
        <v>1713.5658708972644</v>
      </c>
      <c r="I12" s="23">
        <v>48.730258507623546</v>
      </c>
      <c r="J12" s="5">
        <v>7226.2781139663803</v>
      </c>
      <c r="K12" s="31"/>
      <c r="L12" s="23">
        <v>2885274.8798494712</v>
      </c>
      <c r="M12" s="33">
        <v>278.8315674615128</v>
      </c>
      <c r="N12" s="5">
        <v>12</v>
      </c>
      <c r="O12" s="5">
        <v>49.5</v>
      </c>
      <c r="P12" s="33">
        <v>1107.243966806599</v>
      </c>
      <c r="Q12" s="5">
        <v>27.473433080458829</v>
      </c>
      <c r="R12" s="5">
        <v>6043.0401177038411</v>
      </c>
      <c r="S12" s="35"/>
      <c r="T12" s="23">
        <v>2971052.3236793829</v>
      </c>
      <c r="U12" s="33">
        <v>996.9541401538745</v>
      </c>
      <c r="V12" s="5">
        <v>10</v>
      </c>
      <c r="W12" s="5">
        <v>50.5</v>
      </c>
      <c r="X12" s="33">
        <v>1835.9286551308835</v>
      </c>
      <c r="Y12" s="5">
        <v>52.446560962369119</v>
      </c>
      <c r="Z12" s="5">
        <v>7412.1168045552995</v>
      </c>
      <c r="AA12" s="35"/>
    </row>
    <row r="13" spans="2:27" x14ac:dyDescent="0.2">
      <c r="B13" s="4">
        <v>10</v>
      </c>
      <c r="C13" s="4">
        <v>240</v>
      </c>
      <c r="D13" s="23">
        <v>2617862.225340094</v>
      </c>
      <c r="E13" s="33">
        <v>368.56071746155902</v>
      </c>
      <c r="F13" s="5">
        <v>10</v>
      </c>
      <c r="G13" s="23">
        <v>66</v>
      </c>
      <c r="H13" s="33">
        <v>1767.9490473769686</v>
      </c>
      <c r="I13" s="23">
        <v>46.637050609496313</v>
      </c>
      <c r="J13" s="5">
        <v>7263.8682623154973</v>
      </c>
      <c r="K13" s="31"/>
      <c r="L13" s="23">
        <v>2822102.4682940049</v>
      </c>
      <c r="M13" s="33">
        <v>608.2417601538607</v>
      </c>
      <c r="N13" s="5">
        <v>13</v>
      </c>
      <c r="O13" s="5">
        <v>53</v>
      </c>
      <c r="P13" s="33">
        <v>1215.1414576825659</v>
      </c>
      <c r="Q13" s="5">
        <v>26.808360743380568</v>
      </c>
      <c r="R13" s="5">
        <v>6162.8078375041696</v>
      </c>
      <c r="S13" s="35"/>
      <c r="T13" s="23">
        <v>2963020.3151215501</v>
      </c>
      <c r="U13" s="33">
        <v>554.01952792308293</v>
      </c>
      <c r="V13" s="5">
        <v>10</v>
      </c>
      <c r="W13" s="5">
        <v>50.5</v>
      </c>
      <c r="X13" s="33">
        <v>1813.6206754871455</v>
      </c>
      <c r="Y13" s="5">
        <v>52.584809664982757</v>
      </c>
      <c r="Z13" s="5">
        <v>7425.5630116890507</v>
      </c>
      <c r="AA13" s="35"/>
    </row>
    <row r="14" spans="2:27" x14ac:dyDescent="0.2">
      <c r="B14" s="47" t="s">
        <v>3</v>
      </c>
      <c r="C14" s="48"/>
      <c r="D14" s="9">
        <f>MIN(D4:D13)</f>
        <v>2549365.6258458318</v>
      </c>
      <c r="E14" s="22">
        <f>INDEX(E4:E13, MATCH($D$14, D4:D13, 0))</f>
        <v>401.01635523077744</v>
      </c>
      <c r="F14" s="9">
        <f>INDEX(F4:F13, MATCH($D$14, D4:D13, 0))</f>
        <v>10</v>
      </c>
      <c r="G14" s="9">
        <f>INDEX(G4:G13, MATCH($D$14, D4:D13, 0))</f>
        <v>68</v>
      </c>
      <c r="H14" s="22">
        <f>INDEX(H4:H13, MATCH($D$14, D4:D13, 0))</f>
        <v>1755.8515086440102</v>
      </c>
      <c r="I14" s="22">
        <f>INDEX(I4:I13, MATCH($D$14, D4:D13, 0))</f>
        <v>48.784030144238649</v>
      </c>
      <c r="J14" s="22">
        <f>INDEX(J4:J13, MATCH($D$14, D4:D13, 0))</f>
        <v>7112.7763442095329</v>
      </c>
      <c r="K14" s="32" t="e">
        <f>(D14-$D$15)/$D$15</f>
        <v>#DIV/0!</v>
      </c>
      <c r="L14" s="16">
        <f>MIN(L4:L13)</f>
        <v>2800978.2453060551</v>
      </c>
      <c r="M14" s="21">
        <f>INDEX(M4:M13, MATCH($L$14, L4:L13, 0))</f>
        <v>585.60095669227076</v>
      </c>
      <c r="N14" s="16">
        <f>INDEX(N4:N13, MATCH($L$14, L4:L13, 0))</f>
        <v>15</v>
      </c>
      <c r="O14" s="16">
        <f>INDEX(O4:O13, MATCH($L$14, L4:L13, 0))</f>
        <v>57</v>
      </c>
      <c r="P14" s="21">
        <f>INDEX(P4:P13, MATCH($L$14, L4:L13, 0))</f>
        <v>1475.2883617739844</v>
      </c>
      <c r="Q14" s="21">
        <f>INDEX(Q4:Q13, MATCH($L$14, L4:L13, 0))</f>
        <v>26.063629423371879</v>
      </c>
      <c r="R14" s="21">
        <f>INDEX(R4:R13, MATCH($L$14, L4:L13, 0))</f>
        <v>6466.6763183129287</v>
      </c>
      <c r="S14" s="36" t="e">
        <f>(L14-$D$15)/$D$15</f>
        <v>#DIV/0!</v>
      </c>
      <c r="T14" s="38">
        <f>MIN(T4:T13)</f>
        <v>2959802.796037077</v>
      </c>
      <c r="U14" s="39">
        <f>INDEX(U4:U13, MATCH($T$14, T4:T13, 0))</f>
        <v>205.99740923077871</v>
      </c>
      <c r="V14" s="38">
        <f>INDEX(V4:V13, MATCH($T$14, T4:T13, 0))</f>
        <v>10</v>
      </c>
      <c r="W14" s="38">
        <f>INDEX(W4:W13, MATCH($T$14, T4:T13, 0))</f>
        <v>51</v>
      </c>
      <c r="X14" s="39">
        <f>INDEX(X4:X13, MATCH($T$14, T4:T13, 0))</f>
        <v>1881.3821408101369</v>
      </c>
      <c r="Y14" s="39">
        <f>INDEX(Y4:Y13, MATCH($T$14, T4:T13, 0))</f>
        <v>53.041754639080217</v>
      </c>
      <c r="Z14" s="39">
        <f>INDEX(Z4:Z13, MATCH($T$14, T4:T13, 0))</f>
        <v>7383.5979602551433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9.869616853280623E-2</v>
      </c>
      <c r="M15" s="41">
        <f t="shared" ref="M15:R15" si="0">(M14-E14)/E14</f>
        <v>0.46029195331763545</v>
      </c>
      <c r="N15" s="41">
        <f t="shared" si="0"/>
        <v>0.5</v>
      </c>
      <c r="O15" s="41">
        <f t="shared" si="0"/>
        <v>-0.16176470588235295</v>
      </c>
      <c r="P15" s="41">
        <f t="shared" si="0"/>
        <v>-0.15978751363017937</v>
      </c>
      <c r="Q15" s="41">
        <f t="shared" si="0"/>
        <v>-0.46573439409761497</v>
      </c>
      <c r="R15" s="41">
        <f t="shared" si="0"/>
        <v>-9.0836544638802003E-2</v>
      </c>
      <c r="T15" s="41">
        <f>(T14-D14)/D14</f>
        <v>0.16099580461514609</v>
      </c>
      <c r="U15" s="41">
        <f t="shared" ref="U15:Z15" si="1">(U14-E14)/E14</f>
        <v>-0.48631170139624097</v>
      </c>
      <c r="V15" s="41">
        <f t="shared" si="1"/>
        <v>0</v>
      </c>
      <c r="W15" s="41">
        <f t="shared" si="1"/>
        <v>-0.25</v>
      </c>
      <c r="X15" s="41">
        <f t="shared" si="1"/>
        <v>7.1492738166150566E-2</v>
      </c>
      <c r="Y15" s="41">
        <f t="shared" si="1"/>
        <v>8.7277014265792513E-2</v>
      </c>
      <c r="Z15" s="41">
        <f t="shared" si="1"/>
        <v>3.8075373516571295E-2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4:C1048576">
    <cfRule type="duplicateValues" dxfId="85" priority="7"/>
    <cfRule type="duplicateValues" dxfId="84" priority="8"/>
  </conditionalFormatting>
  <conditionalFormatting sqref="C14">
    <cfRule type="duplicateValues" dxfId="83" priority="5"/>
    <cfRule type="duplicateValues" dxfId="82" priority="6"/>
  </conditionalFormatting>
  <conditionalFormatting sqref="C15">
    <cfRule type="duplicateValues" dxfId="81" priority="3"/>
    <cfRule type="duplicateValues" dxfId="80" priority="4"/>
  </conditionalFormatting>
  <conditionalFormatting sqref="C20:C33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729E-4C33-4A98-9174-69ED4C08C4CA}">
  <dimension ref="B1:AA17"/>
  <sheetViews>
    <sheetView zoomScale="90" zoomScaleNormal="90" workbookViewId="0">
      <selection activeCell="U20" sqref="U20:U31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-0.98890660140292264</v>
      </c>
      <c r="J2" s="28" t="e">
        <f>(S14-J14)/J14</f>
        <v>#DIV/0!</v>
      </c>
      <c r="K2" s="28"/>
      <c r="L2" s="1" t="s">
        <v>19</v>
      </c>
      <c r="P2" s="1">
        <f>(P14-H14)/H14</f>
        <v>-0.37301288627979107</v>
      </c>
      <c r="R2" s="1">
        <f>(R14-J14)/J14</f>
        <v>-0.18877647246721896</v>
      </c>
      <c r="T2" s="1" t="s">
        <v>20</v>
      </c>
      <c r="X2" s="1">
        <f>(X14-P14)/P14</f>
        <v>0.5938123906517766</v>
      </c>
      <c r="Z2" s="1">
        <f>(Z14-R14)/R14</f>
        <v>0.24361226811628764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180</v>
      </c>
      <c r="D4" s="23">
        <v>2458664.5467870021</v>
      </c>
      <c r="E4" s="33">
        <v>177.79297753846132</v>
      </c>
      <c r="F4" s="5">
        <v>11</v>
      </c>
      <c r="G4" s="23">
        <v>70.5</v>
      </c>
      <c r="H4" s="33">
        <v>1684.7888643046465</v>
      </c>
      <c r="I4" s="23">
        <v>41.918394705373672</v>
      </c>
      <c r="J4" s="5">
        <v>7066.0106548064314</v>
      </c>
      <c r="K4" s="31"/>
      <c r="L4" s="23">
        <v>3001532.1900342</v>
      </c>
      <c r="M4" s="33">
        <v>326.48702615388453</v>
      </c>
      <c r="N4" s="5">
        <v>13</v>
      </c>
      <c r="O4" s="5">
        <v>45.5</v>
      </c>
      <c r="P4" s="33">
        <v>1183.4214518271842</v>
      </c>
      <c r="Q4" s="5">
        <v>19.770996906641976</v>
      </c>
      <c r="R4" s="5">
        <v>6019.4663013619238</v>
      </c>
      <c r="S4" s="35"/>
      <c r="T4" s="23">
        <v>2919147.7029891</v>
      </c>
      <c r="U4" s="33">
        <v>374.9069250769054</v>
      </c>
      <c r="V4" s="5">
        <v>10</v>
      </c>
      <c r="W4" s="5">
        <v>49</v>
      </c>
      <c r="X4" s="33">
        <v>1555.956632035563</v>
      </c>
      <c r="Y4" s="5">
        <v>48.98382178367838</v>
      </c>
      <c r="Z4" s="5">
        <v>6967.164001643725</v>
      </c>
      <c r="AA4" s="35"/>
    </row>
    <row r="5" spans="2:27" x14ac:dyDescent="0.2">
      <c r="B5" s="4">
        <v>2</v>
      </c>
      <c r="C5" s="4">
        <v>535</v>
      </c>
      <c r="D5" s="23">
        <v>2484658.246433849</v>
      </c>
      <c r="E5" s="33">
        <v>404.77826861539279</v>
      </c>
      <c r="F5" s="5">
        <v>11</v>
      </c>
      <c r="G5" s="23">
        <v>68.5</v>
      </c>
      <c r="H5" s="33">
        <v>1517.6920987367953</v>
      </c>
      <c r="I5" s="23">
        <v>39.622140968172118</v>
      </c>
      <c r="J5" s="5">
        <v>6884.2972529803064</v>
      </c>
      <c r="K5" s="31"/>
      <c r="L5" s="23">
        <v>2854899.5833306029</v>
      </c>
      <c r="M5" s="33">
        <v>390.90398623079705</v>
      </c>
      <c r="N5" s="5">
        <v>15</v>
      </c>
      <c r="O5" s="5">
        <v>53.5</v>
      </c>
      <c r="P5" s="33">
        <v>1409.6728563177164</v>
      </c>
      <c r="Q5" s="5">
        <v>21.585195452182425</v>
      </c>
      <c r="R5" s="5">
        <v>6150.7087492122982</v>
      </c>
      <c r="S5" s="35"/>
      <c r="T5" s="23">
        <v>2892567.1646054471</v>
      </c>
      <c r="U5" s="33">
        <v>273.7337554615134</v>
      </c>
      <c r="V5" s="5">
        <v>11</v>
      </c>
      <c r="W5" s="5">
        <v>53</v>
      </c>
      <c r="X5" s="33">
        <v>1928.208312870011</v>
      </c>
      <c r="Y5" s="5">
        <v>47.848223968512393</v>
      </c>
      <c r="Z5" s="5">
        <v>7294.8688047577534</v>
      </c>
      <c r="AA5" s="35"/>
    </row>
    <row r="6" spans="2:27" x14ac:dyDescent="0.2">
      <c r="B6" s="4">
        <v>3</v>
      </c>
      <c r="C6" s="4">
        <v>544</v>
      </c>
      <c r="D6" s="23">
        <v>2420705.4388758708</v>
      </c>
      <c r="E6" s="33">
        <v>451.84288023075516</v>
      </c>
      <c r="F6" s="5">
        <v>11</v>
      </c>
      <c r="G6" s="23">
        <v>71.5</v>
      </c>
      <c r="H6" s="33">
        <v>1620.8090092953164</v>
      </c>
      <c r="I6" s="23">
        <v>43.321514192637693</v>
      </c>
      <c r="J6" s="5">
        <v>7032.6417206297547</v>
      </c>
      <c r="K6" s="31"/>
      <c r="L6" s="23">
        <v>2902856.1468435288</v>
      </c>
      <c r="M6" s="33">
        <v>323.36183207691647</v>
      </c>
      <c r="N6" s="5">
        <v>11</v>
      </c>
      <c r="O6" s="5">
        <v>44.5</v>
      </c>
      <c r="P6" s="33">
        <v>857.18299085313492</v>
      </c>
      <c r="Q6" s="5">
        <v>22.025673989161934</v>
      </c>
      <c r="R6" s="5">
        <v>5192.7251568424435</v>
      </c>
      <c r="S6" s="35"/>
      <c r="T6" s="23">
        <v>2891988.3989618812</v>
      </c>
      <c r="U6" s="33">
        <v>565.91273623079849</v>
      </c>
      <c r="V6" s="5">
        <v>10</v>
      </c>
      <c r="W6" s="5">
        <v>52</v>
      </c>
      <c r="X6" s="33">
        <v>1813.8829968011139</v>
      </c>
      <c r="Y6" s="5">
        <v>49.259740844479587</v>
      </c>
      <c r="Z6" s="5">
        <v>7259.4348478989741</v>
      </c>
      <c r="AA6" s="35"/>
    </row>
    <row r="7" spans="2:27" x14ac:dyDescent="0.2">
      <c r="B7" s="4">
        <v>4</v>
      </c>
      <c r="C7" s="4">
        <v>648</v>
      </c>
      <c r="D7" s="23">
        <v>2558156.142320748</v>
      </c>
      <c r="E7" s="33">
        <v>497.14760707691312</v>
      </c>
      <c r="F7" s="5">
        <v>10</v>
      </c>
      <c r="G7" s="23">
        <v>66</v>
      </c>
      <c r="H7" s="33">
        <v>1550.1529401949031</v>
      </c>
      <c r="I7" s="23">
        <v>41.609193416950582</v>
      </c>
      <c r="J7" s="5">
        <v>7049.5542896073966</v>
      </c>
      <c r="K7" s="31"/>
      <c r="L7" s="23">
        <v>2910239.912476649</v>
      </c>
      <c r="M7" s="33">
        <v>307.85889753847948</v>
      </c>
      <c r="N7" s="5">
        <v>14</v>
      </c>
      <c r="O7" s="5">
        <v>49.5</v>
      </c>
      <c r="P7" s="33">
        <v>1456.2437864636352</v>
      </c>
      <c r="Q7" s="5">
        <v>21.720673381140859</v>
      </c>
      <c r="R7" s="5">
        <v>6011.2434313833874</v>
      </c>
      <c r="S7" s="35"/>
      <c r="T7" s="23">
        <v>2967463.358582193</v>
      </c>
      <c r="U7" s="33">
        <v>391.40555030769275</v>
      </c>
      <c r="V7" s="5">
        <v>10</v>
      </c>
      <c r="W7" s="5">
        <v>49</v>
      </c>
      <c r="X7" s="33">
        <v>1864.1643809767074</v>
      </c>
      <c r="Y7" s="5">
        <v>45.535552966845465</v>
      </c>
      <c r="Z7" s="5">
        <v>7310.7144201170968</v>
      </c>
      <c r="AA7" s="35"/>
    </row>
    <row r="8" spans="2:27" x14ac:dyDescent="0.2">
      <c r="B8" s="4">
        <v>5</v>
      </c>
      <c r="C8" s="4">
        <v>789</v>
      </c>
      <c r="D8" s="23">
        <v>2451790.8372485219</v>
      </c>
      <c r="E8" s="33">
        <v>249.52792484617723</v>
      </c>
      <c r="F8" s="5">
        <v>11</v>
      </c>
      <c r="G8" s="23">
        <v>71</v>
      </c>
      <c r="H8" s="33">
        <v>1591.4515903544948</v>
      </c>
      <c r="I8" s="23">
        <v>42.004539567483157</v>
      </c>
      <c r="J8" s="5">
        <v>7051.8071122679085</v>
      </c>
      <c r="K8" s="31"/>
      <c r="L8" s="23">
        <v>2875308.2448822809</v>
      </c>
      <c r="M8" s="33">
        <v>416.42633100004434</v>
      </c>
      <c r="N8" s="5">
        <v>12</v>
      </c>
      <c r="O8" s="5">
        <v>47</v>
      </c>
      <c r="P8" s="33">
        <v>857.18227154009082</v>
      </c>
      <c r="Q8" s="5">
        <v>23.022972260986744</v>
      </c>
      <c r="R8" s="5">
        <v>5469.3744646198284</v>
      </c>
      <c r="S8" s="35"/>
      <c r="T8" s="23">
        <v>2917926.0396158579</v>
      </c>
      <c r="U8" s="33">
        <v>161.52802561539622</v>
      </c>
      <c r="V8" s="5">
        <v>10</v>
      </c>
      <c r="W8" s="5">
        <v>50.5</v>
      </c>
      <c r="X8" s="33">
        <v>1693.9208456673077</v>
      </c>
      <c r="Y8" s="5">
        <v>46.645718672737303</v>
      </c>
      <c r="Z8" s="5">
        <v>7148.0761006654511</v>
      </c>
      <c r="AA8" s="35"/>
    </row>
    <row r="9" spans="2:27" x14ac:dyDescent="0.2">
      <c r="B9" s="4">
        <v>6</v>
      </c>
      <c r="C9" s="4">
        <v>902</v>
      </c>
      <c r="D9" s="23">
        <v>2526448.705788224</v>
      </c>
      <c r="E9" s="33">
        <v>352.32972700005541</v>
      </c>
      <c r="F9" s="5">
        <v>10</v>
      </c>
      <c r="G9" s="23">
        <v>67.5</v>
      </c>
      <c r="H9" s="33">
        <v>1611.7214123945951</v>
      </c>
      <c r="I9" s="23">
        <v>44.206542727429991</v>
      </c>
      <c r="J9" s="5">
        <v>7077.1059426333186</v>
      </c>
      <c r="K9" s="31"/>
      <c r="L9" s="23">
        <v>2979129.2226704299</v>
      </c>
      <c r="M9" s="33">
        <v>312.60006415389046</v>
      </c>
      <c r="N9" s="5">
        <v>11</v>
      </c>
      <c r="O9" s="5">
        <v>42.5</v>
      </c>
      <c r="P9" s="33">
        <v>840.54199704647215</v>
      </c>
      <c r="Q9" s="5">
        <v>21.87528518984108</v>
      </c>
      <c r="R9" s="5">
        <v>5439.0908636125878</v>
      </c>
      <c r="S9" s="35"/>
      <c r="T9" s="23">
        <v>2915002.6047020522</v>
      </c>
      <c r="U9" s="33">
        <v>196.81715607692377</v>
      </c>
      <c r="V9" s="5">
        <v>11</v>
      </c>
      <c r="W9" s="5">
        <v>51.5</v>
      </c>
      <c r="X9" s="33">
        <v>1764.1133607120476</v>
      </c>
      <c r="Y9" s="5">
        <v>47.687754164917102</v>
      </c>
      <c r="Z9" s="5">
        <v>7250.0878502534079</v>
      </c>
      <c r="AA9" s="35"/>
    </row>
    <row r="10" spans="2:27" x14ac:dyDescent="0.2">
      <c r="B10" s="4">
        <v>7</v>
      </c>
      <c r="C10" s="4">
        <v>957</v>
      </c>
      <c r="D10" s="23">
        <v>2445703.7853066311</v>
      </c>
      <c r="E10" s="33">
        <v>345.97204861535613</v>
      </c>
      <c r="F10" s="5">
        <v>10</v>
      </c>
      <c r="G10" s="23">
        <v>70.5</v>
      </c>
      <c r="H10" s="33">
        <v>1682.359468029053</v>
      </c>
      <c r="I10" s="23">
        <v>45.719692988628935</v>
      </c>
      <c r="J10" s="5">
        <v>7087.2435104671968</v>
      </c>
      <c r="K10" s="31"/>
      <c r="L10" s="23">
        <v>2795462.8645293922</v>
      </c>
      <c r="M10" s="33">
        <v>1038.0420439230961</v>
      </c>
      <c r="N10" s="5">
        <v>16</v>
      </c>
      <c r="O10" s="5">
        <v>54.5</v>
      </c>
      <c r="P10" s="33">
        <v>1138.0781122295964</v>
      </c>
      <c r="Q10" s="5">
        <v>20.136225860626148</v>
      </c>
      <c r="R10" s="5">
        <v>5837.3779625822726</v>
      </c>
      <c r="S10" s="35"/>
      <c r="T10" s="23">
        <v>2894407.301615647</v>
      </c>
      <c r="U10" s="33">
        <v>607.47651099997495</v>
      </c>
      <c r="V10" s="5">
        <v>10</v>
      </c>
      <c r="W10" s="5">
        <v>52</v>
      </c>
      <c r="X10" s="33">
        <v>1842.6449943997309</v>
      </c>
      <c r="Y10" s="5">
        <v>49.682102906727572</v>
      </c>
      <c r="Z10" s="5">
        <v>7295.3976790577244</v>
      </c>
      <c r="AA10" s="35"/>
    </row>
    <row r="11" spans="2:27" x14ac:dyDescent="0.2">
      <c r="B11" s="4">
        <v>8</v>
      </c>
      <c r="C11" s="4">
        <v>199</v>
      </c>
      <c r="D11" s="23">
        <v>2419270.370282515</v>
      </c>
      <c r="E11" s="33">
        <v>299.37531661537764</v>
      </c>
      <c r="F11" s="5">
        <v>11</v>
      </c>
      <c r="G11" s="23">
        <v>73</v>
      </c>
      <c r="H11" s="33">
        <v>1815.1539119788995</v>
      </c>
      <c r="I11" s="23">
        <v>45.033451894276666</v>
      </c>
      <c r="J11" s="5">
        <v>7195.7700491451633</v>
      </c>
      <c r="K11" s="31"/>
      <c r="L11" s="23">
        <v>3044621.7721050899</v>
      </c>
      <c r="M11" s="33">
        <v>463.21048107696697</v>
      </c>
      <c r="N11" s="5">
        <v>9</v>
      </c>
      <c r="O11" s="5">
        <v>38</v>
      </c>
      <c r="P11" s="33">
        <v>703.00515059237694</v>
      </c>
      <c r="Q11" s="5">
        <v>23.803572841369142</v>
      </c>
      <c r="R11" s="5">
        <v>5146.4047393739775</v>
      </c>
      <c r="S11" s="35"/>
      <c r="T11" s="23">
        <v>2895452.6381732021</v>
      </c>
      <c r="U11" s="33">
        <v>302.86563930768835</v>
      </c>
      <c r="V11" s="5">
        <v>11</v>
      </c>
      <c r="W11" s="5">
        <v>52</v>
      </c>
      <c r="X11" s="33">
        <v>1873.6505619613147</v>
      </c>
      <c r="Y11" s="5">
        <v>49.463132611244937</v>
      </c>
      <c r="Z11" s="5">
        <v>7248.3236758519988</v>
      </c>
      <c r="AA11" s="35"/>
    </row>
    <row r="12" spans="2:27" x14ac:dyDescent="0.2">
      <c r="B12" s="4">
        <v>9</v>
      </c>
      <c r="C12" s="4">
        <v>57</v>
      </c>
      <c r="D12" s="23">
        <v>2558503.3722441918</v>
      </c>
      <c r="E12" s="33">
        <v>346.79621223082694</v>
      </c>
      <c r="F12" s="5">
        <v>10</v>
      </c>
      <c r="G12" s="23">
        <v>66</v>
      </c>
      <c r="H12" s="33">
        <v>1578.5390360022109</v>
      </c>
      <c r="I12" s="23">
        <v>41.733869561679363</v>
      </c>
      <c r="J12" s="5">
        <v>7054.7602130144824</v>
      </c>
      <c r="K12" s="31"/>
      <c r="L12" s="23">
        <v>2916447.909081697</v>
      </c>
      <c r="M12" s="33">
        <v>350.55250799999783</v>
      </c>
      <c r="N12" s="5">
        <v>11</v>
      </c>
      <c r="O12" s="5">
        <v>46.5</v>
      </c>
      <c r="P12" s="33">
        <v>1087.3016713597897</v>
      </c>
      <c r="Q12" s="5">
        <v>24.66736684573954</v>
      </c>
      <c r="R12" s="5">
        <v>5843.3871749556802</v>
      </c>
      <c r="S12" s="35"/>
      <c r="T12" s="23">
        <v>2973803.7883718289</v>
      </c>
      <c r="U12" s="33">
        <v>223.11298830770494</v>
      </c>
      <c r="V12" s="5">
        <v>10</v>
      </c>
      <c r="W12" s="5">
        <v>47.5</v>
      </c>
      <c r="X12" s="33">
        <v>1525.231077569224</v>
      </c>
      <c r="Y12" s="5">
        <v>43.196694290350607</v>
      </c>
      <c r="Z12" s="5">
        <v>7006.3736887722298</v>
      </c>
      <c r="AA12" s="35"/>
    </row>
    <row r="13" spans="2:27" x14ac:dyDescent="0.2">
      <c r="B13" s="4">
        <v>10</v>
      </c>
      <c r="C13" s="4">
        <v>130</v>
      </c>
      <c r="D13" s="23">
        <v>2572550.0340653458</v>
      </c>
      <c r="E13" s="33">
        <v>175.95301730773198</v>
      </c>
      <c r="F13" s="5">
        <v>11</v>
      </c>
      <c r="G13" s="23">
        <v>67.5</v>
      </c>
      <c r="H13" s="33">
        <v>1767.1291601449389</v>
      </c>
      <c r="I13" s="23">
        <v>38.548424194487815</v>
      </c>
      <c r="J13" s="5">
        <v>7224.5029237105937</v>
      </c>
      <c r="K13" s="31"/>
      <c r="L13" s="23">
        <v>2868422.0701080938</v>
      </c>
      <c r="M13" s="33">
        <v>434.81930753851952</v>
      </c>
      <c r="N13" s="5">
        <v>15</v>
      </c>
      <c r="O13" s="5">
        <v>52</v>
      </c>
      <c r="P13" s="33">
        <v>1216.1861291543848</v>
      </c>
      <c r="Q13" s="5">
        <v>20.234434581251264</v>
      </c>
      <c r="R13" s="5">
        <v>6052.9420420272991</v>
      </c>
      <c r="S13" s="35"/>
      <c r="T13" s="23">
        <v>3152881.292343033</v>
      </c>
      <c r="U13" s="33">
        <v>400.46513676920978</v>
      </c>
      <c r="V13" s="5">
        <v>9</v>
      </c>
      <c r="W13" s="5">
        <v>42</v>
      </c>
      <c r="X13" s="33">
        <v>1909.0139647284338</v>
      </c>
      <c r="Y13" s="5">
        <v>38.74139892492159</v>
      </c>
      <c r="Z13" s="5">
        <v>7415.3460904119102</v>
      </c>
      <c r="AA13" s="35"/>
    </row>
    <row r="14" spans="2:27" x14ac:dyDescent="0.2">
      <c r="B14" s="47" t="s">
        <v>3</v>
      </c>
      <c r="C14" s="48"/>
      <c r="D14" s="9">
        <f>MIN(D4:D13)</f>
        <v>2419270.370282515</v>
      </c>
      <c r="E14" s="22">
        <f>INDEX(E4:E13, MATCH($D$14, D4:D13, 0))</f>
        <v>299.37531661537764</v>
      </c>
      <c r="F14" s="9">
        <f>INDEX(F4:F13, MATCH($D$14, D4:D13, 0))</f>
        <v>11</v>
      </c>
      <c r="G14" s="9">
        <f>INDEX(G4:G13, MATCH($D$14, D4:D13, 0))</f>
        <v>73</v>
      </c>
      <c r="H14" s="22">
        <f>INDEX(H4:H13, MATCH($D$14, D4:D13, 0))</f>
        <v>1815.1539119788995</v>
      </c>
      <c r="I14" s="22">
        <f>INDEX(I4:I13, MATCH($D$14, D4:D13, 0))</f>
        <v>45.033451894276666</v>
      </c>
      <c r="J14" s="22">
        <f>INDEX(J4:J13, MATCH($D$14, D4:D13, 0))</f>
        <v>7195.7700491451633</v>
      </c>
      <c r="K14" s="32" t="e">
        <f>(D14-$D$15)/$D$15</f>
        <v>#DIV/0!</v>
      </c>
      <c r="L14" s="16">
        <f>MIN(L4:L13)</f>
        <v>2795462.8645293922</v>
      </c>
      <c r="M14" s="21">
        <f>INDEX(M4:M13, MATCH($L$14, L4:L13, 0))</f>
        <v>1038.0420439230961</v>
      </c>
      <c r="N14" s="16">
        <f>INDEX(N4:N13, MATCH($L$14, L4:L13, 0))</f>
        <v>16</v>
      </c>
      <c r="O14" s="16">
        <f>INDEX(O4:O13, MATCH($L$14, L4:L13, 0))</f>
        <v>54.5</v>
      </c>
      <c r="P14" s="21">
        <f>INDEX(P4:P13, MATCH($L$14, L4:L13, 0))</f>
        <v>1138.0781122295964</v>
      </c>
      <c r="Q14" s="21">
        <f>INDEX(Q4:Q13, MATCH($L$14, L4:L13, 0))</f>
        <v>20.136225860626148</v>
      </c>
      <c r="R14" s="21">
        <f>INDEX(R4:R13, MATCH($L$14, L4:L13, 0))</f>
        <v>5837.3779625822726</v>
      </c>
      <c r="S14" s="36" t="e">
        <f>(L14-$D$15)/$D$15</f>
        <v>#DIV/0!</v>
      </c>
      <c r="T14" s="38">
        <f>MIN(T4:T13)</f>
        <v>2891988.3989618812</v>
      </c>
      <c r="U14" s="39">
        <f>INDEX(U4:U13, MATCH($T$14, T4:T13, 0))</f>
        <v>565.91273623079849</v>
      </c>
      <c r="V14" s="38">
        <f>INDEX(V4:V13, MATCH($T$14, T4:T13, 0))</f>
        <v>10</v>
      </c>
      <c r="W14" s="38">
        <f>INDEX(W4:W13, MATCH($T$14, T4:T13, 0))</f>
        <v>52</v>
      </c>
      <c r="X14" s="39">
        <f>INDEX(X4:X13, MATCH($T$14, T4:T13, 0))</f>
        <v>1813.8829968011139</v>
      </c>
      <c r="Y14" s="39">
        <f>INDEX(Y4:Y13, MATCH($T$14, T4:T13, 0))</f>
        <v>49.259740844479587</v>
      </c>
      <c r="Z14" s="39">
        <f>INDEX(Z4:Z13, MATCH($T$14, T4:T13, 0))</f>
        <v>7259.4348478989741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0.15549832663099439</v>
      </c>
      <c r="M15" s="41">
        <f t="shared" ref="M15:R15" si="0">(M14-E14)/E14</f>
        <v>2.4673601539993371</v>
      </c>
      <c r="N15" s="41">
        <f t="shared" si="0"/>
        <v>0.45454545454545453</v>
      </c>
      <c r="O15" s="41">
        <f t="shared" si="0"/>
        <v>-0.25342465753424659</v>
      </c>
      <c r="P15" s="41">
        <f t="shared" si="0"/>
        <v>-0.37301288627979107</v>
      </c>
      <c r="Q15" s="41">
        <f t="shared" si="0"/>
        <v>-0.55286070657210107</v>
      </c>
      <c r="R15" s="41">
        <f t="shared" si="0"/>
        <v>-0.18877647246721896</v>
      </c>
      <c r="T15" s="41">
        <f>(T14-D14)/D14</f>
        <v>0.19539694053466364</v>
      </c>
      <c r="U15" s="41">
        <f t="shared" ref="U15:Z15" si="1">(U14-E14)/E14</f>
        <v>0.89031194230970856</v>
      </c>
      <c r="V15" s="41">
        <f t="shared" si="1"/>
        <v>-9.0909090909090912E-2</v>
      </c>
      <c r="W15" s="41">
        <f t="shared" si="1"/>
        <v>-0.28767123287671231</v>
      </c>
      <c r="X15" s="41">
        <f t="shared" si="1"/>
        <v>-7.0016937373647693E-4</v>
      </c>
      <c r="Y15" s="41">
        <f t="shared" si="1"/>
        <v>9.3847768101917209E-2</v>
      </c>
      <c r="Z15" s="41">
        <f t="shared" si="1"/>
        <v>8.8475310243375585E-3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4:C1048576">
    <cfRule type="duplicateValues" dxfId="79" priority="7"/>
    <cfRule type="duplicateValues" dxfId="78" priority="8"/>
  </conditionalFormatting>
  <conditionalFormatting sqref="C14">
    <cfRule type="duplicateValues" dxfId="77" priority="5"/>
    <cfRule type="duplicateValues" dxfId="76" priority="6"/>
  </conditionalFormatting>
  <conditionalFormatting sqref="C15">
    <cfRule type="duplicateValues" dxfId="75" priority="3"/>
    <cfRule type="duplicateValues" dxfId="74" priority="4"/>
  </conditionalFormatting>
  <conditionalFormatting sqref="C20:C33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FE60-A258-4C73-AA81-B042F112F499}">
  <dimension ref="B1:AA17"/>
  <sheetViews>
    <sheetView zoomScale="90" zoomScaleNormal="90" workbookViewId="0">
      <selection activeCell="U19" sqref="U19:U3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-0.98245388610955353</v>
      </c>
      <c r="J2" s="28" t="e">
        <f>(S14-J14)/J14</f>
        <v>#DIV/0!</v>
      </c>
      <c r="K2" s="28"/>
      <c r="L2" s="1" t="s">
        <v>19</v>
      </c>
      <c r="P2" s="1">
        <f>(P14-H14)/H14</f>
        <v>-0.21032926326398993</v>
      </c>
      <c r="R2" s="1">
        <f>(R14-J14)/J14</f>
        <v>-0.11160345449563483</v>
      </c>
      <c r="T2" s="1" t="s">
        <v>20</v>
      </c>
      <c r="X2" s="1">
        <f>(X14-P14)/P14</f>
        <v>0.43341665359565479</v>
      </c>
      <c r="Z2" s="1">
        <f>(Z14-R14)/R14</f>
        <v>0.18576892584458773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236</v>
      </c>
      <c r="D4" s="23">
        <v>2530886.915155754</v>
      </c>
      <c r="E4" s="33">
        <v>267.70908453842048</v>
      </c>
      <c r="F4" s="5">
        <v>10</v>
      </c>
      <c r="G4" s="23">
        <v>66.5</v>
      </c>
      <c r="H4" s="33">
        <v>1473.3537819949804</v>
      </c>
      <c r="I4" s="23">
        <v>50.224426960756752</v>
      </c>
      <c r="J4" s="5">
        <v>7004.5746678359428</v>
      </c>
      <c r="K4" s="31"/>
      <c r="L4" s="23">
        <v>2925515.7300714222</v>
      </c>
      <c r="M4" s="33">
        <v>582.95346546156975</v>
      </c>
      <c r="N4" s="5">
        <v>12</v>
      </c>
      <c r="O4" s="5">
        <v>45.5</v>
      </c>
      <c r="P4" s="33">
        <v>855.049089636497</v>
      </c>
      <c r="Q4" s="5">
        <v>24.497254574857365</v>
      </c>
      <c r="R4" s="5">
        <v>5542.7620402956563</v>
      </c>
      <c r="S4" s="35"/>
      <c r="T4" s="23">
        <v>2971442.1490070028</v>
      </c>
      <c r="U4" s="33">
        <v>228.91069923079783</v>
      </c>
      <c r="V4" s="5">
        <v>10</v>
      </c>
      <c r="W4" s="5">
        <v>48</v>
      </c>
      <c r="X4" s="33">
        <v>1587.235705238397</v>
      </c>
      <c r="Y4" s="5">
        <v>47.423303688667509</v>
      </c>
      <c r="Z4" s="5">
        <v>7135.2688803659466</v>
      </c>
      <c r="AA4" s="35"/>
    </row>
    <row r="5" spans="2:27" x14ac:dyDescent="0.2">
      <c r="B5" s="4">
        <v>2</v>
      </c>
      <c r="C5" s="4">
        <v>737</v>
      </c>
      <c r="D5" s="23">
        <v>2574425.2914980249</v>
      </c>
      <c r="E5" s="33">
        <v>208.18944946146354</v>
      </c>
      <c r="F5" s="5">
        <v>11</v>
      </c>
      <c r="G5" s="23">
        <v>65</v>
      </c>
      <c r="H5" s="33">
        <v>1439.1206531086959</v>
      </c>
      <c r="I5" s="23">
        <v>43.621359572444923</v>
      </c>
      <c r="J5" s="5">
        <v>6932.6838427002449</v>
      </c>
      <c r="K5" s="31"/>
      <c r="L5" s="23">
        <v>2919571.083172733</v>
      </c>
      <c r="M5" s="33">
        <v>523.09613284610134</v>
      </c>
      <c r="N5" s="5">
        <v>13</v>
      </c>
      <c r="O5" s="5">
        <v>47</v>
      </c>
      <c r="P5" s="33">
        <v>868.98918515811249</v>
      </c>
      <c r="Q5" s="5">
        <v>23.644816567791882</v>
      </c>
      <c r="R5" s="5">
        <v>5646.5828283409182</v>
      </c>
      <c r="S5" s="35"/>
      <c r="T5" s="23">
        <v>2964218.589274284</v>
      </c>
      <c r="U5" s="33">
        <v>251.26717476926453</v>
      </c>
      <c r="V5" s="5">
        <v>10</v>
      </c>
      <c r="W5" s="5">
        <v>48</v>
      </c>
      <c r="X5" s="33">
        <v>1469.8079953913855</v>
      </c>
      <c r="Y5" s="5">
        <v>48.66563225165892</v>
      </c>
      <c r="Z5" s="5">
        <v>7106.3255586891582</v>
      </c>
      <c r="AA5" s="35"/>
    </row>
    <row r="6" spans="2:27" x14ac:dyDescent="0.2">
      <c r="B6" s="4">
        <v>3</v>
      </c>
      <c r="C6" s="4">
        <v>915</v>
      </c>
      <c r="D6" s="23">
        <v>2601231.168769361</v>
      </c>
      <c r="E6" s="33">
        <v>255.58362261544414</v>
      </c>
      <c r="F6" s="5">
        <v>12</v>
      </c>
      <c r="G6" s="23">
        <v>64.5</v>
      </c>
      <c r="H6" s="33">
        <v>1436.7622137211813</v>
      </c>
      <c r="I6" s="23">
        <v>38.67054308262535</v>
      </c>
      <c r="J6" s="5">
        <v>6965.1513905654765</v>
      </c>
      <c r="K6" s="31"/>
      <c r="L6" s="23">
        <v>2904614.234486192</v>
      </c>
      <c r="M6" s="33">
        <v>873.72260092309921</v>
      </c>
      <c r="N6" s="5">
        <v>13</v>
      </c>
      <c r="O6" s="5">
        <v>48.5</v>
      </c>
      <c r="P6" s="33">
        <v>983.21328818625727</v>
      </c>
      <c r="Q6" s="5">
        <v>26.488128169625028</v>
      </c>
      <c r="R6" s="5">
        <v>5970.0883836011571</v>
      </c>
      <c r="S6" s="35"/>
      <c r="T6" s="23">
        <v>2978179.2075447021</v>
      </c>
      <c r="U6" s="33">
        <v>301.16111169228896</v>
      </c>
      <c r="V6" s="5">
        <v>10</v>
      </c>
      <c r="W6" s="5">
        <v>47.5</v>
      </c>
      <c r="X6" s="33">
        <v>1419.3307008443655</v>
      </c>
      <c r="Y6" s="5">
        <v>50.354080841759853</v>
      </c>
      <c r="Z6" s="5">
        <v>6966.1925566696891</v>
      </c>
      <c r="AA6" s="35"/>
    </row>
    <row r="7" spans="2:27" x14ac:dyDescent="0.2">
      <c r="B7" s="4">
        <v>4</v>
      </c>
      <c r="C7" s="4">
        <v>691</v>
      </c>
      <c r="D7" s="23">
        <v>2568979.9823438409</v>
      </c>
      <c r="E7" s="33">
        <v>500.84891546150453</v>
      </c>
      <c r="F7" s="5">
        <v>10</v>
      </c>
      <c r="G7" s="23">
        <v>64.5</v>
      </c>
      <c r="H7" s="33">
        <v>1440.5512461356107</v>
      </c>
      <c r="I7" s="23">
        <v>46.509935447445933</v>
      </c>
      <c r="J7" s="5">
        <v>6941.8310338866049</v>
      </c>
      <c r="K7" s="31"/>
      <c r="L7" s="23">
        <v>2926863.768534184</v>
      </c>
      <c r="M7" s="33">
        <v>574.86900915382785</v>
      </c>
      <c r="N7" s="5">
        <v>14</v>
      </c>
      <c r="O7" s="5">
        <v>48.5</v>
      </c>
      <c r="P7" s="33">
        <v>1207.7323997756059</v>
      </c>
      <c r="Q7" s="5">
        <v>23.647551187237536</v>
      </c>
      <c r="R7" s="5">
        <v>5766.3531710093948</v>
      </c>
      <c r="S7" s="35"/>
      <c r="T7" s="23">
        <v>2981245.2379637649</v>
      </c>
      <c r="U7" s="33">
        <v>185.84297292310598</v>
      </c>
      <c r="V7" s="5">
        <v>10</v>
      </c>
      <c r="W7" s="5">
        <v>47.5</v>
      </c>
      <c r="X7" s="33">
        <v>1575.0224118977117</v>
      </c>
      <c r="Y7" s="5">
        <v>51.657568341981424</v>
      </c>
      <c r="Z7" s="5">
        <v>7159.895188329564</v>
      </c>
      <c r="AA7" s="35"/>
    </row>
    <row r="8" spans="2:27" x14ac:dyDescent="0.2">
      <c r="B8" s="4">
        <v>5</v>
      </c>
      <c r="C8" s="4">
        <v>561</v>
      </c>
      <c r="D8" s="23">
        <v>2565046.3601383651</v>
      </c>
      <c r="E8" s="33">
        <v>256.79788346151605</v>
      </c>
      <c r="F8" s="5">
        <v>11</v>
      </c>
      <c r="G8" s="23">
        <v>67.5</v>
      </c>
      <c r="H8" s="33">
        <v>1658.7511836113044</v>
      </c>
      <c r="I8" s="23">
        <v>44.595554237387653</v>
      </c>
      <c r="J8" s="5">
        <v>7179.4207941595969</v>
      </c>
      <c r="K8" s="31"/>
      <c r="L8" s="23">
        <v>2902604.3524523261</v>
      </c>
      <c r="M8" s="33">
        <v>652.02647615385308</v>
      </c>
      <c r="N8" s="5">
        <v>14</v>
      </c>
      <c r="O8" s="5">
        <v>48</v>
      </c>
      <c r="P8" s="33">
        <v>895.56496997787292</v>
      </c>
      <c r="Q8" s="5">
        <v>21.957509772427361</v>
      </c>
      <c r="R8" s="5">
        <v>5575.4310066068383</v>
      </c>
      <c r="S8" s="35"/>
      <c r="T8" s="23">
        <v>3049893.1934190849</v>
      </c>
      <c r="U8" s="33">
        <v>453.54208892309822</v>
      </c>
      <c r="V8" s="5">
        <v>10</v>
      </c>
      <c r="W8" s="5">
        <v>45.5</v>
      </c>
      <c r="X8" s="33">
        <v>1555.7305149105912</v>
      </c>
      <c r="Y8" s="5">
        <v>48.294645412224206</v>
      </c>
      <c r="Z8" s="5">
        <v>7213.4341606106482</v>
      </c>
      <c r="AA8" s="35"/>
    </row>
    <row r="9" spans="2:27" x14ac:dyDescent="0.2">
      <c r="B9" s="4">
        <v>6</v>
      </c>
      <c r="C9" s="4">
        <v>813</v>
      </c>
      <c r="D9" s="23">
        <v>2563413.6888516978</v>
      </c>
      <c r="E9" s="33">
        <v>333.73098884619628</v>
      </c>
      <c r="F9" s="5">
        <v>11</v>
      </c>
      <c r="G9" s="23">
        <v>66</v>
      </c>
      <c r="H9" s="33">
        <v>1606.1129525758247</v>
      </c>
      <c r="I9" s="23">
        <v>44.686054991569186</v>
      </c>
      <c r="J9" s="5">
        <v>6945.1335300298751</v>
      </c>
      <c r="K9" s="31"/>
      <c r="L9" s="23">
        <v>2896338.127014521</v>
      </c>
      <c r="M9" s="33">
        <v>959.87243576924527</v>
      </c>
      <c r="N9" s="5">
        <v>12</v>
      </c>
      <c r="O9" s="5">
        <v>47.5</v>
      </c>
      <c r="P9" s="33">
        <v>986.40463734675222</v>
      </c>
      <c r="Q9" s="5">
        <v>26.337320333711748</v>
      </c>
      <c r="R9" s="5">
        <v>5723.4984419007833</v>
      </c>
      <c r="S9" s="35"/>
      <c r="T9" s="23">
        <v>3006707.4161609071</v>
      </c>
      <c r="U9" s="33">
        <v>420.41796215380037</v>
      </c>
      <c r="V9" s="5">
        <v>11</v>
      </c>
      <c r="W9" s="5">
        <v>49.5</v>
      </c>
      <c r="X9" s="33">
        <v>1758.7725721572349</v>
      </c>
      <c r="Y9" s="5">
        <v>46.341061379664076</v>
      </c>
      <c r="Z9" s="5">
        <v>7477.6434450710103</v>
      </c>
      <c r="AA9" s="35"/>
    </row>
    <row r="10" spans="2:27" x14ac:dyDescent="0.2">
      <c r="B10" s="4">
        <v>7</v>
      </c>
      <c r="C10" s="4">
        <v>670</v>
      </c>
      <c r="D10" s="23">
        <v>2589353.2084315429</v>
      </c>
      <c r="E10" s="33">
        <v>272.4389242307426</v>
      </c>
      <c r="F10" s="5">
        <v>11</v>
      </c>
      <c r="G10" s="23">
        <v>66</v>
      </c>
      <c r="H10" s="33">
        <v>1516.4075835769459</v>
      </c>
      <c r="I10" s="23">
        <v>43.9885263612614</v>
      </c>
      <c r="J10" s="5">
        <v>7150.9336714952942</v>
      </c>
      <c r="K10" s="31"/>
      <c r="L10" s="23">
        <v>2865115.6299361689</v>
      </c>
      <c r="M10" s="33">
        <v>527.59185000000377</v>
      </c>
      <c r="N10" s="5">
        <v>14</v>
      </c>
      <c r="O10" s="5">
        <v>51</v>
      </c>
      <c r="P10" s="33">
        <v>1125.9407119208547</v>
      </c>
      <c r="Q10" s="5">
        <v>25.017875231025823</v>
      </c>
      <c r="R10" s="5">
        <v>5987.9107463679702</v>
      </c>
      <c r="S10" s="35"/>
      <c r="T10" s="23">
        <v>3055066.62320077</v>
      </c>
      <c r="U10" s="33">
        <v>266.22000384619099</v>
      </c>
      <c r="V10" s="5">
        <v>10</v>
      </c>
      <c r="W10" s="5">
        <v>46</v>
      </c>
      <c r="X10" s="33">
        <v>1692.2420240255128</v>
      </c>
      <c r="Y10" s="5">
        <v>45.396621578347585</v>
      </c>
      <c r="Z10" s="5">
        <v>7276.3395370381995</v>
      </c>
      <c r="AA10" s="35"/>
    </row>
    <row r="11" spans="2:27" x14ac:dyDescent="0.2">
      <c r="B11" s="4">
        <v>8</v>
      </c>
      <c r="C11" s="4">
        <v>618</v>
      </c>
      <c r="D11" s="23">
        <v>2525075.5917424932</v>
      </c>
      <c r="E11" s="33">
        <v>331.73215376920638</v>
      </c>
      <c r="F11" s="5">
        <v>11</v>
      </c>
      <c r="G11" s="23">
        <v>66</v>
      </c>
      <c r="H11" s="33">
        <v>1425.835680038959</v>
      </c>
      <c r="I11" s="23">
        <v>44.910329325842952</v>
      </c>
      <c r="J11" s="5">
        <v>6740.1328569647712</v>
      </c>
      <c r="K11" s="31"/>
      <c r="L11" s="23">
        <v>2937886.9361958699</v>
      </c>
      <c r="M11" s="33">
        <v>474.70492269234876</v>
      </c>
      <c r="N11" s="5">
        <v>12</v>
      </c>
      <c r="O11" s="5">
        <v>46.5</v>
      </c>
      <c r="P11" s="33">
        <v>945.76389524416959</v>
      </c>
      <c r="Q11" s="5">
        <v>25.072221108167906</v>
      </c>
      <c r="R11" s="5">
        <v>5803.5230926432387</v>
      </c>
      <c r="S11" s="35"/>
      <c r="T11" s="23">
        <v>2949824.0014970098</v>
      </c>
      <c r="U11" s="33">
        <v>754.25651930765105</v>
      </c>
      <c r="V11" s="5">
        <v>11</v>
      </c>
      <c r="W11" s="5">
        <v>50</v>
      </c>
      <c r="X11" s="33">
        <v>1613.9421674287007</v>
      </c>
      <c r="Y11" s="5">
        <v>45.527568431855606</v>
      </c>
      <c r="Z11" s="5">
        <v>7100.2784937740116</v>
      </c>
      <c r="AA11" s="35"/>
    </row>
    <row r="12" spans="2:27" x14ac:dyDescent="0.2">
      <c r="B12" s="4">
        <v>9</v>
      </c>
      <c r="C12" s="4">
        <v>195</v>
      </c>
      <c r="D12" s="23">
        <v>2556044.0001994609</v>
      </c>
      <c r="E12" s="33">
        <v>209.72003923084299</v>
      </c>
      <c r="F12" s="5">
        <v>11</v>
      </c>
      <c r="G12" s="23">
        <v>66.5</v>
      </c>
      <c r="H12" s="33">
        <v>1492.0113604384746</v>
      </c>
      <c r="I12" s="23">
        <v>45.048632227000915</v>
      </c>
      <c r="J12" s="5">
        <v>7007.6556675290349</v>
      </c>
      <c r="K12" s="31"/>
      <c r="L12" s="23">
        <v>2897445.8658572328</v>
      </c>
      <c r="M12" s="33">
        <v>454.99288107689398</v>
      </c>
      <c r="N12" s="5">
        <v>12</v>
      </c>
      <c r="O12" s="5">
        <v>47.5</v>
      </c>
      <c r="P12" s="33">
        <v>945.50267575245039</v>
      </c>
      <c r="Q12" s="5">
        <v>25.891645958603704</v>
      </c>
      <c r="R12" s="5">
        <v>5753.767511532089</v>
      </c>
      <c r="S12" s="35"/>
      <c r="T12" s="23">
        <v>2972419.7625900689</v>
      </c>
      <c r="U12" s="33">
        <v>497.98653138461162</v>
      </c>
      <c r="V12" s="5">
        <v>10</v>
      </c>
      <c r="W12" s="5">
        <v>48.5</v>
      </c>
      <c r="X12" s="33">
        <v>1547.6357718969455</v>
      </c>
      <c r="Y12" s="5">
        <v>47.74243106481768</v>
      </c>
      <c r="Z12" s="5">
        <v>7159.151570777517</v>
      </c>
      <c r="AA12" s="35"/>
    </row>
    <row r="13" spans="2:27" x14ac:dyDescent="0.2">
      <c r="B13" s="4">
        <v>10</v>
      </c>
      <c r="C13" s="4">
        <v>515</v>
      </c>
      <c r="D13" s="23">
        <v>2571678.2606482711</v>
      </c>
      <c r="E13" s="33">
        <v>320.6926210769094</v>
      </c>
      <c r="F13" s="5">
        <v>10</v>
      </c>
      <c r="G13" s="23">
        <v>65</v>
      </c>
      <c r="H13" s="33">
        <v>1505.6077143955865</v>
      </c>
      <c r="I13" s="23">
        <v>47.358689019260176</v>
      </c>
      <c r="J13" s="5">
        <v>7017.599419400548</v>
      </c>
      <c r="K13" s="31"/>
      <c r="L13" s="23">
        <v>2985315.6398952659</v>
      </c>
      <c r="M13" s="33">
        <v>304.12597846159207</v>
      </c>
      <c r="N13" s="5">
        <v>11</v>
      </c>
      <c r="O13" s="5">
        <v>44</v>
      </c>
      <c r="P13" s="33">
        <v>1005.6311156274592</v>
      </c>
      <c r="Q13" s="5">
        <v>28.103386729133149</v>
      </c>
      <c r="R13" s="5">
        <v>5796.2655402654573</v>
      </c>
      <c r="S13" s="35"/>
      <c r="T13" s="23">
        <v>2981889.6016371809</v>
      </c>
      <c r="U13" s="33">
        <v>405.7011290768591</v>
      </c>
      <c r="V13" s="5">
        <v>9</v>
      </c>
      <c r="W13" s="5">
        <v>46</v>
      </c>
      <c r="X13" s="33">
        <v>1305.8878434503695</v>
      </c>
      <c r="Y13" s="5">
        <v>50.241417912595161</v>
      </c>
      <c r="Z13" s="5">
        <v>6923.9168484366446</v>
      </c>
      <c r="AA13" s="35"/>
    </row>
    <row r="14" spans="2:27" x14ac:dyDescent="0.2">
      <c r="B14" s="47" t="s">
        <v>3</v>
      </c>
      <c r="C14" s="48"/>
      <c r="D14" s="9">
        <f>MIN(D4:D13)</f>
        <v>2525075.5917424932</v>
      </c>
      <c r="E14" s="22">
        <f>INDEX(E4:E13, MATCH($D$14, D4:D13, 0))</f>
        <v>331.73215376920638</v>
      </c>
      <c r="F14" s="9">
        <f>INDEX(F4:F13, MATCH($D$14, D4:D13, 0))</f>
        <v>11</v>
      </c>
      <c r="G14" s="9">
        <f>INDEX(G4:G13, MATCH($D$14, D4:D13, 0))</f>
        <v>66</v>
      </c>
      <c r="H14" s="22">
        <f>INDEX(H4:H13, MATCH($D$14, D4:D13, 0))</f>
        <v>1425.835680038959</v>
      </c>
      <c r="I14" s="22">
        <f>INDEX(I4:I13, MATCH($D$14, D4:D13, 0))</f>
        <v>44.910329325842952</v>
      </c>
      <c r="J14" s="22">
        <f>INDEX(J4:J13, MATCH($D$14, D4:D13, 0))</f>
        <v>6740.1328569647712</v>
      </c>
      <c r="K14" s="32" t="e">
        <f>(D14-$D$15)/$D$15</f>
        <v>#DIV/0!</v>
      </c>
      <c r="L14" s="16">
        <f>MIN(L4:L13)</f>
        <v>2865115.6299361689</v>
      </c>
      <c r="M14" s="21">
        <f>INDEX(M4:M13, MATCH($L$14, L4:L13, 0))</f>
        <v>527.59185000000377</v>
      </c>
      <c r="N14" s="16">
        <f>INDEX(N4:N13, MATCH($L$14, L4:L13, 0))</f>
        <v>14</v>
      </c>
      <c r="O14" s="16">
        <f>INDEX(O4:O13, MATCH($L$14, L4:L13, 0))</f>
        <v>51</v>
      </c>
      <c r="P14" s="21">
        <f>INDEX(P4:P13, MATCH($L$14, L4:L13, 0))</f>
        <v>1125.9407119208547</v>
      </c>
      <c r="Q14" s="21">
        <f>INDEX(Q4:Q13, MATCH($L$14, L4:L13, 0))</f>
        <v>25.017875231025823</v>
      </c>
      <c r="R14" s="21">
        <f>INDEX(R4:R13, MATCH($L$14, L4:L13, 0))</f>
        <v>5987.9107463679702</v>
      </c>
      <c r="S14" s="36" t="e">
        <f>(L14-$D$15)/$D$15</f>
        <v>#DIV/0!</v>
      </c>
      <c r="T14" s="38">
        <f>MIN(T4:T13)</f>
        <v>2949824.0014970098</v>
      </c>
      <c r="U14" s="39">
        <f>INDEX(U4:U13, MATCH($T$14, T4:T13, 0))</f>
        <v>754.25651930765105</v>
      </c>
      <c r="V14" s="38">
        <f>INDEX(V4:V13, MATCH($T$14, T4:T13, 0))</f>
        <v>11</v>
      </c>
      <c r="W14" s="38">
        <f>INDEX(W4:W13, MATCH($T$14, T4:T13, 0))</f>
        <v>50</v>
      </c>
      <c r="X14" s="39">
        <f>INDEX(X4:X13, MATCH($T$14, T4:T13, 0))</f>
        <v>1613.9421674287007</v>
      </c>
      <c r="Y14" s="39">
        <f>INDEX(Y4:Y13, MATCH($T$14, T4:T13, 0))</f>
        <v>45.527568431855606</v>
      </c>
      <c r="Z14" s="39">
        <f>INDEX(Z4:Z13, MATCH($T$14, T4:T13, 0))</f>
        <v>7100.2784937740116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0.13466529053849921</v>
      </c>
      <c r="M15" s="41">
        <f t="shared" ref="M15:R15" si="0">(M14-E14)/E14</f>
        <v>0.59041517080994643</v>
      </c>
      <c r="N15" s="41">
        <f t="shared" si="0"/>
        <v>0.27272727272727271</v>
      </c>
      <c r="O15" s="41">
        <f t="shared" si="0"/>
        <v>-0.22727272727272727</v>
      </c>
      <c r="P15" s="41">
        <f t="shared" si="0"/>
        <v>-0.21032926326398993</v>
      </c>
      <c r="Q15" s="41">
        <f t="shared" si="0"/>
        <v>-0.44293716820665407</v>
      </c>
      <c r="R15" s="41">
        <f t="shared" si="0"/>
        <v>-0.11160345449563483</v>
      </c>
      <c r="T15" s="41">
        <f>(T14-D14)/D14</f>
        <v>0.16821215616020746</v>
      </c>
      <c r="U15" s="41">
        <f t="shared" ref="U15:Z15" si="1">(U14-E14)/E14</f>
        <v>1.273691322163496</v>
      </c>
      <c r="V15" s="41">
        <f t="shared" si="1"/>
        <v>0</v>
      </c>
      <c r="W15" s="41">
        <f t="shared" si="1"/>
        <v>-0.24242424242424243</v>
      </c>
      <c r="X15" s="41">
        <f t="shared" si="1"/>
        <v>0.13192718489454686</v>
      </c>
      <c r="Y15" s="41">
        <f t="shared" si="1"/>
        <v>1.3743811619245322E-2</v>
      </c>
      <c r="Z15" s="41">
        <f t="shared" si="1"/>
        <v>5.3433017486753491E-2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4:C1048576">
    <cfRule type="duplicateValues" dxfId="73" priority="7"/>
    <cfRule type="duplicateValues" dxfId="72" priority="8"/>
  </conditionalFormatting>
  <conditionalFormatting sqref="C14">
    <cfRule type="duplicateValues" dxfId="71" priority="5"/>
    <cfRule type="duplicateValues" dxfId="70" priority="6"/>
  </conditionalFormatting>
  <conditionalFormatting sqref="C15">
    <cfRule type="duplicateValues" dxfId="69" priority="3"/>
    <cfRule type="duplicateValues" dxfId="68" priority="4"/>
  </conditionalFormatting>
  <conditionalFormatting sqref="C20:C33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0391-811D-46D6-8AF8-F63DB05FBCD3}">
  <dimension ref="B1:AA17"/>
  <sheetViews>
    <sheetView zoomScale="85" zoomScaleNormal="85" workbookViewId="0">
      <selection activeCell="U19" sqref="U19:U3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-0.98776055922554462</v>
      </c>
      <c r="J2" s="28" t="e">
        <f>(S14-J14)/J14</f>
        <v>#DIV/0!</v>
      </c>
      <c r="K2" s="28"/>
      <c r="L2" s="1" t="s">
        <v>19</v>
      </c>
      <c r="P2" s="1">
        <f>(P14-H14)/H14</f>
        <v>-0.26162389746598197</v>
      </c>
      <c r="R2" s="1">
        <f>(R14-J14)/J14</f>
        <v>-0.14508457712521688</v>
      </c>
      <c r="T2" s="1" t="s">
        <v>20</v>
      </c>
      <c r="X2" s="1">
        <f>(X14-P14)/P14</f>
        <v>0.49192468162414238</v>
      </c>
      <c r="Z2" s="1">
        <f>(Z14-R14)/R14</f>
        <v>0.22075695036903173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57</v>
      </c>
      <c r="D4" s="23">
        <v>2611425.957895698</v>
      </c>
      <c r="E4" s="33">
        <v>172.84038376922791</v>
      </c>
      <c r="F4" s="5">
        <v>10</v>
      </c>
      <c r="G4" s="23">
        <v>63.5</v>
      </c>
      <c r="H4" s="33">
        <v>1453.9741129376241</v>
      </c>
      <c r="I4" s="23">
        <v>40.295005279390594</v>
      </c>
      <c r="J4" s="5">
        <v>6893.5613766170472</v>
      </c>
      <c r="K4" s="31"/>
      <c r="L4" s="23">
        <v>3083396.9202665952</v>
      </c>
      <c r="M4" s="33">
        <v>253.06085392304408</v>
      </c>
      <c r="N4" s="5">
        <v>10</v>
      </c>
      <c r="O4" s="5">
        <v>39.5</v>
      </c>
      <c r="P4" s="33">
        <v>900.70876542861868</v>
      </c>
      <c r="Q4" s="5">
        <v>21.640573160772387</v>
      </c>
      <c r="R4" s="5">
        <v>5531.3900304432909</v>
      </c>
      <c r="S4" s="35"/>
      <c r="T4" s="23">
        <v>3108854.2592494572</v>
      </c>
      <c r="U4" s="33">
        <v>329.01225930769351</v>
      </c>
      <c r="V4" s="5">
        <v>9</v>
      </c>
      <c r="W4" s="5">
        <v>43</v>
      </c>
      <c r="X4" s="33">
        <v>1608.2801152624904</v>
      </c>
      <c r="Y4" s="5">
        <v>44.101893640383622</v>
      </c>
      <c r="Z4" s="5">
        <v>7107.9790832280851</v>
      </c>
      <c r="AA4" s="35"/>
    </row>
    <row r="5" spans="2:27" x14ac:dyDescent="0.2">
      <c r="B5" s="4">
        <v>2</v>
      </c>
      <c r="C5" s="4">
        <v>68</v>
      </c>
      <c r="D5" s="23">
        <v>2605576.6812629951</v>
      </c>
      <c r="E5" s="33">
        <v>487.4256310768676</v>
      </c>
      <c r="F5" s="5">
        <v>10</v>
      </c>
      <c r="G5" s="23">
        <v>64.5</v>
      </c>
      <c r="H5" s="33">
        <v>1550.4863019698325</v>
      </c>
      <c r="I5" s="23">
        <v>40.820908741441073</v>
      </c>
      <c r="J5" s="5">
        <v>6983.5551371735373</v>
      </c>
      <c r="K5" s="31"/>
      <c r="L5" s="23">
        <v>2995869.7352587949</v>
      </c>
      <c r="M5" s="33">
        <v>447.23317523083932</v>
      </c>
      <c r="N5" s="5">
        <v>15</v>
      </c>
      <c r="O5" s="5">
        <v>48</v>
      </c>
      <c r="P5" s="33">
        <v>1275.653047248036</v>
      </c>
      <c r="Q5" s="5">
        <v>17.924585384566356</v>
      </c>
      <c r="R5" s="5">
        <v>6053.2179124326985</v>
      </c>
      <c r="S5" s="35"/>
      <c r="T5" s="23">
        <v>3106685.7894674018</v>
      </c>
      <c r="U5" s="33">
        <v>197.37506630767786</v>
      </c>
      <c r="V5" s="5">
        <v>10</v>
      </c>
      <c r="W5" s="5">
        <v>44</v>
      </c>
      <c r="X5" s="33">
        <v>1598.2815991029095</v>
      </c>
      <c r="Y5" s="5">
        <v>39.995524496478716</v>
      </c>
      <c r="Z5" s="5">
        <v>7150.4577203831113</v>
      </c>
      <c r="AA5" s="35"/>
    </row>
    <row r="6" spans="2:27" x14ac:dyDescent="0.2">
      <c r="B6" s="4">
        <v>3</v>
      </c>
      <c r="C6" s="4">
        <v>144</v>
      </c>
      <c r="D6" s="23">
        <v>2663425.8358550812</v>
      </c>
      <c r="E6" s="33">
        <v>360.98366223078654</v>
      </c>
      <c r="F6" s="5">
        <v>10</v>
      </c>
      <c r="G6" s="23">
        <v>62</v>
      </c>
      <c r="H6" s="33">
        <v>1489.2685564180117</v>
      </c>
      <c r="I6" s="23">
        <v>38.801367270915726</v>
      </c>
      <c r="J6" s="5">
        <v>6921.3693303991413</v>
      </c>
      <c r="K6" s="31"/>
      <c r="L6" s="23">
        <v>3002412.2795817298</v>
      </c>
      <c r="M6" s="33">
        <v>427.13508146152327</v>
      </c>
      <c r="N6" s="5">
        <v>13</v>
      </c>
      <c r="O6" s="5">
        <v>45.5</v>
      </c>
      <c r="P6" s="33">
        <v>1134.0610678118235</v>
      </c>
      <c r="Q6" s="5">
        <v>20.032834279075647</v>
      </c>
      <c r="R6" s="5">
        <v>5814.2733344259177</v>
      </c>
      <c r="S6" s="35"/>
      <c r="T6" s="23">
        <v>3097104.8917325661</v>
      </c>
      <c r="U6" s="33">
        <v>169.68530392310075</v>
      </c>
      <c r="V6" s="5">
        <v>9</v>
      </c>
      <c r="W6" s="5">
        <v>43.5</v>
      </c>
      <c r="X6" s="33">
        <v>1616.2575753796491</v>
      </c>
      <c r="Y6" s="5">
        <v>43.171763489739945</v>
      </c>
      <c r="Z6" s="5">
        <v>7146.3523191868117</v>
      </c>
      <c r="AA6" s="35"/>
    </row>
    <row r="7" spans="2:27" x14ac:dyDescent="0.2">
      <c r="B7" s="4">
        <v>4</v>
      </c>
      <c r="C7" s="4">
        <v>408</v>
      </c>
      <c r="D7" s="23">
        <v>2607663.7696967549</v>
      </c>
      <c r="E7" s="33">
        <v>503.84041361537618</v>
      </c>
      <c r="F7" s="5">
        <v>10</v>
      </c>
      <c r="G7" s="23">
        <v>64.5</v>
      </c>
      <c r="H7" s="33">
        <v>1551.7965125470196</v>
      </c>
      <c r="I7" s="23">
        <v>41.107062628907904</v>
      </c>
      <c r="J7" s="5">
        <v>7004.5131455224755</v>
      </c>
      <c r="K7" s="31"/>
      <c r="L7" s="23">
        <v>2969197.2553140628</v>
      </c>
      <c r="M7" s="33">
        <v>732.01556307693511</v>
      </c>
      <c r="N7" s="5">
        <v>16</v>
      </c>
      <c r="O7" s="5">
        <v>50</v>
      </c>
      <c r="P7" s="33">
        <v>1383.3459570676489</v>
      </c>
      <c r="Q7" s="5">
        <v>19.002342261132373</v>
      </c>
      <c r="R7" s="5">
        <v>6095.3858252960672</v>
      </c>
      <c r="S7" s="35"/>
      <c r="T7" s="23">
        <v>3078125.9881914998</v>
      </c>
      <c r="U7" s="33">
        <v>251.84083761539881</v>
      </c>
      <c r="V7" s="5">
        <v>10</v>
      </c>
      <c r="W7" s="5">
        <v>45.5</v>
      </c>
      <c r="X7" s="33">
        <v>1704.0698363091547</v>
      </c>
      <c r="Y7" s="5">
        <v>41.789279988505641</v>
      </c>
      <c r="Z7" s="5">
        <v>7199.8661557721271</v>
      </c>
      <c r="AA7" s="35"/>
    </row>
    <row r="8" spans="2:27" x14ac:dyDescent="0.2">
      <c r="B8" s="4">
        <v>5</v>
      </c>
      <c r="C8" s="4">
        <v>421</v>
      </c>
      <c r="D8" s="23">
        <v>2622163.362898543</v>
      </c>
      <c r="E8" s="33">
        <v>614.62225884620022</v>
      </c>
      <c r="F8" s="5">
        <v>10</v>
      </c>
      <c r="G8" s="23">
        <v>65</v>
      </c>
      <c r="H8" s="33">
        <v>1643.7107645299081</v>
      </c>
      <c r="I8" s="23">
        <v>41.326593577759731</v>
      </c>
      <c r="J8" s="5">
        <v>7125.4573940950168</v>
      </c>
      <c r="K8" s="31"/>
      <c r="L8" s="23">
        <v>3088551.228672409</v>
      </c>
      <c r="M8" s="33">
        <v>539.63740507695968</v>
      </c>
      <c r="N8" s="5">
        <v>11</v>
      </c>
      <c r="O8" s="5">
        <v>40.5</v>
      </c>
      <c r="P8" s="33">
        <v>1104.6980510588539</v>
      </c>
      <c r="Q8" s="5">
        <v>20.921902972606624</v>
      </c>
      <c r="R8" s="5">
        <v>5768.8520973739114</v>
      </c>
      <c r="S8" s="35"/>
      <c r="T8" s="23">
        <v>3156309.6630925979</v>
      </c>
      <c r="U8" s="33">
        <v>215.02768576924262</v>
      </c>
      <c r="V8" s="5">
        <v>8</v>
      </c>
      <c r="W8" s="5">
        <v>40.5</v>
      </c>
      <c r="X8" s="33">
        <v>1659.1660196594376</v>
      </c>
      <c r="Y8" s="5">
        <v>44.25848322513874</v>
      </c>
      <c r="Z8" s="5">
        <v>7149.6112627446619</v>
      </c>
      <c r="AA8" s="35"/>
    </row>
    <row r="9" spans="2:27" x14ac:dyDescent="0.2">
      <c r="B9" s="4">
        <v>6</v>
      </c>
      <c r="C9" s="4">
        <v>593</v>
      </c>
      <c r="D9" s="23">
        <v>2666169.9414514741</v>
      </c>
      <c r="E9" s="33">
        <v>375.07407515381391</v>
      </c>
      <c r="F9" s="5">
        <v>10</v>
      </c>
      <c r="G9" s="23">
        <v>62.5</v>
      </c>
      <c r="H9" s="33">
        <v>1548.6579555426238</v>
      </c>
      <c r="I9" s="23">
        <v>39.232192272850867</v>
      </c>
      <c r="J9" s="5">
        <v>7027.5246521206509</v>
      </c>
      <c r="K9" s="31"/>
      <c r="L9" s="23">
        <v>2981294.162387725</v>
      </c>
      <c r="M9" s="33">
        <v>752.99665038464946</v>
      </c>
      <c r="N9" s="5">
        <v>16</v>
      </c>
      <c r="O9" s="5">
        <v>48.5</v>
      </c>
      <c r="P9" s="33">
        <v>1135.2407308686895</v>
      </c>
      <c r="Q9" s="5">
        <v>16.969553321271032</v>
      </c>
      <c r="R9" s="5">
        <v>5754.8745606550319</v>
      </c>
      <c r="S9" s="35"/>
      <c r="T9" s="23">
        <v>3184889.380431117</v>
      </c>
      <c r="U9" s="33">
        <v>156.03936892307291</v>
      </c>
      <c r="V9" s="5">
        <v>9</v>
      </c>
      <c r="W9" s="5">
        <v>39</v>
      </c>
      <c r="X9" s="33">
        <v>1464.7711591003035</v>
      </c>
      <c r="Y9" s="5">
        <v>41.263672535775065</v>
      </c>
      <c r="Z9" s="5">
        <v>7059.5426322917028</v>
      </c>
      <c r="AA9" s="35"/>
    </row>
    <row r="10" spans="2:27" x14ac:dyDescent="0.2">
      <c r="B10" s="4">
        <v>7</v>
      </c>
      <c r="C10" s="4">
        <v>632</v>
      </c>
      <c r="D10" s="23">
        <v>2635284.235926718</v>
      </c>
      <c r="E10" s="33">
        <v>391.39724215385144</v>
      </c>
      <c r="F10" s="5">
        <v>10</v>
      </c>
      <c r="G10" s="23">
        <v>62</v>
      </c>
      <c r="H10" s="33">
        <v>1417.5506869205151</v>
      </c>
      <c r="I10" s="23">
        <v>38.936216671630596</v>
      </c>
      <c r="J10" s="5">
        <v>6754.6491808872024</v>
      </c>
      <c r="K10" s="31"/>
      <c r="L10" s="23">
        <v>3024237.6964656929</v>
      </c>
      <c r="M10" s="33">
        <v>432.31329276924953</v>
      </c>
      <c r="N10" s="5">
        <v>13</v>
      </c>
      <c r="O10" s="5">
        <v>45</v>
      </c>
      <c r="P10" s="33">
        <v>1229.9620505002165</v>
      </c>
      <c r="Q10" s="5">
        <v>19.864226015707441</v>
      </c>
      <c r="R10" s="5">
        <v>5825.4167055422686</v>
      </c>
      <c r="S10" s="35"/>
      <c r="T10" s="23">
        <v>3101216.3049948942</v>
      </c>
      <c r="U10" s="33">
        <v>632.11651099998005</v>
      </c>
      <c r="V10" s="5">
        <v>9</v>
      </c>
      <c r="W10" s="5">
        <v>44.5</v>
      </c>
      <c r="X10" s="33">
        <v>1762.1633751192517</v>
      </c>
      <c r="Y10" s="5">
        <v>45.786472455767665</v>
      </c>
      <c r="Z10" s="5">
        <v>7284.1880730030562</v>
      </c>
      <c r="AA10" s="35"/>
    </row>
    <row r="11" spans="2:27" x14ac:dyDescent="0.2">
      <c r="B11" s="4">
        <v>8</v>
      </c>
      <c r="C11" s="4">
        <v>643</v>
      </c>
      <c r="D11" s="23">
        <v>2607228.343367185</v>
      </c>
      <c r="E11" s="33">
        <v>331.27830507690442</v>
      </c>
      <c r="F11" s="5">
        <v>10</v>
      </c>
      <c r="G11" s="23">
        <v>64.5</v>
      </c>
      <c r="H11" s="33">
        <v>1510.5164328534449</v>
      </c>
      <c r="I11" s="23">
        <v>40.529074506584699</v>
      </c>
      <c r="J11" s="5">
        <v>6969.1995976794387</v>
      </c>
      <c r="K11" s="31"/>
      <c r="L11" s="23">
        <v>2998093.54527586</v>
      </c>
      <c r="M11" s="33">
        <v>891.63346015382535</v>
      </c>
      <c r="N11" s="5">
        <v>14</v>
      </c>
      <c r="O11" s="5">
        <v>47</v>
      </c>
      <c r="P11" s="33">
        <v>1259.9340265706674</v>
      </c>
      <c r="Q11" s="5">
        <v>19.939514822770725</v>
      </c>
      <c r="R11" s="5">
        <v>5954.3308544742067</v>
      </c>
      <c r="S11" s="35"/>
      <c r="T11" s="23">
        <v>3131144.929544739</v>
      </c>
      <c r="U11" s="33">
        <v>314.95194638461373</v>
      </c>
      <c r="V11" s="5">
        <v>11</v>
      </c>
      <c r="W11" s="5">
        <v>43</v>
      </c>
      <c r="X11" s="33">
        <v>1621.4843720067895</v>
      </c>
      <c r="Y11" s="5">
        <v>38.451746712151163</v>
      </c>
      <c r="Z11" s="5">
        <v>7119.3115347356816</v>
      </c>
      <c r="AA11" s="35"/>
    </row>
    <row r="12" spans="2:27" x14ac:dyDescent="0.2">
      <c r="B12" s="4">
        <v>9</v>
      </c>
      <c r="C12" s="4">
        <v>844</v>
      </c>
      <c r="D12" s="23">
        <v>2722304.43583349</v>
      </c>
      <c r="E12" s="33">
        <v>302.72047646155653</v>
      </c>
      <c r="F12" s="5">
        <v>9</v>
      </c>
      <c r="G12" s="23">
        <v>58.5</v>
      </c>
      <c r="H12" s="33">
        <v>1454.9544781792001</v>
      </c>
      <c r="I12" s="23">
        <v>39.278315296127303</v>
      </c>
      <c r="J12" s="5">
        <v>6911.8183678648375</v>
      </c>
      <c r="K12" s="31"/>
      <c r="L12" s="23">
        <v>3069572.9614440971</v>
      </c>
      <c r="M12" s="33">
        <v>231.20220561538673</v>
      </c>
      <c r="N12" s="5">
        <v>11</v>
      </c>
      <c r="O12" s="5">
        <v>41</v>
      </c>
      <c r="P12" s="33">
        <v>859.20193896184696</v>
      </c>
      <c r="Q12" s="5">
        <v>21.156165000312189</v>
      </c>
      <c r="R12" s="5">
        <v>5730.2305162305156</v>
      </c>
      <c r="S12" s="35"/>
      <c r="T12" s="23">
        <v>3089099.305543493</v>
      </c>
      <c r="U12" s="33">
        <v>172.46114938457208</v>
      </c>
      <c r="V12" s="5">
        <v>10</v>
      </c>
      <c r="W12" s="5">
        <v>44</v>
      </c>
      <c r="X12" s="33">
        <v>1530.2728597224379</v>
      </c>
      <c r="Y12" s="5">
        <v>39.637896257245778</v>
      </c>
      <c r="Z12" s="5">
        <v>7000.9193630705186</v>
      </c>
      <c r="AA12" s="35"/>
    </row>
    <row r="13" spans="2:27" x14ac:dyDescent="0.2">
      <c r="B13" s="4">
        <v>10</v>
      </c>
      <c r="C13" s="4">
        <v>916</v>
      </c>
      <c r="D13" s="23">
        <v>2622804.7181246532</v>
      </c>
      <c r="E13" s="33">
        <v>157.99676146152282</v>
      </c>
      <c r="F13" s="5">
        <v>11</v>
      </c>
      <c r="G13" s="23">
        <v>65.5</v>
      </c>
      <c r="H13" s="33">
        <v>1638.7839688118547</v>
      </c>
      <c r="I13" s="23">
        <v>38.151311610261175</v>
      </c>
      <c r="J13" s="5">
        <v>7068.5039339336108</v>
      </c>
      <c r="K13" s="31"/>
      <c r="L13" s="23">
        <v>2966498.7769892872</v>
      </c>
      <c r="M13" s="33">
        <v>360.62870807694981</v>
      </c>
      <c r="N13" s="5">
        <v>15</v>
      </c>
      <c r="O13" s="5">
        <v>49</v>
      </c>
      <c r="P13" s="33">
        <v>1144.8420326808675</v>
      </c>
      <c r="Q13" s="5">
        <v>18.977085264563925</v>
      </c>
      <c r="R13" s="5">
        <v>5970.3489932660787</v>
      </c>
      <c r="S13" s="35"/>
      <c r="T13" s="23">
        <v>3073713.3795882249</v>
      </c>
      <c r="U13" s="33">
        <v>583.35877361537246</v>
      </c>
      <c r="V13" s="5">
        <v>10</v>
      </c>
      <c r="W13" s="5">
        <v>46</v>
      </c>
      <c r="X13" s="33">
        <v>1708.0180851173393</v>
      </c>
      <c r="Y13" s="5">
        <v>42.122190843589038</v>
      </c>
      <c r="Z13" s="5">
        <v>7288.3450296583169</v>
      </c>
      <c r="AA13" s="35"/>
    </row>
    <row r="14" spans="2:27" x14ac:dyDescent="0.2">
      <c r="B14" s="47" t="s">
        <v>3</v>
      </c>
      <c r="C14" s="48"/>
      <c r="D14" s="9">
        <f>MIN(D4:D13)</f>
        <v>2605576.6812629951</v>
      </c>
      <c r="E14" s="22">
        <f>INDEX(E4:E13, MATCH($D$14, D4:D13, 0))</f>
        <v>487.4256310768676</v>
      </c>
      <c r="F14" s="9">
        <f>INDEX(F4:F13, MATCH($D$14, D4:D13, 0))</f>
        <v>10</v>
      </c>
      <c r="G14" s="9">
        <f>INDEX(G4:G13, MATCH($D$14, D4:D13, 0))</f>
        <v>64.5</v>
      </c>
      <c r="H14" s="22">
        <f>INDEX(H4:H13, MATCH($D$14, D4:D13, 0))</f>
        <v>1550.4863019698325</v>
      </c>
      <c r="I14" s="22">
        <f>INDEX(I4:I13, MATCH($D$14, D4:D13, 0))</f>
        <v>40.820908741441073</v>
      </c>
      <c r="J14" s="22">
        <f>INDEX(J4:J13, MATCH($D$14, D4:D13, 0))</f>
        <v>6983.5551371735373</v>
      </c>
      <c r="K14" s="32" t="e">
        <f>(D14-$D$15)/$D$15</f>
        <v>#DIV/0!</v>
      </c>
      <c r="L14" s="16">
        <f>MIN(L4:L13)</f>
        <v>2966498.7769892872</v>
      </c>
      <c r="M14" s="21">
        <f>INDEX(M4:M13, MATCH($L$14, L4:L13, 0))</f>
        <v>360.62870807694981</v>
      </c>
      <c r="N14" s="16">
        <f>INDEX(N4:N13, MATCH($L$14, L4:L13, 0))</f>
        <v>15</v>
      </c>
      <c r="O14" s="16">
        <f>INDEX(O4:O13, MATCH($L$14, L4:L13, 0))</f>
        <v>49</v>
      </c>
      <c r="P14" s="21">
        <f>INDEX(P4:P13, MATCH($L$14, L4:L13, 0))</f>
        <v>1144.8420326808675</v>
      </c>
      <c r="Q14" s="21">
        <f>INDEX(Q4:Q13, MATCH($L$14, L4:L13, 0))</f>
        <v>18.977085264563925</v>
      </c>
      <c r="R14" s="21">
        <f>INDEX(R4:R13, MATCH($L$14, L4:L13, 0))</f>
        <v>5970.3489932660787</v>
      </c>
      <c r="S14" s="36" t="e">
        <f>(L14-$D$15)/$D$15</f>
        <v>#DIV/0!</v>
      </c>
      <c r="T14" s="38">
        <f>MIN(T4:T13)</f>
        <v>3073713.3795882249</v>
      </c>
      <c r="U14" s="39">
        <f>INDEX(U4:U13, MATCH($T$14, T4:T13, 0))</f>
        <v>583.35877361537246</v>
      </c>
      <c r="V14" s="38">
        <f>INDEX(V4:V13, MATCH($T$14, T4:T13, 0))</f>
        <v>10</v>
      </c>
      <c r="W14" s="38">
        <f>INDEX(W4:W13, MATCH($T$14, T4:T13, 0))</f>
        <v>46</v>
      </c>
      <c r="X14" s="39">
        <f>INDEX(X4:X13, MATCH($T$14, T4:T13, 0))</f>
        <v>1708.0180851173393</v>
      </c>
      <c r="Y14" s="39">
        <f>INDEX(Y4:Y13, MATCH($T$14, T4:T13, 0))</f>
        <v>42.122190843589038</v>
      </c>
      <c r="Z14" s="39">
        <f>INDEX(Z4:Z13, MATCH($T$14, T4:T13, 0))</f>
        <v>7288.3450296583169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0.13851908420954365</v>
      </c>
      <c r="M15" s="41">
        <f t="shared" ref="M15:R15" si="0">(M14-E14)/E14</f>
        <v>-0.26013593647052541</v>
      </c>
      <c r="N15" s="41">
        <f t="shared" si="0"/>
        <v>0.5</v>
      </c>
      <c r="O15" s="41">
        <f t="shared" si="0"/>
        <v>-0.24031007751937986</v>
      </c>
      <c r="P15" s="41">
        <f t="shared" si="0"/>
        <v>-0.26162389746598197</v>
      </c>
      <c r="Q15" s="41">
        <f t="shared" si="0"/>
        <v>-0.53511360110171835</v>
      </c>
      <c r="R15" s="41">
        <f t="shared" si="0"/>
        <v>-0.14508457712521688</v>
      </c>
      <c r="T15" s="41">
        <f>(T14-D14)/D14</f>
        <v>0.1796672121345172</v>
      </c>
      <c r="U15" s="41">
        <f t="shared" ref="U15:Z15" si="1">(U14-E14)/E14</f>
        <v>0.19681595800893795</v>
      </c>
      <c r="V15" s="41">
        <f t="shared" si="1"/>
        <v>0</v>
      </c>
      <c r="W15" s="41">
        <f t="shared" si="1"/>
        <v>-0.2868217054263566</v>
      </c>
      <c r="X15" s="41">
        <f t="shared" si="1"/>
        <v>0.10160153169193997</v>
      </c>
      <c r="Y15" s="41">
        <f t="shared" si="1"/>
        <v>3.1877832764338088E-2</v>
      </c>
      <c r="Z15" s="41">
        <f t="shared" si="1"/>
        <v>4.3643944452071377E-2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4:C1048576">
    <cfRule type="duplicateValues" dxfId="67" priority="7"/>
    <cfRule type="duplicateValues" dxfId="66" priority="8"/>
  </conditionalFormatting>
  <conditionalFormatting sqref="C14">
    <cfRule type="duplicateValues" dxfId="65" priority="5"/>
    <cfRule type="duplicateValues" dxfId="64" priority="6"/>
  </conditionalFormatting>
  <conditionalFormatting sqref="C15">
    <cfRule type="duplicateValues" dxfId="63" priority="3"/>
    <cfRule type="duplicateValues" dxfId="62" priority="4"/>
  </conditionalFormatting>
  <conditionalFormatting sqref="C20:C33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7A1A-8141-4014-8981-50D9E8A0AC02}">
  <dimension ref="B1:AA17"/>
  <sheetViews>
    <sheetView zoomScale="85" zoomScaleNormal="85" workbookViewId="0">
      <selection activeCell="U20" sqref="U20:U32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0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-0.98750357332999383</v>
      </c>
      <c r="J2" s="28" t="e">
        <f>(S14-J14)/J14</f>
        <v>#DIV/0!</v>
      </c>
      <c r="K2" s="28"/>
      <c r="L2" s="1" t="s">
        <v>19</v>
      </c>
      <c r="P2" s="1">
        <f>(P14-H14)/H14</f>
        <v>-8.7387252570640755E-2</v>
      </c>
      <c r="R2" s="1">
        <f>(R14-J14)/J14</f>
        <v>-0.10980073483414708</v>
      </c>
      <c r="T2" s="1" t="s">
        <v>20</v>
      </c>
      <c r="X2" s="1">
        <f>(X14-P14)/P14</f>
        <v>0.11668473844035841</v>
      </c>
      <c r="Z2" s="1">
        <f>(Z14-R14)/R14</f>
        <v>0.13582884781421214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229</v>
      </c>
      <c r="D4" s="23">
        <v>2640110.161292254</v>
      </c>
      <c r="E4" s="33">
        <v>789.18230792310533</v>
      </c>
      <c r="F4" s="5">
        <v>10</v>
      </c>
      <c r="G4" s="23">
        <v>62.5</v>
      </c>
      <c r="H4" s="33">
        <v>1509.3185688013573</v>
      </c>
      <c r="I4" s="23">
        <v>41.196642056791347</v>
      </c>
      <c r="J4" s="5">
        <v>6997.8878739361644</v>
      </c>
      <c r="K4" s="31"/>
      <c r="L4" s="23">
        <v>3036093.3334200778</v>
      </c>
      <c r="M4" s="33">
        <v>268.46203576916685</v>
      </c>
      <c r="N4" s="5">
        <v>13</v>
      </c>
      <c r="O4" s="5">
        <v>43.5</v>
      </c>
      <c r="P4" s="33">
        <v>803.92155036158874</v>
      </c>
      <c r="Q4" s="5">
        <v>19.468528898186271</v>
      </c>
      <c r="R4" s="5">
        <v>5673.9848115567702</v>
      </c>
      <c r="S4" s="35"/>
      <c r="T4" s="23">
        <v>3054112.5253346022</v>
      </c>
      <c r="U4" s="33">
        <v>227.32174523076253</v>
      </c>
      <c r="V4" s="5">
        <v>10</v>
      </c>
      <c r="W4" s="5">
        <v>46.5</v>
      </c>
      <c r="X4" s="33">
        <v>1582.405857392798</v>
      </c>
      <c r="Y4" s="5">
        <v>42.862725843970694</v>
      </c>
      <c r="Z4" s="5">
        <v>7237.667697913872</v>
      </c>
      <c r="AA4" s="35"/>
    </row>
    <row r="5" spans="2:27" x14ac:dyDescent="0.2">
      <c r="B5" s="4">
        <v>2</v>
      </c>
      <c r="C5" s="4">
        <v>730</v>
      </c>
      <c r="D5" s="23">
        <v>2669648.4697247199</v>
      </c>
      <c r="E5" s="33">
        <v>158.04793376923323</v>
      </c>
      <c r="F5" s="5">
        <v>11</v>
      </c>
      <c r="G5" s="23">
        <v>62.5</v>
      </c>
      <c r="H5" s="33">
        <v>1504.5701317956984</v>
      </c>
      <c r="I5" s="23">
        <v>37.215743895976942</v>
      </c>
      <c r="J5" s="5">
        <v>7048.7261548388942</v>
      </c>
      <c r="K5" s="31"/>
      <c r="L5" s="23">
        <v>2996873.7539434182</v>
      </c>
      <c r="M5" s="33">
        <v>590.39554676918601</v>
      </c>
      <c r="N5" s="5">
        <v>15</v>
      </c>
      <c r="O5" s="5">
        <v>49.5</v>
      </c>
      <c r="P5" s="33">
        <v>1377.4233658199551</v>
      </c>
      <c r="Q5" s="5">
        <v>18.861088816704797</v>
      </c>
      <c r="R5" s="5">
        <v>6229.5146430910063</v>
      </c>
      <c r="S5" s="35"/>
      <c r="T5" s="23">
        <v>3118472.8465241259</v>
      </c>
      <c r="U5" s="33">
        <v>225.69082192306479</v>
      </c>
      <c r="V5" s="5">
        <v>8</v>
      </c>
      <c r="W5" s="5">
        <v>40.5</v>
      </c>
      <c r="X5" s="33">
        <v>1277.8248446367718</v>
      </c>
      <c r="Y5" s="5">
        <v>46.833669683022173</v>
      </c>
      <c r="Z5" s="5">
        <v>6861.6706943094432</v>
      </c>
      <c r="AA5" s="35"/>
    </row>
    <row r="6" spans="2:27" x14ac:dyDescent="0.2">
      <c r="B6" s="4">
        <v>3</v>
      </c>
      <c r="C6" s="4">
        <v>198</v>
      </c>
      <c r="D6" s="23">
        <v>2692163.1563079371</v>
      </c>
      <c r="E6" s="33">
        <v>722.19282507690457</v>
      </c>
      <c r="F6" s="5">
        <v>10</v>
      </c>
      <c r="G6" s="23">
        <v>61</v>
      </c>
      <c r="H6" s="33">
        <v>1531.4879716274463</v>
      </c>
      <c r="I6" s="23">
        <v>41.302262392042891</v>
      </c>
      <c r="J6" s="5">
        <v>7100.3661881562939</v>
      </c>
      <c r="K6" s="31"/>
      <c r="L6" s="23">
        <v>3092433.418699644</v>
      </c>
      <c r="M6" s="33">
        <v>349.72808384614137</v>
      </c>
      <c r="N6" s="5">
        <v>10</v>
      </c>
      <c r="O6" s="5">
        <v>40</v>
      </c>
      <c r="P6" s="33">
        <v>886.74891636159589</v>
      </c>
      <c r="Q6" s="5">
        <v>22.370610031115245</v>
      </c>
      <c r="R6" s="5">
        <v>5831.0905473867924</v>
      </c>
      <c r="S6" s="35"/>
      <c r="T6" s="23">
        <v>3128460.345720334</v>
      </c>
      <c r="U6" s="33">
        <v>325.79523915380167</v>
      </c>
      <c r="V6" s="5">
        <v>10</v>
      </c>
      <c r="W6" s="5">
        <v>42.5</v>
      </c>
      <c r="X6" s="33">
        <v>1491.1849744826063</v>
      </c>
      <c r="Y6" s="5">
        <v>40.810179748464783</v>
      </c>
      <c r="Z6" s="5">
        <v>7074.6878825129115</v>
      </c>
      <c r="AA6" s="35"/>
    </row>
    <row r="7" spans="2:27" x14ac:dyDescent="0.2">
      <c r="B7" s="4">
        <v>4</v>
      </c>
      <c r="C7" s="4">
        <v>190</v>
      </c>
      <c r="D7" s="23">
        <v>2684531.8265797119</v>
      </c>
      <c r="E7" s="33">
        <v>693.9848958461796</v>
      </c>
      <c r="F7" s="5">
        <v>11</v>
      </c>
      <c r="G7" s="23">
        <v>63.5</v>
      </c>
      <c r="H7" s="33">
        <v>1623.6373255915064</v>
      </c>
      <c r="I7" s="23">
        <v>38.150500192032588</v>
      </c>
      <c r="J7" s="5">
        <v>7223.7565572176445</v>
      </c>
      <c r="K7" s="31"/>
      <c r="L7" s="23">
        <v>3020318.250089495</v>
      </c>
      <c r="M7" s="33">
        <v>441.44829876917913</v>
      </c>
      <c r="N7" s="5">
        <v>13</v>
      </c>
      <c r="O7" s="5">
        <v>47.5</v>
      </c>
      <c r="P7" s="33">
        <v>1361.1184872971096</v>
      </c>
      <c r="Q7" s="5">
        <v>22.202997099684747</v>
      </c>
      <c r="R7" s="5">
        <v>6366.6731570213178</v>
      </c>
      <c r="S7" s="35"/>
      <c r="T7" s="23">
        <v>3038867.2524994188</v>
      </c>
      <c r="U7" s="33">
        <v>261.49138969225953</v>
      </c>
      <c r="V7" s="5">
        <v>10</v>
      </c>
      <c r="W7" s="5">
        <v>46</v>
      </c>
      <c r="X7" s="33">
        <v>1538.1476509822946</v>
      </c>
      <c r="Y7" s="5">
        <v>42.708155553056898</v>
      </c>
      <c r="Z7" s="5">
        <v>7075.6624395038207</v>
      </c>
      <c r="AA7" s="35"/>
    </row>
    <row r="8" spans="2:27" x14ac:dyDescent="0.2">
      <c r="B8" s="4">
        <v>5</v>
      </c>
      <c r="C8" s="4">
        <v>941</v>
      </c>
      <c r="D8" s="23">
        <v>2643972.3216907391</v>
      </c>
      <c r="E8" s="33">
        <v>409.53353838457798</v>
      </c>
      <c r="F8" s="5">
        <v>10</v>
      </c>
      <c r="G8" s="23">
        <v>61.5</v>
      </c>
      <c r="H8" s="33">
        <v>1421.969693856116</v>
      </c>
      <c r="I8" s="23">
        <v>40.653928944156874</v>
      </c>
      <c r="J8" s="5">
        <v>6923.7112296832647</v>
      </c>
      <c r="K8" s="31"/>
      <c r="L8" s="23">
        <v>3017362.0904693492</v>
      </c>
      <c r="M8" s="33">
        <v>643.22808876920203</v>
      </c>
      <c r="N8" s="5">
        <v>12</v>
      </c>
      <c r="O8" s="5">
        <v>44.5</v>
      </c>
      <c r="P8" s="33">
        <v>1061.2235270734946</v>
      </c>
      <c r="Q8" s="5">
        <v>20.735409904188433</v>
      </c>
      <c r="R8" s="5">
        <v>5888.8880153604769</v>
      </c>
      <c r="S8" s="35"/>
      <c r="T8" s="23">
        <v>3065265.928388841</v>
      </c>
      <c r="U8" s="33">
        <v>366.67102369229093</v>
      </c>
      <c r="V8" s="5">
        <v>9</v>
      </c>
      <c r="W8" s="5">
        <v>44.5</v>
      </c>
      <c r="X8" s="33">
        <v>1501.3213957006656</v>
      </c>
      <c r="Y8" s="5">
        <v>46.24583500276718</v>
      </c>
      <c r="Z8" s="5">
        <v>7179.391498940081</v>
      </c>
      <c r="AA8" s="35"/>
    </row>
    <row r="9" spans="2:27" x14ac:dyDescent="0.2">
      <c r="B9" s="4">
        <v>6</v>
      </c>
      <c r="C9" s="4">
        <v>757</v>
      </c>
      <c r="D9" s="23">
        <v>2642604.9176554689</v>
      </c>
      <c r="E9" s="33">
        <v>381.05803507693611</v>
      </c>
      <c r="F9" s="5">
        <v>10</v>
      </c>
      <c r="G9" s="23">
        <v>62</v>
      </c>
      <c r="H9" s="33">
        <v>1455.8227238955294</v>
      </c>
      <c r="I9" s="23">
        <v>40.972277267934061</v>
      </c>
      <c r="J9" s="5">
        <v>6962.2406657986467</v>
      </c>
      <c r="K9" s="31"/>
      <c r="L9" s="23">
        <v>3083075.9657155299</v>
      </c>
      <c r="M9" s="33">
        <v>613.11729623076428</v>
      </c>
      <c r="N9" s="5">
        <v>10</v>
      </c>
      <c r="O9" s="5">
        <v>41.5</v>
      </c>
      <c r="P9" s="33">
        <v>1050.4924977566211</v>
      </c>
      <c r="Q9" s="5">
        <v>22.633037811066806</v>
      </c>
      <c r="R9" s="5">
        <v>6077.5544819969991</v>
      </c>
      <c r="S9" s="35"/>
      <c r="T9" s="23">
        <v>3053301.4096310171</v>
      </c>
      <c r="U9" s="33">
        <v>620.10081361540449</v>
      </c>
      <c r="V9" s="5">
        <v>10</v>
      </c>
      <c r="W9" s="5">
        <v>45.5</v>
      </c>
      <c r="X9" s="33">
        <v>1552.0886598890768</v>
      </c>
      <c r="Y9" s="5">
        <v>41.602393341917995</v>
      </c>
      <c r="Z9" s="5">
        <v>7079.176628792502</v>
      </c>
      <c r="AA9" s="35"/>
    </row>
    <row r="10" spans="2:27" x14ac:dyDescent="0.2">
      <c r="B10" s="4">
        <v>7</v>
      </c>
      <c r="C10" s="4">
        <v>471</v>
      </c>
      <c r="D10" s="23">
        <v>2640180.030768787</v>
      </c>
      <c r="E10" s="33">
        <v>991.45292538468925</v>
      </c>
      <c r="F10" s="5">
        <v>10</v>
      </c>
      <c r="G10" s="23">
        <v>62.5</v>
      </c>
      <c r="H10" s="33">
        <v>1512.5927419998841</v>
      </c>
      <c r="I10" s="23">
        <v>41.376825168386929</v>
      </c>
      <c r="J10" s="5">
        <v>7020.1846046768096</v>
      </c>
      <c r="K10" s="31"/>
      <c r="L10" s="23">
        <v>3006452.199712188</v>
      </c>
      <c r="M10" s="33">
        <v>419.82539630763659</v>
      </c>
      <c r="N10" s="5">
        <v>13</v>
      </c>
      <c r="O10" s="5">
        <v>46.5</v>
      </c>
      <c r="P10" s="33">
        <v>1130.4326646183574</v>
      </c>
      <c r="Q10" s="5">
        <v>20.578455395387682</v>
      </c>
      <c r="R10" s="5">
        <v>6017.5359704944813</v>
      </c>
      <c r="S10" s="35"/>
      <c r="T10" s="23">
        <v>3105004.0944988201</v>
      </c>
      <c r="U10" s="33">
        <v>802.41402030770234</v>
      </c>
      <c r="V10" s="5">
        <v>10</v>
      </c>
      <c r="W10" s="5">
        <v>43</v>
      </c>
      <c r="X10" s="33">
        <v>1487.9252716551289</v>
      </c>
      <c r="Y10" s="5">
        <v>40.113631873853244</v>
      </c>
      <c r="Z10" s="5">
        <v>6977.6271860595243</v>
      </c>
      <c r="AA10" s="35"/>
    </row>
    <row r="11" spans="2:27" x14ac:dyDescent="0.2">
      <c r="B11" s="4">
        <v>8</v>
      </c>
      <c r="C11" s="4">
        <v>103</v>
      </c>
      <c r="D11" s="23">
        <v>2705768.6768263169</v>
      </c>
      <c r="E11" s="33">
        <v>306.38062207690939</v>
      </c>
      <c r="F11" s="5">
        <v>10</v>
      </c>
      <c r="G11" s="23">
        <v>62</v>
      </c>
      <c r="H11" s="33">
        <v>1664.8056416663151</v>
      </c>
      <c r="I11" s="23">
        <v>41.484790037989434</v>
      </c>
      <c r="J11" s="5">
        <v>7248.7277757371812</v>
      </c>
      <c r="K11" s="31"/>
      <c r="L11" s="23">
        <v>3017765.834415338</v>
      </c>
      <c r="M11" s="33">
        <v>254.99245553841598</v>
      </c>
      <c r="N11" s="5">
        <v>12</v>
      </c>
      <c r="O11" s="5">
        <v>44</v>
      </c>
      <c r="P11" s="33">
        <v>992.47002499806013</v>
      </c>
      <c r="Q11" s="5">
        <v>20.500915596515959</v>
      </c>
      <c r="R11" s="5">
        <v>5819.835246106486</v>
      </c>
      <c r="S11" s="35"/>
      <c r="T11" s="23">
        <v>3066990.462356396</v>
      </c>
      <c r="U11" s="33">
        <v>656.3963551538136</v>
      </c>
      <c r="V11" s="5">
        <v>10</v>
      </c>
      <c r="W11" s="5">
        <v>44.5</v>
      </c>
      <c r="X11" s="33">
        <v>1440.8551174985439</v>
      </c>
      <c r="Y11" s="5">
        <v>42.178311047411135</v>
      </c>
      <c r="Z11" s="5">
        <v>6924.6276171167037</v>
      </c>
      <c r="AA11" s="35"/>
    </row>
    <row r="12" spans="2:27" x14ac:dyDescent="0.2">
      <c r="B12" s="4">
        <v>9</v>
      </c>
      <c r="C12" s="4">
        <v>203</v>
      </c>
      <c r="D12" s="23">
        <v>2661069.7997929519</v>
      </c>
      <c r="E12" s="33">
        <v>380.14181446158682</v>
      </c>
      <c r="F12" s="5">
        <v>11</v>
      </c>
      <c r="G12" s="23">
        <v>61.5</v>
      </c>
      <c r="H12" s="33">
        <v>1403.6079135130274</v>
      </c>
      <c r="I12" s="23">
        <v>39.223241268572146</v>
      </c>
      <c r="J12" s="5">
        <v>6938.3069609489294</v>
      </c>
      <c r="K12" s="31"/>
      <c r="L12" s="23">
        <v>3008737.876641497</v>
      </c>
      <c r="M12" s="33">
        <v>371.61260607697136</v>
      </c>
      <c r="N12" s="5">
        <v>14</v>
      </c>
      <c r="O12" s="5">
        <v>49</v>
      </c>
      <c r="P12" s="33">
        <v>1434.2128033546207</v>
      </c>
      <c r="Q12" s="5">
        <v>20.782234902276656</v>
      </c>
      <c r="R12" s="5">
        <v>6492.3556482799777</v>
      </c>
      <c r="S12" s="35"/>
      <c r="T12" s="23">
        <v>3116858.215364221</v>
      </c>
      <c r="U12" s="33">
        <v>359.98226976917618</v>
      </c>
      <c r="V12" s="5">
        <v>9</v>
      </c>
      <c r="W12" s="5">
        <v>42</v>
      </c>
      <c r="X12" s="33">
        <v>1456.2010227676644</v>
      </c>
      <c r="Y12" s="5">
        <v>42.852264270439548</v>
      </c>
      <c r="Z12" s="5">
        <v>6970.1271286994024</v>
      </c>
      <c r="AA12" s="35"/>
    </row>
    <row r="13" spans="2:27" x14ac:dyDescent="0.2">
      <c r="B13" s="4">
        <v>10</v>
      </c>
      <c r="C13" s="4">
        <v>418</v>
      </c>
      <c r="D13" s="23">
        <v>2726947.137297011</v>
      </c>
      <c r="E13" s="33">
        <v>204.28590069229432</v>
      </c>
      <c r="F13" s="5">
        <v>11</v>
      </c>
      <c r="G13" s="23">
        <v>61</v>
      </c>
      <c r="H13" s="33">
        <v>1635.2122007392456</v>
      </c>
      <c r="I13" s="23">
        <v>37.509405437531548</v>
      </c>
      <c r="J13" s="5">
        <v>7167.6236037433709</v>
      </c>
      <c r="K13" s="31"/>
      <c r="L13" s="23">
        <v>2999791.011275331</v>
      </c>
      <c r="M13" s="33">
        <v>371.1725193845968</v>
      </c>
      <c r="N13" s="5">
        <v>12</v>
      </c>
      <c r="O13" s="5">
        <v>45</v>
      </c>
      <c r="P13" s="33">
        <v>1017.3630275441004</v>
      </c>
      <c r="Q13" s="5">
        <v>21.645416241414239</v>
      </c>
      <c r="R13" s="5">
        <v>5863.9201971174971</v>
      </c>
      <c r="S13" s="35"/>
      <c r="T13" s="23">
        <v>3058084.3745173882</v>
      </c>
      <c r="U13" s="33">
        <v>677.08365623078021</v>
      </c>
      <c r="V13" s="5">
        <v>10</v>
      </c>
      <c r="W13" s="5">
        <v>46</v>
      </c>
      <c r="X13" s="33">
        <v>1604.651150876809</v>
      </c>
      <c r="Y13" s="5">
        <v>43.061867702175945</v>
      </c>
      <c r="Z13" s="5">
        <v>7150.4990331617228</v>
      </c>
      <c r="AA13" s="35"/>
    </row>
    <row r="14" spans="2:27" x14ac:dyDescent="0.2">
      <c r="B14" s="47" t="s">
        <v>3</v>
      </c>
      <c r="C14" s="48"/>
      <c r="D14" s="9">
        <f>MIN(D4:D13)</f>
        <v>2640110.161292254</v>
      </c>
      <c r="E14" s="22">
        <f>INDEX(E4:E13, MATCH($D$14, D4:D13, 0))</f>
        <v>789.18230792310533</v>
      </c>
      <c r="F14" s="9">
        <f>INDEX(F4:F13, MATCH($D$14, D4:D13, 0))</f>
        <v>10</v>
      </c>
      <c r="G14" s="9">
        <f>INDEX(G4:G13, MATCH($D$14, D4:D13, 0))</f>
        <v>62.5</v>
      </c>
      <c r="H14" s="22">
        <f>INDEX(H4:H13, MATCH($D$14, D4:D13, 0))</f>
        <v>1509.3185688013573</v>
      </c>
      <c r="I14" s="22">
        <f>INDEX(I4:I13, MATCH($D$14, D4:D13, 0))</f>
        <v>41.196642056791347</v>
      </c>
      <c r="J14" s="22">
        <f>INDEX(J4:J13, MATCH($D$14, D4:D13, 0))</f>
        <v>6997.8878739361644</v>
      </c>
      <c r="K14" s="32" t="e">
        <f>(D14-$D$15)/$D$15</f>
        <v>#DIV/0!</v>
      </c>
      <c r="L14" s="16">
        <f>MIN(L4:L13)</f>
        <v>2996873.7539434182</v>
      </c>
      <c r="M14" s="21">
        <f>INDEX(M4:M13, MATCH($L$14, L4:L13, 0))</f>
        <v>590.39554676918601</v>
      </c>
      <c r="N14" s="16">
        <f>INDEX(N4:N13, MATCH($L$14, L4:L13, 0))</f>
        <v>15</v>
      </c>
      <c r="O14" s="16">
        <f>INDEX(O4:O13, MATCH($L$14, L4:L13, 0))</f>
        <v>49.5</v>
      </c>
      <c r="P14" s="21">
        <f>INDEX(P4:P13, MATCH($L$14, L4:L13, 0))</f>
        <v>1377.4233658199551</v>
      </c>
      <c r="Q14" s="21">
        <f>INDEX(Q4:Q13, MATCH($L$14, L4:L13, 0))</f>
        <v>18.861088816704797</v>
      </c>
      <c r="R14" s="21">
        <f>INDEX(R4:R13, MATCH($L$14, L4:L13, 0))</f>
        <v>6229.5146430910063</v>
      </c>
      <c r="S14" s="36" t="e">
        <f>(L14-$D$15)/$D$15</f>
        <v>#DIV/0!</v>
      </c>
      <c r="T14" s="38">
        <f>MIN(T4:T13)</f>
        <v>3038867.2524994188</v>
      </c>
      <c r="U14" s="39">
        <f>INDEX(U4:U13, MATCH($T$14, T4:T13, 0))</f>
        <v>261.49138969225953</v>
      </c>
      <c r="V14" s="38">
        <f>INDEX(V4:V13, MATCH($T$14, T4:T13, 0))</f>
        <v>10</v>
      </c>
      <c r="W14" s="38">
        <f>INDEX(W4:W13, MATCH($T$14, T4:T13, 0))</f>
        <v>46</v>
      </c>
      <c r="X14" s="39">
        <f>INDEX(X4:X13, MATCH($T$14, T4:T13, 0))</f>
        <v>1538.1476509822946</v>
      </c>
      <c r="Y14" s="39">
        <f>INDEX(Y4:Y13, MATCH($T$14, T4:T13, 0))</f>
        <v>42.708155553056898</v>
      </c>
      <c r="Z14" s="39">
        <f>INDEX(Z4:Z13, MATCH($T$14, T4:T13, 0))</f>
        <v>7075.6624395038207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0.13513208572953606</v>
      </c>
      <c r="M15" s="41">
        <f t="shared" ref="M15:R15" si="0">(M14-E14)/E14</f>
        <v>-0.25188953066759356</v>
      </c>
      <c r="N15" s="41">
        <f t="shared" si="0"/>
        <v>0.5</v>
      </c>
      <c r="O15" s="41">
        <f t="shared" si="0"/>
        <v>-0.20799999999999999</v>
      </c>
      <c r="P15" s="41">
        <f t="shared" si="0"/>
        <v>-8.7387252570640755E-2</v>
      </c>
      <c r="Q15" s="41">
        <f t="shared" si="0"/>
        <v>-0.54216926732271109</v>
      </c>
      <c r="R15" s="41">
        <f t="shared" si="0"/>
        <v>-0.10980073483414708</v>
      </c>
      <c r="T15" s="41">
        <f>(T14-D14)/D14</f>
        <v>0.15103805025014005</v>
      </c>
      <c r="U15" s="41">
        <f t="shared" ref="U15:Z15" si="1">(U14-E14)/E14</f>
        <v>-0.66865528146414277</v>
      </c>
      <c r="V15" s="41">
        <f t="shared" si="1"/>
        <v>0</v>
      </c>
      <c r="W15" s="41">
        <f t="shared" si="1"/>
        <v>-0.26400000000000001</v>
      </c>
      <c r="X15" s="41">
        <f t="shared" si="1"/>
        <v>1.9100727160490907E-2</v>
      </c>
      <c r="Y15" s="41">
        <f t="shared" si="1"/>
        <v>3.6690211162887107E-2</v>
      </c>
      <c r="Z15" s="41">
        <f t="shared" si="1"/>
        <v>1.1114005678389032E-2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4:C1048576">
    <cfRule type="duplicateValues" dxfId="61" priority="7"/>
    <cfRule type="duplicateValues" dxfId="60" priority="8"/>
  </conditionalFormatting>
  <conditionalFormatting sqref="C14">
    <cfRule type="duplicateValues" dxfId="59" priority="5"/>
    <cfRule type="duplicateValues" dxfId="58" priority="6"/>
  </conditionalFormatting>
  <conditionalFormatting sqref="C15">
    <cfRule type="duplicateValues" dxfId="57" priority="3"/>
    <cfRule type="duplicateValues" dxfId="56" priority="4"/>
  </conditionalFormatting>
  <conditionalFormatting sqref="C20:C33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AF3E-2BF3-4E20-AE6B-14A1CA444663}">
  <dimension ref="B1:AA17"/>
  <sheetViews>
    <sheetView zoomScaleNormal="100" workbookViewId="0">
      <selection activeCell="U20" sqref="U20:U3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0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66406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6640625" style="1"/>
    <col min="15" max="15" width="18.33203125" style="1" bestFit="1" customWidth="1"/>
    <col min="16" max="16" width="19.33203125" style="1" bestFit="1" customWidth="1"/>
    <col min="17" max="17" width="24.6640625" style="1" bestFit="1" customWidth="1"/>
    <col min="18" max="18" width="18" style="1" bestFit="1" customWidth="1"/>
    <col min="19" max="19" width="10.6640625" style="1"/>
    <col min="20" max="20" width="12.6640625" style="1" bestFit="1" customWidth="1"/>
    <col min="21" max="22" width="10.6640625" style="1"/>
    <col min="23" max="23" width="18.33203125" style="1" bestFit="1" customWidth="1"/>
    <col min="24" max="24" width="19.33203125" style="1" bestFit="1" customWidth="1"/>
    <col min="25" max="25" width="24.6640625" style="1" bestFit="1" customWidth="1"/>
    <col min="26" max="26" width="18" style="1" bestFit="1" customWidth="1"/>
    <col min="27" max="16384" width="10.66406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-0.98309023213439983</v>
      </c>
      <c r="J2" s="28" t="e">
        <f>(S14-J14)/J14</f>
        <v>#DIV/0!</v>
      </c>
      <c r="K2" s="28"/>
      <c r="L2" s="1" t="s">
        <v>19</v>
      </c>
      <c r="P2" s="1">
        <f>(P14-H14)/H14</f>
        <v>-0.38760051696645481</v>
      </c>
      <c r="R2" s="1">
        <f>(R14-J14)/J14</f>
        <v>-0.17846625922154591</v>
      </c>
      <c r="T2" s="1" t="s">
        <v>20</v>
      </c>
      <c r="X2" s="1">
        <f>(X14-P14)/P14</f>
        <v>0.70236062780538355</v>
      </c>
      <c r="Z2" s="1">
        <f>(Z14-R14)/R14</f>
        <v>0.2513589636759106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817</v>
      </c>
      <c r="D4" s="23">
        <v>2370719.4391227178</v>
      </c>
      <c r="E4" s="33">
        <v>666.78869776920271</v>
      </c>
      <c r="F4" s="5">
        <v>10</v>
      </c>
      <c r="G4" s="23">
        <v>73.5</v>
      </c>
      <c r="H4" s="33">
        <v>1627.8646306255741</v>
      </c>
      <c r="I4" s="23">
        <v>61.41331247922345</v>
      </c>
      <c r="J4" s="5">
        <v>6979.0366663725408</v>
      </c>
      <c r="K4" s="31"/>
      <c r="L4" s="23">
        <v>2907580.854374263</v>
      </c>
      <c r="M4" s="33">
        <v>429.56962138459158</v>
      </c>
      <c r="N4" s="5">
        <v>12</v>
      </c>
      <c r="O4" s="5">
        <v>46.5</v>
      </c>
      <c r="P4" s="33">
        <v>955.83268644851512</v>
      </c>
      <c r="Q4" s="5">
        <v>30.305817560126346</v>
      </c>
      <c r="R4" s="5">
        <v>5565.0023228450455</v>
      </c>
      <c r="S4" s="35"/>
      <c r="T4" s="23">
        <v>2924029.2407931178</v>
      </c>
      <c r="U4" s="33">
        <v>261.21332530774032</v>
      </c>
      <c r="V4" s="5">
        <v>9</v>
      </c>
      <c r="W4" s="5">
        <v>48.5</v>
      </c>
      <c r="X4" s="33">
        <v>1520.1637800822896</v>
      </c>
      <c r="Y4" s="5">
        <v>69.1030597529777</v>
      </c>
      <c r="Z4" s="5">
        <v>7006.1651443835808</v>
      </c>
      <c r="AA4" s="35"/>
    </row>
    <row r="5" spans="2:27" x14ac:dyDescent="0.2">
      <c r="B5" s="4">
        <v>2</v>
      </c>
      <c r="C5" s="4">
        <v>253</v>
      </c>
      <c r="D5" s="23">
        <v>2384606.2405244559</v>
      </c>
      <c r="E5" s="33">
        <v>265.11674769231689</v>
      </c>
      <c r="F5" s="5">
        <v>10</v>
      </c>
      <c r="G5" s="23">
        <v>72</v>
      </c>
      <c r="H5" s="33">
        <v>1538.5076242639336</v>
      </c>
      <c r="I5" s="23">
        <v>58.724490365385421</v>
      </c>
      <c r="J5" s="5">
        <v>6916.7124939316818</v>
      </c>
      <c r="K5" s="31"/>
      <c r="L5" s="23">
        <v>2924928.817918635</v>
      </c>
      <c r="M5" s="33">
        <v>806.78306423082836</v>
      </c>
      <c r="N5" s="5">
        <v>10</v>
      </c>
      <c r="O5" s="5">
        <v>44</v>
      </c>
      <c r="P5" s="33">
        <v>711.66826248631367</v>
      </c>
      <c r="Q5" s="5">
        <v>32.338262064474932</v>
      </c>
      <c r="R5" s="5">
        <v>5493.6870575339763</v>
      </c>
      <c r="S5" s="35"/>
      <c r="T5" s="23">
        <v>2872967.9774592621</v>
      </c>
      <c r="U5" s="33">
        <v>338.15226638456807</v>
      </c>
      <c r="V5" s="5">
        <v>11</v>
      </c>
      <c r="W5" s="5">
        <v>54.5</v>
      </c>
      <c r="X5" s="33">
        <v>1881.2860842230664</v>
      </c>
      <c r="Y5" s="5">
        <v>64.566170578804716</v>
      </c>
      <c r="Z5" s="5">
        <v>7396.6947638558568</v>
      </c>
      <c r="AA5" s="35"/>
    </row>
    <row r="6" spans="2:27" x14ac:dyDescent="0.2">
      <c r="B6" s="4">
        <v>3</v>
      </c>
      <c r="C6" s="4">
        <v>887</v>
      </c>
      <c r="D6" s="23">
        <v>2413093.4408226209</v>
      </c>
      <c r="E6" s="33">
        <v>245.03105807691239</v>
      </c>
      <c r="F6" s="5">
        <v>10</v>
      </c>
      <c r="G6" s="23">
        <v>72.5</v>
      </c>
      <c r="H6" s="33">
        <v>1706.0761258231666</v>
      </c>
      <c r="I6" s="23">
        <v>60.08898715524488</v>
      </c>
      <c r="J6" s="5">
        <v>7093.5043941011245</v>
      </c>
      <c r="K6" s="31"/>
      <c r="L6" s="23">
        <v>2991877.5906859762</v>
      </c>
      <c r="M6" s="33">
        <v>408.70833569233162</v>
      </c>
      <c r="N6" s="5">
        <v>10</v>
      </c>
      <c r="O6" s="5">
        <v>40</v>
      </c>
      <c r="P6" s="33">
        <v>473.87665382856511</v>
      </c>
      <c r="Q6" s="5">
        <v>28.970233474222177</v>
      </c>
      <c r="R6" s="5">
        <v>5155.9288063368122</v>
      </c>
      <c r="S6" s="35"/>
      <c r="T6" s="23">
        <v>2902920.3011421021</v>
      </c>
      <c r="U6" s="33">
        <v>377.60209261538245</v>
      </c>
      <c r="V6" s="5">
        <v>9</v>
      </c>
      <c r="W6" s="5">
        <v>51.5</v>
      </c>
      <c r="X6" s="33">
        <v>1761.3912791895757</v>
      </c>
      <c r="Y6" s="5">
        <v>68.135019263130516</v>
      </c>
      <c r="Z6" s="5">
        <v>7216.9665064777491</v>
      </c>
      <c r="AA6" s="35"/>
    </row>
    <row r="7" spans="2:27" x14ac:dyDescent="0.2">
      <c r="B7" s="4">
        <v>4</v>
      </c>
      <c r="C7" s="4">
        <v>815</v>
      </c>
      <c r="D7" s="23">
        <v>2358432.887403694</v>
      </c>
      <c r="E7" s="33">
        <v>905.66663384616697</v>
      </c>
      <c r="F7" s="5">
        <v>11</v>
      </c>
      <c r="G7" s="23">
        <v>75.5</v>
      </c>
      <c r="H7" s="33">
        <v>1706.1699539183212</v>
      </c>
      <c r="I7" s="23">
        <v>58.828370093920377</v>
      </c>
      <c r="J7" s="5">
        <v>7108.3040804819339</v>
      </c>
      <c r="K7" s="31"/>
      <c r="L7" s="23">
        <v>2972068.6932477732</v>
      </c>
      <c r="M7" s="33">
        <v>757.85951138465089</v>
      </c>
      <c r="N7" s="5">
        <v>11</v>
      </c>
      <c r="O7" s="5">
        <v>43.5</v>
      </c>
      <c r="P7" s="33">
        <v>915.93293401476342</v>
      </c>
      <c r="Q7" s="5">
        <v>31.257100082720719</v>
      </c>
      <c r="R7" s="5">
        <v>5709.7627660921744</v>
      </c>
      <c r="S7" s="35"/>
      <c r="T7" s="23">
        <v>2871852.2058629892</v>
      </c>
      <c r="U7" s="33">
        <v>485.55415561539121</v>
      </c>
      <c r="V7" s="5">
        <v>10</v>
      </c>
      <c r="W7" s="5">
        <v>53</v>
      </c>
      <c r="X7" s="33">
        <v>1733.5575994010844</v>
      </c>
      <c r="Y7" s="5">
        <v>64.431254944054103</v>
      </c>
      <c r="Z7" s="5">
        <v>7207.4558149685372</v>
      </c>
      <c r="AA7" s="35"/>
    </row>
    <row r="8" spans="2:27" x14ac:dyDescent="0.2">
      <c r="B8" s="4">
        <v>5</v>
      </c>
      <c r="C8" s="4">
        <v>274</v>
      </c>
      <c r="D8" s="23">
        <v>2370284.9102386469</v>
      </c>
      <c r="E8" s="33">
        <v>324.30863023081866</v>
      </c>
      <c r="F8" s="5">
        <v>10</v>
      </c>
      <c r="G8" s="23">
        <v>74</v>
      </c>
      <c r="H8" s="33">
        <v>1707.6646367378687</v>
      </c>
      <c r="I8" s="23">
        <v>62.505495239581123</v>
      </c>
      <c r="J8" s="5">
        <v>7115.0465667822846</v>
      </c>
      <c r="K8" s="31"/>
      <c r="L8" s="23">
        <v>2946737.2775651799</v>
      </c>
      <c r="M8" s="33">
        <v>360.29814584610551</v>
      </c>
      <c r="N8" s="5">
        <v>10</v>
      </c>
      <c r="O8" s="5">
        <v>44.5</v>
      </c>
      <c r="P8" s="33">
        <v>1001.5611128914196</v>
      </c>
      <c r="Q8" s="5">
        <v>34.441848883967516</v>
      </c>
      <c r="R8" s="5">
        <v>5793.3657317427487</v>
      </c>
      <c r="S8" s="35"/>
      <c r="T8" s="23">
        <v>2884302.6765566058</v>
      </c>
      <c r="U8" s="33">
        <v>256.76777630775734</v>
      </c>
      <c r="V8" s="5">
        <v>10</v>
      </c>
      <c r="W8" s="5">
        <v>53</v>
      </c>
      <c r="X8" s="33">
        <v>1825.1925887315065</v>
      </c>
      <c r="Y8" s="5">
        <v>64.241990325166711</v>
      </c>
      <c r="Z8" s="5">
        <v>7297.0094723483035</v>
      </c>
      <c r="AA8" s="35"/>
    </row>
    <row r="9" spans="2:27" x14ac:dyDescent="0.2">
      <c r="B9" s="4">
        <v>6</v>
      </c>
      <c r="C9" s="4">
        <v>456</v>
      </c>
      <c r="D9" s="23">
        <v>2367475.545981226</v>
      </c>
      <c r="E9" s="33">
        <v>554.04535592300817</v>
      </c>
      <c r="F9" s="5">
        <v>10</v>
      </c>
      <c r="G9" s="23">
        <v>74</v>
      </c>
      <c r="H9" s="33">
        <v>1677.2273189629318</v>
      </c>
      <c r="I9" s="23">
        <v>62.052685954371839</v>
      </c>
      <c r="J9" s="5">
        <v>7073.8899041569694</v>
      </c>
      <c r="K9" s="31"/>
      <c r="L9" s="23">
        <v>2900708.8761358568</v>
      </c>
      <c r="M9" s="33">
        <v>387.22882238458482</v>
      </c>
      <c r="N9" s="5">
        <v>11</v>
      </c>
      <c r="O9" s="5">
        <v>46.5</v>
      </c>
      <c r="P9" s="33">
        <v>968.12110482739149</v>
      </c>
      <c r="Q9" s="5">
        <v>32.938183151280079</v>
      </c>
      <c r="R9" s="5">
        <v>5724.2449831978183</v>
      </c>
      <c r="S9" s="35"/>
      <c r="T9" s="23">
        <v>2871171.7206472661</v>
      </c>
      <c r="U9" s="33">
        <v>644.9708293845805</v>
      </c>
      <c r="V9" s="5">
        <v>10</v>
      </c>
      <c r="W9" s="5">
        <v>53.5</v>
      </c>
      <c r="X9" s="33">
        <v>1778.7244360677184</v>
      </c>
      <c r="Y9" s="5">
        <v>65.574884716514404</v>
      </c>
      <c r="Z9" s="5">
        <v>7307.5755082853784</v>
      </c>
      <c r="AA9" s="35"/>
    </row>
    <row r="10" spans="2:27" x14ac:dyDescent="0.2">
      <c r="B10" s="4">
        <v>7</v>
      </c>
      <c r="C10" s="4">
        <v>208</v>
      </c>
      <c r="D10" s="23">
        <v>2367958.067362634</v>
      </c>
      <c r="E10" s="33">
        <v>393.21300053843652</v>
      </c>
      <c r="F10" s="5">
        <v>10</v>
      </c>
      <c r="G10" s="23">
        <v>74.5</v>
      </c>
      <c r="H10" s="33">
        <v>1754.0978508698806</v>
      </c>
      <c r="I10" s="23">
        <v>62.898636083394727</v>
      </c>
      <c r="J10" s="5">
        <v>7141.2706487592159</v>
      </c>
      <c r="K10" s="31"/>
      <c r="L10" s="23">
        <v>3171416.6269535008</v>
      </c>
      <c r="M10" s="33">
        <v>665.61318861535528</v>
      </c>
      <c r="N10" s="5">
        <v>8</v>
      </c>
      <c r="O10" s="5">
        <v>32</v>
      </c>
      <c r="P10" s="33">
        <v>341.4771348288939</v>
      </c>
      <c r="Q10" s="5">
        <v>31.999214368866308</v>
      </c>
      <c r="R10" s="5">
        <v>4971.8808491152322</v>
      </c>
      <c r="S10" s="35"/>
      <c r="T10" s="23">
        <v>2917257.8544387631</v>
      </c>
      <c r="U10" s="33">
        <v>481.66598738457719</v>
      </c>
      <c r="V10" s="5">
        <v>9</v>
      </c>
      <c r="W10" s="5">
        <v>50.5</v>
      </c>
      <c r="X10" s="33">
        <v>1750.0824483046506</v>
      </c>
      <c r="Y10" s="5">
        <v>66.938110947842233</v>
      </c>
      <c r="Z10" s="5">
        <v>7222.4517610699741</v>
      </c>
      <c r="AA10" s="35"/>
    </row>
    <row r="11" spans="2:27" x14ac:dyDescent="0.2">
      <c r="B11" s="4">
        <v>8</v>
      </c>
      <c r="C11" s="4">
        <v>293</v>
      </c>
      <c r="D11" s="23">
        <v>2399263.5709768948</v>
      </c>
      <c r="E11" s="33">
        <v>363.8900976923581</v>
      </c>
      <c r="F11" s="5">
        <v>11</v>
      </c>
      <c r="G11" s="23">
        <v>73.5</v>
      </c>
      <c r="H11" s="33">
        <v>1696.425107781216</v>
      </c>
      <c r="I11" s="23">
        <v>55.317473454354165</v>
      </c>
      <c r="J11" s="5">
        <v>7058.3103847290968</v>
      </c>
      <c r="K11" s="31"/>
      <c r="L11" s="23">
        <v>2850267.360251402</v>
      </c>
      <c r="M11" s="33">
        <v>414.37764938464028</v>
      </c>
      <c r="N11" s="5">
        <v>13</v>
      </c>
      <c r="O11" s="5">
        <v>50.5</v>
      </c>
      <c r="P11" s="33">
        <v>1044.8575977469475</v>
      </c>
      <c r="Q11" s="5">
        <v>28.850937860020597</v>
      </c>
      <c r="R11" s="5">
        <v>5839.7116418290725</v>
      </c>
      <c r="S11" s="35"/>
      <c r="T11" s="23">
        <v>2917246.9360960969</v>
      </c>
      <c r="U11" s="33">
        <v>414.08318407690297</v>
      </c>
      <c r="V11" s="5">
        <v>11</v>
      </c>
      <c r="W11" s="5">
        <v>53.5</v>
      </c>
      <c r="X11" s="33">
        <v>1985.2222803096324</v>
      </c>
      <c r="Y11" s="5">
        <v>59.834519238151763</v>
      </c>
      <c r="Z11" s="5">
        <v>7438.5828106497356</v>
      </c>
      <c r="AA11" s="35"/>
    </row>
    <row r="12" spans="2:27" x14ac:dyDescent="0.2">
      <c r="B12" s="4">
        <v>9</v>
      </c>
      <c r="C12" s="4">
        <v>11</v>
      </c>
      <c r="D12" s="23">
        <v>2468686.4200126049</v>
      </c>
      <c r="E12" s="33">
        <v>624.6993567692474</v>
      </c>
      <c r="F12" s="5">
        <v>10</v>
      </c>
      <c r="G12" s="23">
        <v>70.5</v>
      </c>
      <c r="H12" s="33">
        <v>1735.4460769015577</v>
      </c>
      <c r="I12" s="23">
        <v>56.962293190297849</v>
      </c>
      <c r="J12" s="5">
        <v>7125.8226131063657</v>
      </c>
      <c r="K12" s="31"/>
      <c r="L12" s="23">
        <v>2895985.0607144721</v>
      </c>
      <c r="M12" s="33">
        <v>776.6415516153661</v>
      </c>
      <c r="N12" s="5">
        <v>13</v>
      </c>
      <c r="O12" s="5">
        <v>48.5</v>
      </c>
      <c r="P12" s="33">
        <v>1089.4237823748119</v>
      </c>
      <c r="Q12" s="5">
        <v>27.900630528828515</v>
      </c>
      <c r="R12" s="5">
        <v>5784.3862153185119</v>
      </c>
      <c r="S12" s="35"/>
      <c r="T12" s="23">
        <v>2873231.3558579432</v>
      </c>
      <c r="U12" s="33">
        <v>464.58126738461522</v>
      </c>
      <c r="V12" s="5">
        <v>10</v>
      </c>
      <c r="W12" s="5">
        <v>54</v>
      </c>
      <c r="X12" s="33">
        <v>1835.2918794141776</v>
      </c>
      <c r="Y12" s="5">
        <v>65.245006372462811</v>
      </c>
      <c r="Z12" s="5">
        <v>7332.3965496195351</v>
      </c>
      <c r="AA12" s="35"/>
    </row>
    <row r="13" spans="2:27" x14ac:dyDescent="0.2">
      <c r="B13" s="4">
        <v>10</v>
      </c>
      <c r="C13" s="4">
        <v>697</v>
      </c>
      <c r="D13" s="23">
        <v>2373099.1040841672</v>
      </c>
      <c r="E13" s="33">
        <v>235.5826825384373</v>
      </c>
      <c r="F13" s="5">
        <v>10</v>
      </c>
      <c r="G13" s="23">
        <v>73.5</v>
      </c>
      <c r="H13" s="33">
        <v>1665.5561793646839</v>
      </c>
      <c r="I13" s="23">
        <v>61.32608764333289</v>
      </c>
      <c r="J13" s="5">
        <v>7003.8658733659768</v>
      </c>
      <c r="K13" s="31"/>
      <c r="L13" s="23">
        <v>2854658.057323643</v>
      </c>
      <c r="M13" s="33">
        <v>634.19287830770304</v>
      </c>
      <c r="N13" s="5">
        <v>14</v>
      </c>
      <c r="O13" s="5">
        <v>51.5</v>
      </c>
      <c r="P13" s="33">
        <v>1178.242999777563</v>
      </c>
      <c r="Q13" s="5">
        <v>28.662792758716282</v>
      </c>
      <c r="R13" s="5">
        <v>5910.9582776517827</v>
      </c>
      <c r="S13" s="35"/>
      <c r="T13" s="23">
        <v>2943743.5593987899</v>
      </c>
      <c r="U13" s="33">
        <v>690.62330130774239</v>
      </c>
      <c r="V13" s="5">
        <v>9</v>
      </c>
      <c r="W13" s="5">
        <v>48</v>
      </c>
      <c r="X13" s="33">
        <v>1585.2628029672553</v>
      </c>
      <c r="Y13" s="5">
        <v>67.040223539225806</v>
      </c>
      <c r="Z13" s="5">
        <v>6967.6095132736527</v>
      </c>
      <c r="AA13" s="35"/>
    </row>
    <row r="14" spans="2:27" x14ac:dyDescent="0.2">
      <c r="B14" s="47" t="s">
        <v>3</v>
      </c>
      <c r="C14" s="48"/>
      <c r="D14" s="9">
        <f>MIN(D4:D13)</f>
        <v>2358432.887403694</v>
      </c>
      <c r="E14" s="22">
        <f>INDEX(E4:E13, MATCH($D$14, D4:D13, 0))</f>
        <v>905.66663384616697</v>
      </c>
      <c r="F14" s="9">
        <f>INDEX(F4:F13, MATCH($D$14, D4:D13, 0))</f>
        <v>11</v>
      </c>
      <c r="G14" s="9">
        <f>INDEX(G4:G13, MATCH($D$14, D4:D13, 0))</f>
        <v>75.5</v>
      </c>
      <c r="H14" s="22">
        <f>INDEX(H4:H13, MATCH($D$14, D4:D13, 0))</f>
        <v>1706.1699539183212</v>
      </c>
      <c r="I14" s="22">
        <f>INDEX(I4:I13, MATCH($D$14, D4:D13, 0))</f>
        <v>58.828370093920377</v>
      </c>
      <c r="J14" s="22">
        <f>INDEX(J4:J13, MATCH($D$14, D4:D13, 0))</f>
        <v>7108.3040804819339</v>
      </c>
      <c r="K14" s="32" t="e">
        <f>(D14-$D$15)/$D$15</f>
        <v>#DIV/0!</v>
      </c>
      <c r="L14" s="16">
        <f>MIN(L4:L13)</f>
        <v>2850267.360251402</v>
      </c>
      <c r="M14" s="21">
        <f>INDEX(M4:M13, MATCH($L$14, L4:L13, 0))</f>
        <v>414.37764938464028</v>
      </c>
      <c r="N14" s="16">
        <f>INDEX(N4:N13, MATCH($L$14, L4:L13, 0))</f>
        <v>13</v>
      </c>
      <c r="O14" s="16">
        <f>INDEX(O4:O13, MATCH($L$14, L4:L13, 0))</f>
        <v>50.5</v>
      </c>
      <c r="P14" s="21">
        <f>INDEX(P4:P13, MATCH($L$14, L4:L13, 0))</f>
        <v>1044.8575977469475</v>
      </c>
      <c r="Q14" s="21">
        <f>INDEX(Q4:Q13, MATCH($L$14, L4:L13, 0))</f>
        <v>28.850937860020597</v>
      </c>
      <c r="R14" s="21">
        <f>INDEX(R4:R13, MATCH($L$14, L4:L13, 0))</f>
        <v>5839.7116418290725</v>
      </c>
      <c r="S14" s="36" t="e">
        <f>(L14-$D$15)/$D$15</f>
        <v>#DIV/0!</v>
      </c>
      <c r="T14" s="38">
        <f>MIN(T4:T13)</f>
        <v>2871171.7206472661</v>
      </c>
      <c r="U14" s="39">
        <f>INDEX(U4:U13, MATCH($T$14, T4:T13, 0))</f>
        <v>644.9708293845805</v>
      </c>
      <c r="V14" s="38">
        <f>INDEX(V4:V13, MATCH($T$14, T4:T13, 0))</f>
        <v>10</v>
      </c>
      <c r="W14" s="38">
        <f>INDEX(W4:W13, MATCH($T$14, T4:T13, 0))</f>
        <v>53.5</v>
      </c>
      <c r="X14" s="39">
        <f>INDEX(X4:X13, MATCH($T$14, T4:T13, 0))</f>
        <v>1778.7244360677184</v>
      </c>
      <c r="Y14" s="39">
        <f>INDEX(Y4:Y13, MATCH($T$14, T4:T13, 0))</f>
        <v>65.574884716514404</v>
      </c>
      <c r="Z14" s="39">
        <f>INDEX(Z4:Z13, MATCH($T$14, T4:T13, 0))</f>
        <v>7307.5755082853784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41">
        <f>(L14-D14)/D14</f>
        <v>0.2085429165589483</v>
      </c>
      <c r="M15" s="41">
        <f t="shared" ref="M15:R15" si="0">(M14-E14)/E14</f>
        <v>-0.54246117290987128</v>
      </c>
      <c r="N15" s="41">
        <f t="shared" si="0"/>
        <v>0.18181818181818182</v>
      </c>
      <c r="O15" s="41">
        <f t="shared" si="0"/>
        <v>-0.33112582781456956</v>
      </c>
      <c r="P15" s="41">
        <f t="shared" si="0"/>
        <v>-0.38760051696645481</v>
      </c>
      <c r="Q15" s="41">
        <f t="shared" si="0"/>
        <v>-0.50957441428413464</v>
      </c>
      <c r="R15" s="41">
        <f t="shared" si="0"/>
        <v>-0.17846625922154591</v>
      </c>
      <c r="T15" s="41">
        <f>(T14-D14)/D14</f>
        <v>0.21740658213430283</v>
      </c>
      <c r="U15" s="41">
        <f t="shared" ref="U15:Z15" si="1">(U14-E14)/E14</f>
        <v>-0.28784962890204835</v>
      </c>
      <c r="V15" s="41">
        <f t="shared" si="1"/>
        <v>-9.0909090909090912E-2</v>
      </c>
      <c r="W15" s="41">
        <f t="shared" si="1"/>
        <v>-0.29139072847682118</v>
      </c>
      <c r="X15" s="41">
        <f t="shared" si="1"/>
        <v>4.2524768404678295E-2</v>
      </c>
      <c r="Y15" s="41">
        <f t="shared" si="1"/>
        <v>0.11468131127588807</v>
      </c>
      <c r="Z15" s="41">
        <f t="shared" si="1"/>
        <v>2.8033610485320461E-2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:C19 C34:C1048576">
    <cfRule type="duplicateValues" dxfId="55" priority="7"/>
    <cfRule type="duplicateValues" dxfId="54" priority="8"/>
  </conditionalFormatting>
  <conditionalFormatting sqref="C14">
    <cfRule type="duplicateValues" dxfId="53" priority="5"/>
    <cfRule type="duplicateValues" dxfId="52" priority="6"/>
  </conditionalFormatting>
  <conditionalFormatting sqref="C15">
    <cfRule type="duplicateValues" dxfId="51" priority="3"/>
    <cfRule type="duplicateValues" dxfId="50" priority="4"/>
  </conditionalFormatting>
  <conditionalFormatting sqref="C20:C33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.5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66406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66406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6640625" defaultRowHeight="16" x14ac:dyDescent="0.2"/>
  <cols>
    <col min="1" max="1" width="3.66406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66406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66406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results158</vt:lpstr>
      <vt:lpstr>results174</vt:lpstr>
      <vt:lpstr>results242</vt:lpstr>
      <vt:lpstr>results315</vt:lpstr>
      <vt:lpstr>results465</vt:lpstr>
      <vt:lpstr>results712</vt:lpstr>
      <vt:lpstr>results858</vt:lpstr>
      <vt:lpstr>results945</vt:lpstr>
      <vt:lpstr>results965</vt:lpstr>
      <vt:lpstr>results971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2026-10-20T18:46:17Z</dcterms:modified>
</cp:coreProperties>
</file>