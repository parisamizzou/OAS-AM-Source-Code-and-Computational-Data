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Small/ALNS/20-2-2/"/>
    </mc:Choice>
  </mc:AlternateContent>
  <xr:revisionPtr revIDLastSave="0" documentId="13_ncr:1_{C5593FBB-4A87-5049-A164-75791D9AD42A}" xr6:coauthVersionLast="47" xr6:coauthVersionMax="47" xr10:uidLastSave="{00000000-0000-0000-0000-000000000000}"/>
  <bookViews>
    <workbookView xWindow="0" yWindow="760" windowWidth="34560" windowHeight="20500" xr2:uid="{41E620E7-D6DF-9342-B452-EA60AB3B07C5}"/>
  </bookViews>
  <sheets>
    <sheet name="Summary" sheetId="68" r:id="rId1"/>
    <sheet name="results7" sheetId="58" r:id="rId2"/>
    <sheet name="results224" sheetId="69" r:id="rId3"/>
    <sheet name="results418" sheetId="70" r:id="rId4"/>
    <sheet name="results466" sheetId="71" r:id="rId5"/>
    <sheet name="results575" sheetId="76" r:id="rId6"/>
    <sheet name="results594" sheetId="77" r:id="rId7"/>
    <sheet name="results623" sheetId="72" r:id="rId8"/>
    <sheet name="results870" sheetId="73" r:id="rId9"/>
    <sheet name="results883" sheetId="74" r:id="rId10"/>
    <sheet name="results935" sheetId="75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75" l="1"/>
  <c r="K14" i="75" s="1"/>
  <c r="T14" i="74"/>
  <c r="AA14" i="74" s="1"/>
  <c r="D14" i="74"/>
  <c r="K14" i="74" s="1"/>
  <c r="D14" i="73"/>
  <c r="K14" i="73" s="1"/>
  <c r="D14" i="72"/>
  <c r="K14" i="72" s="1"/>
  <c r="D14" i="77"/>
  <c r="K14" i="77" s="1"/>
  <c r="D14" i="76"/>
  <c r="F14" i="76" s="1"/>
  <c r="T14" i="71"/>
  <c r="AA14" i="71" s="1"/>
  <c r="D14" i="71"/>
  <c r="K14" i="71" s="1"/>
  <c r="T14" i="70"/>
  <c r="AA14" i="70" s="1"/>
  <c r="D14" i="70"/>
  <c r="K14" i="70" s="1"/>
  <c r="E14" i="75" l="1"/>
  <c r="J14" i="75"/>
  <c r="F14" i="75"/>
  <c r="G14" i="75"/>
  <c r="H14" i="75"/>
  <c r="I14" i="75"/>
  <c r="W14" i="74"/>
  <c r="X14" i="74"/>
  <c r="V14" i="74"/>
  <c r="Y14" i="74"/>
  <c r="E14" i="74"/>
  <c r="G14" i="74"/>
  <c r="H14" i="74"/>
  <c r="I14" i="74"/>
  <c r="J14" i="74"/>
  <c r="Z14" i="74"/>
  <c r="F14" i="74"/>
  <c r="U14" i="74"/>
  <c r="H14" i="73"/>
  <c r="E14" i="73"/>
  <c r="F14" i="73"/>
  <c r="G14" i="73"/>
  <c r="I14" i="73"/>
  <c r="J14" i="73"/>
  <c r="E14" i="72"/>
  <c r="F14" i="72"/>
  <c r="G14" i="72"/>
  <c r="H14" i="72"/>
  <c r="I14" i="72"/>
  <c r="J14" i="72"/>
  <c r="E14" i="77"/>
  <c r="F14" i="77"/>
  <c r="G14" i="77"/>
  <c r="H14" i="77"/>
  <c r="I14" i="77"/>
  <c r="J14" i="77"/>
  <c r="G14" i="76"/>
  <c r="H14" i="76"/>
  <c r="I14" i="76"/>
  <c r="J14" i="76"/>
  <c r="K14" i="76"/>
  <c r="E14" i="76"/>
  <c r="J14" i="71"/>
  <c r="X14" i="71"/>
  <c r="Y14" i="71"/>
  <c r="E14" i="71"/>
  <c r="F14" i="71"/>
  <c r="G14" i="71"/>
  <c r="H14" i="71"/>
  <c r="I14" i="71"/>
  <c r="V14" i="71"/>
  <c r="W14" i="71"/>
  <c r="Z14" i="71"/>
  <c r="U14" i="71"/>
  <c r="G14" i="70"/>
  <c r="X14" i="70"/>
  <c r="E14" i="70"/>
  <c r="F14" i="70"/>
  <c r="H14" i="70"/>
  <c r="I14" i="70"/>
  <c r="Y14" i="70"/>
  <c r="Z14" i="70"/>
  <c r="U14" i="70"/>
  <c r="J14" i="70"/>
  <c r="V14" i="70"/>
  <c r="W14" i="70"/>
  <c r="D14" i="69"/>
  <c r="J14" i="69" s="1"/>
  <c r="D14" i="58"/>
  <c r="J14" i="58" s="1"/>
  <c r="H14" i="69" l="1"/>
  <c r="I14" i="69"/>
  <c r="F14" i="69"/>
  <c r="K14" i="69"/>
  <c r="E14" i="69"/>
  <c r="G14" i="69"/>
  <c r="E14" i="58"/>
  <c r="I14" i="58"/>
  <c r="K14" i="58"/>
  <c r="F14" i="58"/>
  <c r="G14" i="58"/>
  <c r="H14" i="58"/>
  <c r="T14" i="69" l="1"/>
  <c r="L14" i="70"/>
  <c r="L14" i="73"/>
  <c r="L14" i="75"/>
  <c r="L14" i="74"/>
  <c r="T14" i="77"/>
  <c r="L14" i="77"/>
  <c r="T14" i="76"/>
  <c r="T14" i="72"/>
  <c r="T14" i="75"/>
  <c r="L14" i="72" l="1"/>
  <c r="L14" i="71"/>
  <c r="L14" i="69"/>
  <c r="AA14" i="75"/>
  <c r="Z14" i="75"/>
  <c r="Y14" i="75"/>
  <c r="X14" i="75"/>
  <c r="W14" i="75"/>
  <c r="V14" i="75"/>
  <c r="U14" i="75"/>
  <c r="S14" i="75"/>
  <c r="J2" i="75" s="1"/>
  <c r="R14" i="75"/>
  <c r="R2" i="75" s="1"/>
  <c r="Q14" i="75"/>
  <c r="H2" i="75" s="1"/>
  <c r="O14" i="75"/>
  <c r="N14" i="75"/>
  <c r="M14" i="75"/>
  <c r="P14" i="75"/>
  <c r="P2" i="75" s="1"/>
  <c r="O14" i="74"/>
  <c r="S14" i="74"/>
  <c r="J2" i="74" s="1"/>
  <c r="P14" i="74"/>
  <c r="P2" i="74" s="1"/>
  <c r="N14" i="74"/>
  <c r="Q14" i="74"/>
  <c r="H2" i="74" s="1"/>
  <c r="M14" i="74"/>
  <c r="R14" i="74"/>
  <c r="R2" i="74" s="1"/>
  <c r="T14" i="73"/>
  <c r="AA14" i="73" s="1"/>
  <c r="N14" i="73"/>
  <c r="P14" i="73"/>
  <c r="P2" i="73" s="1"/>
  <c r="M14" i="73"/>
  <c r="Q14" i="73"/>
  <c r="H2" i="73" s="1"/>
  <c r="O14" i="73"/>
  <c r="S14" i="73"/>
  <c r="J2" i="73" s="1"/>
  <c r="R14" i="73"/>
  <c r="R2" i="73" s="1"/>
  <c r="O14" i="72"/>
  <c r="N14" i="72"/>
  <c r="M14" i="72"/>
  <c r="R14" i="72"/>
  <c r="R2" i="72" s="1"/>
  <c r="Q14" i="72"/>
  <c r="H2" i="72" s="1"/>
  <c r="S14" i="72"/>
  <c r="J2" i="72" s="1"/>
  <c r="P14" i="72"/>
  <c r="P2" i="72" s="1"/>
  <c r="AA14" i="72"/>
  <c r="Z14" i="72"/>
  <c r="W14" i="72"/>
  <c r="V14" i="72"/>
  <c r="U14" i="72"/>
  <c r="Y14" i="72"/>
  <c r="X14" i="72"/>
  <c r="AA14" i="77"/>
  <c r="Z14" i="77"/>
  <c r="W14" i="77"/>
  <c r="V14" i="77"/>
  <c r="U14" i="77"/>
  <c r="Y14" i="77"/>
  <c r="X14" i="77"/>
  <c r="O14" i="77"/>
  <c r="S14" i="77"/>
  <c r="J2" i="77" s="1"/>
  <c r="R14" i="77"/>
  <c r="R2" i="77" s="1"/>
  <c r="N14" i="77"/>
  <c r="M14" i="77"/>
  <c r="Q14" i="77"/>
  <c r="H2" i="77" s="1"/>
  <c r="P14" i="77"/>
  <c r="P2" i="77" s="1"/>
  <c r="AA14" i="76"/>
  <c r="Z14" i="76"/>
  <c r="W14" i="76"/>
  <c r="V14" i="76"/>
  <c r="U14" i="76"/>
  <c r="Y14" i="76"/>
  <c r="X14" i="76"/>
  <c r="L14" i="76"/>
  <c r="O14" i="71"/>
  <c r="P14" i="71"/>
  <c r="P2" i="71" s="1"/>
  <c r="N14" i="71"/>
  <c r="S14" i="71"/>
  <c r="J2" i="71" s="1"/>
  <c r="R14" i="71"/>
  <c r="R2" i="71" s="1"/>
  <c r="Q14" i="71"/>
  <c r="H2" i="71" s="1"/>
  <c r="M14" i="71"/>
  <c r="O14" i="70"/>
  <c r="N14" i="70"/>
  <c r="M14" i="70"/>
  <c r="S14" i="70"/>
  <c r="J2" i="70" s="1"/>
  <c r="R14" i="70"/>
  <c r="R2" i="70" s="1"/>
  <c r="Q14" i="70"/>
  <c r="H2" i="70" s="1"/>
  <c r="P14" i="70"/>
  <c r="P2" i="70" s="1"/>
  <c r="O14" i="69"/>
  <c r="P14" i="69"/>
  <c r="P2" i="69" s="1"/>
  <c r="N14" i="69"/>
  <c r="M14" i="69"/>
  <c r="R14" i="69"/>
  <c r="R2" i="69" s="1"/>
  <c r="S14" i="69"/>
  <c r="J2" i="69" s="1"/>
  <c r="Q14" i="69"/>
  <c r="H2" i="69" s="1"/>
  <c r="AA14" i="69"/>
  <c r="U14" i="69"/>
  <c r="Z14" i="69"/>
  <c r="Y14" i="69"/>
  <c r="W14" i="69"/>
  <c r="V14" i="69"/>
  <c r="X14" i="69"/>
  <c r="X14" i="73" l="1"/>
  <c r="U14" i="73"/>
  <c r="V14" i="73"/>
  <c r="W14" i="73"/>
  <c r="Y14" i="73"/>
  <c r="Z14" i="73"/>
  <c r="Z2" i="73" s="1"/>
  <c r="O14" i="76"/>
  <c r="S14" i="76"/>
  <c r="J2" i="76" s="1"/>
  <c r="N14" i="76"/>
  <c r="M14" i="76"/>
  <c r="Q14" i="76"/>
  <c r="H2" i="76" s="1"/>
  <c r="P14" i="76"/>
  <c r="P2" i="76" s="1"/>
  <c r="R14" i="76"/>
  <c r="R2" i="76" s="1"/>
  <c r="Z2" i="72"/>
  <c r="X2" i="72"/>
  <c r="Z2" i="69"/>
  <c r="X2" i="75"/>
  <c r="X2" i="69"/>
  <c r="X2" i="74"/>
  <c r="X2" i="71"/>
  <c r="Z2" i="71"/>
  <c r="Z2" i="74"/>
  <c r="Z2" i="75"/>
  <c r="Z2" i="77"/>
  <c r="Z2" i="70"/>
  <c r="X2" i="70"/>
  <c r="X2" i="73"/>
  <c r="X2" i="77"/>
  <c r="O11" i="68" a="1"/>
  <c r="U8" i="68" a="1"/>
  <c r="E10" i="68" a="1"/>
  <c r="O9" i="68" a="1"/>
  <c r="G7" i="68" a="1"/>
  <c r="T10" i="68" a="1"/>
  <c r="Y8" i="68" a="1"/>
  <c r="C10" i="68" a="1"/>
  <c r="C9" i="68" a="1"/>
  <c r="U11" i="68" a="1"/>
  <c r="Y12" i="68" a="1"/>
  <c r="C12" i="68" a="1"/>
  <c r="H12" i="68" a="1"/>
  <c r="I12" i="68" a="1"/>
  <c r="M5" i="68" a="1"/>
  <c r="M10" i="68" a="1"/>
  <c r="L10" i="68" a="1"/>
  <c r="H7" i="68" a="1"/>
  <c r="T5" i="68" a="1"/>
  <c r="T6" i="68" a="1"/>
  <c r="D12" i="68" a="1"/>
  <c r="K7" i="68" a="1"/>
  <c r="P5" i="68" a="1"/>
  <c r="S12" i="68" a="1"/>
  <c r="Y11" i="68" a="1"/>
  <c r="D5" i="68" a="1"/>
  <c r="U12" i="68" a="1"/>
  <c r="F11" i="68" a="1"/>
  <c r="S6" i="68" a="1"/>
  <c r="M6" i="68" a="1"/>
  <c r="Q11" i="68" a="1"/>
  <c r="F9" i="68" a="1"/>
  <c r="G9" i="68" a="1"/>
  <c r="W6" i="68" a="1"/>
  <c r="F12" i="68" a="1"/>
  <c r="P10" i="68" a="1"/>
  <c r="P4" i="68" a="1"/>
  <c r="C4" i="68" a="1"/>
  <c r="K4" i="68" a="1"/>
  <c r="Q5" i="68" a="1"/>
  <c r="O5" i="68" a="1"/>
  <c r="P11" i="68" a="1"/>
  <c r="D4" i="68" a="1"/>
  <c r="G8" i="68" a="1"/>
  <c r="I9" i="68" a="1"/>
  <c r="I4" i="68" a="1"/>
  <c r="N11" i="68" a="1"/>
  <c r="W12" i="68" a="1"/>
  <c r="X12" i="68" a="1"/>
  <c r="U5" i="68" a="1"/>
  <c r="V5" i="68" a="1"/>
  <c r="N8" i="68" a="1"/>
  <c r="H10" i="68" a="1"/>
  <c r="T7" i="68" a="1"/>
  <c r="K8" i="68" a="1"/>
  <c r="F7" i="68" a="1"/>
  <c r="U4" i="68" a="1"/>
  <c r="N9" i="68" a="1"/>
  <c r="H5" i="68" a="1"/>
  <c r="I10" i="68" a="1"/>
  <c r="C5" i="68" a="1"/>
  <c r="E8" i="68" a="1"/>
  <c r="L12" i="68" a="1"/>
  <c r="W8" i="68" a="1"/>
  <c r="Q9" i="68" a="1"/>
  <c r="D8" i="68" a="1"/>
  <c r="C11" i="68" a="1"/>
  <c r="V12" i="68" a="1"/>
  <c r="M12" i="68" a="1"/>
  <c r="F10" i="68" a="1"/>
  <c r="P7" i="68" a="1"/>
  <c r="Y6" i="68" a="1"/>
  <c r="V9" i="68" a="1"/>
  <c r="V7" i="68" a="1"/>
  <c r="N7" i="68" a="1"/>
  <c r="E7" i="68" a="1"/>
  <c r="L8" i="68" a="1"/>
  <c r="T11" i="68" a="1"/>
  <c r="I6" i="68" a="1"/>
  <c r="H8" i="68" a="1"/>
  <c r="E11" i="68" a="1"/>
  <c r="I7" i="68" a="1"/>
  <c r="X7" i="68" a="1"/>
  <c r="G5" i="68" a="1"/>
  <c r="F6" i="68" a="1"/>
  <c r="H6" i="68" a="1"/>
  <c r="D7" i="68" a="1"/>
  <c r="I8" i="68" a="1"/>
  <c r="G6" i="68" a="1"/>
  <c r="N4" i="68" a="1"/>
  <c r="U7" i="68" a="1"/>
  <c r="X4" i="68" a="1"/>
  <c r="H9" i="68" a="1"/>
  <c r="Q12" i="68" a="1"/>
  <c r="T9" i="68" a="1"/>
  <c r="N12" i="68" a="1"/>
  <c r="S11" i="68" a="1"/>
  <c r="X10" i="68" a="1"/>
  <c r="W5" i="68" a="1"/>
  <c r="V11" i="68" a="1"/>
  <c r="X5" i="68" a="1"/>
  <c r="T4" i="68" a="1"/>
  <c r="S10" i="68" a="1"/>
  <c r="C6" i="68" a="1"/>
  <c r="Q7" i="68" a="1"/>
  <c r="L4" i="68" a="1"/>
  <c r="I11" i="68" a="1"/>
  <c r="G11" i="68" a="1"/>
  <c r="M4" i="68" a="1"/>
  <c r="U10" i="68" a="1"/>
  <c r="X6" i="68" a="1"/>
  <c r="E4" i="68" a="1"/>
  <c r="K12" i="68" a="1"/>
  <c r="S9" i="68" a="1"/>
  <c r="U6" i="68" a="1"/>
  <c r="X8" i="68" a="1"/>
  <c r="P12" i="68" a="1"/>
  <c r="G10" i="68" a="1"/>
  <c r="Q8" i="68" a="1"/>
  <c r="Q6" i="68" a="1"/>
  <c r="W4" i="68" a="1"/>
  <c r="L11" i="68" a="1"/>
  <c r="E5" i="68" a="1"/>
  <c r="X11" i="68" a="1"/>
  <c r="V8" i="68" a="1"/>
  <c r="W7" i="68" a="1"/>
  <c r="W10" i="68" a="1"/>
  <c r="K11" i="68" a="1"/>
  <c r="L9" i="68" a="1"/>
  <c r="Q10" i="68" a="1"/>
  <c r="N5" i="68" a="1"/>
  <c r="O7" i="68" a="1"/>
  <c r="F5" i="68" a="1"/>
  <c r="Y10" i="68" a="1"/>
  <c r="Y9" i="68" a="1"/>
  <c r="T12" i="68" a="1"/>
  <c r="S4" i="68" a="1"/>
  <c r="W9" i="68" a="1"/>
  <c r="O4" i="68" a="1"/>
  <c r="O12" i="68" a="1"/>
  <c r="K6" i="68" a="1"/>
  <c r="I5" i="68" a="1"/>
  <c r="L6" i="68" a="1"/>
  <c r="N6" i="68" a="1"/>
  <c r="O6" i="68" a="1"/>
  <c r="F4" i="68" a="1"/>
  <c r="S8" i="68" a="1"/>
  <c r="M7" i="68" a="1"/>
  <c r="K9" i="68" a="1"/>
  <c r="D10" i="68" a="1"/>
  <c r="N10" i="68" a="1"/>
  <c r="K5" i="68" a="1"/>
  <c r="G12" i="68" a="1"/>
  <c r="P6" i="68" a="1"/>
  <c r="V6" i="68" a="1"/>
  <c r="V4" i="68" a="1"/>
  <c r="G4" i="68" a="1"/>
  <c r="W11" i="68" a="1"/>
  <c r="Y7" i="68" a="1"/>
  <c r="P9" i="68" a="1"/>
  <c r="D11" i="68" a="1"/>
  <c r="Y4" i="68" a="1"/>
  <c r="E6" i="68" a="1"/>
  <c r="Y5" i="68" a="1"/>
  <c r="H11" i="68" a="1"/>
  <c r="Q4" i="68" a="1"/>
  <c r="M8" i="68" a="1"/>
  <c r="C8" i="68" a="1"/>
  <c r="P8" i="68" a="1"/>
  <c r="E9" i="68" a="1"/>
  <c r="D6" i="68" a="1"/>
  <c r="V10" i="68" a="1"/>
  <c r="C7" i="68" a="1"/>
  <c r="S5" i="68" a="1"/>
  <c r="X9" i="68" a="1"/>
  <c r="H4" i="68" a="1"/>
  <c r="U9" i="68" a="1"/>
  <c r="L7" i="68" a="1"/>
  <c r="O10" i="68" a="1"/>
  <c r="L5" i="68" a="1"/>
  <c r="T8" i="68" a="1"/>
  <c r="S7" i="68" a="1"/>
  <c r="M9" i="68" a="1"/>
  <c r="K10" i="68" a="1"/>
  <c r="D9" i="68" a="1"/>
  <c r="M11" i="68" a="1"/>
  <c r="E12" i="68" a="1"/>
  <c r="F8" i="68" a="1"/>
  <c r="O8" i="68" a="1"/>
  <c r="Z2" i="76" l="1"/>
  <c r="X2" i="76"/>
  <c r="V10" i="68"/>
  <c r="E9" i="68"/>
  <c r="X10" i="68"/>
  <c r="H6" i="68"/>
  <c r="G4" i="68"/>
  <c r="O4" i="68"/>
  <c r="S5" i="68"/>
  <c r="Y11" i="68"/>
  <c r="L7" i="68"/>
  <c r="P4" i="68"/>
  <c r="U7" i="68"/>
  <c r="S6" i="68"/>
  <c r="L10" i="68"/>
  <c r="M9" i="68"/>
  <c r="X12" i="68"/>
  <c r="I12" i="68"/>
  <c r="T4" i="68"/>
  <c r="I9" i="68"/>
  <c r="T12" i="68"/>
  <c r="Q8" i="68"/>
  <c r="F5" i="68"/>
  <c r="S10" i="68"/>
  <c r="U9" i="68"/>
  <c r="N4" i="68"/>
  <c r="T11" i="68"/>
  <c r="W9" i="68"/>
  <c r="O12" i="68"/>
  <c r="O7" i="68"/>
  <c r="K12" i="68"/>
  <c r="E5" i="68"/>
  <c r="D12" i="68"/>
  <c r="X6" i="68"/>
  <c r="I4" i="68"/>
  <c r="T9" i="68"/>
  <c r="X4" i="68"/>
  <c r="C7" i="68"/>
  <c r="G6" i="68"/>
  <c r="V8" i="68"/>
  <c r="E12" i="68"/>
  <c r="V7" i="68"/>
  <c r="M11" i="68"/>
  <c r="Y9" i="68"/>
  <c r="O10" i="68"/>
  <c r="D11" i="68"/>
  <c r="H4" i="68"/>
  <c r="V6" i="68"/>
  <c r="C12" i="68"/>
  <c r="L4" i="68"/>
  <c r="Y8" i="68"/>
  <c r="L12" i="68"/>
  <c r="G7" i="68"/>
  <c r="P6" i="68"/>
  <c r="K10" i="68"/>
  <c r="P7" i="68"/>
  <c r="I11" i="68"/>
  <c r="P12" i="68"/>
  <c r="M4" i="68"/>
  <c r="Y7" i="68"/>
  <c r="X8" i="68"/>
  <c r="T5" i="68"/>
  <c r="Y5" i="68"/>
  <c r="D10" i="68"/>
  <c r="Q4" i="68"/>
  <c r="N6" i="68"/>
  <c r="M7" i="68"/>
  <c r="S4" i="68"/>
  <c r="C8" i="68"/>
  <c r="U8" i="68"/>
  <c r="P8" i="68"/>
  <c r="H5" i="68"/>
  <c r="M10" i="68"/>
  <c r="V4" i="68"/>
  <c r="E6" i="68"/>
  <c r="D8" i="68"/>
  <c r="O6" i="68"/>
  <c r="D6" i="68"/>
  <c r="C11" i="68"/>
  <c r="G8" i="68"/>
  <c r="O8" i="68"/>
  <c r="Y4" i="68"/>
  <c r="H9" i="68"/>
  <c r="S12" i="68"/>
  <c r="K8" i="68"/>
  <c r="T7" i="68"/>
  <c r="N11" i="68"/>
  <c r="W7" i="68"/>
  <c r="P11" i="68"/>
  <c r="D4" i="68"/>
  <c r="C5" i="68"/>
  <c r="V12" i="68"/>
  <c r="P10" i="68"/>
  <c r="P9" i="68"/>
  <c r="D7" i="68"/>
  <c r="Y10" i="68"/>
  <c r="W5" i="68"/>
  <c r="L5" i="68"/>
  <c r="G11" i="68"/>
  <c r="U5" i="68"/>
  <c r="K7" i="68"/>
  <c r="E8" i="68"/>
  <c r="M5" i="68"/>
  <c r="V11" i="68"/>
  <c r="T10" i="68"/>
  <c r="H8" i="68"/>
  <c r="W10" i="68"/>
  <c r="N10" i="68"/>
  <c r="S11" i="68"/>
  <c r="U6" i="68"/>
  <c r="X5" i="68"/>
  <c r="K5" i="68"/>
  <c r="H12" i="68"/>
  <c r="U12" i="68"/>
  <c r="W4" i="68"/>
  <c r="S7" i="68"/>
  <c r="Q11" i="68"/>
  <c r="H10" i="68"/>
  <c r="K4" i="68"/>
  <c r="O5" i="68"/>
  <c r="O9" i="68"/>
  <c r="Y12" i="68"/>
  <c r="N9" i="68"/>
  <c r="W8" i="68"/>
  <c r="Q12" i="68"/>
  <c r="M8" i="68"/>
  <c r="W11" i="68"/>
  <c r="G5" i="68"/>
  <c r="P5" i="68"/>
  <c r="S9" i="68"/>
  <c r="C6" i="68"/>
  <c r="Q5" i="68"/>
  <c r="I6" i="68"/>
  <c r="E4" i="68"/>
  <c r="Q7" i="68"/>
  <c r="W12" i="68"/>
  <c r="F10" i="68"/>
  <c r="C4" i="68"/>
  <c r="F9" i="68"/>
  <c r="L8" i="68"/>
  <c r="I10" i="68"/>
  <c r="N8" i="68"/>
  <c r="S8" i="68"/>
  <c r="G9" i="68"/>
  <c r="U4" i="68"/>
  <c r="X7" i="68"/>
  <c r="K9" i="68"/>
  <c r="D9" i="68"/>
  <c r="L9" i="68"/>
  <c r="D5" i="68"/>
  <c r="N5" i="68"/>
  <c r="V5" i="68"/>
  <c r="V9" i="68"/>
  <c r="F7" i="68"/>
  <c r="Q10" i="68"/>
  <c r="C10" i="68"/>
  <c r="T8" i="68"/>
  <c r="F12" i="68"/>
  <c r="K6" i="68"/>
  <c r="F6" i="68"/>
  <c r="Y6" i="68"/>
  <c r="I5" i="68"/>
  <c r="L11" i="68"/>
  <c r="H7" i="68"/>
  <c r="W6" i="68"/>
  <c r="K11" i="68"/>
  <c r="H11" i="68"/>
  <c r="M6" i="68"/>
  <c r="X9" i="68"/>
  <c r="G10" i="68"/>
  <c r="O11" i="68"/>
  <c r="T6" i="68"/>
  <c r="U10" i="68"/>
  <c r="E7" i="68"/>
  <c r="I7" i="68"/>
  <c r="Q9" i="68"/>
  <c r="G12" i="68"/>
  <c r="X11" i="68"/>
  <c r="N12" i="68"/>
  <c r="E11" i="68"/>
  <c r="Q6" i="68"/>
  <c r="L6" i="68"/>
  <c r="E10" i="68"/>
  <c r="I8" i="68"/>
  <c r="U11" i="68"/>
  <c r="F11" i="68"/>
  <c r="F4" i="68"/>
  <c r="C9" i="68"/>
  <c r="M12" i="68"/>
  <c r="N7" i="68"/>
  <c r="F8" i="68"/>
  <c r="T14" i="58" l="1"/>
  <c r="AA14" i="58" s="1"/>
  <c r="L14" i="58"/>
  <c r="Y14" i="58"/>
  <c r="X14" i="58"/>
  <c r="V14" i="58"/>
  <c r="O14" i="58"/>
  <c r="P14" i="58"/>
  <c r="N14" i="58"/>
  <c r="S14" i="58"/>
  <c r="M14" i="58"/>
  <c r="R14" i="58"/>
  <c r="Q14" i="58"/>
  <c r="S3" i="68" a="1"/>
  <c r="C3" i="68" a="1"/>
  <c r="K3" i="68" a="1"/>
  <c r="Z14" i="58" l="1"/>
  <c r="U14" i="58"/>
  <c r="W14" i="58"/>
  <c r="S3" i="68"/>
  <c r="S13" i="68" s="1"/>
  <c r="Z13" i="68" s="1"/>
  <c r="K3" i="68"/>
  <c r="K13" i="68" s="1"/>
  <c r="R13" i="68" s="1"/>
  <c r="C3" i="68"/>
  <c r="C17" i="68" s="1"/>
  <c r="H3" i="68" a="1"/>
  <c r="N3" i="68" a="1"/>
  <c r="E3" i="68" a="1"/>
  <c r="I3" i="68" a="1"/>
  <c r="U3" i="68" a="1"/>
  <c r="G3" i="68" a="1"/>
  <c r="Y3" i="68" a="1"/>
  <c r="W3" i="68" a="1"/>
  <c r="X3" i="68" a="1"/>
  <c r="M3" i="68" a="1"/>
  <c r="D3" i="68" a="1"/>
  <c r="Q3" i="68" a="1"/>
  <c r="L3" i="68" a="1"/>
  <c r="O3" i="68" a="1"/>
  <c r="T3" i="68" a="1"/>
  <c r="P3" i="68" a="1"/>
  <c r="F3" i="68" a="1"/>
  <c r="V3" i="68" a="1"/>
  <c r="K17" i="68" l="1"/>
  <c r="S17" i="68"/>
  <c r="C13" i="68"/>
  <c r="S14" i="68" s="1"/>
  <c r="U3" i="68"/>
  <c r="U13" i="68" s="1"/>
  <c r="P3" i="68"/>
  <c r="P13" i="68" s="1"/>
  <c r="H3" i="68"/>
  <c r="H13" i="68" s="1"/>
  <c r="D3" i="68"/>
  <c r="D13" i="68" s="1"/>
  <c r="Q3" i="68"/>
  <c r="Q13" i="68" s="1"/>
  <c r="T3" i="68"/>
  <c r="T13" i="68" s="1"/>
  <c r="V3" i="68"/>
  <c r="V13" i="68" s="1"/>
  <c r="G3" i="68"/>
  <c r="G13" i="68" s="1"/>
  <c r="M3" i="68"/>
  <c r="M13" i="68" s="1"/>
  <c r="Y3" i="68"/>
  <c r="Y13" i="68" s="1"/>
  <c r="X3" i="68"/>
  <c r="X13" i="68" s="1"/>
  <c r="O3" i="68"/>
  <c r="O13" i="68" s="1"/>
  <c r="I3" i="68"/>
  <c r="I13" i="68" s="1"/>
  <c r="W3" i="68"/>
  <c r="W13" i="68" s="1"/>
  <c r="E3" i="68"/>
  <c r="E13" i="68" s="1"/>
  <c r="F3" i="68"/>
  <c r="F13" i="68" s="1"/>
  <c r="L3" i="68"/>
  <c r="L13" i="68" s="1"/>
  <c r="N3" i="68"/>
  <c r="N13" i="68" s="1"/>
  <c r="J2" i="58"/>
  <c r="R2" i="58"/>
  <c r="H2" i="58"/>
  <c r="Z2" i="58"/>
  <c r="P2" i="58"/>
  <c r="X2" i="58"/>
  <c r="Y14" i="68" l="1"/>
  <c r="K14" i="68"/>
  <c r="Q14" i="68"/>
  <c r="J13" i="68"/>
  <c r="O14" i="68"/>
  <c r="X14" i="68"/>
  <c r="M14" i="68"/>
  <c r="T14" i="68"/>
  <c r="V14" i="68"/>
  <c r="N14" i="68"/>
  <c r="L14" i="68"/>
  <c r="W14" i="68"/>
  <c r="P14" i="68"/>
  <c r="U14" i="68"/>
  <c r="H14" i="34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F14" i="42" l="1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P14" i="42" l="1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G14" i="26" l="1"/>
  <c r="E14" i="26"/>
  <c r="D14" i="26"/>
  <c r="K14" i="26"/>
  <c r="P14" i="25"/>
  <c r="N14" i="25"/>
  <c r="M14" i="25"/>
  <c r="T14" i="25"/>
  <c r="D14" i="25"/>
  <c r="H4" i="23" a="1"/>
  <c r="I4" i="23" a="1"/>
  <c r="H4" i="23" l="1"/>
  <c r="I4" i="23"/>
  <c r="D9" i="23" a="1"/>
  <c r="F4" i="23" a="1"/>
  <c r="D13" i="23" a="1"/>
  <c r="E12" i="23" a="1"/>
  <c r="D4" i="23" a="1"/>
  <c r="E4" i="23" a="1"/>
  <c r="F12" i="23" a="1"/>
  <c r="E13" i="23" a="1"/>
  <c r="G12" i="23" a="1"/>
  <c r="E11" i="23" a="1"/>
  <c r="E5" i="23" a="1"/>
  <c r="F10" i="23" a="1"/>
  <c r="F13" i="23" a="1"/>
  <c r="G13" i="23" a="1"/>
  <c r="G11" i="23" a="1"/>
  <c r="G8" i="23" a="1"/>
  <c r="D7" i="23" a="1"/>
  <c r="E9" i="23" a="1"/>
  <c r="E10" i="23" a="1"/>
  <c r="F5" i="23" a="1"/>
  <c r="G7" i="23" a="1"/>
  <c r="F9" i="23" a="1"/>
  <c r="D12" i="23" a="1"/>
  <c r="D10" i="23" a="1"/>
  <c r="F7" i="23" a="1"/>
  <c r="D5" i="23" a="1"/>
  <c r="E7" i="23" a="1"/>
  <c r="D6" i="23" a="1"/>
  <c r="F6" i="23" a="1"/>
  <c r="G6" i="23" a="1"/>
  <c r="D8" i="23" a="1"/>
  <c r="G5" i="23" a="1"/>
  <c r="G4" i="23" a="1"/>
  <c r="D11" i="23" a="1"/>
  <c r="F8" i="23" a="1"/>
  <c r="G10" i="23" a="1"/>
  <c r="F11" i="23" a="1"/>
  <c r="E8" i="23" a="1"/>
  <c r="G9" i="23" a="1"/>
  <c r="E6" i="23" a="1"/>
  <c r="G9" i="23" l="1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<sst xmlns="http://schemas.openxmlformats.org/spreadsheetml/2006/main" count="677" uniqueCount="22">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</sst>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D5A1-1E8B-9F49-88F1-E1F82C44F487}">
  <dimension ref="B2:Z17"/>
  <sheetViews>
    <sheetView tabSelected="1" zoomScale="85" zoomScaleNormal="85" workbookViewId="0">
      <selection activeCell="G35" sqref="G35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7</v>
      </c>
      <c r="C3" s="5" cm="1">
        <f t="array" aca="1" ref="C3" ca="1">INDIRECT("'results" &amp; $B3 &amp; "'!D$14")</f>
        <v>67231.116754941177</v>
      </c>
      <c r="D3" s="33" cm="1">
        <f t="array" aca="1" ref="D3" ca="1">INDIRECT("'results" &amp; $B3 &amp; "'!E$14")</f>
        <v>0.23749704200054109</v>
      </c>
      <c r="E3" s="5" cm="1">
        <f t="array" aca="1" ref="E3" ca="1">INDIRECT("'results" &amp; $B3 &amp; "'!F$14")</f>
        <v>2</v>
      </c>
      <c r="F3" s="5" cm="1">
        <f t="array" aca="1" ref="F3" ca="1">INDIRECT("'results" &amp; $B3 &amp; "'!G$14")</f>
        <v>80</v>
      </c>
      <c r="G3" s="5" cm="1">
        <f t="array" aca="1" ref="G3" ca="1">INDIRECT("'results" &amp; $B3 &amp; "'!H$14")</f>
        <v>54.598725561277902</v>
      </c>
      <c r="H3" s="33" cm="1">
        <f t="array" aca="1" ref="H3" ca="1">INDIRECT("'results" &amp; $B3 &amp; "'!I$14")</f>
        <v>19.591678648502928</v>
      </c>
      <c r="I3" s="5" cm="1">
        <f t="array" aca="1" ref="I3" ca="1">INDIRECT("'results" &amp; $B3 &amp; "'!J$14")</f>
        <v>1945.2171671602314</v>
      </c>
      <c r="J3" s="5"/>
      <c r="K3" s="5" cm="1">
        <f t="array" aca="1" ref="K3" ca="1">INDIRECT("'results" &amp; $B3 &amp; "'!L$14")</f>
        <v>78475.583750335412</v>
      </c>
      <c r="L3" s="5" cm="1">
        <f t="array" aca="1" ref="L3" ca="1">INDIRECT("'results" &amp; $B3 &amp; "'!M$14")</f>
        <v>0.20200283299709551</v>
      </c>
      <c r="M3" s="5" cm="1">
        <f t="array" aca="1" ref="M3" ca="1">INDIRECT("'results" &amp; $B3 &amp; "'!N$14")</f>
        <v>2</v>
      </c>
      <c r="N3" s="5" cm="1">
        <f t="array" aca="1" ref="N3" ca="1">INDIRECT("'results" &amp; $B3 &amp; "'!O$14")</f>
        <v>55</v>
      </c>
      <c r="O3" s="5" cm="1">
        <f t="array" aca="1" ref="O3" ca="1">INDIRECT("'results" &amp; $B3 &amp; "'!P$14")</f>
        <v>0</v>
      </c>
      <c r="P3" s="5" cm="1">
        <f t="array" aca="1" ref="P3" ca="1">INDIRECT("'results" &amp; $B3 &amp; "'!Q$14")</f>
        <v>12.699094398926535</v>
      </c>
      <c r="Q3" s="5" cm="1">
        <f t="array" aca="1" ref="Q3" ca="1">INDIRECT("'results" &amp; $B3 &amp; "'!R$14")</f>
        <v>1494.4678168738299</v>
      </c>
      <c r="R3" s="5"/>
      <c r="S3" s="5" cm="1">
        <f t="array" aca="1" ref="S3" ca="1">INDIRECT("'results" &amp; $B3 &amp; "'!T$14")</f>
        <v>85917.021425472893</v>
      </c>
      <c r="T3" s="5" cm="1">
        <f t="array" aca="1" ref="T3" ca="1">INDIRECT("'results" &amp; $B3 &amp; "'!U$14")</f>
        <v>0.35937974999978911</v>
      </c>
      <c r="U3" s="5" cm="1">
        <f t="array" aca="1" ref="U3" ca="1">INDIRECT("'results" &amp; $B3 &amp; "'!V$14")</f>
        <v>2</v>
      </c>
      <c r="V3" s="5" cm="1">
        <f t="array" aca="1" ref="V3" ca="1">INDIRECT("'results" &amp; $B3 &amp; "'!W$14")</f>
        <v>55</v>
      </c>
      <c r="W3" s="5" cm="1">
        <f t="array" aca="1" ref="W3" ca="1">INDIRECT("'results" &amp; $B3 &amp; "'!X$14")</f>
        <v>160.28764838534917</v>
      </c>
      <c r="X3" s="5" cm="1">
        <f t="array" aca="1" ref="X3" ca="1">INDIRECT("'results" &amp; $B3 &amp; "'!Y$14")</f>
        <v>28.919785382699153</v>
      </c>
      <c r="Y3" s="5" cm="1">
        <f t="array" aca="1" ref="Y3" ca="1">INDIRECT("'results" &amp; $B3 &amp; "'!Z$14")</f>
        <v>2406.9665889010253</v>
      </c>
      <c r="Z3" s="5"/>
    </row>
    <row r="4" spans="2:26" x14ac:dyDescent="0.2">
      <c r="B4" s="4">
        <v>224</v>
      </c>
      <c r="C4" s="5" cm="1">
        <f t="array" aca="1" ref="C4" ca="1">INDIRECT("'results" &amp; $B4 &amp; "'!D$14")</f>
        <v>50183.720778918898</v>
      </c>
      <c r="D4" s="33" cm="1">
        <f t="array" aca="1" ref="D4" ca="1">INDIRECT("'results" &amp; $B4 &amp; "'!E$14")</f>
        <v>0.33317833300134231</v>
      </c>
      <c r="E4" s="5" cm="1">
        <f t="array" aca="1" ref="E4" ca="1">INDIRECT("'results" &amp; $B4 &amp; "'!F$14")</f>
        <v>2</v>
      </c>
      <c r="F4" s="5" cm="1">
        <f t="array" aca="1" ref="F4" ca="1">INDIRECT("'results" &amp; $B4 &amp; "'!G$14")</f>
        <v>95</v>
      </c>
      <c r="G4" s="5" cm="1">
        <f t="array" aca="1" ref="G4" ca="1">INDIRECT("'results" &amp; $B4 &amp; "'!H$14")</f>
        <v>15.334122939452142</v>
      </c>
      <c r="H4" s="33" cm="1">
        <f t="array" aca="1" ref="H4" ca="1">INDIRECT("'results" &amp; $B4 &amp; "'!I$14")</f>
        <v>22.223936552566222</v>
      </c>
      <c r="I4" s="5" cm="1">
        <f t="array" aca="1" ref="I4" ca="1">INDIRECT("'results" &amp; $B4 &amp; "'!J$14")</f>
        <v>1545.7941239381573</v>
      </c>
      <c r="J4" s="5"/>
      <c r="K4" s="5" cm="1">
        <f t="array" aca="1" ref="K4" ca="1">INDIRECT("'results" &amp; $B4 &amp; "'!L$14")</f>
        <v>57903.825897736628</v>
      </c>
      <c r="L4" s="5" cm="1">
        <f t="array" aca="1" ref="L4" ca="1">INDIRECT("'results" &amp; $B4 &amp; "'!M$14")</f>
        <v>0.2190549580009247</v>
      </c>
      <c r="M4" s="5" cm="1">
        <f t="array" aca="1" ref="M4" ca="1">INDIRECT("'results" &amp; $B4 &amp; "'!N$14")</f>
        <v>2</v>
      </c>
      <c r="N4" s="5" cm="1">
        <f t="array" aca="1" ref="N4" ca="1">INDIRECT("'results" &amp; $B4 &amp; "'!O$14")</f>
        <v>80</v>
      </c>
      <c r="O4" s="5" cm="1">
        <f t="array" aca="1" ref="O4" ca="1">INDIRECT("'results" &amp; $B4 &amp; "'!P$14")</f>
        <v>0</v>
      </c>
      <c r="P4" s="5" cm="1">
        <f t="array" aca="1" ref="P4" ca="1">INDIRECT("'results" &amp; $B4 &amp; "'!Q$14")</f>
        <v>16.283229835745765</v>
      </c>
      <c r="Q4" s="5" cm="1">
        <f t="array" aca="1" ref="Q4" ca="1">INDIRECT("'results" &amp; $B4 &amp; "'!R$14")</f>
        <v>1278.2608654703802</v>
      </c>
      <c r="R4" s="5"/>
      <c r="S4" s="5" cm="1">
        <f t="array" aca="1" ref="S4" ca="1">INDIRECT("'results" &amp; $B4 &amp; "'!T$14")</f>
        <v>60855.133328423413</v>
      </c>
      <c r="T4" s="5" cm="1">
        <f t="array" aca="1" ref="T4" ca="1">INDIRECT("'results" &amp; $B4 &amp; "'!U$14")</f>
        <v>0.49465870899803122</v>
      </c>
      <c r="U4" s="5" cm="1">
        <f t="array" aca="1" ref="U4" ca="1">INDIRECT("'results" &amp; $B4 &amp; "'!V$14")</f>
        <v>2</v>
      </c>
      <c r="V4" s="5" cm="1">
        <f t="array" aca="1" ref="V4" ca="1">INDIRECT("'results" &amp; $B4 &amp; "'!W$14")</f>
        <v>85</v>
      </c>
      <c r="W4" s="5" cm="1">
        <f t="array" aca="1" ref="W4" ca="1">INDIRECT("'results" &amp; $B4 &amp; "'!X$14")</f>
        <v>16.14543107470578</v>
      </c>
      <c r="X4" s="5" cm="1">
        <f t="array" aca="1" ref="X4" ca="1">INDIRECT("'results" &amp; $B4 &amp; "'!Y$14")</f>
        <v>32.040162933361358</v>
      </c>
      <c r="Y4" s="5" cm="1">
        <f t="array" aca="1" ref="Y4" ca="1">INDIRECT("'results" &amp; $B4 &amp; "'!Z$14")</f>
        <v>1861.472903486429</v>
      </c>
      <c r="Z4" s="5"/>
    </row>
    <row r="5" spans="2:26" x14ac:dyDescent="0.2">
      <c r="B5" s="4">
        <v>418</v>
      </c>
      <c r="C5" s="5" cm="1">
        <f t="array" aca="1" ref="C5" ca="1">INDIRECT("'results" &amp; $B5 &amp; "'!D$14")</f>
        <v>49203.056594199617</v>
      </c>
      <c r="D5" s="33" cm="1">
        <f t="array" aca="1" ref="D5" ca="1">INDIRECT("'results" &amp; $B5 &amp; "'!E$14")</f>
        <v>0.36342412500016508</v>
      </c>
      <c r="E5" s="5" cm="1">
        <f t="array" aca="1" ref="E5" ca="1">INDIRECT("'results" &amp; $B5 &amp; "'!F$14")</f>
        <v>2</v>
      </c>
      <c r="F5" s="5" cm="1">
        <f t="array" aca="1" ref="F5" ca="1">INDIRECT("'results" &amp; $B5 &amp; "'!G$14")</f>
        <v>90</v>
      </c>
      <c r="G5" s="5" cm="1">
        <f t="array" aca="1" ref="G5" ca="1">INDIRECT("'results" &amp; $B5 &amp; "'!H$14")</f>
        <v>0</v>
      </c>
      <c r="H5" s="33" cm="1">
        <f t="array" aca="1" ref="H5" ca="1">INDIRECT("'results" &amp; $B5 &amp; "'!I$14")</f>
        <v>17.673307726478505</v>
      </c>
      <c r="I5" s="5" cm="1">
        <f t="array" aca="1" ref="I5" ca="1">INDIRECT("'results" &amp; $B5 &amp; "'!J$14")</f>
        <v>1223.757261689542</v>
      </c>
      <c r="J5" s="5"/>
      <c r="K5" s="5" cm="1">
        <f t="array" aca="1" ref="K5" ca="1">INDIRECT("'results" &amp; $B5 &amp; "'!L$14")</f>
        <v>55744.935332613662</v>
      </c>
      <c r="L5" s="5" cm="1">
        <f t="array" aca="1" ref="L5" ca="1">INDIRECT("'results" &amp; $B5 &amp; "'!M$14")</f>
        <v>0.30416166699797031</v>
      </c>
      <c r="M5" s="5" cm="1">
        <f t="array" aca="1" ref="M5" ca="1">INDIRECT("'results" &amp; $B5 &amp; "'!N$14")</f>
        <v>2</v>
      </c>
      <c r="N5" s="5" cm="1">
        <f t="array" aca="1" ref="N5" ca="1">INDIRECT("'results" &amp; $B5 &amp; "'!O$14")</f>
        <v>80</v>
      </c>
      <c r="O5" s="5" cm="1">
        <f t="array" aca="1" ref="O5" ca="1">INDIRECT("'results" &amp; $B5 &amp; "'!P$14")</f>
        <v>0</v>
      </c>
      <c r="P5" s="5" cm="1">
        <f t="array" aca="1" ref="P5" ca="1">INDIRECT("'results" &amp; $B5 &amp; "'!Q$14")</f>
        <v>14.20033115150629</v>
      </c>
      <c r="Q5" s="5" cm="1">
        <f t="array" aca="1" ref="Q5" ca="1">INDIRECT("'results" &amp; $B5 &amp; "'!R$14")</f>
        <v>1120.5183756110309</v>
      </c>
      <c r="R5" s="5"/>
      <c r="S5" s="5" cm="1">
        <f t="array" aca="1" ref="S5" ca="1">INDIRECT("'results" &amp; $B5 &amp; "'!T$14")</f>
        <v>58160.612969583992</v>
      </c>
      <c r="T5" s="5" cm="1">
        <f t="array" aca="1" ref="T5" ca="1">INDIRECT("'results" &amp; $B5 &amp; "'!U$14")</f>
        <v>0.35175358299966319</v>
      </c>
      <c r="U5" s="5" cm="1">
        <f t="array" aca="1" ref="U5" ca="1">INDIRECT("'results" &amp; $B5 &amp; "'!V$14")</f>
        <v>2</v>
      </c>
      <c r="V5" s="5" cm="1">
        <f t="array" aca="1" ref="V5" ca="1">INDIRECT("'results" &amp; $B5 &amp; "'!W$14")</f>
        <v>90</v>
      </c>
      <c r="W5" s="5" cm="1">
        <f t="array" aca="1" ref="W5" ca="1">INDIRECT("'results" &amp; $B5 &amp; "'!X$14")</f>
        <v>11.300102036704869</v>
      </c>
      <c r="X5" s="5" cm="1">
        <f t="array" aca="1" ref="X5" ca="1">INDIRECT("'results" &amp; $B5 &amp; "'!Y$14")</f>
        <v>35.429729861174557</v>
      </c>
      <c r="Y5" s="5" cm="1">
        <f t="array" aca="1" ref="Y5" ca="1">INDIRECT("'results" &amp; $B5 &amp; "'!Z$14")</f>
        <v>1887.142768585441</v>
      </c>
      <c r="Z5" s="5"/>
    </row>
    <row r="6" spans="2:26" x14ac:dyDescent="0.2">
      <c r="B6" s="4">
        <v>466</v>
      </c>
      <c r="C6" s="5" cm="1">
        <f t="array" aca="1" ref="C6" ca="1">INDIRECT("'results" &amp; $B6 &amp; "'!D$14")</f>
        <v>50920.462020404622</v>
      </c>
      <c r="D6" s="33" cm="1">
        <f t="array" aca="1" ref="D6" ca="1">INDIRECT("'results" &amp; $B6 &amp; "'!E$14")</f>
        <v>0.26327862499965698</v>
      </c>
      <c r="E6" s="5" cm="1">
        <f t="array" aca="1" ref="E6" ca="1">INDIRECT("'results" &amp; $B6 &amp; "'!F$14")</f>
        <v>2</v>
      </c>
      <c r="F6" s="5" cm="1">
        <f t="array" aca="1" ref="F6" ca="1">INDIRECT("'results" &amp; $B6 &amp; "'!G$14")</f>
        <v>90</v>
      </c>
      <c r="G6" s="5" cm="1">
        <f t="array" aca="1" ref="G6" ca="1">INDIRECT("'results" &amp; $B6 &amp; "'!H$14")</f>
        <v>2.0095980618539975</v>
      </c>
      <c r="H6" s="33" cm="1">
        <f t="array" aca="1" ref="H6" ca="1">INDIRECT("'results" &amp; $B6 &amp; "'!I$14")</f>
        <v>28.875163782820579</v>
      </c>
      <c r="I6" s="5" cm="1">
        <f t="array" aca="1" ref="I6" ca="1">INDIRECT("'results" &amp; $B6 &amp; "'!J$14")</f>
        <v>1423.9372774318756</v>
      </c>
      <c r="J6" s="5"/>
      <c r="K6" s="5" cm="1">
        <f t="array" aca="1" ref="K6" ca="1">INDIRECT("'results" &amp; $B6 &amp; "'!L$14")</f>
        <v>65701.833190560399</v>
      </c>
      <c r="L6" s="5" cm="1">
        <f t="array" aca="1" ref="L6" ca="1">INDIRECT("'results" &amp; $B6 &amp; "'!M$14")</f>
        <v>0.17899708299955819</v>
      </c>
      <c r="M6" s="5" cm="1">
        <f t="array" aca="1" ref="M6" ca="1">INDIRECT("'results" &amp; $B6 &amp; "'!N$14")</f>
        <v>2</v>
      </c>
      <c r="N6" s="5" cm="1">
        <f t="array" aca="1" ref="N6" ca="1">INDIRECT("'results" &amp; $B6 &amp; "'!O$14")</f>
        <v>70</v>
      </c>
      <c r="O6" s="5" cm="1">
        <f t="array" aca="1" ref="O6" ca="1">INDIRECT("'results" &amp; $B6 &amp; "'!P$14")</f>
        <v>0</v>
      </c>
      <c r="P6" s="5" cm="1">
        <f t="array" aca="1" ref="P6" ca="1">INDIRECT("'results" &amp; $B6 &amp; "'!Q$14")</f>
        <v>20.529521780002735</v>
      </c>
      <c r="Q6" s="5" cm="1">
        <f t="array" aca="1" ref="Q6" ca="1">INDIRECT("'results" &amp; $B6 &amp; "'!R$14")</f>
        <v>1354.0251190554459</v>
      </c>
      <c r="R6" s="5"/>
      <c r="S6" s="5" cm="1">
        <f t="array" aca="1" ref="S6" ca="1">INDIRECT("'results" &amp; $B6 &amp; "'!T$14")</f>
        <v>58699.945966989188</v>
      </c>
      <c r="T6" s="5" cm="1">
        <f t="array" aca="1" ref="T6" ca="1">INDIRECT("'results" &amp; $B6 &amp; "'!U$14")</f>
        <v>0.18852620899997419</v>
      </c>
      <c r="U6" s="5" cm="1">
        <f t="array" aca="1" ref="U6" ca="1">INDIRECT("'results" &amp; $B6 &amp; "'!V$14")</f>
        <v>2</v>
      </c>
      <c r="V6" s="5" cm="1">
        <f t="array" aca="1" ref="V6" ca="1">INDIRECT("'results" &amp; $B6 &amp; "'!W$14")</f>
        <v>90</v>
      </c>
      <c r="W6" s="5" cm="1">
        <f t="array" aca="1" ref="W6" ca="1">INDIRECT("'results" &amp; $B6 &amp; "'!X$14")</f>
        <v>51.399692909885587</v>
      </c>
      <c r="X6" s="5" cm="1">
        <f t="array" aca="1" ref="X6" ca="1">INDIRECT("'results" &amp; $B6 &amp; "'!Y$14")</f>
        <v>56.963921048155299</v>
      </c>
      <c r="Y6" s="5" cm="1">
        <f t="array" aca="1" ref="Y6" ca="1">INDIRECT("'results" &amp; $B6 &amp; "'!Z$14")</f>
        <v>2054.1168591707019</v>
      </c>
      <c r="Z6" s="5"/>
    </row>
    <row r="7" spans="2:26" x14ac:dyDescent="0.2">
      <c r="B7" s="4">
        <v>575</v>
      </c>
      <c r="C7" s="5" cm="1">
        <f t="array" aca="1" ref="C7" ca="1">INDIRECT("'results" &amp; $B7 &amp; "'!D$14")</f>
        <v>53777.552548424981</v>
      </c>
      <c r="D7" s="33" cm="1">
        <f t="array" aca="1" ref="D7" ca="1">INDIRECT("'results" &amp; $B7 &amp; "'!E$14")</f>
        <v>0.21091362500010291</v>
      </c>
      <c r="E7" s="5" cm="1">
        <f t="array" aca="1" ref="E7" ca="1">INDIRECT("'results" &amp; $B7 &amp; "'!F$14")</f>
        <v>2</v>
      </c>
      <c r="F7" s="5" cm="1">
        <f t="array" aca="1" ref="F7" ca="1">INDIRECT("'results" &amp; $B7 &amp; "'!G$14")</f>
        <v>90</v>
      </c>
      <c r="G7" s="5" cm="1">
        <f t="array" aca="1" ref="G7" ca="1">INDIRECT("'results" &amp; $B7 &amp; "'!H$14")</f>
        <v>5.4397662561213007</v>
      </c>
      <c r="H7" s="33" cm="1">
        <f t="array" aca="1" ref="H7" ca="1">INDIRECT("'results" &amp; $B7 &amp; "'!I$14")</f>
        <v>18.36790525535087</v>
      </c>
      <c r="I7" s="5" cm="1">
        <f t="array" aca="1" ref="I7" ca="1">INDIRECT("'results" &amp; $B7 &amp; "'!J$14")</f>
        <v>1463.9088681082449</v>
      </c>
      <c r="J7" s="5"/>
      <c r="K7" s="5" cm="1">
        <f t="array" aca="1" ref="K7" ca="1">INDIRECT("'results" &amp; $B7 &amp; "'!L$14")</f>
        <v>56560.229267899529</v>
      </c>
      <c r="L7" s="5" cm="1">
        <f t="array" aca="1" ref="L7" ca="1">INDIRECT("'results" &amp; $B7 &amp; "'!M$14")</f>
        <v>0.20839904099921111</v>
      </c>
      <c r="M7" s="5" cm="1">
        <f t="array" aca="1" ref="M7" ca="1">INDIRECT("'results" &amp; $B7 &amp; "'!N$14")</f>
        <v>2</v>
      </c>
      <c r="N7" s="5" cm="1">
        <f t="array" aca="1" ref="N7" ca="1">INDIRECT("'results" &amp; $B7 &amp; "'!O$14")</f>
        <v>85</v>
      </c>
      <c r="O7" s="5" cm="1">
        <f t="array" aca="1" ref="O7" ca="1">INDIRECT("'results" &amp; $B7 &amp; "'!P$14")</f>
        <v>0</v>
      </c>
      <c r="P7" s="5" cm="1">
        <f t="array" aca="1" ref="P7" ca="1">INDIRECT("'results" &amp; $B7 &amp; "'!Q$14")</f>
        <v>17.75723066348505</v>
      </c>
      <c r="Q7" s="5" cm="1">
        <f t="array" aca="1" ref="Q7" ca="1">INDIRECT("'results" &amp; $B7 &amp; "'!R$14")</f>
        <v>1405.2594573815879</v>
      </c>
      <c r="R7" s="5"/>
      <c r="S7" s="5" cm="1">
        <f t="array" aca="1" ref="S7" ca="1">INDIRECT("'results" &amp; $B7 &amp; "'!T$14")</f>
        <v>61680.386365562023</v>
      </c>
      <c r="T7" s="5" cm="1">
        <f t="array" aca="1" ref="T7" ca="1">INDIRECT("'results" &amp; $B7 &amp; "'!U$14")</f>
        <v>0.21353133299999169</v>
      </c>
      <c r="U7" s="5" cm="1">
        <f t="array" aca="1" ref="U7" ca="1">INDIRECT("'results" &amp; $B7 &amp; "'!V$14")</f>
        <v>2</v>
      </c>
      <c r="V7" s="5" cm="1">
        <f t="array" aca="1" ref="V7" ca="1">INDIRECT("'results" &amp; $B7 &amp; "'!W$14")</f>
        <v>85</v>
      </c>
      <c r="W7" s="5" cm="1">
        <f t="array" aca="1" ref="W7" ca="1">INDIRECT("'results" &amp; $B7 &amp; "'!X$14")</f>
        <v>73.276502443711408</v>
      </c>
      <c r="X7" s="5" cm="1">
        <f t="array" aca="1" ref="X7" ca="1">INDIRECT("'results" &amp; $B7 &amp; "'!Y$14")</f>
        <v>25.215384922942619</v>
      </c>
      <c r="Y7" s="5" cm="1">
        <f t="array" aca="1" ref="Y7" ca="1">INDIRECT("'results" &amp; $B7 &amp; "'!Z$14")</f>
        <v>1759.6929857830501</v>
      </c>
      <c r="Z7" s="5"/>
    </row>
    <row r="8" spans="2:26" x14ac:dyDescent="0.2">
      <c r="B8" s="4">
        <v>594</v>
      </c>
      <c r="C8" s="5" cm="1">
        <f t="array" aca="1" ref="C8" ca="1">INDIRECT("'results" &amp; $B8 &amp; "'!D$14")</f>
        <v>55501.121768250829</v>
      </c>
      <c r="D8" s="33" cm="1">
        <f t="array" aca="1" ref="D8" ca="1">INDIRECT("'results" &amp; $B8 &amp; "'!E$14")</f>
        <v>0.26441045899991877</v>
      </c>
      <c r="E8" s="5" cm="1">
        <f t="array" aca="1" ref="E8" ca="1">INDIRECT("'results" &amp; $B8 &amp; "'!F$14")</f>
        <v>2</v>
      </c>
      <c r="F8" s="5" cm="1">
        <f t="array" aca="1" ref="F8" ca="1">INDIRECT("'results" &amp; $B8 &amp; "'!G$14")</f>
        <v>85</v>
      </c>
      <c r="G8" s="5" cm="1">
        <f t="array" aca="1" ref="G8" ca="1">INDIRECT("'results" &amp; $B8 &amp; "'!H$14")</f>
        <v>0</v>
      </c>
      <c r="H8" s="33" cm="1">
        <f t="array" aca="1" ref="H8" ca="1">INDIRECT("'results" &amp; $B8 &amp; "'!I$14")</f>
        <v>31.270511545843355</v>
      </c>
      <c r="I8" s="5" cm="1">
        <f t="array" aca="1" ref="I8" ca="1">INDIRECT("'results" &amp; $B8 &amp; "'!J$14")</f>
        <v>1540.5610533773049</v>
      </c>
      <c r="J8" s="5"/>
      <c r="K8" s="5" cm="1">
        <f t="array" aca="1" ref="K8" ca="1">INDIRECT("'results" &amp; $B8 &amp; "'!L$14")</f>
        <v>72496.657076823714</v>
      </c>
      <c r="L8" s="5" cm="1">
        <f t="array" aca="1" ref="L8" ca="1">INDIRECT("'results" &amp; $B8 &amp; "'!M$14")</f>
        <v>0.27487208400270902</v>
      </c>
      <c r="M8" s="5" cm="1">
        <f t="array" aca="1" ref="M8" ca="1">INDIRECT("'results" &amp; $B8 &amp; "'!N$14")</f>
        <v>2</v>
      </c>
      <c r="N8" s="5" cm="1">
        <f t="array" aca="1" ref="N8" ca="1">INDIRECT("'results" &amp; $B8 &amp; "'!O$14")</f>
        <v>60</v>
      </c>
      <c r="O8" s="5" cm="1">
        <f t="array" aca="1" ref="O8" ca="1">INDIRECT("'results" &amp; $B8 &amp; "'!P$14")</f>
        <v>0</v>
      </c>
      <c r="P8" s="5" cm="1">
        <f t="array" aca="1" ref="P8" ca="1">INDIRECT("'results" &amp; $B8 &amp; "'!Q$14")</f>
        <v>20.113012822057211</v>
      </c>
      <c r="Q8" s="5" cm="1">
        <f t="array" aca="1" ref="Q8" ca="1">INDIRECT("'results" &amp; $B8 &amp; "'!R$14")</f>
        <v>1304.8859096085009</v>
      </c>
      <c r="R8" s="5"/>
      <c r="S8" s="5" cm="1">
        <f t="array" aca="1" ref="S8" ca="1">INDIRECT("'results" &amp; $B8 &amp; "'!T$14")</f>
        <v>67387.299909539506</v>
      </c>
      <c r="T8" s="5" cm="1">
        <f t="array" aca="1" ref="T8" ca="1">INDIRECT("'results" &amp; $B8 &amp; "'!U$14")</f>
        <v>0.30686224999953993</v>
      </c>
      <c r="U8" s="5" cm="1">
        <f t="array" aca="1" ref="U8" ca="1">INDIRECT("'results" &amp; $B8 &amp; "'!V$14")</f>
        <v>2</v>
      </c>
      <c r="V8" s="5" cm="1">
        <f t="array" aca="1" ref="V8" ca="1">INDIRECT("'results" &amp; $B8 &amp; "'!W$14")</f>
        <v>75</v>
      </c>
      <c r="W8" s="5" cm="1">
        <f t="array" aca="1" ref="W8" ca="1">INDIRECT("'results" &amp; $B8 &amp; "'!X$14")</f>
        <v>32.496853278234717</v>
      </c>
      <c r="X8" s="5" cm="1">
        <f t="array" aca="1" ref="X8" ca="1">INDIRECT("'results" &amp; $B8 &amp; "'!Y$14")</f>
        <v>52.174914376263168</v>
      </c>
      <c r="Y8" s="5" cm="1">
        <f t="array" aca="1" ref="Y8" ca="1">INDIRECT("'results" &amp; $B8 &amp; "'!Z$14")</f>
        <v>2172.1174105471541</v>
      </c>
      <c r="Z8" s="5"/>
    </row>
    <row r="9" spans="2:26" x14ac:dyDescent="0.2">
      <c r="B9" s="4">
        <v>623</v>
      </c>
      <c r="C9" s="5" cm="1">
        <f t="array" aca="1" ref="C9" ca="1">INDIRECT("'results" &amp; $B9 &amp; "'!D$14")</f>
        <v>56362.025923255387</v>
      </c>
      <c r="D9" s="33" cm="1">
        <f t="array" aca="1" ref="D9" ca="1">INDIRECT("'results" &amp; $B9 &amp; "'!E$14")</f>
        <v>0.23990487499941079</v>
      </c>
      <c r="E9" s="5" cm="1">
        <f t="array" aca="1" ref="E9" ca="1">INDIRECT("'results" &amp; $B9 &amp; "'!F$14")</f>
        <v>2</v>
      </c>
      <c r="F9" s="5" cm="1">
        <f t="array" aca="1" ref="F9" ca="1">INDIRECT("'results" &amp; $B9 &amp; "'!G$14")</f>
        <v>85</v>
      </c>
      <c r="G9" s="5" cm="1">
        <f t="array" aca="1" ref="G9" ca="1">INDIRECT("'results" &amp; $B9 &amp; "'!H$14")</f>
        <v>0</v>
      </c>
      <c r="H9" s="33" cm="1">
        <f t="array" aca="1" ref="H9" ca="1">INDIRECT("'results" &amp; $B9 &amp; "'!I$14")</f>
        <v>28.21543360336463</v>
      </c>
      <c r="I9" s="5" cm="1">
        <f t="array" aca="1" ref="I9" ca="1">INDIRECT("'results" &amp; $B9 &amp; "'!J$14")</f>
        <v>1471.2125993134923</v>
      </c>
      <c r="J9" s="5"/>
      <c r="K9" s="5" cm="1">
        <f t="array" aca="1" ref="K9" ca="1">INDIRECT("'results" &amp; $B9 &amp; "'!L$14")</f>
        <v>67379.710958221694</v>
      </c>
      <c r="L9" s="5" cm="1">
        <f t="array" aca="1" ref="L9" ca="1">INDIRECT("'results" &amp; $B9 &amp; "'!M$14")</f>
        <v>0.19374475000222449</v>
      </c>
      <c r="M9" s="5" cm="1">
        <f t="array" aca="1" ref="M9" ca="1">INDIRECT("'results" &amp; $B9 &amp; "'!N$14")</f>
        <v>2</v>
      </c>
      <c r="N9" s="5" cm="1">
        <f t="array" aca="1" ref="N9" ca="1">INDIRECT("'results" &amp; $B9 &amp; "'!O$14")</f>
        <v>65</v>
      </c>
      <c r="O9" s="5" cm="1">
        <f t="array" aca="1" ref="O9" ca="1">INDIRECT("'results" &amp; $B9 &amp; "'!P$14")</f>
        <v>0</v>
      </c>
      <c r="P9" s="5" cm="1">
        <f t="array" aca="1" ref="P9" ca="1">INDIRECT("'results" &amp; $B9 &amp; "'!Q$14")</f>
        <v>21.666726408105713</v>
      </c>
      <c r="Q9" s="5" cm="1">
        <f t="array" aca="1" ref="Q9" ca="1">INDIRECT("'results" &amp; $B9 &amp; "'!R$14")</f>
        <v>1270.6876282538365</v>
      </c>
      <c r="R9" s="5"/>
      <c r="S9" s="5" cm="1">
        <f t="array" aca="1" ref="S9" ca="1">INDIRECT("'results" &amp; $B9 &amp; "'!T$14")</f>
        <v>63503.06841615423</v>
      </c>
      <c r="T9" s="5" cm="1">
        <f t="array" aca="1" ref="T9" ca="1">INDIRECT("'results" &amp; $B9 &amp; "'!U$14")</f>
        <v>0.23497095800121309</v>
      </c>
      <c r="U9" s="5" cm="1">
        <f t="array" aca="1" ref="U9" ca="1">INDIRECT("'results" &amp; $B9 &amp; "'!V$14")</f>
        <v>2</v>
      </c>
      <c r="V9" s="5" cm="1">
        <f t="array" aca="1" ref="V9" ca="1">INDIRECT("'results" &amp; $B9 &amp; "'!W$14")</f>
        <v>80</v>
      </c>
      <c r="W9" s="5" cm="1">
        <f t="array" aca="1" ref="W9" ca="1">INDIRECT("'results" &amp; $B9 &amp; "'!X$14")</f>
        <v>26.095753285562409</v>
      </c>
      <c r="X9" s="5" cm="1">
        <f t="array" aca="1" ref="X9" ca="1">INDIRECT("'results" &amp; $B9 &amp; "'!Y$14")</f>
        <v>45.072126558014659</v>
      </c>
      <c r="Y9" s="5" cm="1">
        <f t="array" aca="1" ref="Y9" ca="1">INDIRECT("'results" &amp; $B9 &amp; "'!Z$14")</f>
        <v>1884.5936191813889</v>
      </c>
      <c r="Z9" s="5"/>
    </row>
    <row r="10" spans="2:26" x14ac:dyDescent="0.2">
      <c r="B10" s="4">
        <v>870</v>
      </c>
      <c r="C10" s="5" cm="1">
        <f t="array" aca="1" ref="C10" ca="1">INDIRECT("'results" &amp; $B10 &amp; "'!D$14")</f>
        <v>61383.429584058693</v>
      </c>
      <c r="D10" s="33" cm="1">
        <f t="array" aca="1" ref="D10" ca="1">INDIRECT("'results" &amp; $B10 &amp; "'!E$14")</f>
        <v>0.45611987499978568</v>
      </c>
      <c r="E10" s="5" cm="1">
        <f t="array" aca="1" ref="E10" ca="1">INDIRECT("'results" &amp; $B10 &amp; "'!F$14")</f>
        <v>2</v>
      </c>
      <c r="F10" s="5" cm="1">
        <f t="array" aca="1" ref="F10" ca="1">INDIRECT("'results" &amp; $B10 &amp; "'!G$14")</f>
        <v>90</v>
      </c>
      <c r="G10" s="5" cm="1">
        <f t="array" aca="1" ref="G10" ca="1">INDIRECT("'results" &amp; $B10 &amp; "'!H$14")</f>
        <v>11.542058356880489</v>
      </c>
      <c r="H10" s="33" cm="1">
        <f t="array" aca="1" ref="H10" ca="1">INDIRECT("'results" &amp; $B10 &amp; "'!I$14")</f>
        <v>28.051907765875129</v>
      </c>
      <c r="I10" s="5" cm="1">
        <f t="array" aca="1" ref="I10" ca="1">INDIRECT("'results" &amp; $B10 &amp; "'!J$14")</f>
        <v>1990.3487838481992</v>
      </c>
      <c r="J10" s="5"/>
      <c r="K10" s="5" cm="1">
        <f t="array" aca="1" ref="K10" ca="1">INDIRECT("'results" &amp; $B10 &amp; "'!L$14")</f>
        <v>69327.869708972197</v>
      </c>
      <c r="L10" s="5" cm="1">
        <f t="array" aca="1" ref="L10" ca="1">INDIRECT("'results" &amp; $B10 &amp; "'!M$14")</f>
        <v>0.26170312500107679</v>
      </c>
      <c r="M10" s="5" cm="1">
        <f t="array" aca="1" ref="M10" ca="1">INDIRECT("'results" &amp; $B10 &amp; "'!N$14")</f>
        <v>2</v>
      </c>
      <c r="N10" s="5" cm="1">
        <f t="array" aca="1" ref="N10" ca="1">INDIRECT("'results" &amp; $B10 &amp; "'!O$14")</f>
        <v>70</v>
      </c>
      <c r="O10" s="5" cm="1">
        <f t="array" aca="1" ref="O10" ca="1">INDIRECT("'results" &amp; $B10 &amp; "'!P$14")</f>
        <v>0</v>
      </c>
      <c r="P10" s="5" cm="1">
        <f t="array" aca="1" ref="P10" ca="1">INDIRECT("'results" &amp; $B10 &amp; "'!Q$14")</f>
        <v>20.340709601516451</v>
      </c>
      <c r="Q10" s="5" cm="1">
        <f t="array" aca="1" ref="Q10" ca="1">INDIRECT("'results" &amp; $B10 &amp; "'!R$14")</f>
        <v>1596.6458098185019</v>
      </c>
      <c r="R10" s="5"/>
      <c r="S10" s="5" cm="1">
        <f t="array" aca="1" ref="S10" ca="1">INDIRECT("'results" &amp; $B10 &amp; "'!T$14")</f>
        <v>73797.250847909512</v>
      </c>
      <c r="T10" s="5" cm="1">
        <f t="array" aca="1" ref="T10" ca="1">INDIRECT("'results" &amp; $B10 &amp; "'!U$14")</f>
        <v>0.33854087500003521</v>
      </c>
      <c r="U10" s="5" cm="1">
        <f t="array" aca="1" ref="U10" ca="1">INDIRECT("'results" &amp; $B10 &amp; "'!V$14")</f>
        <v>2</v>
      </c>
      <c r="V10" s="5" cm="1">
        <f t="array" aca="1" ref="V10" ca="1">INDIRECT("'results" &amp; $B10 &amp; "'!W$14")</f>
        <v>70</v>
      </c>
      <c r="W10" s="5" cm="1">
        <f t="array" aca="1" ref="W10" ca="1">INDIRECT("'results" &amp; $B10 &amp; "'!X$14")</f>
        <v>4.8948367479456136</v>
      </c>
      <c r="X10" s="5" cm="1">
        <f t="array" aca="1" ref="X10" ca="1">INDIRECT("'results" &amp; $B10 &amp; "'!Y$14")</f>
        <v>32.373301973770708</v>
      </c>
      <c r="Y10" s="5" cm="1">
        <f t="array" aca="1" ref="Y10" ca="1">INDIRECT("'results" &amp; $B10 &amp; "'!Z$14")</f>
        <v>2107.7723747955511</v>
      </c>
      <c r="Z10" s="5"/>
    </row>
    <row r="11" spans="2:26" x14ac:dyDescent="0.2">
      <c r="B11" s="4">
        <v>883</v>
      </c>
      <c r="C11" s="5" cm="1">
        <f t="array" aca="1" ref="C11" ca="1">INDIRECT("'results" &amp; $B11 &amp; "'!D$14")</f>
        <v>68438.786562109191</v>
      </c>
      <c r="D11" s="33" cm="1">
        <f t="array" aca="1" ref="D11" ca="1">INDIRECT("'results" &amp; $B11 &amp; "'!E$14")</f>
        <v>0.26096649999999499</v>
      </c>
      <c r="E11" s="5" cm="1">
        <f t="array" aca="1" ref="E11" ca="1">INDIRECT("'results" &amp; $B11 &amp; "'!F$14")</f>
        <v>2</v>
      </c>
      <c r="F11" s="5" cm="1">
        <f t="array" aca="1" ref="F11" ca="1">INDIRECT("'results" &amp; $B11 &amp; "'!G$14")</f>
        <v>85</v>
      </c>
      <c r="G11" s="5" cm="1">
        <f t="array" aca="1" ref="G11" ca="1">INDIRECT("'results" &amp; $B11 &amp; "'!H$14")</f>
        <v>104.99148961235005</v>
      </c>
      <c r="H11" s="33" cm="1">
        <f t="array" aca="1" ref="H11" ca="1">INDIRECT("'results" &amp; $B11 &amp; "'!I$14")</f>
        <v>24.82540831276566</v>
      </c>
      <c r="I11" s="5" cm="1">
        <f t="array" aca="1" ref="I11" ca="1">INDIRECT("'results" &amp; $B11 &amp; "'!J$14")</f>
        <v>2198.2744395462264</v>
      </c>
      <c r="J11" s="5"/>
      <c r="K11" s="5" cm="1">
        <f t="array" aca="1" ref="K11" ca="1">INDIRECT("'results" &amp; $B11 &amp; "'!L$14")</f>
        <v>72330.920685118152</v>
      </c>
      <c r="L11" s="5" cm="1">
        <f t="array" aca="1" ref="L11" ca="1">INDIRECT("'results" &amp; $B11 &amp; "'!M$14")</f>
        <v>0.25786041700121132</v>
      </c>
      <c r="M11" s="5" cm="1">
        <f t="array" aca="1" ref="M11" ca="1">INDIRECT("'results" &amp; $B11 &amp; "'!N$14")</f>
        <v>2</v>
      </c>
      <c r="N11" s="5" cm="1">
        <f t="array" aca="1" ref="N11" ca="1">INDIRECT("'results" &amp; $B11 &amp; "'!O$14")</f>
        <v>70</v>
      </c>
      <c r="O11" s="5" cm="1">
        <f t="array" aca="1" ref="O11" ca="1">INDIRECT("'results" &amp; $B11 &amp; "'!P$14")</f>
        <v>30.602286016037169</v>
      </c>
      <c r="P11" s="5" cm="1">
        <f t="array" aca="1" ref="P11" ca="1">INDIRECT("'results" &amp; $B11 &amp; "'!Q$14")</f>
        <v>19.171071442581692</v>
      </c>
      <c r="Q11" s="5" cm="1">
        <f t="array" aca="1" ref="Q11" ca="1">INDIRECT("'results" &amp; $B11 &amp; "'!R$14")</f>
        <v>1834.848621687888</v>
      </c>
      <c r="R11" s="5"/>
      <c r="S11" s="5" cm="1">
        <f t="array" aca="1" ref="S11" ca="1">INDIRECT("'results" &amp; $B11 &amp; "'!T$14")</f>
        <v>78801.605463528496</v>
      </c>
      <c r="T11" s="5" cm="1">
        <f t="array" aca="1" ref="T11" ca="1">INDIRECT("'results" &amp; $B11 &amp; "'!U$14")</f>
        <v>0.39623916700293188</v>
      </c>
      <c r="U11" s="5" cm="1">
        <f t="array" aca="1" ref="U11" ca="1">INDIRECT("'results" &amp; $B11 &amp; "'!V$14")</f>
        <v>2</v>
      </c>
      <c r="V11" s="5" cm="1">
        <f t="array" aca="1" ref="V11" ca="1">INDIRECT("'results" &amp; $B11 &amp; "'!W$14")</f>
        <v>65</v>
      </c>
      <c r="W11" s="5" cm="1">
        <f t="array" aca="1" ref="W11" ca="1">INDIRECT("'results" &amp; $B11 &amp; "'!X$14")</f>
        <v>72.976555494180928</v>
      </c>
      <c r="X11" s="5" cm="1">
        <f t="array" aca="1" ref="X11" ca="1">INDIRECT("'results" &amp; $B11 &amp; "'!Y$14")</f>
        <v>28.91550990318574</v>
      </c>
      <c r="Y11" s="5" cm="1">
        <f t="array" aca="1" ref="Y11" ca="1">INDIRECT("'results" &amp; $B11 &amp; "'!Z$14")</f>
        <v>2143.9735757696772</v>
      </c>
      <c r="Z11" s="5"/>
    </row>
    <row r="12" spans="2:26" x14ac:dyDescent="0.2">
      <c r="B12" s="4">
        <v>935</v>
      </c>
      <c r="C12" s="5" cm="1">
        <f t="array" aca="1" ref="C12" ca="1">INDIRECT("'results" &amp; $B12 &amp; "'!D$14")</f>
        <v>63831.725391357919</v>
      </c>
      <c r="D12" s="33" cm="1">
        <f t="array" aca="1" ref="D12" ca="1">INDIRECT("'results" &amp; $B12 &amp; "'!E$14")</f>
        <v>0.41867737500069779</v>
      </c>
      <c r="E12" s="5" cm="1">
        <f t="array" aca="1" ref="E12" ca="1">INDIRECT("'results" &amp; $B12 &amp; "'!F$14")</f>
        <v>2</v>
      </c>
      <c r="F12" s="5" cm="1">
        <f t="array" aca="1" ref="F12" ca="1">INDIRECT("'results" &amp; $B12 &amp; "'!G$14")</f>
        <v>80</v>
      </c>
      <c r="G12" s="5" cm="1">
        <f t="array" aca="1" ref="G12" ca="1">INDIRECT("'results" &amp; $B12 &amp; "'!H$14")</f>
        <v>0</v>
      </c>
      <c r="H12" s="33" cm="1">
        <f t="array" aca="1" ref="H12" ca="1">INDIRECT("'results" &amp; $B12 &amp; "'!I$14")</f>
        <v>18.526762434924276</v>
      </c>
      <c r="I12" s="5" cm="1">
        <f t="array" aca="1" ref="I12" ca="1">INDIRECT("'results" &amp; $B12 &amp; "'!J$14")</f>
        <v>1668.2267721822759</v>
      </c>
      <c r="J12" s="5"/>
      <c r="K12" s="5" cm="1">
        <f t="array" aca="1" ref="K12" ca="1">INDIRECT("'results" &amp; $B12 &amp; "'!L$14")</f>
        <v>68179.729899526341</v>
      </c>
      <c r="L12" s="5" cm="1">
        <f t="array" aca="1" ref="L12" ca="1">INDIRECT("'results" &amp; $B12 &amp; "'!M$14")</f>
        <v>0.51127891600117437</v>
      </c>
      <c r="M12" s="5" cm="1">
        <f t="array" aca="1" ref="M12" ca="1">INDIRECT("'results" &amp; $B12 &amp; "'!N$14")</f>
        <v>2</v>
      </c>
      <c r="N12" s="5" cm="1">
        <f t="array" aca="1" ref="N12" ca="1">INDIRECT("'results" &amp; $B12 &amp; "'!O$14")</f>
        <v>70</v>
      </c>
      <c r="O12" s="5" cm="1">
        <f t="array" aca="1" ref="O12" ca="1">INDIRECT("'results" &amp; $B12 &amp; "'!P$14")</f>
        <v>0</v>
      </c>
      <c r="P12" s="5" cm="1">
        <f t="array" aca="1" ref="P12" ca="1">INDIRECT("'results" &amp; $B12 &amp; "'!Q$14")</f>
        <v>14.144316135678061</v>
      </c>
      <c r="Q12" s="5" cm="1">
        <f t="array" aca="1" ref="Q12" ca="1">INDIRECT("'results" &amp; $B12 &amp; "'!R$14")</f>
        <v>1461.4572462519891</v>
      </c>
      <c r="R12" s="5"/>
      <c r="S12" s="5" cm="1">
        <f t="array" aca="1" ref="S12" ca="1">INDIRECT("'results" &amp; $B12 &amp; "'!T$14")</f>
        <v>70746.957952492783</v>
      </c>
      <c r="T12" s="5" cm="1">
        <f t="array" aca="1" ref="T12" ca="1">INDIRECT("'results" &amp; $B12 &amp; "'!U$14")</f>
        <v>0.59292908399947919</v>
      </c>
      <c r="U12" s="5" cm="1">
        <f t="array" aca="1" ref="U12" ca="1">INDIRECT("'results" &amp; $B12 &amp; "'!V$14")</f>
        <v>2</v>
      </c>
      <c r="V12" s="5" cm="1">
        <f t="array" aca="1" ref="V12" ca="1">INDIRECT("'results" &amp; $B12 &amp; "'!W$14")</f>
        <v>75</v>
      </c>
      <c r="W12" s="5" cm="1">
        <f t="array" aca="1" ref="W12" ca="1">INDIRECT("'results" &amp; $B12 &amp; "'!X$14")</f>
        <v>5.27478201446044</v>
      </c>
      <c r="X12" s="5" cm="1">
        <f t="array" aca="1" ref="X12" ca="1">INDIRECT("'results" &amp; $B12 &amp; "'!Y$14")</f>
        <v>26.373575202523391</v>
      </c>
      <c r="Y12" s="5" cm="1">
        <f t="array" aca="1" ref="Y12" ca="1">INDIRECT("'results" &amp; $B12 &amp; "'!Z$14")</f>
        <v>1991.4018901619911</v>
      </c>
      <c r="Z12" s="5"/>
    </row>
    <row r="13" spans="2:26" x14ac:dyDescent="0.2">
      <c r="B13" s="8" t="s">
        <v>3</v>
      </c>
      <c r="C13" s="9">
        <f ca="1">AVERAGE(C3:C12)</f>
        <v>57683.299792592137</v>
      </c>
      <c r="D13" s="10">
        <f t="shared" ref="D13:I13" ca="1" si="0">AVERAGE(D3:D12)</f>
        <v>0.30483708340016163</v>
      </c>
      <c r="E13" s="9">
        <f t="shared" ca="1" si="0"/>
        <v>2</v>
      </c>
      <c r="F13" s="9">
        <f t="shared" ca="1" si="0"/>
        <v>87</v>
      </c>
      <c r="G13" s="9">
        <f t="shared" ca="1" si="0"/>
        <v>19.391576078793587</v>
      </c>
      <c r="H13" s="10">
        <f t="shared" ca="1" si="0"/>
        <v>23.762201562849217</v>
      </c>
      <c r="I13" s="9">
        <f t="shared" ca="1" si="0"/>
        <v>1647.1238346595551</v>
      </c>
      <c r="J13" s="32" t="e">
        <f ca="1">(C13-$D$15)/$D$15</f>
        <v>#DIV/0!</v>
      </c>
      <c r="K13" s="16">
        <f ca="1">AVERAGE(K3:K12)</f>
        <v>66410.129576780775</v>
      </c>
      <c r="L13" s="41">
        <f t="shared" ref="L13:Q13" ca="1" si="1">AVERAGE(L3:L12)</f>
        <v>0.26120748740031557</v>
      </c>
      <c r="M13" s="16">
        <f t="shared" ca="1" si="1"/>
        <v>2</v>
      </c>
      <c r="N13" s="16">
        <f ca="1">AVERAGE(N3:N12)</f>
        <v>70.5</v>
      </c>
      <c r="O13" s="16">
        <f t="shared" ca="1" si="1"/>
        <v>3.060228601603717</v>
      </c>
      <c r="P13" s="41">
        <f t="shared" ca="1" si="1"/>
        <v>17.690524423960547</v>
      </c>
      <c r="Q13" s="16">
        <f t="shared" ca="1" si="1"/>
        <v>1412.1056850012992</v>
      </c>
      <c r="R13" s="42" t="e">
        <f ca="1">(K13-$D$15)/$D$15</f>
        <v>#DIV/0!</v>
      </c>
      <c r="S13" s="38">
        <f ca="1">AVERAGE(S3:S12)</f>
        <v>67954.92826456562</v>
      </c>
      <c r="T13" s="43">
        <f t="shared" ref="T13:Y13" ca="1" si="2">AVERAGE(T3:T12)</f>
        <v>0.34773919180006485</v>
      </c>
      <c r="U13" s="38">
        <f t="shared" ca="1" si="2"/>
        <v>2</v>
      </c>
      <c r="V13" s="38">
        <f t="shared" ca="1" si="2"/>
        <v>77</v>
      </c>
      <c r="W13" s="38">
        <f t="shared" ca="1" si="2"/>
        <v>45.414815767074089</v>
      </c>
      <c r="X13" s="43">
        <f t="shared" ca="1" si="2"/>
        <v>36.347841216209069</v>
      </c>
      <c r="Y13" s="38">
        <f t="shared" ca="1" si="2"/>
        <v>2026.9250976382414</v>
      </c>
      <c r="Z13" s="44" t="e">
        <f ca="1">(S13-$D$15)/$D$15</f>
        <v>#DIV/0!</v>
      </c>
    </row>
    <row r="14" spans="2:26" x14ac:dyDescent="0.2">
      <c r="K14" s="45">
        <f ca="1">(K13-C13)/C13</f>
        <v>0.15128867134104843</v>
      </c>
      <c r="L14" s="45">
        <f t="shared" ref="L14:Q14" ca="1" si="3">(L13-D13)/D13</f>
        <v>-0.14312430598403675</v>
      </c>
      <c r="M14" s="45">
        <f t="shared" ca="1" si="3"/>
        <v>0</v>
      </c>
      <c r="N14" s="45">
        <f t="shared" ca="1" si="3"/>
        <v>-0.18965517241379309</v>
      </c>
      <c r="O14" s="45">
        <f t="shared" ca="1" si="3"/>
        <v>-0.84218773197345465</v>
      </c>
      <c r="P14" s="45">
        <f t="shared" ca="1" si="3"/>
        <v>-0.25551829121681113</v>
      </c>
      <c r="Q14" s="45">
        <f t="shared" ca="1" si="3"/>
        <v>-0.14268395897921779</v>
      </c>
      <c r="S14" s="45">
        <f ca="1">(S13-C13)/C13</f>
        <v>0.1780693633843152</v>
      </c>
      <c r="T14" s="45">
        <f t="shared" ref="T14:Y14" ca="1" si="4">(T13-D13)/D13</f>
        <v>0.14073782599338591</v>
      </c>
      <c r="U14" s="45">
        <f t="shared" ca="1" si="4"/>
        <v>0</v>
      </c>
      <c r="V14" s="45">
        <f ca="1">(V13-F13)/F13</f>
        <v>-0.11494252873563218</v>
      </c>
      <c r="W14" s="45">
        <f t="shared" ca="1" si="4"/>
        <v>1.341986828844677</v>
      </c>
      <c r="X14" s="45">
        <f t="shared" ca="1" si="4"/>
        <v>0.52964956214481185</v>
      </c>
      <c r="Y14" s="45">
        <f t="shared" ca="1" si="4"/>
        <v>0.23058452253967146</v>
      </c>
    </row>
    <row r="17" spans="2:19" ht="15" customHeight="1" x14ac:dyDescent="0.2">
      <c r="B17" s="1" t="s">
        <v>21</v>
      </c>
      <c r="C17">
        <f ca="1">_xlfn.STDEV.S(C3:C12)</f>
        <v>7102.3635669574169</v>
      </c>
      <c r="J17" s="1" t="s">
        <v>21</v>
      </c>
      <c r="K17">
        <f ca="1">_xlfn.STDEV.S(K3:K12)</f>
        <v>7556.3611173306172</v>
      </c>
      <c r="R17" s="1" t="s">
        <v>21</v>
      </c>
      <c r="S17">
        <f ca="1">_xlfn.STDEV.S(S3:S12)</f>
        <v>9271.9223200934448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AFEC-F5C9-C34A-8FE4-AA407CE81AD5}">
  <dimension ref="B1:AA17"/>
  <sheetViews>
    <sheetView zoomScale="110" zoomScaleNormal="110" workbookViewId="0">
      <selection activeCell="A17" sqref="A17:XFD32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>
        <f>(Q14-H14)/H14</f>
        <v>-0.76741042454051545</v>
      </c>
      <c r="J2" s="28">
        <f>(S14-J14)/J14</f>
        <v>-0.99991401940323321</v>
      </c>
      <c r="K2" s="28"/>
      <c r="L2" s="1" t="s">
        <v>19</v>
      </c>
      <c r="P2" s="1">
        <f>(P14-H14)/H14</f>
        <v>-1</v>
      </c>
      <c r="R2" s="1">
        <f>(R14-J14)/J14</f>
        <v>-0.23172186524779545</v>
      </c>
      <c r="T2" s="1" t="s">
        <v>20</v>
      </c>
      <c r="X2" s="1" t="e">
        <f>(X14-P14)/P14</f>
        <v>#DIV/0!</v>
      </c>
      <c r="Z2" s="1">
        <f>(Z14-R14)/R14</f>
        <v>0.6105844245853258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27</v>
      </c>
      <c r="D4" s="23">
        <v>67231.116754941177</v>
      </c>
      <c r="E4" s="33">
        <v>0.23749704200054109</v>
      </c>
      <c r="F4" s="5">
        <v>2</v>
      </c>
      <c r="G4" s="23">
        <v>80</v>
      </c>
      <c r="H4" s="33">
        <v>54.598725561277902</v>
      </c>
      <c r="I4" s="23">
        <v>19.591678648502928</v>
      </c>
      <c r="J4" s="5">
        <v>1945.2171671602314</v>
      </c>
      <c r="K4" s="31"/>
      <c r="L4" s="23">
        <v>78475.583750335412</v>
      </c>
      <c r="M4" s="33">
        <v>0.20200283299709551</v>
      </c>
      <c r="N4" s="5">
        <v>2</v>
      </c>
      <c r="O4" s="5">
        <v>55</v>
      </c>
      <c r="P4" s="33">
        <v>0</v>
      </c>
      <c r="Q4" s="5">
        <v>12.699094398926535</v>
      </c>
      <c r="R4" s="5">
        <v>1494.4678168738299</v>
      </c>
      <c r="S4" s="31"/>
      <c r="T4" s="23">
        <v>86137.200835863943</v>
      </c>
      <c r="U4" s="33">
        <v>0.87109591600165004</v>
      </c>
      <c r="V4" s="5">
        <v>2</v>
      </c>
      <c r="W4" s="5">
        <v>55</v>
      </c>
      <c r="X4" s="33">
        <v>176.55093055772221</v>
      </c>
      <c r="Y4" s="5">
        <v>29.293110919423381</v>
      </c>
      <c r="Z4" s="5">
        <v>2439.4931532457717</v>
      </c>
      <c r="AA4" s="35"/>
    </row>
    <row r="5" spans="2:27" x14ac:dyDescent="0.2">
      <c r="B5" s="4">
        <v>2</v>
      </c>
      <c r="C5" s="4">
        <v>338</v>
      </c>
      <c r="D5" s="23">
        <v>67231.116754941177</v>
      </c>
      <c r="E5" s="33">
        <v>0.26905054200142331</v>
      </c>
      <c r="F5" s="5">
        <v>2</v>
      </c>
      <c r="G5" s="23">
        <v>80</v>
      </c>
      <c r="H5" s="33">
        <v>54.598725561277902</v>
      </c>
      <c r="I5" s="23">
        <v>19.591678648502928</v>
      </c>
      <c r="J5" s="5">
        <v>1945.2171671602314</v>
      </c>
      <c r="K5" s="31"/>
      <c r="L5" s="23">
        <v>78475.583750335412</v>
      </c>
      <c r="M5" s="33">
        <v>0.17799495800136361</v>
      </c>
      <c r="N5" s="5">
        <v>2</v>
      </c>
      <c r="O5" s="5">
        <v>55</v>
      </c>
      <c r="P5" s="33">
        <v>0</v>
      </c>
      <c r="Q5" s="5">
        <v>12.699094398926535</v>
      </c>
      <c r="R5" s="5">
        <v>1494.4678168738299</v>
      </c>
      <c r="S5" s="31"/>
      <c r="T5" s="23">
        <v>85917.021425472893</v>
      </c>
      <c r="U5" s="33">
        <v>0.35937974999978911</v>
      </c>
      <c r="V5" s="5">
        <v>2</v>
      </c>
      <c r="W5" s="5">
        <v>55</v>
      </c>
      <c r="X5" s="33">
        <v>160.28764838534917</v>
      </c>
      <c r="Y5" s="5">
        <v>28.919785382699153</v>
      </c>
      <c r="Z5" s="5">
        <v>2406.9665889010253</v>
      </c>
      <c r="AA5" s="35"/>
    </row>
    <row r="6" spans="2:27" x14ac:dyDescent="0.2">
      <c r="B6" s="4">
        <v>3</v>
      </c>
      <c r="C6" s="4">
        <v>157</v>
      </c>
      <c r="D6" s="23">
        <v>67231.116754941177</v>
      </c>
      <c r="E6" s="33">
        <v>0.38660129200070509</v>
      </c>
      <c r="F6" s="5">
        <v>2</v>
      </c>
      <c r="G6" s="23">
        <v>80</v>
      </c>
      <c r="H6" s="33">
        <v>54.598725561277902</v>
      </c>
      <c r="I6" s="23">
        <v>19.591678648502928</v>
      </c>
      <c r="J6" s="5">
        <v>1945.2171671602314</v>
      </c>
      <c r="K6" s="31"/>
      <c r="L6" s="23">
        <v>78475.583750335412</v>
      </c>
      <c r="M6" s="33">
        <v>0.2465364159979799</v>
      </c>
      <c r="N6" s="5">
        <v>2</v>
      </c>
      <c r="O6" s="5">
        <v>55</v>
      </c>
      <c r="P6" s="33">
        <v>0</v>
      </c>
      <c r="Q6" s="5">
        <v>12.699094398926535</v>
      </c>
      <c r="R6" s="5">
        <v>1494.4678168738299</v>
      </c>
      <c r="S6" s="31"/>
      <c r="T6" s="23">
        <v>87267.135255927904</v>
      </c>
      <c r="U6" s="33">
        <v>0.3228953329999058</v>
      </c>
      <c r="V6" s="5">
        <v>2</v>
      </c>
      <c r="W6" s="5">
        <v>55</v>
      </c>
      <c r="X6" s="33">
        <v>57.369338887361621</v>
      </c>
      <c r="Y6" s="5">
        <v>31.732554356694962</v>
      </c>
      <c r="Z6" s="5">
        <v>2549.204958488353</v>
      </c>
      <c r="AA6" s="35"/>
    </row>
    <row r="7" spans="2:27" x14ac:dyDescent="0.2">
      <c r="B7" s="4">
        <v>4</v>
      </c>
      <c r="C7" s="4">
        <v>483</v>
      </c>
      <c r="D7" s="23">
        <v>67231.116754941177</v>
      </c>
      <c r="E7" s="33">
        <v>0.26846362499964022</v>
      </c>
      <c r="F7" s="5">
        <v>2</v>
      </c>
      <c r="G7" s="23">
        <v>80</v>
      </c>
      <c r="H7" s="33">
        <v>54.598725561277902</v>
      </c>
      <c r="I7" s="23">
        <v>19.591678648502928</v>
      </c>
      <c r="J7" s="5">
        <v>1945.2171671602314</v>
      </c>
      <c r="K7" s="31"/>
      <c r="L7" s="23">
        <v>78475.583750335412</v>
      </c>
      <c r="M7" s="33">
        <v>0.22477754200008351</v>
      </c>
      <c r="N7" s="5">
        <v>2</v>
      </c>
      <c r="O7" s="5">
        <v>55</v>
      </c>
      <c r="P7" s="33">
        <v>0</v>
      </c>
      <c r="Q7" s="5">
        <v>12.699094398926535</v>
      </c>
      <c r="R7" s="5">
        <v>1494.4678168738299</v>
      </c>
      <c r="S7" s="31"/>
      <c r="T7" s="23">
        <v>86758.635351455567</v>
      </c>
      <c r="U7" s="33">
        <v>0.47476620800080133</v>
      </c>
      <c r="V7" s="5">
        <v>2</v>
      </c>
      <c r="W7" s="5">
        <v>50</v>
      </c>
      <c r="X7" s="33">
        <v>111.9087076640777</v>
      </c>
      <c r="Y7" s="5">
        <v>24.098353267238416</v>
      </c>
      <c r="Z7" s="5">
        <v>2116.8222851041151</v>
      </c>
      <c r="AA7" s="35"/>
    </row>
    <row r="8" spans="2:27" x14ac:dyDescent="0.2">
      <c r="B8" s="4">
        <v>5</v>
      </c>
      <c r="C8" s="4">
        <v>489</v>
      </c>
      <c r="D8" s="23">
        <v>67231.116754941177</v>
      </c>
      <c r="E8" s="33">
        <v>0.24588545900041939</v>
      </c>
      <c r="F8" s="5">
        <v>2</v>
      </c>
      <c r="G8" s="23">
        <v>80</v>
      </c>
      <c r="H8" s="33">
        <v>54.598725561277902</v>
      </c>
      <c r="I8" s="23">
        <v>19.591678648502928</v>
      </c>
      <c r="J8" s="5">
        <v>1945.2171671602314</v>
      </c>
      <c r="K8" s="31"/>
      <c r="L8" s="23">
        <v>78475.583750335412</v>
      </c>
      <c r="M8" s="33">
        <v>0.27991204200225178</v>
      </c>
      <c r="N8" s="5">
        <v>2</v>
      </c>
      <c r="O8" s="5">
        <v>55</v>
      </c>
      <c r="P8" s="33">
        <v>0</v>
      </c>
      <c r="Q8" s="5">
        <v>12.699094398926535</v>
      </c>
      <c r="R8" s="5">
        <v>1494.4678168738299</v>
      </c>
      <c r="S8" s="31"/>
      <c r="T8" s="23">
        <v>85917.021425472893</v>
      </c>
      <c r="U8" s="33">
        <v>0.32588004199715209</v>
      </c>
      <c r="V8" s="5">
        <v>2</v>
      </c>
      <c r="W8" s="5">
        <v>55</v>
      </c>
      <c r="X8" s="33">
        <v>160.28764838534917</v>
      </c>
      <c r="Y8" s="5">
        <v>28.919785382699153</v>
      </c>
      <c r="Z8" s="5">
        <v>2406.9665889010253</v>
      </c>
      <c r="AA8" s="35"/>
    </row>
    <row r="9" spans="2:27" x14ac:dyDescent="0.2">
      <c r="B9" s="4">
        <v>6</v>
      </c>
      <c r="C9" s="4">
        <v>528</v>
      </c>
      <c r="D9" s="23">
        <v>67231.116754941177</v>
      </c>
      <c r="E9" s="33">
        <v>0.26659483399998862</v>
      </c>
      <c r="F9" s="5">
        <v>2</v>
      </c>
      <c r="G9" s="23">
        <v>80</v>
      </c>
      <c r="H9" s="33">
        <v>54.598725561277902</v>
      </c>
      <c r="I9" s="23">
        <v>19.591678648502928</v>
      </c>
      <c r="J9" s="5">
        <v>1945.2171671602314</v>
      </c>
      <c r="K9" s="31"/>
      <c r="L9" s="23">
        <v>78475.583750335412</v>
      </c>
      <c r="M9" s="33">
        <v>0.25320112500048708</v>
      </c>
      <c r="N9" s="5">
        <v>2</v>
      </c>
      <c r="O9" s="5">
        <v>55</v>
      </c>
      <c r="P9" s="33">
        <v>0</v>
      </c>
      <c r="Q9" s="5">
        <v>12.699094398926535</v>
      </c>
      <c r="R9" s="5">
        <v>1494.4678168738299</v>
      </c>
      <c r="S9" s="31"/>
      <c r="T9" s="23">
        <v>86103.886719978109</v>
      </c>
      <c r="U9" s="33">
        <v>0.27572391699868598</v>
      </c>
      <c r="V9" s="5">
        <v>2</v>
      </c>
      <c r="W9" s="5">
        <v>50</v>
      </c>
      <c r="X9" s="33">
        <v>110.7544384339681</v>
      </c>
      <c r="Y9" s="5">
        <v>22.85213564417441</v>
      </c>
      <c r="Z9" s="5">
        <v>2112.2052081836764</v>
      </c>
      <c r="AA9" s="35"/>
    </row>
    <row r="10" spans="2:27" x14ac:dyDescent="0.2">
      <c r="B10" s="4">
        <v>7</v>
      </c>
      <c r="C10" s="4">
        <v>578</v>
      </c>
      <c r="D10" s="23">
        <v>67231.116754941177</v>
      </c>
      <c r="E10" s="33">
        <v>0.28146512499915838</v>
      </c>
      <c r="F10" s="5">
        <v>2</v>
      </c>
      <c r="G10" s="23">
        <v>80</v>
      </c>
      <c r="H10" s="33">
        <v>54.598725561277902</v>
      </c>
      <c r="I10" s="23">
        <v>19.591678648502928</v>
      </c>
      <c r="J10" s="5">
        <v>1945.2171671602314</v>
      </c>
      <c r="K10" s="31"/>
      <c r="L10" s="23">
        <v>78475.583750335412</v>
      </c>
      <c r="M10" s="33">
        <v>0.22238624999954479</v>
      </c>
      <c r="N10" s="5">
        <v>2</v>
      </c>
      <c r="O10" s="5">
        <v>55</v>
      </c>
      <c r="P10" s="33">
        <v>0</v>
      </c>
      <c r="Q10" s="5">
        <v>12.699094398926535</v>
      </c>
      <c r="R10" s="5">
        <v>1494.4678168738299</v>
      </c>
      <c r="S10" s="31"/>
      <c r="T10" s="23">
        <v>86137.200835863943</v>
      </c>
      <c r="U10" s="33">
        <v>0.37907270900177542</v>
      </c>
      <c r="V10" s="5">
        <v>2</v>
      </c>
      <c r="W10" s="5">
        <v>55</v>
      </c>
      <c r="X10" s="33">
        <v>176.55093055772221</v>
      </c>
      <c r="Y10" s="5">
        <v>29.293110919423381</v>
      </c>
      <c r="Z10" s="5">
        <v>2439.4931532457717</v>
      </c>
      <c r="AA10" s="35"/>
    </row>
    <row r="11" spans="2:27" x14ac:dyDescent="0.2">
      <c r="B11" s="4">
        <v>8</v>
      </c>
      <c r="C11" s="4">
        <v>632</v>
      </c>
      <c r="D11" s="23">
        <v>67231.116754941177</v>
      </c>
      <c r="E11" s="33">
        <v>0.61472529200000281</v>
      </c>
      <c r="F11" s="5">
        <v>2</v>
      </c>
      <c r="G11" s="23">
        <v>80</v>
      </c>
      <c r="H11" s="33">
        <v>54.598725561277902</v>
      </c>
      <c r="I11" s="23">
        <v>19.591678648502928</v>
      </c>
      <c r="J11" s="5">
        <v>1945.2171671602314</v>
      </c>
      <c r="K11" s="31"/>
      <c r="L11" s="23">
        <v>78475.583750335412</v>
      </c>
      <c r="M11" s="33">
        <v>0.2386647089988401</v>
      </c>
      <c r="N11" s="5">
        <v>2</v>
      </c>
      <c r="O11" s="5">
        <v>55</v>
      </c>
      <c r="P11" s="33">
        <v>0</v>
      </c>
      <c r="Q11" s="5">
        <v>12.699094398926535</v>
      </c>
      <c r="R11" s="5">
        <v>1494.4678168738299</v>
      </c>
      <c r="S11" s="31"/>
      <c r="T11" s="23">
        <v>85917.021425472893</v>
      </c>
      <c r="U11" s="33">
        <v>0.47774920799929532</v>
      </c>
      <c r="V11" s="5">
        <v>2</v>
      </c>
      <c r="W11" s="5">
        <v>55</v>
      </c>
      <c r="X11" s="33">
        <v>160.28764838534917</v>
      </c>
      <c r="Y11" s="5">
        <v>28.919785382699153</v>
      </c>
      <c r="Z11" s="5">
        <v>2406.9665889010253</v>
      </c>
      <c r="AA11" s="35"/>
    </row>
    <row r="12" spans="2:27" x14ac:dyDescent="0.2">
      <c r="B12" s="4">
        <v>9</v>
      </c>
      <c r="C12" s="4">
        <v>664</v>
      </c>
      <c r="D12" s="23">
        <v>67231.116754941177</v>
      </c>
      <c r="E12" s="33">
        <v>0.27501041600044118</v>
      </c>
      <c r="F12" s="5">
        <v>2</v>
      </c>
      <c r="G12" s="23">
        <v>80</v>
      </c>
      <c r="H12" s="33">
        <v>54.598725561277902</v>
      </c>
      <c r="I12" s="23">
        <v>19.591678648502928</v>
      </c>
      <c r="J12" s="5">
        <v>1945.2171671602314</v>
      </c>
      <c r="K12" s="31"/>
      <c r="L12" s="23">
        <v>78475.583750335412</v>
      </c>
      <c r="M12" s="33">
        <v>0.23859149999771029</v>
      </c>
      <c r="N12" s="5">
        <v>2</v>
      </c>
      <c r="O12" s="5">
        <v>55</v>
      </c>
      <c r="P12" s="33">
        <v>0</v>
      </c>
      <c r="Q12" s="5">
        <v>12.699094398926535</v>
      </c>
      <c r="R12" s="5">
        <v>1494.4678168738299</v>
      </c>
      <c r="S12" s="31"/>
      <c r="T12" s="23">
        <v>86137.200835863943</v>
      </c>
      <c r="U12" s="33">
        <v>0.46933245800028089</v>
      </c>
      <c r="V12" s="5">
        <v>2</v>
      </c>
      <c r="W12" s="5">
        <v>55</v>
      </c>
      <c r="X12" s="33">
        <v>176.55093055772221</v>
      </c>
      <c r="Y12" s="5">
        <v>29.293110919423381</v>
      </c>
      <c r="Z12" s="5">
        <v>2439.4931532457717</v>
      </c>
      <c r="AA12" s="35"/>
    </row>
    <row r="13" spans="2:27" x14ac:dyDescent="0.2">
      <c r="B13" s="4">
        <v>10</v>
      </c>
      <c r="C13" s="4">
        <v>758</v>
      </c>
      <c r="D13" s="23">
        <v>67231.116754941177</v>
      </c>
      <c r="E13" s="33">
        <v>0.24233858300067371</v>
      </c>
      <c r="F13" s="5">
        <v>2</v>
      </c>
      <c r="G13" s="23">
        <v>80</v>
      </c>
      <c r="H13" s="33">
        <v>54.598725561277902</v>
      </c>
      <c r="I13" s="23">
        <v>19.591678648502928</v>
      </c>
      <c r="J13" s="5">
        <v>1945.2171671602314</v>
      </c>
      <c r="K13" s="31"/>
      <c r="L13" s="23">
        <v>78475.583750335412</v>
      </c>
      <c r="M13" s="33">
        <v>0.2166660420007247</v>
      </c>
      <c r="N13" s="5">
        <v>2</v>
      </c>
      <c r="O13" s="5">
        <v>55</v>
      </c>
      <c r="P13" s="33">
        <v>0</v>
      </c>
      <c r="Q13" s="5">
        <v>12.699094398926535</v>
      </c>
      <c r="R13" s="5">
        <v>1494.4678168738299</v>
      </c>
      <c r="S13" s="31"/>
      <c r="T13" s="23">
        <v>86848.438789747495</v>
      </c>
      <c r="U13" s="33">
        <v>0.67444575000263285</v>
      </c>
      <c r="V13" s="5">
        <v>2</v>
      </c>
      <c r="W13" s="5">
        <v>55</v>
      </c>
      <c r="X13" s="33">
        <v>175.4278931399943</v>
      </c>
      <c r="Y13" s="5">
        <v>29.742376765143469</v>
      </c>
      <c r="Z13" s="5">
        <v>2375.3041763106139</v>
      </c>
      <c r="AA13" s="35"/>
    </row>
    <row r="14" spans="2:27" x14ac:dyDescent="0.2">
      <c r="B14" s="46" t="s">
        <v>3</v>
      </c>
      <c r="C14" s="47"/>
      <c r="D14" s="9">
        <f>MIN(D4:D13)</f>
        <v>67231.116754941177</v>
      </c>
      <c r="E14" s="22">
        <f>INDEX(E4:E13, MATCH($D$14, D4:D13, 0))</f>
        <v>0.23749704200054109</v>
      </c>
      <c r="F14" s="9">
        <f>INDEX(F4:F13, MATCH($D$14, D4:D13, 0))</f>
        <v>2</v>
      </c>
      <c r="G14" s="9">
        <f>INDEX(G4:G13, MATCH($D$14, D4:D13, 0))</f>
        <v>80</v>
      </c>
      <c r="H14" s="22">
        <f>INDEX(H4:H13, MATCH($D$14, D4:D13, 0))</f>
        <v>54.598725561277902</v>
      </c>
      <c r="I14" s="22">
        <f>INDEX(I4:I13, MATCH($D$14, D4:D13, 0))</f>
        <v>19.591678648502928</v>
      </c>
      <c r="J14" s="22">
        <f>INDEX(J4:J13, MATCH($D$14, D4:D13, 0))</f>
        <v>1945.2171671602314</v>
      </c>
      <c r="K14" s="32">
        <f>(D14-$D$15)/$D$15</f>
        <v>0</v>
      </c>
      <c r="L14" s="16">
        <f>MIN(L4:L13)</f>
        <v>78475.583750335412</v>
      </c>
      <c r="M14" s="21">
        <f>INDEX(M4:M13, MATCH($L$14, L4:L13, 0))</f>
        <v>0.20200283299709551</v>
      </c>
      <c r="N14" s="16">
        <f>INDEX(N4:N13, MATCH($L$14, L4:L13, 0))</f>
        <v>2</v>
      </c>
      <c r="O14" s="16">
        <f>INDEX(O4:O13, MATCH($L$14, L4:L13, 0))</f>
        <v>55</v>
      </c>
      <c r="P14" s="21">
        <f>INDEX(P4:P13, MATCH($L$14, L4:L13, 0))</f>
        <v>0</v>
      </c>
      <c r="Q14" s="21">
        <f>INDEX(Q4:Q13, MATCH($L$14, L4:L13, 0))</f>
        <v>12.699094398926535</v>
      </c>
      <c r="R14" s="21">
        <f>INDEX(R4:R13, MATCH($L$14, L4:L13, 0))</f>
        <v>1494.4678168738299</v>
      </c>
      <c r="S14" s="36">
        <f>(L14-$D$15)/$D$15</f>
        <v>0.16725093287354653</v>
      </c>
      <c r="T14" s="38">
        <f>MIN(T4:T13)</f>
        <v>85917.021425472893</v>
      </c>
      <c r="U14" s="39">
        <f>INDEX(U4:U13, MATCH($T$14, T4:T13, 0))</f>
        <v>0.35937974999978911</v>
      </c>
      <c r="V14" s="38">
        <f>INDEX(V4:V13, MATCH($T$14, T4:T13, 0))</f>
        <v>2</v>
      </c>
      <c r="W14" s="38">
        <f>INDEX(W4:W13, MATCH($T$14, T4:T13, 0))</f>
        <v>55</v>
      </c>
      <c r="X14" s="39">
        <f>INDEX(X4:X13, MATCH($T$14, T4:T13, 0))</f>
        <v>160.28764838534917</v>
      </c>
      <c r="Y14" s="39">
        <f>INDEX(Y4:Y13, MATCH($T$14, T4:T13, 0))</f>
        <v>28.919785382699153</v>
      </c>
      <c r="Z14" s="39">
        <f>INDEX(Z4:Z13, MATCH($T$14, T4:T13, 0))</f>
        <v>2406.9665889010253</v>
      </c>
      <c r="AA14" s="40">
        <f>(T14-$D$15)/$D$15</f>
        <v>0.27793536047664102</v>
      </c>
    </row>
    <row r="15" spans="2:27" x14ac:dyDescent="0.2">
      <c r="C15" s="1" t="s">
        <v>17</v>
      </c>
      <c r="D15" s="34">
        <v>67231.116754941177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18:C1048576">
    <cfRule type="duplicateValues" dxfId="127" priority="7"/>
    <cfRule type="duplicateValues" dxfId="126" priority="8"/>
  </conditionalFormatting>
  <conditionalFormatting sqref="C14">
    <cfRule type="duplicateValues" dxfId="125" priority="1"/>
    <cfRule type="duplicateValues" dxfId="124" priority="2"/>
  </conditionalFormatting>
  <conditionalFormatting sqref="C17">
    <cfRule type="duplicateValues" dxfId="123" priority="3"/>
    <cfRule type="duplicateValues" dxfId="122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01CBE-0BC4-C042-991A-4E17C50D77B0}">
  <dimension ref="B1:AA17"/>
  <sheetViews>
    <sheetView zoomScale="110" zoomScaleNormal="110" workbookViewId="0">
      <selection activeCell="A17" sqref="A17:XFD32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>
        <f>(Q14-H14)/H14</f>
        <v>6.1895088492588582E-2</v>
      </c>
      <c r="J2" s="28">
        <f>(S14-J14)/J14</f>
        <v>-0.99990048038124502</v>
      </c>
      <c r="K2" s="28"/>
      <c r="L2" s="1" t="s">
        <v>19</v>
      </c>
      <c r="P2" s="1">
        <f>(P14-H14)/H14</f>
        <v>-1</v>
      </c>
      <c r="R2" s="1">
        <f>(R14-J14)/J14</f>
        <v>-0.17307172690383468</v>
      </c>
      <c r="T2" s="1" t="s">
        <v>20</v>
      </c>
      <c r="X2" s="1" t="e">
        <f>(X14-P14)/P14</f>
        <v>#DIV/0!</v>
      </c>
      <c r="Z2" s="1">
        <f>(Z14-R14)/R14</f>
        <v>0.45625431691631729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</v>
      </c>
      <c r="D4" s="23">
        <v>50183.720778918898</v>
      </c>
      <c r="E4" s="33">
        <v>0.33317833300134231</v>
      </c>
      <c r="F4" s="5">
        <v>2</v>
      </c>
      <c r="G4" s="23">
        <v>95</v>
      </c>
      <c r="H4" s="33">
        <v>15.334122939452142</v>
      </c>
      <c r="I4" s="23">
        <v>22.223936552566222</v>
      </c>
      <c r="J4" s="5">
        <v>1545.7941239381573</v>
      </c>
      <c r="K4" s="31"/>
      <c r="L4" s="23">
        <v>63292.365908379397</v>
      </c>
      <c r="M4" s="33">
        <v>0.18697379199875289</v>
      </c>
      <c r="N4" s="5">
        <v>2</v>
      </c>
      <c r="O4" s="5">
        <v>75</v>
      </c>
      <c r="P4" s="33">
        <v>0</v>
      </c>
      <c r="Q4" s="5">
        <v>16.220004170543135</v>
      </c>
      <c r="R4" s="5">
        <v>1401.4099958180939</v>
      </c>
      <c r="S4" s="31"/>
      <c r="T4" s="23">
        <v>60855.133328423413</v>
      </c>
      <c r="U4" s="33">
        <v>0.49465870899803122</v>
      </c>
      <c r="V4" s="5">
        <v>2</v>
      </c>
      <c r="W4" s="5">
        <v>85</v>
      </c>
      <c r="X4" s="33">
        <v>16.14543107470578</v>
      </c>
      <c r="Y4" s="5">
        <v>32.040162933361358</v>
      </c>
      <c r="Z4" s="5">
        <v>1861.472903486429</v>
      </c>
      <c r="AA4" s="35"/>
    </row>
    <row r="5" spans="2:27" x14ac:dyDescent="0.2">
      <c r="B5" s="4">
        <v>2</v>
      </c>
      <c r="C5" s="4">
        <v>239</v>
      </c>
      <c r="D5" s="23">
        <v>50183.720778918898</v>
      </c>
      <c r="E5" s="33">
        <v>0.23102474999905101</v>
      </c>
      <c r="F5" s="5">
        <v>2</v>
      </c>
      <c r="G5" s="23">
        <v>95</v>
      </c>
      <c r="H5" s="33">
        <v>15.334122939452142</v>
      </c>
      <c r="I5" s="23">
        <v>22.223936552566222</v>
      </c>
      <c r="J5" s="5">
        <v>1545.7941239381573</v>
      </c>
      <c r="K5" s="31"/>
      <c r="L5" s="23">
        <v>57903.825897736628</v>
      </c>
      <c r="M5" s="33">
        <v>0.2190549580009247</v>
      </c>
      <c r="N5" s="5">
        <v>2</v>
      </c>
      <c r="O5" s="5">
        <v>80</v>
      </c>
      <c r="P5" s="33">
        <v>0</v>
      </c>
      <c r="Q5" s="5">
        <v>16.283229835745765</v>
      </c>
      <c r="R5" s="5">
        <v>1278.2608654703802</v>
      </c>
      <c r="S5" s="31"/>
      <c r="T5" s="23">
        <v>60855.133328423413</v>
      </c>
      <c r="U5" s="33">
        <v>0.38494008400084567</v>
      </c>
      <c r="V5" s="5">
        <v>2</v>
      </c>
      <c r="W5" s="5">
        <v>85</v>
      </c>
      <c r="X5" s="33">
        <v>16.14543107470578</v>
      </c>
      <c r="Y5" s="5">
        <v>32.040162933361358</v>
      </c>
      <c r="Z5" s="5">
        <v>1861.472903486429</v>
      </c>
      <c r="AA5" s="35"/>
    </row>
    <row r="6" spans="2:27" x14ac:dyDescent="0.2">
      <c r="B6" s="4">
        <v>3</v>
      </c>
      <c r="C6" s="4">
        <v>270</v>
      </c>
      <c r="D6" s="23">
        <v>50183.720778918898</v>
      </c>
      <c r="E6" s="33">
        <v>0.25446941700101888</v>
      </c>
      <c r="F6" s="5">
        <v>2</v>
      </c>
      <c r="G6" s="23">
        <v>95</v>
      </c>
      <c r="H6" s="33">
        <v>15.334122939452142</v>
      </c>
      <c r="I6" s="23">
        <v>22.223936552566222</v>
      </c>
      <c r="J6" s="5">
        <v>1545.7941239381573</v>
      </c>
      <c r="K6" s="31"/>
      <c r="L6" s="23">
        <v>57903.825897736628</v>
      </c>
      <c r="M6" s="33">
        <v>0.2352932499998133</v>
      </c>
      <c r="N6" s="5">
        <v>2</v>
      </c>
      <c r="O6" s="5">
        <v>80</v>
      </c>
      <c r="P6" s="33">
        <v>0</v>
      </c>
      <c r="Q6" s="5">
        <v>16.283229835745765</v>
      </c>
      <c r="R6" s="5">
        <v>1278.2608654703802</v>
      </c>
      <c r="S6" s="31"/>
      <c r="T6" s="23">
        <v>60855.133328423413</v>
      </c>
      <c r="U6" s="33">
        <v>0.28694512500078417</v>
      </c>
      <c r="V6" s="5">
        <v>2</v>
      </c>
      <c r="W6" s="5">
        <v>85</v>
      </c>
      <c r="X6" s="33">
        <v>16.14543107470578</v>
      </c>
      <c r="Y6" s="5">
        <v>32.040162933361358</v>
      </c>
      <c r="Z6" s="5">
        <v>1861.472903486429</v>
      </c>
      <c r="AA6" s="35"/>
    </row>
    <row r="7" spans="2:27" x14ac:dyDescent="0.2">
      <c r="B7" s="4">
        <v>4</v>
      </c>
      <c r="C7" s="4">
        <v>328</v>
      </c>
      <c r="D7" s="23">
        <v>50183.720778918898</v>
      </c>
      <c r="E7" s="33">
        <v>0.28733154200017452</v>
      </c>
      <c r="F7" s="5">
        <v>2</v>
      </c>
      <c r="G7" s="23">
        <v>95</v>
      </c>
      <c r="H7" s="33">
        <v>15.334122939452142</v>
      </c>
      <c r="I7" s="23">
        <v>22.223936552566222</v>
      </c>
      <c r="J7" s="5">
        <v>1545.7941239381573</v>
      </c>
      <c r="K7" s="31"/>
      <c r="L7" s="23">
        <v>57903.825897736628</v>
      </c>
      <c r="M7" s="33">
        <v>0.27338308400067041</v>
      </c>
      <c r="N7" s="5">
        <v>2</v>
      </c>
      <c r="O7" s="5">
        <v>80</v>
      </c>
      <c r="P7" s="33">
        <v>0</v>
      </c>
      <c r="Q7" s="5">
        <v>16.283229835745765</v>
      </c>
      <c r="R7" s="5">
        <v>1278.2608654703802</v>
      </c>
      <c r="S7" s="31"/>
      <c r="T7" s="23">
        <v>62113.881616452403</v>
      </c>
      <c r="U7" s="33">
        <v>0.51430041600178811</v>
      </c>
      <c r="V7" s="5">
        <v>2</v>
      </c>
      <c r="W7" s="5">
        <v>85</v>
      </c>
      <c r="X7" s="33">
        <v>23.455090177105291</v>
      </c>
      <c r="Y7" s="5">
        <v>35.942531067248147</v>
      </c>
      <c r="Z7" s="5">
        <v>2013.15029303594</v>
      </c>
      <c r="AA7" s="35"/>
    </row>
    <row r="8" spans="2:27" x14ac:dyDescent="0.2">
      <c r="B8" s="4">
        <v>5</v>
      </c>
      <c r="C8" s="4">
        <v>347</v>
      </c>
      <c r="D8" s="23">
        <v>50183.720778918898</v>
      </c>
      <c r="E8" s="33">
        <v>0.42205074999947101</v>
      </c>
      <c r="F8" s="5">
        <v>2</v>
      </c>
      <c r="G8" s="23">
        <v>95</v>
      </c>
      <c r="H8" s="33">
        <v>15.334122939452142</v>
      </c>
      <c r="I8" s="23">
        <v>22.223936552566222</v>
      </c>
      <c r="J8" s="5">
        <v>1545.7941239381573</v>
      </c>
      <c r="K8" s="31"/>
      <c r="L8" s="23">
        <v>59998.938386091533</v>
      </c>
      <c r="M8" s="33">
        <v>0.39061091700204997</v>
      </c>
      <c r="N8" s="5">
        <v>2</v>
      </c>
      <c r="O8" s="5">
        <v>75</v>
      </c>
      <c r="P8" s="33">
        <v>0</v>
      </c>
      <c r="Q8" s="5">
        <v>14.87034772494207</v>
      </c>
      <c r="R8" s="5">
        <v>1171.5416698024662</v>
      </c>
      <c r="S8" s="31"/>
      <c r="T8" s="23">
        <v>61878.498337039171</v>
      </c>
      <c r="U8" s="33">
        <v>0.26920404200063791</v>
      </c>
      <c r="V8" s="5">
        <v>2</v>
      </c>
      <c r="W8" s="5">
        <v>85</v>
      </c>
      <c r="X8" s="33">
        <v>19.283009996038562</v>
      </c>
      <c r="Y8" s="5">
        <v>32.299968450374337</v>
      </c>
      <c r="Z8" s="5">
        <v>1886.5735348570911</v>
      </c>
      <c r="AA8" s="35"/>
    </row>
    <row r="9" spans="2:27" x14ac:dyDescent="0.2">
      <c r="B9" s="4">
        <v>6</v>
      </c>
      <c r="C9" s="4">
        <v>379</v>
      </c>
      <c r="D9" s="23">
        <v>50183.720778918898</v>
      </c>
      <c r="E9" s="33">
        <v>0.32241179100128647</v>
      </c>
      <c r="F9" s="5">
        <v>2</v>
      </c>
      <c r="G9" s="23">
        <v>95</v>
      </c>
      <c r="H9" s="33">
        <v>15.334122939452142</v>
      </c>
      <c r="I9" s="23">
        <v>22.223936552566222</v>
      </c>
      <c r="J9" s="5">
        <v>1545.7941239381573</v>
      </c>
      <c r="K9" s="31"/>
      <c r="L9" s="23">
        <v>59998.938386091533</v>
      </c>
      <c r="M9" s="33">
        <v>0.36746495800252887</v>
      </c>
      <c r="N9" s="5">
        <v>2</v>
      </c>
      <c r="O9" s="5">
        <v>75</v>
      </c>
      <c r="P9" s="33">
        <v>0</v>
      </c>
      <c r="Q9" s="5">
        <v>14.87034772494207</v>
      </c>
      <c r="R9" s="5">
        <v>1171.5416698024662</v>
      </c>
      <c r="S9" s="31"/>
      <c r="T9" s="23">
        <v>60855.133328423413</v>
      </c>
      <c r="U9" s="33">
        <v>0.58309749999898486</v>
      </c>
      <c r="V9" s="5">
        <v>2</v>
      </c>
      <c r="W9" s="5">
        <v>85</v>
      </c>
      <c r="X9" s="33">
        <v>16.14543107470578</v>
      </c>
      <c r="Y9" s="5">
        <v>32.040162933361358</v>
      </c>
      <c r="Z9" s="5">
        <v>1861.472903486429</v>
      </c>
      <c r="AA9" s="35"/>
    </row>
    <row r="10" spans="2:27" x14ac:dyDescent="0.2">
      <c r="B10" s="4">
        <v>7</v>
      </c>
      <c r="C10" s="4">
        <v>397</v>
      </c>
      <c r="D10" s="23">
        <v>50183.720778918898</v>
      </c>
      <c r="E10" s="33">
        <v>0.27018887499980337</v>
      </c>
      <c r="F10" s="5">
        <v>2</v>
      </c>
      <c r="G10" s="23">
        <v>95</v>
      </c>
      <c r="H10" s="33">
        <v>15.334122939452142</v>
      </c>
      <c r="I10" s="23">
        <v>22.223936552566222</v>
      </c>
      <c r="J10" s="5">
        <v>1545.7941239381573</v>
      </c>
      <c r="K10" s="31"/>
      <c r="L10" s="23">
        <v>57903.825897736628</v>
      </c>
      <c r="M10" s="33">
        <v>0.3524942909971287</v>
      </c>
      <c r="N10" s="5">
        <v>2</v>
      </c>
      <c r="O10" s="5">
        <v>80</v>
      </c>
      <c r="P10" s="33">
        <v>0</v>
      </c>
      <c r="Q10" s="5">
        <v>16.283229835745765</v>
      </c>
      <c r="R10" s="5">
        <v>1278.2608654703802</v>
      </c>
      <c r="S10" s="31"/>
      <c r="T10" s="23">
        <v>60855.133328423413</v>
      </c>
      <c r="U10" s="33">
        <v>0.2624962920017424</v>
      </c>
      <c r="V10" s="5">
        <v>2</v>
      </c>
      <c r="W10" s="5">
        <v>85</v>
      </c>
      <c r="X10" s="33">
        <v>16.14543107470578</v>
      </c>
      <c r="Y10" s="5">
        <v>32.040162933361358</v>
      </c>
      <c r="Z10" s="5">
        <v>1861.472903486429</v>
      </c>
      <c r="AA10" s="35"/>
    </row>
    <row r="11" spans="2:27" x14ac:dyDescent="0.2">
      <c r="B11" s="4">
        <v>8</v>
      </c>
      <c r="C11" s="4">
        <v>442</v>
      </c>
      <c r="D11" s="23">
        <v>50183.720778918898</v>
      </c>
      <c r="E11" s="33">
        <v>0.38719825000043778</v>
      </c>
      <c r="F11" s="5">
        <v>2</v>
      </c>
      <c r="G11" s="23">
        <v>95</v>
      </c>
      <c r="H11" s="33">
        <v>15.334122939452142</v>
      </c>
      <c r="I11" s="23">
        <v>22.223936552566222</v>
      </c>
      <c r="J11" s="5">
        <v>1545.7941239381573</v>
      </c>
      <c r="K11" s="31"/>
      <c r="L11" s="23">
        <v>57903.825897736628</v>
      </c>
      <c r="M11" s="33">
        <v>0.32140804200025741</v>
      </c>
      <c r="N11" s="5">
        <v>2</v>
      </c>
      <c r="O11" s="5">
        <v>80</v>
      </c>
      <c r="P11" s="33">
        <v>0</v>
      </c>
      <c r="Q11" s="5">
        <v>16.283229835745765</v>
      </c>
      <c r="R11" s="5">
        <v>1278.2608654703802</v>
      </c>
      <c r="S11" s="31"/>
      <c r="T11" s="23">
        <v>60855.133328423413</v>
      </c>
      <c r="U11" s="33">
        <v>0.41175295799985179</v>
      </c>
      <c r="V11" s="5">
        <v>2</v>
      </c>
      <c r="W11" s="5">
        <v>85</v>
      </c>
      <c r="X11" s="33">
        <v>16.14543107470578</v>
      </c>
      <c r="Y11" s="5">
        <v>32.040162933361358</v>
      </c>
      <c r="Z11" s="5">
        <v>1861.472903486429</v>
      </c>
      <c r="AA11" s="35"/>
    </row>
    <row r="12" spans="2:27" x14ac:dyDescent="0.2">
      <c r="B12" s="4">
        <v>9</v>
      </c>
      <c r="C12" s="4">
        <v>505</v>
      </c>
      <c r="D12" s="23">
        <v>50183.720778918898</v>
      </c>
      <c r="E12" s="33">
        <v>0.32077933300024603</v>
      </c>
      <c r="F12" s="5">
        <v>2</v>
      </c>
      <c r="G12" s="23">
        <v>95</v>
      </c>
      <c r="H12" s="33">
        <v>15.334122939452142</v>
      </c>
      <c r="I12" s="23">
        <v>22.223936552566222</v>
      </c>
      <c r="J12" s="5">
        <v>1545.7941239381573</v>
      </c>
      <c r="K12" s="31"/>
      <c r="L12" s="23">
        <v>59998.938386091533</v>
      </c>
      <c r="M12" s="33">
        <v>0.22506975000214879</v>
      </c>
      <c r="N12" s="5">
        <v>2</v>
      </c>
      <c r="O12" s="5">
        <v>75</v>
      </c>
      <c r="P12" s="33">
        <v>0</v>
      </c>
      <c r="Q12" s="5">
        <v>14.87034772494207</v>
      </c>
      <c r="R12" s="5">
        <v>1171.5416698024662</v>
      </c>
      <c r="S12" s="31"/>
      <c r="T12" s="23">
        <v>60855.133328423413</v>
      </c>
      <c r="U12" s="33">
        <v>0.22638787499818139</v>
      </c>
      <c r="V12" s="5">
        <v>2</v>
      </c>
      <c r="W12" s="5">
        <v>85</v>
      </c>
      <c r="X12" s="33">
        <v>16.14543107470578</v>
      </c>
      <c r="Y12" s="5">
        <v>32.040162933361358</v>
      </c>
      <c r="Z12" s="5">
        <v>1861.472903486429</v>
      </c>
      <c r="AA12" s="35"/>
    </row>
    <row r="13" spans="2:27" x14ac:dyDescent="0.2">
      <c r="B13" s="4">
        <v>10</v>
      </c>
      <c r="C13" s="4">
        <v>600</v>
      </c>
      <c r="D13" s="23">
        <v>50183.720778918898</v>
      </c>
      <c r="E13" s="33">
        <v>0.23338308399979721</v>
      </c>
      <c r="F13" s="5">
        <v>2</v>
      </c>
      <c r="G13" s="23">
        <v>95</v>
      </c>
      <c r="H13" s="33">
        <v>15.334122939452142</v>
      </c>
      <c r="I13" s="23">
        <v>22.223936552566222</v>
      </c>
      <c r="J13" s="5">
        <v>1545.7941239381573</v>
      </c>
      <c r="K13" s="31"/>
      <c r="L13" s="23">
        <v>59998.938386091533</v>
      </c>
      <c r="M13" s="33">
        <v>0.22721433300102939</v>
      </c>
      <c r="N13" s="5">
        <v>2</v>
      </c>
      <c r="O13" s="5">
        <v>75</v>
      </c>
      <c r="P13" s="33">
        <v>0</v>
      </c>
      <c r="Q13" s="5">
        <v>14.87034772494207</v>
      </c>
      <c r="R13" s="5">
        <v>1171.5416698024662</v>
      </c>
      <c r="S13" s="31"/>
      <c r="T13" s="23">
        <v>60855.133328423413</v>
      </c>
      <c r="U13" s="33">
        <v>0.31201791700004827</v>
      </c>
      <c r="V13" s="5">
        <v>2</v>
      </c>
      <c r="W13" s="5">
        <v>85</v>
      </c>
      <c r="X13" s="33">
        <v>16.14543107470578</v>
      </c>
      <c r="Y13" s="5">
        <v>32.040162933361358</v>
      </c>
      <c r="Z13" s="5">
        <v>1861.472903486429</v>
      </c>
      <c r="AA13" s="35"/>
    </row>
    <row r="14" spans="2:27" x14ac:dyDescent="0.2">
      <c r="B14" s="46" t="s">
        <v>3</v>
      </c>
      <c r="C14" s="47"/>
      <c r="D14" s="9">
        <f>MIN(D4:D13)</f>
        <v>50183.720778918898</v>
      </c>
      <c r="E14" s="22">
        <f>INDEX(E4:E13, MATCH($D$14, D4:D13, 0))</f>
        <v>0.33317833300134231</v>
      </c>
      <c r="F14" s="9">
        <f>INDEX(F4:F13, MATCH($D$14, D4:D13, 0))</f>
        <v>2</v>
      </c>
      <c r="G14" s="9">
        <f>INDEX(G4:G13, MATCH($D$14, D4:D13, 0))</f>
        <v>95</v>
      </c>
      <c r="H14" s="22">
        <f>INDEX(H4:H13, MATCH($D$14, D4:D13, 0))</f>
        <v>15.334122939452142</v>
      </c>
      <c r="I14" s="22">
        <f>INDEX(I4:I13, MATCH($D$14, D4:D13, 0))</f>
        <v>22.223936552566222</v>
      </c>
      <c r="J14" s="22">
        <f>INDEX(J4:J13, MATCH($D$14, D4:D13, 0))</f>
        <v>1545.7941239381573</v>
      </c>
      <c r="K14" s="32">
        <f>(D14-$D$15)/$D$15</f>
        <v>0</v>
      </c>
      <c r="L14" s="16">
        <f>MIN(L4:L13)</f>
        <v>57903.825897736628</v>
      </c>
      <c r="M14" s="21">
        <f>INDEX(M4:M13, MATCH($L$14, L4:L13, 0))</f>
        <v>0.2190549580009247</v>
      </c>
      <c r="N14" s="16">
        <f>INDEX(N4:N13, MATCH($L$14, L4:L13, 0))</f>
        <v>2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16.283229835745765</v>
      </c>
      <c r="R14" s="21">
        <f>INDEX(R4:R13, MATCH($L$14, L4:L13, 0))</f>
        <v>1278.2608654703802</v>
      </c>
      <c r="S14" s="36">
        <f>(L14-$D$15)/$D$15</f>
        <v>0.15383684188799288</v>
      </c>
      <c r="T14" s="38">
        <f>MIN(T4:T13)</f>
        <v>60855.133328423413</v>
      </c>
      <c r="U14" s="39">
        <f>INDEX(U4:U13, MATCH($T$14, T4:T13, 0))</f>
        <v>0.49465870899803122</v>
      </c>
      <c r="V14" s="38">
        <f>INDEX(V4:V13, MATCH($T$14, T4:T13, 0))</f>
        <v>2</v>
      </c>
      <c r="W14" s="38">
        <f>INDEX(W4:W13, MATCH($T$14, T4:T13, 0))</f>
        <v>85</v>
      </c>
      <c r="X14" s="39">
        <f>INDEX(X4:X13, MATCH($T$14, T4:T13, 0))</f>
        <v>16.14543107470578</v>
      </c>
      <c r="Y14" s="39">
        <f>INDEX(Y4:Y13, MATCH($T$14, T4:T13, 0))</f>
        <v>32.040162933361358</v>
      </c>
      <c r="Z14" s="39">
        <f>INDEX(Z4:Z13, MATCH($T$14, T4:T13, 0))</f>
        <v>1861.472903486429</v>
      </c>
      <c r="AA14" s="40">
        <f>(T14-$D$15)/$D$15</f>
        <v>0.21264689791569513</v>
      </c>
    </row>
    <row r="15" spans="2:27" x14ac:dyDescent="0.2">
      <c r="C15" s="1" t="s">
        <v>17</v>
      </c>
      <c r="D15" s="34">
        <v>50183.720778918898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3:C1048576">
    <cfRule type="duplicateValues" dxfId="121" priority="11"/>
    <cfRule type="duplicateValues" dxfId="120" priority="12"/>
  </conditionalFormatting>
  <conditionalFormatting sqref="C14">
    <cfRule type="duplicateValues" dxfId="119" priority="5"/>
    <cfRule type="duplicateValues" dxfId="118" priority="6"/>
  </conditionalFormatting>
  <conditionalFormatting sqref="C18:C32">
    <cfRule type="duplicateValues" dxfId="35" priority="3"/>
    <cfRule type="duplicateValues" dxfId="34" priority="4"/>
  </conditionalFormatting>
  <conditionalFormatting sqref="C17">
    <cfRule type="duplicateValues" dxfId="33" priority="1"/>
    <cfRule type="duplicateValues" dxfId="32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7EBFF-A3F6-EA4F-A79A-36D5D906217B}">
  <dimension ref="B1:AA17"/>
  <sheetViews>
    <sheetView zoomScale="110" zoomScaleNormal="110" workbookViewId="0">
      <selection activeCell="A17" sqref="A17:XFD32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 t="e">
        <f>(Q14-H14)/H14</f>
        <v>#DIV/0!</v>
      </c>
      <c r="J2" s="28">
        <f>(S14-J14)/J14</f>
        <v>-0.99989135365393711</v>
      </c>
      <c r="K2" s="28"/>
      <c r="L2" s="1" t="s">
        <v>19</v>
      </c>
      <c r="P2" s="1" t="e">
        <f>(P14-H14)/H14</f>
        <v>#DIV/0!</v>
      </c>
      <c r="R2" s="1">
        <f>(R14-J14)/J14</f>
        <v>-8.4362225508658115E-2</v>
      </c>
      <c r="T2" s="1" t="s">
        <v>20</v>
      </c>
      <c r="X2" s="1" t="e">
        <f>(X14-P14)/P14</f>
        <v>#DIV/0!</v>
      </c>
      <c r="Z2" s="1">
        <f>(Z14-R14)/R14</f>
        <v>0.68416940735698462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25</v>
      </c>
      <c r="D4" s="23">
        <v>49203.056594199617</v>
      </c>
      <c r="E4" s="33">
        <v>0.36342412500016508</v>
      </c>
      <c r="F4" s="5">
        <v>2</v>
      </c>
      <c r="G4" s="23">
        <v>90</v>
      </c>
      <c r="H4" s="33">
        <v>0</v>
      </c>
      <c r="I4" s="23">
        <v>17.673307726478505</v>
      </c>
      <c r="J4" s="5">
        <v>1223.757261689542</v>
      </c>
      <c r="K4" s="31"/>
      <c r="L4" s="23">
        <v>55744.935332613662</v>
      </c>
      <c r="M4" s="33">
        <v>0.30416166699797031</v>
      </c>
      <c r="N4" s="5">
        <v>2</v>
      </c>
      <c r="O4" s="5">
        <v>80</v>
      </c>
      <c r="P4" s="33">
        <v>0</v>
      </c>
      <c r="Q4" s="5">
        <v>14.20033115150629</v>
      </c>
      <c r="R4" s="5">
        <v>1120.5183756110309</v>
      </c>
      <c r="S4" s="31"/>
      <c r="T4" s="23">
        <v>58160.612969583992</v>
      </c>
      <c r="U4" s="33">
        <v>0.35175358299966319</v>
      </c>
      <c r="V4" s="5">
        <v>2</v>
      </c>
      <c r="W4" s="5">
        <v>90</v>
      </c>
      <c r="X4" s="33">
        <v>11.300102036704869</v>
      </c>
      <c r="Y4" s="5">
        <v>35.429729861174557</v>
      </c>
      <c r="Z4" s="5">
        <v>1887.142768585441</v>
      </c>
      <c r="AA4" s="35"/>
    </row>
    <row r="5" spans="2:27" x14ac:dyDescent="0.2">
      <c r="B5" s="4">
        <v>2</v>
      </c>
      <c r="C5" s="4">
        <v>211</v>
      </c>
      <c r="D5" s="23">
        <v>49203.056594199617</v>
      </c>
      <c r="E5" s="33">
        <v>0.42856683299942228</v>
      </c>
      <c r="F5" s="5">
        <v>2</v>
      </c>
      <c r="G5" s="23">
        <v>90</v>
      </c>
      <c r="H5" s="33">
        <v>0</v>
      </c>
      <c r="I5" s="23">
        <v>17.673307726478505</v>
      </c>
      <c r="J5" s="5">
        <v>1223.757261689542</v>
      </c>
      <c r="K5" s="31"/>
      <c r="L5" s="23">
        <v>55744.935332613662</v>
      </c>
      <c r="M5" s="33">
        <v>0.32082675000128802</v>
      </c>
      <c r="N5" s="5">
        <v>2</v>
      </c>
      <c r="O5" s="5">
        <v>80</v>
      </c>
      <c r="P5" s="33">
        <v>0</v>
      </c>
      <c r="Q5" s="5">
        <v>14.20033115150629</v>
      </c>
      <c r="R5" s="5">
        <v>1120.5183756110309</v>
      </c>
      <c r="S5" s="31"/>
      <c r="T5" s="23">
        <v>58160.612969583992</v>
      </c>
      <c r="U5" s="33">
        <v>0.34220333299890632</v>
      </c>
      <c r="V5" s="5">
        <v>2</v>
      </c>
      <c r="W5" s="5">
        <v>90</v>
      </c>
      <c r="X5" s="33">
        <v>11.300102036704869</v>
      </c>
      <c r="Y5" s="5">
        <v>35.429729861174557</v>
      </c>
      <c r="Z5" s="5">
        <v>1887.142768585441</v>
      </c>
      <c r="AA5" s="35"/>
    </row>
    <row r="6" spans="2:27" x14ac:dyDescent="0.2">
      <c r="B6" s="4">
        <v>3</v>
      </c>
      <c r="C6" s="4">
        <v>686</v>
      </c>
      <c r="D6" s="23">
        <v>49203.056594199617</v>
      </c>
      <c r="E6" s="33">
        <v>0.2912454159995832</v>
      </c>
      <c r="F6" s="5">
        <v>2</v>
      </c>
      <c r="G6" s="23">
        <v>90</v>
      </c>
      <c r="H6" s="33">
        <v>0</v>
      </c>
      <c r="I6" s="23">
        <v>17.673307726478505</v>
      </c>
      <c r="J6" s="5">
        <v>1223.757261689542</v>
      </c>
      <c r="K6" s="31"/>
      <c r="L6" s="23">
        <v>55744.935332613662</v>
      </c>
      <c r="M6" s="33">
        <v>0.2222824579985172</v>
      </c>
      <c r="N6" s="5">
        <v>2</v>
      </c>
      <c r="O6" s="5">
        <v>80</v>
      </c>
      <c r="P6" s="33">
        <v>0</v>
      </c>
      <c r="Q6" s="5">
        <v>14.20033115150629</v>
      </c>
      <c r="R6" s="5">
        <v>1120.5183756110309</v>
      </c>
      <c r="S6" s="31"/>
      <c r="T6" s="23">
        <v>58160.612969583992</v>
      </c>
      <c r="U6" s="33">
        <v>0.33637858300062362</v>
      </c>
      <c r="V6" s="5">
        <v>2</v>
      </c>
      <c r="W6" s="5">
        <v>90</v>
      </c>
      <c r="X6" s="33">
        <v>11.300102036704869</v>
      </c>
      <c r="Y6" s="5">
        <v>35.429729861174557</v>
      </c>
      <c r="Z6" s="5">
        <v>1887.142768585441</v>
      </c>
      <c r="AA6" s="35"/>
    </row>
    <row r="7" spans="2:27" x14ac:dyDescent="0.2">
      <c r="B7" s="4">
        <v>4</v>
      </c>
      <c r="C7" s="4">
        <v>706</v>
      </c>
      <c r="D7" s="23">
        <v>49203.056594199617</v>
      </c>
      <c r="E7" s="33">
        <v>0.44325029199899291</v>
      </c>
      <c r="F7" s="5">
        <v>2</v>
      </c>
      <c r="G7" s="23">
        <v>90</v>
      </c>
      <c r="H7" s="33">
        <v>0</v>
      </c>
      <c r="I7" s="23">
        <v>17.673307726478505</v>
      </c>
      <c r="J7" s="5">
        <v>1223.757261689542</v>
      </c>
      <c r="K7" s="31"/>
      <c r="L7" s="23">
        <v>55744.935332613662</v>
      </c>
      <c r="M7" s="33">
        <v>0.28241254100066732</v>
      </c>
      <c r="N7" s="5">
        <v>2</v>
      </c>
      <c r="O7" s="5">
        <v>80</v>
      </c>
      <c r="P7" s="33">
        <v>0</v>
      </c>
      <c r="Q7" s="5">
        <v>14.20033115150629</v>
      </c>
      <c r="R7" s="5">
        <v>1120.5183756110309</v>
      </c>
      <c r="S7" s="31"/>
      <c r="T7" s="23">
        <v>58160.612969583992</v>
      </c>
      <c r="U7" s="33">
        <v>0.317998708000232</v>
      </c>
      <c r="V7" s="5">
        <v>2</v>
      </c>
      <c r="W7" s="5">
        <v>90</v>
      </c>
      <c r="X7" s="33">
        <v>11.300102036704869</v>
      </c>
      <c r="Y7" s="5">
        <v>35.429729861174557</v>
      </c>
      <c r="Z7" s="5">
        <v>1887.142768585441</v>
      </c>
      <c r="AA7" s="35"/>
    </row>
    <row r="8" spans="2:27" x14ac:dyDescent="0.2">
      <c r="B8" s="4">
        <v>5</v>
      </c>
      <c r="C8" s="4">
        <v>726</v>
      </c>
      <c r="D8" s="23">
        <v>49203.056594199617</v>
      </c>
      <c r="E8" s="33">
        <v>0.25147187499896972</v>
      </c>
      <c r="F8" s="5">
        <v>2</v>
      </c>
      <c r="G8" s="23">
        <v>90</v>
      </c>
      <c r="H8" s="33">
        <v>0</v>
      </c>
      <c r="I8" s="23">
        <v>17.673307726478505</v>
      </c>
      <c r="J8" s="5">
        <v>1223.757261689542</v>
      </c>
      <c r="K8" s="31"/>
      <c r="L8" s="23">
        <v>55744.935332613662</v>
      </c>
      <c r="M8" s="33">
        <v>0.28183912500026048</v>
      </c>
      <c r="N8" s="5">
        <v>2</v>
      </c>
      <c r="O8" s="5">
        <v>80</v>
      </c>
      <c r="P8" s="33">
        <v>0</v>
      </c>
      <c r="Q8" s="5">
        <v>14.20033115150629</v>
      </c>
      <c r="R8" s="5">
        <v>1120.5183756110309</v>
      </c>
      <c r="S8" s="31"/>
      <c r="T8" s="23">
        <v>58160.612969583992</v>
      </c>
      <c r="U8" s="33">
        <v>0.28714516699983511</v>
      </c>
      <c r="V8" s="5">
        <v>2</v>
      </c>
      <c r="W8" s="5">
        <v>90</v>
      </c>
      <c r="X8" s="33">
        <v>11.300102036704869</v>
      </c>
      <c r="Y8" s="5">
        <v>35.429729861174557</v>
      </c>
      <c r="Z8" s="5">
        <v>1887.142768585441</v>
      </c>
      <c r="AA8" s="35"/>
    </row>
    <row r="9" spans="2:27" x14ac:dyDescent="0.2">
      <c r="B9" s="4">
        <v>6</v>
      </c>
      <c r="C9" s="4">
        <v>779</v>
      </c>
      <c r="D9" s="23">
        <v>49203.056594199617</v>
      </c>
      <c r="E9" s="33">
        <v>0.36628412500067498</v>
      </c>
      <c r="F9" s="5">
        <v>2</v>
      </c>
      <c r="G9" s="23">
        <v>90</v>
      </c>
      <c r="H9" s="33">
        <v>0</v>
      </c>
      <c r="I9" s="23">
        <v>17.673307726478505</v>
      </c>
      <c r="J9" s="5">
        <v>1223.757261689542</v>
      </c>
      <c r="K9" s="31"/>
      <c r="L9" s="23">
        <v>55744.935332613662</v>
      </c>
      <c r="M9" s="33">
        <v>0.34142725000128848</v>
      </c>
      <c r="N9" s="5">
        <v>2</v>
      </c>
      <c r="O9" s="5">
        <v>80</v>
      </c>
      <c r="P9" s="33">
        <v>0</v>
      </c>
      <c r="Q9" s="5">
        <v>14.20033115150629</v>
      </c>
      <c r="R9" s="5">
        <v>1120.5183756110309</v>
      </c>
      <c r="S9" s="31"/>
      <c r="T9" s="23">
        <v>58160.612969583992</v>
      </c>
      <c r="U9" s="33">
        <v>0.24840154200137479</v>
      </c>
      <c r="V9" s="5">
        <v>2</v>
      </c>
      <c r="W9" s="5">
        <v>90</v>
      </c>
      <c r="X9" s="33">
        <v>11.300102036704869</v>
      </c>
      <c r="Y9" s="5">
        <v>35.429729861174557</v>
      </c>
      <c r="Z9" s="5">
        <v>1887.142768585441</v>
      </c>
      <c r="AA9" s="35"/>
    </row>
    <row r="10" spans="2:27" x14ac:dyDescent="0.2">
      <c r="B10" s="4">
        <v>7</v>
      </c>
      <c r="C10" s="4">
        <v>830</v>
      </c>
      <c r="D10" s="23">
        <v>49203.056594199617</v>
      </c>
      <c r="E10" s="33">
        <v>0.1739506670000992</v>
      </c>
      <c r="F10" s="5">
        <v>2</v>
      </c>
      <c r="G10" s="23">
        <v>90</v>
      </c>
      <c r="H10" s="33">
        <v>0</v>
      </c>
      <c r="I10" s="23">
        <v>17.673307726478505</v>
      </c>
      <c r="J10" s="5">
        <v>1223.757261689542</v>
      </c>
      <c r="K10" s="31"/>
      <c r="L10" s="23">
        <v>55744.935332613662</v>
      </c>
      <c r="M10" s="33">
        <v>0.19362920799903799</v>
      </c>
      <c r="N10" s="5">
        <v>2</v>
      </c>
      <c r="O10" s="5">
        <v>80</v>
      </c>
      <c r="P10" s="33">
        <v>0</v>
      </c>
      <c r="Q10" s="5">
        <v>14.20033115150629</v>
      </c>
      <c r="R10" s="5">
        <v>1120.5183756110309</v>
      </c>
      <c r="S10" s="31"/>
      <c r="T10" s="23">
        <v>58160.612969583992</v>
      </c>
      <c r="U10" s="33">
        <v>0.27330624999740388</v>
      </c>
      <c r="V10" s="5">
        <v>2</v>
      </c>
      <c r="W10" s="5">
        <v>90</v>
      </c>
      <c r="X10" s="33">
        <v>11.300102036704869</v>
      </c>
      <c r="Y10" s="5">
        <v>35.429729861174557</v>
      </c>
      <c r="Z10" s="5">
        <v>1887.142768585441</v>
      </c>
      <c r="AA10" s="35"/>
    </row>
    <row r="11" spans="2:27" x14ac:dyDescent="0.2">
      <c r="B11" s="4">
        <v>8</v>
      </c>
      <c r="C11" s="4">
        <v>911</v>
      </c>
      <c r="D11" s="23">
        <v>49203.056594199617</v>
      </c>
      <c r="E11" s="33">
        <v>0.2913212499988731</v>
      </c>
      <c r="F11" s="5">
        <v>2</v>
      </c>
      <c r="G11" s="23">
        <v>90</v>
      </c>
      <c r="H11" s="33">
        <v>0</v>
      </c>
      <c r="I11" s="23">
        <v>17.673307726478505</v>
      </c>
      <c r="J11" s="5">
        <v>1223.757261689542</v>
      </c>
      <c r="K11" s="31"/>
      <c r="L11" s="23">
        <v>55744.935332613662</v>
      </c>
      <c r="M11" s="33">
        <v>0.34340116699968348</v>
      </c>
      <c r="N11" s="5">
        <v>2</v>
      </c>
      <c r="O11" s="5">
        <v>80</v>
      </c>
      <c r="P11" s="33">
        <v>0</v>
      </c>
      <c r="Q11" s="5">
        <v>14.20033115150629</v>
      </c>
      <c r="R11" s="5">
        <v>1120.5183756110309</v>
      </c>
      <c r="S11" s="31"/>
      <c r="T11" s="23">
        <v>58160.612969583992</v>
      </c>
      <c r="U11" s="33">
        <v>0.47876520800127759</v>
      </c>
      <c r="V11" s="5">
        <v>2</v>
      </c>
      <c r="W11" s="5">
        <v>90</v>
      </c>
      <c r="X11" s="33">
        <v>11.300102036704869</v>
      </c>
      <c r="Y11" s="5">
        <v>35.429729861174557</v>
      </c>
      <c r="Z11" s="5">
        <v>1887.142768585441</v>
      </c>
      <c r="AA11" s="35"/>
    </row>
    <row r="12" spans="2:27" x14ac:dyDescent="0.2">
      <c r="B12" s="4">
        <v>9</v>
      </c>
      <c r="C12" s="4">
        <v>981</v>
      </c>
      <c r="D12" s="23">
        <v>49203.056594199617</v>
      </c>
      <c r="E12" s="33">
        <v>0.1651178329993854</v>
      </c>
      <c r="F12" s="5">
        <v>2</v>
      </c>
      <c r="G12" s="23">
        <v>90</v>
      </c>
      <c r="H12" s="33">
        <v>0</v>
      </c>
      <c r="I12" s="23">
        <v>17.673307726478505</v>
      </c>
      <c r="J12" s="5">
        <v>1223.757261689542</v>
      </c>
      <c r="K12" s="31"/>
      <c r="L12" s="23">
        <v>55744.935332613662</v>
      </c>
      <c r="M12" s="33">
        <v>0.21312558399949921</v>
      </c>
      <c r="N12" s="5">
        <v>2</v>
      </c>
      <c r="O12" s="5">
        <v>80</v>
      </c>
      <c r="P12" s="33">
        <v>0</v>
      </c>
      <c r="Q12" s="5">
        <v>14.20033115150629</v>
      </c>
      <c r="R12" s="5">
        <v>1120.5183756110309</v>
      </c>
      <c r="S12" s="31"/>
      <c r="T12" s="23">
        <v>58160.612969583992</v>
      </c>
      <c r="U12" s="33">
        <v>0.26338583300093887</v>
      </c>
      <c r="V12" s="5">
        <v>2</v>
      </c>
      <c r="W12" s="5">
        <v>90</v>
      </c>
      <c r="X12" s="33">
        <v>11.300102036704869</v>
      </c>
      <c r="Y12" s="5">
        <v>35.429729861174557</v>
      </c>
      <c r="Z12" s="5">
        <v>1887.142768585441</v>
      </c>
      <c r="AA12" s="35"/>
    </row>
    <row r="13" spans="2:27" x14ac:dyDescent="0.2">
      <c r="B13" s="4">
        <v>10</v>
      </c>
      <c r="C13" s="4">
        <v>990</v>
      </c>
      <c r="D13" s="23">
        <v>49203.056594199617</v>
      </c>
      <c r="E13" s="33">
        <v>0.1931970419991558</v>
      </c>
      <c r="F13" s="5">
        <v>2</v>
      </c>
      <c r="G13" s="23">
        <v>90</v>
      </c>
      <c r="H13" s="33">
        <v>0</v>
      </c>
      <c r="I13" s="23">
        <v>17.673307726478505</v>
      </c>
      <c r="J13" s="5">
        <v>1223.757261689542</v>
      </c>
      <c r="K13" s="31"/>
      <c r="L13" s="23">
        <v>57536.11041280668</v>
      </c>
      <c r="M13" s="33">
        <v>0.31816054199953209</v>
      </c>
      <c r="N13" s="5">
        <v>2</v>
      </c>
      <c r="O13" s="5">
        <v>80</v>
      </c>
      <c r="P13" s="33">
        <v>0</v>
      </c>
      <c r="Q13" s="5">
        <v>14.51329358795696</v>
      </c>
      <c r="R13" s="5">
        <v>1220.365727976339</v>
      </c>
      <c r="S13" s="31"/>
      <c r="T13" s="23">
        <v>58160.612969583992</v>
      </c>
      <c r="U13" s="33">
        <v>0.2120279579976341</v>
      </c>
      <c r="V13" s="5">
        <v>2</v>
      </c>
      <c r="W13" s="5">
        <v>90</v>
      </c>
      <c r="X13" s="33">
        <v>11.300102036704869</v>
      </c>
      <c r="Y13" s="5">
        <v>35.429729861174557</v>
      </c>
      <c r="Z13" s="5">
        <v>1887.142768585441</v>
      </c>
      <c r="AA13" s="35"/>
    </row>
    <row r="14" spans="2:27" x14ac:dyDescent="0.2">
      <c r="B14" s="46" t="s">
        <v>3</v>
      </c>
      <c r="C14" s="47"/>
      <c r="D14" s="9">
        <f>MIN(D4:D13)</f>
        <v>49203.056594199617</v>
      </c>
      <c r="E14" s="22">
        <f>INDEX(E4:E13, MATCH($D$14, D4:D13, 0))</f>
        <v>0.36342412500016508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0</v>
      </c>
      <c r="I14" s="22">
        <f>INDEX(I4:I13, MATCH($D$14, D4:D13, 0))</f>
        <v>17.673307726478505</v>
      </c>
      <c r="J14" s="22">
        <f>INDEX(J4:J13, MATCH($D$14, D4:D13, 0))</f>
        <v>1223.757261689542</v>
      </c>
      <c r="K14" s="32">
        <f>(D14-$D$15)/$D$15</f>
        <v>0</v>
      </c>
      <c r="L14" s="16">
        <f>MIN(L4:L13)</f>
        <v>55744.935332613662</v>
      </c>
      <c r="M14" s="21">
        <f>INDEX(M4:M13, MATCH($L$14, L4:L13, 0))</f>
        <v>0.30416166699797031</v>
      </c>
      <c r="N14" s="16">
        <f>INDEX(N4:N13, MATCH($L$14, L4:L13, 0))</f>
        <v>2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14.20033115150629</v>
      </c>
      <c r="R14" s="21">
        <f>INDEX(R4:R13, MATCH($L$14, L4:L13, 0))</f>
        <v>1120.5183756110309</v>
      </c>
      <c r="S14" s="36">
        <f>(L14-$D$15)/$D$15</f>
        <v>0.13295675495057038</v>
      </c>
      <c r="T14" s="38">
        <f>MIN(T4:T13)</f>
        <v>58160.612969583992</v>
      </c>
      <c r="U14" s="39">
        <f>INDEX(U4:U13, MATCH($T$14, T4:T13, 0))</f>
        <v>0.35175358299966319</v>
      </c>
      <c r="V14" s="38">
        <f>INDEX(V4:V13, MATCH($T$14, T4:T13, 0))</f>
        <v>2</v>
      </c>
      <c r="W14" s="38">
        <f>INDEX(W4:W13, MATCH($T$14, T4:T13, 0))</f>
        <v>90</v>
      </c>
      <c r="X14" s="39">
        <f>INDEX(X4:X13, MATCH($T$14, T4:T13, 0))</f>
        <v>11.300102036704869</v>
      </c>
      <c r="Y14" s="39">
        <f>INDEX(Y4:Y13, MATCH($T$14, T4:T13, 0))</f>
        <v>35.429729861174557</v>
      </c>
      <c r="Z14" s="39">
        <f>INDEX(Z4:Z13, MATCH($T$14, T4:T13, 0))</f>
        <v>1887.142768585441</v>
      </c>
      <c r="AA14" s="40">
        <f>(T14-$D$15)/$D$15</f>
        <v>0.1820528437747575</v>
      </c>
    </row>
    <row r="15" spans="2:27" x14ac:dyDescent="0.2">
      <c r="C15" s="1" t="s">
        <v>17</v>
      </c>
      <c r="D15" s="34">
        <v>49203.056594199617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3:C1048576">
    <cfRule type="duplicateValues" dxfId="115" priority="11"/>
    <cfRule type="duplicateValues" dxfId="114" priority="12"/>
  </conditionalFormatting>
  <conditionalFormatting sqref="C14">
    <cfRule type="duplicateValues" dxfId="113" priority="5"/>
    <cfRule type="duplicateValues" dxfId="112" priority="6"/>
  </conditionalFormatting>
  <conditionalFormatting sqref="C18:C32">
    <cfRule type="duplicateValues" dxfId="31" priority="3"/>
    <cfRule type="duplicateValues" dxfId="30" priority="4"/>
  </conditionalFormatting>
  <conditionalFormatting sqref="C17">
    <cfRule type="duplicateValues" dxfId="29" priority="1"/>
    <cfRule type="duplicateValues" dxfId="28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7F200-023E-F846-9346-148C899F0638}">
  <dimension ref="B1:AA17"/>
  <sheetViews>
    <sheetView zoomScale="110" zoomScaleNormal="110" workbookViewId="0">
      <selection activeCell="A17" sqref="A17:XFD32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>
        <f>(Q14-H14)/H14</f>
        <v>9.2157352605439868</v>
      </c>
      <c r="J2" s="28">
        <f>(S14-J14)/J14</f>
        <v>-0.99979614023116059</v>
      </c>
      <c r="K2" s="28"/>
      <c r="L2" s="1" t="s">
        <v>19</v>
      </c>
      <c r="P2" s="1">
        <f>(P14-H14)/H14</f>
        <v>-1</v>
      </c>
      <c r="R2" s="1">
        <f>(R14-J14)/J14</f>
        <v>-4.9097779434863112E-2</v>
      </c>
      <c r="T2" s="1" t="s">
        <v>20</v>
      </c>
      <c r="X2" s="1" t="e">
        <f>(X14-P14)/P14</f>
        <v>#DIV/0!</v>
      </c>
      <c r="Z2" s="1">
        <f>(Z14-R14)/R14</f>
        <v>0.51704486886006429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49</v>
      </c>
      <c r="D4" s="23">
        <v>50920.462020404622</v>
      </c>
      <c r="E4" s="33">
        <v>0.26327862499965698</v>
      </c>
      <c r="F4" s="5">
        <v>2</v>
      </c>
      <c r="G4" s="23">
        <v>90</v>
      </c>
      <c r="H4" s="33">
        <v>2.0095980618539975</v>
      </c>
      <c r="I4" s="23">
        <v>28.875163782820579</v>
      </c>
      <c r="J4" s="5">
        <v>1423.9372774318756</v>
      </c>
      <c r="K4" s="31"/>
      <c r="L4" s="23">
        <v>65701.833190560399</v>
      </c>
      <c r="M4" s="33">
        <v>0.17899708299955819</v>
      </c>
      <c r="N4" s="5">
        <v>2</v>
      </c>
      <c r="O4" s="5">
        <v>70</v>
      </c>
      <c r="P4" s="33">
        <v>0</v>
      </c>
      <c r="Q4" s="5">
        <v>20.529521780002735</v>
      </c>
      <c r="R4" s="5">
        <v>1354.0251190554459</v>
      </c>
      <c r="S4" s="31"/>
      <c r="T4" s="23">
        <v>58699.945966989188</v>
      </c>
      <c r="U4" s="33">
        <v>0.18852620899997419</v>
      </c>
      <c r="V4" s="5">
        <v>2</v>
      </c>
      <c r="W4" s="5">
        <v>90</v>
      </c>
      <c r="X4" s="33">
        <v>51.399692909885587</v>
      </c>
      <c r="Y4" s="5">
        <v>56.963921048155299</v>
      </c>
      <c r="Z4" s="5">
        <v>2054.1168591707019</v>
      </c>
      <c r="AA4" s="35"/>
    </row>
    <row r="5" spans="2:27" x14ac:dyDescent="0.2">
      <c r="B5" s="4">
        <v>2</v>
      </c>
      <c r="C5" s="4">
        <v>96</v>
      </c>
      <c r="D5" s="23">
        <v>50920.462020404622</v>
      </c>
      <c r="E5" s="33">
        <v>0.29697216600106913</v>
      </c>
      <c r="F5" s="5">
        <v>2</v>
      </c>
      <c r="G5" s="23">
        <v>90</v>
      </c>
      <c r="H5" s="33">
        <v>2.0095980618539975</v>
      </c>
      <c r="I5" s="23">
        <v>28.875163782820579</v>
      </c>
      <c r="J5" s="5">
        <v>1423.9372774318756</v>
      </c>
      <c r="K5" s="31"/>
      <c r="L5" s="23">
        <v>65701.833190560399</v>
      </c>
      <c r="M5" s="33">
        <v>0.29775275000065449</v>
      </c>
      <c r="N5" s="5">
        <v>2</v>
      </c>
      <c r="O5" s="5">
        <v>70</v>
      </c>
      <c r="P5" s="33">
        <v>0</v>
      </c>
      <c r="Q5" s="5">
        <v>20.529521780002735</v>
      </c>
      <c r="R5" s="5">
        <v>1354.0251190554459</v>
      </c>
      <c r="S5" s="31"/>
      <c r="T5" s="23">
        <v>58699.945966989188</v>
      </c>
      <c r="U5" s="33">
        <v>0.34793891699882812</v>
      </c>
      <c r="V5" s="5">
        <v>2</v>
      </c>
      <c r="W5" s="5">
        <v>90</v>
      </c>
      <c r="X5" s="33">
        <v>51.399692909885587</v>
      </c>
      <c r="Y5" s="5">
        <v>56.963921048155299</v>
      </c>
      <c r="Z5" s="5">
        <v>2054.1168591707019</v>
      </c>
      <c r="AA5" s="35"/>
    </row>
    <row r="6" spans="2:27" x14ac:dyDescent="0.2">
      <c r="B6" s="4">
        <v>3</v>
      </c>
      <c r="C6" s="4">
        <v>248</v>
      </c>
      <c r="D6" s="23">
        <v>50920.462020404622</v>
      </c>
      <c r="E6" s="33">
        <v>0.43569279199982702</v>
      </c>
      <c r="F6" s="5">
        <v>2</v>
      </c>
      <c r="G6" s="23">
        <v>90</v>
      </c>
      <c r="H6" s="33">
        <v>2.0095980618539975</v>
      </c>
      <c r="I6" s="23">
        <v>28.875163782820579</v>
      </c>
      <c r="J6" s="5">
        <v>1423.9372774318756</v>
      </c>
      <c r="K6" s="31"/>
      <c r="L6" s="23">
        <v>65701.833190560399</v>
      </c>
      <c r="M6" s="33">
        <v>0.20982399999775231</v>
      </c>
      <c r="N6" s="5">
        <v>2</v>
      </c>
      <c r="O6" s="5">
        <v>70</v>
      </c>
      <c r="P6" s="33">
        <v>0</v>
      </c>
      <c r="Q6" s="5">
        <v>20.529521780002735</v>
      </c>
      <c r="R6" s="5">
        <v>1354.0251190554459</v>
      </c>
      <c r="S6" s="31"/>
      <c r="T6" s="23">
        <v>58699.945966989188</v>
      </c>
      <c r="U6" s="33">
        <v>0.52939758399952552</v>
      </c>
      <c r="V6" s="5">
        <v>2</v>
      </c>
      <c r="W6" s="5">
        <v>90</v>
      </c>
      <c r="X6" s="33">
        <v>51.399692909885587</v>
      </c>
      <c r="Y6" s="5">
        <v>56.963921048155299</v>
      </c>
      <c r="Z6" s="5">
        <v>2054.1168591707019</v>
      </c>
      <c r="AA6" s="35"/>
    </row>
    <row r="7" spans="2:27" x14ac:dyDescent="0.2">
      <c r="B7" s="4">
        <v>4</v>
      </c>
      <c r="C7" s="4">
        <v>249</v>
      </c>
      <c r="D7" s="23">
        <v>50920.462020404622</v>
      </c>
      <c r="E7" s="33">
        <v>0.63755975000094622</v>
      </c>
      <c r="F7" s="5">
        <v>2</v>
      </c>
      <c r="G7" s="23">
        <v>90</v>
      </c>
      <c r="H7" s="33">
        <v>2.0095980618539975</v>
      </c>
      <c r="I7" s="23">
        <v>28.875163782820579</v>
      </c>
      <c r="J7" s="5">
        <v>1423.9372774318756</v>
      </c>
      <c r="K7" s="31"/>
      <c r="L7" s="23">
        <v>65701.833190560399</v>
      </c>
      <c r="M7" s="33">
        <v>0.2277569170000788</v>
      </c>
      <c r="N7" s="5">
        <v>2</v>
      </c>
      <c r="O7" s="5">
        <v>70</v>
      </c>
      <c r="P7" s="33">
        <v>0</v>
      </c>
      <c r="Q7" s="5">
        <v>20.529521780002735</v>
      </c>
      <c r="R7" s="5">
        <v>1354.0251190554459</v>
      </c>
      <c r="S7" s="31"/>
      <c r="T7" s="23">
        <v>58699.945966989188</v>
      </c>
      <c r="U7" s="33">
        <v>0.61979229200005648</v>
      </c>
      <c r="V7" s="5">
        <v>2</v>
      </c>
      <c r="W7" s="5">
        <v>90</v>
      </c>
      <c r="X7" s="33">
        <v>51.399692909885587</v>
      </c>
      <c r="Y7" s="5">
        <v>56.963921048155299</v>
      </c>
      <c r="Z7" s="5">
        <v>2054.1168591707019</v>
      </c>
      <c r="AA7" s="35"/>
    </row>
    <row r="8" spans="2:27" x14ac:dyDescent="0.2">
      <c r="B8" s="4">
        <v>5</v>
      </c>
      <c r="C8" s="4">
        <v>371</v>
      </c>
      <c r="D8" s="23">
        <v>50920.462020404622</v>
      </c>
      <c r="E8" s="33">
        <v>0.27728512499925267</v>
      </c>
      <c r="F8" s="5">
        <v>2</v>
      </c>
      <c r="G8" s="23">
        <v>90</v>
      </c>
      <c r="H8" s="33">
        <v>2.0095980618539975</v>
      </c>
      <c r="I8" s="23">
        <v>28.875163782820579</v>
      </c>
      <c r="J8" s="5">
        <v>1423.9372774318756</v>
      </c>
      <c r="K8" s="31"/>
      <c r="L8" s="23">
        <v>65701.833190560399</v>
      </c>
      <c r="M8" s="33">
        <v>0.20328895800048491</v>
      </c>
      <c r="N8" s="5">
        <v>2</v>
      </c>
      <c r="O8" s="5">
        <v>70</v>
      </c>
      <c r="P8" s="33">
        <v>0</v>
      </c>
      <c r="Q8" s="5">
        <v>20.529521780002735</v>
      </c>
      <c r="R8" s="5">
        <v>1354.0251190554459</v>
      </c>
      <c r="S8" s="31"/>
      <c r="T8" s="23">
        <v>58699.945966989188</v>
      </c>
      <c r="U8" s="33">
        <v>0.26943149999715388</v>
      </c>
      <c r="V8" s="5">
        <v>2</v>
      </c>
      <c r="W8" s="5">
        <v>90</v>
      </c>
      <c r="X8" s="33">
        <v>51.399692909885587</v>
      </c>
      <c r="Y8" s="5">
        <v>56.963921048155299</v>
      </c>
      <c r="Z8" s="5">
        <v>2054.1168591707019</v>
      </c>
      <c r="AA8" s="35"/>
    </row>
    <row r="9" spans="2:27" x14ac:dyDescent="0.2">
      <c r="B9" s="4">
        <v>6</v>
      </c>
      <c r="C9" s="4">
        <v>372</v>
      </c>
      <c r="D9" s="23">
        <v>50920.462020404622</v>
      </c>
      <c r="E9" s="33">
        <v>0.40532591699957271</v>
      </c>
      <c r="F9" s="5">
        <v>2</v>
      </c>
      <c r="G9" s="23">
        <v>90</v>
      </c>
      <c r="H9" s="33">
        <v>2.0095980618539975</v>
      </c>
      <c r="I9" s="23">
        <v>28.875163782820579</v>
      </c>
      <c r="J9" s="5">
        <v>1423.9372774318756</v>
      </c>
      <c r="K9" s="31"/>
      <c r="L9" s="23">
        <v>65701.833190560399</v>
      </c>
      <c r="M9" s="33">
        <v>0.24948508300076361</v>
      </c>
      <c r="N9" s="5">
        <v>2</v>
      </c>
      <c r="O9" s="5">
        <v>70</v>
      </c>
      <c r="P9" s="33">
        <v>0</v>
      </c>
      <c r="Q9" s="5">
        <v>20.529521780002735</v>
      </c>
      <c r="R9" s="5">
        <v>1354.0251190554459</v>
      </c>
      <c r="S9" s="31"/>
      <c r="T9" s="23">
        <v>58699.945966989188</v>
      </c>
      <c r="U9" s="33">
        <v>0.29104904199994053</v>
      </c>
      <c r="V9" s="5">
        <v>2</v>
      </c>
      <c r="W9" s="5">
        <v>90</v>
      </c>
      <c r="X9" s="33">
        <v>51.399692909885587</v>
      </c>
      <c r="Y9" s="5">
        <v>56.963921048155299</v>
      </c>
      <c r="Z9" s="5">
        <v>2054.1168591707019</v>
      </c>
      <c r="AA9" s="35"/>
    </row>
    <row r="10" spans="2:27" x14ac:dyDescent="0.2">
      <c r="B10" s="4">
        <v>7</v>
      </c>
      <c r="C10" s="4">
        <v>531</v>
      </c>
      <c r="D10" s="23">
        <v>50920.462020404622</v>
      </c>
      <c r="E10" s="33">
        <v>0.23265291700045049</v>
      </c>
      <c r="F10" s="5">
        <v>2</v>
      </c>
      <c r="G10" s="23">
        <v>90</v>
      </c>
      <c r="H10" s="33">
        <v>2.0095980618539975</v>
      </c>
      <c r="I10" s="23">
        <v>28.875163782820579</v>
      </c>
      <c r="J10" s="5">
        <v>1423.9372774318756</v>
      </c>
      <c r="K10" s="31"/>
      <c r="L10" s="23">
        <v>65701.833190560399</v>
      </c>
      <c r="M10" s="33">
        <v>0.2006415419964469</v>
      </c>
      <c r="N10" s="5">
        <v>2</v>
      </c>
      <c r="O10" s="5">
        <v>70</v>
      </c>
      <c r="P10" s="33">
        <v>0</v>
      </c>
      <c r="Q10" s="5">
        <v>20.529521780002735</v>
      </c>
      <c r="R10" s="5">
        <v>1354.0251190554459</v>
      </c>
      <c r="S10" s="31"/>
      <c r="T10" s="23">
        <v>58699.945966989188</v>
      </c>
      <c r="U10" s="33">
        <v>0.21827554199990121</v>
      </c>
      <c r="V10" s="5">
        <v>2</v>
      </c>
      <c r="W10" s="5">
        <v>90</v>
      </c>
      <c r="X10" s="33">
        <v>51.399692909885587</v>
      </c>
      <c r="Y10" s="5">
        <v>56.963921048155299</v>
      </c>
      <c r="Z10" s="5">
        <v>2054.1168591707019</v>
      </c>
      <c r="AA10" s="35"/>
    </row>
    <row r="11" spans="2:27" x14ac:dyDescent="0.2">
      <c r="B11" s="4">
        <v>8</v>
      </c>
      <c r="C11" s="4">
        <v>536</v>
      </c>
      <c r="D11" s="23">
        <v>50920.462020404622</v>
      </c>
      <c r="E11" s="33">
        <v>0.23456954099856381</v>
      </c>
      <c r="F11" s="5">
        <v>2</v>
      </c>
      <c r="G11" s="23">
        <v>90</v>
      </c>
      <c r="H11" s="33">
        <v>2.0095980618539975</v>
      </c>
      <c r="I11" s="23">
        <v>28.875163782820579</v>
      </c>
      <c r="J11" s="5">
        <v>1423.9372774318756</v>
      </c>
      <c r="K11" s="31"/>
      <c r="L11" s="23">
        <v>65701.833190560399</v>
      </c>
      <c r="M11" s="33">
        <v>0.29075454199846718</v>
      </c>
      <c r="N11" s="5">
        <v>2</v>
      </c>
      <c r="O11" s="5">
        <v>70</v>
      </c>
      <c r="P11" s="33">
        <v>0</v>
      </c>
      <c r="Q11" s="5">
        <v>20.529521780002735</v>
      </c>
      <c r="R11" s="5">
        <v>1354.0251190554459</v>
      </c>
      <c r="S11" s="31"/>
      <c r="T11" s="23">
        <v>58699.945966989188</v>
      </c>
      <c r="U11" s="33">
        <v>0.2164581670003827</v>
      </c>
      <c r="V11" s="5">
        <v>2</v>
      </c>
      <c r="W11" s="5">
        <v>90</v>
      </c>
      <c r="X11" s="33">
        <v>51.399692909885587</v>
      </c>
      <c r="Y11" s="5">
        <v>56.963921048155299</v>
      </c>
      <c r="Z11" s="5">
        <v>2054.1168591707019</v>
      </c>
      <c r="AA11" s="35"/>
    </row>
    <row r="12" spans="2:27" x14ac:dyDescent="0.2">
      <c r="B12" s="4">
        <v>9</v>
      </c>
      <c r="C12" s="4">
        <v>873</v>
      </c>
      <c r="D12" s="23">
        <v>50920.462020404622</v>
      </c>
      <c r="E12" s="33">
        <v>0.24417587499920049</v>
      </c>
      <c r="F12" s="5">
        <v>2</v>
      </c>
      <c r="G12" s="23">
        <v>90</v>
      </c>
      <c r="H12" s="33">
        <v>2.0095980618539975</v>
      </c>
      <c r="I12" s="23">
        <v>28.875163782820579</v>
      </c>
      <c r="J12" s="5">
        <v>1423.9372774318756</v>
      </c>
      <c r="K12" s="31"/>
      <c r="L12" s="23">
        <v>65701.833190560399</v>
      </c>
      <c r="M12" s="33">
        <v>0.48940245899939328</v>
      </c>
      <c r="N12" s="5">
        <v>2</v>
      </c>
      <c r="O12" s="5">
        <v>70</v>
      </c>
      <c r="P12" s="33">
        <v>0</v>
      </c>
      <c r="Q12" s="5">
        <v>20.529521780002735</v>
      </c>
      <c r="R12" s="5">
        <v>1354.0251190554459</v>
      </c>
      <c r="S12" s="31"/>
      <c r="T12" s="23">
        <v>58699.945966989188</v>
      </c>
      <c r="U12" s="33">
        <v>0.45534816700092051</v>
      </c>
      <c r="V12" s="5">
        <v>2</v>
      </c>
      <c r="W12" s="5">
        <v>90</v>
      </c>
      <c r="X12" s="33">
        <v>51.399692909885587</v>
      </c>
      <c r="Y12" s="5">
        <v>56.963921048155299</v>
      </c>
      <c r="Z12" s="5">
        <v>2054.1168591707019</v>
      </c>
      <c r="AA12" s="35"/>
    </row>
    <row r="13" spans="2:27" x14ac:dyDescent="0.2">
      <c r="B13" s="4">
        <v>10</v>
      </c>
      <c r="C13" s="4">
        <v>876</v>
      </c>
      <c r="D13" s="23">
        <v>50920.462020404622</v>
      </c>
      <c r="E13" s="33">
        <v>0.29379308399984438</v>
      </c>
      <c r="F13" s="5">
        <v>2</v>
      </c>
      <c r="G13" s="23">
        <v>90</v>
      </c>
      <c r="H13" s="33">
        <v>2.0095980618539975</v>
      </c>
      <c r="I13" s="23">
        <v>28.875163782820579</v>
      </c>
      <c r="J13" s="5">
        <v>1423.9372774318756</v>
      </c>
      <c r="K13" s="31"/>
      <c r="L13" s="23">
        <v>65701.833190560399</v>
      </c>
      <c r="M13" s="33">
        <v>0.30052487500142888</v>
      </c>
      <c r="N13" s="5">
        <v>2</v>
      </c>
      <c r="O13" s="5">
        <v>70</v>
      </c>
      <c r="P13" s="33">
        <v>0</v>
      </c>
      <c r="Q13" s="5">
        <v>20.529521780002735</v>
      </c>
      <c r="R13" s="5">
        <v>1354.0251190554459</v>
      </c>
      <c r="S13" s="31"/>
      <c r="T13" s="23">
        <v>58699.945966989188</v>
      </c>
      <c r="U13" s="33">
        <v>0.2342593749999651</v>
      </c>
      <c r="V13" s="5">
        <v>2</v>
      </c>
      <c r="W13" s="5">
        <v>90</v>
      </c>
      <c r="X13" s="33">
        <v>51.399692909885587</v>
      </c>
      <c r="Y13" s="5">
        <v>56.963921048155299</v>
      </c>
      <c r="Z13" s="5">
        <v>2054.1168591707019</v>
      </c>
      <c r="AA13" s="35"/>
    </row>
    <row r="14" spans="2:27" x14ac:dyDescent="0.2">
      <c r="B14" s="46" t="s">
        <v>3</v>
      </c>
      <c r="C14" s="47"/>
      <c r="D14" s="9">
        <f>MIN(D4:D13)</f>
        <v>50920.462020404622</v>
      </c>
      <c r="E14" s="22">
        <f>INDEX(E4:E13, MATCH($D$14, D4:D13, 0))</f>
        <v>0.26327862499965698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2.0095980618539975</v>
      </c>
      <c r="I14" s="22">
        <f>INDEX(I4:I13, MATCH($D$14, D4:D13, 0))</f>
        <v>28.875163782820579</v>
      </c>
      <c r="J14" s="22">
        <f>INDEX(J4:J13, MATCH($D$14, D4:D13, 0))</f>
        <v>1423.9372774318756</v>
      </c>
      <c r="K14" s="32">
        <f>(D14-$D$15)/$D$15</f>
        <v>0</v>
      </c>
      <c r="L14" s="16">
        <f>MIN(L4:L13)</f>
        <v>65701.833190560399</v>
      </c>
      <c r="M14" s="21">
        <f>INDEX(M4:M13, MATCH($L$14, L4:L13, 0))</f>
        <v>0.17899708299955819</v>
      </c>
      <c r="N14" s="16">
        <f>INDEX(N4:N13, MATCH($L$14, L4:L13, 0))</f>
        <v>2</v>
      </c>
      <c r="O14" s="16">
        <f>INDEX(O4:O13, MATCH($L$14, L4:L13, 0))</f>
        <v>70</v>
      </c>
      <c r="P14" s="21">
        <f>INDEX(P4:P13, MATCH($L$14, L4:L13, 0))</f>
        <v>0</v>
      </c>
      <c r="Q14" s="21">
        <f>INDEX(Q4:Q13, MATCH($L$14, L4:L13, 0))</f>
        <v>20.529521780002735</v>
      </c>
      <c r="R14" s="21">
        <f>INDEX(R4:R13, MATCH($L$14, L4:L13, 0))</f>
        <v>1354.0251190554459</v>
      </c>
      <c r="S14" s="36">
        <f>(L14-$D$15)/$D$15</f>
        <v>0.29028352421925496</v>
      </c>
      <c r="T14" s="38">
        <f>MIN(T4:T13)</f>
        <v>58699.945966989188</v>
      </c>
      <c r="U14" s="39">
        <f>INDEX(U4:U13, MATCH($T$14, T4:T13, 0))</f>
        <v>0.18852620899997419</v>
      </c>
      <c r="V14" s="38">
        <f>INDEX(V4:V13, MATCH($T$14, T4:T13, 0))</f>
        <v>2</v>
      </c>
      <c r="W14" s="38">
        <f>INDEX(W4:W13, MATCH($T$14, T4:T13, 0))</f>
        <v>90</v>
      </c>
      <c r="X14" s="39">
        <f>INDEX(X4:X13, MATCH($T$14, T4:T13, 0))</f>
        <v>51.399692909885587</v>
      </c>
      <c r="Y14" s="39">
        <f>INDEX(Y4:Y13, MATCH($T$14, T4:T13, 0))</f>
        <v>56.963921048155299</v>
      </c>
      <c r="Z14" s="39">
        <f>INDEX(Z4:Z13, MATCH($T$14, T4:T13, 0))</f>
        <v>2054.1168591707019</v>
      </c>
      <c r="AA14" s="40">
        <f>(T14-$D$15)/$D$15</f>
        <v>0.15277716732945598</v>
      </c>
    </row>
    <row r="15" spans="2:27" x14ac:dyDescent="0.2">
      <c r="C15" s="1" t="s">
        <v>17</v>
      </c>
      <c r="D15" s="34">
        <v>50920.462020404622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3:C1048576">
    <cfRule type="duplicateValues" dxfId="109" priority="11"/>
    <cfRule type="duplicateValues" dxfId="108" priority="12"/>
  </conditionalFormatting>
  <conditionalFormatting sqref="C14">
    <cfRule type="duplicateValues" dxfId="107" priority="5"/>
    <cfRule type="duplicateValues" dxfId="106" priority="6"/>
  </conditionalFormatting>
  <conditionalFormatting sqref="C18:C32">
    <cfRule type="duplicateValues" dxfId="27" priority="3"/>
    <cfRule type="duplicateValues" dxfId="26" priority="4"/>
  </conditionalFormatting>
  <conditionalFormatting sqref="C17">
    <cfRule type="duplicateValues" dxfId="25" priority="1"/>
    <cfRule type="duplicateValues" dxfId="24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0A106-5301-4340-A84B-8C586A6382A2}">
  <dimension ref="B1:AA17"/>
  <sheetViews>
    <sheetView zoomScale="110" zoomScaleNormal="110" workbookViewId="0">
      <selection activeCell="A17" sqref="A17:XFD32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>
        <f>(Q14-H14)/H14</f>
        <v>2.2643370739511206</v>
      </c>
      <c r="J2" s="28">
        <f>(S14-J14)/J14</f>
        <v>-0.9999646533971992</v>
      </c>
      <c r="K2" s="28"/>
      <c r="L2" s="1" t="s">
        <v>19</v>
      </c>
      <c r="P2" s="1">
        <f>(P14-H14)/H14</f>
        <v>-1</v>
      </c>
      <c r="R2" s="1">
        <f>(R14-J14)/J14</f>
        <v>-4.0063566800061387E-2</v>
      </c>
      <c r="T2" s="1" t="s">
        <v>20</v>
      </c>
      <c r="X2" s="1" t="e">
        <f>(X14-P14)/P14</f>
        <v>#DIV/0!</v>
      </c>
      <c r="Z2" s="1">
        <f>(Z14-R14)/R14</f>
        <v>0.25221927989147008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223</v>
      </c>
      <c r="D4" s="23">
        <v>53777.552548424981</v>
      </c>
      <c r="E4" s="33">
        <v>0.21091362500010291</v>
      </c>
      <c r="F4" s="5">
        <v>2</v>
      </c>
      <c r="G4" s="23">
        <v>90</v>
      </c>
      <c r="H4" s="33">
        <v>5.4397662561213007</v>
      </c>
      <c r="I4" s="23">
        <v>18.36790525535087</v>
      </c>
      <c r="J4" s="5">
        <v>1463.9088681082449</v>
      </c>
      <c r="K4" s="31"/>
      <c r="L4" s="23">
        <v>56600.801754288477</v>
      </c>
      <c r="M4" s="33">
        <v>0.23069112499797481</v>
      </c>
      <c r="N4" s="5">
        <v>2</v>
      </c>
      <c r="O4" s="5">
        <v>90</v>
      </c>
      <c r="P4" s="33">
        <v>39.368339588305183</v>
      </c>
      <c r="Q4" s="5">
        <v>20.689740943174019</v>
      </c>
      <c r="R4" s="5">
        <v>1565.3482620476391</v>
      </c>
      <c r="S4" s="31"/>
      <c r="T4" s="23">
        <v>61680.386365562023</v>
      </c>
      <c r="U4" s="33">
        <v>0.21353133299999169</v>
      </c>
      <c r="V4" s="5">
        <v>2</v>
      </c>
      <c r="W4" s="5">
        <v>85</v>
      </c>
      <c r="X4" s="33">
        <v>73.276502443711408</v>
      </c>
      <c r="Y4" s="5">
        <v>25.215384922942619</v>
      </c>
      <c r="Z4" s="5">
        <v>1759.6929857830501</v>
      </c>
      <c r="AA4" s="35"/>
    </row>
    <row r="5" spans="2:27" x14ac:dyDescent="0.2">
      <c r="B5" s="4">
        <v>2</v>
      </c>
      <c r="C5" s="4">
        <v>252</v>
      </c>
      <c r="D5" s="23">
        <v>53777.552548424981</v>
      </c>
      <c r="E5" s="33">
        <v>0.21655820799969661</v>
      </c>
      <c r="F5" s="5">
        <v>2</v>
      </c>
      <c r="G5" s="23">
        <v>90</v>
      </c>
      <c r="H5" s="33">
        <v>5.4397662561213007</v>
      </c>
      <c r="I5" s="23">
        <v>18.36790525535087</v>
      </c>
      <c r="J5" s="5">
        <v>1463.9088681082449</v>
      </c>
      <c r="K5" s="31"/>
      <c r="L5" s="23">
        <v>56560.229267899529</v>
      </c>
      <c r="M5" s="33">
        <v>0.20839904099921111</v>
      </c>
      <c r="N5" s="5">
        <v>2</v>
      </c>
      <c r="O5" s="5">
        <v>85</v>
      </c>
      <c r="P5" s="33">
        <v>0</v>
      </c>
      <c r="Q5" s="5">
        <v>17.75723066348505</v>
      </c>
      <c r="R5" s="5">
        <v>1405.2594573815879</v>
      </c>
      <c r="S5" s="31"/>
      <c r="T5" s="23">
        <v>61872.898895809369</v>
      </c>
      <c r="U5" s="33">
        <v>0.29567695800142252</v>
      </c>
      <c r="V5" s="5">
        <v>2</v>
      </c>
      <c r="W5" s="5">
        <v>85</v>
      </c>
      <c r="X5" s="33">
        <v>53.310510973430198</v>
      </c>
      <c r="Y5" s="5">
        <v>24.997316027515481</v>
      </c>
      <c r="Z5" s="5">
        <v>1749.6936289969699</v>
      </c>
      <c r="AA5" s="35"/>
    </row>
    <row r="6" spans="2:27" x14ac:dyDescent="0.2">
      <c r="B6" s="4">
        <v>3</v>
      </c>
      <c r="C6" s="4">
        <v>278</v>
      </c>
      <c r="D6" s="23">
        <v>53777.552548424981</v>
      </c>
      <c r="E6" s="33">
        <v>0.45818537500053941</v>
      </c>
      <c r="F6" s="5">
        <v>2</v>
      </c>
      <c r="G6" s="23">
        <v>90</v>
      </c>
      <c r="H6" s="33">
        <v>5.4397662561213007</v>
      </c>
      <c r="I6" s="23">
        <v>18.36790525535087</v>
      </c>
      <c r="J6" s="5">
        <v>1463.9088681082449</v>
      </c>
      <c r="K6" s="31"/>
      <c r="L6" s="23">
        <v>57346.052134469603</v>
      </c>
      <c r="M6" s="33">
        <v>0.2329014169990842</v>
      </c>
      <c r="N6" s="5">
        <v>2</v>
      </c>
      <c r="O6" s="5">
        <v>80</v>
      </c>
      <c r="P6" s="33">
        <v>0</v>
      </c>
      <c r="Q6" s="5">
        <v>13.16444883716091</v>
      </c>
      <c r="R6" s="5">
        <v>1189.371845520709</v>
      </c>
      <c r="S6" s="31"/>
      <c r="T6" s="23">
        <v>61680.386365562023</v>
      </c>
      <c r="U6" s="33">
        <v>0.47433291600100352</v>
      </c>
      <c r="V6" s="5">
        <v>2</v>
      </c>
      <c r="W6" s="5">
        <v>85</v>
      </c>
      <c r="X6" s="33">
        <v>73.276502443711408</v>
      </c>
      <c r="Y6" s="5">
        <v>25.215384922942619</v>
      </c>
      <c r="Z6" s="5">
        <v>1759.6929857830501</v>
      </c>
      <c r="AA6" s="35"/>
    </row>
    <row r="7" spans="2:27" x14ac:dyDescent="0.2">
      <c r="B7" s="4">
        <v>4</v>
      </c>
      <c r="C7" s="4">
        <v>299</v>
      </c>
      <c r="D7" s="23">
        <v>53777.552548424981</v>
      </c>
      <c r="E7" s="33">
        <v>0.18023058399921871</v>
      </c>
      <c r="F7" s="5">
        <v>2</v>
      </c>
      <c r="G7" s="23">
        <v>90</v>
      </c>
      <c r="H7" s="33">
        <v>5.4397662561213007</v>
      </c>
      <c r="I7" s="23">
        <v>18.36790525535087</v>
      </c>
      <c r="J7" s="5">
        <v>1463.9088681082449</v>
      </c>
      <c r="K7" s="31"/>
      <c r="L7" s="23">
        <v>56560.229267899529</v>
      </c>
      <c r="M7" s="33">
        <v>0.29172595799900591</v>
      </c>
      <c r="N7" s="5">
        <v>2</v>
      </c>
      <c r="O7" s="5">
        <v>85</v>
      </c>
      <c r="P7" s="33">
        <v>0</v>
      </c>
      <c r="Q7" s="5">
        <v>17.75723066348505</v>
      </c>
      <c r="R7" s="5">
        <v>1405.2594573815879</v>
      </c>
      <c r="S7" s="31"/>
      <c r="T7" s="23">
        <v>61680.386365562023</v>
      </c>
      <c r="U7" s="33">
        <v>0.25636245799978502</v>
      </c>
      <c r="V7" s="5">
        <v>2</v>
      </c>
      <c r="W7" s="5">
        <v>85</v>
      </c>
      <c r="X7" s="33">
        <v>73.276502443711408</v>
      </c>
      <c r="Y7" s="5">
        <v>25.215384922942619</v>
      </c>
      <c r="Z7" s="5">
        <v>1759.6929857830501</v>
      </c>
      <c r="AA7" s="35"/>
    </row>
    <row r="8" spans="2:27" x14ac:dyDescent="0.2">
      <c r="B8" s="4">
        <v>5</v>
      </c>
      <c r="C8" s="4">
        <v>351</v>
      </c>
      <c r="D8" s="23">
        <v>53777.552548424981</v>
      </c>
      <c r="E8" s="33">
        <v>0.193351416999576</v>
      </c>
      <c r="F8" s="5">
        <v>2</v>
      </c>
      <c r="G8" s="23">
        <v>90</v>
      </c>
      <c r="H8" s="33">
        <v>5.4397662561213007</v>
      </c>
      <c r="I8" s="23">
        <v>18.36790525535087</v>
      </c>
      <c r="J8" s="5">
        <v>1463.9088681082449</v>
      </c>
      <c r="K8" s="31"/>
      <c r="L8" s="23">
        <v>56560.229267899529</v>
      </c>
      <c r="M8" s="33">
        <v>0.4662859580021177</v>
      </c>
      <c r="N8" s="5">
        <v>2</v>
      </c>
      <c r="O8" s="5">
        <v>85</v>
      </c>
      <c r="P8" s="33">
        <v>0</v>
      </c>
      <c r="Q8" s="5">
        <v>17.75723066348505</v>
      </c>
      <c r="R8" s="5">
        <v>1405.2594573815879</v>
      </c>
      <c r="S8" s="31"/>
      <c r="T8" s="23">
        <v>61680.386365562023</v>
      </c>
      <c r="U8" s="33">
        <v>0.23225162500239091</v>
      </c>
      <c r="V8" s="5">
        <v>2</v>
      </c>
      <c r="W8" s="5">
        <v>85</v>
      </c>
      <c r="X8" s="33">
        <v>73.276502443711408</v>
      </c>
      <c r="Y8" s="5">
        <v>25.215384922942619</v>
      </c>
      <c r="Z8" s="5">
        <v>1759.6929857830501</v>
      </c>
      <c r="AA8" s="35"/>
    </row>
    <row r="9" spans="2:27" x14ac:dyDescent="0.2">
      <c r="B9" s="4">
        <v>6</v>
      </c>
      <c r="C9" s="4">
        <v>384</v>
      </c>
      <c r="D9" s="23">
        <v>53777.552548424981</v>
      </c>
      <c r="E9" s="33">
        <v>0.46252004099915212</v>
      </c>
      <c r="F9" s="5">
        <v>2</v>
      </c>
      <c r="G9" s="23">
        <v>90</v>
      </c>
      <c r="H9" s="33">
        <v>5.4397662561213007</v>
      </c>
      <c r="I9" s="23">
        <v>18.36790525535087</v>
      </c>
      <c r="J9" s="5">
        <v>1463.9088681082449</v>
      </c>
      <c r="K9" s="31"/>
      <c r="L9" s="23">
        <v>56600.801754288477</v>
      </c>
      <c r="M9" s="33">
        <v>0.28127254100036231</v>
      </c>
      <c r="N9" s="5">
        <v>2</v>
      </c>
      <c r="O9" s="5">
        <v>90</v>
      </c>
      <c r="P9" s="33">
        <v>39.368339588305183</v>
      </c>
      <c r="Q9" s="5">
        <v>20.689740943174019</v>
      </c>
      <c r="R9" s="5">
        <v>1565.3482620476391</v>
      </c>
      <c r="S9" s="31"/>
      <c r="T9" s="23">
        <v>61680.386365562023</v>
      </c>
      <c r="U9" s="33">
        <v>0.37219029100015177</v>
      </c>
      <c r="V9" s="5">
        <v>2</v>
      </c>
      <c r="W9" s="5">
        <v>85</v>
      </c>
      <c r="X9" s="33">
        <v>73.276502443711408</v>
      </c>
      <c r="Y9" s="5">
        <v>25.215384922942619</v>
      </c>
      <c r="Z9" s="5">
        <v>1759.6929857830501</v>
      </c>
      <c r="AA9" s="35"/>
    </row>
    <row r="10" spans="2:27" x14ac:dyDescent="0.2">
      <c r="B10" s="4">
        <v>7</v>
      </c>
      <c r="C10" s="4">
        <v>526</v>
      </c>
      <c r="D10" s="23">
        <v>53777.552548424981</v>
      </c>
      <c r="E10" s="33">
        <v>0.2563077089998842</v>
      </c>
      <c r="F10" s="5">
        <v>2</v>
      </c>
      <c r="G10" s="23">
        <v>90</v>
      </c>
      <c r="H10" s="33">
        <v>5.4397662561213007</v>
      </c>
      <c r="I10" s="23">
        <v>18.36790525535087</v>
      </c>
      <c r="J10" s="5">
        <v>1463.9088681082449</v>
      </c>
      <c r="K10" s="31"/>
      <c r="L10" s="23">
        <v>56560.229267899529</v>
      </c>
      <c r="M10" s="33">
        <v>0.20830804199795239</v>
      </c>
      <c r="N10" s="5">
        <v>2</v>
      </c>
      <c r="O10" s="5">
        <v>85</v>
      </c>
      <c r="P10" s="33">
        <v>0</v>
      </c>
      <c r="Q10" s="5">
        <v>17.75723066348505</v>
      </c>
      <c r="R10" s="5">
        <v>1405.2594573815879</v>
      </c>
      <c r="S10" s="31"/>
      <c r="T10" s="23">
        <v>61680.386365562023</v>
      </c>
      <c r="U10" s="33">
        <v>0.32595274999766838</v>
      </c>
      <c r="V10" s="5">
        <v>2</v>
      </c>
      <c r="W10" s="5">
        <v>85</v>
      </c>
      <c r="X10" s="33">
        <v>73.276502443711408</v>
      </c>
      <c r="Y10" s="5">
        <v>25.215384922942619</v>
      </c>
      <c r="Z10" s="5">
        <v>1759.6929857830501</v>
      </c>
      <c r="AA10" s="35"/>
    </row>
    <row r="11" spans="2:27" x14ac:dyDescent="0.2">
      <c r="B11" s="4">
        <v>8</v>
      </c>
      <c r="C11" s="4">
        <v>646</v>
      </c>
      <c r="D11" s="23">
        <v>53777.552548424981</v>
      </c>
      <c r="E11" s="33">
        <v>1.0032962080003931</v>
      </c>
      <c r="F11" s="5">
        <v>2</v>
      </c>
      <c r="G11" s="23">
        <v>90</v>
      </c>
      <c r="H11" s="33">
        <v>5.4397662561213007</v>
      </c>
      <c r="I11" s="23">
        <v>18.36790525535087</v>
      </c>
      <c r="J11" s="5">
        <v>1463.9088681082449</v>
      </c>
      <c r="K11" s="31"/>
      <c r="L11" s="23">
        <v>56600.801754288477</v>
      </c>
      <c r="M11" s="33">
        <v>0.29730029199708952</v>
      </c>
      <c r="N11" s="5">
        <v>2</v>
      </c>
      <c r="O11" s="5">
        <v>90</v>
      </c>
      <c r="P11" s="33">
        <v>39.368339588305183</v>
      </c>
      <c r="Q11" s="5">
        <v>20.689740943174019</v>
      </c>
      <c r="R11" s="5">
        <v>1565.3482620476391</v>
      </c>
      <c r="S11" s="31"/>
      <c r="T11" s="23">
        <v>61872.898895809369</v>
      </c>
      <c r="U11" s="33">
        <v>0.3299487920012325</v>
      </c>
      <c r="V11" s="5">
        <v>2</v>
      </c>
      <c r="W11" s="5">
        <v>85</v>
      </c>
      <c r="X11" s="33">
        <v>53.310510973430198</v>
      </c>
      <c r="Y11" s="5">
        <v>24.997316027515481</v>
      </c>
      <c r="Z11" s="5">
        <v>1749.6936289969699</v>
      </c>
      <c r="AA11" s="35"/>
    </row>
    <row r="12" spans="2:27" x14ac:dyDescent="0.2">
      <c r="B12" s="4">
        <v>9</v>
      </c>
      <c r="C12" s="4">
        <v>741</v>
      </c>
      <c r="D12" s="23">
        <v>53777.552548424981</v>
      </c>
      <c r="E12" s="33">
        <v>0.26449670799956948</v>
      </c>
      <c r="F12" s="5">
        <v>2</v>
      </c>
      <c r="G12" s="23">
        <v>90</v>
      </c>
      <c r="H12" s="33">
        <v>5.4397662561213007</v>
      </c>
      <c r="I12" s="23">
        <v>18.36790525535087</v>
      </c>
      <c r="J12" s="5">
        <v>1463.9088681082449</v>
      </c>
      <c r="K12" s="31"/>
      <c r="L12" s="23">
        <v>56560.229267899529</v>
      </c>
      <c r="M12" s="33">
        <v>0.27106612500210758</v>
      </c>
      <c r="N12" s="5">
        <v>2</v>
      </c>
      <c r="O12" s="5">
        <v>85</v>
      </c>
      <c r="P12" s="33">
        <v>0</v>
      </c>
      <c r="Q12" s="5">
        <v>17.75723066348505</v>
      </c>
      <c r="R12" s="5">
        <v>1405.2594573815879</v>
      </c>
      <c r="S12" s="31"/>
      <c r="T12" s="23">
        <v>61872.898895809369</v>
      </c>
      <c r="U12" s="33">
        <v>0.2339891669980716</v>
      </c>
      <c r="V12" s="5">
        <v>2</v>
      </c>
      <c r="W12" s="5">
        <v>85</v>
      </c>
      <c r="X12" s="33">
        <v>53.310510973430198</v>
      </c>
      <c r="Y12" s="5">
        <v>24.997316027515481</v>
      </c>
      <c r="Z12" s="5">
        <v>1749.6936289969699</v>
      </c>
      <c r="AA12" s="35"/>
    </row>
    <row r="13" spans="2:27" x14ac:dyDescent="0.2">
      <c r="B13" s="4">
        <v>10</v>
      </c>
      <c r="C13" s="4">
        <v>786</v>
      </c>
      <c r="D13" s="23">
        <v>53777.552548424981</v>
      </c>
      <c r="E13" s="33">
        <v>0.18197524999959569</v>
      </c>
      <c r="F13" s="5">
        <v>2</v>
      </c>
      <c r="G13" s="23">
        <v>90</v>
      </c>
      <c r="H13" s="33">
        <v>5.4397662561213007</v>
      </c>
      <c r="I13" s="23">
        <v>18.36790525535087</v>
      </c>
      <c r="J13" s="5">
        <v>1463.9088681082449</v>
      </c>
      <c r="K13" s="31"/>
      <c r="L13" s="23">
        <v>56560.229267899529</v>
      </c>
      <c r="M13" s="33">
        <v>0.25090729200019268</v>
      </c>
      <c r="N13" s="5">
        <v>2</v>
      </c>
      <c r="O13" s="5">
        <v>85</v>
      </c>
      <c r="P13" s="33">
        <v>0</v>
      </c>
      <c r="Q13" s="5">
        <v>17.75723066348505</v>
      </c>
      <c r="R13" s="5">
        <v>1405.2594573815879</v>
      </c>
      <c r="S13" s="31"/>
      <c r="T13" s="23">
        <v>62177.818387310777</v>
      </c>
      <c r="U13" s="33">
        <v>0.19049100000120231</v>
      </c>
      <c r="V13" s="5">
        <v>2</v>
      </c>
      <c r="W13" s="5">
        <v>90</v>
      </c>
      <c r="X13" s="33">
        <v>130.03652610062821</v>
      </c>
      <c r="Y13" s="5">
        <v>28.149323225699291</v>
      </c>
      <c r="Z13" s="5">
        <v>1921.4431021132771</v>
      </c>
      <c r="AA13" s="35"/>
    </row>
    <row r="14" spans="2:27" x14ac:dyDescent="0.2">
      <c r="B14" s="46" t="s">
        <v>3</v>
      </c>
      <c r="C14" s="47"/>
      <c r="D14" s="9">
        <f>MIN(D4:D13)</f>
        <v>53777.552548424981</v>
      </c>
      <c r="E14" s="22">
        <f>INDEX(E4:E13, MATCH($D$14, D4:D13, 0))</f>
        <v>0.21091362500010291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5.4397662561213007</v>
      </c>
      <c r="I14" s="22">
        <f>INDEX(I4:I13, MATCH($D$14, D4:D13, 0))</f>
        <v>18.36790525535087</v>
      </c>
      <c r="J14" s="22">
        <f>INDEX(J4:J13, MATCH($D$14, D4:D13, 0))</f>
        <v>1463.9088681082449</v>
      </c>
      <c r="K14" s="32">
        <f>(D14-$D$15)/$D$15</f>
        <v>0</v>
      </c>
      <c r="L14" s="16">
        <f>MIN(L4:L13)</f>
        <v>56560.229267899529</v>
      </c>
      <c r="M14" s="21">
        <f>INDEX(M4:M13, MATCH($L$14, L4:L13, 0))</f>
        <v>0.20839904099921111</v>
      </c>
      <c r="N14" s="16">
        <f>INDEX(N4:N13, MATCH($L$14, L4:L13, 0))</f>
        <v>2</v>
      </c>
      <c r="O14" s="16">
        <f>INDEX(O4:O13, MATCH($L$14, L4:L13, 0))</f>
        <v>85</v>
      </c>
      <c r="P14" s="21">
        <f>INDEX(P4:P13, MATCH($L$14, L4:L13, 0))</f>
        <v>0</v>
      </c>
      <c r="Q14" s="21">
        <f>INDEX(Q4:Q13, MATCH($L$14, L4:L13, 0))</f>
        <v>17.75723066348505</v>
      </c>
      <c r="R14" s="21">
        <f>INDEX(R4:R13, MATCH($L$14, L4:L13, 0))</f>
        <v>1405.2594573815879</v>
      </c>
      <c r="S14" s="36">
        <f>(L14-$D$15)/$D$15</f>
        <v>5.1744205297718518E-2</v>
      </c>
      <c r="T14" s="38">
        <f>MIN(T4:T13)</f>
        <v>61680.386365562023</v>
      </c>
      <c r="U14" s="39">
        <f>INDEX(U4:U13, MATCH($T$14, T4:T13, 0))</f>
        <v>0.21353133299999169</v>
      </c>
      <c r="V14" s="38">
        <f>INDEX(V4:V13, MATCH($T$14, T4:T13, 0))</f>
        <v>2</v>
      </c>
      <c r="W14" s="38">
        <f>INDEX(W4:W13, MATCH($T$14, T4:T13, 0))</f>
        <v>85</v>
      </c>
      <c r="X14" s="39">
        <f>INDEX(X4:X13, MATCH($T$14, T4:T13, 0))</f>
        <v>73.276502443711408</v>
      </c>
      <c r="Y14" s="39">
        <f>INDEX(Y4:Y13, MATCH($T$14, T4:T13, 0))</f>
        <v>25.215384922942619</v>
      </c>
      <c r="Z14" s="39">
        <f>INDEX(Z4:Z13, MATCH($T$14, T4:T13, 0))</f>
        <v>1759.6929857830501</v>
      </c>
      <c r="AA14" s="40">
        <f>(T14-$D$15)/$D$15</f>
        <v>0.14695413685888345</v>
      </c>
    </row>
    <row r="15" spans="2:27" x14ac:dyDescent="0.2">
      <c r="C15" s="1" t="s">
        <v>17</v>
      </c>
      <c r="D15" s="34">
        <v>53777.552548424981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3:C1048576">
    <cfRule type="duplicateValues" dxfId="103" priority="11"/>
    <cfRule type="duplicateValues" dxfId="102" priority="12"/>
  </conditionalFormatting>
  <conditionalFormatting sqref="C14">
    <cfRule type="duplicateValues" dxfId="101" priority="5"/>
    <cfRule type="duplicateValues" dxfId="100" priority="6"/>
  </conditionalFormatting>
  <conditionalFormatting sqref="C18:C32">
    <cfRule type="duplicateValues" dxfId="23" priority="3"/>
    <cfRule type="duplicateValues" dxfId="22" priority="4"/>
  </conditionalFormatting>
  <conditionalFormatting sqref="C17">
    <cfRule type="duplicateValues" dxfId="21" priority="1"/>
    <cfRule type="duplicateValues" dxfId="2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4875-C2CB-214F-B079-1D97E197D245}">
  <dimension ref="B1:AA17"/>
  <sheetViews>
    <sheetView zoomScale="110" zoomScaleNormal="110" workbookViewId="0">
      <selection activeCell="A17" sqref="A17:XFD32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 t="e">
        <f>(Q14-H14)/H14</f>
        <v>#DIV/0!</v>
      </c>
      <c r="J2" s="28">
        <f>(S14-J14)/J14</f>
        <v>-0.99980122847360053</v>
      </c>
      <c r="K2" s="28"/>
      <c r="L2" s="1" t="s">
        <v>19</v>
      </c>
      <c r="P2" s="1" t="e">
        <f>(P14-H14)/H14</f>
        <v>#DIV/0!</v>
      </c>
      <c r="R2" s="1">
        <f>(R14-J14)/J14</f>
        <v>-0.15298007388421486</v>
      </c>
      <c r="T2" s="1" t="s">
        <v>20</v>
      </c>
      <c r="X2" s="1" t="e">
        <f>(X14-P14)/P14</f>
        <v>#DIV/0!</v>
      </c>
      <c r="Z2" s="1">
        <f>(Z14-R14)/R14</f>
        <v>0.6646033147823972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250</v>
      </c>
      <c r="D4" s="23">
        <v>55501.121768250829</v>
      </c>
      <c r="E4" s="33">
        <v>0.26441045899991877</v>
      </c>
      <c r="F4" s="5">
        <v>2</v>
      </c>
      <c r="G4" s="23">
        <v>85</v>
      </c>
      <c r="H4" s="33">
        <v>0</v>
      </c>
      <c r="I4" s="23">
        <v>31.270511545843355</v>
      </c>
      <c r="J4" s="5">
        <v>1540.5610533773049</v>
      </c>
      <c r="K4" s="31"/>
      <c r="L4" s="23">
        <v>74263.681647143603</v>
      </c>
      <c r="M4" s="33">
        <v>0.28964870799973141</v>
      </c>
      <c r="N4" s="5">
        <v>2</v>
      </c>
      <c r="O4" s="5">
        <v>55</v>
      </c>
      <c r="P4" s="33">
        <v>0</v>
      </c>
      <c r="Q4" s="5">
        <v>18.637830962700779</v>
      </c>
      <c r="R4" s="5">
        <v>1186.858255550163</v>
      </c>
      <c r="S4" s="31"/>
      <c r="T4" s="23">
        <v>67685.05369599699</v>
      </c>
      <c r="U4" s="33">
        <v>0.32078674999866053</v>
      </c>
      <c r="V4" s="5">
        <v>2</v>
      </c>
      <c r="W4" s="5">
        <v>75</v>
      </c>
      <c r="X4" s="33">
        <v>34.387179570154913</v>
      </c>
      <c r="Y4" s="5">
        <v>50.742489554638873</v>
      </c>
      <c r="Z4" s="5">
        <v>2185.3496945905949</v>
      </c>
      <c r="AA4" s="35"/>
    </row>
    <row r="5" spans="2:27" x14ac:dyDescent="0.2">
      <c r="B5" s="4">
        <v>2</v>
      </c>
      <c r="C5" s="4">
        <v>267</v>
      </c>
      <c r="D5" s="23">
        <v>55501.121768250829</v>
      </c>
      <c r="E5" s="33">
        <v>0.21569375000035509</v>
      </c>
      <c r="F5" s="5">
        <v>2</v>
      </c>
      <c r="G5" s="23">
        <v>85</v>
      </c>
      <c r="H5" s="33">
        <v>0</v>
      </c>
      <c r="I5" s="23">
        <v>31.270511545843355</v>
      </c>
      <c r="J5" s="5">
        <v>1540.5610533773049</v>
      </c>
      <c r="K5" s="31"/>
      <c r="L5" s="23">
        <v>74263.681647143603</v>
      </c>
      <c r="M5" s="33">
        <v>0.19925725000211969</v>
      </c>
      <c r="N5" s="5">
        <v>2</v>
      </c>
      <c r="O5" s="5">
        <v>55</v>
      </c>
      <c r="P5" s="33">
        <v>0</v>
      </c>
      <c r="Q5" s="5">
        <v>18.637830962700779</v>
      </c>
      <c r="R5" s="5">
        <v>1186.858255550163</v>
      </c>
      <c r="S5" s="31"/>
      <c r="T5" s="23">
        <v>67387.299909539506</v>
      </c>
      <c r="U5" s="33">
        <v>0.30686224999953993</v>
      </c>
      <c r="V5" s="5">
        <v>2</v>
      </c>
      <c r="W5" s="5">
        <v>75</v>
      </c>
      <c r="X5" s="33">
        <v>32.496853278234717</v>
      </c>
      <c r="Y5" s="5">
        <v>52.174914376263168</v>
      </c>
      <c r="Z5" s="5">
        <v>2172.1174105471541</v>
      </c>
      <c r="AA5" s="35"/>
    </row>
    <row r="6" spans="2:27" x14ac:dyDescent="0.2">
      <c r="B6" s="4">
        <v>3</v>
      </c>
      <c r="C6" s="4">
        <v>287</v>
      </c>
      <c r="D6" s="23">
        <v>55501.121768250829</v>
      </c>
      <c r="E6" s="33">
        <v>0.28350233400124131</v>
      </c>
      <c r="F6" s="5">
        <v>2</v>
      </c>
      <c r="G6" s="23">
        <v>85</v>
      </c>
      <c r="H6" s="33">
        <v>0</v>
      </c>
      <c r="I6" s="23">
        <v>31.270511545843355</v>
      </c>
      <c r="J6" s="5">
        <v>1540.5610533773049</v>
      </c>
      <c r="K6" s="31"/>
      <c r="L6" s="23">
        <v>72496.657076823714</v>
      </c>
      <c r="M6" s="33">
        <v>0.27487208400270902</v>
      </c>
      <c r="N6" s="5">
        <v>2</v>
      </c>
      <c r="O6" s="5">
        <v>60</v>
      </c>
      <c r="P6" s="33">
        <v>0</v>
      </c>
      <c r="Q6" s="5">
        <v>20.113012822057211</v>
      </c>
      <c r="R6" s="5">
        <v>1304.8859096085009</v>
      </c>
      <c r="S6" s="31"/>
      <c r="T6" s="23">
        <v>68188.891477887024</v>
      </c>
      <c r="U6" s="33">
        <v>0.28901479100022698</v>
      </c>
      <c r="V6" s="5">
        <v>2</v>
      </c>
      <c r="W6" s="5">
        <v>75</v>
      </c>
      <c r="X6" s="33">
        <v>67.183666124422658</v>
      </c>
      <c r="Y6" s="5">
        <v>46.731909378103289</v>
      </c>
      <c r="Z6" s="5">
        <v>2018.7499715176471</v>
      </c>
      <c r="AA6" s="35"/>
    </row>
    <row r="7" spans="2:27" x14ac:dyDescent="0.2">
      <c r="B7" s="4">
        <v>4</v>
      </c>
      <c r="C7" s="4">
        <v>411</v>
      </c>
      <c r="D7" s="23">
        <v>55501.121768250829</v>
      </c>
      <c r="E7" s="33">
        <v>0.2943011250008567</v>
      </c>
      <c r="F7" s="5">
        <v>2</v>
      </c>
      <c r="G7" s="23">
        <v>85</v>
      </c>
      <c r="H7" s="33">
        <v>0</v>
      </c>
      <c r="I7" s="23">
        <v>31.270511545843355</v>
      </c>
      <c r="J7" s="5">
        <v>1540.5610533773049</v>
      </c>
      <c r="K7" s="31"/>
      <c r="L7" s="23">
        <v>72496.657076823714</v>
      </c>
      <c r="M7" s="33">
        <v>0.21962037499906731</v>
      </c>
      <c r="N7" s="5">
        <v>2</v>
      </c>
      <c r="O7" s="5">
        <v>60</v>
      </c>
      <c r="P7" s="33">
        <v>0</v>
      </c>
      <c r="Q7" s="5">
        <v>20.113012822057211</v>
      </c>
      <c r="R7" s="5">
        <v>1304.8859096085009</v>
      </c>
      <c r="S7" s="31"/>
      <c r="T7" s="23">
        <v>67891.137691429525</v>
      </c>
      <c r="U7" s="33">
        <v>0.34143479200065491</v>
      </c>
      <c r="V7" s="5">
        <v>2</v>
      </c>
      <c r="W7" s="5">
        <v>75</v>
      </c>
      <c r="X7" s="33">
        <v>65.293339832502468</v>
      </c>
      <c r="Y7" s="5">
        <v>48.164334199727591</v>
      </c>
      <c r="Z7" s="5">
        <v>2005.517687474206</v>
      </c>
      <c r="AA7" s="35"/>
    </row>
    <row r="8" spans="2:27" x14ac:dyDescent="0.2">
      <c r="B8" s="4">
        <v>5</v>
      </c>
      <c r="C8" s="4">
        <v>548</v>
      </c>
      <c r="D8" s="23">
        <v>55501.121768250829</v>
      </c>
      <c r="E8" s="33">
        <v>0.18324533399936629</v>
      </c>
      <c r="F8" s="5">
        <v>2</v>
      </c>
      <c r="G8" s="23">
        <v>85</v>
      </c>
      <c r="H8" s="33">
        <v>0</v>
      </c>
      <c r="I8" s="23">
        <v>31.270511545843355</v>
      </c>
      <c r="J8" s="5">
        <v>1540.5610533773049</v>
      </c>
      <c r="K8" s="31"/>
      <c r="L8" s="23">
        <v>72496.657076823714</v>
      </c>
      <c r="M8" s="33">
        <v>0.18016937500215141</v>
      </c>
      <c r="N8" s="5">
        <v>2</v>
      </c>
      <c r="O8" s="5">
        <v>60</v>
      </c>
      <c r="P8" s="33">
        <v>0</v>
      </c>
      <c r="Q8" s="5">
        <v>20.113012822057211</v>
      </c>
      <c r="R8" s="5">
        <v>1304.8859096085009</v>
      </c>
      <c r="S8" s="31"/>
      <c r="T8" s="23">
        <v>68076.313000125898</v>
      </c>
      <c r="U8" s="33">
        <v>0.19143737500053251</v>
      </c>
      <c r="V8" s="5">
        <v>2</v>
      </c>
      <c r="W8" s="5">
        <v>75</v>
      </c>
      <c r="X8" s="33">
        <v>13.334488759087129</v>
      </c>
      <c r="Y8" s="5">
        <v>53.237896708312327</v>
      </c>
      <c r="Z8" s="5">
        <v>2258.6308192282322</v>
      </c>
      <c r="AA8" s="35"/>
    </row>
    <row r="9" spans="2:27" x14ac:dyDescent="0.2">
      <c r="B9" s="4">
        <v>6</v>
      </c>
      <c r="C9" s="4">
        <v>737</v>
      </c>
      <c r="D9" s="23">
        <v>55501.121768250829</v>
      </c>
      <c r="E9" s="33">
        <v>0.39138074999937089</v>
      </c>
      <c r="F9" s="5">
        <v>2</v>
      </c>
      <c r="G9" s="23">
        <v>85</v>
      </c>
      <c r="H9" s="33">
        <v>0</v>
      </c>
      <c r="I9" s="23">
        <v>31.270511545843355</v>
      </c>
      <c r="J9" s="5">
        <v>1540.5610533773049</v>
      </c>
      <c r="K9" s="31"/>
      <c r="L9" s="23">
        <v>72496.657076823714</v>
      </c>
      <c r="M9" s="33">
        <v>0.26533933300015627</v>
      </c>
      <c r="N9" s="5">
        <v>2</v>
      </c>
      <c r="O9" s="5">
        <v>60</v>
      </c>
      <c r="P9" s="33">
        <v>0</v>
      </c>
      <c r="Q9" s="5">
        <v>20.113012822057211</v>
      </c>
      <c r="R9" s="5">
        <v>1304.8859096085009</v>
      </c>
      <c r="S9" s="31"/>
      <c r="T9" s="23">
        <v>67387.299909539506</v>
      </c>
      <c r="U9" s="33">
        <v>0.42803712500244728</v>
      </c>
      <c r="V9" s="5">
        <v>2</v>
      </c>
      <c r="W9" s="5">
        <v>75</v>
      </c>
      <c r="X9" s="33">
        <v>32.496853278234717</v>
      </c>
      <c r="Y9" s="5">
        <v>52.174914376263168</v>
      </c>
      <c r="Z9" s="5">
        <v>2172.1174105471541</v>
      </c>
      <c r="AA9" s="35"/>
    </row>
    <row r="10" spans="2:27" x14ac:dyDescent="0.2">
      <c r="B10" s="4">
        <v>7</v>
      </c>
      <c r="C10" s="4">
        <v>843</v>
      </c>
      <c r="D10" s="23">
        <v>55501.121768250829</v>
      </c>
      <c r="E10" s="33">
        <v>0.28510195800117799</v>
      </c>
      <c r="F10" s="5">
        <v>2</v>
      </c>
      <c r="G10" s="23">
        <v>85</v>
      </c>
      <c r="H10" s="33">
        <v>0</v>
      </c>
      <c r="I10" s="23">
        <v>31.270511545843355</v>
      </c>
      <c r="J10" s="5">
        <v>1540.5610533773049</v>
      </c>
      <c r="K10" s="31"/>
      <c r="L10" s="23">
        <v>74273.341624628811</v>
      </c>
      <c r="M10" s="33">
        <v>0.37131495900030131</v>
      </c>
      <c r="N10" s="5">
        <v>2</v>
      </c>
      <c r="O10" s="5">
        <v>55</v>
      </c>
      <c r="P10" s="33">
        <v>0</v>
      </c>
      <c r="Q10" s="5">
        <v>17.129424286692181</v>
      </c>
      <c r="R10" s="5">
        <v>1116.331860950369</v>
      </c>
      <c r="S10" s="31"/>
      <c r="T10" s="23">
        <v>67916.828305805582</v>
      </c>
      <c r="U10" s="33">
        <v>0.53051662500001839</v>
      </c>
      <c r="V10" s="5">
        <v>2</v>
      </c>
      <c r="W10" s="5">
        <v>75</v>
      </c>
      <c r="X10" s="33">
        <v>23.29522861187327</v>
      </c>
      <c r="Y10" s="5">
        <v>51.164950453626858</v>
      </c>
      <c r="Z10" s="5">
        <v>2132.4661310425049</v>
      </c>
      <c r="AA10" s="35"/>
    </row>
    <row r="11" spans="2:27" x14ac:dyDescent="0.2">
      <c r="B11" s="4">
        <v>8</v>
      </c>
      <c r="C11" s="4">
        <v>852</v>
      </c>
      <c r="D11" s="23">
        <v>55501.121768250829</v>
      </c>
      <c r="E11" s="33">
        <v>0.34455541699935571</v>
      </c>
      <c r="F11" s="5">
        <v>2</v>
      </c>
      <c r="G11" s="23">
        <v>85</v>
      </c>
      <c r="H11" s="33">
        <v>0</v>
      </c>
      <c r="I11" s="23">
        <v>31.270511545843355</v>
      </c>
      <c r="J11" s="5">
        <v>1540.5610533773049</v>
      </c>
      <c r="K11" s="31"/>
      <c r="L11" s="23">
        <v>72496.657076823714</v>
      </c>
      <c r="M11" s="33">
        <v>0.2391562500015425</v>
      </c>
      <c r="N11" s="5">
        <v>2</v>
      </c>
      <c r="O11" s="5">
        <v>60</v>
      </c>
      <c r="P11" s="33">
        <v>0</v>
      </c>
      <c r="Q11" s="5">
        <v>20.113012822057211</v>
      </c>
      <c r="R11" s="5">
        <v>1304.8859096085009</v>
      </c>
      <c r="S11" s="31"/>
      <c r="T11" s="23">
        <v>67685.05369599699</v>
      </c>
      <c r="U11" s="33">
        <v>0.39103708300172002</v>
      </c>
      <c r="V11" s="5">
        <v>2</v>
      </c>
      <c r="W11" s="5">
        <v>75</v>
      </c>
      <c r="X11" s="33">
        <v>34.387179570154913</v>
      </c>
      <c r="Y11" s="5">
        <v>50.742489554638873</v>
      </c>
      <c r="Z11" s="5">
        <v>2185.3496945905949</v>
      </c>
      <c r="AA11" s="35"/>
    </row>
    <row r="12" spans="2:27" x14ac:dyDescent="0.2">
      <c r="B12" s="4">
        <v>9</v>
      </c>
      <c r="C12" s="4">
        <v>867</v>
      </c>
      <c r="D12" s="23">
        <v>55501.121768250829</v>
      </c>
      <c r="E12" s="33">
        <v>0.21686654099903541</v>
      </c>
      <c r="F12" s="5">
        <v>2</v>
      </c>
      <c r="G12" s="23">
        <v>85</v>
      </c>
      <c r="H12" s="33">
        <v>0</v>
      </c>
      <c r="I12" s="23">
        <v>31.270511545843355</v>
      </c>
      <c r="J12" s="5">
        <v>1540.5610533773049</v>
      </c>
      <c r="K12" s="31"/>
      <c r="L12" s="23">
        <v>74747.069064797397</v>
      </c>
      <c r="M12" s="33">
        <v>0.1461161669976718</v>
      </c>
      <c r="N12" s="5">
        <v>2</v>
      </c>
      <c r="O12" s="5">
        <v>55</v>
      </c>
      <c r="P12" s="33">
        <v>0</v>
      </c>
      <c r="Q12" s="5">
        <v>17.142714213353049</v>
      </c>
      <c r="R12" s="5">
        <v>1163.7970050678509</v>
      </c>
      <c r="S12" s="31"/>
      <c r="T12" s="23">
        <v>68214.582092263066</v>
      </c>
      <c r="U12" s="33">
        <v>0.25335045799874928</v>
      </c>
      <c r="V12" s="5">
        <v>2</v>
      </c>
      <c r="W12" s="5">
        <v>75</v>
      </c>
      <c r="X12" s="33">
        <v>25.185554903793459</v>
      </c>
      <c r="Y12" s="5">
        <v>49.732525632002563</v>
      </c>
      <c r="Z12" s="5">
        <v>2145.6984150859471</v>
      </c>
      <c r="AA12" s="35"/>
    </row>
    <row r="13" spans="2:27" x14ac:dyDescent="0.2">
      <c r="B13" s="4">
        <v>10</v>
      </c>
      <c r="C13" s="4">
        <v>925</v>
      </c>
      <c r="D13" s="23">
        <v>55501.121768250829</v>
      </c>
      <c r="E13" s="33">
        <v>0.18819833300040051</v>
      </c>
      <c r="F13" s="5">
        <v>2</v>
      </c>
      <c r="G13" s="23">
        <v>85</v>
      </c>
      <c r="H13" s="33">
        <v>0</v>
      </c>
      <c r="I13" s="23">
        <v>31.270511545843355</v>
      </c>
      <c r="J13" s="5">
        <v>1540.5610533773049</v>
      </c>
      <c r="K13" s="31"/>
      <c r="L13" s="23">
        <v>74263.681647143603</v>
      </c>
      <c r="M13" s="33">
        <v>0.2198403750007856</v>
      </c>
      <c r="N13" s="5">
        <v>2</v>
      </c>
      <c r="O13" s="5">
        <v>55</v>
      </c>
      <c r="P13" s="33">
        <v>0</v>
      </c>
      <c r="Q13" s="5">
        <v>18.637830962700779</v>
      </c>
      <c r="R13" s="5">
        <v>1186.858255550163</v>
      </c>
      <c r="S13" s="31"/>
      <c r="T13" s="23">
        <v>68076.313000125898</v>
      </c>
      <c r="U13" s="33">
        <v>0.28101124999739108</v>
      </c>
      <c r="V13" s="5">
        <v>2</v>
      </c>
      <c r="W13" s="5">
        <v>75</v>
      </c>
      <c r="X13" s="33">
        <v>13.334488759087129</v>
      </c>
      <c r="Y13" s="5">
        <v>53.237896708312327</v>
      </c>
      <c r="Z13" s="5">
        <v>2258.6308192282322</v>
      </c>
      <c r="AA13" s="35"/>
    </row>
    <row r="14" spans="2:27" x14ac:dyDescent="0.2">
      <c r="B14" s="46" t="s">
        <v>3</v>
      </c>
      <c r="C14" s="47"/>
      <c r="D14" s="9">
        <f>MIN(D4:D13)</f>
        <v>55501.121768250829</v>
      </c>
      <c r="E14" s="22">
        <f>INDEX(E4:E13, MATCH($D$14, D4:D13, 0))</f>
        <v>0.26441045899991877</v>
      </c>
      <c r="F14" s="9">
        <f>INDEX(F4:F13, MATCH($D$14, D4:D13, 0))</f>
        <v>2</v>
      </c>
      <c r="G14" s="9">
        <f>INDEX(G4:G13, MATCH($D$14, D4:D13, 0))</f>
        <v>85</v>
      </c>
      <c r="H14" s="22">
        <f>INDEX(H4:H13, MATCH($D$14, D4:D13, 0))</f>
        <v>0</v>
      </c>
      <c r="I14" s="22">
        <f>INDEX(I4:I13, MATCH($D$14, D4:D13, 0))</f>
        <v>31.270511545843355</v>
      </c>
      <c r="J14" s="22">
        <f>INDEX(J4:J13, MATCH($D$14, D4:D13, 0))</f>
        <v>1540.5610533773049</v>
      </c>
      <c r="K14" s="32">
        <f>(D14-$D$15)/$D$15</f>
        <v>0</v>
      </c>
      <c r="L14" s="16">
        <f>MIN(L4:L13)</f>
        <v>72496.657076823714</v>
      </c>
      <c r="M14" s="21">
        <f>INDEX(M4:M13, MATCH($L$14, L4:L13, 0))</f>
        <v>0.27487208400270902</v>
      </c>
      <c r="N14" s="16">
        <f>INDEX(N4:N13, MATCH($L$14, L4:L13, 0))</f>
        <v>2</v>
      </c>
      <c r="O14" s="16">
        <f>INDEX(O4:O13, MATCH($L$14, L4:L13, 0))</f>
        <v>60</v>
      </c>
      <c r="P14" s="21">
        <f>INDEX(P4:P13, MATCH($L$14, L4:L13, 0))</f>
        <v>0</v>
      </c>
      <c r="Q14" s="21">
        <f>INDEX(Q4:Q13, MATCH($L$14, L4:L13, 0))</f>
        <v>20.113012822057211</v>
      </c>
      <c r="R14" s="21">
        <f>INDEX(R4:R13, MATCH($L$14, L4:L13, 0))</f>
        <v>1304.8859096085009</v>
      </c>
      <c r="S14" s="36">
        <f>(L14-$D$15)/$D$15</f>
        <v>0.30621967209129647</v>
      </c>
      <c r="T14" s="38">
        <f>MIN(T4:T13)</f>
        <v>67387.299909539506</v>
      </c>
      <c r="U14" s="39">
        <f>INDEX(U4:U13, MATCH($T$14, T4:T13, 0))</f>
        <v>0.30686224999953993</v>
      </c>
      <c r="V14" s="38">
        <f>INDEX(V4:V13, MATCH($T$14, T4:T13, 0))</f>
        <v>2</v>
      </c>
      <c r="W14" s="38">
        <f>INDEX(W4:W13, MATCH($T$14, T4:T13, 0))</f>
        <v>75</v>
      </c>
      <c r="X14" s="39">
        <f>INDEX(X4:X13, MATCH($T$14, T4:T13, 0))</f>
        <v>32.496853278234717</v>
      </c>
      <c r="Y14" s="39">
        <f>INDEX(Y4:Y13, MATCH($T$14, T4:T13, 0))</f>
        <v>52.174914376263168</v>
      </c>
      <c r="Z14" s="39">
        <f>INDEX(Z4:Z13, MATCH($T$14, T4:T13, 0))</f>
        <v>2172.1174105471541</v>
      </c>
      <c r="AA14" s="40">
        <f>(T14-$D$15)/$D$15</f>
        <v>0.21416104328341906</v>
      </c>
    </row>
    <row r="15" spans="2:27" x14ac:dyDescent="0.2">
      <c r="C15" s="1" t="s">
        <v>17</v>
      </c>
      <c r="D15" s="34">
        <v>55501.121768250829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3:C1048576">
    <cfRule type="duplicateValues" dxfId="97" priority="11"/>
    <cfRule type="duplicateValues" dxfId="96" priority="12"/>
  </conditionalFormatting>
  <conditionalFormatting sqref="C14">
    <cfRule type="duplicateValues" dxfId="95" priority="5"/>
    <cfRule type="duplicateValues" dxfId="94" priority="6"/>
  </conditionalFormatting>
  <conditionalFormatting sqref="C18:C32">
    <cfRule type="duplicateValues" dxfId="19" priority="3"/>
    <cfRule type="duplicateValues" dxfId="18" priority="4"/>
  </conditionalFormatting>
  <conditionalFormatting sqref="C17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17202-1090-1B47-BE90-1207680DE549}">
  <dimension ref="B1:AA17"/>
  <sheetViews>
    <sheetView zoomScale="110" zoomScaleNormal="110" workbookViewId="0">
      <selection activeCell="A17" sqref="A17:XFD32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 t="e">
        <f>(Q14-H14)/H14</f>
        <v>#DIV/0!</v>
      </c>
      <c r="J2" s="28">
        <f>(S14-J14)/J14</f>
        <v>-0.99986712957563006</v>
      </c>
      <c r="K2" s="28"/>
      <c r="L2" s="1" t="s">
        <v>19</v>
      </c>
      <c r="P2" s="1" t="e">
        <f>(P14-H14)/H14</f>
        <v>#DIV/0!</v>
      </c>
      <c r="R2" s="1">
        <f>(R14-J14)/J14</f>
        <v>-0.13629911214274962</v>
      </c>
      <c r="T2" s="1" t="s">
        <v>20</v>
      </c>
      <c r="X2" s="1" t="e">
        <f>(X14-P14)/P14</f>
        <v>#DIV/0!</v>
      </c>
      <c r="Z2" s="1">
        <f>(Z14-R14)/R14</f>
        <v>0.48312895890170476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149</v>
      </c>
      <c r="D4" s="23">
        <v>56362.025923255387</v>
      </c>
      <c r="E4" s="33">
        <v>0.23990487499941079</v>
      </c>
      <c r="F4" s="5">
        <v>2</v>
      </c>
      <c r="G4" s="23">
        <v>85</v>
      </c>
      <c r="H4" s="33">
        <v>0</v>
      </c>
      <c r="I4" s="23">
        <v>28.21543360336463</v>
      </c>
      <c r="J4" s="5">
        <v>1471.2125993134923</v>
      </c>
      <c r="K4" s="31"/>
      <c r="L4" s="23">
        <v>67379.710958221694</v>
      </c>
      <c r="M4" s="33">
        <v>0.19374475000222449</v>
      </c>
      <c r="N4" s="5">
        <v>2</v>
      </c>
      <c r="O4" s="5">
        <v>65</v>
      </c>
      <c r="P4" s="33">
        <v>0</v>
      </c>
      <c r="Q4" s="5">
        <v>21.666726408105713</v>
      </c>
      <c r="R4" s="5">
        <v>1270.6876282538365</v>
      </c>
      <c r="S4" s="31"/>
      <c r="T4" s="23">
        <v>63573.396234647793</v>
      </c>
      <c r="U4" s="33">
        <v>0.22413804199823059</v>
      </c>
      <c r="V4" s="5">
        <v>2</v>
      </c>
      <c r="W4" s="5">
        <v>85</v>
      </c>
      <c r="X4" s="33">
        <v>44.011553468225202</v>
      </c>
      <c r="Y4" s="5">
        <v>48.732735057332832</v>
      </c>
      <c r="Z4" s="5">
        <v>2075.7710245760859</v>
      </c>
      <c r="AA4" s="35"/>
    </row>
    <row r="5" spans="2:27" x14ac:dyDescent="0.2">
      <c r="B5" s="4">
        <v>2</v>
      </c>
      <c r="C5" s="4">
        <v>165</v>
      </c>
      <c r="D5" s="23">
        <v>56362.025923255387</v>
      </c>
      <c r="E5" s="33">
        <v>0.24110087500048391</v>
      </c>
      <c r="F5" s="5">
        <v>2</v>
      </c>
      <c r="G5" s="23">
        <v>85</v>
      </c>
      <c r="H5" s="33">
        <v>0</v>
      </c>
      <c r="I5" s="23">
        <v>28.21543360336463</v>
      </c>
      <c r="J5" s="5">
        <v>1471.2125993134923</v>
      </c>
      <c r="K5" s="31"/>
      <c r="L5" s="23">
        <v>67379.710958221694</v>
      </c>
      <c r="M5" s="33">
        <v>0.2532744999989518</v>
      </c>
      <c r="N5" s="5">
        <v>2</v>
      </c>
      <c r="O5" s="5">
        <v>65</v>
      </c>
      <c r="P5" s="33">
        <v>0</v>
      </c>
      <c r="Q5" s="5">
        <v>21.666726408105713</v>
      </c>
      <c r="R5" s="5">
        <v>1270.6876282538365</v>
      </c>
      <c r="S5" s="31"/>
      <c r="T5" s="23">
        <v>63573.396234647793</v>
      </c>
      <c r="U5" s="33">
        <v>0.26800233399990248</v>
      </c>
      <c r="V5" s="5">
        <v>2</v>
      </c>
      <c r="W5" s="5">
        <v>85</v>
      </c>
      <c r="X5" s="33">
        <v>44.011553468225202</v>
      </c>
      <c r="Y5" s="5">
        <v>48.732735057332832</v>
      </c>
      <c r="Z5" s="5">
        <v>2075.7710245760859</v>
      </c>
      <c r="AA5" s="35"/>
    </row>
    <row r="6" spans="2:27" x14ac:dyDescent="0.2">
      <c r="B6" s="4">
        <v>3</v>
      </c>
      <c r="C6" s="4">
        <v>518</v>
      </c>
      <c r="D6" s="23">
        <v>56362.025923255387</v>
      </c>
      <c r="E6" s="33">
        <v>0.2170856669999921</v>
      </c>
      <c r="F6" s="5">
        <v>2</v>
      </c>
      <c r="G6" s="23">
        <v>85</v>
      </c>
      <c r="H6" s="33">
        <v>0</v>
      </c>
      <c r="I6" s="23">
        <v>28.21543360336463</v>
      </c>
      <c r="J6" s="5">
        <v>1471.2125993134923</v>
      </c>
      <c r="K6" s="31"/>
      <c r="L6" s="23">
        <v>67379.710958221694</v>
      </c>
      <c r="M6" s="33">
        <v>0.19391083300070019</v>
      </c>
      <c r="N6" s="5">
        <v>2</v>
      </c>
      <c r="O6" s="5">
        <v>65</v>
      </c>
      <c r="P6" s="33">
        <v>0</v>
      </c>
      <c r="Q6" s="5">
        <v>21.666726408105713</v>
      </c>
      <c r="R6" s="5">
        <v>1270.6876282538365</v>
      </c>
      <c r="S6" s="31"/>
      <c r="T6" s="23">
        <v>63503.06841615423</v>
      </c>
      <c r="U6" s="33">
        <v>0.23497095800121309</v>
      </c>
      <c r="V6" s="5">
        <v>2</v>
      </c>
      <c r="W6" s="5">
        <v>80</v>
      </c>
      <c r="X6" s="33">
        <v>26.095753285562409</v>
      </c>
      <c r="Y6" s="5">
        <v>45.072126558014659</v>
      </c>
      <c r="Z6" s="5">
        <v>1884.5936191813889</v>
      </c>
      <c r="AA6" s="35"/>
    </row>
    <row r="7" spans="2:27" x14ac:dyDescent="0.2">
      <c r="B7" s="4">
        <v>4</v>
      </c>
      <c r="C7" s="4">
        <v>387</v>
      </c>
      <c r="D7" s="23">
        <v>56362.025923255387</v>
      </c>
      <c r="E7" s="33">
        <v>0.16864341700056679</v>
      </c>
      <c r="F7" s="5">
        <v>2</v>
      </c>
      <c r="G7" s="23">
        <v>85</v>
      </c>
      <c r="H7" s="33">
        <v>0</v>
      </c>
      <c r="I7" s="23">
        <v>28.21543360336463</v>
      </c>
      <c r="J7" s="5">
        <v>1471.2125993134923</v>
      </c>
      <c r="K7" s="31"/>
      <c r="L7" s="23">
        <v>67379.710958221694</v>
      </c>
      <c r="M7" s="33">
        <v>0.28438520800045808</v>
      </c>
      <c r="N7" s="5">
        <v>2</v>
      </c>
      <c r="O7" s="5">
        <v>65</v>
      </c>
      <c r="P7" s="33">
        <v>0</v>
      </c>
      <c r="Q7" s="5">
        <v>21.666726408105713</v>
      </c>
      <c r="R7" s="5">
        <v>1270.6876282538365</v>
      </c>
      <c r="S7" s="31"/>
      <c r="T7" s="23">
        <v>63573.396234647793</v>
      </c>
      <c r="U7" s="33">
        <v>0.2187368749982852</v>
      </c>
      <c r="V7" s="5">
        <v>2</v>
      </c>
      <c r="W7" s="5">
        <v>85</v>
      </c>
      <c r="X7" s="33">
        <v>44.011553468225202</v>
      </c>
      <c r="Y7" s="5">
        <v>48.732735057332832</v>
      </c>
      <c r="Z7" s="5">
        <v>2075.7710245760859</v>
      </c>
      <c r="AA7" s="35"/>
    </row>
    <row r="8" spans="2:27" x14ac:dyDescent="0.2">
      <c r="B8" s="4">
        <v>5</v>
      </c>
      <c r="C8" s="4">
        <v>471</v>
      </c>
      <c r="D8" s="23">
        <v>56362.025923255387</v>
      </c>
      <c r="E8" s="33">
        <v>0.48742087499886111</v>
      </c>
      <c r="F8" s="5">
        <v>2</v>
      </c>
      <c r="G8" s="23">
        <v>85</v>
      </c>
      <c r="H8" s="33">
        <v>0</v>
      </c>
      <c r="I8" s="23">
        <v>28.21543360336463</v>
      </c>
      <c r="J8" s="5">
        <v>1471.2125993134923</v>
      </c>
      <c r="K8" s="31"/>
      <c r="L8" s="23">
        <v>67379.710958221694</v>
      </c>
      <c r="M8" s="33">
        <v>0.29755320899857912</v>
      </c>
      <c r="N8" s="5">
        <v>2</v>
      </c>
      <c r="O8" s="5">
        <v>65</v>
      </c>
      <c r="P8" s="33">
        <v>0</v>
      </c>
      <c r="Q8" s="5">
        <v>21.666726408105713</v>
      </c>
      <c r="R8" s="5">
        <v>1270.6876282538365</v>
      </c>
      <c r="S8" s="31"/>
      <c r="T8" s="23">
        <v>63573.396234647793</v>
      </c>
      <c r="U8" s="33">
        <v>0.42019945799984271</v>
      </c>
      <c r="V8" s="5">
        <v>2</v>
      </c>
      <c r="W8" s="5">
        <v>85</v>
      </c>
      <c r="X8" s="33">
        <v>44.011553468225202</v>
      </c>
      <c r="Y8" s="5">
        <v>48.732735057332832</v>
      </c>
      <c r="Z8" s="5">
        <v>2075.7710245760859</v>
      </c>
      <c r="AA8" s="35"/>
    </row>
    <row r="9" spans="2:27" x14ac:dyDescent="0.2">
      <c r="B9" s="4">
        <v>6</v>
      </c>
      <c r="C9" s="4">
        <v>563</v>
      </c>
      <c r="D9" s="23">
        <v>56362.025923255387</v>
      </c>
      <c r="E9" s="33">
        <v>0.37395570800072159</v>
      </c>
      <c r="F9" s="5">
        <v>2</v>
      </c>
      <c r="G9" s="23">
        <v>85</v>
      </c>
      <c r="H9" s="33">
        <v>0</v>
      </c>
      <c r="I9" s="23">
        <v>28.21543360336463</v>
      </c>
      <c r="J9" s="5">
        <v>1471.2125993134923</v>
      </c>
      <c r="K9" s="31"/>
      <c r="L9" s="23">
        <v>67379.710958221694</v>
      </c>
      <c r="M9" s="33">
        <v>0.2515625829983037</v>
      </c>
      <c r="N9" s="5">
        <v>2</v>
      </c>
      <c r="O9" s="5">
        <v>65</v>
      </c>
      <c r="P9" s="33">
        <v>0</v>
      </c>
      <c r="Q9" s="5">
        <v>21.666726408105713</v>
      </c>
      <c r="R9" s="5">
        <v>1270.6876282538365</v>
      </c>
      <c r="S9" s="31"/>
      <c r="T9" s="23">
        <v>63573.396234647793</v>
      </c>
      <c r="U9" s="33">
        <v>0.34817750000001979</v>
      </c>
      <c r="V9" s="5">
        <v>2</v>
      </c>
      <c r="W9" s="5">
        <v>85</v>
      </c>
      <c r="X9" s="33">
        <v>44.011553468225202</v>
      </c>
      <c r="Y9" s="5">
        <v>48.732735057332832</v>
      </c>
      <c r="Z9" s="5">
        <v>2075.7710245760859</v>
      </c>
      <c r="AA9" s="35"/>
    </row>
    <row r="10" spans="2:27" x14ac:dyDescent="0.2">
      <c r="B10" s="4">
        <v>7</v>
      </c>
      <c r="C10" s="4">
        <v>558</v>
      </c>
      <c r="D10" s="23">
        <v>56362.025923255387</v>
      </c>
      <c r="E10" s="33">
        <v>0.2112807499997871</v>
      </c>
      <c r="F10" s="5">
        <v>2</v>
      </c>
      <c r="G10" s="23">
        <v>85</v>
      </c>
      <c r="H10" s="33">
        <v>0</v>
      </c>
      <c r="I10" s="23">
        <v>28.21543360336463</v>
      </c>
      <c r="J10" s="5">
        <v>1471.2125993134923</v>
      </c>
      <c r="K10" s="31"/>
      <c r="L10" s="23">
        <v>67379.710958221694</v>
      </c>
      <c r="M10" s="33">
        <v>0.26160095900195302</v>
      </c>
      <c r="N10" s="5">
        <v>2</v>
      </c>
      <c r="O10" s="5">
        <v>65</v>
      </c>
      <c r="P10" s="33">
        <v>0</v>
      </c>
      <c r="Q10" s="5">
        <v>21.666726408105713</v>
      </c>
      <c r="R10" s="5">
        <v>1270.6876282538365</v>
      </c>
      <c r="S10" s="31"/>
      <c r="T10" s="23">
        <v>63573.396234647793</v>
      </c>
      <c r="U10" s="33">
        <v>0.2448633750027511</v>
      </c>
      <c r="V10" s="5">
        <v>2</v>
      </c>
      <c r="W10" s="5">
        <v>85</v>
      </c>
      <c r="X10" s="33">
        <v>44.011553468225202</v>
      </c>
      <c r="Y10" s="5">
        <v>48.732735057332832</v>
      </c>
      <c r="Z10" s="5">
        <v>2075.7710245760859</v>
      </c>
      <c r="AA10" s="35"/>
    </row>
    <row r="11" spans="2:27" x14ac:dyDescent="0.2">
      <c r="B11" s="4">
        <v>8</v>
      </c>
      <c r="C11" s="4">
        <v>771</v>
      </c>
      <c r="D11" s="23">
        <v>56362.025923255387</v>
      </c>
      <c r="E11" s="33">
        <v>0.29657550000047189</v>
      </c>
      <c r="F11" s="5">
        <v>2</v>
      </c>
      <c r="G11" s="23">
        <v>85</v>
      </c>
      <c r="H11" s="33">
        <v>0</v>
      </c>
      <c r="I11" s="23">
        <v>28.21543360336463</v>
      </c>
      <c r="J11" s="5">
        <v>1471.2125993134923</v>
      </c>
      <c r="K11" s="31"/>
      <c r="L11" s="23">
        <v>67379.710958221694</v>
      </c>
      <c r="M11" s="33">
        <v>0.20069166699977359</v>
      </c>
      <c r="N11" s="5">
        <v>2</v>
      </c>
      <c r="O11" s="5">
        <v>65</v>
      </c>
      <c r="P11" s="33">
        <v>0</v>
      </c>
      <c r="Q11" s="5">
        <v>21.666726408105713</v>
      </c>
      <c r="R11" s="5">
        <v>1270.6876282538365</v>
      </c>
      <c r="S11" s="31"/>
      <c r="T11" s="23">
        <v>63503.06841615423</v>
      </c>
      <c r="U11" s="33">
        <v>0.3422687920028693</v>
      </c>
      <c r="V11" s="5">
        <v>2</v>
      </c>
      <c r="W11" s="5">
        <v>80</v>
      </c>
      <c r="X11" s="33">
        <v>26.095753285562409</v>
      </c>
      <c r="Y11" s="5">
        <v>45.072126558014659</v>
      </c>
      <c r="Z11" s="5">
        <v>1884.5936191813889</v>
      </c>
      <c r="AA11" s="35"/>
    </row>
    <row r="12" spans="2:27" x14ac:dyDescent="0.2">
      <c r="B12" s="4">
        <v>9</v>
      </c>
      <c r="C12" s="4">
        <v>775</v>
      </c>
      <c r="D12" s="23">
        <v>56362.025923255387</v>
      </c>
      <c r="E12" s="33">
        <v>0.1994005000015022</v>
      </c>
      <c r="F12" s="5">
        <v>2</v>
      </c>
      <c r="G12" s="23">
        <v>85</v>
      </c>
      <c r="H12" s="33">
        <v>0</v>
      </c>
      <c r="I12" s="23">
        <v>28.21543360336463</v>
      </c>
      <c r="J12" s="5">
        <v>1471.2125993134923</v>
      </c>
      <c r="K12" s="31"/>
      <c r="L12" s="23">
        <v>67379.710958221694</v>
      </c>
      <c r="M12" s="33">
        <v>0.29464229199948022</v>
      </c>
      <c r="N12" s="5">
        <v>2</v>
      </c>
      <c r="O12" s="5">
        <v>65</v>
      </c>
      <c r="P12" s="33">
        <v>0</v>
      </c>
      <c r="Q12" s="5">
        <v>21.666726408105713</v>
      </c>
      <c r="R12" s="5">
        <v>1270.6876282538365</v>
      </c>
      <c r="S12" s="31"/>
      <c r="T12" s="23">
        <v>63573.396234647793</v>
      </c>
      <c r="U12" s="33">
        <v>0.2383307080017403</v>
      </c>
      <c r="V12" s="5">
        <v>2</v>
      </c>
      <c r="W12" s="5">
        <v>85</v>
      </c>
      <c r="X12" s="33">
        <v>44.011553468225202</v>
      </c>
      <c r="Y12" s="5">
        <v>48.732735057332832</v>
      </c>
      <c r="Z12" s="5">
        <v>2075.7710245760859</v>
      </c>
      <c r="AA12" s="35"/>
    </row>
    <row r="13" spans="2:27" x14ac:dyDescent="0.2">
      <c r="B13" s="4">
        <v>10</v>
      </c>
      <c r="C13" s="4">
        <v>897</v>
      </c>
      <c r="D13" s="23">
        <v>56411.032890374699</v>
      </c>
      <c r="E13" s="33">
        <v>0.1588242920006451</v>
      </c>
      <c r="F13" s="5">
        <v>2</v>
      </c>
      <c r="G13" s="23">
        <v>85</v>
      </c>
      <c r="H13" s="33">
        <v>0</v>
      </c>
      <c r="I13" s="23">
        <v>28.505627643558672</v>
      </c>
      <c r="J13" s="5">
        <v>1479.2199522546691</v>
      </c>
      <c r="K13" s="31"/>
      <c r="L13" s="23">
        <v>67379.710958221694</v>
      </c>
      <c r="M13" s="33">
        <v>0.22395887499806119</v>
      </c>
      <c r="N13" s="5">
        <v>2</v>
      </c>
      <c r="O13" s="5">
        <v>65</v>
      </c>
      <c r="P13" s="33">
        <v>0</v>
      </c>
      <c r="Q13" s="5">
        <v>21.666726408105713</v>
      </c>
      <c r="R13" s="5">
        <v>1270.6876282538365</v>
      </c>
      <c r="S13" s="31"/>
      <c r="T13" s="23">
        <v>63573.396234647793</v>
      </c>
      <c r="U13" s="33">
        <v>0.19121512499987151</v>
      </c>
      <c r="V13" s="5">
        <v>2</v>
      </c>
      <c r="W13" s="5">
        <v>85</v>
      </c>
      <c r="X13" s="33">
        <v>44.011553468225202</v>
      </c>
      <c r="Y13" s="5">
        <v>48.732735057332832</v>
      </c>
      <c r="Z13" s="5">
        <v>2075.7710245760859</v>
      </c>
      <c r="AA13" s="35"/>
    </row>
    <row r="14" spans="2:27" x14ac:dyDescent="0.2">
      <c r="B14" s="46" t="s">
        <v>3</v>
      </c>
      <c r="C14" s="47"/>
      <c r="D14" s="9">
        <f>MIN(D4:D13)</f>
        <v>56362.025923255387</v>
      </c>
      <c r="E14" s="22">
        <f>INDEX(E4:E13, MATCH($D$14, D4:D13, 0))</f>
        <v>0.23990487499941079</v>
      </c>
      <c r="F14" s="9">
        <f>INDEX(F4:F13, MATCH($D$14, D4:D13, 0))</f>
        <v>2</v>
      </c>
      <c r="G14" s="9">
        <f>INDEX(G4:G13, MATCH($D$14, D4:D13, 0))</f>
        <v>85</v>
      </c>
      <c r="H14" s="22">
        <f>INDEX(H4:H13, MATCH($D$14, D4:D13, 0))</f>
        <v>0</v>
      </c>
      <c r="I14" s="22">
        <f>INDEX(I4:I13, MATCH($D$14, D4:D13, 0))</f>
        <v>28.21543360336463</v>
      </c>
      <c r="J14" s="22">
        <f>INDEX(J4:J13, MATCH($D$14, D4:D13, 0))</f>
        <v>1471.2125993134923</v>
      </c>
      <c r="K14" s="32">
        <f>(D14-$D$15)/$D$15</f>
        <v>0</v>
      </c>
      <c r="L14" s="16">
        <f>MIN(L4:L13)</f>
        <v>67379.710958221694</v>
      </c>
      <c r="M14" s="21">
        <f>INDEX(M4:M13, MATCH($L$14, L4:L13, 0))</f>
        <v>0.19374475000222449</v>
      </c>
      <c r="N14" s="16">
        <f>INDEX(N4:N13, MATCH($L$14, L4:L13, 0))</f>
        <v>2</v>
      </c>
      <c r="O14" s="16">
        <f>INDEX(O4:O13, MATCH($L$14, L4:L13, 0))</f>
        <v>65</v>
      </c>
      <c r="P14" s="21">
        <f>INDEX(P4:P13, MATCH($L$14, L4:L13, 0))</f>
        <v>0</v>
      </c>
      <c r="Q14" s="21">
        <f>INDEX(Q4:Q13, MATCH($L$14, L4:L13, 0))</f>
        <v>21.666726408105713</v>
      </c>
      <c r="R14" s="21">
        <f>INDEX(R4:R13, MATCH($L$14, L4:L13, 0))</f>
        <v>1270.6876282538365</v>
      </c>
      <c r="S14" s="36">
        <f>(L14-$D$15)/$D$15</f>
        <v>0.19548064240927737</v>
      </c>
      <c r="T14" s="38">
        <f>MIN(T4:T13)</f>
        <v>63503.06841615423</v>
      </c>
      <c r="U14" s="39">
        <f>INDEX(U4:U13, MATCH($T$14, T4:T13, 0))</f>
        <v>0.23497095800121309</v>
      </c>
      <c r="V14" s="38">
        <f>INDEX(V4:V13, MATCH($T$14, T4:T13, 0))</f>
        <v>2</v>
      </c>
      <c r="W14" s="38">
        <f>INDEX(W4:W13, MATCH($T$14, T4:T13, 0))</f>
        <v>80</v>
      </c>
      <c r="X14" s="39">
        <f>INDEX(X4:X13, MATCH($T$14, T4:T13, 0))</f>
        <v>26.095753285562409</v>
      </c>
      <c r="Y14" s="39">
        <f>INDEX(Y4:Y13, MATCH($T$14, T4:T13, 0))</f>
        <v>45.072126558014659</v>
      </c>
      <c r="Z14" s="39">
        <f>INDEX(Z4:Z13, MATCH($T$14, T4:T13, 0))</f>
        <v>1884.5936191813889</v>
      </c>
      <c r="AA14" s="40">
        <f>(T14-$D$15)/$D$15</f>
        <v>0.1266995352974421</v>
      </c>
    </row>
    <row r="15" spans="2:27" x14ac:dyDescent="0.2">
      <c r="C15" s="1" t="s">
        <v>17</v>
      </c>
      <c r="D15" s="34">
        <v>56362.025923255387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3:C1048576">
    <cfRule type="duplicateValues" dxfId="91" priority="11"/>
    <cfRule type="duplicateValues" dxfId="90" priority="12"/>
  </conditionalFormatting>
  <conditionalFormatting sqref="C14">
    <cfRule type="duplicateValues" dxfId="89" priority="5"/>
    <cfRule type="duplicateValues" dxfId="88" priority="6"/>
  </conditionalFormatting>
  <conditionalFormatting sqref="C18:C32">
    <cfRule type="duplicateValues" dxfId="15" priority="3"/>
    <cfRule type="duplicateValues" dxfId="14" priority="4"/>
  </conditionalFormatting>
  <conditionalFormatting sqref="C17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AD286-DA08-5748-A577-C00ACA74807E}">
  <dimension ref="B1:AA17"/>
  <sheetViews>
    <sheetView zoomScale="110" zoomScaleNormal="110" workbookViewId="0">
      <selection activeCell="A17" sqref="A17:XFD32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>
        <f>(Q14-H14)/H14</f>
        <v>0.76231214334407538</v>
      </c>
      <c r="J2" s="28">
        <f>(S14-J14)/J14</f>
        <v>-0.99993497461099323</v>
      </c>
      <c r="K2" s="28"/>
      <c r="L2" s="1" t="s">
        <v>19</v>
      </c>
      <c r="P2" s="1">
        <f>(P14-H14)/H14</f>
        <v>-1</v>
      </c>
      <c r="R2" s="1">
        <f>(R14-J14)/J14</f>
        <v>-0.1978060213489318</v>
      </c>
      <c r="T2" s="1" t="s">
        <v>20</v>
      </c>
      <c r="X2" s="1" t="e">
        <f>(X14-P14)/P14</f>
        <v>#DIV/0!</v>
      </c>
      <c r="Z2" s="1">
        <f>(Z14-R14)/R14</f>
        <v>0.32012520361992575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58</v>
      </c>
      <c r="D4" s="23">
        <v>61383.429584058693</v>
      </c>
      <c r="E4" s="33">
        <v>0.45611987499978568</v>
      </c>
      <c r="F4" s="5">
        <v>2</v>
      </c>
      <c r="G4" s="23">
        <v>90</v>
      </c>
      <c r="H4" s="33">
        <v>11.542058356880489</v>
      </c>
      <c r="I4" s="23">
        <v>28.051907765875129</v>
      </c>
      <c r="J4" s="5">
        <v>1990.3487838481992</v>
      </c>
      <c r="K4" s="31"/>
      <c r="L4" s="23">
        <v>69327.869708972197</v>
      </c>
      <c r="M4" s="33">
        <v>0.26170312500107679</v>
      </c>
      <c r="N4" s="5">
        <v>2</v>
      </c>
      <c r="O4" s="5">
        <v>70</v>
      </c>
      <c r="P4" s="33">
        <v>0</v>
      </c>
      <c r="Q4" s="5">
        <v>20.340709601516451</v>
      </c>
      <c r="R4" s="5">
        <v>1596.6458098185019</v>
      </c>
      <c r="S4" s="31"/>
      <c r="T4" s="23">
        <v>73797.250847909512</v>
      </c>
      <c r="U4" s="33">
        <v>0.33854087500003521</v>
      </c>
      <c r="V4" s="5">
        <v>2</v>
      </c>
      <c r="W4" s="5">
        <v>70</v>
      </c>
      <c r="X4" s="33">
        <v>4.8948367479456136</v>
      </c>
      <c r="Y4" s="5">
        <v>32.373301973770708</v>
      </c>
      <c r="Z4" s="5">
        <v>2107.7723747955511</v>
      </c>
      <c r="AA4" s="35"/>
    </row>
    <row r="5" spans="2:27" x14ac:dyDescent="0.2">
      <c r="B5" s="4">
        <v>2</v>
      </c>
      <c r="C5" s="4">
        <v>183</v>
      </c>
      <c r="D5" s="23">
        <v>61383.429584058693</v>
      </c>
      <c r="E5" s="33">
        <v>0.18883116700089889</v>
      </c>
      <c r="F5" s="5">
        <v>2</v>
      </c>
      <c r="G5" s="23">
        <v>90</v>
      </c>
      <c r="H5" s="33">
        <v>11.542058356880489</v>
      </c>
      <c r="I5" s="23">
        <v>28.051907765875129</v>
      </c>
      <c r="J5" s="5">
        <v>1990.3487838481992</v>
      </c>
      <c r="K5" s="31"/>
      <c r="L5" s="23">
        <v>69327.869708972197</v>
      </c>
      <c r="M5" s="33">
        <v>0.2522481659980258</v>
      </c>
      <c r="N5" s="5">
        <v>2</v>
      </c>
      <c r="O5" s="5">
        <v>70</v>
      </c>
      <c r="P5" s="33">
        <v>0</v>
      </c>
      <c r="Q5" s="5">
        <v>20.340709601516451</v>
      </c>
      <c r="R5" s="5">
        <v>1596.6458098185019</v>
      </c>
      <c r="S5" s="31"/>
      <c r="T5" s="23">
        <v>73797.250847909512</v>
      </c>
      <c r="U5" s="33">
        <v>0.47404904200084269</v>
      </c>
      <c r="V5" s="5">
        <v>2</v>
      </c>
      <c r="W5" s="5">
        <v>70</v>
      </c>
      <c r="X5" s="33">
        <v>4.8948367479456136</v>
      </c>
      <c r="Y5" s="5">
        <v>32.373301973770708</v>
      </c>
      <c r="Z5" s="5">
        <v>2107.7723747955511</v>
      </c>
      <c r="AA5" s="35"/>
    </row>
    <row r="6" spans="2:27" x14ac:dyDescent="0.2">
      <c r="B6" s="4">
        <v>3</v>
      </c>
      <c r="C6" s="4">
        <v>277</v>
      </c>
      <c r="D6" s="23">
        <v>61383.429584058693</v>
      </c>
      <c r="E6" s="33">
        <v>0.22983441599899379</v>
      </c>
      <c r="F6" s="5">
        <v>2</v>
      </c>
      <c r="G6" s="23">
        <v>90</v>
      </c>
      <c r="H6" s="33">
        <v>11.542058356880489</v>
      </c>
      <c r="I6" s="23">
        <v>28.051907765875129</v>
      </c>
      <c r="J6" s="5">
        <v>1990.3487838481992</v>
      </c>
      <c r="K6" s="31"/>
      <c r="L6" s="23">
        <v>70094.822540634705</v>
      </c>
      <c r="M6" s="33">
        <v>0.4393887080004788</v>
      </c>
      <c r="N6" s="5">
        <v>2</v>
      </c>
      <c r="O6" s="5">
        <v>70</v>
      </c>
      <c r="P6" s="33">
        <v>0</v>
      </c>
      <c r="Q6" s="5">
        <v>22.268456665484464</v>
      </c>
      <c r="R6" s="5">
        <v>1707.8673419095992</v>
      </c>
      <c r="S6" s="31"/>
      <c r="T6" s="23">
        <v>75415.830480905061</v>
      </c>
      <c r="U6" s="33">
        <v>0.30618212500121439</v>
      </c>
      <c r="V6" s="5">
        <v>2</v>
      </c>
      <c r="W6" s="5">
        <v>80</v>
      </c>
      <c r="X6" s="33">
        <v>54.320750557255757</v>
      </c>
      <c r="Y6" s="5">
        <v>40.54281457582092</v>
      </c>
      <c r="Z6" s="5">
        <v>2587.324234940731</v>
      </c>
      <c r="AA6" s="35"/>
    </row>
    <row r="7" spans="2:27" x14ac:dyDescent="0.2">
      <c r="B7" s="4">
        <v>4</v>
      </c>
      <c r="C7" s="4">
        <v>287</v>
      </c>
      <c r="D7" s="23">
        <v>61383.429584058693</v>
      </c>
      <c r="E7" s="33">
        <v>0.30769629199858167</v>
      </c>
      <c r="F7" s="5">
        <v>2</v>
      </c>
      <c r="G7" s="23">
        <v>90</v>
      </c>
      <c r="H7" s="33">
        <v>11.542058356880489</v>
      </c>
      <c r="I7" s="23">
        <v>28.051907765875129</v>
      </c>
      <c r="J7" s="5">
        <v>1990.3487838481992</v>
      </c>
      <c r="K7" s="31"/>
      <c r="L7" s="23">
        <v>69327.869708972197</v>
      </c>
      <c r="M7" s="33">
        <v>0.21416424999915759</v>
      </c>
      <c r="N7" s="5">
        <v>2</v>
      </c>
      <c r="O7" s="5">
        <v>70</v>
      </c>
      <c r="P7" s="33">
        <v>0</v>
      </c>
      <c r="Q7" s="5">
        <v>20.340709601516451</v>
      </c>
      <c r="R7" s="5">
        <v>1596.6458098185019</v>
      </c>
      <c r="S7" s="31"/>
      <c r="T7" s="23">
        <v>76783.899904403865</v>
      </c>
      <c r="U7" s="33">
        <v>0.33765499999935861</v>
      </c>
      <c r="V7" s="5">
        <v>2</v>
      </c>
      <c r="W7" s="5">
        <v>65</v>
      </c>
      <c r="X7" s="33">
        <v>12.52688701311015</v>
      </c>
      <c r="Y7" s="5">
        <v>31.90556406114457</v>
      </c>
      <c r="Z7" s="5">
        <v>2123.5946067794848</v>
      </c>
      <c r="AA7" s="35"/>
    </row>
    <row r="8" spans="2:27" x14ac:dyDescent="0.2">
      <c r="B8" s="4">
        <v>5</v>
      </c>
      <c r="C8" s="4">
        <v>100</v>
      </c>
      <c r="D8" s="23">
        <v>61383.429584058693</v>
      </c>
      <c r="E8" s="33">
        <v>0.25708229099836899</v>
      </c>
      <c r="F8" s="5">
        <v>2</v>
      </c>
      <c r="G8" s="23">
        <v>90</v>
      </c>
      <c r="H8" s="33">
        <v>11.542058356880489</v>
      </c>
      <c r="I8" s="23">
        <v>28.051907765875129</v>
      </c>
      <c r="J8" s="5">
        <v>1990.3487838481992</v>
      </c>
      <c r="K8" s="31"/>
      <c r="L8" s="23">
        <v>69327.869708972197</v>
      </c>
      <c r="M8" s="33">
        <v>0.27333895899937488</v>
      </c>
      <c r="N8" s="5">
        <v>2</v>
      </c>
      <c r="O8" s="5">
        <v>70</v>
      </c>
      <c r="P8" s="33">
        <v>0</v>
      </c>
      <c r="Q8" s="5">
        <v>20.340709601516451</v>
      </c>
      <c r="R8" s="5">
        <v>1596.6458098185019</v>
      </c>
      <c r="S8" s="31"/>
      <c r="T8" s="23">
        <v>73981.463871521672</v>
      </c>
      <c r="U8" s="33">
        <v>0.32625329100119421</v>
      </c>
      <c r="V8" s="5">
        <v>2</v>
      </c>
      <c r="W8" s="5">
        <v>75</v>
      </c>
      <c r="X8" s="33">
        <v>25.113930774492509</v>
      </c>
      <c r="Y8" s="5">
        <v>36.317439598835733</v>
      </c>
      <c r="Z8" s="5">
        <v>2327.5198340761849</v>
      </c>
      <c r="AA8" s="35"/>
    </row>
    <row r="9" spans="2:27" x14ac:dyDescent="0.2">
      <c r="B9" s="4">
        <v>6</v>
      </c>
      <c r="C9" s="4">
        <v>408</v>
      </c>
      <c r="D9" s="23">
        <v>61383.429584058693</v>
      </c>
      <c r="E9" s="33">
        <v>0.28268887499871198</v>
      </c>
      <c r="F9" s="5">
        <v>2</v>
      </c>
      <c r="G9" s="23">
        <v>90</v>
      </c>
      <c r="H9" s="33">
        <v>11.542058356880489</v>
      </c>
      <c r="I9" s="23">
        <v>28.051907765875129</v>
      </c>
      <c r="J9" s="5">
        <v>1990.3487838481992</v>
      </c>
      <c r="K9" s="31"/>
      <c r="L9" s="23">
        <v>69327.869708972197</v>
      </c>
      <c r="M9" s="33">
        <v>0.22934166699997149</v>
      </c>
      <c r="N9" s="5">
        <v>2</v>
      </c>
      <c r="O9" s="5">
        <v>70</v>
      </c>
      <c r="P9" s="33">
        <v>0</v>
      </c>
      <c r="Q9" s="5">
        <v>20.340709601516451</v>
      </c>
      <c r="R9" s="5">
        <v>1596.6458098185019</v>
      </c>
      <c r="S9" s="31"/>
      <c r="T9" s="23">
        <v>73797.250847909512</v>
      </c>
      <c r="U9" s="33">
        <v>0.4877385840009083</v>
      </c>
      <c r="V9" s="5">
        <v>2</v>
      </c>
      <c r="W9" s="5">
        <v>70</v>
      </c>
      <c r="X9" s="33">
        <v>4.8948367479456136</v>
      </c>
      <c r="Y9" s="5">
        <v>32.373301973770708</v>
      </c>
      <c r="Z9" s="5">
        <v>2107.7723747955511</v>
      </c>
      <c r="AA9" s="35"/>
    </row>
    <row r="10" spans="2:27" x14ac:dyDescent="0.2">
      <c r="B10" s="4">
        <v>7</v>
      </c>
      <c r="C10" s="4">
        <v>499</v>
      </c>
      <c r="D10" s="23">
        <v>61383.429584058693</v>
      </c>
      <c r="E10" s="33">
        <v>0.26182595799946279</v>
      </c>
      <c r="F10" s="5">
        <v>2</v>
      </c>
      <c r="G10" s="23">
        <v>90</v>
      </c>
      <c r="H10" s="33">
        <v>11.542058356880489</v>
      </c>
      <c r="I10" s="23">
        <v>28.051907765875129</v>
      </c>
      <c r="J10" s="5">
        <v>1990.3487838481992</v>
      </c>
      <c r="K10" s="31"/>
      <c r="L10" s="23">
        <v>69327.869708972197</v>
      </c>
      <c r="M10" s="33">
        <v>0.24107266599821739</v>
      </c>
      <c r="N10" s="5">
        <v>2</v>
      </c>
      <c r="O10" s="5">
        <v>70</v>
      </c>
      <c r="P10" s="33">
        <v>0</v>
      </c>
      <c r="Q10" s="5">
        <v>20.340709601516451</v>
      </c>
      <c r="R10" s="5">
        <v>1596.6458098185019</v>
      </c>
      <c r="S10" s="31"/>
      <c r="T10" s="23">
        <v>75276.102357826225</v>
      </c>
      <c r="U10" s="33">
        <v>0.34954833300071192</v>
      </c>
      <c r="V10" s="5">
        <v>2</v>
      </c>
      <c r="W10" s="5">
        <v>65</v>
      </c>
      <c r="X10" s="33">
        <v>0</v>
      </c>
      <c r="Y10" s="5">
        <v>29.400833169168159</v>
      </c>
      <c r="Z10" s="5">
        <v>1967.967738390779</v>
      </c>
      <c r="AA10" s="35"/>
    </row>
    <row r="11" spans="2:27" x14ac:dyDescent="0.2">
      <c r="B11" s="4">
        <v>8</v>
      </c>
      <c r="C11" s="4">
        <v>597</v>
      </c>
      <c r="D11" s="23">
        <v>61383.429584058693</v>
      </c>
      <c r="E11" s="33">
        <v>0.26577974999963772</v>
      </c>
      <c r="F11" s="5">
        <v>2</v>
      </c>
      <c r="G11" s="23">
        <v>90</v>
      </c>
      <c r="H11" s="33">
        <v>11.542058356880489</v>
      </c>
      <c r="I11" s="23">
        <v>28.051907765875129</v>
      </c>
      <c r="J11" s="5">
        <v>1990.3487838481992</v>
      </c>
      <c r="K11" s="31"/>
      <c r="L11" s="23">
        <v>69327.869708972197</v>
      </c>
      <c r="M11" s="33">
        <v>0.29736333300024848</v>
      </c>
      <c r="N11" s="5">
        <v>2</v>
      </c>
      <c r="O11" s="5">
        <v>70</v>
      </c>
      <c r="P11" s="33">
        <v>0</v>
      </c>
      <c r="Q11" s="5">
        <v>20.340709601516451</v>
      </c>
      <c r="R11" s="5">
        <v>1596.6458098185019</v>
      </c>
      <c r="S11" s="31"/>
      <c r="T11" s="23">
        <v>73797.250847909512</v>
      </c>
      <c r="U11" s="33">
        <v>0.37447912499919772</v>
      </c>
      <c r="V11" s="5">
        <v>2</v>
      </c>
      <c r="W11" s="5">
        <v>70</v>
      </c>
      <c r="X11" s="33">
        <v>4.8948367479456136</v>
      </c>
      <c r="Y11" s="5">
        <v>32.373301973770708</v>
      </c>
      <c r="Z11" s="5">
        <v>2107.7723747955511</v>
      </c>
      <c r="AA11" s="35"/>
    </row>
    <row r="12" spans="2:27" x14ac:dyDescent="0.2">
      <c r="B12" s="4">
        <v>9</v>
      </c>
      <c r="C12" s="4">
        <v>242</v>
      </c>
      <c r="D12" s="23">
        <v>61383.429584058693</v>
      </c>
      <c r="E12" s="33">
        <v>0.40274916700036562</v>
      </c>
      <c r="F12" s="5">
        <v>2</v>
      </c>
      <c r="G12" s="23">
        <v>90</v>
      </c>
      <c r="H12" s="33">
        <v>11.542058356880489</v>
      </c>
      <c r="I12" s="23">
        <v>28.051907765875129</v>
      </c>
      <c r="J12" s="5">
        <v>1990.3487838481992</v>
      </c>
      <c r="K12" s="31"/>
      <c r="L12" s="23">
        <v>69327.869708972197</v>
      </c>
      <c r="M12" s="33">
        <v>0.2938197500006936</v>
      </c>
      <c r="N12" s="5">
        <v>2</v>
      </c>
      <c r="O12" s="5">
        <v>70</v>
      </c>
      <c r="P12" s="33">
        <v>0</v>
      </c>
      <c r="Q12" s="5">
        <v>20.340709601516451</v>
      </c>
      <c r="R12" s="5">
        <v>1596.6458098185019</v>
      </c>
      <c r="S12" s="31"/>
      <c r="T12" s="23">
        <v>73797.250847909512</v>
      </c>
      <c r="U12" s="33">
        <v>0.50092141700224602</v>
      </c>
      <c r="V12" s="5">
        <v>2</v>
      </c>
      <c r="W12" s="5">
        <v>70</v>
      </c>
      <c r="X12" s="33">
        <v>4.8948367479456136</v>
      </c>
      <c r="Y12" s="5">
        <v>32.373301973770708</v>
      </c>
      <c r="Z12" s="5">
        <v>2107.7723747955511</v>
      </c>
      <c r="AA12" s="35"/>
    </row>
    <row r="13" spans="2:27" x14ac:dyDescent="0.2">
      <c r="B13" s="4">
        <v>10</v>
      </c>
      <c r="C13" s="4">
        <v>876</v>
      </c>
      <c r="D13" s="23">
        <v>61383.429584058693</v>
      </c>
      <c r="E13" s="33">
        <v>0.386082750001151</v>
      </c>
      <c r="F13" s="5">
        <v>2</v>
      </c>
      <c r="G13" s="23">
        <v>90</v>
      </c>
      <c r="H13" s="33">
        <v>11.542058356880489</v>
      </c>
      <c r="I13" s="23">
        <v>28.051907765875129</v>
      </c>
      <c r="J13" s="5">
        <v>1990.3487838481992</v>
      </c>
      <c r="K13" s="31"/>
      <c r="L13" s="23">
        <v>69327.869708972197</v>
      </c>
      <c r="M13" s="33">
        <v>0.2303053750001709</v>
      </c>
      <c r="N13" s="5">
        <v>2</v>
      </c>
      <c r="O13" s="5">
        <v>70</v>
      </c>
      <c r="P13" s="33">
        <v>0</v>
      </c>
      <c r="Q13" s="5">
        <v>20.340709601516451</v>
      </c>
      <c r="R13" s="5">
        <v>1596.6458098185019</v>
      </c>
      <c r="S13" s="31"/>
      <c r="T13" s="23">
        <v>75100.032050844966</v>
      </c>
      <c r="U13" s="33">
        <v>0.24471237499892601</v>
      </c>
      <c r="V13" s="5">
        <v>2</v>
      </c>
      <c r="W13" s="5">
        <v>65</v>
      </c>
      <c r="X13" s="33">
        <v>0</v>
      </c>
      <c r="Y13" s="5">
        <v>26.273294715068602</v>
      </c>
      <c r="Z13" s="5">
        <v>1851.9293255070149</v>
      </c>
      <c r="AA13" s="35"/>
    </row>
    <row r="14" spans="2:27" x14ac:dyDescent="0.2">
      <c r="B14" s="46" t="s">
        <v>3</v>
      </c>
      <c r="C14" s="47"/>
      <c r="D14" s="9">
        <f>MIN(D4:D13)</f>
        <v>61383.429584058693</v>
      </c>
      <c r="E14" s="22">
        <f>INDEX(E4:E13, MATCH($D$14, D4:D13, 0))</f>
        <v>0.45611987499978568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11.542058356880489</v>
      </c>
      <c r="I14" s="22">
        <f>INDEX(I4:I13, MATCH($D$14, D4:D13, 0))</f>
        <v>28.051907765875129</v>
      </c>
      <c r="J14" s="22">
        <f>INDEX(J4:J13, MATCH($D$14, D4:D13, 0))</f>
        <v>1990.3487838481992</v>
      </c>
      <c r="K14" s="32">
        <f>(D14-$D$15)/$D$15</f>
        <v>0</v>
      </c>
      <c r="L14" s="16">
        <f>MIN(L4:L13)</f>
        <v>69327.869708972197</v>
      </c>
      <c r="M14" s="21">
        <f>INDEX(M4:M13, MATCH($L$14, L4:L13, 0))</f>
        <v>0.26170312500107679</v>
      </c>
      <c r="N14" s="16">
        <f>INDEX(N4:N13, MATCH($L$14, L4:L13, 0))</f>
        <v>2</v>
      </c>
      <c r="O14" s="16">
        <f>INDEX(O4:O13, MATCH($L$14, L4:L13, 0))</f>
        <v>70</v>
      </c>
      <c r="P14" s="21">
        <f>INDEX(P4:P13, MATCH($L$14, L4:L13, 0))</f>
        <v>0</v>
      </c>
      <c r="Q14" s="21">
        <f>INDEX(Q4:Q13, MATCH($L$14, L4:L13, 0))</f>
        <v>20.340709601516451</v>
      </c>
      <c r="R14" s="21">
        <f>INDEX(R4:R13, MATCH($L$14, L4:L13, 0))</f>
        <v>1596.6458098185019</v>
      </c>
      <c r="S14" s="36">
        <f>(L14-$D$15)/$D$15</f>
        <v>0.12942320392890982</v>
      </c>
      <c r="T14" s="38">
        <f>MIN(T4:T13)</f>
        <v>73797.250847909512</v>
      </c>
      <c r="U14" s="39">
        <f>INDEX(U4:U13, MATCH($T$14, T4:T13, 0))</f>
        <v>0.33854087500003521</v>
      </c>
      <c r="V14" s="38">
        <f>INDEX(V4:V13, MATCH($T$14, T4:T13, 0))</f>
        <v>2</v>
      </c>
      <c r="W14" s="38">
        <f>INDEX(W4:W13, MATCH($T$14, T4:T13, 0))</f>
        <v>70</v>
      </c>
      <c r="X14" s="39">
        <f>INDEX(X4:X13, MATCH($T$14, T4:T13, 0))</f>
        <v>4.8948367479456136</v>
      </c>
      <c r="Y14" s="39">
        <f>INDEX(Y4:Y13, MATCH($T$14, T4:T13, 0))</f>
        <v>32.373301973770708</v>
      </c>
      <c r="Z14" s="39">
        <f>INDEX(Z4:Z13, MATCH($T$14, T4:T13, 0))</f>
        <v>2107.7723747955511</v>
      </c>
      <c r="AA14" s="40">
        <f>(T14-$D$15)/$D$15</f>
        <v>0.20223407763248691</v>
      </c>
    </row>
    <row r="15" spans="2:27" x14ac:dyDescent="0.2">
      <c r="C15" s="1" t="s">
        <v>17</v>
      </c>
      <c r="D15" s="34">
        <v>61383.429584058693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3:C1048576">
    <cfRule type="duplicateValues" dxfId="85" priority="11"/>
    <cfRule type="duplicateValues" dxfId="84" priority="12"/>
  </conditionalFormatting>
  <conditionalFormatting sqref="C14">
    <cfRule type="duplicateValues" dxfId="83" priority="5"/>
    <cfRule type="duplicateValues" dxfId="82" priority="6"/>
  </conditionalFormatting>
  <conditionalFormatting sqref="C18:C32">
    <cfRule type="duplicateValues" dxfId="11" priority="3"/>
    <cfRule type="duplicateValues" dxfId="10" priority="4"/>
  </conditionalFormatting>
  <conditionalFormatting sqref="C17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FE157-5CEC-E345-B1A6-0010ABF9F1A4}">
  <dimension ref="B1:AA17"/>
  <sheetViews>
    <sheetView zoomScale="110" zoomScaleNormal="110" workbookViewId="0">
      <selection activeCell="A17" sqref="A17:XFD32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>
        <f>(Q14-H14)/H14</f>
        <v>-0.81740356753328114</v>
      </c>
      <c r="J2" s="28">
        <f>(S14-J14)/J14</f>
        <v>-0.99997412957361065</v>
      </c>
      <c r="K2" s="28"/>
      <c r="L2" s="1" t="s">
        <v>19</v>
      </c>
      <c r="P2" s="1">
        <f>(P14-H14)/H14</f>
        <v>-0.70852603264295955</v>
      </c>
      <c r="R2" s="1">
        <f>(R14-J14)/J14</f>
        <v>-0.16532322412544528</v>
      </c>
      <c r="T2" s="1" t="s">
        <v>20</v>
      </c>
      <c r="X2" s="1">
        <f>(X14-P14)/P14</f>
        <v>1.3846766040921736</v>
      </c>
      <c r="Z2" s="1">
        <f>(Z14-R14)/R14</f>
        <v>0.16847436373111985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26</v>
      </c>
      <c r="D4" s="23">
        <v>68438.786562109191</v>
      </c>
      <c r="E4" s="33">
        <v>0.26096649999999499</v>
      </c>
      <c r="F4" s="5">
        <v>2</v>
      </c>
      <c r="G4" s="23">
        <v>85</v>
      </c>
      <c r="H4" s="33">
        <v>104.99148961235005</v>
      </c>
      <c r="I4" s="23">
        <v>24.82540831276566</v>
      </c>
      <c r="J4" s="5">
        <v>2198.2744395462264</v>
      </c>
      <c r="K4" s="31"/>
      <c r="L4" s="23">
        <v>72330.920685118152</v>
      </c>
      <c r="M4" s="33">
        <v>0.25786041700121132</v>
      </c>
      <c r="N4" s="5">
        <v>2</v>
      </c>
      <c r="O4" s="5">
        <v>70</v>
      </c>
      <c r="P4" s="33">
        <v>30.602286016037169</v>
      </c>
      <c r="Q4" s="5">
        <v>19.171071442581692</v>
      </c>
      <c r="R4" s="5">
        <v>1834.848621687888</v>
      </c>
      <c r="S4" s="31"/>
      <c r="T4" s="23">
        <v>78900.023420686033</v>
      </c>
      <c r="U4" s="33">
        <v>0.3422432920015126</v>
      </c>
      <c r="V4" s="5">
        <v>2</v>
      </c>
      <c r="W4" s="5">
        <v>65</v>
      </c>
      <c r="X4" s="33">
        <v>52.1626999438189</v>
      </c>
      <c r="Y4" s="5">
        <v>31.647219075409449</v>
      </c>
      <c r="Z4" s="5">
        <v>2288.9327736511018</v>
      </c>
      <c r="AA4" s="35"/>
    </row>
    <row r="5" spans="2:27" x14ac:dyDescent="0.2">
      <c r="B5" s="4">
        <v>2</v>
      </c>
      <c r="C5" s="4">
        <v>216</v>
      </c>
      <c r="D5" s="23">
        <v>68981.189856011217</v>
      </c>
      <c r="E5" s="33">
        <v>0.31488625000019971</v>
      </c>
      <c r="F5" s="5">
        <v>2</v>
      </c>
      <c r="G5" s="23">
        <v>90</v>
      </c>
      <c r="H5" s="33">
        <v>176.79057872585369</v>
      </c>
      <c r="I5" s="23">
        <v>26.170319245565572</v>
      </c>
      <c r="J5" s="5">
        <v>2301.8897567077552</v>
      </c>
      <c r="K5" s="31"/>
      <c r="L5" s="23">
        <v>72330.920685118152</v>
      </c>
      <c r="M5" s="33">
        <v>0.26641912500053883</v>
      </c>
      <c r="N5" s="5">
        <v>2</v>
      </c>
      <c r="O5" s="5">
        <v>70</v>
      </c>
      <c r="P5" s="33">
        <v>30.602286016037169</v>
      </c>
      <c r="Q5" s="5">
        <v>19.171071442581692</v>
      </c>
      <c r="R5" s="5">
        <v>1834.848621687888</v>
      </c>
      <c r="S5" s="31"/>
      <c r="T5" s="23">
        <v>78801.605463528496</v>
      </c>
      <c r="U5" s="33">
        <v>0.39623916700293188</v>
      </c>
      <c r="V5" s="5">
        <v>2</v>
      </c>
      <c r="W5" s="5">
        <v>65</v>
      </c>
      <c r="X5" s="33">
        <v>72.976555494180928</v>
      </c>
      <c r="Y5" s="5">
        <v>28.91550990318574</v>
      </c>
      <c r="Z5" s="5">
        <v>2143.9735757696772</v>
      </c>
      <c r="AA5" s="35"/>
    </row>
    <row r="6" spans="2:27" x14ac:dyDescent="0.2">
      <c r="B6" s="4">
        <v>3</v>
      </c>
      <c r="C6" s="4">
        <v>268</v>
      </c>
      <c r="D6" s="23">
        <v>68438.786562109191</v>
      </c>
      <c r="E6" s="33">
        <v>0.37053829199976462</v>
      </c>
      <c r="F6" s="5">
        <v>2</v>
      </c>
      <c r="G6" s="23">
        <v>85</v>
      </c>
      <c r="H6" s="33">
        <v>104.99148961235005</v>
      </c>
      <c r="I6" s="23">
        <v>24.82540831276566</v>
      </c>
      <c r="J6" s="5">
        <v>2198.2744395462264</v>
      </c>
      <c r="K6" s="31"/>
      <c r="L6" s="23">
        <v>72330.920685118152</v>
      </c>
      <c r="M6" s="33">
        <v>0.24528133399871879</v>
      </c>
      <c r="N6" s="5">
        <v>2</v>
      </c>
      <c r="O6" s="5">
        <v>70</v>
      </c>
      <c r="P6" s="33">
        <v>30.602286016037169</v>
      </c>
      <c r="Q6" s="5">
        <v>19.171071442581692</v>
      </c>
      <c r="R6" s="5">
        <v>1834.848621687888</v>
      </c>
      <c r="S6" s="31"/>
      <c r="T6" s="23">
        <v>79721.41636077431</v>
      </c>
      <c r="U6" s="33">
        <v>0.67999737499849289</v>
      </c>
      <c r="V6" s="5">
        <v>2</v>
      </c>
      <c r="W6" s="5">
        <v>65</v>
      </c>
      <c r="X6" s="33">
        <v>70.157838963080749</v>
      </c>
      <c r="Y6" s="5">
        <v>32.968826045090431</v>
      </c>
      <c r="Z6" s="5">
        <v>2284.4458919676908</v>
      </c>
      <c r="AA6" s="35"/>
    </row>
    <row r="7" spans="2:27" x14ac:dyDescent="0.2">
      <c r="B7" s="4">
        <v>4</v>
      </c>
      <c r="C7" s="4">
        <v>448</v>
      </c>
      <c r="D7" s="23">
        <v>68438.786562109191</v>
      </c>
      <c r="E7" s="33">
        <v>0.20031324999945349</v>
      </c>
      <c r="F7" s="5">
        <v>2</v>
      </c>
      <c r="G7" s="23">
        <v>85</v>
      </c>
      <c r="H7" s="33">
        <v>104.99148961235005</v>
      </c>
      <c r="I7" s="23">
        <v>24.82540831276566</v>
      </c>
      <c r="J7" s="5">
        <v>2198.2744395462264</v>
      </c>
      <c r="K7" s="31"/>
      <c r="L7" s="23">
        <v>72740.314298405341</v>
      </c>
      <c r="M7" s="33">
        <v>0.19614608299889369</v>
      </c>
      <c r="N7" s="5">
        <v>2</v>
      </c>
      <c r="O7" s="5">
        <v>70</v>
      </c>
      <c r="P7" s="33">
        <v>75.838475156332535</v>
      </c>
      <c r="Q7" s="5">
        <v>19.883343965411239</v>
      </c>
      <c r="R7" s="5">
        <v>1805.7777526743271</v>
      </c>
      <c r="S7" s="31"/>
      <c r="T7" s="23">
        <v>79463.070552943085</v>
      </c>
      <c r="U7" s="33">
        <v>0.26761504099704331</v>
      </c>
      <c r="V7" s="5">
        <v>2</v>
      </c>
      <c r="W7" s="5">
        <v>65</v>
      </c>
      <c r="X7" s="33">
        <v>137.16024318107659</v>
      </c>
      <c r="Y7" s="5">
        <v>30.56336331288038</v>
      </c>
      <c r="Z7" s="5">
        <v>2167.250365476114</v>
      </c>
      <c r="AA7" s="35"/>
    </row>
    <row r="8" spans="2:27" x14ac:dyDescent="0.2">
      <c r="B8" s="4">
        <v>5</v>
      </c>
      <c r="C8" s="4">
        <v>483</v>
      </c>
      <c r="D8" s="23">
        <v>68544.931217169418</v>
      </c>
      <c r="E8" s="33">
        <v>0.41553466699951969</v>
      </c>
      <c r="F8" s="5">
        <v>2</v>
      </c>
      <c r="G8" s="23">
        <v>85</v>
      </c>
      <c r="H8" s="33">
        <v>104.99148961235005</v>
      </c>
      <c r="I8" s="23">
        <v>24.669105220682752</v>
      </c>
      <c r="J8" s="5">
        <v>2201.7032670138528</v>
      </c>
      <c r="K8" s="31"/>
      <c r="L8" s="23">
        <v>73789.041262063402</v>
      </c>
      <c r="M8" s="33">
        <v>0.1995905000003404</v>
      </c>
      <c r="N8" s="5">
        <v>2</v>
      </c>
      <c r="O8" s="5">
        <v>65</v>
      </c>
      <c r="P8" s="33">
        <v>30.05708864273598</v>
      </c>
      <c r="Q8" s="5">
        <v>18.498219003050501</v>
      </c>
      <c r="R8" s="5">
        <v>1702.4702972892151</v>
      </c>
      <c r="S8" s="31"/>
      <c r="T8" s="23">
        <v>78801.605463528496</v>
      </c>
      <c r="U8" s="33">
        <v>0.37061475000155042</v>
      </c>
      <c r="V8" s="5">
        <v>2</v>
      </c>
      <c r="W8" s="5">
        <v>65</v>
      </c>
      <c r="X8" s="33">
        <v>72.976555494180928</v>
      </c>
      <c r="Y8" s="5">
        <v>28.91550990318574</v>
      </c>
      <c r="Z8" s="5">
        <v>2143.9735757696772</v>
      </c>
      <c r="AA8" s="35"/>
    </row>
    <row r="9" spans="2:27" x14ac:dyDescent="0.2">
      <c r="B9" s="4">
        <v>6</v>
      </c>
      <c r="C9" s="4">
        <v>511</v>
      </c>
      <c r="D9" s="23">
        <v>68438.786562109191</v>
      </c>
      <c r="E9" s="33">
        <v>0.22666166699855239</v>
      </c>
      <c r="F9" s="5">
        <v>2</v>
      </c>
      <c r="G9" s="23">
        <v>85</v>
      </c>
      <c r="H9" s="33">
        <v>104.99148961235005</v>
      </c>
      <c r="I9" s="23">
        <v>24.82540831276566</v>
      </c>
      <c r="J9" s="5">
        <v>2198.2744395462264</v>
      </c>
      <c r="K9" s="31"/>
      <c r="L9" s="23">
        <v>72330.920685118152</v>
      </c>
      <c r="M9" s="33">
        <v>0.18400762499732079</v>
      </c>
      <c r="N9" s="5">
        <v>2</v>
      </c>
      <c r="O9" s="5">
        <v>70</v>
      </c>
      <c r="P9" s="33">
        <v>30.602286016037169</v>
      </c>
      <c r="Q9" s="5">
        <v>19.171071442581692</v>
      </c>
      <c r="R9" s="5">
        <v>1834.848621687888</v>
      </c>
      <c r="S9" s="31"/>
      <c r="T9" s="23">
        <v>79721.41636077431</v>
      </c>
      <c r="U9" s="33">
        <v>0.21411470800012469</v>
      </c>
      <c r="V9" s="5">
        <v>2</v>
      </c>
      <c r="W9" s="5">
        <v>65</v>
      </c>
      <c r="X9" s="33">
        <v>70.157838963080749</v>
      </c>
      <c r="Y9" s="5">
        <v>32.968826045090431</v>
      </c>
      <c r="Z9" s="5">
        <v>2284.4458919676908</v>
      </c>
      <c r="AA9" s="35"/>
    </row>
    <row r="10" spans="2:27" x14ac:dyDescent="0.2">
      <c r="B10" s="4">
        <v>7</v>
      </c>
      <c r="C10" s="4">
        <v>566</v>
      </c>
      <c r="D10" s="23">
        <v>68499.995445670414</v>
      </c>
      <c r="E10" s="33">
        <v>0.30170816700046998</v>
      </c>
      <c r="F10" s="5">
        <v>2</v>
      </c>
      <c r="G10" s="23">
        <v>85</v>
      </c>
      <c r="H10" s="33">
        <v>92.92118832110188</v>
      </c>
      <c r="I10" s="23">
        <v>24.413410949548783</v>
      </c>
      <c r="J10" s="5">
        <v>2157.6833348116506</v>
      </c>
      <c r="K10" s="31"/>
      <c r="L10" s="23">
        <v>73096.234500967228</v>
      </c>
      <c r="M10" s="33">
        <v>0.24665475000074369</v>
      </c>
      <c r="N10" s="5">
        <v>2</v>
      </c>
      <c r="O10" s="5">
        <v>70</v>
      </c>
      <c r="P10" s="33">
        <v>125.9907891747615</v>
      </c>
      <c r="Q10" s="5">
        <v>19.81709885851572</v>
      </c>
      <c r="R10" s="5">
        <v>1828.332921083153</v>
      </c>
      <c r="S10" s="31"/>
      <c r="T10" s="23">
        <v>79819.834317931833</v>
      </c>
      <c r="U10" s="33">
        <v>0.35509479100073799</v>
      </c>
      <c r="V10" s="5">
        <v>2</v>
      </c>
      <c r="W10" s="5">
        <v>65</v>
      </c>
      <c r="X10" s="33">
        <v>49.343983412718721</v>
      </c>
      <c r="Y10" s="5">
        <v>35.700535217314147</v>
      </c>
      <c r="Z10" s="5">
        <v>2429.4050898491159</v>
      </c>
      <c r="AA10" s="35"/>
    </row>
    <row r="11" spans="2:27" x14ac:dyDescent="0.2">
      <c r="B11" s="4">
        <v>8</v>
      </c>
      <c r="C11" s="4">
        <v>702</v>
      </c>
      <c r="D11" s="23">
        <v>68438.786562109191</v>
      </c>
      <c r="E11" s="33">
        <v>0.26448874999914551</v>
      </c>
      <c r="F11" s="5">
        <v>2</v>
      </c>
      <c r="G11" s="23">
        <v>85</v>
      </c>
      <c r="H11" s="33">
        <v>104.99148961235005</v>
      </c>
      <c r="I11" s="23">
        <v>24.82540831276566</v>
      </c>
      <c r="J11" s="5">
        <v>2198.2744395462264</v>
      </c>
      <c r="K11" s="31"/>
      <c r="L11" s="23">
        <v>72330.920685118152</v>
      </c>
      <c r="M11" s="33">
        <v>0.280819708998024</v>
      </c>
      <c r="N11" s="5">
        <v>2</v>
      </c>
      <c r="O11" s="5">
        <v>70</v>
      </c>
      <c r="P11" s="33">
        <v>30.602286016037169</v>
      </c>
      <c r="Q11" s="5">
        <v>19.171071442581692</v>
      </c>
      <c r="R11" s="5">
        <v>1834.848621687888</v>
      </c>
      <c r="S11" s="31"/>
      <c r="T11" s="23">
        <v>79213.344244038424</v>
      </c>
      <c r="U11" s="33">
        <v>0.18695895899872991</v>
      </c>
      <c r="V11" s="5">
        <v>2</v>
      </c>
      <c r="W11" s="5">
        <v>65</v>
      </c>
      <c r="X11" s="33">
        <v>100.76273556307839</v>
      </c>
      <c r="Y11" s="5">
        <v>30.748185402402711</v>
      </c>
      <c r="Z11" s="5">
        <v>2241.2252060108181</v>
      </c>
      <c r="AA11" s="35"/>
    </row>
    <row r="12" spans="2:27" x14ac:dyDescent="0.2">
      <c r="B12" s="4">
        <v>9</v>
      </c>
      <c r="C12" s="4">
        <v>886</v>
      </c>
      <c r="D12" s="23">
        <v>68438.786562109191</v>
      </c>
      <c r="E12" s="33">
        <v>0.55114916700040339</v>
      </c>
      <c r="F12" s="5">
        <v>2</v>
      </c>
      <c r="G12" s="23">
        <v>85</v>
      </c>
      <c r="H12" s="33">
        <v>104.99148961235005</v>
      </c>
      <c r="I12" s="23">
        <v>24.82540831276566</v>
      </c>
      <c r="J12" s="5">
        <v>2198.2744395462264</v>
      </c>
      <c r="K12" s="31"/>
      <c r="L12" s="23">
        <v>72330.920685118152</v>
      </c>
      <c r="M12" s="33">
        <v>0.2557594580030127</v>
      </c>
      <c r="N12" s="5">
        <v>2</v>
      </c>
      <c r="O12" s="5">
        <v>70</v>
      </c>
      <c r="P12" s="33">
        <v>30.602286016037169</v>
      </c>
      <c r="Q12" s="5">
        <v>19.171071442581692</v>
      </c>
      <c r="R12" s="5">
        <v>1834.848621687888</v>
      </c>
      <c r="S12" s="31"/>
      <c r="T12" s="23">
        <v>79616.932068875452</v>
      </c>
      <c r="U12" s="33">
        <v>0.56563045900111319</v>
      </c>
      <c r="V12" s="5">
        <v>2</v>
      </c>
      <c r="W12" s="5">
        <v>65</v>
      </c>
      <c r="X12" s="33">
        <v>75.460177710499366</v>
      </c>
      <c r="Y12" s="5">
        <v>33.591931753698432</v>
      </c>
      <c r="Z12" s="5">
        <v>2392.129699890922</v>
      </c>
      <c r="AA12" s="35"/>
    </row>
    <row r="13" spans="2:27" x14ac:dyDescent="0.2">
      <c r="B13" s="4">
        <v>10</v>
      </c>
      <c r="C13" s="4">
        <v>960</v>
      </c>
      <c r="D13" s="23">
        <v>68438.786562109191</v>
      </c>
      <c r="E13" s="33">
        <v>0.33747533399946411</v>
      </c>
      <c r="F13" s="5">
        <v>2</v>
      </c>
      <c r="G13" s="23">
        <v>85</v>
      </c>
      <c r="H13" s="33">
        <v>104.99148961235005</v>
      </c>
      <c r="I13" s="23">
        <v>24.82540831276566</v>
      </c>
      <c r="J13" s="5">
        <v>2198.2744395462264</v>
      </c>
      <c r="K13" s="31"/>
      <c r="L13" s="23">
        <v>72330.920685118152</v>
      </c>
      <c r="M13" s="33">
        <v>0.40578249999816762</v>
      </c>
      <c r="N13" s="5">
        <v>2</v>
      </c>
      <c r="O13" s="5">
        <v>70</v>
      </c>
      <c r="P13" s="33">
        <v>30.602286016037169</v>
      </c>
      <c r="Q13" s="5">
        <v>19.171071442581692</v>
      </c>
      <c r="R13" s="5">
        <v>1834.848621687888</v>
      </c>
      <c r="S13" s="31"/>
      <c r="T13" s="23">
        <v>78801.605463528496</v>
      </c>
      <c r="U13" s="33">
        <v>0.54363875000126427</v>
      </c>
      <c r="V13" s="5">
        <v>2</v>
      </c>
      <c r="W13" s="5">
        <v>65</v>
      </c>
      <c r="X13" s="33">
        <v>72.976555494180928</v>
      </c>
      <c r="Y13" s="5">
        <v>28.91550990318574</v>
      </c>
      <c r="Z13" s="5">
        <v>2143.9735757696772</v>
      </c>
      <c r="AA13" s="35"/>
    </row>
    <row r="14" spans="2:27" x14ac:dyDescent="0.2">
      <c r="B14" s="46" t="s">
        <v>3</v>
      </c>
      <c r="C14" s="47"/>
      <c r="D14" s="9">
        <f>MIN(D4:D13)</f>
        <v>68438.786562109191</v>
      </c>
      <c r="E14" s="22">
        <f>INDEX(E4:E13, MATCH($D$14, D4:D13, 0))</f>
        <v>0.26096649999999499</v>
      </c>
      <c r="F14" s="9">
        <f>INDEX(F4:F13, MATCH($D$14, D4:D13, 0))</f>
        <v>2</v>
      </c>
      <c r="G14" s="9">
        <f>INDEX(G4:G13, MATCH($D$14, D4:D13, 0))</f>
        <v>85</v>
      </c>
      <c r="H14" s="22">
        <f>INDEX(H4:H13, MATCH($D$14, D4:D13, 0))</f>
        <v>104.99148961235005</v>
      </c>
      <c r="I14" s="22">
        <f>INDEX(I4:I13, MATCH($D$14, D4:D13, 0))</f>
        <v>24.82540831276566</v>
      </c>
      <c r="J14" s="22">
        <f>INDEX(J4:J13, MATCH($D$14, D4:D13, 0))</f>
        <v>2198.2744395462264</v>
      </c>
      <c r="K14" s="32">
        <f>(D14-$D$15)/$D$15</f>
        <v>0</v>
      </c>
      <c r="L14" s="16">
        <f>MIN(L4:L13)</f>
        <v>72330.920685118152</v>
      </c>
      <c r="M14" s="21">
        <f>INDEX(M4:M13, MATCH($L$14, L4:L13, 0))</f>
        <v>0.25786041700121132</v>
      </c>
      <c r="N14" s="16">
        <f>INDEX(N4:N13, MATCH($L$14, L4:L13, 0))</f>
        <v>2</v>
      </c>
      <c r="O14" s="16">
        <f>INDEX(O4:O13, MATCH($L$14, L4:L13, 0))</f>
        <v>70</v>
      </c>
      <c r="P14" s="21">
        <f>INDEX(P4:P13, MATCH($L$14, L4:L13, 0))</f>
        <v>30.602286016037169</v>
      </c>
      <c r="Q14" s="21">
        <f>INDEX(Q4:Q13, MATCH($L$14, L4:L13, 0))</f>
        <v>19.171071442581692</v>
      </c>
      <c r="R14" s="21">
        <f>INDEX(R4:R13, MATCH($L$14, L4:L13, 0))</f>
        <v>1834.848621687888</v>
      </c>
      <c r="S14" s="36">
        <f>(L14-$D$15)/$D$15</f>
        <v>5.6870297071628995E-2</v>
      </c>
      <c r="T14" s="38">
        <f>MIN(T4:T13)</f>
        <v>78801.605463528496</v>
      </c>
      <c r="U14" s="39">
        <f>INDEX(U4:U13, MATCH($T$14, T4:T13, 0))</f>
        <v>0.39623916700293188</v>
      </c>
      <c r="V14" s="38">
        <f>INDEX(V4:V13, MATCH($T$14, T4:T13, 0))</f>
        <v>2</v>
      </c>
      <c r="W14" s="38">
        <f>INDEX(W4:W13, MATCH($T$14, T4:T13, 0))</f>
        <v>65</v>
      </c>
      <c r="X14" s="39">
        <f>INDEX(X4:X13, MATCH($T$14, T4:T13, 0))</f>
        <v>72.976555494180928</v>
      </c>
      <c r="Y14" s="39">
        <f>INDEX(Y4:Y13, MATCH($T$14, T4:T13, 0))</f>
        <v>28.91550990318574</v>
      </c>
      <c r="Z14" s="39">
        <f>INDEX(Z4:Z13, MATCH($T$14, T4:T13, 0))</f>
        <v>2143.9735757696772</v>
      </c>
      <c r="AA14" s="40">
        <f>(T14-$D$15)/$D$15</f>
        <v>0.15141733835410562</v>
      </c>
    </row>
    <row r="15" spans="2:27" x14ac:dyDescent="0.2">
      <c r="C15" s="1" t="s">
        <v>17</v>
      </c>
      <c r="D15" s="34">
        <v>68438.786562109191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3:C1048576">
    <cfRule type="duplicateValues" dxfId="79" priority="11"/>
    <cfRule type="duplicateValues" dxfId="78" priority="12"/>
  </conditionalFormatting>
  <conditionalFormatting sqref="C14">
    <cfRule type="duplicateValues" dxfId="77" priority="5"/>
    <cfRule type="duplicateValues" dxfId="76" priority="6"/>
  </conditionalFormatting>
  <conditionalFormatting sqref="C18:C32">
    <cfRule type="duplicateValues" dxfId="7" priority="3"/>
    <cfRule type="duplicateValues" dxfId="6" priority="4"/>
  </conditionalFormatting>
  <conditionalFormatting sqref="C17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0072-E801-6644-B0E0-BF2784935421}">
  <dimension ref="B1:AA17"/>
  <sheetViews>
    <sheetView zoomScale="110" zoomScaleNormal="110" workbookViewId="0">
      <selection activeCell="A17" sqref="A17:XFD32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 t="e">
        <f>(Q14-H14)/H14</f>
        <v>#DIV/0!</v>
      </c>
      <c r="J2" s="28">
        <f>(S14-J14)/J14</f>
        <v>-0.99995916821975028</v>
      </c>
      <c r="K2" s="28"/>
      <c r="L2" s="1" t="s">
        <v>19</v>
      </c>
      <c r="P2" s="1" t="e">
        <f>(P14-H14)/H14</f>
        <v>#DIV/0!</v>
      </c>
      <c r="R2" s="1">
        <f>(R14-J14)/J14</f>
        <v>-0.12394569454115828</v>
      </c>
      <c r="T2" s="1" t="s">
        <v>20</v>
      </c>
      <c r="X2" s="1" t="e">
        <f>(X14-P14)/P14</f>
        <v>#DIV/0!</v>
      </c>
      <c r="Z2" s="1">
        <f>(Z14-R14)/R14</f>
        <v>0.36261385358284187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</v>
      </c>
      <c r="D4" s="23">
        <v>63831.725391357919</v>
      </c>
      <c r="E4" s="33">
        <v>0.41867737500069779</v>
      </c>
      <c r="F4" s="5">
        <v>2</v>
      </c>
      <c r="G4" s="23">
        <v>80</v>
      </c>
      <c r="H4" s="33">
        <v>0</v>
      </c>
      <c r="I4" s="23">
        <v>18.526762434924276</v>
      </c>
      <c r="J4" s="5">
        <v>1668.2267721822759</v>
      </c>
      <c r="K4" s="31"/>
      <c r="L4" s="23">
        <v>68179.729899526341</v>
      </c>
      <c r="M4" s="33">
        <v>0.51127891600117437</v>
      </c>
      <c r="N4" s="5">
        <v>2</v>
      </c>
      <c r="O4" s="5">
        <v>70</v>
      </c>
      <c r="P4" s="33">
        <v>0</v>
      </c>
      <c r="Q4" s="5">
        <v>14.144316135678061</v>
      </c>
      <c r="R4" s="5">
        <v>1461.4572462519891</v>
      </c>
      <c r="S4" s="31"/>
      <c r="T4" s="23">
        <v>71776.510664490052</v>
      </c>
      <c r="U4" s="33">
        <v>0.26133620800101198</v>
      </c>
      <c r="V4" s="5">
        <v>2</v>
      </c>
      <c r="W4" s="5">
        <v>75</v>
      </c>
      <c r="X4" s="33">
        <v>15.16068833677825</v>
      </c>
      <c r="Y4" s="5">
        <v>27.701407639595601</v>
      </c>
      <c r="Z4" s="5">
        <v>2061.5329337052422</v>
      </c>
      <c r="AA4" s="35"/>
    </row>
    <row r="5" spans="2:27" x14ac:dyDescent="0.2">
      <c r="B5" s="4">
        <v>2</v>
      </c>
      <c r="C5" s="4">
        <v>107</v>
      </c>
      <c r="D5" s="23">
        <v>63863.239816097877</v>
      </c>
      <c r="E5" s="33">
        <v>0.34015700000054488</v>
      </c>
      <c r="F5" s="5">
        <v>2</v>
      </c>
      <c r="G5" s="23">
        <v>85</v>
      </c>
      <c r="H5" s="33">
        <v>10.843479825205124</v>
      </c>
      <c r="I5" s="23">
        <v>20.966312505522737</v>
      </c>
      <c r="J5" s="5">
        <v>1881.6679181599472</v>
      </c>
      <c r="K5" s="31"/>
      <c r="L5" s="23">
        <v>68179.729899526341</v>
      </c>
      <c r="M5" s="33">
        <v>0.45297466600095498</v>
      </c>
      <c r="N5" s="5">
        <v>2</v>
      </c>
      <c r="O5" s="5">
        <v>70</v>
      </c>
      <c r="P5" s="33">
        <v>0</v>
      </c>
      <c r="Q5" s="5">
        <v>14.144316135678061</v>
      </c>
      <c r="R5" s="5">
        <v>1461.4572462519891</v>
      </c>
      <c r="S5" s="31"/>
      <c r="T5" s="23">
        <v>70746.957952492783</v>
      </c>
      <c r="U5" s="33">
        <v>0.59292908399947919</v>
      </c>
      <c r="V5" s="5">
        <v>2</v>
      </c>
      <c r="W5" s="5">
        <v>75</v>
      </c>
      <c r="X5" s="33">
        <v>5.27478201446044</v>
      </c>
      <c r="Y5" s="5">
        <v>26.373575202523391</v>
      </c>
      <c r="Z5" s="5">
        <v>1991.4018901619911</v>
      </c>
      <c r="AA5" s="35"/>
    </row>
    <row r="6" spans="2:27" x14ac:dyDescent="0.2">
      <c r="B6" s="4">
        <v>3</v>
      </c>
      <c r="C6" s="4">
        <v>134</v>
      </c>
      <c r="D6" s="23">
        <v>63888.020078219677</v>
      </c>
      <c r="E6" s="33">
        <v>0.2324723330002598</v>
      </c>
      <c r="F6" s="5">
        <v>2</v>
      </c>
      <c r="G6" s="23">
        <v>80</v>
      </c>
      <c r="H6" s="33">
        <v>0</v>
      </c>
      <c r="I6" s="23">
        <v>18.813144399733666</v>
      </c>
      <c r="J6" s="5">
        <v>1689.5654818596956</v>
      </c>
      <c r="K6" s="31"/>
      <c r="L6" s="23">
        <v>68179.729899526341</v>
      </c>
      <c r="M6" s="33">
        <v>0.34099541600153321</v>
      </c>
      <c r="N6" s="5">
        <v>2</v>
      </c>
      <c r="O6" s="5">
        <v>70</v>
      </c>
      <c r="P6" s="33">
        <v>0</v>
      </c>
      <c r="Q6" s="5">
        <v>14.144316135678061</v>
      </c>
      <c r="R6" s="5">
        <v>1461.4572462519891</v>
      </c>
      <c r="S6" s="31"/>
      <c r="T6" s="23">
        <v>71985.868762771235</v>
      </c>
      <c r="U6" s="33">
        <v>0.35537670900157542</v>
      </c>
      <c r="V6" s="5">
        <v>2</v>
      </c>
      <c r="W6" s="5">
        <v>80</v>
      </c>
      <c r="X6" s="33">
        <v>33.90199605086454</v>
      </c>
      <c r="Y6" s="5">
        <v>29.49593412440348</v>
      </c>
      <c r="Z6" s="5">
        <v>2237.215968406917</v>
      </c>
      <c r="AA6" s="35"/>
    </row>
    <row r="7" spans="2:27" x14ac:dyDescent="0.2">
      <c r="B7" s="4">
        <v>4</v>
      </c>
      <c r="C7" s="4">
        <v>185</v>
      </c>
      <c r="D7" s="23">
        <v>63831.725391357919</v>
      </c>
      <c r="E7" s="33">
        <v>0.23883820800074321</v>
      </c>
      <c r="F7" s="5">
        <v>2</v>
      </c>
      <c r="G7" s="23">
        <v>80</v>
      </c>
      <c r="H7" s="33">
        <v>0</v>
      </c>
      <c r="I7" s="23">
        <v>18.526762434924276</v>
      </c>
      <c r="J7" s="5">
        <v>1668.2267721822759</v>
      </c>
      <c r="K7" s="31"/>
      <c r="L7" s="23">
        <v>68179.729899526341</v>
      </c>
      <c r="M7" s="33">
        <v>0.2405852910014801</v>
      </c>
      <c r="N7" s="5">
        <v>2</v>
      </c>
      <c r="O7" s="5">
        <v>70</v>
      </c>
      <c r="P7" s="33">
        <v>0</v>
      </c>
      <c r="Q7" s="5">
        <v>14.144316135678061</v>
      </c>
      <c r="R7" s="5">
        <v>1461.4572462519891</v>
      </c>
      <c r="S7" s="31"/>
      <c r="T7" s="23">
        <v>71783.181400156289</v>
      </c>
      <c r="U7" s="33">
        <v>0.2680117079980846</v>
      </c>
      <c r="V7" s="5">
        <v>2</v>
      </c>
      <c r="W7" s="5">
        <v>75</v>
      </c>
      <c r="X7" s="33">
        <v>19.17746249021766</v>
      </c>
      <c r="Y7" s="5">
        <v>27.786329042302121</v>
      </c>
      <c r="Z7" s="5">
        <v>2089.650352779317</v>
      </c>
      <c r="AA7" s="35"/>
    </row>
    <row r="8" spans="2:27" x14ac:dyDescent="0.2">
      <c r="B8" s="4">
        <v>5</v>
      </c>
      <c r="C8" s="4">
        <v>499</v>
      </c>
      <c r="D8" s="23">
        <v>63863.239816097877</v>
      </c>
      <c r="E8" s="33">
        <v>0.26935724999930238</v>
      </c>
      <c r="F8" s="5">
        <v>2</v>
      </c>
      <c r="G8" s="23">
        <v>85</v>
      </c>
      <c r="H8" s="33">
        <v>10.843479825205124</v>
      </c>
      <c r="I8" s="23">
        <v>20.966312505522737</v>
      </c>
      <c r="J8" s="5">
        <v>1881.6679181599472</v>
      </c>
      <c r="K8" s="31"/>
      <c r="L8" s="23">
        <v>68179.729899526341</v>
      </c>
      <c r="M8" s="33">
        <v>0.37901670800056309</v>
      </c>
      <c r="N8" s="5">
        <v>2</v>
      </c>
      <c r="O8" s="5">
        <v>70</v>
      </c>
      <c r="P8" s="33">
        <v>0</v>
      </c>
      <c r="Q8" s="5">
        <v>14.144316135678061</v>
      </c>
      <c r="R8" s="5">
        <v>1461.4572462519891</v>
      </c>
      <c r="S8" s="31"/>
      <c r="T8" s="23">
        <v>72175.159977075469</v>
      </c>
      <c r="U8" s="33">
        <v>0.25772979099929222</v>
      </c>
      <c r="V8" s="5">
        <v>2</v>
      </c>
      <c r="W8" s="5">
        <v>70</v>
      </c>
      <c r="X8" s="33">
        <v>5.6515521583504711</v>
      </c>
      <c r="Y8" s="5">
        <v>25.361007524607469</v>
      </c>
      <c r="Z8" s="5">
        <v>1875.862047471486</v>
      </c>
      <c r="AA8" s="35"/>
    </row>
    <row r="9" spans="2:27" x14ac:dyDescent="0.2">
      <c r="B9" s="4">
        <v>6</v>
      </c>
      <c r="C9" s="4">
        <v>542</v>
      </c>
      <c r="D9" s="23">
        <v>63863.239816097877</v>
      </c>
      <c r="E9" s="33">
        <v>0.35139812499983242</v>
      </c>
      <c r="F9" s="5">
        <v>2</v>
      </c>
      <c r="G9" s="23">
        <v>85</v>
      </c>
      <c r="H9" s="33">
        <v>10.843479825205124</v>
      </c>
      <c r="I9" s="23">
        <v>20.966312505522737</v>
      </c>
      <c r="J9" s="5">
        <v>1881.6679181599472</v>
      </c>
      <c r="K9" s="31"/>
      <c r="L9" s="23">
        <v>68179.729899526341</v>
      </c>
      <c r="M9" s="33">
        <v>0.23225083299985269</v>
      </c>
      <c r="N9" s="5">
        <v>2</v>
      </c>
      <c r="O9" s="5">
        <v>70</v>
      </c>
      <c r="P9" s="33">
        <v>0</v>
      </c>
      <c r="Q9" s="5">
        <v>14.144316135678061</v>
      </c>
      <c r="R9" s="5">
        <v>1461.4572462519891</v>
      </c>
      <c r="S9" s="31"/>
      <c r="T9" s="23">
        <v>71632.178936681623</v>
      </c>
      <c r="U9" s="33">
        <v>0.32770479099781369</v>
      </c>
      <c r="V9" s="5">
        <v>2</v>
      </c>
      <c r="W9" s="5">
        <v>70</v>
      </c>
      <c r="X9" s="33">
        <v>5.6515521583504711</v>
      </c>
      <c r="Y9" s="5">
        <v>23.948253684828739</v>
      </c>
      <c r="Z9" s="5">
        <v>1801.0624389453701</v>
      </c>
      <c r="AA9" s="35"/>
    </row>
    <row r="10" spans="2:27" x14ac:dyDescent="0.2">
      <c r="B10" s="4">
        <v>7</v>
      </c>
      <c r="C10" s="4">
        <v>654</v>
      </c>
      <c r="D10" s="23">
        <v>63863.239816097877</v>
      </c>
      <c r="E10" s="33">
        <v>0.26290295800026803</v>
      </c>
      <c r="F10" s="5">
        <v>2</v>
      </c>
      <c r="G10" s="23">
        <v>85</v>
      </c>
      <c r="H10" s="33">
        <v>10.843479825205124</v>
      </c>
      <c r="I10" s="23">
        <v>20.966312505522737</v>
      </c>
      <c r="J10" s="5">
        <v>1881.6679181599472</v>
      </c>
      <c r="K10" s="31"/>
      <c r="L10" s="23">
        <v>68179.729899526341</v>
      </c>
      <c r="M10" s="33">
        <v>0.3349791250002454</v>
      </c>
      <c r="N10" s="5">
        <v>2</v>
      </c>
      <c r="O10" s="5">
        <v>70</v>
      </c>
      <c r="P10" s="33">
        <v>0</v>
      </c>
      <c r="Q10" s="5">
        <v>14.144316135678061</v>
      </c>
      <c r="R10" s="5">
        <v>1461.4572462519891</v>
      </c>
      <c r="S10" s="31"/>
      <c r="T10" s="23">
        <v>72065.657741604882</v>
      </c>
      <c r="U10" s="33">
        <v>0.39520983299735241</v>
      </c>
      <c r="V10" s="5">
        <v>2</v>
      </c>
      <c r="W10" s="5">
        <v>75</v>
      </c>
      <c r="X10" s="33">
        <v>15.480199610766849</v>
      </c>
      <c r="Y10" s="5">
        <v>27.380626185772851</v>
      </c>
      <c r="Z10" s="5">
        <v>2063.769512623162</v>
      </c>
      <c r="AA10" s="35"/>
    </row>
    <row r="11" spans="2:27" x14ac:dyDescent="0.2">
      <c r="B11" s="4">
        <v>8</v>
      </c>
      <c r="C11" s="4">
        <v>696</v>
      </c>
      <c r="D11" s="23">
        <v>63831.725391357919</v>
      </c>
      <c r="E11" s="33">
        <v>0.31381224999859109</v>
      </c>
      <c r="F11" s="5">
        <v>2</v>
      </c>
      <c r="G11" s="23">
        <v>80</v>
      </c>
      <c r="H11" s="33">
        <v>0</v>
      </c>
      <c r="I11" s="23">
        <v>18.526762434924276</v>
      </c>
      <c r="J11" s="5">
        <v>1668.2267721822759</v>
      </c>
      <c r="K11" s="31"/>
      <c r="L11" s="23">
        <v>68179.729899526341</v>
      </c>
      <c r="M11" s="33">
        <v>0.27443579100145138</v>
      </c>
      <c r="N11" s="5">
        <v>2</v>
      </c>
      <c r="O11" s="5">
        <v>70</v>
      </c>
      <c r="P11" s="33">
        <v>0</v>
      </c>
      <c r="Q11" s="5">
        <v>14.144316135678061</v>
      </c>
      <c r="R11" s="5">
        <v>1461.4572462519891</v>
      </c>
      <c r="S11" s="31"/>
      <c r="T11" s="23">
        <v>70746.957952492783</v>
      </c>
      <c r="U11" s="33">
        <v>0.44400633400073269</v>
      </c>
      <c r="V11" s="5">
        <v>2</v>
      </c>
      <c r="W11" s="5">
        <v>75</v>
      </c>
      <c r="X11" s="33">
        <v>5.27478201446044</v>
      </c>
      <c r="Y11" s="5">
        <v>26.373575202523391</v>
      </c>
      <c r="Z11" s="5">
        <v>1991.4018901619911</v>
      </c>
      <c r="AA11" s="35"/>
    </row>
    <row r="12" spans="2:27" x14ac:dyDescent="0.2">
      <c r="B12" s="4">
        <v>9</v>
      </c>
      <c r="C12" s="4">
        <v>854</v>
      </c>
      <c r="D12" s="23">
        <v>63831.725391357919</v>
      </c>
      <c r="E12" s="33">
        <v>0.45059054199919052</v>
      </c>
      <c r="F12" s="5">
        <v>2</v>
      </c>
      <c r="G12" s="23">
        <v>80</v>
      </c>
      <c r="H12" s="33">
        <v>0</v>
      </c>
      <c r="I12" s="23">
        <v>18.526762434924276</v>
      </c>
      <c r="J12" s="5">
        <v>1668.2267721822759</v>
      </c>
      <c r="K12" s="31"/>
      <c r="L12" s="23">
        <v>68179.729899526341</v>
      </c>
      <c r="M12" s="33">
        <v>0.24529941699802291</v>
      </c>
      <c r="N12" s="5">
        <v>2</v>
      </c>
      <c r="O12" s="5">
        <v>70</v>
      </c>
      <c r="P12" s="33">
        <v>0</v>
      </c>
      <c r="Q12" s="5">
        <v>14.144316135678061</v>
      </c>
      <c r="R12" s="5">
        <v>1461.4572462519891</v>
      </c>
      <c r="S12" s="31"/>
      <c r="T12" s="23">
        <v>71014.274611970104</v>
      </c>
      <c r="U12" s="33">
        <v>0.18687750000026429</v>
      </c>
      <c r="V12" s="5">
        <v>2</v>
      </c>
      <c r="W12" s="5">
        <v>80</v>
      </c>
      <c r="X12" s="33">
        <v>30.516719393158411</v>
      </c>
      <c r="Y12" s="5">
        <v>29.09891797462916</v>
      </c>
      <c r="Z12" s="5">
        <v>2210.133755145268</v>
      </c>
      <c r="AA12" s="35"/>
    </row>
    <row r="13" spans="2:27" x14ac:dyDescent="0.2">
      <c r="B13" s="4">
        <v>10</v>
      </c>
      <c r="C13" s="4">
        <v>882</v>
      </c>
      <c r="D13" s="23">
        <v>63831.725391357919</v>
      </c>
      <c r="E13" s="33">
        <v>0.26844241700018762</v>
      </c>
      <c r="F13" s="5">
        <v>2</v>
      </c>
      <c r="G13" s="23">
        <v>80</v>
      </c>
      <c r="H13" s="33">
        <v>0</v>
      </c>
      <c r="I13" s="23">
        <v>18.526762434924276</v>
      </c>
      <c r="J13" s="5">
        <v>1668.2267721822759</v>
      </c>
      <c r="K13" s="31"/>
      <c r="L13" s="23">
        <v>68179.729899526341</v>
      </c>
      <c r="M13" s="33">
        <v>0.22696349999750959</v>
      </c>
      <c r="N13" s="5">
        <v>2</v>
      </c>
      <c r="O13" s="5">
        <v>70</v>
      </c>
      <c r="P13" s="33">
        <v>0</v>
      </c>
      <c r="Q13" s="5">
        <v>14.144316135678061</v>
      </c>
      <c r="R13" s="5">
        <v>1461.4572462519891</v>
      </c>
      <c r="S13" s="31"/>
      <c r="T13" s="23">
        <v>70866.699148595653</v>
      </c>
      <c r="U13" s="33">
        <v>0.25809966700035147</v>
      </c>
      <c r="V13" s="5">
        <v>2</v>
      </c>
      <c r="W13" s="5">
        <v>75</v>
      </c>
      <c r="X13" s="33">
        <v>9.2996479511127905</v>
      </c>
      <c r="Y13" s="5">
        <v>26.758517859641032</v>
      </c>
      <c r="Z13" s="5">
        <v>2020.5056510055831</v>
      </c>
      <c r="AA13" s="35"/>
    </row>
    <row r="14" spans="2:27" x14ac:dyDescent="0.2">
      <c r="B14" s="46" t="s">
        <v>3</v>
      </c>
      <c r="C14" s="47"/>
      <c r="D14" s="9">
        <f>MIN(D4:D13)</f>
        <v>63831.725391357919</v>
      </c>
      <c r="E14" s="22">
        <f>INDEX(E4:E13, MATCH($D$14, D4:D13, 0))</f>
        <v>0.41867737500069779</v>
      </c>
      <c r="F14" s="9">
        <f>INDEX(F4:F13, MATCH($D$14, D4:D13, 0))</f>
        <v>2</v>
      </c>
      <c r="G14" s="9">
        <f>INDEX(G4:G13, MATCH($D$14, D4:D13, 0))</f>
        <v>80</v>
      </c>
      <c r="H14" s="22">
        <f>INDEX(H4:H13, MATCH($D$14, D4:D13, 0))</f>
        <v>0</v>
      </c>
      <c r="I14" s="22">
        <f>INDEX(I4:I13, MATCH($D$14, D4:D13, 0))</f>
        <v>18.526762434924276</v>
      </c>
      <c r="J14" s="22">
        <f>INDEX(J4:J13, MATCH($D$14, D4:D13, 0))</f>
        <v>1668.2267721822759</v>
      </c>
      <c r="K14" s="32">
        <f>(D14-$D$15)/$D$15</f>
        <v>0</v>
      </c>
      <c r="L14" s="16">
        <f>MIN(L4:L13)</f>
        <v>68179.729899526341</v>
      </c>
      <c r="M14" s="21">
        <f>INDEX(M4:M13, MATCH($L$14, L4:L13, 0))</f>
        <v>0.51127891600117437</v>
      </c>
      <c r="N14" s="16">
        <f>INDEX(N4:N13, MATCH($L$14, L4:L13, 0))</f>
        <v>2</v>
      </c>
      <c r="O14" s="16">
        <f>INDEX(O4:O13, MATCH($L$14, L4:L13, 0))</f>
        <v>70</v>
      </c>
      <c r="P14" s="21">
        <f>INDEX(P4:P13, MATCH($L$14, L4:L13, 0))</f>
        <v>0</v>
      </c>
      <c r="Q14" s="21">
        <f>INDEX(Q4:Q13, MATCH($L$14, L4:L13, 0))</f>
        <v>14.144316135678061</v>
      </c>
      <c r="R14" s="21">
        <f>INDEX(R4:R13, MATCH($L$14, L4:L13, 0))</f>
        <v>1461.4572462519891</v>
      </c>
      <c r="S14" s="36">
        <f>(L14-$D$15)/$D$15</f>
        <v>6.8116668968454544E-2</v>
      </c>
      <c r="T14" s="38">
        <f>MIN(T4:T13)</f>
        <v>70746.957952492783</v>
      </c>
      <c r="U14" s="39">
        <f>INDEX(U4:U13, MATCH($T$14, T4:T13, 0))</f>
        <v>0.59292908399947919</v>
      </c>
      <c r="V14" s="38">
        <f>INDEX(V4:V13, MATCH($T$14, T4:T13, 0))</f>
        <v>2</v>
      </c>
      <c r="W14" s="38">
        <f>INDEX(W4:W13, MATCH($T$14, T4:T13, 0))</f>
        <v>75</v>
      </c>
      <c r="X14" s="39">
        <f>INDEX(X4:X13, MATCH($T$14, T4:T13, 0))</f>
        <v>5.27478201446044</v>
      </c>
      <c r="Y14" s="39">
        <f>INDEX(Y4:Y13, MATCH($T$14, T4:T13, 0))</f>
        <v>26.373575202523391</v>
      </c>
      <c r="Z14" s="39">
        <f>INDEX(Z4:Z13, MATCH($T$14, T4:T13, 0))</f>
        <v>1991.4018901619911</v>
      </c>
      <c r="AA14" s="40">
        <f>(T14-$D$15)/$D$15</f>
        <v>0.10833535391275993</v>
      </c>
    </row>
    <row r="15" spans="2:27" x14ac:dyDescent="0.2">
      <c r="C15" s="1" t="s">
        <v>17</v>
      </c>
      <c r="D15" s="34">
        <v>63831.725391357919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3:C1048576">
    <cfRule type="duplicateValues" dxfId="73" priority="11"/>
    <cfRule type="duplicateValues" dxfId="72" priority="12"/>
  </conditionalFormatting>
  <conditionalFormatting sqref="C14">
    <cfRule type="duplicateValues" dxfId="71" priority="5"/>
    <cfRule type="duplicateValues" dxfId="70" priority="6"/>
  </conditionalFormatting>
  <conditionalFormatting sqref="C18:C32">
    <cfRule type="duplicateValues" dxfId="3" priority="3"/>
    <cfRule type="duplicateValues" dxfId="2" priority="4"/>
  </conditionalFormatting>
  <conditionalFormatting sqref="C17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67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66" priority="1"/>
  </conditionalFormatting>
  <conditionalFormatting sqref="L14">
    <cfRule type="duplicateValues" dxfId="65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64" priority="1"/>
  </conditionalFormatting>
  <conditionalFormatting sqref="L14">
    <cfRule type="duplicateValues" dxfId="63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62" priority="1"/>
  </conditionalFormatting>
  <conditionalFormatting sqref="L14">
    <cfRule type="duplicateValues" dxfId="61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60" priority="1"/>
  </conditionalFormatting>
  <conditionalFormatting sqref="L14">
    <cfRule type="duplicateValues" dxfId="59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58" priority="1"/>
  </conditionalFormatting>
  <conditionalFormatting sqref="L14">
    <cfRule type="duplicateValues" dxfId="57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56" priority="1"/>
    <cfRule type="duplicateValues" dxfId="55" priority="2"/>
  </conditionalFormatting>
  <conditionalFormatting sqref="L14">
    <cfRule type="duplicateValues" dxfId="54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53" priority="1"/>
  </conditionalFormatting>
  <conditionalFormatting sqref="L14">
    <cfRule type="duplicateValues" dxfId="52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51" priority="1"/>
  </conditionalFormatting>
  <conditionalFormatting sqref="L14">
    <cfRule type="duplicateValues" dxfId="50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9" priority="1"/>
  </conditionalFormatting>
  <conditionalFormatting sqref="L14">
    <cfRule type="duplicateValues" dxfId="48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47" priority="1"/>
  </conditionalFormatting>
  <conditionalFormatting sqref="L14">
    <cfRule type="duplicateValues" dxfId="46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5" priority="1"/>
  </conditionalFormatting>
  <conditionalFormatting sqref="L14">
    <cfRule type="duplicateValues" dxfId="44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43" priority="1"/>
  </conditionalFormatting>
  <conditionalFormatting sqref="L14">
    <cfRule type="duplicateValues" dxfId="42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41" priority="1"/>
  </conditionalFormatting>
  <conditionalFormatting sqref="L14">
    <cfRule type="duplicateValues" dxfId="40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39" priority="1"/>
  </conditionalFormatting>
  <conditionalFormatting sqref="L14">
    <cfRule type="duplicateValues" dxfId="38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37" priority="1"/>
  </conditionalFormatting>
  <conditionalFormatting sqref="L14">
    <cfRule type="duplicateValues" dxfId="36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results7</vt:lpstr>
      <vt:lpstr>results224</vt:lpstr>
      <vt:lpstr>results418</vt:lpstr>
      <vt:lpstr>results466</vt:lpstr>
      <vt:lpstr>results575</vt:lpstr>
      <vt:lpstr>results594</vt:lpstr>
      <vt:lpstr>results623</vt:lpstr>
      <vt:lpstr>results870</vt:lpstr>
      <vt:lpstr>results883</vt:lpstr>
      <vt:lpstr>results935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2026-10-21T17:40:04Z</dcterms:modified>
</cp:coreProperties>
</file>