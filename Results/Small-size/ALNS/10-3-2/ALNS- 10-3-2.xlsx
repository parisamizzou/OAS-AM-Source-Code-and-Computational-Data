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mall/ALNS/10-3-2/"/>
    </mc:Choice>
  </mc:AlternateContent>
  <xr:revisionPtr revIDLastSave="0" documentId="13_ncr:1_{260C14E4-D080-3B4F-A7E9-F33680A4E80E}" xr6:coauthVersionLast="47" xr6:coauthVersionMax="47" xr10:uidLastSave="{00000000-0000-0000-0000-000000000000}"/>
  <bookViews>
    <workbookView xWindow="0" yWindow="760" windowWidth="34560" windowHeight="20580" activeTab="1" xr2:uid="{41E620E7-D6DF-9342-B452-EA60AB3B07C5}"/>
  </bookViews>
  <sheets>
    <sheet name="Summary" sheetId="68" r:id="rId1"/>
    <sheet name="results37" sheetId="69" r:id="rId2"/>
    <sheet name="results40" sheetId="58" r:id="rId3"/>
    <sheet name="results148" sheetId="70" r:id="rId4"/>
    <sheet name="results216" sheetId="71" r:id="rId5"/>
    <sheet name="results351" sheetId="76" r:id="rId6"/>
    <sheet name="results530" sheetId="77" r:id="rId7"/>
    <sheet name="results652" sheetId="72" r:id="rId8"/>
    <sheet name="results707" sheetId="73" r:id="rId9"/>
    <sheet name="results823" sheetId="74" r:id="rId10"/>
    <sheet name="results919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75" l="1"/>
  <c r="H14" i="75"/>
  <c r="G14" i="75"/>
  <c r="D14" i="75"/>
  <c r="J14" i="75" s="1"/>
  <c r="D14" i="74"/>
  <c r="H14" i="74" s="1"/>
  <c r="I14" i="73"/>
  <c r="H14" i="73"/>
  <c r="G14" i="73"/>
  <c r="D14" i="73"/>
  <c r="J14" i="73" s="1"/>
  <c r="D14" i="72"/>
  <c r="H14" i="72" s="1"/>
  <c r="D14" i="77"/>
  <c r="J14" i="77" s="1"/>
  <c r="D14" i="76"/>
  <c r="K14" i="76" s="1"/>
  <c r="D14" i="71"/>
  <c r="H14" i="71" s="1"/>
  <c r="D14" i="70"/>
  <c r="H14" i="70" s="1"/>
  <c r="D14" i="58"/>
  <c r="H14" i="58" s="1"/>
  <c r="G14" i="69"/>
  <c r="F14" i="69"/>
  <c r="E14" i="69"/>
  <c r="D14" i="69"/>
  <c r="I14" i="69" s="1"/>
  <c r="E14" i="75" l="1"/>
  <c r="F14" i="75"/>
  <c r="K14" i="75"/>
  <c r="E14" i="74"/>
  <c r="K14" i="74"/>
  <c r="G14" i="74"/>
  <c r="I14" i="74"/>
  <c r="J14" i="74"/>
  <c r="F14" i="74"/>
  <c r="E14" i="73"/>
  <c r="F14" i="73"/>
  <c r="K14" i="73"/>
  <c r="F14" i="72"/>
  <c r="K14" i="72"/>
  <c r="I14" i="72"/>
  <c r="J14" i="72"/>
  <c r="E14" i="72"/>
  <c r="G14" i="72"/>
  <c r="F14" i="77"/>
  <c r="E14" i="77"/>
  <c r="H14" i="77"/>
  <c r="K14" i="77"/>
  <c r="G14" i="77"/>
  <c r="I14" i="77"/>
  <c r="E14" i="76"/>
  <c r="J14" i="76"/>
  <c r="F14" i="76"/>
  <c r="G14" i="76"/>
  <c r="H14" i="76"/>
  <c r="I14" i="76"/>
  <c r="E14" i="71"/>
  <c r="G14" i="71"/>
  <c r="I14" i="71"/>
  <c r="J14" i="71"/>
  <c r="K14" i="71"/>
  <c r="F14" i="71"/>
  <c r="E14" i="70"/>
  <c r="F14" i="70"/>
  <c r="I14" i="70"/>
  <c r="J14" i="70"/>
  <c r="K14" i="70"/>
  <c r="G14" i="70"/>
  <c r="E14" i="58"/>
  <c r="I14" i="58"/>
  <c r="J14" i="58"/>
  <c r="K14" i="58"/>
  <c r="F14" i="58"/>
  <c r="G14" i="58"/>
  <c r="K14" i="69"/>
  <c r="H14" i="69"/>
  <c r="J14" i="69"/>
  <c r="F12" i="68" a="1"/>
  <c r="I11" i="68" a="1"/>
  <c r="D9" i="68" a="1"/>
  <c r="E7" i="68" a="1"/>
  <c r="E5" i="68" a="1"/>
  <c r="E4" i="68" a="1"/>
  <c r="C3" i="68" a="1"/>
  <c r="G5" i="68" a="1"/>
  <c r="H5" i="68" a="1"/>
  <c r="H4" i="68" a="1"/>
  <c r="H9" i="68" a="1"/>
  <c r="F11" i="68" a="1"/>
  <c r="G6" i="68" a="1"/>
  <c r="I9" i="68" a="1"/>
  <c r="C6" i="68" a="1"/>
  <c r="F8" i="68" a="1"/>
  <c r="C12" i="68" a="1"/>
  <c r="D11" i="68" a="1"/>
  <c r="C5" i="68" a="1"/>
  <c r="C7" i="68" a="1"/>
  <c r="H11" i="68" a="1"/>
  <c r="I7" i="68" a="1"/>
  <c r="F10" i="68" a="1"/>
  <c r="G10" i="68" a="1"/>
  <c r="D4" i="68" a="1"/>
  <c r="F7" i="68" a="1"/>
  <c r="D6" i="68" a="1"/>
  <c r="E6" i="68" a="1"/>
  <c r="G9" i="68" a="1"/>
  <c r="G11" i="68" a="1"/>
  <c r="I10" i="68" a="1"/>
  <c r="E9" i="68" a="1"/>
  <c r="G4" i="68" a="1"/>
  <c r="E10" i="68" a="1"/>
  <c r="I5" i="68" a="1"/>
  <c r="H6" i="68" a="1"/>
  <c r="I6" i="68" a="1"/>
  <c r="G7" i="68" a="1"/>
  <c r="I3" i="68" a="1"/>
  <c r="E3" i="68" a="1"/>
  <c r="G12" i="68" a="1"/>
  <c r="H3" i="68" a="1"/>
  <c r="I12" i="68" a="1"/>
  <c r="C10" i="68" a="1"/>
  <c r="D10" i="68" a="1"/>
  <c r="C9" i="68" a="1"/>
  <c r="F9" i="68" a="1"/>
  <c r="E8" i="68" a="1"/>
  <c r="C4" i="68" a="1"/>
  <c r="H10" i="68" a="1"/>
  <c r="D8" i="68" a="1"/>
  <c r="H7" i="68" a="1"/>
  <c r="I4" i="68" a="1"/>
  <c r="I8" i="68" a="1"/>
  <c r="C11" i="68" a="1"/>
  <c r="F4" i="68" a="1"/>
  <c r="F5" i="68" a="1"/>
  <c r="E11" i="68" a="1"/>
  <c r="H12" i="68" a="1"/>
  <c r="D3" i="68" a="1"/>
  <c r="H8" i="68" a="1"/>
  <c r="F6" i="68" a="1"/>
  <c r="C8" i="68" a="1"/>
  <c r="D7" i="68" a="1"/>
  <c r="E12" i="68" a="1"/>
  <c r="G3" i="68" a="1"/>
  <c r="F3" i="68" a="1"/>
  <c r="D5" i="68" a="1"/>
  <c r="G8" i="68" a="1"/>
  <c r="D12" i="68" a="1"/>
  <c r="E4" i="68" l="1"/>
  <c r="F3" i="68"/>
  <c r="D12" i="68"/>
  <c r="G8" i="68"/>
  <c r="D5" i="68"/>
  <c r="C9" i="68"/>
  <c r="E9" i="68"/>
  <c r="I12" i="68"/>
  <c r="C11" i="68"/>
  <c r="G9" i="68"/>
  <c r="E6" i="68"/>
  <c r="C12" i="68"/>
  <c r="E5" i="68"/>
  <c r="G3" i="68"/>
  <c r="H6" i="68"/>
  <c r="E8" i="68"/>
  <c r="F9" i="68"/>
  <c r="H5" i="68"/>
  <c r="G5" i="68"/>
  <c r="C3" i="68"/>
  <c r="I8" i="68"/>
  <c r="G12" i="68"/>
  <c r="D6" i="68"/>
  <c r="F8" i="68"/>
  <c r="E7" i="68"/>
  <c r="E12" i="68"/>
  <c r="F11" i="68"/>
  <c r="I5" i="68"/>
  <c r="H4" i="68"/>
  <c r="C7" i="68"/>
  <c r="C10" i="68"/>
  <c r="G11" i="68"/>
  <c r="I4" i="68"/>
  <c r="E3" i="68"/>
  <c r="F7" i="68"/>
  <c r="C6" i="68"/>
  <c r="D9" i="68"/>
  <c r="D7" i="68"/>
  <c r="C4" i="68"/>
  <c r="D3" i="68"/>
  <c r="H11" i="68"/>
  <c r="E11" i="68"/>
  <c r="C5" i="68"/>
  <c r="F4" i="68"/>
  <c r="H7" i="68"/>
  <c r="I3" i="68"/>
  <c r="D4" i="68"/>
  <c r="I9" i="68"/>
  <c r="I11" i="68"/>
  <c r="C8" i="68"/>
  <c r="H8" i="68"/>
  <c r="I7" i="68"/>
  <c r="E10" i="68"/>
  <c r="G4" i="68"/>
  <c r="I10" i="68"/>
  <c r="D11" i="68"/>
  <c r="D8" i="68"/>
  <c r="G7" i="68"/>
  <c r="G10" i="68"/>
  <c r="G6" i="68"/>
  <c r="F12" i="68"/>
  <c r="F6" i="68"/>
  <c r="F10" i="68"/>
  <c r="H9" i="68"/>
  <c r="H12" i="68"/>
  <c r="D10" i="68"/>
  <c r="F5" i="68"/>
  <c r="H3" i="68"/>
  <c r="H10" i="68"/>
  <c r="I6" i="68"/>
  <c r="T14" i="75" l="1"/>
  <c r="U14" i="75" s="1"/>
  <c r="T14" i="73"/>
  <c r="V14" i="73" s="1"/>
  <c r="T14" i="72"/>
  <c r="T14" i="74"/>
  <c r="X14" i="74" s="1"/>
  <c r="T14" i="77"/>
  <c r="T14" i="76"/>
  <c r="T14" i="71"/>
  <c r="T14" i="70"/>
  <c r="T14" i="58"/>
  <c r="T14" i="69"/>
  <c r="L14" i="75"/>
  <c r="R14" i="75" s="1"/>
  <c r="R2" i="75" s="1"/>
  <c r="L14" i="73"/>
  <c r="L14" i="72"/>
  <c r="L14" i="77"/>
  <c r="L14" i="74"/>
  <c r="O14" i="74" s="1"/>
  <c r="L14" i="76"/>
  <c r="L14" i="71"/>
  <c r="L14" i="70"/>
  <c r="L14" i="69"/>
  <c r="O14" i="75"/>
  <c r="M14" i="75"/>
  <c r="S14" i="75"/>
  <c r="J2" i="75" s="1"/>
  <c r="N14" i="75"/>
  <c r="AA14" i="75"/>
  <c r="Z14" i="75"/>
  <c r="P14" i="74"/>
  <c r="P2" i="74" s="1"/>
  <c r="N14" i="73"/>
  <c r="M14" i="73"/>
  <c r="S14" i="73"/>
  <c r="J2" i="73" s="1"/>
  <c r="R14" i="73"/>
  <c r="R2" i="73" s="1"/>
  <c r="Q14" i="73"/>
  <c r="P14" i="73"/>
  <c r="P2" i="73" s="1"/>
  <c r="O14" i="73"/>
  <c r="AA14" i="73"/>
  <c r="Z14" i="73"/>
  <c r="Y14" i="73"/>
  <c r="W14" i="73"/>
  <c r="X14" i="73"/>
  <c r="U14" i="73"/>
  <c r="O14" i="72"/>
  <c r="N14" i="72"/>
  <c r="M14" i="72"/>
  <c r="Q14" i="72"/>
  <c r="H2" i="72" s="1"/>
  <c r="S14" i="72"/>
  <c r="J2" i="72" s="1"/>
  <c r="P14" i="72"/>
  <c r="R14" i="72"/>
  <c r="R2" i="72" s="1"/>
  <c r="AA14" i="72"/>
  <c r="U14" i="72"/>
  <c r="Z14" i="72"/>
  <c r="Y14" i="72"/>
  <c r="V14" i="72"/>
  <c r="X14" i="72"/>
  <c r="W14" i="72"/>
  <c r="AA14" i="77"/>
  <c r="W14" i="77"/>
  <c r="V14" i="77"/>
  <c r="U14" i="77"/>
  <c r="Z14" i="77"/>
  <c r="Y14" i="77"/>
  <c r="X14" i="77"/>
  <c r="O14" i="77"/>
  <c r="N14" i="77"/>
  <c r="S14" i="77"/>
  <c r="J2" i="77" s="1"/>
  <c r="M14" i="77"/>
  <c r="P14" i="77"/>
  <c r="R14" i="77"/>
  <c r="R2" i="77" s="1"/>
  <c r="Q14" i="77"/>
  <c r="H2" i="77" s="1"/>
  <c r="AA14" i="76"/>
  <c r="Z14" i="76"/>
  <c r="Y14" i="76"/>
  <c r="X14" i="76"/>
  <c r="W14" i="76"/>
  <c r="U14" i="76"/>
  <c r="V14" i="76"/>
  <c r="O14" i="76"/>
  <c r="N14" i="76"/>
  <c r="M14" i="76"/>
  <c r="S14" i="76"/>
  <c r="J2" i="76" s="1"/>
  <c r="R14" i="76"/>
  <c r="R2" i="76" s="1"/>
  <c r="Q14" i="76"/>
  <c r="H2" i="76" s="1"/>
  <c r="P14" i="76"/>
  <c r="P2" i="76" s="1"/>
  <c r="AA14" i="71"/>
  <c r="Z14" i="71"/>
  <c r="Y14" i="71"/>
  <c r="W14" i="71"/>
  <c r="V14" i="71"/>
  <c r="U14" i="71"/>
  <c r="X14" i="71"/>
  <c r="O14" i="71"/>
  <c r="S14" i="71"/>
  <c r="J2" i="71" s="1"/>
  <c r="R14" i="71"/>
  <c r="R2" i="71" s="1"/>
  <c r="N14" i="71"/>
  <c r="M14" i="71"/>
  <c r="Q14" i="71"/>
  <c r="H2" i="71" s="1"/>
  <c r="P14" i="71"/>
  <c r="P2" i="71" s="1"/>
  <c r="O14" i="70"/>
  <c r="N14" i="70"/>
  <c r="R14" i="70"/>
  <c r="R2" i="70" s="1"/>
  <c r="M14" i="70"/>
  <c r="P14" i="70"/>
  <c r="S14" i="70"/>
  <c r="J2" i="70" s="1"/>
  <c r="Q14" i="70"/>
  <c r="AA14" i="70"/>
  <c r="Z14" i="70"/>
  <c r="U14" i="70"/>
  <c r="Y14" i="70"/>
  <c r="X14" i="70"/>
  <c r="W14" i="70"/>
  <c r="V14" i="70"/>
  <c r="AA14" i="58"/>
  <c r="Z14" i="58"/>
  <c r="W14" i="58"/>
  <c r="Y14" i="58"/>
  <c r="V14" i="58"/>
  <c r="U14" i="58"/>
  <c r="X14" i="58"/>
  <c r="L14" i="58"/>
  <c r="D13" i="68"/>
  <c r="E13" i="68"/>
  <c r="AA14" i="69"/>
  <c r="Z14" i="69"/>
  <c r="V14" i="69"/>
  <c r="Y14" i="69"/>
  <c r="X14" i="69"/>
  <c r="W14" i="69"/>
  <c r="U14" i="69"/>
  <c r="O14" i="69"/>
  <c r="N14" i="69"/>
  <c r="M14" i="69"/>
  <c r="R14" i="69"/>
  <c r="R2" i="69" s="1"/>
  <c r="Q14" i="69"/>
  <c r="H2" i="69" s="1"/>
  <c r="S14" i="69"/>
  <c r="J2" i="69" s="1"/>
  <c r="P14" i="69"/>
  <c r="C17" i="68"/>
  <c r="I13" i="68"/>
  <c r="C13" i="68"/>
  <c r="J13" i="68" s="1"/>
  <c r="H13" i="68"/>
  <c r="G13" i="68"/>
  <c r="F13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S11" i="68" a="1"/>
  <c r="K7" i="68" a="1"/>
  <c r="T3" i="68" a="1"/>
  <c r="U6" i="68" a="1"/>
  <c r="W8" i="68" a="1"/>
  <c r="X10" i="68" a="1"/>
  <c r="K6" i="68" a="1"/>
  <c r="V5" i="68" a="1"/>
  <c r="U9" i="68" a="1"/>
  <c r="Y3" i="68" a="1"/>
  <c r="S9" i="68" a="1"/>
  <c r="K10" i="68" a="1"/>
  <c r="Q4" i="68" a="1"/>
  <c r="Y10" i="68" a="1"/>
  <c r="U8" i="68" a="1"/>
  <c r="X5" i="68" a="1"/>
  <c r="L5" i="68" a="1"/>
  <c r="O9" i="68" a="1"/>
  <c r="Y5" i="68" a="1"/>
  <c r="L10" i="68" a="1"/>
  <c r="W6" i="68" a="1"/>
  <c r="P5" i="68" a="1"/>
  <c r="Q3" i="68" a="1"/>
  <c r="W5" i="68" a="1"/>
  <c r="L11" i="68" a="1"/>
  <c r="S7" i="68" a="1"/>
  <c r="K5" i="68" a="1"/>
  <c r="T10" i="68" a="1"/>
  <c r="Q6" i="68" a="1"/>
  <c r="N11" i="68" a="1"/>
  <c r="P6" i="68" a="1"/>
  <c r="M8" i="68" a="1"/>
  <c r="P9" i="68" a="1"/>
  <c r="W7" i="68" a="1"/>
  <c r="N6" i="68" a="1"/>
  <c r="M6" i="68" a="1"/>
  <c r="Y9" i="68" a="1"/>
  <c r="V12" i="68" a="1"/>
  <c r="U10" i="68" a="1"/>
  <c r="T4" i="68" a="1"/>
  <c r="S8" i="68" a="1"/>
  <c r="K3" i="68" a="1"/>
  <c r="M11" i="68" a="1"/>
  <c r="W12" i="68" a="1"/>
  <c r="U3" i="68" a="1"/>
  <c r="P11" i="68" a="1"/>
  <c r="M4" i="68" a="1"/>
  <c r="W9" i="68" a="1"/>
  <c r="Y4" i="68" a="1"/>
  <c r="S10" i="68" a="1"/>
  <c r="K12" i="68" a="1"/>
  <c r="P3" i="68" a="1"/>
  <c r="T9" i="68" a="1"/>
  <c r="O5" i="68" a="1"/>
  <c r="X6" i="68" a="1"/>
  <c r="X12" i="68" a="1"/>
  <c r="S3" i="68" a="1"/>
  <c r="K4" i="68" a="1"/>
  <c r="Q11" i="68" a="1"/>
  <c r="L8" i="68" a="1"/>
  <c r="V11" i="68" a="1"/>
  <c r="N7" i="68" a="1"/>
  <c r="U12" i="68" a="1"/>
  <c r="Y6" i="68" a="1"/>
  <c r="L3" i="68" a="1"/>
  <c r="K11" i="68" a="1"/>
  <c r="V6" i="68" a="1"/>
  <c r="N4" i="68" a="1"/>
  <c r="N3" i="68" a="1"/>
  <c r="X9" i="68" a="1"/>
  <c r="Y12" i="68" a="1"/>
  <c r="T8" i="68" a="1"/>
  <c r="O11" i="68" a="1"/>
  <c r="N9" i="68" a="1"/>
  <c r="T6" i="68" a="1"/>
  <c r="X11" i="68" a="1"/>
  <c r="V9" i="68" a="1"/>
  <c r="N8" i="68" a="1"/>
  <c r="M3" i="68" a="1"/>
  <c r="N10" i="68" a="1"/>
  <c r="Q8" i="68" a="1"/>
  <c r="O8" i="68" a="1"/>
  <c r="K9" i="68" a="1"/>
  <c r="W10" i="68" a="1"/>
  <c r="T11" i="68" a="1"/>
  <c r="T5" i="68" a="1"/>
  <c r="W11" i="68" a="1"/>
  <c r="T12" i="68" a="1"/>
  <c r="V8" i="68" a="1"/>
  <c r="S5" i="68" a="1"/>
  <c r="U5" i="68" a="1"/>
  <c r="N5" i="68" a="1"/>
  <c r="S6" i="68" a="1"/>
  <c r="U11" i="68" a="1"/>
  <c r="L6" i="68" a="1"/>
  <c r="W3" i="68" a="1"/>
  <c r="V10" i="68" a="1"/>
  <c r="O7" i="68" a="1"/>
  <c r="M10" i="68" a="1"/>
  <c r="X8" i="68" a="1"/>
  <c r="O3" i="68" a="1"/>
  <c r="S4" i="68" a="1"/>
  <c r="K8" i="68" a="1"/>
  <c r="X3" i="68" a="1"/>
  <c r="P8" i="68" a="1"/>
  <c r="Y11" i="68" a="1"/>
  <c r="V3" i="68" a="1"/>
  <c r="O10" i="68" a="1"/>
  <c r="Q9" i="68" a="1"/>
  <c r="M9" i="68" a="1"/>
  <c r="L4" i="68" a="1"/>
  <c r="O6" i="68" a="1"/>
  <c r="P10" i="68" a="1"/>
  <c r="M5" i="68" a="1"/>
  <c r="L9" i="68" a="1"/>
  <c r="Q10" i="68" a="1"/>
  <c r="S12" i="68" a="1"/>
  <c r="Y8" i="68" a="1"/>
  <c r="Q5" i="68" a="1"/>
  <c r="V14" i="75" l="1"/>
  <c r="W14" i="75"/>
  <c r="X14" i="75"/>
  <c r="Y14" i="75"/>
  <c r="S4" i="68"/>
  <c r="V14" i="74"/>
  <c r="U14" i="74"/>
  <c r="W14" i="74"/>
  <c r="Z14" i="74"/>
  <c r="AA14" i="74"/>
  <c r="Y14" i="74"/>
  <c r="S11" i="68"/>
  <c r="S9" i="68"/>
  <c r="S7" i="68"/>
  <c r="S8" i="68"/>
  <c r="S10" i="68"/>
  <c r="S6" i="68"/>
  <c r="S12" i="68"/>
  <c r="S3" i="68"/>
  <c r="Q14" i="75"/>
  <c r="P14" i="75"/>
  <c r="P2" i="75" s="1"/>
  <c r="K4" i="68"/>
  <c r="R14" i="74"/>
  <c r="Q14" i="74"/>
  <c r="S14" i="74"/>
  <c r="J2" i="74" s="1"/>
  <c r="M14" i="74"/>
  <c r="N14" i="74"/>
  <c r="K11" i="68"/>
  <c r="K9" i="68"/>
  <c r="K8" i="68"/>
  <c r="K7" i="68"/>
  <c r="K10" i="68"/>
  <c r="K5" i="68"/>
  <c r="K3" i="68"/>
  <c r="X2" i="70"/>
  <c r="Z2" i="69"/>
  <c r="Z2" i="70"/>
  <c r="K12" i="68"/>
  <c r="O14" i="58"/>
  <c r="N14" i="58"/>
  <c r="M14" i="58"/>
  <c r="S14" i="58"/>
  <c r="J2" i="58" s="1"/>
  <c r="R14" i="58"/>
  <c r="R2" i="58" s="1"/>
  <c r="Q14" i="58"/>
  <c r="P14" i="58"/>
  <c r="P2" i="58" s="1"/>
  <c r="Z2" i="73"/>
  <c r="P2" i="70"/>
  <c r="T6" i="68"/>
  <c r="Z2" i="71"/>
  <c r="X2" i="71"/>
  <c r="W5" i="68"/>
  <c r="Z2" i="75"/>
  <c r="Q4" i="68"/>
  <c r="T3" i="68"/>
  <c r="X3" i="68"/>
  <c r="W10" i="68"/>
  <c r="V6" i="68"/>
  <c r="Q11" i="68"/>
  <c r="Q5" i="68"/>
  <c r="X2" i="69"/>
  <c r="X2" i="74"/>
  <c r="X2" i="72"/>
  <c r="N8" i="68"/>
  <c r="X11" i="68"/>
  <c r="T9" i="68"/>
  <c r="W12" i="68"/>
  <c r="Q6" i="68"/>
  <c r="Y10" i="68"/>
  <c r="U6" i="68"/>
  <c r="P8" i="68"/>
  <c r="T11" i="68"/>
  <c r="N4" i="68"/>
  <c r="L8" i="68"/>
  <c r="M3" i="68"/>
  <c r="W7" i="68"/>
  <c r="Q3" i="68"/>
  <c r="P3" i="68"/>
  <c r="M11" i="68"/>
  <c r="T10" i="68"/>
  <c r="Z2" i="76"/>
  <c r="P2" i="69"/>
  <c r="Z2" i="72"/>
  <c r="Y6" i="68"/>
  <c r="O7" i="68"/>
  <c r="M6" i="68"/>
  <c r="L9" i="68"/>
  <c r="X12" i="68"/>
  <c r="M4" i="68"/>
  <c r="M8" i="68"/>
  <c r="L5" i="68"/>
  <c r="K6" i="68"/>
  <c r="O10" i="68"/>
  <c r="T12" i="68"/>
  <c r="Y12" i="68"/>
  <c r="U12" i="68"/>
  <c r="V10" i="68"/>
  <c r="N6" i="68"/>
  <c r="V9" i="68"/>
  <c r="X6" i="68"/>
  <c r="P11" i="68"/>
  <c r="P6" i="68"/>
  <c r="X5" i="68"/>
  <c r="X10" i="68"/>
  <c r="V3" i="68"/>
  <c r="W11" i="68"/>
  <c r="X9" i="68"/>
  <c r="N7" i="68"/>
  <c r="V12" i="68"/>
  <c r="Y8" i="68"/>
  <c r="U11" i="68"/>
  <c r="O5" i="68"/>
  <c r="U3" i="68"/>
  <c r="N11" i="68"/>
  <c r="U8" i="68"/>
  <c r="W8" i="68"/>
  <c r="Y11" i="68"/>
  <c r="T5" i="68"/>
  <c r="N3" i="68"/>
  <c r="V11" i="68"/>
  <c r="W3" i="68"/>
  <c r="H2" i="73"/>
  <c r="P2" i="72"/>
  <c r="X2" i="76"/>
  <c r="U5" i="68"/>
  <c r="P5" i="68"/>
  <c r="P10" i="68"/>
  <c r="O3" i="68"/>
  <c r="T4" i="68"/>
  <c r="L6" i="68"/>
  <c r="P9" i="68"/>
  <c r="N9" i="68"/>
  <c r="W6" i="68"/>
  <c r="Y3" i="68"/>
  <c r="O9" i="68"/>
  <c r="U9" i="68"/>
  <c r="O6" i="68"/>
  <c r="O8" i="68"/>
  <c r="L11" i="68"/>
  <c r="Y9" i="68"/>
  <c r="L4" i="68"/>
  <c r="M5" i="68"/>
  <c r="Y4" i="68"/>
  <c r="L10" i="68"/>
  <c r="M9" i="68"/>
  <c r="S5" i="68"/>
  <c r="O11" i="68"/>
  <c r="X8" i="68"/>
  <c r="U10" i="68"/>
  <c r="Y5" i="68"/>
  <c r="Q8" i="68"/>
  <c r="N10" i="68"/>
  <c r="Q10" i="68"/>
  <c r="N5" i="68"/>
  <c r="W9" i="68"/>
  <c r="L3" i="68"/>
  <c r="M10" i="68"/>
  <c r="V5" i="68"/>
  <c r="Q9" i="68"/>
  <c r="V8" i="68"/>
  <c r="T8" i="68"/>
  <c r="P2" i="77"/>
  <c r="X2" i="77"/>
  <c r="H2" i="70"/>
  <c r="Z2" i="77"/>
  <c r="X2" i="73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V7" i="68" a="1"/>
  <c r="L12" i="68" a="1"/>
  <c r="Y7" i="68" a="1"/>
  <c r="P12" i="68" a="1"/>
  <c r="X7" i="68" a="1"/>
  <c r="O4" i="68" a="1"/>
  <c r="P7" i="68" a="1"/>
  <c r="Q12" i="68" a="1"/>
  <c r="M7" i="68" a="1"/>
  <c r="V4" i="68" a="1"/>
  <c r="P4" i="68" a="1"/>
  <c r="Q7" i="68" a="1"/>
  <c r="U4" i="68" a="1"/>
  <c r="W4" i="68" a="1"/>
  <c r="X4" i="68" a="1"/>
  <c r="U7" i="68" a="1"/>
  <c r="M12" i="68" a="1"/>
  <c r="O12" i="68" a="1"/>
  <c r="L7" i="68" a="1"/>
  <c r="N12" i="68" a="1"/>
  <c r="T7" i="68" a="1"/>
  <c r="U4" i="68" l="1"/>
  <c r="S17" i="68"/>
  <c r="V4" i="68"/>
  <c r="X4" i="68"/>
  <c r="W4" i="68"/>
  <c r="W13" i="68" s="1"/>
  <c r="W14" i="68" s="1"/>
  <c r="U7" i="68"/>
  <c r="U13" i="68" s="1"/>
  <c r="U14" i="68" s="1"/>
  <c r="Z2" i="74"/>
  <c r="X7" i="68"/>
  <c r="X13" i="68" s="1"/>
  <c r="X14" i="68" s="1"/>
  <c r="Y7" i="68"/>
  <c r="Y13" i="68" s="1"/>
  <c r="Y14" i="68" s="1"/>
  <c r="V7" i="68"/>
  <c r="T7" i="68"/>
  <c r="T13" i="68" s="1"/>
  <c r="T14" i="68" s="1"/>
  <c r="S13" i="68"/>
  <c r="Z13" i="68" s="1"/>
  <c r="X2" i="75"/>
  <c r="K13" i="68"/>
  <c r="R13" i="68" s="1"/>
  <c r="O4" i="68"/>
  <c r="P4" i="68"/>
  <c r="H2" i="75"/>
  <c r="R2" i="74"/>
  <c r="L7" i="68"/>
  <c r="P7" i="68"/>
  <c r="M7" i="68"/>
  <c r="Q7" i="68"/>
  <c r="H2" i="74"/>
  <c r="K17" i="68"/>
  <c r="Q12" i="68"/>
  <c r="P12" i="68"/>
  <c r="L12" i="68"/>
  <c r="O12" i="68"/>
  <c r="M12" i="68"/>
  <c r="N12" i="68"/>
  <c r="N13" i="68" s="1"/>
  <c r="N14" i="68" s="1"/>
  <c r="H2" i="58"/>
  <c r="X2" i="58"/>
  <c r="Z2" i="58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V13" i="68" l="1"/>
  <c r="V14" i="68" s="1"/>
  <c r="S14" i="68"/>
  <c r="O13" i="68"/>
  <c r="O14" i="68" s="1"/>
  <c r="L13" i="68"/>
  <c r="L14" i="68" s="1"/>
  <c r="Q13" i="68"/>
  <c r="Q14" i="68" s="1"/>
  <c r="M13" i="68"/>
  <c r="M14" i="68" s="1"/>
  <c r="P13" i="68"/>
  <c r="P14" i="68" s="1"/>
  <c r="K14" i="68"/>
  <c r="G14" i="26"/>
  <c r="E14" i="26"/>
  <c r="D14" i="26"/>
  <c r="K14" i="26"/>
  <c r="P14" i="25"/>
  <c r="N14" i="25"/>
  <c r="M14" i="25"/>
  <c r="T14" i="25"/>
  <c r="D14" i="25"/>
  <c r="H4" i="23" a="1"/>
  <c r="I4" i="23" a="1"/>
  <c r="H4" i="23" l="1"/>
  <c r="I4" i="23"/>
  <c r="F11" i="23" a="1"/>
  <c r="E4" i="23" a="1"/>
  <c r="D12" i="23" a="1"/>
  <c r="D6" i="23" a="1"/>
  <c r="F4" i="23" a="1"/>
  <c r="D7" i="23" a="1"/>
  <c r="E12" i="23" a="1"/>
  <c r="G8" i="23" a="1"/>
  <c r="D9" i="23" a="1"/>
  <c r="E10" i="23" a="1"/>
  <c r="F5" i="23" a="1"/>
  <c r="F6" i="23" a="1"/>
  <c r="G13" i="23" a="1"/>
  <c r="G12" i="23" a="1"/>
  <c r="F8" i="23" a="1"/>
  <c r="E13" i="23" a="1"/>
  <c r="E6" i="23" a="1"/>
  <c r="E9" i="23" a="1"/>
  <c r="E11" i="23" a="1"/>
  <c r="G5" i="23" a="1"/>
  <c r="D13" i="23" a="1"/>
  <c r="E7" i="23" a="1"/>
  <c r="E8" i="23" a="1"/>
  <c r="D8" i="23" a="1"/>
  <c r="G6" i="23" a="1"/>
  <c r="G4" i="23" a="1"/>
  <c r="G11" i="23" a="1"/>
  <c r="F13" i="23" a="1"/>
  <c r="G9" i="23" a="1"/>
  <c r="D5" i="23" a="1"/>
  <c r="D10" i="23" a="1"/>
  <c r="D11" i="23" a="1"/>
  <c r="G10" i="23" a="1"/>
  <c r="F9" i="23" a="1"/>
  <c r="E5" i="23" a="1"/>
  <c r="F7" i="23" a="1"/>
  <c r="G7" i="23" a="1"/>
  <c r="D4" i="23" a="1"/>
  <c r="F12" i="23" a="1"/>
  <c r="F10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<sst xmlns="http://schemas.openxmlformats.org/spreadsheetml/2006/main" count="677" uniqueCount="22">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</sst>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7"/>
  <sheetViews>
    <sheetView zoomScale="85" zoomScaleNormal="85" workbookViewId="0">
      <selection activeCell="T13" sqref="T13:Y13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37</v>
      </c>
      <c r="C3" s="5" cm="1">
        <f t="array" aca="1" ref="C3" ca="1">INDIRECT("'results" &amp; $B3 &amp; "'!D$14")</f>
        <v>27077.46528904092</v>
      </c>
      <c r="D3" s="33" cm="1">
        <f t="array" aca="1" ref="D3" ca="1">INDIRECT("'results" &amp; $B3 &amp; "'!E$14")</f>
        <v>0.11303425000005519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100</v>
      </c>
      <c r="G3" s="5" cm="1">
        <f t="array" aca="1" ref="G3" ca="1">INDIRECT("'results" &amp; $B3 &amp; "'!H$14")</f>
        <v>0</v>
      </c>
      <c r="H3" s="33" cm="1">
        <f t="array" aca="1" ref="H3" ca="1">INDIRECT("'results" &amp; $B3 &amp; "'!I$14")</f>
        <v>23.565788348822593</v>
      </c>
      <c r="I3" s="5" cm="1">
        <f t="array" aca="1" ref="I3" ca="1">INDIRECT("'results" &amp; $B3 &amp; "'!J$14")</f>
        <v>1179.1166341472369</v>
      </c>
      <c r="J3" s="5"/>
      <c r="K3" s="5" cm="1">
        <f t="array" aca="1" ref="K3" ca="1">INDIRECT("'results" &amp; $B3 &amp; "'!L$14")</f>
        <v>30194.342272302049</v>
      </c>
      <c r="L3" s="5" cm="1">
        <f t="array" aca="1" ref="L3" ca="1">INDIRECT("'results" &amp; $B3 &amp; "'!M$14")</f>
        <v>0.15199612500146031</v>
      </c>
      <c r="M3" s="5" cm="1">
        <f t="array" aca="1" ref="M3" ca="1">INDIRECT("'results" &amp; $B3 &amp; "'!N$14")</f>
        <v>2</v>
      </c>
      <c r="N3" s="5" cm="1">
        <f t="array" aca="1" ref="N3" ca="1">INDIRECT("'results" &amp; $B3 &amp; "'!O$14")</f>
        <v>90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20.497525090341938</v>
      </c>
      <c r="Q3" s="5" cm="1">
        <f t="array" aca="1" ref="Q3" ca="1">INDIRECT("'results" &amp; $B3 &amp; "'!R$14")</f>
        <v>1045.4936392016471</v>
      </c>
      <c r="R3" s="5"/>
      <c r="S3" s="5" cm="1">
        <f t="array" aca="1" ref="S3" ca="1">INDIRECT("'results" &amp; $B3 &amp; "'!T$14")</f>
        <v>28306.231911359951</v>
      </c>
      <c r="T3" s="5" cm="1">
        <f t="array" aca="1" ref="T3" ca="1">INDIRECT("'results" &amp; $B3 &amp; "'!U$14")</f>
        <v>0.14453941700048739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100</v>
      </c>
      <c r="W3" s="5" cm="1">
        <f t="array" aca="1" ref="W3" ca="1">INDIRECT("'results" &amp; $B3 &amp; "'!X$14")</f>
        <v>0</v>
      </c>
      <c r="X3" s="5" cm="1">
        <f t="array" aca="1" ref="X3" ca="1">INDIRECT("'results" &amp; $B3 &amp; "'!Y$14")</f>
        <v>26.649099107960666</v>
      </c>
      <c r="Y3" s="5" cm="1">
        <f t="array" aca="1" ref="Y3" ca="1">INDIRECT("'results" &amp; $B3 &amp; "'!Z$14")</f>
        <v>1367.7491530503089</v>
      </c>
      <c r="Z3" s="5"/>
    </row>
    <row r="4" spans="2:26" x14ac:dyDescent="0.2">
      <c r="B4" s="4">
        <v>919</v>
      </c>
      <c r="C4" s="5" cm="1">
        <f t="array" aca="1" ref="C4" ca="1">INDIRECT("'results" &amp; $B4 &amp; "'!D$14")</f>
        <v>35936.241574734871</v>
      </c>
      <c r="D4" s="33" cm="1">
        <f t="array" aca="1" ref="D4" ca="1">INDIRECT("'results" &amp; $B4 &amp; "'!E$14")</f>
        <v>9.266079200006061E-2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90</v>
      </c>
      <c r="G4" s="5" cm="1">
        <f t="array" aca="1" ref="G4" ca="1">INDIRECT("'results" &amp; $B4 &amp; "'!H$14")</f>
        <v>32.640922319288116</v>
      </c>
      <c r="H4" s="33" cm="1">
        <f t="array" aca="1" ref="H4" ca="1">INDIRECT("'results" &amp; $B4 &amp; "'!I$14")</f>
        <v>30.34748227890589</v>
      </c>
      <c r="I4" s="5" cm="1">
        <f t="array" aca="1" ref="I4" ca="1">INDIRECT("'results" &amp; $B4 &amp; "'!J$14")</f>
        <v>1758.8700736661667</v>
      </c>
      <c r="J4" s="5"/>
      <c r="K4" s="5" cm="1">
        <f t="array" aca="1" ref="K4" ca="1">INDIRECT("'results" &amp; $B4 &amp; "'!L$14")</f>
        <v>40836.439278509337</v>
      </c>
      <c r="L4" s="5" cm="1">
        <f t="array" aca="1" ref="L4" ca="1">INDIRECT("'results" &amp; $B4 &amp; "'!M$14")</f>
        <v>6.001704200025415E-2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70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11.830624026804582</v>
      </c>
      <c r="Q4" s="5" cm="1">
        <f t="array" aca="1" ref="Q4" ca="1">INDIRECT("'results" &amp; $B4 &amp; "'!R$14")</f>
        <v>1029.0230365989682</v>
      </c>
      <c r="R4" s="5"/>
      <c r="S4" s="5" cm="1">
        <f t="array" aca="1" ref="S4" ca="1">INDIRECT("'results" &amp; $B4 &amp; "'!T$14")</f>
        <v>39399.237329240161</v>
      </c>
      <c r="T4" s="5" cm="1">
        <f t="array" aca="1" ref="T4" ca="1">INDIRECT("'results" &amp; $B4 &amp; "'!U$14")</f>
        <v>5.6834209000953713E-2</v>
      </c>
      <c r="U4" s="5" cm="1">
        <f t="array" aca="1" ref="U4" ca="1">INDIRECT("'results" &amp; $B4 &amp; "'!V$14")</f>
        <v>2</v>
      </c>
      <c r="V4" s="5" cm="1">
        <f t="array" aca="1" ref="V4" ca="1">INDIRECT("'results" &amp; $B4 &amp; "'!W$14")</f>
        <v>80</v>
      </c>
      <c r="W4" s="5" cm="1">
        <f t="array" aca="1" ref="W4" ca="1">INDIRECT("'results" &amp; $B4 &amp; "'!X$14")</f>
        <v>97.724723976728114</v>
      </c>
      <c r="X4" s="5" cm="1">
        <f t="array" aca="1" ref="X4" ca="1">INDIRECT("'results" &amp; $B4 &amp; "'!Y$14")</f>
        <v>43.711476887992958</v>
      </c>
      <c r="Y4" s="5" cm="1">
        <f t="array" aca="1" ref="Y4" ca="1">INDIRECT("'results" &amp; $B4 &amp; "'!Z$14")</f>
        <v>2138.9722433696334</v>
      </c>
      <c r="Z4" s="5"/>
    </row>
    <row r="5" spans="2:26" x14ac:dyDescent="0.2">
      <c r="B5" s="4">
        <v>148</v>
      </c>
      <c r="C5" s="5" cm="1">
        <f t="array" aca="1" ref="C5" ca="1">INDIRECT("'results" &amp; $B5 &amp; "'!D$14")</f>
        <v>33826.361199326908</v>
      </c>
      <c r="D5" s="33" cm="1">
        <f t="array" aca="1" ref="D5" ca="1">INDIRECT("'results" &amp; $B5 &amp; "'!E$14")</f>
        <v>7.1074999999837019E-2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80</v>
      </c>
      <c r="G5" s="5" cm="1">
        <f t="array" aca="1" ref="G5" ca="1">INDIRECT("'results" &amp; $B5 &amp; "'!H$14")</f>
        <v>0</v>
      </c>
      <c r="H5" s="33" cm="1">
        <f t="array" aca="1" ref="H5" ca="1">INDIRECT("'results" &amp; $B5 &amp; "'!I$14")</f>
        <v>9.7097916801958579</v>
      </c>
      <c r="I5" s="5" cm="1">
        <f t="array" aca="1" ref="I5" ca="1">INDIRECT("'results" &amp; $B5 &amp; "'!J$14")</f>
        <v>783.83061797784785</v>
      </c>
      <c r="J5" s="5"/>
      <c r="K5" s="5" cm="1">
        <f t="array" aca="1" ref="K5" ca="1">INDIRECT("'results" &amp; $B5 &amp; "'!L$14")</f>
        <v>34335.724496864517</v>
      </c>
      <c r="L5" s="5" cm="1">
        <f t="array" aca="1" ref="L5" ca="1">INDIRECT("'results" &amp; $B5 &amp; "'!M$14")</f>
        <v>7.7206916997965891E-2</v>
      </c>
      <c r="M5" s="5" cm="1">
        <f t="array" aca="1" ref="M5" ca="1">INDIRECT("'results" &amp; $B5 &amp; "'!N$14")</f>
        <v>2</v>
      </c>
      <c r="N5" s="5" cm="1">
        <f t="array" aca="1" ref="N5" ca="1">INDIRECT("'results" &amp; $B5 &amp; "'!O$14")</f>
        <v>80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9.7499515485999986</v>
      </c>
      <c r="Q5" s="5" cm="1">
        <f t="array" aca="1" ref="Q5" ca="1">INDIRECT("'results" &amp; $B5 &amp; "'!R$14")</f>
        <v>852.3477593200264</v>
      </c>
      <c r="R5" s="5"/>
      <c r="S5" s="5" cm="1">
        <f t="array" aca="1" ref="S5" ca="1">INDIRECT("'results" &amp; $B5 &amp; "'!T$14")</f>
        <v>34652.511087467647</v>
      </c>
      <c r="T5" s="5" cm="1">
        <f t="array" aca="1" ref="T5" ca="1">INDIRECT("'results" &amp; $B5 &amp; "'!U$14")</f>
        <v>8.36837499991816E-2</v>
      </c>
      <c r="U5" s="5" cm="1">
        <f t="array" aca="1" ref="U5" ca="1">INDIRECT("'results" &amp; $B5 &amp; "'!V$14")</f>
        <v>2</v>
      </c>
      <c r="V5" s="5" cm="1">
        <f t="array" aca="1" ref="V5" ca="1">INDIRECT("'results" &amp; $B5 &amp; "'!W$14")</f>
        <v>80</v>
      </c>
      <c r="W5" s="5" cm="1">
        <f t="array" aca="1" ref="W5" ca="1">INDIRECT("'results" &amp; $B5 &amp; "'!X$14")</f>
        <v>0</v>
      </c>
      <c r="X5" s="5" cm="1">
        <f t="array" aca="1" ref="X5" ca="1">INDIRECT("'results" &amp; $B5 &amp; "'!Y$14")</f>
        <v>19.927161035845135</v>
      </c>
      <c r="Y5" s="5" cm="1">
        <f t="array" aca="1" ref="Y5" ca="1">INDIRECT("'results" &amp; $B5 &amp; "'!Z$14")</f>
        <v>1173.8483391638028</v>
      </c>
      <c r="Z5" s="5"/>
    </row>
    <row r="6" spans="2:26" x14ac:dyDescent="0.2">
      <c r="B6" s="4">
        <v>216</v>
      </c>
      <c r="C6" s="5" cm="1">
        <f t="array" aca="1" ref="C6" ca="1">INDIRECT("'results" &amp; $B6 &amp; "'!D$14")</f>
        <v>33087.705946808434</v>
      </c>
      <c r="D6" s="33" cm="1">
        <f t="array" aca="1" ref="D6" ca="1">INDIRECT("'results" &amp; $B6 &amp; "'!E$14")</f>
        <v>6.5033333000428684E-2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90</v>
      </c>
      <c r="G6" s="5" cm="1">
        <f t="array" aca="1" ref="G6" ca="1">INDIRECT("'results" &amp; $B6 &amp; "'!H$14")</f>
        <v>0</v>
      </c>
      <c r="H6" s="33" cm="1">
        <f t="array" aca="1" ref="H6" ca="1">INDIRECT("'results" &amp; $B6 &amp; "'!I$14")</f>
        <v>9.7542387393341023</v>
      </c>
      <c r="I6" s="5" cm="1">
        <f t="array" aca="1" ref="I6" ca="1">INDIRECT("'results" &amp; $B6 &amp; "'!J$14")</f>
        <v>1028.8038896816543</v>
      </c>
      <c r="J6" s="5"/>
      <c r="K6" s="5" cm="1">
        <f t="array" aca="1" ref="K6" ca="1">INDIRECT("'results" &amp; $B6 &amp; "'!L$14")</f>
        <v>33087.705946808434</v>
      </c>
      <c r="L6" s="5" cm="1">
        <f t="array" aca="1" ref="L6" ca="1">INDIRECT("'results" &amp; $B6 &amp; "'!M$14")</f>
        <v>7.1643791998212691E-2</v>
      </c>
      <c r="M6" s="5" cm="1">
        <f t="array" aca="1" ref="M6" ca="1">INDIRECT("'results" &amp; $B6 &amp; "'!N$14")</f>
        <v>2</v>
      </c>
      <c r="N6" s="5" cm="1">
        <f t="array" aca="1" ref="N6" ca="1">INDIRECT("'results" &amp; $B6 &amp; "'!O$14")</f>
        <v>90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9.7542387393341023</v>
      </c>
      <c r="Q6" s="5" cm="1">
        <f t="array" aca="1" ref="Q6" ca="1">INDIRECT("'results" &amp; $B6 &amp; "'!R$14")</f>
        <v>1028.8038896816543</v>
      </c>
      <c r="R6" s="5"/>
      <c r="S6" s="5" cm="1">
        <f t="array" aca="1" ref="S6" ca="1">INDIRECT("'results" &amp; $B6 &amp; "'!T$14")</f>
        <v>35330.673049050863</v>
      </c>
      <c r="T6" s="5" cm="1">
        <f t="array" aca="1" ref="T6" ca="1">INDIRECT("'results" &amp; $B6 &amp; "'!U$14")</f>
        <v>7.0224333001533523E-2</v>
      </c>
      <c r="U6" s="5" cm="1">
        <f t="array" aca="1" ref="U6" ca="1">INDIRECT("'results" &amp; $B6 &amp; "'!V$14")</f>
        <v>2</v>
      </c>
      <c r="V6" s="5" cm="1">
        <f t="array" aca="1" ref="V6" ca="1">INDIRECT("'results" &amp; $B6 &amp; "'!W$14")</f>
        <v>90</v>
      </c>
      <c r="W6" s="5" cm="1">
        <f t="array" aca="1" ref="W6" ca="1">INDIRECT("'results" &amp; $B6 &amp; "'!X$14")</f>
        <v>0</v>
      </c>
      <c r="X6" s="5" cm="1">
        <f t="array" aca="1" ref="X6" ca="1">INDIRECT("'results" &amp; $B6 &amp; "'!Y$14")</f>
        <v>17.446345183172486</v>
      </c>
      <c r="Y6" s="5" cm="1">
        <f t="array" aca="1" ref="Y6" ca="1">INDIRECT("'results" &amp; $B6 &amp; "'!Z$14")</f>
        <v>1416.3229419168392</v>
      </c>
      <c r="Z6" s="5"/>
    </row>
    <row r="7" spans="2:26" x14ac:dyDescent="0.2">
      <c r="B7" s="4">
        <v>823</v>
      </c>
      <c r="C7" s="5" cm="1">
        <f t="array" aca="1" ref="C7" ca="1">INDIRECT("'results" &amp; $B7 &amp; "'!D$14")</f>
        <v>25533.657956810031</v>
      </c>
      <c r="D7" s="33" cm="1">
        <f t="array" aca="1" ref="D7" ca="1">INDIRECT("'results" &amp; $B7 &amp; "'!E$14")</f>
        <v>4.7267584000110219E-2</v>
      </c>
      <c r="E7" s="5" cm="1">
        <f t="array" aca="1" ref="E7" ca="1">INDIRECT("'results" &amp; $B7 &amp; "'!F$14")</f>
        <v>2</v>
      </c>
      <c r="F7" s="5" cm="1">
        <f t="array" aca="1" ref="F7" ca="1">INDIRECT("'results" &amp; $B7 &amp; "'!G$14")</f>
        <v>100</v>
      </c>
      <c r="G7" s="5" cm="1">
        <f t="array" aca="1" ref="G7" ca="1">INDIRECT("'results" &amp; $B7 &amp; "'!H$14")</f>
        <v>0</v>
      </c>
      <c r="H7" s="33" cm="1">
        <f t="array" aca="1" ref="H7" ca="1">INDIRECT("'results" &amp; $B7 &amp; "'!I$14")</f>
        <v>8.7253580995928655</v>
      </c>
      <c r="I7" s="5" cm="1">
        <f t="array" aca="1" ref="I7" ca="1">INDIRECT("'results" &amp; $B7 &amp; "'!J$14")</f>
        <v>748.13040388033573</v>
      </c>
      <c r="J7" s="5"/>
      <c r="K7" s="5" cm="1">
        <f t="array" aca="1" ref="K7" ca="1">INDIRECT("'results" &amp; $B7 &amp; "'!L$14")</f>
        <v>25533.657956810031</v>
      </c>
      <c r="L7" s="5" cm="1">
        <f t="array" aca="1" ref="L7" ca="1">INDIRECT("'results" &amp; $B7 &amp; "'!M$14")</f>
        <v>5.0119290997827193E-2</v>
      </c>
      <c r="M7" s="5" cm="1">
        <f t="array" aca="1" ref="M7" ca="1">INDIRECT("'results" &amp; $B7 &amp; "'!N$14")</f>
        <v>2</v>
      </c>
      <c r="N7" s="5" cm="1">
        <f t="array" aca="1" ref="N7" ca="1">INDIRECT("'results" &amp; $B7 &amp; "'!O$14")</f>
        <v>100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8.7253580995928655</v>
      </c>
      <c r="Q7" s="5" cm="1">
        <f t="array" aca="1" ref="Q7" ca="1">INDIRECT("'results" &amp; $B7 &amp; "'!R$14")</f>
        <v>748.13040388033573</v>
      </c>
      <c r="R7" s="5"/>
      <c r="S7" s="5" cm="1">
        <f t="array" aca="1" ref="S7" ca="1">INDIRECT("'results" &amp; $B7 &amp; "'!T$14")</f>
        <v>26402.35384801315</v>
      </c>
      <c r="T7" s="5" cm="1">
        <f t="array" aca="1" ref="T7" ca="1">INDIRECT("'results" &amp; $B7 &amp; "'!U$14")</f>
        <v>0.10146141700170121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100</v>
      </c>
      <c r="W7" s="5" cm="1">
        <f t="array" aca="1" ref="W7" ca="1">INDIRECT("'results" &amp; $B7 &amp; "'!X$14")</f>
        <v>0</v>
      </c>
      <c r="X7" s="5" cm="1">
        <f t="array" aca="1" ref="X7" ca="1">INDIRECT("'results" &amp; $B7 &amp; "'!Y$14")</f>
        <v>21.143451670718818</v>
      </c>
      <c r="Y7" s="5" cm="1">
        <f t="array" aca="1" ref="Y7" ca="1">INDIRECT("'results" &amp; $B7 &amp; "'!Z$14")</f>
        <v>1090.361081302834</v>
      </c>
      <c r="Z7" s="5"/>
    </row>
    <row r="8" spans="2:26" x14ac:dyDescent="0.2">
      <c r="B8" s="4">
        <v>530</v>
      </c>
      <c r="C8" s="5" cm="1">
        <f t="array" aca="1" ref="C8" ca="1">INDIRECT("'results" &amp; $B8 &amp; "'!D$14")</f>
        <v>28519.97113125792</v>
      </c>
      <c r="D8" s="33" cm="1">
        <f t="array" aca="1" ref="D8" ca="1">INDIRECT("'results" &amp; $B8 &amp; "'!E$14")</f>
        <v>4.4227624999621178E-2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100</v>
      </c>
      <c r="G8" s="5" cm="1">
        <f t="array" aca="1" ref="G8" ca="1">INDIRECT("'results" &amp; $B8 &amp; "'!H$14")</f>
        <v>0</v>
      </c>
      <c r="H8" s="33" cm="1">
        <f t="array" aca="1" ref="H8" ca="1">INDIRECT("'results" &amp; $B8 &amp; "'!I$14")</f>
        <v>17.276102857414919</v>
      </c>
      <c r="I8" s="5" cm="1">
        <f t="array" aca="1" ref="I8" ca="1">INDIRECT("'results" &amp; $B8 &amp; "'!J$14")</f>
        <v>1249.1669865352696</v>
      </c>
      <c r="J8" s="5"/>
      <c r="K8" s="5" cm="1">
        <f t="array" aca="1" ref="K8" ca="1">INDIRECT("'results" &amp; $B8 &amp; "'!L$14")</f>
        <v>28519.97113125792</v>
      </c>
      <c r="L8" s="5" cm="1">
        <f t="array" aca="1" ref="L8" ca="1">INDIRECT("'results" &amp; $B8 &amp; "'!M$14")</f>
        <v>4.3545957996684592E-2</v>
      </c>
      <c r="M8" s="5" cm="1">
        <f t="array" aca="1" ref="M8" ca="1">INDIRECT("'results" &amp; $B8 &amp; "'!N$14")</f>
        <v>2</v>
      </c>
      <c r="N8" s="5" cm="1">
        <f t="array" aca="1" ref="N8" ca="1">INDIRECT("'results" &amp; $B8 &amp; "'!O$14")</f>
        <v>100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17.276102857414919</v>
      </c>
      <c r="Q8" s="5" cm="1">
        <f t="array" aca="1" ref="Q8" ca="1">INDIRECT("'results" &amp; $B8 &amp; "'!R$14")</f>
        <v>1249.1669865352696</v>
      </c>
      <c r="R8" s="5"/>
      <c r="S8" s="5" cm="1">
        <f t="array" aca="1" ref="S8" ca="1">INDIRECT("'results" &amp; $B8 &amp; "'!T$14")</f>
        <v>32350.59330192157</v>
      </c>
      <c r="T8" s="5" cm="1">
        <f t="array" aca="1" ref="T8" ca="1">INDIRECT("'results" &amp; $B8 &amp; "'!U$14")</f>
        <v>4.2733875001431443E-2</v>
      </c>
      <c r="U8" s="5" cm="1">
        <f t="array" aca="1" ref="U8" ca="1">INDIRECT("'results" &amp; $B8 &amp; "'!V$14")</f>
        <v>2</v>
      </c>
      <c r="V8" s="5" cm="1">
        <f t="array" aca="1" ref="V8" ca="1">INDIRECT("'results" &amp; $B8 &amp; "'!W$14")</f>
        <v>100</v>
      </c>
      <c r="W8" s="5" cm="1">
        <f t="array" aca="1" ref="W8" ca="1">INDIRECT("'results" &amp; $B8 &amp; "'!X$14")</f>
        <v>33.691340094338287</v>
      </c>
      <c r="X8" s="5" cm="1">
        <f t="array" aca="1" ref="X8" ca="1">INDIRECT("'results" &amp; $B8 &amp; "'!Y$14")</f>
        <v>33.732657069671838</v>
      </c>
      <c r="Y8" s="5" cm="1">
        <f t="array" aca="1" ref="Y8" ca="1">INDIRECT("'results" &amp; $B8 &amp; "'!Z$14")</f>
        <v>1967.3941978946143</v>
      </c>
      <c r="Z8" s="5"/>
    </row>
    <row r="9" spans="2:26" x14ac:dyDescent="0.2">
      <c r="B9" s="4">
        <v>652</v>
      </c>
      <c r="C9" s="5" cm="1">
        <f t="array" aca="1" ref="C9" ca="1">INDIRECT("'results" &amp; $B9 &amp; "'!D$14")</f>
        <v>31290.250640511451</v>
      </c>
      <c r="D9" s="33" cm="1">
        <f t="array" aca="1" ref="D9" ca="1">INDIRECT("'results" &amp; $B9 &amp; "'!E$14")</f>
        <v>6.6070999999283231E-2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90</v>
      </c>
      <c r="G9" s="5" cm="1">
        <f t="array" aca="1" ref="G9" ca="1">INDIRECT("'results" &amp; $B9 &amp; "'!H$14")</f>
        <v>0</v>
      </c>
      <c r="H9" s="33" cm="1">
        <f t="array" aca="1" ref="H9" ca="1">INDIRECT("'results" &amp; $B9 &amp; "'!I$14")</f>
        <v>12.672041731334389</v>
      </c>
      <c r="I9" s="5" cm="1">
        <f t="array" aca="1" ref="I9" ca="1">INDIRECT("'results" &amp; $B9 &amp; "'!J$14")</f>
        <v>901.96323753084437</v>
      </c>
      <c r="J9" s="5"/>
      <c r="K9" s="5" cm="1">
        <f t="array" aca="1" ref="K9" ca="1">INDIRECT("'results" &amp; $B9 &amp; "'!L$14")</f>
        <v>31290.250640511451</v>
      </c>
      <c r="L9" s="5" cm="1">
        <f t="array" aca="1" ref="L9" ca="1">INDIRECT("'results" &amp; $B9 &amp; "'!M$14")</f>
        <v>7.3712749999685911E-2</v>
      </c>
      <c r="M9" s="5" cm="1">
        <f t="array" aca="1" ref="M9" ca="1">INDIRECT("'results" &amp; $B9 &amp; "'!N$14")</f>
        <v>2</v>
      </c>
      <c r="N9" s="5" cm="1">
        <f t="array" aca="1" ref="N9" ca="1">INDIRECT("'results" &amp; $B9 &amp; "'!O$14")</f>
        <v>90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12.672041731334389</v>
      </c>
      <c r="Q9" s="5" cm="1">
        <f t="array" aca="1" ref="Q9" ca="1">INDIRECT("'results" &amp; $B9 &amp; "'!R$14")</f>
        <v>901.96323753084437</v>
      </c>
      <c r="R9" s="5"/>
      <c r="S9" s="5" cm="1">
        <f t="array" aca="1" ref="S9" ca="1">INDIRECT("'results" &amp; $B9 &amp; "'!T$14")</f>
        <v>31836.017811226189</v>
      </c>
      <c r="T9" s="5" cm="1">
        <f t="array" aca="1" ref="T9" ca="1">INDIRECT("'results" &amp; $B9 &amp; "'!U$14")</f>
        <v>7.1119416999863461E-2</v>
      </c>
      <c r="U9" s="5" cm="1">
        <f t="array" aca="1" ref="U9" ca="1">INDIRECT("'results" &amp; $B9 &amp; "'!V$14")</f>
        <v>2</v>
      </c>
      <c r="V9" s="5" cm="1">
        <f t="array" aca="1" ref="V9" ca="1">INDIRECT("'results" &amp; $B9 &amp; "'!W$14")</f>
        <v>90</v>
      </c>
      <c r="W9" s="5" cm="1">
        <f t="array" aca="1" ref="W9" ca="1">INDIRECT("'results" &amp; $B9 &amp; "'!X$14")</f>
        <v>0</v>
      </c>
      <c r="X9" s="5" cm="1">
        <f t="array" aca="1" ref="X9" ca="1">INDIRECT("'results" &amp; $B9 &amp; "'!Y$14")</f>
        <v>26.961812730629731</v>
      </c>
      <c r="Y9" s="5" cm="1">
        <f t="array" aca="1" ref="Y9" ca="1">INDIRECT("'results" &amp; $B9 &amp; "'!Z$14")</f>
        <v>1267.9143967809873</v>
      </c>
      <c r="Z9" s="5"/>
    </row>
    <row r="10" spans="2:26" x14ac:dyDescent="0.2">
      <c r="B10" s="4">
        <v>351</v>
      </c>
      <c r="C10" s="5" cm="1">
        <f t="array" aca="1" ref="C10" ca="1">INDIRECT("'results" &amp; $B10 &amp; "'!D$14")</f>
        <v>26717.36226027882</v>
      </c>
      <c r="D10" s="33" cm="1">
        <f t="array" aca="1" ref="D10" ca="1">INDIRECT("'results" &amp; $B10 &amp; "'!E$14")</f>
        <v>9.7142125000573287E-2</v>
      </c>
      <c r="E10" s="5" cm="1">
        <f t="array" aca="1" ref="E10" ca="1">INDIRECT("'results" &amp; $B10 &amp; "'!F$14")</f>
        <v>1</v>
      </c>
      <c r="F10" s="5" cm="1">
        <f t="array" aca="1" ref="F10" ca="1">INDIRECT("'results" &amp; $B10 &amp; "'!G$14")</f>
        <v>80</v>
      </c>
      <c r="G10" s="5" cm="1">
        <f t="array" aca="1" ref="G10" ca="1">INDIRECT("'results" &amp; $B10 &amp; "'!H$14")</f>
        <v>0</v>
      </c>
      <c r="H10" s="33" cm="1">
        <f t="array" aca="1" ref="H10" ca="1">INDIRECT("'results" &amp; $B10 &amp; "'!I$14")</f>
        <v>38.940648723257418</v>
      </c>
      <c r="I10" s="5" cm="1">
        <f t="array" aca="1" ref="I10" ca="1">INDIRECT("'results" &amp; $B10 &amp; "'!J$14")</f>
        <v>1194.9805329509652</v>
      </c>
      <c r="J10" s="5"/>
      <c r="K10" s="5" cm="1">
        <f t="array" aca="1" ref="K10" ca="1">INDIRECT("'results" &amp; $B10 &amp; "'!L$14")</f>
        <v>34578.042362821972</v>
      </c>
      <c r="L10" s="5" cm="1">
        <f t="array" aca="1" ref="L10" ca="1">INDIRECT("'results" &amp; $B10 &amp; "'!M$14")</f>
        <v>8.4999082999274833E-2</v>
      </c>
      <c r="M10" s="5" cm="1">
        <f t="array" aca="1" ref="M10" ca="1">INDIRECT("'results" &amp; $B10 &amp; "'!N$14")</f>
        <v>2</v>
      </c>
      <c r="N10" s="5" cm="1">
        <f t="array" aca="1" ref="N10" ca="1">INDIRECT("'results" &amp; $B10 &amp; "'!O$14")</f>
        <v>80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16.818172015182885</v>
      </c>
      <c r="Q10" s="5" cm="1">
        <f t="array" aca="1" ref="Q10" ca="1">INDIRECT("'results" &amp; $B10 &amp; "'!R$14")</f>
        <v>856.45690723033704</v>
      </c>
      <c r="R10" s="5"/>
      <c r="S10" s="5" cm="1">
        <f t="array" aca="1" ref="S10" ca="1">INDIRECT("'results" &amp; $B10 &amp; "'!T$14")</f>
        <v>31577.286954268809</v>
      </c>
      <c r="T10" s="5" cm="1">
        <f t="array" aca="1" ref="T10" ca="1">INDIRECT("'results" &amp; $B10 &amp; "'!U$14")</f>
        <v>0.16164116700019801</v>
      </c>
      <c r="U10" s="5" cm="1">
        <f t="array" aca="1" ref="U10" ca="1">INDIRECT("'results" &amp; $B10 &amp; "'!V$14")</f>
        <v>1</v>
      </c>
      <c r="V10" s="5" cm="1">
        <f t="array" aca="1" ref="V10" ca="1">INDIRECT("'results" &amp; $B10 &amp; "'!W$14")</f>
        <v>70</v>
      </c>
      <c r="W10" s="5" cm="1">
        <f t="array" aca="1" ref="W10" ca="1">INDIRECT("'results" &amp; $B10 &amp; "'!X$14")</f>
        <v>24.837417033176244</v>
      </c>
      <c r="X10" s="5" cm="1">
        <f t="array" aca="1" ref="X10" ca="1">INDIRECT("'results" &amp; $B10 &amp; "'!Y$14")</f>
        <v>62.612207400128533</v>
      </c>
      <c r="Y10" s="5" cm="1">
        <f t="array" aca="1" ref="Y10" ca="1">INDIRECT("'results" &amp; $B10 &amp; "'!Z$14")</f>
        <v>1672.8619192322335</v>
      </c>
      <c r="Z10" s="5"/>
    </row>
    <row r="11" spans="2:26" x14ac:dyDescent="0.2">
      <c r="B11" s="4">
        <v>707</v>
      </c>
      <c r="C11" s="5" cm="1">
        <f t="array" aca="1" ref="C11" ca="1">INDIRECT("'results" &amp; $B11 &amp; "'!D$14")</f>
        <v>30056.899586381682</v>
      </c>
      <c r="D11" s="33" cm="1">
        <f t="array" aca="1" ref="D11" ca="1">INDIRECT("'results" &amp; $B11 &amp; "'!E$14")</f>
        <v>9.4638540999767429E-2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90</v>
      </c>
      <c r="G11" s="5" cm="1">
        <f t="array" aca="1" ref="G11" ca="1">INDIRECT("'results" &amp; $B11 &amp; "'!H$14")</f>
        <v>0</v>
      </c>
      <c r="H11" s="33" cm="1">
        <f t="array" aca="1" ref="H11" ca="1">INDIRECT("'results" &amp; $B11 &amp; "'!I$14")</f>
        <v>12.546034533692564</v>
      </c>
      <c r="I11" s="5" cm="1">
        <f t="array" aca="1" ref="I11" ca="1">INDIRECT("'results" &amp; $B11 &amp; "'!J$14")</f>
        <v>859.75232822943303</v>
      </c>
      <c r="J11" s="5"/>
      <c r="K11" s="5" cm="1">
        <f t="array" aca="1" ref="K11" ca="1">INDIRECT("'results" &amp; $B11 &amp; "'!L$14")</f>
        <v>34105.711040324881</v>
      </c>
      <c r="L11" s="5" cm="1">
        <f t="array" aca="1" ref="L11" ca="1">INDIRECT("'results" &amp; $B11 &amp; "'!M$14")</f>
        <v>0.10130512499745239</v>
      </c>
      <c r="M11" s="5" cm="1">
        <f t="array" aca="1" ref="M11" ca="1">INDIRECT("'results" &amp; $B11 &amp; "'!N$14")</f>
        <v>2</v>
      </c>
      <c r="N11" s="5" cm="1">
        <f t="array" aca="1" ref="N11" ca="1">INDIRECT("'results" &amp; $B11 &amp; "'!O$14")</f>
        <v>80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11.455149826403154</v>
      </c>
      <c r="Q11" s="5" cm="1">
        <f t="array" aca="1" ref="Q11" ca="1">INDIRECT("'results" &amp; $B11 &amp; "'!R$14")</f>
        <v>792.5995947644343</v>
      </c>
      <c r="R11" s="5"/>
      <c r="S11" s="5" cm="1">
        <f t="array" aca="1" ref="S11" ca="1">INDIRECT("'results" &amp; $B11 &amp; "'!T$14")</f>
        <v>29772.841048313629</v>
      </c>
      <c r="T11" s="5" cm="1">
        <f t="array" aca="1" ref="T11" ca="1">INDIRECT("'results" &amp; $B11 &amp; "'!U$14")</f>
        <v>9.6794291999685811E-2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90</v>
      </c>
      <c r="W11" s="5" cm="1">
        <f t="array" aca="1" ref="W11" ca="1">INDIRECT("'results" &amp; $B11 &amp; "'!X$14")</f>
        <v>0</v>
      </c>
      <c r="X11" s="5" cm="1">
        <f t="array" aca="1" ref="X11" ca="1">INDIRECT("'results" &amp; $B11 &amp; "'!Y$14")</f>
        <v>25.129835585075259</v>
      </c>
      <c r="Y11" s="5" cm="1">
        <f t="array" aca="1" ref="Y11" ca="1">INDIRECT("'results" &amp; $B11 &amp; "'!Z$14")</f>
        <v>1113.468159581834</v>
      </c>
      <c r="Z11" s="5"/>
    </row>
    <row r="12" spans="2:26" x14ac:dyDescent="0.2">
      <c r="B12" s="4">
        <v>40</v>
      </c>
      <c r="C12" s="5" cm="1">
        <f t="array" aca="1" ref="C12" ca="1">INDIRECT("'results" &amp; $B12 &amp; "'!D$14")</f>
        <v>33240.49679159349</v>
      </c>
      <c r="D12" s="33" cm="1">
        <f t="array" aca="1" ref="D12" ca="1">INDIRECT("'results" &amp; $B12 &amp; "'!E$14")</f>
        <v>6.909941699996125E-2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90</v>
      </c>
      <c r="G12" s="5" cm="1">
        <f t="array" aca="1" ref="G12" ca="1">INDIRECT("'results" &amp; $B12 &amp; "'!H$14")</f>
        <v>0</v>
      </c>
      <c r="H12" s="33" cm="1">
        <f t="array" aca="1" ref="H12" ca="1">INDIRECT("'results" &amp; $B12 &amp; "'!I$14")</f>
        <v>8.4823418307875986</v>
      </c>
      <c r="I12" s="5" cm="1">
        <f t="array" aca="1" ref="I12" ca="1">INDIRECT("'results" &amp; $B12 &amp; "'!J$14")</f>
        <v>1080.2358259062612</v>
      </c>
      <c r="J12" s="5"/>
      <c r="K12" s="5" cm="1">
        <f t="array" aca="1" ref="K12" ca="1">INDIRECT("'results" &amp; $B12 &amp; "'!L$14")</f>
        <v>36899.387184987318</v>
      </c>
      <c r="L12" s="5" cm="1">
        <f t="array" aca="1" ref="L12" ca="1">INDIRECT("'results" &amp; $B12 &amp; "'!M$14")</f>
        <v>0.15548162499908361</v>
      </c>
      <c r="M12" s="5" cm="1">
        <f t="array" aca="1" ref="M12" ca="1">INDIRECT("'results" &amp; $B12 &amp; "'!N$14")</f>
        <v>2</v>
      </c>
      <c r="N12" s="5" cm="1">
        <f t="array" aca="1" ref="N12" ca="1">INDIRECT("'results" &amp; $B12 &amp; "'!O$14")</f>
        <v>80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7.4644892179338456</v>
      </c>
      <c r="Q12" s="5" cm="1">
        <f t="array" aca="1" ref="Q12" ca="1">INDIRECT("'results" &amp; $B12 &amp; "'!R$14")</f>
        <v>1055.546992719389</v>
      </c>
      <c r="R12" s="5"/>
      <c r="S12" s="5" cm="1">
        <f t="array" aca="1" ref="S12" ca="1">INDIRECT("'results" &amp; $B12 &amp; "'!T$14")</f>
        <v>35282.363289766683</v>
      </c>
      <c r="T12" s="5" cm="1">
        <f t="array" aca="1" ref="T12" ca="1">INDIRECT("'results" &amp; $B12 &amp; "'!U$14")</f>
        <v>0.18582654200145041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90</v>
      </c>
      <c r="W12" s="5" cm="1">
        <f t="array" aca="1" ref="W12" ca="1">INDIRECT("'results" &amp; $B12 &amp; "'!X$14")</f>
        <v>0</v>
      </c>
      <c r="X12" s="5" cm="1">
        <f t="array" aca="1" ref="X12" ca="1">INDIRECT("'results" &amp; $B12 &amp; "'!Y$14")</f>
        <v>16.549441952955362</v>
      </c>
      <c r="Y12" s="5" cm="1">
        <f t="array" aca="1" ref="Y12" ca="1">INDIRECT("'results" &amp; $B12 &amp; "'!Z$14")</f>
        <v>1494.5253520241458</v>
      </c>
      <c r="Z12" s="5"/>
    </row>
    <row r="13" spans="2:26" x14ac:dyDescent="0.2">
      <c r="B13" s="8" t="s">
        <v>3</v>
      </c>
      <c r="C13" s="9">
        <f ca="1">AVERAGE(C3:C12)</f>
        <v>30528.641237674456</v>
      </c>
      <c r="D13" s="10">
        <f t="shared" ref="D13:I13" ca="1" si="0">AVERAGE(D3:D12)</f>
        <v>7.6024966699969804E-2</v>
      </c>
      <c r="E13" s="9">
        <f t="shared" ca="1" si="0"/>
        <v>1.9</v>
      </c>
      <c r="F13" s="9">
        <f t="shared" ca="1" si="0"/>
        <v>91</v>
      </c>
      <c r="G13" s="9">
        <f t="shared" ca="1" si="0"/>
        <v>3.2640922319288115</v>
      </c>
      <c r="H13" s="10">
        <f t="shared" ca="1" si="0"/>
        <v>17.201982882333819</v>
      </c>
      <c r="I13" s="9">
        <f t="shared" ca="1" si="0"/>
        <v>1078.4850530506014</v>
      </c>
      <c r="J13" s="32" t="e">
        <f ca="1">(C13-$D$15)/$D$15</f>
        <v>#DIV/0!</v>
      </c>
      <c r="K13" s="16">
        <f ca="1">AVERAGE(K3:K12)</f>
        <v>32938.123231119789</v>
      </c>
      <c r="L13" s="41">
        <f t="shared" ref="L13:Q13" ca="1" si="1">AVERAGE(L3:L12)</f>
        <v>8.7002770798790152E-2</v>
      </c>
      <c r="M13" s="16">
        <f t="shared" ca="1" si="1"/>
        <v>2</v>
      </c>
      <c r="N13" s="16">
        <f ca="1">AVERAGE(N3:N12)</f>
        <v>86</v>
      </c>
      <c r="O13" s="16">
        <f t="shared" ca="1" si="1"/>
        <v>0</v>
      </c>
      <c r="P13" s="41">
        <f t="shared" ca="1" si="1"/>
        <v>12.624365315294266</v>
      </c>
      <c r="Q13" s="16">
        <f t="shared" ca="1" si="1"/>
        <v>955.95324474629092</v>
      </c>
      <c r="R13" s="42" t="e">
        <f ca="1">(K13-$D$15)/$D$15</f>
        <v>#DIV/0!</v>
      </c>
      <c r="S13" s="38">
        <f ca="1">AVERAGE(S3:S12)</f>
        <v>32491.010963062872</v>
      </c>
      <c r="T13" s="43">
        <f t="shared" ref="T13:Y13" ca="1" si="2">AVERAGE(T3:T12)</f>
        <v>0.10148584190064866</v>
      </c>
      <c r="U13" s="38">
        <f t="shared" ca="1" si="2"/>
        <v>1.9</v>
      </c>
      <c r="V13" s="38">
        <f t="shared" ca="1" si="2"/>
        <v>89</v>
      </c>
      <c r="W13" s="38">
        <f t="shared" ca="1" si="2"/>
        <v>15.625348110424264</v>
      </c>
      <c r="X13" s="43">
        <f t="shared" ca="1" si="2"/>
        <v>29.386348862415083</v>
      </c>
      <c r="Y13" s="38">
        <f t="shared" ca="1" si="2"/>
        <v>1470.3417784317235</v>
      </c>
      <c r="Z13" s="44" t="e">
        <f ca="1">(S13-$D$15)/$D$15</f>
        <v>#DIV/0!</v>
      </c>
    </row>
    <row r="14" spans="2:26" x14ac:dyDescent="0.2">
      <c r="K14" s="45">
        <f ca="1">(K13-C13)/C13</f>
        <v>7.8925294273230417E-2</v>
      </c>
      <c r="L14" s="45">
        <f t="shared" ref="L14:Q14" ca="1" si="3">(L13-D13)/D13</f>
        <v>0.14439735491294478</v>
      </c>
      <c r="M14" s="45">
        <f t="shared" ca="1" si="3"/>
        <v>5.2631578947368474E-2</v>
      </c>
      <c r="N14" s="45">
        <f t="shared" ca="1" si="3"/>
        <v>-5.4945054945054944E-2</v>
      </c>
      <c r="O14" s="45">
        <f t="shared" ca="1" si="3"/>
        <v>-1</v>
      </c>
      <c r="P14" s="45">
        <f t="shared" ca="1" si="3"/>
        <v>-0.2661098780502042</v>
      </c>
      <c r="Q14" s="45">
        <f t="shared" ca="1" si="3"/>
        <v>-0.11361474872342199</v>
      </c>
      <c r="S14" s="45">
        <f ca="1">(S13-C13)/C13</f>
        <v>6.4279628762734339E-2</v>
      </c>
      <c r="T14" s="45">
        <f t="shared" ref="T14:Y14" ca="1" si="4">(T13-D13)/D13</f>
        <v>0.33490149757196763</v>
      </c>
      <c r="U14" s="45">
        <f t="shared" ca="1" si="4"/>
        <v>0</v>
      </c>
      <c r="V14" s="45">
        <f ca="1">(V13-F13)/F13</f>
        <v>-2.197802197802198E-2</v>
      </c>
      <c r="W14" s="45">
        <f t="shared" ca="1" si="4"/>
        <v>3.7870424608654401</v>
      </c>
      <c r="X14" s="45">
        <f t="shared" ca="1" si="4"/>
        <v>0.70831171402887672</v>
      </c>
      <c r="Y14" s="45">
        <f t="shared" ca="1" si="4"/>
        <v>0.36333996866504231</v>
      </c>
    </row>
    <row r="17" spans="2:19" ht="15" customHeight="1" x14ac:dyDescent="0.2">
      <c r="B17" s="1" t="s">
        <v>21</v>
      </c>
      <c r="C17">
        <f ca="1">_xlfn.STDEV.S(C3:C12)</f>
        <v>3499.9005794491336</v>
      </c>
      <c r="J17" s="1" t="s">
        <v>21</v>
      </c>
      <c r="K17">
        <f ca="1">_xlfn.STDEV.S(K3:K12)</f>
        <v>4329.398993895039</v>
      </c>
      <c r="R17" s="1" t="s">
        <v>21</v>
      </c>
      <c r="S17">
        <f ca="1">_xlfn.STDEV.S(S3:S12)</f>
        <v>3822.5529058610277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2C99-6440-D246-81AF-FD921C53CD65}">
  <dimension ref="B1:AA17"/>
  <sheetViews>
    <sheetView tabSelected="1" zoomScale="110" zoomScaleNormal="110" workbookViewId="0">
      <selection activeCell="A17" sqref="A17:XFD1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-0.99990237638444668</v>
      </c>
      <c r="K2" s="28"/>
      <c r="L2" s="1" t="s">
        <v>19</v>
      </c>
      <c r="P2" s="1" t="e">
        <f>(P14-H14)/H14</f>
        <v>#DIV/0!</v>
      </c>
      <c r="R2" s="1">
        <f>(R14-J14)/J14</f>
        <v>-0.11332466278217589</v>
      </c>
      <c r="T2" s="1" t="s">
        <v>20</v>
      </c>
      <c r="X2" s="1" t="e">
        <f>(X14-P14)/P14</f>
        <v>#DIV/0!</v>
      </c>
      <c r="Z2" s="1">
        <f>(Z14-R14)/R14</f>
        <v>0.3082328784847897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519</v>
      </c>
      <c r="D4" s="23">
        <v>27077.46528904092</v>
      </c>
      <c r="E4" s="33">
        <v>0.11303425000005519</v>
      </c>
      <c r="F4" s="5">
        <v>2</v>
      </c>
      <c r="G4" s="23">
        <v>100</v>
      </c>
      <c r="H4" s="33">
        <v>0</v>
      </c>
      <c r="I4" s="23">
        <v>23.565788348822593</v>
      </c>
      <c r="J4" s="5">
        <v>1179.1166341472369</v>
      </c>
      <c r="K4" s="31"/>
      <c r="L4" s="23">
        <v>30681.2096936491</v>
      </c>
      <c r="M4" s="33">
        <v>8.7120416999823647E-2</v>
      </c>
      <c r="N4" s="5">
        <v>2</v>
      </c>
      <c r="O4" s="5">
        <v>90</v>
      </c>
      <c r="P4" s="33">
        <v>0</v>
      </c>
      <c r="Q4" s="5">
        <v>16.575624945281355</v>
      </c>
      <c r="R4" s="5">
        <v>1049.7119104953333</v>
      </c>
      <c r="S4" s="31"/>
      <c r="T4" s="23">
        <v>28480.66665823069</v>
      </c>
      <c r="U4" s="33">
        <v>0.105278458999237</v>
      </c>
      <c r="V4" s="5">
        <v>2</v>
      </c>
      <c r="W4" s="5">
        <v>100</v>
      </c>
      <c r="X4" s="33">
        <v>0</v>
      </c>
      <c r="Y4" s="5">
        <v>38.675040259673352</v>
      </c>
      <c r="Z4" s="5">
        <v>1619.595189877268</v>
      </c>
      <c r="AA4" s="35"/>
    </row>
    <row r="5" spans="2:27" x14ac:dyDescent="0.2">
      <c r="B5" s="4">
        <v>2</v>
      </c>
      <c r="C5" s="4">
        <v>591</v>
      </c>
      <c r="D5" s="23">
        <v>27077.46528904092</v>
      </c>
      <c r="E5" s="33">
        <v>0.13707312499991531</v>
      </c>
      <c r="F5" s="5">
        <v>2</v>
      </c>
      <c r="G5" s="23">
        <v>100</v>
      </c>
      <c r="H5" s="33">
        <v>0</v>
      </c>
      <c r="I5" s="23">
        <v>23.565788348822593</v>
      </c>
      <c r="J5" s="5">
        <v>1179.1166341472369</v>
      </c>
      <c r="K5" s="31"/>
      <c r="L5" s="23">
        <v>30194.342272302049</v>
      </c>
      <c r="M5" s="33">
        <v>0.15199612500146031</v>
      </c>
      <c r="N5" s="5">
        <v>2</v>
      </c>
      <c r="O5" s="5">
        <v>90</v>
      </c>
      <c r="P5" s="33">
        <v>0</v>
      </c>
      <c r="Q5" s="5">
        <v>20.497525090341938</v>
      </c>
      <c r="R5" s="5">
        <v>1045.4936392016471</v>
      </c>
      <c r="S5" s="31"/>
      <c r="T5" s="23">
        <v>28480.66665823069</v>
      </c>
      <c r="U5" s="33">
        <v>0.25342041600015358</v>
      </c>
      <c r="V5" s="5">
        <v>2</v>
      </c>
      <c r="W5" s="5">
        <v>100</v>
      </c>
      <c r="X5" s="33">
        <v>0</v>
      </c>
      <c r="Y5" s="5">
        <v>38.675040259673352</v>
      </c>
      <c r="Z5" s="5">
        <v>1619.595189877268</v>
      </c>
      <c r="AA5" s="35"/>
    </row>
    <row r="6" spans="2:27" x14ac:dyDescent="0.2">
      <c r="B6" s="4">
        <v>3</v>
      </c>
      <c r="C6" s="4">
        <v>676</v>
      </c>
      <c r="D6" s="23">
        <v>27077.46528904092</v>
      </c>
      <c r="E6" s="33">
        <v>8.1576417000178481E-2</v>
      </c>
      <c r="F6" s="5">
        <v>2</v>
      </c>
      <c r="G6" s="23">
        <v>100</v>
      </c>
      <c r="H6" s="33">
        <v>0</v>
      </c>
      <c r="I6" s="23">
        <v>23.565788348822593</v>
      </c>
      <c r="J6" s="5">
        <v>1179.1166341472369</v>
      </c>
      <c r="K6" s="31"/>
      <c r="L6" s="23">
        <v>30194.342272302049</v>
      </c>
      <c r="M6" s="33">
        <v>0.112779415998375</v>
      </c>
      <c r="N6" s="5">
        <v>2</v>
      </c>
      <c r="O6" s="5">
        <v>90</v>
      </c>
      <c r="P6" s="33">
        <v>0</v>
      </c>
      <c r="Q6" s="5">
        <v>20.497525090341938</v>
      </c>
      <c r="R6" s="5">
        <v>1045.4936392016471</v>
      </c>
      <c r="S6" s="31"/>
      <c r="T6" s="23">
        <v>28480.66665823069</v>
      </c>
      <c r="U6" s="33">
        <v>5.7012916997337022E-2</v>
      </c>
      <c r="V6" s="5">
        <v>2</v>
      </c>
      <c r="W6" s="5">
        <v>100</v>
      </c>
      <c r="X6" s="33">
        <v>0</v>
      </c>
      <c r="Y6" s="5">
        <v>38.675040259673352</v>
      </c>
      <c r="Z6" s="5">
        <v>1619.595189877268</v>
      </c>
      <c r="AA6" s="35"/>
    </row>
    <row r="7" spans="2:27" x14ac:dyDescent="0.2">
      <c r="B7" s="4">
        <v>4</v>
      </c>
      <c r="C7" s="4">
        <v>614</v>
      </c>
      <c r="D7" s="23">
        <v>27077.46528904092</v>
      </c>
      <c r="E7" s="33">
        <v>0.19472533299995121</v>
      </c>
      <c r="F7" s="5">
        <v>2</v>
      </c>
      <c r="G7" s="23">
        <v>100</v>
      </c>
      <c r="H7" s="33">
        <v>0</v>
      </c>
      <c r="I7" s="23">
        <v>23.565788348822593</v>
      </c>
      <c r="J7" s="5">
        <v>1179.1166341472369</v>
      </c>
      <c r="K7" s="31"/>
      <c r="L7" s="23">
        <v>30194.342272302049</v>
      </c>
      <c r="M7" s="33">
        <v>0.1138962090008135</v>
      </c>
      <c r="N7" s="5">
        <v>2</v>
      </c>
      <c r="O7" s="5">
        <v>90</v>
      </c>
      <c r="P7" s="33">
        <v>0</v>
      </c>
      <c r="Q7" s="5">
        <v>20.497525090341938</v>
      </c>
      <c r="R7" s="5">
        <v>1045.4936392016471</v>
      </c>
      <c r="S7" s="31"/>
      <c r="T7" s="23">
        <v>28306.231911359951</v>
      </c>
      <c r="U7" s="33">
        <v>0.14453941700048739</v>
      </c>
      <c r="V7" s="5">
        <v>2</v>
      </c>
      <c r="W7" s="5">
        <v>100</v>
      </c>
      <c r="X7" s="33">
        <v>0</v>
      </c>
      <c r="Y7" s="5">
        <v>26.649099107960666</v>
      </c>
      <c r="Z7" s="5">
        <v>1367.7491530503089</v>
      </c>
      <c r="AA7" s="35"/>
    </row>
    <row r="8" spans="2:27" x14ac:dyDescent="0.2">
      <c r="B8" s="4">
        <v>5</v>
      </c>
      <c r="C8" s="4">
        <v>971</v>
      </c>
      <c r="D8" s="23">
        <v>27077.46528904092</v>
      </c>
      <c r="E8" s="33">
        <v>0.1010396250003396</v>
      </c>
      <c r="F8" s="5">
        <v>2</v>
      </c>
      <c r="G8" s="23">
        <v>100</v>
      </c>
      <c r="H8" s="33">
        <v>0</v>
      </c>
      <c r="I8" s="23">
        <v>23.565788348822593</v>
      </c>
      <c r="J8" s="5">
        <v>1179.1166341472369</v>
      </c>
      <c r="K8" s="31"/>
      <c r="L8" s="23">
        <v>30793.834493014649</v>
      </c>
      <c r="M8" s="33">
        <v>0.1086878749993048</v>
      </c>
      <c r="N8" s="5">
        <v>2</v>
      </c>
      <c r="O8" s="5">
        <v>100</v>
      </c>
      <c r="P8" s="33">
        <v>0</v>
      </c>
      <c r="Q8" s="5">
        <v>20.059795096118172</v>
      </c>
      <c r="R8" s="5">
        <v>1489.1554821782752</v>
      </c>
      <c r="S8" s="31"/>
      <c r="T8" s="23">
        <v>28480.66665823069</v>
      </c>
      <c r="U8" s="33">
        <v>9.1713542002253234E-2</v>
      </c>
      <c r="V8" s="5">
        <v>2</v>
      </c>
      <c r="W8" s="5">
        <v>100</v>
      </c>
      <c r="X8" s="33">
        <v>0</v>
      </c>
      <c r="Y8" s="5">
        <v>38.675040259673352</v>
      </c>
      <c r="Z8" s="5">
        <v>1619.595189877268</v>
      </c>
      <c r="AA8" s="35"/>
    </row>
    <row r="9" spans="2:27" x14ac:dyDescent="0.2">
      <c r="B9" s="4">
        <v>6</v>
      </c>
      <c r="C9" s="4">
        <v>138</v>
      </c>
      <c r="D9" s="23">
        <v>27077.46528904092</v>
      </c>
      <c r="E9" s="33">
        <v>8.1862666999768408E-2</v>
      </c>
      <c r="F9" s="5">
        <v>2</v>
      </c>
      <c r="G9" s="23">
        <v>100</v>
      </c>
      <c r="H9" s="33">
        <v>0</v>
      </c>
      <c r="I9" s="23">
        <v>23.565788348822593</v>
      </c>
      <c r="J9" s="5">
        <v>1179.1166341472369</v>
      </c>
      <c r="K9" s="31"/>
      <c r="L9" s="23">
        <v>30194.342272302049</v>
      </c>
      <c r="M9" s="33">
        <v>9.019254099985119E-2</v>
      </c>
      <c r="N9" s="5">
        <v>2</v>
      </c>
      <c r="O9" s="5">
        <v>90</v>
      </c>
      <c r="P9" s="33">
        <v>0</v>
      </c>
      <c r="Q9" s="5">
        <v>20.497525090341938</v>
      </c>
      <c r="R9" s="5">
        <v>1045.4936392016471</v>
      </c>
      <c r="S9" s="31"/>
      <c r="T9" s="23">
        <v>28480.66665823069</v>
      </c>
      <c r="U9" s="33">
        <v>0.12747720799961831</v>
      </c>
      <c r="V9" s="5">
        <v>2</v>
      </c>
      <c r="W9" s="5">
        <v>100</v>
      </c>
      <c r="X9" s="33">
        <v>0</v>
      </c>
      <c r="Y9" s="5">
        <v>38.675040259673352</v>
      </c>
      <c r="Z9" s="5">
        <v>1619.595189877268</v>
      </c>
      <c r="AA9" s="35"/>
    </row>
    <row r="10" spans="2:27" x14ac:dyDescent="0.2">
      <c r="B10" s="4">
        <v>7</v>
      </c>
      <c r="C10" s="4">
        <v>490</v>
      </c>
      <c r="D10" s="23">
        <v>27077.46528904092</v>
      </c>
      <c r="E10" s="33">
        <v>7.33040830000391E-2</v>
      </c>
      <c r="F10" s="5">
        <v>2</v>
      </c>
      <c r="G10" s="23">
        <v>100</v>
      </c>
      <c r="H10" s="33">
        <v>0</v>
      </c>
      <c r="I10" s="23">
        <v>23.565788348822593</v>
      </c>
      <c r="J10" s="5">
        <v>1179.1166341472369</v>
      </c>
      <c r="K10" s="31"/>
      <c r="L10" s="23">
        <v>30194.342272302049</v>
      </c>
      <c r="M10" s="33">
        <v>8.9698540999961551E-2</v>
      </c>
      <c r="N10" s="5">
        <v>2</v>
      </c>
      <c r="O10" s="5">
        <v>90</v>
      </c>
      <c r="P10" s="33">
        <v>0</v>
      </c>
      <c r="Q10" s="5">
        <v>20.497525090341938</v>
      </c>
      <c r="R10" s="5">
        <v>1045.4936392016471</v>
      </c>
      <c r="S10" s="31"/>
      <c r="T10" s="23">
        <v>28480.66665823069</v>
      </c>
      <c r="U10" s="33">
        <v>7.5109500001417473E-2</v>
      </c>
      <c r="V10" s="5">
        <v>2</v>
      </c>
      <c r="W10" s="5">
        <v>100</v>
      </c>
      <c r="X10" s="33">
        <v>0</v>
      </c>
      <c r="Y10" s="5">
        <v>38.675040259673352</v>
      </c>
      <c r="Z10" s="5">
        <v>1619.595189877268</v>
      </c>
      <c r="AA10" s="35"/>
    </row>
    <row r="11" spans="2:27" x14ac:dyDescent="0.2">
      <c r="B11" s="4">
        <v>8</v>
      </c>
      <c r="C11" s="4">
        <v>848</v>
      </c>
      <c r="D11" s="23">
        <v>27077.46528904092</v>
      </c>
      <c r="E11" s="33">
        <v>9.6365833000163548E-2</v>
      </c>
      <c r="F11" s="5">
        <v>2</v>
      </c>
      <c r="G11" s="23">
        <v>100</v>
      </c>
      <c r="H11" s="33">
        <v>0</v>
      </c>
      <c r="I11" s="23">
        <v>23.565788348822593</v>
      </c>
      <c r="J11" s="5">
        <v>1179.1166341472369</v>
      </c>
      <c r="K11" s="31"/>
      <c r="L11" s="23">
        <v>30498.835417905739</v>
      </c>
      <c r="M11" s="33">
        <v>5.0747667002724477E-2</v>
      </c>
      <c r="N11" s="5">
        <v>2</v>
      </c>
      <c r="O11" s="5">
        <v>90</v>
      </c>
      <c r="P11" s="33">
        <v>0</v>
      </c>
      <c r="Q11" s="5">
        <v>19.870349372282547</v>
      </c>
      <c r="R11" s="5">
        <v>1068.2745554855928</v>
      </c>
      <c r="S11" s="31"/>
      <c r="T11" s="23">
        <v>28306.231911359951</v>
      </c>
      <c r="U11" s="33">
        <v>0.1129944999993313</v>
      </c>
      <c r="V11" s="5">
        <v>2</v>
      </c>
      <c r="W11" s="5">
        <v>100</v>
      </c>
      <c r="X11" s="33">
        <v>0</v>
      </c>
      <c r="Y11" s="5">
        <v>26.649099107960666</v>
      </c>
      <c r="Z11" s="5">
        <v>1367.7491530503089</v>
      </c>
      <c r="AA11" s="35"/>
    </row>
    <row r="12" spans="2:27" x14ac:dyDescent="0.2">
      <c r="B12" s="4">
        <v>9</v>
      </c>
      <c r="C12" s="4">
        <v>300</v>
      </c>
      <c r="D12" s="23">
        <v>27077.46528904092</v>
      </c>
      <c r="E12" s="33">
        <v>6.0424000000239182E-2</v>
      </c>
      <c r="F12" s="5">
        <v>2</v>
      </c>
      <c r="G12" s="23">
        <v>100</v>
      </c>
      <c r="H12" s="33">
        <v>0</v>
      </c>
      <c r="I12" s="23">
        <v>23.565788348822593</v>
      </c>
      <c r="J12" s="5">
        <v>1179.1166341472369</v>
      </c>
      <c r="K12" s="31"/>
      <c r="L12" s="23">
        <v>30194.342272302049</v>
      </c>
      <c r="M12" s="33">
        <v>8.4685624999110587E-2</v>
      </c>
      <c r="N12" s="5">
        <v>2</v>
      </c>
      <c r="O12" s="5">
        <v>90</v>
      </c>
      <c r="P12" s="33">
        <v>0</v>
      </c>
      <c r="Q12" s="5">
        <v>20.497525090341938</v>
      </c>
      <c r="R12" s="5">
        <v>1045.4936392016471</v>
      </c>
      <c r="S12" s="31"/>
      <c r="T12" s="23">
        <v>28480.66665823069</v>
      </c>
      <c r="U12" s="33">
        <v>4.3308084001182579E-2</v>
      </c>
      <c r="V12" s="5">
        <v>2</v>
      </c>
      <c r="W12" s="5">
        <v>100</v>
      </c>
      <c r="X12" s="33">
        <v>0</v>
      </c>
      <c r="Y12" s="5">
        <v>38.675040259673352</v>
      </c>
      <c r="Z12" s="5">
        <v>1619.595189877268</v>
      </c>
      <c r="AA12" s="35"/>
    </row>
    <row r="13" spans="2:27" x14ac:dyDescent="0.2">
      <c r="B13" s="4">
        <v>10</v>
      </c>
      <c r="C13" s="4">
        <v>411</v>
      </c>
      <c r="D13" s="23">
        <v>27077.46528904092</v>
      </c>
      <c r="E13" s="33">
        <v>7.6641792000373243E-2</v>
      </c>
      <c r="F13" s="5">
        <v>2</v>
      </c>
      <c r="G13" s="23">
        <v>100</v>
      </c>
      <c r="H13" s="33">
        <v>0</v>
      </c>
      <c r="I13" s="23">
        <v>23.565788348822593</v>
      </c>
      <c r="J13" s="5">
        <v>1179.1166341472369</v>
      </c>
      <c r="K13" s="31"/>
      <c r="L13" s="23">
        <v>30194.342272302049</v>
      </c>
      <c r="M13" s="33">
        <v>7.7997832999244565E-2</v>
      </c>
      <c r="N13" s="5">
        <v>2</v>
      </c>
      <c r="O13" s="5">
        <v>90</v>
      </c>
      <c r="P13" s="33">
        <v>0</v>
      </c>
      <c r="Q13" s="5">
        <v>20.497525090341938</v>
      </c>
      <c r="R13" s="5">
        <v>1045.4936392016471</v>
      </c>
      <c r="S13" s="31"/>
      <c r="T13" s="23">
        <v>28306.231911359951</v>
      </c>
      <c r="U13" s="33">
        <v>7.1127416998933768E-2</v>
      </c>
      <c r="V13" s="5">
        <v>2</v>
      </c>
      <c r="W13" s="5">
        <v>100</v>
      </c>
      <c r="X13" s="33">
        <v>0</v>
      </c>
      <c r="Y13" s="5">
        <v>26.649099107960666</v>
      </c>
      <c r="Z13" s="5">
        <v>1367.7491530503089</v>
      </c>
      <c r="AA13" s="35"/>
    </row>
    <row r="14" spans="2:27" x14ac:dyDescent="0.2">
      <c r="B14" s="46" t="s">
        <v>3</v>
      </c>
      <c r="C14" s="47"/>
      <c r="D14" s="9">
        <f>MIN(D4:D13)</f>
        <v>27077.46528904092</v>
      </c>
      <c r="E14" s="22">
        <f>INDEX(E4:E13, MATCH($D$14, D4:D13, 0))</f>
        <v>0.11303425000005519</v>
      </c>
      <c r="F14" s="9">
        <f>INDEX(F4:F13, MATCH($D$14, D4:D13, 0))</f>
        <v>2</v>
      </c>
      <c r="G14" s="9">
        <f>INDEX(G4:G13, MATCH($D$14, D4:D13, 0))</f>
        <v>100</v>
      </c>
      <c r="H14" s="22">
        <f>INDEX(H4:H13, MATCH($D$14, D4:D13, 0))</f>
        <v>0</v>
      </c>
      <c r="I14" s="22">
        <f>INDEX(I4:I13, MATCH($D$14, D4:D13, 0))</f>
        <v>23.565788348822593</v>
      </c>
      <c r="J14" s="22">
        <f>INDEX(J4:J13, MATCH($D$14, D4:D13, 0))</f>
        <v>1179.1166341472369</v>
      </c>
      <c r="K14" s="32">
        <f>(D14-$D$15)/$D$15</f>
        <v>0</v>
      </c>
      <c r="L14" s="16">
        <f>MIN(L4:L13)</f>
        <v>30194.342272302049</v>
      </c>
      <c r="M14" s="21">
        <f>INDEX(M4:M13, MATCH($L$14, L4:L13, 0))</f>
        <v>0.15199612500146031</v>
      </c>
      <c r="N14" s="16">
        <f>INDEX(N4:N13, MATCH($L$14, L4:L13, 0))</f>
        <v>2</v>
      </c>
      <c r="O14" s="16">
        <f>INDEX(O4:O13, MATCH($L$14, L4:L13, 0))</f>
        <v>90</v>
      </c>
      <c r="P14" s="21">
        <f>INDEX(P4:P13, MATCH($L$14, L4:L13, 0))</f>
        <v>0</v>
      </c>
      <c r="Q14" s="21">
        <f>INDEX(Q4:Q13, MATCH($L$14, L4:L13, 0))</f>
        <v>20.497525090341938</v>
      </c>
      <c r="R14" s="21">
        <f>INDEX(R4:R13, MATCH($L$14, L4:L13, 0))</f>
        <v>1045.4936392016471</v>
      </c>
      <c r="S14" s="36">
        <f>(L14-$D$15)/$D$15</f>
        <v>0.11510962898446128</v>
      </c>
      <c r="T14" s="38">
        <f>MIN(T4:T13)</f>
        <v>28306.231911359951</v>
      </c>
      <c r="U14" s="39">
        <f>INDEX(U4:U13, MATCH($T$14, T4:T13, 0))</f>
        <v>0.14453941700048739</v>
      </c>
      <c r="V14" s="38">
        <f>INDEX(V4:V13, MATCH($T$14, T4:T13, 0))</f>
        <v>2</v>
      </c>
      <c r="W14" s="38">
        <f>INDEX(W4:W13, MATCH($T$14, T4:T13, 0))</f>
        <v>100</v>
      </c>
      <c r="X14" s="39">
        <f>INDEX(X4:X13, MATCH($T$14, T4:T13, 0))</f>
        <v>0</v>
      </c>
      <c r="Y14" s="39">
        <f>INDEX(Y4:Y13, MATCH($T$14, T4:T13, 0))</f>
        <v>26.649099107960666</v>
      </c>
      <c r="Z14" s="39">
        <f>INDEX(Z4:Z13, MATCH($T$14, T4:T13, 0))</f>
        <v>1367.7491530503089</v>
      </c>
      <c r="AA14" s="40">
        <f>(T14-$D$15)/$D$15</f>
        <v>4.5379676760821157E-2</v>
      </c>
    </row>
    <row r="15" spans="2:27" x14ac:dyDescent="0.2">
      <c r="C15" s="1" t="s">
        <v>17</v>
      </c>
      <c r="D15" s="34">
        <v>27077.46528904092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123" priority="7"/>
    <cfRule type="duplicateValues" dxfId="122" priority="8"/>
  </conditionalFormatting>
  <conditionalFormatting sqref="C14">
    <cfRule type="duplicateValues" dxfId="121" priority="1"/>
    <cfRule type="duplicateValues" dxfId="120" priority="2"/>
  </conditionalFormatting>
  <conditionalFormatting sqref="C17">
    <cfRule type="duplicateValues" dxfId="119" priority="3"/>
    <cfRule type="duplicateValues" dxfId="118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17"/>
  <sheetViews>
    <sheetView zoomScale="110" zoomScaleNormal="110" workbookViewId="0">
      <selection activeCell="A16" sqref="A16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-0.99989810254961753</v>
      </c>
      <c r="K2" s="28"/>
      <c r="L2" s="1" t="s">
        <v>19</v>
      </c>
      <c r="P2" s="1" t="e">
        <f>(P14-H14)/H14</f>
        <v>#DIV/0!</v>
      </c>
      <c r="R2" s="1">
        <f>(R14-J14)/J14</f>
        <v>-2.2855040163252852E-2</v>
      </c>
      <c r="T2" s="1" t="s">
        <v>20</v>
      </c>
      <c r="X2" s="1" t="e">
        <f>(X14-P14)/P14</f>
        <v>#DIV/0!</v>
      </c>
      <c r="Z2" s="1">
        <f>(Z14-R14)/R14</f>
        <v>0.415877608796766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23</v>
      </c>
      <c r="D4" s="23">
        <v>33240.49679159349</v>
      </c>
      <c r="E4" s="33">
        <v>6.909941699996125E-2</v>
      </c>
      <c r="F4" s="5">
        <v>2</v>
      </c>
      <c r="G4" s="23">
        <v>90</v>
      </c>
      <c r="H4" s="33">
        <v>0</v>
      </c>
      <c r="I4" s="23">
        <v>8.4823418307875986</v>
      </c>
      <c r="J4" s="5">
        <v>1080.2358259062612</v>
      </c>
      <c r="K4" s="31"/>
      <c r="L4" s="23">
        <v>37945.012713741067</v>
      </c>
      <c r="M4" s="33">
        <v>5.2455291999649489E-2</v>
      </c>
      <c r="N4" s="5">
        <v>2</v>
      </c>
      <c r="O4" s="5">
        <v>80</v>
      </c>
      <c r="P4" s="33">
        <v>0</v>
      </c>
      <c r="Q4" s="5">
        <v>8.829198726735644</v>
      </c>
      <c r="R4" s="5">
        <v>1185.2635883128505</v>
      </c>
      <c r="S4" s="31"/>
      <c r="T4" s="23">
        <v>36205.691754441563</v>
      </c>
      <c r="U4" s="33">
        <v>8.9959124998131301E-2</v>
      </c>
      <c r="V4" s="5">
        <v>2</v>
      </c>
      <c r="W4" s="5">
        <v>90</v>
      </c>
      <c r="X4" s="33">
        <v>36.574489433393012</v>
      </c>
      <c r="Y4" s="5">
        <v>17.311783769435841</v>
      </c>
      <c r="Z4" s="5">
        <v>1525.1752601645076</v>
      </c>
      <c r="AA4" s="35"/>
    </row>
    <row r="5" spans="2:27" x14ac:dyDescent="0.2">
      <c r="B5" s="4">
        <v>2</v>
      </c>
      <c r="C5" s="4">
        <v>554</v>
      </c>
      <c r="D5" s="23">
        <v>33240.49679159349</v>
      </c>
      <c r="E5" s="33">
        <v>0.1326844999994137</v>
      </c>
      <c r="F5" s="5">
        <v>2</v>
      </c>
      <c r="G5" s="23">
        <v>90</v>
      </c>
      <c r="H5" s="33">
        <v>0</v>
      </c>
      <c r="I5" s="23">
        <v>8.4823418307875986</v>
      </c>
      <c r="J5" s="5">
        <v>1080.2358259062612</v>
      </c>
      <c r="K5" s="31"/>
      <c r="L5" s="23">
        <v>36899.387184987318</v>
      </c>
      <c r="M5" s="33">
        <v>0.15548162499908361</v>
      </c>
      <c r="N5" s="5">
        <v>2</v>
      </c>
      <c r="O5" s="5">
        <v>80</v>
      </c>
      <c r="P5" s="33">
        <v>0</v>
      </c>
      <c r="Q5" s="5">
        <v>7.4644892179338456</v>
      </c>
      <c r="R5" s="5">
        <v>1055.546992719389</v>
      </c>
      <c r="S5" s="31"/>
      <c r="T5" s="23">
        <v>35282.363289766683</v>
      </c>
      <c r="U5" s="33">
        <v>0.18582654200145041</v>
      </c>
      <c r="V5" s="5">
        <v>2</v>
      </c>
      <c r="W5" s="5">
        <v>90</v>
      </c>
      <c r="X5" s="33">
        <v>0</v>
      </c>
      <c r="Y5" s="5">
        <v>16.549441952955362</v>
      </c>
      <c r="Z5" s="5">
        <v>1494.5253520241458</v>
      </c>
      <c r="AA5" s="35"/>
    </row>
    <row r="6" spans="2:27" x14ac:dyDescent="0.2">
      <c r="B6" s="4">
        <v>3</v>
      </c>
      <c r="C6" s="4">
        <v>594</v>
      </c>
      <c r="D6" s="23">
        <v>33240.49679159349</v>
      </c>
      <c r="E6" s="33">
        <v>6.5591333000156737E-2</v>
      </c>
      <c r="F6" s="5">
        <v>2</v>
      </c>
      <c r="G6" s="23">
        <v>90</v>
      </c>
      <c r="H6" s="33">
        <v>0</v>
      </c>
      <c r="I6" s="23">
        <v>8.4823418307875986</v>
      </c>
      <c r="J6" s="5">
        <v>1080.2358259062612</v>
      </c>
      <c r="K6" s="31"/>
      <c r="L6" s="23">
        <v>36899.387184987318</v>
      </c>
      <c r="M6" s="33">
        <v>7.883524999851943E-2</v>
      </c>
      <c r="N6" s="5">
        <v>2</v>
      </c>
      <c r="O6" s="5">
        <v>80</v>
      </c>
      <c r="P6" s="33">
        <v>0</v>
      </c>
      <c r="Q6" s="5">
        <v>7.4644892179338456</v>
      </c>
      <c r="R6" s="5">
        <v>1055.546992719389</v>
      </c>
      <c r="S6" s="31"/>
      <c r="T6" s="23">
        <v>35282.363289766683</v>
      </c>
      <c r="U6" s="33">
        <v>6.6978584000025876E-2</v>
      </c>
      <c r="V6" s="5">
        <v>2</v>
      </c>
      <c r="W6" s="5">
        <v>90</v>
      </c>
      <c r="X6" s="33">
        <v>0</v>
      </c>
      <c r="Y6" s="5">
        <v>16.549441952955362</v>
      </c>
      <c r="Z6" s="5">
        <v>1494.5253520241458</v>
      </c>
      <c r="AA6" s="35"/>
    </row>
    <row r="7" spans="2:27" x14ac:dyDescent="0.2">
      <c r="B7" s="4">
        <v>4</v>
      </c>
      <c r="C7" s="4">
        <v>655</v>
      </c>
      <c r="D7" s="23">
        <v>34023.494469549973</v>
      </c>
      <c r="E7" s="33">
        <v>7.6938666999922134E-2</v>
      </c>
      <c r="F7" s="5">
        <v>2</v>
      </c>
      <c r="G7" s="23">
        <v>90</v>
      </c>
      <c r="H7" s="33">
        <v>0</v>
      </c>
      <c r="I7" s="23">
        <v>10.223691032643009</v>
      </c>
      <c r="J7" s="5">
        <v>1169.9031187782939</v>
      </c>
      <c r="K7" s="31"/>
      <c r="L7" s="23">
        <v>37062.171262419288</v>
      </c>
      <c r="M7" s="33">
        <v>5.8593666999513523E-2</v>
      </c>
      <c r="N7" s="5">
        <v>2</v>
      </c>
      <c r="O7" s="5">
        <v>80</v>
      </c>
      <c r="P7" s="33">
        <v>0</v>
      </c>
      <c r="Q7" s="5">
        <v>7.3111588563821552</v>
      </c>
      <c r="R7" s="5">
        <v>1061.9611718238664</v>
      </c>
      <c r="S7" s="31"/>
      <c r="T7" s="23">
        <v>37202.918488518189</v>
      </c>
      <c r="U7" s="33">
        <v>8.8629499998205574E-2</v>
      </c>
      <c r="V7" s="5">
        <v>2</v>
      </c>
      <c r="W7" s="5">
        <v>90</v>
      </c>
      <c r="X7" s="33">
        <v>0</v>
      </c>
      <c r="Y7" s="5">
        <v>21.110600883083087</v>
      </c>
      <c r="Z7" s="5">
        <v>1772.0862950750031</v>
      </c>
      <c r="AA7" s="35"/>
    </row>
    <row r="8" spans="2:27" x14ac:dyDescent="0.2">
      <c r="B8" s="4">
        <v>5</v>
      </c>
      <c r="C8" s="4">
        <v>657</v>
      </c>
      <c r="D8" s="23">
        <v>33240.49679159349</v>
      </c>
      <c r="E8" s="33">
        <v>7.4152916999992158E-2</v>
      </c>
      <c r="F8" s="5">
        <v>2</v>
      </c>
      <c r="G8" s="23">
        <v>90</v>
      </c>
      <c r="H8" s="33">
        <v>0</v>
      </c>
      <c r="I8" s="23">
        <v>8.4823418307875986</v>
      </c>
      <c r="J8" s="5">
        <v>1080.2358259062612</v>
      </c>
      <c r="K8" s="31"/>
      <c r="L8" s="23">
        <v>36998.420576183402</v>
      </c>
      <c r="M8" s="33">
        <v>6.9831249998969724E-2</v>
      </c>
      <c r="N8" s="5">
        <v>2</v>
      </c>
      <c r="O8" s="5">
        <v>80</v>
      </c>
      <c r="P8" s="33">
        <v>0</v>
      </c>
      <c r="Q8" s="5">
        <v>6.9979734370425373</v>
      </c>
      <c r="R8" s="5">
        <v>1051.5731121223739</v>
      </c>
      <c r="S8" s="31"/>
      <c r="T8" s="23">
        <v>35282.363289766683</v>
      </c>
      <c r="U8" s="33">
        <v>4.917537499932223E-2</v>
      </c>
      <c r="V8" s="5">
        <v>2</v>
      </c>
      <c r="W8" s="5">
        <v>90</v>
      </c>
      <c r="X8" s="33">
        <v>0</v>
      </c>
      <c r="Y8" s="5">
        <v>16.549441952955362</v>
      </c>
      <c r="Z8" s="5">
        <v>1494.5253520241458</v>
      </c>
      <c r="AA8" s="35"/>
    </row>
    <row r="9" spans="2:27" x14ac:dyDescent="0.2">
      <c r="B9" s="4">
        <v>6</v>
      </c>
      <c r="C9" s="4">
        <v>723</v>
      </c>
      <c r="D9" s="23">
        <v>34187.088929151163</v>
      </c>
      <c r="E9" s="33">
        <v>8.5330083000371815E-2</v>
      </c>
      <c r="F9" s="5">
        <v>2</v>
      </c>
      <c r="G9" s="23">
        <v>90</v>
      </c>
      <c r="H9" s="33">
        <v>0</v>
      </c>
      <c r="I9" s="23">
        <v>10.313567120480705</v>
      </c>
      <c r="J9" s="5">
        <v>1199.0718047422404</v>
      </c>
      <c r="K9" s="31"/>
      <c r="L9" s="23">
        <v>36899.387184987318</v>
      </c>
      <c r="M9" s="33">
        <v>7.8141084002709249E-2</v>
      </c>
      <c r="N9" s="5">
        <v>2</v>
      </c>
      <c r="O9" s="5">
        <v>80</v>
      </c>
      <c r="P9" s="33">
        <v>0</v>
      </c>
      <c r="Q9" s="5">
        <v>7.4644892179338456</v>
      </c>
      <c r="R9" s="5">
        <v>1055.546992719389</v>
      </c>
      <c r="S9" s="31"/>
      <c r="T9" s="23">
        <v>35282.363289766683</v>
      </c>
      <c r="U9" s="33">
        <v>6.4728249999461696E-2</v>
      </c>
      <c r="V9" s="5">
        <v>2</v>
      </c>
      <c r="W9" s="5">
        <v>90</v>
      </c>
      <c r="X9" s="33">
        <v>0</v>
      </c>
      <c r="Y9" s="5">
        <v>16.549441952955362</v>
      </c>
      <c r="Z9" s="5">
        <v>1494.5253520241458</v>
      </c>
      <c r="AA9" s="35"/>
    </row>
    <row r="10" spans="2:27" x14ac:dyDescent="0.2">
      <c r="B10" s="4">
        <v>7</v>
      </c>
      <c r="C10" s="4">
        <v>847</v>
      </c>
      <c r="D10" s="23">
        <v>33240.49679159349</v>
      </c>
      <c r="E10" s="33">
        <v>9.8574833000384388E-2</v>
      </c>
      <c r="F10" s="5">
        <v>2</v>
      </c>
      <c r="G10" s="23">
        <v>90</v>
      </c>
      <c r="H10" s="33">
        <v>0</v>
      </c>
      <c r="I10" s="23">
        <v>8.4823418307875986</v>
      </c>
      <c r="J10" s="5">
        <v>1080.2358259062612</v>
      </c>
      <c r="K10" s="31"/>
      <c r="L10" s="23">
        <v>36899.387184987318</v>
      </c>
      <c r="M10" s="33">
        <v>8.885750000263215E-2</v>
      </c>
      <c r="N10" s="5">
        <v>2</v>
      </c>
      <c r="O10" s="5">
        <v>80</v>
      </c>
      <c r="P10" s="33">
        <v>0</v>
      </c>
      <c r="Q10" s="5">
        <v>7.4644892179338456</v>
      </c>
      <c r="R10" s="5">
        <v>1055.546992719389</v>
      </c>
      <c r="S10" s="31"/>
      <c r="T10" s="23">
        <v>35282.363289766683</v>
      </c>
      <c r="U10" s="33">
        <v>0.1036764580021554</v>
      </c>
      <c r="V10" s="5">
        <v>2</v>
      </c>
      <c r="W10" s="5">
        <v>90</v>
      </c>
      <c r="X10" s="33">
        <v>0</v>
      </c>
      <c r="Y10" s="5">
        <v>16.549441952955362</v>
      </c>
      <c r="Z10" s="5">
        <v>1494.5253520241458</v>
      </c>
      <c r="AA10" s="35"/>
    </row>
    <row r="11" spans="2:27" x14ac:dyDescent="0.2">
      <c r="B11" s="4">
        <v>8</v>
      </c>
      <c r="C11" s="4">
        <v>903</v>
      </c>
      <c r="D11" s="23">
        <v>33240.49679159349</v>
      </c>
      <c r="E11" s="33">
        <v>5.127429200001643E-2</v>
      </c>
      <c r="F11" s="5">
        <v>2</v>
      </c>
      <c r="G11" s="23">
        <v>90</v>
      </c>
      <c r="H11" s="33">
        <v>0</v>
      </c>
      <c r="I11" s="23">
        <v>8.4823418307875986</v>
      </c>
      <c r="J11" s="5">
        <v>1080.2358259062612</v>
      </c>
      <c r="K11" s="31"/>
      <c r="L11" s="23">
        <v>37845.979322544983</v>
      </c>
      <c r="M11" s="33">
        <v>6.3383291999343783E-2</v>
      </c>
      <c r="N11" s="5">
        <v>2</v>
      </c>
      <c r="O11" s="5">
        <v>80</v>
      </c>
      <c r="P11" s="33">
        <v>0</v>
      </c>
      <c r="Q11" s="5">
        <v>9.2957145076269505</v>
      </c>
      <c r="R11" s="5">
        <v>1189.2374689098654</v>
      </c>
      <c r="S11" s="31"/>
      <c r="T11" s="23">
        <v>35282.363289766683</v>
      </c>
      <c r="U11" s="33">
        <v>4.7944540998287273E-2</v>
      </c>
      <c r="V11" s="5">
        <v>2</v>
      </c>
      <c r="W11" s="5">
        <v>90</v>
      </c>
      <c r="X11" s="33">
        <v>0</v>
      </c>
      <c r="Y11" s="5">
        <v>16.549441952955362</v>
      </c>
      <c r="Z11" s="5">
        <v>1494.5253520241458</v>
      </c>
      <c r="AA11" s="35"/>
    </row>
    <row r="12" spans="2:27" x14ac:dyDescent="0.2">
      <c r="B12" s="4">
        <v>9</v>
      </c>
      <c r="C12" s="4">
        <v>956</v>
      </c>
      <c r="D12" s="23">
        <v>33240.49679159349</v>
      </c>
      <c r="E12" s="33">
        <v>0.1219772909998937</v>
      </c>
      <c r="F12" s="5">
        <v>2</v>
      </c>
      <c r="G12" s="23">
        <v>90</v>
      </c>
      <c r="H12" s="33">
        <v>0</v>
      </c>
      <c r="I12" s="23">
        <v>8.4823418307875986</v>
      </c>
      <c r="J12" s="5">
        <v>1080.2358259062612</v>
      </c>
      <c r="K12" s="31"/>
      <c r="L12" s="23">
        <v>37845.168940375763</v>
      </c>
      <c r="M12" s="33">
        <v>5.5428042000130517E-2</v>
      </c>
      <c r="N12" s="5">
        <v>2</v>
      </c>
      <c r="O12" s="5">
        <v>80</v>
      </c>
      <c r="P12" s="33">
        <v>0</v>
      </c>
      <c r="Q12" s="5">
        <v>9.0525080582375637</v>
      </c>
      <c r="R12" s="5">
        <v>1162.8368763049032</v>
      </c>
      <c r="S12" s="31"/>
      <c r="T12" s="23">
        <v>35282.363289766683</v>
      </c>
      <c r="U12" s="33">
        <v>0.13265108400082681</v>
      </c>
      <c r="V12" s="5">
        <v>2</v>
      </c>
      <c r="W12" s="5">
        <v>90</v>
      </c>
      <c r="X12" s="33">
        <v>0</v>
      </c>
      <c r="Y12" s="5">
        <v>16.549441952955362</v>
      </c>
      <c r="Z12" s="5">
        <v>1494.5253520241458</v>
      </c>
      <c r="AA12" s="35"/>
    </row>
    <row r="13" spans="2:27" x14ac:dyDescent="0.2">
      <c r="B13" s="4">
        <v>10</v>
      </c>
      <c r="C13" s="4">
        <v>968</v>
      </c>
      <c r="D13" s="23">
        <v>34187.088929151163</v>
      </c>
      <c r="E13" s="33">
        <v>6.2666458000421699E-2</v>
      </c>
      <c r="F13" s="5">
        <v>2</v>
      </c>
      <c r="G13" s="23">
        <v>90</v>
      </c>
      <c r="H13" s="33">
        <v>0</v>
      </c>
      <c r="I13" s="23">
        <v>10.313567120480705</v>
      </c>
      <c r="J13" s="5">
        <v>1199.0718047422404</v>
      </c>
      <c r="K13" s="31"/>
      <c r="L13" s="23">
        <v>37682.3848629438</v>
      </c>
      <c r="M13" s="33">
        <v>6.4764083002955886E-2</v>
      </c>
      <c r="N13" s="5">
        <v>2</v>
      </c>
      <c r="O13" s="5">
        <v>80</v>
      </c>
      <c r="P13" s="33">
        <v>0</v>
      </c>
      <c r="Q13" s="5">
        <v>9.2058384197892558</v>
      </c>
      <c r="R13" s="5">
        <v>1156.4226972004258</v>
      </c>
      <c r="S13" s="31"/>
      <c r="T13" s="23">
        <v>35282.363289766683</v>
      </c>
      <c r="U13" s="33">
        <v>7.0674167000106536E-2</v>
      </c>
      <c r="V13" s="5">
        <v>2</v>
      </c>
      <c r="W13" s="5">
        <v>90</v>
      </c>
      <c r="X13" s="33">
        <v>0</v>
      </c>
      <c r="Y13" s="5">
        <v>16.549441952955362</v>
      </c>
      <c r="Z13" s="5">
        <v>1494.5253520241458</v>
      </c>
      <c r="AA13" s="35"/>
    </row>
    <row r="14" spans="2:27" x14ac:dyDescent="0.2">
      <c r="B14" s="46" t="s">
        <v>3</v>
      </c>
      <c r="C14" s="47"/>
      <c r="D14" s="9">
        <f>MIN(D4:D13)</f>
        <v>33240.49679159349</v>
      </c>
      <c r="E14" s="22">
        <f>INDEX(E4:E13, MATCH($D$14, D4:D13, 0))</f>
        <v>6.909941699996125E-2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8.4823418307875986</v>
      </c>
      <c r="J14" s="22">
        <f>INDEX(J4:J13, MATCH($D$14, D4:D13, 0))</f>
        <v>1080.2358259062612</v>
      </c>
      <c r="K14" s="32">
        <f>(D14-$D$15)/$D$15</f>
        <v>0</v>
      </c>
      <c r="L14" s="16">
        <f>MIN(L4:L13)</f>
        <v>36899.387184987318</v>
      </c>
      <c r="M14" s="21">
        <f>INDEX(M4:M13, MATCH($L$14, L4:L13, 0))</f>
        <v>0.15548162499908361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7.4644892179338456</v>
      </c>
      <c r="R14" s="21">
        <f>INDEX(R4:R13, MATCH($L$14, L4:L13, 0))</f>
        <v>1055.546992719389</v>
      </c>
      <c r="S14" s="36">
        <f>(L14-$D$15)/$D$15</f>
        <v>0.11007327647158267</v>
      </c>
      <c r="T14" s="38">
        <f>MIN(T4:T13)</f>
        <v>35282.363289766683</v>
      </c>
      <c r="U14" s="39">
        <f>INDEX(U4:U13, MATCH($T$14, T4:T13, 0))</f>
        <v>0.18582654200145041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0</v>
      </c>
      <c r="Y14" s="39">
        <f>INDEX(Y4:Y13, MATCH($T$14, T4:T13, 0))</f>
        <v>16.549441952955362</v>
      </c>
      <c r="Z14" s="39">
        <f>INDEX(Z4:Z13, MATCH($T$14, T4:T13, 0))</f>
        <v>1494.5253520241458</v>
      </c>
      <c r="AA14" s="40">
        <f>(T14-$D$15)/$D$15</f>
        <v>6.1427075262292109E-2</v>
      </c>
    </row>
    <row r="15" spans="2:27" x14ac:dyDescent="0.2">
      <c r="C15" s="1" t="s">
        <v>17</v>
      </c>
      <c r="D15" s="34">
        <v>33240.49679159349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117" priority="7"/>
    <cfRule type="duplicateValues" dxfId="116" priority="8"/>
  </conditionalFormatting>
  <conditionalFormatting sqref="C14">
    <cfRule type="duplicateValues" dxfId="115" priority="1"/>
    <cfRule type="duplicateValues" dxfId="114" priority="2"/>
  </conditionalFormatting>
  <conditionalFormatting sqref="C17">
    <cfRule type="duplicateValues" dxfId="113" priority="3"/>
    <cfRule type="duplicateValues" dxfId="112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BE8E-57CE-B243-9EB4-DAA7A2E7096C}">
  <dimension ref="B1:AA17"/>
  <sheetViews>
    <sheetView zoomScale="110" zoomScaleNormal="110" workbookViewId="0">
      <selection activeCell="P16" sqref="A16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-0.99998078899245491</v>
      </c>
      <c r="K2" s="28"/>
      <c r="L2" s="1" t="s">
        <v>19</v>
      </c>
      <c r="P2" s="1" t="e">
        <f>(P14-H14)/H14</f>
        <v>#DIV/0!</v>
      </c>
      <c r="R2" s="1">
        <f>(R14-J14)/J14</f>
        <v>8.741319842664648E-2</v>
      </c>
      <c r="T2" s="1" t="s">
        <v>20</v>
      </c>
      <c r="X2" s="1" t="e">
        <f>(X14-P14)/P14</f>
        <v>#DIV/0!</v>
      </c>
      <c r="Z2" s="1">
        <f>(Z14-R14)/R14</f>
        <v>0.37719413974908378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645</v>
      </c>
      <c r="D4" s="23">
        <v>33826.361199326908</v>
      </c>
      <c r="E4" s="33">
        <v>7.1074999999837019E-2</v>
      </c>
      <c r="F4" s="5">
        <v>2</v>
      </c>
      <c r="G4" s="23">
        <v>80</v>
      </c>
      <c r="H4" s="33">
        <v>0</v>
      </c>
      <c r="I4" s="23">
        <v>9.7097916801958579</v>
      </c>
      <c r="J4" s="5">
        <v>783.83061797784785</v>
      </c>
      <c r="K4" s="31"/>
      <c r="L4" s="23">
        <v>34335.724496864517</v>
      </c>
      <c r="M4" s="33">
        <v>7.7206916997965891E-2</v>
      </c>
      <c r="N4" s="5">
        <v>2</v>
      </c>
      <c r="O4" s="5">
        <v>80</v>
      </c>
      <c r="P4" s="33">
        <v>0</v>
      </c>
      <c r="Q4" s="5">
        <v>9.7499515485999986</v>
      </c>
      <c r="R4" s="5">
        <v>852.3477593200264</v>
      </c>
      <c r="S4" s="31"/>
      <c r="T4" s="23">
        <v>34652.511087467647</v>
      </c>
      <c r="U4" s="33">
        <v>8.36837499991816E-2</v>
      </c>
      <c r="V4" s="5">
        <v>2</v>
      </c>
      <c r="W4" s="5">
        <v>80</v>
      </c>
      <c r="X4" s="33">
        <v>0</v>
      </c>
      <c r="Y4" s="5">
        <v>19.927161035845135</v>
      </c>
      <c r="Z4" s="5">
        <v>1173.8483391638028</v>
      </c>
      <c r="AA4" s="35"/>
    </row>
    <row r="5" spans="2:27" x14ac:dyDescent="0.2">
      <c r="B5" s="4">
        <v>2</v>
      </c>
      <c r="C5" s="4">
        <v>252</v>
      </c>
      <c r="D5" s="23">
        <v>34165.402525163146</v>
      </c>
      <c r="E5" s="33">
        <v>4.7133584000221163E-2</v>
      </c>
      <c r="F5" s="5">
        <v>2</v>
      </c>
      <c r="G5" s="23">
        <v>80</v>
      </c>
      <c r="H5" s="33">
        <v>0</v>
      </c>
      <c r="I5" s="23">
        <v>10.674625581942205</v>
      </c>
      <c r="J5" s="5">
        <v>857.67809504206821</v>
      </c>
      <c r="K5" s="31"/>
      <c r="L5" s="23">
        <v>34335.724496864517</v>
      </c>
      <c r="M5" s="33">
        <v>4.9046042000554728E-2</v>
      </c>
      <c r="N5" s="5">
        <v>2</v>
      </c>
      <c r="O5" s="5">
        <v>80</v>
      </c>
      <c r="P5" s="33">
        <v>0</v>
      </c>
      <c r="Q5" s="5">
        <v>9.7499515485999986</v>
      </c>
      <c r="R5" s="5">
        <v>852.3477593200264</v>
      </c>
      <c r="S5" s="31"/>
      <c r="T5" s="23">
        <v>34652.511087467647</v>
      </c>
      <c r="U5" s="33">
        <v>5.9511166000447702E-2</v>
      </c>
      <c r="V5" s="5">
        <v>2</v>
      </c>
      <c r="W5" s="5">
        <v>80</v>
      </c>
      <c r="X5" s="33">
        <v>0</v>
      </c>
      <c r="Y5" s="5">
        <v>19.927161035845135</v>
      </c>
      <c r="Z5" s="5">
        <v>1173.8483391638028</v>
      </c>
      <c r="AA5" s="35"/>
    </row>
    <row r="6" spans="2:27" x14ac:dyDescent="0.2">
      <c r="B6" s="4">
        <v>3</v>
      </c>
      <c r="C6" s="4">
        <v>265</v>
      </c>
      <c r="D6" s="23">
        <v>33826.361199326908</v>
      </c>
      <c r="E6" s="33">
        <v>7.1411291000003985E-2</v>
      </c>
      <c r="F6" s="5">
        <v>2</v>
      </c>
      <c r="G6" s="23">
        <v>80</v>
      </c>
      <c r="H6" s="33">
        <v>0</v>
      </c>
      <c r="I6" s="23">
        <v>9.7097916801958579</v>
      </c>
      <c r="J6" s="5">
        <v>783.83061797784785</v>
      </c>
      <c r="K6" s="31"/>
      <c r="L6" s="23">
        <v>34335.724496864517</v>
      </c>
      <c r="M6" s="33">
        <v>9.3418125001335284E-2</v>
      </c>
      <c r="N6" s="5">
        <v>2</v>
      </c>
      <c r="O6" s="5">
        <v>80</v>
      </c>
      <c r="P6" s="33">
        <v>0</v>
      </c>
      <c r="Q6" s="5">
        <v>9.7499515485999986</v>
      </c>
      <c r="R6" s="5">
        <v>852.3477593200264</v>
      </c>
      <c r="S6" s="31"/>
      <c r="T6" s="23">
        <v>34652.511087467647</v>
      </c>
      <c r="U6" s="33">
        <v>8.171379200211959E-2</v>
      </c>
      <c r="V6" s="5">
        <v>2</v>
      </c>
      <c r="W6" s="5">
        <v>80</v>
      </c>
      <c r="X6" s="33">
        <v>0</v>
      </c>
      <c r="Y6" s="5">
        <v>19.927161035845135</v>
      </c>
      <c r="Z6" s="5">
        <v>1173.8483391638028</v>
      </c>
      <c r="AA6" s="35"/>
    </row>
    <row r="7" spans="2:27" x14ac:dyDescent="0.2">
      <c r="B7" s="4">
        <v>4</v>
      </c>
      <c r="C7" s="4">
        <v>813</v>
      </c>
      <c r="D7" s="23">
        <v>33826.361199326908</v>
      </c>
      <c r="E7" s="33">
        <v>6.0086750000664317E-2</v>
      </c>
      <c r="F7" s="5">
        <v>2</v>
      </c>
      <c r="G7" s="23">
        <v>80</v>
      </c>
      <c r="H7" s="33">
        <v>0</v>
      </c>
      <c r="I7" s="23">
        <v>9.7097916801958579</v>
      </c>
      <c r="J7" s="5">
        <v>783.83061797784785</v>
      </c>
      <c r="K7" s="31"/>
      <c r="L7" s="23">
        <v>34335.724496864517</v>
      </c>
      <c r="M7" s="33">
        <v>7.1682041001622565E-2</v>
      </c>
      <c r="N7" s="5">
        <v>2</v>
      </c>
      <c r="O7" s="5">
        <v>80</v>
      </c>
      <c r="P7" s="33">
        <v>0</v>
      </c>
      <c r="Q7" s="5">
        <v>9.7499515485999986</v>
      </c>
      <c r="R7" s="5">
        <v>852.3477593200264</v>
      </c>
      <c r="S7" s="31"/>
      <c r="T7" s="23">
        <v>34652.511087467647</v>
      </c>
      <c r="U7" s="33">
        <v>5.899883299935027E-2</v>
      </c>
      <c r="V7" s="5">
        <v>2</v>
      </c>
      <c r="W7" s="5">
        <v>80</v>
      </c>
      <c r="X7" s="33">
        <v>0</v>
      </c>
      <c r="Y7" s="5">
        <v>19.927161035845135</v>
      </c>
      <c r="Z7" s="5">
        <v>1173.8483391638028</v>
      </c>
      <c r="AA7" s="35"/>
    </row>
    <row r="8" spans="2:27" x14ac:dyDescent="0.2">
      <c r="B8" s="4">
        <v>5</v>
      </c>
      <c r="C8" s="4">
        <v>940</v>
      </c>
      <c r="D8" s="23">
        <v>33826.361199326908</v>
      </c>
      <c r="E8" s="33">
        <v>9.6830542000134301E-2</v>
      </c>
      <c r="F8" s="5">
        <v>2</v>
      </c>
      <c r="G8" s="23">
        <v>80</v>
      </c>
      <c r="H8" s="33">
        <v>0</v>
      </c>
      <c r="I8" s="23">
        <v>9.7097916801958579</v>
      </c>
      <c r="J8" s="5">
        <v>783.83061797784785</v>
      </c>
      <c r="K8" s="31"/>
      <c r="L8" s="23">
        <v>34483.817337402979</v>
      </c>
      <c r="M8" s="33">
        <v>9.5149333999870578E-2</v>
      </c>
      <c r="N8" s="5">
        <v>2</v>
      </c>
      <c r="O8" s="5">
        <v>80</v>
      </c>
      <c r="P8" s="33">
        <v>0</v>
      </c>
      <c r="Q8" s="5">
        <v>9.6705282374257333</v>
      </c>
      <c r="R8" s="5">
        <v>870.11767575868384</v>
      </c>
      <c r="S8" s="31"/>
      <c r="T8" s="23">
        <v>34652.511087467647</v>
      </c>
      <c r="U8" s="33">
        <v>0.1049201249988982</v>
      </c>
      <c r="V8" s="5">
        <v>2</v>
      </c>
      <c r="W8" s="5">
        <v>80</v>
      </c>
      <c r="X8" s="33">
        <v>0</v>
      </c>
      <c r="Y8" s="5">
        <v>19.927161035845135</v>
      </c>
      <c r="Z8" s="5">
        <v>1173.8483391638028</v>
      </c>
      <c r="AA8" s="35"/>
    </row>
    <row r="9" spans="2:27" x14ac:dyDescent="0.2">
      <c r="B9" s="4">
        <v>6</v>
      </c>
      <c r="C9" s="4">
        <v>76</v>
      </c>
      <c r="D9" s="23">
        <v>33826.361199326908</v>
      </c>
      <c r="E9" s="33">
        <v>8.7547707999874547E-2</v>
      </c>
      <c r="F9" s="5">
        <v>2</v>
      </c>
      <c r="G9" s="23">
        <v>80</v>
      </c>
      <c r="H9" s="33">
        <v>0</v>
      </c>
      <c r="I9" s="23">
        <v>9.7097916801958579</v>
      </c>
      <c r="J9" s="5">
        <v>783.83061797784785</v>
      </c>
      <c r="K9" s="31"/>
      <c r="L9" s="23">
        <v>34335.724496864517</v>
      </c>
      <c r="M9" s="33">
        <v>0.13162441699751071</v>
      </c>
      <c r="N9" s="5">
        <v>2</v>
      </c>
      <c r="O9" s="5">
        <v>80</v>
      </c>
      <c r="P9" s="33">
        <v>0</v>
      </c>
      <c r="Q9" s="5">
        <v>9.7499515485999986</v>
      </c>
      <c r="R9" s="5">
        <v>852.3477593200264</v>
      </c>
      <c r="S9" s="31"/>
      <c r="T9" s="23">
        <v>34652.511087467647</v>
      </c>
      <c r="U9" s="33">
        <v>0.1712979580006504</v>
      </c>
      <c r="V9" s="5">
        <v>2</v>
      </c>
      <c r="W9" s="5">
        <v>80</v>
      </c>
      <c r="X9" s="33">
        <v>0</v>
      </c>
      <c r="Y9" s="5">
        <v>19.927161035845135</v>
      </c>
      <c r="Z9" s="5">
        <v>1173.8483391638028</v>
      </c>
      <c r="AA9" s="35"/>
    </row>
    <row r="10" spans="2:27" x14ac:dyDescent="0.2">
      <c r="B10" s="4">
        <v>7</v>
      </c>
      <c r="C10" s="4">
        <v>228</v>
      </c>
      <c r="D10" s="23">
        <v>33826.361199326908</v>
      </c>
      <c r="E10" s="33">
        <v>8.475279199956276E-2</v>
      </c>
      <c r="F10" s="5">
        <v>2</v>
      </c>
      <c r="G10" s="23">
        <v>80</v>
      </c>
      <c r="H10" s="33">
        <v>0</v>
      </c>
      <c r="I10" s="23">
        <v>9.7097916801958579</v>
      </c>
      <c r="J10" s="5">
        <v>783.83061797784785</v>
      </c>
      <c r="K10" s="31"/>
      <c r="L10" s="23">
        <v>34483.817337402979</v>
      </c>
      <c r="M10" s="33">
        <v>8.7995666999631794E-2</v>
      </c>
      <c r="N10" s="5">
        <v>2</v>
      </c>
      <c r="O10" s="5">
        <v>80</v>
      </c>
      <c r="P10" s="33">
        <v>0</v>
      </c>
      <c r="Q10" s="5">
        <v>9.6705282374257333</v>
      </c>
      <c r="R10" s="5">
        <v>870.11767575868384</v>
      </c>
      <c r="S10" s="31"/>
      <c r="T10" s="23">
        <v>34652.511087467647</v>
      </c>
      <c r="U10" s="33">
        <v>8.4343499998794869E-2</v>
      </c>
      <c r="V10" s="5">
        <v>2</v>
      </c>
      <c r="W10" s="5">
        <v>80</v>
      </c>
      <c r="X10" s="33">
        <v>0</v>
      </c>
      <c r="Y10" s="5">
        <v>19.927161035845135</v>
      </c>
      <c r="Z10" s="5">
        <v>1173.8483391638028</v>
      </c>
      <c r="AA10" s="35"/>
    </row>
    <row r="11" spans="2:27" x14ac:dyDescent="0.2">
      <c r="B11" s="4">
        <v>8</v>
      </c>
      <c r="C11" s="4">
        <v>292</v>
      </c>
      <c r="D11" s="23">
        <v>33826.361199326908</v>
      </c>
      <c r="E11" s="33">
        <v>3.9880416999949382E-2</v>
      </c>
      <c r="F11" s="5">
        <v>2</v>
      </c>
      <c r="G11" s="23">
        <v>80</v>
      </c>
      <c r="H11" s="33">
        <v>0</v>
      </c>
      <c r="I11" s="23">
        <v>9.7097916801958579</v>
      </c>
      <c r="J11" s="5">
        <v>783.83061797784785</v>
      </c>
      <c r="K11" s="31"/>
      <c r="L11" s="23">
        <v>34335.724496864517</v>
      </c>
      <c r="M11" s="33">
        <v>0.13151687500067061</v>
      </c>
      <c r="N11" s="5">
        <v>2</v>
      </c>
      <c r="O11" s="5">
        <v>80</v>
      </c>
      <c r="P11" s="33">
        <v>0</v>
      </c>
      <c r="Q11" s="5">
        <v>9.7499515485999986</v>
      </c>
      <c r="R11" s="5">
        <v>852.3477593200264</v>
      </c>
      <c r="S11" s="31"/>
      <c r="T11" s="23">
        <v>34652.511087467647</v>
      </c>
      <c r="U11" s="33">
        <v>5.1480042002367547E-2</v>
      </c>
      <c r="V11" s="5">
        <v>2</v>
      </c>
      <c r="W11" s="5">
        <v>80</v>
      </c>
      <c r="X11" s="33">
        <v>0</v>
      </c>
      <c r="Y11" s="5">
        <v>19.927161035845135</v>
      </c>
      <c r="Z11" s="5">
        <v>1173.8483391638028</v>
      </c>
      <c r="AA11" s="35"/>
    </row>
    <row r="12" spans="2:27" x14ac:dyDescent="0.2">
      <c r="B12" s="4">
        <v>9</v>
      </c>
      <c r="C12" s="4">
        <v>386</v>
      </c>
      <c r="D12" s="23">
        <v>33826.361199326908</v>
      </c>
      <c r="E12" s="33">
        <v>7.5772040999254386E-2</v>
      </c>
      <c r="F12" s="5">
        <v>2</v>
      </c>
      <c r="G12" s="23">
        <v>80</v>
      </c>
      <c r="H12" s="33">
        <v>0</v>
      </c>
      <c r="I12" s="23">
        <v>9.7097916801958579</v>
      </c>
      <c r="J12" s="5">
        <v>783.83061797784785</v>
      </c>
      <c r="K12" s="31"/>
      <c r="L12" s="23">
        <v>34335.724496864517</v>
      </c>
      <c r="M12" s="33">
        <v>7.3524208000890212E-2</v>
      </c>
      <c r="N12" s="5">
        <v>2</v>
      </c>
      <c r="O12" s="5">
        <v>80</v>
      </c>
      <c r="P12" s="33">
        <v>0</v>
      </c>
      <c r="Q12" s="5">
        <v>9.7499515485999986</v>
      </c>
      <c r="R12" s="5">
        <v>852.3477593200264</v>
      </c>
      <c r="S12" s="31"/>
      <c r="T12" s="23">
        <v>34652.511087467647</v>
      </c>
      <c r="U12" s="33">
        <v>7.149987500088173E-2</v>
      </c>
      <c r="V12" s="5">
        <v>2</v>
      </c>
      <c r="W12" s="5">
        <v>80</v>
      </c>
      <c r="X12" s="33">
        <v>0</v>
      </c>
      <c r="Y12" s="5">
        <v>19.927161035845135</v>
      </c>
      <c r="Z12" s="5">
        <v>1173.8483391638028</v>
      </c>
      <c r="AA12" s="35"/>
    </row>
    <row r="13" spans="2:27" x14ac:dyDescent="0.2">
      <c r="B13" s="4">
        <v>10</v>
      </c>
      <c r="C13" s="4">
        <v>604</v>
      </c>
      <c r="D13" s="23">
        <v>33826.361199326908</v>
      </c>
      <c r="E13" s="33">
        <v>6.4838875000532425E-2</v>
      </c>
      <c r="F13" s="5">
        <v>2</v>
      </c>
      <c r="G13" s="23">
        <v>80</v>
      </c>
      <c r="H13" s="33">
        <v>0</v>
      </c>
      <c r="I13" s="23">
        <v>9.7097916801958579</v>
      </c>
      <c r="J13" s="5">
        <v>783.83061797784785</v>
      </c>
      <c r="K13" s="31"/>
      <c r="L13" s="23">
        <v>34335.724496864517</v>
      </c>
      <c r="M13" s="33">
        <v>5.685129199991934E-2</v>
      </c>
      <c r="N13" s="5">
        <v>2</v>
      </c>
      <c r="O13" s="5">
        <v>80</v>
      </c>
      <c r="P13" s="33">
        <v>0</v>
      </c>
      <c r="Q13" s="5">
        <v>9.7499515485999986</v>
      </c>
      <c r="R13" s="5">
        <v>852.3477593200264</v>
      </c>
      <c r="S13" s="31"/>
      <c r="T13" s="23">
        <v>34652.511087467647</v>
      </c>
      <c r="U13" s="33">
        <v>7.3663582999870414E-2</v>
      </c>
      <c r="V13" s="5">
        <v>2</v>
      </c>
      <c r="W13" s="5">
        <v>80</v>
      </c>
      <c r="X13" s="33">
        <v>0</v>
      </c>
      <c r="Y13" s="5">
        <v>19.927161035845135</v>
      </c>
      <c r="Z13" s="5">
        <v>1173.8483391638028</v>
      </c>
      <c r="AA13" s="35"/>
    </row>
    <row r="14" spans="2:27" x14ac:dyDescent="0.2">
      <c r="B14" s="46" t="s">
        <v>3</v>
      </c>
      <c r="C14" s="47"/>
      <c r="D14" s="9">
        <f>MIN(D4:D13)</f>
        <v>33826.361199326908</v>
      </c>
      <c r="E14" s="22">
        <f>INDEX(E4:E13, MATCH($D$14, D4:D13, 0))</f>
        <v>7.1074999999837019E-2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0</v>
      </c>
      <c r="I14" s="22">
        <f>INDEX(I4:I13, MATCH($D$14, D4:D13, 0))</f>
        <v>9.7097916801958579</v>
      </c>
      <c r="J14" s="22">
        <f>INDEX(J4:J13, MATCH($D$14, D4:D13, 0))</f>
        <v>783.83061797784785</v>
      </c>
      <c r="K14" s="32">
        <f>(D14-$D$15)/$D$15</f>
        <v>0</v>
      </c>
      <c r="L14" s="16">
        <f>MIN(L4:L13)</f>
        <v>34335.724496864517</v>
      </c>
      <c r="M14" s="21">
        <f>INDEX(M4:M13, MATCH($L$14, L4:L13, 0))</f>
        <v>7.7206916997965891E-2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9.7499515485999986</v>
      </c>
      <c r="R14" s="21">
        <f>INDEX(R4:R13, MATCH($L$14, L4:L13, 0))</f>
        <v>852.3477593200264</v>
      </c>
      <c r="S14" s="36">
        <f>(L14-$D$15)/$D$15</f>
        <v>1.5058175915999649E-2</v>
      </c>
      <c r="T14" s="38">
        <f>MIN(T4:T13)</f>
        <v>34652.511087467647</v>
      </c>
      <c r="U14" s="39">
        <f>INDEX(U4:U13, MATCH($T$14, T4:T13, 0))</f>
        <v>8.36837499991816E-2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0</v>
      </c>
      <c r="Y14" s="39">
        <f>INDEX(Y4:Y13, MATCH($T$14, T4:T13, 0))</f>
        <v>19.927161035845135</v>
      </c>
      <c r="Z14" s="39">
        <f>INDEX(Z4:Z13, MATCH($T$14, T4:T13, 0))</f>
        <v>1173.8483391638028</v>
      </c>
      <c r="AA14" s="40">
        <f>(T14-$D$15)/$D$15</f>
        <v>2.4423256266688769E-2</v>
      </c>
    </row>
    <row r="15" spans="2:27" x14ac:dyDescent="0.2">
      <c r="C15" s="1" t="s">
        <v>17</v>
      </c>
      <c r="D15" s="34">
        <v>33826.361199326908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 C31:C1048576">
    <cfRule type="duplicateValues" dxfId="111" priority="11"/>
    <cfRule type="duplicateValues" dxfId="110" priority="12"/>
  </conditionalFormatting>
  <conditionalFormatting sqref="C14">
    <cfRule type="duplicateValues" dxfId="109" priority="5"/>
    <cfRule type="duplicateValues" dxfId="108" priority="6"/>
  </conditionalFormatting>
  <conditionalFormatting sqref="C16 C18:C30">
    <cfRule type="duplicateValues" dxfId="31" priority="3"/>
    <cfRule type="duplicateValues" dxfId="30" priority="4"/>
  </conditionalFormatting>
  <conditionalFormatting sqref="C17">
    <cfRule type="duplicateValues" dxfId="29" priority="1"/>
    <cfRule type="duplicateValues" dxfId="28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1ACB-92CC-CF48-A309-08592A555EFF}">
  <dimension ref="B1:AA17"/>
  <sheetViews>
    <sheetView zoomScale="110" zoomScaleNormal="110" workbookViewId="0">
      <selection activeCell="A16" sqref="A16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-1</v>
      </c>
      <c r="K2" s="28"/>
      <c r="L2" s="1" t="s">
        <v>19</v>
      </c>
      <c r="P2" s="1" t="e">
        <f>(P14-H14)/H14</f>
        <v>#DIV/0!</v>
      </c>
      <c r="R2" s="1">
        <f>(R14-J14)/J14</f>
        <v>0</v>
      </c>
      <c r="T2" s="1" t="s">
        <v>20</v>
      </c>
      <c r="X2" s="1" t="e">
        <f>(X14-P14)/P14</f>
        <v>#DIV/0!</v>
      </c>
      <c r="Z2" s="1">
        <f>(Z14-R14)/R14</f>
        <v>0.37666950535645438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50</v>
      </c>
      <c r="D4" s="23">
        <v>33087.705946808434</v>
      </c>
      <c r="E4" s="33">
        <v>6.5033333000428684E-2</v>
      </c>
      <c r="F4" s="5">
        <v>2</v>
      </c>
      <c r="G4" s="23">
        <v>90</v>
      </c>
      <c r="H4" s="33">
        <v>0</v>
      </c>
      <c r="I4" s="23">
        <v>9.7542387393341023</v>
      </c>
      <c r="J4" s="5">
        <v>1028.8038896816543</v>
      </c>
      <c r="K4" s="31"/>
      <c r="L4" s="23">
        <v>33087.705946808434</v>
      </c>
      <c r="M4" s="33">
        <v>7.1643791998212691E-2</v>
      </c>
      <c r="N4" s="5">
        <v>2</v>
      </c>
      <c r="O4" s="5">
        <v>90</v>
      </c>
      <c r="P4" s="33">
        <v>0</v>
      </c>
      <c r="Q4" s="5">
        <v>9.7542387393341023</v>
      </c>
      <c r="R4" s="5">
        <v>1028.8038896816543</v>
      </c>
      <c r="S4" s="31"/>
      <c r="T4" s="23">
        <v>35330.673049050863</v>
      </c>
      <c r="U4" s="33">
        <v>7.0224333001533523E-2</v>
      </c>
      <c r="V4" s="5">
        <v>2</v>
      </c>
      <c r="W4" s="5">
        <v>90</v>
      </c>
      <c r="X4" s="33">
        <v>0</v>
      </c>
      <c r="Y4" s="5">
        <v>17.446345183172486</v>
      </c>
      <c r="Z4" s="5">
        <v>1416.3229419168392</v>
      </c>
      <c r="AA4" s="35"/>
    </row>
    <row r="5" spans="2:27" x14ac:dyDescent="0.2">
      <c r="B5" s="4">
        <v>2</v>
      </c>
      <c r="C5" s="4">
        <v>474</v>
      </c>
      <c r="D5" s="23">
        <v>33087.705946808434</v>
      </c>
      <c r="E5" s="33">
        <v>4.8095374999320477E-2</v>
      </c>
      <c r="F5" s="5">
        <v>2</v>
      </c>
      <c r="G5" s="23">
        <v>90</v>
      </c>
      <c r="H5" s="33">
        <v>0</v>
      </c>
      <c r="I5" s="23">
        <v>9.7542387393341023</v>
      </c>
      <c r="J5" s="5">
        <v>1028.8038896816543</v>
      </c>
      <c r="K5" s="31"/>
      <c r="L5" s="23">
        <v>33087.705946808434</v>
      </c>
      <c r="M5" s="33">
        <v>4.7578334000718307E-2</v>
      </c>
      <c r="N5" s="5">
        <v>2</v>
      </c>
      <c r="O5" s="5">
        <v>90</v>
      </c>
      <c r="P5" s="33">
        <v>0</v>
      </c>
      <c r="Q5" s="5">
        <v>9.7542387393341023</v>
      </c>
      <c r="R5" s="5">
        <v>1028.8038896816543</v>
      </c>
      <c r="S5" s="31"/>
      <c r="T5" s="23">
        <v>35330.673049050863</v>
      </c>
      <c r="U5" s="33">
        <v>6.1840750000556E-2</v>
      </c>
      <c r="V5" s="5">
        <v>2</v>
      </c>
      <c r="W5" s="5">
        <v>90</v>
      </c>
      <c r="X5" s="33">
        <v>0</v>
      </c>
      <c r="Y5" s="5">
        <v>17.446345183172486</v>
      </c>
      <c r="Z5" s="5">
        <v>1416.3229419168392</v>
      </c>
      <c r="AA5" s="35"/>
    </row>
    <row r="6" spans="2:27" x14ac:dyDescent="0.2">
      <c r="B6" s="4">
        <v>3</v>
      </c>
      <c r="C6" s="4">
        <v>703</v>
      </c>
      <c r="D6" s="23">
        <v>33087.705946808434</v>
      </c>
      <c r="E6" s="33">
        <v>8.1265249999887601E-2</v>
      </c>
      <c r="F6" s="5">
        <v>2</v>
      </c>
      <c r="G6" s="23">
        <v>90</v>
      </c>
      <c r="H6" s="33">
        <v>0</v>
      </c>
      <c r="I6" s="23">
        <v>9.7542387393341023</v>
      </c>
      <c r="J6" s="5">
        <v>1028.8038896816543</v>
      </c>
      <c r="K6" s="31"/>
      <c r="L6" s="23">
        <v>33087.705946808434</v>
      </c>
      <c r="M6" s="33">
        <v>8.4406250000029104E-2</v>
      </c>
      <c r="N6" s="5">
        <v>2</v>
      </c>
      <c r="O6" s="5">
        <v>90</v>
      </c>
      <c r="P6" s="33">
        <v>0</v>
      </c>
      <c r="Q6" s="5">
        <v>9.7542387393341023</v>
      </c>
      <c r="R6" s="5">
        <v>1028.8038896816543</v>
      </c>
      <c r="S6" s="31"/>
      <c r="T6" s="23">
        <v>35330.673049050863</v>
      </c>
      <c r="U6" s="33">
        <v>8.4944957998231985E-2</v>
      </c>
      <c r="V6" s="5">
        <v>2</v>
      </c>
      <c r="W6" s="5">
        <v>90</v>
      </c>
      <c r="X6" s="33">
        <v>0</v>
      </c>
      <c r="Y6" s="5">
        <v>17.446345183172486</v>
      </c>
      <c r="Z6" s="5">
        <v>1416.3229419168392</v>
      </c>
      <c r="AA6" s="35"/>
    </row>
    <row r="7" spans="2:27" x14ac:dyDescent="0.2">
      <c r="B7" s="4">
        <v>4</v>
      </c>
      <c r="C7" s="4">
        <v>714</v>
      </c>
      <c r="D7" s="23">
        <v>33087.705946808434</v>
      </c>
      <c r="E7" s="33">
        <v>5.7014666000213772E-2</v>
      </c>
      <c r="F7" s="5">
        <v>2</v>
      </c>
      <c r="G7" s="23">
        <v>90</v>
      </c>
      <c r="H7" s="33">
        <v>0</v>
      </c>
      <c r="I7" s="23">
        <v>9.7542387393341023</v>
      </c>
      <c r="J7" s="5">
        <v>1028.8038896816543</v>
      </c>
      <c r="K7" s="31"/>
      <c r="L7" s="23">
        <v>33087.705946808434</v>
      </c>
      <c r="M7" s="33">
        <v>5.1176582997868543E-2</v>
      </c>
      <c r="N7" s="5">
        <v>2</v>
      </c>
      <c r="O7" s="5">
        <v>90</v>
      </c>
      <c r="P7" s="33">
        <v>0</v>
      </c>
      <c r="Q7" s="5">
        <v>9.7542387393341023</v>
      </c>
      <c r="R7" s="5">
        <v>1028.8038896816543</v>
      </c>
      <c r="S7" s="31"/>
      <c r="T7" s="23">
        <v>35330.673049050863</v>
      </c>
      <c r="U7" s="33">
        <v>5.5372957998770289E-2</v>
      </c>
      <c r="V7" s="5">
        <v>2</v>
      </c>
      <c r="W7" s="5">
        <v>90</v>
      </c>
      <c r="X7" s="33">
        <v>0</v>
      </c>
      <c r="Y7" s="5">
        <v>17.446345183172486</v>
      </c>
      <c r="Z7" s="5">
        <v>1416.3229419168392</v>
      </c>
      <c r="AA7" s="35"/>
    </row>
    <row r="8" spans="2:27" x14ac:dyDescent="0.2">
      <c r="B8" s="4">
        <v>5</v>
      </c>
      <c r="C8" s="4">
        <v>771</v>
      </c>
      <c r="D8" s="23">
        <v>33087.705946808434</v>
      </c>
      <c r="E8" s="33">
        <v>5.1832875000400243E-2</v>
      </c>
      <c r="F8" s="5">
        <v>2</v>
      </c>
      <c r="G8" s="23">
        <v>90</v>
      </c>
      <c r="H8" s="33">
        <v>0</v>
      </c>
      <c r="I8" s="23">
        <v>9.7542387393341023</v>
      </c>
      <c r="J8" s="5">
        <v>1028.8038896816543</v>
      </c>
      <c r="K8" s="31"/>
      <c r="L8" s="23">
        <v>33087.705946808434</v>
      </c>
      <c r="M8" s="33">
        <v>6.1289749999559717E-2</v>
      </c>
      <c r="N8" s="5">
        <v>2</v>
      </c>
      <c r="O8" s="5">
        <v>90</v>
      </c>
      <c r="P8" s="33">
        <v>0</v>
      </c>
      <c r="Q8" s="5">
        <v>9.7542387393341023</v>
      </c>
      <c r="R8" s="5">
        <v>1028.8038896816543</v>
      </c>
      <c r="S8" s="31"/>
      <c r="T8" s="23">
        <v>35330.673049050863</v>
      </c>
      <c r="U8" s="33">
        <v>0.10069833300076431</v>
      </c>
      <c r="V8" s="5">
        <v>2</v>
      </c>
      <c r="W8" s="5">
        <v>90</v>
      </c>
      <c r="X8" s="33">
        <v>0</v>
      </c>
      <c r="Y8" s="5">
        <v>17.446345183172486</v>
      </c>
      <c r="Z8" s="5">
        <v>1416.3229419168392</v>
      </c>
      <c r="AA8" s="35"/>
    </row>
    <row r="9" spans="2:27" x14ac:dyDescent="0.2">
      <c r="B9" s="4">
        <v>6</v>
      </c>
      <c r="C9" s="4">
        <v>847</v>
      </c>
      <c r="D9" s="23">
        <v>33087.705946808434</v>
      </c>
      <c r="E9" s="33">
        <v>6.6909375000250293E-2</v>
      </c>
      <c r="F9" s="5">
        <v>2</v>
      </c>
      <c r="G9" s="23">
        <v>90</v>
      </c>
      <c r="H9" s="33">
        <v>0</v>
      </c>
      <c r="I9" s="23">
        <v>9.7542387393341023</v>
      </c>
      <c r="J9" s="5">
        <v>1028.8038896816543</v>
      </c>
      <c r="K9" s="31"/>
      <c r="L9" s="23">
        <v>33087.705946808434</v>
      </c>
      <c r="M9" s="33">
        <v>7.9450749999523396E-2</v>
      </c>
      <c r="N9" s="5">
        <v>2</v>
      </c>
      <c r="O9" s="5">
        <v>90</v>
      </c>
      <c r="P9" s="33">
        <v>0</v>
      </c>
      <c r="Q9" s="5">
        <v>9.7542387393341023</v>
      </c>
      <c r="R9" s="5">
        <v>1028.8038896816543</v>
      </c>
      <c r="S9" s="31"/>
      <c r="T9" s="23">
        <v>35330.673049050863</v>
      </c>
      <c r="U9" s="33">
        <v>7.387116600148147E-2</v>
      </c>
      <c r="V9" s="5">
        <v>2</v>
      </c>
      <c r="W9" s="5">
        <v>90</v>
      </c>
      <c r="X9" s="33">
        <v>0</v>
      </c>
      <c r="Y9" s="5">
        <v>17.446345183172486</v>
      </c>
      <c r="Z9" s="5">
        <v>1416.3229419168392</v>
      </c>
      <c r="AA9" s="35"/>
    </row>
    <row r="10" spans="2:27" x14ac:dyDescent="0.2">
      <c r="B10" s="4">
        <v>7</v>
      </c>
      <c r="C10" s="4">
        <v>498</v>
      </c>
      <c r="D10" s="23">
        <v>33087.705946808434</v>
      </c>
      <c r="E10" s="33">
        <v>7.5743833000160521E-2</v>
      </c>
      <c r="F10" s="5">
        <v>2</v>
      </c>
      <c r="G10" s="23">
        <v>90</v>
      </c>
      <c r="H10" s="33">
        <v>0</v>
      </c>
      <c r="I10" s="23">
        <v>9.7542387393341023</v>
      </c>
      <c r="J10" s="5">
        <v>1028.8038896816543</v>
      </c>
      <c r="K10" s="31"/>
      <c r="L10" s="23">
        <v>33087.705946808434</v>
      </c>
      <c r="M10" s="33">
        <v>7.7433000002201879E-2</v>
      </c>
      <c r="N10" s="5">
        <v>2</v>
      </c>
      <c r="O10" s="5">
        <v>90</v>
      </c>
      <c r="P10" s="33">
        <v>0</v>
      </c>
      <c r="Q10" s="5">
        <v>9.7542387393341023</v>
      </c>
      <c r="R10" s="5">
        <v>1028.8038896816543</v>
      </c>
      <c r="S10" s="31"/>
      <c r="T10" s="23">
        <v>35330.673049050863</v>
      </c>
      <c r="U10" s="33">
        <v>8.1142040999111487E-2</v>
      </c>
      <c r="V10" s="5">
        <v>2</v>
      </c>
      <c r="W10" s="5">
        <v>90</v>
      </c>
      <c r="X10" s="33">
        <v>0</v>
      </c>
      <c r="Y10" s="5">
        <v>17.446345183172486</v>
      </c>
      <c r="Z10" s="5">
        <v>1416.3229419168392</v>
      </c>
      <c r="AA10" s="35"/>
    </row>
    <row r="11" spans="2:27" x14ac:dyDescent="0.2">
      <c r="B11" s="4">
        <v>8</v>
      </c>
      <c r="C11" s="4">
        <v>712</v>
      </c>
      <c r="D11" s="23">
        <v>33087.705946808434</v>
      </c>
      <c r="E11" s="33">
        <v>6.1152791000495199E-2</v>
      </c>
      <c r="F11" s="5">
        <v>2</v>
      </c>
      <c r="G11" s="23">
        <v>90</v>
      </c>
      <c r="H11" s="33">
        <v>0</v>
      </c>
      <c r="I11" s="23">
        <v>9.7542387393341023</v>
      </c>
      <c r="J11" s="5">
        <v>1028.8038896816543</v>
      </c>
      <c r="K11" s="31"/>
      <c r="L11" s="23">
        <v>33087.705946808434</v>
      </c>
      <c r="M11" s="33">
        <v>6.4674125002056826E-2</v>
      </c>
      <c r="N11" s="5">
        <v>2</v>
      </c>
      <c r="O11" s="5">
        <v>90</v>
      </c>
      <c r="P11" s="33">
        <v>0</v>
      </c>
      <c r="Q11" s="5">
        <v>9.7542387393341023</v>
      </c>
      <c r="R11" s="5">
        <v>1028.8038896816543</v>
      </c>
      <c r="S11" s="31"/>
      <c r="T11" s="23">
        <v>35330.673049050863</v>
      </c>
      <c r="U11" s="33">
        <v>8.1932166001934092E-2</v>
      </c>
      <c r="V11" s="5">
        <v>2</v>
      </c>
      <c r="W11" s="5">
        <v>90</v>
      </c>
      <c r="X11" s="33">
        <v>0</v>
      </c>
      <c r="Y11" s="5">
        <v>17.446345183172486</v>
      </c>
      <c r="Z11" s="5">
        <v>1416.3229419168392</v>
      </c>
      <c r="AA11" s="35"/>
    </row>
    <row r="12" spans="2:27" x14ac:dyDescent="0.2">
      <c r="B12" s="4">
        <v>9</v>
      </c>
      <c r="C12" s="4">
        <v>981</v>
      </c>
      <c r="D12" s="23">
        <v>33165.560110308383</v>
      </c>
      <c r="E12" s="33">
        <v>5.4377999999815067E-2</v>
      </c>
      <c r="F12" s="5">
        <v>2</v>
      </c>
      <c r="G12" s="23">
        <v>90</v>
      </c>
      <c r="H12" s="33">
        <v>0</v>
      </c>
      <c r="I12" s="23">
        <v>10.578861816704434</v>
      </c>
      <c r="J12" s="5">
        <v>1056.3312265423242</v>
      </c>
      <c r="K12" s="31"/>
      <c r="L12" s="23">
        <v>33087.705946808434</v>
      </c>
      <c r="M12" s="33">
        <v>5.2889250000589527E-2</v>
      </c>
      <c r="N12" s="5">
        <v>2</v>
      </c>
      <c r="O12" s="5">
        <v>90</v>
      </c>
      <c r="P12" s="33">
        <v>0</v>
      </c>
      <c r="Q12" s="5">
        <v>9.7542387393341023</v>
      </c>
      <c r="R12" s="5">
        <v>1028.8038896816543</v>
      </c>
      <c r="S12" s="31"/>
      <c r="T12" s="23">
        <v>35330.673049050863</v>
      </c>
      <c r="U12" s="33">
        <v>4.3623166999168461E-2</v>
      </c>
      <c r="V12" s="5">
        <v>2</v>
      </c>
      <c r="W12" s="5">
        <v>90</v>
      </c>
      <c r="X12" s="33">
        <v>0</v>
      </c>
      <c r="Y12" s="5">
        <v>17.446345183172486</v>
      </c>
      <c r="Z12" s="5">
        <v>1416.3229419168392</v>
      </c>
      <c r="AA12" s="35"/>
    </row>
    <row r="13" spans="2:27" x14ac:dyDescent="0.2">
      <c r="B13" s="4">
        <v>10</v>
      </c>
      <c r="C13" s="4">
        <v>11</v>
      </c>
      <c r="D13" s="23">
        <v>33087.705946808434</v>
      </c>
      <c r="E13" s="33">
        <v>6.0077916999944143E-2</v>
      </c>
      <c r="F13" s="5">
        <v>2</v>
      </c>
      <c r="G13" s="23">
        <v>90</v>
      </c>
      <c r="H13" s="33">
        <v>0</v>
      </c>
      <c r="I13" s="23">
        <v>9.7542387393341023</v>
      </c>
      <c r="J13" s="5">
        <v>1028.8038896816543</v>
      </c>
      <c r="K13" s="31"/>
      <c r="L13" s="23">
        <v>33087.705946808434</v>
      </c>
      <c r="M13" s="33">
        <v>0.1378373330007889</v>
      </c>
      <c r="N13" s="5">
        <v>2</v>
      </c>
      <c r="O13" s="5">
        <v>90</v>
      </c>
      <c r="P13" s="33">
        <v>0</v>
      </c>
      <c r="Q13" s="5">
        <v>9.7542387393341023</v>
      </c>
      <c r="R13" s="5">
        <v>1028.8038896816543</v>
      </c>
      <c r="S13" s="31"/>
      <c r="T13" s="23">
        <v>35330.673049050863</v>
      </c>
      <c r="U13" s="33">
        <v>9.4310666001547361E-2</v>
      </c>
      <c r="V13" s="5">
        <v>2</v>
      </c>
      <c r="W13" s="5">
        <v>90</v>
      </c>
      <c r="X13" s="33">
        <v>0</v>
      </c>
      <c r="Y13" s="5">
        <v>17.446345183172486</v>
      </c>
      <c r="Z13" s="5">
        <v>1416.3229419168392</v>
      </c>
      <c r="AA13" s="35"/>
    </row>
    <row r="14" spans="2:27" x14ac:dyDescent="0.2">
      <c r="B14" s="46" t="s">
        <v>3</v>
      </c>
      <c r="C14" s="47"/>
      <c r="D14" s="9">
        <f>MIN(D4:D13)</f>
        <v>33087.705946808434</v>
      </c>
      <c r="E14" s="22">
        <f>INDEX(E4:E13, MATCH($D$14, D4:D13, 0))</f>
        <v>6.5033333000428684E-2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9.7542387393341023</v>
      </c>
      <c r="J14" s="22">
        <f>INDEX(J4:J13, MATCH($D$14, D4:D13, 0))</f>
        <v>1028.8038896816543</v>
      </c>
      <c r="K14" s="32">
        <f>(D14-$D$15)/$D$15</f>
        <v>0</v>
      </c>
      <c r="L14" s="16">
        <f>MIN(L4:L13)</f>
        <v>33087.705946808434</v>
      </c>
      <c r="M14" s="21">
        <f>INDEX(M4:M13, MATCH($L$14, L4:L13, 0))</f>
        <v>7.1643791998212691E-2</v>
      </c>
      <c r="N14" s="16">
        <f>INDEX(N4:N13, MATCH($L$14, L4:L13, 0))</f>
        <v>2</v>
      </c>
      <c r="O14" s="16">
        <f>INDEX(O4:O13, MATCH($L$14, L4:L13, 0))</f>
        <v>90</v>
      </c>
      <c r="P14" s="21">
        <f>INDEX(P4:P13, MATCH($L$14, L4:L13, 0))</f>
        <v>0</v>
      </c>
      <c r="Q14" s="21">
        <f>INDEX(Q4:Q13, MATCH($L$14, L4:L13, 0))</f>
        <v>9.7542387393341023</v>
      </c>
      <c r="R14" s="21">
        <f>INDEX(R4:R13, MATCH($L$14, L4:L13, 0))</f>
        <v>1028.8038896816543</v>
      </c>
      <c r="S14" s="36">
        <f>(L14-$D$15)/$D$15</f>
        <v>0</v>
      </c>
      <c r="T14" s="38">
        <f>MIN(T4:T13)</f>
        <v>35330.673049050863</v>
      </c>
      <c r="U14" s="39">
        <f>INDEX(U4:U13, MATCH($T$14, T4:T13, 0))</f>
        <v>7.0224333001533523E-2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0</v>
      </c>
      <c r="Y14" s="39">
        <f>INDEX(Y4:Y13, MATCH($T$14, T4:T13, 0))</f>
        <v>17.446345183172486</v>
      </c>
      <c r="Z14" s="39">
        <f>INDEX(Z4:Z13, MATCH($T$14, T4:T13, 0))</f>
        <v>1416.3229419168392</v>
      </c>
      <c r="AA14" s="40">
        <f>(T14-$D$15)/$D$15</f>
        <v>6.7788534685608248E-2</v>
      </c>
    </row>
    <row r="15" spans="2:27" x14ac:dyDescent="0.2">
      <c r="C15" s="1" t="s">
        <v>17</v>
      </c>
      <c r="D15" s="34">
        <v>33087.705946808434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 C31:C1048576">
    <cfRule type="duplicateValues" dxfId="105" priority="11"/>
    <cfRule type="duplicateValues" dxfId="104" priority="12"/>
  </conditionalFormatting>
  <conditionalFormatting sqref="C14">
    <cfRule type="duplicateValues" dxfId="103" priority="5"/>
    <cfRule type="duplicateValues" dxfId="102" priority="6"/>
  </conditionalFormatting>
  <conditionalFormatting sqref="C16 C18:C30">
    <cfRule type="duplicateValues" dxfId="27" priority="3"/>
    <cfRule type="duplicateValues" dxfId="26" priority="4"/>
  </conditionalFormatting>
  <conditionalFormatting sqref="C17">
    <cfRule type="duplicateValues" dxfId="25" priority="1"/>
    <cfRule type="duplicateValues" dxfId="24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8265-8BAB-3C45-8F61-F1C8FA188AE9}">
  <dimension ref="B1:AA18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-0.99975378998582154</v>
      </c>
      <c r="K2" s="28"/>
      <c r="L2" s="1" t="s">
        <v>19</v>
      </c>
      <c r="P2" s="1" t="e">
        <f>(P14-H14)/H14</f>
        <v>#DIV/0!</v>
      </c>
      <c r="R2" s="1">
        <f>(R14-J14)/J14</f>
        <v>-0.28328798368342889</v>
      </c>
      <c r="T2" s="1" t="s">
        <v>20</v>
      </c>
      <c r="X2" s="1" t="e">
        <f>(X14-P14)/P14</f>
        <v>#DIV/0!</v>
      </c>
      <c r="Z2" s="1">
        <f>(Z14-R14)/R14</f>
        <v>0.95323536433611955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152</v>
      </c>
      <c r="D4" s="23">
        <v>26717.36226027882</v>
      </c>
      <c r="E4" s="33">
        <v>9.7142125000573287E-2</v>
      </c>
      <c r="F4" s="5">
        <v>1</v>
      </c>
      <c r="G4" s="23">
        <v>80</v>
      </c>
      <c r="H4" s="33">
        <v>0</v>
      </c>
      <c r="I4" s="23">
        <v>38.940648723257418</v>
      </c>
      <c r="J4" s="5">
        <v>1194.9805329509652</v>
      </c>
      <c r="K4" s="31"/>
      <c r="L4" s="23">
        <v>34839.652010589241</v>
      </c>
      <c r="M4" s="33">
        <v>7.2261375000380212E-2</v>
      </c>
      <c r="N4" s="5">
        <v>2</v>
      </c>
      <c r="O4" s="5">
        <v>80</v>
      </c>
      <c r="P4" s="33">
        <v>0</v>
      </c>
      <c r="Q4" s="5">
        <v>14.944573844030362</v>
      </c>
      <c r="R4" s="5">
        <v>843.59555812449537</v>
      </c>
      <c r="S4" s="31"/>
      <c r="T4" s="23">
        <v>32404.48393852248</v>
      </c>
      <c r="U4" s="33">
        <v>5.9781374999147367E-2</v>
      </c>
      <c r="V4" s="5">
        <v>1</v>
      </c>
      <c r="W4" s="5">
        <v>80</v>
      </c>
      <c r="X4" s="33">
        <v>219.05634578960405</v>
      </c>
      <c r="Y4" s="5">
        <v>84.753914324444139</v>
      </c>
      <c r="Z4" s="5">
        <v>2181.690153263366</v>
      </c>
      <c r="AA4" s="35"/>
    </row>
    <row r="5" spans="2:27" x14ac:dyDescent="0.2">
      <c r="B5" s="4">
        <v>2</v>
      </c>
      <c r="C5" s="4">
        <v>283</v>
      </c>
      <c r="D5" s="23">
        <v>26717.36226027882</v>
      </c>
      <c r="E5" s="33">
        <v>8.6620000000038999E-2</v>
      </c>
      <c r="F5" s="5">
        <v>1</v>
      </c>
      <c r="G5" s="23">
        <v>80</v>
      </c>
      <c r="H5" s="33">
        <v>0</v>
      </c>
      <c r="I5" s="23">
        <v>38.940648723257418</v>
      </c>
      <c r="J5" s="5">
        <v>1194.9805329509652</v>
      </c>
      <c r="K5" s="31"/>
      <c r="L5" s="23">
        <v>34762.499646663979</v>
      </c>
      <c r="M5" s="33">
        <v>8.5034625000844244E-2</v>
      </c>
      <c r="N5" s="5">
        <v>2</v>
      </c>
      <c r="O5" s="5">
        <v>80</v>
      </c>
      <c r="P5" s="33">
        <v>0</v>
      </c>
      <c r="Q5" s="5">
        <v>15.888112491373356</v>
      </c>
      <c r="R5" s="5">
        <v>851.89290723033707</v>
      </c>
      <c r="S5" s="31"/>
      <c r="T5" s="23">
        <v>33046.88160336094</v>
      </c>
      <c r="U5" s="33">
        <v>9.4231666000268888E-2</v>
      </c>
      <c r="V5" s="5">
        <v>1</v>
      </c>
      <c r="W5" s="5">
        <v>80</v>
      </c>
      <c r="X5" s="33">
        <v>240.16604425732294</v>
      </c>
      <c r="Y5" s="5">
        <v>87.28396592977154</v>
      </c>
      <c r="Z5" s="5">
        <v>2239.8320885146459</v>
      </c>
      <c r="AA5" s="35"/>
    </row>
    <row r="6" spans="2:27" x14ac:dyDescent="0.2">
      <c r="B6" s="4">
        <v>3</v>
      </c>
      <c r="C6" s="4">
        <v>290</v>
      </c>
      <c r="D6" s="23">
        <v>26717.36226027882</v>
      </c>
      <c r="E6" s="33">
        <v>0.13483104100032511</v>
      </c>
      <c r="F6" s="5">
        <v>1</v>
      </c>
      <c r="G6" s="23">
        <v>80</v>
      </c>
      <c r="H6" s="33">
        <v>0</v>
      </c>
      <c r="I6" s="23">
        <v>38.940648723257418</v>
      </c>
      <c r="J6" s="5">
        <v>1194.9805329509652</v>
      </c>
      <c r="K6" s="31"/>
      <c r="L6" s="23">
        <v>34578.042362821972</v>
      </c>
      <c r="M6" s="33">
        <v>8.4999082999274833E-2</v>
      </c>
      <c r="N6" s="5">
        <v>2</v>
      </c>
      <c r="O6" s="5">
        <v>80</v>
      </c>
      <c r="P6" s="33">
        <v>0</v>
      </c>
      <c r="Q6" s="5">
        <v>16.818172015182885</v>
      </c>
      <c r="R6" s="5">
        <v>856.45690723033704</v>
      </c>
      <c r="S6" s="31"/>
      <c r="T6" s="23">
        <v>31577.286954268809</v>
      </c>
      <c r="U6" s="33">
        <v>0.16164116700019801</v>
      </c>
      <c r="V6" s="5">
        <v>1</v>
      </c>
      <c r="W6" s="5">
        <v>70</v>
      </c>
      <c r="X6" s="33">
        <v>24.837417033176244</v>
      </c>
      <c r="Y6" s="5">
        <v>62.612207400128533</v>
      </c>
      <c r="Z6" s="5">
        <v>1672.8619192322335</v>
      </c>
      <c r="AA6" s="35"/>
    </row>
    <row r="7" spans="2:27" x14ac:dyDescent="0.2">
      <c r="B7" s="4">
        <v>4</v>
      </c>
      <c r="C7" s="4">
        <v>351</v>
      </c>
      <c r="D7" s="23">
        <v>26717.36226027882</v>
      </c>
      <c r="E7" s="33">
        <v>0.12037862499983019</v>
      </c>
      <c r="F7" s="5">
        <v>1</v>
      </c>
      <c r="G7" s="23">
        <v>80</v>
      </c>
      <c r="H7" s="33">
        <v>0</v>
      </c>
      <c r="I7" s="23">
        <v>38.940648723257418</v>
      </c>
      <c r="J7" s="5">
        <v>1194.9805329509652</v>
      </c>
      <c r="K7" s="31"/>
      <c r="L7" s="23">
        <v>34831.048881283867</v>
      </c>
      <c r="M7" s="33">
        <v>7.2852750003221445E-2</v>
      </c>
      <c r="N7" s="5">
        <v>2</v>
      </c>
      <c r="O7" s="5">
        <v>80</v>
      </c>
      <c r="P7" s="33">
        <v>0</v>
      </c>
      <c r="Q7" s="5">
        <v>16.018410685530249</v>
      </c>
      <c r="R7" s="5">
        <v>865.00090723033691</v>
      </c>
      <c r="S7" s="31"/>
      <c r="T7" s="23">
        <v>31577.286954268809</v>
      </c>
      <c r="U7" s="33">
        <v>0.12214408399813689</v>
      </c>
      <c r="V7" s="5">
        <v>1</v>
      </c>
      <c r="W7" s="5">
        <v>70</v>
      </c>
      <c r="X7" s="33">
        <v>24.837417033176244</v>
      </c>
      <c r="Y7" s="5">
        <v>62.612207400128533</v>
      </c>
      <c r="Z7" s="5">
        <v>1672.8619192322335</v>
      </c>
      <c r="AA7" s="35"/>
    </row>
    <row r="8" spans="2:27" x14ac:dyDescent="0.2">
      <c r="B8" s="4">
        <v>5</v>
      </c>
      <c r="C8" s="4">
        <v>717</v>
      </c>
      <c r="D8" s="23">
        <v>26717.36226027882</v>
      </c>
      <c r="E8" s="33">
        <v>9.1486915999666962E-2</v>
      </c>
      <c r="F8" s="5">
        <v>1</v>
      </c>
      <c r="G8" s="23">
        <v>80</v>
      </c>
      <c r="H8" s="33">
        <v>0</v>
      </c>
      <c r="I8" s="23">
        <v>38.940648723257418</v>
      </c>
      <c r="J8" s="5">
        <v>1194.9805329509652</v>
      </c>
      <c r="K8" s="31"/>
      <c r="L8" s="23">
        <v>34821.064828343857</v>
      </c>
      <c r="M8" s="33">
        <v>0.1105262910023157</v>
      </c>
      <c r="N8" s="5">
        <v>2</v>
      </c>
      <c r="O8" s="5">
        <v>80</v>
      </c>
      <c r="P8" s="33">
        <v>0</v>
      </c>
      <c r="Q8" s="5">
        <v>16.049861973775016</v>
      </c>
      <c r="R8" s="5">
        <v>865.81832360216617</v>
      </c>
      <c r="S8" s="31"/>
      <c r="T8" s="23">
        <v>32035.1802930546</v>
      </c>
      <c r="U8" s="33">
        <v>0.12004645900015019</v>
      </c>
      <c r="V8" s="5">
        <v>1</v>
      </c>
      <c r="W8" s="5">
        <v>70</v>
      </c>
      <c r="X8" s="33">
        <v>38.00110128100382</v>
      </c>
      <c r="Y8" s="5">
        <v>65.142259005455912</v>
      </c>
      <c r="Z8" s="5">
        <v>1731.0038544835131</v>
      </c>
      <c r="AA8" s="35"/>
    </row>
    <row r="9" spans="2:27" x14ac:dyDescent="0.2">
      <c r="B9" s="4">
        <v>6</v>
      </c>
      <c r="C9" s="4">
        <v>801</v>
      </c>
      <c r="D9" s="23">
        <v>26717.36226027882</v>
      </c>
      <c r="E9" s="33">
        <v>9.5629792000181624E-2</v>
      </c>
      <c r="F9" s="5">
        <v>1</v>
      </c>
      <c r="G9" s="23">
        <v>80</v>
      </c>
      <c r="H9" s="33">
        <v>0</v>
      </c>
      <c r="I9" s="23">
        <v>38.940648723257418</v>
      </c>
      <c r="J9" s="5">
        <v>1194.9805329509652</v>
      </c>
      <c r="K9" s="31"/>
      <c r="L9" s="23">
        <v>34578.042362821972</v>
      </c>
      <c r="M9" s="33">
        <v>7.3125958002492553E-2</v>
      </c>
      <c r="N9" s="5">
        <v>2</v>
      </c>
      <c r="O9" s="5">
        <v>80</v>
      </c>
      <c r="P9" s="33">
        <v>0</v>
      </c>
      <c r="Q9" s="5">
        <v>16.818172015182885</v>
      </c>
      <c r="R9" s="5">
        <v>856.45690723033704</v>
      </c>
      <c r="S9" s="31"/>
      <c r="T9" s="23">
        <v>32344.744866555189</v>
      </c>
      <c r="U9" s="33">
        <v>0.1161118750023888</v>
      </c>
      <c r="V9" s="5">
        <v>1</v>
      </c>
      <c r="W9" s="5">
        <v>70</v>
      </c>
      <c r="X9" s="33">
        <v>32.27022350613548</v>
      </c>
      <c r="Y9" s="5">
        <v>64.269430167191103</v>
      </c>
      <c r="Z9" s="5">
        <v>1710.9457822714739</v>
      </c>
      <c r="AA9" s="35"/>
    </row>
    <row r="10" spans="2:27" x14ac:dyDescent="0.2">
      <c r="B10" s="4">
        <v>7</v>
      </c>
      <c r="C10" s="4">
        <v>900</v>
      </c>
      <c r="D10" s="23">
        <v>26717.36226027882</v>
      </c>
      <c r="E10" s="33">
        <v>8.9813208999657945E-2</v>
      </c>
      <c r="F10" s="5">
        <v>1</v>
      </c>
      <c r="G10" s="23">
        <v>80</v>
      </c>
      <c r="H10" s="33">
        <v>0</v>
      </c>
      <c r="I10" s="23">
        <v>38.940648723257418</v>
      </c>
      <c r="J10" s="5">
        <v>1194.9805329509652</v>
      </c>
      <c r="K10" s="31"/>
      <c r="L10" s="23">
        <v>34578.042362821972</v>
      </c>
      <c r="M10" s="33">
        <v>0.1037361250018876</v>
      </c>
      <c r="N10" s="5">
        <v>2</v>
      </c>
      <c r="O10" s="5">
        <v>80</v>
      </c>
      <c r="P10" s="33">
        <v>0</v>
      </c>
      <c r="Q10" s="5">
        <v>16.818172015182885</v>
      </c>
      <c r="R10" s="5">
        <v>856.45690723033704</v>
      </c>
      <c r="S10" s="31"/>
      <c r="T10" s="23">
        <v>31577.286954268809</v>
      </c>
      <c r="U10" s="33">
        <v>0.1109586249986023</v>
      </c>
      <c r="V10" s="5">
        <v>1</v>
      </c>
      <c r="W10" s="5">
        <v>70</v>
      </c>
      <c r="X10" s="33">
        <v>24.837417033176244</v>
      </c>
      <c r="Y10" s="5">
        <v>62.612207400128533</v>
      </c>
      <c r="Z10" s="5">
        <v>1672.8619192322335</v>
      </c>
      <c r="AA10" s="35"/>
    </row>
    <row r="11" spans="2:27" x14ac:dyDescent="0.2">
      <c r="B11" s="4">
        <v>8</v>
      </c>
      <c r="C11" s="4">
        <v>964</v>
      </c>
      <c r="D11" s="23">
        <v>26717.36226027882</v>
      </c>
      <c r="E11" s="33">
        <v>0.18384962500022081</v>
      </c>
      <c r="F11" s="5">
        <v>1</v>
      </c>
      <c r="G11" s="23">
        <v>80</v>
      </c>
      <c r="H11" s="33">
        <v>0</v>
      </c>
      <c r="I11" s="23">
        <v>38.940648723257418</v>
      </c>
      <c r="J11" s="5">
        <v>1194.9805329509652</v>
      </c>
      <c r="K11" s="31"/>
      <c r="L11" s="23">
        <v>34821.064828343857</v>
      </c>
      <c r="M11" s="33">
        <v>7.0689416999812238E-2</v>
      </c>
      <c r="N11" s="5">
        <v>2</v>
      </c>
      <c r="O11" s="5">
        <v>80</v>
      </c>
      <c r="P11" s="33">
        <v>0</v>
      </c>
      <c r="Q11" s="5">
        <v>16.049861973775016</v>
      </c>
      <c r="R11" s="5">
        <v>865.81832360216617</v>
      </c>
      <c r="S11" s="31"/>
      <c r="T11" s="23">
        <v>31577.286954268809</v>
      </c>
      <c r="U11" s="33">
        <v>0.26111704199865932</v>
      </c>
      <c r="V11" s="5">
        <v>1</v>
      </c>
      <c r="W11" s="5">
        <v>70</v>
      </c>
      <c r="X11" s="33">
        <v>24.837417033176244</v>
      </c>
      <c r="Y11" s="5">
        <v>62.612207400128533</v>
      </c>
      <c r="Z11" s="5">
        <v>1672.8619192322335</v>
      </c>
      <c r="AA11" s="35"/>
    </row>
    <row r="12" spans="2:27" x14ac:dyDescent="0.2">
      <c r="B12" s="4">
        <v>9</v>
      </c>
      <c r="C12" s="4">
        <v>924</v>
      </c>
      <c r="D12" s="23">
        <v>26717.36226027882</v>
      </c>
      <c r="E12" s="33">
        <v>7.4873208000099112E-2</v>
      </c>
      <c r="F12" s="5">
        <v>1</v>
      </c>
      <c r="G12" s="23">
        <v>80</v>
      </c>
      <c r="H12" s="33">
        <v>0</v>
      </c>
      <c r="I12" s="23">
        <v>38.940648723257418</v>
      </c>
      <c r="J12" s="5">
        <v>1194.9805329509652</v>
      </c>
      <c r="K12" s="31"/>
      <c r="L12" s="23">
        <v>34839.652010589241</v>
      </c>
      <c r="M12" s="33">
        <v>7.4515750002319692E-2</v>
      </c>
      <c r="N12" s="5">
        <v>2</v>
      </c>
      <c r="O12" s="5">
        <v>80</v>
      </c>
      <c r="P12" s="33">
        <v>0</v>
      </c>
      <c r="Q12" s="5">
        <v>14.944573844030362</v>
      </c>
      <c r="R12" s="5">
        <v>843.59555812449537</v>
      </c>
      <c r="S12" s="31"/>
      <c r="T12" s="23">
        <v>31577.286954268809</v>
      </c>
      <c r="U12" s="33">
        <v>8.3761709000100382E-2</v>
      </c>
      <c r="V12" s="5">
        <v>1</v>
      </c>
      <c r="W12" s="5">
        <v>70</v>
      </c>
      <c r="X12" s="33">
        <v>24.837417033176244</v>
      </c>
      <c r="Y12" s="5">
        <v>62.612207400128533</v>
      </c>
      <c r="Z12" s="5">
        <v>1672.8619192322335</v>
      </c>
      <c r="AA12" s="35"/>
    </row>
    <row r="13" spans="2:27" x14ac:dyDescent="0.2">
      <c r="B13" s="4">
        <v>10</v>
      </c>
      <c r="C13" s="4">
        <v>722</v>
      </c>
      <c r="D13" s="23">
        <v>26717.36226027882</v>
      </c>
      <c r="E13" s="33">
        <v>7.4213666999639827E-2</v>
      </c>
      <c r="F13" s="5">
        <v>1</v>
      </c>
      <c r="G13" s="23">
        <v>80</v>
      </c>
      <c r="H13" s="33">
        <v>0</v>
      </c>
      <c r="I13" s="23">
        <v>38.940648723257418</v>
      </c>
      <c r="J13" s="5">
        <v>1194.9805329509652</v>
      </c>
      <c r="K13" s="31"/>
      <c r="L13" s="23">
        <v>34839.652010589241</v>
      </c>
      <c r="M13" s="33">
        <v>7.8977999997732695E-2</v>
      </c>
      <c r="N13" s="5">
        <v>2</v>
      </c>
      <c r="O13" s="5">
        <v>80</v>
      </c>
      <c r="P13" s="33">
        <v>0</v>
      </c>
      <c r="Q13" s="5">
        <v>14.944573844030362</v>
      </c>
      <c r="R13" s="5">
        <v>843.59555812449537</v>
      </c>
      <c r="S13" s="31"/>
      <c r="T13" s="23">
        <v>32035.1802930546</v>
      </c>
      <c r="U13" s="33">
        <v>7.6784459000919014E-2</v>
      </c>
      <c r="V13" s="5">
        <v>1</v>
      </c>
      <c r="W13" s="5">
        <v>70</v>
      </c>
      <c r="X13" s="33">
        <v>38.00110128100382</v>
      </c>
      <c r="Y13" s="5">
        <v>65.142259005455912</v>
      </c>
      <c r="Z13" s="5">
        <v>1731.0038544835131</v>
      </c>
      <c r="AA13" s="35"/>
    </row>
    <row r="14" spans="2:27" x14ac:dyDescent="0.2">
      <c r="B14" s="46" t="s">
        <v>3</v>
      </c>
      <c r="C14" s="47"/>
      <c r="D14" s="9">
        <f>MIN(D4:D13)</f>
        <v>26717.36226027882</v>
      </c>
      <c r="E14" s="22">
        <f>INDEX(E4:E13, MATCH($D$14, D4:D13, 0))</f>
        <v>9.7142125000573287E-2</v>
      </c>
      <c r="F14" s="9">
        <f>INDEX(F4:F13, MATCH($D$14, D4:D13, 0))</f>
        <v>1</v>
      </c>
      <c r="G14" s="9">
        <f>INDEX(G4:G13, MATCH($D$14, D4:D13, 0))</f>
        <v>80</v>
      </c>
      <c r="H14" s="22">
        <f>INDEX(H4:H13, MATCH($D$14, D4:D13, 0))</f>
        <v>0</v>
      </c>
      <c r="I14" s="22">
        <f>INDEX(I4:I13, MATCH($D$14, D4:D13, 0))</f>
        <v>38.940648723257418</v>
      </c>
      <c r="J14" s="22">
        <f>INDEX(J4:J13, MATCH($D$14, D4:D13, 0))</f>
        <v>1194.9805329509652</v>
      </c>
      <c r="K14" s="32">
        <f>(D14-$D$15)/$D$15</f>
        <v>0</v>
      </c>
      <c r="L14" s="16">
        <f>MIN(L4:L13)</f>
        <v>34578.042362821972</v>
      </c>
      <c r="M14" s="21">
        <f>INDEX(M4:M13, MATCH($L$14, L4:L13, 0))</f>
        <v>8.4999082999274833E-2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16.818172015182885</v>
      </c>
      <c r="R14" s="21">
        <f>INDEX(R4:R13, MATCH($L$14, L4:L13, 0))</f>
        <v>856.45690723033704</v>
      </c>
      <c r="S14" s="36">
        <f>(L14-$D$15)/$D$15</f>
        <v>0.29421617396077177</v>
      </c>
      <c r="T14" s="38">
        <f>MIN(T4:T13)</f>
        <v>31577.286954268809</v>
      </c>
      <c r="U14" s="39">
        <f>INDEX(U4:U13, MATCH($T$14, T4:T13, 0))</f>
        <v>0.16164116700019801</v>
      </c>
      <c r="V14" s="38">
        <f>INDEX(V4:V13, MATCH($T$14, T4:T13, 0))</f>
        <v>1</v>
      </c>
      <c r="W14" s="38">
        <f>INDEX(W4:W13, MATCH($T$14, T4:T13, 0))</f>
        <v>70</v>
      </c>
      <c r="X14" s="39">
        <f>INDEX(X4:X13, MATCH($T$14, T4:T13, 0))</f>
        <v>24.837417033176244</v>
      </c>
      <c r="Y14" s="39">
        <f>INDEX(Y4:Y13, MATCH($T$14, T4:T13, 0))</f>
        <v>62.612207400128533</v>
      </c>
      <c r="Z14" s="39">
        <f>INDEX(Z4:Z13, MATCH($T$14, T4:T13, 0))</f>
        <v>1672.8619192322335</v>
      </c>
      <c r="AA14" s="40">
        <f>(T14-$D$15)/$D$15</f>
        <v>0.18190136610960755</v>
      </c>
    </row>
    <row r="15" spans="2:27" x14ac:dyDescent="0.2">
      <c r="C15" s="1" t="s">
        <v>17</v>
      </c>
      <c r="D15" s="34">
        <v>26717.36226027882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18" spans="4:4" x14ac:dyDescent="0.2">
      <c r="D18" s="2"/>
    </row>
  </sheetData>
  <mergeCells count="1">
    <mergeCell ref="B14:C14"/>
  </mergeCells>
  <conditionalFormatting sqref="C1:C13 C15:C16 C32:C1048576">
    <cfRule type="duplicateValues" dxfId="99" priority="11"/>
    <cfRule type="duplicateValues" dxfId="98" priority="12"/>
  </conditionalFormatting>
  <conditionalFormatting sqref="C14">
    <cfRule type="duplicateValues" dxfId="97" priority="5"/>
    <cfRule type="duplicateValues" dxfId="96" priority="6"/>
  </conditionalFormatting>
  <conditionalFormatting sqref="C17 C19:C31">
    <cfRule type="duplicateValues" dxfId="23" priority="3"/>
    <cfRule type="duplicateValues" dxfId="22" priority="4"/>
  </conditionalFormatting>
  <conditionalFormatting sqref="C18">
    <cfRule type="duplicateValues" dxfId="21" priority="1"/>
    <cfRule type="duplicateValues" dxfId="2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2CE8-2AB6-7042-AB0B-D67B80E69F1A}">
  <dimension ref="B1:AA18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-1</v>
      </c>
      <c r="K2" s="28"/>
      <c r="L2" s="1" t="s">
        <v>19</v>
      </c>
      <c r="P2" s="1" t="e">
        <f>(P14-H14)/H14</f>
        <v>#DIV/0!</v>
      </c>
      <c r="R2" s="1">
        <f>(R14-J14)/J14</f>
        <v>0</v>
      </c>
      <c r="T2" s="1" t="s">
        <v>20</v>
      </c>
      <c r="X2" s="1" t="e">
        <f>(X14-P14)/P14</f>
        <v>#DIV/0!</v>
      </c>
      <c r="Z2" s="1">
        <f>(Z14-R14)/R14</f>
        <v>0.57496493191149978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80</v>
      </c>
      <c r="D4" s="23">
        <v>28519.97113125792</v>
      </c>
      <c r="E4" s="33">
        <v>4.4227624999621178E-2</v>
      </c>
      <c r="F4" s="5">
        <v>2</v>
      </c>
      <c r="G4" s="23">
        <v>100</v>
      </c>
      <c r="H4" s="33">
        <v>0</v>
      </c>
      <c r="I4" s="23">
        <v>17.276102857414919</v>
      </c>
      <c r="J4" s="5">
        <v>1249.1669865352696</v>
      </c>
      <c r="K4" s="31"/>
      <c r="L4" s="23">
        <v>28519.97113125792</v>
      </c>
      <c r="M4" s="33">
        <v>4.3545957996684592E-2</v>
      </c>
      <c r="N4" s="5">
        <v>2</v>
      </c>
      <c r="O4" s="5">
        <v>100</v>
      </c>
      <c r="P4" s="33">
        <v>0</v>
      </c>
      <c r="Q4" s="5">
        <v>17.276102857414919</v>
      </c>
      <c r="R4" s="5">
        <v>1249.1669865352696</v>
      </c>
      <c r="S4" s="31"/>
      <c r="T4" s="23">
        <v>32350.59330192157</v>
      </c>
      <c r="U4" s="33">
        <v>4.2733875001431443E-2</v>
      </c>
      <c r="V4" s="5">
        <v>2</v>
      </c>
      <c r="W4" s="5">
        <v>100</v>
      </c>
      <c r="X4" s="33">
        <v>33.691340094338287</v>
      </c>
      <c r="Y4" s="5">
        <v>33.732657069671838</v>
      </c>
      <c r="Z4" s="5">
        <v>1967.3941978946143</v>
      </c>
      <c r="AA4" s="35"/>
    </row>
    <row r="5" spans="2:27" x14ac:dyDescent="0.2">
      <c r="B5" s="4">
        <v>2</v>
      </c>
      <c r="C5" s="4">
        <v>121</v>
      </c>
      <c r="D5" s="23">
        <v>28519.97113125792</v>
      </c>
      <c r="E5" s="33">
        <v>9.5816791999823181E-2</v>
      </c>
      <c r="F5" s="5">
        <v>2</v>
      </c>
      <c r="G5" s="23">
        <v>100</v>
      </c>
      <c r="H5" s="33">
        <v>0</v>
      </c>
      <c r="I5" s="23">
        <v>17.276102857414919</v>
      </c>
      <c r="J5" s="5">
        <v>1249.1669865352696</v>
      </c>
      <c r="K5" s="31"/>
      <c r="L5" s="23">
        <v>28519.97113125792</v>
      </c>
      <c r="M5" s="33">
        <v>0.1000147499980812</v>
      </c>
      <c r="N5" s="5">
        <v>2</v>
      </c>
      <c r="O5" s="5">
        <v>100</v>
      </c>
      <c r="P5" s="33">
        <v>0</v>
      </c>
      <c r="Q5" s="5">
        <v>17.276102857414919</v>
      </c>
      <c r="R5" s="5">
        <v>1249.1669865352696</v>
      </c>
      <c r="S5" s="31"/>
      <c r="T5" s="23">
        <v>32350.59330192157</v>
      </c>
      <c r="U5" s="33">
        <v>8.8167457997769816E-2</v>
      </c>
      <c r="V5" s="5">
        <v>2</v>
      </c>
      <c r="W5" s="5">
        <v>100</v>
      </c>
      <c r="X5" s="33">
        <v>33.691340094338287</v>
      </c>
      <c r="Y5" s="5">
        <v>33.732657069671838</v>
      </c>
      <c r="Z5" s="5">
        <v>1967.3941978946143</v>
      </c>
      <c r="AA5" s="35"/>
    </row>
    <row r="6" spans="2:27" x14ac:dyDescent="0.2">
      <c r="B6" s="4">
        <v>3</v>
      </c>
      <c r="C6" s="4">
        <v>935</v>
      </c>
      <c r="D6" s="23">
        <v>28591.057268826091</v>
      </c>
      <c r="E6" s="33">
        <v>6.576291700002912E-2</v>
      </c>
      <c r="F6" s="5">
        <v>2</v>
      </c>
      <c r="G6" s="23">
        <v>100</v>
      </c>
      <c r="H6" s="33">
        <v>0</v>
      </c>
      <c r="I6" s="23">
        <v>17.853849894991271</v>
      </c>
      <c r="J6" s="5">
        <v>1268.188253165727</v>
      </c>
      <c r="K6" s="31"/>
      <c r="L6" s="23">
        <v>28519.97113125792</v>
      </c>
      <c r="M6" s="33">
        <v>6.1486042002798058E-2</v>
      </c>
      <c r="N6" s="5">
        <v>2</v>
      </c>
      <c r="O6" s="5">
        <v>100</v>
      </c>
      <c r="P6" s="33">
        <v>0</v>
      </c>
      <c r="Q6" s="5">
        <v>17.276102857414919</v>
      </c>
      <c r="R6" s="5">
        <v>1249.1669865352696</v>
      </c>
      <c r="S6" s="31"/>
      <c r="T6" s="23">
        <v>32350.59330192157</v>
      </c>
      <c r="U6" s="33">
        <v>6.1770667001837858E-2</v>
      </c>
      <c r="V6" s="5">
        <v>2</v>
      </c>
      <c r="W6" s="5">
        <v>100</v>
      </c>
      <c r="X6" s="33">
        <v>33.691340094338287</v>
      </c>
      <c r="Y6" s="5">
        <v>33.732657069671838</v>
      </c>
      <c r="Z6" s="5">
        <v>1967.3941978946143</v>
      </c>
      <c r="AA6" s="35"/>
    </row>
    <row r="7" spans="2:27" x14ac:dyDescent="0.2">
      <c r="B7" s="4">
        <v>4</v>
      </c>
      <c r="C7" s="4">
        <v>228</v>
      </c>
      <c r="D7" s="23">
        <v>28519.97113125792</v>
      </c>
      <c r="E7" s="33">
        <v>4.9439874999734457E-2</v>
      </c>
      <c r="F7" s="5">
        <v>2</v>
      </c>
      <c r="G7" s="23">
        <v>100</v>
      </c>
      <c r="H7" s="33">
        <v>0</v>
      </c>
      <c r="I7" s="23">
        <v>17.276102857414919</v>
      </c>
      <c r="J7" s="5">
        <v>1249.1669865352696</v>
      </c>
      <c r="K7" s="31"/>
      <c r="L7" s="23">
        <v>28519.97113125792</v>
      </c>
      <c r="M7" s="33">
        <v>4.8673875000531552E-2</v>
      </c>
      <c r="N7" s="5">
        <v>2</v>
      </c>
      <c r="O7" s="5">
        <v>100</v>
      </c>
      <c r="P7" s="33">
        <v>0</v>
      </c>
      <c r="Q7" s="5">
        <v>17.276102857414919</v>
      </c>
      <c r="R7" s="5">
        <v>1249.1669865352696</v>
      </c>
      <c r="S7" s="31"/>
      <c r="T7" s="23">
        <v>32350.59330192157</v>
      </c>
      <c r="U7" s="33">
        <v>5.3996250000636792E-2</v>
      </c>
      <c r="V7" s="5">
        <v>2</v>
      </c>
      <c r="W7" s="5">
        <v>100</v>
      </c>
      <c r="X7" s="33">
        <v>33.691340094338287</v>
      </c>
      <c r="Y7" s="5">
        <v>33.732657069671838</v>
      </c>
      <c r="Z7" s="5">
        <v>1967.3941978946143</v>
      </c>
      <c r="AA7" s="35"/>
    </row>
    <row r="8" spans="2:27" x14ac:dyDescent="0.2">
      <c r="B8" s="4">
        <v>5</v>
      </c>
      <c r="C8" s="4">
        <v>357</v>
      </c>
      <c r="D8" s="23">
        <v>28519.97113125792</v>
      </c>
      <c r="E8" s="33">
        <v>8.6576917000456888E-2</v>
      </c>
      <c r="F8" s="5">
        <v>2</v>
      </c>
      <c r="G8" s="23">
        <v>100</v>
      </c>
      <c r="H8" s="33">
        <v>0</v>
      </c>
      <c r="I8" s="23">
        <v>17.276102857414919</v>
      </c>
      <c r="J8" s="5">
        <v>1249.1669865352696</v>
      </c>
      <c r="K8" s="31"/>
      <c r="L8" s="23">
        <v>28519.97113125792</v>
      </c>
      <c r="M8" s="33">
        <v>0.1001377919965307</v>
      </c>
      <c r="N8" s="5">
        <v>2</v>
      </c>
      <c r="O8" s="5">
        <v>100</v>
      </c>
      <c r="P8" s="33">
        <v>0</v>
      </c>
      <c r="Q8" s="5">
        <v>17.276102857414919</v>
      </c>
      <c r="R8" s="5">
        <v>1249.1669865352696</v>
      </c>
      <c r="S8" s="31"/>
      <c r="T8" s="23">
        <v>32350.59330192157</v>
      </c>
      <c r="U8" s="33">
        <v>9.0689708998979768E-2</v>
      </c>
      <c r="V8" s="5">
        <v>2</v>
      </c>
      <c r="W8" s="5">
        <v>100</v>
      </c>
      <c r="X8" s="33">
        <v>33.691340094338287</v>
      </c>
      <c r="Y8" s="5">
        <v>33.732657069671838</v>
      </c>
      <c r="Z8" s="5">
        <v>1967.3941978946143</v>
      </c>
      <c r="AA8" s="35"/>
    </row>
    <row r="9" spans="2:27" x14ac:dyDescent="0.2">
      <c r="B9" s="4">
        <v>6</v>
      </c>
      <c r="C9" s="4">
        <v>3</v>
      </c>
      <c r="D9" s="23">
        <v>28591.057268826091</v>
      </c>
      <c r="E9" s="33">
        <v>6.8001540999830468E-2</v>
      </c>
      <c r="F9" s="5">
        <v>2</v>
      </c>
      <c r="G9" s="23">
        <v>100</v>
      </c>
      <c r="H9" s="33">
        <v>0</v>
      </c>
      <c r="I9" s="23">
        <v>17.853849894991271</v>
      </c>
      <c r="J9" s="5">
        <v>1268.188253165727</v>
      </c>
      <c r="K9" s="31"/>
      <c r="L9" s="23">
        <v>28519.97113125792</v>
      </c>
      <c r="M9" s="33">
        <v>0.1013097079994623</v>
      </c>
      <c r="N9" s="5">
        <v>2</v>
      </c>
      <c r="O9" s="5">
        <v>100</v>
      </c>
      <c r="P9" s="33">
        <v>0</v>
      </c>
      <c r="Q9" s="5">
        <v>17.276102857414919</v>
      </c>
      <c r="R9" s="5">
        <v>1249.1669865352696</v>
      </c>
      <c r="S9" s="31"/>
      <c r="T9" s="23">
        <v>32691.333595686381</v>
      </c>
      <c r="U9" s="33">
        <v>8.3034125000267522E-2</v>
      </c>
      <c r="V9" s="5">
        <v>2</v>
      </c>
      <c r="W9" s="5">
        <v>100</v>
      </c>
      <c r="X9" s="33">
        <v>43.232204849700622</v>
      </c>
      <c r="Y9" s="5">
        <v>31.903865248945493</v>
      </c>
      <c r="Z9" s="5">
        <v>1958.2773920611628</v>
      </c>
      <c r="AA9" s="35"/>
    </row>
    <row r="10" spans="2:27" x14ac:dyDescent="0.2">
      <c r="B10" s="4">
        <v>7</v>
      </c>
      <c r="C10" s="4">
        <v>160</v>
      </c>
      <c r="D10" s="23">
        <v>28519.97113125792</v>
      </c>
      <c r="E10" s="33">
        <v>9.5716625000022759E-2</v>
      </c>
      <c r="F10" s="5">
        <v>2</v>
      </c>
      <c r="G10" s="23">
        <v>100</v>
      </c>
      <c r="H10" s="33">
        <v>0</v>
      </c>
      <c r="I10" s="23">
        <v>17.276102857414919</v>
      </c>
      <c r="J10" s="5">
        <v>1249.1669865352696</v>
      </c>
      <c r="K10" s="31"/>
      <c r="L10" s="23">
        <v>28519.97113125792</v>
      </c>
      <c r="M10" s="33">
        <v>9.2924208998738322E-2</v>
      </c>
      <c r="N10" s="5">
        <v>2</v>
      </c>
      <c r="O10" s="5">
        <v>100</v>
      </c>
      <c r="P10" s="33">
        <v>0</v>
      </c>
      <c r="Q10" s="5">
        <v>17.276102857414919</v>
      </c>
      <c r="R10" s="5">
        <v>1249.1669865352696</v>
      </c>
      <c r="S10" s="31"/>
      <c r="T10" s="23">
        <v>32350.59330192157</v>
      </c>
      <c r="U10" s="33">
        <v>0.15602879200014291</v>
      </c>
      <c r="V10" s="5">
        <v>2</v>
      </c>
      <c r="W10" s="5">
        <v>100</v>
      </c>
      <c r="X10" s="33">
        <v>33.691340094338287</v>
      </c>
      <c r="Y10" s="5">
        <v>33.732657069671838</v>
      </c>
      <c r="Z10" s="5">
        <v>1967.3941978946143</v>
      </c>
      <c r="AA10" s="35"/>
    </row>
    <row r="11" spans="2:27" x14ac:dyDescent="0.2">
      <c r="B11" s="4">
        <v>8</v>
      </c>
      <c r="C11" s="4">
        <v>182</v>
      </c>
      <c r="D11" s="23">
        <v>28519.97113125792</v>
      </c>
      <c r="E11" s="33">
        <v>8.4145374999934575E-2</v>
      </c>
      <c r="F11" s="5">
        <v>2</v>
      </c>
      <c r="G11" s="23">
        <v>100</v>
      </c>
      <c r="H11" s="33">
        <v>0</v>
      </c>
      <c r="I11" s="23">
        <v>17.276102857414919</v>
      </c>
      <c r="J11" s="5">
        <v>1249.1669865352696</v>
      </c>
      <c r="K11" s="31"/>
      <c r="L11" s="23">
        <v>28519.97113125792</v>
      </c>
      <c r="M11" s="33">
        <v>9.4373625001026085E-2</v>
      </c>
      <c r="N11" s="5">
        <v>2</v>
      </c>
      <c r="O11" s="5">
        <v>100</v>
      </c>
      <c r="P11" s="33">
        <v>0</v>
      </c>
      <c r="Q11" s="5">
        <v>17.276102857414919</v>
      </c>
      <c r="R11" s="5">
        <v>1249.1669865352696</v>
      </c>
      <c r="S11" s="31"/>
      <c r="T11" s="23">
        <v>32350.59330192157</v>
      </c>
      <c r="U11" s="33">
        <v>9.0662624999822583E-2</v>
      </c>
      <c r="V11" s="5">
        <v>2</v>
      </c>
      <c r="W11" s="5">
        <v>100</v>
      </c>
      <c r="X11" s="33">
        <v>33.691340094338287</v>
      </c>
      <c r="Y11" s="5">
        <v>33.732657069671838</v>
      </c>
      <c r="Z11" s="5">
        <v>1967.3941978946143</v>
      </c>
      <c r="AA11" s="35"/>
    </row>
    <row r="12" spans="2:27" x14ac:dyDescent="0.2">
      <c r="B12" s="4">
        <v>9</v>
      </c>
      <c r="C12" s="4">
        <v>184</v>
      </c>
      <c r="D12" s="23">
        <v>28519.97113125792</v>
      </c>
      <c r="E12" s="33">
        <v>0.10701954200067119</v>
      </c>
      <c r="F12" s="5">
        <v>2</v>
      </c>
      <c r="G12" s="23">
        <v>100</v>
      </c>
      <c r="H12" s="33">
        <v>0</v>
      </c>
      <c r="I12" s="23">
        <v>17.276102857414919</v>
      </c>
      <c r="J12" s="5">
        <v>1249.1669865352696</v>
      </c>
      <c r="K12" s="31"/>
      <c r="L12" s="23">
        <v>28519.97113125792</v>
      </c>
      <c r="M12" s="33">
        <v>0.1187639580020914</v>
      </c>
      <c r="N12" s="5">
        <v>2</v>
      </c>
      <c r="O12" s="5">
        <v>100</v>
      </c>
      <c r="P12" s="33">
        <v>0</v>
      </c>
      <c r="Q12" s="5">
        <v>17.276102857414919</v>
      </c>
      <c r="R12" s="5">
        <v>1249.1669865352696</v>
      </c>
      <c r="S12" s="31"/>
      <c r="T12" s="23">
        <v>32350.59330192157</v>
      </c>
      <c r="U12" s="33">
        <v>9.3363083000440383E-2</v>
      </c>
      <c r="V12" s="5">
        <v>2</v>
      </c>
      <c r="W12" s="5">
        <v>100</v>
      </c>
      <c r="X12" s="33">
        <v>33.691340094338287</v>
      </c>
      <c r="Y12" s="5">
        <v>33.732657069671838</v>
      </c>
      <c r="Z12" s="5">
        <v>1967.3941978946143</v>
      </c>
      <c r="AA12" s="35"/>
    </row>
    <row r="13" spans="2:27" x14ac:dyDescent="0.2">
      <c r="B13" s="4">
        <v>10</v>
      </c>
      <c r="C13" s="4">
        <v>918</v>
      </c>
      <c r="D13" s="23">
        <v>28519.97113125792</v>
      </c>
      <c r="E13" s="33">
        <v>8.0320708999352064E-2</v>
      </c>
      <c r="F13" s="5">
        <v>2</v>
      </c>
      <c r="G13" s="23">
        <v>100</v>
      </c>
      <c r="H13" s="33">
        <v>0</v>
      </c>
      <c r="I13" s="23">
        <v>17.276102857414919</v>
      </c>
      <c r="J13" s="5">
        <v>1249.1669865352696</v>
      </c>
      <c r="K13" s="31"/>
      <c r="L13" s="23">
        <v>28519.97113125792</v>
      </c>
      <c r="M13" s="33">
        <v>9.1322374999435851E-2</v>
      </c>
      <c r="N13" s="5">
        <v>2</v>
      </c>
      <c r="O13" s="5">
        <v>100</v>
      </c>
      <c r="P13" s="33">
        <v>0</v>
      </c>
      <c r="Q13" s="5">
        <v>17.276102857414919</v>
      </c>
      <c r="R13" s="5">
        <v>1249.1669865352696</v>
      </c>
      <c r="S13" s="31"/>
      <c r="T13" s="23">
        <v>32350.59330192157</v>
      </c>
      <c r="U13" s="33">
        <v>6.4359667001554044E-2</v>
      </c>
      <c r="V13" s="5">
        <v>2</v>
      </c>
      <c r="W13" s="5">
        <v>100</v>
      </c>
      <c r="X13" s="33">
        <v>33.691340094338287</v>
      </c>
      <c r="Y13" s="5">
        <v>33.732657069671838</v>
      </c>
      <c r="Z13" s="5">
        <v>1967.3941978946143</v>
      </c>
      <c r="AA13" s="35"/>
    </row>
    <row r="14" spans="2:27" x14ac:dyDescent="0.2">
      <c r="B14" s="46" t="s">
        <v>3</v>
      </c>
      <c r="C14" s="47"/>
      <c r="D14" s="9">
        <f>MIN(D4:D13)</f>
        <v>28519.97113125792</v>
      </c>
      <c r="E14" s="22">
        <f>INDEX(E4:E13, MATCH($D$14, D4:D13, 0))</f>
        <v>4.4227624999621178E-2</v>
      </c>
      <c r="F14" s="9">
        <f>INDEX(F4:F13, MATCH($D$14, D4:D13, 0))</f>
        <v>2</v>
      </c>
      <c r="G14" s="9">
        <f>INDEX(G4:G13, MATCH($D$14, D4:D13, 0))</f>
        <v>100</v>
      </c>
      <c r="H14" s="22">
        <f>INDEX(H4:H13, MATCH($D$14, D4:D13, 0))</f>
        <v>0</v>
      </c>
      <c r="I14" s="22">
        <f>INDEX(I4:I13, MATCH($D$14, D4:D13, 0))</f>
        <v>17.276102857414919</v>
      </c>
      <c r="J14" s="22">
        <f>INDEX(J4:J13, MATCH($D$14, D4:D13, 0))</f>
        <v>1249.1669865352696</v>
      </c>
      <c r="K14" s="32">
        <f>(D14-$D$15)/$D$15</f>
        <v>0</v>
      </c>
      <c r="L14" s="16">
        <f>MIN(L4:L13)</f>
        <v>28519.97113125792</v>
      </c>
      <c r="M14" s="21">
        <f>INDEX(M4:M13, MATCH($L$14, L4:L13, 0))</f>
        <v>4.3545957996684592E-2</v>
      </c>
      <c r="N14" s="16">
        <f>INDEX(N4:N13, MATCH($L$14, L4:L13, 0))</f>
        <v>2</v>
      </c>
      <c r="O14" s="16">
        <f>INDEX(O4:O13, MATCH($L$14, L4:L13, 0))</f>
        <v>100</v>
      </c>
      <c r="P14" s="21">
        <f>INDEX(P4:P13, MATCH($L$14, L4:L13, 0))</f>
        <v>0</v>
      </c>
      <c r="Q14" s="21">
        <f>INDEX(Q4:Q13, MATCH($L$14, L4:L13, 0))</f>
        <v>17.276102857414919</v>
      </c>
      <c r="R14" s="21">
        <f>INDEX(R4:R13, MATCH($L$14, L4:L13, 0))</f>
        <v>1249.1669865352696</v>
      </c>
      <c r="S14" s="36">
        <f>(L14-$D$15)/$D$15</f>
        <v>0</v>
      </c>
      <c r="T14" s="38">
        <f>MIN(T4:T13)</f>
        <v>32350.59330192157</v>
      </c>
      <c r="U14" s="39">
        <f>INDEX(U4:U13, MATCH($T$14, T4:T13, 0))</f>
        <v>4.2733875001431443E-2</v>
      </c>
      <c r="V14" s="38">
        <f>INDEX(V4:V13, MATCH($T$14, T4:T13, 0))</f>
        <v>2</v>
      </c>
      <c r="W14" s="38">
        <f>INDEX(W4:W13, MATCH($T$14, T4:T13, 0))</f>
        <v>100</v>
      </c>
      <c r="X14" s="39">
        <f>INDEX(X4:X13, MATCH($T$14, T4:T13, 0))</f>
        <v>33.691340094338287</v>
      </c>
      <c r="Y14" s="39">
        <f>INDEX(Y4:Y13, MATCH($T$14, T4:T13, 0))</f>
        <v>33.732657069671838</v>
      </c>
      <c r="Z14" s="39">
        <f>INDEX(Z4:Z13, MATCH($T$14, T4:T13, 0))</f>
        <v>1967.3941978946143</v>
      </c>
      <c r="AA14" s="40">
        <f>(T14-$D$15)/$D$15</f>
        <v>0.13431367630191193</v>
      </c>
    </row>
    <row r="15" spans="2:27" x14ac:dyDescent="0.2">
      <c r="C15" s="1" t="s">
        <v>17</v>
      </c>
      <c r="D15" s="34">
        <v>28519.97113125792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18" spans="4:4" x14ac:dyDescent="0.2">
      <c r="D18" s="2"/>
    </row>
  </sheetData>
  <mergeCells count="1">
    <mergeCell ref="B14:C14"/>
  </mergeCells>
  <conditionalFormatting sqref="C1:C13 C15:C16 C32:C1048576">
    <cfRule type="duplicateValues" dxfId="93" priority="11"/>
    <cfRule type="duplicateValues" dxfId="92" priority="12"/>
  </conditionalFormatting>
  <conditionalFormatting sqref="C14">
    <cfRule type="duplicateValues" dxfId="91" priority="5"/>
    <cfRule type="duplicateValues" dxfId="90" priority="6"/>
  </conditionalFormatting>
  <conditionalFormatting sqref="C17 C19:C31">
    <cfRule type="duplicateValues" dxfId="19" priority="3"/>
    <cfRule type="duplicateValues" dxfId="18" priority="4"/>
  </conditionalFormatting>
  <conditionalFormatting sqref="C18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1BC9-6CB6-FF47-91F8-2BDC99BB0BB1}">
  <dimension ref="B1:AA18"/>
  <sheetViews>
    <sheetView topLeftCell="B1" zoomScale="110" zoomScaleNormal="110" workbookViewId="0">
      <selection activeCell="B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-1</v>
      </c>
      <c r="K2" s="28"/>
      <c r="L2" s="1" t="s">
        <v>19</v>
      </c>
      <c r="P2" s="1" t="e">
        <f>(P14-H14)/H14</f>
        <v>#DIV/0!</v>
      </c>
      <c r="R2" s="1">
        <f>(R14-J14)/J14</f>
        <v>0</v>
      </c>
      <c r="T2" s="1" t="s">
        <v>20</v>
      </c>
      <c r="X2" s="1" t="e">
        <f>(X14-P14)/P14</f>
        <v>#DIV/0!</v>
      </c>
      <c r="Z2" s="1">
        <f>(Z14-R14)/R14</f>
        <v>0.40572735564250595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88</v>
      </c>
      <c r="D4" s="23">
        <v>31290.250640511451</v>
      </c>
      <c r="E4" s="33">
        <v>6.6070999999283231E-2</v>
      </c>
      <c r="F4" s="5">
        <v>2</v>
      </c>
      <c r="G4" s="23">
        <v>90</v>
      </c>
      <c r="H4" s="33">
        <v>0</v>
      </c>
      <c r="I4" s="23">
        <v>12.672041731334389</v>
      </c>
      <c r="J4" s="5">
        <v>901.96323753084437</v>
      </c>
      <c r="K4" s="31"/>
      <c r="L4" s="23">
        <v>31290.250640511451</v>
      </c>
      <c r="M4" s="33">
        <v>7.3712749999685911E-2</v>
      </c>
      <c r="N4" s="5">
        <v>2</v>
      </c>
      <c r="O4" s="5">
        <v>90</v>
      </c>
      <c r="P4" s="33">
        <v>0</v>
      </c>
      <c r="Q4" s="5">
        <v>12.672041731334389</v>
      </c>
      <c r="R4" s="5">
        <v>901.96323753084437</v>
      </c>
      <c r="S4" s="31"/>
      <c r="T4" s="23">
        <v>31836.017811226189</v>
      </c>
      <c r="U4" s="33">
        <v>7.1119416999863461E-2</v>
      </c>
      <c r="V4" s="5">
        <v>2</v>
      </c>
      <c r="W4" s="5">
        <v>90</v>
      </c>
      <c r="X4" s="33">
        <v>0</v>
      </c>
      <c r="Y4" s="5">
        <v>26.961812730629731</v>
      </c>
      <c r="Z4" s="5">
        <v>1267.9143967809873</v>
      </c>
      <c r="AA4" s="35"/>
    </row>
    <row r="5" spans="2:27" x14ac:dyDescent="0.2">
      <c r="B5" s="4">
        <v>2</v>
      </c>
      <c r="C5" s="4">
        <v>398</v>
      </c>
      <c r="D5" s="23">
        <v>31290.250640511451</v>
      </c>
      <c r="E5" s="33">
        <v>6.5691040999809047E-2</v>
      </c>
      <c r="F5" s="5">
        <v>2</v>
      </c>
      <c r="G5" s="23">
        <v>90</v>
      </c>
      <c r="H5" s="33">
        <v>0</v>
      </c>
      <c r="I5" s="23">
        <v>12.672041731334389</v>
      </c>
      <c r="J5" s="5">
        <v>901.96323753084437</v>
      </c>
      <c r="K5" s="31"/>
      <c r="L5" s="23">
        <v>31290.250640511451</v>
      </c>
      <c r="M5" s="33">
        <v>9.3374124997353647E-2</v>
      </c>
      <c r="N5" s="5">
        <v>2</v>
      </c>
      <c r="O5" s="5">
        <v>90</v>
      </c>
      <c r="P5" s="33">
        <v>0</v>
      </c>
      <c r="Q5" s="5">
        <v>12.672041731334389</v>
      </c>
      <c r="R5" s="5">
        <v>901.96323753084437</v>
      </c>
      <c r="S5" s="31"/>
      <c r="T5" s="23">
        <v>31983.09605798759</v>
      </c>
      <c r="U5" s="33">
        <v>5.1751374998275423E-2</v>
      </c>
      <c r="V5" s="5">
        <v>2</v>
      </c>
      <c r="W5" s="5">
        <v>90</v>
      </c>
      <c r="X5" s="33">
        <v>0</v>
      </c>
      <c r="Y5" s="5">
        <v>32.970165153993833</v>
      </c>
      <c r="Z5" s="5">
        <v>1372.6201346665816</v>
      </c>
      <c r="AA5" s="35"/>
    </row>
    <row r="6" spans="2:27" x14ac:dyDescent="0.2">
      <c r="B6" s="4">
        <v>3</v>
      </c>
      <c r="C6" s="4">
        <v>870</v>
      </c>
      <c r="D6" s="23">
        <v>31290.250640511451</v>
      </c>
      <c r="E6" s="33">
        <v>7.4641000000156055E-2</v>
      </c>
      <c r="F6" s="5">
        <v>2</v>
      </c>
      <c r="G6" s="23">
        <v>90</v>
      </c>
      <c r="H6" s="33">
        <v>0</v>
      </c>
      <c r="I6" s="23">
        <v>12.672041731334389</v>
      </c>
      <c r="J6" s="5">
        <v>901.96323753084437</v>
      </c>
      <c r="K6" s="31"/>
      <c r="L6" s="23">
        <v>31290.250640511451</v>
      </c>
      <c r="M6" s="33">
        <v>8.7422458000219194E-2</v>
      </c>
      <c r="N6" s="5">
        <v>2</v>
      </c>
      <c r="O6" s="5">
        <v>90</v>
      </c>
      <c r="P6" s="33">
        <v>0</v>
      </c>
      <c r="Q6" s="5">
        <v>12.672041731334389</v>
      </c>
      <c r="R6" s="5">
        <v>901.96323753084437</v>
      </c>
      <c r="S6" s="31"/>
      <c r="T6" s="23">
        <v>31836.017811226189</v>
      </c>
      <c r="U6" s="33">
        <v>9.5384000000194646E-2</v>
      </c>
      <c r="V6" s="5">
        <v>2</v>
      </c>
      <c r="W6" s="5">
        <v>90</v>
      </c>
      <c r="X6" s="33">
        <v>0</v>
      </c>
      <c r="Y6" s="5">
        <v>26.961812730629731</v>
      </c>
      <c r="Z6" s="5">
        <v>1267.9143967809873</v>
      </c>
      <c r="AA6" s="35"/>
    </row>
    <row r="7" spans="2:27" x14ac:dyDescent="0.2">
      <c r="B7" s="4">
        <v>4</v>
      </c>
      <c r="C7" s="4">
        <v>58</v>
      </c>
      <c r="D7" s="23">
        <v>31290.250640511451</v>
      </c>
      <c r="E7" s="33">
        <v>8.8107083999602764E-2</v>
      </c>
      <c r="F7" s="5">
        <v>2</v>
      </c>
      <c r="G7" s="23">
        <v>90</v>
      </c>
      <c r="H7" s="33">
        <v>0</v>
      </c>
      <c r="I7" s="23">
        <v>12.672041731334389</v>
      </c>
      <c r="J7" s="5">
        <v>901.96323753084437</v>
      </c>
      <c r="K7" s="31"/>
      <c r="L7" s="23">
        <v>31604.333938514232</v>
      </c>
      <c r="M7" s="33">
        <v>4.9061249999795109E-2</v>
      </c>
      <c r="N7" s="5">
        <v>2</v>
      </c>
      <c r="O7" s="5">
        <v>90</v>
      </c>
      <c r="P7" s="33">
        <v>0</v>
      </c>
      <c r="Q7" s="5">
        <v>12.724604692775859</v>
      </c>
      <c r="R7" s="5">
        <v>935.20398410442999</v>
      </c>
      <c r="S7" s="31"/>
      <c r="T7" s="23">
        <v>32065.1772143823</v>
      </c>
      <c r="U7" s="33">
        <v>0.1167300419983803</v>
      </c>
      <c r="V7" s="5">
        <v>2</v>
      </c>
      <c r="W7" s="5">
        <v>90</v>
      </c>
      <c r="X7" s="33">
        <v>0</v>
      </c>
      <c r="Y7" s="5">
        <v>22.624219149270907</v>
      </c>
      <c r="Z7" s="5">
        <v>1184.6512537467777</v>
      </c>
      <c r="AA7" s="35"/>
    </row>
    <row r="8" spans="2:27" x14ac:dyDescent="0.2">
      <c r="B8" s="4">
        <v>5</v>
      </c>
      <c r="C8" s="4">
        <v>414</v>
      </c>
      <c r="D8" s="23">
        <v>31290.250640511451</v>
      </c>
      <c r="E8" s="33">
        <v>7.2164917000009154E-2</v>
      </c>
      <c r="F8" s="5">
        <v>2</v>
      </c>
      <c r="G8" s="23">
        <v>90</v>
      </c>
      <c r="H8" s="33">
        <v>0</v>
      </c>
      <c r="I8" s="23">
        <v>12.672041731334389</v>
      </c>
      <c r="J8" s="5">
        <v>901.96323753084437</v>
      </c>
      <c r="K8" s="31"/>
      <c r="L8" s="23">
        <v>31290.250640511451</v>
      </c>
      <c r="M8" s="33">
        <v>0.1083214999998745</v>
      </c>
      <c r="N8" s="5">
        <v>2</v>
      </c>
      <c r="O8" s="5">
        <v>90</v>
      </c>
      <c r="P8" s="33">
        <v>0</v>
      </c>
      <c r="Q8" s="5">
        <v>12.672041731334389</v>
      </c>
      <c r="R8" s="5">
        <v>901.96323753084437</v>
      </c>
      <c r="S8" s="31"/>
      <c r="T8" s="23">
        <v>31836.017811226189</v>
      </c>
      <c r="U8" s="33">
        <v>7.4798749999899883E-2</v>
      </c>
      <c r="V8" s="5">
        <v>2</v>
      </c>
      <c r="W8" s="5">
        <v>90</v>
      </c>
      <c r="X8" s="33">
        <v>0</v>
      </c>
      <c r="Y8" s="5">
        <v>26.961812730629731</v>
      </c>
      <c r="Z8" s="5">
        <v>1267.9143967809873</v>
      </c>
      <c r="AA8" s="35"/>
    </row>
    <row r="9" spans="2:27" x14ac:dyDescent="0.2">
      <c r="B9" s="4">
        <v>6</v>
      </c>
      <c r="C9" s="4">
        <v>420</v>
      </c>
      <c r="D9" s="23">
        <v>31290.250640511451</v>
      </c>
      <c r="E9" s="33">
        <v>8.2072333999349212E-2</v>
      </c>
      <c r="F9" s="5">
        <v>2</v>
      </c>
      <c r="G9" s="23">
        <v>90</v>
      </c>
      <c r="H9" s="33">
        <v>0</v>
      </c>
      <c r="I9" s="23">
        <v>12.672041731334389</v>
      </c>
      <c r="J9" s="5">
        <v>901.96323753084437</v>
      </c>
      <c r="K9" s="31"/>
      <c r="L9" s="23">
        <v>31290.250640511451</v>
      </c>
      <c r="M9" s="33">
        <v>8.2844500000646804E-2</v>
      </c>
      <c r="N9" s="5">
        <v>2</v>
      </c>
      <c r="O9" s="5">
        <v>90</v>
      </c>
      <c r="P9" s="33">
        <v>0</v>
      </c>
      <c r="Q9" s="5">
        <v>12.672041731334389</v>
      </c>
      <c r="R9" s="5">
        <v>901.96323753084437</v>
      </c>
      <c r="S9" s="31"/>
      <c r="T9" s="23">
        <v>31836.017811226189</v>
      </c>
      <c r="U9" s="33">
        <v>8.7333791998389643E-2</v>
      </c>
      <c r="V9" s="5">
        <v>2</v>
      </c>
      <c r="W9" s="5">
        <v>90</v>
      </c>
      <c r="X9" s="33">
        <v>0</v>
      </c>
      <c r="Y9" s="5">
        <v>26.961812730629731</v>
      </c>
      <c r="Z9" s="5">
        <v>1267.9143967809873</v>
      </c>
      <c r="AA9" s="35"/>
    </row>
    <row r="10" spans="2:27" x14ac:dyDescent="0.2">
      <c r="B10" s="4">
        <v>7</v>
      </c>
      <c r="C10" s="4">
        <v>587</v>
      </c>
      <c r="D10" s="23">
        <v>31290.250640511451</v>
      </c>
      <c r="E10" s="33">
        <v>6.3728291000188619E-2</v>
      </c>
      <c r="F10" s="5">
        <v>2</v>
      </c>
      <c r="G10" s="23">
        <v>90</v>
      </c>
      <c r="H10" s="33">
        <v>0</v>
      </c>
      <c r="I10" s="23">
        <v>12.672041731334389</v>
      </c>
      <c r="J10" s="5">
        <v>901.96323753084437</v>
      </c>
      <c r="K10" s="31"/>
      <c r="L10" s="23">
        <v>31604.333938514232</v>
      </c>
      <c r="M10" s="33">
        <v>5.9341416999814101E-2</v>
      </c>
      <c r="N10" s="5">
        <v>2</v>
      </c>
      <c r="O10" s="5">
        <v>90</v>
      </c>
      <c r="P10" s="33">
        <v>0</v>
      </c>
      <c r="Q10" s="5">
        <v>12.724604692775859</v>
      </c>
      <c r="R10" s="5">
        <v>935.20398410442999</v>
      </c>
      <c r="S10" s="31"/>
      <c r="T10" s="23">
        <v>34442.620997976301</v>
      </c>
      <c r="U10" s="33">
        <v>8.5649832999479258E-2</v>
      </c>
      <c r="V10" s="5">
        <v>2</v>
      </c>
      <c r="W10" s="5">
        <v>90</v>
      </c>
      <c r="X10" s="33">
        <v>34.19664697673069</v>
      </c>
      <c r="Y10" s="5">
        <v>34.631275530648445</v>
      </c>
      <c r="Z10" s="5">
        <v>1675.9293969503135</v>
      </c>
      <c r="AA10" s="35"/>
    </row>
    <row r="11" spans="2:27" x14ac:dyDescent="0.2">
      <c r="B11" s="4">
        <v>8</v>
      </c>
      <c r="C11" s="4">
        <v>808</v>
      </c>
      <c r="D11" s="23">
        <v>31290.250640511451</v>
      </c>
      <c r="E11" s="33">
        <v>8.1447208000099636E-2</v>
      </c>
      <c r="F11" s="5">
        <v>2</v>
      </c>
      <c r="G11" s="23">
        <v>90</v>
      </c>
      <c r="H11" s="33">
        <v>0</v>
      </c>
      <c r="I11" s="23">
        <v>12.672041731334389</v>
      </c>
      <c r="J11" s="5">
        <v>901.96323753084437</v>
      </c>
      <c r="K11" s="31"/>
      <c r="L11" s="23">
        <v>31290.250640511451</v>
      </c>
      <c r="M11" s="33">
        <v>7.5259625002217945E-2</v>
      </c>
      <c r="N11" s="5">
        <v>2</v>
      </c>
      <c r="O11" s="5">
        <v>90</v>
      </c>
      <c r="P11" s="33">
        <v>0</v>
      </c>
      <c r="Q11" s="5">
        <v>12.672041731334389</v>
      </c>
      <c r="R11" s="5">
        <v>901.96323753084437</v>
      </c>
      <c r="S11" s="31"/>
      <c r="T11" s="23">
        <v>31836.017811226189</v>
      </c>
      <c r="U11" s="33">
        <v>7.9532083000231069E-2</v>
      </c>
      <c r="V11" s="5">
        <v>2</v>
      </c>
      <c r="W11" s="5">
        <v>90</v>
      </c>
      <c r="X11" s="33">
        <v>0</v>
      </c>
      <c r="Y11" s="5">
        <v>26.961812730629731</v>
      </c>
      <c r="Z11" s="5">
        <v>1267.9143967809873</v>
      </c>
      <c r="AA11" s="35"/>
    </row>
    <row r="12" spans="2:27" x14ac:dyDescent="0.2">
      <c r="B12" s="4">
        <v>9</v>
      </c>
      <c r="C12" s="4">
        <v>950</v>
      </c>
      <c r="D12" s="23">
        <v>31290.250640511451</v>
      </c>
      <c r="E12" s="33">
        <v>8.0593582999426872E-2</v>
      </c>
      <c r="F12" s="5">
        <v>2</v>
      </c>
      <c r="G12" s="23">
        <v>90</v>
      </c>
      <c r="H12" s="33">
        <v>0</v>
      </c>
      <c r="I12" s="23">
        <v>12.672041731334389</v>
      </c>
      <c r="J12" s="5">
        <v>901.96323753084437</v>
      </c>
      <c r="K12" s="31"/>
      <c r="L12" s="23">
        <v>31290.250640511451</v>
      </c>
      <c r="M12" s="33">
        <v>8.7300582999887411E-2</v>
      </c>
      <c r="N12" s="5">
        <v>2</v>
      </c>
      <c r="O12" s="5">
        <v>90</v>
      </c>
      <c r="P12" s="33">
        <v>0</v>
      </c>
      <c r="Q12" s="5">
        <v>12.672041731334389</v>
      </c>
      <c r="R12" s="5">
        <v>901.96323753084437</v>
      </c>
      <c r="S12" s="31"/>
      <c r="T12" s="23">
        <v>31836.017811226189</v>
      </c>
      <c r="U12" s="33">
        <v>6.630395799948019E-2</v>
      </c>
      <c r="V12" s="5">
        <v>2</v>
      </c>
      <c r="W12" s="5">
        <v>90</v>
      </c>
      <c r="X12" s="33">
        <v>0</v>
      </c>
      <c r="Y12" s="5">
        <v>26.961812730629731</v>
      </c>
      <c r="Z12" s="5">
        <v>1267.9143967809873</v>
      </c>
      <c r="AA12" s="35"/>
    </row>
    <row r="13" spans="2:27" x14ac:dyDescent="0.2">
      <c r="B13" s="4">
        <v>10</v>
      </c>
      <c r="C13" s="4">
        <v>952</v>
      </c>
      <c r="D13" s="23">
        <v>31290.250640511451</v>
      </c>
      <c r="E13" s="33">
        <v>4.8895500000071479E-2</v>
      </c>
      <c r="F13" s="5">
        <v>2</v>
      </c>
      <c r="G13" s="23">
        <v>90</v>
      </c>
      <c r="H13" s="33">
        <v>0</v>
      </c>
      <c r="I13" s="23">
        <v>12.672041731334389</v>
      </c>
      <c r="J13" s="5">
        <v>901.96323753084437</v>
      </c>
      <c r="K13" s="31"/>
      <c r="L13" s="23">
        <v>31290.250640511451</v>
      </c>
      <c r="M13" s="33">
        <v>9.1151749998971354E-2</v>
      </c>
      <c r="N13" s="5">
        <v>2</v>
      </c>
      <c r="O13" s="5">
        <v>90</v>
      </c>
      <c r="P13" s="33">
        <v>0</v>
      </c>
      <c r="Q13" s="5">
        <v>12.672041731334389</v>
      </c>
      <c r="R13" s="5">
        <v>901.96323753084437</v>
      </c>
      <c r="S13" s="31"/>
      <c r="T13" s="23">
        <v>31836.017811226189</v>
      </c>
      <c r="U13" s="33">
        <v>6.3310459001513664E-2</v>
      </c>
      <c r="V13" s="5">
        <v>2</v>
      </c>
      <c r="W13" s="5">
        <v>90</v>
      </c>
      <c r="X13" s="33">
        <v>0</v>
      </c>
      <c r="Y13" s="5">
        <v>26.961812730629731</v>
      </c>
      <c r="Z13" s="5">
        <v>1267.9143967809873</v>
      </c>
      <c r="AA13" s="35"/>
    </row>
    <row r="14" spans="2:27" x14ac:dyDescent="0.2">
      <c r="B14" s="46" t="s">
        <v>3</v>
      </c>
      <c r="C14" s="47"/>
      <c r="D14" s="9">
        <f>MIN(D4:D13)</f>
        <v>31290.250640511451</v>
      </c>
      <c r="E14" s="22">
        <f>INDEX(E4:E13, MATCH($D$14, D4:D13, 0))</f>
        <v>6.6070999999283231E-2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12.672041731334389</v>
      </c>
      <c r="J14" s="22">
        <f>INDEX(J4:J13, MATCH($D$14, D4:D13, 0))</f>
        <v>901.96323753084437</v>
      </c>
      <c r="K14" s="32">
        <f>(D14-$D$15)/$D$15</f>
        <v>0</v>
      </c>
      <c r="L14" s="16">
        <f>MIN(L4:L13)</f>
        <v>31290.250640511451</v>
      </c>
      <c r="M14" s="21">
        <f>INDEX(M4:M13, MATCH($L$14, L4:L13, 0))</f>
        <v>7.3712749999685911E-2</v>
      </c>
      <c r="N14" s="16">
        <f>INDEX(N4:N13, MATCH($L$14, L4:L13, 0))</f>
        <v>2</v>
      </c>
      <c r="O14" s="16">
        <f>INDEX(O4:O13, MATCH($L$14, L4:L13, 0))</f>
        <v>90</v>
      </c>
      <c r="P14" s="21">
        <f>INDEX(P4:P13, MATCH($L$14, L4:L13, 0))</f>
        <v>0</v>
      </c>
      <c r="Q14" s="21">
        <f>INDEX(Q4:Q13, MATCH($L$14, L4:L13, 0))</f>
        <v>12.672041731334389</v>
      </c>
      <c r="R14" s="21">
        <f>INDEX(R4:R13, MATCH($L$14, L4:L13, 0))</f>
        <v>901.96323753084437</v>
      </c>
      <c r="S14" s="36">
        <f>(L14-$D$15)/$D$15</f>
        <v>0</v>
      </c>
      <c r="T14" s="38">
        <f>MIN(T4:T13)</f>
        <v>31836.017811226189</v>
      </c>
      <c r="U14" s="39">
        <f>INDEX(U4:U13, MATCH($T$14, T4:T13, 0))</f>
        <v>7.1119416999863461E-2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0</v>
      </c>
      <c r="Y14" s="39">
        <f>INDEX(Y4:Y13, MATCH($T$14, T4:T13, 0))</f>
        <v>26.961812730629731</v>
      </c>
      <c r="Z14" s="39">
        <f>INDEX(Z4:Z13, MATCH($T$14, T4:T13, 0))</f>
        <v>1267.9143967809873</v>
      </c>
      <c r="AA14" s="40">
        <f>(T14-$D$15)/$D$15</f>
        <v>1.7442083701564672E-2</v>
      </c>
    </row>
    <row r="15" spans="2:27" x14ac:dyDescent="0.2">
      <c r="C15" s="1" t="s">
        <v>17</v>
      </c>
      <c r="D15" s="34">
        <v>31290.250640511451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18" spans="4:4" x14ac:dyDescent="0.2">
      <c r="D18" s="2"/>
    </row>
  </sheetData>
  <mergeCells count="1">
    <mergeCell ref="B14:C14"/>
  </mergeCells>
  <conditionalFormatting sqref="C1:C13 C15:C16 C32:C1048576">
    <cfRule type="duplicateValues" dxfId="87" priority="11"/>
    <cfRule type="duplicateValues" dxfId="86" priority="12"/>
  </conditionalFormatting>
  <conditionalFormatting sqref="C14">
    <cfRule type="duplicateValues" dxfId="85" priority="5"/>
    <cfRule type="duplicateValues" dxfId="84" priority="6"/>
  </conditionalFormatting>
  <conditionalFormatting sqref="C17 C19:C31">
    <cfRule type="duplicateValues" dxfId="15" priority="3"/>
    <cfRule type="duplicateValues" dxfId="14" priority="4"/>
  </conditionalFormatting>
  <conditionalFormatting sqref="C18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6590-0796-5F49-86F2-F92670F3ABCF}">
  <dimension ref="B1:AA18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-0.99984332128108144</v>
      </c>
      <c r="K2" s="28"/>
      <c r="L2" s="1" t="s">
        <v>19</v>
      </c>
      <c r="P2" s="1" t="e">
        <f>(P14-H14)/H14</f>
        <v>#DIV/0!</v>
      </c>
      <c r="R2" s="1">
        <f>(R14-J14)/J14</f>
        <v>-7.8107067884645956E-2</v>
      </c>
      <c r="T2" s="1" t="s">
        <v>20</v>
      </c>
      <c r="X2" s="1" t="e">
        <f>(X14-P14)/P14</f>
        <v>#DIV/0!</v>
      </c>
      <c r="Z2" s="1">
        <f>(Z14-R14)/R14</f>
        <v>0.40483059408169886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53</v>
      </c>
      <c r="D4" s="23">
        <v>30056.899586381682</v>
      </c>
      <c r="E4" s="33">
        <v>9.4638540999767429E-2</v>
      </c>
      <c r="F4" s="5">
        <v>2</v>
      </c>
      <c r="G4" s="23">
        <v>90</v>
      </c>
      <c r="H4" s="33">
        <v>0</v>
      </c>
      <c r="I4" s="23">
        <v>12.546034533692564</v>
      </c>
      <c r="J4" s="5">
        <v>859.75232822943303</v>
      </c>
      <c r="K4" s="31"/>
      <c r="L4" s="23">
        <v>34105.711040324881</v>
      </c>
      <c r="M4" s="33">
        <v>0.10130512499745239</v>
      </c>
      <c r="N4" s="5">
        <v>2</v>
      </c>
      <c r="O4" s="5">
        <v>80</v>
      </c>
      <c r="P4" s="33">
        <v>0</v>
      </c>
      <c r="Q4" s="5">
        <v>11.455149826403154</v>
      </c>
      <c r="R4" s="5">
        <v>792.5995947644343</v>
      </c>
      <c r="S4" s="31"/>
      <c r="T4" s="23">
        <v>29772.841048313629</v>
      </c>
      <c r="U4" s="33">
        <v>9.6794291999685811E-2</v>
      </c>
      <c r="V4" s="5">
        <v>2</v>
      </c>
      <c r="W4" s="5">
        <v>90</v>
      </c>
      <c r="X4" s="33">
        <v>0</v>
      </c>
      <c r="Y4" s="5">
        <v>25.129835585075259</v>
      </c>
      <c r="Z4" s="5">
        <v>1113.468159581834</v>
      </c>
      <c r="AA4" s="35"/>
    </row>
    <row r="5" spans="2:27" x14ac:dyDescent="0.2">
      <c r="B5" s="4">
        <v>2</v>
      </c>
      <c r="C5" s="4">
        <v>534</v>
      </c>
      <c r="D5" s="23">
        <v>30056.899586381682</v>
      </c>
      <c r="E5" s="33">
        <v>6.0558458000741673E-2</v>
      </c>
      <c r="F5" s="5">
        <v>2</v>
      </c>
      <c r="G5" s="23">
        <v>90</v>
      </c>
      <c r="H5" s="33">
        <v>0</v>
      </c>
      <c r="I5" s="23">
        <v>12.546034533692564</v>
      </c>
      <c r="J5" s="5">
        <v>859.75232822943303</v>
      </c>
      <c r="K5" s="31"/>
      <c r="L5" s="23">
        <v>34105.711040324881</v>
      </c>
      <c r="M5" s="33">
        <v>0.14242420799928371</v>
      </c>
      <c r="N5" s="5">
        <v>2</v>
      </c>
      <c r="O5" s="5">
        <v>80</v>
      </c>
      <c r="P5" s="33">
        <v>0</v>
      </c>
      <c r="Q5" s="5">
        <v>11.455149826403154</v>
      </c>
      <c r="R5" s="5">
        <v>792.5995947644343</v>
      </c>
      <c r="S5" s="31"/>
      <c r="T5" s="23">
        <v>29772.841048313629</v>
      </c>
      <c r="U5" s="33">
        <v>6.1065624999173451E-2</v>
      </c>
      <c r="V5" s="5">
        <v>2</v>
      </c>
      <c r="W5" s="5">
        <v>90</v>
      </c>
      <c r="X5" s="33">
        <v>0</v>
      </c>
      <c r="Y5" s="5">
        <v>25.129835585075259</v>
      </c>
      <c r="Z5" s="5">
        <v>1113.468159581834</v>
      </c>
      <c r="AA5" s="35"/>
    </row>
    <row r="6" spans="2:27" x14ac:dyDescent="0.2">
      <c r="B6" s="4">
        <v>3</v>
      </c>
      <c r="C6" s="4">
        <v>778</v>
      </c>
      <c r="D6" s="23">
        <v>30056.899586381682</v>
      </c>
      <c r="E6" s="33">
        <v>6.8224999999983993E-2</v>
      </c>
      <c r="F6" s="5">
        <v>2</v>
      </c>
      <c r="G6" s="23">
        <v>90</v>
      </c>
      <c r="H6" s="33">
        <v>0</v>
      </c>
      <c r="I6" s="23">
        <v>12.546034533692564</v>
      </c>
      <c r="J6" s="5">
        <v>859.75232822943303</v>
      </c>
      <c r="K6" s="31"/>
      <c r="L6" s="23">
        <v>34105.711040324881</v>
      </c>
      <c r="M6" s="33">
        <v>0.1165593329969852</v>
      </c>
      <c r="N6" s="5">
        <v>2</v>
      </c>
      <c r="O6" s="5">
        <v>80</v>
      </c>
      <c r="P6" s="33">
        <v>0</v>
      </c>
      <c r="Q6" s="5">
        <v>11.455149826403154</v>
      </c>
      <c r="R6" s="5">
        <v>792.5995947644343</v>
      </c>
      <c r="S6" s="31"/>
      <c r="T6" s="23">
        <v>29772.841048313629</v>
      </c>
      <c r="U6" s="33">
        <v>7.8527415997086791E-2</v>
      </c>
      <c r="V6" s="5">
        <v>2</v>
      </c>
      <c r="W6" s="5">
        <v>90</v>
      </c>
      <c r="X6" s="33">
        <v>0</v>
      </c>
      <c r="Y6" s="5">
        <v>25.129835585075259</v>
      </c>
      <c r="Z6" s="5">
        <v>1113.468159581834</v>
      </c>
      <c r="AA6" s="35"/>
    </row>
    <row r="7" spans="2:27" x14ac:dyDescent="0.2">
      <c r="B7" s="4">
        <v>4</v>
      </c>
      <c r="C7" s="4">
        <v>369</v>
      </c>
      <c r="D7" s="23">
        <v>30564.676141414129</v>
      </c>
      <c r="E7" s="33">
        <v>5.932550000034098E-2</v>
      </c>
      <c r="F7" s="5">
        <v>2</v>
      </c>
      <c r="G7" s="23">
        <v>90</v>
      </c>
      <c r="H7" s="33">
        <v>0</v>
      </c>
      <c r="I7" s="23">
        <v>13.421763920577559</v>
      </c>
      <c r="J7" s="5">
        <v>937.3792031836191</v>
      </c>
      <c r="K7" s="31"/>
      <c r="L7" s="23">
        <v>34541.992353970723</v>
      </c>
      <c r="M7" s="33">
        <v>7.0652124999469379E-2</v>
      </c>
      <c r="N7" s="5">
        <v>2</v>
      </c>
      <c r="O7" s="5">
        <v>80</v>
      </c>
      <c r="P7" s="33">
        <v>0</v>
      </c>
      <c r="Q7" s="5">
        <v>12.151516301458155</v>
      </c>
      <c r="R7" s="5">
        <v>847.16293812769129</v>
      </c>
      <c r="S7" s="31"/>
      <c r="T7" s="23">
        <v>29772.841048313629</v>
      </c>
      <c r="U7" s="33">
        <v>5.1166083001589868E-2</v>
      </c>
      <c r="V7" s="5">
        <v>2</v>
      </c>
      <c r="W7" s="5">
        <v>90</v>
      </c>
      <c r="X7" s="33">
        <v>0</v>
      </c>
      <c r="Y7" s="5">
        <v>25.129835585075259</v>
      </c>
      <c r="Z7" s="5">
        <v>1113.468159581834</v>
      </c>
      <c r="AA7" s="35"/>
    </row>
    <row r="8" spans="2:27" x14ac:dyDescent="0.2">
      <c r="B8" s="4">
        <v>5</v>
      </c>
      <c r="C8" s="4">
        <v>165</v>
      </c>
      <c r="D8" s="23">
        <v>30056.899586381682</v>
      </c>
      <c r="E8" s="33">
        <v>9.3839291000222147E-2</v>
      </c>
      <c r="F8" s="5">
        <v>2</v>
      </c>
      <c r="G8" s="23">
        <v>90</v>
      </c>
      <c r="H8" s="33">
        <v>0</v>
      </c>
      <c r="I8" s="23">
        <v>12.546034533692564</v>
      </c>
      <c r="J8" s="5">
        <v>859.75232822943303</v>
      </c>
      <c r="K8" s="31"/>
      <c r="L8" s="23">
        <v>34321.297514158126</v>
      </c>
      <c r="M8" s="33">
        <v>8.6704833000112558E-2</v>
      </c>
      <c r="N8" s="5">
        <v>2</v>
      </c>
      <c r="O8" s="5">
        <v>80</v>
      </c>
      <c r="P8" s="33">
        <v>0</v>
      </c>
      <c r="Q8" s="5">
        <v>11.570471663036464</v>
      </c>
      <c r="R8" s="5">
        <v>835.88834796375704</v>
      </c>
      <c r="S8" s="31"/>
      <c r="T8" s="23">
        <v>29772.841048313629</v>
      </c>
      <c r="U8" s="33">
        <v>9.2152290999365505E-2</v>
      </c>
      <c r="V8" s="5">
        <v>2</v>
      </c>
      <c r="W8" s="5">
        <v>90</v>
      </c>
      <c r="X8" s="33">
        <v>0</v>
      </c>
      <c r="Y8" s="5">
        <v>25.129835585075259</v>
      </c>
      <c r="Z8" s="5">
        <v>1113.468159581834</v>
      </c>
      <c r="AA8" s="35"/>
    </row>
    <row r="9" spans="2:27" x14ac:dyDescent="0.2">
      <c r="B9" s="4">
        <v>6</v>
      </c>
      <c r="C9" s="4">
        <v>290</v>
      </c>
      <c r="D9" s="23">
        <v>30056.899586381682</v>
      </c>
      <c r="E9" s="33">
        <v>8.9226249999228457E-2</v>
      </c>
      <c r="F9" s="5">
        <v>2</v>
      </c>
      <c r="G9" s="23">
        <v>90</v>
      </c>
      <c r="H9" s="33">
        <v>0</v>
      </c>
      <c r="I9" s="23">
        <v>12.546034533692564</v>
      </c>
      <c r="J9" s="5">
        <v>859.75232822943303</v>
      </c>
      <c r="K9" s="31"/>
      <c r="L9" s="23">
        <v>34105.711040324881</v>
      </c>
      <c r="M9" s="33">
        <v>9.5647707999887643E-2</v>
      </c>
      <c r="N9" s="5">
        <v>2</v>
      </c>
      <c r="O9" s="5">
        <v>80</v>
      </c>
      <c r="P9" s="33">
        <v>0</v>
      </c>
      <c r="Q9" s="5">
        <v>11.455149826403154</v>
      </c>
      <c r="R9" s="5">
        <v>792.5995947644343</v>
      </c>
      <c r="S9" s="31"/>
      <c r="T9" s="23">
        <v>29772.841048313629</v>
      </c>
      <c r="U9" s="33">
        <v>9.7844583000551211E-2</v>
      </c>
      <c r="V9" s="5">
        <v>2</v>
      </c>
      <c r="W9" s="5">
        <v>90</v>
      </c>
      <c r="X9" s="33">
        <v>0</v>
      </c>
      <c r="Y9" s="5">
        <v>25.129835585075259</v>
      </c>
      <c r="Z9" s="5">
        <v>1113.468159581834</v>
      </c>
      <c r="AA9" s="35"/>
    </row>
    <row r="10" spans="2:27" x14ac:dyDescent="0.2">
      <c r="B10" s="4">
        <v>7</v>
      </c>
      <c r="C10" s="4">
        <v>801</v>
      </c>
      <c r="D10" s="23">
        <v>30056.899586381682</v>
      </c>
      <c r="E10" s="33">
        <v>6.5077541000391648E-2</v>
      </c>
      <c r="F10" s="5">
        <v>2</v>
      </c>
      <c r="G10" s="23">
        <v>90</v>
      </c>
      <c r="H10" s="33">
        <v>0</v>
      </c>
      <c r="I10" s="23">
        <v>12.546034533692564</v>
      </c>
      <c r="J10" s="5">
        <v>859.75232822943303</v>
      </c>
      <c r="K10" s="31"/>
      <c r="L10" s="23">
        <v>35801.00543649571</v>
      </c>
      <c r="M10" s="33">
        <v>6.0706707998178899E-2</v>
      </c>
      <c r="N10" s="5">
        <v>2</v>
      </c>
      <c r="O10" s="5">
        <v>80</v>
      </c>
      <c r="P10" s="33">
        <v>0.56454132908629617</v>
      </c>
      <c r="Q10" s="5">
        <v>14.762719988481511</v>
      </c>
      <c r="R10" s="5">
        <v>1116.2046548310291</v>
      </c>
      <c r="S10" s="31"/>
      <c r="T10" s="23">
        <v>29772.841048313629</v>
      </c>
      <c r="U10" s="33">
        <v>7.7725499999360181E-2</v>
      </c>
      <c r="V10" s="5">
        <v>2</v>
      </c>
      <c r="W10" s="5">
        <v>90</v>
      </c>
      <c r="X10" s="33">
        <v>0</v>
      </c>
      <c r="Y10" s="5">
        <v>25.129835585075259</v>
      </c>
      <c r="Z10" s="5">
        <v>1113.468159581834</v>
      </c>
      <c r="AA10" s="35"/>
    </row>
    <row r="11" spans="2:27" x14ac:dyDescent="0.2">
      <c r="B11" s="4">
        <v>8</v>
      </c>
      <c r="C11" s="4">
        <v>351</v>
      </c>
      <c r="D11" s="23">
        <v>30066.412155759081</v>
      </c>
      <c r="E11" s="33">
        <v>9.9915917000544141E-2</v>
      </c>
      <c r="F11" s="5">
        <v>2</v>
      </c>
      <c r="G11" s="23">
        <v>90</v>
      </c>
      <c r="H11" s="33">
        <v>0</v>
      </c>
      <c r="I11" s="23">
        <v>13.559243498846609</v>
      </c>
      <c r="J11" s="5">
        <v>857.94453937349317</v>
      </c>
      <c r="K11" s="31"/>
      <c r="L11" s="23">
        <v>34541.992353970723</v>
      </c>
      <c r="M11" s="33">
        <v>0.1248805830000492</v>
      </c>
      <c r="N11" s="5">
        <v>2</v>
      </c>
      <c r="O11" s="5">
        <v>80</v>
      </c>
      <c r="P11" s="33">
        <v>0</v>
      </c>
      <c r="Q11" s="5">
        <v>12.151516301458155</v>
      </c>
      <c r="R11" s="5">
        <v>847.16293812769129</v>
      </c>
      <c r="S11" s="31"/>
      <c r="T11" s="23">
        <v>29823.628379221511</v>
      </c>
      <c r="U11" s="33">
        <v>8.3510625001508743E-2</v>
      </c>
      <c r="V11" s="5">
        <v>2</v>
      </c>
      <c r="W11" s="5">
        <v>90</v>
      </c>
      <c r="X11" s="33">
        <v>0</v>
      </c>
      <c r="Y11" s="5">
        <v>27.892071792922167</v>
      </c>
      <c r="Z11" s="5">
        <v>1144.2601241500888</v>
      </c>
      <c r="AA11" s="35"/>
    </row>
    <row r="12" spans="2:27" x14ac:dyDescent="0.2">
      <c r="B12" s="4">
        <v>9</v>
      </c>
      <c r="C12" s="4">
        <v>688</v>
      </c>
      <c r="D12" s="23">
        <v>32861.056357706533</v>
      </c>
      <c r="E12" s="33">
        <v>7.1467708000454877E-2</v>
      </c>
      <c r="F12" s="5">
        <v>2</v>
      </c>
      <c r="G12" s="23">
        <v>90</v>
      </c>
      <c r="H12" s="33">
        <v>21.693071345344453</v>
      </c>
      <c r="I12" s="23">
        <v>15.802682257553396</v>
      </c>
      <c r="J12" s="5">
        <v>1240.3542356775861</v>
      </c>
      <c r="K12" s="31"/>
      <c r="L12" s="23">
        <v>34964.53311438566</v>
      </c>
      <c r="M12" s="33">
        <v>5.4077832999610109E-2</v>
      </c>
      <c r="N12" s="5">
        <v>2</v>
      </c>
      <c r="O12" s="5">
        <v>80</v>
      </c>
      <c r="P12" s="33">
        <v>0</v>
      </c>
      <c r="Q12" s="5">
        <v>12.569891641289399</v>
      </c>
      <c r="R12" s="5">
        <v>936.98182468775258</v>
      </c>
      <c r="S12" s="31"/>
      <c r="T12" s="23">
        <v>30115.114561731581</v>
      </c>
      <c r="U12" s="33">
        <v>7.6353417000063928E-2</v>
      </c>
      <c r="V12" s="5">
        <v>2</v>
      </c>
      <c r="W12" s="5">
        <v>90</v>
      </c>
      <c r="X12" s="33">
        <v>0</v>
      </c>
      <c r="Y12" s="5">
        <v>24.266085951967959</v>
      </c>
      <c r="Z12" s="5">
        <v>1104.6761314886969</v>
      </c>
      <c r="AA12" s="35"/>
    </row>
    <row r="13" spans="2:27" x14ac:dyDescent="0.2">
      <c r="B13" s="4">
        <v>10</v>
      </c>
      <c r="C13" s="4">
        <v>370</v>
      </c>
      <c r="D13" s="23">
        <v>30292.665417134649</v>
      </c>
      <c r="E13" s="33">
        <v>5.3797709000718903E-2</v>
      </c>
      <c r="F13" s="5">
        <v>2</v>
      </c>
      <c r="G13" s="23">
        <v>90</v>
      </c>
      <c r="H13" s="33">
        <v>0</v>
      </c>
      <c r="I13" s="23">
        <v>13.008713772115509</v>
      </c>
      <c r="J13" s="5">
        <v>875.68333079649528</v>
      </c>
      <c r="K13" s="31"/>
      <c r="L13" s="23">
        <v>37010.37682248596</v>
      </c>
      <c r="M13" s="33">
        <v>5.735787500088918E-2</v>
      </c>
      <c r="N13" s="5">
        <v>2</v>
      </c>
      <c r="O13" s="5">
        <v>80</v>
      </c>
      <c r="P13" s="33">
        <v>0</v>
      </c>
      <c r="Q13" s="5">
        <v>14.176897213013435</v>
      </c>
      <c r="R13" s="5">
        <v>1212.0127665717696</v>
      </c>
      <c r="S13" s="31"/>
      <c r="T13" s="23">
        <v>29772.841048313629</v>
      </c>
      <c r="U13" s="33">
        <v>5.9900041000219062E-2</v>
      </c>
      <c r="V13" s="5">
        <v>2</v>
      </c>
      <c r="W13" s="5">
        <v>90</v>
      </c>
      <c r="X13" s="33">
        <v>0</v>
      </c>
      <c r="Y13" s="5">
        <v>25.129835585075259</v>
      </c>
      <c r="Z13" s="5">
        <v>1113.468159581834</v>
      </c>
      <c r="AA13" s="35"/>
    </row>
    <row r="14" spans="2:27" x14ac:dyDescent="0.2">
      <c r="B14" s="46" t="s">
        <v>3</v>
      </c>
      <c r="C14" s="47"/>
      <c r="D14" s="9">
        <f>MIN(D4:D13)</f>
        <v>30056.899586381682</v>
      </c>
      <c r="E14" s="22">
        <f>INDEX(E4:E13, MATCH($D$14, D4:D13, 0))</f>
        <v>9.4638540999767429E-2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12.546034533692564</v>
      </c>
      <c r="J14" s="22">
        <f>INDEX(J4:J13, MATCH($D$14, D4:D13, 0))</f>
        <v>859.75232822943303</v>
      </c>
      <c r="K14" s="32">
        <f>(D14-$D$15)/$D$15</f>
        <v>0</v>
      </c>
      <c r="L14" s="16">
        <f>MIN(L4:L13)</f>
        <v>34105.711040324881</v>
      </c>
      <c r="M14" s="21">
        <f>INDEX(M4:M13, MATCH($L$14, L4:L13, 0))</f>
        <v>0.10130512499745239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11.455149826403154</v>
      </c>
      <c r="R14" s="21">
        <f>INDEX(R4:R13, MATCH($L$14, L4:L13, 0))</f>
        <v>792.5995947644343</v>
      </c>
      <c r="S14" s="36">
        <f>(L14-$D$15)/$D$15</f>
        <v>0.13470489337422059</v>
      </c>
      <c r="T14" s="38">
        <f>MIN(T4:T13)</f>
        <v>29772.841048313629</v>
      </c>
      <c r="U14" s="39">
        <f>INDEX(U4:U13, MATCH($T$14, T4:T13, 0))</f>
        <v>9.6794291999685811E-2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0</v>
      </c>
      <c r="Y14" s="39">
        <f>INDEX(Y4:Y13, MATCH($T$14, T4:T13, 0))</f>
        <v>25.129835585075259</v>
      </c>
      <c r="Z14" s="39">
        <f>INDEX(Z4:Z13, MATCH($T$14, T4:T13, 0))</f>
        <v>1113.468159581834</v>
      </c>
      <c r="AA14" s="40">
        <f>(T14-$D$15)/$D$15</f>
        <v>-9.4506932510349702E-3</v>
      </c>
    </row>
    <row r="15" spans="2:27" x14ac:dyDescent="0.2">
      <c r="C15" s="1" t="s">
        <v>17</v>
      </c>
      <c r="D15" s="34">
        <v>30056.899586381682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18" spans="4:4" x14ac:dyDescent="0.2">
      <c r="D18" s="2"/>
    </row>
  </sheetData>
  <mergeCells count="1">
    <mergeCell ref="B14:C14"/>
  </mergeCells>
  <conditionalFormatting sqref="C1:C13 C15:C16 C32:C1048576">
    <cfRule type="duplicateValues" dxfId="81" priority="11"/>
    <cfRule type="duplicateValues" dxfId="80" priority="12"/>
  </conditionalFormatting>
  <conditionalFormatting sqref="C14">
    <cfRule type="duplicateValues" dxfId="79" priority="5"/>
    <cfRule type="duplicateValues" dxfId="78" priority="6"/>
  </conditionalFormatting>
  <conditionalFormatting sqref="C17 C19:C31">
    <cfRule type="duplicateValues" dxfId="11" priority="3"/>
    <cfRule type="duplicateValues" dxfId="10" priority="4"/>
  </conditionalFormatting>
  <conditionalFormatting sqref="C18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4A42-309A-F04D-9F6A-48EA40EBCE92}">
  <dimension ref="B1:AA18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-1</v>
      </c>
      <c r="K2" s="28"/>
      <c r="L2" s="1" t="s">
        <v>19</v>
      </c>
      <c r="P2" s="1" t="e">
        <f>(P14-H14)/H14</f>
        <v>#DIV/0!</v>
      </c>
      <c r="R2" s="1">
        <f>(R14-J14)/J14</f>
        <v>0</v>
      </c>
      <c r="T2" s="1" t="s">
        <v>20</v>
      </c>
      <c r="X2" s="1" t="e">
        <f>(X14-P14)/P14</f>
        <v>#DIV/0!</v>
      </c>
      <c r="Z2" s="1">
        <f>(Z14-R14)/R14</f>
        <v>0.45744789363919292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80</v>
      </c>
      <c r="D4" s="23">
        <v>25533.657956810031</v>
      </c>
      <c r="E4" s="33">
        <v>4.7267584000110219E-2</v>
      </c>
      <c r="F4" s="5">
        <v>2</v>
      </c>
      <c r="G4" s="23">
        <v>100</v>
      </c>
      <c r="H4" s="33">
        <v>0</v>
      </c>
      <c r="I4" s="23">
        <v>8.7253580995928655</v>
      </c>
      <c r="J4" s="5">
        <v>748.13040388033573</v>
      </c>
      <c r="K4" s="31"/>
      <c r="L4" s="23">
        <v>25533.657956810031</v>
      </c>
      <c r="M4" s="33">
        <v>5.0119290997827193E-2</v>
      </c>
      <c r="N4" s="5">
        <v>2</v>
      </c>
      <c r="O4" s="5">
        <v>100</v>
      </c>
      <c r="P4" s="33">
        <v>0</v>
      </c>
      <c r="Q4" s="5">
        <v>8.7253580995928655</v>
      </c>
      <c r="R4" s="5">
        <v>748.13040388033573</v>
      </c>
      <c r="S4" s="31"/>
      <c r="T4" s="23">
        <v>26402.35384801315</v>
      </c>
      <c r="U4" s="33">
        <v>0.10146141700170121</v>
      </c>
      <c r="V4" s="5">
        <v>2</v>
      </c>
      <c r="W4" s="5">
        <v>100</v>
      </c>
      <c r="X4" s="33">
        <v>0</v>
      </c>
      <c r="Y4" s="5">
        <v>21.143451670718818</v>
      </c>
      <c r="Z4" s="5">
        <v>1090.361081302834</v>
      </c>
      <c r="AA4" s="35"/>
    </row>
    <row r="5" spans="2:27" x14ac:dyDescent="0.2">
      <c r="B5" s="4">
        <v>2</v>
      </c>
      <c r="C5" s="4">
        <v>116</v>
      </c>
      <c r="D5" s="23">
        <v>25533.657956810031</v>
      </c>
      <c r="E5" s="33">
        <v>6.6810625000471191E-2</v>
      </c>
      <c r="F5" s="5">
        <v>2</v>
      </c>
      <c r="G5" s="23">
        <v>100</v>
      </c>
      <c r="H5" s="33">
        <v>0</v>
      </c>
      <c r="I5" s="23">
        <v>8.7253580995928655</v>
      </c>
      <c r="J5" s="5">
        <v>748.13040388033573</v>
      </c>
      <c r="K5" s="31"/>
      <c r="L5" s="23">
        <v>25533.657956810031</v>
      </c>
      <c r="M5" s="33">
        <v>7.4132833997282432E-2</v>
      </c>
      <c r="N5" s="5">
        <v>2</v>
      </c>
      <c r="O5" s="5">
        <v>100</v>
      </c>
      <c r="P5" s="33">
        <v>0</v>
      </c>
      <c r="Q5" s="5">
        <v>8.7253580995928655</v>
      </c>
      <c r="R5" s="5">
        <v>748.13040388033573</v>
      </c>
      <c r="S5" s="31"/>
      <c r="T5" s="23">
        <v>26402.35384801315</v>
      </c>
      <c r="U5" s="33">
        <v>0.1371659579999687</v>
      </c>
      <c r="V5" s="5">
        <v>2</v>
      </c>
      <c r="W5" s="5">
        <v>100</v>
      </c>
      <c r="X5" s="33">
        <v>0</v>
      </c>
      <c r="Y5" s="5">
        <v>21.143451670718818</v>
      </c>
      <c r="Z5" s="5">
        <v>1090.361081302834</v>
      </c>
      <c r="AA5" s="35"/>
    </row>
    <row r="6" spans="2:27" x14ac:dyDescent="0.2">
      <c r="B6" s="4">
        <v>3</v>
      </c>
      <c r="C6" s="4">
        <v>125</v>
      </c>
      <c r="D6" s="23">
        <v>25533.657956810031</v>
      </c>
      <c r="E6" s="33">
        <v>6.0385250000763342E-2</v>
      </c>
      <c r="F6" s="5">
        <v>2</v>
      </c>
      <c r="G6" s="23">
        <v>100</v>
      </c>
      <c r="H6" s="33">
        <v>0</v>
      </c>
      <c r="I6" s="23">
        <v>8.7253580995928655</v>
      </c>
      <c r="J6" s="5">
        <v>748.13040388033573</v>
      </c>
      <c r="K6" s="31"/>
      <c r="L6" s="23">
        <v>25533.657956810031</v>
      </c>
      <c r="M6" s="33">
        <v>6.4667792001273483E-2</v>
      </c>
      <c r="N6" s="5">
        <v>2</v>
      </c>
      <c r="O6" s="5">
        <v>100</v>
      </c>
      <c r="P6" s="33">
        <v>0</v>
      </c>
      <c r="Q6" s="5">
        <v>8.7253580995928655</v>
      </c>
      <c r="R6" s="5">
        <v>748.13040388033573</v>
      </c>
      <c r="S6" s="31"/>
      <c r="T6" s="23">
        <v>26402.35384801315</v>
      </c>
      <c r="U6" s="33">
        <v>5.1791917001537513E-2</v>
      </c>
      <c r="V6" s="5">
        <v>2</v>
      </c>
      <c r="W6" s="5">
        <v>100</v>
      </c>
      <c r="X6" s="33">
        <v>0</v>
      </c>
      <c r="Y6" s="5">
        <v>21.143451670718818</v>
      </c>
      <c r="Z6" s="5">
        <v>1090.361081302834</v>
      </c>
      <c r="AA6" s="35"/>
    </row>
    <row r="7" spans="2:27" x14ac:dyDescent="0.2">
      <c r="B7" s="4">
        <v>4</v>
      </c>
      <c r="C7" s="4">
        <v>411</v>
      </c>
      <c r="D7" s="23">
        <v>25533.657956810031</v>
      </c>
      <c r="E7" s="33">
        <v>6.1277957999664068E-2</v>
      </c>
      <c r="F7" s="5">
        <v>2</v>
      </c>
      <c r="G7" s="23">
        <v>100</v>
      </c>
      <c r="H7" s="33">
        <v>0</v>
      </c>
      <c r="I7" s="23">
        <v>8.7253580995928655</v>
      </c>
      <c r="J7" s="5">
        <v>748.13040388033573</v>
      </c>
      <c r="K7" s="31"/>
      <c r="L7" s="23">
        <v>25533.657956810031</v>
      </c>
      <c r="M7" s="33">
        <v>6.7434291999234119E-2</v>
      </c>
      <c r="N7" s="5">
        <v>2</v>
      </c>
      <c r="O7" s="5">
        <v>100</v>
      </c>
      <c r="P7" s="33">
        <v>0</v>
      </c>
      <c r="Q7" s="5">
        <v>8.7253580995928655</v>
      </c>
      <c r="R7" s="5">
        <v>748.13040388033573</v>
      </c>
      <c r="S7" s="31"/>
      <c r="T7" s="23">
        <v>26402.35384801315</v>
      </c>
      <c r="U7" s="33">
        <v>5.7072625000728287E-2</v>
      </c>
      <c r="V7" s="5">
        <v>2</v>
      </c>
      <c r="W7" s="5">
        <v>100</v>
      </c>
      <c r="X7" s="33">
        <v>0</v>
      </c>
      <c r="Y7" s="5">
        <v>21.143451670718818</v>
      </c>
      <c r="Z7" s="5">
        <v>1090.361081302834</v>
      </c>
      <c r="AA7" s="35"/>
    </row>
    <row r="8" spans="2:27" x14ac:dyDescent="0.2">
      <c r="B8" s="4">
        <v>5</v>
      </c>
      <c r="C8" s="4">
        <v>572</v>
      </c>
      <c r="D8" s="23">
        <v>25533.657956810031</v>
      </c>
      <c r="E8" s="33">
        <v>8.7331917000483372E-2</v>
      </c>
      <c r="F8" s="5">
        <v>2</v>
      </c>
      <c r="G8" s="23">
        <v>100</v>
      </c>
      <c r="H8" s="33">
        <v>0</v>
      </c>
      <c r="I8" s="23">
        <v>8.7253580995928655</v>
      </c>
      <c r="J8" s="5">
        <v>748.13040388033573</v>
      </c>
      <c r="K8" s="31"/>
      <c r="L8" s="23">
        <v>25533.657956810031</v>
      </c>
      <c r="M8" s="33">
        <v>9.644254199884017E-2</v>
      </c>
      <c r="N8" s="5">
        <v>2</v>
      </c>
      <c r="O8" s="5">
        <v>100</v>
      </c>
      <c r="P8" s="33">
        <v>0</v>
      </c>
      <c r="Q8" s="5">
        <v>8.7253580995928655</v>
      </c>
      <c r="R8" s="5">
        <v>748.13040388033573</v>
      </c>
      <c r="S8" s="31"/>
      <c r="T8" s="23">
        <v>26402.35384801315</v>
      </c>
      <c r="U8" s="33">
        <v>0.13160358399909461</v>
      </c>
      <c r="V8" s="5">
        <v>2</v>
      </c>
      <c r="W8" s="5">
        <v>100</v>
      </c>
      <c r="X8" s="33">
        <v>0</v>
      </c>
      <c r="Y8" s="5">
        <v>21.143451670718818</v>
      </c>
      <c r="Z8" s="5">
        <v>1090.361081302834</v>
      </c>
      <c r="AA8" s="35"/>
    </row>
    <row r="9" spans="2:27" x14ac:dyDescent="0.2">
      <c r="B9" s="4">
        <v>6</v>
      </c>
      <c r="C9" s="4">
        <v>602</v>
      </c>
      <c r="D9" s="23">
        <v>25533.657956810031</v>
      </c>
      <c r="E9" s="33">
        <v>7.1312166000097932E-2</v>
      </c>
      <c r="F9" s="5">
        <v>2</v>
      </c>
      <c r="G9" s="23">
        <v>100</v>
      </c>
      <c r="H9" s="33">
        <v>0</v>
      </c>
      <c r="I9" s="23">
        <v>8.7253580995928655</v>
      </c>
      <c r="J9" s="5">
        <v>748.13040388033573</v>
      </c>
      <c r="K9" s="31"/>
      <c r="L9" s="23">
        <v>25533.657956810031</v>
      </c>
      <c r="M9" s="33">
        <v>7.7127833999838913E-2</v>
      </c>
      <c r="N9" s="5">
        <v>2</v>
      </c>
      <c r="O9" s="5">
        <v>100</v>
      </c>
      <c r="P9" s="33">
        <v>0</v>
      </c>
      <c r="Q9" s="5">
        <v>8.7253580995928655</v>
      </c>
      <c r="R9" s="5">
        <v>748.13040388033573</v>
      </c>
      <c r="S9" s="31"/>
      <c r="T9" s="23">
        <v>29738.791695437551</v>
      </c>
      <c r="U9" s="33">
        <v>8.8923957999213599E-2</v>
      </c>
      <c r="V9" s="5">
        <v>2</v>
      </c>
      <c r="W9" s="5">
        <v>90</v>
      </c>
      <c r="X9" s="33">
        <v>0</v>
      </c>
      <c r="Y9" s="5">
        <v>17.476932522483384</v>
      </c>
      <c r="Z9" s="5">
        <v>977.78007849192181</v>
      </c>
      <c r="AA9" s="35"/>
    </row>
    <row r="10" spans="2:27" x14ac:dyDescent="0.2">
      <c r="B10" s="4">
        <v>7</v>
      </c>
      <c r="C10" s="4">
        <v>843</v>
      </c>
      <c r="D10" s="23">
        <v>26477.925050231399</v>
      </c>
      <c r="E10" s="33">
        <v>6.0863790999974299E-2</v>
      </c>
      <c r="F10" s="5">
        <v>2</v>
      </c>
      <c r="G10" s="23">
        <v>100</v>
      </c>
      <c r="H10" s="33">
        <v>0</v>
      </c>
      <c r="I10" s="23">
        <v>6.0276338590846583</v>
      </c>
      <c r="J10" s="5">
        <v>788.33460043527532</v>
      </c>
      <c r="K10" s="31"/>
      <c r="L10" s="23">
        <v>26477.925050231399</v>
      </c>
      <c r="M10" s="33">
        <v>6.90209579988732E-2</v>
      </c>
      <c r="N10" s="5">
        <v>2</v>
      </c>
      <c r="O10" s="5">
        <v>100</v>
      </c>
      <c r="P10" s="33">
        <v>0</v>
      </c>
      <c r="Q10" s="5">
        <v>6.0276338590846583</v>
      </c>
      <c r="R10" s="5">
        <v>788.33460043527532</v>
      </c>
      <c r="S10" s="31"/>
      <c r="T10" s="23">
        <v>27997.38443164845</v>
      </c>
      <c r="U10" s="33">
        <v>5.3552624998701497E-2</v>
      </c>
      <c r="V10" s="5">
        <v>2</v>
      </c>
      <c r="W10" s="5">
        <v>100</v>
      </c>
      <c r="X10" s="33">
        <v>0</v>
      </c>
      <c r="Y10" s="5">
        <v>14.849431269911415</v>
      </c>
      <c r="Z10" s="5">
        <v>1123.7610650916242</v>
      </c>
      <c r="AA10" s="35"/>
    </row>
    <row r="11" spans="2:27" x14ac:dyDescent="0.2">
      <c r="B11" s="4">
        <v>8</v>
      </c>
      <c r="C11" s="4">
        <v>935</v>
      </c>
      <c r="D11" s="23">
        <v>25533.657956810031</v>
      </c>
      <c r="E11" s="33">
        <v>8.0980084000657371E-2</v>
      </c>
      <c r="F11" s="5">
        <v>2</v>
      </c>
      <c r="G11" s="23">
        <v>100</v>
      </c>
      <c r="H11" s="33">
        <v>0</v>
      </c>
      <c r="I11" s="23">
        <v>8.7253580995928655</v>
      </c>
      <c r="J11" s="5">
        <v>748.13040388033573</v>
      </c>
      <c r="K11" s="31"/>
      <c r="L11" s="23">
        <v>25533.657956810031</v>
      </c>
      <c r="M11" s="33">
        <v>8.9835875001881504E-2</v>
      </c>
      <c r="N11" s="5">
        <v>2</v>
      </c>
      <c r="O11" s="5">
        <v>100</v>
      </c>
      <c r="P11" s="33">
        <v>0</v>
      </c>
      <c r="Q11" s="5">
        <v>8.7253580995928655</v>
      </c>
      <c r="R11" s="5">
        <v>748.13040388033573</v>
      </c>
      <c r="S11" s="31"/>
      <c r="T11" s="23">
        <v>26402.35384801315</v>
      </c>
      <c r="U11" s="33">
        <v>7.0656707997841295E-2</v>
      </c>
      <c r="V11" s="5">
        <v>2</v>
      </c>
      <c r="W11" s="5">
        <v>100</v>
      </c>
      <c r="X11" s="33">
        <v>0</v>
      </c>
      <c r="Y11" s="5">
        <v>21.143451670718818</v>
      </c>
      <c r="Z11" s="5">
        <v>1090.361081302834</v>
      </c>
      <c r="AA11" s="35"/>
    </row>
    <row r="12" spans="2:27" x14ac:dyDescent="0.2">
      <c r="B12" s="4">
        <v>9</v>
      </c>
      <c r="C12" s="4">
        <v>964</v>
      </c>
      <c r="D12" s="23">
        <v>25533.657956810031</v>
      </c>
      <c r="E12" s="33">
        <v>7.7026875000228756E-2</v>
      </c>
      <c r="F12" s="5">
        <v>2</v>
      </c>
      <c r="G12" s="23">
        <v>100</v>
      </c>
      <c r="H12" s="33">
        <v>0</v>
      </c>
      <c r="I12" s="23">
        <v>8.7253580995928655</v>
      </c>
      <c r="J12" s="5">
        <v>748.13040388033573</v>
      </c>
      <c r="K12" s="31"/>
      <c r="L12" s="23">
        <v>25533.657956810031</v>
      </c>
      <c r="M12" s="33">
        <v>8.6057791999337496E-2</v>
      </c>
      <c r="N12" s="5">
        <v>2</v>
      </c>
      <c r="O12" s="5">
        <v>100</v>
      </c>
      <c r="P12" s="33">
        <v>0</v>
      </c>
      <c r="Q12" s="5">
        <v>8.7253580995928655</v>
      </c>
      <c r="R12" s="5">
        <v>748.13040388033573</v>
      </c>
      <c r="S12" s="31"/>
      <c r="T12" s="23">
        <v>26402.35384801315</v>
      </c>
      <c r="U12" s="33">
        <v>6.7584874999738531E-2</v>
      </c>
      <c r="V12" s="5">
        <v>2</v>
      </c>
      <c r="W12" s="5">
        <v>100</v>
      </c>
      <c r="X12" s="33">
        <v>0</v>
      </c>
      <c r="Y12" s="5">
        <v>21.143451670718818</v>
      </c>
      <c r="Z12" s="5">
        <v>1090.361081302834</v>
      </c>
      <c r="AA12" s="35"/>
    </row>
    <row r="13" spans="2:27" x14ac:dyDescent="0.2">
      <c r="B13" s="4">
        <v>10</v>
      </c>
      <c r="C13" s="4">
        <v>991</v>
      </c>
      <c r="D13" s="23">
        <v>25533.657956810031</v>
      </c>
      <c r="E13" s="33">
        <v>9.1853292000450892E-2</v>
      </c>
      <c r="F13" s="5">
        <v>2</v>
      </c>
      <c r="G13" s="23">
        <v>100</v>
      </c>
      <c r="H13" s="33">
        <v>0</v>
      </c>
      <c r="I13" s="23">
        <v>8.7253580995928655</v>
      </c>
      <c r="J13" s="5">
        <v>748.13040388033573</v>
      </c>
      <c r="K13" s="31"/>
      <c r="L13" s="23">
        <v>25533.657956810031</v>
      </c>
      <c r="M13" s="33">
        <v>0.101269916001911</v>
      </c>
      <c r="N13" s="5">
        <v>2</v>
      </c>
      <c r="O13" s="5">
        <v>100</v>
      </c>
      <c r="P13" s="33">
        <v>0</v>
      </c>
      <c r="Q13" s="5">
        <v>8.7253580995928655</v>
      </c>
      <c r="R13" s="5">
        <v>748.13040388033573</v>
      </c>
      <c r="S13" s="31"/>
      <c r="T13" s="23">
        <v>26402.35384801315</v>
      </c>
      <c r="U13" s="33">
        <v>9.0517874999932246E-2</v>
      </c>
      <c r="V13" s="5">
        <v>2</v>
      </c>
      <c r="W13" s="5">
        <v>100</v>
      </c>
      <c r="X13" s="33">
        <v>0</v>
      </c>
      <c r="Y13" s="5">
        <v>21.143451670718818</v>
      </c>
      <c r="Z13" s="5">
        <v>1090.361081302834</v>
      </c>
      <c r="AA13" s="35"/>
    </row>
    <row r="14" spans="2:27" x14ac:dyDescent="0.2">
      <c r="B14" s="46" t="s">
        <v>3</v>
      </c>
      <c r="C14" s="47"/>
      <c r="D14" s="9">
        <f>MIN(D4:D13)</f>
        <v>25533.657956810031</v>
      </c>
      <c r="E14" s="22">
        <f>INDEX(E4:E13, MATCH($D$14, D4:D13, 0))</f>
        <v>4.7267584000110219E-2</v>
      </c>
      <c r="F14" s="9">
        <f>INDEX(F4:F13, MATCH($D$14, D4:D13, 0))</f>
        <v>2</v>
      </c>
      <c r="G14" s="9">
        <f>INDEX(G4:G13, MATCH($D$14, D4:D13, 0))</f>
        <v>100</v>
      </c>
      <c r="H14" s="22">
        <f>INDEX(H4:H13, MATCH($D$14, D4:D13, 0))</f>
        <v>0</v>
      </c>
      <c r="I14" s="22">
        <f>INDEX(I4:I13, MATCH($D$14, D4:D13, 0))</f>
        <v>8.7253580995928655</v>
      </c>
      <c r="J14" s="22">
        <f>INDEX(J4:J13, MATCH($D$14, D4:D13, 0))</f>
        <v>748.13040388033573</v>
      </c>
      <c r="K14" s="32">
        <f>(D14-$D$15)/$D$15</f>
        <v>0</v>
      </c>
      <c r="L14" s="16">
        <f>MIN(L4:L13)</f>
        <v>25533.657956810031</v>
      </c>
      <c r="M14" s="21">
        <f>INDEX(M4:M13, MATCH($L$14, L4:L13, 0))</f>
        <v>5.0119290997827193E-2</v>
      </c>
      <c r="N14" s="16">
        <f>INDEX(N4:N13, MATCH($L$14, L4:L13, 0))</f>
        <v>2</v>
      </c>
      <c r="O14" s="16">
        <f>INDEX(O4:O13, MATCH($L$14, L4:L13, 0))</f>
        <v>100</v>
      </c>
      <c r="P14" s="21">
        <f>INDEX(P4:P13, MATCH($L$14, L4:L13, 0))</f>
        <v>0</v>
      </c>
      <c r="Q14" s="21">
        <f>INDEX(Q4:Q13, MATCH($L$14, L4:L13, 0))</f>
        <v>8.7253580995928655</v>
      </c>
      <c r="R14" s="21">
        <f>INDEX(R4:R13, MATCH($L$14, L4:L13, 0))</f>
        <v>748.13040388033573</v>
      </c>
      <c r="S14" s="36">
        <f>(L14-$D$15)/$D$15</f>
        <v>0</v>
      </c>
      <c r="T14" s="38">
        <f>MIN(T4:T13)</f>
        <v>26402.35384801315</v>
      </c>
      <c r="U14" s="39">
        <f>INDEX(U4:U13, MATCH($T$14, T4:T13, 0))</f>
        <v>0.10146141700170121</v>
      </c>
      <c r="V14" s="38">
        <f>INDEX(V4:V13, MATCH($T$14, T4:T13, 0))</f>
        <v>2</v>
      </c>
      <c r="W14" s="38">
        <f>INDEX(W4:W13, MATCH($T$14, T4:T13, 0))</f>
        <v>100</v>
      </c>
      <c r="X14" s="39">
        <f>INDEX(X4:X13, MATCH($T$14, T4:T13, 0))</f>
        <v>0</v>
      </c>
      <c r="Y14" s="39">
        <f>INDEX(Y4:Y13, MATCH($T$14, T4:T13, 0))</f>
        <v>21.143451670718818</v>
      </c>
      <c r="Z14" s="39">
        <f>INDEX(Z4:Z13, MATCH($T$14, T4:T13, 0))</f>
        <v>1090.361081302834</v>
      </c>
      <c r="AA14" s="40">
        <f>(T14-$D$15)/$D$15</f>
        <v>3.4021599751688947E-2</v>
      </c>
    </row>
    <row r="15" spans="2:27" x14ac:dyDescent="0.2">
      <c r="C15" s="1" t="s">
        <v>17</v>
      </c>
      <c r="D15" s="34">
        <v>25533.657956810031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18" spans="4:4" x14ac:dyDescent="0.2">
      <c r="D18" s="2"/>
    </row>
  </sheetData>
  <mergeCells count="1">
    <mergeCell ref="B14:C14"/>
  </mergeCells>
  <conditionalFormatting sqref="C1:C13 C15:C16 C32:C1048576">
    <cfRule type="duplicateValues" dxfId="75" priority="11"/>
    <cfRule type="duplicateValues" dxfId="74" priority="12"/>
  </conditionalFormatting>
  <conditionalFormatting sqref="C14">
    <cfRule type="duplicateValues" dxfId="73" priority="5"/>
    <cfRule type="duplicateValues" dxfId="72" priority="6"/>
  </conditionalFormatting>
  <conditionalFormatting sqref="C17 C19:C31">
    <cfRule type="duplicateValues" dxfId="7" priority="3"/>
    <cfRule type="duplicateValues" dxfId="6" priority="4"/>
  </conditionalFormatting>
  <conditionalFormatting sqref="C18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25E4-F8C8-2D4F-AF73-AD4251FA8F3B}">
  <dimension ref="B1:AA18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>
        <f>(Q14-H14)/H14</f>
        <v>-0.63755239784343809</v>
      </c>
      <c r="J2" s="28">
        <f>(S14-J14)/J14</f>
        <v>-0.99992247403358014</v>
      </c>
      <c r="K2" s="28"/>
      <c r="L2" s="1" t="s">
        <v>19</v>
      </c>
      <c r="P2" s="1">
        <f>(P14-H14)/H14</f>
        <v>-1</v>
      </c>
      <c r="R2" s="1">
        <f>(R14-J14)/J14</f>
        <v>-0.41495221733229815</v>
      </c>
      <c r="T2" s="1" t="s">
        <v>20</v>
      </c>
      <c r="X2" s="1" t="e">
        <f>(X14-P14)/P14</f>
        <v>#DIV/0!</v>
      </c>
      <c r="Z2" s="1">
        <f>(Z14-R14)/R14</f>
        <v>1.0786436914368474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148</v>
      </c>
      <c r="D4" s="23">
        <v>35936.241574734871</v>
      </c>
      <c r="E4" s="33">
        <v>9.266079200006061E-2</v>
      </c>
      <c r="F4" s="5">
        <v>2</v>
      </c>
      <c r="G4" s="23">
        <v>90</v>
      </c>
      <c r="H4" s="33">
        <v>32.640922319288116</v>
      </c>
      <c r="I4" s="23">
        <v>30.34748227890589</v>
      </c>
      <c r="J4" s="5">
        <v>1758.8700736661667</v>
      </c>
      <c r="K4" s="31"/>
      <c r="L4" s="23">
        <v>44019.290405870772</v>
      </c>
      <c r="M4" s="33">
        <v>3.9915042001666727E-2</v>
      </c>
      <c r="N4" s="5">
        <v>3</v>
      </c>
      <c r="O4" s="5">
        <v>80</v>
      </c>
      <c r="P4" s="33">
        <v>0</v>
      </c>
      <c r="Q4" s="5">
        <v>14.328244001276405</v>
      </c>
      <c r="R4" s="5">
        <v>952.46109764896607</v>
      </c>
      <c r="S4" s="31"/>
      <c r="T4" s="23">
        <v>39399.237329240161</v>
      </c>
      <c r="U4" s="33">
        <v>5.6834209000953713E-2</v>
      </c>
      <c r="V4" s="5">
        <v>2</v>
      </c>
      <c r="W4" s="5">
        <v>80</v>
      </c>
      <c r="X4" s="33">
        <v>97.724723976728114</v>
      </c>
      <c r="Y4" s="5">
        <v>43.711476887992958</v>
      </c>
      <c r="Z4" s="5">
        <v>2138.9722433696334</v>
      </c>
      <c r="AA4" s="35"/>
    </row>
    <row r="5" spans="2:27" x14ac:dyDescent="0.2">
      <c r="B5" s="4">
        <v>2</v>
      </c>
      <c r="C5" s="4">
        <v>167</v>
      </c>
      <c r="D5" s="23">
        <v>35936.241574734871</v>
      </c>
      <c r="E5" s="33">
        <v>7.5010333000136598E-2</v>
      </c>
      <c r="F5" s="5">
        <v>2</v>
      </c>
      <c r="G5" s="23">
        <v>90</v>
      </c>
      <c r="H5" s="33">
        <v>32.640922319288116</v>
      </c>
      <c r="I5" s="23">
        <v>30.34748227890589</v>
      </c>
      <c r="J5" s="5">
        <v>1758.8700736661667</v>
      </c>
      <c r="K5" s="31"/>
      <c r="L5" s="23">
        <v>40836.439278509337</v>
      </c>
      <c r="M5" s="33">
        <v>6.001704200025415E-2</v>
      </c>
      <c r="N5" s="5">
        <v>2</v>
      </c>
      <c r="O5" s="5">
        <v>70</v>
      </c>
      <c r="P5" s="33">
        <v>0</v>
      </c>
      <c r="Q5" s="5">
        <v>11.830624026804582</v>
      </c>
      <c r="R5" s="5">
        <v>1029.0230365989682</v>
      </c>
      <c r="S5" s="31"/>
      <c r="T5" s="23">
        <v>39621.329186193208</v>
      </c>
      <c r="U5" s="33">
        <v>6.223554099778994E-2</v>
      </c>
      <c r="V5" s="5">
        <v>2</v>
      </c>
      <c r="W5" s="5">
        <v>80</v>
      </c>
      <c r="X5" s="33">
        <v>48.968623458846984</v>
      </c>
      <c r="Y5" s="5">
        <v>38.478133467058164</v>
      </c>
      <c r="Z5" s="5">
        <v>1944.2305392897215</v>
      </c>
      <c r="AA5" s="35"/>
    </row>
    <row r="6" spans="2:27" x14ac:dyDescent="0.2">
      <c r="B6" s="4">
        <v>3</v>
      </c>
      <c r="C6" s="4">
        <v>178</v>
      </c>
      <c r="D6" s="23">
        <v>35936.241574734871</v>
      </c>
      <c r="E6" s="33">
        <v>8.2134042000689078E-2</v>
      </c>
      <c r="F6" s="5">
        <v>2</v>
      </c>
      <c r="G6" s="23">
        <v>90</v>
      </c>
      <c r="H6" s="33">
        <v>32.640922319288116</v>
      </c>
      <c r="I6" s="23">
        <v>30.34748227890589</v>
      </c>
      <c r="J6" s="5">
        <v>1758.8700736661667</v>
      </c>
      <c r="K6" s="31"/>
      <c r="L6" s="23">
        <v>40929.136585227767</v>
      </c>
      <c r="M6" s="33">
        <v>7.4686916999780806E-2</v>
      </c>
      <c r="N6" s="5">
        <v>2</v>
      </c>
      <c r="O6" s="5">
        <v>70</v>
      </c>
      <c r="P6" s="33">
        <v>0</v>
      </c>
      <c r="Q6" s="5">
        <v>11.641741567956844</v>
      </c>
      <c r="R6" s="5">
        <v>1031.8825175003992</v>
      </c>
      <c r="S6" s="31"/>
      <c r="T6" s="23">
        <v>39683.628570821369</v>
      </c>
      <c r="U6" s="33">
        <v>0.10066004199688899</v>
      </c>
      <c r="V6" s="5">
        <v>2</v>
      </c>
      <c r="W6" s="5">
        <v>80</v>
      </c>
      <c r="X6" s="33">
        <v>97.724723976728114</v>
      </c>
      <c r="Y6" s="5">
        <v>41.985199522984075</v>
      </c>
      <c r="Z6" s="5">
        <v>2109.8879223239642</v>
      </c>
      <c r="AA6" s="35"/>
    </row>
    <row r="7" spans="2:27" x14ac:dyDescent="0.2">
      <c r="B7" s="4">
        <v>4</v>
      </c>
      <c r="C7" s="4">
        <v>252</v>
      </c>
      <c r="D7" s="23">
        <v>35936.241574734871</v>
      </c>
      <c r="E7" s="33">
        <v>5.218700000023091E-2</v>
      </c>
      <c r="F7" s="5">
        <v>2</v>
      </c>
      <c r="G7" s="23">
        <v>90</v>
      </c>
      <c r="H7" s="33">
        <v>32.640922319288116</v>
      </c>
      <c r="I7" s="23">
        <v>30.34748227890589</v>
      </c>
      <c r="J7" s="5">
        <v>1758.8700736661667</v>
      </c>
      <c r="K7" s="31"/>
      <c r="L7" s="23">
        <v>41060.370300453593</v>
      </c>
      <c r="M7" s="33">
        <v>4.9625375002506189E-2</v>
      </c>
      <c r="N7" s="5">
        <v>2</v>
      </c>
      <c r="O7" s="5">
        <v>70</v>
      </c>
      <c r="P7" s="33">
        <v>0</v>
      </c>
      <c r="Q7" s="5">
        <v>11.517159520631743</v>
      </c>
      <c r="R7" s="5">
        <v>1029.4837079765896</v>
      </c>
      <c r="S7" s="31"/>
      <c r="T7" s="23">
        <v>39614.909963027887</v>
      </c>
      <c r="U7" s="33">
        <v>6.263487500109477E-2</v>
      </c>
      <c r="V7" s="5">
        <v>2</v>
      </c>
      <c r="W7" s="5">
        <v>80</v>
      </c>
      <c r="X7" s="33">
        <v>97.724723976728114</v>
      </c>
      <c r="Y7" s="5">
        <v>41.543453144219946</v>
      </c>
      <c r="Z7" s="5">
        <v>2096.7610418791273</v>
      </c>
      <c r="AA7" s="35"/>
    </row>
    <row r="8" spans="2:27" x14ac:dyDescent="0.2">
      <c r="B8" s="4">
        <v>5</v>
      </c>
      <c r="C8" s="4">
        <v>376</v>
      </c>
      <c r="D8" s="23">
        <v>35936.241574734871</v>
      </c>
      <c r="E8" s="33">
        <v>5.9374292000029527E-2</v>
      </c>
      <c r="F8" s="5">
        <v>2</v>
      </c>
      <c r="G8" s="23">
        <v>90</v>
      </c>
      <c r="H8" s="33">
        <v>32.640922319288116</v>
      </c>
      <c r="I8" s="23">
        <v>30.34748227890589</v>
      </c>
      <c r="J8" s="5">
        <v>1758.8700736661667</v>
      </c>
      <c r="K8" s="31"/>
      <c r="L8" s="23">
        <v>40836.439278509337</v>
      </c>
      <c r="M8" s="33">
        <v>8.3878957997512771E-2</v>
      </c>
      <c r="N8" s="5">
        <v>2</v>
      </c>
      <c r="O8" s="5">
        <v>70</v>
      </c>
      <c r="P8" s="33">
        <v>0</v>
      </c>
      <c r="Q8" s="5">
        <v>11.830624026804582</v>
      </c>
      <c r="R8" s="5">
        <v>1029.0230365989682</v>
      </c>
      <c r="S8" s="31"/>
      <c r="T8" s="23">
        <v>41009.517263079462</v>
      </c>
      <c r="U8" s="33">
        <v>5.7228040997870273E-2</v>
      </c>
      <c r="V8" s="5">
        <v>2</v>
      </c>
      <c r="W8" s="5">
        <v>80</v>
      </c>
      <c r="X8" s="33">
        <v>7.9002620863991524</v>
      </c>
      <c r="Y8" s="5">
        <v>34.416046170175385</v>
      </c>
      <c r="Z8" s="5">
        <v>2055.1207760342954</v>
      </c>
      <c r="AA8" s="35"/>
    </row>
    <row r="9" spans="2:27" x14ac:dyDescent="0.2">
      <c r="B9" s="4">
        <v>6</v>
      </c>
      <c r="C9" s="4">
        <v>390</v>
      </c>
      <c r="D9" s="23">
        <v>35936.241574734871</v>
      </c>
      <c r="E9" s="33">
        <v>4.9233707999519538E-2</v>
      </c>
      <c r="F9" s="5">
        <v>2</v>
      </c>
      <c r="G9" s="23">
        <v>90</v>
      </c>
      <c r="H9" s="33">
        <v>32.640922319288116</v>
      </c>
      <c r="I9" s="23">
        <v>30.34748227890589</v>
      </c>
      <c r="J9" s="5">
        <v>1758.8700736661667</v>
      </c>
      <c r="K9" s="31"/>
      <c r="L9" s="23">
        <v>43108.196634626183</v>
      </c>
      <c r="M9" s="33">
        <v>6.0401916001865168E-2</v>
      </c>
      <c r="N9" s="5">
        <v>2</v>
      </c>
      <c r="O9" s="5">
        <v>60</v>
      </c>
      <c r="P9" s="33">
        <v>0</v>
      </c>
      <c r="Q9" s="5">
        <v>17.533328839752446</v>
      </c>
      <c r="R9" s="5">
        <v>1002.1963686141845</v>
      </c>
      <c r="S9" s="31"/>
      <c r="T9" s="23">
        <v>39621.329186193208</v>
      </c>
      <c r="U9" s="33">
        <v>6.9894750002276851E-2</v>
      </c>
      <c r="V9" s="5">
        <v>2</v>
      </c>
      <c r="W9" s="5">
        <v>80</v>
      </c>
      <c r="X9" s="33">
        <v>48.968623458846984</v>
      </c>
      <c r="Y9" s="5">
        <v>38.478133467058164</v>
      </c>
      <c r="Z9" s="5">
        <v>1944.2305392897215</v>
      </c>
      <c r="AA9" s="35"/>
    </row>
    <row r="10" spans="2:27" x14ac:dyDescent="0.2">
      <c r="B10" s="4">
        <v>7</v>
      </c>
      <c r="C10" s="4">
        <v>645</v>
      </c>
      <c r="D10" s="23">
        <v>35936.241574734871</v>
      </c>
      <c r="E10" s="33">
        <v>9.1498290999879828E-2</v>
      </c>
      <c r="F10" s="5">
        <v>2</v>
      </c>
      <c r="G10" s="23">
        <v>90</v>
      </c>
      <c r="H10" s="33">
        <v>32.640922319288116</v>
      </c>
      <c r="I10" s="23">
        <v>30.34748227890589</v>
      </c>
      <c r="J10" s="5">
        <v>1758.8700736661667</v>
      </c>
      <c r="K10" s="31"/>
      <c r="L10" s="23">
        <v>40836.439278509337</v>
      </c>
      <c r="M10" s="33">
        <v>8.0173790996923344E-2</v>
      </c>
      <c r="N10" s="5">
        <v>2</v>
      </c>
      <c r="O10" s="5">
        <v>70</v>
      </c>
      <c r="P10" s="33">
        <v>0</v>
      </c>
      <c r="Q10" s="5">
        <v>11.830624026804582</v>
      </c>
      <c r="R10" s="5">
        <v>1029.0230365989682</v>
      </c>
      <c r="S10" s="31"/>
      <c r="T10" s="23">
        <v>39399.237329240161</v>
      </c>
      <c r="U10" s="33">
        <v>0.128667332999612</v>
      </c>
      <c r="V10" s="5">
        <v>2</v>
      </c>
      <c r="W10" s="5">
        <v>80</v>
      </c>
      <c r="X10" s="33">
        <v>97.724723976728114</v>
      </c>
      <c r="Y10" s="5">
        <v>43.711476887992958</v>
      </c>
      <c r="Z10" s="5">
        <v>2138.9722433696334</v>
      </c>
      <c r="AA10" s="35"/>
    </row>
    <row r="11" spans="2:27" x14ac:dyDescent="0.2">
      <c r="B11" s="4">
        <v>8</v>
      </c>
      <c r="C11" s="4">
        <v>687</v>
      </c>
      <c r="D11" s="23">
        <v>35936.241574734871</v>
      </c>
      <c r="E11" s="33">
        <v>0.10454916600065189</v>
      </c>
      <c r="F11" s="5">
        <v>2</v>
      </c>
      <c r="G11" s="23">
        <v>90</v>
      </c>
      <c r="H11" s="33">
        <v>32.640922319288116</v>
      </c>
      <c r="I11" s="23">
        <v>30.34748227890589</v>
      </c>
      <c r="J11" s="5">
        <v>1758.8700736661667</v>
      </c>
      <c r="K11" s="31"/>
      <c r="L11" s="23">
        <v>42841.575437721513</v>
      </c>
      <c r="M11" s="33">
        <v>0.1052090000011958</v>
      </c>
      <c r="N11" s="5">
        <v>2</v>
      </c>
      <c r="O11" s="5">
        <v>60</v>
      </c>
      <c r="P11" s="33">
        <v>0</v>
      </c>
      <c r="Q11" s="5">
        <v>17.578016384439998</v>
      </c>
      <c r="R11" s="5">
        <v>978.48702974289472</v>
      </c>
      <c r="S11" s="31"/>
      <c r="T11" s="23">
        <v>39614.909963027887</v>
      </c>
      <c r="U11" s="33">
        <v>0.1115930830019352</v>
      </c>
      <c r="V11" s="5">
        <v>2</v>
      </c>
      <c r="W11" s="5">
        <v>80</v>
      </c>
      <c r="X11" s="33">
        <v>97.724723976728114</v>
      </c>
      <c r="Y11" s="5">
        <v>41.543453144219946</v>
      </c>
      <c r="Z11" s="5">
        <v>2096.7610418791273</v>
      </c>
      <c r="AA11" s="35"/>
    </row>
    <row r="12" spans="2:27" x14ac:dyDescent="0.2">
      <c r="B12" s="4">
        <v>9</v>
      </c>
      <c r="C12" s="4">
        <v>813</v>
      </c>
      <c r="D12" s="23">
        <v>35936.241574734871</v>
      </c>
      <c r="E12" s="33">
        <v>5.8791083999494731E-2</v>
      </c>
      <c r="F12" s="5">
        <v>2</v>
      </c>
      <c r="G12" s="23">
        <v>90</v>
      </c>
      <c r="H12" s="33">
        <v>32.640922319288116</v>
      </c>
      <c r="I12" s="23">
        <v>30.34748227890589</v>
      </c>
      <c r="J12" s="5">
        <v>1758.8700736661667</v>
      </c>
      <c r="K12" s="31"/>
      <c r="L12" s="23">
        <v>40929.136585227767</v>
      </c>
      <c r="M12" s="33">
        <v>6.1515792000136571E-2</v>
      </c>
      <c r="N12" s="5">
        <v>2</v>
      </c>
      <c r="O12" s="5">
        <v>70</v>
      </c>
      <c r="P12" s="33">
        <v>0</v>
      </c>
      <c r="Q12" s="5">
        <v>11.641741567956844</v>
      </c>
      <c r="R12" s="5">
        <v>1031.8825175003992</v>
      </c>
      <c r="S12" s="31"/>
      <c r="T12" s="23">
        <v>39399.237329240161</v>
      </c>
      <c r="U12" s="33">
        <v>5.3358334000222378E-2</v>
      </c>
      <c r="V12" s="5">
        <v>2</v>
      </c>
      <c r="W12" s="5">
        <v>80</v>
      </c>
      <c r="X12" s="33">
        <v>97.724723976728114</v>
      </c>
      <c r="Y12" s="5">
        <v>43.711476887992958</v>
      </c>
      <c r="Z12" s="5">
        <v>2138.9722433696334</v>
      </c>
      <c r="AA12" s="35"/>
    </row>
    <row r="13" spans="2:27" x14ac:dyDescent="0.2">
      <c r="B13" s="4">
        <v>10</v>
      </c>
      <c r="C13" s="4">
        <v>694</v>
      </c>
      <c r="D13" s="23">
        <v>35936.241574734871</v>
      </c>
      <c r="E13" s="33">
        <v>6.6151541999715846E-2</v>
      </c>
      <c r="F13" s="5">
        <v>2</v>
      </c>
      <c r="G13" s="23">
        <v>90</v>
      </c>
      <c r="H13" s="33">
        <v>32.640922319288116</v>
      </c>
      <c r="I13" s="23">
        <v>30.34748227890589</v>
      </c>
      <c r="J13" s="5">
        <v>1758.8700736661667</v>
      </c>
      <c r="K13" s="31"/>
      <c r="L13" s="23">
        <v>40929.136585227767</v>
      </c>
      <c r="M13" s="33">
        <v>8.6702541997510707E-2</v>
      </c>
      <c r="N13" s="5">
        <v>2</v>
      </c>
      <c r="O13" s="5">
        <v>70</v>
      </c>
      <c r="P13" s="33">
        <v>0</v>
      </c>
      <c r="Q13" s="5">
        <v>11.641741567956844</v>
      </c>
      <c r="R13" s="5">
        <v>1031.8825175003992</v>
      </c>
      <c r="S13" s="31"/>
      <c r="T13" s="23">
        <v>39614.909963027887</v>
      </c>
      <c r="U13" s="33">
        <v>5.5632709001656622E-2</v>
      </c>
      <c r="V13" s="5">
        <v>2</v>
      </c>
      <c r="W13" s="5">
        <v>80</v>
      </c>
      <c r="X13" s="33">
        <v>97.724723976728114</v>
      </c>
      <c r="Y13" s="5">
        <v>41.543453144219946</v>
      </c>
      <c r="Z13" s="5">
        <v>2096.7610418791273</v>
      </c>
      <c r="AA13" s="35"/>
    </row>
    <row r="14" spans="2:27" x14ac:dyDescent="0.2">
      <c r="B14" s="46" t="s">
        <v>3</v>
      </c>
      <c r="C14" s="47"/>
      <c r="D14" s="9">
        <f>MIN(D4:D13)</f>
        <v>35936.241574734871</v>
      </c>
      <c r="E14" s="22">
        <f>INDEX(E4:E13, MATCH($D$14, D4:D13, 0))</f>
        <v>9.266079200006061E-2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32.640922319288116</v>
      </c>
      <c r="I14" s="22">
        <f>INDEX(I4:I13, MATCH($D$14, D4:D13, 0))</f>
        <v>30.34748227890589</v>
      </c>
      <c r="J14" s="22">
        <f>INDEX(J4:J13, MATCH($D$14, D4:D13, 0))</f>
        <v>1758.8700736661667</v>
      </c>
      <c r="K14" s="32">
        <f>(D14-$D$15)/$D$15</f>
        <v>0</v>
      </c>
      <c r="L14" s="16">
        <f>MIN(L4:L13)</f>
        <v>40836.439278509337</v>
      </c>
      <c r="M14" s="21">
        <f>INDEX(M4:M13, MATCH($L$14, L4:L13, 0))</f>
        <v>6.001704200025415E-2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11.830624026804582</v>
      </c>
      <c r="R14" s="21">
        <f>INDEX(R4:R13, MATCH($L$14, L4:L13, 0))</f>
        <v>1029.0230365989682</v>
      </c>
      <c r="S14" s="36">
        <f>(L14-$D$15)/$D$15</f>
        <v>0.13635810226797815</v>
      </c>
      <c r="T14" s="38">
        <f>MIN(T4:T13)</f>
        <v>39399.237329240161</v>
      </c>
      <c r="U14" s="39">
        <f>INDEX(U4:U13, MATCH($T$14, T4:T13, 0))</f>
        <v>5.6834209000953713E-2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97.724723976728114</v>
      </c>
      <c r="Y14" s="39">
        <f>INDEX(Y4:Y13, MATCH($T$14, T4:T13, 0))</f>
        <v>43.711476887992958</v>
      </c>
      <c r="Z14" s="39">
        <f>INDEX(Z4:Z13, MATCH($T$14, T4:T13, 0))</f>
        <v>2138.9722433696334</v>
      </c>
      <c r="AA14" s="40">
        <f>(T14-$D$15)/$D$15</f>
        <v>9.6364995412874882E-2</v>
      </c>
    </row>
    <row r="15" spans="2:27" x14ac:dyDescent="0.2">
      <c r="C15" s="1" t="s">
        <v>17</v>
      </c>
      <c r="D15" s="34">
        <v>35936.241574734871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18" spans="4:4" x14ac:dyDescent="0.2">
      <c r="D18" s="2"/>
    </row>
  </sheetData>
  <mergeCells count="1">
    <mergeCell ref="B14:C14"/>
  </mergeCells>
  <conditionalFormatting sqref="C1:C13 C15:C16 C32:C1048576">
    <cfRule type="duplicateValues" dxfId="69" priority="11"/>
    <cfRule type="duplicateValues" dxfId="68" priority="12"/>
  </conditionalFormatting>
  <conditionalFormatting sqref="C14">
    <cfRule type="duplicateValues" dxfId="67" priority="5"/>
    <cfRule type="duplicateValues" dxfId="66" priority="6"/>
  </conditionalFormatting>
  <conditionalFormatting sqref="C17 C19:C31">
    <cfRule type="duplicateValues" dxfId="3" priority="3"/>
    <cfRule type="duplicateValues" dxfId="2" priority="4"/>
  </conditionalFormatting>
  <conditionalFormatting sqref="C18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63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62" priority="1"/>
  </conditionalFormatting>
  <conditionalFormatting sqref="L14">
    <cfRule type="duplicateValues" dxfId="61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60" priority="1"/>
  </conditionalFormatting>
  <conditionalFormatting sqref="L14">
    <cfRule type="duplicateValues" dxfId="59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8" priority="1"/>
  </conditionalFormatting>
  <conditionalFormatting sqref="L14">
    <cfRule type="duplicateValues" dxfId="57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6" priority="1"/>
  </conditionalFormatting>
  <conditionalFormatting sqref="L14">
    <cfRule type="duplicateValues" dxfId="55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4" priority="1"/>
  </conditionalFormatting>
  <conditionalFormatting sqref="L14">
    <cfRule type="duplicateValues" dxfId="53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2" priority="1"/>
    <cfRule type="duplicateValues" dxfId="51" priority="2"/>
  </conditionalFormatting>
  <conditionalFormatting sqref="L14">
    <cfRule type="duplicateValues" dxfId="50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9" priority="1"/>
  </conditionalFormatting>
  <conditionalFormatting sqref="L14">
    <cfRule type="duplicateValues" dxfId="48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7" priority="1"/>
  </conditionalFormatting>
  <conditionalFormatting sqref="L14">
    <cfRule type="duplicateValues" dxfId="46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5" priority="1"/>
  </conditionalFormatting>
  <conditionalFormatting sqref="L14">
    <cfRule type="duplicateValues" dxfId="44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43" priority="1"/>
  </conditionalFormatting>
  <conditionalFormatting sqref="L14">
    <cfRule type="duplicateValues" dxfId="42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1" priority="1"/>
  </conditionalFormatting>
  <conditionalFormatting sqref="L14">
    <cfRule type="duplicateValues" dxfId="40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9" priority="1"/>
  </conditionalFormatting>
  <conditionalFormatting sqref="L14">
    <cfRule type="duplicateValues" dxfId="38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7" priority="1"/>
  </conditionalFormatting>
  <conditionalFormatting sqref="L14">
    <cfRule type="duplicateValues" dxfId="36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results37</vt:lpstr>
      <vt:lpstr>results40</vt:lpstr>
      <vt:lpstr>results148</vt:lpstr>
      <vt:lpstr>results216</vt:lpstr>
      <vt:lpstr>results351</vt:lpstr>
      <vt:lpstr>results530</vt:lpstr>
      <vt:lpstr>results652</vt:lpstr>
      <vt:lpstr>results707</vt:lpstr>
      <vt:lpstr>results823</vt:lpstr>
      <vt:lpstr>results919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2026-10-16T18:32:22Z</dcterms:modified>
</cp:coreProperties>
</file>