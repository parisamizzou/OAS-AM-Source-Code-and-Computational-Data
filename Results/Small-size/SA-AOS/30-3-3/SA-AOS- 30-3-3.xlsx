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30-3-3/"/>
    </mc:Choice>
  </mc:AlternateContent>
  <xr:revisionPtr revIDLastSave="0" documentId="13_ncr:1_{4D7183BD-4D03-D74E-BC5C-764556A60C88}" xr6:coauthVersionLast="47" xr6:coauthVersionMax="47" xr10:uidLastSave="{00000000-0000-0000-0000-000000000000}"/>
  <bookViews>
    <workbookView xWindow="0" yWindow="760" windowWidth="34560" windowHeight="20420" tabRatio="761" activeTab="10" xr2:uid="{41E620E7-D6DF-9342-B452-EA60AB3B07C5}"/>
  </bookViews>
  <sheets>
    <sheet name="Summary" sheetId="67" r:id="rId1"/>
    <sheet name="results118" sheetId="59" r:id="rId2"/>
    <sheet name="results287" sheetId="57" r:id="rId3"/>
    <sheet name="results503" sheetId="58" r:id="rId4"/>
    <sheet name="results579" sheetId="60" r:id="rId5"/>
    <sheet name="results685" sheetId="61" r:id="rId6"/>
    <sheet name="results759" sheetId="62" r:id="rId7"/>
    <sheet name="results782" sheetId="63" r:id="rId8"/>
    <sheet name="results818" sheetId="64" r:id="rId9"/>
    <sheet name="results872" sheetId="65" r:id="rId10"/>
    <sheet name="results982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8" l="1"/>
  <c r="K12" i="58"/>
  <c r="K11" i="58"/>
  <c r="K10" i="58"/>
  <c r="K9" i="58"/>
  <c r="K8" i="58"/>
  <c r="K7" i="58"/>
  <c r="K6" i="58"/>
  <c r="K5" i="58"/>
  <c r="K4" i="58"/>
  <c r="K13" i="57"/>
  <c r="K12" i="57"/>
  <c r="K11" i="57"/>
  <c r="K10" i="57"/>
  <c r="K9" i="57"/>
  <c r="K8" i="57"/>
  <c r="K7" i="57"/>
  <c r="K6" i="57"/>
  <c r="K5" i="57"/>
  <c r="K4" i="57"/>
  <c r="I3" i="67" a="1"/>
  <c r="H7" i="67" a="1"/>
  <c r="C8" i="67" a="1"/>
  <c r="H12" i="67" a="1"/>
  <c r="C11" i="67" a="1"/>
  <c r="E10" i="67" a="1"/>
  <c r="E4" i="67" a="1"/>
  <c r="E5" i="67" a="1"/>
  <c r="F9" i="67" a="1"/>
  <c r="F7" i="67" a="1"/>
  <c r="D8" i="67" a="1"/>
  <c r="G9" i="67" a="1"/>
  <c r="F6" i="67" a="1"/>
  <c r="G11" i="67" a="1"/>
  <c r="H8" i="67" a="1"/>
  <c r="H9" i="67" a="1"/>
  <c r="H5" i="67" a="1"/>
  <c r="G4" i="67" a="1"/>
  <c r="G5" i="67" a="1"/>
  <c r="D11" i="67" a="1"/>
  <c r="G12" i="67" a="1"/>
  <c r="E7" i="67" a="1"/>
  <c r="D3" i="67" a="1"/>
  <c r="D10" i="67" a="1"/>
  <c r="D7" i="67" a="1"/>
  <c r="G10" i="67" a="1"/>
  <c r="C6" i="67" a="1"/>
  <c r="H3" i="67" a="1"/>
  <c r="F5" i="67" a="1"/>
  <c r="F11" i="67" a="1"/>
  <c r="C4" i="67" a="1"/>
  <c r="F10" i="67" a="1"/>
  <c r="I6" i="67" a="1"/>
  <c r="D5" i="67" a="1"/>
  <c r="I7" i="67" a="1"/>
  <c r="F12" i="67" a="1"/>
  <c r="E3" i="67" a="1"/>
  <c r="D12" i="67" a="1"/>
  <c r="I9" i="67" a="1"/>
  <c r="E9" i="67" a="1"/>
  <c r="H10" i="67" a="1"/>
  <c r="G8" i="67" a="1"/>
  <c r="F8" i="67" a="1"/>
  <c r="I4" i="67" a="1"/>
  <c r="E8" i="67" a="1"/>
  <c r="G3" i="67" a="1"/>
  <c r="E12" i="67" a="1"/>
  <c r="I5" i="67" a="1"/>
  <c r="D6" i="67" a="1"/>
  <c r="G7" i="67" a="1"/>
  <c r="G6" i="67" a="1"/>
  <c r="C12" i="67" a="1"/>
  <c r="C9" i="67" a="1"/>
  <c r="F4" i="67" a="1"/>
  <c r="D4" i="67" a="1"/>
  <c r="I12" i="67" a="1"/>
  <c r="H11" i="67" a="1"/>
  <c r="E11" i="67" a="1"/>
  <c r="C5" i="67" a="1"/>
  <c r="H6" i="67" a="1"/>
  <c r="I8" i="67" a="1"/>
  <c r="E6" i="67" a="1"/>
  <c r="C10" i="67" a="1"/>
  <c r="C7" i="67" a="1"/>
  <c r="I11" i="67" a="1"/>
  <c r="H4" i="67" a="1"/>
  <c r="D9" i="67" a="1"/>
  <c r="I10" i="67" a="1"/>
  <c r="F3" i="67" a="1"/>
  <c r="C3" i="67" a="1"/>
  <c r="T14" i="65" l="1"/>
  <c r="Z14" i="65" s="1"/>
  <c r="T14" i="64"/>
  <c r="U14" i="64" s="1"/>
  <c r="T14" i="63"/>
  <c r="AA14" i="63" s="1"/>
  <c r="T14" i="62"/>
  <c r="T14" i="61"/>
  <c r="T14" i="66"/>
  <c r="U14" i="66" s="1"/>
  <c r="T14" i="60"/>
  <c r="T14" i="58"/>
  <c r="T14" i="57"/>
  <c r="X14" i="57" s="1"/>
  <c r="T14" i="59"/>
  <c r="L14" i="65"/>
  <c r="L14" i="64"/>
  <c r="L14" i="63"/>
  <c r="Q14" i="63" s="1"/>
  <c r="L14" i="62"/>
  <c r="L14" i="61"/>
  <c r="S14" i="61" s="1"/>
  <c r="L14" i="66"/>
  <c r="N14" i="66" s="1"/>
  <c r="L14" i="60"/>
  <c r="L14" i="58"/>
  <c r="L14" i="57"/>
  <c r="L14" i="59"/>
  <c r="AA14" i="66"/>
  <c r="Y14" i="66"/>
  <c r="X14" i="66"/>
  <c r="AA14" i="65"/>
  <c r="S14" i="65"/>
  <c r="Q14" i="65"/>
  <c r="P14" i="65"/>
  <c r="O14" i="65"/>
  <c r="N14" i="65"/>
  <c r="M14" i="65"/>
  <c r="V14" i="64"/>
  <c r="R14" i="64"/>
  <c r="O14" i="64"/>
  <c r="M14" i="64"/>
  <c r="S14" i="64"/>
  <c r="Q14" i="64"/>
  <c r="P14" i="64"/>
  <c r="N14" i="64"/>
  <c r="X14" i="63"/>
  <c r="W14" i="63"/>
  <c r="V14" i="63"/>
  <c r="U14" i="63"/>
  <c r="P14" i="62"/>
  <c r="O14" i="62"/>
  <c r="N14" i="62"/>
  <c r="M14" i="62"/>
  <c r="AA14" i="62"/>
  <c r="Z14" i="62"/>
  <c r="Y14" i="62"/>
  <c r="X14" i="62"/>
  <c r="W14" i="62"/>
  <c r="V14" i="62"/>
  <c r="U14" i="62"/>
  <c r="Q14" i="61"/>
  <c r="P14" i="61"/>
  <c r="O14" i="61"/>
  <c r="M14" i="61"/>
  <c r="N14" i="61"/>
  <c r="R14" i="61"/>
  <c r="AA14" i="60"/>
  <c r="Z14" i="60"/>
  <c r="Y14" i="60"/>
  <c r="X14" i="60"/>
  <c r="W14" i="60"/>
  <c r="V14" i="60"/>
  <c r="U14" i="60"/>
  <c r="P14" i="60"/>
  <c r="O14" i="60"/>
  <c r="N14" i="60"/>
  <c r="S14" i="60"/>
  <c r="R14" i="60"/>
  <c r="Q14" i="60"/>
  <c r="M14" i="60"/>
  <c r="AA14" i="58"/>
  <c r="Z14" i="58"/>
  <c r="Y14" i="58"/>
  <c r="X14" i="58"/>
  <c r="W14" i="58"/>
  <c r="V14" i="58"/>
  <c r="U14" i="58"/>
  <c r="R14" i="58"/>
  <c r="Q14" i="58"/>
  <c r="P14" i="58"/>
  <c r="O14" i="58"/>
  <c r="S14" i="58"/>
  <c r="N14" i="58"/>
  <c r="M14" i="58"/>
  <c r="W14" i="57"/>
  <c r="U14" i="57"/>
  <c r="AA14" i="57"/>
  <c r="Z14" i="57"/>
  <c r="V14" i="57"/>
  <c r="Y14" i="57"/>
  <c r="Q14" i="57"/>
  <c r="P14" i="57"/>
  <c r="O14" i="57"/>
  <c r="N14" i="57"/>
  <c r="M14" i="57"/>
  <c r="R14" i="57"/>
  <c r="S14" i="57"/>
  <c r="Q14" i="59"/>
  <c r="P14" i="59"/>
  <c r="O14" i="59"/>
  <c r="N14" i="59"/>
  <c r="M14" i="59"/>
  <c r="S14" i="59"/>
  <c r="R14" i="59"/>
  <c r="Y14" i="59"/>
  <c r="V14" i="59"/>
  <c r="U14" i="59"/>
  <c r="X14" i="59"/>
  <c r="AA14" i="59"/>
  <c r="Z14" i="59"/>
  <c r="W14" i="59"/>
  <c r="D6" i="67"/>
  <c r="I8" i="67"/>
  <c r="D7" i="67"/>
  <c r="F3" i="67"/>
  <c r="E7" i="67"/>
  <c r="D11" i="67"/>
  <c r="E11" i="67"/>
  <c r="C12" i="67"/>
  <c r="H8" i="67"/>
  <c r="D10" i="67"/>
  <c r="D4" i="67"/>
  <c r="G12" i="67"/>
  <c r="E3" i="67"/>
  <c r="I12" i="67"/>
  <c r="C4" i="67"/>
  <c r="G6" i="67"/>
  <c r="F9" i="67"/>
  <c r="G9" i="67"/>
  <c r="G4" i="67"/>
  <c r="D5" i="67"/>
  <c r="G10" i="67"/>
  <c r="H4" i="67"/>
  <c r="E5" i="67"/>
  <c r="H10" i="67"/>
  <c r="F11" i="67"/>
  <c r="D12" i="67"/>
  <c r="D3" i="67"/>
  <c r="I4" i="67"/>
  <c r="F5" i="67"/>
  <c r="C6" i="67"/>
  <c r="G8" i="67"/>
  <c r="D9" i="67"/>
  <c r="I10" i="67"/>
  <c r="G11" i="67"/>
  <c r="G5" i="67"/>
  <c r="E9" i="67"/>
  <c r="C10" i="67"/>
  <c r="G3" i="67"/>
  <c r="H6" i="67"/>
  <c r="I6" i="67"/>
  <c r="F7" i="67"/>
  <c r="C8" i="67"/>
  <c r="G7" i="67"/>
  <c r="D8" i="67"/>
  <c r="H12" i="67"/>
  <c r="H3" i="67"/>
  <c r="E6" i="67"/>
  <c r="H7" i="67"/>
  <c r="E10" i="67"/>
  <c r="H11" i="67"/>
  <c r="I3" i="67"/>
  <c r="F4" i="67"/>
  <c r="C5" i="67"/>
  <c r="F6" i="67"/>
  <c r="C7" i="67"/>
  <c r="I7" i="67"/>
  <c r="F8" i="67"/>
  <c r="C9" i="67"/>
  <c r="I9" i="67"/>
  <c r="F10" i="67"/>
  <c r="C11" i="67"/>
  <c r="I11" i="67"/>
  <c r="F12" i="67"/>
  <c r="E4" i="67"/>
  <c r="H5" i="67"/>
  <c r="E8" i="67"/>
  <c r="H9" i="67"/>
  <c r="E12" i="67"/>
  <c r="C3" i="67"/>
  <c r="I5" i="67"/>
  <c r="K8" i="66"/>
  <c r="K11" i="66"/>
  <c r="K13" i="66"/>
  <c r="K10" i="66"/>
  <c r="K5" i="66"/>
  <c r="K9" i="66"/>
  <c r="K12" i="66"/>
  <c r="K6" i="66"/>
  <c r="K7" i="66"/>
  <c r="K8" i="65"/>
  <c r="K13" i="65"/>
  <c r="K11" i="65"/>
  <c r="K12" i="65"/>
  <c r="K9" i="65"/>
  <c r="K10" i="65"/>
  <c r="K6" i="65"/>
  <c r="K5" i="65"/>
  <c r="K7" i="65"/>
  <c r="K8" i="64"/>
  <c r="K9" i="64"/>
  <c r="K11" i="64"/>
  <c r="K6" i="64"/>
  <c r="K10" i="64"/>
  <c r="K12" i="64"/>
  <c r="K13" i="64"/>
  <c r="K5" i="64"/>
  <c r="K7" i="64"/>
  <c r="K9" i="63"/>
  <c r="K10" i="63"/>
  <c r="K11" i="63"/>
  <c r="K12" i="63"/>
  <c r="K13" i="63"/>
  <c r="K5" i="63"/>
  <c r="K8" i="63"/>
  <c r="K6" i="63"/>
  <c r="K7" i="63"/>
  <c r="K8" i="62"/>
  <c r="K9" i="62"/>
  <c r="K11" i="62"/>
  <c r="K10" i="62"/>
  <c r="K13" i="62"/>
  <c r="K5" i="62"/>
  <c r="K12" i="62"/>
  <c r="K6" i="62"/>
  <c r="K7" i="62"/>
  <c r="K12" i="61"/>
  <c r="K8" i="61"/>
  <c r="K9" i="61"/>
  <c r="K13" i="61"/>
  <c r="K5" i="61"/>
  <c r="K10" i="61"/>
  <c r="K11" i="61"/>
  <c r="K6" i="61"/>
  <c r="K7" i="61"/>
  <c r="K9" i="60"/>
  <c r="K10" i="60"/>
  <c r="K8" i="60"/>
  <c r="K13" i="60"/>
  <c r="K5" i="60"/>
  <c r="K12" i="60"/>
  <c r="K6" i="60"/>
  <c r="K11" i="60"/>
  <c r="K7" i="60"/>
  <c r="T6" i="67" a="1"/>
  <c r="W8" i="67" a="1"/>
  <c r="M11" i="67" a="1"/>
  <c r="S5" i="67" a="1"/>
  <c r="T12" i="67" a="1"/>
  <c r="U3" i="67" a="1"/>
  <c r="M7" i="67" a="1"/>
  <c r="M8" i="67" a="1"/>
  <c r="S3" i="67" a="1"/>
  <c r="K8" i="67" a="1"/>
  <c r="O7" i="67" a="1"/>
  <c r="Y11" i="67" a="1"/>
  <c r="K12" i="67" a="1"/>
  <c r="X4" i="67" a="1"/>
  <c r="V4" i="67" a="1"/>
  <c r="N10" i="67" a="1"/>
  <c r="X3" i="67" a="1"/>
  <c r="S11" i="67" a="1"/>
  <c r="S7" i="67" a="1"/>
  <c r="M5" i="67" a="1"/>
  <c r="U6" i="67" a="1"/>
  <c r="P7" i="67" a="1"/>
  <c r="S12" i="67" a="1"/>
  <c r="U8" i="67" a="1"/>
  <c r="Y4" i="67" a="1"/>
  <c r="S10" i="67" a="1"/>
  <c r="V9" i="67" a="1"/>
  <c r="P9" i="67" a="1"/>
  <c r="P11" i="67" a="1"/>
  <c r="P10" i="67" a="1"/>
  <c r="T4" i="67" a="1"/>
  <c r="L10" i="67" a="1"/>
  <c r="K7" i="67" a="1"/>
  <c r="P5" i="67" a="1"/>
  <c r="T10" i="67" a="1"/>
  <c r="U9" i="67" a="1"/>
  <c r="V8" i="67" a="1"/>
  <c r="K9" i="67" a="1"/>
  <c r="T5" i="67" a="1"/>
  <c r="T3" i="67" a="1"/>
  <c r="K10" i="67" a="1"/>
  <c r="V3" i="67" a="1"/>
  <c r="S4" i="67" a="1"/>
  <c r="X5" i="67" a="1"/>
  <c r="X8" i="67" a="1"/>
  <c r="Q7" i="67" a="1"/>
  <c r="U10" i="67" a="1"/>
  <c r="M10" i="67" a="1"/>
  <c r="S8" i="67" a="1"/>
  <c r="L8" i="67" a="1"/>
  <c r="V6" i="67" a="1"/>
  <c r="O10" i="67" a="1"/>
  <c r="N5" i="67" a="1"/>
  <c r="O8" i="67" a="1"/>
  <c r="S6" i="67" a="1"/>
  <c r="Q5" i="67" a="1"/>
  <c r="Y8" i="67" a="1"/>
  <c r="X6" i="67" a="1"/>
  <c r="M12" i="67" a="1"/>
  <c r="S9" i="67" a="1"/>
  <c r="U5" i="67" a="1"/>
  <c r="W9" i="67" a="1"/>
  <c r="N11" i="67" a="1"/>
  <c r="K11" i="67" a="1"/>
  <c r="N7" i="67" a="1"/>
  <c r="Q10" i="67" a="1"/>
  <c r="W12" i="67" a="1"/>
  <c r="O5" i="67" a="1"/>
  <c r="K5" i="67" a="1"/>
  <c r="U4" i="67" a="1"/>
  <c r="W3" i="67" a="1"/>
  <c r="T8" i="67" a="1"/>
  <c r="L11" i="67" a="1"/>
  <c r="Y6" i="67" a="1"/>
  <c r="L5" i="67" a="1"/>
  <c r="Y5" i="67" a="1"/>
  <c r="V5" i="67" a="1"/>
  <c r="W6" i="67" a="1"/>
  <c r="X12" i="67" a="1"/>
  <c r="O11" i="67" a="1"/>
  <c r="L7" i="67" a="1"/>
  <c r="N8" i="67" a="1"/>
  <c r="W4" i="67" a="1"/>
  <c r="Y3" i="67" a="1"/>
  <c r="T9" i="67" a="1"/>
  <c r="W5" i="67" a="1"/>
  <c r="C16" i="67" l="1"/>
  <c r="U14" i="65"/>
  <c r="V14" i="65"/>
  <c r="W14" i="65"/>
  <c r="X14" i="65"/>
  <c r="Y14" i="65"/>
  <c r="S11" i="67"/>
  <c r="W14" i="66"/>
  <c r="S10" i="67"/>
  <c r="X14" i="64"/>
  <c r="X2" i="64" s="1"/>
  <c r="Y14" i="64"/>
  <c r="Z14" i="64"/>
  <c r="Z2" i="64" s="1"/>
  <c r="AA14" i="64"/>
  <c r="W14" i="64"/>
  <c r="Z14" i="63"/>
  <c r="Y14" i="63"/>
  <c r="Z14" i="66"/>
  <c r="S9" i="67"/>
  <c r="V14" i="66"/>
  <c r="S8" i="67"/>
  <c r="U14" i="61"/>
  <c r="V14" i="61"/>
  <c r="W14" i="61"/>
  <c r="X14" i="61"/>
  <c r="Y14" i="61"/>
  <c r="AA14" i="61"/>
  <c r="Z14" i="61"/>
  <c r="Z2" i="61" s="1"/>
  <c r="S7" i="67"/>
  <c r="S12" i="67"/>
  <c r="S5" i="67"/>
  <c r="S4" i="67"/>
  <c r="S3" i="67"/>
  <c r="S6" i="67"/>
  <c r="R14" i="65"/>
  <c r="R14" i="66"/>
  <c r="M14" i="66"/>
  <c r="P14" i="66"/>
  <c r="P2" i="66" s="1"/>
  <c r="Q14" i="66"/>
  <c r="O14" i="66"/>
  <c r="S14" i="63"/>
  <c r="R14" i="63"/>
  <c r="P14" i="63"/>
  <c r="M14" i="63"/>
  <c r="N14" i="63"/>
  <c r="O14" i="63"/>
  <c r="S14" i="62"/>
  <c r="Q14" i="62"/>
  <c r="R14" i="62"/>
  <c r="S14" i="66"/>
  <c r="W12" i="67"/>
  <c r="T12" i="67"/>
  <c r="X12" i="67"/>
  <c r="Y11" i="67"/>
  <c r="P2" i="65"/>
  <c r="Z2" i="65"/>
  <c r="R2" i="65"/>
  <c r="X2" i="65"/>
  <c r="T10" i="67"/>
  <c r="U10" i="67"/>
  <c r="P2" i="64"/>
  <c r="R2" i="64"/>
  <c r="T9" i="67"/>
  <c r="U9" i="67"/>
  <c r="V9" i="67"/>
  <c r="W9" i="67"/>
  <c r="X2" i="63"/>
  <c r="Z2" i="63"/>
  <c r="R2" i="63"/>
  <c r="P2" i="63"/>
  <c r="U8" i="67"/>
  <c r="V8" i="67"/>
  <c r="W8" i="67"/>
  <c r="T8" i="67"/>
  <c r="X8" i="67"/>
  <c r="Y8" i="67"/>
  <c r="X2" i="62"/>
  <c r="Z2" i="62"/>
  <c r="R2" i="62"/>
  <c r="P2" i="62"/>
  <c r="R2" i="61"/>
  <c r="P2" i="61"/>
  <c r="T5" i="67"/>
  <c r="V5" i="67"/>
  <c r="W5" i="67"/>
  <c r="U5" i="67"/>
  <c r="Y5" i="67"/>
  <c r="X5" i="67"/>
  <c r="R2" i="60"/>
  <c r="X2" i="60"/>
  <c r="P2" i="60"/>
  <c r="Z2" i="60"/>
  <c r="U4" i="67"/>
  <c r="V4" i="67"/>
  <c r="W4" i="67"/>
  <c r="X4" i="67"/>
  <c r="Y4" i="67"/>
  <c r="T4" i="67"/>
  <c r="X2" i="58"/>
  <c r="P2" i="58"/>
  <c r="Z2" i="58"/>
  <c r="R2" i="58"/>
  <c r="W3" i="67"/>
  <c r="Y3" i="67"/>
  <c r="X3" i="67"/>
  <c r="T3" i="67"/>
  <c r="U3" i="67"/>
  <c r="V3" i="67"/>
  <c r="R2" i="57"/>
  <c r="X2" i="57"/>
  <c r="Z2" i="57"/>
  <c r="P2" i="57"/>
  <c r="Y6" i="67"/>
  <c r="W6" i="67"/>
  <c r="U6" i="67"/>
  <c r="T6" i="67"/>
  <c r="X6" i="67"/>
  <c r="V6" i="67"/>
  <c r="Z2" i="59"/>
  <c r="X2" i="59"/>
  <c r="R2" i="59"/>
  <c r="P2" i="59"/>
  <c r="D13" i="67"/>
  <c r="G13" i="67"/>
  <c r="Q7" i="67"/>
  <c r="O10" i="67"/>
  <c r="K5" i="67"/>
  <c r="Q10" i="67"/>
  <c r="M12" i="67"/>
  <c r="Q5" i="67"/>
  <c r="P7" i="67"/>
  <c r="N11" i="67"/>
  <c r="M5" i="67"/>
  <c r="N7" i="67"/>
  <c r="O8" i="67"/>
  <c r="L7" i="67"/>
  <c r="K8" i="67"/>
  <c r="K11" i="67"/>
  <c r="O7" i="67"/>
  <c r="P5" i="67"/>
  <c r="K10" i="67"/>
  <c r="N10" i="67"/>
  <c r="M11" i="67"/>
  <c r="K9" i="67"/>
  <c r="M10" i="67"/>
  <c r="P11" i="67"/>
  <c r="O5" i="67"/>
  <c r="M8" i="67"/>
  <c r="P9" i="67"/>
  <c r="L11" i="67"/>
  <c r="O11" i="67"/>
  <c r="N5" i="67"/>
  <c r="M7" i="67"/>
  <c r="N8" i="67"/>
  <c r="L10" i="67"/>
  <c r="L8" i="67"/>
  <c r="L5" i="67"/>
  <c r="K7" i="67"/>
  <c r="P10" i="67"/>
  <c r="K12" i="67"/>
  <c r="C13" i="67"/>
  <c r="J13" i="67" s="1"/>
  <c r="H13" i="67"/>
  <c r="F13" i="67"/>
  <c r="I13" i="67"/>
  <c r="E13" i="67"/>
  <c r="D14" i="66"/>
  <c r="K4" i="66"/>
  <c r="D14" i="65"/>
  <c r="K4" i="65"/>
  <c r="K4" i="64"/>
  <c r="D14" i="64"/>
  <c r="D14" i="63"/>
  <c r="K4" i="63"/>
  <c r="D14" i="62"/>
  <c r="K4" i="62"/>
  <c r="D14" i="61"/>
  <c r="K4" i="61"/>
  <c r="K4" i="60"/>
  <c r="D14" i="60"/>
  <c r="W10" i="67" a="1"/>
  <c r="X11" i="67" a="1"/>
  <c r="T7" i="67" a="1"/>
  <c r="V11" i="67" a="1"/>
  <c r="V7" i="67" a="1"/>
  <c r="X10" i="67" a="1"/>
  <c r="X7" i="67" a="1"/>
  <c r="U12" i="67" a="1"/>
  <c r="V10" i="67" a="1"/>
  <c r="Y10" i="67" a="1"/>
  <c r="N12" i="67" a="1"/>
  <c r="X9" i="67" a="1"/>
  <c r="N9" i="67" a="1"/>
  <c r="W11" i="67" a="1"/>
  <c r="U7" i="67" a="1"/>
  <c r="Y12" i="67" a="1"/>
  <c r="O9" i="67" a="1"/>
  <c r="Q11" i="67" a="1"/>
  <c r="P12" i="67" a="1"/>
  <c r="Q12" i="67" a="1"/>
  <c r="M9" i="67" a="1"/>
  <c r="O12" i="67" a="1"/>
  <c r="V12" i="67" a="1"/>
  <c r="Y7" i="67" a="1"/>
  <c r="L9" i="67" a="1"/>
  <c r="Q9" i="67" a="1"/>
  <c r="L12" i="67" a="1"/>
  <c r="P8" i="67" a="1"/>
  <c r="Y9" i="67" a="1"/>
  <c r="U11" i="67" a="1"/>
  <c r="W7" i="67" a="1"/>
  <c r="T11" i="67" a="1"/>
  <c r="Q8" i="67" a="1"/>
  <c r="S16" i="67" l="1"/>
  <c r="W11" i="67"/>
  <c r="V11" i="67"/>
  <c r="U11" i="67"/>
  <c r="T11" i="67"/>
  <c r="X11" i="67"/>
  <c r="V12" i="67"/>
  <c r="V10" i="67"/>
  <c r="Y10" i="67"/>
  <c r="X10" i="67"/>
  <c r="W10" i="67"/>
  <c r="Z2" i="66"/>
  <c r="X9" i="67"/>
  <c r="Y9" i="67"/>
  <c r="Y12" i="67"/>
  <c r="U12" i="67"/>
  <c r="X2" i="61"/>
  <c r="T7" i="67"/>
  <c r="T13" i="67" s="1"/>
  <c r="Y7" i="67"/>
  <c r="X7" i="67"/>
  <c r="W7" i="67"/>
  <c r="V7" i="67"/>
  <c r="U7" i="67"/>
  <c r="U13" i="67" s="1"/>
  <c r="S13" i="67"/>
  <c r="Z13" i="67" s="1"/>
  <c r="R2" i="66"/>
  <c r="Q11" i="67"/>
  <c r="X2" i="66"/>
  <c r="N12" i="67"/>
  <c r="P12" i="67"/>
  <c r="O12" i="67"/>
  <c r="L12" i="67"/>
  <c r="Q12" i="67"/>
  <c r="N9" i="67"/>
  <c r="M9" i="67"/>
  <c r="L9" i="67"/>
  <c r="Q9" i="67"/>
  <c r="O9" i="67"/>
  <c r="Q8" i="67"/>
  <c r="P8" i="67"/>
  <c r="I14" i="66"/>
  <c r="H14" i="66"/>
  <c r="K14" i="66"/>
  <c r="G14" i="66"/>
  <c r="E14" i="66"/>
  <c r="F14" i="66"/>
  <c r="J14" i="66"/>
  <c r="I14" i="65"/>
  <c r="H14" i="65"/>
  <c r="G14" i="65"/>
  <c r="K14" i="65"/>
  <c r="F14" i="65"/>
  <c r="E14" i="65"/>
  <c r="J14" i="65"/>
  <c r="I14" i="64"/>
  <c r="H14" i="64"/>
  <c r="K14" i="64"/>
  <c r="G14" i="64"/>
  <c r="F14" i="64"/>
  <c r="E14" i="64"/>
  <c r="J14" i="64"/>
  <c r="I14" i="63"/>
  <c r="H14" i="63"/>
  <c r="G14" i="63"/>
  <c r="E14" i="63"/>
  <c r="F14" i="63"/>
  <c r="K14" i="63"/>
  <c r="J14" i="63"/>
  <c r="I14" i="62"/>
  <c r="H14" i="62"/>
  <c r="G14" i="62"/>
  <c r="K14" i="62"/>
  <c r="F14" i="62"/>
  <c r="E14" i="62"/>
  <c r="J14" i="62"/>
  <c r="I14" i="61"/>
  <c r="H14" i="61"/>
  <c r="G14" i="61"/>
  <c r="K14" i="61"/>
  <c r="F14" i="61"/>
  <c r="E14" i="61"/>
  <c r="J14" i="61"/>
  <c r="I14" i="60"/>
  <c r="J14" i="60"/>
  <c r="H14" i="60"/>
  <c r="G14" i="60"/>
  <c r="K14" i="60"/>
  <c r="F14" i="60"/>
  <c r="E14" i="60"/>
  <c r="W13" i="67" l="1"/>
  <c r="Y13" i="67"/>
  <c r="V13" i="67"/>
  <c r="X13" i="67"/>
  <c r="J2" i="66"/>
  <c r="H2" i="66"/>
  <c r="J2" i="65"/>
  <c r="H2" i="65"/>
  <c r="J2" i="64"/>
  <c r="H2" i="64"/>
  <c r="J2" i="63"/>
  <c r="H2" i="63"/>
  <c r="H2" i="62"/>
  <c r="J2" i="62"/>
  <c r="J2" i="61"/>
  <c r="H2" i="61"/>
  <c r="H2" i="60"/>
  <c r="J2" i="60"/>
  <c r="K4" i="59" l="1"/>
  <c r="K8" i="59" l="1"/>
  <c r="K9" i="59"/>
  <c r="K12" i="59"/>
  <c r="K10" i="59"/>
  <c r="K11" i="59"/>
  <c r="K5" i="59"/>
  <c r="K13" i="59"/>
  <c r="K6" i="59"/>
  <c r="K7" i="59"/>
  <c r="P3" i="67" a="1"/>
  <c r="O3" i="67" a="1"/>
  <c r="M4" i="67" a="1"/>
  <c r="M3" i="67" a="1"/>
  <c r="L6" i="67" a="1"/>
  <c r="M6" i="67" a="1"/>
  <c r="L4" i="67" a="1"/>
  <c r="K6" i="67" a="1"/>
  <c r="P4" i="67" a="1"/>
  <c r="Q4" i="67" a="1"/>
  <c r="N4" i="67" a="1"/>
  <c r="P6" i="67" a="1"/>
  <c r="L3" i="67" a="1"/>
  <c r="N3" i="67" a="1"/>
  <c r="N6" i="67" a="1"/>
  <c r="O6" i="67" a="1"/>
  <c r="K4" i="67" a="1"/>
  <c r="Q6" i="67" a="1"/>
  <c r="O4" i="67" a="1"/>
  <c r="Q3" i="67" a="1"/>
  <c r="K3" i="67" a="1"/>
  <c r="N4" i="67" l="1"/>
  <c r="Q6" i="67"/>
  <c r="P6" i="67"/>
  <c r="Q4" i="67"/>
  <c r="Q3" i="67"/>
  <c r="K6" i="67"/>
  <c r="K4" i="67"/>
  <c r="N3" i="67"/>
  <c r="N6" i="67"/>
  <c r="M3" i="67"/>
  <c r="L6" i="67"/>
  <c r="P3" i="67"/>
  <c r="P4" i="67"/>
  <c r="M4" i="67"/>
  <c r="K3" i="67"/>
  <c r="O6" i="67"/>
  <c r="O4" i="67"/>
  <c r="O3" i="67"/>
  <c r="O13" i="67" s="1"/>
  <c r="L3" i="67"/>
  <c r="L4" i="67"/>
  <c r="M6" i="67"/>
  <c r="D14" i="59"/>
  <c r="D14" i="58"/>
  <c r="D14" i="57"/>
  <c r="K16" i="67" l="1"/>
  <c r="Q13" i="67"/>
  <c r="K13" i="67"/>
  <c r="R13" i="67" s="1"/>
  <c r="N13" i="67"/>
  <c r="L13" i="67"/>
  <c r="P13" i="67"/>
  <c r="M13" i="67"/>
  <c r="I14" i="59"/>
  <c r="H14" i="59"/>
  <c r="G14" i="59"/>
  <c r="K14" i="59"/>
  <c r="F14" i="59"/>
  <c r="E14" i="59"/>
  <c r="J14" i="59"/>
  <c r="I14" i="58"/>
  <c r="K14" i="58"/>
  <c r="H14" i="58"/>
  <c r="G14" i="58"/>
  <c r="F14" i="58"/>
  <c r="E14" i="58"/>
  <c r="J14" i="58"/>
  <c r="I14" i="57"/>
  <c r="H14" i="57"/>
  <c r="G14" i="57"/>
  <c r="F14" i="57"/>
  <c r="E14" i="57"/>
  <c r="K14" i="57"/>
  <c r="J14" i="57"/>
  <c r="H2" i="59" l="1"/>
  <c r="J2" i="59"/>
  <c r="J2" i="58"/>
  <c r="H2" i="58"/>
  <c r="J2" i="57"/>
  <c r="H2" i="57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E9" i="23" a="1"/>
  <c r="E8" i="23" a="1"/>
  <c r="F7" i="23" a="1"/>
  <c r="D4" i="23" a="1"/>
  <c r="F11" i="23" a="1"/>
  <c r="D10" i="23" a="1"/>
  <c r="D6" i="23" a="1"/>
  <c r="E7" i="23" a="1"/>
  <c r="D13" i="23" a="1"/>
  <c r="F6" i="23" a="1"/>
  <c r="F5" i="23" a="1"/>
  <c r="G4" i="23" a="1"/>
  <c r="G12" i="23" a="1"/>
  <c r="D8" i="23" a="1"/>
  <c r="F9" i="23" a="1"/>
  <c r="E12" i="23" a="1"/>
  <c r="G10" i="23" a="1"/>
  <c r="E11" i="23" a="1"/>
  <c r="F13" i="23" a="1"/>
  <c r="D11" i="23" a="1"/>
  <c r="G9" i="23" a="1"/>
  <c r="E5" i="23" a="1"/>
  <c r="D9" i="23" a="1"/>
  <c r="G11" i="23" a="1"/>
  <c r="E6" i="23" a="1"/>
  <c r="E13" i="23" a="1"/>
  <c r="F12" i="23" a="1"/>
  <c r="D5" i="23" a="1"/>
  <c r="G6" i="23" a="1"/>
  <c r="G5" i="23" a="1"/>
  <c r="G13" i="23" a="1"/>
  <c r="F10" i="23" a="1"/>
  <c r="E10" i="23" a="1"/>
  <c r="G7" i="23" a="1"/>
  <c r="D12" i="23" a="1"/>
  <c r="F8" i="23" a="1"/>
  <c r="F4" i="23" a="1"/>
  <c r="E4" i="23" a="1"/>
  <c r="D7" i="23" a="1"/>
  <c r="G8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<sst xmlns="http://schemas.openxmlformats.org/spreadsheetml/2006/main" count="667" uniqueCount="21">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</sst>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  <numFmt numFmtId="170" formatCode="0.0000%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2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4AD4-438A-2844-AB53-8293C2788822}">
  <dimension ref="B2:Z16"/>
  <sheetViews>
    <sheetView zoomScale="85" zoomScaleNormal="85" workbookViewId="0">
      <selection activeCell="A14" sqref="A14:XFD14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1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6" t="s">
        <v>0</v>
      </c>
      <c r="T2" s="36" t="s">
        <v>5</v>
      </c>
      <c r="U2" s="36" t="s">
        <v>12</v>
      </c>
      <c r="V2" s="36" t="s">
        <v>15</v>
      </c>
      <c r="W2" s="36" t="s">
        <v>11</v>
      </c>
      <c r="X2" s="36" t="s">
        <v>16</v>
      </c>
      <c r="Y2" s="36" t="s">
        <v>10</v>
      </c>
      <c r="Z2" s="36" t="s">
        <v>1</v>
      </c>
    </row>
    <row r="3" spans="2:26" x14ac:dyDescent="0.2">
      <c r="B3" s="4">
        <v>287</v>
      </c>
      <c r="C3" s="5" cm="1">
        <f t="array" aca="1" ref="C3" ca="1">INDIRECT("'results" &amp; $B3 &amp; "'!D$14")</f>
        <v>86789.675838657742</v>
      </c>
      <c r="D3" s="32" cm="1">
        <f t="array" aca="1" ref="D3" ca="1">INDIRECT("'results" &amp; $B3 &amp; "'!E$14")</f>
        <v>9.1339003329994739</v>
      </c>
      <c r="E3" s="5" cm="1">
        <f t="array" aca="1" ref="E3" ca="1">INDIRECT("'results" &amp; $B3 &amp; "'!F$14")</f>
        <v>3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10.349988019843472</v>
      </c>
      <c r="H3" s="32" cm="1">
        <f t="array" aca="1" ref="H3" ca="1">INDIRECT("'results" &amp; $B3 &amp; "'!I$14")</f>
        <v>22.710715928342054</v>
      </c>
      <c r="I3" s="5" cm="1">
        <f t="array" aca="1" ref="I3" ca="1">INDIRECT("'results" &amp; $B3 &amp; "'!J$14")</f>
        <v>1707.771099757749</v>
      </c>
      <c r="J3" s="5"/>
      <c r="K3" s="5" cm="1">
        <f t="array" aca="1" ref="K3" ca="1">INDIRECT("'results" &amp; $B3 &amp; "'!L$14")</f>
        <v>106817.6679873207</v>
      </c>
      <c r="L3" s="5" cm="1">
        <f t="array" aca="1" ref="L3" ca="1">INDIRECT("'results" &amp; $B3 &amp; "'!M$14")</f>
        <v>8.0823447920010949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63.333333333333343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14.934906880365835</v>
      </c>
      <c r="Q3" s="5" cm="1">
        <f t="array" aca="1" ref="Q3" ca="1">INDIRECT("'results" &amp; $B3 &amp; "'!R$14")</f>
        <v>1357.4722011123663</v>
      </c>
      <c r="R3" s="5"/>
      <c r="S3" s="5" cm="1">
        <f t="array" aca="1" ref="S3" ca="1">INDIRECT("'results" &amp; $B3 &amp; "'!T$14")</f>
        <v>106880.8911981195</v>
      </c>
      <c r="T3" s="5" cm="1">
        <f t="array" aca="1" ref="T3" ca="1">INDIRECT("'results" &amp; $B3 &amp; "'!U$14")</f>
        <v>8.3134274590011046</v>
      </c>
      <c r="U3" s="5" cm="1">
        <f t="array" aca="1" ref="U3" ca="1">INDIRECT("'results" &amp; $B3 &amp; "'!V$14")</f>
        <v>3</v>
      </c>
      <c r="V3" s="5" cm="1">
        <f t="array" aca="1" ref="V3" ca="1">INDIRECT("'results" &amp; $B3 &amp; "'!W$14")</f>
        <v>76.666666666666671</v>
      </c>
      <c r="W3" s="5" cm="1">
        <f t="array" aca="1" ref="W3" ca="1">INDIRECT("'results" &amp; $B3 &amp; "'!X$14")</f>
        <v>75.770877667681219</v>
      </c>
      <c r="X3" s="5" cm="1">
        <f t="array" aca="1" ref="X3" ca="1">INDIRECT("'results" &amp; $B3 &amp; "'!Y$14")</f>
        <v>31.285335211157292</v>
      </c>
      <c r="Y3" s="5" cm="1">
        <f t="array" aca="1" ref="Y3" ca="1">INDIRECT("'results" &amp; $B3 &amp; "'!Z$14")</f>
        <v>2090.1315318594575</v>
      </c>
      <c r="Z3" s="5"/>
    </row>
    <row r="4" spans="2:26" x14ac:dyDescent="0.2">
      <c r="B4" s="4">
        <v>503</v>
      </c>
      <c r="C4" s="5" cm="1">
        <f t="array" aca="1" ref="C4" ca="1">INDIRECT("'results" &amp; $B4 &amp; "'!D$14")</f>
        <v>72109.261992094922</v>
      </c>
      <c r="D4" s="32" cm="1">
        <f t="array" aca="1" ref="D4" ca="1">INDIRECT("'results" &amp; $B4 &amp; "'!E$14")</f>
        <v>9.7483185840028455</v>
      </c>
      <c r="E4" s="5" cm="1">
        <f t="array" aca="1" ref="E4" ca="1">INDIRECT("'results" &amp; $B4 &amp; "'!F$14")</f>
        <v>3</v>
      </c>
      <c r="F4" s="5" cm="1">
        <f t="array" aca="1" ref="F4" ca="1">INDIRECT("'results" &amp; $B4 &amp; "'!G$14")</f>
        <v>96.666666666666671</v>
      </c>
      <c r="G4" s="5" cm="1">
        <f t="array" aca="1" ref="G4" ca="1">INDIRECT("'results" &amp; $B4 &amp; "'!H$14")</f>
        <v>6.785365388679355</v>
      </c>
      <c r="H4" s="32" cm="1">
        <f t="array" aca="1" ref="H4" ca="1">INDIRECT("'results" &amp; $B4 &amp; "'!I$14")</f>
        <v>20.965674169162099</v>
      </c>
      <c r="I4" s="5" cm="1">
        <f t="array" aca="1" ref="I4" ca="1">INDIRECT("'results" &amp; $B4 &amp; "'!J$14")</f>
        <v>1457.2080932494894</v>
      </c>
      <c r="J4" s="5"/>
      <c r="K4" s="5" cm="1">
        <f t="array" aca="1" ref="K4" ca="1">INDIRECT("'results" &amp; $B4 &amp; "'!L$14")</f>
        <v>90683.257211579243</v>
      </c>
      <c r="L4" s="5" cm="1">
        <f t="array" aca="1" ref="L4" ca="1">INDIRECT("'results" &amp; $B4 &amp; "'!M$14")</f>
        <v>9.5601819170005911</v>
      </c>
      <c r="M4" s="5" cm="1">
        <f t="array" aca="1" ref="M4" ca="1">INDIRECT("'results" &amp; $B4 &amp; "'!N$14")</f>
        <v>3</v>
      </c>
      <c r="N4" s="5" cm="1">
        <f t="array" aca="1" ref="N4" ca="1">INDIRECT("'results" &amp; $B4 &amp; "'!O$14")</f>
        <v>76.666666666666671</v>
      </c>
      <c r="O4" s="5" cm="1">
        <f t="array" aca="1" ref="O4" ca="1">INDIRECT("'results" &amp; $B4 &amp; "'!P$14")</f>
        <v>8.4036166019507655E-2</v>
      </c>
      <c r="P4" s="5" cm="1">
        <f t="array" aca="1" ref="P4" ca="1">INDIRECT("'results" &amp; $B4 &amp; "'!Q$14")</f>
        <v>15.902850611581473</v>
      </c>
      <c r="Q4" s="5" cm="1">
        <f t="array" aca="1" ref="Q4" ca="1">INDIRECT("'results" &amp; $B4 &amp; "'!R$14")</f>
        <v>1315.7706733066284</v>
      </c>
      <c r="R4" s="5"/>
      <c r="S4" s="5" cm="1">
        <f t="array" aca="1" ref="S4" ca="1">INDIRECT("'results" &amp; $B4 &amp; "'!T$14")</f>
        <v>89283.931045723555</v>
      </c>
      <c r="T4" s="5" cm="1">
        <f t="array" aca="1" ref="T4" ca="1">INDIRECT("'results" &amp; $B4 &amp; "'!U$14")</f>
        <v>9.6423426250003104</v>
      </c>
      <c r="U4" s="5" cm="1">
        <f t="array" aca="1" ref="U4" ca="1">INDIRECT("'results" &amp; $B4 &amp; "'!V$14")</f>
        <v>3</v>
      </c>
      <c r="V4" s="5" cm="1">
        <f t="array" aca="1" ref="V4" ca="1">INDIRECT("'results" &amp; $B4 &amp; "'!W$14")</f>
        <v>90</v>
      </c>
      <c r="W4" s="5" cm="1">
        <f t="array" aca="1" ref="W4" ca="1">INDIRECT("'results" &amp; $B4 &amp; "'!X$14")</f>
        <v>58.435518689979205</v>
      </c>
      <c r="X4" s="5" cm="1">
        <f t="array" aca="1" ref="X4" ca="1">INDIRECT("'results" &amp; $B4 &amp; "'!Y$14")</f>
        <v>37.020723499110588</v>
      </c>
      <c r="Y4" s="5" cm="1">
        <f t="array" aca="1" ref="Y4" ca="1">INDIRECT("'results" &amp; $B4 &amp; "'!Z$14")</f>
        <v>1978.18547502771</v>
      </c>
      <c r="Z4" s="5"/>
    </row>
    <row r="5" spans="2:26" x14ac:dyDescent="0.2">
      <c r="B5" s="4">
        <v>579</v>
      </c>
      <c r="C5" s="5" cm="1">
        <f t="array" aca="1" ref="C5" ca="1">INDIRECT("'results" &amp; $B5 &amp; "'!D$14")</f>
        <v>71363.297273729797</v>
      </c>
      <c r="D5" s="32" cm="1">
        <f t="array" aca="1" ref="D5" ca="1">INDIRECT("'results" &amp; $B5 &amp; "'!E$14")</f>
        <v>3.8947640839978699</v>
      </c>
      <c r="E5" s="5" cm="1">
        <f t="array" aca="1" ref="E5" ca="1">INDIRECT("'results" &amp; $B5 &amp; "'!F$14")</f>
        <v>3</v>
      </c>
      <c r="F5" s="5" cm="1">
        <f t="array" aca="1" ref="F5" ca="1">INDIRECT("'results" &amp; $B5 &amp; "'!G$14")</f>
        <v>93.333333333333329</v>
      </c>
      <c r="G5" s="5" cm="1">
        <f t="array" aca="1" ref="G5" ca="1">INDIRECT("'results" &amp; $B5 &amp; "'!H$14")</f>
        <v>0</v>
      </c>
      <c r="H5" s="32" cm="1">
        <f t="array" aca="1" ref="H5" ca="1">INDIRECT("'results" &amp; $B5 &amp; "'!I$14")</f>
        <v>27.701524852998279</v>
      </c>
      <c r="I5" s="5" cm="1">
        <f t="array" aca="1" ref="I5" ca="1">INDIRECT("'results" &amp; $B5 &amp; "'!J$14")</f>
        <v>1364.5156168347064</v>
      </c>
      <c r="J5" s="5"/>
      <c r="K5" s="5" cm="1">
        <f t="array" aca="1" ref="K5" ca="1">INDIRECT("'results" &amp; $B5 &amp; "'!L$14")</f>
        <v>89602.481122703699</v>
      </c>
      <c r="L5" s="5" cm="1">
        <f t="array" aca="1" ref="L5" ca="1">INDIRECT("'results" &amp; $B5 &amp; "'!M$14")</f>
        <v>11.312481832999771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73.333333333333329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20.063982010565535</v>
      </c>
      <c r="Q5" s="5" cm="1">
        <f t="array" aca="1" ref="Q5" ca="1">INDIRECT("'results" &amp; $B5 &amp; "'!R$14")</f>
        <v>1166.3447650204939</v>
      </c>
      <c r="R5" s="5"/>
      <c r="S5" s="5" cm="1">
        <f t="array" aca="1" ref="S5" ca="1">INDIRECT("'results" &amp; $B5 &amp; "'!T$14")</f>
        <v>83016.194208229135</v>
      </c>
      <c r="T5" s="5" cm="1">
        <f t="array" aca="1" ref="T5" ca="1">INDIRECT("'results" &amp; $B5 &amp; "'!U$14")</f>
        <v>4.7944206669999403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90</v>
      </c>
      <c r="W5" s="5" cm="1">
        <f t="array" aca="1" ref="W5" ca="1">INDIRECT("'results" &amp; $B5 &amp; "'!X$14")</f>
        <v>18.87955283543516</v>
      </c>
      <c r="X5" s="5" cm="1">
        <f t="array" aca="1" ref="X5" ca="1">INDIRECT("'results" &amp; $B5 &amp; "'!Y$14")</f>
        <v>44.259179003305924</v>
      </c>
      <c r="Y5" s="5" cm="1">
        <f t="array" aca="1" ref="Y5" ca="1">INDIRECT("'results" &amp; $B5 &amp; "'!Z$14")</f>
        <v>1841.4998834650703</v>
      </c>
      <c r="Z5" s="5"/>
    </row>
    <row r="6" spans="2:26" x14ac:dyDescent="0.2">
      <c r="B6" s="4">
        <v>118</v>
      </c>
      <c r="C6" s="5" cm="1">
        <f t="array" aca="1" ref="C6" ca="1">INDIRECT("'results" &amp; $B6 &amp; "'!D$14")</f>
        <v>73592.606073053597</v>
      </c>
      <c r="D6" s="32" cm="1">
        <f t="array" aca="1" ref="D6" ca="1">INDIRECT("'results" &amp; $B6 &amp; "'!E$14")</f>
        <v>10.55082349999793</v>
      </c>
      <c r="E6" s="5" cm="1">
        <f t="array" aca="1" ref="E6" ca="1">INDIRECT("'results" &amp; $B6 &amp; "'!F$14")</f>
        <v>3</v>
      </c>
      <c r="F6" s="5" cm="1">
        <f t="array" aca="1" ref="F6" ca="1">INDIRECT("'results" &amp; $B6 &amp; "'!G$14")</f>
        <v>93.333333333333329</v>
      </c>
      <c r="G6" s="5" cm="1">
        <f t="array" aca="1" ref="G6" ca="1">INDIRECT("'results" &amp; $B6 &amp; "'!H$14")</f>
        <v>0.74228536943810142</v>
      </c>
      <c r="H6" s="32" cm="1">
        <f t="array" aca="1" ref="H6" ca="1">INDIRECT("'results" &amp; $B6 &amp; "'!I$14")</f>
        <v>21.856010723698091</v>
      </c>
      <c r="I6" s="5" cm="1">
        <f t="array" aca="1" ref="I6" ca="1">INDIRECT("'results" &amp; $B6 &amp; "'!J$14")</f>
        <v>1375.3054739255083</v>
      </c>
      <c r="J6" s="5"/>
      <c r="K6" s="5" cm="1">
        <f t="array" aca="1" ref="K6" ca="1">INDIRECT("'results" &amp; $B6 &amp; "'!L$14")</f>
        <v>82256.2041871853</v>
      </c>
      <c r="L6" s="5" cm="1">
        <f t="array" aca="1" ref="L6" ca="1">INDIRECT("'results" &amp; $B6 &amp; "'!M$14")</f>
        <v>8.3241213749970484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80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16.298707825740451</v>
      </c>
      <c r="Q6" s="5" cm="1">
        <f t="array" aca="1" ref="Q6" ca="1">INDIRECT("'results" &amp; $B6 &amp; "'!R$14")</f>
        <v>1103.7100164986139</v>
      </c>
      <c r="R6" s="5"/>
      <c r="S6" s="5" cm="1">
        <f t="array" aca="1" ref="S6" ca="1">INDIRECT("'results" &amp; $B6 &amp; "'!T$14")</f>
        <v>84315.084711685544</v>
      </c>
      <c r="T6" s="5" cm="1">
        <f t="array" aca="1" ref="T6" ca="1">INDIRECT("'results" &amp; $B6 &amp; "'!U$14")</f>
        <v>9.3767737919988576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86.666666666666671</v>
      </c>
      <c r="W6" s="5" cm="1">
        <f t="array" aca="1" ref="W6" ca="1">INDIRECT("'results" &amp; $B6 &amp; "'!X$14")</f>
        <v>11.978955685686007</v>
      </c>
      <c r="X6" s="5" cm="1">
        <f t="array" aca="1" ref="X6" ca="1">INDIRECT("'results" &amp; $B6 &amp; "'!Y$14")</f>
        <v>31.741236718996998</v>
      </c>
      <c r="Y6" s="5" cm="1">
        <f t="array" aca="1" ref="Y6" ca="1">INDIRECT("'results" &amp; $B6 &amp; "'!Z$14")</f>
        <v>1602.558272784971</v>
      </c>
      <c r="Z6" s="5"/>
    </row>
    <row r="7" spans="2:26" x14ac:dyDescent="0.2">
      <c r="B7" s="4">
        <v>685</v>
      </c>
      <c r="C7" s="5" cm="1">
        <f t="array" aca="1" ref="C7" ca="1">INDIRECT("'results" &amp; $B7 &amp; "'!D$14")</f>
        <v>59445.697516057509</v>
      </c>
      <c r="D7" s="32" cm="1">
        <f t="array" aca="1" ref="D7" ca="1">INDIRECT("'results" &amp; $B7 &amp; "'!E$14")</f>
        <v>10.67018295799789</v>
      </c>
      <c r="E7" s="5" cm="1">
        <f t="array" aca="1" ref="E7" ca="1">INDIRECT("'results" &amp; $B7 &amp; "'!F$14")</f>
        <v>3</v>
      </c>
      <c r="F7" s="5" cm="1">
        <f t="array" aca="1" ref="F7" ca="1">INDIRECT("'results" &amp; $B7 &amp; "'!G$14")</f>
        <v>96.666666666666671</v>
      </c>
      <c r="G7" s="5" cm="1">
        <f t="array" aca="1" ref="G7" ca="1">INDIRECT("'results" &amp; $B7 &amp; "'!H$14")</f>
        <v>0</v>
      </c>
      <c r="H7" s="32" cm="1">
        <f t="array" aca="1" ref="H7" ca="1">INDIRECT("'results" &amp; $B7 &amp; "'!I$14")</f>
        <v>25.046206949285096</v>
      </c>
      <c r="I7" s="5" cm="1">
        <f t="array" aca="1" ref="I7" ca="1">INDIRECT("'results" &amp; $B7 &amp; "'!J$14")</f>
        <v>1082.2641236466002</v>
      </c>
      <c r="J7" s="5"/>
      <c r="K7" s="5" cm="1">
        <f t="array" aca="1" ref="K7" ca="1">INDIRECT("'results" &amp; $B7 &amp; "'!L$14")</f>
        <v>78041.033181721112</v>
      </c>
      <c r="L7" s="5" cm="1">
        <f t="array" aca="1" ref="L7" ca="1">INDIRECT("'results" &amp; $B7 &amp; "'!M$14")</f>
        <v>9.9606493749997753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80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21.058172723027017</v>
      </c>
      <c r="Q7" s="5" cm="1">
        <f t="array" aca="1" ref="Q7" ca="1">INDIRECT("'results" &amp; $B7 &amp; "'!R$14")</f>
        <v>1013.8921767165608</v>
      </c>
      <c r="R7" s="5"/>
      <c r="S7" s="5" cm="1">
        <f t="array" aca="1" ref="S7" ca="1">INDIRECT("'results" &amp; $B7 &amp; "'!T$14")</f>
        <v>72090.85447259061</v>
      </c>
      <c r="T7" s="5" cm="1">
        <f t="array" aca="1" ref="T7" ca="1">INDIRECT("'results" &amp; $B7 &amp; "'!U$14")</f>
        <v>9.9064920000018901</v>
      </c>
      <c r="U7" s="5" cm="1">
        <f t="array" aca="1" ref="U7" ca="1">INDIRECT("'results" &amp; $B7 &amp; "'!V$14")</f>
        <v>3</v>
      </c>
      <c r="V7" s="5" cm="1">
        <f t="array" aca="1" ref="V7" ca="1">INDIRECT("'results" &amp; $B7 &amp; "'!W$14")</f>
        <v>96.666666666666671</v>
      </c>
      <c r="W7" s="5" cm="1">
        <f t="array" aca="1" ref="W7" ca="1">INDIRECT("'results" &amp; $B7 &amp; "'!X$14")</f>
        <v>66.670837253471163</v>
      </c>
      <c r="X7" s="5" cm="1">
        <f t="array" aca="1" ref="X7" ca="1">INDIRECT("'results" &amp; $B7 &amp; "'!Y$14")</f>
        <v>58.396702493702378</v>
      </c>
      <c r="Y7" s="5" cm="1">
        <f t="array" aca="1" ref="Y7" ca="1">INDIRECT("'results" &amp; $B7 &amp; "'!Z$14")</f>
        <v>1796.773693956241</v>
      </c>
      <c r="Z7" s="5"/>
    </row>
    <row r="8" spans="2:26" x14ac:dyDescent="0.2">
      <c r="B8" s="4">
        <v>759</v>
      </c>
      <c r="C8" s="5" cm="1">
        <f t="array" aca="1" ref="C8" ca="1">INDIRECT("'results" &amp; $B8 &amp; "'!D$14")</f>
        <v>72423.467370351544</v>
      </c>
      <c r="D8" s="32" cm="1">
        <f t="array" aca="1" ref="D8" ca="1">INDIRECT("'results" &amp; $B8 &amp; "'!E$14")</f>
        <v>9.9803684169964981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93.333333333333329</v>
      </c>
      <c r="G8" s="5" cm="1">
        <f t="array" aca="1" ref="G8" ca="1">INDIRECT("'results" &amp; $B8 &amp; "'!H$14")</f>
        <v>1.4187637980341006</v>
      </c>
      <c r="H8" s="32" cm="1">
        <f t="array" aca="1" ref="H8" ca="1">INDIRECT("'results" &amp; $B8 &amp; "'!I$14")</f>
        <v>21.891217074218162</v>
      </c>
      <c r="I8" s="5" cm="1">
        <f t="array" aca="1" ref="I8" ca="1">INDIRECT("'results" &amp; $B8 &amp; "'!J$14")</f>
        <v>1338.5468569134343</v>
      </c>
      <c r="J8" s="5"/>
      <c r="K8" s="5" cm="1">
        <f t="array" aca="1" ref="K8" ca="1">INDIRECT("'results" &amp; $B8 &amp; "'!L$14")</f>
        <v>88434.559970481831</v>
      </c>
      <c r="L8" s="5" cm="1">
        <f t="array" aca="1" ref="L8" ca="1">INDIRECT("'results" &amp; $B8 &amp; "'!M$14")</f>
        <v>8.9633922079992772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80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18.209901299007633</v>
      </c>
      <c r="Q8" s="5" cm="1">
        <f t="array" aca="1" ref="Q8" ca="1">INDIRECT("'results" &amp; $B8 &amp; "'!R$14")</f>
        <v>1364.8001557522416</v>
      </c>
      <c r="R8" s="5"/>
      <c r="S8" s="5" cm="1">
        <f t="array" aca="1" ref="S8" ca="1">INDIRECT("'results" &amp; $B8 &amp; "'!T$14")</f>
        <v>87311.918777623505</v>
      </c>
      <c r="T8" s="5" cm="1">
        <f t="array" aca="1" ref="T8" ca="1">INDIRECT("'results" &amp; $B8 &amp; "'!U$14")</f>
        <v>9.6087092080015282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86.666666666666671</v>
      </c>
      <c r="W8" s="5" cm="1">
        <f t="array" aca="1" ref="W8" ca="1">INDIRECT("'results" &amp; $B8 &amp; "'!X$14")</f>
        <v>38.128978109078389</v>
      </c>
      <c r="X8" s="5" cm="1">
        <f t="array" aca="1" ref="X8" ca="1">INDIRECT("'results" &amp; $B8 &amp; "'!Y$14")</f>
        <v>39.99273064797174</v>
      </c>
      <c r="Y8" s="5" cm="1">
        <f t="array" aca="1" ref="Y8" ca="1">INDIRECT("'results" &amp; $B8 &amp; "'!Z$14")</f>
        <v>1806.9797984943782</v>
      </c>
      <c r="Z8" s="5"/>
    </row>
    <row r="9" spans="2:26" x14ac:dyDescent="0.2">
      <c r="B9" s="4">
        <v>782</v>
      </c>
      <c r="C9" s="5" cm="1">
        <f t="array" aca="1" ref="C9" ca="1">INDIRECT("'results" &amp; $B9 &amp; "'!D$14")</f>
        <v>69266.712503584946</v>
      </c>
      <c r="D9" s="32" cm="1">
        <f t="array" aca="1" ref="D9" ca="1">INDIRECT("'results" &amp; $B9 &amp; "'!E$14")</f>
        <v>3.1502539590001111</v>
      </c>
      <c r="E9" s="5" cm="1">
        <f t="array" aca="1" ref="E9" ca="1">INDIRECT("'results" &amp; $B9 &amp; "'!F$14")</f>
        <v>3</v>
      </c>
      <c r="F9" s="5" cm="1">
        <f t="array" aca="1" ref="F9" ca="1">INDIRECT("'results" &amp; $B9 &amp; "'!G$14")</f>
        <v>100</v>
      </c>
      <c r="G9" s="5" cm="1">
        <f t="array" aca="1" ref="G9" ca="1">INDIRECT("'results" &amp; $B9 &amp; "'!H$14")</f>
        <v>0.98448605249473065</v>
      </c>
      <c r="H9" s="32" cm="1">
        <f t="array" aca="1" ref="H9" ca="1">INDIRECT("'results" &amp; $B9 &amp; "'!I$14")</f>
        <v>25.869465076292453</v>
      </c>
      <c r="I9" s="5" cm="1">
        <f t="array" aca="1" ref="I9" ca="1">INDIRECT("'results" &amp; $B9 &amp; "'!J$14")</f>
        <v>1447.1036338498152</v>
      </c>
      <c r="J9" s="5"/>
      <c r="K9" s="5" cm="1">
        <f t="array" aca="1" ref="K9" ca="1">INDIRECT("'results" &amp; $B9 &amp; "'!L$14")</f>
        <v>89080.508590665413</v>
      </c>
      <c r="L9" s="5" cm="1">
        <f t="array" aca="1" ref="L9" ca="1">INDIRECT("'results" &amp; $B9 &amp; "'!M$14")</f>
        <v>5.2407723749965953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76.666666666666671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18.416041829011384</v>
      </c>
      <c r="Q9" s="5" cm="1">
        <f t="array" aca="1" ref="Q9" ca="1">INDIRECT("'results" &amp; $B9 &amp; "'!R$14")</f>
        <v>1193.6330785305265</v>
      </c>
      <c r="R9" s="5"/>
      <c r="S9" s="5" cm="1">
        <f t="array" aca="1" ref="S9" ca="1">INDIRECT("'results" &amp; $B9 &amp; "'!T$14")</f>
        <v>87586.314588304595</v>
      </c>
      <c r="T9" s="5" cm="1">
        <f t="array" aca="1" ref="T9" ca="1">INDIRECT("'results" &amp; $B9 &amp; "'!U$14")</f>
        <v>7.4885112080010003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90</v>
      </c>
      <c r="W9" s="5" cm="1">
        <f t="array" aca="1" ref="W9" ca="1">INDIRECT("'results" &amp; $B9 &amp; "'!X$14")</f>
        <v>38.299041373565615</v>
      </c>
      <c r="X9" s="5" cm="1">
        <f t="array" aca="1" ref="X9" ca="1">INDIRECT("'results" &amp; $B9 &amp; "'!Y$14")</f>
        <v>36.574214833969876</v>
      </c>
      <c r="Y9" s="5" cm="1">
        <f t="array" aca="1" ref="Y9" ca="1">INDIRECT("'results" &amp; $B9 &amp; "'!Z$14")</f>
        <v>1800.8906195496759</v>
      </c>
      <c r="Z9" s="5"/>
    </row>
    <row r="10" spans="2:26" x14ac:dyDescent="0.2">
      <c r="B10" s="4">
        <v>818</v>
      </c>
      <c r="C10" s="5" cm="1">
        <f t="array" aca="1" ref="C10" ca="1">INDIRECT("'results" &amp; $B10 &amp; "'!D$14")</f>
        <v>65596.766920592912</v>
      </c>
      <c r="D10" s="32" cm="1">
        <f t="array" aca="1" ref="D10" ca="1">INDIRECT("'results" &amp; $B10 &amp; "'!E$14")</f>
        <v>4.1288740829986637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0</v>
      </c>
      <c r="H10" s="32" cm="1">
        <f t="array" aca="1" ref="H10" ca="1">INDIRECT("'results" &amp; $B10 &amp; "'!I$14")</f>
        <v>28.501759696329113</v>
      </c>
      <c r="I10" s="5" cm="1">
        <f t="array" aca="1" ref="I10" ca="1">INDIRECT("'results" &amp; $B10 &amp; "'!J$14")</f>
        <v>1165.1316383942581</v>
      </c>
      <c r="J10" s="5"/>
      <c r="K10" s="5" cm="1">
        <f t="array" aca="1" ref="K10" ca="1">INDIRECT("'results" &amp; $B10 &amp; "'!L$14")</f>
        <v>95227.355494733871</v>
      </c>
      <c r="L10" s="5" cm="1">
        <f t="array" aca="1" ref="L10" ca="1">INDIRECT("'results" &amp; $B10 &amp; "'!M$14")</f>
        <v>10.103689625000699</v>
      </c>
      <c r="M10" s="5" cm="1">
        <f t="array" aca="1" ref="M10" ca="1">INDIRECT("'results" &amp; $B10 &amp; "'!N$14")</f>
        <v>4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72.411645367791991</v>
      </c>
      <c r="P10" s="5" cm="1">
        <f t="array" aca="1" ref="P10" ca="1">INDIRECT("'results" &amp; $B10 &amp; "'!Q$14")</f>
        <v>18.78010476660085</v>
      </c>
      <c r="Q10" s="5" cm="1">
        <f t="array" aca="1" ref="Q10" ca="1">INDIRECT("'results" &amp; $B10 &amp; "'!R$14")</f>
        <v>1271.3898638814228</v>
      </c>
      <c r="R10" s="5"/>
      <c r="S10" s="5" cm="1">
        <f t="array" aca="1" ref="S10" ca="1">INDIRECT("'results" &amp; $B10 &amp; "'!T$14")</f>
        <v>78477.063271796185</v>
      </c>
      <c r="T10" s="5" cm="1">
        <f t="array" aca="1" ref="T10" ca="1">INDIRECT("'results" &amp; $B10 &amp; "'!U$14")</f>
        <v>4.5728940840017458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26.203060054191795</v>
      </c>
      <c r="X10" s="5" cm="1">
        <f t="array" aca="1" ref="X10" ca="1">INDIRECT("'results" &amp; $B10 &amp; "'!Y$14")</f>
        <v>53.232608473222854</v>
      </c>
      <c r="Y10" s="5" cm="1">
        <f t="array" aca="1" ref="Y10" ca="1">INDIRECT("'results" &amp; $B10 &amp; "'!Z$14")</f>
        <v>1723.65719921608</v>
      </c>
      <c r="Z10" s="5"/>
    </row>
    <row r="11" spans="2:26" x14ac:dyDescent="0.2">
      <c r="B11" s="4">
        <v>872</v>
      </c>
      <c r="C11" s="5" cm="1">
        <f t="array" aca="1" ref="C11" ca="1">INDIRECT("'results" &amp; $B11 &amp; "'!D$14")</f>
        <v>86285.36512106919</v>
      </c>
      <c r="D11" s="32" cm="1">
        <f t="array" aca="1" ref="D11" ca="1">INDIRECT("'results" &amp; $B11 &amp; "'!E$14")</f>
        <v>9.6734334579959977</v>
      </c>
      <c r="E11" s="5" cm="1">
        <f t="array" aca="1" ref="E11" ca="1">INDIRECT("'results" &amp; $B11 &amp; "'!F$14")</f>
        <v>3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66.808881280413544</v>
      </c>
      <c r="H11" s="32" cm="1">
        <f t="array" aca="1" ref="H11" ca="1">INDIRECT("'results" &amp; $B11 &amp; "'!I$14")</f>
        <v>21.904398589771642</v>
      </c>
      <c r="I11" s="5" cm="1">
        <f t="array" aca="1" ref="I11" ca="1">INDIRECT("'results" &amp; $B11 &amp; "'!J$14")</f>
        <v>1719.3605027239985</v>
      </c>
      <c r="J11" s="5"/>
      <c r="K11" s="5" cm="1">
        <f t="array" aca="1" ref="K11" ca="1">INDIRECT("'results" &amp; $B11 &amp; "'!L$14")</f>
        <v>94052.258476526025</v>
      </c>
      <c r="L11" s="5" cm="1">
        <f t="array" aca="1" ref="L11" ca="1">INDIRECT("'results" &amp; $B11 &amp; "'!M$14")</f>
        <v>10.432289500000479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76.666666666666671</v>
      </c>
      <c r="O11" s="5" cm="1">
        <f t="array" aca="1" ref="O11" ca="1">INDIRECT("'results" &amp; $B11 &amp; "'!P$14")</f>
        <v>5.6680754217169094</v>
      </c>
      <c r="P11" s="5" cm="1">
        <f t="array" aca="1" ref="P11" ca="1">INDIRECT("'results" &amp; $B11 &amp; "'!Q$14")</f>
        <v>18.264945330813497</v>
      </c>
      <c r="Q11" s="5" cm="1">
        <f t="array" aca="1" ref="Q11" ca="1">INDIRECT("'results" &amp; $B11 &amp; "'!R$14")</f>
        <v>1498.9802608252098</v>
      </c>
      <c r="R11" s="5"/>
      <c r="S11" s="5" cm="1">
        <f t="array" aca="1" ref="S11" ca="1">INDIRECT("'results" &amp; $B11 &amp; "'!T$14")</f>
        <v>98131.480821315956</v>
      </c>
      <c r="T11" s="5" cm="1">
        <f t="array" aca="1" ref="T11" ca="1">INDIRECT("'results" &amp; $B11 &amp; "'!U$14")</f>
        <v>9.6181084999989253</v>
      </c>
      <c r="U11" s="5" cm="1">
        <f t="array" aca="1" ref="U11" ca="1">INDIRECT("'results" &amp; $B11 &amp; "'!V$14")</f>
        <v>3</v>
      </c>
      <c r="V11" s="5" cm="1">
        <f t="array" aca="1" ref="V11" ca="1">INDIRECT("'results" &amp; $B11 &amp; "'!W$14")</f>
        <v>83.333333333333329</v>
      </c>
      <c r="W11" s="5" cm="1">
        <f t="array" aca="1" ref="W11" ca="1">INDIRECT("'results" &amp; $B11 &amp; "'!X$14")</f>
        <v>85.267360621903336</v>
      </c>
      <c r="X11" s="5" cm="1">
        <f t="array" aca="1" ref="X11" ca="1">INDIRECT("'results" &amp; $B11 &amp; "'!Y$14")</f>
        <v>29.191896766013418</v>
      </c>
      <c r="Y11" s="5" cm="1">
        <f t="array" aca="1" ref="Y11" ca="1">INDIRECT("'results" &amp; $B11 &amp; "'!Z$14")</f>
        <v>2011.3332561626971</v>
      </c>
      <c r="Z11" s="5"/>
    </row>
    <row r="12" spans="2:26" x14ac:dyDescent="0.2">
      <c r="B12" s="4">
        <v>982</v>
      </c>
      <c r="C12" s="5" cm="1">
        <f t="array" aca="1" ref="C12" ca="1">INDIRECT("'results" &amp; $B12 &amp; "'!D$14")</f>
        <v>89866.355749144073</v>
      </c>
      <c r="D12" s="32" cm="1">
        <f t="array" aca="1" ref="D12" ca="1">INDIRECT("'results" &amp; $B12 &amp; "'!E$14")</f>
        <v>4.0247515420051059</v>
      </c>
      <c r="E12" s="5" cm="1">
        <f t="array" aca="1" ref="E12" ca="1">INDIRECT("'results" &amp; $B12 &amp; "'!F$14")</f>
        <v>3</v>
      </c>
      <c r="F12" s="5" cm="1">
        <f t="array" aca="1" ref="F12" ca="1">INDIRECT("'results" &amp; $B12 &amp; "'!G$14")</f>
        <v>90</v>
      </c>
      <c r="G12" s="5" cm="1">
        <f t="array" aca="1" ref="G12" ca="1">INDIRECT("'results" &amp; $B12 &amp; "'!H$14")</f>
        <v>67.346991821188013</v>
      </c>
      <c r="H12" s="32" cm="1">
        <f t="array" aca="1" ref="H12" ca="1">INDIRECT("'results" &amp; $B12 &amp; "'!I$14")</f>
        <v>32.64738230806234</v>
      </c>
      <c r="I12" s="5" cm="1">
        <f t="array" aca="1" ref="I12" ca="1">INDIRECT("'results" &amp; $B12 &amp; "'!J$14")</f>
        <v>1835.2067967906503</v>
      </c>
      <c r="J12" s="5"/>
      <c r="K12" s="5" cm="1">
        <f t="array" aca="1" ref="K12" ca="1">INDIRECT("'results" &amp; $B12 &amp; "'!L$14")</f>
        <v>101768.0796026958</v>
      </c>
      <c r="L12" s="5" cm="1">
        <f t="array" aca="1" ref="L12" ca="1">INDIRECT("'results" &amp; $B12 &amp; "'!M$14")</f>
        <v>6.6464580840001872</v>
      </c>
      <c r="M12" s="5" cm="1">
        <f t="array" aca="1" ref="M12" ca="1">INDIRECT("'results" &amp; $B12 &amp; "'!N$14")</f>
        <v>4</v>
      </c>
      <c r="N12" s="5" cm="1">
        <f t="array" aca="1" ref="N12" ca="1">INDIRECT("'results" &amp; $B12 &amp; "'!O$14")</f>
        <v>80</v>
      </c>
      <c r="O12" s="5" cm="1">
        <f t="array" aca="1" ref="O12" ca="1">INDIRECT("'results" &amp; $B12 &amp; "'!P$14")</f>
        <v>27.743201713536127</v>
      </c>
      <c r="P12" s="5" cm="1">
        <f t="array" aca="1" ref="P12" ca="1">INDIRECT("'results" &amp; $B12 &amp; "'!Q$14")</f>
        <v>20.959120391776921</v>
      </c>
      <c r="Q12" s="5" cm="1">
        <f t="array" aca="1" ref="Q12" ca="1">INDIRECT("'results" &amp; $B12 &amp; "'!R$14")</f>
        <v>1541.7015984656709</v>
      </c>
      <c r="R12" s="5"/>
      <c r="S12" s="5" cm="1">
        <f t="array" aca="1" ref="S12" ca="1">INDIRECT("'results" &amp; $B12 &amp; "'!T$14")</f>
        <v>102910.8817070123</v>
      </c>
      <c r="T12" s="5" cm="1">
        <f t="array" aca="1" ref="T12" ca="1">INDIRECT("'results" &amp; $B12 &amp; "'!U$14")</f>
        <v>4.4082490830005554</v>
      </c>
      <c r="U12" s="5" cm="1">
        <f t="array" aca="1" ref="U12" ca="1">INDIRECT("'results" &amp; $B12 &amp; "'!V$14")</f>
        <v>3</v>
      </c>
      <c r="V12" s="5" cm="1">
        <f t="array" aca="1" ref="V12" ca="1">INDIRECT("'results" &amp; $B12 &amp; "'!W$14")</f>
        <v>76.666666666666671</v>
      </c>
      <c r="W12" s="5" cm="1">
        <f t="array" aca="1" ref="W12" ca="1">INDIRECT("'results" &amp; $B12 &amp; "'!X$14")</f>
        <v>58.14492683217221</v>
      </c>
      <c r="X12" s="5" cm="1">
        <f t="array" aca="1" ref="X12" ca="1">INDIRECT("'results" &amp; $B12 &amp; "'!Y$14")</f>
        <v>38.689959566458164</v>
      </c>
      <c r="Y12" s="5" cm="1">
        <f t="array" aca="1" ref="Y12" ca="1">INDIRECT("'results" &amp; $B12 &amp; "'!Z$14")</f>
        <v>1912.695228226984</v>
      </c>
      <c r="Z12" s="5"/>
    </row>
    <row r="13" spans="2:26" x14ac:dyDescent="0.2">
      <c r="B13" s="8" t="s">
        <v>3</v>
      </c>
      <c r="C13" s="9">
        <f ca="1">AVERAGE(C3:C12)</f>
        <v>74673.920635833623</v>
      </c>
      <c r="D13" s="10">
        <f t="shared" ref="D13:I13" ca="1" si="0">AVERAGE(D3:D12)</f>
        <v>7.4955670917992396</v>
      </c>
      <c r="E13" s="9">
        <f t="shared" ca="1" si="0"/>
        <v>3</v>
      </c>
      <c r="F13" s="9">
        <f t="shared" ca="1" si="0"/>
        <v>93.666666666666671</v>
      </c>
      <c r="G13" s="9">
        <f t="shared" ca="1" si="0"/>
        <v>15.443676173009132</v>
      </c>
      <c r="H13" s="10">
        <f t="shared" ca="1" si="0"/>
        <v>24.909435536815927</v>
      </c>
      <c r="I13" s="9">
        <f t="shared" ca="1" si="0"/>
        <v>1449.2413836086209</v>
      </c>
      <c r="J13" s="37" t="e">
        <f ca="1">(C13-$D$15)/$D$15</f>
        <v>#DIV/0!</v>
      </c>
      <c r="K13" s="16">
        <f ca="1">AVERAGE(K3:K12)</f>
        <v>91596.340582561301</v>
      </c>
      <c r="L13" s="38">
        <f t="shared" ref="L13:Q13" ca="1" si="1">AVERAGE(L3:L12)</f>
        <v>8.8626381083995529</v>
      </c>
      <c r="M13" s="16">
        <f t="shared" ca="1" si="1"/>
        <v>3.2</v>
      </c>
      <c r="N13" s="16">
        <f ca="1">AVERAGE(N3:N12)</f>
        <v>76.666666666666657</v>
      </c>
      <c r="O13" s="16">
        <f t="shared" ca="1" si="1"/>
        <v>10.590695866906453</v>
      </c>
      <c r="P13" s="38">
        <f t="shared" ca="1" si="1"/>
        <v>18.28887336684906</v>
      </c>
      <c r="Q13" s="16">
        <f t="shared" ca="1" si="1"/>
        <v>1282.7694790109738</v>
      </c>
      <c r="R13" s="39" t="e">
        <f ca="1">(K13-$D$15)/$D$15</f>
        <v>#DIV/0!</v>
      </c>
      <c r="S13" s="40">
        <f ca="1">AVERAGE(S3:S12)</f>
        <v>89000.46148024009</v>
      </c>
      <c r="T13" s="41">
        <f t="shared" ref="T13:Y13" ca="1" si="2">AVERAGE(T3:T12)</f>
        <v>7.772992862600586</v>
      </c>
      <c r="U13" s="40">
        <f t="shared" ca="1" si="2"/>
        <v>3</v>
      </c>
      <c r="V13" s="40">
        <f t="shared" ca="1" si="2"/>
        <v>86.666666666666671</v>
      </c>
      <c r="W13" s="40">
        <f t="shared" ca="1" si="2"/>
        <v>47.777910912316408</v>
      </c>
      <c r="X13" s="41">
        <f t="shared" ca="1" si="2"/>
        <v>40.038458721390924</v>
      </c>
      <c r="Y13" s="40">
        <f t="shared" ca="1" si="2"/>
        <v>1856.4704958743266</v>
      </c>
      <c r="Z13" s="42" t="e">
        <f ca="1">(S13-$D$15)/$D$15</f>
        <v>#DIV/0!</v>
      </c>
    </row>
    <row r="14" spans="2:26" x14ac:dyDescent="0.2">
      <c r="K14" s="43"/>
      <c r="L14" s="43"/>
      <c r="M14" s="43"/>
      <c r="N14" s="43"/>
      <c r="O14" s="43"/>
      <c r="P14" s="43"/>
      <c r="Q14" s="43"/>
      <c r="S14" s="43"/>
      <c r="T14" s="43"/>
      <c r="U14" s="43"/>
      <c r="V14" s="43"/>
      <c r="W14" s="43"/>
      <c r="X14" s="43"/>
      <c r="Y14" s="43"/>
    </row>
    <row r="16" spans="2:26" x14ac:dyDescent="0.2">
      <c r="B16" s="1" t="s">
        <v>20</v>
      </c>
      <c r="C16">
        <f ca="1">_xlfn.STDEV.S(C3:C12)</f>
        <v>9886.7483288956064</v>
      </c>
      <c r="J16" s="1" t="s">
        <v>20</v>
      </c>
      <c r="K16">
        <f ca="1">_xlfn.STDEV.S(K3:K12)</f>
        <v>8475.3817043168438</v>
      </c>
      <c r="R16" s="1" t="s">
        <v>20</v>
      </c>
      <c r="S16">
        <f ca="1">_xlfn.STDEV.S(S3:S12)</f>
        <v>10831.83243001029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7A6A-538F-6F43-B7EB-A2B4CABCA74E}">
  <dimension ref="B1:AA17"/>
  <sheetViews>
    <sheetView zoomScale="118" zoomScaleNormal="120" workbookViewId="0">
      <selection activeCell="A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20.957468780609702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-0.19748009629575941</v>
      </c>
      <c r="T2" s="1" t="s">
        <v>19</v>
      </c>
      <c r="X2" s="1" t="e">
        <f>(X14-P14)/P14</f>
        <v>#DIV/0!</v>
      </c>
      <c r="Z2" s="1">
        <f>(Z14-R14)/R14</f>
        <v>0.45197402291309513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131</v>
      </c>
      <c r="D4" s="23">
        <v>73592.606073053597</v>
      </c>
      <c r="E4" s="32">
        <v>10.55082349999793</v>
      </c>
      <c r="F4" s="5">
        <v>3</v>
      </c>
      <c r="G4" s="23">
        <v>93.333333333333329</v>
      </c>
      <c r="H4" s="32">
        <v>0.74228536943810142</v>
      </c>
      <c r="I4" s="23">
        <v>21.856010723698091</v>
      </c>
      <c r="J4" s="5">
        <v>1375.3054739255083</v>
      </c>
      <c r="K4" s="34" t="e">
        <f>(D4-$D$15)/$D$15</f>
        <v>#DIV/0!</v>
      </c>
      <c r="L4" s="23">
        <v>82256.2041871853</v>
      </c>
      <c r="M4" s="32">
        <v>8.3241213749970484</v>
      </c>
      <c r="N4" s="5">
        <v>3</v>
      </c>
      <c r="O4" s="5">
        <v>80</v>
      </c>
      <c r="P4" s="32">
        <v>0</v>
      </c>
      <c r="Q4" s="5">
        <v>16.298707825740451</v>
      </c>
      <c r="R4" s="5">
        <v>1103.7100164986139</v>
      </c>
      <c r="S4" s="44"/>
      <c r="T4" s="23">
        <v>84315.084711685544</v>
      </c>
      <c r="U4" s="32">
        <v>9.3767737919988576</v>
      </c>
      <c r="V4" s="5">
        <v>3</v>
      </c>
      <c r="W4" s="5">
        <v>86.666666666666671</v>
      </c>
      <c r="X4" s="32">
        <v>11.978955685686007</v>
      </c>
      <c r="Y4" s="5">
        <v>31.741236718996998</v>
      </c>
      <c r="Z4" s="5">
        <v>1602.558272784971</v>
      </c>
      <c r="AA4" s="44"/>
    </row>
    <row r="5" spans="2:27" x14ac:dyDescent="0.2">
      <c r="B5" s="4">
        <v>2</v>
      </c>
      <c r="C5" s="4">
        <v>241</v>
      </c>
      <c r="D5" s="23">
        <v>73592.606073053597</v>
      </c>
      <c r="E5" s="32">
        <v>10.43788904099711</v>
      </c>
      <c r="F5" s="5">
        <v>3</v>
      </c>
      <c r="G5" s="23">
        <v>93.333333333333329</v>
      </c>
      <c r="H5" s="32">
        <v>0.74228536943810142</v>
      </c>
      <c r="I5" s="23">
        <v>21.856010723698091</v>
      </c>
      <c r="J5" s="5">
        <v>1375.3054739255083</v>
      </c>
      <c r="K5" s="34" t="e">
        <f>(D5-$D$15)/$D$15</f>
        <v>#DIV/0!</v>
      </c>
      <c r="L5" s="23">
        <v>82256.2041871853</v>
      </c>
      <c r="M5" s="32">
        <v>8.8084703749991604</v>
      </c>
      <c r="N5" s="5">
        <v>3</v>
      </c>
      <c r="O5" s="5">
        <v>80</v>
      </c>
      <c r="P5" s="32">
        <v>0</v>
      </c>
      <c r="Q5" s="5">
        <v>16.298707825740451</v>
      </c>
      <c r="R5" s="5">
        <v>1103.7100164986139</v>
      </c>
      <c r="S5" s="44"/>
      <c r="T5" s="23">
        <v>84315.084711685544</v>
      </c>
      <c r="U5" s="32">
        <v>9.3796377500002563</v>
      </c>
      <c r="V5" s="5">
        <v>3</v>
      </c>
      <c r="W5" s="5">
        <v>86.666666666666671</v>
      </c>
      <c r="X5" s="32">
        <v>11.978955685686007</v>
      </c>
      <c r="Y5" s="5">
        <v>31.741236718996998</v>
      </c>
      <c r="Z5" s="5">
        <v>1602.558272784971</v>
      </c>
      <c r="AA5" s="44"/>
    </row>
    <row r="6" spans="2:27" x14ac:dyDescent="0.2">
      <c r="B6" s="4">
        <v>3</v>
      </c>
      <c r="C6" s="4">
        <v>266</v>
      </c>
      <c r="D6" s="23">
        <v>73592.606073053597</v>
      </c>
      <c r="E6" s="32">
        <v>10.758977334000519</v>
      </c>
      <c r="F6" s="5">
        <v>3</v>
      </c>
      <c r="G6" s="23">
        <v>93.333333333333329</v>
      </c>
      <c r="H6" s="32">
        <v>0.74228536943810142</v>
      </c>
      <c r="I6" s="23">
        <v>21.856010723698091</v>
      </c>
      <c r="J6" s="5">
        <v>1375.3054739255083</v>
      </c>
      <c r="K6" s="34" t="e">
        <f t="shared" ref="K6:K13" si="0">(D6-$D$15)/$D$15</f>
        <v>#DIV/0!</v>
      </c>
      <c r="L6" s="23">
        <v>82256.2041871853</v>
      </c>
      <c r="M6" s="32">
        <v>8.8128523339983076</v>
      </c>
      <c r="N6" s="5">
        <v>3</v>
      </c>
      <c r="O6" s="5">
        <v>80</v>
      </c>
      <c r="P6" s="32">
        <v>0</v>
      </c>
      <c r="Q6" s="5">
        <v>16.298707825740451</v>
      </c>
      <c r="R6" s="5">
        <v>1103.7100164986139</v>
      </c>
      <c r="S6" s="44"/>
      <c r="T6" s="23">
        <v>84315.084711685544</v>
      </c>
      <c r="U6" s="32">
        <v>9.3520494160002272</v>
      </c>
      <c r="V6" s="5">
        <v>3</v>
      </c>
      <c r="W6" s="5">
        <v>86.666666666666671</v>
      </c>
      <c r="X6" s="32">
        <v>11.978955685686007</v>
      </c>
      <c r="Y6" s="5">
        <v>31.741236718996998</v>
      </c>
      <c r="Z6" s="5">
        <v>1602.558272784971</v>
      </c>
      <c r="AA6" s="44"/>
    </row>
    <row r="7" spans="2:27" x14ac:dyDescent="0.2">
      <c r="B7" s="4">
        <v>4</v>
      </c>
      <c r="C7" s="4">
        <v>313</v>
      </c>
      <c r="D7" s="23">
        <v>73592.606073053597</v>
      </c>
      <c r="E7" s="32">
        <v>10.77479387499989</v>
      </c>
      <c r="F7" s="5">
        <v>3</v>
      </c>
      <c r="G7" s="23">
        <v>93.333333333333329</v>
      </c>
      <c r="H7" s="32">
        <v>0.74228536943810142</v>
      </c>
      <c r="I7" s="23">
        <v>21.856010723698091</v>
      </c>
      <c r="J7" s="5">
        <v>1375.3054739255083</v>
      </c>
      <c r="K7" s="34" t="e">
        <f t="shared" si="0"/>
        <v>#DIV/0!</v>
      </c>
      <c r="L7" s="23">
        <v>82256.2041871853</v>
      </c>
      <c r="M7" s="32">
        <v>8.4333150839993323</v>
      </c>
      <c r="N7" s="5">
        <v>3</v>
      </c>
      <c r="O7" s="5">
        <v>80</v>
      </c>
      <c r="P7" s="32">
        <v>0</v>
      </c>
      <c r="Q7" s="5">
        <v>16.298707825740451</v>
      </c>
      <c r="R7" s="5">
        <v>1103.7100164986139</v>
      </c>
      <c r="S7" s="44"/>
      <c r="T7" s="23">
        <v>84315.084711685544</v>
      </c>
      <c r="U7" s="32">
        <v>9.1884394579974469</v>
      </c>
      <c r="V7" s="5">
        <v>3</v>
      </c>
      <c r="W7" s="5">
        <v>86.666666666666671</v>
      </c>
      <c r="X7" s="32">
        <v>11.978955685686007</v>
      </c>
      <c r="Y7" s="5">
        <v>31.741236718996998</v>
      </c>
      <c r="Z7" s="5">
        <v>1602.558272784971</v>
      </c>
      <c r="AA7" s="44"/>
    </row>
    <row r="8" spans="2:27" x14ac:dyDescent="0.2">
      <c r="B8" s="4">
        <v>5</v>
      </c>
      <c r="C8" s="4">
        <v>532</v>
      </c>
      <c r="D8" s="23">
        <v>73592.606073053597</v>
      </c>
      <c r="E8" s="32">
        <v>10.19005500000276</v>
      </c>
      <c r="F8" s="5">
        <v>3</v>
      </c>
      <c r="G8" s="23">
        <v>93.333333333333329</v>
      </c>
      <c r="H8" s="32">
        <v>0.74228536943810142</v>
      </c>
      <c r="I8" s="23">
        <v>21.856010723698091</v>
      </c>
      <c r="J8" s="5">
        <v>1375.3054739255083</v>
      </c>
      <c r="K8" s="34" t="e">
        <f t="shared" si="0"/>
        <v>#DIV/0!</v>
      </c>
      <c r="L8" s="23">
        <v>82256.2041871853</v>
      </c>
      <c r="M8" s="32">
        <v>9.0141417499980889</v>
      </c>
      <c r="N8" s="5">
        <v>3</v>
      </c>
      <c r="O8" s="5">
        <v>80</v>
      </c>
      <c r="P8" s="32">
        <v>0</v>
      </c>
      <c r="Q8" s="5">
        <v>16.298707825740451</v>
      </c>
      <c r="R8" s="5">
        <v>1103.7100164986139</v>
      </c>
      <c r="S8" s="44"/>
      <c r="T8" s="23">
        <v>84315.084711685544</v>
      </c>
      <c r="U8" s="32">
        <v>9.4306250419977005</v>
      </c>
      <c r="V8" s="5">
        <v>3</v>
      </c>
      <c r="W8" s="5">
        <v>86.666666666666671</v>
      </c>
      <c r="X8" s="32">
        <v>11.978955685686007</v>
      </c>
      <c r="Y8" s="5">
        <v>31.741236718996998</v>
      </c>
      <c r="Z8" s="5">
        <v>1602.558272784971</v>
      </c>
      <c r="AA8" s="44"/>
    </row>
    <row r="9" spans="2:27" x14ac:dyDescent="0.2">
      <c r="B9" s="4">
        <v>6</v>
      </c>
      <c r="C9" s="4">
        <v>680</v>
      </c>
      <c r="D9" s="23">
        <v>73592.606073053597</v>
      </c>
      <c r="E9" s="32">
        <v>10.93051908299822</v>
      </c>
      <c r="F9" s="5">
        <v>3</v>
      </c>
      <c r="G9" s="23">
        <v>93.333333333333329</v>
      </c>
      <c r="H9" s="32">
        <v>0.74228536943810142</v>
      </c>
      <c r="I9" s="23">
        <v>21.856010723698091</v>
      </c>
      <c r="J9" s="5">
        <v>1375.3054739255083</v>
      </c>
      <c r="K9" s="34" t="e">
        <f t="shared" si="0"/>
        <v>#DIV/0!</v>
      </c>
      <c r="L9" s="23">
        <v>82256.2041871853</v>
      </c>
      <c r="M9" s="32">
        <v>8.7481986249986221</v>
      </c>
      <c r="N9" s="5">
        <v>3</v>
      </c>
      <c r="O9" s="5">
        <v>80</v>
      </c>
      <c r="P9" s="32">
        <v>0</v>
      </c>
      <c r="Q9" s="5">
        <v>16.298707825740451</v>
      </c>
      <c r="R9" s="5">
        <v>1103.7100164986139</v>
      </c>
      <c r="S9" s="44"/>
      <c r="T9" s="23">
        <v>84315.084711685544</v>
      </c>
      <c r="U9" s="32">
        <v>9.5195266659975459</v>
      </c>
      <c r="V9" s="5">
        <v>3</v>
      </c>
      <c r="W9" s="5">
        <v>86.666666666666671</v>
      </c>
      <c r="X9" s="32">
        <v>11.978955685686007</v>
      </c>
      <c r="Y9" s="5">
        <v>31.741236718996998</v>
      </c>
      <c r="Z9" s="5">
        <v>1602.558272784971</v>
      </c>
      <c r="AA9" s="44"/>
    </row>
    <row r="10" spans="2:27" x14ac:dyDescent="0.2">
      <c r="B10" s="4">
        <v>7</v>
      </c>
      <c r="C10" s="4">
        <v>733</v>
      </c>
      <c r="D10" s="23">
        <v>73592.606073053597</v>
      </c>
      <c r="E10" s="32">
        <v>10.2066890419992</v>
      </c>
      <c r="F10" s="5">
        <v>3</v>
      </c>
      <c r="G10" s="23">
        <v>93.333333333333329</v>
      </c>
      <c r="H10" s="32">
        <v>0.74228536943810142</v>
      </c>
      <c r="I10" s="23">
        <v>21.856010723698091</v>
      </c>
      <c r="J10" s="5">
        <v>1375.3054739255083</v>
      </c>
      <c r="K10" s="34" t="e">
        <f t="shared" si="0"/>
        <v>#DIV/0!</v>
      </c>
      <c r="L10" s="23">
        <v>82256.2041871853</v>
      </c>
      <c r="M10" s="32">
        <v>8.8015799169988895</v>
      </c>
      <c r="N10" s="5">
        <v>3</v>
      </c>
      <c r="O10" s="5">
        <v>80</v>
      </c>
      <c r="P10" s="32">
        <v>0</v>
      </c>
      <c r="Q10" s="5">
        <v>16.298707825740451</v>
      </c>
      <c r="R10" s="5">
        <v>1103.7100164986139</v>
      </c>
      <c r="S10" s="44"/>
      <c r="T10" s="23">
        <v>84315.084711685544</v>
      </c>
      <c r="U10" s="32">
        <v>9.4668980420028674</v>
      </c>
      <c r="V10" s="5">
        <v>3</v>
      </c>
      <c r="W10" s="5">
        <v>86.666666666666671</v>
      </c>
      <c r="X10" s="32">
        <v>11.978955685686007</v>
      </c>
      <c r="Y10" s="5">
        <v>31.741236718996998</v>
      </c>
      <c r="Z10" s="5">
        <v>1602.558272784971</v>
      </c>
      <c r="AA10" s="44"/>
    </row>
    <row r="11" spans="2:27" x14ac:dyDescent="0.2">
      <c r="B11" s="4">
        <v>8</v>
      </c>
      <c r="C11" s="4">
        <v>760</v>
      </c>
      <c r="D11" s="23">
        <v>73592.606073053597</v>
      </c>
      <c r="E11" s="32">
        <v>10.377616875000969</v>
      </c>
      <c r="F11" s="5">
        <v>3</v>
      </c>
      <c r="G11" s="23">
        <v>93.333333333333329</v>
      </c>
      <c r="H11" s="32">
        <v>0.74228536943810142</v>
      </c>
      <c r="I11" s="23">
        <v>21.856010723698091</v>
      </c>
      <c r="J11" s="5">
        <v>1375.3054739255083</v>
      </c>
      <c r="K11" s="34" t="e">
        <f t="shared" si="0"/>
        <v>#DIV/0!</v>
      </c>
      <c r="L11" s="23">
        <v>82256.2041871853</v>
      </c>
      <c r="M11" s="32">
        <v>8.8094776249999995</v>
      </c>
      <c r="N11" s="5">
        <v>3</v>
      </c>
      <c r="O11" s="5">
        <v>80</v>
      </c>
      <c r="P11" s="32">
        <v>0</v>
      </c>
      <c r="Q11" s="5">
        <v>16.298707825740451</v>
      </c>
      <c r="R11" s="5">
        <v>1103.7100164986139</v>
      </c>
      <c r="S11" s="44"/>
      <c r="T11" s="23">
        <v>84315.084711685544</v>
      </c>
      <c r="U11" s="32">
        <v>9.545941958000185</v>
      </c>
      <c r="V11" s="5">
        <v>3</v>
      </c>
      <c r="W11" s="5">
        <v>86.666666666666671</v>
      </c>
      <c r="X11" s="32">
        <v>11.978955685686007</v>
      </c>
      <c r="Y11" s="5">
        <v>31.741236718996998</v>
      </c>
      <c r="Z11" s="5">
        <v>1602.558272784971</v>
      </c>
      <c r="AA11" s="44"/>
    </row>
    <row r="12" spans="2:27" x14ac:dyDescent="0.2">
      <c r="B12" s="4">
        <v>9</v>
      </c>
      <c r="C12" s="4">
        <v>874</v>
      </c>
      <c r="D12" s="23">
        <v>73592.606073053597</v>
      </c>
      <c r="E12" s="32">
        <v>10.54792083400025</v>
      </c>
      <c r="F12" s="5">
        <v>3</v>
      </c>
      <c r="G12" s="23">
        <v>93.333333333333329</v>
      </c>
      <c r="H12" s="32">
        <v>0.74228536943810142</v>
      </c>
      <c r="I12" s="23">
        <v>21.856010723698091</v>
      </c>
      <c r="J12" s="5">
        <v>1375.3054739255083</v>
      </c>
      <c r="K12" s="34" t="e">
        <f t="shared" si="0"/>
        <v>#DIV/0!</v>
      </c>
      <c r="L12" s="23">
        <v>103574.2157498133</v>
      </c>
      <c r="M12" s="32">
        <v>5.3423414999997476</v>
      </c>
      <c r="N12" s="5">
        <v>3</v>
      </c>
      <c r="O12" s="5">
        <v>63.333333333333343</v>
      </c>
      <c r="P12" s="32">
        <v>0</v>
      </c>
      <c r="Q12" s="5">
        <v>13.953217015179362</v>
      </c>
      <c r="R12" s="5">
        <v>1154.9080336670686</v>
      </c>
      <c r="S12" s="44"/>
      <c r="T12" s="23">
        <v>84315.084711685544</v>
      </c>
      <c r="U12" s="32">
        <v>9.6583874169991759</v>
      </c>
      <c r="V12" s="5">
        <v>3</v>
      </c>
      <c r="W12" s="5">
        <v>86.666666666666671</v>
      </c>
      <c r="X12" s="32">
        <v>11.978955685686007</v>
      </c>
      <c r="Y12" s="5">
        <v>31.741236718996998</v>
      </c>
      <c r="Z12" s="5">
        <v>1602.558272784971</v>
      </c>
      <c r="AA12" s="44"/>
    </row>
    <row r="13" spans="2:27" x14ac:dyDescent="0.2">
      <c r="B13" s="4">
        <v>10</v>
      </c>
      <c r="C13" s="4">
        <v>907</v>
      </c>
      <c r="D13" s="23">
        <v>73592.606073053597</v>
      </c>
      <c r="E13" s="32">
        <v>10.64719075000176</v>
      </c>
      <c r="F13" s="5">
        <v>3</v>
      </c>
      <c r="G13" s="23">
        <v>93.333333333333329</v>
      </c>
      <c r="H13" s="32">
        <v>0.74228536943810142</v>
      </c>
      <c r="I13" s="23">
        <v>21.856010723698091</v>
      </c>
      <c r="J13" s="5">
        <v>1375.3054739255083</v>
      </c>
      <c r="K13" s="34" t="e">
        <f t="shared" si="0"/>
        <v>#DIV/0!</v>
      </c>
      <c r="L13" s="23">
        <v>82256.2041871853</v>
      </c>
      <c r="M13" s="32">
        <v>9.1127037500009465</v>
      </c>
      <c r="N13" s="5">
        <v>3</v>
      </c>
      <c r="O13" s="5">
        <v>80</v>
      </c>
      <c r="P13" s="32">
        <v>0</v>
      </c>
      <c r="Q13" s="5">
        <v>16.298707825740451</v>
      </c>
      <c r="R13" s="5">
        <v>1103.7100164986139</v>
      </c>
      <c r="S13" s="44"/>
      <c r="T13" s="23">
        <v>84315.084711685544</v>
      </c>
      <c r="U13" s="32">
        <v>9.8864083330008725</v>
      </c>
      <c r="V13" s="5">
        <v>3</v>
      </c>
      <c r="W13" s="5">
        <v>86.666666666666671</v>
      </c>
      <c r="X13" s="32">
        <v>11.978955685686007</v>
      </c>
      <c r="Y13" s="5">
        <v>31.741236718996998</v>
      </c>
      <c r="Z13" s="5">
        <v>1602.558272784971</v>
      </c>
      <c r="AA13" s="44"/>
    </row>
    <row r="14" spans="2:27" x14ac:dyDescent="0.2">
      <c r="B14" s="48" t="s">
        <v>3</v>
      </c>
      <c r="C14" s="49"/>
      <c r="D14" s="9">
        <f>MIN(D4:D13)</f>
        <v>73592.606073053597</v>
      </c>
      <c r="E14" s="11">
        <f>INDEX(E4:E13, MATCH($D$14, D4:D13, 0))</f>
        <v>10.55082349999793</v>
      </c>
      <c r="F14" s="9">
        <f>INDEX(F4:F13, MATCH($D$14, D4:D13, 0))</f>
        <v>3</v>
      </c>
      <c r="G14" s="9">
        <f>INDEX(G4:G13, MATCH($D$14, D4:D13, 0))</f>
        <v>93.333333333333329</v>
      </c>
      <c r="H14" s="11">
        <f>INDEX(H4:H13, MATCH($D$14, D4:D13, 0))</f>
        <v>0.74228536943810142</v>
      </c>
      <c r="I14" s="9">
        <f>INDEX(I4:I13, MATCH($D$14, D4:D13, 0))</f>
        <v>21.856010723698091</v>
      </c>
      <c r="J14" s="9">
        <f>INDEX(J4:J13, MATCH($D$14, D4:D13, 0))</f>
        <v>1375.3054739255083</v>
      </c>
      <c r="K14" s="35" t="e">
        <f>(D14-$D$15)/$D$15</f>
        <v>#DIV/0!</v>
      </c>
      <c r="L14" s="16">
        <f>MIN(L4:L13)</f>
        <v>82256.2041871853</v>
      </c>
      <c r="M14" s="21">
        <f>INDEX(M4:M13, MATCH($L$14, L4:L13, 0))</f>
        <v>8.3241213749970484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16.298707825740451</v>
      </c>
      <c r="R14" s="21">
        <f>INDEX(R4:R13, MATCH($L$14, L4:L13, 0))</f>
        <v>1103.7100164986139</v>
      </c>
      <c r="S14" s="45" t="e">
        <f>(L14-$D$15)/$D$15</f>
        <v>#DIV/0!</v>
      </c>
      <c r="T14" s="40">
        <f>MIN(T4:T13)</f>
        <v>84315.084711685544</v>
      </c>
      <c r="U14" s="46">
        <f>INDEX(U4:U13, MATCH($T$14, T4:T13, 0))</f>
        <v>9.3767737919988576</v>
      </c>
      <c r="V14" s="40">
        <f>INDEX(V4:V13, MATCH($T$14, T4:T13, 0))</f>
        <v>3</v>
      </c>
      <c r="W14" s="40">
        <f>INDEX(W4:W13, MATCH($T$14, T4:T13, 0))</f>
        <v>86.666666666666671</v>
      </c>
      <c r="X14" s="46">
        <f>INDEX(X4:X13, MATCH($T$14, T4:T13, 0))</f>
        <v>11.978955685686007</v>
      </c>
      <c r="Y14" s="46">
        <f>INDEX(Y4:Y13, MATCH($T$14, T4:T13, 0))</f>
        <v>31.741236718996998</v>
      </c>
      <c r="Z14" s="46">
        <f>INDEX(Z4:Z13, MATCH($T$14, T4:T13, 0))</f>
        <v>1602.558272784971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07" priority="3"/>
    <cfRule type="duplicateValues" dxfId="106" priority="4"/>
  </conditionalFormatting>
  <conditionalFormatting sqref="C14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0735-9D87-3048-9598-EACE126D2E7C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0.44298784227884569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-0.2051205215353939</v>
      </c>
      <c r="T2" s="1" t="s">
        <v>19</v>
      </c>
      <c r="X2" s="1" t="e">
        <f>(X14-P14)/P14</f>
        <v>#DIV/0!</v>
      </c>
      <c r="Z2" s="1">
        <f>(Z14-R14)/R14</f>
        <v>0.5397232666324373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26</v>
      </c>
      <c r="D4" s="23">
        <v>86789.675838657742</v>
      </c>
      <c r="E4" s="32">
        <v>9.1339003329994739</v>
      </c>
      <c r="F4" s="5">
        <v>3</v>
      </c>
      <c r="G4" s="23">
        <v>90</v>
      </c>
      <c r="H4" s="32">
        <v>10.349988019843472</v>
      </c>
      <c r="I4" s="23">
        <v>22.710715928342054</v>
      </c>
      <c r="J4" s="5">
        <v>1707.771099757749</v>
      </c>
      <c r="K4" s="34" t="e">
        <f>(D4-$D$15)/$D$15</f>
        <v>#DIV/0!</v>
      </c>
      <c r="L4" s="23">
        <v>106817.6679873207</v>
      </c>
      <c r="M4" s="32">
        <v>8.0823447920010949</v>
      </c>
      <c r="N4" s="5">
        <v>3</v>
      </c>
      <c r="O4" s="5">
        <v>63.333333333333343</v>
      </c>
      <c r="P4" s="32">
        <v>0</v>
      </c>
      <c r="Q4" s="5">
        <v>14.934906880365835</v>
      </c>
      <c r="R4" s="5">
        <v>1357.4722011123663</v>
      </c>
      <c r="S4" s="44"/>
      <c r="T4" s="23">
        <v>106880.8911981195</v>
      </c>
      <c r="U4" s="32">
        <v>8.3134274590011046</v>
      </c>
      <c r="V4" s="5">
        <v>3</v>
      </c>
      <c r="W4" s="5">
        <v>76.666666666666671</v>
      </c>
      <c r="X4" s="32">
        <v>75.770877667681219</v>
      </c>
      <c r="Y4" s="5">
        <v>31.285335211157292</v>
      </c>
      <c r="Z4" s="5">
        <v>2090.1315318594575</v>
      </c>
      <c r="AA4" s="44"/>
    </row>
    <row r="5" spans="2:27" x14ac:dyDescent="0.2">
      <c r="B5" s="4">
        <v>2</v>
      </c>
      <c r="C5" s="4">
        <v>42</v>
      </c>
      <c r="D5" s="23">
        <v>86789.675838657742</v>
      </c>
      <c r="E5" s="32">
        <v>9.167396374999953</v>
      </c>
      <c r="F5" s="5">
        <v>3</v>
      </c>
      <c r="G5" s="23">
        <v>90</v>
      </c>
      <c r="H5" s="32">
        <v>10.349988019843472</v>
      </c>
      <c r="I5" s="23">
        <v>22.710715928342054</v>
      </c>
      <c r="J5" s="5">
        <v>1707.771099757749</v>
      </c>
      <c r="K5" s="34" t="e">
        <f>(D5-$D$15)/$D$15</f>
        <v>#DIV/0!</v>
      </c>
      <c r="L5" s="23">
        <v>120504.63550469901</v>
      </c>
      <c r="M5" s="32">
        <v>6.2194861250027316</v>
      </c>
      <c r="N5" s="5">
        <v>3</v>
      </c>
      <c r="O5" s="5">
        <v>50</v>
      </c>
      <c r="P5" s="32">
        <v>0</v>
      </c>
      <c r="Q5" s="5">
        <v>13.453869802031122</v>
      </c>
      <c r="R5" s="5">
        <v>1259.1883513004752</v>
      </c>
      <c r="S5" s="44"/>
      <c r="T5" s="23">
        <v>106880.8911981195</v>
      </c>
      <c r="U5" s="32">
        <v>8.3473278749988822</v>
      </c>
      <c r="V5" s="5">
        <v>3</v>
      </c>
      <c r="W5" s="5">
        <v>76.666666666666671</v>
      </c>
      <c r="X5" s="32">
        <v>75.770877667681219</v>
      </c>
      <c r="Y5" s="5">
        <v>31.285335211157292</v>
      </c>
      <c r="Z5" s="5">
        <v>2090.1315318594575</v>
      </c>
      <c r="AA5" s="44"/>
    </row>
    <row r="6" spans="2:27" x14ac:dyDescent="0.2">
      <c r="B6" s="4">
        <v>3</v>
      </c>
      <c r="C6" s="4">
        <v>185</v>
      </c>
      <c r="D6" s="23">
        <v>86789.675838657742</v>
      </c>
      <c r="E6" s="32">
        <v>9.0566581250022864</v>
      </c>
      <c r="F6" s="5">
        <v>3</v>
      </c>
      <c r="G6" s="23">
        <v>90</v>
      </c>
      <c r="H6" s="32">
        <v>10.349988019843472</v>
      </c>
      <c r="I6" s="23">
        <v>22.710715928342054</v>
      </c>
      <c r="J6" s="5">
        <v>1707.771099757749</v>
      </c>
      <c r="K6" s="34" t="e">
        <f t="shared" ref="K6:K13" si="0">(D6-$D$15)/$D$15</f>
        <v>#DIV/0!</v>
      </c>
      <c r="L6" s="23">
        <v>127651.2230615856</v>
      </c>
      <c r="M6" s="32">
        <v>6.0180150000014692</v>
      </c>
      <c r="N6" s="5">
        <v>3</v>
      </c>
      <c r="O6" s="5">
        <v>46.666666666666657</v>
      </c>
      <c r="P6" s="32">
        <v>0</v>
      </c>
      <c r="Q6" s="5">
        <v>11.09642345228246</v>
      </c>
      <c r="R6" s="5">
        <v>1420.6704882056697</v>
      </c>
      <c r="S6" s="44"/>
      <c r="T6" s="23">
        <v>106880.8911981195</v>
      </c>
      <c r="U6" s="32">
        <v>8.3808125840005232</v>
      </c>
      <c r="V6" s="5">
        <v>3</v>
      </c>
      <c r="W6" s="5">
        <v>76.666666666666671</v>
      </c>
      <c r="X6" s="32">
        <v>75.770877667681219</v>
      </c>
      <c r="Y6" s="5">
        <v>31.285335211157292</v>
      </c>
      <c r="Z6" s="5">
        <v>2090.1315318594575</v>
      </c>
      <c r="AA6" s="44"/>
    </row>
    <row r="7" spans="2:27" x14ac:dyDescent="0.2">
      <c r="B7" s="4">
        <v>4</v>
      </c>
      <c r="C7" s="4">
        <v>197</v>
      </c>
      <c r="D7" s="23">
        <v>86789.675838657742</v>
      </c>
      <c r="E7" s="32">
        <v>8.9646474589972058</v>
      </c>
      <c r="F7" s="5">
        <v>3</v>
      </c>
      <c r="G7" s="23">
        <v>90</v>
      </c>
      <c r="H7" s="32">
        <v>10.349988019843472</v>
      </c>
      <c r="I7" s="23">
        <v>22.710715928342054</v>
      </c>
      <c r="J7" s="5">
        <v>1707.771099757749</v>
      </c>
      <c r="K7" s="34" t="e">
        <f t="shared" si="0"/>
        <v>#DIV/0!</v>
      </c>
      <c r="L7" s="23">
        <v>106817.6679873207</v>
      </c>
      <c r="M7" s="32">
        <v>8.1781444160005776</v>
      </c>
      <c r="N7" s="5">
        <v>3</v>
      </c>
      <c r="O7" s="5">
        <v>63.333333333333343</v>
      </c>
      <c r="P7" s="32">
        <v>0</v>
      </c>
      <c r="Q7" s="5">
        <v>14.934906880365835</v>
      </c>
      <c r="R7" s="5">
        <v>1357.4722011123663</v>
      </c>
      <c r="S7" s="44"/>
      <c r="T7" s="23">
        <v>106880.8911981195</v>
      </c>
      <c r="U7" s="32">
        <v>8.5237340839994431</v>
      </c>
      <c r="V7" s="5">
        <v>3</v>
      </c>
      <c r="W7" s="5">
        <v>76.666666666666671</v>
      </c>
      <c r="X7" s="32">
        <v>75.770877667681219</v>
      </c>
      <c r="Y7" s="5">
        <v>31.285335211157292</v>
      </c>
      <c r="Z7" s="5">
        <v>2090.1315318594575</v>
      </c>
      <c r="AA7" s="44"/>
    </row>
    <row r="8" spans="2:27" x14ac:dyDescent="0.2">
      <c r="B8" s="4">
        <v>5</v>
      </c>
      <c r="C8" s="4">
        <v>704</v>
      </c>
      <c r="D8" s="23">
        <v>86789.675838657742</v>
      </c>
      <c r="E8" s="32">
        <v>8.9946069590005209</v>
      </c>
      <c r="F8" s="5">
        <v>3</v>
      </c>
      <c r="G8" s="23">
        <v>90</v>
      </c>
      <c r="H8" s="32">
        <v>10.349988019843472</v>
      </c>
      <c r="I8" s="23">
        <v>22.710715928342054</v>
      </c>
      <c r="J8" s="5">
        <v>1707.771099757749</v>
      </c>
      <c r="K8" s="34" t="e">
        <f t="shared" si="0"/>
        <v>#DIV/0!</v>
      </c>
      <c r="L8" s="23">
        <v>106817.6679873207</v>
      </c>
      <c r="M8" s="32">
        <v>8.2572142499993788</v>
      </c>
      <c r="N8" s="5">
        <v>3</v>
      </c>
      <c r="O8" s="5">
        <v>63.333333333333343</v>
      </c>
      <c r="P8" s="32">
        <v>0</v>
      </c>
      <c r="Q8" s="5">
        <v>14.934906880365835</v>
      </c>
      <c r="R8" s="5">
        <v>1357.4722011123663</v>
      </c>
      <c r="S8" s="44"/>
      <c r="T8" s="23">
        <v>106880.8911981195</v>
      </c>
      <c r="U8" s="32">
        <v>10.83194441700107</v>
      </c>
      <c r="V8" s="5">
        <v>3</v>
      </c>
      <c r="W8" s="5">
        <v>76.666666666666671</v>
      </c>
      <c r="X8" s="32">
        <v>75.770877667681219</v>
      </c>
      <c r="Y8" s="5">
        <v>31.285335211157292</v>
      </c>
      <c r="Z8" s="5">
        <v>2090.1315318594575</v>
      </c>
      <c r="AA8" s="44"/>
    </row>
    <row r="9" spans="2:27" x14ac:dyDescent="0.2">
      <c r="B9" s="4">
        <v>6</v>
      </c>
      <c r="C9" s="4">
        <v>842</v>
      </c>
      <c r="D9" s="23">
        <v>111497.7793792954</v>
      </c>
      <c r="E9" s="32">
        <v>3.050019290996715</v>
      </c>
      <c r="F9" s="5">
        <v>2</v>
      </c>
      <c r="G9" s="23">
        <v>60</v>
      </c>
      <c r="H9" s="32">
        <v>13.880728997203088</v>
      </c>
      <c r="I9" s="23">
        <v>21.860736209465806</v>
      </c>
      <c r="J9" s="5">
        <v>1885.6615399314812</v>
      </c>
      <c r="K9" s="34" t="e">
        <f t="shared" si="0"/>
        <v>#DIV/0!</v>
      </c>
      <c r="L9" s="23">
        <v>122629.45303377671</v>
      </c>
      <c r="M9" s="32">
        <v>7.4995867910001834</v>
      </c>
      <c r="N9" s="5">
        <v>3</v>
      </c>
      <c r="O9" s="5">
        <v>50</v>
      </c>
      <c r="P9" s="32">
        <v>0</v>
      </c>
      <c r="Q9" s="5">
        <v>12.188418704367704</v>
      </c>
      <c r="R9" s="5">
        <v>1378.5113645879637</v>
      </c>
      <c r="S9" s="44"/>
      <c r="T9" s="23">
        <v>123371.2238153803</v>
      </c>
      <c r="U9" s="32">
        <v>3.9371872500014429</v>
      </c>
      <c r="V9" s="5">
        <v>2</v>
      </c>
      <c r="W9" s="5">
        <v>50</v>
      </c>
      <c r="X9" s="32">
        <v>50.942981549623923</v>
      </c>
      <c r="Y9" s="5">
        <v>25.561963639310125</v>
      </c>
      <c r="Z9" s="5">
        <v>2103.2976590964854</v>
      </c>
      <c r="AA9" s="44"/>
    </row>
    <row r="10" spans="2:27" x14ac:dyDescent="0.2">
      <c r="B10" s="4">
        <v>7</v>
      </c>
      <c r="C10" s="4">
        <v>854</v>
      </c>
      <c r="D10" s="23">
        <v>86789.675838657742</v>
      </c>
      <c r="E10" s="32">
        <v>9.1122267500031739</v>
      </c>
      <c r="F10" s="5">
        <v>3</v>
      </c>
      <c r="G10" s="23">
        <v>90</v>
      </c>
      <c r="H10" s="32">
        <v>10.349988019843472</v>
      </c>
      <c r="I10" s="23">
        <v>22.710715928342054</v>
      </c>
      <c r="J10" s="5">
        <v>1707.771099757749</v>
      </c>
      <c r="K10" s="34" t="e">
        <f t="shared" si="0"/>
        <v>#DIV/0!</v>
      </c>
      <c r="L10" s="23">
        <v>122106.3049100521</v>
      </c>
      <c r="M10" s="32">
        <v>7.4080893339996692</v>
      </c>
      <c r="N10" s="5">
        <v>3</v>
      </c>
      <c r="O10" s="5">
        <v>50</v>
      </c>
      <c r="P10" s="32">
        <v>0</v>
      </c>
      <c r="Q10" s="5">
        <v>12.195753059545966</v>
      </c>
      <c r="R10" s="5">
        <v>1347.1940558455126</v>
      </c>
      <c r="S10" s="44"/>
      <c r="T10" s="23">
        <v>106880.8911981195</v>
      </c>
      <c r="U10" s="32">
        <v>8.7328377080011705</v>
      </c>
      <c r="V10" s="5">
        <v>3</v>
      </c>
      <c r="W10" s="5">
        <v>76.666666666666671</v>
      </c>
      <c r="X10" s="32">
        <v>75.770877667681219</v>
      </c>
      <c r="Y10" s="5">
        <v>31.285335211157292</v>
      </c>
      <c r="Z10" s="5">
        <v>2090.1315318594575</v>
      </c>
      <c r="AA10" s="44"/>
    </row>
    <row r="11" spans="2:27" x14ac:dyDescent="0.2">
      <c r="B11" s="4">
        <v>8</v>
      </c>
      <c r="C11" s="4">
        <v>926</v>
      </c>
      <c r="D11" s="23">
        <v>86789.675838657742</v>
      </c>
      <c r="E11" s="32">
        <v>8.9715004579993547</v>
      </c>
      <c r="F11" s="5">
        <v>3</v>
      </c>
      <c r="G11" s="23">
        <v>90</v>
      </c>
      <c r="H11" s="32">
        <v>10.349988019843472</v>
      </c>
      <c r="I11" s="23">
        <v>22.710715928342054</v>
      </c>
      <c r="J11" s="5">
        <v>1707.771099757749</v>
      </c>
      <c r="K11" s="34" t="e">
        <f t="shared" si="0"/>
        <v>#DIV/0!</v>
      </c>
      <c r="L11" s="23">
        <v>106817.6679873207</v>
      </c>
      <c r="M11" s="32">
        <v>8.3410469999980705</v>
      </c>
      <c r="N11" s="5">
        <v>3</v>
      </c>
      <c r="O11" s="5">
        <v>63.333333333333343</v>
      </c>
      <c r="P11" s="32">
        <v>0</v>
      </c>
      <c r="Q11" s="5">
        <v>14.934906880365835</v>
      </c>
      <c r="R11" s="5">
        <v>1357.4722011123663</v>
      </c>
      <c r="S11" s="44"/>
      <c r="T11" s="23">
        <v>106880.8911981195</v>
      </c>
      <c r="U11" s="32">
        <v>8.726383834000444</v>
      </c>
      <c r="V11" s="5">
        <v>3</v>
      </c>
      <c r="W11" s="5">
        <v>76.666666666666671</v>
      </c>
      <c r="X11" s="32">
        <v>75.770877667681219</v>
      </c>
      <c r="Y11" s="5">
        <v>31.285335211157292</v>
      </c>
      <c r="Z11" s="5">
        <v>2090.1315318594575</v>
      </c>
      <c r="AA11" s="44"/>
    </row>
    <row r="12" spans="2:27" x14ac:dyDescent="0.2">
      <c r="B12" s="4">
        <v>9</v>
      </c>
      <c r="C12" s="4">
        <v>933</v>
      </c>
      <c r="D12" s="23">
        <v>86789.675838657742</v>
      </c>
      <c r="E12" s="32">
        <v>8.9929347500001313</v>
      </c>
      <c r="F12" s="5">
        <v>3</v>
      </c>
      <c r="G12" s="23">
        <v>90</v>
      </c>
      <c r="H12" s="32">
        <v>10.349988019843472</v>
      </c>
      <c r="I12" s="23">
        <v>22.710715928342054</v>
      </c>
      <c r="J12" s="5">
        <v>1707.771099757749</v>
      </c>
      <c r="K12" s="34" t="e">
        <f t="shared" si="0"/>
        <v>#DIV/0!</v>
      </c>
      <c r="L12" s="23">
        <v>106817.6679873207</v>
      </c>
      <c r="M12" s="32">
        <v>8.3277885419993254</v>
      </c>
      <c r="N12" s="5">
        <v>3</v>
      </c>
      <c r="O12" s="5">
        <v>63.333333333333343</v>
      </c>
      <c r="P12" s="32">
        <v>0</v>
      </c>
      <c r="Q12" s="5">
        <v>14.934906880365835</v>
      </c>
      <c r="R12" s="5">
        <v>1357.4722011123663</v>
      </c>
      <c r="S12" s="44"/>
      <c r="T12" s="23">
        <v>106880.8911981195</v>
      </c>
      <c r="U12" s="32">
        <v>8.9990156249987194</v>
      </c>
      <c r="V12" s="5">
        <v>3</v>
      </c>
      <c r="W12" s="5">
        <v>76.666666666666671</v>
      </c>
      <c r="X12" s="32">
        <v>75.770877667681219</v>
      </c>
      <c r="Y12" s="5">
        <v>31.285335211157292</v>
      </c>
      <c r="Z12" s="5">
        <v>2090.1315318594575</v>
      </c>
      <c r="AA12" s="44"/>
    </row>
    <row r="13" spans="2:27" x14ac:dyDescent="0.2">
      <c r="B13" s="4">
        <v>10</v>
      </c>
      <c r="C13" s="4">
        <v>952</v>
      </c>
      <c r="D13" s="23">
        <v>86789.675838657742</v>
      </c>
      <c r="E13" s="32">
        <v>9.0610212089959532</v>
      </c>
      <c r="F13" s="5">
        <v>3</v>
      </c>
      <c r="G13" s="23">
        <v>90</v>
      </c>
      <c r="H13" s="32">
        <v>10.349988019843472</v>
      </c>
      <c r="I13" s="23">
        <v>22.710715928342054</v>
      </c>
      <c r="J13" s="5">
        <v>1707.771099757749</v>
      </c>
      <c r="K13" s="34" t="e">
        <f t="shared" si="0"/>
        <v>#DIV/0!</v>
      </c>
      <c r="L13" s="23">
        <v>117039.8277333703</v>
      </c>
      <c r="M13" s="32">
        <v>7.1228655840022839</v>
      </c>
      <c r="N13" s="5">
        <v>3</v>
      </c>
      <c r="O13" s="5">
        <v>53.333333333333343</v>
      </c>
      <c r="P13" s="32">
        <v>0</v>
      </c>
      <c r="Q13" s="5">
        <v>13.192348918381299</v>
      </c>
      <c r="R13" s="5">
        <v>1268.4386472559518</v>
      </c>
      <c r="S13" s="44"/>
      <c r="T13" s="23">
        <v>106880.8911981195</v>
      </c>
      <c r="U13" s="32">
        <v>8.7676505839990568</v>
      </c>
      <c r="V13" s="5">
        <v>3</v>
      </c>
      <c r="W13" s="5">
        <v>76.666666666666671</v>
      </c>
      <c r="X13" s="32">
        <v>75.770877667681219</v>
      </c>
      <c r="Y13" s="5">
        <v>31.285335211157292</v>
      </c>
      <c r="Z13" s="5">
        <v>2090.1315318594575</v>
      </c>
      <c r="AA13" s="44"/>
    </row>
    <row r="14" spans="2:27" x14ac:dyDescent="0.2">
      <c r="B14" s="48" t="s">
        <v>3</v>
      </c>
      <c r="C14" s="49"/>
      <c r="D14" s="9">
        <f>MIN(D4:D13)</f>
        <v>86789.675838657742</v>
      </c>
      <c r="E14" s="11">
        <f>INDEX(E4:E13, MATCH($D$14, D4:D13, 0))</f>
        <v>9.1339003329994739</v>
      </c>
      <c r="F14" s="9">
        <f>INDEX(F4:F13, MATCH($D$14, D4:D13, 0))</f>
        <v>3</v>
      </c>
      <c r="G14" s="9">
        <f>INDEX(G4:G13, MATCH($D$14, D4:D13, 0))</f>
        <v>90</v>
      </c>
      <c r="H14" s="11">
        <f>INDEX(H4:H13, MATCH($D$14, D4:D13, 0))</f>
        <v>10.349988019843472</v>
      </c>
      <c r="I14" s="9">
        <f>INDEX(I4:I13, MATCH($D$14, D4:D13, 0))</f>
        <v>22.710715928342054</v>
      </c>
      <c r="J14" s="9">
        <f>INDEX(J4:J13, MATCH($D$14, D4:D13, 0))</f>
        <v>1707.771099757749</v>
      </c>
      <c r="K14" s="35" t="e">
        <f>(D14-$D$15)/$D$15</f>
        <v>#DIV/0!</v>
      </c>
      <c r="L14" s="16">
        <f>MIN(L4:L13)</f>
        <v>106817.6679873207</v>
      </c>
      <c r="M14" s="21">
        <f>INDEX(M4:M13, MATCH($L$14, L4:L13, 0))</f>
        <v>8.0823447920010949</v>
      </c>
      <c r="N14" s="16">
        <f>INDEX(N4:N13, MATCH($L$14, L4:L13, 0))</f>
        <v>3</v>
      </c>
      <c r="O14" s="16">
        <f>INDEX(O4:O13, MATCH($L$14, L4:L13, 0))</f>
        <v>63.333333333333343</v>
      </c>
      <c r="P14" s="21">
        <f>INDEX(P4:P13, MATCH($L$14, L4:L13, 0))</f>
        <v>0</v>
      </c>
      <c r="Q14" s="21">
        <f>INDEX(Q4:Q13, MATCH($L$14, L4:L13, 0))</f>
        <v>14.934906880365835</v>
      </c>
      <c r="R14" s="21">
        <f>INDEX(R4:R13, MATCH($L$14, L4:L13, 0))</f>
        <v>1357.4722011123663</v>
      </c>
      <c r="S14" s="45" t="e">
        <f>(L14-$D$15)/$D$15</f>
        <v>#DIV/0!</v>
      </c>
      <c r="T14" s="40">
        <f>MIN(T4:T13)</f>
        <v>106880.8911981195</v>
      </c>
      <c r="U14" s="46">
        <f>INDEX(U4:U13, MATCH($T$14, T4:T13, 0))</f>
        <v>8.3134274590011046</v>
      </c>
      <c r="V14" s="40">
        <f>INDEX(V4:V13, MATCH($T$14, T4:T13, 0))</f>
        <v>3</v>
      </c>
      <c r="W14" s="40">
        <f>INDEX(W4:W13, MATCH($T$14, T4:T13, 0))</f>
        <v>76.666666666666671</v>
      </c>
      <c r="X14" s="46">
        <f>INDEX(X4:X13, MATCH($T$14, T4:T13, 0))</f>
        <v>75.770877667681219</v>
      </c>
      <c r="Y14" s="46">
        <f>INDEX(Y4:Y13, MATCH($T$14, T4:T13, 0))</f>
        <v>31.285335211157292</v>
      </c>
      <c r="Z14" s="46">
        <f>INDEX(Z4:Z13, MATCH($T$14, T4:T13, 0))</f>
        <v>2090.1315318594575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103" priority="9"/>
    <cfRule type="duplicateValues" dxfId="102" priority="10"/>
  </conditionalFormatting>
  <conditionalFormatting sqref="C4:C13">
    <cfRule type="duplicateValues" dxfId="101" priority="5"/>
    <cfRule type="duplicateValues" dxfId="100" priority="6"/>
  </conditionalFormatting>
  <conditionalFormatting sqref="C14">
    <cfRule type="duplicateValues" dxfId="99" priority="3"/>
    <cfRule type="duplicateValues" dxfId="98" priority="4"/>
  </conditionalFormatting>
  <conditionalFormatting sqref="C15:C30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D3BB-B99B-564E-9420-C5BF8CD8ED7A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1.343698489415714</v>
      </c>
      <c r="J2" s="28" t="e">
        <f>(S14-J14)/J14</f>
        <v>#DIV/0!</v>
      </c>
      <c r="K2" s="28"/>
      <c r="L2" s="1" t="s">
        <v>18</v>
      </c>
      <c r="P2" s="1">
        <f>(P14-H14)/H14</f>
        <v>-0.98761508611463833</v>
      </c>
      <c r="R2" s="1">
        <f>(R14-J14)/J14</f>
        <v>-9.7060550650294383E-2</v>
      </c>
      <c r="T2" s="1" t="s">
        <v>19</v>
      </c>
      <c r="X2" s="1">
        <f>(X14-P14)/P14</f>
        <v>694.36155036409366</v>
      </c>
      <c r="Z2" s="1">
        <f>(Z14-R14)/R14</f>
        <v>0.50344244263811155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101</v>
      </c>
      <c r="D4" s="23">
        <v>72109.261992094922</v>
      </c>
      <c r="E4" s="32">
        <v>9.7483185840028455</v>
      </c>
      <c r="F4" s="5">
        <v>3</v>
      </c>
      <c r="G4" s="23">
        <v>96.666666666666671</v>
      </c>
      <c r="H4" s="32">
        <v>6.785365388679355</v>
      </c>
      <c r="I4" s="23">
        <v>20.965674169162099</v>
      </c>
      <c r="J4" s="5">
        <v>1457.2080932494894</v>
      </c>
      <c r="K4" s="34" t="e">
        <f>(D4-$D$15)/$D$15</f>
        <v>#DIV/0!</v>
      </c>
      <c r="L4" s="23">
        <v>90683.257211579243</v>
      </c>
      <c r="M4" s="32">
        <v>9.5601819170005911</v>
      </c>
      <c r="N4" s="5">
        <v>3</v>
      </c>
      <c r="O4" s="5">
        <v>76.666666666666671</v>
      </c>
      <c r="P4" s="32">
        <v>8.4036166019507655E-2</v>
      </c>
      <c r="Q4" s="5">
        <v>15.902850611581473</v>
      </c>
      <c r="R4" s="5">
        <v>1315.7706733066284</v>
      </c>
      <c r="S4" s="44"/>
      <c r="T4" s="23">
        <v>89283.931045723555</v>
      </c>
      <c r="U4" s="32">
        <v>9.6423426250003104</v>
      </c>
      <c r="V4" s="5">
        <v>3</v>
      </c>
      <c r="W4" s="5">
        <v>90</v>
      </c>
      <c r="X4" s="32">
        <v>58.435518689979205</v>
      </c>
      <c r="Y4" s="5">
        <v>37.020723499110588</v>
      </c>
      <c r="Z4" s="5">
        <v>1978.18547502771</v>
      </c>
      <c r="AA4" s="44"/>
    </row>
    <row r="5" spans="2:27" x14ac:dyDescent="0.2">
      <c r="B5" s="4">
        <v>2</v>
      </c>
      <c r="C5" s="4">
        <v>342</v>
      </c>
      <c r="D5" s="23">
        <v>72109.261992094922</v>
      </c>
      <c r="E5" s="32">
        <v>9.2799919999961276</v>
      </c>
      <c r="F5" s="5">
        <v>3</v>
      </c>
      <c r="G5" s="23">
        <v>96.666666666666671</v>
      </c>
      <c r="H5" s="32">
        <v>6.785365388679355</v>
      </c>
      <c r="I5" s="23">
        <v>20.965674169162099</v>
      </c>
      <c r="J5" s="5">
        <v>1457.2080932494894</v>
      </c>
      <c r="K5" s="34" t="e">
        <f>(D5-$D$15)/$D$15</f>
        <v>#DIV/0!</v>
      </c>
      <c r="L5" s="23">
        <v>109336.483694537</v>
      </c>
      <c r="M5" s="32">
        <v>8.3280090830012341</v>
      </c>
      <c r="N5" s="5">
        <v>3</v>
      </c>
      <c r="O5" s="5">
        <v>56.666666666666657</v>
      </c>
      <c r="P5" s="32">
        <v>0</v>
      </c>
      <c r="Q5" s="5">
        <v>11.757681557087006</v>
      </c>
      <c r="R5" s="5">
        <v>1042.4983178221689</v>
      </c>
      <c r="S5" s="44"/>
      <c r="T5" s="23">
        <v>89283.931045723555</v>
      </c>
      <c r="U5" s="32">
        <v>9.7277277079992928</v>
      </c>
      <c r="V5" s="5">
        <v>3</v>
      </c>
      <c r="W5" s="5">
        <v>90</v>
      </c>
      <c r="X5" s="32">
        <v>58.435518689979205</v>
      </c>
      <c r="Y5" s="5">
        <v>37.020723499110588</v>
      </c>
      <c r="Z5" s="5">
        <v>1978.18547502771</v>
      </c>
      <c r="AA5" s="44"/>
    </row>
    <row r="6" spans="2:27" x14ac:dyDescent="0.2">
      <c r="B6" s="4">
        <v>3</v>
      </c>
      <c r="C6" s="4">
        <v>357</v>
      </c>
      <c r="D6" s="23">
        <v>72109.261992094922</v>
      </c>
      <c r="E6" s="32">
        <v>9.8986859170036041</v>
      </c>
      <c r="F6" s="5">
        <v>3</v>
      </c>
      <c r="G6" s="23">
        <v>96.666666666666671</v>
      </c>
      <c r="H6" s="32">
        <v>6.785365388679355</v>
      </c>
      <c r="I6" s="23">
        <v>20.965674169162099</v>
      </c>
      <c r="J6" s="5">
        <v>1457.2080932494894</v>
      </c>
      <c r="K6" s="34" t="e">
        <f t="shared" ref="K6:K13" si="0">(D6-$D$15)/$D$15</f>
        <v>#DIV/0!</v>
      </c>
      <c r="L6" s="23">
        <v>90683.257211579243</v>
      </c>
      <c r="M6" s="32">
        <v>9.6801842920031049</v>
      </c>
      <c r="N6" s="5">
        <v>3</v>
      </c>
      <c r="O6" s="5">
        <v>76.666666666666671</v>
      </c>
      <c r="P6" s="32">
        <v>8.4036166019507655E-2</v>
      </c>
      <c r="Q6" s="5">
        <v>15.902850611581473</v>
      </c>
      <c r="R6" s="5">
        <v>1315.7706733066284</v>
      </c>
      <c r="S6" s="44"/>
      <c r="T6" s="23">
        <v>89283.931045723555</v>
      </c>
      <c r="U6" s="32">
        <v>9.8214557079991209</v>
      </c>
      <c r="V6" s="5">
        <v>3</v>
      </c>
      <c r="W6" s="5">
        <v>90</v>
      </c>
      <c r="X6" s="32">
        <v>58.435518689979205</v>
      </c>
      <c r="Y6" s="5">
        <v>37.020723499110588</v>
      </c>
      <c r="Z6" s="5">
        <v>1978.18547502771</v>
      </c>
      <c r="AA6" s="44"/>
    </row>
    <row r="7" spans="2:27" x14ac:dyDescent="0.2">
      <c r="B7" s="4">
        <v>4</v>
      </c>
      <c r="C7" s="4">
        <v>532</v>
      </c>
      <c r="D7" s="23">
        <v>99715.307156196563</v>
      </c>
      <c r="E7" s="32">
        <v>3.1695677079987949</v>
      </c>
      <c r="F7" s="5">
        <v>2</v>
      </c>
      <c r="G7" s="23">
        <v>63.333333333333343</v>
      </c>
      <c r="H7" s="32">
        <v>10.356610330089541</v>
      </c>
      <c r="I7" s="23">
        <v>21.017977530410526</v>
      </c>
      <c r="J7" s="5">
        <v>1486.6407858831219</v>
      </c>
      <c r="K7" s="34" t="e">
        <f t="shared" si="0"/>
        <v>#DIV/0!</v>
      </c>
      <c r="L7" s="23">
        <v>109357.11120701861</v>
      </c>
      <c r="M7" s="32">
        <v>8.4850646660015627</v>
      </c>
      <c r="N7" s="5">
        <v>3</v>
      </c>
      <c r="O7" s="5">
        <v>56.666666666666657</v>
      </c>
      <c r="P7" s="32">
        <v>0</v>
      </c>
      <c r="Q7" s="5">
        <v>11.552287488865582</v>
      </c>
      <c r="R7" s="5">
        <v>1040.2222135364382</v>
      </c>
      <c r="S7" s="44"/>
      <c r="T7" s="23">
        <v>107999.24023320089</v>
      </c>
      <c r="U7" s="32">
        <v>4.7594427500007441</v>
      </c>
      <c r="V7" s="5">
        <v>3</v>
      </c>
      <c r="W7" s="5">
        <v>63.333333333333343</v>
      </c>
      <c r="X7" s="32">
        <v>0</v>
      </c>
      <c r="Y7" s="5">
        <v>24.230726481815921</v>
      </c>
      <c r="Z7" s="5">
        <v>1591.3819964968509</v>
      </c>
      <c r="AA7" s="44"/>
    </row>
    <row r="8" spans="2:27" x14ac:dyDescent="0.2">
      <c r="B8" s="4">
        <v>5</v>
      </c>
      <c r="C8" s="4">
        <v>718</v>
      </c>
      <c r="D8" s="23">
        <v>99715.307156196563</v>
      </c>
      <c r="E8" s="32">
        <v>3.2321156670004711</v>
      </c>
      <c r="F8" s="5">
        <v>2</v>
      </c>
      <c r="G8" s="23">
        <v>63.333333333333343</v>
      </c>
      <c r="H8" s="32">
        <v>10.356610330089541</v>
      </c>
      <c r="I8" s="23">
        <v>21.017977530410526</v>
      </c>
      <c r="J8" s="5">
        <v>1486.6407858831219</v>
      </c>
      <c r="K8" s="34" t="e">
        <f t="shared" si="0"/>
        <v>#DIV/0!</v>
      </c>
      <c r="L8" s="23">
        <v>112129.6967013884</v>
      </c>
      <c r="M8" s="32">
        <v>4.757776249996823</v>
      </c>
      <c r="N8" s="5">
        <v>3</v>
      </c>
      <c r="O8" s="5">
        <v>56.666666666666657</v>
      </c>
      <c r="P8" s="32">
        <v>0.11369598932051035</v>
      </c>
      <c r="Q8" s="5">
        <v>12.030572544501922</v>
      </c>
      <c r="R8" s="5">
        <v>1213.0200150074581</v>
      </c>
      <c r="S8" s="44"/>
      <c r="T8" s="23">
        <v>107999.24023320089</v>
      </c>
      <c r="U8" s="32">
        <v>4.785696666000149</v>
      </c>
      <c r="V8" s="5">
        <v>3</v>
      </c>
      <c r="W8" s="5">
        <v>63.333333333333343</v>
      </c>
      <c r="X8" s="32">
        <v>0</v>
      </c>
      <c r="Y8" s="5">
        <v>24.230726481815921</v>
      </c>
      <c r="Z8" s="5">
        <v>1591.3819964968509</v>
      </c>
      <c r="AA8" s="44"/>
    </row>
    <row r="9" spans="2:27" x14ac:dyDescent="0.2">
      <c r="B9" s="4">
        <v>6</v>
      </c>
      <c r="C9" s="4">
        <v>727</v>
      </c>
      <c r="D9" s="23">
        <v>72109.261992094922</v>
      </c>
      <c r="E9" s="32">
        <v>9.9585432909952942</v>
      </c>
      <c r="F9" s="5">
        <v>3</v>
      </c>
      <c r="G9" s="23">
        <v>96.666666666666671</v>
      </c>
      <c r="H9" s="32">
        <v>6.785365388679355</v>
      </c>
      <c r="I9" s="23">
        <v>20.965674169162099</v>
      </c>
      <c r="J9" s="5">
        <v>1457.2080932494894</v>
      </c>
      <c r="K9" s="34" t="e">
        <f t="shared" si="0"/>
        <v>#DIV/0!</v>
      </c>
      <c r="L9" s="23">
        <v>90683.257211579243</v>
      </c>
      <c r="M9" s="32">
        <v>9.639338625001983</v>
      </c>
      <c r="N9" s="5">
        <v>3</v>
      </c>
      <c r="O9" s="5">
        <v>76.666666666666671</v>
      </c>
      <c r="P9" s="32">
        <v>8.4036166019507655E-2</v>
      </c>
      <c r="Q9" s="5">
        <v>15.902850611581473</v>
      </c>
      <c r="R9" s="5">
        <v>1315.7706733066284</v>
      </c>
      <c r="S9" s="44"/>
      <c r="T9" s="23">
        <v>89283.931045723555</v>
      </c>
      <c r="U9" s="32">
        <v>10.04998866599999</v>
      </c>
      <c r="V9" s="5">
        <v>3</v>
      </c>
      <c r="W9" s="5">
        <v>90</v>
      </c>
      <c r="X9" s="32">
        <v>58.435518689979205</v>
      </c>
      <c r="Y9" s="5">
        <v>37.020723499110588</v>
      </c>
      <c r="Z9" s="5">
        <v>1978.18547502771</v>
      </c>
      <c r="AA9" s="44"/>
    </row>
    <row r="10" spans="2:27" x14ac:dyDescent="0.2">
      <c r="B10" s="4">
        <v>7</v>
      </c>
      <c r="C10" s="4">
        <v>803</v>
      </c>
      <c r="D10" s="23">
        <v>72109.261992094922</v>
      </c>
      <c r="E10" s="32">
        <v>9.5254235840038746</v>
      </c>
      <c r="F10" s="5">
        <v>3</v>
      </c>
      <c r="G10" s="23">
        <v>96.666666666666671</v>
      </c>
      <c r="H10" s="32">
        <v>6.785365388679355</v>
      </c>
      <c r="I10" s="23">
        <v>20.965674169162099</v>
      </c>
      <c r="J10" s="5">
        <v>1457.2080932494894</v>
      </c>
      <c r="K10" s="34" t="e">
        <f t="shared" si="0"/>
        <v>#DIV/0!</v>
      </c>
      <c r="L10" s="23">
        <v>90683.257211579243</v>
      </c>
      <c r="M10" s="32">
        <v>9.5067860420022043</v>
      </c>
      <c r="N10" s="5">
        <v>3</v>
      </c>
      <c r="O10" s="5">
        <v>76.666666666666671</v>
      </c>
      <c r="P10" s="32">
        <v>8.4036166019507655E-2</v>
      </c>
      <c r="Q10" s="5">
        <v>15.902850611581473</v>
      </c>
      <c r="R10" s="5">
        <v>1315.7706733066284</v>
      </c>
      <c r="S10" s="44"/>
      <c r="T10" s="23">
        <v>89283.931045723555</v>
      </c>
      <c r="U10" s="32">
        <v>10.184595832997729</v>
      </c>
      <c r="V10" s="5">
        <v>3</v>
      </c>
      <c r="W10" s="5">
        <v>90</v>
      </c>
      <c r="X10" s="32">
        <v>58.435518689979205</v>
      </c>
      <c r="Y10" s="5">
        <v>37.020723499110588</v>
      </c>
      <c r="Z10" s="5">
        <v>1978.18547502771</v>
      </c>
      <c r="AA10" s="44"/>
    </row>
    <row r="11" spans="2:27" x14ac:dyDescent="0.2">
      <c r="B11" s="4">
        <v>8</v>
      </c>
      <c r="C11" s="4">
        <v>810</v>
      </c>
      <c r="D11" s="23">
        <v>72109.261992094922</v>
      </c>
      <c r="E11" s="32">
        <v>9.7750763329968322</v>
      </c>
      <c r="F11" s="5">
        <v>3</v>
      </c>
      <c r="G11" s="23">
        <v>96.666666666666671</v>
      </c>
      <c r="H11" s="32">
        <v>6.785365388679355</v>
      </c>
      <c r="I11" s="23">
        <v>20.965674169162099</v>
      </c>
      <c r="J11" s="5">
        <v>1457.2080932494894</v>
      </c>
      <c r="K11" s="34" t="e">
        <f t="shared" si="0"/>
        <v>#DIV/0!</v>
      </c>
      <c r="L11" s="23">
        <v>90683.257211579243</v>
      </c>
      <c r="M11" s="32">
        <v>9.6750504160008859</v>
      </c>
      <c r="N11" s="5">
        <v>3</v>
      </c>
      <c r="O11" s="5">
        <v>76.666666666666671</v>
      </c>
      <c r="P11" s="32">
        <v>8.4036166019507655E-2</v>
      </c>
      <c r="Q11" s="5">
        <v>15.902850611581473</v>
      </c>
      <c r="R11" s="5">
        <v>1315.7706733066284</v>
      </c>
      <c r="S11" s="44"/>
      <c r="T11" s="23">
        <v>89283.931045723555</v>
      </c>
      <c r="U11" s="32">
        <v>9.9286800000008952</v>
      </c>
      <c r="V11" s="5">
        <v>3</v>
      </c>
      <c r="W11" s="5">
        <v>90</v>
      </c>
      <c r="X11" s="32">
        <v>58.435518689979205</v>
      </c>
      <c r="Y11" s="5">
        <v>37.020723499110588</v>
      </c>
      <c r="Z11" s="5">
        <v>1978.18547502771</v>
      </c>
      <c r="AA11" s="44"/>
    </row>
    <row r="12" spans="2:27" x14ac:dyDescent="0.2">
      <c r="B12" s="4">
        <v>9</v>
      </c>
      <c r="C12" s="4">
        <v>859</v>
      </c>
      <c r="D12" s="23">
        <v>72109.261992094922</v>
      </c>
      <c r="E12" s="32">
        <v>10.03351775000192</v>
      </c>
      <c r="F12" s="5">
        <v>3</v>
      </c>
      <c r="G12" s="23">
        <v>96.666666666666671</v>
      </c>
      <c r="H12" s="32">
        <v>6.785365388679355</v>
      </c>
      <c r="I12" s="23">
        <v>20.965674169162099</v>
      </c>
      <c r="J12" s="5">
        <v>1457.2080932494894</v>
      </c>
      <c r="K12" s="34" t="e">
        <f t="shared" si="0"/>
        <v>#DIV/0!</v>
      </c>
      <c r="L12" s="23">
        <v>90683.257211579243</v>
      </c>
      <c r="M12" s="32">
        <v>9.6660981669992907</v>
      </c>
      <c r="N12" s="5">
        <v>3</v>
      </c>
      <c r="O12" s="5">
        <v>76.666666666666671</v>
      </c>
      <c r="P12" s="32">
        <v>8.4036166019507655E-2</v>
      </c>
      <c r="Q12" s="5">
        <v>15.902850611581473</v>
      </c>
      <c r="R12" s="5">
        <v>1315.7706733066284</v>
      </c>
      <c r="S12" s="44"/>
      <c r="T12" s="23">
        <v>89283.931045723555</v>
      </c>
      <c r="U12" s="32">
        <v>9.652665875000821</v>
      </c>
      <c r="V12" s="5">
        <v>3</v>
      </c>
      <c r="W12" s="5">
        <v>90</v>
      </c>
      <c r="X12" s="32">
        <v>58.435518689979205</v>
      </c>
      <c r="Y12" s="5">
        <v>37.020723499110588</v>
      </c>
      <c r="Z12" s="5">
        <v>1978.18547502771</v>
      </c>
      <c r="AA12" s="44"/>
    </row>
    <row r="13" spans="2:27" x14ac:dyDescent="0.2">
      <c r="B13" s="4">
        <v>10</v>
      </c>
      <c r="C13" s="4">
        <v>904</v>
      </c>
      <c r="D13" s="23">
        <v>99715.307156196563</v>
      </c>
      <c r="E13" s="32">
        <v>3.2962093749956689</v>
      </c>
      <c r="F13" s="5">
        <v>2</v>
      </c>
      <c r="G13" s="23">
        <v>63.333333333333343</v>
      </c>
      <c r="H13" s="32">
        <v>10.356610330089541</v>
      </c>
      <c r="I13" s="23">
        <v>21.017977530410526</v>
      </c>
      <c r="J13" s="5">
        <v>1486.6407858831219</v>
      </c>
      <c r="K13" s="34" t="e">
        <f t="shared" si="0"/>
        <v>#DIV/0!</v>
      </c>
      <c r="L13" s="23">
        <v>109357.11120701861</v>
      </c>
      <c r="M13" s="32">
        <v>8.7836569999999483</v>
      </c>
      <c r="N13" s="5">
        <v>3</v>
      </c>
      <c r="O13" s="5">
        <v>56.666666666666657</v>
      </c>
      <c r="P13" s="32">
        <v>0</v>
      </c>
      <c r="Q13" s="5">
        <v>11.552287488865582</v>
      </c>
      <c r="R13" s="5">
        <v>1040.2222135364382</v>
      </c>
      <c r="S13" s="44"/>
      <c r="T13" s="23">
        <v>107999.24023320089</v>
      </c>
      <c r="U13" s="32">
        <v>4.6162967089985614</v>
      </c>
      <c r="V13" s="5">
        <v>3</v>
      </c>
      <c r="W13" s="5">
        <v>63.333333333333343</v>
      </c>
      <c r="X13" s="32">
        <v>0</v>
      </c>
      <c r="Y13" s="5">
        <v>24.230726481815921</v>
      </c>
      <c r="Z13" s="5">
        <v>1591.3819964968509</v>
      </c>
      <c r="AA13" s="44"/>
    </row>
    <row r="14" spans="2:27" x14ac:dyDescent="0.2">
      <c r="B14" s="48" t="s">
        <v>3</v>
      </c>
      <c r="C14" s="49"/>
      <c r="D14" s="9">
        <f>MIN(D4:D13)</f>
        <v>72109.261992094922</v>
      </c>
      <c r="E14" s="11">
        <f>INDEX(E4:E13, MATCH($D$14, D4:D13, 0))</f>
        <v>9.7483185840028455</v>
      </c>
      <c r="F14" s="9">
        <f>INDEX(F4:F13, MATCH($D$14, D4:D13, 0))</f>
        <v>3</v>
      </c>
      <c r="G14" s="9">
        <f>INDEX(G4:G13, MATCH($D$14, D4:D13, 0))</f>
        <v>96.666666666666671</v>
      </c>
      <c r="H14" s="11">
        <f>INDEX(H4:H13, MATCH($D$14, D4:D13, 0))</f>
        <v>6.785365388679355</v>
      </c>
      <c r="I14" s="9">
        <f>INDEX(I4:I13, MATCH($D$14, D4:D13, 0))</f>
        <v>20.965674169162099</v>
      </c>
      <c r="J14" s="9">
        <f>INDEX(J4:J13, MATCH($D$14, D4:D13, 0))</f>
        <v>1457.2080932494894</v>
      </c>
      <c r="K14" s="35" t="e">
        <f>(D14-$D$15)/$D$15</f>
        <v>#DIV/0!</v>
      </c>
      <c r="L14" s="16">
        <f>MIN(L4:L13)</f>
        <v>90683.257211579243</v>
      </c>
      <c r="M14" s="21">
        <f>INDEX(M4:M13, MATCH($L$14, L4:L13, 0))</f>
        <v>9.5601819170005911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8.4036166019507655E-2</v>
      </c>
      <c r="Q14" s="21">
        <f>INDEX(Q4:Q13, MATCH($L$14, L4:L13, 0))</f>
        <v>15.902850611581473</v>
      </c>
      <c r="R14" s="21">
        <f>INDEX(R4:R13, MATCH($L$14, L4:L13, 0))</f>
        <v>1315.7706733066284</v>
      </c>
      <c r="S14" s="45" t="e">
        <f>(L14-$D$15)/$D$15</f>
        <v>#DIV/0!</v>
      </c>
      <c r="T14" s="40">
        <f>MIN(T4:T13)</f>
        <v>89283.931045723555</v>
      </c>
      <c r="U14" s="46">
        <f>INDEX(U4:U13, MATCH($T$14, T4:T13, 0))</f>
        <v>9.6423426250003104</v>
      </c>
      <c r="V14" s="40">
        <f>INDEX(V4:V13, MATCH($T$14, T4:T13, 0))</f>
        <v>3</v>
      </c>
      <c r="W14" s="40">
        <f>INDEX(W4:W13, MATCH($T$14, T4:T13, 0))</f>
        <v>90</v>
      </c>
      <c r="X14" s="46">
        <f>INDEX(X4:X13, MATCH($T$14, T4:T13, 0))</f>
        <v>58.435518689979205</v>
      </c>
      <c r="Y14" s="46">
        <f>INDEX(Y4:Y13, MATCH($T$14, T4:T13, 0))</f>
        <v>37.020723499110588</v>
      </c>
      <c r="Z14" s="46">
        <f>INDEX(Z4:Z13, MATCH($T$14, T4:T13, 0))</f>
        <v>1978.18547502771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97" priority="9"/>
    <cfRule type="duplicateValues" dxfId="96" priority="10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3"/>
    <cfRule type="duplicateValues" dxfId="92" priority="4"/>
  </conditionalFormatting>
  <conditionalFormatting sqref="C15:C30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FE86-FB4C-F447-84E0-BF3996CCC6DD}">
  <dimension ref="B1:AA17"/>
  <sheetViews>
    <sheetView topLeftCell="L2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-0.14523164804365762</v>
      </c>
      <c r="T2" s="1" t="s">
        <v>19</v>
      </c>
      <c r="X2" s="1" t="e">
        <f>(X14-P14)/P14</f>
        <v>#DIV/0!</v>
      </c>
      <c r="Z2" s="1">
        <f>(Z14-R14)/R14</f>
        <v>0.57886410493102625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14</v>
      </c>
      <c r="D4" s="23">
        <v>71363.297273729797</v>
      </c>
      <c r="E4" s="32">
        <v>3.8947640839978699</v>
      </c>
      <c r="F4" s="5">
        <v>3</v>
      </c>
      <c r="G4" s="23">
        <v>93.333333333333329</v>
      </c>
      <c r="H4" s="32">
        <v>0</v>
      </c>
      <c r="I4" s="23">
        <v>27.701524852998279</v>
      </c>
      <c r="J4" s="5">
        <v>1364.5156168347064</v>
      </c>
      <c r="K4" s="34" t="e">
        <f>(D4-$D$15)/$D$15</f>
        <v>#DIV/0!</v>
      </c>
      <c r="L4" s="23">
        <v>93384.648029739037</v>
      </c>
      <c r="M4" s="32">
        <v>8.9736902500008</v>
      </c>
      <c r="N4" s="5">
        <v>4</v>
      </c>
      <c r="O4" s="5">
        <v>80</v>
      </c>
      <c r="P4" s="32">
        <v>18.364546086062777</v>
      </c>
      <c r="Q4" s="5">
        <v>17.293826497179364</v>
      </c>
      <c r="R4" s="5">
        <v>1257.3191877603583</v>
      </c>
      <c r="S4" s="44"/>
      <c r="T4" s="23">
        <v>83016.194208229135</v>
      </c>
      <c r="U4" s="32">
        <v>4.7944206669999403</v>
      </c>
      <c r="V4" s="5">
        <v>3</v>
      </c>
      <c r="W4" s="5">
        <v>90</v>
      </c>
      <c r="X4" s="32">
        <v>18.87955283543516</v>
      </c>
      <c r="Y4" s="5">
        <v>44.259179003305924</v>
      </c>
      <c r="Z4" s="5">
        <v>1841.4998834650703</v>
      </c>
      <c r="AA4" s="44"/>
    </row>
    <row r="5" spans="2:27" x14ac:dyDescent="0.2">
      <c r="B5" s="4">
        <v>2</v>
      </c>
      <c r="C5" s="4">
        <v>25</v>
      </c>
      <c r="D5" s="23">
        <v>71363.297273729797</v>
      </c>
      <c r="E5" s="32">
        <v>4.0987014589991304</v>
      </c>
      <c r="F5" s="5">
        <v>3</v>
      </c>
      <c r="G5" s="23">
        <v>93.333333333333329</v>
      </c>
      <c r="H5" s="32">
        <v>0</v>
      </c>
      <c r="I5" s="23">
        <v>27.701524852998279</v>
      </c>
      <c r="J5" s="5">
        <v>1364.5156168347064</v>
      </c>
      <c r="K5" s="34" t="e">
        <f>(D5-$D$15)/$D$15</f>
        <v>#DIV/0!</v>
      </c>
      <c r="L5" s="23">
        <v>97644.203438429235</v>
      </c>
      <c r="M5" s="32">
        <v>9.0861127079988364</v>
      </c>
      <c r="N5" s="5">
        <v>4</v>
      </c>
      <c r="O5" s="5">
        <v>80</v>
      </c>
      <c r="P5" s="32">
        <v>4.0575375010444077</v>
      </c>
      <c r="Q5" s="5">
        <v>17.545965901831217</v>
      </c>
      <c r="R5" s="5">
        <v>1430.3936433736235</v>
      </c>
      <c r="S5" s="44"/>
      <c r="T5" s="23">
        <v>83016.194208229135</v>
      </c>
      <c r="U5" s="32">
        <v>4.6296323339993251</v>
      </c>
      <c r="V5" s="5">
        <v>3</v>
      </c>
      <c r="W5" s="5">
        <v>90</v>
      </c>
      <c r="X5" s="32">
        <v>18.87955283543516</v>
      </c>
      <c r="Y5" s="5">
        <v>44.259179003305924</v>
      </c>
      <c r="Z5" s="5">
        <v>1841.4998834650703</v>
      </c>
      <c r="AA5" s="44"/>
    </row>
    <row r="6" spans="2:27" x14ac:dyDescent="0.2">
      <c r="B6" s="4">
        <v>3</v>
      </c>
      <c r="C6" s="4">
        <v>37</v>
      </c>
      <c r="D6" s="23">
        <v>71363.297273729797</v>
      </c>
      <c r="E6" s="32">
        <v>4.0036676659947261</v>
      </c>
      <c r="F6" s="5">
        <v>3</v>
      </c>
      <c r="G6" s="23">
        <v>93.333333333333329</v>
      </c>
      <c r="H6" s="32">
        <v>0</v>
      </c>
      <c r="I6" s="23">
        <v>27.701524852998279</v>
      </c>
      <c r="J6" s="5">
        <v>1364.5156168347064</v>
      </c>
      <c r="K6" s="34" t="e">
        <f t="shared" ref="K6:K13" si="0">(D6-$D$15)/$D$15</f>
        <v>#DIV/0!</v>
      </c>
      <c r="L6" s="23">
        <v>93384.648029739037</v>
      </c>
      <c r="M6" s="32">
        <v>9.2669123340019723</v>
      </c>
      <c r="N6" s="5">
        <v>4</v>
      </c>
      <c r="O6" s="5">
        <v>80</v>
      </c>
      <c r="P6" s="32">
        <v>18.364546086062777</v>
      </c>
      <c r="Q6" s="5">
        <v>17.293826497179364</v>
      </c>
      <c r="R6" s="5">
        <v>1257.3191877603583</v>
      </c>
      <c r="S6" s="44"/>
      <c r="T6" s="23">
        <v>83016.194208229135</v>
      </c>
      <c r="U6" s="32">
        <v>4.7299175829975866</v>
      </c>
      <c r="V6" s="5">
        <v>3</v>
      </c>
      <c r="W6" s="5">
        <v>90</v>
      </c>
      <c r="X6" s="32">
        <v>18.87955283543516</v>
      </c>
      <c r="Y6" s="5">
        <v>44.259179003305924</v>
      </c>
      <c r="Z6" s="5">
        <v>1841.4998834650703</v>
      </c>
      <c r="AA6" s="44"/>
    </row>
    <row r="7" spans="2:27" x14ac:dyDescent="0.2">
      <c r="B7" s="4">
        <v>4</v>
      </c>
      <c r="C7" s="4">
        <v>54</v>
      </c>
      <c r="D7" s="23">
        <v>71363.297273729797</v>
      </c>
      <c r="E7" s="32">
        <v>4.1076209999955609</v>
      </c>
      <c r="F7" s="5">
        <v>3</v>
      </c>
      <c r="G7" s="23">
        <v>93.333333333333329</v>
      </c>
      <c r="H7" s="32">
        <v>0</v>
      </c>
      <c r="I7" s="23">
        <v>27.701524852998279</v>
      </c>
      <c r="J7" s="5">
        <v>1364.5156168347064</v>
      </c>
      <c r="K7" s="34" t="e">
        <f t="shared" si="0"/>
        <v>#DIV/0!</v>
      </c>
      <c r="L7" s="23">
        <v>91962.237627121358</v>
      </c>
      <c r="M7" s="32">
        <v>10.65179662499941</v>
      </c>
      <c r="N7" s="5">
        <v>4</v>
      </c>
      <c r="O7" s="5">
        <v>80</v>
      </c>
      <c r="P7" s="32">
        <v>0</v>
      </c>
      <c r="Q7" s="5">
        <v>17.094256899514068</v>
      </c>
      <c r="R7" s="5">
        <v>1179.1963053656075</v>
      </c>
      <c r="S7" s="44"/>
      <c r="T7" s="23">
        <v>83016.194208229135</v>
      </c>
      <c r="U7" s="32">
        <v>4.5877512500010198</v>
      </c>
      <c r="V7" s="5">
        <v>3</v>
      </c>
      <c r="W7" s="5">
        <v>90</v>
      </c>
      <c r="X7" s="32">
        <v>18.87955283543516</v>
      </c>
      <c r="Y7" s="5">
        <v>44.259179003305924</v>
      </c>
      <c r="Z7" s="5">
        <v>1841.4998834650703</v>
      </c>
      <c r="AA7" s="44"/>
    </row>
    <row r="8" spans="2:27" x14ac:dyDescent="0.2">
      <c r="B8" s="4">
        <v>5</v>
      </c>
      <c r="C8" s="4">
        <v>148</v>
      </c>
      <c r="D8" s="23">
        <v>71363.297273729797</v>
      </c>
      <c r="E8" s="32">
        <v>4.1009630839980673</v>
      </c>
      <c r="F8" s="5">
        <v>3</v>
      </c>
      <c r="G8" s="23">
        <v>93.333333333333329</v>
      </c>
      <c r="H8" s="32">
        <v>0</v>
      </c>
      <c r="I8" s="23">
        <v>27.701524852998279</v>
      </c>
      <c r="J8" s="5">
        <v>1364.5156168347064</v>
      </c>
      <c r="K8" s="34" t="e">
        <f t="shared" si="0"/>
        <v>#DIV/0!</v>
      </c>
      <c r="L8" s="23">
        <v>89602.481122703699</v>
      </c>
      <c r="M8" s="32">
        <v>11.312481832999771</v>
      </c>
      <c r="N8" s="5">
        <v>3</v>
      </c>
      <c r="O8" s="5">
        <v>73.333333333333329</v>
      </c>
      <c r="P8" s="32">
        <v>0</v>
      </c>
      <c r="Q8" s="5">
        <v>20.063982010565535</v>
      </c>
      <c r="R8" s="5">
        <v>1166.3447650204939</v>
      </c>
      <c r="S8" s="44"/>
      <c r="T8" s="23">
        <v>83016.194208229135</v>
      </c>
      <c r="U8" s="32">
        <v>4.5960350829991512</v>
      </c>
      <c r="V8" s="5">
        <v>3</v>
      </c>
      <c r="W8" s="5">
        <v>90</v>
      </c>
      <c r="X8" s="32">
        <v>18.87955283543516</v>
      </c>
      <c r="Y8" s="5">
        <v>44.259179003305924</v>
      </c>
      <c r="Z8" s="5">
        <v>1841.4998834650703</v>
      </c>
      <c r="AA8" s="44"/>
    </row>
    <row r="9" spans="2:27" x14ac:dyDescent="0.2">
      <c r="B9" s="4">
        <v>6</v>
      </c>
      <c r="C9" s="4">
        <v>188</v>
      </c>
      <c r="D9" s="23">
        <v>71363.297273729797</v>
      </c>
      <c r="E9" s="32">
        <v>4.0366237080015708</v>
      </c>
      <c r="F9" s="5">
        <v>3</v>
      </c>
      <c r="G9" s="23">
        <v>93.333333333333329</v>
      </c>
      <c r="H9" s="32">
        <v>0</v>
      </c>
      <c r="I9" s="23">
        <v>27.701524852998279</v>
      </c>
      <c r="J9" s="5">
        <v>1364.5156168347064</v>
      </c>
      <c r="K9" s="34" t="e">
        <f t="shared" si="0"/>
        <v>#DIV/0!</v>
      </c>
      <c r="L9" s="23">
        <v>91962.237627121358</v>
      </c>
      <c r="M9" s="32">
        <v>15.148882124998639</v>
      </c>
      <c r="N9" s="5">
        <v>4</v>
      </c>
      <c r="O9" s="5">
        <v>80</v>
      </c>
      <c r="P9" s="32">
        <v>0</v>
      </c>
      <c r="Q9" s="5">
        <v>17.094256899514068</v>
      </c>
      <c r="R9" s="5">
        <v>1179.1963053656075</v>
      </c>
      <c r="S9" s="44"/>
      <c r="T9" s="23">
        <v>83016.194208229135</v>
      </c>
      <c r="U9" s="32">
        <v>4.745390749998478</v>
      </c>
      <c r="V9" s="5">
        <v>3</v>
      </c>
      <c r="W9" s="5">
        <v>90</v>
      </c>
      <c r="X9" s="32">
        <v>18.87955283543516</v>
      </c>
      <c r="Y9" s="5">
        <v>44.259179003305924</v>
      </c>
      <c r="Z9" s="5">
        <v>1841.4998834650703</v>
      </c>
      <c r="AA9" s="44"/>
    </row>
    <row r="10" spans="2:27" x14ac:dyDescent="0.2">
      <c r="B10" s="4">
        <v>7</v>
      </c>
      <c r="C10" s="4">
        <v>472</v>
      </c>
      <c r="D10" s="23">
        <v>71363.297273729797</v>
      </c>
      <c r="E10" s="32">
        <v>4.1193350839967016</v>
      </c>
      <c r="F10" s="5">
        <v>3</v>
      </c>
      <c r="G10" s="23">
        <v>93.333333333333329</v>
      </c>
      <c r="H10" s="32">
        <v>0</v>
      </c>
      <c r="I10" s="23">
        <v>27.701524852998279</v>
      </c>
      <c r="J10" s="5">
        <v>1364.5156168347064</v>
      </c>
      <c r="K10" s="34" t="e">
        <f t="shared" si="0"/>
        <v>#DIV/0!</v>
      </c>
      <c r="L10" s="23">
        <v>91962.237627121358</v>
      </c>
      <c r="M10" s="32">
        <v>11.908165499997271</v>
      </c>
      <c r="N10" s="5">
        <v>4</v>
      </c>
      <c r="O10" s="5">
        <v>80</v>
      </c>
      <c r="P10" s="32">
        <v>0</v>
      </c>
      <c r="Q10" s="5">
        <v>17.094256899514068</v>
      </c>
      <c r="R10" s="5">
        <v>1179.1963053656075</v>
      </c>
      <c r="S10" s="44"/>
      <c r="T10" s="23">
        <v>83016.194208229135</v>
      </c>
      <c r="U10" s="32">
        <v>4.6247482080034388</v>
      </c>
      <c r="V10" s="5">
        <v>3</v>
      </c>
      <c r="W10" s="5">
        <v>90</v>
      </c>
      <c r="X10" s="32">
        <v>18.87955283543516</v>
      </c>
      <c r="Y10" s="5">
        <v>44.259179003305924</v>
      </c>
      <c r="Z10" s="5">
        <v>1841.4998834650703</v>
      </c>
      <c r="AA10" s="44"/>
    </row>
    <row r="11" spans="2:27" x14ac:dyDescent="0.2">
      <c r="B11" s="4">
        <v>8</v>
      </c>
      <c r="C11" s="4">
        <v>622</v>
      </c>
      <c r="D11" s="23">
        <v>71363.297273729797</v>
      </c>
      <c r="E11" s="32">
        <v>3.9787434159952682</v>
      </c>
      <c r="F11" s="5">
        <v>3</v>
      </c>
      <c r="G11" s="23">
        <v>93.333333333333329</v>
      </c>
      <c r="H11" s="32">
        <v>0</v>
      </c>
      <c r="I11" s="23">
        <v>27.701524852998279</v>
      </c>
      <c r="J11" s="5">
        <v>1364.5156168347064</v>
      </c>
      <c r="K11" s="34" t="e">
        <f t="shared" si="0"/>
        <v>#DIV/0!</v>
      </c>
      <c r="L11" s="23">
        <v>104937.0606594499</v>
      </c>
      <c r="M11" s="32">
        <v>6.8199266250012442</v>
      </c>
      <c r="N11" s="5">
        <v>4</v>
      </c>
      <c r="O11" s="5">
        <v>66.666666666666671</v>
      </c>
      <c r="P11" s="32">
        <v>0.14502587844760911</v>
      </c>
      <c r="Q11" s="5">
        <v>13.660783876515596</v>
      </c>
      <c r="R11" s="5">
        <v>989.98831492998511</v>
      </c>
      <c r="S11" s="44"/>
      <c r="T11" s="23">
        <v>83016.194208229135</v>
      </c>
      <c r="U11" s="32">
        <v>4.5825902910000877</v>
      </c>
      <c r="V11" s="5">
        <v>3</v>
      </c>
      <c r="W11" s="5">
        <v>90</v>
      </c>
      <c r="X11" s="32">
        <v>18.87955283543516</v>
      </c>
      <c r="Y11" s="5">
        <v>44.259179003305924</v>
      </c>
      <c r="Z11" s="5">
        <v>1841.4998834650703</v>
      </c>
      <c r="AA11" s="44"/>
    </row>
    <row r="12" spans="2:27" x14ac:dyDescent="0.2">
      <c r="B12" s="4">
        <v>9</v>
      </c>
      <c r="C12" s="4">
        <v>767</v>
      </c>
      <c r="D12" s="23">
        <v>71363.297273729797</v>
      </c>
      <c r="E12" s="32">
        <v>4.1182586669965531</v>
      </c>
      <c r="F12" s="5">
        <v>3</v>
      </c>
      <c r="G12" s="23">
        <v>93.333333333333329</v>
      </c>
      <c r="H12" s="32">
        <v>0</v>
      </c>
      <c r="I12" s="23">
        <v>27.701524852998279</v>
      </c>
      <c r="J12" s="5">
        <v>1364.5156168347064</v>
      </c>
      <c r="K12" s="34" t="e">
        <f t="shared" si="0"/>
        <v>#DIV/0!</v>
      </c>
      <c r="L12" s="23">
        <v>91962.237627121358</v>
      </c>
      <c r="M12" s="32">
        <v>7.8570682090030459</v>
      </c>
      <c r="N12" s="5">
        <v>4</v>
      </c>
      <c r="O12" s="5">
        <v>80</v>
      </c>
      <c r="P12" s="32">
        <v>0</v>
      </c>
      <c r="Q12" s="5">
        <v>17.094256899514068</v>
      </c>
      <c r="R12" s="5">
        <v>1179.1963053656075</v>
      </c>
      <c r="S12" s="44"/>
      <c r="T12" s="23">
        <v>83016.194208229135</v>
      </c>
      <c r="U12" s="32">
        <v>4.6081425419979496</v>
      </c>
      <c r="V12" s="5">
        <v>3</v>
      </c>
      <c r="W12" s="5">
        <v>90</v>
      </c>
      <c r="X12" s="32">
        <v>18.87955283543516</v>
      </c>
      <c r="Y12" s="5">
        <v>44.259179003305924</v>
      </c>
      <c r="Z12" s="5">
        <v>1841.4998834650703</v>
      </c>
      <c r="AA12" s="44"/>
    </row>
    <row r="13" spans="2:27" x14ac:dyDescent="0.2">
      <c r="B13" s="4">
        <v>10</v>
      </c>
      <c r="C13" s="4">
        <v>917</v>
      </c>
      <c r="D13" s="23">
        <v>71363.297273729797</v>
      </c>
      <c r="E13" s="32">
        <v>3.9478161669976539</v>
      </c>
      <c r="F13" s="5">
        <v>3</v>
      </c>
      <c r="G13" s="23">
        <v>93.333333333333329</v>
      </c>
      <c r="H13" s="32">
        <v>0</v>
      </c>
      <c r="I13" s="23">
        <v>27.701524852998279</v>
      </c>
      <c r="J13" s="5">
        <v>1364.5156168347064</v>
      </c>
      <c r="K13" s="34" t="e">
        <f t="shared" si="0"/>
        <v>#DIV/0!</v>
      </c>
      <c r="L13" s="23">
        <v>91962.237627121358</v>
      </c>
      <c r="M13" s="32">
        <v>13.718753249999279</v>
      </c>
      <c r="N13" s="5">
        <v>4</v>
      </c>
      <c r="O13" s="5">
        <v>80</v>
      </c>
      <c r="P13" s="32">
        <v>0</v>
      </c>
      <c r="Q13" s="5">
        <v>17.094256899514068</v>
      </c>
      <c r="R13" s="5">
        <v>1179.1963053656075</v>
      </c>
      <c r="S13" s="44"/>
      <c r="T13" s="23">
        <v>83016.194208229135</v>
      </c>
      <c r="U13" s="32">
        <v>4.4924562909982342</v>
      </c>
      <c r="V13" s="5">
        <v>3</v>
      </c>
      <c r="W13" s="5">
        <v>90</v>
      </c>
      <c r="X13" s="32">
        <v>18.87955283543516</v>
      </c>
      <c r="Y13" s="5">
        <v>44.259179003305924</v>
      </c>
      <c r="Z13" s="5">
        <v>1841.4998834650703</v>
      </c>
      <c r="AA13" s="44"/>
    </row>
    <row r="14" spans="2:27" x14ac:dyDescent="0.2">
      <c r="B14" s="48" t="s">
        <v>3</v>
      </c>
      <c r="C14" s="49"/>
      <c r="D14" s="9">
        <f>MIN(D4:D13)</f>
        <v>71363.297273729797</v>
      </c>
      <c r="E14" s="11">
        <f>INDEX(E4:E13, MATCH($D$14, D4:D13, 0))</f>
        <v>3.8947640839978699</v>
      </c>
      <c r="F14" s="9">
        <f>INDEX(F4:F13, MATCH($D$14, D4:D13, 0))</f>
        <v>3</v>
      </c>
      <c r="G14" s="9">
        <f>INDEX(G4:G13, MATCH($D$14, D4:D13, 0))</f>
        <v>93.333333333333329</v>
      </c>
      <c r="H14" s="11">
        <f>INDEX(H4:H13, MATCH($D$14, D4:D13, 0))</f>
        <v>0</v>
      </c>
      <c r="I14" s="9">
        <f>INDEX(I4:I13, MATCH($D$14, D4:D13, 0))</f>
        <v>27.701524852998279</v>
      </c>
      <c r="J14" s="9">
        <f>INDEX(J4:J13, MATCH($D$14, D4:D13, 0))</f>
        <v>1364.5156168347064</v>
      </c>
      <c r="K14" s="35" t="e">
        <f>(D14-$D$15)/$D$15</f>
        <v>#DIV/0!</v>
      </c>
      <c r="L14" s="16">
        <f>MIN(L4:L13)</f>
        <v>89602.481122703699</v>
      </c>
      <c r="M14" s="21">
        <f>INDEX(M4:M13, MATCH($L$14, L4:L13, 0))</f>
        <v>11.312481832999771</v>
      </c>
      <c r="N14" s="16">
        <f>INDEX(N4:N13, MATCH($L$14, L4:L13, 0))</f>
        <v>3</v>
      </c>
      <c r="O14" s="16">
        <f>INDEX(O4:O13, MATCH($L$14, L4:L13, 0))</f>
        <v>73.333333333333329</v>
      </c>
      <c r="P14" s="21">
        <f>INDEX(P4:P13, MATCH($L$14, L4:L13, 0))</f>
        <v>0</v>
      </c>
      <c r="Q14" s="21">
        <f>INDEX(Q4:Q13, MATCH($L$14, L4:L13, 0))</f>
        <v>20.063982010565535</v>
      </c>
      <c r="R14" s="21">
        <f>INDEX(R4:R13, MATCH($L$14, L4:L13, 0))</f>
        <v>1166.3447650204939</v>
      </c>
      <c r="S14" s="45" t="e">
        <f>(L14-$D$15)/$D$15</f>
        <v>#DIV/0!</v>
      </c>
      <c r="T14" s="40">
        <f>MIN(T4:T13)</f>
        <v>83016.194208229135</v>
      </c>
      <c r="U14" s="46">
        <f>INDEX(U4:U13, MATCH($T$14, T4:T13, 0))</f>
        <v>4.7944206669999403</v>
      </c>
      <c r="V14" s="40">
        <f>INDEX(V4:V13, MATCH($T$14, T4:T13, 0))</f>
        <v>3</v>
      </c>
      <c r="W14" s="40">
        <f>INDEX(W4:W13, MATCH($T$14, T4:T13, 0))</f>
        <v>90</v>
      </c>
      <c r="X14" s="46">
        <f>INDEX(X4:X13, MATCH($T$14, T4:T13, 0))</f>
        <v>18.87955283543516</v>
      </c>
      <c r="Y14" s="46">
        <f>INDEX(Y4:Y13, MATCH($T$14, T4:T13, 0))</f>
        <v>44.259179003305924</v>
      </c>
      <c r="Z14" s="46">
        <f>INDEX(Z4:Z13, MATCH($T$14, T4:T13, 0))</f>
        <v>1841.4998834650703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91" priority="7"/>
    <cfRule type="duplicateValues" dxfId="90" priority="8"/>
  </conditionalFormatting>
  <conditionalFormatting sqref="C4:C13">
    <cfRule type="duplicateValues" dxfId="89" priority="5"/>
    <cfRule type="duplicateValues" dxfId="88" priority="6"/>
  </conditionalFormatting>
  <conditionalFormatting sqref="C14">
    <cfRule type="duplicateValues" dxfId="87" priority="3"/>
    <cfRule type="duplicateValues" dxfId="86" priority="4"/>
  </conditionalFormatting>
  <conditionalFormatting sqref="C15:C30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67DB-3006-CA47-8651-321BCFCB3695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-6.3174917689838697E-2</v>
      </c>
      <c r="T2" s="1" t="s">
        <v>19</v>
      </c>
      <c r="X2" s="1" t="e">
        <f>(X14-P14)/P14</f>
        <v>#DIV/0!</v>
      </c>
      <c r="Z2" s="1">
        <f>(Z14-R14)/R14</f>
        <v>0.77215460895950783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224</v>
      </c>
      <c r="D4" s="23">
        <v>59445.697516057509</v>
      </c>
      <c r="E4" s="32">
        <v>10.67018295799789</v>
      </c>
      <c r="F4" s="5">
        <v>3</v>
      </c>
      <c r="G4" s="23">
        <v>96.666666666666671</v>
      </c>
      <c r="H4" s="32">
        <v>0</v>
      </c>
      <c r="I4" s="23">
        <v>25.046206949285096</v>
      </c>
      <c r="J4" s="5">
        <v>1082.2641236466002</v>
      </c>
      <c r="K4" s="34" t="e">
        <f>(D4-$D$15)/$D$15</f>
        <v>#DIV/0!</v>
      </c>
      <c r="L4" s="23">
        <v>78041.033181721112</v>
      </c>
      <c r="M4" s="32">
        <v>9.9606493749997753</v>
      </c>
      <c r="N4" s="5">
        <v>3</v>
      </c>
      <c r="O4" s="5">
        <v>80</v>
      </c>
      <c r="P4" s="32">
        <v>0</v>
      </c>
      <c r="Q4" s="5">
        <v>21.058172723027017</v>
      </c>
      <c r="R4" s="5">
        <v>1013.8921767165608</v>
      </c>
      <c r="S4" s="44"/>
      <c r="T4" s="23">
        <v>72090.85447259061</v>
      </c>
      <c r="U4" s="32">
        <v>9.9064920000018901</v>
      </c>
      <c r="V4" s="5">
        <v>3</v>
      </c>
      <c r="W4" s="5">
        <v>96.666666666666671</v>
      </c>
      <c r="X4" s="32">
        <v>66.670837253471163</v>
      </c>
      <c r="Y4" s="5">
        <v>58.396702493702378</v>
      </c>
      <c r="Z4" s="5">
        <v>1796.773693956241</v>
      </c>
      <c r="AA4" s="44"/>
    </row>
    <row r="5" spans="2:27" x14ac:dyDescent="0.2">
      <c r="B5" s="4">
        <v>2</v>
      </c>
      <c r="C5" s="4">
        <v>240</v>
      </c>
      <c r="D5" s="23">
        <v>59445.697516057509</v>
      </c>
      <c r="E5" s="32">
        <v>10.596199666993931</v>
      </c>
      <c r="F5" s="5">
        <v>3</v>
      </c>
      <c r="G5" s="23">
        <v>96.666666666666671</v>
      </c>
      <c r="H5" s="32">
        <v>0</v>
      </c>
      <c r="I5" s="23">
        <v>25.046206949285096</v>
      </c>
      <c r="J5" s="5">
        <v>1082.2641236466002</v>
      </c>
      <c r="K5" s="34" t="e">
        <f>(D5-$D$15)/$D$15</f>
        <v>#DIV/0!</v>
      </c>
      <c r="L5" s="23">
        <v>95796.944430716656</v>
      </c>
      <c r="M5" s="32">
        <v>5.6748509999997623</v>
      </c>
      <c r="N5" s="5">
        <v>3</v>
      </c>
      <c r="O5" s="5">
        <v>63.333333333333343</v>
      </c>
      <c r="P5" s="32">
        <v>0</v>
      </c>
      <c r="Q5" s="5">
        <v>14.572948073447039</v>
      </c>
      <c r="R5" s="5">
        <v>778.90081457725773</v>
      </c>
      <c r="S5" s="44"/>
      <c r="T5" s="23">
        <v>72090.85447259061</v>
      </c>
      <c r="U5" s="32">
        <v>10.63281524999911</v>
      </c>
      <c r="V5" s="5">
        <v>3</v>
      </c>
      <c r="W5" s="5">
        <v>96.666666666666671</v>
      </c>
      <c r="X5" s="32">
        <v>66.670837253471163</v>
      </c>
      <c r="Y5" s="5">
        <v>58.396702493702378</v>
      </c>
      <c r="Z5" s="5">
        <v>1796.773693956241</v>
      </c>
      <c r="AA5" s="44"/>
    </row>
    <row r="6" spans="2:27" x14ac:dyDescent="0.2">
      <c r="B6" s="4">
        <v>3</v>
      </c>
      <c r="C6" s="4">
        <v>353</v>
      </c>
      <c r="D6" s="23">
        <v>59445.697516057509</v>
      </c>
      <c r="E6" s="32">
        <v>9.9418759580003098</v>
      </c>
      <c r="F6" s="5">
        <v>3</v>
      </c>
      <c r="G6" s="23">
        <v>96.666666666666671</v>
      </c>
      <c r="H6" s="32">
        <v>0</v>
      </c>
      <c r="I6" s="23">
        <v>25.046206949285096</v>
      </c>
      <c r="J6" s="5">
        <v>1082.2641236466002</v>
      </c>
      <c r="K6" s="34" t="e">
        <f t="shared" ref="K6:K13" si="0">(D6-$D$15)/$D$15</f>
        <v>#DIV/0!</v>
      </c>
      <c r="L6" s="23">
        <v>78041.033181721112</v>
      </c>
      <c r="M6" s="32">
        <v>10.08951774999878</v>
      </c>
      <c r="N6" s="5">
        <v>3</v>
      </c>
      <c r="O6" s="5">
        <v>80</v>
      </c>
      <c r="P6" s="32">
        <v>0</v>
      </c>
      <c r="Q6" s="5">
        <v>21.058172723027017</v>
      </c>
      <c r="R6" s="5">
        <v>1013.8921767165608</v>
      </c>
      <c r="S6" s="44"/>
      <c r="T6" s="23">
        <v>72090.85447259061</v>
      </c>
      <c r="U6" s="32">
        <v>10.61559733299873</v>
      </c>
      <c r="V6" s="5">
        <v>3</v>
      </c>
      <c r="W6" s="5">
        <v>96.666666666666671</v>
      </c>
      <c r="X6" s="32">
        <v>66.670837253471163</v>
      </c>
      <c r="Y6" s="5">
        <v>58.396702493702378</v>
      </c>
      <c r="Z6" s="5">
        <v>1796.773693956241</v>
      </c>
      <c r="AA6" s="44"/>
    </row>
    <row r="7" spans="2:27" x14ac:dyDescent="0.2">
      <c r="B7" s="4">
        <v>4</v>
      </c>
      <c r="C7" s="4">
        <v>458</v>
      </c>
      <c r="D7" s="23">
        <v>59445.697516057509</v>
      </c>
      <c r="E7" s="32">
        <v>10.61085762499715</v>
      </c>
      <c r="F7" s="5">
        <v>3</v>
      </c>
      <c r="G7" s="23">
        <v>96.666666666666671</v>
      </c>
      <c r="H7" s="32">
        <v>0</v>
      </c>
      <c r="I7" s="23">
        <v>25.046206949285096</v>
      </c>
      <c r="J7" s="5">
        <v>1082.2641236466002</v>
      </c>
      <c r="K7" s="34" t="e">
        <f t="shared" si="0"/>
        <v>#DIV/0!</v>
      </c>
      <c r="L7" s="23">
        <v>78041.033181721112</v>
      </c>
      <c r="M7" s="32">
        <v>10.1136975829977</v>
      </c>
      <c r="N7" s="5">
        <v>3</v>
      </c>
      <c r="O7" s="5">
        <v>80</v>
      </c>
      <c r="P7" s="32">
        <v>0</v>
      </c>
      <c r="Q7" s="5">
        <v>21.058172723027017</v>
      </c>
      <c r="R7" s="5">
        <v>1013.8921767165608</v>
      </c>
      <c r="S7" s="44"/>
      <c r="T7" s="23">
        <v>72090.85447259061</v>
      </c>
      <c r="U7" s="32">
        <v>10.492460417000981</v>
      </c>
      <c r="V7" s="5">
        <v>3</v>
      </c>
      <c r="W7" s="5">
        <v>96.666666666666671</v>
      </c>
      <c r="X7" s="32">
        <v>66.670837253471163</v>
      </c>
      <c r="Y7" s="5">
        <v>58.396702493702378</v>
      </c>
      <c r="Z7" s="5">
        <v>1796.773693956241</v>
      </c>
      <c r="AA7" s="44"/>
    </row>
    <row r="8" spans="2:27" x14ac:dyDescent="0.2">
      <c r="B8" s="4">
        <v>5</v>
      </c>
      <c r="C8" s="4">
        <v>534</v>
      </c>
      <c r="D8" s="23">
        <v>59445.697516057509</v>
      </c>
      <c r="E8" s="32">
        <v>10.54861954200169</v>
      </c>
      <c r="F8" s="5">
        <v>3</v>
      </c>
      <c r="G8" s="23">
        <v>96.666666666666671</v>
      </c>
      <c r="H8" s="32">
        <v>0</v>
      </c>
      <c r="I8" s="23">
        <v>25.046206949285096</v>
      </c>
      <c r="J8" s="5">
        <v>1082.2641236466002</v>
      </c>
      <c r="K8" s="34" t="e">
        <f t="shared" si="0"/>
        <v>#DIV/0!</v>
      </c>
      <c r="L8" s="23">
        <v>78041.033181721112</v>
      </c>
      <c r="M8" s="32">
        <v>9.9810596669994993</v>
      </c>
      <c r="N8" s="5">
        <v>3</v>
      </c>
      <c r="O8" s="5">
        <v>80</v>
      </c>
      <c r="P8" s="32">
        <v>0</v>
      </c>
      <c r="Q8" s="5">
        <v>21.058172723027017</v>
      </c>
      <c r="R8" s="5">
        <v>1013.8921767165608</v>
      </c>
      <c r="S8" s="44"/>
      <c r="T8" s="23">
        <v>72090.85447259061</v>
      </c>
      <c r="U8" s="32">
        <v>10.384454250000999</v>
      </c>
      <c r="V8" s="5">
        <v>3</v>
      </c>
      <c r="W8" s="5">
        <v>96.666666666666671</v>
      </c>
      <c r="X8" s="32">
        <v>66.670837253471163</v>
      </c>
      <c r="Y8" s="5">
        <v>58.396702493702378</v>
      </c>
      <c r="Z8" s="5">
        <v>1796.773693956241</v>
      </c>
      <c r="AA8" s="44"/>
    </row>
    <row r="9" spans="2:27" x14ac:dyDescent="0.2">
      <c r="B9" s="4">
        <v>6</v>
      </c>
      <c r="C9" s="4">
        <v>558</v>
      </c>
      <c r="D9" s="23">
        <v>59445.697516057509</v>
      </c>
      <c r="E9" s="32">
        <v>10.943759709000011</v>
      </c>
      <c r="F9" s="5">
        <v>3</v>
      </c>
      <c r="G9" s="23">
        <v>96.666666666666671</v>
      </c>
      <c r="H9" s="32">
        <v>0</v>
      </c>
      <c r="I9" s="23">
        <v>25.046206949285096</v>
      </c>
      <c r="J9" s="5">
        <v>1082.2641236466002</v>
      </c>
      <c r="K9" s="34" t="e">
        <f t="shared" si="0"/>
        <v>#DIV/0!</v>
      </c>
      <c r="L9" s="23">
        <v>78041.033181721112</v>
      </c>
      <c r="M9" s="32">
        <v>10.07257729200137</v>
      </c>
      <c r="N9" s="5">
        <v>3</v>
      </c>
      <c r="O9" s="5">
        <v>80</v>
      </c>
      <c r="P9" s="32">
        <v>0</v>
      </c>
      <c r="Q9" s="5">
        <v>21.058172723027017</v>
      </c>
      <c r="R9" s="5">
        <v>1013.8921767165608</v>
      </c>
      <c r="S9" s="44"/>
      <c r="T9" s="23">
        <v>72090.85447259061</v>
      </c>
      <c r="U9" s="32">
        <v>10.38756529099919</v>
      </c>
      <c r="V9" s="5">
        <v>3</v>
      </c>
      <c r="W9" s="5">
        <v>96.666666666666671</v>
      </c>
      <c r="X9" s="32">
        <v>66.670837253471163</v>
      </c>
      <c r="Y9" s="5">
        <v>58.396702493702378</v>
      </c>
      <c r="Z9" s="5">
        <v>1796.773693956241</v>
      </c>
      <c r="AA9" s="44"/>
    </row>
    <row r="10" spans="2:27" x14ac:dyDescent="0.2">
      <c r="B10" s="4">
        <v>7</v>
      </c>
      <c r="C10" s="4">
        <v>684</v>
      </c>
      <c r="D10" s="23">
        <v>59445.697516057509</v>
      </c>
      <c r="E10" s="32">
        <v>10.91012266699545</v>
      </c>
      <c r="F10" s="5">
        <v>3</v>
      </c>
      <c r="G10" s="23">
        <v>96.666666666666671</v>
      </c>
      <c r="H10" s="32">
        <v>0</v>
      </c>
      <c r="I10" s="23">
        <v>25.046206949285096</v>
      </c>
      <c r="J10" s="5">
        <v>1082.2641236466002</v>
      </c>
      <c r="K10" s="34" t="e">
        <f t="shared" si="0"/>
        <v>#DIV/0!</v>
      </c>
      <c r="L10" s="23">
        <v>78041.033181721112</v>
      </c>
      <c r="M10" s="32">
        <v>10.192975792000651</v>
      </c>
      <c r="N10" s="5">
        <v>3</v>
      </c>
      <c r="O10" s="5">
        <v>80</v>
      </c>
      <c r="P10" s="32">
        <v>0</v>
      </c>
      <c r="Q10" s="5">
        <v>21.058172723027017</v>
      </c>
      <c r="R10" s="5">
        <v>1013.8921767165608</v>
      </c>
      <c r="S10" s="44"/>
      <c r="T10" s="23">
        <v>72090.85447259061</v>
      </c>
      <c r="U10" s="32">
        <v>10.635483665999351</v>
      </c>
      <c r="V10" s="5">
        <v>3</v>
      </c>
      <c r="W10" s="5">
        <v>96.666666666666671</v>
      </c>
      <c r="X10" s="32">
        <v>66.670837253471163</v>
      </c>
      <c r="Y10" s="5">
        <v>58.396702493702378</v>
      </c>
      <c r="Z10" s="5">
        <v>1796.773693956241</v>
      </c>
      <c r="AA10" s="44"/>
    </row>
    <row r="11" spans="2:27" x14ac:dyDescent="0.2">
      <c r="B11" s="4">
        <v>8</v>
      </c>
      <c r="C11" s="4">
        <v>907</v>
      </c>
      <c r="D11" s="23">
        <v>59445.697516057509</v>
      </c>
      <c r="E11" s="32">
        <v>10.908653165999571</v>
      </c>
      <c r="F11" s="5">
        <v>3</v>
      </c>
      <c r="G11" s="23">
        <v>96.666666666666671</v>
      </c>
      <c r="H11" s="32">
        <v>0</v>
      </c>
      <c r="I11" s="23">
        <v>25.046206949285096</v>
      </c>
      <c r="J11" s="5">
        <v>1082.2641236466002</v>
      </c>
      <c r="K11" s="34" t="e">
        <f t="shared" si="0"/>
        <v>#DIV/0!</v>
      </c>
      <c r="L11" s="23">
        <v>95796.944430716656</v>
      </c>
      <c r="M11" s="32">
        <v>5.8030406249999942</v>
      </c>
      <c r="N11" s="5">
        <v>3</v>
      </c>
      <c r="O11" s="5">
        <v>63.333333333333343</v>
      </c>
      <c r="P11" s="32">
        <v>0</v>
      </c>
      <c r="Q11" s="5">
        <v>14.572948073447039</v>
      </c>
      <c r="R11" s="5">
        <v>778.90081457725773</v>
      </c>
      <c r="S11" s="44"/>
      <c r="T11" s="23">
        <v>72090.85447259061</v>
      </c>
      <c r="U11" s="32">
        <v>10.37022012499801</v>
      </c>
      <c r="V11" s="5">
        <v>3</v>
      </c>
      <c r="W11" s="5">
        <v>96.666666666666671</v>
      </c>
      <c r="X11" s="32">
        <v>66.670837253471163</v>
      </c>
      <c r="Y11" s="5">
        <v>58.396702493702378</v>
      </c>
      <c r="Z11" s="5">
        <v>1796.773693956241</v>
      </c>
      <c r="AA11" s="44"/>
    </row>
    <row r="12" spans="2:27" x14ac:dyDescent="0.2">
      <c r="B12" s="4">
        <v>9</v>
      </c>
      <c r="C12" s="4">
        <v>492</v>
      </c>
      <c r="D12" s="23">
        <v>59445.697516057509</v>
      </c>
      <c r="E12" s="32">
        <v>10.34138533399528</v>
      </c>
      <c r="F12" s="5">
        <v>3</v>
      </c>
      <c r="G12" s="23">
        <v>96.666666666666671</v>
      </c>
      <c r="H12" s="32">
        <v>0</v>
      </c>
      <c r="I12" s="23">
        <v>25.046206949285096</v>
      </c>
      <c r="J12" s="5">
        <v>1082.2641236466002</v>
      </c>
      <c r="K12" s="34" t="e">
        <f t="shared" si="0"/>
        <v>#DIV/0!</v>
      </c>
      <c r="L12" s="23">
        <v>78041.033181721112</v>
      </c>
      <c r="M12" s="32">
        <v>10.241936250000441</v>
      </c>
      <c r="N12" s="5">
        <v>3</v>
      </c>
      <c r="O12" s="5">
        <v>80</v>
      </c>
      <c r="P12" s="32">
        <v>0</v>
      </c>
      <c r="Q12" s="5">
        <v>21.058172723027017</v>
      </c>
      <c r="R12" s="5">
        <v>1013.8921767165608</v>
      </c>
      <c r="S12" s="44"/>
      <c r="T12" s="23">
        <v>72090.85447259061</v>
      </c>
      <c r="U12" s="32">
        <v>10.86375383300037</v>
      </c>
      <c r="V12" s="5">
        <v>3</v>
      </c>
      <c r="W12" s="5">
        <v>96.666666666666671</v>
      </c>
      <c r="X12" s="32">
        <v>66.670837253471163</v>
      </c>
      <c r="Y12" s="5">
        <v>58.396702493702378</v>
      </c>
      <c r="Z12" s="5">
        <v>1796.773693956241</v>
      </c>
      <c r="AA12" s="44"/>
    </row>
    <row r="13" spans="2:27" x14ac:dyDescent="0.2">
      <c r="B13" s="4">
        <v>10</v>
      </c>
      <c r="C13" s="4">
        <v>738</v>
      </c>
      <c r="D13" s="23">
        <v>59445.697516057509</v>
      </c>
      <c r="E13" s="32">
        <v>10.32071370799531</v>
      </c>
      <c r="F13" s="5">
        <v>3</v>
      </c>
      <c r="G13" s="23">
        <v>96.666666666666671</v>
      </c>
      <c r="H13" s="32">
        <v>0</v>
      </c>
      <c r="I13" s="23">
        <v>25.046206949285096</v>
      </c>
      <c r="J13" s="5">
        <v>1082.2641236466002</v>
      </c>
      <c r="K13" s="34" t="e">
        <f t="shared" si="0"/>
        <v>#DIV/0!</v>
      </c>
      <c r="L13" s="23">
        <v>78041.033181721112</v>
      </c>
      <c r="M13" s="32">
        <v>10.022571583001991</v>
      </c>
      <c r="N13" s="5">
        <v>3</v>
      </c>
      <c r="O13" s="5">
        <v>80</v>
      </c>
      <c r="P13" s="32">
        <v>0</v>
      </c>
      <c r="Q13" s="5">
        <v>21.058172723027017</v>
      </c>
      <c r="R13" s="5">
        <v>1013.8921767165608</v>
      </c>
      <c r="S13" s="44"/>
      <c r="T13" s="23">
        <v>72090.85447259061</v>
      </c>
      <c r="U13" s="32">
        <v>10.937127500001219</v>
      </c>
      <c r="V13" s="5">
        <v>3</v>
      </c>
      <c r="W13" s="5">
        <v>96.666666666666671</v>
      </c>
      <c r="X13" s="32">
        <v>66.670837253471163</v>
      </c>
      <c r="Y13" s="5">
        <v>58.396702493702378</v>
      </c>
      <c r="Z13" s="5">
        <v>1796.773693956241</v>
      </c>
      <c r="AA13" s="44"/>
    </row>
    <row r="14" spans="2:27" x14ac:dyDescent="0.2">
      <c r="B14" s="48" t="s">
        <v>3</v>
      </c>
      <c r="C14" s="49"/>
      <c r="D14" s="9">
        <f>MIN(D4:D13)</f>
        <v>59445.697516057509</v>
      </c>
      <c r="E14" s="11">
        <f>INDEX(E4:E13, MATCH($D$14, D4:D13, 0))</f>
        <v>10.67018295799789</v>
      </c>
      <c r="F14" s="9">
        <f>INDEX(F4:F13, MATCH($D$14, D4:D13, 0))</f>
        <v>3</v>
      </c>
      <c r="G14" s="9">
        <f>INDEX(G4:G13, MATCH($D$14, D4:D13, 0))</f>
        <v>96.666666666666671</v>
      </c>
      <c r="H14" s="11">
        <f>INDEX(H4:H13, MATCH($D$14, D4:D13, 0))</f>
        <v>0</v>
      </c>
      <c r="I14" s="9">
        <f>INDEX(I4:I13, MATCH($D$14, D4:D13, 0))</f>
        <v>25.046206949285096</v>
      </c>
      <c r="J14" s="9">
        <f>INDEX(J4:J13, MATCH($D$14, D4:D13, 0))</f>
        <v>1082.2641236466002</v>
      </c>
      <c r="K14" s="30" t="e">
        <f>(D14-$D$15)/$D$15</f>
        <v>#DIV/0!</v>
      </c>
      <c r="L14" s="16">
        <f>MIN(L4:L13)</f>
        <v>78041.033181721112</v>
      </c>
      <c r="M14" s="21">
        <f>INDEX(M4:M13, MATCH($L$14, L4:L13, 0))</f>
        <v>9.9606493749997753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21.058172723027017</v>
      </c>
      <c r="R14" s="21">
        <f>INDEX(R4:R13, MATCH($L$14, L4:L13, 0))</f>
        <v>1013.8921767165608</v>
      </c>
      <c r="S14" s="45" t="e">
        <f>(L14-$D$15)/$D$15</f>
        <v>#DIV/0!</v>
      </c>
      <c r="T14" s="40">
        <f>MIN(T4:T13)</f>
        <v>72090.85447259061</v>
      </c>
      <c r="U14" s="46">
        <f>INDEX(U4:U13, MATCH($T$14, T4:T13, 0))</f>
        <v>9.9064920000018901</v>
      </c>
      <c r="V14" s="40">
        <f>INDEX(V4:V13, MATCH($T$14, T4:T13, 0))</f>
        <v>3</v>
      </c>
      <c r="W14" s="40">
        <f>INDEX(W4:W13, MATCH($T$14, T4:T13, 0))</f>
        <v>96.666666666666671</v>
      </c>
      <c r="X14" s="46">
        <f>INDEX(X4:X13, MATCH($T$14, T4:T13, 0))</f>
        <v>66.670837253471163</v>
      </c>
      <c r="Y14" s="46">
        <f>INDEX(Y4:Y13, MATCH($T$14, T4:T13, 0))</f>
        <v>58.396702493702378</v>
      </c>
      <c r="Z14" s="46">
        <f>INDEX(Z4:Z13, MATCH($T$14, T4:T13, 0))</f>
        <v>1796.773693956241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85" priority="7"/>
    <cfRule type="duplicateValues" dxfId="84" priority="8"/>
  </conditionalFormatting>
  <conditionalFormatting sqref="C4:C13">
    <cfRule type="duplicateValues" dxfId="83" priority="5"/>
    <cfRule type="duplicateValues" dxfId="82" priority="6"/>
  </conditionalFormatting>
  <conditionalFormatting sqref="C14">
    <cfRule type="duplicateValues" dxfId="81" priority="3"/>
    <cfRule type="duplicateValues" dxfId="80" priority="4"/>
  </conditionalFormatting>
  <conditionalFormatting sqref="C15:C30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A559-8FBA-0A41-AA81-662EB455DA04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11.835047894681304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1.9613283392517878E-2</v>
      </c>
      <c r="T2" s="1" t="s">
        <v>19</v>
      </c>
      <c r="X2" s="1" t="e">
        <f>(X14-P14)/P14</f>
        <v>#DIV/0!</v>
      </c>
      <c r="Z2" s="1">
        <f>(Z14-R14)/R14</f>
        <v>0.32398856409744392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16</v>
      </c>
      <c r="D4" s="23">
        <v>72423.467370351544</v>
      </c>
      <c r="E4" s="32">
        <v>9.9803684169964981</v>
      </c>
      <c r="F4" s="5">
        <v>3</v>
      </c>
      <c r="G4" s="23">
        <v>93.333333333333329</v>
      </c>
      <c r="H4" s="32">
        <v>1.4187637980341006</v>
      </c>
      <c r="I4" s="23">
        <v>21.891217074218162</v>
      </c>
      <c r="J4" s="5">
        <v>1338.5468569134343</v>
      </c>
      <c r="K4" s="34" t="e">
        <f>(D4-$D$15)/$D$15</f>
        <v>#DIV/0!</v>
      </c>
      <c r="L4" s="23">
        <v>91962.084215393639</v>
      </c>
      <c r="M4" s="32">
        <v>8.8893789160028973</v>
      </c>
      <c r="N4" s="5">
        <v>3</v>
      </c>
      <c r="O4" s="5">
        <v>70</v>
      </c>
      <c r="P4" s="32">
        <v>0</v>
      </c>
      <c r="Q4" s="5">
        <v>13.248131435989711</v>
      </c>
      <c r="R4" s="5">
        <v>956.87696828894968</v>
      </c>
      <c r="S4" s="44"/>
      <c r="T4" s="23">
        <v>87311.918777623505</v>
      </c>
      <c r="U4" s="32">
        <v>9.6087092080015282</v>
      </c>
      <c r="V4" s="5">
        <v>3</v>
      </c>
      <c r="W4" s="5">
        <v>86.666666666666671</v>
      </c>
      <c r="X4" s="32">
        <v>38.128978109078389</v>
      </c>
      <c r="Y4" s="5">
        <v>39.99273064797174</v>
      </c>
      <c r="Z4" s="5">
        <v>1806.9797984943782</v>
      </c>
      <c r="AA4" s="44"/>
    </row>
    <row r="5" spans="2:27" x14ac:dyDescent="0.2">
      <c r="B5" s="4">
        <v>2</v>
      </c>
      <c r="C5" s="4">
        <v>421</v>
      </c>
      <c r="D5" s="23">
        <v>72423.467370351544</v>
      </c>
      <c r="E5" s="32">
        <v>9.8146600420004688</v>
      </c>
      <c r="F5" s="5">
        <v>3</v>
      </c>
      <c r="G5" s="23">
        <v>93.333333333333329</v>
      </c>
      <c r="H5" s="32">
        <v>1.4187637980341006</v>
      </c>
      <c r="I5" s="23">
        <v>21.891217074218162</v>
      </c>
      <c r="J5" s="5">
        <v>1338.5468569134343</v>
      </c>
      <c r="K5" s="34" t="e">
        <f>(D5-$D$15)/$D$15</f>
        <v>#DIV/0!</v>
      </c>
      <c r="L5" s="23">
        <v>91962.084215393639</v>
      </c>
      <c r="M5" s="32">
        <v>8.9754084999985935</v>
      </c>
      <c r="N5" s="5">
        <v>3</v>
      </c>
      <c r="O5" s="5">
        <v>70</v>
      </c>
      <c r="P5" s="32">
        <v>0</v>
      </c>
      <c r="Q5" s="5">
        <v>13.248131435989711</v>
      </c>
      <c r="R5" s="5">
        <v>956.87696828894968</v>
      </c>
      <c r="S5" s="44"/>
      <c r="T5" s="23">
        <v>87311.918777623505</v>
      </c>
      <c r="U5" s="32">
        <v>9.584824125002342</v>
      </c>
      <c r="V5" s="5">
        <v>3</v>
      </c>
      <c r="W5" s="5">
        <v>86.666666666666671</v>
      </c>
      <c r="X5" s="32">
        <v>38.128978109078389</v>
      </c>
      <c r="Y5" s="5">
        <v>39.99273064797174</v>
      </c>
      <c r="Z5" s="5">
        <v>1806.9797984943782</v>
      </c>
      <c r="AA5" s="44"/>
    </row>
    <row r="6" spans="2:27" x14ac:dyDescent="0.2">
      <c r="B6" s="4">
        <v>3</v>
      </c>
      <c r="C6" s="4">
        <v>199</v>
      </c>
      <c r="D6" s="23">
        <v>72423.467370351544</v>
      </c>
      <c r="E6" s="32">
        <v>9.9216687500011176</v>
      </c>
      <c r="F6" s="5">
        <v>3</v>
      </c>
      <c r="G6" s="23">
        <v>93.333333333333329</v>
      </c>
      <c r="H6" s="32">
        <v>1.4187637980341006</v>
      </c>
      <c r="I6" s="23">
        <v>21.891217074218162</v>
      </c>
      <c r="J6" s="5">
        <v>1338.5468569134343</v>
      </c>
      <c r="K6" s="34" t="e">
        <f t="shared" ref="K6:K13" si="0">(D6-$D$15)/$D$15</f>
        <v>#DIV/0!</v>
      </c>
      <c r="L6" s="23">
        <v>91962.084215393639</v>
      </c>
      <c r="M6" s="32">
        <v>8.82614495800226</v>
      </c>
      <c r="N6" s="5">
        <v>3</v>
      </c>
      <c r="O6" s="5">
        <v>70</v>
      </c>
      <c r="P6" s="32">
        <v>0</v>
      </c>
      <c r="Q6" s="5">
        <v>13.248131435989711</v>
      </c>
      <c r="R6" s="5">
        <v>956.87696828894968</v>
      </c>
      <c r="S6" s="44"/>
      <c r="T6" s="23">
        <v>87311.918777623505</v>
      </c>
      <c r="U6" s="32">
        <v>9.4577011660003336</v>
      </c>
      <c r="V6" s="5">
        <v>3</v>
      </c>
      <c r="W6" s="5">
        <v>86.666666666666671</v>
      </c>
      <c r="X6" s="32">
        <v>38.128978109078389</v>
      </c>
      <c r="Y6" s="5">
        <v>39.99273064797174</v>
      </c>
      <c r="Z6" s="5">
        <v>1806.9797984943782</v>
      </c>
      <c r="AA6" s="44"/>
    </row>
    <row r="7" spans="2:27" x14ac:dyDescent="0.2">
      <c r="B7" s="4">
        <v>4</v>
      </c>
      <c r="C7" s="4">
        <v>225</v>
      </c>
      <c r="D7" s="23">
        <v>72423.467370351544</v>
      </c>
      <c r="E7" s="32">
        <v>9.8747807500039926</v>
      </c>
      <c r="F7" s="5">
        <v>3</v>
      </c>
      <c r="G7" s="23">
        <v>93.333333333333329</v>
      </c>
      <c r="H7" s="32">
        <v>1.4187637980341006</v>
      </c>
      <c r="I7" s="23">
        <v>21.891217074218162</v>
      </c>
      <c r="J7" s="5">
        <v>1338.5468569134343</v>
      </c>
      <c r="K7" s="34" t="e">
        <f t="shared" si="0"/>
        <v>#DIV/0!</v>
      </c>
      <c r="L7" s="23">
        <v>91962.084215393639</v>
      </c>
      <c r="M7" s="32">
        <v>8.8711645000003045</v>
      </c>
      <c r="N7" s="5">
        <v>3</v>
      </c>
      <c r="O7" s="5">
        <v>70</v>
      </c>
      <c r="P7" s="32">
        <v>0</v>
      </c>
      <c r="Q7" s="5">
        <v>13.248131435989711</v>
      </c>
      <c r="R7" s="5">
        <v>956.87696828894968</v>
      </c>
      <c r="S7" s="44"/>
      <c r="T7" s="23">
        <v>87311.918777623505</v>
      </c>
      <c r="U7" s="32">
        <v>9.299438582998846</v>
      </c>
      <c r="V7" s="5">
        <v>3</v>
      </c>
      <c r="W7" s="5">
        <v>86.666666666666671</v>
      </c>
      <c r="X7" s="32">
        <v>38.128978109078389</v>
      </c>
      <c r="Y7" s="5">
        <v>39.99273064797174</v>
      </c>
      <c r="Z7" s="5">
        <v>1806.9797984943782</v>
      </c>
      <c r="AA7" s="44"/>
    </row>
    <row r="8" spans="2:27" x14ac:dyDescent="0.2">
      <c r="B8" s="4">
        <v>5</v>
      </c>
      <c r="C8" s="4">
        <v>238</v>
      </c>
      <c r="D8" s="23">
        <v>72423.467370351544</v>
      </c>
      <c r="E8" s="32">
        <v>9.9392794170053094</v>
      </c>
      <c r="F8" s="5">
        <v>3</v>
      </c>
      <c r="G8" s="23">
        <v>93.333333333333329</v>
      </c>
      <c r="H8" s="32">
        <v>1.4187637980341006</v>
      </c>
      <c r="I8" s="23">
        <v>21.891217074218162</v>
      </c>
      <c r="J8" s="5">
        <v>1338.5468569134343</v>
      </c>
      <c r="K8" s="34" t="e">
        <f t="shared" si="0"/>
        <v>#DIV/0!</v>
      </c>
      <c r="L8" s="23">
        <v>88434.559970481831</v>
      </c>
      <c r="M8" s="32">
        <v>8.9633922079992772</v>
      </c>
      <c r="N8" s="5">
        <v>3</v>
      </c>
      <c r="O8" s="5">
        <v>80</v>
      </c>
      <c r="P8" s="32">
        <v>0</v>
      </c>
      <c r="Q8" s="5">
        <v>18.209901299007633</v>
      </c>
      <c r="R8" s="5">
        <v>1364.8001557522416</v>
      </c>
      <c r="S8" s="44"/>
      <c r="T8" s="23">
        <v>87311.918777623505</v>
      </c>
      <c r="U8" s="32">
        <v>9.5733242079986667</v>
      </c>
      <c r="V8" s="5">
        <v>3</v>
      </c>
      <c r="W8" s="5">
        <v>86.666666666666671</v>
      </c>
      <c r="X8" s="32">
        <v>38.128978109078389</v>
      </c>
      <c r="Y8" s="5">
        <v>39.99273064797174</v>
      </c>
      <c r="Z8" s="5">
        <v>1806.9797984943782</v>
      </c>
      <c r="AA8" s="44"/>
    </row>
    <row r="9" spans="2:27" x14ac:dyDescent="0.2">
      <c r="B9" s="4">
        <v>6</v>
      </c>
      <c r="C9" s="4">
        <v>601</v>
      </c>
      <c r="D9" s="23">
        <v>103909.88286174351</v>
      </c>
      <c r="E9" s="32">
        <v>3.8059917920036241</v>
      </c>
      <c r="F9" s="5">
        <v>2</v>
      </c>
      <c r="G9" s="23">
        <v>63.333333333333343</v>
      </c>
      <c r="H9" s="32">
        <v>2.0908098076292005</v>
      </c>
      <c r="I9" s="23">
        <v>21.797154289997192</v>
      </c>
      <c r="J9" s="5">
        <v>1640.1469023632721</v>
      </c>
      <c r="K9" s="34" t="e">
        <f t="shared" si="0"/>
        <v>#DIV/0!</v>
      </c>
      <c r="L9" s="23">
        <v>116404.00921148541</v>
      </c>
      <c r="M9" s="32">
        <v>4.4380949589976808</v>
      </c>
      <c r="N9" s="5">
        <v>2</v>
      </c>
      <c r="O9" s="5">
        <v>46.666666666666657</v>
      </c>
      <c r="P9" s="32">
        <v>0</v>
      </c>
      <c r="Q9" s="5">
        <v>14.222348032821536</v>
      </c>
      <c r="R9" s="5">
        <v>1266.8723604059633</v>
      </c>
      <c r="S9" s="44"/>
      <c r="T9" s="23">
        <v>105887.44076488131</v>
      </c>
      <c r="U9" s="32">
        <v>4.8367560830010916</v>
      </c>
      <c r="V9" s="5">
        <v>3</v>
      </c>
      <c r="W9" s="5">
        <v>63.333333333333343</v>
      </c>
      <c r="X9" s="32">
        <v>0</v>
      </c>
      <c r="Y9" s="5">
        <v>25.95738583083158</v>
      </c>
      <c r="Z9" s="5">
        <v>1417.8929233197932</v>
      </c>
      <c r="AA9" s="44"/>
    </row>
    <row r="10" spans="2:27" x14ac:dyDescent="0.2">
      <c r="B10" s="4">
        <v>7</v>
      </c>
      <c r="C10" s="4">
        <v>435</v>
      </c>
      <c r="D10" s="23">
        <v>72423.467370351544</v>
      </c>
      <c r="E10" s="32">
        <v>9.9289594159999979</v>
      </c>
      <c r="F10" s="5">
        <v>3</v>
      </c>
      <c r="G10" s="23">
        <v>93.333333333333329</v>
      </c>
      <c r="H10" s="32">
        <v>1.4187637980341006</v>
      </c>
      <c r="I10" s="23">
        <v>21.891217074218162</v>
      </c>
      <c r="J10" s="5">
        <v>1338.5468569134343</v>
      </c>
      <c r="K10" s="34" t="e">
        <f t="shared" si="0"/>
        <v>#DIV/0!</v>
      </c>
      <c r="L10" s="23">
        <v>91962.084215393639</v>
      </c>
      <c r="M10" s="32">
        <v>8.9390561669970339</v>
      </c>
      <c r="N10" s="5">
        <v>3</v>
      </c>
      <c r="O10" s="5">
        <v>70</v>
      </c>
      <c r="P10" s="32">
        <v>0</v>
      </c>
      <c r="Q10" s="5">
        <v>13.248131435989711</v>
      </c>
      <c r="R10" s="5">
        <v>956.87696828894968</v>
      </c>
      <c r="S10" s="44"/>
      <c r="T10" s="23">
        <v>87311.918777623505</v>
      </c>
      <c r="U10" s="32">
        <v>9.5479642499994952</v>
      </c>
      <c r="V10" s="5">
        <v>3</v>
      </c>
      <c r="W10" s="5">
        <v>86.666666666666671</v>
      </c>
      <c r="X10" s="32">
        <v>38.128978109078389</v>
      </c>
      <c r="Y10" s="5">
        <v>39.99273064797174</v>
      </c>
      <c r="Z10" s="5">
        <v>1806.9797984943782</v>
      </c>
      <c r="AA10" s="44"/>
    </row>
    <row r="11" spans="2:27" x14ac:dyDescent="0.2">
      <c r="B11" s="4">
        <v>8</v>
      </c>
      <c r="C11" s="4">
        <v>656</v>
      </c>
      <c r="D11" s="23">
        <v>72423.467370351544</v>
      </c>
      <c r="E11" s="32">
        <v>9.8642462499992689</v>
      </c>
      <c r="F11" s="5">
        <v>3</v>
      </c>
      <c r="G11" s="23">
        <v>93.333333333333329</v>
      </c>
      <c r="H11" s="32">
        <v>1.4187637980341006</v>
      </c>
      <c r="I11" s="23">
        <v>21.891217074218162</v>
      </c>
      <c r="J11" s="5">
        <v>1338.5468569134343</v>
      </c>
      <c r="K11" s="34" t="e">
        <f t="shared" si="0"/>
        <v>#DIV/0!</v>
      </c>
      <c r="L11" s="23">
        <v>88434.559970481831</v>
      </c>
      <c r="M11" s="32">
        <v>8.9212788340009865</v>
      </c>
      <c r="N11" s="5">
        <v>3</v>
      </c>
      <c r="O11" s="5">
        <v>80</v>
      </c>
      <c r="P11" s="32">
        <v>0</v>
      </c>
      <c r="Q11" s="5">
        <v>18.209901299007633</v>
      </c>
      <c r="R11" s="5">
        <v>1364.8001557522416</v>
      </c>
      <c r="S11" s="44"/>
      <c r="T11" s="23">
        <v>87311.918777623505</v>
      </c>
      <c r="U11" s="32">
        <v>9.684120083002199</v>
      </c>
      <c r="V11" s="5">
        <v>3</v>
      </c>
      <c r="W11" s="5">
        <v>86.666666666666671</v>
      </c>
      <c r="X11" s="32">
        <v>38.128978109078389</v>
      </c>
      <c r="Y11" s="5">
        <v>39.99273064797174</v>
      </c>
      <c r="Z11" s="5">
        <v>1806.9797984943782</v>
      </c>
      <c r="AA11" s="44"/>
    </row>
    <row r="12" spans="2:27" x14ac:dyDescent="0.2">
      <c r="B12" s="4">
        <v>9</v>
      </c>
      <c r="C12" s="4">
        <v>815</v>
      </c>
      <c r="D12" s="23">
        <v>72423.467370351544</v>
      </c>
      <c r="E12" s="32">
        <v>9.9823569160071202</v>
      </c>
      <c r="F12" s="5">
        <v>3</v>
      </c>
      <c r="G12" s="23">
        <v>93.333333333333329</v>
      </c>
      <c r="H12" s="32">
        <v>1.4187637980341006</v>
      </c>
      <c r="I12" s="23">
        <v>21.891217074218162</v>
      </c>
      <c r="J12" s="5">
        <v>1338.5468569134343</v>
      </c>
      <c r="K12" s="34" t="e">
        <f t="shared" si="0"/>
        <v>#DIV/0!</v>
      </c>
      <c r="L12" s="23">
        <v>88434.559970481831</v>
      </c>
      <c r="M12" s="32">
        <v>8.9827051669999491</v>
      </c>
      <c r="N12" s="5">
        <v>3</v>
      </c>
      <c r="O12" s="5">
        <v>80</v>
      </c>
      <c r="P12" s="32">
        <v>0</v>
      </c>
      <c r="Q12" s="5">
        <v>18.209901299007633</v>
      </c>
      <c r="R12" s="5">
        <v>1364.8001557522416</v>
      </c>
      <c r="S12" s="44"/>
      <c r="T12" s="23">
        <v>87311.918777623505</v>
      </c>
      <c r="U12" s="32">
        <v>9.8596036659982929</v>
      </c>
      <c r="V12" s="5">
        <v>3</v>
      </c>
      <c r="W12" s="5">
        <v>86.666666666666671</v>
      </c>
      <c r="X12" s="32">
        <v>38.128978109078389</v>
      </c>
      <c r="Y12" s="5">
        <v>39.99273064797174</v>
      </c>
      <c r="Z12" s="5">
        <v>1806.9797984943782</v>
      </c>
      <c r="AA12" s="44"/>
    </row>
    <row r="13" spans="2:27" x14ac:dyDescent="0.2">
      <c r="B13" s="4">
        <v>10</v>
      </c>
      <c r="C13" s="4">
        <v>743</v>
      </c>
      <c r="D13" s="23">
        <v>72423.467370351544</v>
      </c>
      <c r="E13" s="32">
        <v>10.01155979200121</v>
      </c>
      <c r="F13" s="5">
        <v>3</v>
      </c>
      <c r="G13" s="23">
        <v>93.333333333333329</v>
      </c>
      <c r="H13" s="32">
        <v>1.4187637980341006</v>
      </c>
      <c r="I13" s="23">
        <v>21.891217074218162</v>
      </c>
      <c r="J13" s="5">
        <v>1338.5468569134343</v>
      </c>
      <c r="K13" s="34" t="e">
        <f t="shared" si="0"/>
        <v>#DIV/0!</v>
      </c>
      <c r="L13" s="23">
        <v>91962.084215393639</v>
      </c>
      <c r="M13" s="32">
        <v>8.9228729169990402</v>
      </c>
      <c r="N13" s="5">
        <v>3</v>
      </c>
      <c r="O13" s="5">
        <v>70</v>
      </c>
      <c r="P13" s="32">
        <v>0</v>
      </c>
      <c r="Q13" s="5">
        <v>13.248131435989711</v>
      </c>
      <c r="R13" s="5">
        <v>956.87696828894968</v>
      </c>
      <c r="S13" s="44"/>
      <c r="T13" s="23">
        <v>87311.918777623505</v>
      </c>
      <c r="U13" s="32">
        <v>9.8313392499985639</v>
      </c>
      <c r="V13" s="5">
        <v>3</v>
      </c>
      <c r="W13" s="5">
        <v>86.666666666666671</v>
      </c>
      <c r="X13" s="32">
        <v>38.128978109078389</v>
      </c>
      <c r="Y13" s="5">
        <v>39.99273064797174</v>
      </c>
      <c r="Z13" s="5">
        <v>1806.9797984943782</v>
      </c>
      <c r="AA13" s="44"/>
    </row>
    <row r="14" spans="2:27" x14ac:dyDescent="0.2">
      <c r="B14" s="48" t="s">
        <v>3</v>
      </c>
      <c r="C14" s="49"/>
      <c r="D14" s="9">
        <f>MIN(D4:D13)</f>
        <v>72423.467370351544</v>
      </c>
      <c r="E14" s="11">
        <f>INDEX(E4:E13, MATCH($D$14, D4:D13, 0))</f>
        <v>9.9803684169964981</v>
      </c>
      <c r="F14" s="9">
        <f>INDEX(F4:F13, MATCH($D$14, D4:D13, 0))</f>
        <v>3</v>
      </c>
      <c r="G14" s="9">
        <f>INDEX(G4:G13, MATCH($D$14, D4:D13, 0))</f>
        <v>93.333333333333329</v>
      </c>
      <c r="H14" s="11">
        <f>INDEX(H4:H13, MATCH($D$14, D4:D13, 0))</f>
        <v>1.4187637980341006</v>
      </c>
      <c r="I14" s="9">
        <f>INDEX(I4:I13, MATCH($D$14, D4:D13, 0))</f>
        <v>21.891217074218162</v>
      </c>
      <c r="J14" s="9">
        <f>INDEX(J4:J13, MATCH($D$14, D4:D13, 0))</f>
        <v>1338.5468569134343</v>
      </c>
      <c r="K14" s="35" t="e">
        <f>(D14-$D$15)/$D$15</f>
        <v>#DIV/0!</v>
      </c>
      <c r="L14" s="16">
        <f>MIN(L4:L13)</f>
        <v>88434.559970481831</v>
      </c>
      <c r="M14" s="21">
        <f>INDEX(M4:M13, MATCH($L$14, L4:L13, 0))</f>
        <v>8.9633922079992772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18.209901299007633</v>
      </c>
      <c r="R14" s="21">
        <f>INDEX(R4:R13, MATCH($L$14, L4:L13, 0))</f>
        <v>1364.8001557522416</v>
      </c>
      <c r="S14" s="45" t="e">
        <f>(L14-$D$15)/$D$15</f>
        <v>#DIV/0!</v>
      </c>
      <c r="T14" s="40">
        <f>MIN(T4:T13)</f>
        <v>87311.918777623505</v>
      </c>
      <c r="U14" s="46">
        <f>INDEX(U4:U13, MATCH($T$14, T4:T13, 0))</f>
        <v>9.6087092080015282</v>
      </c>
      <c r="V14" s="40">
        <f>INDEX(V4:V13, MATCH($T$14, T4:T13, 0))</f>
        <v>3</v>
      </c>
      <c r="W14" s="40">
        <f>INDEX(W4:W13, MATCH($T$14, T4:T13, 0))</f>
        <v>86.666666666666671</v>
      </c>
      <c r="X14" s="46">
        <f>INDEX(X4:X13, MATCH($T$14, T4:T13, 0))</f>
        <v>38.128978109078389</v>
      </c>
      <c r="Y14" s="46">
        <f>INDEX(Y4:Y13, MATCH($T$14, T4:T13, 0))</f>
        <v>39.99273064797174</v>
      </c>
      <c r="Z14" s="46">
        <f>INDEX(Z4:Z13, MATCH($T$14, T4:T13, 0))</f>
        <v>1806.9797984943782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79" priority="7"/>
    <cfRule type="duplicateValues" dxfId="78" priority="8"/>
  </conditionalFormatting>
  <conditionalFormatting sqref="C4:C13">
    <cfRule type="duplicateValues" dxfId="77" priority="5"/>
    <cfRule type="duplicateValues" dxfId="76" priority="6"/>
  </conditionalFormatting>
  <conditionalFormatting sqref="C14">
    <cfRule type="duplicateValues" dxfId="75" priority="3"/>
    <cfRule type="duplicateValues" dxfId="74" priority="4"/>
  </conditionalFormatting>
  <conditionalFormatting sqref="C15:C30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9C95-66D9-7347-A76A-2A186B7238B8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17.706249603378666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-0.17515715487837316</v>
      </c>
      <c r="T2" s="1" t="s">
        <v>19</v>
      </c>
      <c r="X2" s="1" t="e">
        <f>(X14-P14)/P14</f>
        <v>#DIV/0!</v>
      </c>
      <c r="Z2" s="1">
        <f>(Z14-R14)/R14</f>
        <v>0.50874724565001161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112</v>
      </c>
      <c r="D4" s="23">
        <v>69266.712503584946</v>
      </c>
      <c r="E4" s="32">
        <v>3.1502539590001111</v>
      </c>
      <c r="F4" s="5">
        <v>3</v>
      </c>
      <c r="G4" s="23">
        <v>100</v>
      </c>
      <c r="H4" s="32">
        <v>0.98448605249473065</v>
      </c>
      <c r="I4" s="23">
        <v>25.869465076292453</v>
      </c>
      <c r="J4" s="5">
        <v>1447.1036338498152</v>
      </c>
      <c r="K4" s="34" t="e">
        <f>(D4-$D$15)/$D$15</f>
        <v>#DIV/0!</v>
      </c>
      <c r="L4" s="23">
        <v>93209.955254702902</v>
      </c>
      <c r="M4" s="32">
        <v>7.4421349170006579</v>
      </c>
      <c r="N4" s="5">
        <v>3</v>
      </c>
      <c r="O4" s="5">
        <v>76.666666666666671</v>
      </c>
      <c r="P4" s="32">
        <v>26.665862383345193</v>
      </c>
      <c r="Q4" s="5">
        <v>19.072154690120605</v>
      </c>
      <c r="R4" s="5">
        <v>1355.2620059394869</v>
      </c>
      <c r="S4" s="44"/>
      <c r="T4" s="23">
        <v>90274.622115550679</v>
      </c>
      <c r="U4" s="32">
        <v>4.5324697920004837</v>
      </c>
      <c r="V4" s="5">
        <v>3</v>
      </c>
      <c r="W4" s="5">
        <v>90</v>
      </c>
      <c r="X4" s="32">
        <v>43.573666968369068</v>
      </c>
      <c r="Y4" s="5">
        <v>37.932552920433452</v>
      </c>
      <c r="Z4" s="5">
        <v>1900.3601110352117</v>
      </c>
      <c r="AA4" s="44"/>
    </row>
    <row r="5" spans="2:27" x14ac:dyDescent="0.2">
      <c r="B5" s="4">
        <v>2</v>
      </c>
      <c r="C5" s="4">
        <v>136</v>
      </c>
      <c r="D5" s="23">
        <v>69266.712503584946</v>
      </c>
      <c r="E5" s="32">
        <v>3.0168567080036151</v>
      </c>
      <c r="F5" s="5">
        <v>3</v>
      </c>
      <c r="G5" s="23">
        <v>100</v>
      </c>
      <c r="H5" s="32">
        <v>0.98448605249473065</v>
      </c>
      <c r="I5" s="23">
        <v>25.869465076292453</v>
      </c>
      <c r="J5" s="5">
        <v>1447.1036338498152</v>
      </c>
      <c r="K5" s="34" t="e">
        <f>(D5-$D$15)/$D$15</f>
        <v>#DIV/0!</v>
      </c>
      <c r="L5" s="23">
        <v>93209.955254702902</v>
      </c>
      <c r="M5" s="32">
        <v>6.0882844999978261</v>
      </c>
      <c r="N5" s="5">
        <v>3</v>
      </c>
      <c r="O5" s="5">
        <v>76.666666666666671</v>
      </c>
      <c r="P5" s="32">
        <v>26.665862383345193</v>
      </c>
      <c r="Q5" s="5">
        <v>19.072154690120605</v>
      </c>
      <c r="R5" s="5">
        <v>1355.2620059394869</v>
      </c>
      <c r="S5" s="44"/>
      <c r="T5" s="23">
        <v>87586.314588304595</v>
      </c>
      <c r="U5" s="32">
        <v>7.4885112080010003</v>
      </c>
      <c r="V5" s="5">
        <v>3</v>
      </c>
      <c r="W5" s="5">
        <v>90</v>
      </c>
      <c r="X5" s="32">
        <v>38.299041373565615</v>
      </c>
      <c r="Y5" s="5">
        <v>36.574214833969876</v>
      </c>
      <c r="Z5" s="5">
        <v>1800.8906195496759</v>
      </c>
      <c r="AA5" s="44"/>
    </row>
    <row r="6" spans="2:27" x14ac:dyDescent="0.2">
      <c r="B6" s="4">
        <v>3</v>
      </c>
      <c r="C6" s="4">
        <v>150</v>
      </c>
      <c r="D6" s="23">
        <v>69266.712503584946</v>
      </c>
      <c r="E6" s="32">
        <v>3.097873999999138</v>
      </c>
      <c r="F6" s="5">
        <v>3</v>
      </c>
      <c r="G6" s="23">
        <v>100</v>
      </c>
      <c r="H6" s="32">
        <v>0.98448605249473065</v>
      </c>
      <c r="I6" s="23">
        <v>25.869465076292453</v>
      </c>
      <c r="J6" s="5">
        <v>1447.1036338498152</v>
      </c>
      <c r="K6" s="34" t="e">
        <f t="shared" ref="K6:K13" si="0">(D6-$D$15)/$D$15</f>
        <v>#DIV/0!</v>
      </c>
      <c r="L6" s="23">
        <v>98177.73310952168</v>
      </c>
      <c r="M6" s="32">
        <v>11.8632815000019</v>
      </c>
      <c r="N6" s="5">
        <v>4</v>
      </c>
      <c r="O6" s="5">
        <v>83.333333333333329</v>
      </c>
      <c r="P6" s="32">
        <v>28.289547570789747</v>
      </c>
      <c r="Q6" s="5">
        <v>16.617950532107088</v>
      </c>
      <c r="R6" s="5">
        <v>1460.5933652368474</v>
      </c>
      <c r="S6" s="44"/>
      <c r="T6" s="23">
        <v>87586.314588304595</v>
      </c>
      <c r="U6" s="32">
        <v>5.4163439999974798</v>
      </c>
      <c r="V6" s="5">
        <v>3</v>
      </c>
      <c r="W6" s="5">
        <v>90</v>
      </c>
      <c r="X6" s="32">
        <v>38.299041373565615</v>
      </c>
      <c r="Y6" s="5">
        <v>36.574214833969876</v>
      </c>
      <c r="Z6" s="5">
        <v>1800.8906195496759</v>
      </c>
      <c r="AA6" s="44"/>
    </row>
    <row r="7" spans="2:27" x14ac:dyDescent="0.2">
      <c r="B7" s="4">
        <v>4</v>
      </c>
      <c r="C7" s="4">
        <v>162</v>
      </c>
      <c r="D7" s="23">
        <v>69266.712503584946</v>
      </c>
      <c r="E7" s="32">
        <v>3.0330444579958571</v>
      </c>
      <c r="F7" s="5">
        <v>3</v>
      </c>
      <c r="G7" s="23">
        <v>100</v>
      </c>
      <c r="H7" s="32">
        <v>0.98448605249473065</v>
      </c>
      <c r="I7" s="23">
        <v>25.869465076292453</v>
      </c>
      <c r="J7" s="5">
        <v>1447.1036338498152</v>
      </c>
      <c r="K7" s="34" t="e">
        <f t="shared" si="0"/>
        <v>#DIV/0!</v>
      </c>
      <c r="L7" s="23">
        <v>98177.73310952168</v>
      </c>
      <c r="M7" s="32">
        <v>12.781874291998969</v>
      </c>
      <c r="N7" s="5">
        <v>4</v>
      </c>
      <c r="O7" s="5">
        <v>83.333333333333329</v>
      </c>
      <c r="P7" s="32">
        <v>28.289547570789747</v>
      </c>
      <c r="Q7" s="5">
        <v>16.617950532107088</v>
      </c>
      <c r="R7" s="5">
        <v>1460.5933652368474</v>
      </c>
      <c r="S7" s="44"/>
      <c r="T7" s="23">
        <v>87586.314588304595</v>
      </c>
      <c r="U7" s="32">
        <v>4.5336211249996268</v>
      </c>
      <c r="V7" s="5">
        <v>3</v>
      </c>
      <c r="W7" s="5">
        <v>90</v>
      </c>
      <c r="X7" s="32">
        <v>38.299041373565615</v>
      </c>
      <c r="Y7" s="5">
        <v>36.574214833969876</v>
      </c>
      <c r="Z7" s="5">
        <v>1800.8906195496759</v>
      </c>
      <c r="AA7" s="44"/>
    </row>
    <row r="8" spans="2:27" x14ac:dyDescent="0.2">
      <c r="B8" s="4">
        <v>5</v>
      </c>
      <c r="C8" s="4">
        <v>542</v>
      </c>
      <c r="D8" s="23">
        <v>69266.712503584946</v>
      </c>
      <c r="E8" s="32">
        <v>2.9314195420010951</v>
      </c>
      <c r="F8" s="5">
        <v>3</v>
      </c>
      <c r="G8" s="23">
        <v>100</v>
      </c>
      <c r="H8" s="32">
        <v>0.98448605249473065</v>
      </c>
      <c r="I8" s="23">
        <v>25.869465076292453</v>
      </c>
      <c r="J8" s="5">
        <v>1447.1036338498152</v>
      </c>
      <c r="K8" s="34" t="e">
        <f t="shared" si="0"/>
        <v>#DIV/0!</v>
      </c>
      <c r="L8" s="23">
        <v>93209.955254702902</v>
      </c>
      <c r="M8" s="32">
        <v>5.4243838749971474</v>
      </c>
      <c r="N8" s="5">
        <v>3</v>
      </c>
      <c r="O8" s="5">
        <v>76.666666666666671</v>
      </c>
      <c r="P8" s="32">
        <v>26.665862383345193</v>
      </c>
      <c r="Q8" s="5">
        <v>19.072154690120605</v>
      </c>
      <c r="R8" s="5">
        <v>1355.2620059394869</v>
      </c>
      <c r="S8" s="44"/>
      <c r="T8" s="23">
        <v>87586.314588304595</v>
      </c>
      <c r="U8" s="32">
        <v>4.6868105840003409</v>
      </c>
      <c r="V8" s="5">
        <v>3</v>
      </c>
      <c r="W8" s="5">
        <v>90</v>
      </c>
      <c r="X8" s="32">
        <v>38.299041373565615</v>
      </c>
      <c r="Y8" s="5">
        <v>36.574214833969876</v>
      </c>
      <c r="Z8" s="5">
        <v>1800.8906195496759</v>
      </c>
      <c r="AA8" s="44"/>
    </row>
    <row r="9" spans="2:27" x14ac:dyDescent="0.2">
      <c r="B9" s="4">
        <v>6</v>
      </c>
      <c r="C9" s="4">
        <v>607</v>
      </c>
      <c r="D9" s="23">
        <v>69266.712503584946</v>
      </c>
      <c r="E9" s="32">
        <v>3.1591857909952519</v>
      </c>
      <c r="F9" s="5">
        <v>3</v>
      </c>
      <c r="G9" s="23">
        <v>100</v>
      </c>
      <c r="H9" s="32">
        <v>0.98448605249473065</v>
      </c>
      <c r="I9" s="23">
        <v>25.869465076292453</v>
      </c>
      <c r="J9" s="5">
        <v>1447.1036338498152</v>
      </c>
      <c r="K9" s="34" t="e">
        <f t="shared" si="0"/>
        <v>#DIV/0!</v>
      </c>
      <c r="L9" s="23">
        <v>93209.955254702902</v>
      </c>
      <c r="M9" s="32">
        <v>5.3025868330005324</v>
      </c>
      <c r="N9" s="5">
        <v>3</v>
      </c>
      <c r="O9" s="5">
        <v>76.666666666666671</v>
      </c>
      <c r="P9" s="32">
        <v>26.665862383345193</v>
      </c>
      <c r="Q9" s="5">
        <v>19.072154690120605</v>
      </c>
      <c r="R9" s="5">
        <v>1355.2620059394869</v>
      </c>
      <c r="S9" s="44"/>
      <c r="T9" s="23">
        <v>87586.314588304595</v>
      </c>
      <c r="U9" s="32">
        <v>4.6128473749995456</v>
      </c>
      <c r="V9" s="5">
        <v>3</v>
      </c>
      <c r="W9" s="5">
        <v>90</v>
      </c>
      <c r="X9" s="32">
        <v>38.299041373565615</v>
      </c>
      <c r="Y9" s="5">
        <v>36.574214833969876</v>
      </c>
      <c r="Z9" s="5">
        <v>1800.8906195496759</v>
      </c>
      <c r="AA9" s="44"/>
    </row>
    <row r="10" spans="2:27" x14ac:dyDescent="0.2">
      <c r="B10" s="4">
        <v>7</v>
      </c>
      <c r="C10" s="4">
        <v>611</v>
      </c>
      <c r="D10" s="23">
        <v>69266.712503584946</v>
      </c>
      <c r="E10" s="32">
        <v>3.021110333000252</v>
      </c>
      <c r="F10" s="5">
        <v>3</v>
      </c>
      <c r="G10" s="23">
        <v>100</v>
      </c>
      <c r="H10" s="32">
        <v>0.98448605249473065</v>
      </c>
      <c r="I10" s="23">
        <v>25.869465076292453</v>
      </c>
      <c r="J10" s="5">
        <v>1447.1036338498152</v>
      </c>
      <c r="K10" s="34" t="e">
        <f t="shared" si="0"/>
        <v>#DIV/0!</v>
      </c>
      <c r="L10" s="23">
        <v>93209.955254702902</v>
      </c>
      <c r="M10" s="32">
        <v>5.9595095840013528</v>
      </c>
      <c r="N10" s="5">
        <v>3</v>
      </c>
      <c r="O10" s="5">
        <v>76.666666666666671</v>
      </c>
      <c r="P10" s="32">
        <v>26.665862383345193</v>
      </c>
      <c r="Q10" s="5">
        <v>19.072154690120605</v>
      </c>
      <c r="R10" s="5">
        <v>1355.2620059394869</v>
      </c>
      <c r="S10" s="44"/>
      <c r="T10" s="23">
        <v>90274.622115550679</v>
      </c>
      <c r="U10" s="32">
        <v>4.7188418329969863</v>
      </c>
      <c r="V10" s="5">
        <v>3</v>
      </c>
      <c r="W10" s="5">
        <v>90</v>
      </c>
      <c r="X10" s="32">
        <v>43.573666968369068</v>
      </c>
      <c r="Y10" s="5">
        <v>37.932552920433452</v>
      </c>
      <c r="Z10" s="5">
        <v>1900.3601110352117</v>
      </c>
      <c r="AA10" s="44"/>
    </row>
    <row r="11" spans="2:27" x14ac:dyDescent="0.2">
      <c r="B11" s="4">
        <v>8</v>
      </c>
      <c r="C11" s="4">
        <v>672</v>
      </c>
      <c r="D11" s="23">
        <v>69266.712503584946</v>
      </c>
      <c r="E11" s="32">
        <v>3.0059149580047229</v>
      </c>
      <c r="F11" s="5">
        <v>3</v>
      </c>
      <c r="G11" s="23">
        <v>100</v>
      </c>
      <c r="H11" s="32">
        <v>0.98448605249473065</v>
      </c>
      <c r="I11" s="23">
        <v>25.869465076292453</v>
      </c>
      <c r="J11" s="5">
        <v>1447.1036338498152</v>
      </c>
      <c r="K11" s="34" t="e">
        <f t="shared" si="0"/>
        <v>#DIV/0!</v>
      </c>
      <c r="L11" s="23">
        <v>89080.508590665413</v>
      </c>
      <c r="M11" s="32">
        <v>5.2407723749965953</v>
      </c>
      <c r="N11" s="5">
        <v>3</v>
      </c>
      <c r="O11" s="5">
        <v>76.666666666666671</v>
      </c>
      <c r="P11" s="32">
        <v>0</v>
      </c>
      <c r="Q11" s="5">
        <v>18.416041829011384</v>
      </c>
      <c r="R11" s="5">
        <v>1193.6330785305265</v>
      </c>
      <c r="S11" s="44"/>
      <c r="T11" s="23">
        <v>87586.314588304595</v>
      </c>
      <c r="U11" s="32">
        <v>5.5272222500025237</v>
      </c>
      <c r="V11" s="5">
        <v>3</v>
      </c>
      <c r="W11" s="5">
        <v>90</v>
      </c>
      <c r="X11" s="32">
        <v>38.299041373565615</v>
      </c>
      <c r="Y11" s="5">
        <v>36.574214833969876</v>
      </c>
      <c r="Z11" s="5">
        <v>1800.8906195496759</v>
      </c>
      <c r="AA11" s="44"/>
    </row>
    <row r="12" spans="2:27" x14ac:dyDescent="0.2">
      <c r="B12" s="4">
        <v>9</v>
      </c>
      <c r="C12" s="4">
        <v>748</v>
      </c>
      <c r="D12" s="23">
        <v>69266.712503584946</v>
      </c>
      <c r="E12" s="32">
        <v>2.9960846670001051</v>
      </c>
      <c r="F12" s="5">
        <v>3</v>
      </c>
      <c r="G12" s="23">
        <v>100</v>
      </c>
      <c r="H12" s="32">
        <v>0.98448605249473065</v>
      </c>
      <c r="I12" s="23">
        <v>25.869465076292453</v>
      </c>
      <c r="J12" s="5">
        <v>1447.1036338498152</v>
      </c>
      <c r="K12" s="34" t="e">
        <f t="shared" si="0"/>
        <v>#DIV/0!</v>
      </c>
      <c r="L12" s="23">
        <v>91977.615462873655</v>
      </c>
      <c r="M12" s="32">
        <v>7.3125697079995007</v>
      </c>
      <c r="N12" s="5">
        <v>4</v>
      </c>
      <c r="O12" s="5">
        <v>83.333333333333329</v>
      </c>
      <c r="P12" s="32">
        <v>3.49621771037283</v>
      </c>
      <c r="Q12" s="5">
        <v>15.622944584357823</v>
      </c>
      <c r="R12" s="5">
        <v>1222.9603340153433</v>
      </c>
      <c r="S12" s="44"/>
      <c r="T12" s="23">
        <v>87586.314588304595</v>
      </c>
      <c r="U12" s="32">
        <v>4.7453814159998728</v>
      </c>
      <c r="V12" s="5">
        <v>3</v>
      </c>
      <c r="W12" s="5">
        <v>90</v>
      </c>
      <c r="X12" s="32">
        <v>38.299041373565615</v>
      </c>
      <c r="Y12" s="5">
        <v>36.574214833969876</v>
      </c>
      <c r="Z12" s="5">
        <v>1800.8906195496759</v>
      </c>
      <c r="AA12" s="44"/>
    </row>
    <row r="13" spans="2:27" x14ac:dyDescent="0.2">
      <c r="B13" s="4">
        <v>10</v>
      </c>
      <c r="C13" s="4">
        <v>854</v>
      </c>
      <c r="D13" s="23">
        <v>69266.712503584946</v>
      </c>
      <c r="E13" s="32">
        <v>3.0893279999945662</v>
      </c>
      <c r="F13" s="5">
        <v>3</v>
      </c>
      <c r="G13" s="23">
        <v>100</v>
      </c>
      <c r="H13" s="32">
        <v>0.98448605249473065</v>
      </c>
      <c r="I13" s="23">
        <v>25.869465076292453</v>
      </c>
      <c r="J13" s="5">
        <v>1447.1036338498152</v>
      </c>
      <c r="K13" s="34" t="e">
        <f t="shared" si="0"/>
        <v>#DIV/0!</v>
      </c>
      <c r="L13" s="23">
        <v>89080.508590665413</v>
      </c>
      <c r="M13" s="32">
        <v>5.315131792001921</v>
      </c>
      <c r="N13" s="5">
        <v>3</v>
      </c>
      <c r="O13" s="5">
        <v>76.666666666666671</v>
      </c>
      <c r="P13" s="32">
        <v>0</v>
      </c>
      <c r="Q13" s="5">
        <v>18.416041829011384</v>
      </c>
      <c r="R13" s="5">
        <v>1193.6330785305265</v>
      </c>
      <c r="S13" s="44"/>
      <c r="T13" s="23">
        <v>90274.622115550679</v>
      </c>
      <c r="U13" s="32">
        <v>4.6805547500007378</v>
      </c>
      <c r="V13" s="5">
        <v>3</v>
      </c>
      <c r="W13" s="5">
        <v>90</v>
      </c>
      <c r="X13" s="32">
        <v>43.573666968369068</v>
      </c>
      <c r="Y13" s="5">
        <v>37.932552920433452</v>
      </c>
      <c r="Z13" s="5">
        <v>1900.3601110352117</v>
      </c>
      <c r="AA13" s="44"/>
    </row>
    <row r="14" spans="2:27" x14ac:dyDescent="0.2">
      <c r="B14" s="48" t="s">
        <v>3</v>
      </c>
      <c r="C14" s="49"/>
      <c r="D14" s="9">
        <f>MIN(D4:D13)</f>
        <v>69266.712503584946</v>
      </c>
      <c r="E14" s="11">
        <f>INDEX(E4:E13, MATCH($D$14, D4:D13, 0))</f>
        <v>3.1502539590001111</v>
      </c>
      <c r="F14" s="9">
        <f>INDEX(F4:F13, MATCH($D$14, D4:D13, 0))</f>
        <v>3</v>
      </c>
      <c r="G14" s="9">
        <f>INDEX(G4:G13, MATCH($D$14, D4:D13, 0))</f>
        <v>100</v>
      </c>
      <c r="H14" s="11">
        <f>INDEX(H4:H13, MATCH($D$14, D4:D13, 0))</f>
        <v>0.98448605249473065</v>
      </c>
      <c r="I14" s="9">
        <f>INDEX(I4:I13, MATCH($D$14, D4:D13, 0))</f>
        <v>25.869465076292453</v>
      </c>
      <c r="J14" s="9">
        <f>INDEX(J4:J13, MATCH($D$14, D4:D13, 0))</f>
        <v>1447.1036338498152</v>
      </c>
      <c r="K14" s="35" t="e">
        <f>(D14-$D$15)/$D$15</f>
        <v>#DIV/0!</v>
      </c>
      <c r="L14" s="16">
        <f>MIN(L4:L13)</f>
        <v>89080.508590665413</v>
      </c>
      <c r="M14" s="21">
        <f>INDEX(M4:M13, MATCH($L$14, L4:L13, 0))</f>
        <v>5.2407723749965953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0</v>
      </c>
      <c r="Q14" s="21">
        <f>INDEX(Q4:Q13, MATCH($L$14, L4:L13, 0))</f>
        <v>18.416041829011384</v>
      </c>
      <c r="R14" s="21">
        <f>INDEX(R4:R13, MATCH($L$14, L4:L13, 0))</f>
        <v>1193.6330785305265</v>
      </c>
      <c r="S14" s="45" t="e">
        <f>(L14-$D$15)/$D$15</f>
        <v>#DIV/0!</v>
      </c>
      <c r="T14" s="40">
        <f>MIN(T4:T13)</f>
        <v>87586.314588304595</v>
      </c>
      <c r="U14" s="46">
        <f>INDEX(U4:U13, MATCH($T$14, T4:T13, 0))</f>
        <v>7.4885112080010003</v>
      </c>
      <c r="V14" s="40">
        <f>INDEX(V4:V13, MATCH($T$14, T4:T13, 0))</f>
        <v>3</v>
      </c>
      <c r="W14" s="40">
        <f>INDEX(W4:W13, MATCH($T$14, T4:T13, 0))</f>
        <v>90</v>
      </c>
      <c r="X14" s="46">
        <f>INDEX(X4:X13, MATCH($T$14, T4:T13, 0))</f>
        <v>38.299041373565615</v>
      </c>
      <c r="Y14" s="46">
        <f>INDEX(Y4:Y13, MATCH($T$14, T4:T13, 0))</f>
        <v>36.574214833969876</v>
      </c>
      <c r="Z14" s="46">
        <f>INDEX(Z4:Z13, MATCH($T$14, T4:T13, 0))</f>
        <v>1800.8906195496759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73" priority="7"/>
    <cfRule type="duplicateValues" dxfId="72" priority="8"/>
  </conditionalFormatting>
  <conditionalFormatting sqref="C4:C13">
    <cfRule type="duplicateValues" dxfId="71" priority="5"/>
    <cfRule type="duplicateValues" dxfId="70" priority="6"/>
  </conditionalFormatting>
  <conditionalFormatting sqref="C14">
    <cfRule type="duplicateValues" dxfId="69" priority="3"/>
    <cfRule type="duplicateValues" dxfId="68" priority="4"/>
  </conditionalFormatting>
  <conditionalFormatting sqref="C15:C30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F088-D5FA-5841-B5F2-1D2A7FB5E0C5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9.1198472331938341E-2</v>
      </c>
      <c r="T2" s="1" t="s">
        <v>19</v>
      </c>
      <c r="X2" s="1">
        <f>(X14-P14)/P14</f>
        <v>-0.63813748574415541</v>
      </c>
      <c r="Z2" s="1">
        <f>(Z14-R14)/R14</f>
        <v>0.35572671151705698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107</v>
      </c>
      <c r="D4" s="23">
        <v>65596.766920592912</v>
      </c>
      <c r="E4" s="32">
        <v>4.1288740829986637</v>
      </c>
      <c r="F4" s="5">
        <v>3</v>
      </c>
      <c r="G4" s="23">
        <v>93.333333333333329</v>
      </c>
      <c r="H4" s="32">
        <v>0</v>
      </c>
      <c r="I4" s="23">
        <v>28.501759696329113</v>
      </c>
      <c r="J4" s="5">
        <v>1165.1316383942581</v>
      </c>
      <c r="K4" s="34" t="e">
        <f>(D4-$D$15)/$D$15</f>
        <v>#DIV/0!</v>
      </c>
      <c r="L4" s="23">
        <v>95227.355494733871</v>
      </c>
      <c r="M4" s="32">
        <v>10.103689625000699</v>
      </c>
      <c r="N4" s="5">
        <v>4</v>
      </c>
      <c r="O4" s="5">
        <v>80</v>
      </c>
      <c r="P4" s="32">
        <v>72.411645367791991</v>
      </c>
      <c r="Q4" s="5">
        <v>18.78010476660085</v>
      </c>
      <c r="R4" s="5">
        <v>1271.3898638814228</v>
      </c>
      <c r="S4" s="44"/>
      <c r="T4" s="23">
        <v>78477.063271796185</v>
      </c>
      <c r="U4" s="32">
        <v>4.5728940840017458</v>
      </c>
      <c r="V4" s="5">
        <v>3</v>
      </c>
      <c r="W4" s="5">
        <v>90</v>
      </c>
      <c r="X4" s="32">
        <v>26.203060054191795</v>
      </c>
      <c r="Y4" s="5">
        <v>53.232608473222854</v>
      </c>
      <c r="Z4" s="5">
        <v>1723.65719921608</v>
      </c>
      <c r="AA4" s="44"/>
    </row>
    <row r="5" spans="2:27" x14ac:dyDescent="0.2">
      <c r="B5" s="4">
        <v>2</v>
      </c>
      <c r="C5" s="4">
        <v>275</v>
      </c>
      <c r="D5" s="23">
        <v>65596.766920592912</v>
      </c>
      <c r="E5" s="32">
        <v>4.4378508750014589</v>
      </c>
      <c r="F5" s="5">
        <v>3</v>
      </c>
      <c r="G5" s="23">
        <v>93.333333333333329</v>
      </c>
      <c r="H5" s="32">
        <v>0</v>
      </c>
      <c r="I5" s="23">
        <v>28.501759696329113</v>
      </c>
      <c r="J5" s="5">
        <v>1165.1316383942581</v>
      </c>
      <c r="K5" s="34" t="e">
        <f>(D5-$D$15)/$D$15</f>
        <v>#DIV/0!</v>
      </c>
      <c r="L5" s="23">
        <v>95227.355494733871</v>
      </c>
      <c r="M5" s="32">
        <v>10.01022295800067</v>
      </c>
      <c r="N5" s="5">
        <v>4</v>
      </c>
      <c r="O5" s="5">
        <v>80</v>
      </c>
      <c r="P5" s="32">
        <v>72.411645367791991</v>
      </c>
      <c r="Q5" s="5">
        <v>18.78010476660085</v>
      </c>
      <c r="R5" s="5">
        <v>1271.3898638814228</v>
      </c>
      <c r="S5" s="44"/>
      <c r="T5" s="23">
        <v>78477.063271796185</v>
      </c>
      <c r="U5" s="32">
        <v>4.5602037080025184</v>
      </c>
      <c r="V5" s="5">
        <v>3</v>
      </c>
      <c r="W5" s="5">
        <v>90</v>
      </c>
      <c r="X5" s="32">
        <v>26.203060054191795</v>
      </c>
      <c r="Y5" s="5">
        <v>53.232608473222854</v>
      </c>
      <c r="Z5" s="5">
        <v>1723.65719921608</v>
      </c>
      <c r="AA5" s="44"/>
    </row>
    <row r="6" spans="2:27" x14ac:dyDescent="0.2">
      <c r="B6" s="4">
        <v>3</v>
      </c>
      <c r="C6" s="4">
        <v>491</v>
      </c>
      <c r="D6" s="23">
        <v>65596.766920592912</v>
      </c>
      <c r="E6" s="32">
        <v>4.0100325410021469</v>
      </c>
      <c r="F6" s="5">
        <v>3</v>
      </c>
      <c r="G6" s="23">
        <v>93.333333333333329</v>
      </c>
      <c r="H6" s="32">
        <v>0</v>
      </c>
      <c r="I6" s="23">
        <v>28.501759696329113</v>
      </c>
      <c r="J6" s="5">
        <v>1165.1316383942581</v>
      </c>
      <c r="K6" s="34" t="e">
        <f t="shared" ref="K6:K13" si="0">(D6-$D$15)/$D$15</f>
        <v>#DIV/0!</v>
      </c>
      <c r="L6" s="23">
        <v>95999.815118552244</v>
      </c>
      <c r="M6" s="32">
        <v>6.1300737919991661</v>
      </c>
      <c r="N6" s="5">
        <v>4</v>
      </c>
      <c r="O6" s="5">
        <v>73.333333333333329</v>
      </c>
      <c r="P6" s="32">
        <v>0</v>
      </c>
      <c r="Q6" s="5">
        <v>15.660506890507531</v>
      </c>
      <c r="R6" s="5">
        <v>993.20353121058713</v>
      </c>
      <c r="S6" s="44"/>
      <c r="T6" s="23">
        <v>78477.063271796185</v>
      </c>
      <c r="U6" s="32">
        <v>4.628685374998895</v>
      </c>
      <c r="V6" s="5">
        <v>3</v>
      </c>
      <c r="W6" s="5">
        <v>90</v>
      </c>
      <c r="X6" s="32">
        <v>26.203060054191795</v>
      </c>
      <c r="Y6" s="5">
        <v>53.232608473222854</v>
      </c>
      <c r="Z6" s="5">
        <v>1723.65719921608</v>
      </c>
      <c r="AA6" s="44"/>
    </row>
    <row r="7" spans="2:27" x14ac:dyDescent="0.2">
      <c r="B7" s="4">
        <v>4</v>
      </c>
      <c r="C7" s="4">
        <v>476</v>
      </c>
      <c r="D7" s="23">
        <v>65596.766920592912</v>
      </c>
      <c r="E7" s="32">
        <v>4.3246617920012804</v>
      </c>
      <c r="F7" s="5">
        <v>3</v>
      </c>
      <c r="G7" s="23">
        <v>93.333333333333329</v>
      </c>
      <c r="H7" s="32">
        <v>0</v>
      </c>
      <c r="I7" s="23">
        <v>28.501759696329113</v>
      </c>
      <c r="J7" s="5">
        <v>1165.1316383942581</v>
      </c>
      <c r="K7" s="34" t="e">
        <f t="shared" si="0"/>
        <v>#DIV/0!</v>
      </c>
      <c r="L7" s="23">
        <v>95373.958525698981</v>
      </c>
      <c r="M7" s="32">
        <v>6.0036169160011923</v>
      </c>
      <c r="N7" s="5">
        <v>4</v>
      </c>
      <c r="O7" s="5">
        <v>73.333333333333329</v>
      </c>
      <c r="P7" s="32">
        <v>14.817039445127353</v>
      </c>
      <c r="Q7" s="5">
        <v>16.160684675028236</v>
      </c>
      <c r="R7" s="5">
        <v>967.96447431100012</v>
      </c>
      <c r="S7" s="44"/>
      <c r="T7" s="23">
        <v>78477.063271796185</v>
      </c>
      <c r="U7" s="32">
        <v>4.5835472079997999</v>
      </c>
      <c r="V7" s="5">
        <v>3</v>
      </c>
      <c r="W7" s="5">
        <v>90</v>
      </c>
      <c r="X7" s="32">
        <v>26.203060054191795</v>
      </c>
      <c r="Y7" s="5">
        <v>53.232608473222854</v>
      </c>
      <c r="Z7" s="5">
        <v>1723.65719921608</v>
      </c>
      <c r="AA7" s="44"/>
    </row>
    <row r="8" spans="2:27" x14ac:dyDescent="0.2">
      <c r="B8" s="4">
        <v>5</v>
      </c>
      <c r="C8" s="4">
        <v>625</v>
      </c>
      <c r="D8" s="23">
        <v>65596.766920592912</v>
      </c>
      <c r="E8" s="32">
        <v>4.1977894579977146</v>
      </c>
      <c r="F8" s="5">
        <v>3</v>
      </c>
      <c r="G8" s="23">
        <v>93.333333333333329</v>
      </c>
      <c r="H8" s="32">
        <v>0</v>
      </c>
      <c r="I8" s="23">
        <v>28.501759696329113</v>
      </c>
      <c r="J8" s="5">
        <v>1165.1316383942581</v>
      </c>
      <c r="K8" s="34" t="e">
        <f t="shared" si="0"/>
        <v>#DIV/0!</v>
      </c>
      <c r="L8" s="23">
        <v>95227.355494733871</v>
      </c>
      <c r="M8" s="32">
        <v>8.7037369169993326</v>
      </c>
      <c r="N8" s="5">
        <v>4</v>
      </c>
      <c r="O8" s="5">
        <v>80</v>
      </c>
      <c r="P8" s="32">
        <v>72.411645367791991</v>
      </c>
      <c r="Q8" s="5">
        <v>18.78010476660085</v>
      </c>
      <c r="R8" s="5">
        <v>1271.3898638814228</v>
      </c>
      <c r="S8" s="44"/>
      <c r="T8" s="23">
        <v>78477.063271796185</v>
      </c>
      <c r="U8" s="32">
        <v>4.6949867500006803</v>
      </c>
      <c r="V8" s="5">
        <v>3</v>
      </c>
      <c r="W8" s="5">
        <v>90</v>
      </c>
      <c r="X8" s="32">
        <v>26.203060054191795</v>
      </c>
      <c r="Y8" s="5">
        <v>53.232608473222854</v>
      </c>
      <c r="Z8" s="5">
        <v>1723.65719921608</v>
      </c>
      <c r="AA8" s="44"/>
    </row>
    <row r="9" spans="2:27" x14ac:dyDescent="0.2">
      <c r="B9" s="4">
        <v>6</v>
      </c>
      <c r="C9" s="4">
        <v>678</v>
      </c>
      <c r="D9" s="23">
        <v>65596.766920592912</v>
      </c>
      <c r="E9" s="32">
        <v>4.0025041670014616</v>
      </c>
      <c r="F9" s="5">
        <v>3</v>
      </c>
      <c r="G9" s="23">
        <v>93.333333333333329</v>
      </c>
      <c r="H9" s="32">
        <v>0</v>
      </c>
      <c r="I9" s="23">
        <v>28.501759696329113</v>
      </c>
      <c r="J9" s="5">
        <v>1165.1316383942581</v>
      </c>
      <c r="K9" s="34" t="e">
        <f t="shared" si="0"/>
        <v>#DIV/0!</v>
      </c>
      <c r="L9" s="23">
        <v>97867.587780184782</v>
      </c>
      <c r="M9" s="32">
        <v>4.9189621669975168</v>
      </c>
      <c r="N9" s="5">
        <v>3</v>
      </c>
      <c r="O9" s="5">
        <v>66.666666666666671</v>
      </c>
      <c r="P9" s="32">
        <v>0</v>
      </c>
      <c r="Q9" s="5">
        <v>18.587346380493273</v>
      </c>
      <c r="R9" s="5">
        <v>1150.5037359496032</v>
      </c>
      <c r="S9" s="44"/>
      <c r="T9" s="23">
        <v>78477.063271796185</v>
      </c>
      <c r="U9" s="32">
        <v>4.6257162500005506</v>
      </c>
      <c r="V9" s="5">
        <v>3</v>
      </c>
      <c r="W9" s="5">
        <v>90</v>
      </c>
      <c r="X9" s="32">
        <v>26.203060054191795</v>
      </c>
      <c r="Y9" s="5">
        <v>53.232608473222854</v>
      </c>
      <c r="Z9" s="5">
        <v>1723.65719921608</v>
      </c>
      <c r="AA9" s="44"/>
    </row>
    <row r="10" spans="2:27" x14ac:dyDescent="0.2">
      <c r="B10" s="4">
        <v>7</v>
      </c>
      <c r="C10" s="4">
        <v>750</v>
      </c>
      <c r="D10" s="23">
        <v>65596.766920592912</v>
      </c>
      <c r="E10" s="32">
        <v>4.0875541249988601</v>
      </c>
      <c r="F10" s="5">
        <v>3</v>
      </c>
      <c r="G10" s="23">
        <v>93.333333333333329</v>
      </c>
      <c r="H10" s="32">
        <v>0</v>
      </c>
      <c r="I10" s="23">
        <v>28.501759696329113</v>
      </c>
      <c r="J10" s="5">
        <v>1165.1316383942581</v>
      </c>
      <c r="K10" s="34" t="e">
        <f t="shared" si="0"/>
        <v>#DIV/0!</v>
      </c>
      <c r="L10" s="23">
        <v>95373.958525698981</v>
      </c>
      <c r="M10" s="32">
        <v>6.026859040997806</v>
      </c>
      <c r="N10" s="5">
        <v>4</v>
      </c>
      <c r="O10" s="5">
        <v>73.333333333333329</v>
      </c>
      <c r="P10" s="32">
        <v>14.817039445127353</v>
      </c>
      <c r="Q10" s="5">
        <v>16.160684675028236</v>
      </c>
      <c r="R10" s="5">
        <v>967.96447431100012</v>
      </c>
      <c r="S10" s="44"/>
      <c r="T10" s="23">
        <v>78477.063271796185</v>
      </c>
      <c r="U10" s="32">
        <v>4.543811250001454</v>
      </c>
      <c r="V10" s="5">
        <v>3</v>
      </c>
      <c r="W10" s="5">
        <v>90</v>
      </c>
      <c r="X10" s="32">
        <v>26.203060054191795</v>
      </c>
      <c r="Y10" s="5">
        <v>53.232608473222854</v>
      </c>
      <c r="Z10" s="5">
        <v>1723.65719921608</v>
      </c>
      <c r="AA10" s="44"/>
    </row>
    <row r="11" spans="2:27" x14ac:dyDescent="0.2">
      <c r="B11" s="4">
        <v>8</v>
      </c>
      <c r="C11" s="4">
        <v>772</v>
      </c>
      <c r="D11" s="23">
        <v>65596.766920592912</v>
      </c>
      <c r="E11" s="32">
        <v>4.3139085419970797</v>
      </c>
      <c r="F11" s="5">
        <v>3</v>
      </c>
      <c r="G11" s="23">
        <v>93.333333333333329</v>
      </c>
      <c r="H11" s="32">
        <v>0</v>
      </c>
      <c r="I11" s="23">
        <v>28.501759696329113</v>
      </c>
      <c r="J11" s="5">
        <v>1165.1316383942581</v>
      </c>
      <c r="K11" s="34" t="e">
        <f t="shared" si="0"/>
        <v>#DIV/0!</v>
      </c>
      <c r="L11" s="23">
        <v>95373.958525698981</v>
      </c>
      <c r="M11" s="32">
        <v>6.0045645840000361</v>
      </c>
      <c r="N11" s="5">
        <v>4</v>
      </c>
      <c r="O11" s="5">
        <v>73.333333333333329</v>
      </c>
      <c r="P11" s="32">
        <v>14.817039445127353</v>
      </c>
      <c r="Q11" s="5">
        <v>16.160684675028236</v>
      </c>
      <c r="R11" s="5">
        <v>967.96447431100012</v>
      </c>
      <c r="S11" s="44"/>
      <c r="T11" s="23">
        <v>78477.063271796185</v>
      </c>
      <c r="U11" s="32">
        <v>4.4350498749990948</v>
      </c>
      <c r="V11" s="5">
        <v>3</v>
      </c>
      <c r="W11" s="5">
        <v>90</v>
      </c>
      <c r="X11" s="32">
        <v>26.203060054191795</v>
      </c>
      <c r="Y11" s="5">
        <v>53.232608473222854</v>
      </c>
      <c r="Z11" s="5">
        <v>1723.65719921608</v>
      </c>
      <c r="AA11" s="44"/>
    </row>
    <row r="12" spans="2:27" x14ac:dyDescent="0.2">
      <c r="B12" s="4">
        <v>9</v>
      </c>
      <c r="C12" s="4">
        <v>723</v>
      </c>
      <c r="D12" s="23">
        <v>65596.766920592912</v>
      </c>
      <c r="E12" s="32">
        <v>4.0523990420042537</v>
      </c>
      <c r="F12" s="5">
        <v>3</v>
      </c>
      <c r="G12" s="23">
        <v>93.333333333333329</v>
      </c>
      <c r="H12" s="32">
        <v>0</v>
      </c>
      <c r="I12" s="23">
        <v>28.501759696329113</v>
      </c>
      <c r="J12" s="5">
        <v>1165.1316383942581</v>
      </c>
      <c r="K12" s="34" t="e">
        <f t="shared" si="0"/>
        <v>#DIV/0!</v>
      </c>
      <c r="L12" s="23">
        <v>95999.815118552244</v>
      </c>
      <c r="M12" s="32">
        <v>6.1044592919970464</v>
      </c>
      <c r="N12" s="5">
        <v>4</v>
      </c>
      <c r="O12" s="5">
        <v>73.333333333333329</v>
      </c>
      <c r="P12" s="32">
        <v>0</v>
      </c>
      <c r="Q12" s="5">
        <v>15.660506890507531</v>
      </c>
      <c r="R12" s="5">
        <v>993.20353121058713</v>
      </c>
      <c r="S12" s="44"/>
      <c r="T12" s="23">
        <v>78477.063271796185</v>
      </c>
      <c r="U12" s="32">
        <v>4.441351958001178</v>
      </c>
      <c r="V12" s="5">
        <v>3</v>
      </c>
      <c r="W12" s="5">
        <v>90</v>
      </c>
      <c r="X12" s="32">
        <v>26.203060054191795</v>
      </c>
      <c r="Y12" s="5">
        <v>53.232608473222854</v>
      </c>
      <c r="Z12" s="5">
        <v>1723.65719921608</v>
      </c>
      <c r="AA12" s="44"/>
    </row>
    <row r="13" spans="2:27" x14ac:dyDescent="0.2">
      <c r="B13" s="4">
        <v>10</v>
      </c>
      <c r="C13" s="4">
        <v>802</v>
      </c>
      <c r="D13" s="23">
        <v>65596.766920592912</v>
      </c>
      <c r="E13" s="32">
        <v>4.273737291994621</v>
      </c>
      <c r="F13" s="5">
        <v>3</v>
      </c>
      <c r="G13" s="23">
        <v>93.333333333333329</v>
      </c>
      <c r="H13" s="32">
        <v>0</v>
      </c>
      <c r="I13" s="23">
        <v>28.501759696329113</v>
      </c>
      <c r="J13" s="5">
        <v>1165.1316383942581</v>
      </c>
      <c r="K13" s="34" t="e">
        <f t="shared" si="0"/>
        <v>#DIV/0!</v>
      </c>
      <c r="L13" s="23">
        <v>95373.958525698981</v>
      </c>
      <c r="M13" s="32">
        <v>5.9893566669998108</v>
      </c>
      <c r="N13" s="5">
        <v>4</v>
      </c>
      <c r="O13" s="5">
        <v>73.333333333333329</v>
      </c>
      <c r="P13" s="32">
        <v>14.817039445127353</v>
      </c>
      <c r="Q13" s="5">
        <v>16.160684675028236</v>
      </c>
      <c r="R13" s="5">
        <v>967.96447431100012</v>
      </c>
      <c r="S13" s="44"/>
      <c r="T13" s="23">
        <v>78477.063271796185</v>
      </c>
      <c r="U13" s="32">
        <v>4.4821292080014246</v>
      </c>
      <c r="V13" s="5">
        <v>3</v>
      </c>
      <c r="W13" s="5">
        <v>90</v>
      </c>
      <c r="X13" s="32">
        <v>26.203060054191795</v>
      </c>
      <c r="Y13" s="5">
        <v>53.232608473222854</v>
      </c>
      <c r="Z13" s="5">
        <v>1723.65719921608</v>
      </c>
      <c r="AA13" s="44"/>
    </row>
    <row r="14" spans="2:27" x14ac:dyDescent="0.2">
      <c r="B14" s="48" t="s">
        <v>3</v>
      </c>
      <c r="C14" s="49"/>
      <c r="D14" s="9">
        <f>MIN(D4:D13)</f>
        <v>65596.766920592912</v>
      </c>
      <c r="E14" s="11">
        <f>INDEX(E4:E13, MATCH($D$14, D4:D13, 0))</f>
        <v>4.1288740829986637</v>
      </c>
      <c r="F14" s="9">
        <f>INDEX(F4:F13, MATCH($D$14, D4:D13, 0))</f>
        <v>3</v>
      </c>
      <c r="G14" s="9">
        <f>INDEX(G4:G13, MATCH($D$14, D4:D13, 0))</f>
        <v>93.333333333333329</v>
      </c>
      <c r="H14" s="11">
        <f>INDEX(H4:H13, MATCH($D$14, D4:D13, 0))</f>
        <v>0</v>
      </c>
      <c r="I14" s="9">
        <f>INDEX(I4:I13, MATCH($D$14, D4:D13, 0))</f>
        <v>28.501759696329113</v>
      </c>
      <c r="J14" s="9">
        <f>INDEX(J4:J13, MATCH($D$14, D4:D13, 0))</f>
        <v>1165.1316383942581</v>
      </c>
      <c r="K14" s="35" t="e">
        <f>(D14-$D$15)/$D$15</f>
        <v>#DIV/0!</v>
      </c>
      <c r="L14" s="16">
        <f>MIN(L4:L13)</f>
        <v>95227.355494733871</v>
      </c>
      <c r="M14" s="21">
        <f>INDEX(M4:M13, MATCH($L$14, L4:L13, 0))</f>
        <v>10.103689625000699</v>
      </c>
      <c r="N14" s="16">
        <f>INDEX(N4:N13, MATCH($L$14, L4:L13, 0))</f>
        <v>4</v>
      </c>
      <c r="O14" s="16">
        <f>INDEX(O4:O13, MATCH($L$14, L4:L13, 0))</f>
        <v>80</v>
      </c>
      <c r="P14" s="21">
        <f>INDEX(P4:P13, MATCH($L$14, L4:L13, 0))</f>
        <v>72.411645367791991</v>
      </c>
      <c r="Q14" s="21">
        <f>INDEX(Q4:Q13, MATCH($L$14, L4:L13, 0))</f>
        <v>18.78010476660085</v>
      </c>
      <c r="R14" s="21">
        <f>INDEX(R4:R13, MATCH($L$14, L4:L13, 0))</f>
        <v>1271.3898638814228</v>
      </c>
      <c r="S14" s="45" t="e">
        <f>(L14-$D$15)/$D$15</f>
        <v>#DIV/0!</v>
      </c>
      <c r="T14" s="40">
        <f>MIN(T4:T13)</f>
        <v>78477.063271796185</v>
      </c>
      <c r="U14" s="46">
        <f>INDEX(U4:U13, MATCH($T$14, T4:T13, 0))</f>
        <v>4.5728940840017458</v>
      </c>
      <c r="V14" s="40">
        <f>INDEX(V4:V13, MATCH($T$14, T4:T13, 0))</f>
        <v>3</v>
      </c>
      <c r="W14" s="40">
        <f>INDEX(W4:W13, MATCH($T$14, T4:T13, 0))</f>
        <v>90</v>
      </c>
      <c r="X14" s="46">
        <f>INDEX(X4:X13, MATCH($T$14, T4:T13, 0))</f>
        <v>26.203060054191795</v>
      </c>
      <c r="Y14" s="46">
        <f>INDEX(Y4:Y13, MATCH($T$14, T4:T13, 0))</f>
        <v>53.232608473222854</v>
      </c>
      <c r="Z14" s="46">
        <f>INDEX(Z4:Z13, MATCH($T$14, T4:T13, 0))</f>
        <v>1723.65719921608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67" priority="7"/>
    <cfRule type="duplicateValues" dxfId="66" priority="8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3"/>
    <cfRule type="duplicateValues" dxfId="62" priority="4"/>
  </conditionalFormatting>
  <conditionalFormatting sqref="C15:C30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5850-2E85-E748-99B7-44D67FD6E4F8}">
  <dimension ref="B1:AA17"/>
  <sheetViews>
    <sheetView topLeftCell="L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-0.72660902292090535</v>
      </c>
      <c r="J2" s="28" t="e">
        <f>(S14-J14)/J14</f>
        <v>#DIV/0!</v>
      </c>
      <c r="K2" s="28"/>
      <c r="L2" s="1" t="s">
        <v>18</v>
      </c>
      <c r="P2" s="1">
        <f>(P14-H14)/H14</f>
        <v>-0.91515985130889144</v>
      </c>
      <c r="R2" s="1">
        <f>(R14-J14)/J14</f>
        <v>-0.12817570343720136</v>
      </c>
      <c r="T2" s="1" t="s">
        <v>19</v>
      </c>
      <c r="X2" s="1">
        <f>(X14-P14)/P14</f>
        <v>14.04344142902656</v>
      </c>
      <c r="Z2" s="1">
        <f>(Z14-R14)/R14</f>
        <v>0.34180102882437541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139</v>
      </c>
      <c r="D4" s="23">
        <v>98230.209895853695</v>
      </c>
      <c r="E4" s="32">
        <v>3.110904832996312</v>
      </c>
      <c r="F4" s="5">
        <v>2</v>
      </c>
      <c r="G4" s="23">
        <v>63.333333333333343</v>
      </c>
      <c r="H4" s="32">
        <v>12.039151892631226</v>
      </c>
      <c r="I4" s="23">
        <v>19.65034284826956</v>
      </c>
      <c r="J4" s="5">
        <v>1391.9124137342169</v>
      </c>
      <c r="K4" s="34" t="e">
        <f>(D4-$D$15)/$D$15</f>
        <v>#DIV/0!</v>
      </c>
      <c r="L4" s="23">
        <v>107512.0005059783</v>
      </c>
      <c r="M4" s="32">
        <v>5.2735457089984266</v>
      </c>
      <c r="N4" s="5">
        <v>3</v>
      </c>
      <c r="O4" s="5">
        <v>60</v>
      </c>
      <c r="P4" s="32">
        <v>7.2425408166382725</v>
      </c>
      <c r="Q4" s="5">
        <v>13.657863592336332</v>
      </c>
      <c r="R4" s="5">
        <v>1163.299115839257</v>
      </c>
      <c r="S4" s="44"/>
      <c r="T4" s="23">
        <v>105481.7776111206</v>
      </c>
      <c r="U4" s="32">
        <v>3.5012591670019901</v>
      </c>
      <c r="V4" s="5">
        <v>2</v>
      </c>
      <c r="W4" s="5">
        <v>63.333333333333343</v>
      </c>
      <c r="X4" s="32">
        <v>73.878987888885263</v>
      </c>
      <c r="Y4" s="5">
        <v>29.132240631222537</v>
      </c>
      <c r="Z4" s="5">
        <v>1797.6359844212516</v>
      </c>
      <c r="AA4" s="44"/>
    </row>
    <row r="5" spans="2:27" x14ac:dyDescent="0.2">
      <c r="B5" s="4">
        <v>2</v>
      </c>
      <c r="C5" s="4">
        <v>338</v>
      </c>
      <c r="D5" s="23">
        <v>86285.36512106919</v>
      </c>
      <c r="E5" s="32">
        <v>9.6734334579959977</v>
      </c>
      <c r="F5" s="5">
        <v>3</v>
      </c>
      <c r="G5" s="23">
        <v>90</v>
      </c>
      <c r="H5" s="32">
        <v>66.808881280413544</v>
      </c>
      <c r="I5" s="23">
        <v>21.904398589771642</v>
      </c>
      <c r="J5" s="5">
        <v>1719.3605027239985</v>
      </c>
      <c r="K5" s="34" t="e">
        <f>(D5-$D$15)/$D$15</f>
        <v>#DIV/0!</v>
      </c>
      <c r="L5" s="23">
        <v>94052.258476526025</v>
      </c>
      <c r="M5" s="32">
        <v>10.432289500000479</v>
      </c>
      <c r="N5" s="5">
        <v>3</v>
      </c>
      <c r="O5" s="5">
        <v>76.666666666666671</v>
      </c>
      <c r="P5" s="32">
        <v>5.6680754217169094</v>
      </c>
      <c r="Q5" s="5">
        <v>18.264945330813497</v>
      </c>
      <c r="R5" s="5">
        <v>1498.9802608252098</v>
      </c>
      <c r="S5" s="44"/>
      <c r="T5" s="23">
        <v>98131.480821315956</v>
      </c>
      <c r="U5" s="32">
        <v>9.6181084999989253</v>
      </c>
      <c r="V5" s="5">
        <v>3</v>
      </c>
      <c r="W5" s="5">
        <v>83.333333333333329</v>
      </c>
      <c r="X5" s="32">
        <v>85.267360621903336</v>
      </c>
      <c r="Y5" s="5">
        <v>29.191896766013418</v>
      </c>
      <c r="Z5" s="5">
        <v>2011.3332561626971</v>
      </c>
      <c r="AA5" s="44"/>
    </row>
    <row r="6" spans="2:27" x14ac:dyDescent="0.2">
      <c r="B6" s="4">
        <v>3</v>
      </c>
      <c r="C6" s="4">
        <v>501</v>
      </c>
      <c r="D6" s="23">
        <v>86285.36512106919</v>
      </c>
      <c r="E6" s="32">
        <v>9.5800331670034211</v>
      </c>
      <c r="F6" s="5">
        <v>3</v>
      </c>
      <c r="G6" s="23">
        <v>90</v>
      </c>
      <c r="H6" s="32">
        <v>66.808881280413544</v>
      </c>
      <c r="I6" s="23">
        <v>21.904398589771642</v>
      </c>
      <c r="J6" s="5">
        <v>1719.3605027239985</v>
      </c>
      <c r="K6" s="34" t="e">
        <f t="shared" ref="K6:K13" si="0">(D6-$D$15)/$D$15</f>
        <v>#DIV/0!</v>
      </c>
      <c r="L6" s="23">
        <v>94052.258476526025</v>
      </c>
      <c r="M6" s="32">
        <v>9.4174505840019265</v>
      </c>
      <c r="N6" s="5">
        <v>3</v>
      </c>
      <c r="O6" s="5">
        <v>76.666666666666671</v>
      </c>
      <c r="P6" s="32">
        <v>5.6680754217169094</v>
      </c>
      <c r="Q6" s="5">
        <v>18.264945330813497</v>
      </c>
      <c r="R6" s="5">
        <v>1498.9802608252098</v>
      </c>
      <c r="S6" s="44"/>
      <c r="T6" s="23">
        <v>98131.480821315956</v>
      </c>
      <c r="U6" s="32">
        <v>9.2529415410026559</v>
      </c>
      <c r="V6" s="5">
        <v>3</v>
      </c>
      <c r="W6" s="5">
        <v>83.333333333333329</v>
      </c>
      <c r="X6" s="32">
        <v>85.267360621903336</v>
      </c>
      <c r="Y6" s="5">
        <v>29.191896766013418</v>
      </c>
      <c r="Z6" s="5">
        <v>2011.3332561626971</v>
      </c>
      <c r="AA6" s="44"/>
    </row>
    <row r="7" spans="2:27" x14ac:dyDescent="0.2">
      <c r="B7" s="4">
        <v>4</v>
      </c>
      <c r="C7" s="4">
        <v>636</v>
      </c>
      <c r="D7" s="23">
        <v>86285.36512106919</v>
      </c>
      <c r="E7" s="32">
        <v>9.3617212909957743</v>
      </c>
      <c r="F7" s="5">
        <v>3</v>
      </c>
      <c r="G7" s="23">
        <v>90</v>
      </c>
      <c r="H7" s="32">
        <v>66.808881280413544</v>
      </c>
      <c r="I7" s="23">
        <v>21.904398589771642</v>
      </c>
      <c r="J7" s="5">
        <v>1719.3605027239985</v>
      </c>
      <c r="K7" s="34" t="e">
        <f t="shared" si="0"/>
        <v>#DIV/0!</v>
      </c>
      <c r="L7" s="23">
        <v>94052.258476526025</v>
      </c>
      <c r="M7" s="32">
        <v>9.632491124997614</v>
      </c>
      <c r="N7" s="5">
        <v>3</v>
      </c>
      <c r="O7" s="5">
        <v>76.666666666666671</v>
      </c>
      <c r="P7" s="32">
        <v>5.6680754217169094</v>
      </c>
      <c r="Q7" s="5">
        <v>18.264945330813497</v>
      </c>
      <c r="R7" s="5">
        <v>1498.9802608252098</v>
      </c>
      <c r="S7" s="44"/>
      <c r="T7" s="23">
        <v>98131.480821315956</v>
      </c>
      <c r="U7" s="32">
        <v>9.3212477090019092</v>
      </c>
      <c r="V7" s="5">
        <v>3</v>
      </c>
      <c r="W7" s="5">
        <v>83.333333333333329</v>
      </c>
      <c r="X7" s="32">
        <v>85.267360621903336</v>
      </c>
      <c r="Y7" s="5">
        <v>29.191896766013418</v>
      </c>
      <c r="Z7" s="5">
        <v>2011.3332561626971</v>
      </c>
      <c r="AA7" s="44"/>
    </row>
    <row r="8" spans="2:27" x14ac:dyDescent="0.2">
      <c r="B8" s="4">
        <v>5</v>
      </c>
      <c r="C8" s="4">
        <v>693</v>
      </c>
      <c r="D8" s="23">
        <v>86285.36512106919</v>
      </c>
      <c r="E8" s="32">
        <v>9.5176094999987981</v>
      </c>
      <c r="F8" s="5">
        <v>3</v>
      </c>
      <c r="G8" s="23">
        <v>90</v>
      </c>
      <c r="H8" s="32">
        <v>66.808881280413544</v>
      </c>
      <c r="I8" s="23">
        <v>21.904398589771642</v>
      </c>
      <c r="J8" s="5">
        <v>1719.3605027239985</v>
      </c>
      <c r="K8" s="34" t="e">
        <f t="shared" si="0"/>
        <v>#DIV/0!</v>
      </c>
      <c r="L8" s="23">
        <v>94052.258476526025</v>
      </c>
      <c r="M8" s="32">
        <v>11.24834183400162</v>
      </c>
      <c r="N8" s="5">
        <v>3</v>
      </c>
      <c r="O8" s="5">
        <v>76.666666666666671</v>
      </c>
      <c r="P8" s="32">
        <v>5.6680754217169094</v>
      </c>
      <c r="Q8" s="5">
        <v>18.264945330813497</v>
      </c>
      <c r="R8" s="5">
        <v>1498.9802608252098</v>
      </c>
      <c r="S8" s="44"/>
      <c r="T8" s="23">
        <v>98131.480821315956</v>
      </c>
      <c r="U8" s="32">
        <v>9.1249712089993409</v>
      </c>
      <c r="V8" s="5">
        <v>3</v>
      </c>
      <c r="W8" s="5">
        <v>83.333333333333329</v>
      </c>
      <c r="X8" s="32">
        <v>85.267360621903336</v>
      </c>
      <c r="Y8" s="5">
        <v>29.191896766013418</v>
      </c>
      <c r="Z8" s="5">
        <v>2011.3332561626971</v>
      </c>
      <c r="AA8" s="44"/>
    </row>
    <row r="9" spans="2:27" x14ac:dyDescent="0.2">
      <c r="B9" s="4">
        <v>6</v>
      </c>
      <c r="C9" s="4">
        <v>709</v>
      </c>
      <c r="D9" s="23">
        <v>86285.36512106919</v>
      </c>
      <c r="E9" s="32">
        <v>9.8100068330022623</v>
      </c>
      <c r="F9" s="5">
        <v>3</v>
      </c>
      <c r="G9" s="23">
        <v>90</v>
      </c>
      <c r="H9" s="32">
        <v>66.808881280413544</v>
      </c>
      <c r="I9" s="23">
        <v>21.904398589771642</v>
      </c>
      <c r="J9" s="5">
        <v>1719.3605027239985</v>
      </c>
      <c r="K9" s="34" t="e">
        <f t="shared" si="0"/>
        <v>#DIV/0!</v>
      </c>
      <c r="L9" s="23">
        <v>106725.36343341391</v>
      </c>
      <c r="M9" s="32">
        <v>5.1749275410002156</v>
      </c>
      <c r="N9" s="5">
        <v>3</v>
      </c>
      <c r="O9" s="5">
        <v>60</v>
      </c>
      <c r="P9" s="32">
        <v>0</v>
      </c>
      <c r="Q9" s="5">
        <v>12.963745290056295</v>
      </c>
      <c r="R9" s="5">
        <v>1116.9576918660712</v>
      </c>
      <c r="S9" s="44"/>
      <c r="T9" s="23">
        <v>98131.480821315956</v>
      </c>
      <c r="U9" s="32">
        <v>9.0728850830018928</v>
      </c>
      <c r="V9" s="5">
        <v>3</v>
      </c>
      <c r="W9" s="5">
        <v>83.333333333333329</v>
      </c>
      <c r="X9" s="32">
        <v>85.267360621903336</v>
      </c>
      <c r="Y9" s="5">
        <v>29.191896766013418</v>
      </c>
      <c r="Z9" s="5">
        <v>2011.3332561626971</v>
      </c>
      <c r="AA9" s="44"/>
    </row>
    <row r="10" spans="2:27" x14ac:dyDescent="0.2">
      <c r="B10" s="4">
        <v>7</v>
      </c>
      <c r="C10" s="4">
        <v>809</v>
      </c>
      <c r="D10" s="23">
        <v>86285.36512106919</v>
      </c>
      <c r="E10" s="32">
        <v>9.5658139589941129</v>
      </c>
      <c r="F10" s="5">
        <v>3</v>
      </c>
      <c r="G10" s="23">
        <v>90</v>
      </c>
      <c r="H10" s="32">
        <v>66.808881280413544</v>
      </c>
      <c r="I10" s="23">
        <v>21.904398589771642</v>
      </c>
      <c r="J10" s="5">
        <v>1719.3605027239985</v>
      </c>
      <c r="K10" s="34" t="e">
        <f t="shared" si="0"/>
        <v>#DIV/0!</v>
      </c>
      <c r="L10" s="23">
        <v>94052.258476526025</v>
      </c>
      <c r="M10" s="32">
        <v>9.4411754159991688</v>
      </c>
      <c r="N10" s="5">
        <v>3</v>
      </c>
      <c r="O10" s="5">
        <v>76.666666666666671</v>
      </c>
      <c r="P10" s="32">
        <v>5.6680754217169094</v>
      </c>
      <c r="Q10" s="5">
        <v>18.264945330813497</v>
      </c>
      <c r="R10" s="5">
        <v>1498.9802608252098</v>
      </c>
      <c r="S10" s="44"/>
      <c r="T10" s="23">
        <v>98131.480821315956</v>
      </c>
      <c r="U10" s="32">
        <v>9.2144788750010775</v>
      </c>
      <c r="V10" s="5">
        <v>3</v>
      </c>
      <c r="W10" s="5">
        <v>83.333333333333329</v>
      </c>
      <c r="X10" s="32">
        <v>85.267360621903336</v>
      </c>
      <c r="Y10" s="5">
        <v>29.191896766013418</v>
      </c>
      <c r="Z10" s="5">
        <v>2011.3332561626971</v>
      </c>
      <c r="AA10" s="44"/>
    </row>
    <row r="11" spans="2:27" x14ac:dyDescent="0.2">
      <c r="B11" s="4">
        <v>8</v>
      </c>
      <c r="C11" s="4">
        <v>811</v>
      </c>
      <c r="D11" s="23">
        <v>86285.36512106919</v>
      </c>
      <c r="E11" s="32">
        <v>9.6370268749960815</v>
      </c>
      <c r="F11" s="5">
        <v>3</v>
      </c>
      <c r="G11" s="23">
        <v>90</v>
      </c>
      <c r="H11" s="32">
        <v>66.808881280413544</v>
      </c>
      <c r="I11" s="23">
        <v>21.904398589771642</v>
      </c>
      <c r="J11" s="5">
        <v>1719.3605027239985</v>
      </c>
      <c r="K11" s="34" t="e">
        <f t="shared" si="0"/>
        <v>#DIV/0!</v>
      </c>
      <c r="L11" s="23">
        <v>94052.258476526025</v>
      </c>
      <c r="M11" s="32">
        <v>9.296958667000581</v>
      </c>
      <c r="N11" s="5">
        <v>3</v>
      </c>
      <c r="O11" s="5">
        <v>76.666666666666671</v>
      </c>
      <c r="P11" s="32">
        <v>5.6680754217169094</v>
      </c>
      <c r="Q11" s="5">
        <v>18.264945330813497</v>
      </c>
      <c r="R11" s="5">
        <v>1498.9802608252098</v>
      </c>
      <c r="S11" s="44"/>
      <c r="T11" s="23">
        <v>98131.480821315956</v>
      </c>
      <c r="U11" s="32">
        <v>9.1084606250005891</v>
      </c>
      <c r="V11" s="5">
        <v>3</v>
      </c>
      <c r="W11" s="5">
        <v>83.333333333333329</v>
      </c>
      <c r="X11" s="32">
        <v>85.267360621903336</v>
      </c>
      <c r="Y11" s="5">
        <v>29.191896766013418</v>
      </c>
      <c r="Z11" s="5">
        <v>2011.3332561626971</v>
      </c>
      <c r="AA11" s="44"/>
    </row>
    <row r="12" spans="2:27" x14ac:dyDescent="0.2">
      <c r="B12" s="4">
        <v>9</v>
      </c>
      <c r="C12" s="4">
        <v>835</v>
      </c>
      <c r="D12" s="23">
        <v>86285.36512106919</v>
      </c>
      <c r="E12" s="32">
        <v>9.4277070419993834</v>
      </c>
      <c r="F12" s="5">
        <v>3</v>
      </c>
      <c r="G12" s="23">
        <v>90</v>
      </c>
      <c r="H12" s="32">
        <v>66.808881280413544</v>
      </c>
      <c r="I12" s="23">
        <v>21.904398589771642</v>
      </c>
      <c r="J12" s="5">
        <v>1719.3605027239985</v>
      </c>
      <c r="K12" s="34" t="e">
        <f t="shared" si="0"/>
        <v>#DIV/0!</v>
      </c>
      <c r="L12" s="23">
        <v>94052.258476526025</v>
      </c>
      <c r="M12" s="32">
        <v>9.4145130420001806</v>
      </c>
      <c r="N12" s="5">
        <v>3</v>
      </c>
      <c r="O12" s="5">
        <v>76.666666666666671</v>
      </c>
      <c r="P12" s="32">
        <v>5.6680754217169094</v>
      </c>
      <c r="Q12" s="5">
        <v>18.264945330813497</v>
      </c>
      <c r="R12" s="5">
        <v>1498.9802608252098</v>
      </c>
      <c r="S12" s="44"/>
      <c r="T12" s="23">
        <v>98131.480821315956</v>
      </c>
      <c r="U12" s="32">
        <v>8.9540908749986556</v>
      </c>
      <c r="V12" s="5">
        <v>3</v>
      </c>
      <c r="W12" s="5">
        <v>83.333333333333329</v>
      </c>
      <c r="X12" s="32">
        <v>85.267360621903336</v>
      </c>
      <c r="Y12" s="5">
        <v>29.191896766013418</v>
      </c>
      <c r="Z12" s="5">
        <v>2011.3332561626971</v>
      </c>
      <c r="AA12" s="44"/>
    </row>
    <row r="13" spans="2:27" x14ac:dyDescent="0.2">
      <c r="B13" s="4">
        <v>10</v>
      </c>
      <c r="C13" s="4">
        <v>875</v>
      </c>
      <c r="D13" s="23">
        <v>86285.36512106919</v>
      </c>
      <c r="E13" s="32">
        <v>9.5831508749979548</v>
      </c>
      <c r="F13" s="5">
        <v>3</v>
      </c>
      <c r="G13" s="23">
        <v>90</v>
      </c>
      <c r="H13" s="32">
        <v>66.808881280413544</v>
      </c>
      <c r="I13" s="23">
        <v>21.904398589771642</v>
      </c>
      <c r="J13" s="5">
        <v>1719.3605027239985</v>
      </c>
      <c r="K13" s="34" t="e">
        <f t="shared" si="0"/>
        <v>#DIV/0!</v>
      </c>
      <c r="L13" s="23">
        <v>107512.0005059783</v>
      </c>
      <c r="M13" s="32">
        <v>5.291853375001665</v>
      </c>
      <c r="N13" s="5">
        <v>3</v>
      </c>
      <c r="O13" s="5">
        <v>60</v>
      </c>
      <c r="P13" s="32">
        <v>7.2425408166382725</v>
      </c>
      <c r="Q13" s="5">
        <v>13.657863592336332</v>
      </c>
      <c r="R13" s="5">
        <v>1163.299115839257</v>
      </c>
      <c r="S13" s="44"/>
      <c r="T13" s="23">
        <v>98131.480821315956</v>
      </c>
      <c r="U13" s="32">
        <v>8.8371889160007413</v>
      </c>
      <c r="V13" s="5">
        <v>3</v>
      </c>
      <c r="W13" s="5">
        <v>83.333333333333329</v>
      </c>
      <c r="X13" s="32">
        <v>85.267360621903336</v>
      </c>
      <c r="Y13" s="5">
        <v>29.191896766013418</v>
      </c>
      <c r="Z13" s="5">
        <v>2011.3332561626971</v>
      </c>
      <c r="AA13" s="44"/>
    </row>
    <row r="14" spans="2:27" x14ac:dyDescent="0.2">
      <c r="B14" s="48" t="s">
        <v>3</v>
      </c>
      <c r="C14" s="49"/>
      <c r="D14" s="9">
        <f>MIN(D4:D13)</f>
        <v>86285.36512106919</v>
      </c>
      <c r="E14" s="11">
        <f>INDEX(E4:E13, MATCH($D$14, D4:D13, 0))</f>
        <v>9.6734334579959977</v>
      </c>
      <c r="F14" s="9">
        <f>INDEX(F4:F13, MATCH($D$14, D4:D13, 0))</f>
        <v>3</v>
      </c>
      <c r="G14" s="9">
        <f>INDEX(G4:G13, MATCH($D$14, D4:D13, 0))</f>
        <v>90</v>
      </c>
      <c r="H14" s="11">
        <f>INDEX(H4:H13, MATCH($D$14, D4:D13, 0))</f>
        <v>66.808881280413544</v>
      </c>
      <c r="I14" s="9">
        <f>INDEX(I4:I13, MATCH($D$14, D4:D13, 0))</f>
        <v>21.904398589771642</v>
      </c>
      <c r="J14" s="9">
        <f>INDEX(J4:J13, MATCH($D$14, D4:D13, 0))</f>
        <v>1719.3605027239985</v>
      </c>
      <c r="K14" s="30" t="e">
        <f>(D14-$D$15)/$D$15</f>
        <v>#DIV/0!</v>
      </c>
      <c r="L14" s="16">
        <f>MIN(L4:L13)</f>
        <v>94052.258476526025</v>
      </c>
      <c r="M14" s="21">
        <f>INDEX(M4:M13, MATCH($L$14, L4:L13, 0))</f>
        <v>10.432289500000479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5.6680754217169094</v>
      </c>
      <c r="Q14" s="21">
        <f>INDEX(Q4:Q13, MATCH($L$14, L4:L13, 0))</f>
        <v>18.264945330813497</v>
      </c>
      <c r="R14" s="21">
        <f>INDEX(R4:R13, MATCH($L$14, L4:L13, 0))</f>
        <v>1498.9802608252098</v>
      </c>
      <c r="S14" s="45" t="e">
        <f>(L14-$D$15)/$D$15</f>
        <v>#DIV/0!</v>
      </c>
      <c r="T14" s="40">
        <f>MIN(T4:T13)</f>
        <v>98131.480821315956</v>
      </c>
      <c r="U14" s="46">
        <f>INDEX(U4:U13, MATCH($T$14, T4:T13, 0))</f>
        <v>9.6181084999989253</v>
      </c>
      <c r="V14" s="40">
        <f>INDEX(V4:V13, MATCH($T$14, T4:T13, 0))</f>
        <v>3</v>
      </c>
      <c r="W14" s="40">
        <f>INDEX(W4:W13, MATCH($T$14, T4:T13, 0))</f>
        <v>83.333333333333329</v>
      </c>
      <c r="X14" s="46">
        <f>INDEX(X4:X13, MATCH($T$14, T4:T13, 0))</f>
        <v>85.267360621903336</v>
      </c>
      <c r="Y14" s="46">
        <f>INDEX(Y4:Y13, MATCH($T$14, T4:T13, 0))</f>
        <v>29.191896766013418</v>
      </c>
      <c r="Z14" s="46">
        <f>INDEX(Z4:Z13, MATCH($T$14, T4:T13, 0))</f>
        <v>2011.3332561626971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61" priority="7"/>
    <cfRule type="duplicateValues" dxfId="60" priority="8"/>
  </conditionalFormatting>
  <conditionalFormatting sqref="C4:C13">
    <cfRule type="duplicateValues" dxfId="59" priority="5"/>
    <cfRule type="duplicateValues" dxfId="58" priority="6"/>
  </conditionalFormatting>
  <conditionalFormatting sqref="C14">
    <cfRule type="duplicateValues" dxfId="57" priority="3"/>
    <cfRule type="duplicateValues" dxfId="56" priority="4"/>
  </conditionalFormatting>
  <conditionalFormatting sqref="C15:C3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C126-4F70-F848-8FFD-52215A695896}">
  <dimension ref="B1:AA17"/>
  <sheetViews>
    <sheetView tabSelected="1" zoomScale="118" zoomScaleNormal="120" workbookViewId="0">
      <selection activeCell="L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-0.68878906354978453</v>
      </c>
      <c r="J2" s="28" t="e">
        <f>(S14-J14)/J14</f>
        <v>#DIV/0!</v>
      </c>
      <c r="K2" s="28"/>
      <c r="L2" s="1" t="s">
        <v>18</v>
      </c>
      <c r="P2" s="1">
        <f>(P14-H14)/H14</f>
        <v>-0.58805581417509067</v>
      </c>
      <c r="R2" s="1">
        <f>(R14-J14)/J14</f>
        <v>-0.15993031348742368</v>
      </c>
      <c r="T2" s="1" t="s">
        <v>19</v>
      </c>
      <c r="X2" s="1">
        <f>(X14-P14)/P14</f>
        <v>1.0958261210277991</v>
      </c>
      <c r="Z2" s="1">
        <f>(Z14-R14)/R14</f>
        <v>0.24063906409030941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37</v>
      </c>
      <c r="D4" s="23">
        <v>89866.355749144073</v>
      </c>
      <c r="E4" s="32">
        <v>4.0247515420051059</v>
      </c>
      <c r="F4" s="5">
        <v>3</v>
      </c>
      <c r="G4" s="23">
        <v>90</v>
      </c>
      <c r="H4" s="32">
        <v>67.346991821188013</v>
      </c>
      <c r="I4" s="23">
        <v>32.64738230806234</v>
      </c>
      <c r="J4" s="5">
        <v>1835.2067967906503</v>
      </c>
      <c r="K4" s="34" t="e">
        <f>(D4-$D$15)/$D$15</f>
        <v>#DIV/0!</v>
      </c>
      <c r="L4" s="23">
        <v>102997.52603539939</v>
      </c>
      <c r="M4" s="32">
        <v>6.9195443329990667</v>
      </c>
      <c r="N4" s="5">
        <v>4</v>
      </c>
      <c r="O4" s="5">
        <v>76.666666666666671</v>
      </c>
      <c r="P4" s="32">
        <v>14.022370516379139</v>
      </c>
      <c r="Q4" s="5">
        <v>20.417670511486676</v>
      </c>
      <c r="R4" s="5">
        <v>1458.1544131320018</v>
      </c>
      <c r="S4" s="44"/>
      <c r="T4" s="23">
        <v>102910.8817070123</v>
      </c>
      <c r="U4" s="32">
        <v>4.4082490830005554</v>
      </c>
      <c r="V4" s="5">
        <v>3</v>
      </c>
      <c r="W4" s="5">
        <v>76.666666666666671</v>
      </c>
      <c r="X4" s="32">
        <v>58.14492683217221</v>
      </c>
      <c r="Y4" s="5">
        <v>38.689959566458164</v>
      </c>
      <c r="Z4" s="5">
        <v>1912.695228226984</v>
      </c>
      <c r="AA4" s="44"/>
    </row>
    <row r="5" spans="2:27" x14ac:dyDescent="0.2">
      <c r="B5" s="4">
        <v>2</v>
      </c>
      <c r="C5" s="4">
        <v>47</v>
      </c>
      <c r="D5" s="23">
        <v>89866.355749144073</v>
      </c>
      <c r="E5" s="32">
        <v>4.3152114590047859</v>
      </c>
      <c r="F5" s="5">
        <v>3</v>
      </c>
      <c r="G5" s="23">
        <v>90</v>
      </c>
      <c r="H5" s="32">
        <v>67.346991821188013</v>
      </c>
      <c r="I5" s="23">
        <v>32.64738230806234</v>
      </c>
      <c r="J5" s="5">
        <v>1835.2067967906503</v>
      </c>
      <c r="K5" s="34" t="e">
        <f>(D5-$D$15)/$D$15</f>
        <v>#DIV/0!</v>
      </c>
      <c r="L5" s="23">
        <v>103962.50284862579</v>
      </c>
      <c r="M5" s="32">
        <v>7.6734096660002251</v>
      </c>
      <c r="N5" s="5">
        <v>4</v>
      </c>
      <c r="O5" s="5">
        <v>80</v>
      </c>
      <c r="P5" s="32">
        <v>34.242720876898396</v>
      </c>
      <c r="Q5" s="5">
        <v>22.495975923979785</v>
      </c>
      <c r="R5" s="5">
        <v>1641.6057176037414</v>
      </c>
      <c r="S5" s="44"/>
      <c r="T5" s="23">
        <v>102910.8817070123</v>
      </c>
      <c r="U5" s="32">
        <v>4.7348816660014563</v>
      </c>
      <c r="V5" s="5">
        <v>3</v>
      </c>
      <c r="W5" s="5">
        <v>76.666666666666671</v>
      </c>
      <c r="X5" s="32">
        <v>58.14492683217221</v>
      </c>
      <c r="Y5" s="5">
        <v>38.689959566458164</v>
      </c>
      <c r="Z5" s="5">
        <v>1912.695228226984</v>
      </c>
      <c r="AA5" s="44"/>
    </row>
    <row r="6" spans="2:27" x14ac:dyDescent="0.2">
      <c r="B6" s="4">
        <v>3</v>
      </c>
      <c r="C6" s="4">
        <v>196</v>
      </c>
      <c r="D6" s="23">
        <v>89866.355749144073</v>
      </c>
      <c r="E6" s="32">
        <v>4.3659914169984404</v>
      </c>
      <c r="F6" s="5">
        <v>3</v>
      </c>
      <c r="G6" s="23">
        <v>90</v>
      </c>
      <c r="H6" s="32">
        <v>67.346991821188013</v>
      </c>
      <c r="I6" s="23">
        <v>32.64738230806234</v>
      </c>
      <c r="J6" s="5">
        <v>1835.2067967906503</v>
      </c>
      <c r="K6" s="34" t="e">
        <f t="shared" ref="K6:K13" si="0">(D6-$D$15)/$D$15</f>
        <v>#DIV/0!</v>
      </c>
      <c r="L6" s="23">
        <v>102997.52603539939</v>
      </c>
      <c r="M6" s="32">
        <v>6.8099540829971366</v>
      </c>
      <c r="N6" s="5">
        <v>4</v>
      </c>
      <c r="O6" s="5">
        <v>76.666666666666671</v>
      </c>
      <c r="P6" s="32">
        <v>14.022370516379139</v>
      </c>
      <c r="Q6" s="5">
        <v>20.417670511486676</v>
      </c>
      <c r="R6" s="5">
        <v>1458.1544131320018</v>
      </c>
      <c r="S6" s="44"/>
      <c r="T6" s="23">
        <v>102910.8817070123</v>
      </c>
      <c r="U6" s="32">
        <v>4.3933848750020843</v>
      </c>
      <c r="V6" s="5">
        <v>3</v>
      </c>
      <c r="W6" s="5">
        <v>76.666666666666671</v>
      </c>
      <c r="X6" s="32">
        <v>58.14492683217221</v>
      </c>
      <c r="Y6" s="5">
        <v>38.689959566458164</v>
      </c>
      <c r="Z6" s="5">
        <v>1912.695228226984</v>
      </c>
      <c r="AA6" s="44"/>
    </row>
    <row r="7" spans="2:27" x14ac:dyDescent="0.2">
      <c r="B7" s="4">
        <v>4</v>
      </c>
      <c r="C7" s="4">
        <v>212</v>
      </c>
      <c r="D7" s="23">
        <v>89866.355749144073</v>
      </c>
      <c r="E7" s="32">
        <v>4.0646631249983329</v>
      </c>
      <c r="F7" s="5">
        <v>3</v>
      </c>
      <c r="G7" s="23">
        <v>90</v>
      </c>
      <c r="H7" s="32">
        <v>67.346991821188013</v>
      </c>
      <c r="I7" s="23">
        <v>32.64738230806234</v>
      </c>
      <c r="J7" s="5">
        <v>1835.2067967906503</v>
      </c>
      <c r="K7" s="34" t="e">
        <f t="shared" si="0"/>
        <v>#DIV/0!</v>
      </c>
      <c r="L7" s="23">
        <v>101768.0796026958</v>
      </c>
      <c r="M7" s="32">
        <v>6.6464580840001872</v>
      </c>
      <c r="N7" s="5">
        <v>4</v>
      </c>
      <c r="O7" s="5">
        <v>80</v>
      </c>
      <c r="P7" s="32">
        <v>27.743201713536127</v>
      </c>
      <c r="Q7" s="5">
        <v>20.959120391776921</v>
      </c>
      <c r="R7" s="5">
        <v>1541.7015984656709</v>
      </c>
      <c r="S7" s="44"/>
      <c r="T7" s="23">
        <v>102910.8817070123</v>
      </c>
      <c r="U7" s="32">
        <v>4.7657779580003989</v>
      </c>
      <c r="V7" s="5">
        <v>3</v>
      </c>
      <c r="W7" s="5">
        <v>76.666666666666671</v>
      </c>
      <c r="X7" s="32">
        <v>58.14492683217221</v>
      </c>
      <c r="Y7" s="5">
        <v>38.689959566458164</v>
      </c>
      <c r="Z7" s="5">
        <v>1912.695228226984</v>
      </c>
      <c r="AA7" s="44"/>
    </row>
    <row r="8" spans="2:27" x14ac:dyDescent="0.2">
      <c r="B8" s="4">
        <v>5</v>
      </c>
      <c r="C8" s="4">
        <v>230</v>
      </c>
      <c r="D8" s="23">
        <v>89866.355749144073</v>
      </c>
      <c r="E8" s="32">
        <v>4.0645400829962446</v>
      </c>
      <c r="F8" s="5">
        <v>3</v>
      </c>
      <c r="G8" s="23">
        <v>90</v>
      </c>
      <c r="H8" s="32">
        <v>67.346991821188013</v>
      </c>
      <c r="I8" s="23">
        <v>32.64738230806234</v>
      </c>
      <c r="J8" s="5">
        <v>1835.2067967906503</v>
      </c>
      <c r="K8" s="34" t="e">
        <f t="shared" si="0"/>
        <v>#DIV/0!</v>
      </c>
      <c r="L8" s="23">
        <v>103962.50284862579</v>
      </c>
      <c r="M8" s="32">
        <v>6.895447625000088</v>
      </c>
      <c r="N8" s="5">
        <v>4</v>
      </c>
      <c r="O8" s="5">
        <v>80</v>
      </c>
      <c r="P8" s="32">
        <v>34.242720876898396</v>
      </c>
      <c r="Q8" s="5">
        <v>22.495975923979785</v>
      </c>
      <c r="R8" s="5">
        <v>1641.6057176037414</v>
      </c>
      <c r="S8" s="44"/>
      <c r="T8" s="23">
        <v>102910.8817070123</v>
      </c>
      <c r="U8" s="32">
        <v>4.4636006660002749</v>
      </c>
      <c r="V8" s="5">
        <v>3</v>
      </c>
      <c r="W8" s="5">
        <v>76.666666666666671</v>
      </c>
      <c r="X8" s="32">
        <v>58.14492683217221</v>
      </c>
      <c r="Y8" s="5">
        <v>38.689959566458164</v>
      </c>
      <c r="Z8" s="5">
        <v>1912.695228226984</v>
      </c>
      <c r="AA8" s="44"/>
    </row>
    <row r="9" spans="2:27" x14ac:dyDescent="0.2">
      <c r="B9" s="4">
        <v>6</v>
      </c>
      <c r="C9" s="4">
        <v>393</v>
      </c>
      <c r="D9" s="23">
        <v>89866.355749144073</v>
      </c>
      <c r="E9" s="32">
        <v>4.1486644169999636</v>
      </c>
      <c r="F9" s="5">
        <v>3</v>
      </c>
      <c r="G9" s="23">
        <v>90</v>
      </c>
      <c r="H9" s="32">
        <v>67.346991821188013</v>
      </c>
      <c r="I9" s="23">
        <v>32.64738230806234</v>
      </c>
      <c r="J9" s="5">
        <v>1835.2067967906503</v>
      </c>
      <c r="K9" s="34" t="e">
        <f t="shared" si="0"/>
        <v>#DIV/0!</v>
      </c>
      <c r="L9" s="23">
        <v>101768.0796026958</v>
      </c>
      <c r="M9" s="32">
        <v>6.6749963330003084</v>
      </c>
      <c r="N9" s="5">
        <v>4</v>
      </c>
      <c r="O9" s="5">
        <v>80</v>
      </c>
      <c r="P9" s="32">
        <v>27.743201713536127</v>
      </c>
      <c r="Q9" s="5">
        <v>20.959120391776921</v>
      </c>
      <c r="R9" s="5">
        <v>1541.7015984656709</v>
      </c>
      <c r="S9" s="44"/>
      <c r="T9" s="23">
        <v>102910.8817070123</v>
      </c>
      <c r="U9" s="32">
        <v>4.3212091669993242</v>
      </c>
      <c r="V9" s="5">
        <v>3</v>
      </c>
      <c r="W9" s="5">
        <v>76.666666666666671</v>
      </c>
      <c r="X9" s="32">
        <v>58.14492683217221</v>
      </c>
      <c r="Y9" s="5">
        <v>38.689959566458164</v>
      </c>
      <c r="Z9" s="5">
        <v>1912.695228226984</v>
      </c>
      <c r="AA9" s="44"/>
    </row>
    <row r="10" spans="2:27" x14ac:dyDescent="0.2">
      <c r="B10" s="4">
        <v>7</v>
      </c>
      <c r="C10" s="4">
        <v>643</v>
      </c>
      <c r="D10" s="23">
        <v>89866.355749144073</v>
      </c>
      <c r="E10" s="32">
        <v>4.1182587920047808</v>
      </c>
      <c r="F10" s="5">
        <v>3</v>
      </c>
      <c r="G10" s="23">
        <v>90</v>
      </c>
      <c r="H10" s="32">
        <v>67.346991821188013</v>
      </c>
      <c r="I10" s="23">
        <v>32.64738230806234</v>
      </c>
      <c r="J10" s="5">
        <v>1835.2067967906503</v>
      </c>
      <c r="K10" s="34" t="e">
        <f t="shared" si="0"/>
        <v>#DIV/0!</v>
      </c>
      <c r="L10" s="23">
        <v>101768.0796026958</v>
      </c>
      <c r="M10" s="32">
        <v>7.3764637499989476</v>
      </c>
      <c r="N10" s="5">
        <v>4</v>
      </c>
      <c r="O10" s="5">
        <v>80</v>
      </c>
      <c r="P10" s="32">
        <v>27.743201713536127</v>
      </c>
      <c r="Q10" s="5">
        <v>20.959120391776921</v>
      </c>
      <c r="R10" s="5">
        <v>1541.7015984656709</v>
      </c>
      <c r="S10" s="44"/>
      <c r="T10" s="23">
        <v>102910.8817070123</v>
      </c>
      <c r="U10" s="32">
        <v>4.6734281669996562</v>
      </c>
      <c r="V10" s="5">
        <v>3</v>
      </c>
      <c r="W10" s="5">
        <v>76.666666666666671</v>
      </c>
      <c r="X10" s="32">
        <v>58.14492683217221</v>
      </c>
      <c r="Y10" s="5">
        <v>38.689959566458164</v>
      </c>
      <c r="Z10" s="5">
        <v>1912.695228226984</v>
      </c>
      <c r="AA10" s="44"/>
    </row>
    <row r="11" spans="2:27" x14ac:dyDescent="0.2">
      <c r="B11" s="4">
        <v>8</v>
      </c>
      <c r="C11" s="4">
        <v>723</v>
      </c>
      <c r="D11" s="23">
        <v>89866.355749144073</v>
      </c>
      <c r="E11" s="32">
        <v>4.0068212500045766</v>
      </c>
      <c r="F11" s="5">
        <v>3</v>
      </c>
      <c r="G11" s="23">
        <v>90</v>
      </c>
      <c r="H11" s="32">
        <v>67.346991821188013</v>
      </c>
      <c r="I11" s="23">
        <v>32.64738230806234</v>
      </c>
      <c r="J11" s="5">
        <v>1835.2067967906503</v>
      </c>
      <c r="K11" s="34" t="e">
        <f t="shared" si="0"/>
        <v>#DIV/0!</v>
      </c>
      <c r="L11" s="23">
        <v>102997.52603539939</v>
      </c>
      <c r="M11" s="32">
        <v>6.8545891250032582</v>
      </c>
      <c r="N11" s="5">
        <v>4</v>
      </c>
      <c r="O11" s="5">
        <v>76.666666666666671</v>
      </c>
      <c r="P11" s="32">
        <v>14.022370516379139</v>
      </c>
      <c r="Q11" s="5">
        <v>20.417670511486676</v>
      </c>
      <c r="R11" s="5">
        <v>1458.1544131320018</v>
      </c>
      <c r="S11" s="44"/>
      <c r="T11" s="23">
        <v>102910.8817070123</v>
      </c>
      <c r="U11" s="32">
        <v>4.7334220420016209</v>
      </c>
      <c r="V11" s="5">
        <v>3</v>
      </c>
      <c r="W11" s="5">
        <v>76.666666666666671</v>
      </c>
      <c r="X11" s="32">
        <v>58.14492683217221</v>
      </c>
      <c r="Y11" s="5">
        <v>38.689959566458164</v>
      </c>
      <c r="Z11" s="5">
        <v>1912.695228226984</v>
      </c>
      <c r="AA11" s="44"/>
    </row>
    <row r="12" spans="2:27" x14ac:dyDescent="0.2">
      <c r="B12" s="4">
        <v>9</v>
      </c>
      <c r="C12" s="4">
        <v>865</v>
      </c>
      <c r="D12" s="23">
        <v>89866.355749144073</v>
      </c>
      <c r="E12" s="32">
        <v>4.3249874579996694</v>
      </c>
      <c r="F12" s="5">
        <v>3</v>
      </c>
      <c r="G12" s="23">
        <v>90</v>
      </c>
      <c r="H12" s="32">
        <v>67.346991821188013</v>
      </c>
      <c r="I12" s="23">
        <v>32.64738230806234</v>
      </c>
      <c r="J12" s="5">
        <v>1835.2067967906503</v>
      </c>
      <c r="K12" s="34" t="e">
        <f t="shared" si="0"/>
        <v>#DIV/0!</v>
      </c>
      <c r="L12" s="23">
        <v>101768.0796026958</v>
      </c>
      <c r="M12" s="32">
        <v>8.0956592080001428</v>
      </c>
      <c r="N12" s="5">
        <v>4</v>
      </c>
      <c r="O12" s="5">
        <v>80</v>
      </c>
      <c r="P12" s="32">
        <v>27.743201713536127</v>
      </c>
      <c r="Q12" s="5">
        <v>20.959120391776921</v>
      </c>
      <c r="R12" s="5">
        <v>1541.7015984656709</v>
      </c>
      <c r="S12" s="44"/>
      <c r="T12" s="23">
        <v>102910.8817070123</v>
      </c>
      <c r="U12" s="32">
        <v>5.3828067920003377</v>
      </c>
      <c r="V12" s="5">
        <v>3</v>
      </c>
      <c r="W12" s="5">
        <v>76.666666666666671</v>
      </c>
      <c r="X12" s="32">
        <v>58.14492683217221</v>
      </c>
      <c r="Y12" s="5">
        <v>38.689959566458164</v>
      </c>
      <c r="Z12" s="5">
        <v>1912.695228226984</v>
      </c>
      <c r="AA12" s="44"/>
    </row>
    <row r="13" spans="2:27" x14ac:dyDescent="0.2">
      <c r="B13" s="4">
        <v>10</v>
      </c>
      <c r="C13" s="4">
        <v>982</v>
      </c>
      <c r="D13" s="23">
        <v>89866.355749144073</v>
      </c>
      <c r="E13" s="32">
        <v>4.0821077920045354</v>
      </c>
      <c r="F13" s="5">
        <v>3</v>
      </c>
      <c r="G13" s="23">
        <v>90</v>
      </c>
      <c r="H13" s="32">
        <v>67.346991821188013</v>
      </c>
      <c r="I13" s="23">
        <v>32.64738230806234</v>
      </c>
      <c r="J13" s="5">
        <v>1835.2067967906503</v>
      </c>
      <c r="K13" s="34" t="e">
        <f t="shared" si="0"/>
        <v>#DIV/0!</v>
      </c>
      <c r="L13" s="23">
        <v>102997.52603539939</v>
      </c>
      <c r="M13" s="32">
        <v>6.7463978749983653</v>
      </c>
      <c r="N13" s="5">
        <v>4</v>
      </c>
      <c r="O13" s="5">
        <v>76.666666666666671</v>
      </c>
      <c r="P13" s="32">
        <v>14.022370516379139</v>
      </c>
      <c r="Q13" s="5">
        <v>20.417670511486676</v>
      </c>
      <c r="R13" s="5">
        <v>1458.1544131320018</v>
      </c>
      <c r="S13" s="44"/>
      <c r="T13" s="23">
        <v>102910.8817070123</v>
      </c>
      <c r="U13" s="32">
        <v>4.3502380829995673</v>
      </c>
      <c r="V13" s="5">
        <v>3</v>
      </c>
      <c r="W13" s="5">
        <v>76.666666666666671</v>
      </c>
      <c r="X13" s="32">
        <v>58.14492683217221</v>
      </c>
      <c r="Y13" s="5">
        <v>38.689959566458164</v>
      </c>
      <c r="Z13" s="5">
        <v>1912.695228226984</v>
      </c>
      <c r="AA13" s="44"/>
    </row>
    <row r="14" spans="2:27" x14ac:dyDescent="0.2">
      <c r="B14" s="48" t="s">
        <v>3</v>
      </c>
      <c r="C14" s="49"/>
      <c r="D14" s="9">
        <f>MIN(D4:D13)</f>
        <v>89866.355749144073</v>
      </c>
      <c r="E14" s="11">
        <f>INDEX(E4:E13, MATCH($D$14, D4:D13, 0))</f>
        <v>4.0247515420051059</v>
      </c>
      <c r="F14" s="9">
        <f>INDEX(F4:F13, MATCH($D$14, D4:D13, 0))</f>
        <v>3</v>
      </c>
      <c r="G14" s="9">
        <f>INDEX(G4:G13, MATCH($D$14, D4:D13, 0))</f>
        <v>90</v>
      </c>
      <c r="H14" s="11">
        <f>INDEX(H4:H13, MATCH($D$14, D4:D13, 0))</f>
        <v>67.346991821188013</v>
      </c>
      <c r="I14" s="9">
        <f>INDEX(I4:I13, MATCH($D$14, D4:D13, 0))</f>
        <v>32.64738230806234</v>
      </c>
      <c r="J14" s="9">
        <f>INDEX(J4:J13, MATCH($D$14, D4:D13, 0))</f>
        <v>1835.2067967906503</v>
      </c>
      <c r="K14" s="30" t="e">
        <f>(D14-$D$15)/$D$15</f>
        <v>#DIV/0!</v>
      </c>
      <c r="L14" s="16">
        <f>MIN(L4:L13)</f>
        <v>101768.0796026958</v>
      </c>
      <c r="M14" s="21">
        <f>INDEX(M4:M13, MATCH($L$14, L4:L13, 0))</f>
        <v>6.6464580840001872</v>
      </c>
      <c r="N14" s="16">
        <f>INDEX(N4:N13, MATCH($L$14, L4:L13, 0))</f>
        <v>4</v>
      </c>
      <c r="O14" s="16">
        <f>INDEX(O4:O13, MATCH($L$14, L4:L13, 0))</f>
        <v>80</v>
      </c>
      <c r="P14" s="21">
        <f>INDEX(P4:P13, MATCH($L$14, L4:L13, 0))</f>
        <v>27.743201713536127</v>
      </c>
      <c r="Q14" s="21">
        <f>INDEX(Q4:Q13, MATCH($L$14, L4:L13, 0))</f>
        <v>20.959120391776921</v>
      </c>
      <c r="R14" s="21">
        <f>INDEX(R4:R13, MATCH($L$14, L4:L13, 0))</f>
        <v>1541.7015984656709</v>
      </c>
      <c r="S14" s="45" t="e">
        <f>(L14-$D$15)/$D$15</f>
        <v>#DIV/0!</v>
      </c>
      <c r="T14" s="40">
        <f>MIN(T4:T13)</f>
        <v>102910.8817070123</v>
      </c>
      <c r="U14" s="46">
        <f>INDEX(U4:U13, MATCH($T$14, T4:T13, 0))</f>
        <v>4.4082490830005554</v>
      </c>
      <c r="V14" s="40">
        <f>INDEX(V4:V13, MATCH($T$14, T4:T13, 0))</f>
        <v>3</v>
      </c>
      <c r="W14" s="40">
        <f>INDEX(W4:W13, MATCH($T$14, T4:T13, 0))</f>
        <v>76.666666666666671</v>
      </c>
      <c r="X14" s="46">
        <f>INDEX(X4:X13, MATCH($T$14, T4:T13, 0))</f>
        <v>58.14492683217221</v>
      </c>
      <c r="Y14" s="46">
        <f>INDEX(Y4:Y13, MATCH($T$14, T4:T13, 0))</f>
        <v>38.689959566458164</v>
      </c>
      <c r="Z14" s="46">
        <f>INDEX(Z4:Z13, MATCH($T$14, T4:T13, 0))</f>
        <v>1912.695228226984</v>
      </c>
      <c r="AA14" s="47" t="e">
        <f>(T14-$D$15)/$D$15</f>
        <v>#DIV/0!</v>
      </c>
    </row>
    <row r="15" spans="2:27" x14ac:dyDescent="0.2">
      <c r="D15" s="33"/>
      <c r="E15" s="3"/>
      <c r="F15" s="3"/>
      <c r="G15" s="3"/>
      <c r="H15" s="3"/>
      <c r="I15" s="3"/>
      <c r="J15" s="3"/>
      <c r="K15" s="3"/>
      <c r="L15" s="43"/>
      <c r="M15" s="43"/>
      <c r="N15" s="43"/>
      <c r="O15" s="43"/>
      <c r="P15" s="43"/>
      <c r="Q15" s="43"/>
      <c r="R15" s="43"/>
      <c r="S15"/>
      <c r="T15" s="43"/>
      <c r="U15" s="43"/>
      <c r="V15" s="43"/>
      <c r="W15" s="43"/>
      <c r="X15" s="43"/>
      <c r="Y15" s="43"/>
      <c r="Z15" s="43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31:C1048576">
    <cfRule type="duplicateValues" dxfId="55" priority="7"/>
    <cfRule type="duplicateValues" dxfId="54" priority="8"/>
  </conditionalFormatting>
  <conditionalFormatting sqref="C4:C13">
    <cfRule type="duplicateValues" dxfId="53" priority="5"/>
    <cfRule type="duplicateValues" dxfId="52" priority="6"/>
  </conditionalFormatting>
  <conditionalFormatting sqref="C14">
    <cfRule type="duplicateValues" dxfId="51" priority="3"/>
    <cfRule type="duplicateValues" dxfId="50" priority="4"/>
  </conditionalFormatting>
  <conditionalFormatting sqref="C15:C30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8" t="s">
        <v>3</v>
      </c>
      <c r="C14" s="49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8" t="s">
        <v>3</v>
      </c>
      <c r="C14" s="49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8" t="s">
        <v>3</v>
      </c>
      <c r="C14" s="49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8" t="s">
        <v>3</v>
      </c>
      <c r="C14" s="49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results118</vt:lpstr>
      <vt:lpstr>results287</vt:lpstr>
      <vt:lpstr>results503</vt:lpstr>
      <vt:lpstr>results579</vt:lpstr>
      <vt:lpstr>results685</vt:lpstr>
      <vt:lpstr>results759</vt:lpstr>
      <vt:lpstr>results782</vt:lpstr>
      <vt:lpstr>results818</vt:lpstr>
      <vt:lpstr>results872</vt:lpstr>
      <vt:lpstr>results982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2026-10-15T22:37:56Z</dcterms:modified>
</cp:coreProperties>
</file>