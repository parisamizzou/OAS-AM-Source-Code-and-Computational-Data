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30-2-2/"/>
    </mc:Choice>
  </mc:AlternateContent>
  <xr:revisionPtr revIDLastSave="0" documentId="13_ncr:1_{3326A324-4554-E94A-8770-5F513031FA24}" xr6:coauthVersionLast="47" xr6:coauthVersionMax="47" xr10:uidLastSave="{00000000-0000-0000-0000-000000000000}"/>
  <bookViews>
    <workbookView xWindow="0" yWindow="740" windowWidth="34560" windowHeight="21600" activeTab="1" xr2:uid="{41E620E7-D6DF-9342-B452-EA60AB3B07C5}"/>
  </bookViews>
  <sheets>
    <sheet name="Summary" sheetId="68" r:id="rId1"/>
    <sheet name="results77" sheetId="58" r:id="rId2"/>
    <sheet name="results158" sheetId="69" r:id="rId3"/>
    <sheet name="results185" sheetId="70" r:id="rId4"/>
    <sheet name="results347" sheetId="71" r:id="rId5"/>
    <sheet name="results417" sheetId="76" r:id="rId6"/>
    <sheet name="results549" sheetId="77" r:id="rId7"/>
    <sheet name="results691" sheetId="72" r:id="rId8"/>
    <sheet name="results758" sheetId="73" r:id="rId9"/>
    <sheet name="results804" sheetId="74" r:id="rId10"/>
    <sheet name="results905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I14" i="75" s="1"/>
  <c r="D14" i="74"/>
  <c r="K14" i="74" s="1"/>
  <c r="S14" i="73"/>
  <c r="R14" i="73"/>
  <c r="Q14" i="73"/>
  <c r="P14" i="73"/>
  <c r="L14" i="73"/>
  <c r="O14" i="73" s="1"/>
  <c r="D14" i="73"/>
  <c r="E14" i="73" s="1"/>
  <c r="D14" i="72"/>
  <c r="I14" i="72" s="1"/>
  <c r="F14" i="77"/>
  <c r="E14" i="77"/>
  <c r="D14" i="77"/>
  <c r="K14" i="77" s="1"/>
  <c r="S14" i="76"/>
  <c r="R14" i="76"/>
  <c r="P14" i="76"/>
  <c r="O14" i="76"/>
  <c r="L14" i="76"/>
  <c r="N14" i="76" s="1"/>
  <c r="D14" i="76"/>
  <c r="K14" i="76" s="1"/>
  <c r="S14" i="71"/>
  <c r="R14" i="71"/>
  <c r="Q14" i="71"/>
  <c r="P14" i="71"/>
  <c r="L14" i="71"/>
  <c r="O14" i="71" s="1"/>
  <c r="D14" i="71"/>
  <c r="I14" i="71" s="1"/>
  <c r="J14" i="75" l="1"/>
  <c r="E14" i="75"/>
  <c r="K14" i="75"/>
  <c r="F14" i="75"/>
  <c r="G14" i="75"/>
  <c r="H14" i="75"/>
  <c r="F14" i="74"/>
  <c r="G14" i="74"/>
  <c r="H14" i="74"/>
  <c r="I14" i="74"/>
  <c r="J14" i="74"/>
  <c r="E14" i="74"/>
  <c r="F14" i="73"/>
  <c r="I14" i="73"/>
  <c r="J14" i="73"/>
  <c r="K14" i="73"/>
  <c r="G14" i="73"/>
  <c r="H14" i="73"/>
  <c r="M14" i="73"/>
  <c r="N14" i="73"/>
  <c r="E14" i="72"/>
  <c r="F14" i="72"/>
  <c r="G14" i="72"/>
  <c r="H14" i="72"/>
  <c r="J14" i="72"/>
  <c r="K14" i="72"/>
  <c r="L14" i="72"/>
  <c r="T14" i="72"/>
  <c r="G14" i="77"/>
  <c r="H14" i="77"/>
  <c r="I14" i="77"/>
  <c r="J14" i="77"/>
  <c r="E14" i="76"/>
  <c r="Q14" i="76"/>
  <c r="H14" i="76"/>
  <c r="G14" i="76"/>
  <c r="F14" i="76"/>
  <c r="I14" i="76"/>
  <c r="J14" i="76"/>
  <c r="M14" i="76"/>
  <c r="F14" i="71"/>
  <c r="E14" i="71"/>
  <c r="M14" i="71"/>
  <c r="J14" i="71"/>
  <c r="K14" i="71"/>
  <c r="N14" i="71"/>
  <c r="G14" i="71"/>
  <c r="H14" i="71"/>
  <c r="E14" i="70"/>
  <c r="D14" i="70"/>
  <c r="H14" i="70" s="1"/>
  <c r="D14" i="69"/>
  <c r="I14" i="69" s="1"/>
  <c r="G14" i="58"/>
  <c r="F14" i="58"/>
  <c r="E14" i="58"/>
  <c r="D14" i="58"/>
  <c r="I14" i="58" s="1"/>
  <c r="N14" i="72" l="1"/>
  <c r="M14" i="72"/>
  <c r="Q14" i="72"/>
  <c r="P14" i="72"/>
  <c r="S14" i="72"/>
  <c r="R14" i="72"/>
  <c r="O14" i="72"/>
  <c r="AA14" i="72"/>
  <c r="Z14" i="72"/>
  <c r="Y14" i="72"/>
  <c r="X14" i="72"/>
  <c r="W14" i="72"/>
  <c r="V14" i="72"/>
  <c r="U14" i="72"/>
  <c r="F14" i="70"/>
  <c r="K14" i="70"/>
  <c r="G14" i="70"/>
  <c r="I14" i="70"/>
  <c r="J14" i="70"/>
  <c r="F14" i="69"/>
  <c r="J14" i="69"/>
  <c r="K14" i="69"/>
  <c r="E14" i="69"/>
  <c r="G14" i="69"/>
  <c r="H14" i="69"/>
  <c r="H14" i="58"/>
  <c r="K14" i="58"/>
  <c r="J14" i="58"/>
  <c r="T14" i="69" l="1"/>
  <c r="L14" i="75"/>
  <c r="J2" i="76"/>
  <c r="T14" i="71"/>
  <c r="T14" i="74"/>
  <c r="T14" i="77"/>
  <c r="J2" i="73"/>
  <c r="T14" i="75"/>
  <c r="L14" i="74"/>
  <c r="J2" i="71"/>
  <c r="T14" i="73"/>
  <c r="L14" i="77"/>
  <c r="T14" i="76"/>
  <c r="D6" i="68" a="1"/>
  <c r="F11" i="68" a="1"/>
  <c r="C9" i="68" a="1"/>
  <c r="E5" i="68" a="1"/>
  <c r="D4" i="68" a="1"/>
  <c r="C12" i="68" a="1"/>
  <c r="G4" i="68" a="1"/>
  <c r="C6" i="68" a="1"/>
  <c r="D9" i="68" a="1"/>
  <c r="H9" i="68" a="1"/>
  <c r="E10" i="68" a="1"/>
  <c r="C10" i="68" a="1"/>
  <c r="C11" i="68" a="1"/>
  <c r="D7" i="68" a="1"/>
  <c r="F5" i="68" a="1"/>
  <c r="G7" i="68" a="1"/>
  <c r="H4" i="68" a="1"/>
  <c r="D8" i="68" a="1"/>
  <c r="G9" i="68" a="1"/>
  <c r="S6" i="68" a="1"/>
  <c r="F7" i="68" a="1"/>
  <c r="H8" i="68" a="1"/>
  <c r="S8" i="68" a="1"/>
  <c r="S4" i="68" a="1"/>
  <c r="F6" i="68" a="1"/>
  <c r="S9" i="68" a="1"/>
  <c r="I8" i="68" a="1"/>
  <c r="I12" i="68" a="1"/>
  <c r="I5" i="68" a="1"/>
  <c r="K8" i="68" a="1"/>
  <c r="I7" i="68" a="1"/>
  <c r="H6" i="68" a="1"/>
  <c r="H12" i="68" a="1"/>
  <c r="H7" i="68" a="1"/>
  <c r="E12" i="68" a="1"/>
  <c r="C4" i="68" a="1"/>
  <c r="I4" i="68" a="1"/>
  <c r="H5" i="68" a="1"/>
  <c r="F12" i="68" a="1"/>
  <c r="S10" i="68" a="1"/>
  <c r="D11" i="68" a="1"/>
  <c r="I11" i="68" a="1"/>
  <c r="K4" i="68" a="1"/>
  <c r="C7" i="68" a="1"/>
  <c r="F10" i="68" a="1"/>
  <c r="G12" i="68" a="1"/>
  <c r="H11" i="68" a="1"/>
  <c r="E6" i="68" a="1"/>
  <c r="S12" i="68" a="1"/>
  <c r="I9" i="68" a="1"/>
  <c r="C8" i="68" a="1"/>
  <c r="F8" i="68" a="1"/>
  <c r="E4" i="68" a="1"/>
  <c r="D12" i="68" a="1"/>
  <c r="E9" i="68" a="1"/>
  <c r="D5" i="68" a="1"/>
  <c r="S5" i="68" a="1"/>
  <c r="E8" i="68" a="1"/>
  <c r="G6" i="68" a="1"/>
  <c r="G8" i="68" a="1"/>
  <c r="E7" i="68" a="1"/>
  <c r="C5" i="68" a="1"/>
  <c r="I10" i="68" a="1"/>
  <c r="F9" i="68" a="1"/>
  <c r="D10" i="68" a="1"/>
  <c r="G11" i="68" a="1"/>
  <c r="G5" i="68" a="1"/>
  <c r="F4" i="68" a="1"/>
  <c r="I6" i="68" a="1"/>
  <c r="K5" i="68" a="1"/>
  <c r="H10" i="68" a="1"/>
  <c r="G10" i="68" a="1"/>
  <c r="E11" i="68" a="1"/>
  <c r="AA14" i="75" l="1"/>
  <c r="U14" i="75"/>
  <c r="Z14" i="75"/>
  <c r="Y14" i="75"/>
  <c r="X14" i="75"/>
  <c r="W14" i="75"/>
  <c r="V14" i="75"/>
  <c r="O14" i="75"/>
  <c r="N14" i="75"/>
  <c r="M14" i="75"/>
  <c r="Q14" i="75"/>
  <c r="S14" i="75"/>
  <c r="R14" i="75"/>
  <c r="P14" i="75"/>
  <c r="AA14" i="74"/>
  <c r="Z14" i="74"/>
  <c r="Y14" i="74"/>
  <c r="X14" i="74"/>
  <c r="W14" i="74"/>
  <c r="V14" i="74"/>
  <c r="U14" i="74"/>
  <c r="O14" i="74"/>
  <c r="N14" i="74"/>
  <c r="M14" i="74"/>
  <c r="R14" i="74"/>
  <c r="S14" i="74"/>
  <c r="Q14" i="74"/>
  <c r="P14" i="74"/>
  <c r="AA14" i="73"/>
  <c r="Z14" i="73"/>
  <c r="Y14" i="73"/>
  <c r="X14" i="73"/>
  <c r="W14" i="73"/>
  <c r="V14" i="73"/>
  <c r="U14" i="73"/>
  <c r="AA14" i="77"/>
  <c r="Z14" i="77"/>
  <c r="Y14" i="77"/>
  <c r="X14" i="77"/>
  <c r="W14" i="77"/>
  <c r="V14" i="77"/>
  <c r="U14" i="77"/>
  <c r="R14" i="77"/>
  <c r="Q14" i="77"/>
  <c r="S14" i="77"/>
  <c r="M14" i="77"/>
  <c r="P14" i="77"/>
  <c r="O14" i="77"/>
  <c r="N14" i="77"/>
  <c r="AA14" i="76"/>
  <c r="Z14" i="76"/>
  <c r="W14" i="76"/>
  <c r="V14" i="76"/>
  <c r="U14" i="76"/>
  <c r="Y14" i="76"/>
  <c r="X14" i="76"/>
  <c r="AA14" i="71"/>
  <c r="W14" i="71"/>
  <c r="V14" i="71"/>
  <c r="Z14" i="71"/>
  <c r="Y14" i="71"/>
  <c r="U14" i="71"/>
  <c r="X14" i="71"/>
  <c r="T14" i="70"/>
  <c r="AA14" i="70" s="1"/>
  <c r="L14" i="70"/>
  <c r="W14" i="70"/>
  <c r="L14" i="69"/>
  <c r="AA14" i="69"/>
  <c r="V14" i="69"/>
  <c r="Z14" i="69"/>
  <c r="Y14" i="69"/>
  <c r="X14" i="69"/>
  <c r="U14" i="69"/>
  <c r="W14" i="69"/>
  <c r="E9" i="68"/>
  <c r="H6" i="68"/>
  <c r="G4" i="68"/>
  <c r="S5" i="68"/>
  <c r="S6" i="68"/>
  <c r="I12" i="68"/>
  <c r="I9" i="68"/>
  <c r="F5" i="68"/>
  <c r="S10" i="68"/>
  <c r="E5" i="68"/>
  <c r="D12" i="68"/>
  <c r="I4" i="68"/>
  <c r="C7" i="68"/>
  <c r="G6" i="68"/>
  <c r="E12" i="68"/>
  <c r="D11" i="68"/>
  <c r="H4" i="68"/>
  <c r="C12" i="68"/>
  <c r="G7" i="68"/>
  <c r="I11" i="68"/>
  <c r="D10" i="68"/>
  <c r="S4" i="68"/>
  <c r="C8" i="68"/>
  <c r="H5" i="68"/>
  <c r="E6" i="68"/>
  <c r="D8" i="68"/>
  <c r="D6" i="68"/>
  <c r="C11" i="68"/>
  <c r="G8" i="68"/>
  <c r="H9" i="68"/>
  <c r="S12" i="68"/>
  <c r="K8" i="68"/>
  <c r="D4" i="68"/>
  <c r="C5" i="68"/>
  <c r="D7" i="68"/>
  <c r="G11" i="68"/>
  <c r="E8" i="68"/>
  <c r="H8" i="68"/>
  <c r="K5" i="68"/>
  <c r="H12" i="68"/>
  <c r="H10" i="68"/>
  <c r="K4" i="68"/>
  <c r="G5" i="68"/>
  <c r="S9" i="68"/>
  <c r="C6" i="68"/>
  <c r="I6" i="68"/>
  <c r="E4" i="68"/>
  <c r="F10" i="68"/>
  <c r="C4" i="68"/>
  <c r="F9" i="68"/>
  <c r="I10" i="68"/>
  <c r="S8" i="68"/>
  <c r="G9" i="68"/>
  <c r="D9" i="68"/>
  <c r="D5" i="68"/>
  <c r="F7" i="68"/>
  <c r="C10" i="68"/>
  <c r="F12" i="68"/>
  <c r="F6" i="68"/>
  <c r="I5" i="68"/>
  <c r="H7" i="68"/>
  <c r="H11" i="68"/>
  <c r="G10" i="68"/>
  <c r="E7" i="68"/>
  <c r="I7" i="68"/>
  <c r="G12" i="68"/>
  <c r="E11" i="68"/>
  <c r="E10" i="68"/>
  <c r="I8" i="68"/>
  <c r="F11" i="68"/>
  <c r="F4" i="68"/>
  <c r="C9" i="68"/>
  <c r="F8" i="68"/>
  <c r="L14" i="58"/>
  <c r="T14" i="58"/>
  <c r="V8" i="68" a="1"/>
  <c r="M8" i="68" a="1"/>
  <c r="Y7" i="68" a="1"/>
  <c r="W8" i="68" a="1"/>
  <c r="X7" i="68" a="1"/>
  <c r="V4" i="68" a="1"/>
  <c r="T8" i="68" a="1"/>
  <c r="Y4" i="68" a="1"/>
  <c r="U7" i="68" a="1"/>
  <c r="T4" i="68" a="1"/>
  <c r="V12" i="68" a="1"/>
  <c r="T5" i="68" a="1"/>
  <c r="Y8" i="68" a="1"/>
  <c r="U4" i="68" a="1"/>
  <c r="S11" i="68" a="1"/>
  <c r="U6" i="68" a="1"/>
  <c r="L4" i="68" a="1"/>
  <c r="O12" i="68" a="1"/>
  <c r="X12" i="68" a="1"/>
  <c r="O10" i="68" a="1"/>
  <c r="Y6" i="68" a="1"/>
  <c r="U8" i="68" a="1"/>
  <c r="Q5" i="68" a="1"/>
  <c r="Q10" i="68" a="1"/>
  <c r="K9" i="68" a="1"/>
  <c r="W9" i="68" a="1"/>
  <c r="U5" i="68" a="1"/>
  <c r="X6" i="68" a="1"/>
  <c r="L5" i="68" a="1"/>
  <c r="T6" i="68" a="1"/>
  <c r="U12" i="68" a="1"/>
  <c r="Y10" i="68" a="1"/>
  <c r="N5" i="68" a="1"/>
  <c r="K6" i="68" a="1"/>
  <c r="L12" i="68" a="1"/>
  <c r="W4" i="68" a="1"/>
  <c r="W12" i="68" a="1"/>
  <c r="U10" i="68" a="1"/>
  <c r="W7" i="68" a="1"/>
  <c r="M12" i="68" a="1"/>
  <c r="N8" i="68" a="1"/>
  <c r="N10" i="68" a="1"/>
  <c r="N4" i="68" a="1"/>
  <c r="X4" i="68" a="1"/>
  <c r="P10" i="68" a="1"/>
  <c r="U9" i="68" a="1"/>
  <c r="X5" i="68" a="1"/>
  <c r="Q4" i="68" a="1"/>
  <c r="V9" i="68" a="1"/>
  <c r="Q12" i="68" a="1"/>
  <c r="Q8" i="68" a="1"/>
  <c r="V6" i="68" a="1"/>
  <c r="V10" i="68" a="1"/>
  <c r="W6" i="68" a="1"/>
  <c r="W10" i="68" a="1"/>
  <c r="P5" i="68" a="1"/>
  <c r="T9" i="68" a="1"/>
  <c r="X10" i="68" a="1"/>
  <c r="T7" i="68" a="1"/>
  <c r="K10" i="68" a="1"/>
  <c r="S7" i="68" a="1"/>
  <c r="V5" i="68" a="1"/>
  <c r="S3" i="68" a="1"/>
  <c r="K11" i="68" a="1"/>
  <c r="T12" i="68" a="1"/>
  <c r="K12" i="68" a="1"/>
  <c r="M4" i="68" a="1"/>
  <c r="P12" i="68" a="1"/>
  <c r="L10" i="68" a="1"/>
  <c r="X8" i="68" a="1"/>
  <c r="X9" i="68" a="1"/>
  <c r="O8" i="68" a="1"/>
  <c r="Y9" i="68" a="1"/>
  <c r="W5" i="68" a="1"/>
  <c r="V7" i="68" a="1"/>
  <c r="M5" i="68" a="1"/>
  <c r="K7" i="68" a="1"/>
  <c r="V11" i="68" a="1"/>
  <c r="T10" i="68" a="1"/>
  <c r="O5" i="68" a="1"/>
  <c r="P4" i="68" a="1"/>
  <c r="N12" i="68" a="1"/>
  <c r="K3" i="68" a="1"/>
  <c r="M10" i="68" a="1"/>
  <c r="Y5" i="68" a="1"/>
  <c r="Y12" i="68" a="1"/>
  <c r="P8" i="68" a="1"/>
  <c r="L8" i="68" a="1"/>
  <c r="O4" i="68" a="1"/>
  <c r="K9" i="68" l="1"/>
  <c r="J2" i="74"/>
  <c r="P2" i="74"/>
  <c r="Z2" i="74"/>
  <c r="H2" i="74"/>
  <c r="K7" i="68"/>
  <c r="J2" i="72"/>
  <c r="Z2" i="72"/>
  <c r="X14" i="70"/>
  <c r="K10" i="68"/>
  <c r="J2" i="75"/>
  <c r="Y14" i="70"/>
  <c r="U14" i="70"/>
  <c r="V14" i="70"/>
  <c r="Z14" i="70"/>
  <c r="S11" i="68"/>
  <c r="Z2" i="73"/>
  <c r="X2" i="75"/>
  <c r="K11" i="68"/>
  <c r="O14" i="70"/>
  <c r="S14" i="70"/>
  <c r="J2" i="70" s="1"/>
  <c r="N14" i="70"/>
  <c r="R14" i="70"/>
  <c r="M14" i="70"/>
  <c r="Q14" i="70"/>
  <c r="H2" i="70" s="1"/>
  <c r="P14" i="70"/>
  <c r="X2" i="70" s="1"/>
  <c r="Z2" i="71"/>
  <c r="Z2" i="77"/>
  <c r="K6" i="68"/>
  <c r="Z2" i="75"/>
  <c r="O14" i="69"/>
  <c r="N14" i="69"/>
  <c r="R14" i="69"/>
  <c r="M14" i="69"/>
  <c r="Q14" i="69"/>
  <c r="H2" i="69" s="1"/>
  <c r="S14" i="69"/>
  <c r="J2" i="69" s="1"/>
  <c r="P14" i="69"/>
  <c r="P2" i="69" s="1"/>
  <c r="X2" i="76"/>
  <c r="X2" i="71"/>
  <c r="O14" i="58"/>
  <c r="N14" i="58"/>
  <c r="M14" i="58"/>
  <c r="S14" i="58"/>
  <c r="R14" i="58"/>
  <c r="Q14" i="58"/>
  <c r="P14" i="58"/>
  <c r="AA14" i="58"/>
  <c r="U14" i="58"/>
  <c r="Z14" i="58"/>
  <c r="Y14" i="58"/>
  <c r="V14" i="58"/>
  <c r="X14" i="58"/>
  <c r="W14" i="58"/>
  <c r="O10" i="68"/>
  <c r="V8" i="68"/>
  <c r="Y12" i="68"/>
  <c r="P2" i="75"/>
  <c r="L5" i="68"/>
  <c r="Y8" i="68"/>
  <c r="N10" i="68"/>
  <c r="P12" i="68"/>
  <c r="V6" i="68"/>
  <c r="W4" i="68"/>
  <c r="Z2" i="76"/>
  <c r="X2" i="73"/>
  <c r="H2" i="77"/>
  <c r="V10" i="68"/>
  <c r="W12" i="68"/>
  <c r="Y6" i="68"/>
  <c r="M8" i="68"/>
  <c r="P8" i="68"/>
  <c r="M10" i="68"/>
  <c r="V9" i="68"/>
  <c r="O5" i="68"/>
  <c r="H2" i="73"/>
  <c r="R2" i="69"/>
  <c r="P2" i="76"/>
  <c r="W10" i="68"/>
  <c r="W7" i="68"/>
  <c r="Q5" i="68"/>
  <c r="W8" i="68"/>
  <c r="O4" i="68"/>
  <c r="O12" i="68"/>
  <c r="N12" i="68"/>
  <c r="V5" i="68"/>
  <c r="U4" i="68"/>
  <c r="T7" i="68"/>
  <c r="V7" i="68"/>
  <c r="X8" i="68"/>
  <c r="W6" i="68"/>
  <c r="U10" i="68"/>
  <c r="U8" i="68"/>
  <c r="Y7" i="68"/>
  <c r="L8" i="68"/>
  <c r="K12" i="68"/>
  <c r="Y10" i="68"/>
  <c r="U12" i="68"/>
  <c r="T10" i="68"/>
  <c r="U5" i="68"/>
  <c r="X10" i="68"/>
  <c r="L10" i="68"/>
  <c r="R2" i="76"/>
  <c r="P2" i="71"/>
  <c r="P2" i="77"/>
  <c r="X2" i="77"/>
  <c r="J2" i="77"/>
  <c r="T8" i="68"/>
  <c r="X12" i="68"/>
  <c r="Y5" i="68"/>
  <c r="T12" i="68"/>
  <c r="U6" i="68"/>
  <c r="T6" i="68"/>
  <c r="X6" i="68"/>
  <c r="N4" i="68"/>
  <c r="Y9" i="68"/>
  <c r="T9" i="68"/>
  <c r="N8" i="68"/>
  <c r="Q10" i="68"/>
  <c r="V4" i="68"/>
  <c r="M4" i="68"/>
  <c r="L12" i="68"/>
  <c r="N5" i="68"/>
  <c r="P4" i="68"/>
  <c r="S7" i="68"/>
  <c r="V11" i="68"/>
  <c r="W9" i="68"/>
  <c r="O8" i="68"/>
  <c r="P5" i="68"/>
  <c r="M12" i="68"/>
  <c r="Y4" i="68"/>
  <c r="X7" i="68"/>
  <c r="Q8" i="68"/>
  <c r="Q12" i="68"/>
  <c r="L4" i="68"/>
  <c r="Q4" i="68"/>
  <c r="U9" i="68"/>
  <c r="X4" i="68"/>
  <c r="T5" i="68"/>
  <c r="X9" i="68"/>
  <c r="R2" i="75"/>
  <c r="H2" i="71"/>
  <c r="P2" i="73"/>
  <c r="H2" i="76"/>
  <c r="R2" i="73"/>
  <c r="R2" i="77"/>
  <c r="R2" i="71"/>
  <c r="X5" i="68"/>
  <c r="P10" i="68"/>
  <c r="M5" i="68"/>
  <c r="W5" i="68"/>
  <c r="V12" i="68"/>
  <c r="T4" i="68"/>
  <c r="U7" i="68"/>
  <c r="H2" i="75"/>
  <c r="X2" i="74"/>
  <c r="S3" i="68"/>
  <c r="K3" i="68"/>
  <c r="P7" i="68" a="1"/>
  <c r="N6" i="68" a="1"/>
  <c r="N9" i="68" a="1"/>
  <c r="M6" i="68" a="1"/>
  <c r="Q6" i="68" a="1"/>
  <c r="L6" i="68" a="1"/>
  <c r="Q9" i="68" a="1"/>
  <c r="N7" i="68" a="1"/>
  <c r="M7" i="68" a="1"/>
  <c r="O7" i="68" a="1"/>
  <c r="W11" i="68" a="1"/>
  <c r="U11" i="68" a="1"/>
  <c r="C3" i="68" a="1"/>
  <c r="Q11" i="68" a="1"/>
  <c r="Q7" i="68" a="1"/>
  <c r="L9" i="68" a="1"/>
  <c r="X11" i="68" a="1"/>
  <c r="Y11" i="68" a="1"/>
  <c r="N11" i="68" a="1"/>
  <c r="M11" i="68" a="1"/>
  <c r="O11" i="68" a="1"/>
  <c r="M9" i="68" a="1"/>
  <c r="T11" i="68" a="1"/>
  <c r="P6" i="68" a="1"/>
  <c r="L11" i="68" a="1"/>
  <c r="O9" i="68" a="1"/>
  <c r="O6" i="68" a="1"/>
  <c r="P9" i="68" a="1"/>
  <c r="P11" i="68" a="1"/>
  <c r="L7" i="68" a="1"/>
  <c r="P9" i="68" l="1"/>
  <c r="Q9" i="68"/>
  <c r="O9" i="68"/>
  <c r="M9" i="68"/>
  <c r="L9" i="68"/>
  <c r="N9" i="68"/>
  <c r="R2" i="74"/>
  <c r="P7" i="68"/>
  <c r="O7" i="68"/>
  <c r="Q7" i="68"/>
  <c r="L7" i="68"/>
  <c r="M7" i="68"/>
  <c r="N7" i="68"/>
  <c r="X2" i="72"/>
  <c r="H2" i="72"/>
  <c r="R2" i="72"/>
  <c r="P2" i="72"/>
  <c r="W11" i="68"/>
  <c r="X11" i="68"/>
  <c r="T11" i="68"/>
  <c r="Y11" i="68"/>
  <c r="U11" i="68"/>
  <c r="Z2" i="70"/>
  <c r="R2" i="70"/>
  <c r="P2" i="70"/>
  <c r="O11" i="68"/>
  <c r="P11" i="68"/>
  <c r="L11" i="68"/>
  <c r="Q11" i="68"/>
  <c r="M11" i="68"/>
  <c r="N11" i="68"/>
  <c r="X2" i="69"/>
  <c r="O6" i="68"/>
  <c r="P6" i="68"/>
  <c r="L6" i="68"/>
  <c r="Q6" i="68"/>
  <c r="M6" i="68"/>
  <c r="N6" i="68"/>
  <c r="Z2" i="69"/>
  <c r="S13" i="68"/>
  <c r="Z13" i="68" s="1"/>
  <c r="S17" i="68"/>
  <c r="K13" i="68"/>
  <c r="R13" i="68" s="1"/>
  <c r="K17" i="68"/>
  <c r="C3" i="68"/>
  <c r="C17" i="68" s="1"/>
  <c r="U3" i="68" a="1"/>
  <c r="G3" i="68" a="1"/>
  <c r="L3" i="68" a="1"/>
  <c r="W3" i="68" a="1"/>
  <c r="V3" i="68" a="1"/>
  <c r="N3" i="68" a="1"/>
  <c r="I3" i="68" a="1"/>
  <c r="H3" i="68" a="1"/>
  <c r="T3" i="68" a="1"/>
  <c r="X3" i="68" a="1"/>
  <c r="M3" i="68" a="1"/>
  <c r="Y3" i="68" a="1"/>
  <c r="P3" i="68" a="1"/>
  <c r="E3" i="68" a="1"/>
  <c r="F3" i="68" a="1"/>
  <c r="D3" i="68" a="1"/>
  <c r="Q3" i="68" a="1"/>
  <c r="O3" i="68" a="1"/>
  <c r="C13" i="68" l="1"/>
  <c r="K14" i="68" s="1"/>
  <c r="Q3" i="68"/>
  <c r="Q13" i="68" s="1"/>
  <c r="I3" i="68"/>
  <c r="I13" i="68" s="1"/>
  <c r="V3" i="68"/>
  <c r="V13" i="68" s="1"/>
  <c r="P3" i="68"/>
  <c r="P13" i="68" s="1"/>
  <c r="Y3" i="68"/>
  <c r="Y13" i="68" s="1"/>
  <c r="H3" i="68"/>
  <c r="H13" i="68" s="1"/>
  <c r="M3" i="68"/>
  <c r="M13" i="68" s="1"/>
  <c r="O3" i="68"/>
  <c r="O13" i="68" s="1"/>
  <c r="E3" i="68"/>
  <c r="E13" i="68" s="1"/>
  <c r="G3" i="68"/>
  <c r="G13" i="68" s="1"/>
  <c r="X3" i="68"/>
  <c r="X13" i="68" s="1"/>
  <c r="T3" i="68"/>
  <c r="T13" i="68" s="1"/>
  <c r="W3" i="68"/>
  <c r="W13" i="68" s="1"/>
  <c r="U3" i="68"/>
  <c r="U13" i="68" s="1"/>
  <c r="D3" i="68"/>
  <c r="D13" i="68" s="1"/>
  <c r="F3" i="68"/>
  <c r="F13" i="68" s="1"/>
  <c r="L3" i="68"/>
  <c r="L13" i="68" s="1"/>
  <c r="N3" i="68"/>
  <c r="N13" i="68" s="1"/>
  <c r="J2" i="58"/>
  <c r="R2" i="58"/>
  <c r="H2" i="58"/>
  <c r="Z2" i="58"/>
  <c r="P2" i="58"/>
  <c r="X2" i="58"/>
  <c r="J13" i="68" l="1"/>
  <c r="S14" i="68"/>
  <c r="Y14" i="68"/>
  <c r="T14" i="68"/>
  <c r="X14" i="68"/>
  <c r="L14" i="68"/>
  <c r="N14" i="68"/>
  <c r="P14" i="68"/>
  <c r="M14" i="68"/>
  <c r="V14" i="68"/>
  <c r="O14" i="68"/>
  <c r="U14" i="68"/>
  <c r="W14" i="68"/>
  <c r="Q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F8" i="23" a="1"/>
  <c r="E7" i="23" a="1"/>
  <c r="E12" i="23" a="1"/>
  <c r="D8" i="23" a="1"/>
  <c r="F13" i="23" a="1"/>
  <c r="D12" i="23" a="1"/>
  <c r="F9" i="23" a="1"/>
  <c r="G6" i="23" a="1"/>
  <c r="D6" i="23" a="1"/>
  <c r="G5" i="23" a="1"/>
  <c r="E11" i="23" a="1"/>
  <c r="E9" i="23" a="1"/>
  <c r="F5" i="23" a="1"/>
  <c r="F4" i="23" a="1"/>
  <c r="E6" i="23" a="1"/>
  <c r="D13" i="23" a="1"/>
  <c r="F6" i="23" a="1"/>
  <c r="D4" i="23" a="1"/>
  <c r="E10" i="23" a="1"/>
  <c r="E5" i="23" a="1"/>
  <c r="D10" i="23" a="1"/>
  <c r="F10" i="23" a="1"/>
  <c r="G8" i="23" a="1"/>
  <c r="G10" i="23" a="1"/>
  <c r="D5" i="23" a="1"/>
  <c r="E8" i="23" a="1"/>
  <c r="G7" i="23" a="1"/>
  <c r="G13" i="23" a="1"/>
  <c r="G4" i="23" a="1"/>
  <c r="F7" i="23" a="1"/>
  <c r="F12" i="23" a="1"/>
  <c r="G12" i="23" a="1"/>
  <c r="G9" i="23" a="1"/>
  <c r="E4" i="23" a="1"/>
  <c r="G11" i="23" a="1"/>
  <c r="D11" i="23" a="1"/>
  <c r="F11" i="23" a="1"/>
  <c r="E13" i="23" a="1"/>
  <c r="D7" i="23" a="1"/>
  <c r="D9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<sst xmlns="http://schemas.openxmlformats.org/spreadsheetml/2006/main" count="677" uniqueCount="22">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</sst>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P17" sqref="A17:XFD17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77</v>
      </c>
      <c r="C3" s="5" cm="1">
        <f t="array" aca="1" ref="C3" ca="1">INDIRECT("'results" &amp; $B3 &amp; "'!D$14")</f>
        <v>90088.865273268952</v>
      </c>
      <c r="D3" s="33" cm="1">
        <f t="array" aca="1" ref="D3" ca="1">INDIRECT("'results" &amp; $B3 &amp; "'!E$14")</f>
        <v>1.047023958002683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86.666666666666671</v>
      </c>
      <c r="G3" s="5" cm="1">
        <f t="array" aca="1" ref="G3" ca="1">INDIRECT("'results" &amp; $B3 &amp; "'!H$14")</f>
        <v>80.107205129872895</v>
      </c>
      <c r="H3" s="33" cm="1">
        <f t="array" aca="1" ref="H3" ca="1">INDIRECT("'results" &amp; $B3 &amp; "'!I$14")</f>
        <v>26.943734967993183</v>
      </c>
      <c r="I3" s="5" cm="1">
        <f t="array" aca="1" ref="I3" ca="1">INDIRECT("'results" &amp; $B3 &amp; "'!J$14")</f>
        <v>1925.1792661638274</v>
      </c>
      <c r="J3" s="5"/>
      <c r="K3" s="5" cm="1">
        <f t="array" aca="1" ref="K3" ca="1">INDIRECT("'results" &amp; $B3 &amp; "'!L$14")</f>
        <v>103454.99141803379</v>
      </c>
      <c r="L3" s="5" cm="1">
        <f t="array" aca="1" ref="L3" ca="1">INDIRECT("'results" &amp; $B3 &amp; "'!M$14")</f>
        <v>0.64294741600315319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63.333333333333343</v>
      </c>
      <c r="O3" s="5" cm="1">
        <f t="array" aca="1" ref="O3" ca="1">INDIRECT("'results" &amp; $B3 &amp; "'!P$14")</f>
        <v>10.92632878460911</v>
      </c>
      <c r="P3" s="5" cm="1">
        <f t="array" aca="1" ref="P3" ca="1">INDIRECT("'results" &amp; $B3 &amp; "'!Q$14")</f>
        <v>17.346079614273268</v>
      </c>
      <c r="Q3" s="5" cm="1">
        <f t="array" aca="1" ref="Q3" ca="1">INDIRECT("'results" &amp; $B3 &amp; "'!R$14")</f>
        <v>1543.7927403443459</v>
      </c>
      <c r="R3" s="5"/>
      <c r="S3" s="5" cm="1">
        <f t="array" aca="1" ref="S3" ca="1">INDIRECT("'results" &amp; $B3 &amp; "'!T$14")</f>
        <v>107516.23025922599</v>
      </c>
      <c r="T3" s="5" cm="1">
        <f t="array" aca="1" ref="T3" ca="1">INDIRECT("'results" &amp; $B3 &amp; "'!U$14")</f>
        <v>0.95049400000061723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66.666666666666671</v>
      </c>
      <c r="W3" s="5" cm="1">
        <f t="array" aca="1" ref="W3" ca="1">INDIRECT("'results" &amp; $B3 &amp; "'!X$14")</f>
        <v>87.761888079010177</v>
      </c>
      <c r="X3" s="5" cm="1">
        <f t="array" aca="1" ref="X3" ca="1">INDIRECT("'results" &amp; $B3 &amp; "'!Y$14")</f>
        <v>26.44851113856566</v>
      </c>
      <c r="Y3" s="5" cm="1">
        <f t="array" aca="1" ref="Y3" ca="1">INDIRECT("'results" &amp; $B3 &amp; "'!Z$14")</f>
        <v>1879.6777469554961</v>
      </c>
      <c r="Z3" s="5"/>
    </row>
    <row r="4" spans="2:26" x14ac:dyDescent="0.2">
      <c r="B4" s="4">
        <v>347</v>
      </c>
      <c r="C4" s="5" cm="1">
        <f t="array" aca="1" ref="C4" ca="1">INDIRECT("'results" &amp; $B4 &amp; "'!D$14")</f>
        <v>69577.826935131379</v>
      </c>
      <c r="D4" s="33" cm="1">
        <f t="array" aca="1" ref="D4" ca="1">INDIRECT("'results" &amp; $B4 &amp; "'!E$14")</f>
        <v>0.83571937500164495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96.666666666666671</v>
      </c>
      <c r="G4" s="5" cm="1">
        <f t="array" aca="1" ref="G4" ca="1">INDIRECT("'results" &amp; $B4 &amp; "'!H$14")</f>
        <v>11.006948887544052</v>
      </c>
      <c r="H4" s="33" cm="1">
        <f t="array" aca="1" ref="H4" ca="1">INDIRECT("'results" &amp; $B4 &amp; "'!I$14")</f>
        <v>44.848323251530175</v>
      </c>
      <c r="I4" s="5" cm="1">
        <f t="array" aca="1" ref="I4" ca="1">INDIRECT("'results" &amp; $B4 &amp; "'!J$14")</f>
        <v>1777.1624003856473</v>
      </c>
      <c r="J4" s="5"/>
      <c r="K4" s="5" cm="1">
        <f t="array" aca="1" ref="K4" ca="1">INDIRECT("'results" &amp; $B4 &amp; "'!L$14")</f>
        <v>99551.988060176489</v>
      </c>
      <c r="L4" s="5" cm="1">
        <f t="array" aca="1" ref="L4" ca="1">INDIRECT("'results" &amp; $B4 &amp; "'!M$14")</f>
        <v>0.5916873750029481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60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23.611148970969069</v>
      </c>
      <c r="Q4" s="5" cm="1">
        <f t="array" aca="1" ref="Q4" ca="1">INDIRECT("'results" &amp; $B4 &amp; "'!R$14")</f>
        <v>1268.9033202880239</v>
      </c>
      <c r="R4" s="5"/>
      <c r="S4" s="5" cm="1">
        <f t="array" aca="1" ref="S4" ca="1">INDIRECT("'results" &amp; $B4 &amp; "'!T$14")</f>
        <v>82823.702360868745</v>
      </c>
      <c r="T4" s="5" cm="1">
        <f t="array" aca="1" ref="T4" ca="1">INDIRECT("'results" &amp; $B4 &amp; "'!U$14")</f>
        <v>0.81457066700022551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86.666666666666671</v>
      </c>
      <c r="W4" s="5" cm="1">
        <f t="array" aca="1" ref="W4" ca="1">INDIRECT("'results" &amp; $B4 &amp; "'!X$14")</f>
        <v>14.769413609884809</v>
      </c>
      <c r="X4" s="5" cm="1">
        <f t="array" aca="1" ref="X4" ca="1">INDIRECT("'results" &amp; $B4 &amp; "'!Y$14")</f>
        <v>56.63724515200677</v>
      </c>
      <c r="Y4" s="5" cm="1">
        <f t="array" aca="1" ref="Y4" ca="1">INDIRECT("'results" &amp; $B4 &amp; "'!Z$14")</f>
        <v>1974.2102691673949</v>
      </c>
      <c r="Z4" s="5"/>
    </row>
    <row r="5" spans="2:26" x14ac:dyDescent="0.2">
      <c r="B5" s="4">
        <v>417</v>
      </c>
      <c r="C5" s="5" cm="1">
        <f t="array" aca="1" ref="C5" ca="1">INDIRECT("'results" &amp; $B5 &amp; "'!D$14")</f>
        <v>66196.543666189638</v>
      </c>
      <c r="D5" s="33" cm="1">
        <f t="array" aca="1" ref="D5" ca="1">INDIRECT("'results" &amp; $B5 &amp; "'!E$14")</f>
        <v>1.221739291999256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96.666666666666671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42.862534242648749</v>
      </c>
      <c r="I5" s="5" cm="1">
        <f t="array" aca="1" ref="I5" ca="1">INDIRECT("'results" &amp; $B5 &amp; "'!J$14")</f>
        <v>1614.7491647471436</v>
      </c>
      <c r="J5" s="5"/>
      <c r="K5" s="5" cm="1">
        <f t="array" aca="1" ref="K5" ca="1">INDIRECT("'results" &amp; $B5 &amp; "'!L$14")</f>
        <v>94358.054618895054</v>
      </c>
      <c r="L5" s="5" cm="1">
        <f t="array" aca="1" ref="L5" ca="1">INDIRECT("'results" &amp; $B5 &amp; "'!M$14")</f>
        <v>0.76169770799970138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66.666666666666671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22.32525580441175</v>
      </c>
      <c r="Q5" s="5" cm="1">
        <f t="array" aca="1" ref="Q5" ca="1">INDIRECT("'results" &amp; $B5 &amp; "'!R$14")</f>
        <v>1363.2778828887031</v>
      </c>
      <c r="R5" s="5"/>
      <c r="S5" s="5" cm="1">
        <f t="array" aca="1" ref="S5" ca="1">INDIRECT("'results" &amp; $B5 &amp; "'!T$14")</f>
        <v>88564.643421416986</v>
      </c>
      <c r="T5" s="5" cm="1">
        <f t="array" aca="1" ref="T5" ca="1">INDIRECT("'results" &amp; $B5 &amp; "'!U$14")</f>
        <v>1.4639635829989861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58.683611709039432</v>
      </c>
      <c r="X5" s="5" cm="1">
        <f t="array" aca="1" ref="X5" ca="1">INDIRECT("'results" &amp; $B5 &amp; "'!Y$14")</f>
        <v>54.821631293567499</v>
      </c>
      <c r="Y5" s="5" cm="1">
        <f t="array" aca="1" ref="Y5" ca="1">INDIRECT("'results" &amp; $B5 &amp; "'!Z$14")</f>
        <v>1937.828843859686</v>
      </c>
      <c r="Z5" s="5"/>
    </row>
    <row r="6" spans="2:26" x14ac:dyDescent="0.2">
      <c r="B6" s="4">
        <v>158</v>
      </c>
      <c r="C6" s="5" cm="1">
        <f t="array" aca="1" ref="C6" ca="1">INDIRECT("'results" &amp; $B6 &amp; "'!D$14")</f>
        <v>101986.46772303661</v>
      </c>
      <c r="D6" s="33" cm="1">
        <f t="array" aca="1" ref="D6" ca="1">INDIRECT("'results" &amp; $B6 &amp; "'!E$14")</f>
        <v>0.66683474999808823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80</v>
      </c>
      <c r="G6" s="5" cm="1">
        <f t="array" aca="1" ref="G6" ca="1">INDIRECT("'results" &amp; $B6 &amp; "'!H$14")</f>
        <v>89.066662002515557</v>
      </c>
      <c r="H6" s="33" cm="1">
        <f t="array" aca="1" ref="H6" ca="1">INDIRECT("'results" &amp; $B6 &amp; "'!I$14")</f>
        <v>27.917322955840945</v>
      </c>
      <c r="I6" s="5" cm="1">
        <f t="array" aca="1" ref="I6" ca="1">INDIRECT("'results" &amp; $B6 &amp; "'!J$14")</f>
        <v>2165.3580471981404</v>
      </c>
      <c r="J6" s="5"/>
      <c r="K6" s="5" cm="1">
        <f t="array" aca="1" ref="K6" ca="1">INDIRECT("'results" &amp; $B6 &amp; "'!L$14")</f>
        <v>110261.2644875767</v>
      </c>
      <c r="L6" s="5" cm="1">
        <f t="array" aca="1" ref="L6" ca="1">INDIRECT("'results" &amp; $B6 &amp; "'!M$14")</f>
        <v>0.51681087500037393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56.666666666666657</v>
      </c>
      <c r="O6" s="5" cm="1">
        <f t="array" aca="1" ref="O6" ca="1">INDIRECT("'results" &amp; $B6 &amp; "'!P$14")</f>
        <v>23.581676796546478</v>
      </c>
      <c r="P6" s="5" cm="1">
        <f t="array" aca="1" ref="P6" ca="1">INDIRECT("'results" &amp; $B6 &amp; "'!Q$14")</f>
        <v>17.499341573075991</v>
      </c>
      <c r="Q6" s="5" cm="1">
        <f t="array" aca="1" ref="Q6" ca="1">INDIRECT("'results" &amp; $B6 &amp; "'!R$14")</f>
        <v>1574.0540739958601</v>
      </c>
      <c r="R6" s="5"/>
      <c r="S6" s="5" cm="1">
        <f t="array" aca="1" ref="S6" ca="1">INDIRECT("'results" &amp; $B6 &amp; "'!T$14")</f>
        <v>114708.7955662411</v>
      </c>
      <c r="T6" s="5" cm="1">
        <f t="array" aca="1" ref="T6" ca="1">INDIRECT("'results" &amp; $B6 &amp; "'!U$14")</f>
        <v>0.88151645900143194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63.333333333333343</v>
      </c>
      <c r="W6" s="5" cm="1">
        <f t="array" aca="1" ref="W6" ca="1">INDIRECT("'results" &amp; $B6 &amp; "'!X$14")</f>
        <v>51.928744624878071</v>
      </c>
      <c r="X6" s="5" cm="1">
        <f t="array" aca="1" ref="X6" ca="1">INDIRECT("'results" &amp; $B6 &amp; "'!Y$14")</f>
        <v>29.203449733693059</v>
      </c>
      <c r="Y6" s="5" cm="1">
        <f t="array" aca="1" ref="Y6" ca="1">INDIRECT("'results" &amp; $B6 &amp; "'!Z$14")</f>
        <v>2187.0331796580272</v>
      </c>
      <c r="Z6" s="5"/>
    </row>
    <row r="7" spans="2:26" x14ac:dyDescent="0.2">
      <c r="B7" s="4">
        <v>691</v>
      </c>
      <c r="C7" s="5" cm="1">
        <f t="array" aca="1" ref="C7" ca="1">INDIRECT("'results" &amp; $B7 &amp; "'!D$14")</f>
        <v>98655.874652846062</v>
      </c>
      <c r="D7" s="33" cm="1">
        <f t="array" aca="1" ref="D7" ca="1">INDIRECT("'results" &amp; $B7 &amp; "'!E$14")</f>
        <v>0.72996762500042678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80</v>
      </c>
      <c r="G7" s="5" cm="1">
        <f t="array" aca="1" ref="G7" ca="1">INDIRECT("'results" &amp; $B7 &amp; "'!H$14")</f>
        <v>133.24101610744719</v>
      </c>
      <c r="H7" s="33" cm="1">
        <f t="array" aca="1" ref="H7" ca="1">INDIRECT("'results" &amp; $B7 &amp; "'!I$14")</f>
        <v>29.009275631480769</v>
      </c>
      <c r="I7" s="5" cm="1">
        <f t="array" aca="1" ref="I7" ca="1">INDIRECT("'results" &amp; $B7 &amp; "'!J$14")</f>
        <v>2048.0579560155306</v>
      </c>
      <c r="J7" s="5"/>
      <c r="K7" s="5" cm="1">
        <f t="array" aca="1" ref="K7" ca="1">INDIRECT("'results" &amp; $B7 &amp; "'!L$14")</f>
        <v>106948.68606215469</v>
      </c>
      <c r="L7" s="5" cm="1">
        <f t="array" aca="1" ref="L7" ca="1">INDIRECT("'results" &amp; $B7 &amp; "'!M$14")</f>
        <v>0.55078366599991568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63.333333333333343</v>
      </c>
      <c r="O7" s="5" cm="1">
        <f t="array" aca="1" ref="O7" ca="1">INDIRECT("'results" &amp; $B7 &amp; "'!P$14")</f>
        <v>27.991634922818541</v>
      </c>
      <c r="P7" s="5" cm="1">
        <f t="array" aca="1" ref="P7" ca="1">INDIRECT("'results" &amp; $B7 &amp; "'!Q$14")</f>
        <v>20.703240378622532</v>
      </c>
      <c r="Q7" s="5" cm="1">
        <f t="array" aca="1" ref="Q7" ca="1">INDIRECT("'results" &amp; $B7 &amp; "'!R$14")</f>
        <v>1728.971724999946</v>
      </c>
      <c r="R7" s="5"/>
      <c r="S7" s="5" cm="1">
        <f t="array" aca="1" ref="S7" ca="1">INDIRECT("'results" &amp; $B7 &amp; "'!T$14")</f>
        <v>111589.90646109211</v>
      </c>
      <c r="T7" s="5" cm="1">
        <f t="array" aca="1" ref="T7" ca="1">INDIRECT("'results" &amp; $B7 &amp; "'!U$14")</f>
        <v>0.95182995900177048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63.333333333333343</v>
      </c>
      <c r="W7" s="5" cm="1">
        <f t="array" aca="1" ref="W7" ca="1">INDIRECT("'results" &amp; $B7 &amp; "'!X$14")</f>
        <v>99.000729658357585</v>
      </c>
      <c r="X7" s="5" cm="1">
        <f t="array" aca="1" ref="X7" ca="1">INDIRECT("'results" &amp; $B7 &amp; "'!Y$14")</f>
        <v>28.66664633013345</v>
      </c>
      <c r="Y7" s="5" cm="1">
        <f t="array" aca="1" ref="Y7" ca="1">INDIRECT("'results" &amp; $B7 &amp; "'!Z$14")</f>
        <v>2014.9286239295741</v>
      </c>
      <c r="Z7" s="5"/>
    </row>
    <row r="8" spans="2:26" x14ac:dyDescent="0.2">
      <c r="B8" s="4">
        <v>758</v>
      </c>
      <c r="C8" s="5" cm="1">
        <f t="array" aca="1" ref="C8" ca="1">INDIRECT("'results" &amp; $B8 &amp; "'!D$14")</f>
        <v>98097.019979757504</v>
      </c>
      <c r="D8" s="33" cm="1">
        <f t="array" aca="1" ref="D8" ca="1">INDIRECT("'results" &amp; $B8 &amp; "'!E$14")</f>
        <v>0.74830491700049606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76.666666666666671</v>
      </c>
      <c r="G8" s="5" cm="1">
        <f t="array" aca="1" ref="G8" ca="1">INDIRECT("'results" &amp; $B8 &amp; "'!H$14")</f>
        <v>46.007181405381786</v>
      </c>
      <c r="H8" s="33" cm="1">
        <f t="array" aca="1" ref="H8" ca="1">INDIRECT("'results" &amp; $B8 &amp; "'!I$14")</f>
        <v>23.002337983686239</v>
      </c>
      <c r="I8" s="5" cm="1">
        <f t="array" aca="1" ref="I8" ca="1">INDIRECT("'results" &amp; $B8 &amp; "'!J$14")</f>
        <v>1890.287675704951</v>
      </c>
      <c r="J8" s="5"/>
      <c r="K8" s="5" cm="1">
        <f t="array" aca="1" ref="K8" ca="1">INDIRECT("'results" &amp; $B8 &amp; "'!L$14")</f>
        <v>100558.3769399857</v>
      </c>
      <c r="L8" s="5" cm="1">
        <f t="array" aca="1" ref="L8" ca="1">INDIRECT("'results" &amp; $B8 &amp; "'!M$14")</f>
        <v>0.60792583299917169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70</v>
      </c>
      <c r="O8" s="5" cm="1">
        <f t="array" aca="1" ref="O8" ca="1">INDIRECT("'results" &amp; $B8 &amp; "'!P$14")</f>
        <v>37.690405031291142</v>
      </c>
      <c r="P8" s="5" cm="1">
        <f t="array" aca="1" ref="P8" ca="1">INDIRECT("'results" &amp; $B8 &amp; "'!Q$14")</f>
        <v>20.20480479380026</v>
      </c>
      <c r="Q8" s="5" cm="1">
        <f t="array" aca="1" ref="Q8" ca="1">INDIRECT("'results" &amp; $B8 &amp; "'!R$14")</f>
        <v>1733.058373645069</v>
      </c>
      <c r="R8" s="5"/>
      <c r="S8" s="5" cm="1">
        <f t="array" aca="1" ref="S8" ca="1">INDIRECT("'results" &amp; $B8 &amp; "'!T$14")</f>
        <v>114195.34630602731</v>
      </c>
      <c r="T8" s="5" cm="1">
        <f t="array" aca="1" ref="T8" ca="1">INDIRECT("'results" &amp; $B8 &amp; "'!U$14")</f>
        <v>1.0504216250010361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60</v>
      </c>
      <c r="W8" s="5" cm="1">
        <f t="array" aca="1" ref="W8" ca="1">INDIRECT("'results" &amp; $B8 &amp; "'!X$14")</f>
        <v>57.265874817309751</v>
      </c>
      <c r="X8" s="5" cm="1">
        <f t="array" aca="1" ref="X8" ca="1">INDIRECT("'results" &amp; $B8 &amp; "'!Y$14")</f>
        <v>25.043358088780831</v>
      </c>
      <c r="Y8" s="5" cm="1">
        <f t="array" aca="1" ref="Y8" ca="1">INDIRECT("'results" &amp; $B8 &amp; "'!Z$14")</f>
        <v>1963.5239009513341</v>
      </c>
      <c r="Z8" s="5"/>
    </row>
    <row r="9" spans="2:26" x14ac:dyDescent="0.2">
      <c r="B9" s="4">
        <v>804</v>
      </c>
      <c r="C9" s="5" cm="1">
        <f t="array" aca="1" ref="C9" ca="1">INDIRECT("'results" &amp; $B9 &amp; "'!D$14")</f>
        <v>93101.013434108667</v>
      </c>
      <c r="D9" s="33" cm="1">
        <f t="array" aca="1" ref="D9" ca="1">INDIRECT("'results" &amp; $B9 &amp; "'!E$14")</f>
        <v>0.83448149999821908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80</v>
      </c>
      <c r="G9" s="5" cm="1">
        <f t="array" aca="1" ref="G9" ca="1">INDIRECT("'results" &amp; $B9 &amp; "'!H$14")</f>
        <v>90.768516113317517</v>
      </c>
      <c r="H9" s="33" cm="1">
        <f t="array" aca="1" ref="H9" ca="1">INDIRECT("'results" &amp; $B9 &amp; "'!I$14")</f>
        <v>28.859294784403513</v>
      </c>
      <c r="I9" s="5" cm="1">
        <f t="array" aca="1" ref="I9" ca="1">INDIRECT("'results" &amp; $B9 &amp; "'!J$14")</f>
        <v>1919.1383495468283</v>
      </c>
      <c r="J9" s="5"/>
      <c r="K9" s="5" cm="1">
        <f t="array" aca="1" ref="K9" ca="1">INDIRECT("'results" &amp; $B9 &amp; "'!L$14")</f>
        <v>103197.1837994735</v>
      </c>
      <c r="L9" s="5" cm="1">
        <f t="array" aca="1" ref="L9" ca="1">INDIRECT("'results" &amp; $B9 &amp; "'!M$14")</f>
        <v>0.72949712499757879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63.333333333333343</v>
      </c>
      <c r="O9" s="5" cm="1">
        <f t="array" aca="1" ref="O9" ca="1">INDIRECT("'results" &amp; $B9 &amp; "'!P$14")</f>
        <v>29.76236668854936</v>
      </c>
      <c r="P9" s="5" cm="1">
        <f t="array" aca="1" ref="P9" ca="1">INDIRECT("'results" &amp; $B9 &amp; "'!Q$14")</f>
        <v>22.509076555606612</v>
      </c>
      <c r="Q9" s="5" cm="1">
        <f t="array" aca="1" ref="Q9" ca="1">INDIRECT("'results" &amp; $B9 &amp; "'!R$14")</f>
        <v>1630.845604002561</v>
      </c>
      <c r="R9" s="5"/>
      <c r="S9" s="5" cm="1">
        <f t="array" aca="1" ref="S9" ca="1">INDIRECT("'results" &amp; $B9 &amp; "'!T$14")</f>
        <v>109952.84580393349</v>
      </c>
      <c r="T9" s="5" cm="1">
        <f t="array" aca="1" ref="T9" ca="1">INDIRECT("'results" &amp; $B9 &amp; "'!U$14")</f>
        <v>0.88591791599901626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63.333333333333343</v>
      </c>
      <c r="W9" s="5" cm="1">
        <f t="array" aca="1" ref="W9" ca="1">INDIRECT("'results" &amp; $B9 &amp; "'!X$14")</f>
        <v>64.502133692650233</v>
      </c>
      <c r="X9" s="5" cm="1">
        <f t="array" aca="1" ref="X9" ca="1">INDIRECT("'results" &amp; $B9 &amp; "'!Y$14")</f>
        <v>32.411215461757664</v>
      </c>
      <c r="Y9" s="5" cm="1">
        <f t="array" aca="1" ref="Y9" ca="1">INDIRECT("'results" &amp; $B9 &amp; "'!Z$14")</f>
        <v>2090.9254000222081</v>
      </c>
      <c r="Z9" s="5"/>
    </row>
    <row r="10" spans="2:26" x14ac:dyDescent="0.2">
      <c r="B10" s="4">
        <v>905</v>
      </c>
      <c r="C10" s="5" cm="1">
        <f t="array" aca="1" ref="C10" ca="1">INDIRECT("'results" &amp; $B10 &amp; "'!D$14")</f>
        <v>77958.254138702847</v>
      </c>
      <c r="D10" s="33" cm="1">
        <f t="array" aca="1" ref="D10" ca="1">INDIRECT("'results" &amp; $B10 &amp; "'!E$14")</f>
        <v>2.7602267080001179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86.666666666666671</v>
      </c>
      <c r="G10" s="5" cm="1">
        <f t="array" aca="1" ref="G10" ca="1">INDIRECT("'results" &amp; $B10 &amp; "'!H$14")</f>
        <v>47.422749088361272</v>
      </c>
      <c r="H10" s="33" cm="1">
        <f t="array" aca="1" ref="H10" ca="1">INDIRECT("'results" &amp; $B10 &amp; "'!I$14")</f>
        <v>38.479758786433678</v>
      </c>
      <c r="I10" s="5" cm="1">
        <f t="array" aca="1" ref="I10" ca="1">INDIRECT("'results" &amp; $B10 &amp; "'!J$14")</f>
        <v>1641.3368527334019</v>
      </c>
      <c r="J10" s="5"/>
      <c r="K10" s="5" cm="1">
        <f t="array" aca="1" ref="K10" ca="1">INDIRECT("'results" &amp; $B10 &amp; "'!L$14")</f>
        <v>102417.20767477169</v>
      </c>
      <c r="L10" s="5" cm="1">
        <f t="array" aca="1" ref="L10" ca="1">INDIRECT("'results" &amp; $B10 &amp; "'!M$14")</f>
        <v>0.62382120799884433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63.333333333333343</v>
      </c>
      <c r="O10" s="5" cm="1">
        <f t="array" aca="1" ref="O10" ca="1">INDIRECT("'results" &amp; $B10 &amp; "'!P$14")</f>
        <v>6.9376834444206734</v>
      </c>
      <c r="P10" s="5" cm="1">
        <f t="array" aca="1" ref="P10" ca="1">INDIRECT("'results" &amp; $B10 &amp; "'!Q$14")</f>
        <v>16.949867849186461</v>
      </c>
      <c r="Q10" s="5" cm="1">
        <f t="array" aca="1" ref="Q10" ca="1">INDIRECT("'results" &amp; $B10 &amp; "'!R$14")</f>
        <v>1104.474520932574</v>
      </c>
      <c r="R10" s="5"/>
      <c r="S10" s="5" cm="1">
        <f t="array" aca="1" ref="S10" ca="1">INDIRECT("'results" &amp; $B10 &amp; "'!T$14")</f>
        <v>91097.150464617705</v>
      </c>
      <c r="T10" s="5" cm="1">
        <f t="array" aca="1" ref="T10" ca="1">INDIRECT("'results" &amp; $B10 &amp; "'!U$14")</f>
        <v>1.501123624999309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73.333333333333329</v>
      </c>
      <c r="W10" s="5" cm="1">
        <f t="array" aca="1" ref="W10" ca="1">INDIRECT("'results" &amp; $B10 &amp; "'!X$14")</f>
        <v>9.814543355258305</v>
      </c>
      <c r="X10" s="5" cm="1">
        <f t="array" aca="1" ref="X10" ca="1">INDIRECT("'results" &amp; $B10 &amp; "'!Y$14")</f>
        <v>46.758045725717032</v>
      </c>
      <c r="Y10" s="5" cm="1">
        <f t="array" aca="1" ref="Y10" ca="1">INDIRECT("'results" &amp; $B10 &amp; "'!Z$14")</f>
        <v>1710.6964580934441</v>
      </c>
      <c r="Z10" s="5"/>
    </row>
    <row r="11" spans="2:26" x14ac:dyDescent="0.2">
      <c r="B11" s="4">
        <v>185</v>
      </c>
      <c r="C11" s="5" cm="1">
        <f t="array" aca="1" ref="C11" ca="1">INDIRECT("'results" &amp; $B11 &amp; "'!D$14")</f>
        <v>73483.367321637736</v>
      </c>
      <c r="D11" s="33" cm="1">
        <f t="array" aca="1" ref="D11" ca="1">INDIRECT("'results" &amp; $B11 &amp; "'!E$14")</f>
        <v>1.873035249998793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22.314495514480146</v>
      </c>
      <c r="H11" s="33" cm="1">
        <f t="array" aca="1" ref="H11" ca="1">INDIRECT("'results" &amp; $B11 &amp; "'!I$14")</f>
        <v>49.06955320277185</v>
      </c>
      <c r="I11" s="5" cm="1">
        <f t="array" aca="1" ref="I11" ca="1">INDIRECT("'results" &amp; $B11 &amp; "'!J$14")</f>
        <v>1772.9157492063998</v>
      </c>
      <c r="J11" s="5"/>
      <c r="K11" s="5" cm="1">
        <f t="array" aca="1" ref="K11" ca="1">INDIRECT("'results" &amp; $B11 &amp; "'!L$14")</f>
        <v>86944.50763425116</v>
      </c>
      <c r="L11" s="5" cm="1">
        <f t="array" aca="1" ref="L11" ca="1">INDIRECT("'results" &amp; $B11 &amp; "'!M$14")</f>
        <v>1.121596666998812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2.7756830146680804</v>
      </c>
      <c r="P11" s="5" cm="1">
        <f t="array" aca="1" ref="P11" ca="1">INDIRECT("'results" &amp; $B11 &amp; "'!Q$14")</f>
        <v>28.692355941336576</v>
      </c>
      <c r="Q11" s="5" cm="1">
        <f t="array" aca="1" ref="Q11" ca="1">INDIRECT("'results" &amp; $B11 &amp; "'!R$14")</f>
        <v>1486.5612502747829</v>
      </c>
      <c r="R11" s="5"/>
      <c r="S11" s="5" cm="1">
        <f t="array" aca="1" ref="S11" ca="1">INDIRECT("'results" &amp; $B11 &amp; "'!T$14")</f>
        <v>91290.093265672011</v>
      </c>
      <c r="T11" s="5" cm="1">
        <f t="array" aca="1" ref="T11" ca="1">INDIRECT("'results" &amp; $B11 &amp; "'!U$14")</f>
        <v>2.202354999997624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76.666666666666671</v>
      </c>
      <c r="W11" s="5" cm="1">
        <f t="array" aca="1" ref="W11" ca="1">INDIRECT("'results" &amp; $B11 &amp; "'!X$14")</f>
        <v>65.736128559365511</v>
      </c>
      <c r="X11" s="5" cm="1">
        <f t="array" aca="1" ref="X11" ca="1">INDIRECT("'results" &amp; $B11 &amp; "'!Y$14")</f>
        <v>65.249342626759045</v>
      </c>
      <c r="Y11" s="5" cm="1">
        <f t="array" aca="1" ref="Y11" ca="1">INDIRECT("'results" &amp; $B11 &amp; "'!Z$14")</f>
        <v>2074.6070653221964</v>
      </c>
      <c r="Z11" s="5"/>
    </row>
    <row r="12" spans="2:26" x14ac:dyDescent="0.2">
      <c r="B12" s="4">
        <v>549</v>
      </c>
      <c r="C12" s="5" cm="1">
        <f t="array" aca="1" ref="C12" ca="1">INDIRECT("'results" &amp; $B12 &amp; "'!D$14")</f>
        <v>90790.964050958981</v>
      </c>
      <c r="D12" s="33" cm="1">
        <f t="array" aca="1" ref="D12" ca="1">INDIRECT("'results" &amp; $B12 &amp; "'!E$14")</f>
        <v>0.75592258400138235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90</v>
      </c>
      <c r="G12" s="5" cm="1">
        <f t="array" aca="1" ref="G12" ca="1">INDIRECT("'results" &amp; $B12 &amp; "'!H$14")</f>
        <v>91.463461252108488</v>
      </c>
      <c r="H12" s="33" cm="1">
        <f t="array" aca="1" ref="H12" ca="1">INDIRECT("'results" &amp; $B12 &amp; "'!I$14")</f>
        <v>29.6740462798059</v>
      </c>
      <c r="I12" s="5" cm="1">
        <f t="array" aca="1" ref="I12" ca="1">INDIRECT("'results" &amp; $B12 &amp; "'!J$14")</f>
        <v>2114.4697039795055</v>
      </c>
      <c r="J12" s="5"/>
      <c r="K12" s="5" cm="1">
        <f t="array" aca="1" ref="K12" ca="1">INDIRECT("'results" &amp; $B12 &amp; "'!L$14")</f>
        <v>103142.1911885085</v>
      </c>
      <c r="L12" s="5" cm="1">
        <f t="array" aca="1" ref="L12" ca="1">INDIRECT("'results" &amp; $B12 &amp; "'!M$14")</f>
        <v>0.63792908399773296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60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15.413448806127469</v>
      </c>
      <c r="Q12" s="5" cm="1">
        <f t="array" aca="1" ref="Q12" ca="1">INDIRECT("'results" &amp; $B12 &amp; "'!R$14")</f>
        <v>1468.027011040261</v>
      </c>
      <c r="R12" s="5"/>
      <c r="S12" s="5" cm="1">
        <f t="array" aca="1" ref="S12" ca="1">INDIRECT("'results" &amp; $B12 &amp; "'!T$14")</f>
        <v>107418.566223321</v>
      </c>
      <c r="T12" s="5" cm="1">
        <f t="array" aca="1" ref="T12" ca="1">INDIRECT("'results" &amp; $B12 &amp; "'!U$14")</f>
        <v>1.0191705420002111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70</v>
      </c>
      <c r="W12" s="5" cm="1">
        <f t="array" aca="1" ref="W12" ca="1">INDIRECT("'results" &amp; $B12 &amp; "'!X$14")</f>
        <v>105.9874146169327</v>
      </c>
      <c r="X12" s="5" cm="1">
        <f t="array" aca="1" ref="X12" ca="1">INDIRECT("'results" &amp; $B12 &amp; "'!Y$14")</f>
        <v>30.54176970143391</v>
      </c>
      <c r="Y12" s="5" cm="1">
        <f t="array" aca="1" ref="Y12" ca="1">INDIRECT("'results" &amp; $B12 &amp; "'!Z$14")</f>
        <v>2135.0222019783341</v>
      </c>
      <c r="Z12" s="5"/>
    </row>
    <row r="13" spans="2:26" x14ac:dyDescent="0.2">
      <c r="B13" s="8" t="s">
        <v>3</v>
      </c>
      <c r="C13" s="9">
        <f ca="1">AVERAGE(C3:C12)</f>
        <v>85993.619717563837</v>
      </c>
      <c r="D13" s="10">
        <f t="shared" ref="D13:I13" ca="1" si="0">AVERAGE(D3:D12)</f>
        <v>1.1473255959001107</v>
      </c>
      <c r="E13" s="9">
        <f t="shared" ca="1" si="0"/>
        <v>2</v>
      </c>
      <c r="F13" s="9">
        <f t="shared" ca="1" si="0"/>
        <v>86.333333333333329</v>
      </c>
      <c r="G13" s="9">
        <f t="shared" ca="1" si="0"/>
        <v>61.139823550102889</v>
      </c>
      <c r="H13" s="10">
        <f t="shared" ca="1" si="0"/>
        <v>34.066618208659499</v>
      </c>
      <c r="I13" s="9">
        <f t="shared" ca="1" si="0"/>
        <v>1886.865516568138</v>
      </c>
      <c r="J13" s="32" t="e">
        <f ca="1">(C13-$D$15)/$D$15</f>
        <v>#DIV/0!</v>
      </c>
      <c r="K13" s="16">
        <f ca="1">AVERAGE(K3:K12)</f>
        <v>101083.44518838273</v>
      </c>
      <c r="L13" s="41">
        <f t="shared" ref="L13:Q13" ca="1" si="1">AVERAGE(L3:L12)</f>
        <v>0.67846969569982318</v>
      </c>
      <c r="M13" s="16">
        <f t="shared" ca="1" si="1"/>
        <v>2.2000000000000002</v>
      </c>
      <c r="N13" s="16">
        <f ca="1">AVERAGE(N3:N12)</f>
        <v>64.666666666666671</v>
      </c>
      <c r="O13" s="16">
        <f t="shared" ca="1" si="1"/>
        <v>13.96657786829034</v>
      </c>
      <c r="P13" s="41">
        <f t="shared" ca="1" si="1"/>
        <v>20.525462028741</v>
      </c>
      <c r="Q13" s="16">
        <f t="shared" ca="1" si="1"/>
        <v>1490.1966502412129</v>
      </c>
      <c r="R13" s="42" t="e">
        <f ca="1">(K13-$D$15)/$D$15</f>
        <v>#DIV/0!</v>
      </c>
      <c r="S13" s="38">
        <f ca="1">AVERAGE(S3:S12)</f>
        <v>101915.72801324163</v>
      </c>
      <c r="T13" s="43">
        <f t="shared" ref="T13:Y13" ca="1" si="2">AVERAGE(T3:T12)</f>
        <v>1.1721363376000227</v>
      </c>
      <c r="U13" s="38">
        <f t="shared" ca="1" si="2"/>
        <v>2</v>
      </c>
      <c r="V13" s="38">
        <f t="shared" ca="1" si="2"/>
        <v>70.333333333333343</v>
      </c>
      <c r="W13" s="38">
        <f t="shared" ca="1" si="2"/>
        <v>61.545048272268652</v>
      </c>
      <c r="X13" s="43">
        <f t="shared" ca="1" si="2"/>
        <v>39.578121525241492</v>
      </c>
      <c r="Y13" s="38">
        <f t="shared" ca="1" si="2"/>
        <v>1996.8453689937692</v>
      </c>
      <c r="Z13" s="44" t="e">
        <f ca="1">(S13-$D$15)/$D$15</f>
        <v>#DIV/0!</v>
      </c>
    </row>
    <row r="14" spans="2:26" x14ac:dyDescent="0.2">
      <c r="K14" s="45">
        <f ca="1">(K13-C13)/C13</f>
        <v>0.17547610532478675</v>
      </c>
      <c r="L14" s="45">
        <f t="shared" ref="L14:Q14" ca="1" si="3">(L13-D13)/D13</f>
        <v>-0.40865112909161266</v>
      </c>
      <c r="M14" s="45">
        <f t="shared" ca="1" si="3"/>
        <v>0.10000000000000009</v>
      </c>
      <c r="N14" s="45">
        <f t="shared" ca="1" si="3"/>
        <v>-0.25096525096525085</v>
      </c>
      <c r="O14" s="45">
        <f t="shared" ca="1" si="3"/>
        <v>-0.77156332718485843</v>
      </c>
      <c r="P14" s="45">
        <f t="shared" ca="1" si="3"/>
        <v>-0.39749047284289668</v>
      </c>
      <c r="Q14" s="45">
        <f t="shared" ca="1" si="3"/>
        <v>-0.21022635839378367</v>
      </c>
      <c r="S14" s="45">
        <f ca="1">(S13-C13)/C13</f>
        <v>0.1851545306264829</v>
      </c>
      <c r="T14" s="45">
        <f t="shared" ref="T14:Y14" ca="1" si="4">(T13-D13)/D13</f>
        <v>2.1624848071525132E-2</v>
      </c>
      <c r="U14" s="45">
        <f t="shared" ca="1" si="4"/>
        <v>0</v>
      </c>
      <c r="V14" s="45">
        <f ca="1">(V13-F13)/F13</f>
        <v>-0.18532818532818518</v>
      </c>
      <c r="W14" s="45">
        <f t="shared" ca="1" si="4"/>
        <v>6.6278359772119488E-3</v>
      </c>
      <c r="X14" s="45">
        <f t="shared" ca="1" si="4"/>
        <v>0.1617860417733219</v>
      </c>
      <c r="Y14" s="45">
        <f t="shared" ca="1" si="4"/>
        <v>5.8287064690049739E-2</v>
      </c>
    </row>
    <row r="17" spans="2:19" ht="15" customHeight="1" x14ac:dyDescent="0.2">
      <c r="B17" s="1" t="s">
        <v>21</v>
      </c>
      <c r="C17">
        <f ca="1">_xlfn.STDEV.S(C3:C12)</f>
        <v>13061.277661644421</v>
      </c>
      <c r="J17" s="1" t="s">
        <v>21</v>
      </c>
      <c r="K17">
        <f ca="1">_xlfn.STDEV.S(K3:K12)</f>
        <v>6519.2398037342527</v>
      </c>
      <c r="R17" s="1" t="s">
        <v>21</v>
      </c>
      <c r="S17">
        <f ca="1">_xlfn.STDEV.S(S3:S12)</f>
        <v>12050.754171333943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tabSelected="1" zoomScale="110" zoomScaleNormal="110" workbookViewId="0">
      <pane xSplit="3" topLeftCell="D1" activePane="topRight" state="frozen"/>
      <selection pane="topRight" activeCell="D17" sqref="D1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-0.78346417670980872</v>
      </c>
      <c r="J2" s="28" t="e">
        <f>(S14-J14)/J14</f>
        <v>#DIV/0!</v>
      </c>
      <c r="K2" s="28"/>
      <c r="L2" s="1" t="s">
        <v>19</v>
      </c>
      <c r="P2" s="1">
        <f>(P14-H14)/H14</f>
        <v>-0.86360367002075622</v>
      </c>
      <c r="R2" s="1">
        <f>(R14-J14)/J14</f>
        <v>-0.19810442202582215</v>
      </c>
      <c r="T2" s="1" t="s">
        <v>20</v>
      </c>
      <c r="X2" s="1">
        <f>(X14-P14)/P14</f>
        <v>7.0321478338297929</v>
      </c>
      <c r="Z2" s="1">
        <f>(Z14-R14)/R14</f>
        <v>0.2175713085269661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175</v>
      </c>
      <c r="D4" s="23">
        <v>90088.865273268952</v>
      </c>
      <c r="E4" s="33">
        <v>1.047023958002683</v>
      </c>
      <c r="F4" s="5">
        <v>2</v>
      </c>
      <c r="G4" s="23">
        <v>86.666666666666671</v>
      </c>
      <c r="H4" s="33">
        <v>80.107205129872895</v>
      </c>
      <c r="I4" s="23">
        <v>26.943734967993183</v>
      </c>
      <c r="J4" s="5">
        <v>1925.1792661638274</v>
      </c>
      <c r="K4" s="31"/>
      <c r="L4" s="23">
        <v>103454.99141803379</v>
      </c>
      <c r="M4" s="33">
        <v>0.64294741600315319</v>
      </c>
      <c r="N4" s="5">
        <v>2</v>
      </c>
      <c r="O4" s="5">
        <v>63.333333333333343</v>
      </c>
      <c r="P4" s="33">
        <v>10.92632878460911</v>
      </c>
      <c r="Q4" s="5">
        <v>17.346079614273268</v>
      </c>
      <c r="R4" s="5">
        <v>1543.7927403443459</v>
      </c>
      <c r="S4" s="31"/>
      <c r="T4" s="23">
        <v>110495.5014649877</v>
      </c>
      <c r="U4" s="33">
        <v>0.89639183299732395</v>
      </c>
      <c r="V4" s="5">
        <v>2</v>
      </c>
      <c r="W4" s="5">
        <v>66.666666666666671</v>
      </c>
      <c r="X4" s="33">
        <v>110.46123067320831</v>
      </c>
      <c r="Y4" s="5">
        <v>26.533708118191541</v>
      </c>
      <c r="Z4" s="5">
        <v>1989.8433708908201</v>
      </c>
      <c r="AA4" s="35"/>
    </row>
    <row r="5" spans="2:27" x14ac:dyDescent="0.2">
      <c r="B5" s="4">
        <v>2</v>
      </c>
      <c r="C5" s="4">
        <v>315</v>
      </c>
      <c r="D5" s="23">
        <v>90088.865273268952</v>
      </c>
      <c r="E5" s="33">
        <v>1.061270250000234</v>
      </c>
      <c r="F5" s="5">
        <v>2</v>
      </c>
      <c r="G5" s="23">
        <v>86.666666666666671</v>
      </c>
      <c r="H5" s="33">
        <v>80.107205129872895</v>
      </c>
      <c r="I5" s="23">
        <v>26.943734967993183</v>
      </c>
      <c r="J5" s="5">
        <v>1925.1792661638274</v>
      </c>
      <c r="K5" s="31"/>
      <c r="L5" s="23">
        <v>105513.6873738625</v>
      </c>
      <c r="M5" s="33">
        <v>0.51944749999893247</v>
      </c>
      <c r="N5" s="5">
        <v>2</v>
      </c>
      <c r="O5" s="5">
        <v>66.666666666666671</v>
      </c>
      <c r="P5" s="33">
        <v>55.043723610232611</v>
      </c>
      <c r="Q5" s="5">
        <v>21.08201727287533</v>
      </c>
      <c r="R5" s="5">
        <v>1776.511879028561</v>
      </c>
      <c r="S5" s="31"/>
      <c r="T5" s="23">
        <v>107981.17560499979</v>
      </c>
      <c r="U5" s="33">
        <v>1.111705625000468</v>
      </c>
      <c r="V5" s="5">
        <v>2</v>
      </c>
      <c r="W5" s="5">
        <v>66.666666666666671</v>
      </c>
      <c r="X5" s="33">
        <v>86.20521941872309</v>
      </c>
      <c r="Y5" s="5">
        <v>26.279008076594359</v>
      </c>
      <c r="Z5" s="5">
        <v>1868.781066333486</v>
      </c>
      <c r="AA5" s="35"/>
    </row>
    <row r="6" spans="2:27" x14ac:dyDescent="0.2">
      <c r="B6" s="4">
        <v>3</v>
      </c>
      <c r="C6" s="4">
        <v>353</v>
      </c>
      <c r="D6" s="23">
        <v>91056.536534738421</v>
      </c>
      <c r="E6" s="33">
        <v>1.2912305829995601</v>
      </c>
      <c r="F6" s="5">
        <v>2</v>
      </c>
      <c r="G6" s="23">
        <v>86.666666666666671</v>
      </c>
      <c r="H6" s="33">
        <v>72.711129010821367</v>
      </c>
      <c r="I6" s="23">
        <v>26.760858131146826</v>
      </c>
      <c r="J6" s="5">
        <v>1914.1473639575083</v>
      </c>
      <c r="K6" s="31"/>
      <c r="L6" s="23">
        <v>110040.0539853192</v>
      </c>
      <c r="M6" s="33">
        <v>0.47356187499826768</v>
      </c>
      <c r="N6" s="5">
        <v>2</v>
      </c>
      <c r="O6" s="5">
        <v>56.666666666666657</v>
      </c>
      <c r="P6" s="33">
        <v>5.1731540030095857</v>
      </c>
      <c r="Q6" s="5">
        <v>16.152879650273391</v>
      </c>
      <c r="R6" s="5">
        <v>1483.014941887137</v>
      </c>
      <c r="S6" s="31"/>
      <c r="T6" s="23">
        <v>108298.0235332132</v>
      </c>
      <c r="U6" s="33">
        <v>0.9276190000018687</v>
      </c>
      <c r="V6" s="5">
        <v>2</v>
      </c>
      <c r="W6" s="5">
        <v>70</v>
      </c>
      <c r="X6" s="33">
        <v>144.77147295504599</v>
      </c>
      <c r="Y6" s="5">
        <v>29.64858310565214</v>
      </c>
      <c r="Z6" s="5">
        <v>2013.947064589607</v>
      </c>
      <c r="AA6" s="35"/>
    </row>
    <row r="7" spans="2:27" x14ac:dyDescent="0.2">
      <c r="B7" s="4">
        <v>4</v>
      </c>
      <c r="C7" s="4">
        <v>631</v>
      </c>
      <c r="D7" s="23">
        <v>90088.865273268952</v>
      </c>
      <c r="E7" s="33">
        <v>1.0919863749986689</v>
      </c>
      <c r="F7" s="5">
        <v>2</v>
      </c>
      <c r="G7" s="23">
        <v>86.666666666666671</v>
      </c>
      <c r="H7" s="33">
        <v>80.107205129872895</v>
      </c>
      <c r="I7" s="23">
        <v>26.943734967993183</v>
      </c>
      <c r="J7" s="5">
        <v>1925.1792661638274</v>
      </c>
      <c r="K7" s="31"/>
      <c r="L7" s="23">
        <v>104664.38817583369</v>
      </c>
      <c r="M7" s="33">
        <v>0.58760679199986043</v>
      </c>
      <c r="N7" s="5">
        <v>2</v>
      </c>
      <c r="O7" s="5">
        <v>60</v>
      </c>
      <c r="P7" s="33">
        <v>0.80649519856886942</v>
      </c>
      <c r="Q7" s="5">
        <v>16.52013774858602</v>
      </c>
      <c r="R7" s="5">
        <v>1467.520488687732</v>
      </c>
      <c r="S7" s="31"/>
      <c r="T7" s="23">
        <v>112014.4045531389</v>
      </c>
      <c r="U7" s="33">
        <v>0.83558695800093119</v>
      </c>
      <c r="V7" s="5">
        <v>2</v>
      </c>
      <c r="W7" s="5">
        <v>60</v>
      </c>
      <c r="X7" s="33">
        <v>62.184459598030337</v>
      </c>
      <c r="Y7" s="5">
        <v>22.96917873579369</v>
      </c>
      <c r="Z7" s="5">
        <v>1804.9228868191401</v>
      </c>
      <c r="AA7" s="35"/>
    </row>
    <row r="8" spans="2:27" x14ac:dyDescent="0.2">
      <c r="B8" s="4">
        <v>5</v>
      </c>
      <c r="C8" s="4">
        <v>696</v>
      </c>
      <c r="D8" s="23">
        <v>90088.865273268952</v>
      </c>
      <c r="E8" s="33">
        <v>0.7236267090011097</v>
      </c>
      <c r="F8" s="5">
        <v>2</v>
      </c>
      <c r="G8" s="23">
        <v>86.666666666666671</v>
      </c>
      <c r="H8" s="33">
        <v>80.107205129872895</v>
      </c>
      <c r="I8" s="23">
        <v>26.943734967993183</v>
      </c>
      <c r="J8" s="5">
        <v>1925.1792661638274</v>
      </c>
      <c r="K8" s="31"/>
      <c r="L8" s="23">
        <v>104862.9594205921</v>
      </c>
      <c r="M8" s="33">
        <v>0.75537745799738332</v>
      </c>
      <c r="N8" s="5">
        <v>2</v>
      </c>
      <c r="O8" s="5">
        <v>63.333333333333343</v>
      </c>
      <c r="P8" s="33">
        <v>19.440376867463829</v>
      </c>
      <c r="Q8" s="5">
        <v>19.172208864971491</v>
      </c>
      <c r="R8" s="5">
        <v>1650.2269508706611</v>
      </c>
      <c r="S8" s="31"/>
      <c r="T8" s="23">
        <v>107516.23025922599</v>
      </c>
      <c r="U8" s="33">
        <v>0.95049400000061723</v>
      </c>
      <c r="V8" s="5">
        <v>2</v>
      </c>
      <c r="W8" s="5">
        <v>66.666666666666671</v>
      </c>
      <c r="X8" s="33">
        <v>87.761888079010177</v>
      </c>
      <c r="Y8" s="5">
        <v>26.44851113856566</v>
      </c>
      <c r="Z8" s="5">
        <v>1879.6777469554961</v>
      </c>
      <c r="AA8" s="35"/>
    </row>
    <row r="9" spans="2:27" x14ac:dyDescent="0.2">
      <c r="B9" s="4">
        <v>6</v>
      </c>
      <c r="C9" s="4">
        <v>721</v>
      </c>
      <c r="D9" s="23">
        <v>90263.273088401416</v>
      </c>
      <c r="E9" s="33">
        <v>0.74106224999923143</v>
      </c>
      <c r="F9" s="5">
        <v>2</v>
      </c>
      <c r="G9" s="23">
        <v>86.666666666666671</v>
      </c>
      <c r="H9" s="33">
        <v>80.15729457531117</v>
      </c>
      <c r="I9" s="23">
        <v>26.947304789125148</v>
      </c>
      <c r="J9" s="5">
        <v>1925.3211862592375</v>
      </c>
      <c r="K9" s="31"/>
      <c r="L9" s="23">
        <v>106323.74117859809</v>
      </c>
      <c r="M9" s="33">
        <v>0.6435440830027801</v>
      </c>
      <c r="N9" s="5">
        <v>2</v>
      </c>
      <c r="O9" s="5">
        <v>56.666666666666657</v>
      </c>
      <c r="P9" s="33">
        <v>0.85393609260233239</v>
      </c>
      <c r="Q9" s="5">
        <v>14.09306735840417</v>
      </c>
      <c r="R9" s="5">
        <v>1360.8163532788351</v>
      </c>
      <c r="S9" s="31"/>
      <c r="T9" s="23">
        <v>107516.23025922599</v>
      </c>
      <c r="U9" s="33">
        <v>0.96605029200145509</v>
      </c>
      <c r="V9" s="5">
        <v>2</v>
      </c>
      <c r="W9" s="5">
        <v>66.666666666666671</v>
      </c>
      <c r="X9" s="33">
        <v>87.761888079010177</v>
      </c>
      <c r="Y9" s="5">
        <v>26.44851113856566</v>
      </c>
      <c r="Z9" s="5">
        <v>1879.6777469554961</v>
      </c>
      <c r="AA9" s="35"/>
    </row>
    <row r="10" spans="2:27" x14ac:dyDescent="0.2">
      <c r="B10" s="4">
        <v>7</v>
      </c>
      <c r="C10" s="4">
        <v>836</v>
      </c>
      <c r="D10" s="23">
        <v>90088.865273268952</v>
      </c>
      <c r="E10" s="33">
        <v>1.4438810840001679</v>
      </c>
      <c r="F10" s="5">
        <v>2</v>
      </c>
      <c r="G10" s="23">
        <v>86.666666666666671</v>
      </c>
      <c r="H10" s="33">
        <v>80.107205129872895</v>
      </c>
      <c r="I10" s="23">
        <v>26.943734967993183</v>
      </c>
      <c r="J10" s="5">
        <v>1925.1792661638274</v>
      </c>
      <c r="K10" s="31"/>
      <c r="L10" s="23">
        <v>104106.0985030978</v>
      </c>
      <c r="M10" s="33">
        <v>0.96912270900065778</v>
      </c>
      <c r="N10" s="5">
        <v>2</v>
      </c>
      <c r="O10" s="5">
        <v>60</v>
      </c>
      <c r="P10" s="33">
        <v>0.80649519856886942</v>
      </c>
      <c r="Q10" s="5">
        <v>16.07584800998994</v>
      </c>
      <c r="R10" s="5">
        <v>1446.1552862760179</v>
      </c>
      <c r="S10" s="31"/>
      <c r="T10" s="23">
        <v>107516.23025922599</v>
      </c>
      <c r="U10" s="33">
        <v>1.6632712919999899</v>
      </c>
      <c r="V10" s="5">
        <v>2</v>
      </c>
      <c r="W10" s="5">
        <v>66.666666666666671</v>
      </c>
      <c r="X10" s="33">
        <v>87.761888079010177</v>
      </c>
      <c r="Y10" s="5">
        <v>26.44851113856566</v>
      </c>
      <c r="Z10" s="5">
        <v>1879.6777469554961</v>
      </c>
      <c r="AA10" s="35"/>
    </row>
    <row r="11" spans="2:27" x14ac:dyDescent="0.2">
      <c r="B11" s="4">
        <v>8</v>
      </c>
      <c r="C11" s="4">
        <v>972</v>
      </c>
      <c r="D11" s="23">
        <v>90263.273088401416</v>
      </c>
      <c r="E11" s="33">
        <v>2.046887165997759</v>
      </c>
      <c r="F11" s="5">
        <v>2</v>
      </c>
      <c r="G11" s="23">
        <v>86.666666666666671</v>
      </c>
      <c r="H11" s="33">
        <v>80.15729457531117</v>
      </c>
      <c r="I11" s="23">
        <v>26.947304789125148</v>
      </c>
      <c r="J11" s="5">
        <v>1925.3211862592375</v>
      </c>
      <c r="K11" s="31"/>
      <c r="L11" s="23">
        <v>106131.6638898909</v>
      </c>
      <c r="M11" s="33">
        <v>0.97814704199845437</v>
      </c>
      <c r="N11" s="5">
        <v>2</v>
      </c>
      <c r="O11" s="5">
        <v>60</v>
      </c>
      <c r="P11" s="33">
        <v>11.53334705042073</v>
      </c>
      <c r="Q11" s="5">
        <v>15.63501334827518</v>
      </c>
      <c r="R11" s="5">
        <v>1480.3788521066151</v>
      </c>
      <c r="S11" s="31"/>
      <c r="T11" s="23">
        <v>115192.906579984</v>
      </c>
      <c r="U11" s="33">
        <v>2.6757191249998868</v>
      </c>
      <c r="V11" s="5">
        <v>2</v>
      </c>
      <c r="W11" s="5">
        <v>53.333333333333343</v>
      </c>
      <c r="X11" s="33">
        <v>53.979146695155563</v>
      </c>
      <c r="Y11" s="5">
        <v>33.535518990820208</v>
      </c>
      <c r="Z11" s="5">
        <v>1790.1398678380799</v>
      </c>
      <c r="AA11" s="35"/>
    </row>
    <row r="12" spans="2:27" x14ac:dyDescent="0.2">
      <c r="B12" s="4">
        <v>9</v>
      </c>
      <c r="C12" s="4">
        <v>977</v>
      </c>
      <c r="D12" s="23">
        <v>90772.251862608187</v>
      </c>
      <c r="E12" s="33">
        <v>0.8643131250028091</v>
      </c>
      <c r="F12" s="5">
        <v>2</v>
      </c>
      <c r="G12" s="23">
        <v>86.666666666666671</v>
      </c>
      <c r="H12" s="33">
        <v>75.864773029108107</v>
      </c>
      <c r="I12" s="23">
        <v>26.29996362454261</v>
      </c>
      <c r="J12" s="5">
        <v>1912.4436216206291</v>
      </c>
      <c r="K12" s="31"/>
      <c r="L12" s="23">
        <v>104827.08229077789</v>
      </c>
      <c r="M12" s="33">
        <v>0.50866937499813503</v>
      </c>
      <c r="N12" s="5">
        <v>2</v>
      </c>
      <c r="O12" s="5">
        <v>63.333333333333343</v>
      </c>
      <c r="P12" s="33">
        <v>8.9786114763769991</v>
      </c>
      <c r="Q12" s="5">
        <v>18.851848016844009</v>
      </c>
      <c r="R12" s="5">
        <v>1585.4746822378979</v>
      </c>
      <c r="S12" s="31"/>
      <c r="T12" s="23">
        <v>109117.5099191608</v>
      </c>
      <c r="U12" s="33">
        <v>1.07010954100042</v>
      </c>
      <c r="V12" s="5">
        <v>2</v>
      </c>
      <c r="W12" s="5">
        <v>70</v>
      </c>
      <c r="X12" s="33">
        <v>153.62782374128511</v>
      </c>
      <c r="Y12" s="5">
        <v>29.79313128593158</v>
      </c>
      <c r="Z12" s="5">
        <v>2034.130331350912</v>
      </c>
      <c r="AA12" s="35"/>
    </row>
    <row r="13" spans="2:27" x14ac:dyDescent="0.2">
      <c r="B13" s="4">
        <v>10</v>
      </c>
      <c r="C13" s="4">
        <v>984</v>
      </c>
      <c r="D13" s="23">
        <v>90704.698849746157</v>
      </c>
      <c r="E13" s="33">
        <v>0.77021958299883408</v>
      </c>
      <c r="F13" s="5">
        <v>2</v>
      </c>
      <c r="G13" s="23">
        <v>86.666666666666671</v>
      </c>
      <c r="H13" s="33">
        <v>80.84206597405894</v>
      </c>
      <c r="I13" s="23">
        <v>27.235827932499944</v>
      </c>
      <c r="J13" s="5">
        <v>1943.7504200099816</v>
      </c>
      <c r="K13" s="31"/>
      <c r="L13" s="23">
        <v>106120.63310136599</v>
      </c>
      <c r="M13" s="33">
        <v>0.43558120799934841</v>
      </c>
      <c r="N13" s="5">
        <v>2</v>
      </c>
      <c r="O13" s="5">
        <v>63.333333333333343</v>
      </c>
      <c r="P13" s="33">
        <v>13.65799422419698</v>
      </c>
      <c r="Q13" s="5">
        <v>20.195408846922479</v>
      </c>
      <c r="R13" s="5">
        <v>1670.969402931044</v>
      </c>
      <c r="S13" s="31"/>
      <c r="T13" s="23">
        <v>110253.8774696944</v>
      </c>
      <c r="U13" s="33">
        <v>0.98121887500019511</v>
      </c>
      <c r="V13" s="5">
        <v>2</v>
      </c>
      <c r="W13" s="5">
        <v>66.666666666666671</v>
      </c>
      <c r="X13" s="33">
        <v>119.60062613239241</v>
      </c>
      <c r="Y13" s="5">
        <v>28.666265384711501</v>
      </c>
      <c r="Z13" s="5">
        <v>1963.129447546436</v>
      </c>
      <c r="AA13" s="35"/>
    </row>
    <row r="14" spans="2:27" x14ac:dyDescent="0.2">
      <c r="B14" s="46" t="s">
        <v>3</v>
      </c>
      <c r="C14" s="47"/>
      <c r="D14" s="9">
        <f>MIN(D4:D13)</f>
        <v>90088.865273268952</v>
      </c>
      <c r="E14" s="22">
        <f>INDEX(E4:E13, MATCH($D$14, D4:D13, 0))</f>
        <v>1.047023958002683</v>
      </c>
      <c r="F14" s="9">
        <f>INDEX(F4:F13, MATCH($D$14, D4:D13, 0))</f>
        <v>2</v>
      </c>
      <c r="G14" s="9">
        <f>INDEX(G4:G13, MATCH($D$14, D4:D13, 0))</f>
        <v>86.666666666666671</v>
      </c>
      <c r="H14" s="22">
        <f>INDEX(H4:H13, MATCH($D$14, D4:D13, 0))</f>
        <v>80.107205129872895</v>
      </c>
      <c r="I14" s="22">
        <f>INDEX(I4:I13, MATCH($D$14, D4:D13, 0))</f>
        <v>26.943734967993183</v>
      </c>
      <c r="J14" s="22">
        <f>INDEX(J4:J13, MATCH($D$14, D4:D13, 0))</f>
        <v>1925.1792661638274</v>
      </c>
      <c r="K14" s="32" t="e">
        <f>(D14-$D$15)/$D$15</f>
        <v>#DIV/0!</v>
      </c>
      <c r="L14" s="16">
        <f>MIN(L4:L13)</f>
        <v>103454.99141803379</v>
      </c>
      <c r="M14" s="21">
        <f>INDEX(M4:M13, MATCH($L$14, L4:L13, 0))</f>
        <v>0.64294741600315319</v>
      </c>
      <c r="N14" s="16">
        <f>INDEX(N4:N13, MATCH($L$14, L4:L13, 0))</f>
        <v>2</v>
      </c>
      <c r="O14" s="16">
        <f>INDEX(O4:O13, MATCH($L$14, L4:L13, 0))</f>
        <v>63.333333333333343</v>
      </c>
      <c r="P14" s="21">
        <f>INDEX(P4:P13, MATCH($L$14, L4:L13, 0))</f>
        <v>10.92632878460911</v>
      </c>
      <c r="Q14" s="21">
        <f>INDEX(Q4:Q13, MATCH($L$14, L4:L13, 0))</f>
        <v>17.346079614273268</v>
      </c>
      <c r="R14" s="21">
        <f>INDEX(R4:R13, MATCH($L$14, L4:L13, 0))</f>
        <v>1543.7927403443459</v>
      </c>
      <c r="S14" s="36" t="e">
        <f>(L14-$D$15)/$D$15</f>
        <v>#DIV/0!</v>
      </c>
      <c r="T14" s="38">
        <f>MIN(T4:T13)</f>
        <v>107516.23025922599</v>
      </c>
      <c r="U14" s="39">
        <f>INDEX(U4:U13, MATCH($T$14, T4:T13, 0))</f>
        <v>0.95049400000061723</v>
      </c>
      <c r="V14" s="38">
        <f>INDEX(V4:V13, MATCH($T$14, T4:T13, 0))</f>
        <v>2</v>
      </c>
      <c r="W14" s="38">
        <f>INDEX(W4:W13, MATCH($T$14, T4:T13, 0))</f>
        <v>66.666666666666671</v>
      </c>
      <c r="X14" s="39">
        <f>INDEX(X4:X13, MATCH($T$14, T4:T13, 0))</f>
        <v>87.761888079010177</v>
      </c>
      <c r="Y14" s="39">
        <f>INDEX(Y4:Y13, MATCH($T$14, T4:T13, 0))</f>
        <v>26.44851113856566</v>
      </c>
      <c r="Z14" s="39">
        <f>INDEX(Z4:Z13, MATCH($T$14, T4:T13, 0))</f>
        <v>1879.6777469554961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0:C1048576">
    <cfRule type="duplicateValues" dxfId="165" priority="9"/>
    <cfRule type="duplicateValues" dxfId="164" priority="10"/>
  </conditionalFormatting>
  <conditionalFormatting sqref="C14">
    <cfRule type="duplicateValues" dxfId="163" priority="1"/>
    <cfRule type="duplicateValues" dxfId="162" priority="2"/>
  </conditionalFormatting>
  <conditionalFormatting sqref="C17">
    <cfRule type="duplicateValues" dxfId="161" priority="3"/>
    <cfRule type="duplicateValues" dxfId="160" priority="4"/>
  </conditionalFormatting>
  <conditionalFormatting sqref="C18:C19">
    <cfRule type="duplicateValues" dxfId="159" priority="5"/>
    <cfRule type="duplicateValues" dxfId="158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D00F-D4FD-2B4E-8EFD-10A382892AB5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-0.80352534630093408</v>
      </c>
      <c r="J2" s="28">
        <f>(S14-J14)/J14</f>
        <v>-0.99996237413962274</v>
      </c>
      <c r="K2" s="28"/>
      <c r="L2" s="1" t="s">
        <v>19</v>
      </c>
      <c r="P2" s="1">
        <f>(P14-H14)/H14</f>
        <v>-0.73523565084452758</v>
      </c>
      <c r="R2" s="1">
        <f>(R14-J14)/J14</f>
        <v>-0.27307445711687106</v>
      </c>
      <c r="T2" s="1" t="s">
        <v>20</v>
      </c>
      <c r="X2" s="1">
        <f>(X14-P14)/P14</f>
        <v>1.2020802453065171</v>
      </c>
      <c r="Z2" s="1">
        <f>(Z14-R14)/R14</f>
        <v>0.38942696810032157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39</v>
      </c>
      <c r="D4" s="23">
        <v>103339.17677889969</v>
      </c>
      <c r="E4" s="33">
        <v>0.63157812500139698</v>
      </c>
      <c r="F4" s="5">
        <v>2</v>
      </c>
      <c r="G4" s="23">
        <v>80</v>
      </c>
      <c r="H4" s="33">
        <v>37.200664390657984</v>
      </c>
      <c r="I4" s="23">
        <v>31.306855829966622</v>
      </c>
      <c r="J4" s="5">
        <v>2369.5308969222547</v>
      </c>
      <c r="K4" s="31"/>
      <c r="L4" s="23">
        <v>111332.96600729891</v>
      </c>
      <c r="M4" s="33">
        <v>0.7749140410014661</v>
      </c>
      <c r="N4" s="5">
        <v>2</v>
      </c>
      <c r="O4" s="5">
        <v>53.333333333333343</v>
      </c>
      <c r="P4" s="33">
        <v>4.5111392959659611</v>
      </c>
      <c r="Q4" s="5">
        <v>16.044187192389689</v>
      </c>
      <c r="R4" s="5">
        <v>1457.776476320613</v>
      </c>
      <c r="S4" s="31"/>
      <c r="T4" s="23">
        <v>123352.9076343343</v>
      </c>
      <c r="U4" s="33">
        <v>1.0614005419993191</v>
      </c>
      <c r="V4" s="5">
        <v>2</v>
      </c>
      <c r="W4" s="5">
        <v>56.666666666666657</v>
      </c>
      <c r="X4" s="33">
        <v>62.097490766041503</v>
      </c>
      <c r="Y4" s="5">
        <v>33.5571568997944</v>
      </c>
      <c r="Z4" s="5">
        <v>2454.8463630093052</v>
      </c>
      <c r="AA4" s="35"/>
    </row>
    <row r="5" spans="2:27" x14ac:dyDescent="0.2">
      <c r="B5" s="4">
        <v>2</v>
      </c>
      <c r="C5" s="4">
        <v>69</v>
      </c>
      <c r="D5" s="23">
        <v>102137.7943079323</v>
      </c>
      <c r="E5" s="33">
        <v>0.72397841699785204</v>
      </c>
      <c r="F5" s="5">
        <v>2</v>
      </c>
      <c r="G5" s="23">
        <v>80</v>
      </c>
      <c r="H5" s="33">
        <v>64.514994868527523</v>
      </c>
      <c r="I5" s="23">
        <v>28.459088125265673</v>
      </c>
      <c r="J5" s="5">
        <v>2197.140905424199</v>
      </c>
      <c r="K5" s="31"/>
      <c r="L5" s="23">
        <v>111764.1406333342</v>
      </c>
      <c r="M5" s="33">
        <v>0.57291733300007763</v>
      </c>
      <c r="N5" s="5">
        <v>2</v>
      </c>
      <c r="O5" s="5">
        <v>53.333333333333343</v>
      </c>
      <c r="P5" s="33">
        <v>0.87195906057664252</v>
      </c>
      <c r="Q5" s="5">
        <v>15.009908232578811</v>
      </c>
      <c r="R5" s="5">
        <v>1429.877870446549</v>
      </c>
      <c r="S5" s="31"/>
      <c r="T5" s="23">
        <v>118579.9158508384</v>
      </c>
      <c r="U5" s="33">
        <v>0.77002404199811281</v>
      </c>
      <c r="V5" s="5">
        <v>2</v>
      </c>
      <c r="W5" s="5">
        <v>50</v>
      </c>
      <c r="X5" s="33">
        <v>11.891326990050519</v>
      </c>
      <c r="Y5" s="5">
        <v>19.929959411133741</v>
      </c>
      <c r="Z5" s="5">
        <v>1689.886898973466</v>
      </c>
      <c r="AA5" s="35"/>
    </row>
    <row r="6" spans="2:27" x14ac:dyDescent="0.2">
      <c r="B6" s="4">
        <v>3</v>
      </c>
      <c r="C6" s="4">
        <v>138</v>
      </c>
      <c r="D6" s="23">
        <v>102483.14461228601</v>
      </c>
      <c r="E6" s="33">
        <v>0.78272629099956248</v>
      </c>
      <c r="F6" s="5">
        <v>2</v>
      </c>
      <c r="G6" s="23">
        <v>76.666666666666671</v>
      </c>
      <c r="H6" s="33">
        <v>75.408536008559437</v>
      </c>
      <c r="I6" s="23">
        <v>26.690515877970029</v>
      </c>
      <c r="J6" s="5">
        <v>2091.7963873927933</v>
      </c>
      <c r="K6" s="31"/>
      <c r="L6" s="23">
        <v>111522.29943068769</v>
      </c>
      <c r="M6" s="33">
        <v>0.86122566699850722</v>
      </c>
      <c r="N6" s="5">
        <v>2</v>
      </c>
      <c r="O6" s="5">
        <v>53.333333333333343</v>
      </c>
      <c r="P6" s="33">
        <v>11.88791234561134</v>
      </c>
      <c r="Q6" s="5">
        <v>16.747138693213529</v>
      </c>
      <c r="R6" s="5">
        <v>1494.6603415688401</v>
      </c>
      <c r="S6" s="31"/>
      <c r="T6" s="23">
        <v>119562.1432357656</v>
      </c>
      <c r="U6" s="33">
        <v>1.023987083000975</v>
      </c>
      <c r="V6" s="5">
        <v>2</v>
      </c>
      <c r="W6" s="5">
        <v>60</v>
      </c>
      <c r="X6" s="33">
        <v>87.571632065424467</v>
      </c>
      <c r="Y6" s="5">
        <v>31.526934035201219</v>
      </c>
      <c r="Z6" s="5">
        <v>2341.5974572973082</v>
      </c>
      <c r="AA6" s="35"/>
    </row>
    <row r="7" spans="2:27" x14ac:dyDescent="0.2">
      <c r="B7" s="4">
        <v>4</v>
      </c>
      <c r="C7" s="4">
        <v>354</v>
      </c>
      <c r="D7" s="23">
        <v>102391.7104585019</v>
      </c>
      <c r="E7" s="33">
        <v>1.078435082999931</v>
      </c>
      <c r="F7" s="5">
        <v>2</v>
      </c>
      <c r="G7" s="23">
        <v>76.666666666666671</v>
      </c>
      <c r="H7" s="33">
        <v>82.020006868873949</v>
      </c>
      <c r="I7" s="23">
        <v>27.402422174982711</v>
      </c>
      <c r="J7" s="5">
        <v>2090.3394031189728</v>
      </c>
      <c r="K7" s="31"/>
      <c r="L7" s="23">
        <v>111143.18417561879</v>
      </c>
      <c r="M7" s="33">
        <v>0.47477887499917409</v>
      </c>
      <c r="N7" s="5">
        <v>2</v>
      </c>
      <c r="O7" s="5">
        <v>56.666666666666657</v>
      </c>
      <c r="P7" s="33">
        <v>14.44102613294157</v>
      </c>
      <c r="Q7" s="5">
        <v>18.46125770373753</v>
      </c>
      <c r="R7" s="5">
        <v>1624.0697754408479</v>
      </c>
      <c r="S7" s="31"/>
      <c r="T7" s="23">
        <v>118613.527218353</v>
      </c>
      <c r="U7" s="33">
        <v>0.91061116700075218</v>
      </c>
      <c r="V7" s="5">
        <v>2</v>
      </c>
      <c r="W7" s="5">
        <v>60</v>
      </c>
      <c r="X7" s="33">
        <v>33.912510530710122</v>
      </c>
      <c r="Y7" s="5">
        <v>33.44790544035277</v>
      </c>
      <c r="Z7" s="5">
        <v>2400.6880202528941</v>
      </c>
      <c r="AA7" s="35"/>
    </row>
    <row r="8" spans="2:27" x14ac:dyDescent="0.2">
      <c r="B8" s="4">
        <v>5</v>
      </c>
      <c r="C8" s="4">
        <v>401</v>
      </c>
      <c r="D8" s="23">
        <v>102629.8129822677</v>
      </c>
      <c r="E8" s="33">
        <v>1.071533583999553</v>
      </c>
      <c r="F8" s="5">
        <v>2</v>
      </c>
      <c r="G8" s="23">
        <v>83.333333333333329</v>
      </c>
      <c r="H8" s="33">
        <v>110.76596582129451</v>
      </c>
      <c r="I8" s="23">
        <v>30.774045456730711</v>
      </c>
      <c r="J8" s="5">
        <v>2341.6997170464078</v>
      </c>
      <c r="K8" s="31"/>
      <c r="L8" s="23">
        <v>110424.70711371909</v>
      </c>
      <c r="M8" s="33">
        <v>0.74700570800268906</v>
      </c>
      <c r="N8" s="5">
        <v>2</v>
      </c>
      <c r="O8" s="5">
        <v>56.666666666666657</v>
      </c>
      <c r="P8" s="33">
        <v>12.48483088888649</v>
      </c>
      <c r="Q8" s="5">
        <v>17.109807938861501</v>
      </c>
      <c r="R8" s="5">
        <v>1567.129167863194</v>
      </c>
      <c r="S8" s="31"/>
      <c r="T8" s="23">
        <v>115762.0966164519</v>
      </c>
      <c r="U8" s="33">
        <v>1.402881124999112</v>
      </c>
      <c r="V8" s="5">
        <v>2</v>
      </c>
      <c r="W8" s="5">
        <v>60</v>
      </c>
      <c r="X8" s="33">
        <v>42.828283035648788</v>
      </c>
      <c r="Y8" s="5">
        <v>28.09653742701715</v>
      </c>
      <c r="Z8" s="5">
        <v>2126.141435696723</v>
      </c>
      <c r="AA8" s="35"/>
    </row>
    <row r="9" spans="2:27" x14ac:dyDescent="0.2">
      <c r="B9" s="4">
        <v>6</v>
      </c>
      <c r="C9" s="4">
        <v>474</v>
      </c>
      <c r="D9" s="23">
        <v>103161.5086533289</v>
      </c>
      <c r="E9" s="33">
        <v>0.66995666699949652</v>
      </c>
      <c r="F9" s="5">
        <v>2</v>
      </c>
      <c r="G9" s="23">
        <v>86.666666666666671</v>
      </c>
      <c r="H9" s="33">
        <v>136.78755040146274</v>
      </c>
      <c r="I9" s="23">
        <v>32.582914286876139</v>
      </c>
      <c r="J9" s="5">
        <v>2442.3719497311595</v>
      </c>
      <c r="K9" s="31"/>
      <c r="L9" s="23">
        <v>110261.2644875767</v>
      </c>
      <c r="M9" s="33">
        <v>0.51681087500037393</v>
      </c>
      <c r="N9" s="5">
        <v>2</v>
      </c>
      <c r="O9" s="5">
        <v>56.666666666666657</v>
      </c>
      <c r="P9" s="33">
        <v>23.581676796546478</v>
      </c>
      <c r="Q9" s="5">
        <v>17.499341573075991</v>
      </c>
      <c r="R9" s="5">
        <v>1574.0540739958601</v>
      </c>
      <c r="S9" s="31"/>
      <c r="T9" s="23">
        <v>114708.7955662411</v>
      </c>
      <c r="U9" s="33">
        <v>0.88151645900143194</v>
      </c>
      <c r="V9" s="5">
        <v>2</v>
      </c>
      <c r="W9" s="5">
        <v>63.333333333333343</v>
      </c>
      <c r="X9" s="33">
        <v>51.928744624878071</v>
      </c>
      <c r="Y9" s="5">
        <v>29.203449733693059</v>
      </c>
      <c r="Z9" s="5">
        <v>2187.0331796580272</v>
      </c>
      <c r="AA9" s="35"/>
    </row>
    <row r="10" spans="2:27" x14ac:dyDescent="0.2">
      <c r="B10" s="4">
        <v>7</v>
      </c>
      <c r="C10" s="4">
        <v>589</v>
      </c>
      <c r="D10" s="23">
        <v>101986.46772303661</v>
      </c>
      <c r="E10" s="33">
        <v>0.66683474999808823</v>
      </c>
      <c r="F10" s="5">
        <v>2</v>
      </c>
      <c r="G10" s="23">
        <v>80</v>
      </c>
      <c r="H10" s="33">
        <v>89.066662002515557</v>
      </c>
      <c r="I10" s="23">
        <v>27.917322955840945</v>
      </c>
      <c r="J10" s="5">
        <v>2165.3580471981404</v>
      </c>
      <c r="K10" s="31"/>
      <c r="L10" s="23">
        <v>110404.27783769849</v>
      </c>
      <c r="M10" s="33">
        <v>0.67177079199973377</v>
      </c>
      <c r="N10" s="5">
        <v>2</v>
      </c>
      <c r="O10" s="5">
        <v>56.666666666666657</v>
      </c>
      <c r="P10" s="33">
        <v>19.66928630843632</v>
      </c>
      <c r="Q10" s="5">
        <v>16.841164053196341</v>
      </c>
      <c r="R10" s="5">
        <v>1552.535926311255</v>
      </c>
      <c r="S10" s="31"/>
      <c r="T10" s="23">
        <v>114708.7955662411</v>
      </c>
      <c r="U10" s="33">
        <v>0.84624754099786514</v>
      </c>
      <c r="V10" s="5">
        <v>2</v>
      </c>
      <c r="W10" s="5">
        <v>63.333333333333343</v>
      </c>
      <c r="X10" s="33">
        <v>51.928744624878071</v>
      </c>
      <c r="Y10" s="5">
        <v>29.203449733693059</v>
      </c>
      <c r="Z10" s="5">
        <v>2187.0331796580272</v>
      </c>
      <c r="AA10" s="35"/>
    </row>
    <row r="11" spans="2:27" x14ac:dyDescent="0.2">
      <c r="B11" s="4">
        <v>8</v>
      </c>
      <c r="C11" s="4">
        <v>631</v>
      </c>
      <c r="D11" s="23">
        <v>102718.02274527489</v>
      </c>
      <c r="E11" s="33">
        <v>0.86592825000116136</v>
      </c>
      <c r="F11" s="5">
        <v>2</v>
      </c>
      <c r="G11" s="23">
        <v>83.333333333333329</v>
      </c>
      <c r="H11" s="33">
        <v>95.046247352175627</v>
      </c>
      <c r="I11" s="23">
        <v>30.653013191531173</v>
      </c>
      <c r="J11" s="5">
        <v>2330.2181457010352</v>
      </c>
      <c r="K11" s="31"/>
      <c r="L11" s="23">
        <v>111260.778904216</v>
      </c>
      <c r="M11" s="33">
        <v>0.84183116699932725</v>
      </c>
      <c r="N11" s="5">
        <v>2</v>
      </c>
      <c r="O11" s="5">
        <v>56.666666666666657</v>
      </c>
      <c r="P11" s="33">
        <v>14.6074842055323</v>
      </c>
      <c r="Q11" s="5">
        <v>18.23291040092214</v>
      </c>
      <c r="R11" s="5">
        <v>1625.9008142393459</v>
      </c>
      <c r="S11" s="31"/>
      <c r="T11" s="23">
        <v>114708.7955662411</v>
      </c>
      <c r="U11" s="33">
        <v>1.1577839999990831</v>
      </c>
      <c r="V11" s="5">
        <v>2</v>
      </c>
      <c r="W11" s="5">
        <v>63.333333333333343</v>
      </c>
      <c r="X11" s="33">
        <v>51.928744624878071</v>
      </c>
      <c r="Y11" s="5">
        <v>29.203449733693059</v>
      </c>
      <c r="Z11" s="5">
        <v>2187.0331796580272</v>
      </c>
      <c r="AA11" s="35"/>
    </row>
    <row r="12" spans="2:27" x14ac:dyDescent="0.2">
      <c r="B12" s="4">
        <v>9</v>
      </c>
      <c r="C12" s="4">
        <v>635</v>
      </c>
      <c r="D12" s="23">
        <v>101986.46772303661</v>
      </c>
      <c r="E12" s="33">
        <v>1.2458302089980859</v>
      </c>
      <c r="F12" s="5">
        <v>2</v>
      </c>
      <c r="G12" s="23">
        <v>80</v>
      </c>
      <c r="H12" s="33">
        <v>89.066662002515557</v>
      </c>
      <c r="I12" s="23">
        <v>27.917322955840945</v>
      </c>
      <c r="J12" s="5">
        <v>2165.3580471981404</v>
      </c>
      <c r="K12" s="31"/>
      <c r="L12" s="23">
        <v>110261.2644875767</v>
      </c>
      <c r="M12" s="33">
        <v>1.034402332999889</v>
      </c>
      <c r="N12" s="5">
        <v>2</v>
      </c>
      <c r="O12" s="5">
        <v>56.666666666666657</v>
      </c>
      <c r="P12" s="33">
        <v>23.581676796546478</v>
      </c>
      <c r="Q12" s="5">
        <v>17.499341573075991</v>
      </c>
      <c r="R12" s="5">
        <v>1574.0540739958601</v>
      </c>
      <c r="S12" s="31"/>
      <c r="T12" s="23">
        <v>125380.3018578981</v>
      </c>
      <c r="U12" s="33">
        <v>1.3991863750015909</v>
      </c>
      <c r="V12" s="5">
        <v>2</v>
      </c>
      <c r="W12" s="5">
        <v>46.666666666666657</v>
      </c>
      <c r="X12" s="33">
        <v>106.0195840360003</v>
      </c>
      <c r="Y12" s="5">
        <v>27.569633790918481</v>
      </c>
      <c r="Z12" s="5">
        <v>1989.1669095427389</v>
      </c>
      <c r="AA12" s="35"/>
    </row>
    <row r="13" spans="2:27" x14ac:dyDescent="0.2">
      <c r="B13" s="4">
        <v>10</v>
      </c>
      <c r="C13" s="4">
        <v>646</v>
      </c>
      <c r="D13" s="23">
        <v>102513.12711776909</v>
      </c>
      <c r="E13" s="33">
        <v>4.0452192500015371</v>
      </c>
      <c r="F13" s="5">
        <v>2</v>
      </c>
      <c r="G13" s="23">
        <v>83.333333333333329</v>
      </c>
      <c r="H13" s="33">
        <v>114.03493944881698</v>
      </c>
      <c r="I13" s="23">
        <v>29.681417805042173</v>
      </c>
      <c r="J13" s="5">
        <v>2274.7523300981989</v>
      </c>
      <c r="K13" s="31"/>
      <c r="L13" s="23">
        <v>110261.2644875767</v>
      </c>
      <c r="M13" s="33">
        <v>1.9527699999998731</v>
      </c>
      <c r="N13" s="5">
        <v>2</v>
      </c>
      <c r="O13" s="5">
        <v>56.666666666666657</v>
      </c>
      <c r="P13" s="33">
        <v>23.581676796546478</v>
      </c>
      <c r="Q13" s="5">
        <v>17.499341573075991</v>
      </c>
      <c r="R13" s="5">
        <v>1574.0540739958601</v>
      </c>
      <c r="S13" s="31"/>
      <c r="T13" s="23">
        <v>126143.67229557069</v>
      </c>
      <c r="U13" s="33">
        <v>2.728210834000492</v>
      </c>
      <c r="V13" s="5">
        <v>2</v>
      </c>
      <c r="W13" s="5">
        <v>50</v>
      </c>
      <c r="X13" s="33">
        <v>82.772164973830087</v>
      </c>
      <c r="Y13" s="5">
        <v>33.326924313611677</v>
      </c>
      <c r="Z13" s="5">
        <v>2282.8765222382708</v>
      </c>
      <c r="AA13" s="35"/>
    </row>
    <row r="14" spans="2:27" x14ac:dyDescent="0.2">
      <c r="B14" s="46" t="s">
        <v>3</v>
      </c>
      <c r="C14" s="47"/>
      <c r="D14" s="9">
        <f>MIN(D4:D13)</f>
        <v>101986.46772303661</v>
      </c>
      <c r="E14" s="22">
        <f>INDEX(E4:E13, MATCH($D$14, D4:D13, 0))</f>
        <v>0.66683474999808823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89.066662002515557</v>
      </c>
      <c r="I14" s="22">
        <f>INDEX(I4:I13, MATCH($D$14, D4:D13, 0))</f>
        <v>27.917322955840945</v>
      </c>
      <c r="J14" s="22">
        <f>INDEX(J4:J13, MATCH($D$14, D4:D13, 0))</f>
        <v>2165.3580471981404</v>
      </c>
      <c r="K14" s="32">
        <f>(D14-$D$15)/$D$15</f>
        <v>3.1192811330752189E-4</v>
      </c>
      <c r="L14" s="16">
        <f>MIN(L4:L13)</f>
        <v>110261.2644875767</v>
      </c>
      <c r="M14" s="21">
        <f>INDEX(M4:M13, MATCH($L$14, L4:L13, 0))</f>
        <v>0.51681087500037393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23.581676796546478</v>
      </c>
      <c r="Q14" s="21">
        <f>INDEX(Q4:Q13, MATCH($L$14, L4:L13, 0))</f>
        <v>17.499341573075991</v>
      </c>
      <c r="R14" s="21">
        <f>INDEX(R4:R13, MATCH($L$14, L4:L13, 0))</f>
        <v>1574.0540739958601</v>
      </c>
      <c r="S14" s="36">
        <f>(L14-$D$15)/$D$15</f>
        <v>8.147345955061186E-2</v>
      </c>
      <c r="T14" s="38">
        <f>MIN(T4:T13)</f>
        <v>114708.7955662411</v>
      </c>
      <c r="U14" s="39">
        <f>INDEX(U4:U13, MATCH($T$14, T4:T13, 0))</f>
        <v>0.88151645900143194</v>
      </c>
      <c r="V14" s="38">
        <f>INDEX(V4:V13, MATCH($T$14, T4:T13, 0))</f>
        <v>2</v>
      </c>
      <c r="W14" s="38">
        <f>INDEX(W4:W13, MATCH($T$14, T4:T13, 0))</f>
        <v>63.333333333333343</v>
      </c>
      <c r="X14" s="39">
        <f>INDEX(X4:X13, MATCH($T$14, T4:T13, 0))</f>
        <v>51.928744624878071</v>
      </c>
      <c r="Y14" s="39">
        <f>INDEX(Y4:Y13, MATCH($T$14, T4:T13, 0))</f>
        <v>29.203449733693059</v>
      </c>
      <c r="Z14" s="39">
        <f>INDEX(Z4:Z13, MATCH($T$14, T4:T13, 0))</f>
        <v>2187.0331796580272</v>
      </c>
      <c r="AA14" s="40">
        <f>(T14-$D$15)/$D$15</f>
        <v>0.12509609388602697</v>
      </c>
    </row>
    <row r="15" spans="2:27" x14ac:dyDescent="0.2">
      <c r="C15" s="1" t="s">
        <v>17</v>
      </c>
      <c r="D15" s="34">
        <v>101954.66519667891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9:C1048576">
    <cfRule type="duplicateValues" dxfId="157" priority="15"/>
    <cfRule type="duplicateValues" dxfId="156" priority="16"/>
  </conditionalFormatting>
  <conditionalFormatting sqref="C14">
    <cfRule type="duplicateValues" dxfId="155" priority="7"/>
    <cfRule type="duplicateValues" dxfId="154" priority="8"/>
  </conditionalFormatting>
  <conditionalFormatting sqref="C20:C28">
    <cfRule type="duplicateValues" dxfId="53" priority="5"/>
    <cfRule type="duplicateValues" dxfId="52" priority="6"/>
  </conditionalFormatting>
  <conditionalFormatting sqref="C17">
    <cfRule type="duplicateValues" dxfId="51" priority="1"/>
    <cfRule type="duplicateValues" dxfId="50" priority="2"/>
  </conditionalFormatting>
  <conditionalFormatting sqref="C18:C19">
    <cfRule type="duplicateValues" dxfId="49" priority="3"/>
    <cfRule type="duplicateValues" dxfId="48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AE45-5051-8348-B2AE-43405DE197CB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0.28581692213107657</v>
      </c>
      <c r="J2" s="28">
        <f>(S14-J14)/J14</f>
        <v>-0.99989667516893821</v>
      </c>
      <c r="K2" s="28"/>
      <c r="L2" s="1" t="s">
        <v>19</v>
      </c>
      <c r="P2" s="1">
        <f>(P14-H14)/H14</f>
        <v>-0.87561076552831296</v>
      </c>
      <c r="R2" s="1">
        <f>(R14-J14)/J14</f>
        <v>-0.16151613468366796</v>
      </c>
      <c r="T2" s="1" t="s">
        <v>20</v>
      </c>
      <c r="X2" s="1">
        <f>(X14-P14)/P14</f>
        <v>22.68286587913077</v>
      </c>
      <c r="Z2" s="1">
        <f>(Z14-R14)/R14</f>
        <v>0.39557456172002087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</v>
      </c>
      <c r="D4" s="23">
        <v>73483.367321637736</v>
      </c>
      <c r="E4" s="33">
        <v>1.873035249998793</v>
      </c>
      <c r="F4" s="5">
        <v>2</v>
      </c>
      <c r="G4" s="23">
        <v>90</v>
      </c>
      <c r="H4" s="33">
        <v>22.314495514480146</v>
      </c>
      <c r="I4" s="23">
        <v>49.06955320277185</v>
      </c>
      <c r="J4" s="5">
        <v>1772.9157492063998</v>
      </c>
      <c r="K4" s="31"/>
      <c r="L4" s="23">
        <v>87731.744597044977</v>
      </c>
      <c r="M4" s="33">
        <v>0.49301316700075398</v>
      </c>
      <c r="N4" s="5">
        <v>3</v>
      </c>
      <c r="O4" s="5">
        <v>80</v>
      </c>
      <c r="P4" s="33">
        <v>3.0036394100882453</v>
      </c>
      <c r="Q4" s="5">
        <v>28.692355941336569</v>
      </c>
      <c r="R4" s="5">
        <v>1516.4734551921199</v>
      </c>
      <c r="S4" s="31"/>
      <c r="T4" s="23">
        <v>91290.093265672011</v>
      </c>
      <c r="U4" s="33">
        <v>2.202354999997624</v>
      </c>
      <c r="V4" s="5">
        <v>2</v>
      </c>
      <c r="W4" s="5">
        <v>76.666666666666671</v>
      </c>
      <c r="X4" s="33">
        <v>65.736128559365511</v>
      </c>
      <c r="Y4" s="5">
        <v>65.249342626759045</v>
      </c>
      <c r="Z4" s="5">
        <v>2074.6070653221964</v>
      </c>
      <c r="AA4" s="35"/>
    </row>
    <row r="5" spans="2:27" x14ac:dyDescent="0.2">
      <c r="B5" s="4">
        <v>2</v>
      </c>
      <c r="C5" s="4">
        <v>38</v>
      </c>
      <c r="D5" s="23">
        <v>73952.237192059998</v>
      </c>
      <c r="E5" s="33">
        <v>1.896444583002449</v>
      </c>
      <c r="F5" s="5">
        <v>2</v>
      </c>
      <c r="G5" s="23">
        <v>90</v>
      </c>
      <c r="H5" s="33">
        <v>22.314495514480146</v>
      </c>
      <c r="I5" s="23">
        <v>49.218613247665232</v>
      </c>
      <c r="J5" s="5">
        <v>1766.0715791103783</v>
      </c>
      <c r="K5" s="31"/>
      <c r="L5" s="23">
        <v>87236.004867891141</v>
      </c>
      <c r="M5" s="33">
        <v>0.77179087499825982</v>
      </c>
      <c r="N5" s="5">
        <v>3</v>
      </c>
      <c r="O5" s="5">
        <v>80</v>
      </c>
      <c r="P5" s="33">
        <v>2.7756830146680804</v>
      </c>
      <c r="Q5" s="5">
        <v>28.721583401119592</v>
      </c>
      <c r="R5" s="5">
        <v>1489.1574934441189</v>
      </c>
      <c r="S5" s="31"/>
      <c r="T5" s="23">
        <v>91654.283228066881</v>
      </c>
      <c r="U5" s="33">
        <v>1.1447616660007041</v>
      </c>
      <c r="V5" s="5">
        <v>2</v>
      </c>
      <c r="W5" s="5">
        <v>76.666666666666671</v>
      </c>
      <c r="X5" s="33">
        <v>53.141141215915113</v>
      </c>
      <c r="Y5" s="5">
        <v>66.403851437607884</v>
      </c>
      <c r="Z5" s="5">
        <v>2113.1776184979431</v>
      </c>
      <c r="AA5" s="35"/>
    </row>
    <row r="6" spans="2:27" x14ac:dyDescent="0.2">
      <c r="B6" s="4">
        <v>3</v>
      </c>
      <c r="C6" s="4">
        <v>584</v>
      </c>
      <c r="D6" s="23">
        <v>73952.237192059998</v>
      </c>
      <c r="E6" s="33">
        <v>0.87384637499781093</v>
      </c>
      <c r="F6" s="5">
        <v>2</v>
      </c>
      <c r="G6" s="23">
        <v>90</v>
      </c>
      <c r="H6" s="33">
        <v>22.314495514480146</v>
      </c>
      <c r="I6" s="23">
        <v>49.218613247665232</v>
      </c>
      <c r="J6" s="5">
        <v>1766.0715791103783</v>
      </c>
      <c r="K6" s="31"/>
      <c r="L6" s="23">
        <v>87510.037565828723</v>
      </c>
      <c r="M6" s="33">
        <v>0.69218116599950008</v>
      </c>
      <c r="N6" s="5">
        <v>3</v>
      </c>
      <c r="O6" s="5">
        <v>80</v>
      </c>
      <c r="P6" s="33">
        <v>2.7756830146680804</v>
      </c>
      <c r="Q6" s="5">
        <v>28.470227246985662</v>
      </c>
      <c r="R6" s="5">
        <v>1504.0704080704745</v>
      </c>
      <c r="S6" s="31"/>
      <c r="T6" s="23">
        <v>91833.738700320406</v>
      </c>
      <c r="U6" s="33">
        <v>0.96408195799813257</v>
      </c>
      <c r="V6" s="5">
        <v>2</v>
      </c>
      <c r="W6" s="5">
        <v>80</v>
      </c>
      <c r="X6" s="33">
        <v>103.55356516523028</v>
      </c>
      <c r="Y6" s="5">
        <v>68.732854785979214</v>
      </c>
      <c r="Z6" s="5">
        <v>2200.6938997266634</v>
      </c>
      <c r="AA6" s="35"/>
    </row>
    <row r="7" spans="2:27" x14ac:dyDescent="0.2">
      <c r="B7" s="4">
        <v>4</v>
      </c>
      <c r="C7" s="4">
        <v>816</v>
      </c>
      <c r="D7" s="23">
        <v>73952.237192059998</v>
      </c>
      <c r="E7" s="33">
        <v>1.118045875002281</v>
      </c>
      <c r="F7" s="5">
        <v>2</v>
      </c>
      <c r="G7" s="23">
        <v>90</v>
      </c>
      <c r="H7" s="33">
        <v>22.314495514480146</v>
      </c>
      <c r="I7" s="23">
        <v>49.218613247665232</v>
      </c>
      <c r="J7" s="5">
        <v>1766.0715791103783</v>
      </c>
      <c r="K7" s="31"/>
      <c r="L7" s="23">
        <v>92123.578526156605</v>
      </c>
      <c r="M7" s="33">
        <v>0.64743379100036691</v>
      </c>
      <c r="N7" s="5">
        <v>3</v>
      </c>
      <c r="O7" s="5">
        <v>73.333333333333329</v>
      </c>
      <c r="P7" s="33">
        <v>0</v>
      </c>
      <c r="Q7" s="5">
        <v>26.781738125392554</v>
      </c>
      <c r="R7" s="5">
        <v>1361.2521697122379</v>
      </c>
      <c r="S7" s="31"/>
      <c r="T7" s="23">
        <v>91433.897510300798</v>
      </c>
      <c r="U7" s="33">
        <v>1.151744958002382</v>
      </c>
      <c r="V7" s="5">
        <v>2</v>
      </c>
      <c r="W7" s="5">
        <v>76.666666666666671</v>
      </c>
      <c r="X7" s="33">
        <v>56.67378855760191</v>
      </c>
      <c r="Y7" s="5">
        <v>67.311795275141307</v>
      </c>
      <c r="Z7" s="5">
        <v>2104.1064629645389</v>
      </c>
      <c r="AA7" s="35"/>
    </row>
    <row r="8" spans="2:27" x14ac:dyDescent="0.2">
      <c r="B8" s="4">
        <v>5</v>
      </c>
      <c r="C8" s="4">
        <v>820</v>
      </c>
      <c r="D8" s="23">
        <v>73737.779066397517</v>
      </c>
      <c r="E8" s="33">
        <v>3.847148041997571</v>
      </c>
      <c r="F8" s="5">
        <v>2</v>
      </c>
      <c r="G8" s="23">
        <v>90</v>
      </c>
      <c r="H8" s="33">
        <v>22.314495514480146</v>
      </c>
      <c r="I8" s="23">
        <v>49.402746244298228</v>
      </c>
      <c r="J8" s="5">
        <v>1772.7432519612737</v>
      </c>
      <c r="K8" s="31"/>
      <c r="L8" s="23">
        <v>87699.54754496862</v>
      </c>
      <c r="M8" s="33">
        <v>0.61564233299941407</v>
      </c>
      <c r="N8" s="5">
        <v>3</v>
      </c>
      <c r="O8" s="5">
        <v>80</v>
      </c>
      <c r="P8" s="33">
        <v>2.7756830146680804</v>
      </c>
      <c r="Q8" s="5">
        <v>29.493188339391196</v>
      </c>
      <c r="R8" s="5">
        <v>1524.1617264918534</v>
      </c>
      <c r="S8" s="31"/>
      <c r="T8" s="23">
        <v>91393.859711756682</v>
      </c>
      <c r="U8" s="33">
        <v>0.92486508400179446</v>
      </c>
      <c r="V8" s="5">
        <v>2</v>
      </c>
      <c r="W8" s="5">
        <v>76.666666666666671</v>
      </c>
      <c r="X8" s="33">
        <v>54.132344225865602</v>
      </c>
      <c r="Y8" s="5">
        <v>65.219472067703549</v>
      </c>
      <c r="Z8" s="5">
        <v>2073.6091309837029</v>
      </c>
      <c r="AA8" s="35"/>
    </row>
    <row r="9" spans="2:27" x14ac:dyDescent="0.2">
      <c r="B9" s="4">
        <v>6</v>
      </c>
      <c r="C9" s="4">
        <v>844</v>
      </c>
      <c r="D9" s="23">
        <v>74101.580639012682</v>
      </c>
      <c r="E9" s="33">
        <v>0.98985191699830466</v>
      </c>
      <c r="F9" s="5">
        <v>2</v>
      </c>
      <c r="G9" s="23">
        <v>90</v>
      </c>
      <c r="H9" s="33">
        <v>22.314495514480146</v>
      </c>
      <c r="I9" s="23">
        <v>49.367673292558607</v>
      </c>
      <c r="J9" s="5">
        <v>1763.052991330273</v>
      </c>
      <c r="K9" s="31"/>
      <c r="L9" s="23">
        <v>87795.661159090669</v>
      </c>
      <c r="M9" s="33">
        <v>0.65343641700019361</v>
      </c>
      <c r="N9" s="5">
        <v>3</v>
      </c>
      <c r="O9" s="5">
        <v>80</v>
      </c>
      <c r="P9" s="33">
        <v>2.7756830146680804</v>
      </c>
      <c r="Q9" s="5">
        <v>29.282750628953483</v>
      </c>
      <c r="R9" s="5">
        <v>1516.9821969811758</v>
      </c>
      <c r="S9" s="31"/>
      <c r="T9" s="23">
        <v>91290.093265672011</v>
      </c>
      <c r="U9" s="33">
        <v>0.92159345800246228</v>
      </c>
      <c r="V9" s="5">
        <v>2</v>
      </c>
      <c r="W9" s="5">
        <v>76.666666666666671</v>
      </c>
      <c r="X9" s="33">
        <v>65.736128559365511</v>
      </c>
      <c r="Y9" s="5">
        <v>65.249342626759045</v>
      </c>
      <c r="Z9" s="5">
        <v>2074.6070653221964</v>
      </c>
      <c r="AA9" s="35"/>
    </row>
    <row r="10" spans="2:27" x14ac:dyDescent="0.2">
      <c r="B10" s="4">
        <v>7</v>
      </c>
      <c r="C10" s="4">
        <v>903</v>
      </c>
      <c r="D10" s="23">
        <v>73737.779066397517</v>
      </c>
      <c r="E10" s="33">
        <v>0.83554058299705503</v>
      </c>
      <c r="F10" s="5">
        <v>2</v>
      </c>
      <c r="G10" s="23">
        <v>90</v>
      </c>
      <c r="H10" s="33">
        <v>22.314495514480146</v>
      </c>
      <c r="I10" s="23">
        <v>49.402746244298228</v>
      </c>
      <c r="J10" s="5">
        <v>1772.7432519612737</v>
      </c>
      <c r="K10" s="31"/>
      <c r="L10" s="23">
        <v>87211.4466771523</v>
      </c>
      <c r="M10" s="33">
        <v>0.79434608299925458</v>
      </c>
      <c r="N10" s="5">
        <v>3</v>
      </c>
      <c r="O10" s="5">
        <v>80</v>
      </c>
      <c r="P10" s="33">
        <v>2.7756830146680804</v>
      </c>
      <c r="Q10" s="5">
        <v>28.470227246985655</v>
      </c>
      <c r="R10" s="5">
        <v>1499.682318136711</v>
      </c>
      <c r="S10" s="31"/>
      <c r="T10" s="23">
        <v>91290.093265672011</v>
      </c>
      <c r="U10" s="33">
        <v>1.090081041002122</v>
      </c>
      <c r="V10" s="5">
        <v>2</v>
      </c>
      <c r="W10" s="5">
        <v>76.666666666666671</v>
      </c>
      <c r="X10" s="33">
        <v>65.736128559365511</v>
      </c>
      <c r="Y10" s="5">
        <v>65.249342626759045</v>
      </c>
      <c r="Z10" s="5">
        <v>2074.6070653221964</v>
      </c>
      <c r="AA10" s="35"/>
    </row>
    <row r="11" spans="2:27" x14ac:dyDescent="0.2">
      <c r="B11" s="4">
        <v>8</v>
      </c>
      <c r="C11" s="4">
        <v>906</v>
      </c>
      <c r="D11" s="23">
        <v>73737.779066397517</v>
      </c>
      <c r="E11" s="33">
        <v>1.5099289169993431</v>
      </c>
      <c r="F11" s="5">
        <v>2</v>
      </c>
      <c r="G11" s="23">
        <v>90</v>
      </c>
      <c r="H11" s="33">
        <v>22.314495514480146</v>
      </c>
      <c r="I11" s="23">
        <v>49.402746244298228</v>
      </c>
      <c r="J11" s="5">
        <v>1772.7432519612737</v>
      </c>
      <c r="K11" s="31"/>
      <c r="L11" s="23">
        <v>86944.50763425116</v>
      </c>
      <c r="M11" s="33">
        <v>1.121596666998812</v>
      </c>
      <c r="N11" s="5">
        <v>3</v>
      </c>
      <c r="O11" s="5">
        <v>80</v>
      </c>
      <c r="P11" s="33">
        <v>2.7756830146680804</v>
      </c>
      <c r="Q11" s="5">
        <v>28.692355941336576</v>
      </c>
      <c r="R11" s="5">
        <v>1486.5612502747829</v>
      </c>
      <c r="S11" s="31"/>
      <c r="T11" s="23">
        <v>91488.195398047785</v>
      </c>
      <c r="U11" s="33">
        <v>0.73167404199921293</v>
      </c>
      <c r="V11" s="5">
        <v>2</v>
      </c>
      <c r="W11" s="5">
        <v>76.666666666666671</v>
      </c>
      <c r="X11" s="33">
        <v>76.810651962796172</v>
      </c>
      <c r="Y11" s="5">
        <v>70.050363438231358</v>
      </c>
      <c r="Z11" s="5">
        <v>2159.4658897560175</v>
      </c>
      <c r="AA11" s="35"/>
    </row>
    <row r="12" spans="2:27" x14ac:dyDescent="0.2">
      <c r="B12" s="4">
        <v>9</v>
      </c>
      <c r="C12" s="4">
        <v>972</v>
      </c>
      <c r="D12" s="23">
        <v>73737.779066397517</v>
      </c>
      <c r="E12" s="33">
        <v>3.3840806250009341</v>
      </c>
      <c r="F12" s="5">
        <v>2</v>
      </c>
      <c r="G12" s="23">
        <v>90</v>
      </c>
      <c r="H12" s="33">
        <v>22.314495514480146</v>
      </c>
      <c r="I12" s="23">
        <v>49.402746244298228</v>
      </c>
      <c r="J12" s="5">
        <v>1772.7432519612737</v>
      </c>
      <c r="K12" s="31"/>
      <c r="L12" s="23">
        <v>86944.50763425116</v>
      </c>
      <c r="M12" s="33">
        <v>1.281924582999636</v>
      </c>
      <c r="N12" s="5">
        <v>3</v>
      </c>
      <c r="O12" s="5">
        <v>80</v>
      </c>
      <c r="P12" s="33">
        <v>2.7756830146680804</v>
      </c>
      <c r="Q12" s="5">
        <v>28.692355941336576</v>
      </c>
      <c r="R12" s="5">
        <v>1486.5612502747829</v>
      </c>
      <c r="S12" s="31"/>
      <c r="T12" s="23">
        <v>91833.738700320406</v>
      </c>
      <c r="U12" s="33">
        <v>2.5963680419990851</v>
      </c>
      <c r="V12" s="5">
        <v>2</v>
      </c>
      <c r="W12" s="5">
        <v>80</v>
      </c>
      <c r="X12" s="33">
        <v>103.55356516523028</v>
      </c>
      <c r="Y12" s="5">
        <v>68.732854785979214</v>
      </c>
      <c r="Z12" s="5">
        <v>2200.6938997266634</v>
      </c>
      <c r="AA12" s="35"/>
    </row>
    <row r="13" spans="2:27" x14ac:dyDescent="0.2">
      <c r="B13" s="4">
        <v>10</v>
      </c>
      <c r="C13" s="4">
        <v>205</v>
      </c>
      <c r="D13" s="23">
        <v>74314.756114682488</v>
      </c>
      <c r="E13" s="33">
        <v>0.75274958299996797</v>
      </c>
      <c r="F13" s="5">
        <v>2</v>
      </c>
      <c r="G13" s="23">
        <v>90</v>
      </c>
      <c r="H13" s="33">
        <v>22.314495514480146</v>
      </c>
      <c r="I13" s="23">
        <v>49.06955320277185</v>
      </c>
      <c r="J13" s="5">
        <v>1772.9157492063998</v>
      </c>
      <c r="K13" s="31"/>
      <c r="L13" s="23">
        <v>86944.50763425116</v>
      </c>
      <c r="M13" s="33">
        <v>1.5781408339971681</v>
      </c>
      <c r="N13" s="5">
        <v>3</v>
      </c>
      <c r="O13" s="5">
        <v>80</v>
      </c>
      <c r="P13" s="33">
        <v>2.7756830146680804</v>
      </c>
      <c r="Q13" s="5">
        <v>28.692355941336576</v>
      </c>
      <c r="R13" s="5">
        <v>1486.5612502747829</v>
      </c>
      <c r="S13" s="31"/>
      <c r="T13" s="23">
        <v>91324.044326861112</v>
      </c>
      <c r="U13" s="33">
        <v>2.4739092910022009</v>
      </c>
      <c r="V13" s="5">
        <v>2</v>
      </c>
      <c r="W13" s="5">
        <v>76.666666666666671</v>
      </c>
      <c r="X13" s="33">
        <v>66.363902409567771</v>
      </c>
      <c r="Y13" s="5">
        <v>65.699115807413833</v>
      </c>
      <c r="Z13" s="5">
        <v>2082.1403515246238</v>
      </c>
      <c r="AA13" s="35"/>
    </row>
    <row r="14" spans="2:27" x14ac:dyDescent="0.2">
      <c r="B14" s="46" t="s">
        <v>3</v>
      </c>
      <c r="C14" s="47"/>
      <c r="D14" s="9">
        <f>MIN(D4:D13)</f>
        <v>73483.367321637736</v>
      </c>
      <c r="E14" s="22">
        <f>INDEX(E4:E13, MATCH($D$14, D4:D13, 0))</f>
        <v>1.873035249998793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22.314495514480146</v>
      </c>
      <c r="I14" s="22">
        <f>INDEX(I4:I13, MATCH($D$14, D4:D13, 0))</f>
        <v>49.06955320277185</v>
      </c>
      <c r="J14" s="22">
        <f>INDEX(J4:J13, MATCH($D$14, D4:D13, 0))</f>
        <v>1772.9157492063998</v>
      </c>
      <c r="K14" s="32">
        <f>(D14-$D$15)/$D$15</f>
        <v>0</v>
      </c>
      <c r="L14" s="16">
        <f>MIN(L4:L13)</f>
        <v>86944.50763425116</v>
      </c>
      <c r="M14" s="21">
        <f>INDEX(M4:M13, MATCH($L$14, L4:L13, 0))</f>
        <v>1.121596666998812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2.7756830146680804</v>
      </c>
      <c r="Q14" s="21">
        <f>INDEX(Q4:Q13, MATCH($L$14, L4:L13, 0))</f>
        <v>28.692355941336576</v>
      </c>
      <c r="R14" s="21">
        <f>INDEX(R4:R13, MATCH($L$14, L4:L13, 0))</f>
        <v>1486.5612502747829</v>
      </c>
      <c r="S14" s="36">
        <f>(L14-$D$15)/$D$15</f>
        <v>0.18318622027340994</v>
      </c>
      <c r="T14" s="38">
        <f>MIN(T4:T13)</f>
        <v>91290.093265672011</v>
      </c>
      <c r="U14" s="39">
        <f>INDEX(U4:U13, MATCH($T$14, T4:T13, 0))</f>
        <v>2.202354999997624</v>
      </c>
      <c r="V14" s="38">
        <f>INDEX(V4:V13, MATCH($T$14, T4:T13, 0))</f>
        <v>2</v>
      </c>
      <c r="W14" s="38">
        <f>INDEX(W4:W13, MATCH($T$14, T4:T13, 0))</f>
        <v>76.666666666666671</v>
      </c>
      <c r="X14" s="39">
        <f>INDEX(X4:X13, MATCH($T$14, T4:T13, 0))</f>
        <v>65.736128559365511</v>
      </c>
      <c r="Y14" s="39">
        <f>INDEX(Y4:Y13, MATCH($T$14, T4:T13, 0))</f>
        <v>65.249342626759045</v>
      </c>
      <c r="Z14" s="39">
        <f>INDEX(Z4:Z13, MATCH($T$14, T4:T13, 0))</f>
        <v>2074.6070653221964</v>
      </c>
      <c r="AA14" s="40">
        <f>(T14-$D$15)/$D$15</f>
        <v>0.24232321670962606</v>
      </c>
    </row>
    <row r="15" spans="2:27" x14ac:dyDescent="0.2">
      <c r="C15" s="1" t="s">
        <v>17</v>
      </c>
      <c r="D15" s="34">
        <v>73483.367321637736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9:C1048576">
    <cfRule type="duplicateValues" dxfId="149" priority="15"/>
    <cfRule type="duplicateValues" dxfId="148" priority="16"/>
  </conditionalFormatting>
  <conditionalFormatting sqref="C14">
    <cfRule type="duplicateValues" dxfId="147" priority="7"/>
    <cfRule type="duplicateValues" dxfId="146" priority="8"/>
  </conditionalFormatting>
  <conditionalFormatting sqref="C20:C28">
    <cfRule type="duplicateValues" dxfId="47" priority="5"/>
    <cfRule type="duplicateValues" dxfId="46" priority="6"/>
  </conditionalFormatting>
  <conditionalFormatting sqref="C17">
    <cfRule type="duplicateValues" dxfId="45" priority="1"/>
    <cfRule type="duplicateValues" dxfId="44" priority="2"/>
  </conditionalFormatting>
  <conditionalFormatting sqref="C18:C19">
    <cfRule type="duplicateValues" dxfId="43" priority="3"/>
    <cfRule type="duplicateValues" dxfId="4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9BC6-B844-1844-8363-C8B6354B98B5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1.1451129838250167</v>
      </c>
      <c r="J2" s="28">
        <f>(S14-J14)/J14</f>
        <v>-0.99975759082105276</v>
      </c>
      <c r="K2" s="28"/>
      <c r="L2" s="1" t="s">
        <v>19</v>
      </c>
      <c r="P2" s="1">
        <f>(P14-H14)/H14</f>
        <v>-1</v>
      </c>
      <c r="R2" s="1">
        <f>(R14-J14)/J14</f>
        <v>-0.28599472956851341</v>
      </c>
      <c r="T2" s="1" t="s">
        <v>20</v>
      </c>
      <c r="X2" s="1" t="e">
        <f>(X14-P14)/P14</f>
        <v>#DIV/0!</v>
      </c>
      <c r="Z2" s="1">
        <f>(Z14-R14)/R14</f>
        <v>0.55583978511402732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</v>
      </c>
      <c r="D4" s="23">
        <v>69577.826935131379</v>
      </c>
      <c r="E4" s="33">
        <v>0.83571937500164495</v>
      </c>
      <c r="F4" s="5">
        <v>2</v>
      </c>
      <c r="G4" s="23">
        <v>96.666666666666671</v>
      </c>
      <c r="H4" s="33">
        <v>11.006948887544052</v>
      </c>
      <c r="I4" s="23">
        <v>44.848323251530175</v>
      </c>
      <c r="J4" s="5">
        <v>1777.1624003856473</v>
      </c>
      <c r="K4" s="31"/>
      <c r="L4" s="23">
        <v>103011.11322244089</v>
      </c>
      <c r="M4" s="33">
        <v>0.99524954099979368</v>
      </c>
      <c r="N4" s="5">
        <v>2</v>
      </c>
      <c r="O4" s="5">
        <v>56.666666666666657</v>
      </c>
      <c r="P4" s="33">
        <v>0</v>
      </c>
      <c r="Q4" s="5">
        <v>22.93628684549078</v>
      </c>
      <c r="R4" s="5">
        <v>1244.1547110679919</v>
      </c>
      <c r="S4" s="31"/>
      <c r="T4" s="23">
        <v>82823.702360868745</v>
      </c>
      <c r="U4" s="33">
        <v>0.81457066700022551</v>
      </c>
      <c r="V4" s="5">
        <v>2</v>
      </c>
      <c r="W4" s="5">
        <v>86.666666666666671</v>
      </c>
      <c r="X4" s="33">
        <v>14.769413609884809</v>
      </c>
      <c r="Y4" s="5">
        <v>56.63724515200677</v>
      </c>
      <c r="Z4" s="5">
        <v>1974.2102691673949</v>
      </c>
      <c r="AA4" s="35"/>
    </row>
    <row r="5" spans="2:27" x14ac:dyDescent="0.2">
      <c r="B5" s="4">
        <v>2</v>
      </c>
      <c r="C5" s="4">
        <v>38</v>
      </c>
      <c r="D5" s="23">
        <v>69577.826935131379</v>
      </c>
      <c r="E5" s="33">
        <v>1.222398582998721</v>
      </c>
      <c r="F5" s="5">
        <v>2</v>
      </c>
      <c r="G5" s="23">
        <v>96.666666666666671</v>
      </c>
      <c r="H5" s="33">
        <v>11.006948887544052</v>
      </c>
      <c r="I5" s="23">
        <v>44.848323251530175</v>
      </c>
      <c r="J5" s="5">
        <v>1777.1624003856473</v>
      </c>
      <c r="K5" s="31"/>
      <c r="L5" s="23">
        <v>99551.988060176489</v>
      </c>
      <c r="M5" s="33">
        <v>0.5916873750029481</v>
      </c>
      <c r="N5" s="5">
        <v>2</v>
      </c>
      <c r="O5" s="5">
        <v>60</v>
      </c>
      <c r="P5" s="33">
        <v>0</v>
      </c>
      <c r="Q5" s="5">
        <v>23.611148970969069</v>
      </c>
      <c r="R5" s="5">
        <v>1268.9033202880239</v>
      </c>
      <c r="S5" s="31"/>
      <c r="T5" s="23">
        <v>82823.702360868745</v>
      </c>
      <c r="U5" s="33">
        <v>1.489769208001235</v>
      </c>
      <c r="V5" s="5">
        <v>2</v>
      </c>
      <c r="W5" s="5">
        <v>86.666666666666671</v>
      </c>
      <c r="X5" s="33">
        <v>14.769413609884809</v>
      </c>
      <c r="Y5" s="5">
        <v>56.63724515200677</v>
      </c>
      <c r="Z5" s="5">
        <v>1974.2102691673949</v>
      </c>
      <c r="AA5" s="35"/>
    </row>
    <row r="6" spans="2:27" x14ac:dyDescent="0.2">
      <c r="B6" s="4">
        <v>3</v>
      </c>
      <c r="C6" s="4">
        <v>68</v>
      </c>
      <c r="D6" s="23">
        <v>69577.826935131379</v>
      </c>
      <c r="E6" s="33">
        <v>0.72272220800005016</v>
      </c>
      <c r="F6" s="5">
        <v>2</v>
      </c>
      <c r="G6" s="23">
        <v>96.666666666666671</v>
      </c>
      <c r="H6" s="33">
        <v>11.006948887544052</v>
      </c>
      <c r="I6" s="23">
        <v>44.848323251530175</v>
      </c>
      <c r="J6" s="5">
        <v>1777.1624003856473</v>
      </c>
      <c r="K6" s="31"/>
      <c r="L6" s="23">
        <v>102656.9964334955</v>
      </c>
      <c r="M6" s="33">
        <v>1.066085000002204</v>
      </c>
      <c r="N6" s="5">
        <v>2</v>
      </c>
      <c r="O6" s="5">
        <v>56.666666666666657</v>
      </c>
      <c r="P6" s="33">
        <v>0</v>
      </c>
      <c r="Q6" s="5">
        <v>22.812803686848369</v>
      </c>
      <c r="R6" s="5">
        <v>1261.769599448432</v>
      </c>
      <c r="S6" s="31"/>
      <c r="T6" s="23">
        <v>83870.780441830662</v>
      </c>
      <c r="U6" s="33">
        <v>1.1045706670010991</v>
      </c>
      <c r="V6" s="5">
        <v>2</v>
      </c>
      <c r="W6" s="5">
        <v>90</v>
      </c>
      <c r="X6" s="33">
        <v>32.218476663900923</v>
      </c>
      <c r="Y6" s="5">
        <v>60.604453467041168</v>
      </c>
      <c r="Z6" s="5">
        <v>2129.287248057738</v>
      </c>
      <c r="AA6" s="35"/>
    </row>
    <row r="7" spans="2:27" x14ac:dyDescent="0.2">
      <c r="B7" s="4">
        <v>4</v>
      </c>
      <c r="C7" s="4">
        <v>113</v>
      </c>
      <c r="D7" s="23">
        <v>69577.826935131379</v>
      </c>
      <c r="E7" s="33">
        <v>1.5434487499987879</v>
      </c>
      <c r="F7" s="5">
        <v>2</v>
      </c>
      <c r="G7" s="23">
        <v>96.666666666666671</v>
      </c>
      <c r="H7" s="33">
        <v>11.006948887544052</v>
      </c>
      <c r="I7" s="23">
        <v>44.848323251530175</v>
      </c>
      <c r="J7" s="5">
        <v>1777.1624003856473</v>
      </c>
      <c r="K7" s="31"/>
      <c r="L7" s="23">
        <v>100483.4115318121</v>
      </c>
      <c r="M7" s="33">
        <v>0.7086866249992454</v>
      </c>
      <c r="N7" s="5">
        <v>2</v>
      </c>
      <c r="O7" s="5">
        <v>60</v>
      </c>
      <c r="P7" s="33">
        <v>0</v>
      </c>
      <c r="Q7" s="5">
        <v>24.546590341193049</v>
      </c>
      <c r="R7" s="5">
        <v>1358.3618024333309</v>
      </c>
      <c r="S7" s="31"/>
      <c r="T7" s="23">
        <v>84328.81993353006</v>
      </c>
      <c r="U7" s="33">
        <v>3.1921373750010389</v>
      </c>
      <c r="V7" s="5">
        <v>2</v>
      </c>
      <c r="W7" s="5">
        <v>93.333333333333329</v>
      </c>
      <c r="X7" s="33">
        <v>71.761872919548097</v>
      </c>
      <c r="Y7" s="5">
        <v>62.290107965994913</v>
      </c>
      <c r="Z7" s="5">
        <v>2212.4007486646269</v>
      </c>
      <c r="AA7" s="35"/>
    </row>
    <row r="8" spans="2:27" x14ac:dyDescent="0.2">
      <c r="B8" s="4">
        <v>5</v>
      </c>
      <c r="C8" s="4">
        <v>205</v>
      </c>
      <c r="D8" s="23">
        <v>69577.826935131379</v>
      </c>
      <c r="E8" s="33">
        <v>1.1761162500006319</v>
      </c>
      <c r="F8" s="5">
        <v>2</v>
      </c>
      <c r="G8" s="23">
        <v>96.666666666666671</v>
      </c>
      <c r="H8" s="33">
        <v>11.006948887544052</v>
      </c>
      <c r="I8" s="23">
        <v>44.848323251530175</v>
      </c>
      <c r="J8" s="5">
        <v>1777.1624003856473</v>
      </c>
      <c r="K8" s="31"/>
      <c r="L8" s="23">
        <v>103132.6731761799</v>
      </c>
      <c r="M8" s="33">
        <v>0.62525300000197603</v>
      </c>
      <c r="N8" s="5">
        <v>2</v>
      </c>
      <c r="O8" s="5">
        <v>56.666666666666657</v>
      </c>
      <c r="P8" s="33">
        <v>0</v>
      </c>
      <c r="Q8" s="5">
        <v>22.818958222293141</v>
      </c>
      <c r="R8" s="5">
        <v>1291.818134922587</v>
      </c>
      <c r="S8" s="31"/>
      <c r="T8" s="23">
        <v>84328.81993353006</v>
      </c>
      <c r="U8" s="33">
        <v>0.73288954099916737</v>
      </c>
      <c r="V8" s="5">
        <v>2</v>
      </c>
      <c r="W8" s="5">
        <v>93.333333333333329</v>
      </c>
      <c r="X8" s="33">
        <v>71.761872919548097</v>
      </c>
      <c r="Y8" s="5">
        <v>62.290107965994913</v>
      </c>
      <c r="Z8" s="5">
        <v>2212.4007486646269</v>
      </c>
      <c r="AA8" s="35"/>
    </row>
    <row r="9" spans="2:27" x14ac:dyDescent="0.2">
      <c r="B9" s="4">
        <v>6</v>
      </c>
      <c r="C9" s="4">
        <v>214</v>
      </c>
      <c r="D9" s="23">
        <v>69577.826935131379</v>
      </c>
      <c r="E9" s="33">
        <v>1.2984165409980051</v>
      </c>
      <c r="F9" s="5">
        <v>2</v>
      </c>
      <c r="G9" s="23">
        <v>96.666666666666671</v>
      </c>
      <c r="H9" s="33">
        <v>11.006948887544052</v>
      </c>
      <c r="I9" s="23">
        <v>44.848323251530175</v>
      </c>
      <c r="J9" s="5">
        <v>1777.1624003856473</v>
      </c>
      <c r="K9" s="31"/>
      <c r="L9" s="23">
        <v>100652.77442893579</v>
      </c>
      <c r="M9" s="33">
        <v>0.63550866700097686</v>
      </c>
      <c r="N9" s="5">
        <v>2</v>
      </c>
      <c r="O9" s="5">
        <v>60</v>
      </c>
      <c r="P9" s="33">
        <v>0</v>
      </c>
      <c r="Q9" s="5">
        <v>22.359502067148249</v>
      </c>
      <c r="R9" s="5">
        <v>1292.625802433332</v>
      </c>
      <c r="S9" s="31"/>
      <c r="T9" s="23">
        <v>84328.81993353006</v>
      </c>
      <c r="U9" s="33">
        <v>0.92647950000173296</v>
      </c>
      <c r="V9" s="5">
        <v>2</v>
      </c>
      <c r="W9" s="5">
        <v>93.333333333333329</v>
      </c>
      <c r="X9" s="33">
        <v>71.761872919548097</v>
      </c>
      <c r="Y9" s="5">
        <v>62.290107965994913</v>
      </c>
      <c r="Z9" s="5">
        <v>2212.4007486646269</v>
      </c>
      <c r="AA9" s="35"/>
    </row>
    <row r="10" spans="2:27" x14ac:dyDescent="0.2">
      <c r="B10" s="4">
        <v>7</v>
      </c>
      <c r="C10" s="4">
        <v>294</v>
      </c>
      <c r="D10" s="23">
        <v>69577.826935131379</v>
      </c>
      <c r="E10" s="33">
        <v>0.93591654100237065</v>
      </c>
      <c r="F10" s="5">
        <v>2</v>
      </c>
      <c r="G10" s="23">
        <v>96.666666666666671</v>
      </c>
      <c r="H10" s="33">
        <v>11.006948887544052</v>
      </c>
      <c r="I10" s="23">
        <v>44.848323251530175</v>
      </c>
      <c r="J10" s="5">
        <v>1777.1624003856473</v>
      </c>
      <c r="K10" s="31"/>
      <c r="L10" s="23">
        <v>101423.7326473139</v>
      </c>
      <c r="M10" s="33">
        <v>0.539883290999569</v>
      </c>
      <c r="N10" s="5">
        <v>2</v>
      </c>
      <c r="O10" s="5">
        <v>60</v>
      </c>
      <c r="P10" s="33">
        <v>0</v>
      </c>
      <c r="Q10" s="5">
        <v>24.028364605576009</v>
      </c>
      <c r="R10" s="5">
        <v>1342.7858024333309</v>
      </c>
      <c r="S10" s="31"/>
      <c r="T10" s="23">
        <v>82823.702360868745</v>
      </c>
      <c r="U10" s="33">
        <v>0.8430231670026842</v>
      </c>
      <c r="V10" s="5">
        <v>2</v>
      </c>
      <c r="W10" s="5">
        <v>86.666666666666671</v>
      </c>
      <c r="X10" s="33">
        <v>14.769413609884809</v>
      </c>
      <c r="Y10" s="5">
        <v>56.63724515200677</v>
      </c>
      <c r="Z10" s="5">
        <v>1974.2102691673949</v>
      </c>
      <c r="AA10" s="35"/>
    </row>
    <row r="11" spans="2:27" x14ac:dyDescent="0.2">
      <c r="B11" s="4">
        <v>8</v>
      </c>
      <c r="C11" s="4">
        <v>310</v>
      </c>
      <c r="D11" s="23">
        <v>69577.826935131379</v>
      </c>
      <c r="E11" s="33">
        <v>1.0307780410003029</v>
      </c>
      <c r="F11" s="5">
        <v>2</v>
      </c>
      <c r="G11" s="23">
        <v>96.666666666666671</v>
      </c>
      <c r="H11" s="33">
        <v>11.006948887544052</v>
      </c>
      <c r="I11" s="23">
        <v>44.848323251530175</v>
      </c>
      <c r="J11" s="5">
        <v>1777.1624003856473</v>
      </c>
      <c r="K11" s="31"/>
      <c r="L11" s="23">
        <v>102579.3890173884</v>
      </c>
      <c r="M11" s="33">
        <v>1.144281499997305</v>
      </c>
      <c r="N11" s="5">
        <v>2</v>
      </c>
      <c r="O11" s="5">
        <v>56.666666666666657</v>
      </c>
      <c r="P11" s="33">
        <v>0</v>
      </c>
      <c r="Q11" s="5">
        <v>25.06673492522032</v>
      </c>
      <c r="R11" s="5">
        <v>1299.6180886606371</v>
      </c>
      <c r="S11" s="31"/>
      <c r="T11" s="23">
        <v>82823.702360868745</v>
      </c>
      <c r="U11" s="33">
        <v>0.9673545000005106</v>
      </c>
      <c r="V11" s="5">
        <v>2</v>
      </c>
      <c r="W11" s="5">
        <v>86.666666666666671</v>
      </c>
      <c r="X11" s="33">
        <v>14.769413609884809</v>
      </c>
      <c r="Y11" s="5">
        <v>56.63724515200677</v>
      </c>
      <c r="Z11" s="5">
        <v>1974.2102691673949</v>
      </c>
      <c r="AA11" s="35"/>
    </row>
    <row r="12" spans="2:27" x14ac:dyDescent="0.2">
      <c r="B12" s="4">
        <v>9</v>
      </c>
      <c r="C12" s="4">
        <v>418</v>
      </c>
      <c r="D12" s="23">
        <v>69577.826935131379</v>
      </c>
      <c r="E12" s="33">
        <v>0.67604604200096219</v>
      </c>
      <c r="F12" s="5">
        <v>2</v>
      </c>
      <c r="G12" s="23">
        <v>96.666666666666671</v>
      </c>
      <c r="H12" s="33">
        <v>11.006948887544052</v>
      </c>
      <c r="I12" s="23">
        <v>44.848323251530175</v>
      </c>
      <c r="J12" s="5">
        <v>1777.1624003856473</v>
      </c>
      <c r="K12" s="31"/>
      <c r="L12" s="23">
        <v>103356.136298729</v>
      </c>
      <c r="M12" s="33">
        <v>0.54232649999903515</v>
      </c>
      <c r="N12" s="5">
        <v>3</v>
      </c>
      <c r="O12" s="5">
        <v>66.666666666666671</v>
      </c>
      <c r="P12" s="33">
        <v>1.892073808153486</v>
      </c>
      <c r="Q12" s="5">
        <v>20.378893455464929</v>
      </c>
      <c r="R12" s="5">
        <v>1407.7185215396501</v>
      </c>
      <c r="S12" s="31"/>
      <c r="T12" s="23">
        <v>85669.474183693092</v>
      </c>
      <c r="U12" s="33">
        <v>0.66593833300066763</v>
      </c>
      <c r="V12" s="5">
        <v>2</v>
      </c>
      <c r="W12" s="5">
        <v>93.333333333333329</v>
      </c>
      <c r="X12" s="33">
        <v>88.873106539853737</v>
      </c>
      <c r="Y12" s="5">
        <v>69.038571446995988</v>
      </c>
      <c r="Z12" s="5">
        <v>2309.426561569283</v>
      </c>
      <c r="AA12" s="35"/>
    </row>
    <row r="13" spans="2:27" x14ac:dyDescent="0.2">
      <c r="B13" s="4">
        <v>10</v>
      </c>
      <c r="C13" s="4">
        <v>900</v>
      </c>
      <c r="D13" s="23">
        <v>69577.826935131379</v>
      </c>
      <c r="E13" s="33">
        <v>0.65570708400264266</v>
      </c>
      <c r="F13" s="5">
        <v>2</v>
      </c>
      <c r="G13" s="23">
        <v>96.666666666666671</v>
      </c>
      <c r="H13" s="33">
        <v>11.006948887544052</v>
      </c>
      <c r="I13" s="23">
        <v>44.848323251530175</v>
      </c>
      <c r="J13" s="5">
        <v>1777.1624003856473</v>
      </c>
      <c r="K13" s="31"/>
      <c r="L13" s="23">
        <v>100692.74377974479</v>
      </c>
      <c r="M13" s="33">
        <v>0.75524004199905903</v>
      </c>
      <c r="N13" s="5">
        <v>2</v>
      </c>
      <c r="O13" s="5">
        <v>60</v>
      </c>
      <c r="P13" s="33">
        <v>0</v>
      </c>
      <c r="Q13" s="5">
        <v>27.399507009244822</v>
      </c>
      <c r="R13" s="5">
        <v>1378.1564046302719</v>
      </c>
      <c r="S13" s="31"/>
      <c r="T13" s="23">
        <v>83654.336370889592</v>
      </c>
      <c r="U13" s="33">
        <v>0.64779570899918326</v>
      </c>
      <c r="V13" s="5">
        <v>2</v>
      </c>
      <c r="W13" s="5">
        <v>90</v>
      </c>
      <c r="X13" s="33">
        <v>47.049310208043302</v>
      </c>
      <c r="Y13" s="5">
        <v>58.322899650960508</v>
      </c>
      <c r="Z13" s="5">
        <v>2086.9829591288658</v>
      </c>
      <c r="AA13" s="35"/>
    </row>
    <row r="14" spans="2:27" x14ac:dyDescent="0.2">
      <c r="B14" s="46" t="s">
        <v>3</v>
      </c>
      <c r="C14" s="47"/>
      <c r="D14" s="9">
        <f>MIN(D4:D13)</f>
        <v>69577.826935131379</v>
      </c>
      <c r="E14" s="22">
        <f>INDEX(E4:E13, MATCH($D$14, D4:D13, 0))</f>
        <v>0.83571937500164495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11.006948887544052</v>
      </c>
      <c r="I14" s="22">
        <f>INDEX(I4:I13, MATCH($D$14, D4:D13, 0))</f>
        <v>44.848323251530175</v>
      </c>
      <c r="J14" s="22">
        <f>INDEX(J4:J13, MATCH($D$14, D4:D13, 0))</f>
        <v>1777.1624003856473</v>
      </c>
      <c r="K14" s="32">
        <f>(D14-$D$15)/$D$15</f>
        <v>0</v>
      </c>
      <c r="L14" s="16">
        <f>MIN(L4:L13)</f>
        <v>99551.988060176489</v>
      </c>
      <c r="M14" s="21">
        <f>INDEX(M4:M13, MATCH($L$14, L4:L13, 0))</f>
        <v>0.5916873750029481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23.611148970969069</v>
      </c>
      <c r="R14" s="21">
        <f>INDEX(R4:R13, MATCH($L$14, L4:L13, 0))</f>
        <v>1268.9033202880239</v>
      </c>
      <c r="S14" s="36">
        <f>(L14-$D$15)/$D$15</f>
        <v>0.43080047833328489</v>
      </c>
      <c r="T14" s="38">
        <f>MIN(T4:T13)</f>
        <v>82823.702360868745</v>
      </c>
      <c r="U14" s="39">
        <f>INDEX(U4:U13, MATCH($T$14, T4:T13, 0))</f>
        <v>0.81457066700022551</v>
      </c>
      <c r="V14" s="38">
        <f>INDEX(V4:V13, MATCH($T$14, T4:T13, 0))</f>
        <v>2</v>
      </c>
      <c r="W14" s="38">
        <f>INDEX(W4:W13, MATCH($T$14, T4:T13, 0))</f>
        <v>86.666666666666671</v>
      </c>
      <c r="X14" s="39">
        <f>INDEX(X4:X13, MATCH($T$14, T4:T13, 0))</f>
        <v>14.769413609884809</v>
      </c>
      <c r="Y14" s="39">
        <f>INDEX(Y4:Y13, MATCH($T$14, T4:T13, 0))</f>
        <v>56.63724515200677</v>
      </c>
      <c r="Z14" s="39">
        <f>INDEX(Z4:Z13, MATCH($T$14, T4:T13, 0))</f>
        <v>1974.2102691673949</v>
      </c>
      <c r="AA14" s="40">
        <f>(T14-$D$15)/$D$15</f>
        <v>0.19037495146387262</v>
      </c>
    </row>
    <row r="15" spans="2:27" x14ac:dyDescent="0.2">
      <c r="C15" s="1" t="s">
        <v>17</v>
      </c>
      <c r="D15" s="34">
        <v>69577.826935131379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9:C1048576">
    <cfRule type="duplicateValues" dxfId="141" priority="15"/>
    <cfRule type="duplicateValues" dxfId="140" priority="16"/>
  </conditionalFormatting>
  <conditionalFormatting sqref="C14">
    <cfRule type="duplicateValues" dxfId="139" priority="7"/>
    <cfRule type="duplicateValues" dxfId="138" priority="8"/>
  </conditionalFormatting>
  <conditionalFormatting sqref="C20:C28">
    <cfRule type="duplicateValues" dxfId="41" priority="5"/>
    <cfRule type="duplicateValues" dxfId="40" priority="6"/>
  </conditionalFormatting>
  <conditionalFormatting sqref="C17">
    <cfRule type="duplicateValues" dxfId="39" priority="1"/>
    <cfRule type="duplicateValues" dxfId="38" priority="2"/>
  </conditionalFormatting>
  <conditionalFormatting sqref="C18:C19">
    <cfRule type="duplicateValues" dxfId="37" priority="3"/>
    <cfRule type="duplicateValues" dxfId="36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B6CD-4744-DB42-A830-5D1002E2EA8C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 t="e">
        <f>(Q14-H14)/H14</f>
        <v>#DIV/0!</v>
      </c>
      <c r="J2" s="28">
        <f>(S14-J14)/J14</f>
        <v>-0.99973653946484453</v>
      </c>
      <c r="K2" s="28"/>
      <c r="L2" s="1" t="s">
        <v>19</v>
      </c>
      <c r="P2" s="1" t="e">
        <f>(P14-H14)/H14</f>
        <v>#DIV/0!</v>
      </c>
      <c r="R2" s="1">
        <f>(R14-J14)/J14</f>
        <v>-0.15573396001590059</v>
      </c>
      <c r="T2" s="1" t="s">
        <v>20</v>
      </c>
      <c r="X2" s="1" t="e">
        <f>(X14-P14)/P14</f>
        <v>#DIV/0!</v>
      </c>
      <c r="Z2" s="1">
        <f>(Z14-R14)/R14</f>
        <v>0.4214481641509098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17</v>
      </c>
      <c r="D4" s="23">
        <v>66196.543666189638</v>
      </c>
      <c r="E4" s="33">
        <v>1.221739291999256</v>
      </c>
      <c r="F4" s="5">
        <v>2</v>
      </c>
      <c r="G4" s="23">
        <v>96.666666666666671</v>
      </c>
      <c r="H4" s="33">
        <v>0</v>
      </c>
      <c r="I4" s="23">
        <v>42.862534242648749</v>
      </c>
      <c r="J4" s="5">
        <v>1614.7491647471436</v>
      </c>
      <c r="K4" s="31"/>
      <c r="L4" s="23">
        <v>95173.553986465355</v>
      </c>
      <c r="M4" s="33">
        <v>0.83108529200035264</v>
      </c>
      <c r="N4" s="5">
        <v>2</v>
      </c>
      <c r="O4" s="5">
        <v>66.666666666666671</v>
      </c>
      <c r="P4" s="33">
        <v>0</v>
      </c>
      <c r="Q4" s="5">
        <v>26.924822903978839</v>
      </c>
      <c r="R4" s="5">
        <v>1433.545391851972</v>
      </c>
      <c r="S4" s="31"/>
      <c r="T4" s="23">
        <v>88564.643421416986</v>
      </c>
      <c r="U4" s="33">
        <v>1.4639635829989861</v>
      </c>
      <c r="V4" s="5">
        <v>2</v>
      </c>
      <c r="W4" s="5">
        <v>80</v>
      </c>
      <c r="X4" s="33">
        <v>58.683611709039432</v>
      </c>
      <c r="Y4" s="5">
        <v>54.821631293567499</v>
      </c>
      <c r="Z4" s="5">
        <v>1937.828843859686</v>
      </c>
      <c r="AA4" s="35"/>
    </row>
    <row r="5" spans="2:27" x14ac:dyDescent="0.2">
      <c r="B5" s="4">
        <v>2</v>
      </c>
      <c r="C5" s="4">
        <v>65</v>
      </c>
      <c r="D5" s="23">
        <v>66196.543666189638</v>
      </c>
      <c r="E5" s="33">
        <v>1.090507416000037</v>
      </c>
      <c r="F5" s="5">
        <v>2</v>
      </c>
      <c r="G5" s="23">
        <v>96.666666666666671</v>
      </c>
      <c r="H5" s="33">
        <v>0</v>
      </c>
      <c r="I5" s="23">
        <v>42.862534242648749</v>
      </c>
      <c r="J5" s="5">
        <v>1614.7491647471436</v>
      </c>
      <c r="K5" s="31"/>
      <c r="L5" s="23">
        <v>94685.033150893098</v>
      </c>
      <c r="M5" s="33">
        <v>0.9849590839985467</v>
      </c>
      <c r="N5" s="5">
        <v>2</v>
      </c>
      <c r="O5" s="5">
        <v>66.666666666666671</v>
      </c>
      <c r="P5" s="33">
        <v>0</v>
      </c>
      <c r="Q5" s="5">
        <v>23.197820739476679</v>
      </c>
      <c r="R5" s="5">
        <v>1381.4508463974271</v>
      </c>
      <c r="S5" s="31"/>
      <c r="T5" s="23">
        <v>88564.643421416986</v>
      </c>
      <c r="U5" s="33">
        <v>1.2791754579993719</v>
      </c>
      <c r="V5" s="5">
        <v>2</v>
      </c>
      <c r="W5" s="5">
        <v>80</v>
      </c>
      <c r="X5" s="33">
        <v>58.683611709039432</v>
      </c>
      <c r="Y5" s="5">
        <v>54.821631293567499</v>
      </c>
      <c r="Z5" s="5">
        <v>1937.828843859686</v>
      </c>
      <c r="AA5" s="35"/>
    </row>
    <row r="6" spans="2:27" x14ac:dyDescent="0.2">
      <c r="B6" s="4">
        <v>3</v>
      </c>
      <c r="C6" s="4">
        <v>91</v>
      </c>
      <c r="D6" s="23">
        <v>66196.543666189638</v>
      </c>
      <c r="E6" s="33">
        <v>0.74575491699943086</v>
      </c>
      <c r="F6" s="5">
        <v>2</v>
      </c>
      <c r="G6" s="23">
        <v>96.666666666666671</v>
      </c>
      <c r="H6" s="33">
        <v>0</v>
      </c>
      <c r="I6" s="23">
        <v>42.862534242648749</v>
      </c>
      <c r="J6" s="5">
        <v>1614.7491647471436</v>
      </c>
      <c r="K6" s="31"/>
      <c r="L6" s="23">
        <v>99717.633269659549</v>
      </c>
      <c r="M6" s="33">
        <v>0.57362620799904107</v>
      </c>
      <c r="N6" s="5">
        <v>2</v>
      </c>
      <c r="O6" s="5">
        <v>60</v>
      </c>
      <c r="P6" s="33">
        <v>0</v>
      </c>
      <c r="Q6" s="5">
        <v>23.673685424200091</v>
      </c>
      <c r="R6" s="5">
        <v>1317.0232504878379</v>
      </c>
      <c r="S6" s="31"/>
      <c r="T6" s="23">
        <v>88564.643421416986</v>
      </c>
      <c r="U6" s="33">
        <v>0.78330658400227549</v>
      </c>
      <c r="V6" s="5">
        <v>2</v>
      </c>
      <c r="W6" s="5">
        <v>80</v>
      </c>
      <c r="X6" s="33">
        <v>58.683611709039432</v>
      </c>
      <c r="Y6" s="5">
        <v>54.821631293567499</v>
      </c>
      <c r="Z6" s="5">
        <v>1937.828843859686</v>
      </c>
      <c r="AA6" s="35"/>
    </row>
    <row r="7" spans="2:27" x14ac:dyDescent="0.2">
      <c r="B7" s="4">
        <v>4</v>
      </c>
      <c r="C7" s="4">
        <v>246</v>
      </c>
      <c r="D7" s="23">
        <v>66196.543666189638</v>
      </c>
      <c r="E7" s="33">
        <v>1.016344833999028</v>
      </c>
      <c r="F7" s="5">
        <v>2</v>
      </c>
      <c r="G7" s="23">
        <v>96.666666666666671</v>
      </c>
      <c r="H7" s="33">
        <v>0</v>
      </c>
      <c r="I7" s="23">
        <v>42.862534242648749</v>
      </c>
      <c r="J7" s="5">
        <v>1614.7491647471436</v>
      </c>
      <c r="K7" s="31"/>
      <c r="L7" s="23">
        <v>94532.89645622269</v>
      </c>
      <c r="M7" s="33">
        <v>0.83218387500164681</v>
      </c>
      <c r="N7" s="5">
        <v>2</v>
      </c>
      <c r="O7" s="5">
        <v>66.666666666666671</v>
      </c>
      <c r="P7" s="33">
        <v>0</v>
      </c>
      <c r="Q7" s="5">
        <v>24.496522038177979</v>
      </c>
      <c r="R7" s="5">
        <v>1393.6269737977941</v>
      </c>
      <c r="S7" s="31"/>
      <c r="T7" s="23">
        <v>88564.643421416986</v>
      </c>
      <c r="U7" s="33">
        <v>1.018386167001154</v>
      </c>
      <c r="V7" s="5">
        <v>2</v>
      </c>
      <c r="W7" s="5">
        <v>80</v>
      </c>
      <c r="X7" s="33">
        <v>58.683611709039432</v>
      </c>
      <c r="Y7" s="5">
        <v>54.821631293567499</v>
      </c>
      <c r="Z7" s="5">
        <v>1937.828843859686</v>
      </c>
      <c r="AA7" s="35"/>
    </row>
    <row r="8" spans="2:27" x14ac:dyDescent="0.2">
      <c r="B8" s="4">
        <v>5</v>
      </c>
      <c r="C8" s="4">
        <v>477</v>
      </c>
      <c r="D8" s="23">
        <v>66196.543666189638</v>
      </c>
      <c r="E8" s="33">
        <v>0.99236733300131164</v>
      </c>
      <c r="F8" s="5">
        <v>2</v>
      </c>
      <c r="G8" s="23">
        <v>96.666666666666671</v>
      </c>
      <c r="H8" s="33">
        <v>0</v>
      </c>
      <c r="I8" s="23">
        <v>42.862534242648749</v>
      </c>
      <c r="J8" s="5">
        <v>1614.7491647471436</v>
      </c>
      <c r="K8" s="31"/>
      <c r="L8" s="23">
        <v>94532.89645622269</v>
      </c>
      <c r="M8" s="33">
        <v>1.0684182499971939</v>
      </c>
      <c r="N8" s="5">
        <v>2</v>
      </c>
      <c r="O8" s="5">
        <v>66.666666666666671</v>
      </c>
      <c r="P8" s="33">
        <v>0</v>
      </c>
      <c r="Q8" s="5">
        <v>24.496522038177979</v>
      </c>
      <c r="R8" s="5">
        <v>1393.6269737977941</v>
      </c>
      <c r="S8" s="31"/>
      <c r="T8" s="23">
        <v>89100.123552288831</v>
      </c>
      <c r="U8" s="33">
        <v>1.159873833003076</v>
      </c>
      <c r="V8" s="5">
        <v>2</v>
      </c>
      <c r="W8" s="5">
        <v>83.333333333333329</v>
      </c>
      <c r="X8" s="33">
        <v>90.803726182062164</v>
      </c>
      <c r="Y8" s="5">
        <v>58.416617760800591</v>
      </c>
      <c r="Z8" s="5">
        <v>2073.974557915335</v>
      </c>
      <c r="AA8" s="35"/>
    </row>
    <row r="9" spans="2:27" x14ac:dyDescent="0.2">
      <c r="B9" s="4">
        <v>6</v>
      </c>
      <c r="C9" s="4">
        <v>649</v>
      </c>
      <c r="D9" s="23">
        <v>66196.543666189638</v>
      </c>
      <c r="E9" s="33">
        <v>1.335253499997634</v>
      </c>
      <c r="F9" s="5">
        <v>2</v>
      </c>
      <c r="G9" s="23">
        <v>96.666666666666671</v>
      </c>
      <c r="H9" s="33">
        <v>0</v>
      </c>
      <c r="I9" s="23">
        <v>42.862534242648749</v>
      </c>
      <c r="J9" s="5">
        <v>1614.7491647471436</v>
      </c>
      <c r="K9" s="31"/>
      <c r="L9" s="23">
        <v>94795.388903514991</v>
      </c>
      <c r="M9" s="33">
        <v>0.82481137500144541</v>
      </c>
      <c r="N9" s="5">
        <v>2</v>
      </c>
      <c r="O9" s="5">
        <v>66.666666666666671</v>
      </c>
      <c r="P9" s="33">
        <v>0</v>
      </c>
      <c r="Q9" s="5">
        <v>24.970006886662819</v>
      </c>
      <c r="R9" s="5">
        <v>1406.2217554883359</v>
      </c>
      <c r="S9" s="31"/>
      <c r="T9" s="23">
        <v>88564.643421416986</v>
      </c>
      <c r="U9" s="33">
        <v>1.038807583998278</v>
      </c>
      <c r="V9" s="5">
        <v>2</v>
      </c>
      <c r="W9" s="5">
        <v>80</v>
      </c>
      <c r="X9" s="33">
        <v>58.683611709039432</v>
      </c>
      <c r="Y9" s="5">
        <v>54.821631293567499</v>
      </c>
      <c r="Z9" s="5">
        <v>1937.828843859686</v>
      </c>
      <c r="AA9" s="35"/>
    </row>
    <row r="10" spans="2:27" x14ac:dyDescent="0.2">
      <c r="B10" s="4">
        <v>7</v>
      </c>
      <c r="C10" s="4">
        <v>693</v>
      </c>
      <c r="D10" s="23">
        <v>66196.543666189638</v>
      </c>
      <c r="E10" s="33">
        <v>2.7568384590013011</v>
      </c>
      <c r="F10" s="5">
        <v>2</v>
      </c>
      <c r="G10" s="23">
        <v>96.666666666666671</v>
      </c>
      <c r="H10" s="33">
        <v>0</v>
      </c>
      <c r="I10" s="23">
        <v>42.862534242648749</v>
      </c>
      <c r="J10" s="5">
        <v>1614.7491647471436</v>
      </c>
      <c r="K10" s="31"/>
      <c r="L10" s="23">
        <v>94889.207419961662</v>
      </c>
      <c r="M10" s="33">
        <v>0.67506787499951315</v>
      </c>
      <c r="N10" s="5">
        <v>2</v>
      </c>
      <c r="O10" s="5">
        <v>66.666666666666671</v>
      </c>
      <c r="P10" s="33">
        <v>0</v>
      </c>
      <c r="Q10" s="5">
        <v>25.335266626922571</v>
      </c>
      <c r="R10" s="5">
        <v>1405.350610161431</v>
      </c>
      <c r="S10" s="31"/>
      <c r="T10" s="23">
        <v>89315.048459181737</v>
      </c>
      <c r="U10" s="33">
        <v>1.8830989579983</v>
      </c>
      <c r="V10" s="5">
        <v>2</v>
      </c>
      <c r="W10" s="5">
        <v>86.666666666666671</v>
      </c>
      <c r="X10" s="33">
        <v>126.74513515401119</v>
      </c>
      <c r="Y10" s="5">
        <v>63.770550551174047</v>
      </c>
      <c r="Z10" s="5">
        <v>2194.655838364924</v>
      </c>
      <c r="AA10" s="35"/>
    </row>
    <row r="11" spans="2:27" x14ac:dyDescent="0.2">
      <c r="B11" s="4">
        <v>8</v>
      </c>
      <c r="C11" s="4">
        <v>743</v>
      </c>
      <c r="D11" s="23">
        <v>66196.543666189638</v>
      </c>
      <c r="E11" s="33">
        <v>0.66230591700150399</v>
      </c>
      <c r="F11" s="5">
        <v>2</v>
      </c>
      <c r="G11" s="23">
        <v>96.666666666666671</v>
      </c>
      <c r="H11" s="33">
        <v>0</v>
      </c>
      <c r="I11" s="23">
        <v>42.862534242648749</v>
      </c>
      <c r="J11" s="5">
        <v>1614.7491647471436</v>
      </c>
      <c r="K11" s="31"/>
      <c r="L11" s="23">
        <v>94358.054618895054</v>
      </c>
      <c r="M11" s="33">
        <v>0.76169770799970138</v>
      </c>
      <c r="N11" s="5">
        <v>2</v>
      </c>
      <c r="O11" s="5">
        <v>66.666666666666671</v>
      </c>
      <c r="P11" s="33">
        <v>0</v>
      </c>
      <c r="Q11" s="5">
        <v>22.32525580441175</v>
      </c>
      <c r="R11" s="5">
        <v>1363.2778828887031</v>
      </c>
      <c r="S11" s="31"/>
      <c r="T11" s="23">
        <v>88685.002806173623</v>
      </c>
      <c r="U11" s="33">
        <v>1.106116750001092</v>
      </c>
      <c r="V11" s="5">
        <v>2</v>
      </c>
      <c r="W11" s="5">
        <v>80</v>
      </c>
      <c r="X11" s="33">
        <v>61.368813566154621</v>
      </c>
      <c r="Y11" s="5">
        <v>54.939840017751919</v>
      </c>
      <c r="Z11" s="5">
        <v>1947.6745840024421</v>
      </c>
      <c r="AA11" s="35"/>
    </row>
    <row r="12" spans="2:27" x14ac:dyDescent="0.2">
      <c r="B12" s="4">
        <v>9</v>
      </c>
      <c r="C12" s="4">
        <v>868</v>
      </c>
      <c r="D12" s="23">
        <v>66196.543666189638</v>
      </c>
      <c r="E12" s="33">
        <v>1.187322709</v>
      </c>
      <c r="F12" s="5">
        <v>2</v>
      </c>
      <c r="G12" s="23">
        <v>96.666666666666671</v>
      </c>
      <c r="H12" s="33">
        <v>0</v>
      </c>
      <c r="I12" s="23">
        <v>42.862534242648749</v>
      </c>
      <c r="J12" s="5">
        <v>1614.7491647471436</v>
      </c>
      <c r="K12" s="31"/>
      <c r="L12" s="23">
        <v>94358.054618895054</v>
      </c>
      <c r="M12" s="33">
        <v>1.1993629999997211</v>
      </c>
      <c r="N12" s="5">
        <v>2</v>
      </c>
      <c r="O12" s="5">
        <v>66.666666666666671</v>
      </c>
      <c r="P12" s="33">
        <v>0</v>
      </c>
      <c r="Q12" s="5">
        <v>22.32525580441175</v>
      </c>
      <c r="R12" s="5">
        <v>1363.2778828887031</v>
      </c>
      <c r="S12" s="31"/>
      <c r="T12" s="23">
        <v>88564.643421416986</v>
      </c>
      <c r="U12" s="33">
        <v>1.3583603750012121</v>
      </c>
      <c r="V12" s="5">
        <v>2</v>
      </c>
      <c r="W12" s="5">
        <v>80</v>
      </c>
      <c r="X12" s="33">
        <v>58.683611709039432</v>
      </c>
      <c r="Y12" s="5">
        <v>54.821631293567499</v>
      </c>
      <c r="Z12" s="5">
        <v>1937.828843859686</v>
      </c>
      <c r="AA12" s="35"/>
    </row>
    <row r="13" spans="2:27" x14ac:dyDescent="0.2">
      <c r="B13" s="4">
        <v>10</v>
      </c>
      <c r="C13" s="4">
        <v>992</v>
      </c>
      <c r="D13" s="23">
        <v>66196.543666189638</v>
      </c>
      <c r="E13" s="33">
        <v>0.95229441599803977</v>
      </c>
      <c r="F13" s="5">
        <v>2</v>
      </c>
      <c r="G13" s="23">
        <v>96.666666666666671</v>
      </c>
      <c r="H13" s="33">
        <v>0</v>
      </c>
      <c r="I13" s="23">
        <v>42.862534242648749</v>
      </c>
      <c r="J13" s="5">
        <v>1614.7491647471436</v>
      </c>
      <c r="K13" s="31"/>
      <c r="L13" s="23">
        <v>94358.054618895054</v>
      </c>
      <c r="M13" s="33">
        <v>0.49916416600171942</v>
      </c>
      <c r="N13" s="5">
        <v>2</v>
      </c>
      <c r="O13" s="5">
        <v>66.666666666666671</v>
      </c>
      <c r="P13" s="33">
        <v>0</v>
      </c>
      <c r="Q13" s="5">
        <v>22.32525580441175</v>
      </c>
      <c r="R13" s="5">
        <v>1363.2778828887031</v>
      </c>
      <c r="S13" s="31"/>
      <c r="T13" s="23">
        <v>88715.324872673489</v>
      </c>
      <c r="U13" s="33">
        <v>0.76453075000245008</v>
      </c>
      <c r="V13" s="5">
        <v>2</v>
      </c>
      <c r="W13" s="5">
        <v>83.333333333333329</v>
      </c>
      <c r="X13" s="33">
        <v>84.225256989421013</v>
      </c>
      <c r="Y13" s="5">
        <v>57.162575193198691</v>
      </c>
      <c r="Z13" s="5">
        <v>2045.4678580805571</v>
      </c>
      <c r="AA13" s="35"/>
    </row>
    <row r="14" spans="2:27" x14ac:dyDescent="0.2">
      <c r="B14" s="46" t="s">
        <v>3</v>
      </c>
      <c r="C14" s="47"/>
      <c r="D14" s="9">
        <f>MIN(D4:D13)</f>
        <v>66196.543666189638</v>
      </c>
      <c r="E14" s="22">
        <f>INDEX(E4:E13, MATCH($D$14, D4:D13, 0))</f>
        <v>1.221739291999256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0</v>
      </c>
      <c r="I14" s="22">
        <f>INDEX(I4:I13, MATCH($D$14, D4:D13, 0))</f>
        <v>42.862534242648749</v>
      </c>
      <c r="J14" s="22">
        <f>INDEX(J4:J13, MATCH($D$14, D4:D13, 0))</f>
        <v>1614.7491647471436</v>
      </c>
      <c r="K14" s="32">
        <f>(D14-$D$15)/$D$15</f>
        <v>0</v>
      </c>
      <c r="L14" s="16">
        <f>MIN(L4:L13)</f>
        <v>94358.054618895054</v>
      </c>
      <c r="M14" s="21">
        <f>INDEX(M4:M13, MATCH($L$14, L4:L13, 0))</f>
        <v>0.76169770799970138</v>
      </c>
      <c r="N14" s="16">
        <f>INDEX(N4:N13, MATCH($L$14, L4:L13, 0))</f>
        <v>2</v>
      </c>
      <c r="O14" s="16">
        <f>INDEX(O4:O13, MATCH($L$14, L4:L13, 0))</f>
        <v>66.666666666666671</v>
      </c>
      <c r="P14" s="21">
        <f>INDEX(P4:P13, MATCH($L$14, L4:L13, 0))</f>
        <v>0</v>
      </c>
      <c r="Q14" s="21">
        <f>INDEX(Q4:Q13, MATCH($L$14, L4:L13, 0))</f>
        <v>22.32525580441175</v>
      </c>
      <c r="R14" s="21">
        <f>INDEX(R4:R13, MATCH($L$14, L4:L13, 0))</f>
        <v>1363.2778828887031</v>
      </c>
      <c r="S14" s="36">
        <f>(L14-$D$15)/$D$15</f>
        <v>0.42542267908602471</v>
      </c>
      <c r="T14" s="38">
        <f>MIN(T4:T13)</f>
        <v>88564.643421416986</v>
      </c>
      <c r="U14" s="39">
        <f>INDEX(U4:U13, MATCH($T$14, T4:T13, 0))</f>
        <v>1.4639635829989861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58.683611709039432</v>
      </c>
      <c r="Y14" s="39">
        <f>INDEX(Y4:Y13, MATCH($T$14, T4:T13, 0))</f>
        <v>54.821631293567499</v>
      </c>
      <c r="Z14" s="39">
        <f>INDEX(Z4:Z13, MATCH($T$14, T4:T13, 0))</f>
        <v>1937.828843859686</v>
      </c>
      <c r="AA14" s="40">
        <f>(T14-$D$15)/$D$15</f>
        <v>0.33790434539941117</v>
      </c>
    </row>
    <row r="15" spans="2:27" x14ac:dyDescent="0.2">
      <c r="C15" s="1" t="s">
        <v>17</v>
      </c>
      <c r="D15" s="34">
        <v>66196.543666189638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9:C1048576">
    <cfRule type="duplicateValues" dxfId="133" priority="15"/>
    <cfRule type="duplicateValues" dxfId="132" priority="16"/>
  </conditionalFormatting>
  <conditionalFormatting sqref="C14">
    <cfRule type="duplicateValues" dxfId="131" priority="7"/>
    <cfRule type="duplicateValues" dxfId="130" priority="8"/>
  </conditionalFormatting>
  <conditionalFormatting sqref="C20:C28">
    <cfRule type="duplicateValues" dxfId="35" priority="5"/>
    <cfRule type="duplicateValues" dxfId="34" priority="6"/>
  </conditionalFormatting>
  <conditionalFormatting sqref="C17">
    <cfRule type="duplicateValues" dxfId="33" priority="1"/>
    <cfRule type="duplicateValues" dxfId="32" priority="2"/>
  </conditionalFormatting>
  <conditionalFormatting sqref="C18:C19">
    <cfRule type="duplicateValues" dxfId="31" priority="3"/>
    <cfRule type="duplicateValues" dxfId="30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AF43-BE33-F54F-BCC0-1A9C349C3F83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-0.83147971227939788</v>
      </c>
      <c r="J2" s="28" t="e">
        <f>(S14-J14)/J14</f>
        <v>#DIV/0!</v>
      </c>
      <c r="K2" s="28"/>
      <c r="L2" s="1" t="s">
        <v>19</v>
      </c>
      <c r="P2" s="1">
        <f>(P14-H14)/H14</f>
        <v>-1</v>
      </c>
      <c r="R2" s="1">
        <f>(R14-J14)/J14</f>
        <v>-0.30572331763496868</v>
      </c>
      <c r="T2" s="1" t="s">
        <v>20</v>
      </c>
      <c r="X2" s="1" t="e">
        <f>(X14-P14)/P14</f>
        <v>#DIV/0!</v>
      </c>
      <c r="Z2" s="1">
        <f>(Z14-R14)/R14</f>
        <v>0.45434803714233613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</v>
      </c>
      <c r="D4" s="23">
        <v>90790.964050958981</v>
      </c>
      <c r="E4" s="33">
        <v>0.75592258400138235</v>
      </c>
      <c r="F4" s="5">
        <v>2</v>
      </c>
      <c r="G4" s="23">
        <v>90</v>
      </c>
      <c r="H4" s="33">
        <v>91.463461252108488</v>
      </c>
      <c r="I4" s="23">
        <v>29.6740462798059</v>
      </c>
      <c r="J4" s="5">
        <v>2114.4697039795055</v>
      </c>
      <c r="K4" s="31"/>
      <c r="L4" s="23">
        <v>103702.4996349807</v>
      </c>
      <c r="M4" s="33">
        <v>0.53839466600038577</v>
      </c>
      <c r="N4" s="5">
        <v>2</v>
      </c>
      <c r="O4" s="5">
        <v>60</v>
      </c>
      <c r="P4" s="33">
        <v>0</v>
      </c>
      <c r="Q4" s="5">
        <v>15.77597399998699</v>
      </c>
      <c r="R4" s="5">
        <v>1477.204022534514</v>
      </c>
      <c r="S4" s="31"/>
      <c r="T4" s="23">
        <v>107418.566223321</v>
      </c>
      <c r="U4" s="33">
        <v>1.0191705420002111</v>
      </c>
      <c r="V4" s="5">
        <v>2</v>
      </c>
      <c r="W4" s="5">
        <v>70</v>
      </c>
      <c r="X4" s="33">
        <v>105.9874146169327</v>
      </c>
      <c r="Y4" s="5">
        <v>30.54176970143391</v>
      </c>
      <c r="Z4" s="5">
        <v>2135.0222019783341</v>
      </c>
      <c r="AA4" s="35"/>
    </row>
    <row r="5" spans="2:27" x14ac:dyDescent="0.2">
      <c r="B5" s="4">
        <v>2</v>
      </c>
      <c r="C5" s="4">
        <v>84</v>
      </c>
      <c r="D5" s="23">
        <v>90790.964050958981</v>
      </c>
      <c r="E5" s="33">
        <v>0.71618662499895436</v>
      </c>
      <c r="F5" s="5">
        <v>2</v>
      </c>
      <c r="G5" s="23">
        <v>90</v>
      </c>
      <c r="H5" s="33">
        <v>91.463461252108488</v>
      </c>
      <c r="I5" s="23">
        <v>29.6740462798059</v>
      </c>
      <c r="J5" s="5">
        <v>2114.4697039795055</v>
      </c>
      <c r="K5" s="31"/>
      <c r="L5" s="23">
        <v>103142.1911885085</v>
      </c>
      <c r="M5" s="33">
        <v>0.63792908399773296</v>
      </c>
      <c r="N5" s="5">
        <v>2</v>
      </c>
      <c r="O5" s="5">
        <v>60</v>
      </c>
      <c r="P5" s="33">
        <v>0</v>
      </c>
      <c r="Q5" s="5">
        <v>15.413448806127469</v>
      </c>
      <c r="R5" s="5">
        <v>1468.027011040261</v>
      </c>
      <c r="S5" s="31"/>
      <c r="T5" s="23">
        <v>107418.566223321</v>
      </c>
      <c r="U5" s="33">
        <v>0.87442270899919095</v>
      </c>
      <c r="V5" s="5">
        <v>2</v>
      </c>
      <c r="W5" s="5">
        <v>70</v>
      </c>
      <c r="X5" s="33">
        <v>105.9874146169327</v>
      </c>
      <c r="Y5" s="5">
        <v>30.54176970143391</v>
      </c>
      <c r="Z5" s="5">
        <v>2135.0222019783341</v>
      </c>
      <c r="AA5" s="35"/>
    </row>
    <row r="6" spans="2:27" x14ac:dyDescent="0.2">
      <c r="B6" s="4">
        <v>3</v>
      </c>
      <c r="C6" s="4">
        <v>150</v>
      </c>
      <c r="D6" s="23">
        <v>90790.964050958981</v>
      </c>
      <c r="E6" s="33">
        <v>1.0951063749998871</v>
      </c>
      <c r="F6" s="5">
        <v>2</v>
      </c>
      <c r="G6" s="23">
        <v>90</v>
      </c>
      <c r="H6" s="33">
        <v>91.463461252108488</v>
      </c>
      <c r="I6" s="23">
        <v>29.6740462798059</v>
      </c>
      <c r="J6" s="5">
        <v>2114.4697039795055</v>
      </c>
      <c r="K6" s="31"/>
      <c r="L6" s="23">
        <v>103142.1911885085</v>
      </c>
      <c r="M6" s="33">
        <v>1.1030510829987179</v>
      </c>
      <c r="N6" s="5">
        <v>2</v>
      </c>
      <c r="O6" s="5">
        <v>60</v>
      </c>
      <c r="P6" s="33">
        <v>0</v>
      </c>
      <c r="Q6" s="5">
        <v>15.413448806127469</v>
      </c>
      <c r="R6" s="5">
        <v>1468.027011040261</v>
      </c>
      <c r="S6" s="31"/>
      <c r="T6" s="23">
        <v>107710.2566178049</v>
      </c>
      <c r="U6" s="33">
        <v>1.10188087500137</v>
      </c>
      <c r="V6" s="5">
        <v>2</v>
      </c>
      <c r="W6" s="5">
        <v>73.333333333333329</v>
      </c>
      <c r="X6" s="33">
        <v>131.45774646799379</v>
      </c>
      <c r="Y6" s="5">
        <v>34.112236068783652</v>
      </c>
      <c r="Z6" s="5">
        <v>2313.19654053044</v>
      </c>
      <c r="AA6" s="35"/>
    </row>
    <row r="7" spans="2:27" x14ac:dyDescent="0.2">
      <c r="B7" s="4">
        <v>4</v>
      </c>
      <c r="C7" s="4">
        <v>164</v>
      </c>
      <c r="D7" s="23">
        <v>90790.964050958981</v>
      </c>
      <c r="E7" s="33">
        <v>0.92632404200048768</v>
      </c>
      <c r="F7" s="5">
        <v>2</v>
      </c>
      <c r="G7" s="23">
        <v>90</v>
      </c>
      <c r="H7" s="33">
        <v>91.463461252108488</v>
      </c>
      <c r="I7" s="23">
        <v>29.6740462798059</v>
      </c>
      <c r="J7" s="5">
        <v>2114.4697039795055</v>
      </c>
      <c r="K7" s="31"/>
      <c r="L7" s="23">
        <v>103142.1911885085</v>
      </c>
      <c r="M7" s="33">
        <v>0.56531316700056777</v>
      </c>
      <c r="N7" s="5">
        <v>2</v>
      </c>
      <c r="O7" s="5">
        <v>60</v>
      </c>
      <c r="P7" s="33">
        <v>0</v>
      </c>
      <c r="Q7" s="5">
        <v>15.413448806127469</v>
      </c>
      <c r="R7" s="5">
        <v>1468.027011040261</v>
      </c>
      <c r="S7" s="31"/>
      <c r="T7" s="23">
        <v>116609.1969568887</v>
      </c>
      <c r="U7" s="33">
        <v>1.3166774169985731</v>
      </c>
      <c r="V7" s="5">
        <v>2</v>
      </c>
      <c r="W7" s="5">
        <v>66.666666666666671</v>
      </c>
      <c r="X7" s="33">
        <v>162.27437719673719</v>
      </c>
      <c r="Y7" s="5">
        <v>28.01728447209457</v>
      </c>
      <c r="Z7" s="5">
        <v>2398.047775298754</v>
      </c>
      <c r="AA7" s="35"/>
    </row>
    <row r="8" spans="2:27" x14ac:dyDescent="0.2">
      <c r="B8" s="4">
        <v>5</v>
      </c>
      <c r="C8" s="4">
        <v>219</v>
      </c>
      <c r="D8" s="23">
        <v>91038.680203808384</v>
      </c>
      <c r="E8" s="33">
        <v>0.68657579199862084</v>
      </c>
      <c r="F8" s="5">
        <v>2</v>
      </c>
      <c r="G8" s="23">
        <v>86.666666666666671</v>
      </c>
      <c r="H8" s="33">
        <v>78.445766226458559</v>
      </c>
      <c r="I8" s="23">
        <v>28.15744347009964</v>
      </c>
      <c r="J8" s="5">
        <v>2034.6949546290468</v>
      </c>
      <c r="K8" s="31"/>
      <c r="L8" s="23">
        <v>103142.1911885085</v>
      </c>
      <c r="M8" s="33">
        <v>0.60598549999849638</v>
      </c>
      <c r="N8" s="5">
        <v>2</v>
      </c>
      <c r="O8" s="5">
        <v>60</v>
      </c>
      <c r="P8" s="33">
        <v>0</v>
      </c>
      <c r="Q8" s="5">
        <v>15.413448806127469</v>
      </c>
      <c r="R8" s="5">
        <v>1468.027011040261</v>
      </c>
      <c r="S8" s="31"/>
      <c r="T8" s="23">
        <v>107651.8967005779</v>
      </c>
      <c r="U8" s="33">
        <v>1.627786041000945</v>
      </c>
      <c r="V8" s="5">
        <v>2</v>
      </c>
      <c r="W8" s="5">
        <v>73.333333333333329</v>
      </c>
      <c r="X8" s="33">
        <v>126.3108706923386</v>
      </c>
      <c r="Y8" s="5">
        <v>33.50550131299439</v>
      </c>
      <c r="Z8" s="5">
        <v>2282.3152858765088</v>
      </c>
      <c r="AA8" s="35"/>
    </row>
    <row r="9" spans="2:27" x14ac:dyDescent="0.2">
      <c r="B9" s="4">
        <v>6</v>
      </c>
      <c r="C9" s="4">
        <v>290</v>
      </c>
      <c r="D9" s="23">
        <v>90790.964050958981</v>
      </c>
      <c r="E9" s="33">
        <v>1.122347541997442</v>
      </c>
      <c r="F9" s="5">
        <v>2</v>
      </c>
      <c r="G9" s="23">
        <v>90</v>
      </c>
      <c r="H9" s="33">
        <v>91.463461252108488</v>
      </c>
      <c r="I9" s="23">
        <v>29.6740462798059</v>
      </c>
      <c r="J9" s="5">
        <v>2114.4697039795055</v>
      </c>
      <c r="K9" s="31"/>
      <c r="L9" s="23">
        <v>103302.92901346651</v>
      </c>
      <c r="M9" s="33">
        <v>0.657386167000368</v>
      </c>
      <c r="N9" s="5">
        <v>2</v>
      </c>
      <c r="O9" s="5">
        <v>60</v>
      </c>
      <c r="P9" s="33">
        <v>0</v>
      </c>
      <c r="Q9" s="5">
        <v>14.826762982372671</v>
      </c>
      <c r="R9" s="5">
        <v>1437.6132179368119</v>
      </c>
      <c r="S9" s="31"/>
      <c r="T9" s="23">
        <v>111903.17533743419</v>
      </c>
      <c r="U9" s="33">
        <v>0.92308199999752105</v>
      </c>
      <c r="V9" s="5">
        <v>2</v>
      </c>
      <c r="W9" s="5">
        <v>76.666666666666671</v>
      </c>
      <c r="X9" s="33">
        <v>213.20259426641189</v>
      </c>
      <c r="Y9" s="5">
        <v>38.460099363048393</v>
      </c>
      <c r="Z9" s="5">
        <v>2545.8496636395839</v>
      </c>
      <c r="AA9" s="35"/>
    </row>
    <row r="10" spans="2:27" x14ac:dyDescent="0.2">
      <c r="B10" s="4">
        <v>7</v>
      </c>
      <c r="C10" s="4">
        <v>461</v>
      </c>
      <c r="D10" s="23">
        <v>90790.964050958981</v>
      </c>
      <c r="E10" s="33">
        <v>0.76009070799773326</v>
      </c>
      <c r="F10" s="5">
        <v>2</v>
      </c>
      <c r="G10" s="23">
        <v>90</v>
      </c>
      <c r="H10" s="33">
        <v>91.463461252108488</v>
      </c>
      <c r="I10" s="23">
        <v>29.6740462798059</v>
      </c>
      <c r="J10" s="5">
        <v>2114.4697039795055</v>
      </c>
      <c r="K10" s="31"/>
      <c r="L10" s="23">
        <v>103142.1911885085</v>
      </c>
      <c r="M10" s="33">
        <v>0.63430345799861243</v>
      </c>
      <c r="N10" s="5">
        <v>2</v>
      </c>
      <c r="O10" s="5">
        <v>60</v>
      </c>
      <c r="P10" s="33">
        <v>0</v>
      </c>
      <c r="Q10" s="5">
        <v>15.413448806127469</v>
      </c>
      <c r="R10" s="5">
        <v>1468.027011040261</v>
      </c>
      <c r="S10" s="31"/>
      <c r="T10" s="23">
        <v>107418.566223321</v>
      </c>
      <c r="U10" s="33">
        <v>0.69617933300105506</v>
      </c>
      <c r="V10" s="5">
        <v>2</v>
      </c>
      <c r="W10" s="5">
        <v>70</v>
      </c>
      <c r="X10" s="33">
        <v>105.9874146169327</v>
      </c>
      <c r="Y10" s="5">
        <v>30.54176970143391</v>
      </c>
      <c r="Z10" s="5">
        <v>2135.0222019783341</v>
      </c>
      <c r="AA10" s="35"/>
    </row>
    <row r="11" spans="2:27" x14ac:dyDescent="0.2">
      <c r="B11" s="4">
        <v>8</v>
      </c>
      <c r="C11" s="4">
        <v>709</v>
      </c>
      <c r="D11" s="23">
        <v>91233.640415171685</v>
      </c>
      <c r="E11" s="33">
        <v>1.056576208997285</v>
      </c>
      <c r="F11" s="5">
        <v>2</v>
      </c>
      <c r="G11" s="23">
        <v>90</v>
      </c>
      <c r="H11" s="33">
        <v>99.14262143812536</v>
      </c>
      <c r="I11" s="23">
        <v>30.10907182259006</v>
      </c>
      <c r="J11" s="5">
        <v>2137.0214281174372</v>
      </c>
      <c r="K11" s="31"/>
      <c r="L11" s="23">
        <v>103142.1911885085</v>
      </c>
      <c r="M11" s="33">
        <v>0.72379883299799985</v>
      </c>
      <c r="N11" s="5">
        <v>2</v>
      </c>
      <c r="O11" s="5">
        <v>60</v>
      </c>
      <c r="P11" s="33">
        <v>0</v>
      </c>
      <c r="Q11" s="5">
        <v>15.413448806127469</v>
      </c>
      <c r="R11" s="5">
        <v>1468.027011040261</v>
      </c>
      <c r="S11" s="31"/>
      <c r="T11" s="23">
        <v>108302.0787030814</v>
      </c>
      <c r="U11" s="33">
        <v>0.95109979200060479</v>
      </c>
      <c r="V11" s="5">
        <v>2</v>
      </c>
      <c r="W11" s="5">
        <v>70</v>
      </c>
      <c r="X11" s="33">
        <v>85.989143983933559</v>
      </c>
      <c r="Y11" s="5">
        <v>30.886912717124162</v>
      </c>
      <c r="Z11" s="5">
        <v>2186.2162723637039</v>
      </c>
      <c r="AA11" s="35"/>
    </row>
    <row r="12" spans="2:27" x14ac:dyDescent="0.2">
      <c r="B12" s="4">
        <v>9</v>
      </c>
      <c r="C12" s="4">
        <v>894</v>
      </c>
      <c r="D12" s="23">
        <v>90790.964050958981</v>
      </c>
      <c r="E12" s="33">
        <v>1.460391332999279</v>
      </c>
      <c r="F12" s="5">
        <v>2</v>
      </c>
      <c r="G12" s="23">
        <v>90</v>
      </c>
      <c r="H12" s="33">
        <v>91.463461252108488</v>
      </c>
      <c r="I12" s="23">
        <v>29.6740462798059</v>
      </c>
      <c r="J12" s="5">
        <v>2114.4697039795055</v>
      </c>
      <c r="K12" s="31"/>
      <c r="L12" s="23">
        <v>103142.1911885085</v>
      </c>
      <c r="M12" s="33">
        <v>1.017068249999284</v>
      </c>
      <c r="N12" s="5">
        <v>2</v>
      </c>
      <c r="O12" s="5">
        <v>60</v>
      </c>
      <c r="P12" s="33">
        <v>0</v>
      </c>
      <c r="Q12" s="5">
        <v>15.413448806127469</v>
      </c>
      <c r="R12" s="5">
        <v>1468.027011040261</v>
      </c>
      <c r="S12" s="31"/>
      <c r="T12" s="23">
        <v>107418.566223321</v>
      </c>
      <c r="U12" s="33">
        <v>1.1401504169989489</v>
      </c>
      <c r="V12" s="5">
        <v>2</v>
      </c>
      <c r="W12" s="5">
        <v>70</v>
      </c>
      <c r="X12" s="33">
        <v>105.9874146169327</v>
      </c>
      <c r="Y12" s="5">
        <v>30.54176970143391</v>
      </c>
      <c r="Z12" s="5">
        <v>2135.0222019783341</v>
      </c>
      <c r="AA12" s="35"/>
    </row>
    <row r="13" spans="2:27" x14ac:dyDescent="0.2">
      <c r="B13" s="4">
        <v>10</v>
      </c>
      <c r="C13" s="4">
        <v>895</v>
      </c>
      <c r="D13" s="23">
        <v>91639.163015326456</v>
      </c>
      <c r="E13" s="33">
        <v>0.75464137500239303</v>
      </c>
      <c r="F13" s="5">
        <v>2</v>
      </c>
      <c r="G13" s="23">
        <v>90</v>
      </c>
      <c r="H13" s="33">
        <v>107.0557759719695</v>
      </c>
      <c r="I13" s="23">
        <v>30.524142065246505</v>
      </c>
      <c r="J13" s="5">
        <v>2160.7608917189691</v>
      </c>
      <c r="K13" s="31"/>
      <c r="L13" s="23">
        <v>103142.1911885085</v>
      </c>
      <c r="M13" s="33">
        <v>0.6438691250004922</v>
      </c>
      <c r="N13" s="5">
        <v>2</v>
      </c>
      <c r="O13" s="5">
        <v>60</v>
      </c>
      <c r="P13" s="33">
        <v>0</v>
      </c>
      <c r="Q13" s="5">
        <v>15.413448806127469</v>
      </c>
      <c r="R13" s="5">
        <v>1468.027011040261</v>
      </c>
      <c r="S13" s="31"/>
      <c r="T13" s="23">
        <v>107483.2346932307</v>
      </c>
      <c r="U13" s="33">
        <v>1.3476592500010161</v>
      </c>
      <c r="V13" s="5">
        <v>2</v>
      </c>
      <c r="W13" s="5">
        <v>66.666666666666671</v>
      </c>
      <c r="X13" s="33">
        <v>81.133373803564083</v>
      </c>
      <c r="Y13" s="5">
        <v>27.87234359155411</v>
      </c>
      <c r="Z13" s="5">
        <v>2024.7351179243401</v>
      </c>
      <c r="AA13" s="35"/>
    </row>
    <row r="14" spans="2:27" x14ac:dyDescent="0.2">
      <c r="B14" s="46" t="s">
        <v>3</v>
      </c>
      <c r="C14" s="47"/>
      <c r="D14" s="9">
        <f>MIN(D4:D13)</f>
        <v>90790.964050958981</v>
      </c>
      <c r="E14" s="22">
        <f>INDEX(E4:E13, MATCH($D$14, D4:D13, 0))</f>
        <v>0.75592258400138235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91.463461252108488</v>
      </c>
      <c r="I14" s="22">
        <f>INDEX(I4:I13, MATCH($D$14, D4:D13, 0))</f>
        <v>29.6740462798059</v>
      </c>
      <c r="J14" s="22">
        <f>INDEX(J4:J13, MATCH($D$14, D4:D13, 0))</f>
        <v>2114.4697039795055</v>
      </c>
      <c r="K14" s="32" t="e">
        <f>(D14-$D$15)/$D$15</f>
        <v>#DIV/0!</v>
      </c>
      <c r="L14" s="16">
        <f>MIN(L4:L13)</f>
        <v>103142.1911885085</v>
      </c>
      <c r="M14" s="21">
        <f>INDEX(M4:M13, MATCH($L$14, L4:L13, 0))</f>
        <v>0.63792908399773296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15.413448806127469</v>
      </c>
      <c r="R14" s="21">
        <f>INDEX(R4:R13, MATCH($L$14, L4:L13, 0))</f>
        <v>1468.027011040261</v>
      </c>
      <c r="S14" s="36" t="e">
        <f>(L14-$D$15)/$D$15</f>
        <v>#DIV/0!</v>
      </c>
      <c r="T14" s="38">
        <f>MIN(T4:T13)</f>
        <v>107418.566223321</v>
      </c>
      <c r="U14" s="39">
        <f>INDEX(U4:U13, MATCH($T$14, T4:T13, 0))</f>
        <v>1.0191705420002111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105.9874146169327</v>
      </c>
      <c r="Y14" s="39">
        <f>INDEX(Y4:Y13, MATCH($T$14, T4:T13, 0))</f>
        <v>30.54176970143391</v>
      </c>
      <c r="Z14" s="39">
        <f>INDEX(Z4:Z13, MATCH($T$14, T4:T13, 0))</f>
        <v>2135.0222019783341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9:C1048576">
    <cfRule type="duplicateValues" dxfId="125" priority="15"/>
    <cfRule type="duplicateValues" dxfId="124" priority="16"/>
  </conditionalFormatting>
  <conditionalFormatting sqref="C14">
    <cfRule type="duplicateValues" dxfId="123" priority="7"/>
    <cfRule type="duplicateValues" dxfId="122" priority="8"/>
  </conditionalFormatting>
  <conditionalFormatting sqref="C20:C28">
    <cfRule type="duplicateValues" dxfId="29" priority="5"/>
    <cfRule type="duplicateValues" dxfId="28" priority="6"/>
  </conditionalFormatting>
  <conditionalFormatting sqref="C17">
    <cfRule type="duplicateValues" dxfId="27" priority="1"/>
    <cfRule type="duplicateValues" dxfId="26" priority="2"/>
  </conditionalFormatting>
  <conditionalFormatting sqref="C18:C19">
    <cfRule type="duplicateValues" dxfId="25" priority="3"/>
    <cfRule type="duplicateValues" dxfId="2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5C3D-8B82-354E-B7E0-5ADE7365FD90}">
  <dimension ref="B1:AA17"/>
  <sheetViews>
    <sheetView topLeftCell="A2"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-0.8446181139753004</v>
      </c>
      <c r="J2" s="28" t="e">
        <f>(S14-J14)/J14</f>
        <v>#DIV/0!</v>
      </c>
      <c r="K2" s="28"/>
      <c r="L2" s="1" t="s">
        <v>19</v>
      </c>
      <c r="P2" s="1">
        <f>(P14-H14)/H14</f>
        <v>-0.78991728117529703</v>
      </c>
      <c r="R2" s="1">
        <f>(R14-J14)/J14</f>
        <v>-0.15579941479603568</v>
      </c>
      <c r="T2" s="1" t="s">
        <v>20</v>
      </c>
      <c r="X2" s="1">
        <f>(X14-P14)/P14</f>
        <v>2.5367969727860746</v>
      </c>
      <c r="Z2" s="1">
        <f>(Z14-R14)/R14</f>
        <v>0.16539131021916337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2</v>
      </c>
      <c r="C4" s="4">
        <v>22</v>
      </c>
      <c r="D4" s="23">
        <v>98655.874652846062</v>
      </c>
      <c r="E4" s="33">
        <v>0.72996762500042678</v>
      </c>
      <c r="F4" s="5">
        <v>2</v>
      </c>
      <c r="G4" s="23">
        <v>80</v>
      </c>
      <c r="H4" s="33">
        <v>133.24101610744719</v>
      </c>
      <c r="I4" s="23">
        <v>29.009275631480769</v>
      </c>
      <c r="J4" s="5">
        <v>2048.0579560155306</v>
      </c>
      <c r="K4" s="31"/>
      <c r="L4" s="23">
        <v>106948.68606215469</v>
      </c>
      <c r="M4" s="33">
        <v>0.55078366599991568</v>
      </c>
      <c r="N4" s="5">
        <v>2</v>
      </c>
      <c r="O4" s="5">
        <v>63.333333333333343</v>
      </c>
      <c r="P4" s="33">
        <v>27.991634922818541</v>
      </c>
      <c r="Q4" s="5">
        <v>20.703240378622532</v>
      </c>
      <c r="R4" s="5">
        <v>1728.971724999946</v>
      </c>
      <c r="S4" s="31"/>
      <c r="T4" s="23">
        <v>111589.90646109211</v>
      </c>
      <c r="U4" s="33">
        <v>0.95182995900177048</v>
      </c>
      <c r="V4" s="5">
        <v>2</v>
      </c>
      <c r="W4" s="5">
        <v>63.333333333333343</v>
      </c>
      <c r="X4" s="33">
        <v>99.000729658357585</v>
      </c>
      <c r="Y4" s="5">
        <v>28.66664633013345</v>
      </c>
      <c r="Z4" s="5">
        <v>2014.9286239295741</v>
      </c>
      <c r="AA4" s="35"/>
    </row>
    <row r="5" spans="2:27" x14ac:dyDescent="0.2">
      <c r="B5" s="4">
        <v>3</v>
      </c>
      <c r="C5" s="4">
        <v>33</v>
      </c>
      <c r="D5" s="23">
        <v>98655.874652846062</v>
      </c>
      <c r="E5" s="33">
        <v>1.04345645900321</v>
      </c>
      <c r="F5" s="5">
        <v>2</v>
      </c>
      <c r="G5" s="23">
        <v>80</v>
      </c>
      <c r="H5" s="33">
        <v>133.24101610744719</v>
      </c>
      <c r="I5" s="23">
        <v>29.009275631480769</v>
      </c>
      <c r="J5" s="5">
        <v>2048.0579560155306</v>
      </c>
      <c r="K5" s="31"/>
      <c r="L5" s="23">
        <v>107812.93339108871</v>
      </c>
      <c r="M5" s="33">
        <v>0.53580529199825833</v>
      </c>
      <c r="N5" s="5">
        <v>2</v>
      </c>
      <c r="O5" s="5">
        <v>63.333333333333343</v>
      </c>
      <c r="P5" s="33">
        <v>27.991634922818541</v>
      </c>
      <c r="Q5" s="5">
        <v>22.285478802966221</v>
      </c>
      <c r="R5" s="5">
        <v>1791.5202014542399</v>
      </c>
      <c r="S5" s="31"/>
      <c r="T5" s="23">
        <v>117083.2439773176</v>
      </c>
      <c r="U5" s="33">
        <v>1.2490736250001651</v>
      </c>
      <c r="V5" s="5">
        <v>2</v>
      </c>
      <c r="W5" s="5">
        <v>60</v>
      </c>
      <c r="X5" s="33">
        <v>201.10391222316761</v>
      </c>
      <c r="Y5" s="5">
        <v>28.749667964929351</v>
      </c>
      <c r="Z5" s="5">
        <v>2087.8253174838192</v>
      </c>
      <c r="AA5" s="35"/>
    </row>
    <row r="6" spans="2:27" x14ac:dyDescent="0.2">
      <c r="B6" s="4">
        <v>4</v>
      </c>
      <c r="C6" s="4">
        <v>130</v>
      </c>
      <c r="D6" s="23">
        <v>99058.836525453458</v>
      </c>
      <c r="E6" s="33">
        <v>1.3271326249996489</v>
      </c>
      <c r="F6" s="5">
        <v>2</v>
      </c>
      <c r="G6" s="23">
        <v>83.333333333333329</v>
      </c>
      <c r="H6" s="33">
        <v>177.43803599523554</v>
      </c>
      <c r="I6" s="23">
        <v>30.98267855517609</v>
      </c>
      <c r="J6" s="5">
        <v>2127.8152807631368</v>
      </c>
      <c r="K6" s="31"/>
      <c r="L6" s="23">
        <v>106948.68606215469</v>
      </c>
      <c r="M6" s="33">
        <v>0.58849874999941676</v>
      </c>
      <c r="N6" s="5">
        <v>2</v>
      </c>
      <c r="O6" s="5">
        <v>63.333333333333343</v>
      </c>
      <c r="P6" s="33">
        <v>27.991634922818541</v>
      </c>
      <c r="Q6" s="5">
        <v>20.703240378622532</v>
      </c>
      <c r="R6" s="5">
        <v>1728.971724999946</v>
      </c>
      <c r="S6" s="31"/>
      <c r="T6" s="23">
        <v>111756.8806308796</v>
      </c>
      <c r="U6" s="33">
        <v>0.81331716700151446</v>
      </c>
      <c r="V6" s="5">
        <v>2</v>
      </c>
      <c r="W6" s="5">
        <v>63.333333333333343</v>
      </c>
      <c r="X6" s="33">
        <v>97.893918512846724</v>
      </c>
      <c r="Y6" s="5">
        <v>28.48485228335301</v>
      </c>
      <c r="Z6" s="5">
        <v>2007.1809459109979</v>
      </c>
      <c r="AA6" s="35"/>
    </row>
    <row r="7" spans="2:27" x14ac:dyDescent="0.2">
      <c r="B7" s="4">
        <v>5</v>
      </c>
      <c r="C7" s="4">
        <v>302</v>
      </c>
      <c r="D7" s="23">
        <v>98745.84451095546</v>
      </c>
      <c r="E7" s="33">
        <v>1.2164286249972061</v>
      </c>
      <c r="F7" s="5">
        <v>2</v>
      </c>
      <c r="G7" s="23">
        <v>80</v>
      </c>
      <c r="H7" s="33">
        <v>151.20218086952443</v>
      </c>
      <c r="I7" s="23">
        <v>28.278321905724631</v>
      </c>
      <c r="J7" s="5">
        <v>2012.826863578555</v>
      </c>
      <c r="K7" s="31"/>
      <c r="L7" s="23">
        <v>107284.0747013096</v>
      </c>
      <c r="M7" s="33">
        <v>0.86285162499916623</v>
      </c>
      <c r="N7" s="5">
        <v>2</v>
      </c>
      <c r="O7" s="5">
        <v>63.333333333333343</v>
      </c>
      <c r="P7" s="33">
        <v>31.182739107025839</v>
      </c>
      <c r="Q7" s="5">
        <v>21.009221008008819</v>
      </c>
      <c r="R7" s="5">
        <v>1745.7377577288271</v>
      </c>
      <c r="S7" s="31"/>
      <c r="T7" s="23">
        <v>111794.7253403366</v>
      </c>
      <c r="U7" s="33">
        <v>1.2787444999994479</v>
      </c>
      <c r="V7" s="5">
        <v>2</v>
      </c>
      <c r="W7" s="5">
        <v>60</v>
      </c>
      <c r="X7" s="33">
        <v>52.497244729657098</v>
      </c>
      <c r="Y7" s="5">
        <v>27.05510719422784</v>
      </c>
      <c r="Z7" s="5">
        <v>1905.5689480037449</v>
      </c>
      <c r="AA7" s="35"/>
    </row>
    <row r="8" spans="2:27" x14ac:dyDescent="0.2">
      <c r="B8" s="4">
        <v>6</v>
      </c>
      <c r="C8" s="4">
        <v>363</v>
      </c>
      <c r="D8" s="23">
        <v>100249.0793508278</v>
      </c>
      <c r="E8" s="33">
        <v>0.60233599999992293</v>
      </c>
      <c r="F8" s="5">
        <v>2</v>
      </c>
      <c r="G8" s="23">
        <v>86.666666666666671</v>
      </c>
      <c r="H8" s="33">
        <v>242.94160640168425</v>
      </c>
      <c r="I8" s="23">
        <v>32.512581702107532</v>
      </c>
      <c r="J8" s="5">
        <v>2209.9594527572144</v>
      </c>
      <c r="K8" s="31"/>
      <c r="L8" s="23">
        <v>106948.68606215469</v>
      </c>
      <c r="M8" s="33">
        <v>0.55112966600063373</v>
      </c>
      <c r="N8" s="5">
        <v>2</v>
      </c>
      <c r="O8" s="5">
        <v>63.333333333333343</v>
      </c>
      <c r="P8" s="33">
        <v>27.991634922818541</v>
      </c>
      <c r="Q8" s="5">
        <v>20.703240378622532</v>
      </c>
      <c r="R8" s="5">
        <v>1728.971724999946</v>
      </c>
      <c r="S8" s="31"/>
      <c r="T8" s="23">
        <v>118041.29890404121</v>
      </c>
      <c r="U8" s="33">
        <v>0.59821091699996032</v>
      </c>
      <c r="V8" s="5">
        <v>2</v>
      </c>
      <c r="W8" s="5">
        <v>66.666666666666671</v>
      </c>
      <c r="X8" s="33">
        <v>243.67880456553459</v>
      </c>
      <c r="Y8" s="5">
        <v>40.129017020716233</v>
      </c>
      <c r="Z8" s="5">
        <v>2509.4461423826342</v>
      </c>
      <c r="AA8" s="35"/>
    </row>
    <row r="9" spans="2:27" x14ac:dyDescent="0.2">
      <c r="B9" s="4">
        <v>1</v>
      </c>
      <c r="C9" s="4">
        <v>554</v>
      </c>
      <c r="D9" s="23">
        <v>98962.921492608119</v>
      </c>
      <c r="E9" s="33">
        <v>0.66911262500070734</v>
      </c>
      <c r="F9" s="5">
        <v>2</v>
      </c>
      <c r="G9" s="23">
        <v>80</v>
      </c>
      <c r="H9" s="33">
        <v>134.14452487937706</v>
      </c>
      <c r="I9" s="23">
        <v>28.86863221598356</v>
      </c>
      <c r="J9" s="5">
        <v>2041.9994764833684</v>
      </c>
      <c r="K9" s="31"/>
      <c r="L9" s="23">
        <v>107049.9219298332</v>
      </c>
      <c r="M9" s="33">
        <v>0.62087149999933899</v>
      </c>
      <c r="N9" s="5">
        <v>2</v>
      </c>
      <c r="O9" s="5">
        <v>63.333333333333343</v>
      </c>
      <c r="P9" s="33">
        <v>27.991634922818541</v>
      </c>
      <c r="Q9" s="5">
        <v>20.593362710265328</v>
      </c>
      <c r="R9" s="5">
        <v>1725.7538117958841</v>
      </c>
      <c r="S9" s="31"/>
      <c r="T9" s="23">
        <v>115886.383295091</v>
      </c>
      <c r="U9" s="33">
        <v>1.358848541000043</v>
      </c>
      <c r="V9" s="5">
        <v>2</v>
      </c>
      <c r="W9" s="5">
        <v>60</v>
      </c>
      <c r="X9" s="33">
        <v>150.73694598073951</v>
      </c>
      <c r="Y9" s="5">
        <v>31.64957852145988</v>
      </c>
      <c r="Z9" s="5">
        <v>2157.539428011029</v>
      </c>
      <c r="AA9" s="35"/>
    </row>
    <row r="10" spans="2:27" x14ac:dyDescent="0.2">
      <c r="B10" s="4">
        <v>7</v>
      </c>
      <c r="C10" s="4">
        <v>706</v>
      </c>
      <c r="D10" s="23">
        <v>99424.866937343846</v>
      </c>
      <c r="E10" s="33">
        <v>0.79551158299727831</v>
      </c>
      <c r="F10" s="5">
        <v>2</v>
      </c>
      <c r="G10" s="23">
        <v>83.333333333333329</v>
      </c>
      <c r="H10" s="33">
        <v>179.34727969271452</v>
      </c>
      <c r="I10" s="23">
        <v>31.016676402885679</v>
      </c>
      <c r="J10" s="5">
        <v>2132.5883900068338</v>
      </c>
      <c r="K10" s="31"/>
      <c r="L10" s="23">
        <v>107070.69308203959</v>
      </c>
      <c r="M10" s="33">
        <v>0.56546625000191852</v>
      </c>
      <c r="N10" s="5">
        <v>2</v>
      </c>
      <c r="O10" s="5">
        <v>63.333333333333343</v>
      </c>
      <c r="P10" s="33">
        <v>32.700651535154982</v>
      </c>
      <c r="Q10" s="5">
        <v>21.133879782943971</v>
      </c>
      <c r="R10" s="5">
        <v>1752.5683636554079</v>
      </c>
      <c r="S10" s="31"/>
      <c r="T10" s="23">
        <v>111875.9961790102</v>
      </c>
      <c r="U10" s="33">
        <v>0.89482329200109234</v>
      </c>
      <c r="V10" s="5">
        <v>2</v>
      </c>
      <c r="W10" s="5">
        <v>66.666666666666671</v>
      </c>
      <c r="X10" s="33">
        <v>130.8528413827203</v>
      </c>
      <c r="Y10" s="5">
        <v>31.310923374212489</v>
      </c>
      <c r="Z10" s="5">
        <v>2145.070031542617</v>
      </c>
      <c r="AA10" s="35"/>
    </row>
    <row r="11" spans="2:27" x14ac:dyDescent="0.2">
      <c r="B11" s="4">
        <v>8</v>
      </c>
      <c r="C11" s="4">
        <v>773</v>
      </c>
      <c r="D11" s="23">
        <v>99148.806383562856</v>
      </c>
      <c r="E11" s="33">
        <v>0.60123041599945282</v>
      </c>
      <c r="F11" s="5">
        <v>2</v>
      </c>
      <c r="G11" s="23">
        <v>83.333333333333329</v>
      </c>
      <c r="H11" s="33">
        <v>194.68075416682973</v>
      </c>
      <c r="I11" s="23">
        <v>30.251724829419956</v>
      </c>
      <c r="J11" s="5">
        <v>2093.9934320236403</v>
      </c>
      <c r="K11" s="31"/>
      <c r="L11" s="23">
        <v>106948.68606215469</v>
      </c>
      <c r="M11" s="33">
        <v>0.58664904199758894</v>
      </c>
      <c r="N11" s="5">
        <v>2</v>
      </c>
      <c r="O11" s="5">
        <v>63.333333333333343</v>
      </c>
      <c r="P11" s="33">
        <v>27.991634922818541</v>
      </c>
      <c r="Q11" s="5">
        <v>20.703240378622532</v>
      </c>
      <c r="R11" s="5">
        <v>1728.971724999946</v>
      </c>
      <c r="S11" s="31"/>
      <c r="T11" s="23">
        <v>117434.98487159349</v>
      </c>
      <c r="U11" s="33">
        <v>1.3313397499987329</v>
      </c>
      <c r="V11" s="5">
        <v>2</v>
      </c>
      <c r="W11" s="5">
        <v>70</v>
      </c>
      <c r="X11" s="33">
        <v>281.1404912551356</v>
      </c>
      <c r="Y11" s="5">
        <v>38.793424327761471</v>
      </c>
      <c r="Z11" s="5">
        <v>2470.3190500087298</v>
      </c>
      <c r="AA11" s="35"/>
    </row>
    <row r="12" spans="2:27" x14ac:dyDescent="0.2">
      <c r="B12" s="4">
        <v>9</v>
      </c>
      <c r="C12" s="4">
        <v>908</v>
      </c>
      <c r="D12" s="23">
        <v>98745.84451095546</v>
      </c>
      <c r="E12" s="33">
        <v>0.65495500000179163</v>
      </c>
      <c r="F12" s="5">
        <v>2</v>
      </c>
      <c r="G12" s="23">
        <v>80</v>
      </c>
      <c r="H12" s="33">
        <v>151.20218086952443</v>
      </c>
      <c r="I12" s="23">
        <v>28.278321905724631</v>
      </c>
      <c r="J12" s="5">
        <v>2012.826863578555</v>
      </c>
      <c r="K12" s="31"/>
      <c r="L12" s="23">
        <v>106948.68606215469</v>
      </c>
      <c r="M12" s="33">
        <v>0.66094929199971375</v>
      </c>
      <c r="N12" s="5">
        <v>2</v>
      </c>
      <c r="O12" s="5">
        <v>63.333333333333343</v>
      </c>
      <c r="P12" s="33">
        <v>27.991634922818541</v>
      </c>
      <c r="Q12" s="5">
        <v>20.703240378622532</v>
      </c>
      <c r="R12" s="5">
        <v>1728.971724999946</v>
      </c>
      <c r="S12" s="31"/>
      <c r="T12" s="23">
        <v>113653.99888483679</v>
      </c>
      <c r="U12" s="33">
        <v>1.6168534169992199</v>
      </c>
      <c r="V12" s="5">
        <v>2</v>
      </c>
      <c r="W12" s="5">
        <v>66.666666666666671</v>
      </c>
      <c r="X12" s="33">
        <v>186.33911348142109</v>
      </c>
      <c r="Y12" s="5">
        <v>34.066437099822849</v>
      </c>
      <c r="Z12" s="5">
        <v>2226.2362575230641</v>
      </c>
      <c r="AA12" s="35"/>
    </row>
    <row r="13" spans="2:27" x14ac:dyDescent="0.2">
      <c r="B13" s="4">
        <v>10</v>
      </c>
      <c r="C13" s="4">
        <v>930</v>
      </c>
      <c r="D13" s="23">
        <v>99058.836525453458</v>
      </c>
      <c r="E13" s="33">
        <v>0.6865038750001986</v>
      </c>
      <c r="F13" s="5">
        <v>2</v>
      </c>
      <c r="G13" s="23">
        <v>83.333333333333329</v>
      </c>
      <c r="H13" s="33">
        <v>177.43803599523554</v>
      </c>
      <c r="I13" s="23">
        <v>30.98267855517609</v>
      </c>
      <c r="J13" s="5">
        <v>2127.8152807631368</v>
      </c>
      <c r="K13" s="31"/>
      <c r="L13" s="23">
        <v>107425.7036482501</v>
      </c>
      <c r="M13" s="33">
        <v>0.40513258300052257</v>
      </c>
      <c r="N13" s="5">
        <v>2</v>
      </c>
      <c r="O13" s="5">
        <v>60</v>
      </c>
      <c r="P13" s="33">
        <v>43.522956639115492</v>
      </c>
      <c r="Q13" s="5">
        <v>18.748364135321239</v>
      </c>
      <c r="R13" s="5">
        <v>1604.474782289629</v>
      </c>
      <c r="S13" s="31"/>
      <c r="T13" s="23">
        <v>111984.1780167082</v>
      </c>
      <c r="U13" s="33">
        <v>0.79954658299902803</v>
      </c>
      <c r="V13" s="5">
        <v>2</v>
      </c>
      <c r="W13" s="5">
        <v>60</v>
      </c>
      <c r="X13" s="33">
        <v>55.222788098356929</v>
      </c>
      <c r="Y13" s="5">
        <v>26.63221032632384</v>
      </c>
      <c r="Z13" s="5">
        <v>1928.1663505376721</v>
      </c>
      <c r="AA13" s="35"/>
    </row>
    <row r="14" spans="2:27" x14ac:dyDescent="0.2">
      <c r="B14" s="46" t="s">
        <v>3</v>
      </c>
      <c r="C14" s="47"/>
      <c r="D14" s="9">
        <f>MIN(D4:D13)</f>
        <v>98655.874652846062</v>
      </c>
      <c r="E14" s="22">
        <f>INDEX(E4:E13, MATCH($D$14, D4:D13, 0))</f>
        <v>0.72996762500042678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133.24101610744719</v>
      </c>
      <c r="I14" s="22">
        <f>INDEX(I4:I13, MATCH($D$14, D4:D13, 0))</f>
        <v>29.009275631480769</v>
      </c>
      <c r="J14" s="22">
        <f>INDEX(J4:J13, MATCH($D$14, D4:D13, 0))</f>
        <v>2048.0579560155306</v>
      </c>
      <c r="K14" s="32" t="e">
        <f>(D14-$D$15)/$D$15</f>
        <v>#DIV/0!</v>
      </c>
      <c r="L14" s="16">
        <f>MIN(L4:L13)</f>
        <v>106948.68606215469</v>
      </c>
      <c r="M14" s="21">
        <f>INDEX(M4:M13, MATCH($L$14, L4:L13, 0))</f>
        <v>0.55078366599991568</v>
      </c>
      <c r="N14" s="16">
        <f>INDEX(N4:N13, MATCH($L$14, L4:L13, 0))</f>
        <v>2</v>
      </c>
      <c r="O14" s="16">
        <f>INDEX(O4:O13, MATCH($L$14, L4:L13, 0))</f>
        <v>63.333333333333343</v>
      </c>
      <c r="P14" s="21">
        <f>INDEX(P4:P13, MATCH($L$14, L4:L13, 0))</f>
        <v>27.991634922818541</v>
      </c>
      <c r="Q14" s="21">
        <f>INDEX(Q4:Q13, MATCH($L$14, L4:L13, 0))</f>
        <v>20.703240378622532</v>
      </c>
      <c r="R14" s="21">
        <f>INDEX(R4:R13, MATCH($L$14, L4:L13, 0))</f>
        <v>1728.971724999946</v>
      </c>
      <c r="S14" s="36" t="e">
        <f>(L14-$D$15)/$D$15</f>
        <v>#DIV/0!</v>
      </c>
      <c r="T14" s="38">
        <f>MIN(T4:T13)</f>
        <v>111589.90646109211</v>
      </c>
      <c r="U14" s="39">
        <f>INDEX(U4:U13, MATCH($T$14, T4:T13, 0))</f>
        <v>0.95182995900177048</v>
      </c>
      <c r="V14" s="38">
        <f>INDEX(V4:V13, MATCH($T$14, T4:T13, 0))</f>
        <v>2</v>
      </c>
      <c r="W14" s="38">
        <f>INDEX(W4:W13, MATCH($T$14, T4:T13, 0))</f>
        <v>63.333333333333343</v>
      </c>
      <c r="X14" s="39">
        <f>INDEX(X4:X13, MATCH($T$14, T4:T13, 0))</f>
        <v>99.000729658357585</v>
      </c>
      <c r="Y14" s="39">
        <f>INDEX(Y4:Y13, MATCH($T$14, T4:T13, 0))</f>
        <v>28.66664633013345</v>
      </c>
      <c r="Z14" s="39">
        <f>INDEX(Z4:Z13, MATCH($T$14, T4:T13, 0))</f>
        <v>2014.9286239295741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17" priority="7"/>
    <cfRule type="duplicateValues" dxfId="116" priority="8"/>
  </conditionalFormatting>
  <conditionalFormatting sqref="C15:C16 C29:C1048576 C1:C13">
    <cfRule type="duplicateValues" dxfId="115" priority="17"/>
    <cfRule type="duplicateValues" dxfId="114" priority="18"/>
  </conditionalFormatting>
  <conditionalFormatting sqref="C20:C28">
    <cfRule type="duplicateValues" dxfId="23" priority="5"/>
    <cfRule type="duplicateValues" dxfId="22" priority="6"/>
  </conditionalFormatting>
  <conditionalFormatting sqref="C17">
    <cfRule type="duplicateValues" dxfId="21" priority="1"/>
    <cfRule type="duplicateValues" dxfId="20" priority="2"/>
  </conditionalFormatting>
  <conditionalFormatting sqref="C18:C19">
    <cfRule type="duplicateValues" dxfId="19" priority="3"/>
    <cfRule type="duplicateValues" dxfId="18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CECB-FE6A-6D49-81F1-D75B908FE327}">
  <dimension ref="B1:AA17"/>
  <sheetViews>
    <sheetView zoomScale="110" zoomScaleNormal="110" workbookViewId="0">
      <selection activeCell="R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-0.56083367473068535</v>
      </c>
      <c r="J2" s="28" t="e">
        <f>(S14-J14)/J14</f>
        <v>#DIV/0!</v>
      </c>
      <c r="K2" s="28"/>
      <c r="L2" s="1" t="s">
        <v>19</v>
      </c>
      <c r="P2" s="1">
        <f>(P14-H14)/H14</f>
        <v>-0.18077126483383682</v>
      </c>
      <c r="R2" s="1">
        <f>(R14-J14)/J14</f>
        <v>-8.3177446523448328E-2</v>
      </c>
      <c r="T2" s="1" t="s">
        <v>20</v>
      </c>
      <c r="X2" s="1">
        <f>(X14-P14)/P14</f>
        <v>0.5193754158324051</v>
      </c>
      <c r="Z2" s="1">
        <f>(Z14-R14)/R14</f>
        <v>0.1329819761474835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</v>
      </c>
      <c r="D4" s="23">
        <v>98569.904167569912</v>
      </c>
      <c r="E4" s="33">
        <v>0.52122575000248617</v>
      </c>
      <c r="F4" s="5">
        <v>2</v>
      </c>
      <c r="G4" s="23">
        <v>80</v>
      </c>
      <c r="H4" s="33">
        <v>31.525400549538233</v>
      </c>
      <c r="I4" s="23">
        <v>24.40598522066681</v>
      </c>
      <c r="J4" s="5">
        <v>2037.8551438208369</v>
      </c>
      <c r="K4" s="31"/>
      <c r="L4" s="23">
        <v>100558.3769399857</v>
      </c>
      <c r="M4" s="33">
        <v>0.60792583299917169</v>
      </c>
      <c r="N4" s="5">
        <v>2</v>
      </c>
      <c r="O4" s="5">
        <v>70</v>
      </c>
      <c r="P4" s="33">
        <v>37.690405031291142</v>
      </c>
      <c r="Q4" s="5">
        <v>20.20480479380026</v>
      </c>
      <c r="R4" s="5">
        <v>1733.058373645069</v>
      </c>
      <c r="S4" s="31"/>
      <c r="T4" s="23">
        <v>116287.2973063916</v>
      </c>
      <c r="U4" s="33">
        <v>0.57037683400267269</v>
      </c>
      <c r="V4" s="5">
        <v>2</v>
      </c>
      <c r="W4" s="5">
        <v>66.666666666666671</v>
      </c>
      <c r="X4" s="33">
        <v>135.96268934686341</v>
      </c>
      <c r="Y4" s="5">
        <v>31.42529726512775</v>
      </c>
      <c r="Z4" s="5">
        <v>2361.5808404727109</v>
      </c>
      <c r="AA4" s="35"/>
    </row>
    <row r="5" spans="2:27" x14ac:dyDescent="0.2">
      <c r="B5" s="4">
        <v>2</v>
      </c>
      <c r="C5" s="4">
        <v>39</v>
      </c>
      <c r="D5" s="23">
        <v>98827.18913568632</v>
      </c>
      <c r="E5" s="33">
        <v>0.62834699999802979</v>
      </c>
      <c r="F5" s="5">
        <v>2</v>
      </c>
      <c r="G5" s="23">
        <v>76.666666666666671</v>
      </c>
      <c r="H5" s="33">
        <v>0</v>
      </c>
      <c r="I5" s="23">
        <v>23.340995729751391</v>
      </c>
      <c r="J5" s="5">
        <v>1938.7927346440119</v>
      </c>
      <c r="K5" s="31"/>
      <c r="L5" s="23">
        <v>100718.6656066221</v>
      </c>
      <c r="M5" s="33">
        <v>0.60699491699779173</v>
      </c>
      <c r="N5" s="5">
        <v>2</v>
      </c>
      <c r="O5" s="5">
        <v>70</v>
      </c>
      <c r="P5" s="33">
        <v>16.638638809081861</v>
      </c>
      <c r="Q5" s="5">
        <v>20.218172862723879</v>
      </c>
      <c r="R5" s="5">
        <v>1734.08797467467</v>
      </c>
      <c r="S5" s="31"/>
      <c r="T5" s="23">
        <v>114195.34630602731</v>
      </c>
      <c r="U5" s="33">
        <v>1.0504216250010361</v>
      </c>
      <c r="V5" s="5">
        <v>2</v>
      </c>
      <c r="W5" s="5">
        <v>60</v>
      </c>
      <c r="X5" s="33">
        <v>57.265874817309751</v>
      </c>
      <c r="Y5" s="5">
        <v>25.043358088780831</v>
      </c>
      <c r="Z5" s="5">
        <v>1963.5239009513341</v>
      </c>
      <c r="AA5" s="35"/>
    </row>
    <row r="6" spans="2:27" x14ac:dyDescent="0.2">
      <c r="B6" s="4">
        <v>3</v>
      </c>
      <c r="C6" s="4">
        <v>67</v>
      </c>
      <c r="D6" s="23">
        <v>98115.286540775487</v>
      </c>
      <c r="E6" s="33">
        <v>0.62648458300100174</v>
      </c>
      <c r="F6" s="5">
        <v>2</v>
      </c>
      <c r="G6" s="23">
        <v>76.666666666666671</v>
      </c>
      <c r="H6" s="33">
        <v>21.207860189569065</v>
      </c>
      <c r="I6" s="23">
        <v>22.74388865116283</v>
      </c>
      <c r="J6" s="5">
        <v>1893.7302922345236</v>
      </c>
      <c r="K6" s="31"/>
      <c r="L6" s="23">
        <v>100558.3769399857</v>
      </c>
      <c r="M6" s="33">
        <v>0.54848829199909233</v>
      </c>
      <c r="N6" s="5">
        <v>2</v>
      </c>
      <c r="O6" s="5">
        <v>70</v>
      </c>
      <c r="P6" s="33">
        <v>37.690405031291142</v>
      </c>
      <c r="Q6" s="5">
        <v>20.20480479380026</v>
      </c>
      <c r="R6" s="5">
        <v>1733.058373645069</v>
      </c>
      <c r="S6" s="31"/>
      <c r="T6" s="23">
        <v>114195.34630602731</v>
      </c>
      <c r="U6" s="33">
        <v>0.7194487080014369</v>
      </c>
      <c r="V6" s="5">
        <v>2</v>
      </c>
      <c r="W6" s="5">
        <v>60</v>
      </c>
      <c r="X6" s="33">
        <v>57.265874817309751</v>
      </c>
      <c r="Y6" s="5">
        <v>25.043358088780831</v>
      </c>
      <c r="Z6" s="5">
        <v>1963.5239009513341</v>
      </c>
      <c r="AA6" s="35"/>
    </row>
    <row r="7" spans="2:27" x14ac:dyDescent="0.2">
      <c r="B7" s="4">
        <v>4</v>
      </c>
      <c r="C7" s="4">
        <v>73</v>
      </c>
      <c r="D7" s="23">
        <v>98255.691240693064</v>
      </c>
      <c r="E7" s="33">
        <v>1.169055166999897</v>
      </c>
      <c r="F7" s="5">
        <v>2</v>
      </c>
      <c r="G7" s="23">
        <v>80</v>
      </c>
      <c r="H7" s="33">
        <v>28.732607756745438</v>
      </c>
      <c r="I7" s="23">
        <v>23.991575084034451</v>
      </c>
      <c r="J7" s="5">
        <v>2004.3416303073236</v>
      </c>
      <c r="K7" s="31"/>
      <c r="L7" s="23">
        <v>100558.3769399857</v>
      </c>
      <c r="M7" s="33">
        <v>1.030000333001226</v>
      </c>
      <c r="N7" s="5">
        <v>2</v>
      </c>
      <c r="O7" s="5">
        <v>70</v>
      </c>
      <c r="P7" s="33">
        <v>37.690405031291142</v>
      </c>
      <c r="Q7" s="5">
        <v>20.20480479380026</v>
      </c>
      <c r="R7" s="5">
        <v>1733.058373645069</v>
      </c>
      <c r="S7" s="31"/>
      <c r="T7" s="23">
        <v>114208.2777249155</v>
      </c>
      <c r="U7" s="33">
        <v>1.3520825000014161</v>
      </c>
      <c r="V7" s="5">
        <v>2</v>
      </c>
      <c r="W7" s="5">
        <v>60</v>
      </c>
      <c r="X7" s="33">
        <v>64.427765575691765</v>
      </c>
      <c r="Y7" s="5">
        <v>25.472792200801042</v>
      </c>
      <c r="Z7" s="5">
        <v>1992.1714639848631</v>
      </c>
      <c r="AA7" s="35"/>
    </row>
    <row r="8" spans="2:27" x14ac:dyDescent="0.2">
      <c r="B8" s="4">
        <v>5</v>
      </c>
      <c r="C8" s="4">
        <v>319</v>
      </c>
      <c r="D8" s="23">
        <v>98255.691240693064</v>
      </c>
      <c r="E8" s="33">
        <v>0.69065641599809169</v>
      </c>
      <c r="F8" s="5">
        <v>2</v>
      </c>
      <c r="G8" s="23">
        <v>80</v>
      </c>
      <c r="H8" s="33">
        <v>28.732607756745438</v>
      </c>
      <c r="I8" s="23">
        <v>23.991575084034451</v>
      </c>
      <c r="J8" s="5">
        <v>2004.3416303073236</v>
      </c>
      <c r="K8" s="31"/>
      <c r="L8" s="23">
        <v>100922.59380026891</v>
      </c>
      <c r="M8" s="33">
        <v>0.55381699999998091</v>
      </c>
      <c r="N8" s="5">
        <v>2</v>
      </c>
      <c r="O8" s="5">
        <v>70</v>
      </c>
      <c r="P8" s="33">
        <v>35.424424765310881</v>
      </c>
      <c r="Q8" s="5">
        <v>19.754746473371569</v>
      </c>
      <c r="R8" s="5">
        <v>1721.7284723151679</v>
      </c>
      <c r="S8" s="31"/>
      <c r="T8" s="23">
        <v>115782.2736259879</v>
      </c>
      <c r="U8" s="33">
        <v>0.90464733300177613</v>
      </c>
      <c r="V8" s="5">
        <v>2</v>
      </c>
      <c r="W8" s="5">
        <v>63.333333333333343</v>
      </c>
      <c r="X8" s="33">
        <v>55.89514782913961</v>
      </c>
      <c r="Y8" s="5">
        <v>28.322829520075349</v>
      </c>
      <c r="Z8" s="5">
        <v>2218.8658675699562</v>
      </c>
      <c r="AA8" s="35"/>
    </row>
    <row r="9" spans="2:27" x14ac:dyDescent="0.2">
      <c r="B9" s="4">
        <v>6</v>
      </c>
      <c r="C9" s="4">
        <v>503</v>
      </c>
      <c r="D9" s="23">
        <v>98255.691240693064</v>
      </c>
      <c r="E9" s="33">
        <v>0.91021149999869522</v>
      </c>
      <c r="F9" s="5">
        <v>2</v>
      </c>
      <c r="G9" s="23">
        <v>80</v>
      </c>
      <c r="H9" s="33">
        <v>28.732607756745438</v>
      </c>
      <c r="I9" s="23">
        <v>23.991575084034451</v>
      </c>
      <c r="J9" s="5">
        <v>2004.3416303073236</v>
      </c>
      <c r="K9" s="31"/>
      <c r="L9" s="23">
        <v>100558.3769399857</v>
      </c>
      <c r="M9" s="33">
        <v>1.251502125000115</v>
      </c>
      <c r="N9" s="5">
        <v>2</v>
      </c>
      <c r="O9" s="5">
        <v>70</v>
      </c>
      <c r="P9" s="33">
        <v>37.690405031291142</v>
      </c>
      <c r="Q9" s="5">
        <v>20.20480479380026</v>
      </c>
      <c r="R9" s="5">
        <v>1733.058373645069</v>
      </c>
      <c r="S9" s="31"/>
      <c r="T9" s="23">
        <v>118717.4289534249</v>
      </c>
      <c r="U9" s="33">
        <v>0.87889637500120443</v>
      </c>
      <c r="V9" s="5">
        <v>2</v>
      </c>
      <c r="W9" s="5">
        <v>63.333333333333343</v>
      </c>
      <c r="X9" s="33">
        <v>129.23523431469471</v>
      </c>
      <c r="Y9" s="5">
        <v>30.691047009306491</v>
      </c>
      <c r="Z9" s="5">
        <v>2323.9505890046921</v>
      </c>
      <c r="AA9" s="35"/>
    </row>
    <row r="10" spans="2:27" x14ac:dyDescent="0.2">
      <c r="B10" s="4">
        <v>7</v>
      </c>
      <c r="C10" s="4">
        <v>630</v>
      </c>
      <c r="D10" s="23">
        <v>98097.019979757504</v>
      </c>
      <c r="E10" s="33">
        <v>0.74830491700049606</v>
      </c>
      <c r="F10" s="5">
        <v>2</v>
      </c>
      <c r="G10" s="23">
        <v>76.666666666666671</v>
      </c>
      <c r="H10" s="33">
        <v>46.007181405381786</v>
      </c>
      <c r="I10" s="23">
        <v>23.002337983686239</v>
      </c>
      <c r="J10" s="5">
        <v>1890.287675704951</v>
      </c>
      <c r="K10" s="31"/>
      <c r="L10" s="23">
        <v>100718.6656066221</v>
      </c>
      <c r="M10" s="33">
        <v>0.65796000000045751</v>
      </c>
      <c r="N10" s="5">
        <v>2</v>
      </c>
      <c r="O10" s="5">
        <v>70</v>
      </c>
      <c r="P10" s="33">
        <v>16.638638809081861</v>
      </c>
      <c r="Q10" s="5">
        <v>20.218172862723879</v>
      </c>
      <c r="R10" s="5">
        <v>1734.08797467467</v>
      </c>
      <c r="S10" s="31"/>
      <c r="T10" s="23">
        <v>114195.34630602731</v>
      </c>
      <c r="U10" s="33">
        <v>0.87971162500252831</v>
      </c>
      <c r="V10" s="5">
        <v>2</v>
      </c>
      <c r="W10" s="5">
        <v>60</v>
      </c>
      <c r="X10" s="33">
        <v>57.265874817309751</v>
      </c>
      <c r="Y10" s="5">
        <v>25.043358088780831</v>
      </c>
      <c r="Z10" s="5">
        <v>1963.5239009513341</v>
      </c>
      <c r="AA10" s="35"/>
    </row>
    <row r="11" spans="2:27" x14ac:dyDescent="0.2">
      <c r="B11" s="4">
        <v>8</v>
      </c>
      <c r="C11" s="4">
        <v>680</v>
      </c>
      <c r="D11" s="23">
        <v>98190.591529276688</v>
      </c>
      <c r="E11" s="33">
        <v>0.91980975000114995</v>
      </c>
      <c r="F11" s="5">
        <v>2</v>
      </c>
      <c r="G11" s="23">
        <v>76.666666666666671</v>
      </c>
      <c r="H11" s="33">
        <v>20.988902101045763</v>
      </c>
      <c r="I11" s="23">
        <v>23.015706052609865</v>
      </c>
      <c r="J11" s="5">
        <v>1891.3217532607675</v>
      </c>
      <c r="K11" s="31"/>
      <c r="L11" s="23">
        <v>100558.3769399857</v>
      </c>
      <c r="M11" s="33">
        <v>0.70377224999901955</v>
      </c>
      <c r="N11" s="5">
        <v>2</v>
      </c>
      <c r="O11" s="5">
        <v>70</v>
      </c>
      <c r="P11" s="33">
        <v>37.690405031291142</v>
      </c>
      <c r="Q11" s="5">
        <v>20.20480479380026</v>
      </c>
      <c r="R11" s="5">
        <v>1733.058373645069</v>
      </c>
      <c r="S11" s="31"/>
      <c r="T11" s="23">
        <v>114195.34630602731</v>
      </c>
      <c r="U11" s="33">
        <v>2.1798430420021759</v>
      </c>
      <c r="V11" s="5">
        <v>2</v>
      </c>
      <c r="W11" s="5">
        <v>60</v>
      </c>
      <c r="X11" s="33">
        <v>57.265874817309751</v>
      </c>
      <c r="Y11" s="5">
        <v>25.043358088780831</v>
      </c>
      <c r="Z11" s="5">
        <v>1963.5239009513341</v>
      </c>
      <c r="AA11" s="35"/>
    </row>
    <row r="12" spans="2:27" x14ac:dyDescent="0.2">
      <c r="B12" s="4">
        <v>9</v>
      </c>
      <c r="C12" s="4">
        <v>745</v>
      </c>
      <c r="D12" s="23">
        <v>99018.303490190578</v>
      </c>
      <c r="E12" s="33">
        <v>0.58139891700193402</v>
      </c>
      <c r="F12" s="5">
        <v>2</v>
      </c>
      <c r="G12" s="23">
        <v>83.333333333333329</v>
      </c>
      <c r="H12" s="33">
        <v>75.017778064122425</v>
      </c>
      <c r="I12" s="23">
        <v>25.225893447982443</v>
      </c>
      <c r="J12" s="5">
        <v>2121.1238811541184</v>
      </c>
      <c r="K12" s="31"/>
      <c r="L12" s="23">
        <v>100718.6656066221</v>
      </c>
      <c r="M12" s="33">
        <v>0.49253662500268552</v>
      </c>
      <c r="N12" s="5">
        <v>2</v>
      </c>
      <c r="O12" s="5">
        <v>70</v>
      </c>
      <c r="P12" s="33">
        <v>16.638638809081861</v>
      </c>
      <c r="Q12" s="5">
        <v>20.218172862723879</v>
      </c>
      <c r="R12" s="5">
        <v>1734.08797467467</v>
      </c>
      <c r="S12" s="31"/>
      <c r="T12" s="23">
        <v>114776.2340472467</v>
      </c>
      <c r="U12" s="33">
        <v>0.83885829100108822</v>
      </c>
      <c r="V12" s="5">
        <v>2</v>
      </c>
      <c r="W12" s="5">
        <v>63.333333333333343</v>
      </c>
      <c r="X12" s="33">
        <v>92.407834391175555</v>
      </c>
      <c r="Y12" s="5">
        <v>28.539491910186602</v>
      </c>
      <c r="Z12" s="5">
        <v>2146.8518590012609</v>
      </c>
      <c r="AA12" s="35"/>
    </row>
    <row r="13" spans="2:27" x14ac:dyDescent="0.2">
      <c r="B13" s="4">
        <v>10</v>
      </c>
      <c r="C13" s="4">
        <v>758</v>
      </c>
      <c r="D13" s="23">
        <v>98457.45454649796</v>
      </c>
      <c r="E13" s="33">
        <v>0.78009849999943981</v>
      </c>
      <c r="F13" s="5">
        <v>2</v>
      </c>
      <c r="G13" s="23">
        <v>76.666666666666671</v>
      </c>
      <c r="H13" s="33">
        <v>25.281890741860479</v>
      </c>
      <c r="I13" s="23">
        <v>23.626181200122048</v>
      </c>
      <c r="J13" s="5">
        <v>1938.5446283097281</v>
      </c>
      <c r="K13" s="31"/>
      <c r="L13" s="23">
        <v>100558.3769399857</v>
      </c>
      <c r="M13" s="33">
        <v>1.046057958999882</v>
      </c>
      <c r="N13" s="5">
        <v>2</v>
      </c>
      <c r="O13" s="5">
        <v>70</v>
      </c>
      <c r="P13" s="33">
        <v>37.690405031291142</v>
      </c>
      <c r="Q13" s="5">
        <v>20.20480479380026</v>
      </c>
      <c r="R13" s="5">
        <v>1733.058373645069</v>
      </c>
      <c r="S13" s="31"/>
      <c r="T13" s="23">
        <v>115161.4177401058</v>
      </c>
      <c r="U13" s="33">
        <v>0.99065416699886555</v>
      </c>
      <c r="V13" s="5">
        <v>2</v>
      </c>
      <c r="W13" s="5">
        <v>63.333333333333343</v>
      </c>
      <c r="X13" s="33">
        <v>97.068791960720347</v>
      </c>
      <c r="Y13" s="5">
        <v>28.81325769414882</v>
      </c>
      <c r="Z13" s="5">
        <v>2165.4956892794398</v>
      </c>
      <c r="AA13" s="35"/>
    </row>
    <row r="14" spans="2:27" x14ac:dyDescent="0.2">
      <c r="B14" s="46" t="s">
        <v>3</v>
      </c>
      <c r="C14" s="47"/>
      <c r="D14" s="9">
        <f>MIN(D4:D13)</f>
        <v>98097.019979757504</v>
      </c>
      <c r="E14" s="22">
        <f>INDEX(E4:E13, MATCH($D$14, D4:D13, 0))</f>
        <v>0.74830491700049606</v>
      </c>
      <c r="F14" s="9">
        <f>INDEX(F4:F13, MATCH($D$14, D4:D13, 0))</f>
        <v>2</v>
      </c>
      <c r="G14" s="9">
        <f>INDEX(G4:G13, MATCH($D$14, D4:D13, 0))</f>
        <v>76.666666666666671</v>
      </c>
      <c r="H14" s="22">
        <f>INDEX(H4:H13, MATCH($D$14, D4:D13, 0))</f>
        <v>46.007181405381786</v>
      </c>
      <c r="I14" s="22">
        <f>INDEX(I4:I13, MATCH($D$14, D4:D13, 0))</f>
        <v>23.002337983686239</v>
      </c>
      <c r="J14" s="22">
        <f>INDEX(J4:J13, MATCH($D$14, D4:D13, 0))</f>
        <v>1890.287675704951</v>
      </c>
      <c r="K14" s="32" t="e">
        <f>(D14-$D$15)/$D$15</f>
        <v>#DIV/0!</v>
      </c>
      <c r="L14" s="16">
        <f>MIN(L4:L13)</f>
        <v>100558.3769399857</v>
      </c>
      <c r="M14" s="21">
        <f>INDEX(M4:M13, MATCH($L$14, L4:L13, 0))</f>
        <v>0.60792583299917169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37.690405031291142</v>
      </c>
      <c r="Q14" s="21">
        <f>INDEX(Q4:Q13, MATCH($L$14, L4:L13, 0))</f>
        <v>20.20480479380026</v>
      </c>
      <c r="R14" s="21">
        <f>INDEX(R4:R13, MATCH($L$14, L4:L13, 0))</f>
        <v>1733.058373645069</v>
      </c>
      <c r="S14" s="36" t="e">
        <f>(L14-$D$15)/$D$15</f>
        <v>#DIV/0!</v>
      </c>
      <c r="T14" s="38">
        <f>MIN(T4:T13)</f>
        <v>114195.34630602731</v>
      </c>
      <c r="U14" s="39">
        <f>INDEX(U4:U13, MATCH($T$14, T4:T13, 0))</f>
        <v>1.0504216250010361</v>
      </c>
      <c r="V14" s="38">
        <f>INDEX(V4:V13, MATCH($T$14, T4:T13, 0))</f>
        <v>2</v>
      </c>
      <c r="W14" s="38">
        <f>INDEX(W4:W13, MATCH($T$14, T4:T13, 0))</f>
        <v>60</v>
      </c>
      <c r="X14" s="39">
        <f>INDEX(X4:X13, MATCH($T$14, T4:T13, 0))</f>
        <v>57.265874817309751</v>
      </c>
      <c r="Y14" s="39">
        <f>INDEX(Y4:Y13, MATCH($T$14, T4:T13, 0))</f>
        <v>25.043358088780831</v>
      </c>
      <c r="Z14" s="39">
        <f>INDEX(Z4:Z13, MATCH($T$14, T4:T13, 0))</f>
        <v>1963.5239009513341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9:C1048576">
    <cfRule type="duplicateValues" dxfId="109" priority="15"/>
    <cfRule type="duplicateValues" dxfId="108" priority="16"/>
  </conditionalFormatting>
  <conditionalFormatting sqref="C14">
    <cfRule type="duplicateValues" dxfId="107" priority="7"/>
    <cfRule type="duplicateValues" dxfId="106" priority="8"/>
  </conditionalFormatting>
  <conditionalFormatting sqref="C20:C28">
    <cfRule type="duplicateValues" dxfId="17" priority="5"/>
    <cfRule type="duplicateValues" dxfId="16" priority="6"/>
  </conditionalFormatting>
  <conditionalFormatting sqref="C17">
    <cfRule type="duplicateValues" dxfId="15" priority="1"/>
    <cfRule type="duplicateValues" dxfId="14" priority="2"/>
  </conditionalFormatting>
  <conditionalFormatting sqref="C18:C19">
    <cfRule type="duplicateValues" dxfId="13" priority="3"/>
    <cfRule type="duplicateValues" dxfId="12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7589-1334-6845-9740-338A70A21E18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-0.75201669566233997</v>
      </c>
      <c r="J2" s="28" t="e">
        <f>(S14-J14)/J14</f>
        <v>#DIV/0!</v>
      </c>
      <c r="K2" s="28"/>
      <c r="L2" s="1" t="s">
        <v>19</v>
      </c>
      <c r="P2" s="1">
        <f>(P14-H14)/H14</f>
        <v>-0.67210693792335074</v>
      </c>
      <c r="R2" s="1">
        <f>(R14-J14)/J14</f>
        <v>-0.15021988675925457</v>
      </c>
      <c r="T2" s="1" t="s">
        <v>20</v>
      </c>
      <c r="X2" s="1">
        <f>(X14-P14)/P14</f>
        <v>1.1672380549449548</v>
      </c>
      <c r="Z2" s="1">
        <f>(Z14-R14)/R14</f>
        <v>0.28211119120686828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</v>
      </c>
      <c r="D4" s="23">
        <v>93128.241033787475</v>
      </c>
      <c r="E4" s="33">
        <v>0.9011057499992603</v>
      </c>
      <c r="F4" s="5">
        <v>2</v>
      </c>
      <c r="G4" s="23">
        <v>80</v>
      </c>
      <c r="H4" s="33">
        <v>104.46842635161291</v>
      </c>
      <c r="I4" s="23">
        <v>29.862062865083367</v>
      </c>
      <c r="J4" s="5">
        <v>1936.7443975829929</v>
      </c>
      <c r="K4" s="31"/>
      <c r="L4" s="23">
        <v>103197.1837994735</v>
      </c>
      <c r="M4" s="33">
        <v>0.72949712499757879</v>
      </c>
      <c r="N4" s="5">
        <v>2</v>
      </c>
      <c r="O4" s="5">
        <v>63.333333333333343</v>
      </c>
      <c r="P4" s="33">
        <v>29.76236668854936</v>
      </c>
      <c r="Q4" s="5">
        <v>22.509076555606612</v>
      </c>
      <c r="R4" s="5">
        <v>1630.845604002561</v>
      </c>
      <c r="S4" s="31"/>
      <c r="T4" s="23">
        <v>111249.52172926191</v>
      </c>
      <c r="U4" s="33">
        <v>0.82595787500031292</v>
      </c>
      <c r="V4" s="5">
        <v>2</v>
      </c>
      <c r="W4" s="5">
        <v>63.333333333333343</v>
      </c>
      <c r="X4" s="33">
        <v>101.8345868507562</v>
      </c>
      <c r="Y4" s="5">
        <v>32.332384276859173</v>
      </c>
      <c r="Z4" s="5">
        <v>2080.892329769204</v>
      </c>
      <c r="AA4" s="35"/>
    </row>
    <row r="5" spans="2:27" x14ac:dyDescent="0.2">
      <c r="B5" s="4">
        <v>2</v>
      </c>
      <c r="C5" s="4">
        <v>211</v>
      </c>
      <c r="D5" s="23">
        <v>93128.241033787475</v>
      </c>
      <c r="E5" s="33">
        <v>0.60938549999991665</v>
      </c>
      <c r="F5" s="5">
        <v>2</v>
      </c>
      <c r="G5" s="23">
        <v>80</v>
      </c>
      <c r="H5" s="33">
        <v>104.46842635161291</v>
      </c>
      <c r="I5" s="23">
        <v>29.862062865083367</v>
      </c>
      <c r="J5" s="5">
        <v>1936.7443975829929</v>
      </c>
      <c r="K5" s="31"/>
      <c r="L5" s="23">
        <v>103197.1837994735</v>
      </c>
      <c r="M5" s="33">
        <v>0.48664324999845121</v>
      </c>
      <c r="N5" s="5">
        <v>2</v>
      </c>
      <c r="O5" s="5">
        <v>63.333333333333343</v>
      </c>
      <c r="P5" s="33">
        <v>29.76236668854936</v>
      </c>
      <c r="Q5" s="5">
        <v>22.509076555606612</v>
      </c>
      <c r="R5" s="5">
        <v>1630.845604002561</v>
      </c>
      <c r="S5" s="31"/>
      <c r="T5" s="23">
        <v>111937.54201753</v>
      </c>
      <c r="U5" s="33">
        <v>0.72641579199989792</v>
      </c>
      <c r="V5" s="5">
        <v>2</v>
      </c>
      <c r="W5" s="5">
        <v>66.666666666666671</v>
      </c>
      <c r="X5" s="33">
        <v>162.20596571032459</v>
      </c>
      <c r="Y5" s="5">
        <v>37.351817021653822</v>
      </c>
      <c r="Z5" s="5">
        <v>2316.5749547923542</v>
      </c>
      <c r="AA5" s="35"/>
    </row>
    <row r="6" spans="2:27" x14ac:dyDescent="0.2">
      <c r="B6" s="4">
        <v>3</v>
      </c>
      <c r="C6" s="4">
        <v>255</v>
      </c>
      <c r="D6" s="23">
        <v>93101.013434108667</v>
      </c>
      <c r="E6" s="33">
        <v>0.83448149999821908</v>
      </c>
      <c r="F6" s="5">
        <v>2</v>
      </c>
      <c r="G6" s="23">
        <v>80</v>
      </c>
      <c r="H6" s="33">
        <v>90.768516113317517</v>
      </c>
      <c r="I6" s="23">
        <v>28.859294784403513</v>
      </c>
      <c r="J6" s="5">
        <v>1919.1383495468283</v>
      </c>
      <c r="K6" s="31"/>
      <c r="L6" s="23">
        <v>103493.1631143413</v>
      </c>
      <c r="M6" s="33">
        <v>0.63026787499984493</v>
      </c>
      <c r="N6" s="5">
        <v>2</v>
      </c>
      <c r="O6" s="5">
        <v>63.333333333333343</v>
      </c>
      <c r="P6" s="33">
        <v>29.76236668854936</v>
      </c>
      <c r="Q6" s="5">
        <v>22.744821509661421</v>
      </c>
      <c r="R6" s="5">
        <v>1642.343009488106</v>
      </c>
      <c r="S6" s="31"/>
      <c r="T6" s="23">
        <v>113955.3286246395</v>
      </c>
      <c r="U6" s="33">
        <v>0.65062608399966848</v>
      </c>
      <c r="V6" s="5">
        <v>2</v>
      </c>
      <c r="W6" s="5">
        <v>73.333333333333329</v>
      </c>
      <c r="X6" s="33">
        <v>273.13609635770109</v>
      </c>
      <c r="Y6" s="5">
        <v>43.168386981955017</v>
      </c>
      <c r="Z6" s="5">
        <v>2591.8988087467469</v>
      </c>
      <c r="AA6" s="35"/>
    </row>
    <row r="7" spans="2:27" x14ac:dyDescent="0.2">
      <c r="B7" s="4">
        <v>4</v>
      </c>
      <c r="C7" s="4">
        <v>283</v>
      </c>
      <c r="D7" s="23">
        <v>93592.730332076841</v>
      </c>
      <c r="E7" s="33">
        <v>0.74155887500091922</v>
      </c>
      <c r="F7" s="5">
        <v>2</v>
      </c>
      <c r="G7" s="23">
        <v>80</v>
      </c>
      <c r="H7" s="33">
        <v>118.58886430781733</v>
      </c>
      <c r="I7" s="23">
        <v>30.39650519379736</v>
      </c>
      <c r="J7" s="5">
        <v>1968.5153829844537</v>
      </c>
      <c r="K7" s="31"/>
      <c r="L7" s="23">
        <v>103197.1837994735</v>
      </c>
      <c r="M7" s="33">
        <v>0.50661616700017476</v>
      </c>
      <c r="N7" s="5">
        <v>2</v>
      </c>
      <c r="O7" s="5">
        <v>63.333333333333343</v>
      </c>
      <c r="P7" s="33">
        <v>29.76236668854936</v>
      </c>
      <c r="Q7" s="5">
        <v>22.509076555606612</v>
      </c>
      <c r="R7" s="5">
        <v>1630.845604002561</v>
      </c>
      <c r="S7" s="31"/>
      <c r="T7" s="23">
        <v>110711.3171660487</v>
      </c>
      <c r="U7" s="33">
        <v>0.85097516699897824</v>
      </c>
      <c r="V7" s="5">
        <v>2</v>
      </c>
      <c r="W7" s="5">
        <v>60</v>
      </c>
      <c r="X7" s="33">
        <v>56.284097689591412</v>
      </c>
      <c r="Y7" s="5">
        <v>31.63395737014341</v>
      </c>
      <c r="Z7" s="5">
        <v>1999.378130289899</v>
      </c>
      <c r="AA7" s="35"/>
    </row>
    <row r="8" spans="2:27" x14ac:dyDescent="0.2">
      <c r="B8" s="4">
        <v>5</v>
      </c>
      <c r="C8" s="4">
        <v>342</v>
      </c>
      <c r="D8" s="23">
        <v>93837.974270236111</v>
      </c>
      <c r="E8" s="33">
        <v>0.6226186250023602</v>
      </c>
      <c r="F8" s="5">
        <v>2</v>
      </c>
      <c r="G8" s="23">
        <v>80</v>
      </c>
      <c r="H8" s="33">
        <v>96.843941904071769</v>
      </c>
      <c r="I8" s="23">
        <v>29.060762109822097</v>
      </c>
      <c r="J8" s="5">
        <v>1936.6812970126457</v>
      </c>
      <c r="K8" s="31"/>
      <c r="L8" s="23">
        <v>103720.51009244969</v>
      </c>
      <c r="M8" s="33">
        <v>0.78307341699837707</v>
      </c>
      <c r="N8" s="5">
        <v>2</v>
      </c>
      <c r="O8" s="5">
        <v>63.333333333333343</v>
      </c>
      <c r="P8" s="33">
        <v>29.76236668854936</v>
      </c>
      <c r="Q8" s="5">
        <v>22.764884910006511</v>
      </c>
      <c r="R8" s="5">
        <v>1643.321512082621</v>
      </c>
      <c r="S8" s="31"/>
      <c r="T8" s="23">
        <v>110327.4035692874</v>
      </c>
      <c r="U8" s="33">
        <v>0.8047002910025185</v>
      </c>
      <c r="V8" s="5">
        <v>2</v>
      </c>
      <c r="W8" s="5">
        <v>66.666666666666671</v>
      </c>
      <c r="X8" s="33">
        <v>141.76183610885701</v>
      </c>
      <c r="Y8" s="5">
        <v>34.800624276974553</v>
      </c>
      <c r="Z8" s="5">
        <v>2195.8472668669501</v>
      </c>
      <c r="AA8" s="35"/>
    </row>
    <row r="9" spans="2:27" x14ac:dyDescent="0.2">
      <c r="B9" s="4">
        <v>6</v>
      </c>
      <c r="C9" s="4">
        <v>485</v>
      </c>
      <c r="D9" s="23">
        <v>93787.612825829798</v>
      </c>
      <c r="E9" s="33">
        <v>0.86441629099863349</v>
      </c>
      <c r="F9" s="5">
        <v>2</v>
      </c>
      <c r="G9" s="23">
        <v>80</v>
      </c>
      <c r="H9" s="33">
        <v>108.40638255599249</v>
      </c>
      <c r="I9" s="23">
        <v>29.964355325379771</v>
      </c>
      <c r="J9" s="5">
        <v>1949.4780384794667</v>
      </c>
      <c r="K9" s="31"/>
      <c r="L9" s="23">
        <v>105443.89083865999</v>
      </c>
      <c r="M9" s="33">
        <v>0.44257491700045648</v>
      </c>
      <c r="N9" s="5">
        <v>2</v>
      </c>
      <c r="O9" s="5">
        <v>63.333333333333343</v>
      </c>
      <c r="P9" s="33">
        <v>47.326715516824443</v>
      </c>
      <c r="Q9" s="5">
        <v>24.164352451175109</v>
      </c>
      <c r="R9" s="5">
        <v>1704.796732981584</v>
      </c>
      <c r="S9" s="31"/>
      <c r="T9" s="23">
        <v>110120.5070341495</v>
      </c>
      <c r="U9" s="33">
        <v>0.85492529199837008</v>
      </c>
      <c r="V9" s="5">
        <v>2</v>
      </c>
      <c r="W9" s="5">
        <v>63.333333333333343</v>
      </c>
      <c r="X9" s="33">
        <v>66.087864562476938</v>
      </c>
      <c r="Y9" s="5">
        <v>32.801384932447988</v>
      </c>
      <c r="Z9" s="5">
        <v>2111.5399013299548</v>
      </c>
      <c r="AA9" s="35"/>
    </row>
    <row r="10" spans="2:27" x14ac:dyDescent="0.2">
      <c r="B10" s="4">
        <v>7</v>
      </c>
      <c r="C10" s="4">
        <v>577</v>
      </c>
      <c r="D10" s="23">
        <v>93101.013434108667</v>
      </c>
      <c r="E10" s="33">
        <v>1.348056791001</v>
      </c>
      <c r="F10" s="5">
        <v>2</v>
      </c>
      <c r="G10" s="23">
        <v>80</v>
      </c>
      <c r="H10" s="33">
        <v>90.768516113317517</v>
      </c>
      <c r="I10" s="23">
        <v>28.859294784403513</v>
      </c>
      <c r="J10" s="5">
        <v>1919.1383495468283</v>
      </c>
      <c r="K10" s="31"/>
      <c r="L10" s="23">
        <v>103197.1837994735</v>
      </c>
      <c r="M10" s="33">
        <v>0.84889770900190342</v>
      </c>
      <c r="N10" s="5">
        <v>2</v>
      </c>
      <c r="O10" s="5">
        <v>63.333333333333343</v>
      </c>
      <c r="P10" s="33">
        <v>29.76236668854936</v>
      </c>
      <c r="Q10" s="5">
        <v>22.509076555606612</v>
      </c>
      <c r="R10" s="5">
        <v>1630.845604002561</v>
      </c>
      <c r="S10" s="31"/>
      <c r="T10" s="23">
        <v>110003.5772011964</v>
      </c>
      <c r="U10" s="33">
        <v>1.385948957999062</v>
      </c>
      <c r="V10" s="5">
        <v>2</v>
      </c>
      <c r="W10" s="5">
        <v>66.666666666666671</v>
      </c>
      <c r="X10" s="33">
        <v>138.4587483515439</v>
      </c>
      <c r="Y10" s="5">
        <v>33.945123692329858</v>
      </c>
      <c r="Z10" s="5">
        <v>2152.9071260218789</v>
      </c>
      <c r="AA10" s="35"/>
    </row>
    <row r="11" spans="2:27" x14ac:dyDescent="0.2">
      <c r="B11" s="4">
        <v>8</v>
      </c>
      <c r="C11" s="4">
        <v>628</v>
      </c>
      <c r="D11" s="23">
        <v>94087.097121287836</v>
      </c>
      <c r="E11" s="33">
        <v>0.5272076669971284</v>
      </c>
      <c r="F11" s="5">
        <v>2</v>
      </c>
      <c r="G11" s="23">
        <v>80</v>
      </c>
      <c r="H11" s="33">
        <v>102.15537742718614</v>
      </c>
      <c r="I11" s="23">
        <v>30.099413177694828</v>
      </c>
      <c r="J11" s="5">
        <v>1976.9550903199345</v>
      </c>
      <c r="K11" s="31"/>
      <c r="L11" s="23">
        <v>104201.16890937911</v>
      </c>
      <c r="M11" s="33">
        <v>0.50288095799987786</v>
      </c>
      <c r="N11" s="5">
        <v>2</v>
      </c>
      <c r="O11" s="5">
        <v>63.333333333333343</v>
      </c>
      <c r="P11" s="33">
        <v>43.454260657047257</v>
      </c>
      <c r="Q11" s="5">
        <v>23.600000071950632</v>
      </c>
      <c r="R11" s="5">
        <v>1678.767232892304</v>
      </c>
      <c r="S11" s="31"/>
      <c r="T11" s="23">
        <v>110849.85428219551</v>
      </c>
      <c r="U11" s="33">
        <v>0.71904837500187568</v>
      </c>
      <c r="V11" s="5">
        <v>2</v>
      </c>
      <c r="W11" s="5">
        <v>70</v>
      </c>
      <c r="X11" s="33">
        <v>139.89885790687649</v>
      </c>
      <c r="Y11" s="5">
        <v>38.488936043913952</v>
      </c>
      <c r="Z11" s="5">
        <v>2377.3376353683252</v>
      </c>
      <c r="AA11" s="35"/>
    </row>
    <row r="12" spans="2:27" x14ac:dyDescent="0.2">
      <c r="B12" s="4">
        <v>9</v>
      </c>
      <c r="C12" s="4">
        <v>725</v>
      </c>
      <c r="D12" s="23">
        <v>93101.013434108667</v>
      </c>
      <c r="E12" s="33">
        <v>0.6394417080009589</v>
      </c>
      <c r="F12" s="5">
        <v>2</v>
      </c>
      <c r="G12" s="23">
        <v>80</v>
      </c>
      <c r="H12" s="33">
        <v>90.768516113317517</v>
      </c>
      <c r="I12" s="23">
        <v>28.859294784403513</v>
      </c>
      <c r="J12" s="5">
        <v>1919.1383495468283</v>
      </c>
      <c r="K12" s="31"/>
      <c r="L12" s="23">
        <v>103197.1837994735</v>
      </c>
      <c r="M12" s="33">
        <v>0.78259033299764269</v>
      </c>
      <c r="N12" s="5">
        <v>2</v>
      </c>
      <c r="O12" s="5">
        <v>63.333333333333343</v>
      </c>
      <c r="P12" s="33">
        <v>29.76236668854936</v>
      </c>
      <c r="Q12" s="5">
        <v>22.509076555606612</v>
      </c>
      <c r="R12" s="5">
        <v>1630.845604002561</v>
      </c>
      <c r="S12" s="31"/>
      <c r="T12" s="23">
        <v>109952.84580393349</v>
      </c>
      <c r="U12" s="33">
        <v>0.88591791599901626</v>
      </c>
      <c r="V12" s="5">
        <v>2</v>
      </c>
      <c r="W12" s="5">
        <v>63.333333333333343</v>
      </c>
      <c r="X12" s="33">
        <v>64.502133692650233</v>
      </c>
      <c r="Y12" s="5">
        <v>32.411215461757664</v>
      </c>
      <c r="Z12" s="5">
        <v>2090.9254000222081</v>
      </c>
      <c r="AA12" s="35"/>
    </row>
    <row r="13" spans="2:27" x14ac:dyDescent="0.2">
      <c r="B13" s="4">
        <v>10</v>
      </c>
      <c r="C13" s="4">
        <v>943</v>
      </c>
      <c r="D13" s="23">
        <v>93101.013434108667</v>
      </c>
      <c r="E13" s="33">
        <v>1.677717958998983</v>
      </c>
      <c r="F13" s="5">
        <v>2</v>
      </c>
      <c r="G13" s="23">
        <v>80</v>
      </c>
      <c r="H13" s="33">
        <v>90.768516113317517</v>
      </c>
      <c r="I13" s="23">
        <v>28.859294784403513</v>
      </c>
      <c r="J13" s="5">
        <v>1919.1383495468283</v>
      </c>
      <c r="K13" s="31"/>
      <c r="L13" s="23">
        <v>103197.1837994735</v>
      </c>
      <c r="M13" s="33">
        <v>0.72545879100289312</v>
      </c>
      <c r="N13" s="5">
        <v>2</v>
      </c>
      <c r="O13" s="5">
        <v>63.333333333333343</v>
      </c>
      <c r="P13" s="33">
        <v>29.76236668854936</v>
      </c>
      <c r="Q13" s="5">
        <v>22.509076555606612</v>
      </c>
      <c r="R13" s="5">
        <v>1630.845604002561</v>
      </c>
      <c r="S13" s="31"/>
      <c r="T13" s="23">
        <v>113851.2278935081</v>
      </c>
      <c r="U13" s="33">
        <v>1.9816116669971959</v>
      </c>
      <c r="V13" s="5">
        <v>2</v>
      </c>
      <c r="W13" s="5">
        <v>56.666666666666657</v>
      </c>
      <c r="X13" s="33">
        <v>11.49689450211241</v>
      </c>
      <c r="Y13" s="5">
        <v>31.320681534552779</v>
      </c>
      <c r="Z13" s="5">
        <v>2032.6419010603749</v>
      </c>
      <c r="AA13" s="35"/>
    </row>
    <row r="14" spans="2:27" x14ac:dyDescent="0.2">
      <c r="B14" s="46" t="s">
        <v>3</v>
      </c>
      <c r="C14" s="47"/>
      <c r="D14" s="9">
        <f>MIN(D4:D13)</f>
        <v>93101.013434108667</v>
      </c>
      <c r="E14" s="22">
        <f>INDEX(E4:E13, MATCH($D$14, D4:D13, 0))</f>
        <v>0.83448149999821908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90.768516113317517</v>
      </c>
      <c r="I14" s="22">
        <f>INDEX(I4:I13, MATCH($D$14, D4:D13, 0))</f>
        <v>28.859294784403513</v>
      </c>
      <c r="J14" s="22">
        <f>INDEX(J4:J13, MATCH($D$14, D4:D13, 0))</f>
        <v>1919.1383495468283</v>
      </c>
      <c r="K14" s="32" t="e">
        <f>(D14-$D$15)/$D$15</f>
        <v>#DIV/0!</v>
      </c>
      <c r="L14" s="16">
        <f>MIN(L4:L13)</f>
        <v>103197.1837994735</v>
      </c>
      <c r="M14" s="21">
        <f>INDEX(M4:M13, MATCH($L$14, L4:L13, 0))</f>
        <v>0.72949712499757879</v>
      </c>
      <c r="N14" s="16">
        <f>INDEX(N4:N13, MATCH($L$14, L4:L13, 0))</f>
        <v>2</v>
      </c>
      <c r="O14" s="16">
        <f>INDEX(O4:O13, MATCH($L$14, L4:L13, 0))</f>
        <v>63.333333333333343</v>
      </c>
      <c r="P14" s="21">
        <f>INDEX(P4:P13, MATCH($L$14, L4:L13, 0))</f>
        <v>29.76236668854936</v>
      </c>
      <c r="Q14" s="21">
        <f>INDEX(Q4:Q13, MATCH($L$14, L4:L13, 0))</f>
        <v>22.509076555606612</v>
      </c>
      <c r="R14" s="21">
        <f>INDEX(R4:R13, MATCH($L$14, L4:L13, 0))</f>
        <v>1630.845604002561</v>
      </c>
      <c r="S14" s="36" t="e">
        <f>(L14-$D$15)/$D$15</f>
        <v>#DIV/0!</v>
      </c>
      <c r="T14" s="38">
        <f>MIN(T4:T13)</f>
        <v>109952.84580393349</v>
      </c>
      <c r="U14" s="39">
        <f>INDEX(U4:U13, MATCH($T$14, T4:T13, 0))</f>
        <v>0.88591791599901626</v>
      </c>
      <c r="V14" s="38">
        <f>INDEX(V4:V13, MATCH($T$14, T4:T13, 0))</f>
        <v>2</v>
      </c>
      <c r="W14" s="38">
        <f>INDEX(W4:W13, MATCH($T$14, T4:T13, 0))</f>
        <v>63.333333333333343</v>
      </c>
      <c r="X14" s="39">
        <f>INDEX(X4:X13, MATCH($T$14, T4:T13, 0))</f>
        <v>64.502133692650233</v>
      </c>
      <c r="Y14" s="39">
        <f>INDEX(Y4:Y13, MATCH($T$14, T4:T13, 0))</f>
        <v>32.411215461757664</v>
      </c>
      <c r="Z14" s="39">
        <f>INDEX(Z4:Z13, MATCH($T$14, T4:T13, 0))</f>
        <v>2090.9254000222081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01" priority="7"/>
    <cfRule type="duplicateValues" dxfId="100" priority="8"/>
  </conditionalFormatting>
  <conditionalFormatting sqref="C15:C16 C29:C1048576 C1:C13">
    <cfRule type="duplicateValues" dxfId="99" priority="17"/>
    <cfRule type="duplicateValues" dxfId="98" priority="18"/>
  </conditionalFormatting>
  <conditionalFormatting sqref="C20:C28">
    <cfRule type="duplicateValues" dxfId="11" priority="5"/>
    <cfRule type="duplicateValues" dxfId="10" priority="6"/>
  </conditionalFormatting>
  <conditionalFormatting sqref="C17">
    <cfRule type="duplicateValues" dxfId="9" priority="1"/>
    <cfRule type="duplicateValues" dxfId="8" priority="2"/>
  </conditionalFormatting>
  <conditionalFormatting sqref="C18:C19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FFD9-7B27-C34A-9053-59FC1CD7B4CC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-0.64257939121993279</v>
      </c>
      <c r="J2" s="28">
        <f>(S14-J14)/J14</f>
        <v>-0.99980684814322207</v>
      </c>
      <c r="K2" s="28"/>
      <c r="L2" s="1" t="s">
        <v>19</v>
      </c>
      <c r="P2" s="1">
        <f>(P14-H14)/H14</f>
        <v>-0.85370558270474983</v>
      </c>
      <c r="R2" s="1">
        <f>(R14-J14)/J14</f>
        <v>-0.32708845287106281</v>
      </c>
      <c r="T2" s="1" t="s">
        <v>20</v>
      </c>
      <c r="X2" s="1">
        <f>(X14-P14)/P14</f>
        <v>0.41467154474325568</v>
      </c>
      <c r="Z2" s="1">
        <f>(Z14-R14)/R14</f>
        <v>0.54887815487948111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205</v>
      </c>
      <c r="D4" s="23">
        <v>78152.218510830557</v>
      </c>
      <c r="E4" s="33">
        <v>0.61798145799912163</v>
      </c>
      <c r="F4" s="5">
        <v>2</v>
      </c>
      <c r="G4" s="23">
        <v>83.333333333333329</v>
      </c>
      <c r="H4" s="33">
        <v>26.46516285928119</v>
      </c>
      <c r="I4" s="23">
        <v>35.251074890848152</v>
      </c>
      <c r="J4" s="5">
        <v>1512.1974491168014</v>
      </c>
      <c r="K4" s="31"/>
      <c r="L4" s="23">
        <v>102417.20767477169</v>
      </c>
      <c r="M4" s="33">
        <v>0.62382120799884433</v>
      </c>
      <c r="N4" s="5">
        <v>3</v>
      </c>
      <c r="O4" s="5">
        <v>63.333333333333343</v>
      </c>
      <c r="P4" s="33">
        <v>6.9376834444206734</v>
      </c>
      <c r="Q4" s="5">
        <v>16.949867849186461</v>
      </c>
      <c r="R4" s="5">
        <v>1104.474520932574</v>
      </c>
      <c r="S4" s="31"/>
      <c r="T4" s="23">
        <v>91097.150464617705</v>
      </c>
      <c r="U4" s="33">
        <v>1.501123624999309</v>
      </c>
      <c r="V4" s="5">
        <v>2</v>
      </c>
      <c r="W4" s="5">
        <v>73.333333333333329</v>
      </c>
      <c r="X4" s="33">
        <v>9.814543355258305</v>
      </c>
      <c r="Y4" s="5">
        <v>46.758045725717032</v>
      </c>
      <c r="Z4" s="5">
        <v>1710.6964580934441</v>
      </c>
      <c r="AA4" s="35"/>
    </row>
    <row r="5" spans="2:27" x14ac:dyDescent="0.2">
      <c r="B5" s="4">
        <v>3</v>
      </c>
      <c r="C5" s="4">
        <v>234</v>
      </c>
      <c r="D5" s="23">
        <v>77958.254138702847</v>
      </c>
      <c r="E5" s="33">
        <v>2.7602267080001179</v>
      </c>
      <c r="F5" s="5">
        <v>2</v>
      </c>
      <c r="G5" s="23">
        <v>86.666666666666671</v>
      </c>
      <c r="H5" s="33">
        <v>47.422749088361272</v>
      </c>
      <c r="I5" s="23">
        <v>38.479758786433678</v>
      </c>
      <c r="J5" s="5">
        <v>1641.3368527334019</v>
      </c>
      <c r="K5" s="31"/>
      <c r="L5" s="23">
        <v>102672.8568718945</v>
      </c>
      <c r="M5" s="33">
        <v>0.86894008300077985</v>
      </c>
      <c r="N5" s="5">
        <v>3</v>
      </c>
      <c r="O5" s="5">
        <v>63.333333333333343</v>
      </c>
      <c r="P5" s="33">
        <v>15.79249808131614</v>
      </c>
      <c r="Q5" s="5">
        <v>17.561847015853129</v>
      </c>
      <c r="R5" s="5">
        <v>1143.1925262221239</v>
      </c>
      <c r="S5" s="31"/>
      <c r="T5" s="23">
        <v>91097.150464617705</v>
      </c>
      <c r="U5" s="33">
        <v>1.5233586249996729</v>
      </c>
      <c r="V5" s="5">
        <v>2</v>
      </c>
      <c r="W5" s="5">
        <v>73.333333333333329</v>
      </c>
      <c r="X5" s="33">
        <v>9.814543355258305</v>
      </c>
      <c r="Y5" s="5">
        <v>46.758045725717032</v>
      </c>
      <c r="Z5" s="5">
        <v>1710.6964580934441</v>
      </c>
      <c r="AA5" s="35"/>
    </row>
    <row r="6" spans="2:27" x14ac:dyDescent="0.2">
      <c r="B6" s="4">
        <v>2</v>
      </c>
      <c r="C6" s="4">
        <v>324</v>
      </c>
      <c r="D6" s="23">
        <v>78278.703789175546</v>
      </c>
      <c r="E6" s="33">
        <v>0.9318224589987949</v>
      </c>
      <c r="F6" s="5">
        <v>2</v>
      </c>
      <c r="G6" s="23">
        <v>83.333333333333329</v>
      </c>
      <c r="H6" s="33">
        <v>24.991248096307245</v>
      </c>
      <c r="I6" s="23">
        <v>35.832910908637331</v>
      </c>
      <c r="J6" s="5">
        <v>1507.7469305982825</v>
      </c>
      <c r="K6" s="31"/>
      <c r="L6" s="23">
        <v>104013.85831702581</v>
      </c>
      <c r="M6" s="33">
        <v>0.49909195900181658</v>
      </c>
      <c r="N6" s="5">
        <v>3</v>
      </c>
      <c r="O6" s="5">
        <v>63.333333333333343</v>
      </c>
      <c r="P6" s="33">
        <v>35.289292462818047</v>
      </c>
      <c r="Q6" s="5">
        <v>16.949867849186461</v>
      </c>
      <c r="R6" s="5">
        <v>1154.896974777512</v>
      </c>
      <c r="S6" s="31"/>
      <c r="T6" s="23">
        <v>96070.180638704958</v>
      </c>
      <c r="U6" s="33">
        <v>0.82020316700072726</v>
      </c>
      <c r="V6" s="5">
        <v>2</v>
      </c>
      <c r="W6" s="5">
        <v>73.333333333333329</v>
      </c>
      <c r="X6" s="33">
        <v>70.783597853065388</v>
      </c>
      <c r="Y6" s="5">
        <v>54.564585036661953</v>
      </c>
      <c r="Z6" s="5">
        <v>1951.571815043955</v>
      </c>
      <c r="AA6" s="35"/>
    </row>
    <row r="7" spans="2:27" x14ac:dyDescent="0.2">
      <c r="B7" s="4">
        <v>5</v>
      </c>
      <c r="C7" s="4">
        <v>354</v>
      </c>
      <c r="D7" s="23">
        <v>78821.112149249951</v>
      </c>
      <c r="E7" s="33">
        <v>0.6553102920006495</v>
      </c>
      <c r="F7" s="5">
        <v>2</v>
      </c>
      <c r="G7" s="23">
        <v>86.666666666666671</v>
      </c>
      <c r="H7" s="33">
        <v>64.150231232246426</v>
      </c>
      <c r="I7" s="23">
        <v>39.092220724181487</v>
      </c>
      <c r="J7" s="5">
        <v>1672.6057986023479</v>
      </c>
      <c r="K7" s="31"/>
      <c r="L7" s="23">
        <v>102636.8050646975</v>
      </c>
      <c r="M7" s="33">
        <v>0.70360024999899906</v>
      </c>
      <c r="N7" s="5">
        <v>3</v>
      </c>
      <c r="O7" s="5">
        <v>63.333333333333343</v>
      </c>
      <c r="P7" s="33">
        <v>15.79249808131614</v>
      </c>
      <c r="Q7" s="5">
        <v>17.763519627717891</v>
      </c>
      <c r="R7" s="5">
        <v>1149.453734799122</v>
      </c>
      <c r="S7" s="31"/>
      <c r="T7" s="23">
        <v>94950.619172843508</v>
      </c>
      <c r="U7" s="33">
        <v>1.4727200419983999</v>
      </c>
      <c r="V7" s="5">
        <v>2</v>
      </c>
      <c r="W7" s="5">
        <v>73.333333333333329</v>
      </c>
      <c r="X7" s="33">
        <v>35.771477983345306</v>
      </c>
      <c r="Y7" s="5">
        <v>56.241844954594512</v>
      </c>
      <c r="Z7" s="5">
        <v>1990.977904516242</v>
      </c>
      <c r="AA7" s="35"/>
    </row>
    <row r="8" spans="2:27" x14ac:dyDescent="0.2">
      <c r="B8" s="4">
        <v>6</v>
      </c>
      <c r="C8" s="4">
        <v>356</v>
      </c>
      <c r="D8" s="23">
        <v>78279.305474599896</v>
      </c>
      <c r="E8" s="33">
        <v>1.0063907910007399</v>
      </c>
      <c r="F8" s="5">
        <v>2</v>
      </c>
      <c r="G8" s="23">
        <v>86.666666666666671</v>
      </c>
      <c r="H8" s="33">
        <v>58.866338831950998</v>
      </c>
      <c r="I8" s="23">
        <v>38.643001974181487</v>
      </c>
      <c r="J8" s="5">
        <v>1634.5981062946557</v>
      </c>
      <c r="K8" s="31"/>
      <c r="L8" s="23">
        <v>102479.6004512106</v>
      </c>
      <c r="M8" s="33">
        <v>0.74013458299668855</v>
      </c>
      <c r="N8" s="5">
        <v>2</v>
      </c>
      <c r="O8" s="5">
        <v>53.333333333333343</v>
      </c>
      <c r="P8" s="33">
        <v>0</v>
      </c>
      <c r="Q8" s="5">
        <v>17.89876010711302</v>
      </c>
      <c r="R8" s="5">
        <v>955.60330314950647</v>
      </c>
      <c r="S8" s="31"/>
      <c r="T8" s="23">
        <v>91097.150464617705</v>
      </c>
      <c r="U8" s="33">
        <v>1.449521708000248</v>
      </c>
      <c r="V8" s="5">
        <v>2</v>
      </c>
      <c r="W8" s="5">
        <v>73.333333333333329</v>
      </c>
      <c r="X8" s="33">
        <v>9.814543355258305</v>
      </c>
      <c r="Y8" s="5">
        <v>46.758045725717032</v>
      </c>
      <c r="Z8" s="5">
        <v>1710.6964580934441</v>
      </c>
      <c r="AA8" s="35"/>
    </row>
    <row r="9" spans="2:27" x14ac:dyDescent="0.2">
      <c r="B9" s="4">
        <v>9</v>
      </c>
      <c r="C9" s="4">
        <v>468</v>
      </c>
      <c r="D9" s="23">
        <v>78241.570742335476</v>
      </c>
      <c r="E9" s="33">
        <v>1.0199889579998851</v>
      </c>
      <c r="F9" s="5">
        <v>2</v>
      </c>
      <c r="G9" s="23">
        <v>86.666666666666671</v>
      </c>
      <c r="H9" s="33">
        <v>47.422749088361272</v>
      </c>
      <c r="I9" s="23">
        <v>38.873434775347768</v>
      </c>
      <c r="J9" s="5">
        <v>1649.6730350695846</v>
      </c>
      <c r="K9" s="31"/>
      <c r="L9" s="23">
        <v>102852.0668458009</v>
      </c>
      <c r="M9" s="33">
        <v>0.63574887499999022</v>
      </c>
      <c r="N9" s="5">
        <v>3</v>
      </c>
      <c r="O9" s="5">
        <v>63.333333333333343</v>
      </c>
      <c r="P9" s="33">
        <v>17.54776123921085</v>
      </c>
      <c r="Q9" s="5">
        <v>17.86132618251979</v>
      </c>
      <c r="R9" s="5">
        <v>1151.968842011597</v>
      </c>
      <c r="S9" s="31"/>
      <c r="T9" s="23">
        <v>94828.146224253884</v>
      </c>
      <c r="U9" s="33">
        <v>0.94502558300155215</v>
      </c>
      <c r="V9" s="5">
        <v>2</v>
      </c>
      <c r="W9" s="5">
        <v>76.666666666666671</v>
      </c>
      <c r="X9" s="33">
        <v>93.430816203917757</v>
      </c>
      <c r="Y9" s="5">
        <v>56.834876147028453</v>
      </c>
      <c r="Z9" s="5">
        <v>2025.911583441165</v>
      </c>
      <c r="AA9" s="35"/>
    </row>
    <row r="10" spans="2:27" x14ac:dyDescent="0.2">
      <c r="B10" s="4">
        <v>4</v>
      </c>
      <c r="C10" s="4">
        <v>484</v>
      </c>
      <c r="D10" s="23">
        <v>78413.048521628138</v>
      </c>
      <c r="E10" s="33">
        <v>0.92469616700327606</v>
      </c>
      <c r="F10" s="5">
        <v>2</v>
      </c>
      <c r="G10" s="23">
        <v>86.666666666666671</v>
      </c>
      <c r="H10" s="33">
        <v>41.3971080627202</v>
      </c>
      <c r="I10" s="23">
        <v>39.133851442014432</v>
      </c>
      <c r="J10" s="5">
        <v>1658.5961119926617</v>
      </c>
      <c r="K10" s="31"/>
      <c r="L10" s="23">
        <v>102756.1704358501</v>
      </c>
      <c r="M10" s="33">
        <v>1.015293291999114</v>
      </c>
      <c r="N10" s="5">
        <v>3</v>
      </c>
      <c r="O10" s="5">
        <v>63.333333333333343</v>
      </c>
      <c r="P10" s="33">
        <v>0</v>
      </c>
      <c r="Q10" s="5">
        <v>17.86132618251979</v>
      </c>
      <c r="R10" s="5">
        <v>1166.8044841183739</v>
      </c>
      <c r="S10" s="31"/>
      <c r="T10" s="23">
        <v>91097.150464617705</v>
      </c>
      <c r="U10" s="33">
        <v>1.9519292090008089</v>
      </c>
      <c r="V10" s="5">
        <v>2</v>
      </c>
      <c r="W10" s="5">
        <v>73.333333333333329</v>
      </c>
      <c r="X10" s="33">
        <v>9.814543355258305</v>
      </c>
      <c r="Y10" s="5">
        <v>46.758045725717032</v>
      </c>
      <c r="Z10" s="5">
        <v>1710.6964580934441</v>
      </c>
      <c r="AA10" s="35"/>
    </row>
    <row r="11" spans="2:27" x14ac:dyDescent="0.2">
      <c r="B11" s="4">
        <v>10</v>
      </c>
      <c r="C11" s="4">
        <v>600</v>
      </c>
      <c r="D11" s="23">
        <v>78241.570742335476</v>
      </c>
      <c r="E11" s="33">
        <v>1.062286083000799</v>
      </c>
      <c r="F11" s="5">
        <v>2</v>
      </c>
      <c r="G11" s="23">
        <v>86.666666666666671</v>
      </c>
      <c r="H11" s="33">
        <v>47.422749088361272</v>
      </c>
      <c r="I11" s="23">
        <v>38.873434775347768</v>
      </c>
      <c r="J11" s="5">
        <v>1649.6730350695846</v>
      </c>
      <c r="K11" s="31"/>
      <c r="L11" s="23">
        <v>102479.6004512106</v>
      </c>
      <c r="M11" s="33">
        <v>0.49420687499878108</v>
      </c>
      <c r="N11" s="5">
        <v>2</v>
      </c>
      <c r="O11" s="5">
        <v>53.333333333333343</v>
      </c>
      <c r="P11" s="33">
        <v>0</v>
      </c>
      <c r="Q11" s="5">
        <v>17.89876010711302</v>
      </c>
      <c r="R11" s="5">
        <v>955.60330314950647</v>
      </c>
      <c r="S11" s="31"/>
      <c r="T11" s="23">
        <v>91097.150464617705</v>
      </c>
      <c r="U11" s="33">
        <v>1.306393875001959</v>
      </c>
      <c r="V11" s="5">
        <v>2</v>
      </c>
      <c r="W11" s="5">
        <v>73.333333333333329</v>
      </c>
      <c r="X11" s="33">
        <v>9.814543355258305</v>
      </c>
      <c r="Y11" s="5">
        <v>46.758045725717032</v>
      </c>
      <c r="Z11" s="5">
        <v>1710.6964580934441</v>
      </c>
      <c r="AA11" s="35"/>
    </row>
    <row r="12" spans="2:27" x14ac:dyDescent="0.2">
      <c r="B12" s="4">
        <v>7</v>
      </c>
      <c r="C12" s="4">
        <v>604</v>
      </c>
      <c r="D12" s="23">
        <v>79011.889181785926</v>
      </c>
      <c r="E12" s="33">
        <v>0.75101937500221538</v>
      </c>
      <c r="F12" s="5">
        <v>2</v>
      </c>
      <c r="G12" s="23">
        <v>86.666666666666671</v>
      </c>
      <c r="H12" s="33">
        <v>69.845662094080339</v>
      </c>
      <c r="I12" s="23">
        <v>39.101299358681104</v>
      </c>
      <c r="J12" s="5">
        <v>1657.4807273772776</v>
      </c>
      <c r="K12" s="31"/>
      <c r="L12" s="23">
        <v>103351.0728650894</v>
      </c>
      <c r="M12" s="33">
        <v>0.57363658299800591</v>
      </c>
      <c r="N12" s="5">
        <v>2</v>
      </c>
      <c r="O12" s="5">
        <v>53.333333333333343</v>
      </c>
      <c r="P12" s="33">
        <v>0</v>
      </c>
      <c r="Q12" s="5">
        <v>20.447362774910161</v>
      </c>
      <c r="R12" s="5">
        <v>1028.9447383346919</v>
      </c>
      <c r="S12" s="31"/>
      <c r="T12" s="23">
        <v>92244.626440500215</v>
      </c>
      <c r="U12" s="33">
        <v>0.90040025000052992</v>
      </c>
      <c r="V12" s="5">
        <v>2</v>
      </c>
      <c r="W12" s="5">
        <v>73.333333333333329</v>
      </c>
      <c r="X12" s="33">
        <v>47.499000371145243</v>
      </c>
      <c r="Y12" s="5">
        <v>48.155397318381127</v>
      </c>
      <c r="Z12" s="5">
        <v>1748.419869816855</v>
      </c>
      <c r="AA12" s="35"/>
    </row>
    <row r="13" spans="2:27" x14ac:dyDescent="0.2">
      <c r="B13" s="4">
        <v>8</v>
      </c>
      <c r="C13" s="4">
        <v>890</v>
      </c>
      <c r="D13" s="23">
        <v>78392.69091380274</v>
      </c>
      <c r="E13" s="33">
        <v>0.84630449999895063</v>
      </c>
      <c r="F13" s="5">
        <v>2</v>
      </c>
      <c r="G13" s="23">
        <v>83.333333333333329</v>
      </c>
      <c r="H13" s="33">
        <v>30.911829525947834</v>
      </c>
      <c r="I13" s="23">
        <v>35.999772807514823</v>
      </c>
      <c r="J13" s="5">
        <v>1536.6541157834674</v>
      </c>
      <c r="K13" s="31"/>
      <c r="L13" s="23">
        <v>102443.5486440135</v>
      </c>
      <c r="M13" s="33">
        <v>0.63373087500076508</v>
      </c>
      <c r="N13" s="5">
        <v>2</v>
      </c>
      <c r="O13" s="5">
        <v>53.333333333333343</v>
      </c>
      <c r="P13" s="33">
        <v>0</v>
      </c>
      <c r="Q13" s="5">
        <v>18.201269024910161</v>
      </c>
      <c r="R13" s="5">
        <v>963.03848833469169</v>
      </c>
      <c r="S13" s="31"/>
      <c r="T13" s="23">
        <v>94402.697023427376</v>
      </c>
      <c r="U13" s="33">
        <v>0.90711970799748087</v>
      </c>
      <c r="V13" s="5">
        <v>2</v>
      </c>
      <c r="W13" s="5">
        <v>70</v>
      </c>
      <c r="X13" s="33">
        <v>14.93875112466783</v>
      </c>
      <c r="Y13" s="5">
        <v>46.87749693335239</v>
      </c>
      <c r="Z13" s="5">
        <v>1740.4397540083</v>
      </c>
      <c r="AA13" s="35"/>
    </row>
    <row r="14" spans="2:27" x14ac:dyDescent="0.2">
      <c r="B14" s="46" t="s">
        <v>3</v>
      </c>
      <c r="C14" s="47"/>
      <c r="D14" s="9">
        <f>MIN(D4:D13)</f>
        <v>77958.254138702847</v>
      </c>
      <c r="E14" s="22">
        <f>INDEX(E4:E13, MATCH($D$14, D4:D13, 0))</f>
        <v>2.7602267080001179</v>
      </c>
      <c r="F14" s="9">
        <f>INDEX(F4:F13, MATCH($D$14, D4:D13, 0))</f>
        <v>2</v>
      </c>
      <c r="G14" s="9">
        <f>INDEX(G4:G13, MATCH($D$14, D4:D13, 0))</f>
        <v>86.666666666666671</v>
      </c>
      <c r="H14" s="22">
        <f>INDEX(H4:H13, MATCH($D$14, D4:D13, 0))</f>
        <v>47.422749088361272</v>
      </c>
      <c r="I14" s="22">
        <f>INDEX(I4:I13, MATCH($D$14, D4:D13, 0))</f>
        <v>38.479758786433678</v>
      </c>
      <c r="J14" s="22">
        <f>INDEX(J4:J13, MATCH($D$14, D4:D13, 0))</f>
        <v>1641.3368527334019</v>
      </c>
      <c r="K14" s="32">
        <f>(D14-$D$15)/$D$15</f>
        <v>2.4989767693064774E-3</v>
      </c>
      <c r="L14" s="16">
        <f>MIN(L4:L13)</f>
        <v>102417.20767477169</v>
      </c>
      <c r="M14" s="21">
        <f>INDEX(M4:M13, MATCH($L$14, L4:L13, 0))</f>
        <v>0.62382120799884433</v>
      </c>
      <c r="N14" s="16">
        <f>INDEX(N4:N13, MATCH($L$14, L4:L13, 0))</f>
        <v>3</v>
      </c>
      <c r="O14" s="16">
        <f>INDEX(O4:O13, MATCH($L$14, L4:L13, 0))</f>
        <v>63.333333333333343</v>
      </c>
      <c r="P14" s="21">
        <f>INDEX(P4:P13, MATCH($L$14, L4:L13, 0))</f>
        <v>6.9376834444206734</v>
      </c>
      <c r="Q14" s="21">
        <f>INDEX(Q4:Q13, MATCH($L$14, L4:L13, 0))</f>
        <v>16.949867849186461</v>
      </c>
      <c r="R14" s="21">
        <f>INDEX(R4:R13, MATCH($L$14, L4:L13, 0))</f>
        <v>1104.474520932574</v>
      </c>
      <c r="S14" s="36">
        <f>(L14-$D$15)/$D$15</f>
        <v>0.31702726070356518</v>
      </c>
      <c r="T14" s="38">
        <f>MIN(T4:T13)</f>
        <v>91097.150464617705</v>
      </c>
      <c r="U14" s="39">
        <f>INDEX(U4:U13, MATCH($T$14, T4:T13, 0))</f>
        <v>1.501123624999309</v>
      </c>
      <c r="V14" s="38">
        <f>INDEX(V4:V13, MATCH($T$14, T4:T13, 0))</f>
        <v>2</v>
      </c>
      <c r="W14" s="38">
        <f>INDEX(W4:W13, MATCH($T$14, T4:T13, 0))</f>
        <v>73.333333333333329</v>
      </c>
      <c r="X14" s="39">
        <f>INDEX(X4:X13, MATCH($T$14, T4:T13, 0))</f>
        <v>9.814543355258305</v>
      </c>
      <c r="Y14" s="39">
        <f>INDEX(Y4:Y13, MATCH($T$14, T4:T13, 0))</f>
        <v>46.758045725717032</v>
      </c>
      <c r="Z14" s="39">
        <f>INDEX(Z4:Z13, MATCH($T$14, T4:T13, 0))</f>
        <v>1710.6964580934441</v>
      </c>
      <c r="AA14" s="40">
        <f>(T14-$D$15)/$D$15</f>
        <v>0.17145773897006825</v>
      </c>
    </row>
    <row r="15" spans="2:27" x14ac:dyDescent="0.2">
      <c r="C15" s="1" t="s">
        <v>17</v>
      </c>
      <c r="D15" s="34">
        <v>77763.923899388159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93" priority="7"/>
    <cfRule type="duplicateValues" dxfId="92" priority="8"/>
  </conditionalFormatting>
  <conditionalFormatting sqref="C15:C16 C29:C1048576 C1:C13">
    <cfRule type="duplicateValues" dxfId="91" priority="17"/>
    <cfRule type="duplicateValues" dxfId="90" priority="18"/>
  </conditionalFormatting>
  <conditionalFormatting sqref="C20:C28">
    <cfRule type="duplicateValues" dxfId="5" priority="5"/>
    <cfRule type="duplicateValues" dxfId="4" priority="6"/>
  </conditionalFormatting>
  <conditionalFormatting sqref="C17">
    <cfRule type="duplicateValues" dxfId="3" priority="1"/>
    <cfRule type="duplicateValues" dxfId="2" priority="2"/>
  </conditionalFormatting>
  <conditionalFormatting sqref="C18:C19"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85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84" priority="1"/>
  </conditionalFormatting>
  <conditionalFormatting sqref="L14">
    <cfRule type="duplicateValues" dxfId="83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82" priority="1"/>
  </conditionalFormatting>
  <conditionalFormatting sqref="L14">
    <cfRule type="duplicateValues" dxfId="81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80" priority="1"/>
  </conditionalFormatting>
  <conditionalFormatting sqref="L14">
    <cfRule type="duplicateValues" dxfId="79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8" priority="1"/>
  </conditionalFormatting>
  <conditionalFormatting sqref="L14">
    <cfRule type="duplicateValues" dxfId="77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6" priority="1"/>
  </conditionalFormatting>
  <conditionalFormatting sqref="L14">
    <cfRule type="duplicateValues" dxfId="75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4" priority="1"/>
    <cfRule type="duplicateValues" dxfId="73" priority="2"/>
  </conditionalFormatting>
  <conditionalFormatting sqref="L14">
    <cfRule type="duplicateValues" dxfId="72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1" priority="1"/>
  </conditionalFormatting>
  <conditionalFormatting sqref="L14">
    <cfRule type="duplicateValues" dxfId="70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9" priority="1"/>
  </conditionalFormatting>
  <conditionalFormatting sqref="L14">
    <cfRule type="duplicateValues" dxfId="68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7" priority="1"/>
  </conditionalFormatting>
  <conditionalFormatting sqref="L14">
    <cfRule type="duplicateValues" dxfId="66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65" priority="1"/>
  </conditionalFormatting>
  <conditionalFormatting sqref="L14">
    <cfRule type="duplicateValues" dxfId="64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3" priority="1"/>
  </conditionalFormatting>
  <conditionalFormatting sqref="L14">
    <cfRule type="duplicateValues" dxfId="62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61" priority="1"/>
  </conditionalFormatting>
  <conditionalFormatting sqref="L14">
    <cfRule type="duplicateValues" dxfId="60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9" priority="1"/>
  </conditionalFormatting>
  <conditionalFormatting sqref="L14">
    <cfRule type="duplicateValues" dxfId="58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7" priority="1"/>
  </conditionalFormatting>
  <conditionalFormatting sqref="L14">
    <cfRule type="duplicateValues" dxfId="56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5" priority="1"/>
  </conditionalFormatting>
  <conditionalFormatting sqref="L14">
    <cfRule type="duplicateValues" dxfId="54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results77</vt:lpstr>
      <vt:lpstr>results158</vt:lpstr>
      <vt:lpstr>results185</vt:lpstr>
      <vt:lpstr>results347</vt:lpstr>
      <vt:lpstr>results417</vt:lpstr>
      <vt:lpstr>results549</vt:lpstr>
      <vt:lpstr>results691</vt:lpstr>
      <vt:lpstr>results758</vt:lpstr>
      <vt:lpstr>results804</vt:lpstr>
      <vt:lpstr>results905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2026-10-21T18:19:25Z</dcterms:modified>
</cp:coreProperties>
</file>