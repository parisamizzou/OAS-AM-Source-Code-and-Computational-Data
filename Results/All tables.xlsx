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Movaghat/"/>
    </mc:Choice>
  </mc:AlternateContent>
  <xr:revisionPtr revIDLastSave="0" documentId="13_ncr:1_{F8B94B11-4B4A-DF45-BA73-8FF589AE0210}" xr6:coauthVersionLast="47" xr6:coauthVersionMax="47" xr10:uidLastSave="{00000000-0000-0000-0000-000000000000}"/>
  <bookViews>
    <workbookView xWindow="0" yWindow="760" windowWidth="34560" windowHeight="20540" activeTab="4" xr2:uid="{6E80528E-B270-2B43-9A57-B550A8C17E55}"/>
  </bookViews>
  <sheets>
    <sheet name="main effect small" sheetId="13" r:id="rId1"/>
    <sheet name="main effect large" sheetId="14" r:id="rId2"/>
    <sheet name="SA-AOS &amp; MILP- small" sheetId="16" r:id="rId3"/>
    <sheet name="SA-AOS &amp; MILP- small (2)" sheetId="18" state="hidden" r:id="rId4"/>
    <sheet name="SA &amp; ALNS- large" sheetId="17" r:id="rId5"/>
    <sheet name="SA &amp; ALNS- large (2)" sheetId="19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0" i="19" l="1"/>
  <c r="AC20" i="19"/>
  <c r="AD19" i="19"/>
  <c r="AC19" i="19"/>
  <c r="AD18" i="19"/>
  <c r="AC18" i="19"/>
  <c r="AD17" i="19"/>
  <c r="AC17" i="19"/>
  <c r="AD16" i="19"/>
  <c r="AC16" i="19"/>
  <c r="AD15" i="19"/>
  <c r="AC15" i="19"/>
  <c r="AD14" i="19"/>
  <c r="AC14" i="19"/>
  <c r="AD13" i="19"/>
  <c r="AC13" i="19"/>
  <c r="AD12" i="19"/>
  <c r="AC12" i="19"/>
  <c r="S12" i="19"/>
  <c r="R12" i="19"/>
  <c r="Q12" i="19"/>
  <c r="AD11" i="19"/>
  <c r="AC11" i="19"/>
  <c r="S11" i="19"/>
  <c r="R11" i="19"/>
  <c r="Q11" i="19"/>
  <c r="AD10" i="19"/>
  <c r="AC10" i="19"/>
  <c r="S10" i="19"/>
  <c r="R10" i="19"/>
  <c r="Q10" i="19"/>
  <c r="AD9" i="19"/>
  <c r="AC9" i="19"/>
  <c r="AU19" i="18"/>
  <c r="AT19" i="18"/>
  <c r="AR19" i="18"/>
  <c r="AN19" i="18"/>
  <c r="AJ19" i="18"/>
  <c r="AU18" i="18"/>
  <c r="AT18" i="18"/>
  <c r="AR18" i="18"/>
  <c r="AN18" i="18"/>
  <c r="AJ18" i="18"/>
  <c r="AU17" i="18"/>
  <c r="AT17" i="18"/>
  <c r="AR17" i="18"/>
  <c r="AN17" i="18"/>
  <c r="AJ17" i="18"/>
  <c r="AU16" i="18"/>
  <c r="AT16" i="18"/>
  <c r="AR16" i="18"/>
  <c r="AN16" i="18"/>
  <c r="AJ16" i="18"/>
  <c r="AU15" i="18"/>
  <c r="AT15" i="18"/>
  <c r="AR15" i="18"/>
  <c r="AN15" i="18"/>
  <c r="AJ15" i="18"/>
  <c r="AU14" i="18"/>
  <c r="AT14" i="18"/>
  <c r="AR14" i="18"/>
  <c r="AN14" i="18"/>
  <c r="AJ14" i="18"/>
  <c r="AU13" i="18"/>
  <c r="AT13" i="18"/>
  <c r="AR13" i="18"/>
  <c r="AN13" i="18"/>
  <c r="AJ13" i="18"/>
  <c r="AU12" i="18"/>
  <c r="AT12" i="18"/>
  <c r="AR12" i="18"/>
  <c r="AN12" i="18"/>
  <c r="AJ12" i="18"/>
  <c r="AU11" i="18"/>
  <c r="AT11" i="18"/>
  <c r="AR11" i="18"/>
  <c r="AN11" i="18"/>
  <c r="AJ11" i="18"/>
  <c r="AU10" i="18"/>
  <c r="AT10" i="18"/>
  <c r="AR10" i="18"/>
  <c r="AN10" i="18"/>
  <c r="AJ10" i="18"/>
  <c r="AB10" i="18"/>
  <c r="AA10" i="18"/>
  <c r="Z10" i="18"/>
  <c r="X10" i="18"/>
  <c r="V10" i="18"/>
  <c r="R10" i="18"/>
  <c r="P10" i="18"/>
  <c r="L10" i="18"/>
  <c r="J10" i="18"/>
  <c r="AU9" i="18"/>
  <c r="AT9" i="18"/>
  <c r="AR9" i="18"/>
  <c r="AN9" i="18"/>
  <c r="AJ9" i="18"/>
  <c r="AB9" i="18"/>
  <c r="AA9" i="18"/>
  <c r="Z9" i="18"/>
  <c r="X9" i="18"/>
  <c r="V9" i="18"/>
  <c r="R9" i="18"/>
  <c r="P9" i="18"/>
  <c r="L9" i="18"/>
  <c r="J9" i="18"/>
  <c r="AU8" i="18"/>
  <c r="AT8" i="18"/>
  <c r="AR8" i="18"/>
  <c r="AN8" i="18"/>
  <c r="AJ8" i="18"/>
  <c r="AB8" i="18"/>
  <c r="AA8" i="18"/>
  <c r="Z8" i="18"/>
  <c r="X8" i="18"/>
  <c r="V8" i="18"/>
  <c r="R8" i="18"/>
  <c r="P8" i="18"/>
  <c r="L8" i="18"/>
  <c r="J8" i="18"/>
  <c r="I9" i="17"/>
  <c r="H9" i="17"/>
  <c r="S8" i="16"/>
  <c r="R8" i="16"/>
  <c r="P13" i="16"/>
  <c r="L16" i="16"/>
  <c r="L17" i="16"/>
  <c r="L18" i="16"/>
  <c r="L19" i="16"/>
  <c r="H8" i="16"/>
  <c r="I11" i="17"/>
  <c r="H20" i="17"/>
  <c r="H10" i="17"/>
  <c r="I20" i="17"/>
  <c r="I19" i="17"/>
  <c r="H19" i="17"/>
  <c r="I18" i="17"/>
  <c r="H18" i="17"/>
  <c r="I17" i="17"/>
  <c r="H17" i="17"/>
  <c r="I16" i="17"/>
  <c r="H16" i="17"/>
  <c r="I15" i="17"/>
  <c r="H15" i="17"/>
  <c r="I14" i="17"/>
  <c r="H14" i="17"/>
  <c r="I13" i="17"/>
  <c r="H13" i="17"/>
  <c r="I12" i="17"/>
  <c r="H12" i="17"/>
  <c r="H11" i="17"/>
  <c r="I10" i="17"/>
  <c r="S19" i="16"/>
  <c r="S18" i="16"/>
  <c r="S17" i="16"/>
  <c r="S16" i="16"/>
  <c r="S15" i="16"/>
  <c r="S14" i="16"/>
  <c r="S13" i="16"/>
  <c r="S12" i="16"/>
  <c r="S11" i="16"/>
  <c r="S10" i="16"/>
  <c r="S9" i="16"/>
  <c r="R16" i="16"/>
  <c r="R19" i="16"/>
  <c r="R18" i="16"/>
  <c r="R17" i="16"/>
  <c r="R15" i="16"/>
  <c r="R14" i="16"/>
  <c r="R13" i="16"/>
  <c r="R12" i="16"/>
  <c r="R11" i="16"/>
  <c r="R10" i="16"/>
  <c r="R9" i="16"/>
  <c r="P8" i="16"/>
  <c r="P19" i="16"/>
  <c r="P18" i="16"/>
  <c r="P17" i="16"/>
  <c r="P16" i="16"/>
  <c r="P15" i="16"/>
  <c r="P14" i="16"/>
  <c r="P12" i="16"/>
  <c r="P11" i="16"/>
  <c r="P10" i="16"/>
  <c r="P9" i="16"/>
  <c r="L8" i="16"/>
  <c r="L15" i="16"/>
  <c r="L14" i="16"/>
  <c r="L13" i="16"/>
  <c r="L12" i="16"/>
  <c r="L11" i="16"/>
  <c r="L10" i="16"/>
  <c r="L9" i="16"/>
  <c r="H15" i="16"/>
  <c r="H19" i="16"/>
  <c r="H18" i="16"/>
  <c r="H17" i="16"/>
  <c r="H16" i="16"/>
  <c r="H14" i="16"/>
  <c r="H13" i="16"/>
  <c r="H12" i="16"/>
  <c r="H11" i="16"/>
  <c r="H10" i="16"/>
  <c r="H9" i="16"/>
</calcChain>
</file>

<file path=xl/sharedStrings.xml><?xml version="1.0" encoding="utf-8"?>
<sst xmlns="http://schemas.openxmlformats.org/spreadsheetml/2006/main" count="105" uniqueCount="25">
  <si>
    <t>N</t>
  </si>
  <si>
    <t>M</t>
  </si>
  <si>
    <t>W</t>
  </si>
  <si>
    <t>MILP</t>
  </si>
  <si>
    <t>SA</t>
  </si>
  <si>
    <t>|J|</t>
  </si>
  <si>
    <t>|I|</t>
  </si>
  <si>
    <t>|R|</t>
  </si>
  <si>
    <t>B</t>
  </si>
  <si>
    <t>Factor</t>
  </si>
  <si>
    <t>Level</t>
  </si>
  <si>
    <t>T</t>
  </si>
  <si>
    <t>C</t>
  </si>
  <si>
    <t>OAS-AM-BVC</t>
  </si>
  <si>
    <t>OAS-AM-BBA</t>
  </si>
  <si>
    <t>OAS-AM-TPA</t>
  </si>
  <si>
    <t>ALNS</t>
  </si>
  <si>
    <t>SA Cost Saving (%)</t>
  </si>
  <si>
    <t>BBA</t>
  </si>
  <si>
    <t>TPA</t>
  </si>
  <si>
    <t>BVC</t>
  </si>
  <si>
    <t>Cost Saving (%)</t>
  </si>
  <si>
    <t>SA-AOS</t>
  </si>
  <si>
    <t>A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</si>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</sst>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0" borderId="0" xfId="0" quotePrefix="1" applyFont="1"/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3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3" fillId="2" borderId="0" xfId="2" applyFont="1" applyFill="1"/>
    <xf numFmtId="1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2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9" fontId="0" fillId="0" borderId="2" xfId="2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9" fontId="2" fillId="2" borderId="0" xfId="0" applyNumberFormat="1" applyFont="1" applyFill="1"/>
    <xf numFmtId="0" fontId="3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3" xfId="0" applyFont="1" applyFill="1" applyBorder="1"/>
    <xf numFmtId="0" fontId="0" fillId="0" borderId="1" xfId="0" applyBorder="1" applyAlignment="1">
      <alignment horizontal="center" vertical="center"/>
    </xf>
    <xf numFmtId="9" fontId="3" fillId="2" borderId="2" xfId="2" applyFont="1" applyFill="1" applyBorder="1"/>
    <xf numFmtId="10" fontId="3" fillId="0" borderId="3" xfId="2" applyNumberFormat="1" applyFont="1" applyBorder="1" applyAlignment="1">
      <alignment horizontal="center" vertical="center"/>
    </xf>
    <xf numFmtId="10" fontId="3" fillId="0" borderId="0" xfId="2" applyNumberFormat="1" applyFont="1" applyAlignment="1">
      <alignment horizontal="center" vertical="center"/>
    </xf>
    <xf numFmtId="10" fontId="3" fillId="0" borderId="2" xfId="2" applyNumberFormat="1" applyFont="1" applyBorder="1" applyAlignment="1">
      <alignment horizontal="center" vertical="center"/>
    </xf>
    <xf numFmtId="10" fontId="3" fillId="2" borderId="0" xfId="2" applyNumberFormat="1" applyFont="1" applyFill="1" applyAlignment="1">
      <alignment horizontal="center" vertical="center"/>
    </xf>
    <xf numFmtId="10" fontId="3" fillId="2" borderId="0" xfId="2" applyNumberFormat="1" applyFont="1" applyFill="1" applyAlignment="1">
      <alignment horizontal="center"/>
    </xf>
    <xf numFmtId="10" fontId="3" fillId="2" borderId="2" xfId="2" applyNumberFormat="1" applyFont="1" applyFill="1" applyBorder="1" applyAlignment="1">
      <alignment horizontal="center"/>
    </xf>
    <xf numFmtId="10" fontId="3" fillId="2" borderId="2" xfId="2" applyNumberFormat="1" applyFont="1" applyFill="1" applyBorder="1" applyAlignment="1">
      <alignment horizontal="center" vertical="center"/>
    </xf>
    <xf numFmtId="9" fontId="3" fillId="2" borderId="2" xfId="2" applyFont="1" applyFill="1" applyBorder="1" applyAlignment="1">
      <alignment horizontal="center" vertical="center"/>
    </xf>
    <xf numFmtId="9" fontId="3" fillId="2" borderId="0" xfId="2" applyFont="1" applyFill="1" applyAlignment="1">
      <alignment horizontal="center" vertical="center"/>
    </xf>
    <xf numFmtId="0" fontId="3" fillId="2" borderId="2" xfId="0" applyFont="1" applyFill="1" applyBorder="1"/>
    <xf numFmtId="10" fontId="3" fillId="0" borderId="0" xfId="2" applyNumberFormat="1" applyFont="1" applyBorder="1" applyAlignment="1">
      <alignment horizontal="center" vertical="center"/>
    </xf>
    <xf numFmtId="9" fontId="3" fillId="2" borderId="0" xfId="2" applyFont="1" applyFill="1" applyBorder="1"/>
    <xf numFmtId="9" fontId="3" fillId="2" borderId="3" xfId="2" applyFont="1" applyFill="1" applyBorder="1"/>
    <xf numFmtId="1" fontId="2" fillId="0" borderId="0" xfId="0" applyNumberFormat="1" applyFont="1"/>
    <xf numFmtId="1" fontId="3" fillId="3" borderId="3" xfId="0" applyNumberFormat="1" applyFont="1" applyFill="1" applyBorder="1" applyAlignment="1">
      <alignment horizontal="center" vertical="center"/>
    </xf>
    <xf numFmtId="1" fontId="2" fillId="3" borderId="0" xfId="0" applyNumberFormat="1" applyFont="1" applyFill="1"/>
    <xf numFmtId="1" fontId="3" fillId="3" borderId="0" xfId="0" applyNumberFormat="1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0" fontId="3" fillId="3" borderId="3" xfId="2" applyNumberFormat="1" applyFont="1" applyFill="1" applyBorder="1" applyAlignment="1">
      <alignment horizontal="center" vertical="center"/>
    </xf>
    <xf numFmtId="10" fontId="3" fillId="3" borderId="0" xfId="2" applyNumberFormat="1" applyFont="1" applyFill="1" applyBorder="1" applyAlignment="1">
      <alignment horizontal="center" vertical="center"/>
    </xf>
    <xf numFmtId="10" fontId="3" fillId="3" borderId="2" xfId="2" applyNumberFormat="1" applyFont="1" applyFill="1" applyBorder="1" applyAlignment="1">
      <alignment horizontal="center" vertical="center"/>
    </xf>
    <xf numFmtId="1" fontId="2" fillId="2" borderId="0" xfId="0" applyNumberFormat="1" applyFont="1" applyFill="1"/>
    <xf numFmtId="9" fontId="0" fillId="0" borderId="2" xfId="2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9" fontId="0" fillId="0" borderId="3" xfId="2" applyFont="1" applyFill="1" applyBorder="1" applyAlignment="1">
      <alignment horizontal="center" vertical="center"/>
    </xf>
    <xf numFmtId="1" fontId="0" fillId="0" borderId="0" xfId="2" applyNumberFormat="1" applyFont="1" applyFill="1" applyBorder="1" applyAlignment="1">
      <alignment horizontal="center" vertical="center"/>
    </xf>
    <xf numFmtId="1" fontId="0" fillId="0" borderId="2" xfId="2" applyNumberFormat="1" applyFont="1" applyFill="1" applyBorder="1" applyAlignment="1">
      <alignment horizontal="center" vertical="center"/>
    </xf>
    <xf numFmtId="1" fontId="0" fillId="0" borderId="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52917</xdr:colOff>
      <xdr:row>6</xdr:row>
      <xdr:rowOff>84668</xdr:rowOff>
    </xdr:from>
    <xdr:ext cx="83820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D8AB60B-4951-9149-A8F5-1C47CAD67EDB}"/>
                </a:ext>
              </a:extLst>
            </xdr:cNvPr>
            <xdr:cNvSpPr txBox="1"/>
          </xdr:nvSpPr>
          <xdr:spPr>
            <a:xfrm>
              <a:off x="4434417" y="1291168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D8AB60B-4951-9149-A8F5-1C47CAD67EDB}"/>
                </a:ext>
              </a:extLst>
            </xdr:cNvPr>
            <xdr:cNvSpPr txBox="1"/>
          </xdr:nvSpPr>
          <xdr:spPr>
            <a:xfrm>
              <a:off x="4434417" y="1291168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〖𝑅𝑃𝐷〗_𝑆𝐴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158750</xdr:colOff>
      <xdr:row>6</xdr:row>
      <xdr:rowOff>74084</xdr:rowOff>
    </xdr:from>
    <xdr:ext cx="83820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C379147-0435-BE4E-B321-03FDCB992CFE}"/>
                </a:ext>
              </a:extLst>
            </xdr:cNvPr>
            <xdr:cNvSpPr txBox="1"/>
          </xdr:nvSpPr>
          <xdr:spPr>
            <a:xfrm>
              <a:off x="8837083" y="1280584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C379147-0435-BE4E-B321-03FDCB992CFE}"/>
                </a:ext>
              </a:extLst>
            </xdr:cNvPr>
            <xdr:cNvSpPr txBox="1"/>
          </xdr:nvSpPr>
          <xdr:spPr>
            <a:xfrm>
              <a:off x="8837083" y="1280584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〖𝑅𝑃𝐷〗_𝑆𝐴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15</xdr:col>
      <xdr:colOff>31750</xdr:colOff>
      <xdr:row>6</xdr:row>
      <xdr:rowOff>63501</xdr:rowOff>
    </xdr:from>
    <xdr:ext cx="83820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0367890-110A-2740-AB95-97716B95391C}"/>
                </a:ext>
              </a:extLst>
            </xdr:cNvPr>
            <xdr:cNvSpPr txBox="1"/>
          </xdr:nvSpPr>
          <xdr:spPr>
            <a:xfrm>
              <a:off x="13440833" y="1270001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0367890-110A-2740-AB95-97716B95391C}"/>
                </a:ext>
              </a:extLst>
            </xdr:cNvPr>
            <xdr:cNvSpPr txBox="1"/>
          </xdr:nvSpPr>
          <xdr:spPr>
            <a:xfrm>
              <a:off x="13440833" y="1270001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〖𝑅𝑃𝐷〗_𝑆𝐴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17</xdr:col>
      <xdr:colOff>63500</xdr:colOff>
      <xdr:row>6</xdr:row>
      <xdr:rowOff>63500</xdr:rowOff>
    </xdr:from>
    <xdr:ext cx="83820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7C7941B-2AC9-154E-9FF6-1ADCAC13257D}"/>
                </a:ext>
              </a:extLst>
            </xdr:cNvPr>
            <xdr:cNvSpPr txBox="1"/>
          </xdr:nvSpPr>
          <xdr:spPr>
            <a:xfrm>
              <a:off x="26521833" y="12700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𝐵𝐵𝐴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7C7941B-2AC9-154E-9FF6-1ADCAC13257D}"/>
                </a:ext>
              </a:extLst>
            </xdr:cNvPr>
            <xdr:cNvSpPr txBox="1"/>
          </xdr:nvSpPr>
          <xdr:spPr>
            <a:xfrm>
              <a:off x="26521833" y="12700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∆𝐶〗_</a:t>
              </a:r>
              <a:r>
                <a:rPr lang="en-US" sz="1100" b="0" i="0">
                  <a:latin typeface="Cambria Math" panose="02040503050406030204" pitchFamily="18" charset="0"/>
                </a:rPr>
                <a:t>𝐵𝐵𝐴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18</xdr:col>
      <xdr:colOff>63500</xdr:colOff>
      <xdr:row>6</xdr:row>
      <xdr:rowOff>63500</xdr:rowOff>
    </xdr:from>
    <xdr:ext cx="83820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6FD1260-4B55-5E4D-95C2-C56A6CCBB59A}"/>
                </a:ext>
              </a:extLst>
            </xdr:cNvPr>
            <xdr:cNvSpPr txBox="1"/>
          </xdr:nvSpPr>
          <xdr:spPr>
            <a:xfrm>
              <a:off x="27347333" y="12700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𝑇𝑃𝐴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6FD1260-4B55-5E4D-95C2-C56A6CCBB59A}"/>
                </a:ext>
              </a:extLst>
            </xdr:cNvPr>
            <xdr:cNvSpPr txBox="1"/>
          </xdr:nvSpPr>
          <xdr:spPr>
            <a:xfrm>
              <a:off x="27347333" y="12700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∆𝐶〗_</a:t>
              </a:r>
              <a:r>
                <a:rPr lang="en-US" sz="1100" b="0" i="0">
                  <a:latin typeface="Cambria Math" panose="02040503050406030204" pitchFamily="18" charset="0"/>
                </a:rPr>
                <a:t>𝑇𝑃𝐴 (%)</a:t>
              </a:r>
              <a:endParaRPr lang="en-US" sz="1100" b="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29634</xdr:colOff>
      <xdr:row>6</xdr:row>
      <xdr:rowOff>93134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422DB74-8C34-CC4E-8E65-4F43F7772635}"/>
                </a:ext>
              </a:extLst>
            </xdr:cNvPr>
            <xdr:cNvSpPr txBox="1"/>
          </xdr:nvSpPr>
          <xdr:spPr>
            <a:xfrm>
              <a:off x="2988734" y="1312334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𝐴𝐿𝑁𝑆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422DB74-8C34-CC4E-8E65-4F43F7772635}"/>
                </a:ext>
              </a:extLst>
            </xdr:cNvPr>
            <xdr:cNvSpPr txBox="1"/>
          </xdr:nvSpPr>
          <xdr:spPr>
            <a:xfrm>
              <a:off x="2988734" y="1312334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〖𝑅𝑃𝐷〗_𝐴𝐿𝑁𝑆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11</xdr:col>
      <xdr:colOff>52917</xdr:colOff>
      <xdr:row>6</xdr:row>
      <xdr:rowOff>84668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046A4E1-7B37-F745-ABC9-E8A2BD7B1FCA}"/>
                </a:ext>
              </a:extLst>
            </xdr:cNvPr>
            <xdr:cNvSpPr txBox="1"/>
          </xdr:nvSpPr>
          <xdr:spPr>
            <a:xfrm>
              <a:off x="4421717" y="1303868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046A4E1-7B37-F745-ABC9-E8A2BD7B1FCA}"/>
                </a:ext>
              </a:extLst>
            </xdr:cNvPr>
            <xdr:cNvSpPr txBox="1"/>
          </xdr:nvSpPr>
          <xdr:spPr>
            <a:xfrm>
              <a:off x="4421717" y="1303868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〖𝑅𝑃𝐷〗_𝑆𝐴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15</xdr:col>
      <xdr:colOff>114301</xdr:colOff>
      <xdr:row>6</xdr:row>
      <xdr:rowOff>82550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8F3E90B-B56C-E24A-99C3-022337C50AAD}"/>
                </a:ext>
              </a:extLst>
            </xdr:cNvPr>
            <xdr:cNvSpPr txBox="1"/>
          </xdr:nvSpPr>
          <xdr:spPr>
            <a:xfrm>
              <a:off x="5892801" y="130175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𝐴𝐿𝑁𝑆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8F3E90B-B56C-E24A-99C3-022337C50AAD}"/>
                </a:ext>
              </a:extLst>
            </xdr:cNvPr>
            <xdr:cNvSpPr txBox="1"/>
          </xdr:nvSpPr>
          <xdr:spPr>
            <a:xfrm>
              <a:off x="5892801" y="130175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〖𝑅𝑃𝐷〗_𝐴𝐿𝑁𝑆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17</xdr:col>
      <xdr:colOff>158750</xdr:colOff>
      <xdr:row>6</xdr:row>
      <xdr:rowOff>74084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9EA2E95-0AEC-D94A-B9A0-55B234FA3117}"/>
                </a:ext>
              </a:extLst>
            </xdr:cNvPr>
            <xdr:cNvSpPr txBox="1"/>
          </xdr:nvSpPr>
          <xdr:spPr>
            <a:xfrm>
              <a:off x="7613650" y="1293284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9EA2E95-0AEC-D94A-B9A0-55B234FA3117}"/>
                </a:ext>
              </a:extLst>
            </xdr:cNvPr>
            <xdr:cNvSpPr txBox="1"/>
          </xdr:nvSpPr>
          <xdr:spPr>
            <a:xfrm>
              <a:off x="7613650" y="1293284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〖𝑅𝑃𝐷〗_𝑆𝐴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21</xdr:col>
      <xdr:colOff>114301</xdr:colOff>
      <xdr:row>6</xdr:row>
      <xdr:rowOff>82550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EE5BA05-998C-5A49-8F97-1DA1560B46D6}"/>
                </a:ext>
              </a:extLst>
            </xdr:cNvPr>
            <xdr:cNvSpPr txBox="1"/>
          </xdr:nvSpPr>
          <xdr:spPr>
            <a:xfrm>
              <a:off x="10388601" y="130175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𝐴𝐿𝑁𝑆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EE5BA05-998C-5A49-8F97-1DA1560B46D6}"/>
                </a:ext>
              </a:extLst>
            </xdr:cNvPr>
            <xdr:cNvSpPr txBox="1"/>
          </xdr:nvSpPr>
          <xdr:spPr>
            <a:xfrm>
              <a:off x="10388601" y="130175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〖𝑅𝑃𝐷〗_𝐴𝐿𝑁𝑆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23</xdr:col>
      <xdr:colOff>31750</xdr:colOff>
      <xdr:row>6</xdr:row>
      <xdr:rowOff>63501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15FC2C2-553E-5D45-88B4-1FDD6765FDF3}"/>
                </a:ext>
              </a:extLst>
            </xdr:cNvPr>
            <xdr:cNvSpPr txBox="1"/>
          </xdr:nvSpPr>
          <xdr:spPr>
            <a:xfrm>
              <a:off x="12223750" y="1282701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15FC2C2-553E-5D45-88B4-1FDD6765FDF3}"/>
                </a:ext>
              </a:extLst>
            </xdr:cNvPr>
            <xdr:cNvSpPr txBox="1"/>
          </xdr:nvSpPr>
          <xdr:spPr>
            <a:xfrm>
              <a:off x="12223750" y="1282701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〖𝑅𝑃𝐷〗_𝑆𝐴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35</xdr:col>
      <xdr:colOff>52917</xdr:colOff>
      <xdr:row>6</xdr:row>
      <xdr:rowOff>84668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28E4CDC-E0EE-C344-B09C-1B66EBA9A290}"/>
                </a:ext>
              </a:extLst>
            </xdr:cNvPr>
            <xdr:cNvSpPr txBox="1"/>
          </xdr:nvSpPr>
          <xdr:spPr>
            <a:xfrm>
              <a:off x="18721917" y="1303868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28E4CDC-E0EE-C344-B09C-1B66EBA9A290}"/>
                </a:ext>
              </a:extLst>
            </xdr:cNvPr>
            <xdr:cNvSpPr txBox="1"/>
          </xdr:nvSpPr>
          <xdr:spPr>
            <a:xfrm>
              <a:off x="18721917" y="1303868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〖𝑅𝑃𝐷〗_𝑆𝐴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39</xdr:col>
      <xdr:colOff>158750</xdr:colOff>
      <xdr:row>6</xdr:row>
      <xdr:rowOff>74084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691615C-B222-6A4F-A6F8-D0DAD7998583}"/>
                </a:ext>
              </a:extLst>
            </xdr:cNvPr>
            <xdr:cNvSpPr txBox="1"/>
          </xdr:nvSpPr>
          <xdr:spPr>
            <a:xfrm>
              <a:off x="21405850" y="1293284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691615C-B222-6A4F-A6F8-D0DAD7998583}"/>
                </a:ext>
              </a:extLst>
            </xdr:cNvPr>
            <xdr:cNvSpPr txBox="1"/>
          </xdr:nvSpPr>
          <xdr:spPr>
            <a:xfrm>
              <a:off x="21405850" y="1293284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〖𝑅𝑃𝐷〗_𝑆𝐴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43</xdr:col>
      <xdr:colOff>31750</xdr:colOff>
      <xdr:row>6</xdr:row>
      <xdr:rowOff>63501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604D245-5059-9C49-BD67-CE5CCBF5EA0A}"/>
                </a:ext>
              </a:extLst>
            </xdr:cNvPr>
            <xdr:cNvSpPr txBox="1"/>
          </xdr:nvSpPr>
          <xdr:spPr>
            <a:xfrm>
              <a:off x="24149050" y="1282701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𝑅𝑃𝐷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604D245-5059-9C49-BD67-CE5CCBF5EA0A}"/>
                </a:ext>
              </a:extLst>
            </xdr:cNvPr>
            <xdr:cNvSpPr txBox="1"/>
          </xdr:nvSpPr>
          <xdr:spPr>
            <a:xfrm>
              <a:off x="24149050" y="1282701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〖𝑅𝑃𝐷〗_𝑆𝐴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45</xdr:col>
      <xdr:colOff>63500</xdr:colOff>
      <xdr:row>6</xdr:row>
      <xdr:rowOff>63500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3F33CC7-61E0-9241-811A-745CFF1F493F}"/>
                </a:ext>
              </a:extLst>
            </xdr:cNvPr>
            <xdr:cNvSpPr txBox="1"/>
          </xdr:nvSpPr>
          <xdr:spPr>
            <a:xfrm>
              <a:off x="25336500" y="12827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𝐵𝐵𝐴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3F33CC7-61E0-9241-811A-745CFF1F493F}"/>
                </a:ext>
              </a:extLst>
            </xdr:cNvPr>
            <xdr:cNvSpPr txBox="1"/>
          </xdr:nvSpPr>
          <xdr:spPr>
            <a:xfrm>
              <a:off x="25336500" y="12827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∆𝐶〗_</a:t>
              </a:r>
              <a:r>
                <a:rPr lang="en-US" sz="1100" b="0" i="0">
                  <a:latin typeface="Cambria Math" panose="02040503050406030204" pitchFamily="18" charset="0"/>
                </a:rPr>
                <a:t>𝐵𝐵𝐴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46</xdr:col>
      <xdr:colOff>63500</xdr:colOff>
      <xdr:row>6</xdr:row>
      <xdr:rowOff>63500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5FBFC19-86E7-C448-8AD1-8F9762CB6752}"/>
                </a:ext>
              </a:extLst>
            </xdr:cNvPr>
            <xdr:cNvSpPr txBox="1"/>
          </xdr:nvSpPr>
          <xdr:spPr>
            <a:xfrm>
              <a:off x="26225500" y="12827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𝑇𝑃𝐴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5FBFC19-86E7-C448-8AD1-8F9762CB6752}"/>
                </a:ext>
              </a:extLst>
            </xdr:cNvPr>
            <xdr:cNvSpPr txBox="1"/>
          </xdr:nvSpPr>
          <xdr:spPr>
            <a:xfrm>
              <a:off x="26225500" y="12827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∆𝐶〗_</a:t>
              </a:r>
              <a:r>
                <a:rPr lang="en-US" sz="1100" b="0" i="0">
                  <a:latin typeface="Cambria Math" panose="02040503050406030204" pitchFamily="18" charset="0"/>
                </a:rPr>
                <a:t>𝑇𝑃𝐴 (%)</a:t>
              </a:r>
              <a:endParaRPr lang="en-US" sz="1100" b="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63500</xdr:colOff>
      <xdr:row>7</xdr:row>
      <xdr:rowOff>21167</xdr:rowOff>
    </xdr:from>
    <xdr:ext cx="83820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2C34135-4FA0-7944-A93A-61BEAE76843F}"/>
                </a:ext>
              </a:extLst>
            </xdr:cNvPr>
            <xdr:cNvSpPr txBox="1"/>
          </xdr:nvSpPr>
          <xdr:spPr>
            <a:xfrm>
              <a:off x="19727333" y="13970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𝐵𝐵𝐴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2C34135-4FA0-7944-A93A-61BEAE76843F}"/>
                </a:ext>
              </a:extLst>
            </xdr:cNvPr>
            <xdr:cNvSpPr txBox="1"/>
          </xdr:nvSpPr>
          <xdr:spPr>
            <a:xfrm>
              <a:off x="19727333" y="13970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∆𝐶〗_</a:t>
              </a:r>
              <a:r>
                <a:rPr lang="en-US" sz="1100" b="0" i="0">
                  <a:latin typeface="Cambria Math" panose="02040503050406030204" pitchFamily="18" charset="0"/>
                </a:rPr>
                <a:t>𝐵𝐵𝐴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8</xdr:col>
      <xdr:colOff>63500</xdr:colOff>
      <xdr:row>7</xdr:row>
      <xdr:rowOff>63500</xdr:rowOff>
    </xdr:from>
    <xdr:ext cx="83820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01BBBB6-35BF-D547-B2EE-F9174763099B}"/>
                </a:ext>
              </a:extLst>
            </xdr:cNvPr>
            <xdr:cNvSpPr txBox="1"/>
          </xdr:nvSpPr>
          <xdr:spPr>
            <a:xfrm>
              <a:off x="27355800" y="12827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𝑇𝑃𝐴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01BBBB6-35BF-D547-B2EE-F9174763099B}"/>
                </a:ext>
              </a:extLst>
            </xdr:cNvPr>
            <xdr:cNvSpPr txBox="1"/>
          </xdr:nvSpPr>
          <xdr:spPr>
            <a:xfrm>
              <a:off x="27355800" y="12827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∆𝐶〗_</a:t>
              </a:r>
              <a:r>
                <a:rPr lang="en-US" sz="1100" b="0" i="0">
                  <a:latin typeface="Cambria Math" panose="02040503050406030204" pitchFamily="18" charset="0"/>
                </a:rPr>
                <a:t>𝑇𝑃𝐴 (%)</a:t>
              </a:r>
              <a:endParaRPr lang="en-US" sz="1100" b="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63500</xdr:colOff>
      <xdr:row>7</xdr:row>
      <xdr:rowOff>21167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2036CD4-DDB5-B34A-A431-CFA9242D8DDE}"/>
                </a:ext>
              </a:extLst>
            </xdr:cNvPr>
            <xdr:cNvSpPr txBox="1"/>
          </xdr:nvSpPr>
          <xdr:spPr>
            <a:xfrm>
              <a:off x="17513300" y="1532467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𝐵𝐵𝐴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2036CD4-DDB5-B34A-A431-CFA9242D8DDE}"/>
                </a:ext>
              </a:extLst>
            </xdr:cNvPr>
            <xdr:cNvSpPr txBox="1"/>
          </xdr:nvSpPr>
          <xdr:spPr>
            <a:xfrm>
              <a:off x="17513300" y="1532467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∆𝐶〗_</a:t>
              </a:r>
              <a:r>
                <a:rPr lang="en-US" sz="1100" b="0" i="0">
                  <a:latin typeface="Cambria Math" panose="02040503050406030204" pitchFamily="18" charset="0"/>
                </a:rPr>
                <a:t>𝐵𝐵𝐴 (%)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29</xdr:col>
      <xdr:colOff>63500</xdr:colOff>
      <xdr:row>7</xdr:row>
      <xdr:rowOff>63500</xdr:rowOff>
    </xdr:from>
    <xdr:ext cx="83820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8EDD512-1616-2443-BC74-81B4F1B3B040}"/>
                </a:ext>
              </a:extLst>
            </xdr:cNvPr>
            <xdr:cNvSpPr txBox="1"/>
          </xdr:nvSpPr>
          <xdr:spPr>
            <a:xfrm>
              <a:off x="18338800" y="15748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𝑇𝑃𝐴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(%)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8EDD512-1616-2443-BC74-81B4F1B3B040}"/>
                </a:ext>
              </a:extLst>
            </xdr:cNvPr>
            <xdr:cNvSpPr txBox="1"/>
          </xdr:nvSpPr>
          <xdr:spPr>
            <a:xfrm>
              <a:off x="18338800" y="1574800"/>
              <a:ext cx="83820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∆𝐶〗_</a:t>
              </a:r>
              <a:r>
                <a:rPr lang="en-US" sz="1100" b="0" i="0">
                  <a:latin typeface="Cambria Math" panose="02040503050406030204" pitchFamily="18" charset="0"/>
                </a:rPr>
                <a:t>𝑇𝑃𝐴 (%)</a:t>
              </a:r>
              <a:endParaRPr lang="en-US" sz="11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EA8C-00F1-B148-9546-8947EEEBC4CE}">
  <sheetPr>
    <tabColor theme="6" tint="0.79998168889431442"/>
  </sheetPr>
  <dimension ref="B3:S11"/>
  <sheetViews>
    <sheetView showGridLines="0" workbookViewId="0">
      <selection activeCell="B3" sqref="B3:M11"/>
    </sheetView>
  </sheetViews>
  <sheetFormatPr baseColWidth="10" defaultRowHeight="16" x14ac:dyDescent="0.2"/>
  <cols>
    <col min="4" max="4" width="1.33203125" customWidth="1"/>
    <col min="5" max="5" width="12.83203125" customWidth="1"/>
    <col min="6" max="6" width="1.5" customWidth="1"/>
    <col min="7" max="7" width="13.5" customWidth="1"/>
    <col min="8" max="8" width="1.33203125" customWidth="1"/>
    <col min="9" max="9" width="13" customWidth="1"/>
    <col min="10" max="10" width="1.1640625" customWidth="1"/>
    <col min="11" max="11" width="12.1640625" customWidth="1"/>
    <col min="12" max="12" width="0.83203125" customWidth="1"/>
    <col min="13" max="13" width="12.5" customWidth="1"/>
  </cols>
  <sheetData>
    <row r="3" spans="2:19" s="15" customFormat="1" x14ac:dyDescent="0.2">
      <c r="B3" s="68" t="s">
        <v>9</v>
      </c>
      <c r="C3" s="68" t="s">
        <v>10</v>
      </c>
      <c r="D3" s="19"/>
      <c r="E3" s="26" t="s">
        <v>8</v>
      </c>
      <c r="F3" s="24"/>
      <c r="G3" s="26" t="s">
        <v>23</v>
      </c>
      <c r="H3" s="24"/>
      <c r="I3" s="26" t="s">
        <v>11</v>
      </c>
      <c r="J3" s="19"/>
      <c r="K3" s="26" t="s">
        <v>24</v>
      </c>
      <c r="L3" s="19"/>
      <c r="M3" s="26" t="s">
        <v>12</v>
      </c>
    </row>
    <row r="4" spans="2:19" s="15" customFormat="1" ht="17" x14ac:dyDescent="0.2">
      <c r="B4" s="67"/>
      <c r="C4" s="67"/>
      <c r="E4" s="25" t="s">
        <v>13</v>
      </c>
      <c r="F4" s="22"/>
      <c r="G4" s="25" t="s">
        <v>13</v>
      </c>
      <c r="H4" s="22"/>
      <c r="I4" s="25" t="s">
        <v>13</v>
      </c>
      <c r="K4" s="25" t="s">
        <v>13</v>
      </c>
      <c r="M4" s="25" t="s">
        <v>13</v>
      </c>
    </row>
    <row r="5" spans="2:19" s="15" customFormat="1" x14ac:dyDescent="0.2">
      <c r="B5" s="66" t="s">
        <v>0</v>
      </c>
      <c r="C5" s="15">
        <v>10</v>
      </c>
      <c r="E5" s="18">
        <v>1.95</v>
      </c>
      <c r="F5" s="18"/>
      <c r="G5" s="20">
        <v>0.82499999999999984</v>
      </c>
      <c r="H5" s="18"/>
      <c r="I5" s="18">
        <v>3.5097391150809045</v>
      </c>
      <c r="J5" s="23"/>
      <c r="K5" s="23">
        <v>0.15429624677508275</v>
      </c>
      <c r="L5" s="23"/>
      <c r="M5" s="18">
        <v>1063.2191317774882</v>
      </c>
      <c r="O5" s="20"/>
      <c r="P5" s="20"/>
      <c r="Q5" s="20"/>
      <c r="R5" s="20"/>
      <c r="S5" s="20"/>
    </row>
    <row r="6" spans="2:19" s="15" customFormat="1" x14ac:dyDescent="0.2">
      <c r="B6" s="66"/>
      <c r="C6" s="15">
        <v>20</v>
      </c>
      <c r="E6" s="18">
        <v>2.2250000000000001</v>
      </c>
      <c r="F6" s="18"/>
      <c r="G6" s="20">
        <v>0.85250000000000004</v>
      </c>
      <c r="H6" s="18"/>
      <c r="I6" s="18">
        <v>14.044733423146512</v>
      </c>
      <c r="J6" s="23"/>
      <c r="K6" s="23">
        <v>0.23460287197331908</v>
      </c>
      <c r="L6" s="23"/>
      <c r="M6" s="18">
        <v>1484.4173997301048</v>
      </c>
      <c r="O6" s="20"/>
      <c r="P6" s="20"/>
      <c r="Q6" s="20"/>
      <c r="R6" s="20"/>
      <c r="S6" s="20"/>
    </row>
    <row r="7" spans="2:19" s="15" customFormat="1" x14ac:dyDescent="0.2">
      <c r="B7" s="67"/>
      <c r="C7" s="16">
        <v>30</v>
      </c>
      <c r="E7" s="27">
        <v>2.4750000000000001</v>
      </c>
      <c r="F7" s="18"/>
      <c r="G7" s="60">
        <v>0.87333333333333329</v>
      </c>
      <c r="H7" s="18"/>
      <c r="I7" s="27">
        <v>33.184172581691762</v>
      </c>
      <c r="J7" s="23"/>
      <c r="K7" s="28">
        <v>0.29112324304864817</v>
      </c>
      <c r="L7" s="23"/>
      <c r="M7" s="27">
        <v>1693.8113647809187</v>
      </c>
      <c r="O7" s="20"/>
      <c r="P7" s="20"/>
      <c r="Q7" s="20"/>
      <c r="R7" s="20"/>
      <c r="S7" s="20"/>
    </row>
    <row r="8" spans="2:19" s="15" customFormat="1" x14ac:dyDescent="0.2">
      <c r="B8" s="68" t="s">
        <v>1</v>
      </c>
      <c r="C8" s="19">
        <v>2</v>
      </c>
      <c r="E8" s="29">
        <v>2</v>
      </c>
      <c r="F8" s="18"/>
      <c r="G8" s="61">
        <v>0.7927777777777778</v>
      </c>
      <c r="H8" s="18"/>
      <c r="I8" s="29">
        <v>21.256407950072607</v>
      </c>
      <c r="J8" s="23"/>
      <c r="K8" s="62">
        <v>0.22536321482909374</v>
      </c>
      <c r="L8" s="23"/>
      <c r="M8" s="29">
        <v>1481.7574584997685</v>
      </c>
      <c r="O8" s="20"/>
      <c r="P8" s="20"/>
      <c r="Q8" s="20"/>
      <c r="R8" s="20"/>
      <c r="S8" s="20"/>
    </row>
    <row r="9" spans="2:19" s="15" customFormat="1" x14ac:dyDescent="0.2">
      <c r="B9" s="67"/>
      <c r="C9" s="16">
        <v>3</v>
      </c>
      <c r="E9" s="27">
        <v>2.4333333333333331</v>
      </c>
      <c r="F9" s="18"/>
      <c r="G9" s="60">
        <v>0.90777777777777768</v>
      </c>
      <c r="H9" s="18"/>
      <c r="I9" s="27">
        <v>12.569355463206845</v>
      </c>
      <c r="J9" s="23"/>
      <c r="K9" s="28">
        <v>0.22798502636893955</v>
      </c>
      <c r="L9" s="23"/>
      <c r="M9" s="27">
        <v>1345.8744723592392</v>
      </c>
      <c r="O9" s="20"/>
      <c r="P9" s="20"/>
      <c r="Q9" s="20"/>
      <c r="R9" s="20"/>
      <c r="S9" s="20"/>
    </row>
    <row r="10" spans="2:19" s="15" customFormat="1" x14ac:dyDescent="0.2">
      <c r="B10" s="66" t="s">
        <v>2</v>
      </c>
      <c r="C10" s="15">
        <v>2</v>
      </c>
      <c r="E10" s="18">
        <v>2.0833333333333335</v>
      </c>
      <c r="F10" s="18"/>
      <c r="G10" s="20">
        <v>0.8994444444444446</v>
      </c>
      <c r="H10" s="18"/>
      <c r="I10" s="18">
        <v>21.761363846282819</v>
      </c>
      <c r="J10" s="23"/>
      <c r="K10" s="23">
        <v>0.2570660829380203</v>
      </c>
      <c r="L10" s="23"/>
      <c r="M10" s="18">
        <v>1498.4718648295084</v>
      </c>
      <c r="O10" s="20"/>
      <c r="P10" s="20"/>
      <c r="Q10" s="20"/>
      <c r="R10" s="20"/>
      <c r="S10" s="20"/>
    </row>
    <row r="11" spans="2:19" s="15" customFormat="1" x14ac:dyDescent="0.2">
      <c r="B11" s="67"/>
      <c r="C11" s="16">
        <v>3</v>
      </c>
      <c r="D11" s="16"/>
      <c r="E11" s="27">
        <v>2.35</v>
      </c>
      <c r="F11" s="27"/>
      <c r="G11" s="60">
        <v>0.80111111111111111</v>
      </c>
      <c r="H11" s="27"/>
      <c r="I11" s="27">
        <v>12.064399566996633</v>
      </c>
      <c r="J11" s="28"/>
      <c r="K11" s="28">
        <v>0.19628215826001302</v>
      </c>
      <c r="L11" s="28"/>
      <c r="M11" s="27">
        <v>1329.1600660294996</v>
      </c>
      <c r="O11" s="20"/>
      <c r="P11" s="20"/>
      <c r="Q11" s="20"/>
      <c r="R11" s="20"/>
      <c r="S11" s="20"/>
    </row>
  </sheetData>
  <mergeCells count="5">
    <mergeCell ref="B5:B7"/>
    <mergeCell ref="B8:B9"/>
    <mergeCell ref="B10:B11"/>
    <mergeCell ref="C3:C4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C8AD-87E2-DB4E-891C-63CDD69947E2}">
  <sheetPr>
    <tabColor theme="9" tint="0.79998168889431442"/>
  </sheetPr>
  <dimension ref="B3:M11"/>
  <sheetViews>
    <sheetView showGridLines="0" workbookViewId="0">
      <selection activeCell="Q11" sqref="Q11"/>
    </sheetView>
  </sheetViews>
  <sheetFormatPr baseColWidth="10" defaultRowHeight="16" x14ac:dyDescent="0.2"/>
  <cols>
    <col min="4" max="4" width="1.33203125" customWidth="1"/>
    <col min="5" max="5" width="12.83203125" customWidth="1"/>
    <col min="6" max="6" width="1.5" customWidth="1"/>
    <col min="7" max="7" width="13.5" customWidth="1"/>
    <col min="8" max="8" width="1.33203125" customWidth="1"/>
    <col min="9" max="9" width="13" customWidth="1"/>
    <col min="10" max="10" width="1.1640625" customWidth="1"/>
    <col min="11" max="11" width="12.1640625" customWidth="1"/>
    <col min="12" max="12" width="0.83203125" customWidth="1"/>
    <col min="13" max="13" width="12.5" customWidth="1"/>
  </cols>
  <sheetData>
    <row r="3" spans="2:13" s="15" customFormat="1" x14ac:dyDescent="0.2">
      <c r="B3" s="68" t="s">
        <v>9</v>
      </c>
      <c r="C3" s="68" t="s">
        <v>10</v>
      </c>
      <c r="D3" s="19"/>
      <c r="E3" s="26" t="s">
        <v>8</v>
      </c>
      <c r="F3" s="24"/>
      <c r="G3" s="26" t="s">
        <v>23</v>
      </c>
      <c r="H3" s="24"/>
      <c r="I3" s="26" t="s">
        <v>11</v>
      </c>
      <c r="J3" s="19"/>
      <c r="K3" s="26" t="s">
        <v>24</v>
      </c>
      <c r="L3" s="19"/>
      <c r="M3" s="26" t="s">
        <v>12</v>
      </c>
    </row>
    <row r="4" spans="2:13" s="15" customFormat="1" ht="17" x14ac:dyDescent="0.2">
      <c r="B4" s="67"/>
      <c r="C4" s="67"/>
      <c r="E4" s="25" t="s">
        <v>13</v>
      </c>
      <c r="F4" s="22"/>
      <c r="G4" s="25" t="s">
        <v>13</v>
      </c>
      <c r="H4" s="22"/>
      <c r="I4" s="25" t="s">
        <v>13</v>
      </c>
      <c r="K4" s="25" t="s">
        <v>13</v>
      </c>
      <c r="M4" s="25" t="s">
        <v>13</v>
      </c>
    </row>
    <row r="5" spans="2:13" s="15" customFormat="1" x14ac:dyDescent="0.2">
      <c r="B5" s="66" t="s">
        <v>0</v>
      </c>
      <c r="C5" s="15">
        <v>100</v>
      </c>
      <c r="E5" s="18">
        <v>10.175000000000001</v>
      </c>
      <c r="F5" s="18"/>
      <c r="G5" s="18">
        <v>92.2</v>
      </c>
      <c r="H5" s="18"/>
      <c r="I5" s="18">
        <v>611.41102392626226</v>
      </c>
      <c r="J5" s="23"/>
      <c r="K5" s="63">
        <v>35.137051092901608</v>
      </c>
      <c r="L5" s="23"/>
      <c r="M5" s="18">
        <v>5334.3317066383315</v>
      </c>
    </row>
    <row r="6" spans="2:13" s="15" customFormat="1" x14ac:dyDescent="0.2">
      <c r="B6" s="66"/>
      <c r="C6" s="15">
        <v>150</v>
      </c>
      <c r="E6" s="18">
        <v>11.649999999999999</v>
      </c>
      <c r="F6" s="18"/>
      <c r="G6" s="18">
        <v>87.733333333333334</v>
      </c>
      <c r="H6" s="18"/>
      <c r="I6" s="18">
        <v>959.45374574400944</v>
      </c>
      <c r="J6" s="23"/>
      <c r="K6" s="63">
        <v>41.525929791619717</v>
      </c>
      <c r="L6" s="23"/>
      <c r="M6" s="18">
        <v>6146.2029176387559</v>
      </c>
    </row>
    <row r="7" spans="2:13" s="15" customFormat="1" x14ac:dyDescent="0.2">
      <c r="B7" s="67"/>
      <c r="C7" s="16">
        <v>200</v>
      </c>
      <c r="E7" s="27">
        <v>13.324999999999999</v>
      </c>
      <c r="F7" s="18"/>
      <c r="G7" s="27">
        <v>80.974999999999994</v>
      </c>
      <c r="H7" s="18"/>
      <c r="I7" s="27">
        <v>1174.3317898626765</v>
      </c>
      <c r="J7" s="23"/>
      <c r="K7" s="64">
        <v>43.518881455857951</v>
      </c>
      <c r="L7" s="23"/>
      <c r="M7" s="27">
        <v>6481.4468319661801</v>
      </c>
    </row>
    <row r="8" spans="2:13" s="15" customFormat="1" x14ac:dyDescent="0.2">
      <c r="B8" s="68" t="s">
        <v>1</v>
      </c>
      <c r="C8" s="19">
        <v>5</v>
      </c>
      <c r="E8" s="29">
        <v>10.083333333333334</v>
      </c>
      <c r="F8" s="18"/>
      <c r="G8" s="29">
        <v>78.675000000000011</v>
      </c>
      <c r="H8" s="18"/>
      <c r="I8" s="29">
        <v>1359.1742502400684</v>
      </c>
      <c r="J8" s="23"/>
      <c r="K8" s="65">
        <v>40.579918776573287</v>
      </c>
      <c r="L8" s="23"/>
      <c r="M8" s="29">
        <v>6628.1985913876379</v>
      </c>
    </row>
    <row r="9" spans="2:13" s="15" customFormat="1" x14ac:dyDescent="0.2">
      <c r="B9" s="67"/>
      <c r="C9" s="16">
        <v>10</v>
      </c>
      <c r="E9" s="27">
        <v>13.35</v>
      </c>
      <c r="F9" s="18"/>
      <c r="G9" s="27">
        <v>95.2638888888889</v>
      </c>
      <c r="H9" s="18"/>
      <c r="I9" s="27">
        <v>470.95678944856354</v>
      </c>
      <c r="J9" s="23"/>
      <c r="K9" s="64">
        <v>39.541322783679568</v>
      </c>
      <c r="L9" s="23"/>
      <c r="M9" s="27">
        <v>5346.4557127745402</v>
      </c>
    </row>
    <row r="10" spans="2:13" s="15" customFormat="1" x14ac:dyDescent="0.2">
      <c r="B10" s="66" t="s">
        <v>2</v>
      </c>
      <c r="C10" s="15">
        <v>5</v>
      </c>
      <c r="E10" s="18">
        <v>11.35</v>
      </c>
      <c r="F10" s="18"/>
      <c r="G10" s="18">
        <v>88.427777777777763</v>
      </c>
      <c r="H10" s="18"/>
      <c r="I10" s="18">
        <v>889.28746371812122</v>
      </c>
      <c r="J10" s="23"/>
      <c r="K10" s="63">
        <v>41.98056730738228</v>
      </c>
      <c r="L10" s="23"/>
      <c r="M10" s="18">
        <v>6037.1609255107142</v>
      </c>
    </row>
    <row r="11" spans="2:13" s="15" customFormat="1" x14ac:dyDescent="0.2">
      <c r="B11" s="67"/>
      <c r="C11" s="16">
        <v>10</v>
      </c>
      <c r="D11" s="16"/>
      <c r="E11" s="27">
        <v>12.083333333333334</v>
      </c>
      <c r="F11" s="27"/>
      <c r="G11" s="27">
        <v>85.511111111111106</v>
      </c>
      <c r="H11" s="27"/>
      <c r="I11" s="27">
        <v>940.84357597051076</v>
      </c>
      <c r="J11" s="28"/>
      <c r="K11" s="64">
        <v>38.140674252870568</v>
      </c>
      <c r="L11" s="28"/>
      <c r="M11" s="27">
        <v>5937.4933786514639</v>
      </c>
    </row>
  </sheetData>
  <mergeCells count="5">
    <mergeCell ref="B5:B7"/>
    <mergeCell ref="B8:B9"/>
    <mergeCell ref="B10:B11"/>
    <mergeCell ref="B3:B4"/>
    <mergeCell ref="C3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B3EE-BD57-A44A-A93B-5EA63A7C7FE0}">
  <dimension ref="A3:Y32"/>
  <sheetViews>
    <sheetView showGridLines="0" zoomScale="120" zoomScaleNormal="120" workbookViewId="0">
      <selection activeCell="F3" sqref="F3"/>
    </sheetView>
  </sheetViews>
  <sheetFormatPr baseColWidth="10" defaultRowHeight="16" x14ac:dyDescent="0.2"/>
  <cols>
    <col min="1" max="1" width="10.83203125" style="1"/>
    <col min="2" max="2" width="3.6640625" style="1" bestFit="1" customWidth="1"/>
    <col min="3" max="4" width="3" style="1" bestFit="1" customWidth="1"/>
    <col min="5" max="5" width="1.5" style="1" customWidth="1"/>
    <col min="6" max="6" width="8" style="2" customWidth="1"/>
    <col min="7" max="7" width="7.33203125" style="2" customWidth="1"/>
    <col min="8" max="8" width="13.33203125" style="2" customWidth="1"/>
    <col min="9" max="9" width="1.5" style="1" customWidth="1"/>
    <col min="10" max="10" width="10.33203125" style="2" bestFit="1" customWidth="1"/>
    <col min="11" max="11" width="8.6640625" style="2" customWidth="1"/>
    <col min="12" max="12" width="13.6640625" style="2" customWidth="1"/>
    <col min="13" max="13" width="1.5" style="1" customWidth="1"/>
    <col min="14" max="14" width="10.6640625" style="2" bestFit="1" customWidth="1"/>
    <col min="15" max="15" width="11.83203125" style="2" customWidth="1"/>
    <col min="16" max="16" width="13.6640625" style="2" customWidth="1"/>
    <col min="17" max="17" width="1.5" style="1" customWidth="1"/>
    <col min="18" max="18" width="11.6640625" style="1" bestFit="1" customWidth="1"/>
    <col min="19" max="16384" width="10.83203125" style="1"/>
  </cols>
  <sheetData>
    <row r="3" spans="1:19" x14ac:dyDescent="0.2">
      <c r="J3" s="3"/>
      <c r="K3" s="3"/>
      <c r="L3" s="3"/>
      <c r="N3" s="3"/>
      <c r="O3" s="3"/>
      <c r="P3" s="3"/>
    </row>
    <row r="6" spans="1:19" x14ac:dyDescent="0.2">
      <c r="B6" s="74" t="s">
        <v>5</v>
      </c>
      <c r="C6" s="74" t="s">
        <v>6</v>
      </c>
      <c r="D6" s="74" t="s">
        <v>7</v>
      </c>
      <c r="E6" s="5"/>
      <c r="F6" s="69" t="s">
        <v>14</v>
      </c>
      <c r="G6" s="69"/>
      <c r="H6" s="69"/>
      <c r="I6" s="5"/>
      <c r="J6" s="69" t="s">
        <v>15</v>
      </c>
      <c r="K6" s="69"/>
      <c r="L6" s="69"/>
      <c r="M6" s="5"/>
      <c r="N6" s="69" t="s">
        <v>13</v>
      </c>
      <c r="O6" s="69"/>
      <c r="P6" s="69"/>
      <c r="Q6" s="35"/>
      <c r="R6" s="70" t="s">
        <v>21</v>
      </c>
      <c r="S6" s="70"/>
    </row>
    <row r="7" spans="1:19" s="7" customFormat="1" ht="25" customHeight="1" x14ac:dyDescent="0.15">
      <c r="B7" s="75"/>
      <c r="C7" s="75"/>
      <c r="D7" s="75"/>
      <c r="E7" s="12"/>
      <c r="F7" s="15" t="s">
        <v>3</v>
      </c>
      <c r="G7" s="15" t="s">
        <v>22</v>
      </c>
      <c r="H7" s="14"/>
      <c r="I7" s="12"/>
      <c r="J7" s="15" t="s">
        <v>3</v>
      </c>
      <c r="K7" s="15" t="s">
        <v>22</v>
      </c>
      <c r="L7" s="14"/>
      <c r="M7" s="12"/>
      <c r="N7" s="15" t="s">
        <v>3</v>
      </c>
      <c r="O7" s="15" t="s">
        <v>22</v>
      </c>
      <c r="P7" s="14"/>
      <c r="Q7" s="47"/>
      <c r="R7" s="36"/>
      <c r="S7" s="36"/>
    </row>
    <row r="8" spans="1:19" s="7" customFormat="1" ht="13" x14ac:dyDescent="0.15">
      <c r="A8" s="17"/>
      <c r="B8" s="71">
        <v>10</v>
      </c>
      <c r="C8" s="8">
        <v>2</v>
      </c>
      <c r="D8" s="8">
        <v>2</v>
      </c>
      <c r="E8" s="8"/>
      <c r="F8" s="52">
        <v>35.185986806000003</v>
      </c>
      <c r="G8" s="52">
        <v>35.185986806418953</v>
      </c>
      <c r="H8" s="56">
        <f>(G8-F8)/F8</f>
        <v>1.1906734637535583E-11</v>
      </c>
      <c r="I8" s="8"/>
      <c r="J8" s="9">
        <v>35.473281590999996</v>
      </c>
      <c r="K8" s="9">
        <v>35.473281590962273</v>
      </c>
      <c r="L8" s="38">
        <f>(K8-J8)/J8</f>
        <v>-1.0634120146097346E-12</v>
      </c>
      <c r="M8" s="8"/>
      <c r="N8" s="9">
        <v>33.029025995999994</v>
      </c>
      <c r="O8" s="9">
        <v>33.029025994237649</v>
      </c>
      <c r="P8" s="38">
        <f>(O8-N8)/N8</f>
        <v>-5.3357460097808864E-11</v>
      </c>
      <c r="Q8" s="50"/>
      <c r="R8" s="38">
        <f>(F8-N8)/N8</f>
        <v>6.530500809382718E-2</v>
      </c>
      <c r="S8" s="38">
        <f>(J8-N8)/N8</f>
        <v>7.4003259899217577E-2</v>
      </c>
    </row>
    <row r="9" spans="1:19" s="7" customFormat="1" ht="13" x14ac:dyDescent="0.15">
      <c r="A9" s="17"/>
      <c r="B9" s="72"/>
      <c r="C9" s="6">
        <v>2</v>
      </c>
      <c r="D9" s="6">
        <v>3</v>
      </c>
      <c r="E9" s="6"/>
      <c r="F9" s="54">
        <v>39.883177981999999</v>
      </c>
      <c r="G9" s="54">
        <v>40.131584709750967</v>
      </c>
      <c r="H9" s="57">
        <f t="shared" ref="H9:H19" si="0">(G9-F9)/F9</f>
        <v>6.228358428786154E-3</v>
      </c>
      <c r="I9" s="6"/>
      <c r="J9" s="10">
        <v>41.795486224999998</v>
      </c>
      <c r="K9" s="10">
        <v>41.840148967640729</v>
      </c>
      <c r="L9" s="48">
        <f t="shared" ref="L9:L14" si="1">(K9-J9)/J9</f>
        <v>1.0686020590906951E-3</v>
      </c>
      <c r="M9" s="6"/>
      <c r="N9" s="10">
        <v>37.378092651999992</v>
      </c>
      <c r="O9" s="10">
        <v>37.378092652265416</v>
      </c>
      <c r="P9" s="48">
        <f t="shared" ref="P9:P19" si="2">(O9-N9)/N9</f>
        <v>7.1010375359263656E-12</v>
      </c>
      <c r="Q9" s="49"/>
      <c r="R9" s="48">
        <f t="shared" ref="R9:R19" si="3">(F9-N9)/N9</f>
        <v>6.7020148762619303E-2</v>
      </c>
      <c r="S9" s="48">
        <f t="shared" ref="S9:S19" si="4">(J9-N9)/N9</f>
        <v>0.11818135328966936</v>
      </c>
    </row>
    <row r="10" spans="1:19" s="7" customFormat="1" ht="13" x14ac:dyDescent="0.15">
      <c r="A10" s="17"/>
      <c r="B10" s="72"/>
      <c r="C10" s="6">
        <v>3</v>
      </c>
      <c r="D10" s="6">
        <v>2</v>
      </c>
      <c r="E10" s="6"/>
      <c r="F10" s="54">
        <v>32.491010963000001</v>
      </c>
      <c r="G10" s="54">
        <v>32.491010963062863</v>
      </c>
      <c r="H10" s="57">
        <f t="shared" si="0"/>
        <v>1.9347417630150537E-12</v>
      </c>
      <c r="I10" s="6"/>
      <c r="J10" s="10">
        <v>32.928969823999999</v>
      </c>
      <c r="K10" s="10">
        <v>32.928969824678887</v>
      </c>
      <c r="L10" s="48">
        <f t="shared" si="1"/>
        <v>2.0616741444100264E-11</v>
      </c>
      <c r="M10" s="6"/>
      <c r="N10" s="10">
        <v>30.528641237999999</v>
      </c>
      <c r="O10" s="10">
        <v>30.528641237674449</v>
      </c>
      <c r="P10" s="48">
        <f t="shared" si="2"/>
        <v>-1.0663735824507746E-11</v>
      </c>
      <c r="Q10" s="49"/>
      <c r="R10" s="48">
        <f t="shared" si="3"/>
        <v>6.427962874932594E-2</v>
      </c>
      <c r="S10" s="48">
        <f t="shared" si="4"/>
        <v>7.862546411047712E-2</v>
      </c>
    </row>
    <row r="11" spans="1:19" s="7" customFormat="1" ht="13" x14ac:dyDescent="0.15">
      <c r="A11" s="17"/>
      <c r="B11" s="73"/>
      <c r="C11" s="12">
        <v>3</v>
      </c>
      <c r="D11" s="12">
        <v>3</v>
      </c>
      <c r="E11" s="12"/>
      <c r="F11" s="55">
        <v>38.021317278000005</v>
      </c>
      <c r="G11" s="55">
        <v>38.053485185900435</v>
      </c>
      <c r="H11" s="58">
        <f t="shared" si="0"/>
        <v>8.4604927454848765E-4</v>
      </c>
      <c r="I11" s="12"/>
      <c r="J11" s="13">
        <v>39.197607480999999</v>
      </c>
      <c r="K11" s="13">
        <v>39.480141932962241</v>
      </c>
      <c r="L11" s="40">
        <f t="shared" si="1"/>
        <v>7.2079514572207758E-3</v>
      </c>
      <c r="M11" s="12"/>
      <c r="N11" s="13">
        <v>37.416102807000001</v>
      </c>
      <c r="O11" s="13">
        <v>37.448200994432334</v>
      </c>
      <c r="P11" s="40">
        <f t="shared" si="2"/>
        <v>8.5787094390619382E-4</v>
      </c>
      <c r="Q11" s="37"/>
      <c r="R11" s="40">
        <f t="shared" si="3"/>
        <v>1.617524075454424E-2</v>
      </c>
      <c r="S11" s="40">
        <f t="shared" si="4"/>
        <v>4.7613314598513021E-2</v>
      </c>
    </row>
    <row r="12" spans="1:19" s="7" customFormat="1" ht="13" x14ac:dyDescent="0.15">
      <c r="A12" s="17"/>
      <c r="B12" s="71">
        <v>20</v>
      </c>
      <c r="C12" s="8">
        <v>2</v>
      </c>
      <c r="D12" s="8">
        <v>2</v>
      </c>
      <c r="E12" s="8"/>
      <c r="F12" s="52">
        <v>67.954318063000002</v>
      </c>
      <c r="G12" s="52">
        <v>67.954318062413037</v>
      </c>
      <c r="H12" s="56">
        <f t="shared" si="0"/>
        <v>-8.6376430503287818E-12</v>
      </c>
      <c r="I12" s="8"/>
      <c r="J12" s="9">
        <v>66.41012957800001</v>
      </c>
      <c r="K12" s="9">
        <v>66.410129576780776</v>
      </c>
      <c r="L12" s="38">
        <f t="shared" si="1"/>
        <v>-1.8359164466219812E-11</v>
      </c>
      <c r="M12" s="8"/>
      <c r="N12" s="9">
        <v>57.683299791000003</v>
      </c>
      <c r="O12" s="9">
        <v>57.683299792592138</v>
      </c>
      <c r="P12" s="38">
        <f t="shared" si="2"/>
        <v>2.7601306271804875E-11</v>
      </c>
      <c r="Q12" s="50"/>
      <c r="R12" s="38">
        <f t="shared" si="3"/>
        <v>0.17805878493800259</v>
      </c>
      <c r="S12" s="38">
        <f t="shared" si="4"/>
        <v>0.15128867139396218</v>
      </c>
    </row>
    <row r="13" spans="1:19" x14ac:dyDescent="0.2">
      <c r="A13" s="30"/>
      <c r="B13" s="72"/>
      <c r="C13" s="6">
        <v>2</v>
      </c>
      <c r="D13" s="6">
        <v>3</v>
      </c>
      <c r="E13" s="6"/>
      <c r="F13" s="54">
        <v>73.541548970999997</v>
      </c>
      <c r="G13" s="54">
        <v>73.541548971312494</v>
      </c>
      <c r="H13" s="57">
        <f t="shared" si="0"/>
        <v>4.249253647220844E-12</v>
      </c>
      <c r="I13" s="6"/>
      <c r="J13" s="10">
        <v>72.469253850999991</v>
      </c>
      <c r="K13" s="10">
        <v>72.469303894968846</v>
      </c>
      <c r="L13" s="48">
        <f t="shared" si="1"/>
        <v>6.9055449305438544E-7</v>
      </c>
      <c r="M13" s="6"/>
      <c r="N13" s="10">
        <v>65.6672583</v>
      </c>
      <c r="O13" s="10">
        <v>65.667258302215345</v>
      </c>
      <c r="P13" s="48">
        <f>(O13-N13)/N13</f>
        <v>3.3735904463785957E-11</v>
      </c>
      <c r="Q13" s="49"/>
      <c r="R13" s="48">
        <f t="shared" si="3"/>
        <v>0.11991197553926196</v>
      </c>
      <c r="S13" s="48">
        <f t="shared" si="4"/>
        <v>0.10358275535008883</v>
      </c>
    </row>
    <row r="14" spans="1:19" x14ac:dyDescent="0.2">
      <c r="B14" s="72"/>
      <c r="C14" s="6">
        <v>3</v>
      </c>
      <c r="D14" s="6">
        <v>2</v>
      </c>
      <c r="E14" s="6"/>
      <c r="F14" s="54">
        <v>60.96795215800001</v>
      </c>
      <c r="G14" s="54">
        <v>60.967952159611116</v>
      </c>
      <c r="H14" s="57">
        <f t="shared" si="0"/>
        <v>2.642545564215937E-11</v>
      </c>
      <c r="I14" s="6"/>
      <c r="J14" s="10">
        <v>62.047654316000013</v>
      </c>
      <c r="K14" s="10">
        <v>62.081023147375419</v>
      </c>
      <c r="L14" s="48">
        <f t="shared" si="1"/>
        <v>5.3779359982671494E-4</v>
      </c>
      <c r="M14" s="6"/>
      <c r="N14" s="10">
        <v>51.475691491999996</v>
      </c>
      <c r="O14" s="10">
        <v>51.475733547674821</v>
      </c>
      <c r="P14" s="48">
        <f t="shared" si="2"/>
        <v>8.1700067753005426E-7</v>
      </c>
      <c r="Q14" s="49"/>
      <c r="R14" s="48">
        <f t="shared" si="3"/>
        <v>0.18440278101898325</v>
      </c>
      <c r="S14" s="48">
        <f t="shared" si="4"/>
        <v>0.205377771868165</v>
      </c>
    </row>
    <row r="15" spans="1:19" x14ac:dyDescent="0.2">
      <c r="B15" s="73"/>
      <c r="C15" s="12">
        <v>3</v>
      </c>
      <c r="D15" s="12">
        <v>3</v>
      </c>
      <c r="E15" s="12"/>
      <c r="F15" s="55">
        <v>65.655916399999981</v>
      </c>
      <c r="G15" s="55">
        <v>65.655923464022223</v>
      </c>
      <c r="H15" s="58">
        <f>(G15-F15)/F15</f>
        <v>1.0759155654433252E-7</v>
      </c>
      <c r="I15" s="12"/>
      <c r="J15" s="13">
        <v>69.375066950999994</v>
      </c>
      <c r="K15" s="13">
        <v>69.375066952546334</v>
      </c>
      <c r="L15" s="40">
        <f>(K15-J15)/J15</f>
        <v>2.2289563281750481E-11</v>
      </c>
      <c r="M15" s="12"/>
      <c r="N15" s="13">
        <v>58.762989440999995</v>
      </c>
      <c r="O15" s="13">
        <v>58.762989442068466</v>
      </c>
      <c r="P15" s="40">
        <f>(O15-N15)/N15</f>
        <v>1.8182729361389523E-11</v>
      </c>
      <c r="Q15" s="37"/>
      <c r="R15" s="40">
        <f t="shared" si="3"/>
        <v>0.1173004815543075</v>
      </c>
      <c r="S15" s="40">
        <f t="shared" si="4"/>
        <v>0.18059117840924141</v>
      </c>
    </row>
    <row r="16" spans="1:19" x14ac:dyDescent="0.2">
      <c r="B16" s="71">
        <v>30</v>
      </c>
      <c r="C16" s="8">
        <v>2</v>
      </c>
      <c r="D16" s="8">
        <v>2</v>
      </c>
      <c r="E16" s="8"/>
      <c r="F16" s="52">
        <v>101.89785993100001</v>
      </c>
      <c r="G16" s="52">
        <v>101.89787085269313</v>
      </c>
      <c r="H16" s="56">
        <f t="shared" si="0"/>
        <v>1.0718275266319717E-7</v>
      </c>
      <c r="I16" s="8"/>
      <c r="J16" s="9">
        <v>101.057229272</v>
      </c>
      <c r="K16" s="9">
        <v>101.05722927183901</v>
      </c>
      <c r="L16" s="38">
        <f>(K16-J16)/J16</f>
        <v>-1.5931049587278803E-12</v>
      </c>
      <c r="M16" s="8"/>
      <c r="N16" s="9">
        <v>85.971006441</v>
      </c>
      <c r="O16" s="9">
        <v>85.971006440996604</v>
      </c>
      <c r="P16" s="38">
        <f t="shared" si="2"/>
        <v>-3.9506275633334001E-14</v>
      </c>
      <c r="Q16" s="50"/>
      <c r="R16" s="38">
        <f>(F16-N16)/N16</f>
        <v>0.18525842780414883</v>
      </c>
      <c r="S16" s="38">
        <f t="shared" si="4"/>
        <v>0.17548035617511751</v>
      </c>
    </row>
    <row r="17" spans="2:19" x14ac:dyDescent="0.2">
      <c r="B17" s="72"/>
      <c r="C17" s="6">
        <v>2</v>
      </c>
      <c r="D17" s="6">
        <v>3</v>
      </c>
      <c r="E17" s="6"/>
      <c r="F17" s="54">
        <v>110.49537374799998</v>
      </c>
      <c r="G17" s="54">
        <v>110.622699724387</v>
      </c>
      <c r="H17" s="57">
        <f t="shared" si="0"/>
        <v>1.1523195231450294E-3</v>
      </c>
      <c r="I17" s="6"/>
      <c r="J17" s="10">
        <v>107.08098135900001</v>
      </c>
      <c r="K17" s="10">
        <v>107.08098135968696</v>
      </c>
      <c r="L17" s="48">
        <f>(K17-J17)/J17</f>
        <v>6.4152635530093363E-12</v>
      </c>
      <c r="M17" s="6"/>
      <c r="N17" s="10">
        <v>97.959934508999993</v>
      </c>
      <c r="O17" s="10">
        <v>97.959934509889848</v>
      </c>
      <c r="P17" s="48">
        <f t="shared" si="2"/>
        <v>9.0838699006558061E-12</v>
      </c>
      <c r="Q17" s="49"/>
      <c r="R17" s="48">
        <f t="shared" si="3"/>
        <v>0.12796496140826125</v>
      </c>
      <c r="S17" s="48">
        <f t="shared" si="4"/>
        <v>9.3109972926350051E-2</v>
      </c>
    </row>
    <row r="18" spans="2:19" x14ac:dyDescent="0.2">
      <c r="B18" s="72"/>
      <c r="C18" s="6">
        <v>3</v>
      </c>
      <c r="D18" s="6">
        <v>2</v>
      </c>
      <c r="E18" s="6"/>
      <c r="F18" s="54">
        <v>91.522021995000003</v>
      </c>
      <c r="G18" s="54">
        <v>91.522021995569332</v>
      </c>
      <c r="H18" s="57">
        <f t="shared" si="0"/>
        <v>6.220682848180969E-12</v>
      </c>
      <c r="I18" s="6"/>
      <c r="J18" s="10">
        <v>92.969045888999986</v>
      </c>
      <c r="K18" s="10">
        <v>93.110224427316169</v>
      </c>
      <c r="L18" s="48">
        <f>(K18-J18)/J18</f>
        <v>1.5185542345432081E-3</v>
      </c>
      <c r="M18" s="6"/>
      <c r="N18" s="10">
        <v>75.151318806000006</v>
      </c>
      <c r="O18" s="10">
        <v>75.151332633435445</v>
      </c>
      <c r="P18" s="48">
        <f t="shared" si="2"/>
        <v>1.83994581307672E-7</v>
      </c>
      <c r="Q18" s="49"/>
      <c r="R18" s="48">
        <f t="shared" si="3"/>
        <v>0.21783653898689767</v>
      </c>
      <c r="S18" s="48">
        <f t="shared" si="4"/>
        <v>0.23709134272141916</v>
      </c>
    </row>
    <row r="19" spans="2:19" x14ac:dyDescent="0.2">
      <c r="B19" s="73"/>
      <c r="C19" s="12">
        <v>3</v>
      </c>
      <c r="D19" s="12">
        <v>3</v>
      </c>
      <c r="E19" s="12"/>
      <c r="F19" s="55">
        <v>89.000461481000002</v>
      </c>
      <c r="G19" s="55">
        <v>89.000461480240091</v>
      </c>
      <c r="H19" s="58">
        <f t="shared" si="0"/>
        <v>-8.5382843234238666E-12</v>
      </c>
      <c r="I19" s="12"/>
      <c r="J19" s="13">
        <v>91.338145716</v>
      </c>
      <c r="K19" s="13">
        <v>91.596340582561297</v>
      </c>
      <c r="L19" s="40">
        <f>(K19-J19)/J19</f>
        <v>2.826802148623739E-3</v>
      </c>
      <c r="M19" s="12"/>
      <c r="N19" s="13">
        <v>74.673920634999988</v>
      </c>
      <c r="O19" s="13">
        <v>74.673920635833625</v>
      </c>
      <c r="P19" s="40">
        <f t="shared" si="2"/>
        <v>1.1163698814984286E-11</v>
      </c>
      <c r="Q19" s="37"/>
      <c r="R19" s="40">
        <f t="shared" si="3"/>
        <v>0.19185467595878586</v>
      </c>
      <c r="S19" s="40">
        <f t="shared" si="4"/>
        <v>0.22315990561756333</v>
      </c>
    </row>
    <row r="21" spans="2:19" x14ac:dyDescent="0.2">
      <c r="F21" s="53">
        <v>4.3485976744339663</v>
      </c>
      <c r="G21" s="53">
        <v>4.3485976744554584</v>
      </c>
      <c r="J21" s="51">
        <v>2.6031695055351509</v>
      </c>
      <c r="K21" s="51">
        <v>2.6031695055231525</v>
      </c>
      <c r="L21" s="51"/>
      <c r="M21" s="51"/>
      <c r="N21" s="51">
        <v>3.7207903125918689</v>
      </c>
      <c r="O21" s="51">
        <v>3.7207903122672956</v>
      </c>
      <c r="P21" s="51"/>
      <c r="Q21" s="51"/>
      <c r="R21" s="51"/>
    </row>
    <row r="22" spans="2:19" x14ac:dyDescent="0.2">
      <c r="F22" s="53">
        <v>5.4880647989229221</v>
      </c>
      <c r="G22" s="53">
        <v>5.8014656359604864</v>
      </c>
      <c r="J22" s="51">
        <v>2.6067349859164217</v>
      </c>
      <c r="K22" s="51">
        <v>2.6885200894664196</v>
      </c>
      <c r="L22" s="51"/>
      <c r="M22" s="51"/>
      <c r="N22" s="51">
        <v>4.5143829869373437</v>
      </c>
      <c r="O22" s="51">
        <v>4.5143829869658862</v>
      </c>
      <c r="P22" s="51"/>
      <c r="Q22" s="51"/>
      <c r="R22" s="51"/>
    </row>
    <row r="23" spans="2:19" x14ac:dyDescent="0.2">
      <c r="F23" s="53">
        <v>3.8225529060951846</v>
      </c>
      <c r="G23" s="53">
        <v>3.8225529058611665</v>
      </c>
      <c r="J23" s="51">
        <v>4.3109018314828456</v>
      </c>
      <c r="K23" s="51">
        <v>4.3109018331035065</v>
      </c>
      <c r="L23" s="51"/>
      <c r="M23" s="51"/>
      <c r="N23" s="51">
        <v>3.4999005782653936</v>
      </c>
      <c r="O23" s="51">
        <v>3.4999005794492248</v>
      </c>
      <c r="P23" s="51"/>
      <c r="Q23" s="51"/>
      <c r="R23" s="51"/>
    </row>
    <row r="24" spans="2:19" x14ac:dyDescent="0.2">
      <c r="F24" s="53">
        <v>2.8259250640754265</v>
      </c>
      <c r="G24" s="53">
        <v>2.9000967794926886</v>
      </c>
      <c r="J24" s="51">
        <v>3.0245401449233187</v>
      </c>
      <c r="K24" s="51">
        <v>3.2779653960628123</v>
      </c>
      <c r="L24" s="51"/>
      <c r="M24" s="51"/>
      <c r="N24" s="51">
        <v>3.2264856870684882</v>
      </c>
      <c r="O24" s="51">
        <v>3.2123271116464069</v>
      </c>
      <c r="P24" s="51"/>
      <c r="Q24" s="51"/>
      <c r="R24" s="51"/>
    </row>
    <row r="25" spans="2:19" x14ac:dyDescent="0.2">
      <c r="F25" s="53">
        <v>9.270608960923008</v>
      </c>
      <c r="G25" s="53">
        <v>9.270608963227037</v>
      </c>
      <c r="J25" s="51">
        <v>7.5563611178905896</v>
      </c>
      <c r="K25" s="51">
        <v>7.5563611173306171</v>
      </c>
      <c r="L25" s="51"/>
      <c r="M25" s="51"/>
      <c r="N25" s="51">
        <v>7.1023635658833308</v>
      </c>
      <c r="O25" s="51">
        <v>7.1023635669574166</v>
      </c>
      <c r="P25" s="51"/>
      <c r="Q25" s="51"/>
      <c r="R25" s="51"/>
    </row>
    <row r="26" spans="2:19" x14ac:dyDescent="0.2">
      <c r="F26" s="53">
        <v>6.5898647026604937</v>
      </c>
      <c r="G26" s="53">
        <v>6.589864703142867</v>
      </c>
      <c r="J26" s="51">
        <v>4.1847736615339599</v>
      </c>
      <c r="K26" s="51">
        <v>4.1848110668973426</v>
      </c>
      <c r="L26" s="51"/>
      <c r="M26" s="51"/>
      <c r="N26" s="51">
        <v>6.2105852060973401</v>
      </c>
      <c r="O26" s="51">
        <v>6.2105852053756001</v>
      </c>
      <c r="P26" s="51"/>
      <c r="Q26" s="51"/>
      <c r="R26" s="51"/>
    </row>
    <row r="27" spans="2:19" x14ac:dyDescent="0.2">
      <c r="F27" s="53">
        <v>7.2249638554407474</v>
      </c>
      <c r="G27" s="53">
        <v>7.2249638540079628</v>
      </c>
      <c r="J27" s="51">
        <v>6.2186677026906034</v>
      </c>
      <c r="K27" s="51">
        <v>6.2363369814493854</v>
      </c>
      <c r="L27" s="51"/>
      <c r="M27" s="51"/>
      <c r="N27" s="51">
        <v>6.5515847576638953</v>
      </c>
      <c r="O27" s="51">
        <v>6.5515594776244095</v>
      </c>
      <c r="P27" s="51"/>
      <c r="Q27" s="51"/>
      <c r="R27" s="51"/>
    </row>
    <row r="28" spans="2:19" x14ac:dyDescent="0.2">
      <c r="F28" s="53">
        <v>8.3778013464068586</v>
      </c>
      <c r="G28" s="53">
        <v>8.3778038519245221</v>
      </c>
      <c r="J28" s="51">
        <v>6.3526987887124715</v>
      </c>
      <c r="K28" s="51">
        <v>6.3526987890891462</v>
      </c>
      <c r="L28" s="51"/>
      <c r="M28" s="51"/>
      <c r="N28" s="51">
        <v>5.2690838386042298</v>
      </c>
      <c r="O28" s="51">
        <v>5.2690838378546534</v>
      </c>
      <c r="P28" s="51"/>
      <c r="Q28" s="51"/>
      <c r="R28" s="51"/>
    </row>
    <row r="29" spans="2:19" x14ac:dyDescent="0.2">
      <c r="F29" s="53">
        <v>12.041484029849549</v>
      </c>
      <c r="G29" s="53">
        <v>12.041473315012123</v>
      </c>
      <c r="J29" s="51">
        <v>6.5223444737023648</v>
      </c>
      <c r="K29" s="51">
        <v>6.5223444732216249</v>
      </c>
      <c r="L29" s="51"/>
      <c r="M29" s="51"/>
      <c r="N29" s="51">
        <v>13.070374610749699</v>
      </c>
      <c r="O29" s="51">
        <v>13.070374612170983</v>
      </c>
      <c r="P29" s="51"/>
      <c r="Q29" s="51"/>
      <c r="R29" s="51"/>
    </row>
    <row r="30" spans="2:19" x14ac:dyDescent="0.2">
      <c r="F30" s="53">
        <v>10.190303867626648</v>
      </c>
      <c r="G30" s="53">
        <v>10.298678648656676</v>
      </c>
      <c r="J30" s="51">
        <v>5.1760837501765291</v>
      </c>
      <c r="K30" s="51">
        <v>5.1760837520318024</v>
      </c>
      <c r="L30" s="51"/>
      <c r="M30" s="51"/>
      <c r="N30" s="51">
        <v>10.076567860193947</v>
      </c>
      <c r="O30" s="51">
        <v>10.076567858668341</v>
      </c>
      <c r="P30" s="51"/>
      <c r="Q30" s="51"/>
      <c r="R30" s="51"/>
    </row>
    <row r="31" spans="2:19" x14ac:dyDescent="0.2">
      <c r="F31" s="53">
        <v>10.156573996282139</v>
      </c>
      <c r="G31" s="53">
        <v>10.156573996375702</v>
      </c>
      <c r="J31" s="51">
        <v>9.2966202524951438</v>
      </c>
      <c r="K31" s="51">
        <v>9.5286199645947409</v>
      </c>
      <c r="L31" s="51"/>
      <c r="M31" s="51"/>
      <c r="N31" s="51">
        <v>7.5804738969000436</v>
      </c>
      <c r="O31" s="51">
        <v>7.5804930750387829</v>
      </c>
      <c r="P31" s="51"/>
      <c r="Q31" s="51"/>
      <c r="R31" s="51"/>
    </row>
    <row r="32" spans="2:19" x14ac:dyDescent="0.2">
      <c r="F32" s="53">
        <v>10.831832431220363</v>
      </c>
      <c r="G32" s="53">
        <v>10.831832430010291</v>
      </c>
      <c r="J32" s="51">
        <v>8.3913876495862372</v>
      </c>
      <c r="K32" s="51">
        <v>8.4753817043168436</v>
      </c>
      <c r="L32" s="51"/>
      <c r="M32" s="51"/>
      <c r="N32" s="51">
        <v>9.8867483289338463</v>
      </c>
      <c r="O32" s="51">
        <v>9.8867483288956066</v>
      </c>
      <c r="P32" s="51"/>
      <c r="Q32" s="51"/>
      <c r="R32" s="51"/>
    </row>
  </sheetData>
  <mergeCells count="10">
    <mergeCell ref="B12:B15"/>
    <mergeCell ref="B16:B19"/>
    <mergeCell ref="F6:H6"/>
    <mergeCell ref="J6:L6"/>
    <mergeCell ref="N6:P6"/>
    <mergeCell ref="R6:S6"/>
    <mergeCell ref="B8:B11"/>
    <mergeCell ref="B6:B7"/>
    <mergeCell ref="C6:C7"/>
    <mergeCell ref="D6:D7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2321-654F-364D-8E9E-7A10DF4CE363}">
  <dimension ref="A3:AU32"/>
  <sheetViews>
    <sheetView showGridLines="0" zoomScale="120" zoomScaleNormal="120" workbookViewId="0">
      <selection activeCell="AI21" sqref="AI21"/>
    </sheetView>
  </sheetViews>
  <sheetFormatPr baseColWidth="10" defaultRowHeight="16" x14ac:dyDescent="0.2"/>
  <cols>
    <col min="1" max="2" width="3.33203125" style="1" customWidth="1"/>
    <col min="3" max="3" width="1.5" style="1" customWidth="1"/>
    <col min="4" max="4" width="3.6640625" style="1" bestFit="1" customWidth="1"/>
    <col min="5" max="6" width="3" style="1" bestFit="1" customWidth="1"/>
    <col min="7" max="7" width="1.5" style="1" customWidth="1"/>
    <col min="8" max="8" width="8" style="2" customWidth="1"/>
    <col min="9" max="9" width="11.5" style="2" bestFit="1" customWidth="1"/>
    <col min="10" max="10" width="11.1640625" style="2" customWidth="1"/>
    <col min="11" max="11" width="7.33203125" style="2" customWidth="1"/>
    <col min="12" max="12" width="13.33203125" style="2" customWidth="1"/>
    <col min="13" max="13" width="1.5" style="1" customWidth="1"/>
    <col min="14" max="14" width="3.5" style="2" customWidth="1"/>
    <col min="15" max="15" width="0.1640625" style="2" customWidth="1"/>
    <col min="16" max="16" width="13.33203125" style="2" customWidth="1"/>
    <col min="17" max="17" width="8.6640625" style="2" customWidth="1"/>
    <col min="18" max="18" width="13.6640625" style="2" customWidth="1"/>
    <col min="19" max="19" width="1.5" style="1" customWidth="1"/>
    <col min="20" max="20" width="10.33203125" style="2" bestFit="1" customWidth="1"/>
    <col min="21" max="21" width="11.5" style="2" bestFit="1" customWidth="1"/>
    <col min="22" max="22" width="13.33203125" style="2" bestFit="1" customWidth="1"/>
    <col min="23" max="23" width="11.83203125" style="2" customWidth="1"/>
    <col min="24" max="24" width="13.6640625" style="2" customWidth="1"/>
    <col min="25" max="25" width="1.5" style="1" customWidth="1"/>
    <col min="26" max="29" width="10.83203125" style="1"/>
    <col min="30" max="30" width="3.6640625" style="1" bestFit="1" customWidth="1"/>
    <col min="31" max="32" width="3" style="1" bestFit="1" customWidth="1"/>
    <col min="33" max="33" width="1.5" style="1" customWidth="1"/>
    <col min="34" max="34" width="8" style="2" customWidth="1"/>
    <col min="35" max="35" width="7.33203125" style="2" customWidth="1"/>
    <col min="36" max="36" width="13.33203125" style="2" customWidth="1"/>
    <col min="37" max="37" width="1.5" style="1" customWidth="1"/>
    <col min="38" max="38" width="10.33203125" style="2" bestFit="1" customWidth="1"/>
    <col min="39" max="39" width="8.6640625" style="2" customWidth="1"/>
    <col min="40" max="40" width="13.6640625" style="2" customWidth="1"/>
    <col min="41" max="41" width="1.5" style="1" customWidth="1"/>
    <col min="42" max="42" width="10.6640625" style="2" bestFit="1" customWidth="1"/>
    <col min="43" max="43" width="11.83203125" style="2" customWidth="1"/>
    <col min="44" max="44" width="13.6640625" style="2" customWidth="1"/>
    <col min="45" max="45" width="1.5" style="1" customWidth="1"/>
    <col min="46" max="46" width="11.6640625" style="1" bestFit="1" customWidth="1"/>
    <col min="47" max="16384" width="10.83203125" style="1"/>
  </cols>
  <sheetData>
    <row r="3" spans="3:47" x14ac:dyDescent="0.2">
      <c r="N3" s="3"/>
      <c r="O3" s="3"/>
      <c r="P3" s="3"/>
      <c r="Q3" s="3"/>
      <c r="R3" s="3"/>
      <c r="T3" s="3"/>
      <c r="U3" s="3"/>
      <c r="V3" s="3"/>
      <c r="W3" s="3"/>
      <c r="X3" s="3"/>
      <c r="AL3" s="3"/>
      <c r="AM3" s="3"/>
      <c r="AN3" s="3"/>
      <c r="AP3" s="3"/>
      <c r="AQ3" s="3"/>
      <c r="AR3" s="3"/>
    </row>
    <row r="6" spans="3:47" x14ac:dyDescent="0.2">
      <c r="C6" s="4"/>
      <c r="D6" s="74" t="s">
        <v>5</v>
      </c>
      <c r="E6" s="74" t="s">
        <v>6</v>
      </c>
      <c r="F6" s="74" t="s">
        <v>7</v>
      </c>
      <c r="G6" s="5"/>
      <c r="H6" s="69" t="s">
        <v>14</v>
      </c>
      <c r="I6" s="69"/>
      <c r="J6" s="69"/>
      <c r="K6" s="69"/>
      <c r="L6" s="69"/>
      <c r="M6" s="5"/>
      <c r="N6" s="69" t="s">
        <v>15</v>
      </c>
      <c r="O6" s="69"/>
      <c r="P6" s="69"/>
      <c r="Q6" s="69"/>
      <c r="R6" s="69"/>
      <c r="S6" s="5"/>
      <c r="T6" s="69" t="s">
        <v>13</v>
      </c>
      <c r="U6" s="69"/>
      <c r="V6" s="69"/>
      <c r="W6" s="69"/>
      <c r="X6" s="69"/>
      <c r="Y6" s="35"/>
      <c r="Z6" s="70" t="s">
        <v>17</v>
      </c>
      <c r="AA6" s="70"/>
      <c r="AB6" s="70"/>
      <c r="AD6" s="74" t="s">
        <v>5</v>
      </c>
      <c r="AE6" s="74" t="s">
        <v>6</v>
      </c>
      <c r="AF6" s="74" t="s">
        <v>7</v>
      </c>
      <c r="AG6" s="5"/>
      <c r="AH6" s="69" t="s">
        <v>14</v>
      </c>
      <c r="AI6" s="69"/>
      <c r="AJ6" s="69"/>
      <c r="AK6" s="5"/>
      <c r="AL6" s="69" t="s">
        <v>15</v>
      </c>
      <c r="AM6" s="69"/>
      <c r="AN6" s="69"/>
      <c r="AO6" s="5"/>
      <c r="AP6" s="69" t="s">
        <v>13</v>
      </c>
      <c r="AQ6" s="69"/>
      <c r="AR6" s="69"/>
      <c r="AS6" s="35"/>
      <c r="AT6" s="70" t="s">
        <v>21</v>
      </c>
      <c r="AU6" s="70"/>
    </row>
    <row r="7" spans="3:47" s="7" customFormat="1" ht="25" customHeight="1" x14ac:dyDescent="0.15">
      <c r="C7" s="6"/>
      <c r="D7" s="75"/>
      <c r="E7" s="75"/>
      <c r="F7" s="75"/>
      <c r="G7" s="6"/>
      <c r="H7" s="15" t="s">
        <v>3</v>
      </c>
      <c r="I7" s="15" t="s">
        <v>16</v>
      </c>
      <c r="J7" s="15"/>
      <c r="K7" s="15" t="s">
        <v>4</v>
      </c>
      <c r="L7" s="14"/>
      <c r="M7" s="6"/>
      <c r="N7" s="15" t="s">
        <v>3</v>
      </c>
      <c r="O7" s="15" t="s">
        <v>16</v>
      </c>
      <c r="P7" s="15"/>
      <c r="Q7" s="15" t="s">
        <v>4</v>
      </c>
      <c r="R7" s="14"/>
      <c r="S7" s="6"/>
      <c r="T7" s="15" t="s">
        <v>3</v>
      </c>
      <c r="U7" s="15" t="s">
        <v>16</v>
      </c>
      <c r="V7" s="15"/>
      <c r="W7" s="15" t="s">
        <v>4</v>
      </c>
      <c r="X7" s="14"/>
      <c r="Z7" s="36" t="s">
        <v>18</v>
      </c>
      <c r="AA7" s="36" t="s">
        <v>19</v>
      </c>
      <c r="AB7" s="36" t="s">
        <v>20</v>
      </c>
      <c r="AD7" s="75"/>
      <c r="AE7" s="75"/>
      <c r="AF7" s="75"/>
      <c r="AG7" s="12"/>
      <c r="AH7" s="15" t="s">
        <v>3</v>
      </c>
      <c r="AI7" s="15" t="s">
        <v>22</v>
      </c>
      <c r="AJ7" s="14"/>
      <c r="AK7" s="12"/>
      <c r="AL7" s="15" t="s">
        <v>3</v>
      </c>
      <c r="AM7" s="15" t="s">
        <v>22</v>
      </c>
      <c r="AN7" s="14"/>
      <c r="AO7" s="12"/>
      <c r="AP7" s="15" t="s">
        <v>3</v>
      </c>
      <c r="AQ7" s="15" t="s">
        <v>22</v>
      </c>
      <c r="AR7" s="14"/>
      <c r="AS7" s="47"/>
      <c r="AT7" s="36"/>
      <c r="AU7" s="36"/>
    </row>
    <row r="8" spans="3:47" s="7" customFormat="1" ht="13" x14ac:dyDescent="0.15">
      <c r="C8" s="6"/>
      <c r="D8" s="31">
        <v>10</v>
      </c>
      <c r="E8" s="8">
        <v>2</v>
      </c>
      <c r="F8" s="8">
        <v>2</v>
      </c>
      <c r="G8" s="6"/>
      <c r="H8" s="9"/>
      <c r="I8" s="9"/>
      <c r="J8" s="38" t="e">
        <f>(I8-H8)/H8</f>
        <v>#DIV/0!</v>
      </c>
      <c r="K8" s="9"/>
      <c r="L8" s="38" t="e">
        <f>(K8-H8)/H8</f>
        <v>#DIV/0!</v>
      </c>
      <c r="M8" s="6"/>
      <c r="N8" s="9"/>
      <c r="O8" s="9"/>
      <c r="P8" s="38" t="e">
        <f>(O8-N8)/N8</f>
        <v>#DIV/0!</v>
      </c>
      <c r="Q8" s="9"/>
      <c r="R8" s="38" t="e">
        <f>(Q8-N8)/N8</f>
        <v>#DIV/0!</v>
      </c>
      <c r="S8" s="6"/>
      <c r="T8" s="9"/>
      <c r="U8" s="9"/>
      <c r="V8" s="38" t="e">
        <f>(U8-T8)/T8</f>
        <v>#DIV/0!</v>
      </c>
      <c r="W8" s="9"/>
      <c r="X8" s="38" t="e">
        <f>(W8-T8)/T8</f>
        <v>#DIV/0!</v>
      </c>
      <c r="Y8" s="17"/>
      <c r="Z8" s="41" t="e">
        <f>(I8-K8)/K8</f>
        <v>#DIV/0!</v>
      </c>
      <c r="AA8" s="41" t="e">
        <f>(O8-Q8)/Q8</f>
        <v>#DIV/0!</v>
      </c>
      <c r="AB8" s="41" t="e">
        <f>(U8-W8)/W8</f>
        <v>#DIV/0!</v>
      </c>
      <c r="AC8" s="17"/>
      <c r="AD8" s="71">
        <v>10</v>
      </c>
      <c r="AE8" s="8">
        <v>2</v>
      </c>
      <c r="AF8" s="8">
        <v>2</v>
      </c>
      <c r="AG8" s="8"/>
      <c r="AH8" s="52">
        <v>35.185986806000003</v>
      </c>
      <c r="AI8" s="52">
        <v>35.185986806418953</v>
      </c>
      <c r="AJ8" s="56">
        <f>(AI8-AH8)/AH8</f>
        <v>1.1906734637535583E-11</v>
      </c>
      <c r="AK8" s="8"/>
      <c r="AL8" s="9">
        <v>35.473281590999996</v>
      </c>
      <c r="AM8" s="9">
        <v>35.473281590962273</v>
      </c>
      <c r="AN8" s="38">
        <f>(AM8-AL8)/AL8</f>
        <v>-1.0634120146097346E-12</v>
      </c>
      <c r="AO8" s="8"/>
      <c r="AP8" s="9">
        <v>33.029025995999994</v>
      </c>
      <c r="AQ8" s="9">
        <v>33.029025994237649</v>
      </c>
      <c r="AR8" s="38">
        <f>(AQ8-AP8)/AP8</f>
        <v>-5.3357460097808864E-11</v>
      </c>
      <c r="AS8" s="50"/>
      <c r="AT8" s="38">
        <f>(AH8-AP8)/AP8</f>
        <v>6.530500809382718E-2</v>
      </c>
      <c r="AU8" s="38">
        <f>(AL8-AP8)/AP8</f>
        <v>7.4003259899217577E-2</v>
      </c>
    </row>
    <row r="9" spans="3:47" s="7" customFormat="1" ht="13" x14ac:dyDescent="0.15">
      <c r="C9" s="6"/>
      <c r="D9" s="32">
        <v>20</v>
      </c>
      <c r="E9" s="6">
        <v>2</v>
      </c>
      <c r="F9" s="6">
        <v>2</v>
      </c>
      <c r="G9" s="6"/>
      <c r="H9" s="10"/>
      <c r="I9" s="10"/>
      <c r="J9" s="39" t="e">
        <f>(I9-H9)/H9</f>
        <v>#DIV/0!</v>
      </c>
      <c r="K9" s="10"/>
      <c r="L9" s="39" t="e">
        <f>(K9-H9)/H9</f>
        <v>#DIV/0!</v>
      </c>
      <c r="M9" s="6"/>
      <c r="N9" s="10"/>
      <c r="O9" s="10"/>
      <c r="P9" s="39" t="e">
        <f>(O9-N9)/N9</f>
        <v>#DIV/0!</v>
      </c>
      <c r="Q9" s="10"/>
      <c r="R9" s="39" t="e">
        <f>(Q9-N9)/N9</f>
        <v>#DIV/0!</v>
      </c>
      <c r="S9" s="6"/>
      <c r="T9" s="10"/>
      <c r="U9" s="10"/>
      <c r="V9" s="39" t="e">
        <f>(U9-T9)/T9</f>
        <v>#DIV/0!</v>
      </c>
      <c r="W9" s="10"/>
      <c r="X9" s="39" t="e">
        <f>(W9-T9)/T9</f>
        <v>#DIV/0!</v>
      </c>
      <c r="Y9" s="17"/>
      <c r="Z9" s="42" t="e">
        <f>(I9-K9)/K9</f>
        <v>#DIV/0!</v>
      </c>
      <c r="AA9" s="42" t="e">
        <f>(O9-Q9)/Q9</f>
        <v>#DIV/0!</v>
      </c>
      <c r="AB9" s="42" t="e">
        <f>(U9-W9)/W9</f>
        <v>#DIV/0!</v>
      </c>
      <c r="AC9" s="17"/>
      <c r="AD9" s="72"/>
      <c r="AE9" s="6">
        <v>2</v>
      </c>
      <c r="AF9" s="6">
        <v>3</v>
      </c>
      <c r="AG9" s="6"/>
      <c r="AH9" s="54">
        <v>39.883177981999999</v>
      </c>
      <c r="AI9" s="54">
        <v>40.131584709750967</v>
      </c>
      <c r="AJ9" s="57">
        <f t="shared" ref="AJ9:AJ19" si="0">(AI9-AH9)/AH9</f>
        <v>6.228358428786154E-3</v>
      </c>
      <c r="AK9" s="6"/>
      <c r="AL9" s="10">
        <v>41.795486224999998</v>
      </c>
      <c r="AM9" s="10">
        <v>41.840148967640729</v>
      </c>
      <c r="AN9" s="48">
        <f t="shared" ref="AN9:AN14" si="1">(AM9-AL9)/AL9</f>
        <v>1.0686020590906951E-3</v>
      </c>
      <c r="AO9" s="6"/>
      <c r="AP9" s="10">
        <v>37.378092651999992</v>
      </c>
      <c r="AQ9" s="10">
        <v>37.378092652265416</v>
      </c>
      <c r="AR9" s="48">
        <f t="shared" ref="AR9:AR19" si="2">(AQ9-AP9)/AP9</f>
        <v>7.1010375359263656E-12</v>
      </c>
      <c r="AS9" s="49"/>
      <c r="AT9" s="48">
        <f t="shared" ref="AT9:AT19" si="3">(AH9-AP9)/AP9</f>
        <v>6.7020148762619303E-2</v>
      </c>
      <c r="AU9" s="48">
        <f t="shared" ref="AU9:AU19" si="4">(AL9-AP9)/AP9</f>
        <v>0.11818135328966936</v>
      </c>
    </row>
    <row r="10" spans="3:47" s="7" customFormat="1" ht="13" x14ac:dyDescent="0.15">
      <c r="C10" s="6"/>
      <c r="D10" s="33">
        <v>30</v>
      </c>
      <c r="E10" s="12">
        <v>2</v>
      </c>
      <c r="F10" s="12">
        <v>2</v>
      </c>
      <c r="G10" s="12"/>
      <c r="H10" s="13"/>
      <c r="I10" s="13"/>
      <c r="J10" s="40" t="e">
        <f>(I10-H10)/H10</f>
        <v>#DIV/0!</v>
      </c>
      <c r="K10" s="13"/>
      <c r="L10" s="40" t="e">
        <f>(K10-H10)/H10</f>
        <v>#DIV/0!</v>
      </c>
      <c r="M10" s="12"/>
      <c r="N10" s="13"/>
      <c r="O10" s="13"/>
      <c r="P10" s="40" t="e">
        <f>(O10-N10)/N10</f>
        <v>#DIV/0!</v>
      </c>
      <c r="Q10" s="13"/>
      <c r="R10" s="40" t="e">
        <f>(Q10-N10)/N10</f>
        <v>#DIV/0!</v>
      </c>
      <c r="S10" s="12"/>
      <c r="T10" s="13"/>
      <c r="U10" s="13"/>
      <c r="V10" s="40" t="e">
        <f>(U10-T10)/T10</f>
        <v>#DIV/0!</v>
      </c>
      <c r="W10" s="13"/>
      <c r="X10" s="40" t="e">
        <f>(W10-T10)/T10</f>
        <v>#DIV/0!</v>
      </c>
      <c r="Y10" s="37"/>
      <c r="Z10" s="43" t="e">
        <f>(I10-K10)/K10</f>
        <v>#DIV/0!</v>
      </c>
      <c r="AA10" s="43" t="e">
        <f>(O10-Q10)/Q10</f>
        <v>#DIV/0!</v>
      </c>
      <c r="AB10" s="43" t="e">
        <f>(U10-W10)/W10</f>
        <v>#DIV/0!</v>
      </c>
      <c r="AC10" s="17"/>
      <c r="AD10" s="72"/>
      <c r="AE10" s="6">
        <v>3</v>
      </c>
      <c r="AF10" s="6">
        <v>2</v>
      </c>
      <c r="AG10" s="6"/>
      <c r="AH10" s="54">
        <v>32.491010963000001</v>
      </c>
      <c r="AI10" s="54">
        <v>32.491010963062863</v>
      </c>
      <c r="AJ10" s="57">
        <f t="shared" si="0"/>
        <v>1.9347417630150537E-12</v>
      </c>
      <c r="AK10" s="6"/>
      <c r="AL10" s="10">
        <v>32.928969823999999</v>
      </c>
      <c r="AM10" s="10">
        <v>32.928969824678887</v>
      </c>
      <c r="AN10" s="48">
        <f t="shared" si="1"/>
        <v>2.0616741444100264E-11</v>
      </c>
      <c r="AO10" s="6"/>
      <c r="AP10" s="10">
        <v>30.528641237999999</v>
      </c>
      <c r="AQ10" s="10">
        <v>30.528641237674449</v>
      </c>
      <c r="AR10" s="48">
        <f t="shared" si="2"/>
        <v>-1.0663735824507746E-11</v>
      </c>
      <c r="AS10" s="49"/>
      <c r="AT10" s="48">
        <f t="shared" si="3"/>
        <v>6.427962874932594E-2</v>
      </c>
      <c r="AU10" s="48">
        <f t="shared" si="4"/>
        <v>7.862546411047712E-2</v>
      </c>
    </row>
    <row r="11" spans="3:47" s="7" customFormat="1" ht="13" x14ac:dyDescent="0.15">
      <c r="C11" s="6"/>
      <c r="D11" s="32"/>
      <c r="E11" s="6"/>
      <c r="F11" s="6"/>
      <c r="G11" s="6"/>
      <c r="H11" s="10"/>
      <c r="I11" s="10"/>
      <c r="J11" s="11"/>
      <c r="K11" s="21"/>
      <c r="L11" s="34"/>
      <c r="M11" s="6"/>
      <c r="N11" s="10"/>
      <c r="O11" s="10"/>
      <c r="P11" s="11"/>
      <c r="Q11" s="10"/>
      <c r="R11" s="10"/>
      <c r="S11" s="6"/>
      <c r="T11" s="10"/>
      <c r="U11" s="10"/>
      <c r="V11" s="11"/>
      <c r="W11" s="10"/>
      <c r="X11" s="10"/>
      <c r="Y11" s="17"/>
      <c r="Z11" s="17"/>
      <c r="AA11" s="17"/>
      <c r="AB11" s="17"/>
      <c r="AC11" s="17"/>
      <c r="AD11" s="73"/>
      <c r="AE11" s="12">
        <v>3</v>
      </c>
      <c r="AF11" s="12">
        <v>3</v>
      </c>
      <c r="AG11" s="12"/>
      <c r="AH11" s="55">
        <v>38.021317278000005</v>
      </c>
      <c r="AI11" s="55">
        <v>38.053485185900435</v>
      </c>
      <c r="AJ11" s="58">
        <f t="shared" si="0"/>
        <v>8.4604927454848765E-4</v>
      </c>
      <c r="AK11" s="12"/>
      <c r="AL11" s="13">
        <v>39.197607480999999</v>
      </c>
      <c r="AM11" s="13">
        <v>39.480141932962241</v>
      </c>
      <c r="AN11" s="40">
        <f t="shared" si="1"/>
        <v>7.2079514572207758E-3</v>
      </c>
      <c r="AO11" s="12"/>
      <c r="AP11" s="13">
        <v>37.416102807000001</v>
      </c>
      <c r="AQ11" s="13">
        <v>37.448200994432334</v>
      </c>
      <c r="AR11" s="40">
        <f t="shared" si="2"/>
        <v>8.5787094390619382E-4</v>
      </c>
      <c r="AS11" s="37"/>
      <c r="AT11" s="40">
        <f t="shared" si="3"/>
        <v>1.617524075454424E-2</v>
      </c>
      <c r="AU11" s="40">
        <f t="shared" si="4"/>
        <v>4.7613314598513021E-2</v>
      </c>
    </row>
    <row r="12" spans="3:47" s="7" customFormat="1" ht="13" x14ac:dyDescent="0.15">
      <c r="C12" s="6"/>
      <c r="D12" s="32"/>
      <c r="E12" s="6"/>
      <c r="F12" s="6"/>
      <c r="G12" s="6"/>
      <c r="H12" s="10"/>
      <c r="I12" s="10"/>
      <c r="J12" s="11"/>
      <c r="K12" s="21"/>
      <c r="L12" s="34"/>
      <c r="M12" s="6"/>
      <c r="N12" s="10"/>
      <c r="O12" s="10"/>
      <c r="P12" s="11"/>
      <c r="Q12" s="10"/>
      <c r="R12" s="10"/>
      <c r="S12" s="6"/>
      <c r="T12" s="10"/>
      <c r="U12" s="10"/>
      <c r="V12" s="11"/>
      <c r="W12" s="10"/>
      <c r="X12" s="10"/>
      <c r="Y12" s="17"/>
      <c r="Z12" s="17"/>
      <c r="AA12" s="17"/>
      <c r="AB12" s="17"/>
      <c r="AC12" s="17"/>
      <c r="AD12" s="71">
        <v>20</v>
      </c>
      <c r="AE12" s="8">
        <v>2</v>
      </c>
      <c r="AF12" s="8">
        <v>2</v>
      </c>
      <c r="AG12" s="8"/>
      <c r="AH12" s="52">
        <v>67.954318063000002</v>
      </c>
      <c r="AI12" s="52">
        <v>67.954318062413037</v>
      </c>
      <c r="AJ12" s="56">
        <f t="shared" si="0"/>
        <v>-8.6376430503287818E-12</v>
      </c>
      <c r="AK12" s="8"/>
      <c r="AL12" s="9">
        <v>66.41012957800001</v>
      </c>
      <c r="AM12" s="9">
        <v>66.410129576780776</v>
      </c>
      <c r="AN12" s="38">
        <f t="shared" si="1"/>
        <v>-1.8359164466219812E-11</v>
      </c>
      <c r="AO12" s="8"/>
      <c r="AP12" s="9">
        <v>57.683299791000003</v>
      </c>
      <c r="AQ12" s="9">
        <v>57.683299792592138</v>
      </c>
      <c r="AR12" s="38">
        <f t="shared" si="2"/>
        <v>2.7601306271804875E-11</v>
      </c>
      <c r="AS12" s="50"/>
      <c r="AT12" s="38">
        <f t="shared" si="3"/>
        <v>0.17805878493800259</v>
      </c>
      <c r="AU12" s="38">
        <f t="shared" si="4"/>
        <v>0.15128867139396218</v>
      </c>
    </row>
    <row r="13" spans="3:47" x14ac:dyDescent="0.2">
      <c r="AA13" s="30"/>
      <c r="AB13" s="30"/>
      <c r="AC13" s="30"/>
      <c r="AD13" s="72"/>
      <c r="AE13" s="6">
        <v>2</v>
      </c>
      <c r="AF13" s="6">
        <v>3</v>
      </c>
      <c r="AG13" s="6"/>
      <c r="AH13" s="54">
        <v>73.541548970999997</v>
      </c>
      <c r="AI13" s="54">
        <v>73.541548971312494</v>
      </c>
      <c r="AJ13" s="57">
        <f t="shared" si="0"/>
        <v>4.249253647220844E-12</v>
      </c>
      <c r="AK13" s="6"/>
      <c r="AL13" s="10">
        <v>72.469253850999991</v>
      </c>
      <c r="AM13" s="10">
        <v>72.469303894968846</v>
      </c>
      <c r="AN13" s="48">
        <f t="shared" si="1"/>
        <v>6.9055449305438544E-7</v>
      </c>
      <c r="AO13" s="6"/>
      <c r="AP13" s="10">
        <v>65.6672583</v>
      </c>
      <c r="AQ13" s="10">
        <v>65.667258302215345</v>
      </c>
      <c r="AR13" s="48">
        <f>(AQ13-AP13)/AP13</f>
        <v>3.3735904463785957E-11</v>
      </c>
      <c r="AS13" s="49"/>
      <c r="AT13" s="48">
        <f t="shared" si="3"/>
        <v>0.11991197553926196</v>
      </c>
      <c r="AU13" s="48">
        <f t="shared" si="4"/>
        <v>0.10358275535008883</v>
      </c>
    </row>
    <row r="14" spans="3:47" x14ac:dyDescent="0.2">
      <c r="AD14" s="72"/>
      <c r="AE14" s="6">
        <v>3</v>
      </c>
      <c r="AF14" s="6">
        <v>2</v>
      </c>
      <c r="AG14" s="6"/>
      <c r="AH14" s="54">
        <v>60.96795215800001</v>
      </c>
      <c r="AI14" s="54">
        <v>60.967952159611116</v>
      </c>
      <c r="AJ14" s="57">
        <f t="shared" si="0"/>
        <v>2.642545564215937E-11</v>
      </c>
      <c r="AK14" s="6"/>
      <c r="AL14" s="10">
        <v>62.047654316000013</v>
      </c>
      <c r="AM14" s="10">
        <v>62.081023147375419</v>
      </c>
      <c r="AN14" s="48">
        <f t="shared" si="1"/>
        <v>5.3779359982671494E-4</v>
      </c>
      <c r="AO14" s="6"/>
      <c r="AP14" s="10">
        <v>51.475691491999996</v>
      </c>
      <c r="AQ14" s="10">
        <v>51.475733547674821</v>
      </c>
      <c r="AR14" s="48">
        <f t="shared" si="2"/>
        <v>8.1700067753005426E-7</v>
      </c>
      <c r="AS14" s="49"/>
      <c r="AT14" s="48">
        <f t="shared" si="3"/>
        <v>0.18440278101898325</v>
      </c>
      <c r="AU14" s="48">
        <f t="shared" si="4"/>
        <v>0.205377771868165</v>
      </c>
    </row>
    <row r="15" spans="3:47" x14ac:dyDescent="0.2">
      <c r="AD15" s="73"/>
      <c r="AE15" s="12">
        <v>3</v>
      </c>
      <c r="AF15" s="12">
        <v>3</v>
      </c>
      <c r="AG15" s="12"/>
      <c r="AH15" s="55">
        <v>65.655916399999981</v>
      </c>
      <c r="AI15" s="55">
        <v>65.655923464022223</v>
      </c>
      <c r="AJ15" s="58">
        <f>(AI15-AH15)/AH15</f>
        <v>1.0759155654433252E-7</v>
      </c>
      <c r="AK15" s="12"/>
      <c r="AL15" s="13">
        <v>69.375066950999994</v>
      </c>
      <c r="AM15" s="13">
        <v>69.375066952546334</v>
      </c>
      <c r="AN15" s="40">
        <f>(AM15-AL15)/AL15</f>
        <v>2.2289563281750481E-11</v>
      </c>
      <c r="AO15" s="12"/>
      <c r="AP15" s="13">
        <v>58.762989440999995</v>
      </c>
      <c r="AQ15" s="13">
        <v>58.762989442068466</v>
      </c>
      <c r="AR15" s="40">
        <f>(AQ15-AP15)/AP15</f>
        <v>1.8182729361389523E-11</v>
      </c>
      <c r="AS15" s="37"/>
      <c r="AT15" s="40">
        <f t="shared" si="3"/>
        <v>0.1173004815543075</v>
      </c>
      <c r="AU15" s="40">
        <f t="shared" si="4"/>
        <v>0.18059117840924141</v>
      </c>
    </row>
    <row r="16" spans="3:47" x14ac:dyDescent="0.2">
      <c r="AD16" s="71">
        <v>30</v>
      </c>
      <c r="AE16" s="8">
        <v>2</v>
      </c>
      <c r="AF16" s="8">
        <v>2</v>
      </c>
      <c r="AG16" s="8"/>
      <c r="AH16" s="52">
        <v>101.89785993100001</v>
      </c>
      <c r="AI16" s="52">
        <v>101.89787085269313</v>
      </c>
      <c r="AJ16" s="56">
        <f t="shared" si="0"/>
        <v>1.0718275266319717E-7</v>
      </c>
      <c r="AK16" s="8"/>
      <c r="AL16" s="9">
        <v>101.057229272</v>
      </c>
      <c r="AM16" s="9">
        <v>101.05722927183901</v>
      </c>
      <c r="AN16" s="38">
        <f>(AM16-AL16)/AL16</f>
        <v>-1.5931049587278803E-12</v>
      </c>
      <c r="AO16" s="8"/>
      <c r="AP16" s="9">
        <v>85.971006441</v>
      </c>
      <c r="AQ16" s="9">
        <v>85.971006440996604</v>
      </c>
      <c r="AR16" s="38">
        <f t="shared" si="2"/>
        <v>-3.9506275633334001E-14</v>
      </c>
      <c r="AS16" s="50"/>
      <c r="AT16" s="38">
        <f>(AH16-AP16)/AP16</f>
        <v>0.18525842780414883</v>
      </c>
      <c r="AU16" s="38">
        <f t="shared" si="4"/>
        <v>0.17548035617511751</v>
      </c>
    </row>
    <row r="17" spans="30:47" x14ac:dyDescent="0.2">
      <c r="AD17" s="72"/>
      <c r="AE17" s="6">
        <v>2</v>
      </c>
      <c r="AF17" s="6">
        <v>3</v>
      </c>
      <c r="AG17" s="6"/>
      <c r="AH17" s="54">
        <v>110.49537374799998</v>
      </c>
      <c r="AI17" s="54">
        <v>110.622699724387</v>
      </c>
      <c r="AJ17" s="57">
        <f t="shared" si="0"/>
        <v>1.1523195231450294E-3</v>
      </c>
      <c r="AK17" s="6"/>
      <c r="AL17" s="10">
        <v>107.08098135900001</v>
      </c>
      <c r="AM17" s="10">
        <v>107.08098135968696</v>
      </c>
      <c r="AN17" s="48">
        <f>(AM17-AL17)/AL17</f>
        <v>6.4152635530093363E-12</v>
      </c>
      <c r="AO17" s="6"/>
      <c r="AP17" s="10">
        <v>97.959934508999993</v>
      </c>
      <c r="AQ17" s="10">
        <v>97.959934509889848</v>
      </c>
      <c r="AR17" s="48">
        <f t="shared" si="2"/>
        <v>9.0838699006558061E-12</v>
      </c>
      <c r="AS17" s="49"/>
      <c r="AT17" s="48">
        <f t="shared" si="3"/>
        <v>0.12796496140826125</v>
      </c>
      <c r="AU17" s="48">
        <f t="shared" si="4"/>
        <v>9.3109972926350051E-2</v>
      </c>
    </row>
    <row r="18" spans="30:47" x14ac:dyDescent="0.2">
      <c r="AD18" s="72"/>
      <c r="AE18" s="6">
        <v>3</v>
      </c>
      <c r="AF18" s="6">
        <v>2</v>
      </c>
      <c r="AG18" s="6"/>
      <c r="AH18" s="54">
        <v>91.522021995000003</v>
      </c>
      <c r="AI18" s="54">
        <v>91.522021995569332</v>
      </c>
      <c r="AJ18" s="57">
        <f t="shared" si="0"/>
        <v>6.220682848180969E-12</v>
      </c>
      <c r="AK18" s="6"/>
      <c r="AL18" s="10">
        <v>92.969045888999986</v>
      </c>
      <c r="AM18" s="10">
        <v>93.110224427316169</v>
      </c>
      <c r="AN18" s="48">
        <f>(AM18-AL18)/AL18</f>
        <v>1.5185542345432081E-3</v>
      </c>
      <c r="AO18" s="6"/>
      <c r="AP18" s="10">
        <v>75.151318806000006</v>
      </c>
      <c r="AQ18" s="10">
        <v>75.151332633435445</v>
      </c>
      <c r="AR18" s="48">
        <f t="shared" si="2"/>
        <v>1.83994581307672E-7</v>
      </c>
      <c r="AS18" s="49"/>
      <c r="AT18" s="48">
        <f t="shared" si="3"/>
        <v>0.21783653898689767</v>
      </c>
      <c r="AU18" s="48">
        <f t="shared" si="4"/>
        <v>0.23709134272141916</v>
      </c>
    </row>
    <row r="19" spans="30:47" x14ac:dyDescent="0.2">
      <c r="AD19" s="73"/>
      <c r="AE19" s="12">
        <v>3</v>
      </c>
      <c r="AF19" s="12">
        <v>3</v>
      </c>
      <c r="AG19" s="12"/>
      <c r="AH19" s="55">
        <v>89.000461481000002</v>
      </c>
      <c r="AI19" s="55">
        <v>89.000461480240091</v>
      </c>
      <c r="AJ19" s="58">
        <f t="shared" si="0"/>
        <v>-8.5382843234238666E-12</v>
      </c>
      <c r="AK19" s="12"/>
      <c r="AL19" s="13">
        <v>91.338145716</v>
      </c>
      <c r="AM19" s="13">
        <v>91.596340582561297</v>
      </c>
      <c r="AN19" s="40">
        <f>(AM19-AL19)/AL19</f>
        <v>2.826802148623739E-3</v>
      </c>
      <c r="AO19" s="12"/>
      <c r="AP19" s="13">
        <v>74.673920634999988</v>
      </c>
      <c r="AQ19" s="13">
        <v>74.673920635833625</v>
      </c>
      <c r="AR19" s="40">
        <f t="shared" si="2"/>
        <v>1.1163698814984286E-11</v>
      </c>
      <c r="AS19" s="37"/>
      <c r="AT19" s="40">
        <f t="shared" si="3"/>
        <v>0.19185467595878586</v>
      </c>
      <c r="AU19" s="40">
        <f t="shared" si="4"/>
        <v>0.22315990561756333</v>
      </c>
    </row>
    <row r="21" spans="30:47" x14ac:dyDescent="0.2">
      <c r="AH21" s="53">
        <v>4.3485976744339663</v>
      </c>
      <c r="AI21" s="53">
        <v>4.3485976744554584</v>
      </c>
      <c r="AL21" s="51">
        <v>2.6031695055351509</v>
      </c>
      <c r="AM21" s="51">
        <v>2.6031695055231525</v>
      </c>
      <c r="AN21" s="51"/>
      <c r="AO21" s="51"/>
      <c r="AP21" s="51">
        <v>3.7207903125918689</v>
      </c>
      <c r="AQ21" s="51">
        <v>3.7207903122672956</v>
      </c>
      <c r="AR21" s="51"/>
      <c r="AS21" s="51"/>
      <c r="AT21" s="51"/>
    </row>
    <row r="22" spans="30:47" x14ac:dyDescent="0.2">
      <c r="AH22" s="53">
        <v>5.4880647989229221</v>
      </c>
      <c r="AI22" s="53">
        <v>5.8014656359604864</v>
      </c>
      <c r="AL22" s="51">
        <v>2.6067349859164217</v>
      </c>
      <c r="AM22" s="51">
        <v>2.6885200894664196</v>
      </c>
      <c r="AN22" s="51"/>
      <c r="AO22" s="51"/>
      <c r="AP22" s="51">
        <v>4.5143829869373437</v>
      </c>
      <c r="AQ22" s="51">
        <v>4.5143829869658862</v>
      </c>
      <c r="AR22" s="51"/>
      <c r="AS22" s="51"/>
      <c r="AT22" s="51"/>
    </row>
    <row r="23" spans="30:47" x14ac:dyDescent="0.2">
      <c r="AH23" s="53">
        <v>3.8225529060951846</v>
      </c>
      <c r="AI23" s="53">
        <v>3.8225529058611665</v>
      </c>
      <c r="AL23" s="51">
        <v>4.3109018314828456</v>
      </c>
      <c r="AM23" s="51">
        <v>4.3109018331035065</v>
      </c>
      <c r="AN23" s="51"/>
      <c r="AO23" s="51"/>
      <c r="AP23" s="51">
        <v>3.4999005782653936</v>
      </c>
      <c r="AQ23" s="51">
        <v>3.4999005794492248</v>
      </c>
      <c r="AR23" s="51"/>
      <c r="AS23" s="51"/>
      <c r="AT23" s="51"/>
    </row>
    <row r="24" spans="30:47" x14ac:dyDescent="0.2">
      <c r="AH24" s="53">
        <v>2.8259250640754265</v>
      </c>
      <c r="AI24" s="53">
        <v>2.9000967794926886</v>
      </c>
      <c r="AL24" s="51">
        <v>3.0245401449233187</v>
      </c>
      <c r="AM24" s="51">
        <v>3.2779653960628123</v>
      </c>
      <c r="AN24" s="51"/>
      <c r="AO24" s="51"/>
      <c r="AP24" s="51">
        <v>3.2264856870684882</v>
      </c>
      <c r="AQ24" s="51">
        <v>3.2123271116464069</v>
      </c>
      <c r="AR24" s="51"/>
      <c r="AS24" s="51"/>
      <c r="AT24" s="51"/>
    </row>
    <row r="25" spans="30:47" x14ac:dyDescent="0.2">
      <c r="AH25" s="53">
        <v>9.270608960923008</v>
      </c>
      <c r="AI25" s="53">
        <v>9.270608963227037</v>
      </c>
      <c r="AL25" s="51">
        <v>7.5563611178905896</v>
      </c>
      <c r="AM25" s="51">
        <v>7.5563611173306171</v>
      </c>
      <c r="AN25" s="51"/>
      <c r="AO25" s="51"/>
      <c r="AP25" s="51">
        <v>7.1023635658833308</v>
      </c>
      <c r="AQ25" s="51">
        <v>7.1023635669574166</v>
      </c>
      <c r="AR25" s="51"/>
      <c r="AS25" s="51"/>
      <c r="AT25" s="51"/>
    </row>
    <row r="26" spans="30:47" x14ac:dyDescent="0.2">
      <c r="AH26" s="53">
        <v>6.5898647026604937</v>
      </c>
      <c r="AI26" s="53">
        <v>6.589864703142867</v>
      </c>
      <c r="AL26" s="51">
        <v>4.1847736615339599</v>
      </c>
      <c r="AM26" s="51">
        <v>4.1848110668973426</v>
      </c>
      <c r="AN26" s="51"/>
      <c r="AO26" s="51"/>
      <c r="AP26" s="51">
        <v>6.2105852060973401</v>
      </c>
      <c r="AQ26" s="51">
        <v>6.2105852053756001</v>
      </c>
      <c r="AR26" s="51"/>
      <c r="AS26" s="51"/>
      <c r="AT26" s="51"/>
    </row>
    <row r="27" spans="30:47" x14ac:dyDescent="0.2">
      <c r="AH27" s="53">
        <v>7.2249638554407474</v>
      </c>
      <c r="AI27" s="53">
        <v>7.2249638540079628</v>
      </c>
      <c r="AL27" s="51">
        <v>6.2186677026906034</v>
      </c>
      <c r="AM27" s="51">
        <v>6.2363369814493854</v>
      </c>
      <c r="AN27" s="51"/>
      <c r="AO27" s="51"/>
      <c r="AP27" s="51">
        <v>6.5515847576638953</v>
      </c>
      <c r="AQ27" s="51">
        <v>6.5515594776244095</v>
      </c>
      <c r="AR27" s="51"/>
      <c r="AS27" s="51"/>
      <c r="AT27" s="51"/>
    </row>
    <row r="28" spans="30:47" x14ac:dyDescent="0.2">
      <c r="AH28" s="53">
        <v>8.3778013464068586</v>
      </c>
      <c r="AI28" s="53">
        <v>8.3778038519245221</v>
      </c>
      <c r="AL28" s="51">
        <v>6.3526987887124715</v>
      </c>
      <c r="AM28" s="51">
        <v>6.3526987890891462</v>
      </c>
      <c r="AN28" s="51"/>
      <c r="AO28" s="51"/>
      <c r="AP28" s="51">
        <v>5.2690838386042298</v>
      </c>
      <c r="AQ28" s="51">
        <v>5.2690838378546534</v>
      </c>
      <c r="AR28" s="51"/>
      <c r="AS28" s="51"/>
      <c r="AT28" s="51"/>
    </row>
    <row r="29" spans="30:47" x14ac:dyDescent="0.2">
      <c r="AH29" s="53">
        <v>12.041484029849549</v>
      </c>
      <c r="AI29" s="53">
        <v>12.041473315012123</v>
      </c>
      <c r="AL29" s="51">
        <v>6.5223444737023648</v>
      </c>
      <c r="AM29" s="51">
        <v>6.5223444732216249</v>
      </c>
      <c r="AN29" s="51"/>
      <c r="AO29" s="51"/>
      <c r="AP29" s="51">
        <v>13.070374610749699</v>
      </c>
      <c r="AQ29" s="51">
        <v>13.070374612170983</v>
      </c>
      <c r="AR29" s="51"/>
      <c r="AS29" s="51"/>
      <c r="AT29" s="51"/>
    </row>
    <row r="30" spans="30:47" x14ac:dyDescent="0.2">
      <c r="AH30" s="53">
        <v>10.190303867626648</v>
      </c>
      <c r="AI30" s="53">
        <v>10.298678648656676</v>
      </c>
      <c r="AL30" s="51">
        <v>5.1760837501765291</v>
      </c>
      <c r="AM30" s="51">
        <v>5.1760837520318024</v>
      </c>
      <c r="AN30" s="51"/>
      <c r="AO30" s="51"/>
      <c r="AP30" s="51">
        <v>10.076567860193947</v>
      </c>
      <c r="AQ30" s="51">
        <v>10.076567858668341</v>
      </c>
      <c r="AR30" s="51"/>
      <c r="AS30" s="51"/>
      <c r="AT30" s="51"/>
    </row>
    <row r="31" spans="30:47" x14ac:dyDescent="0.2">
      <c r="AH31" s="53">
        <v>10.156573996282139</v>
      </c>
      <c r="AI31" s="53">
        <v>10.156573996375702</v>
      </c>
      <c r="AL31" s="51">
        <v>9.2966202524951438</v>
      </c>
      <c r="AM31" s="51">
        <v>9.5286199645947409</v>
      </c>
      <c r="AN31" s="51"/>
      <c r="AO31" s="51"/>
      <c r="AP31" s="51">
        <v>7.5804738969000436</v>
      </c>
      <c r="AQ31" s="51">
        <v>7.5804930750387829</v>
      </c>
      <c r="AR31" s="51"/>
      <c r="AS31" s="51"/>
      <c r="AT31" s="51"/>
    </row>
    <row r="32" spans="30:47" x14ac:dyDescent="0.2">
      <c r="AH32" s="53">
        <v>10.831832431220363</v>
      </c>
      <c r="AI32" s="53">
        <v>10.831832430010291</v>
      </c>
      <c r="AL32" s="51">
        <v>8.3913876495862372</v>
      </c>
      <c r="AM32" s="51">
        <v>8.4753817043168436</v>
      </c>
      <c r="AN32" s="51"/>
      <c r="AO32" s="51"/>
      <c r="AP32" s="51">
        <v>9.8867483289338463</v>
      </c>
      <c r="AQ32" s="51">
        <v>9.8867483288956066</v>
      </c>
      <c r="AR32" s="51"/>
      <c r="AS32" s="51"/>
      <c r="AT32" s="51"/>
    </row>
  </sheetData>
  <mergeCells count="17">
    <mergeCell ref="AP6:AR6"/>
    <mergeCell ref="AT6:AU6"/>
    <mergeCell ref="AD8:AD11"/>
    <mergeCell ref="AD12:AD15"/>
    <mergeCell ref="AD16:AD19"/>
    <mergeCell ref="Z6:AB6"/>
    <mergeCell ref="AD6:AD7"/>
    <mergeCell ref="AE6:AE7"/>
    <mergeCell ref="AF6:AF7"/>
    <mergeCell ref="AH6:AJ6"/>
    <mergeCell ref="AL6:AN6"/>
    <mergeCell ref="D6:D7"/>
    <mergeCell ref="E6:E7"/>
    <mergeCell ref="F6:F7"/>
    <mergeCell ref="H6:L6"/>
    <mergeCell ref="N6:R6"/>
    <mergeCell ref="T6:X6"/>
  </mergeCells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814E-F16B-D147-BDC4-73D4AC739D87}">
  <dimension ref="A5:K33"/>
  <sheetViews>
    <sheetView showGridLines="0" tabSelected="1" zoomScale="120" zoomScaleNormal="120" workbookViewId="0">
      <selection activeCell="M9" sqref="M9"/>
    </sheetView>
  </sheetViews>
  <sheetFormatPr baseColWidth="10" defaultRowHeight="16" x14ac:dyDescent="0.2"/>
  <cols>
    <col min="1" max="4" width="10.83203125" style="1"/>
    <col min="5" max="5" width="14.1640625" style="1" bestFit="1" customWidth="1"/>
    <col min="6" max="6" width="13.83203125" style="1" bestFit="1" customWidth="1"/>
    <col min="7" max="7" width="14.1640625" style="1" bestFit="1" customWidth="1"/>
    <col min="8" max="16384" width="10.83203125" style="1"/>
  </cols>
  <sheetData>
    <row r="5" spans="1:9" s="7" customFormat="1" ht="13" x14ac:dyDescent="0.15">
      <c r="A5" s="17"/>
    </row>
    <row r="6" spans="1:9" x14ac:dyDescent="0.2">
      <c r="A6" s="30"/>
    </row>
    <row r="7" spans="1:9" ht="26" customHeight="1" x14ac:dyDescent="0.2">
      <c r="B7" s="74" t="s">
        <v>5</v>
      </c>
      <c r="C7" s="74" t="s">
        <v>6</v>
      </c>
      <c r="D7" s="74" t="s">
        <v>7</v>
      </c>
      <c r="E7" s="74" t="s">
        <v>14</v>
      </c>
      <c r="F7" s="74" t="s">
        <v>15</v>
      </c>
      <c r="G7" s="74" t="s">
        <v>13</v>
      </c>
      <c r="H7" s="70" t="s">
        <v>21</v>
      </c>
      <c r="I7" s="70"/>
    </row>
    <row r="8" spans="1:9" ht="26" customHeight="1" x14ac:dyDescent="0.2">
      <c r="B8" s="75"/>
      <c r="C8" s="75"/>
      <c r="D8" s="75"/>
      <c r="E8" s="75"/>
      <c r="F8" s="75"/>
      <c r="G8" s="75"/>
      <c r="H8" s="36"/>
      <c r="I8" s="36"/>
    </row>
    <row r="9" spans="1:9" s="7" customFormat="1" ht="25" customHeight="1" x14ac:dyDescent="0.15">
      <c r="B9" s="71">
        <v>100</v>
      </c>
      <c r="C9" s="8">
        <v>5</v>
      </c>
      <c r="D9" s="8">
        <v>5</v>
      </c>
      <c r="E9" s="9">
        <v>1178.9948911818747</v>
      </c>
      <c r="F9" s="9">
        <v>1125.1333252052418</v>
      </c>
      <c r="G9" s="9">
        <v>886.8965966259999</v>
      </c>
      <c r="H9" s="38">
        <f>(E9-G9)/G9</f>
        <v>0.32934876023551957</v>
      </c>
      <c r="I9" s="38">
        <f>(F9-G9)/G9</f>
        <v>0.26861838176576658</v>
      </c>
    </row>
    <row r="10" spans="1:9" s="7" customFormat="1" ht="13" x14ac:dyDescent="0.15">
      <c r="A10" s="17"/>
      <c r="B10" s="72"/>
      <c r="C10" s="6">
        <v>5</v>
      </c>
      <c r="D10" s="6">
        <v>10</v>
      </c>
      <c r="E10" s="10">
        <v>1302.3985193450844</v>
      </c>
      <c r="F10" s="10">
        <v>1258.1417414142572</v>
      </c>
      <c r="G10" s="10">
        <v>1066.8319336034399</v>
      </c>
      <c r="H10" s="48">
        <f t="shared" ref="H10:H20" si="0">(E10-G10)/G10</f>
        <v>0.22080946241079502</v>
      </c>
      <c r="I10" s="48">
        <f t="shared" ref="I10:I20" si="1">(F10-G10)/G10</f>
        <v>0.17932516058516351</v>
      </c>
    </row>
    <row r="11" spans="1:9" s="7" customFormat="1" ht="13" x14ac:dyDescent="0.15">
      <c r="A11" s="17"/>
      <c r="B11" s="72"/>
      <c r="C11" s="6">
        <v>10</v>
      </c>
      <c r="D11" s="6">
        <v>5</v>
      </c>
      <c r="E11" s="10">
        <v>906.18636762807853</v>
      </c>
      <c r="F11" s="10">
        <v>904.87037550296429</v>
      </c>
      <c r="G11" s="10">
        <v>677.19516998772633</v>
      </c>
      <c r="H11" s="48">
        <f t="shared" si="0"/>
        <v>0.33814653114626098</v>
      </c>
      <c r="I11" s="48">
        <f t="shared" si="1"/>
        <v>0.33620323299022409</v>
      </c>
    </row>
    <row r="12" spans="1:9" s="7" customFormat="1" ht="13" x14ac:dyDescent="0.15">
      <c r="A12" s="17"/>
      <c r="B12" s="73"/>
      <c r="C12" s="12">
        <v>10</v>
      </c>
      <c r="D12" s="12">
        <v>10</v>
      </c>
      <c r="E12" s="13">
        <v>911.59900746935307</v>
      </c>
      <c r="F12" s="13">
        <v>968.23676626322856</v>
      </c>
      <c r="G12" s="13">
        <v>721.75356242655721</v>
      </c>
      <c r="H12" s="40">
        <f t="shared" si="0"/>
        <v>0.26303360998251224</v>
      </c>
      <c r="I12" s="40">
        <f t="shared" si="1"/>
        <v>0.34150604398541157</v>
      </c>
    </row>
    <row r="13" spans="1:9" x14ac:dyDescent="0.2">
      <c r="B13" s="71">
        <v>150</v>
      </c>
      <c r="C13" s="8">
        <v>5</v>
      </c>
      <c r="D13" s="8">
        <v>5</v>
      </c>
      <c r="E13" s="9">
        <v>1978.4909439747319</v>
      </c>
      <c r="F13" s="9">
        <v>1893.4702154198553</v>
      </c>
      <c r="G13" s="9">
        <v>1582.423351681349</v>
      </c>
      <c r="H13" s="38">
        <f t="shared" si="0"/>
        <v>0.2502918020468764</v>
      </c>
      <c r="I13" s="38">
        <f t="shared" si="1"/>
        <v>0.1965636208591173</v>
      </c>
    </row>
    <row r="14" spans="1:9" x14ac:dyDescent="0.2">
      <c r="B14" s="72"/>
      <c r="C14" s="6">
        <v>5</v>
      </c>
      <c r="D14" s="6">
        <v>10</v>
      </c>
      <c r="E14" s="10">
        <v>2098.3222589542574</v>
      </c>
      <c r="F14" s="10">
        <v>2019.4421945211652</v>
      </c>
      <c r="G14" s="10">
        <v>1759.768365244666</v>
      </c>
      <c r="H14" s="48">
        <f t="shared" si="0"/>
        <v>0.19238548686066489</v>
      </c>
      <c r="I14" s="48">
        <f t="shared" si="1"/>
        <v>0.14756136910120893</v>
      </c>
    </row>
    <row r="15" spans="1:9" x14ac:dyDescent="0.2">
      <c r="B15" s="72"/>
      <c r="C15" s="6">
        <v>10</v>
      </c>
      <c r="D15" s="6">
        <v>5</v>
      </c>
      <c r="E15" s="10">
        <v>1636.9064942022328</v>
      </c>
      <c r="F15" s="10">
        <v>1525.8282144422719</v>
      </c>
      <c r="G15" s="10">
        <v>1206.4905231433549</v>
      </c>
      <c r="H15" s="48">
        <f t="shared" si="0"/>
        <v>0.35675039530147717</v>
      </c>
      <c r="I15" s="48">
        <f t="shared" si="1"/>
        <v>0.26468313275012217</v>
      </c>
    </row>
    <row r="16" spans="1:9" x14ac:dyDescent="0.2">
      <c r="B16" s="73"/>
      <c r="C16" s="12">
        <v>10</v>
      </c>
      <c r="D16" s="12">
        <v>10</v>
      </c>
      <c r="E16" s="13">
        <v>1546.1277269172756</v>
      </c>
      <c r="F16" s="13">
        <v>1499.2551452363643</v>
      </c>
      <c r="G16" s="13">
        <v>1136.9112815311528</v>
      </c>
      <c r="H16" s="40">
        <f t="shared" si="0"/>
        <v>0.35993700830816305</v>
      </c>
      <c r="I16" s="40">
        <f t="shared" si="1"/>
        <v>0.31870900534755831</v>
      </c>
    </row>
    <row r="17" spans="2:11" x14ac:dyDescent="0.2">
      <c r="B17" s="71">
        <v>200</v>
      </c>
      <c r="C17" s="8">
        <v>5</v>
      </c>
      <c r="D17" s="8">
        <v>5</v>
      </c>
      <c r="E17" s="9">
        <v>2957.850812740749</v>
      </c>
      <c r="F17" s="9">
        <v>2862.1592064220263</v>
      </c>
      <c r="G17" s="9">
        <v>2563.3640197600262</v>
      </c>
      <c r="H17" s="38">
        <f t="shared" si="0"/>
        <v>0.1538941757548947</v>
      </c>
      <c r="I17" s="38">
        <f t="shared" si="1"/>
        <v>0.11656369690714952</v>
      </c>
    </row>
    <row r="18" spans="2:11" x14ac:dyDescent="0.2">
      <c r="B18" s="72"/>
      <c r="C18" s="6">
        <v>5</v>
      </c>
      <c r="D18" s="6">
        <v>10</v>
      </c>
      <c r="E18" s="10">
        <v>2986.1861597942361</v>
      </c>
      <c r="F18" s="10">
        <v>2899.4467247522307</v>
      </c>
      <c r="G18" s="10">
        <v>2551.5866685953911</v>
      </c>
      <c r="H18" s="48">
        <f t="shared" si="0"/>
        <v>0.1703251927703813</v>
      </c>
      <c r="I18" s="48">
        <f t="shared" si="1"/>
        <v>0.13633088009051686</v>
      </c>
    </row>
    <row r="19" spans="2:11" x14ac:dyDescent="0.2">
      <c r="B19" s="72"/>
      <c r="C19" s="6">
        <v>10</v>
      </c>
      <c r="D19" s="6">
        <v>5</v>
      </c>
      <c r="E19" s="10">
        <v>2275.9750453422939</v>
      </c>
      <c r="F19" s="10">
        <v>2139.3022718053235</v>
      </c>
      <c r="G19" s="10">
        <v>1665.9559953485782</v>
      </c>
      <c r="H19" s="48">
        <f t="shared" si="0"/>
        <v>0.36616756486780894</v>
      </c>
      <c r="I19" s="48">
        <f t="shared" si="1"/>
        <v>0.28412891923817241</v>
      </c>
    </row>
    <row r="20" spans="2:11" x14ac:dyDescent="0.2">
      <c r="B20" s="73"/>
      <c r="C20" s="12">
        <v>10</v>
      </c>
      <c r="D20" s="12">
        <v>10</v>
      </c>
      <c r="E20" s="13">
        <v>2239.4408632091299</v>
      </c>
      <c r="F20" s="13">
        <v>2223.4684289267825</v>
      </c>
      <c r="G20" s="13">
        <v>1655.2924436100159</v>
      </c>
      <c r="H20" s="40">
        <f t="shared" si="0"/>
        <v>0.35289741208819198</v>
      </c>
      <c r="I20" s="40">
        <f t="shared" si="1"/>
        <v>0.34324809945826584</v>
      </c>
    </row>
    <row r="22" spans="2:11" x14ac:dyDescent="0.2">
      <c r="E22" s="59">
        <v>86.942492286627598</v>
      </c>
      <c r="F22" s="59">
        <v>72.623705426616638</v>
      </c>
      <c r="G22" s="59">
        <v>86.139974425631721</v>
      </c>
      <c r="I22" s="59"/>
      <c r="J22" s="59"/>
      <c r="K22" s="59"/>
    </row>
    <row r="23" spans="2:11" x14ac:dyDescent="0.2">
      <c r="E23" s="59">
        <v>68.901089058294446</v>
      </c>
      <c r="F23" s="59">
        <v>79.139298548121374</v>
      </c>
      <c r="G23" s="59">
        <v>77.552201983998543</v>
      </c>
      <c r="I23" s="59"/>
      <c r="J23" s="59"/>
      <c r="K23" s="59"/>
    </row>
    <row r="24" spans="2:11" x14ac:dyDescent="0.2">
      <c r="E24" s="59">
        <v>130.48622080615306</v>
      </c>
      <c r="F24" s="59">
        <v>67.364339212195134</v>
      </c>
      <c r="G24" s="59">
        <v>93.552283117310239</v>
      </c>
      <c r="I24" s="59"/>
      <c r="J24" s="59"/>
      <c r="K24" s="59"/>
    </row>
    <row r="25" spans="2:11" x14ac:dyDescent="0.2">
      <c r="E25" s="59">
        <v>41.776656966666948</v>
      </c>
      <c r="F25" s="59">
        <v>38.783931659483926</v>
      </c>
      <c r="G25" s="59">
        <v>25.893730029741608</v>
      </c>
      <c r="I25" s="59"/>
      <c r="J25" s="59"/>
      <c r="K25" s="59"/>
    </row>
    <row r="26" spans="2:11" x14ac:dyDescent="0.2">
      <c r="E26" s="59">
        <v>118.60796175415993</v>
      </c>
      <c r="F26" s="59">
        <v>114.40800155833486</v>
      </c>
      <c r="G26" s="59">
        <v>165.95376752569061</v>
      </c>
      <c r="I26" s="59"/>
      <c r="J26" s="59"/>
      <c r="K26" s="59"/>
    </row>
    <row r="27" spans="2:11" x14ac:dyDescent="0.2">
      <c r="E27" s="59">
        <v>86.441195537264662</v>
      </c>
      <c r="F27" s="59">
        <v>63.747031219414424</v>
      </c>
      <c r="G27" s="59">
        <v>91.662459459656063</v>
      </c>
      <c r="I27" s="59"/>
      <c r="J27" s="59"/>
      <c r="K27" s="59"/>
    </row>
    <row r="28" spans="2:11" x14ac:dyDescent="0.2">
      <c r="E28" s="59">
        <v>133.48458140141474</v>
      </c>
      <c r="F28" s="59">
        <v>104.0350337774902</v>
      </c>
      <c r="G28" s="59">
        <v>118.5907485652649</v>
      </c>
      <c r="I28" s="59"/>
      <c r="J28" s="59"/>
      <c r="K28" s="59"/>
    </row>
    <row r="29" spans="2:11" x14ac:dyDescent="0.2">
      <c r="E29" s="59">
        <v>101.40798778276066</v>
      </c>
      <c r="F29" s="59">
        <v>61.828573717282822</v>
      </c>
      <c r="G29" s="59">
        <v>91.332492135595629</v>
      </c>
      <c r="I29" s="59"/>
      <c r="J29" s="59"/>
      <c r="K29" s="59"/>
    </row>
    <row r="30" spans="2:11" x14ac:dyDescent="0.2">
      <c r="E30" s="59">
        <v>175.24124353891679</v>
      </c>
      <c r="F30" s="59">
        <v>133.74749556224609</v>
      </c>
      <c r="G30" s="59">
        <v>196.83739624846811</v>
      </c>
      <c r="I30" s="59"/>
      <c r="J30" s="59"/>
      <c r="K30" s="59"/>
    </row>
    <row r="31" spans="2:11" x14ac:dyDescent="0.2">
      <c r="E31" s="59">
        <v>78.108898137558171</v>
      </c>
      <c r="F31" s="59">
        <v>72.528588982945024</v>
      </c>
      <c r="G31" s="59">
        <v>98.263609811334049</v>
      </c>
      <c r="I31" s="59"/>
      <c r="J31" s="59"/>
      <c r="K31" s="59"/>
    </row>
    <row r="32" spans="2:11" x14ac:dyDescent="0.2">
      <c r="E32" s="59">
        <v>191.592749879038</v>
      </c>
      <c r="F32" s="59">
        <v>158.67247424073852</v>
      </c>
      <c r="G32" s="59">
        <v>176.47250310770883</v>
      </c>
      <c r="I32" s="59"/>
      <c r="J32" s="59"/>
      <c r="K32" s="59"/>
    </row>
    <row r="33" spans="5:11" x14ac:dyDescent="0.2">
      <c r="E33" s="59">
        <v>97.674080446780351</v>
      </c>
      <c r="F33" s="59">
        <v>91.418650906081851</v>
      </c>
      <c r="G33" s="59">
        <v>123.25485138532289</v>
      </c>
      <c r="I33" s="59"/>
      <c r="J33" s="59"/>
      <c r="K33" s="59"/>
    </row>
  </sheetData>
  <mergeCells count="10">
    <mergeCell ref="B13:B16"/>
    <mergeCell ref="B17:B20"/>
    <mergeCell ref="B7:B8"/>
    <mergeCell ref="C7:C8"/>
    <mergeCell ref="D7:D8"/>
    <mergeCell ref="E7:E8"/>
    <mergeCell ref="F7:F8"/>
    <mergeCell ref="G7:G8"/>
    <mergeCell ref="H7:I7"/>
    <mergeCell ref="B9:B12"/>
  </mergeCells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E994-3CB6-3548-93D0-6C75C629016F}">
  <dimension ref="C3:AF33"/>
  <sheetViews>
    <sheetView showGridLines="0" topLeftCell="Q1" zoomScale="120" zoomScaleNormal="120" workbookViewId="0">
      <selection activeCell="K10" sqref="K10:O12"/>
    </sheetView>
  </sheetViews>
  <sheetFormatPr baseColWidth="10" defaultRowHeight="16" x14ac:dyDescent="0.2"/>
  <cols>
    <col min="1" max="2" width="3.33203125" style="1" customWidth="1"/>
    <col min="3" max="3" width="1.5" style="1" customWidth="1"/>
    <col min="4" max="4" width="3.6640625" style="1" bestFit="1" customWidth="1"/>
    <col min="5" max="6" width="3" style="1" bestFit="1" customWidth="1"/>
    <col min="7" max="7" width="1.5" style="1" customWidth="1"/>
    <col min="8" max="8" width="8" style="2" customWidth="1"/>
    <col min="9" max="9" width="13.33203125" style="2" bestFit="1" customWidth="1"/>
    <col min="10" max="10" width="1.5" style="1" customWidth="1"/>
    <col min="11" max="11" width="10.33203125" style="2" bestFit="1" customWidth="1"/>
    <col min="12" max="12" width="11.5" style="2" bestFit="1" customWidth="1"/>
    <col min="13" max="13" width="1.5" style="1" customWidth="1"/>
    <col min="14" max="14" width="10.33203125" style="2" bestFit="1" customWidth="1"/>
    <col min="15" max="15" width="11.5" style="2" bestFit="1" customWidth="1"/>
    <col min="16" max="16" width="2" style="1" customWidth="1"/>
    <col min="17" max="25" width="10.83203125" style="1"/>
    <col min="26" max="26" width="14.1640625" style="1" bestFit="1" customWidth="1"/>
    <col min="27" max="27" width="13.83203125" style="1" bestFit="1" customWidth="1"/>
    <col min="28" max="28" width="14.1640625" style="1" bestFit="1" customWidth="1"/>
    <col min="29" max="16384" width="10.83203125" style="1"/>
  </cols>
  <sheetData>
    <row r="3" spans="3:30" x14ac:dyDescent="0.2">
      <c r="K3" s="3"/>
      <c r="L3" s="3"/>
      <c r="N3" s="3"/>
      <c r="O3" s="3"/>
    </row>
    <row r="5" spans="3:30" s="7" customFormat="1" ht="13" x14ac:dyDescent="0.15">
      <c r="C5" s="6"/>
      <c r="D5" s="32"/>
      <c r="E5" s="6"/>
      <c r="F5" s="6"/>
      <c r="G5" s="6"/>
      <c r="H5" s="10"/>
      <c r="I5" s="11"/>
      <c r="J5" s="6"/>
      <c r="K5" s="10"/>
      <c r="L5" s="10"/>
      <c r="M5" s="6"/>
      <c r="N5" s="10"/>
      <c r="O5" s="10"/>
      <c r="P5" s="17"/>
      <c r="Q5" s="17"/>
      <c r="R5" s="17"/>
      <c r="S5" s="17"/>
      <c r="T5" s="17"/>
      <c r="U5" s="17"/>
      <c r="V5" s="17"/>
    </row>
    <row r="6" spans="3:30" x14ac:dyDescent="0.2">
      <c r="R6" s="30"/>
      <c r="S6" s="30"/>
      <c r="T6" s="30"/>
      <c r="U6" s="30"/>
      <c r="V6" s="30"/>
    </row>
    <row r="7" spans="3:30" ht="26" customHeight="1" x14ac:dyDescent="0.2">
      <c r="W7" s="74" t="s">
        <v>5</v>
      </c>
      <c r="X7" s="74" t="s">
        <v>6</v>
      </c>
      <c r="Y7" s="74" t="s">
        <v>7</v>
      </c>
      <c r="Z7" s="74" t="s">
        <v>14</v>
      </c>
      <c r="AA7" s="74" t="s">
        <v>15</v>
      </c>
      <c r="AB7" s="74" t="s">
        <v>13</v>
      </c>
      <c r="AC7" s="70" t="s">
        <v>21</v>
      </c>
      <c r="AD7" s="70"/>
    </row>
    <row r="8" spans="3:30" ht="26" customHeight="1" x14ac:dyDescent="0.2">
      <c r="C8" s="4"/>
      <c r="D8" s="74" t="s">
        <v>5</v>
      </c>
      <c r="E8" s="74" t="s">
        <v>6</v>
      </c>
      <c r="F8" s="74" t="s">
        <v>7</v>
      </c>
      <c r="G8" s="5"/>
      <c r="H8" s="69" t="s">
        <v>14</v>
      </c>
      <c r="I8" s="69"/>
      <c r="J8" s="5"/>
      <c r="K8" s="69" t="s">
        <v>15</v>
      </c>
      <c r="L8" s="69"/>
      <c r="M8" s="5"/>
      <c r="N8" s="69" t="s">
        <v>13</v>
      </c>
      <c r="O8" s="69"/>
      <c r="P8" s="35"/>
      <c r="Q8" s="70" t="s">
        <v>17</v>
      </c>
      <c r="R8" s="70"/>
      <c r="S8" s="70"/>
      <c r="W8" s="75"/>
      <c r="X8" s="75"/>
      <c r="Y8" s="75"/>
      <c r="Z8" s="75"/>
      <c r="AA8" s="75"/>
      <c r="AB8" s="75"/>
      <c r="AC8" s="36"/>
      <c r="AD8" s="36"/>
    </row>
    <row r="9" spans="3:30" s="7" customFormat="1" ht="25" customHeight="1" x14ac:dyDescent="0.15">
      <c r="C9" s="6"/>
      <c r="D9" s="75"/>
      <c r="E9" s="75"/>
      <c r="F9" s="75"/>
      <c r="G9" s="6"/>
      <c r="H9" s="15" t="s">
        <v>16</v>
      </c>
      <c r="I9" s="15" t="s">
        <v>4</v>
      </c>
      <c r="J9" s="6"/>
      <c r="K9" s="15" t="s">
        <v>16</v>
      </c>
      <c r="L9" s="15" t="s">
        <v>4</v>
      </c>
      <c r="M9" s="6"/>
      <c r="N9" s="15" t="s">
        <v>16</v>
      </c>
      <c r="O9" s="15" t="s">
        <v>4</v>
      </c>
      <c r="Q9" s="36" t="s">
        <v>18</v>
      </c>
      <c r="R9" s="36" t="s">
        <v>19</v>
      </c>
      <c r="S9" s="36" t="s">
        <v>20</v>
      </c>
      <c r="W9" s="71">
        <v>100</v>
      </c>
      <c r="X9" s="8">
        <v>5</v>
      </c>
      <c r="Y9" s="8">
        <v>5</v>
      </c>
      <c r="Z9" s="9">
        <v>1178.9948911818747</v>
      </c>
      <c r="AA9" s="9">
        <v>1125.1333252052418</v>
      </c>
      <c r="AB9" s="9">
        <v>886.8965966259999</v>
      </c>
      <c r="AC9" s="38">
        <f>(Z9-AB9)/AB9</f>
        <v>0.32934876023551957</v>
      </c>
      <c r="AD9" s="38">
        <f>(AA9-AB9)/AB9</f>
        <v>0.26861838176576658</v>
      </c>
    </row>
    <row r="10" spans="3:30" s="7" customFormat="1" ht="13" x14ac:dyDescent="0.15">
      <c r="C10" s="6"/>
      <c r="D10" s="31">
        <v>100</v>
      </c>
      <c r="E10" s="8">
        <v>5</v>
      </c>
      <c r="F10" s="8">
        <v>5</v>
      </c>
      <c r="G10" s="6"/>
      <c r="H10" s="9"/>
      <c r="I10" s="9"/>
      <c r="J10" s="6"/>
      <c r="K10" s="9"/>
      <c r="L10" s="9"/>
      <c r="M10" s="6"/>
      <c r="N10" s="9"/>
      <c r="O10" s="9"/>
      <c r="P10" s="17"/>
      <c r="Q10" s="41" t="e">
        <f>(H10-I10)/I10</f>
        <v>#DIV/0!</v>
      </c>
      <c r="R10" s="46" t="e">
        <f>(K10-L10)/L10</f>
        <v>#DIV/0!</v>
      </c>
      <c r="S10" s="41" t="e">
        <f>(N10-O10)/O10</f>
        <v>#DIV/0!</v>
      </c>
      <c r="T10" s="17"/>
      <c r="U10" s="17"/>
      <c r="V10" s="17"/>
      <c r="W10" s="72"/>
      <c r="X10" s="6">
        <v>5</v>
      </c>
      <c r="Y10" s="6">
        <v>10</v>
      </c>
      <c r="Z10" s="10">
        <v>1302.3985193450844</v>
      </c>
      <c r="AA10" s="10">
        <v>1258.1417414142572</v>
      </c>
      <c r="AB10" s="10">
        <v>1066.8319336034399</v>
      </c>
      <c r="AC10" s="48">
        <f t="shared" ref="AC10:AC20" si="0">(Z10-AB10)/AB10</f>
        <v>0.22080946241079502</v>
      </c>
      <c r="AD10" s="48">
        <f t="shared" ref="AD10:AD20" si="1">(AA10-AB10)/AB10</f>
        <v>0.17932516058516351</v>
      </c>
    </row>
    <row r="11" spans="3:30" s="7" customFormat="1" ht="13" x14ac:dyDescent="0.15">
      <c r="C11" s="6"/>
      <c r="D11" s="32">
        <v>150</v>
      </c>
      <c r="E11" s="6">
        <v>5</v>
      </c>
      <c r="F11" s="6">
        <v>5</v>
      </c>
      <c r="G11" s="6"/>
      <c r="H11" s="10"/>
      <c r="I11" s="10"/>
      <c r="J11" s="6"/>
      <c r="K11" s="10"/>
      <c r="L11" s="10"/>
      <c r="M11" s="6"/>
      <c r="N11" s="10"/>
      <c r="O11" s="10"/>
      <c r="P11" s="17"/>
      <c r="Q11" s="41" t="e">
        <f>(H11-I11)/I11</f>
        <v>#DIV/0!</v>
      </c>
      <c r="R11" s="46" t="e">
        <f>(K11-L11)/L11</f>
        <v>#DIV/0!</v>
      </c>
      <c r="S11" s="41" t="e">
        <f>(N11-O11)/O11</f>
        <v>#DIV/0!</v>
      </c>
      <c r="T11" s="17"/>
      <c r="U11" s="17"/>
      <c r="V11" s="17"/>
      <c r="W11" s="72"/>
      <c r="X11" s="6">
        <v>10</v>
      </c>
      <c r="Y11" s="6">
        <v>5</v>
      </c>
      <c r="Z11" s="10">
        <v>906.18636762807853</v>
      </c>
      <c r="AA11" s="10">
        <v>904.87037550296429</v>
      </c>
      <c r="AB11" s="10">
        <v>677.19516998772633</v>
      </c>
      <c r="AC11" s="48">
        <f t="shared" si="0"/>
        <v>0.33814653114626098</v>
      </c>
      <c r="AD11" s="48">
        <f t="shared" si="1"/>
        <v>0.33620323299022409</v>
      </c>
    </row>
    <row r="12" spans="3:30" s="7" customFormat="1" ht="13" x14ac:dyDescent="0.15">
      <c r="C12" s="6"/>
      <c r="D12" s="33">
        <v>200</v>
      </c>
      <c r="E12" s="12">
        <v>5</v>
      </c>
      <c r="F12" s="12">
        <v>5</v>
      </c>
      <c r="G12" s="12"/>
      <c r="H12" s="13"/>
      <c r="I12" s="13"/>
      <c r="J12" s="12"/>
      <c r="K12" s="13"/>
      <c r="L12" s="13"/>
      <c r="M12" s="12"/>
      <c r="N12" s="13"/>
      <c r="O12" s="13"/>
      <c r="P12" s="37"/>
      <c r="Q12" s="45" t="e">
        <f>(H12-I12)/I12</f>
        <v>#DIV/0!</v>
      </c>
      <c r="R12" s="45" t="e">
        <f>(K12-L12)/L12</f>
        <v>#DIV/0!</v>
      </c>
      <c r="S12" s="44" t="e">
        <f>(N12-O12)/O12</f>
        <v>#DIV/0!</v>
      </c>
      <c r="T12" s="17"/>
      <c r="U12" s="17"/>
      <c r="V12" s="17"/>
      <c r="W12" s="73"/>
      <c r="X12" s="12">
        <v>10</v>
      </c>
      <c r="Y12" s="12">
        <v>10</v>
      </c>
      <c r="Z12" s="13">
        <v>911.59900746935307</v>
      </c>
      <c r="AA12" s="13">
        <v>968.23676626322856</v>
      </c>
      <c r="AB12" s="13">
        <v>721.75356242655721</v>
      </c>
      <c r="AC12" s="40">
        <f t="shared" si="0"/>
        <v>0.26303360998251224</v>
      </c>
      <c r="AD12" s="40">
        <f t="shared" si="1"/>
        <v>0.34150604398541157</v>
      </c>
    </row>
    <row r="13" spans="3:30" x14ac:dyDescent="0.2">
      <c r="W13" s="71">
        <v>150</v>
      </c>
      <c r="X13" s="8">
        <v>5</v>
      </c>
      <c r="Y13" s="8">
        <v>5</v>
      </c>
      <c r="Z13" s="9">
        <v>1978.4909439747319</v>
      </c>
      <c r="AA13" s="9">
        <v>1893.4702154198553</v>
      </c>
      <c r="AB13" s="9">
        <v>1582.423351681349</v>
      </c>
      <c r="AC13" s="38">
        <f t="shared" si="0"/>
        <v>0.2502918020468764</v>
      </c>
      <c r="AD13" s="38">
        <f t="shared" si="1"/>
        <v>0.1965636208591173</v>
      </c>
    </row>
    <row r="14" spans="3:30" x14ac:dyDescent="0.2">
      <c r="W14" s="72"/>
      <c r="X14" s="6">
        <v>5</v>
      </c>
      <c r="Y14" s="6">
        <v>10</v>
      </c>
      <c r="Z14" s="10">
        <v>2098.3222589542574</v>
      </c>
      <c r="AA14" s="10">
        <v>2019.4421945211652</v>
      </c>
      <c r="AB14" s="10">
        <v>1759.768365244666</v>
      </c>
      <c r="AC14" s="48">
        <f t="shared" si="0"/>
        <v>0.19238548686066489</v>
      </c>
      <c r="AD14" s="48">
        <f t="shared" si="1"/>
        <v>0.14756136910120893</v>
      </c>
    </row>
    <row r="15" spans="3:30" x14ac:dyDescent="0.2">
      <c r="W15" s="72"/>
      <c r="X15" s="6">
        <v>10</v>
      </c>
      <c r="Y15" s="6">
        <v>5</v>
      </c>
      <c r="Z15" s="10">
        <v>1636.9064942022328</v>
      </c>
      <c r="AA15" s="10">
        <v>1525.8282144422719</v>
      </c>
      <c r="AB15" s="10">
        <v>1206.4905231433549</v>
      </c>
      <c r="AC15" s="48">
        <f t="shared" si="0"/>
        <v>0.35675039530147717</v>
      </c>
      <c r="AD15" s="48">
        <f t="shared" si="1"/>
        <v>0.26468313275012217</v>
      </c>
    </row>
    <row r="16" spans="3:30" x14ac:dyDescent="0.2">
      <c r="W16" s="73"/>
      <c r="X16" s="12">
        <v>10</v>
      </c>
      <c r="Y16" s="12">
        <v>10</v>
      </c>
      <c r="Z16" s="13">
        <v>1546.1277269172756</v>
      </c>
      <c r="AA16" s="13">
        <v>1499.2551452363643</v>
      </c>
      <c r="AB16" s="13">
        <v>1136.9112815311528</v>
      </c>
      <c r="AC16" s="40">
        <f t="shared" si="0"/>
        <v>0.35993700830816305</v>
      </c>
      <c r="AD16" s="40">
        <f t="shared" si="1"/>
        <v>0.31870900534755831</v>
      </c>
    </row>
    <row r="17" spans="23:32" x14ac:dyDescent="0.2">
      <c r="W17" s="71">
        <v>200</v>
      </c>
      <c r="X17" s="8">
        <v>5</v>
      </c>
      <c r="Y17" s="8">
        <v>5</v>
      </c>
      <c r="Z17" s="9">
        <v>2957.850812740749</v>
      </c>
      <c r="AA17" s="9">
        <v>2862.1592064220263</v>
      </c>
      <c r="AB17" s="9">
        <v>2563.3640197600262</v>
      </c>
      <c r="AC17" s="38">
        <f t="shared" si="0"/>
        <v>0.1538941757548947</v>
      </c>
      <c r="AD17" s="38">
        <f t="shared" si="1"/>
        <v>0.11656369690714952</v>
      </c>
    </row>
    <row r="18" spans="23:32" x14ac:dyDescent="0.2">
      <c r="W18" s="72"/>
      <c r="X18" s="6">
        <v>5</v>
      </c>
      <c r="Y18" s="6">
        <v>10</v>
      </c>
      <c r="Z18" s="10">
        <v>2986.1861597942361</v>
      </c>
      <c r="AA18" s="10">
        <v>2899.4467247522307</v>
      </c>
      <c r="AB18" s="10">
        <v>2551.5866685953911</v>
      </c>
      <c r="AC18" s="48">
        <f t="shared" si="0"/>
        <v>0.1703251927703813</v>
      </c>
      <c r="AD18" s="48">
        <f t="shared" si="1"/>
        <v>0.13633088009051686</v>
      </c>
    </row>
    <row r="19" spans="23:32" x14ac:dyDescent="0.2">
      <c r="W19" s="72"/>
      <c r="X19" s="6">
        <v>10</v>
      </c>
      <c r="Y19" s="6">
        <v>5</v>
      </c>
      <c r="Z19" s="10">
        <v>2275.9750453422939</v>
      </c>
      <c r="AA19" s="10">
        <v>2139.3022718053235</v>
      </c>
      <c r="AB19" s="10">
        <v>1665.9559953485782</v>
      </c>
      <c r="AC19" s="48">
        <f t="shared" si="0"/>
        <v>0.36616756486780894</v>
      </c>
      <c r="AD19" s="48">
        <f t="shared" si="1"/>
        <v>0.28412891923817241</v>
      </c>
    </row>
    <row r="20" spans="23:32" x14ac:dyDescent="0.2">
      <c r="W20" s="73"/>
      <c r="X20" s="12">
        <v>10</v>
      </c>
      <c r="Y20" s="12">
        <v>10</v>
      </c>
      <c r="Z20" s="13">
        <v>2239.4408632091299</v>
      </c>
      <c r="AA20" s="13">
        <v>2223.4684289267825</v>
      </c>
      <c r="AB20" s="13">
        <v>1655.2924436100159</v>
      </c>
      <c r="AC20" s="40">
        <f t="shared" si="0"/>
        <v>0.35289741208819198</v>
      </c>
      <c r="AD20" s="40">
        <f t="shared" si="1"/>
        <v>0.34324809945826584</v>
      </c>
    </row>
    <row r="22" spans="23:32" x14ac:dyDescent="0.2">
      <c r="Z22" s="59">
        <v>86.942492286627598</v>
      </c>
      <c r="AA22" s="59">
        <v>72.623705426616638</v>
      </c>
      <c r="AB22" s="59">
        <v>86.139974425631721</v>
      </c>
      <c r="AD22" s="59"/>
      <c r="AE22" s="59"/>
      <c r="AF22" s="59"/>
    </row>
    <row r="23" spans="23:32" x14ac:dyDescent="0.2">
      <c r="Z23" s="59">
        <v>68.901089058294446</v>
      </c>
      <c r="AA23" s="59">
        <v>79.139298548121374</v>
      </c>
      <c r="AB23" s="59">
        <v>77.552201983998543</v>
      </c>
      <c r="AD23" s="59"/>
      <c r="AE23" s="59"/>
      <c r="AF23" s="59"/>
    </row>
    <row r="24" spans="23:32" x14ac:dyDescent="0.2">
      <c r="Z24" s="59">
        <v>130.48622080615306</v>
      </c>
      <c r="AA24" s="59">
        <v>67.364339212195134</v>
      </c>
      <c r="AB24" s="59">
        <v>93.552283117310239</v>
      </c>
      <c r="AD24" s="59"/>
      <c r="AE24" s="59"/>
      <c r="AF24" s="59"/>
    </row>
    <row r="25" spans="23:32" x14ac:dyDescent="0.2">
      <c r="Z25" s="59">
        <v>41.776656966666948</v>
      </c>
      <c r="AA25" s="59">
        <v>38.783931659483926</v>
      </c>
      <c r="AB25" s="59">
        <v>25.893730029741608</v>
      </c>
      <c r="AD25" s="59"/>
      <c r="AE25" s="59"/>
      <c r="AF25" s="59"/>
    </row>
    <row r="26" spans="23:32" x14ac:dyDescent="0.2">
      <c r="Z26" s="59">
        <v>118.60796175415993</v>
      </c>
      <c r="AA26" s="59">
        <v>114.40800155833486</v>
      </c>
      <c r="AB26" s="59">
        <v>165.95376752569061</v>
      </c>
      <c r="AD26" s="59"/>
      <c r="AE26" s="59"/>
      <c r="AF26" s="59"/>
    </row>
    <row r="27" spans="23:32" x14ac:dyDescent="0.2">
      <c r="Z27" s="59">
        <v>86.441195537264662</v>
      </c>
      <c r="AA27" s="59">
        <v>63.747031219414424</v>
      </c>
      <c r="AB27" s="59">
        <v>91.662459459656063</v>
      </c>
      <c r="AD27" s="59"/>
      <c r="AE27" s="59"/>
      <c r="AF27" s="59"/>
    </row>
    <row r="28" spans="23:32" x14ac:dyDescent="0.2">
      <c r="Z28" s="59">
        <v>133.48458140141474</v>
      </c>
      <c r="AA28" s="59">
        <v>104.0350337774902</v>
      </c>
      <c r="AB28" s="59">
        <v>118.5907485652649</v>
      </c>
      <c r="AD28" s="59"/>
      <c r="AE28" s="59"/>
      <c r="AF28" s="59"/>
    </row>
    <row r="29" spans="23:32" x14ac:dyDescent="0.2">
      <c r="Z29" s="59">
        <v>101.40798778276066</v>
      </c>
      <c r="AA29" s="59">
        <v>61.828573717282822</v>
      </c>
      <c r="AB29" s="59">
        <v>91.332492135595629</v>
      </c>
      <c r="AD29" s="59"/>
      <c r="AE29" s="59"/>
      <c r="AF29" s="59"/>
    </row>
    <row r="30" spans="23:32" x14ac:dyDescent="0.2">
      <c r="Z30" s="59">
        <v>175.24124353891679</v>
      </c>
      <c r="AA30" s="59">
        <v>133.74749556224609</v>
      </c>
      <c r="AB30" s="59">
        <v>196.83739624846811</v>
      </c>
      <c r="AD30" s="59"/>
      <c r="AE30" s="59"/>
      <c r="AF30" s="59"/>
    </row>
    <row r="31" spans="23:32" x14ac:dyDescent="0.2">
      <c r="Z31" s="59">
        <v>78.108898137558171</v>
      </c>
      <c r="AA31" s="59">
        <v>72.528588982945024</v>
      </c>
      <c r="AB31" s="59">
        <v>98.263609811334049</v>
      </c>
      <c r="AD31" s="59"/>
      <c r="AE31" s="59"/>
      <c r="AF31" s="59"/>
    </row>
    <row r="32" spans="23:32" x14ac:dyDescent="0.2">
      <c r="Z32" s="59">
        <v>191.592749879038</v>
      </c>
      <c r="AA32" s="59">
        <v>158.67247424073852</v>
      </c>
      <c r="AB32" s="59">
        <v>176.47250310770883</v>
      </c>
      <c r="AD32" s="59"/>
      <c r="AE32" s="59"/>
      <c r="AF32" s="59"/>
    </row>
    <row r="33" spans="26:32" x14ac:dyDescent="0.2">
      <c r="Z33" s="59">
        <v>97.674080446780351</v>
      </c>
      <c r="AA33" s="59">
        <v>91.418650906081851</v>
      </c>
      <c r="AB33" s="59">
        <v>123.25485138532289</v>
      </c>
      <c r="AD33" s="59"/>
      <c r="AE33" s="59"/>
      <c r="AF33" s="59"/>
    </row>
  </sheetData>
  <mergeCells count="17">
    <mergeCell ref="W13:W16"/>
    <mergeCell ref="W17:W20"/>
    <mergeCell ref="AC7:AD7"/>
    <mergeCell ref="D8:D9"/>
    <mergeCell ref="E8:E9"/>
    <mergeCell ref="F8:F9"/>
    <mergeCell ref="H8:I8"/>
    <mergeCell ref="K8:L8"/>
    <mergeCell ref="N8:O8"/>
    <mergeCell ref="Q8:S8"/>
    <mergeCell ref="W9:W12"/>
    <mergeCell ref="W7:W8"/>
    <mergeCell ref="X7:X8"/>
    <mergeCell ref="Y7:Y8"/>
    <mergeCell ref="Z7:Z8"/>
    <mergeCell ref="AA7:AA8"/>
    <mergeCell ref="AB7:AB8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effect small</vt:lpstr>
      <vt:lpstr>main effect large</vt:lpstr>
      <vt:lpstr>SA-AOS &amp; MILP- small</vt:lpstr>
      <vt:lpstr>SA-AOS &amp; MILP- small (2)</vt:lpstr>
      <vt:lpstr>SA &amp; ALNS- large</vt:lpstr>
      <vt:lpstr>SA &amp; ALNS- large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2024-12-08T02:11:34Z</dcterms:created>
  <dcterms:modified xsi:type="dcterms:W3CDTF">2026-10-28T16:08:43Z</dcterms:modified>
</cp:coreProperties>
</file>