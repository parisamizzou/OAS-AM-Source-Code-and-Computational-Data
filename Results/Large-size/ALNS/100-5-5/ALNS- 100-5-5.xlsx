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00-5-5/"/>
    </mc:Choice>
  </mc:AlternateContent>
  <xr:revisionPtr revIDLastSave="0" documentId="13_ncr:1_{B8579B92-AE00-1141-878B-807F8EC00E9C}" xr6:coauthVersionLast="47" xr6:coauthVersionMax="47" xr10:uidLastSave="{00000000-0000-0000-0000-000000000000}"/>
  <bookViews>
    <workbookView xWindow="0" yWindow="760" windowWidth="34560" windowHeight="20500" xr2:uid="{41E620E7-D6DF-9342-B452-EA60AB3B07C5}"/>
  </bookViews>
  <sheets>
    <sheet name="Summary" sheetId="68" r:id="rId1"/>
    <sheet name="results116" sheetId="58" r:id="rId2"/>
    <sheet name="results123" sheetId="76" r:id="rId3"/>
    <sheet name="results163" sheetId="77" r:id="rId4"/>
    <sheet name="results246" sheetId="69" r:id="rId5"/>
    <sheet name="results305" sheetId="70" r:id="rId6"/>
    <sheet name="results449" sheetId="71" r:id="rId7"/>
    <sheet name="results466" sheetId="72" r:id="rId8"/>
    <sheet name="results590" sheetId="73" r:id="rId9"/>
    <sheet name="results715" sheetId="74" r:id="rId10"/>
    <sheet name="results874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75" l="1"/>
  <c r="L14" i="74"/>
  <c r="L14" i="73"/>
  <c r="L15" i="73" s="1"/>
  <c r="L14" i="72"/>
  <c r="L15" i="72" s="1"/>
  <c r="L14" i="71"/>
  <c r="L14" i="70"/>
  <c r="L14" i="69"/>
  <c r="L14" i="77"/>
  <c r="L14" i="76"/>
  <c r="L14" i="58"/>
  <c r="T14" i="75"/>
  <c r="V14" i="75" s="1"/>
  <c r="T14" i="74"/>
  <c r="T14" i="73"/>
  <c r="T14" i="72"/>
  <c r="Z14" i="72" s="1"/>
  <c r="T14" i="71"/>
  <c r="T15" i="71" s="1"/>
  <c r="T14" i="70"/>
  <c r="T15" i="70" s="1"/>
  <c r="T14" i="69"/>
  <c r="T14" i="77"/>
  <c r="T14" i="76"/>
  <c r="X14" i="76" s="1"/>
  <c r="T14" i="58"/>
  <c r="T15" i="58" s="1"/>
  <c r="D14" i="75"/>
  <c r="D14" i="74"/>
  <c r="D14" i="73"/>
  <c r="D14" i="72"/>
  <c r="D14" i="71"/>
  <c r="D14" i="70"/>
  <c r="D14" i="69"/>
  <c r="D14" i="77"/>
  <c r="D14" i="76"/>
  <c r="D14" i="58"/>
  <c r="U14" i="75"/>
  <c r="X14" i="75"/>
  <c r="AA14" i="75"/>
  <c r="Y14" i="75"/>
  <c r="Z14" i="75"/>
  <c r="T15" i="75"/>
  <c r="W14" i="75"/>
  <c r="K14" i="76"/>
  <c r="J14" i="76"/>
  <c r="H14" i="76"/>
  <c r="I14" i="76"/>
  <c r="G14" i="76"/>
  <c r="F14" i="76"/>
  <c r="E14" i="76"/>
  <c r="Z14" i="70"/>
  <c r="Y14" i="70"/>
  <c r="X14" i="70"/>
  <c r="V14" i="70"/>
  <c r="N14" i="72"/>
  <c r="P14" i="72"/>
  <c r="Q14" i="72"/>
  <c r="R14" i="72"/>
  <c r="S14" i="72"/>
  <c r="O14" i="72"/>
  <c r="Q14" i="58"/>
  <c r="P14" i="58"/>
  <c r="M14" i="58"/>
  <c r="S14" i="58"/>
  <c r="O14" i="58"/>
  <c r="R14" i="58"/>
  <c r="L15" i="58"/>
  <c r="N14" i="58"/>
  <c r="L15" i="74"/>
  <c r="S14" i="74"/>
  <c r="R14" i="74"/>
  <c r="Q14" i="74"/>
  <c r="P14" i="74"/>
  <c r="O14" i="74"/>
  <c r="M14" i="74"/>
  <c r="N14" i="74"/>
  <c r="P14" i="69"/>
  <c r="Q14" i="69"/>
  <c r="L15" i="69"/>
  <c r="R14" i="69"/>
  <c r="S14" i="69"/>
  <c r="M14" i="69"/>
  <c r="O14" i="69"/>
  <c r="N14" i="69"/>
  <c r="G14" i="58"/>
  <c r="K14" i="58"/>
  <c r="J14" i="58"/>
  <c r="I14" i="58"/>
  <c r="E14" i="58"/>
  <c r="F14" i="58"/>
  <c r="H14" i="58"/>
  <c r="Z14" i="74"/>
  <c r="AA14" i="74"/>
  <c r="Y14" i="74"/>
  <c r="T15" i="74"/>
  <c r="W14" i="74"/>
  <c r="V14" i="74"/>
  <c r="X14" i="74"/>
  <c r="U14" i="74"/>
  <c r="V14" i="71"/>
  <c r="O14" i="73"/>
  <c r="N14" i="73"/>
  <c r="M14" i="73"/>
  <c r="P14" i="73"/>
  <c r="R14" i="73"/>
  <c r="Q14" i="73"/>
  <c r="O14" i="77"/>
  <c r="L15" i="77"/>
  <c r="P14" i="77"/>
  <c r="Q14" i="77"/>
  <c r="N14" i="77"/>
  <c r="R14" i="77"/>
  <c r="M14" i="77"/>
  <c r="S14" i="77"/>
  <c r="Y14" i="69"/>
  <c r="X14" i="69"/>
  <c r="Z14" i="69"/>
  <c r="T15" i="69"/>
  <c r="AA14" i="69"/>
  <c r="V14" i="69"/>
  <c r="W14" i="69"/>
  <c r="U14" i="69"/>
  <c r="Y14" i="76"/>
  <c r="Y14" i="72"/>
  <c r="X14" i="72"/>
  <c r="T15" i="72"/>
  <c r="V14" i="72"/>
  <c r="W14" i="72"/>
  <c r="AA14" i="72"/>
  <c r="U14" i="72"/>
  <c r="M14" i="70"/>
  <c r="P14" i="70"/>
  <c r="N14" i="70"/>
  <c r="L15" i="70"/>
  <c r="S14" i="70"/>
  <c r="R14" i="70"/>
  <c r="Q14" i="70"/>
  <c r="O14" i="70"/>
  <c r="F14" i="77"/>
  <c r="K14" i="77"/>
  <c r="J14" i="77"/>
  <c r="I14" i="77"/>
  <c r="H14" i="77"/>
  <c r="E14" i="77"/>
  <c r="G14" i="77"/>
  <c r="N14" i="75"/>
  <c r="R14" i="75"/>
  <c r="O14" i="75"/>
  <c r="L15" i="75"/>
  <c r="S14" i="75"/>
  <c r="P14" i="75"/>
  <c r="M14" i="75"/>
  <c r="Q14" i="75"/>
  <c r="X14" i="58"/>
  <c r="AA14" i="58"/>
  <c r="W14" i="58"/>
  <c r="U14" i="58"/>
  <c r="Y14" i="58"/>
  <c r="V14" i="58"/>
  <c r="N14" i="71"/>
  <c r="Q14" i="71"/>
  <c r="L15" i="71"/>
  <c r="P14" i="71"/>
  <c r="O14" i="71"/>
  <c r="R14" i="71"/>
  <c r="S14" i="71"/>
  <c r="M14" i="71"/>
  <c r="G14" i="74"/>
  <c r="K14" i="74"/>
  <c r="J14" i="74"/>
  <c r="I14" i="74"/>
  <c r="E14" i="74"/>
  <c r="H14" i="74"/>
  <c r="F14" i="74"/>
  <c r="T15" i="77"/>
  <c r="W14" i="77"/>
  <c r="V14" i="77"/>
  <c r="U14" i="77"/>
  <c r="Z14" i="77"/>
  <c r="Y14" i="77"/>
  <c r="X14" i="77"/>
  <c r="AA14" i="77"/>
  <c r="I14" i="70"/>
  <c r="G14" i="70"/>
  <c r="F14" i="70"/>
  <c r="E14" i="70"/>
  <c r="H14" i="70"/>
  <c r="K14" i="70"/>
  <c r="J14" i="70"/>
  <c r="E14" i="71"/>
  <c r="K14" i="71"/>
  <c r="I14" i="71"/>
  <c r="J14" i="71"/>
  <c r="H14" i="71"/>
  <c r="G14" i="71"/>
  <c r="F14" i="71"/>
  <c r="AA14" i="73"/>
  <c r="Z14" i="73"/>
  <c r="Y14" i="73"/>
  <c r="T15" i="73"/>
  <c r="W14" i="73"/>
  <c r="X14" i="73"/>
  <c r="V14" i="73"/>
  <c r="U14" i="73"/>
  <c r="G14" i="73"/>
  <c r="F14" i="73"/>
  <c r="J14" i="73"/>
  <c r="K14" i="73"/>
  <c r="I14" i="73"/>
  <c r="H14" i="73"/>
  <c r="E14" i="73"/>
  <c r="K14" i="69"/>
  <c r="F14" i="69"/>
  <c r="H14" i="69"/>
  <c r="I14" i="69"/>
  <c r="G14" i="69"/>
  <c r="J14" i="69"/>
  <c r="E14" i="69"/>
  <c r="L15" i="76"/>
  <c r="Q14" i="76"/>
  <c r="P14" i="76"/>
  <c r="S14" i="76"/>
  <c r="M14" i="76"/>
  <c r="O14" i="76"/>
  <c r="N14" i="76"/>
  <c r="R14" i="76"/>
  <c r="G14" i="72"/>
  <c r="F14" i="72"/>
  <c r="H14" i="72"/>
  <c r="I14" i="72"/>
  <c r="J14" i="72"/>
  <c r="K14" i="72"/>
  <c r="E14" i="72"/>
  <c r="K14" i="75"/>
  <c r="J14" i="75"/>
  <c r="H14" i="75"/>
  <c r="G14" i="75"/>
  <c r="I14" i="75"/>
  <c r="F14" i="75"/>
  <c r="E14" i="75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E12" i="68" a="1"/>
  <c r="E5" i="68" a="1"/>
  <c r="D8" i="68" a="1"/>
  <c r="I6" i="68" a="1"/>
  <c r="I3" i="68" a="1"/>
  <c r="S3" i="68" a="1"/>
  <c r="X12" i="68" a="1"/>
  <c r="M7" i="68" a="1"/>
  <c r="Y11" i="68" a="1"/>
  <c r="D11" i="68" a="1"/>
  <c r="V11" i="68" a="1"/>
  <c r="I5" i="68" a="1"/>
  <c r="Y6" i="68" a="1"/>
  <c r="E8" i="68" a="1"/>
  <c r="I8" i="68" a="1"/>
  <c r="H8" i="68" a="1"/>
  <c r="U9" i="68" a="1"/>
  <c r="F11" i="68" a="1"/>
  <c r="F7" i="68" a="1"/>
  <c r="G3" i="68" a="1"/>
  <c r="O6" i="68" a="1"/>
  <c r="O9" i="68" a="1"/>
  <c r="D10" i="68" a="1"/>
  <c r="I7" i="68" a="1"/>
  <c r="I10" i="68" a="1"/>
  <c r="O5" i="68" a="1"/>
  <c r="L4" i="68" a="1"/>
  <c r="S5" i="68" a="1"/>
  <c r="X3" i="68" a="1"/>
  <c r="Q3" i="68" a="1"/>
  <c r="W7" i="68" a="1"/>
  <c r="K9" i="68" a="1"/>
  <c r="P10" i="68" a="1"/>
  <c r="Y10" i="68" a="1"/>
  <c r="T9" i="68" a="1"/>
  <c r="M8" i="68" a="1"/>
  <c r="O3" i="68" a="1"/>
  <c r="S12" i="68" a="1"/>
  <c r="T6" i="68" a="1"/>
  <c r="I4" i="68" a="1"/>
  <c r="V3" i="68" a="1"/>
  <c r="K8" i="68" a="1"/>
  <c r="N8" i="68" a="1"/>
  <c r="X5" i="68" a="1"/>
  <c r="W9" i="68" a="1"/>
  <c r="W4" i="68" a="1"/>
  <c r="H7" i="68" a="1"/>
  <c r="G10" i="68" a="1"/>
  <c r="G7" i="68" a="1"/>
  <c r="S8" i="68" a="1"/>
  <c r="C7" i="68" a="1"/>
  <c r="D12" i="68" a="1"/>
  <c r="S6" i="68" a="1"/>
  <c r="G6" i="68" a="1"/>
  <c r="F9" i="68" a="1"/>
  <c r="L3" i="68" a="1"/>
  <c r="S9" i="68" a="1"/>
  <c r="Y5" i="68" a="1"/>
  <c r="W3" i="68" a="1"/>
  <c r="W6" i="68" a="1"/>
  <c r="K12" i="68" a="1"/>
  <c r="H3" i="68" a="1"/>
  <c r="N12" i="68" a="1"/>
  <c r="V5" i="68" a="1"/>
  <c r="U5" i="68" a="1"/>
  <c r="V6" i="68" a="1"/>
  <c r="X10" i="68" a="1"/>
  <c r="C3" i="68" a="1"/>
  <c r="S10" i="68" a="1"/>
  <c r="U11" i="68" a="1"/>
  <c r="F8" i="68" a="1"/>
  <c r="Q7" i="68" a="1"/>
  <c r="Y12" i="68" a="1"/>
  <c r="M5" i="68" a="1"/>
  <c r="M11" i="68" a="1"/>
  <c r="N4" i="68" a="1"/>
  <c r="K4" i="68" a="1"/>
  <c r="Y9" i="68" a="1"/>
  <c r="P3" i="68" a="1"/>
  <c r="Q5" i="68" a="1"/>
  <c r="O11" i="68" a="1"/>
  <c r="G9" i="68" a="1"/>
  <c r="K7" i="68" a="1"/>
  <c r="G4" i="68" a="1"/>
  <c r="T12" i="68" a="1"/>
  <c r="F6" i="68" a="1"/>
  <c r="N5" i="68" a="1"/>
  <c r="I11" i="68" a="1"/>
  <c r="X9" i="68" a="1"/>
  <c r="X6" i="68" a="1"/>
  <c r="L5" i="68" a="1"/>
  <c r="H5" i="68" a="1"/>
  <c r="H12" i="68" a="1"/>
  <c r="C11" i="68" a="1"/>
  <c r="Q11" i="68" a="1"/>
  <c r="I12" i="68" a="1"/>
  <c r="U10" i="68" a="1"/>
  <c r="L10" i="68" a="1"/>
  <c r="E6" i="68" a="1"/>
  <c r="N9" i="68" a="1"/>
  <c r="F10" i="68" a="1"/>
  <c r="C8" i="68" a="1"/>
  <c r="E3" i="68" a="1"/>
  <c r="L11" i="68" a="1"/>
  <c r="D9" i="68" a="1"/>
  <c r="Y7" i="68" a="1"/>
  <c r="O7" i="68" a="1"/>
  <c r="D3" i="68" a="1"/>
  <c r="E11" i="68" a="1"/>
  <c r="W5" i="68" a="1"/>
  <c r="T5" i="68" a="1"/>
  <c r="L7" i="68" a="1"/>
  <c r="Q10" i="68" a="1"/>
  <c r="M4" i="68" a="1"/>
  <c r="E4" i="68" a="1"/>
  <c r="X11" i="68" a="1"/>
  <c r="S7" i="68" a="1"/>
  <c r="M10" i="68" a="1"/>
  <c r="E7" i="68" a="1"/>
  <c r="P12" i="68" a="1"/>
  <c r="C6" i="68" a="1"/>
  <c r="K11" i="68" a="1"/>
  <c r="N11" i="68" a="1"/>
  <c r="V12" i="68" a="1"/>
  <c r="L8" i="68" a="1"/>
  <c r="G5" i="68" a="1"/>
  <c r="E9" i="68" a="1"/>
  <c r="G11" i="68" a="1"/>
  <c r="Q12" i="68" a="1"/>
  <c r="M9" i="68" a="1"/>
  <c r="N7" i="68" a="1"/>
  <c r="O10" i="68" a="1"/>
  <c r="M12" i="68" a="1"/>
  <c r="S11" i="68" a="1"/>
  <c r="C4" i="68" a="1"/>
  <c r="P8" i="68" a="1"/>
  <c r="H10" i="68" a="1"/>
  <c r="C9" i="68" a="1"/>
  <c r="Q8" i="68" a="1"/>
  <c r="S4" i="68" a="1"/>
  <c r="N3" i="68" a="1"/>
  <c r="D4" i="68" a="1"/>
  <c r="F5" i="68" a="1"/>
  <c r="N6" i="68" a="1"/>
  <c r="Q9" i="68" a="1"/>
  <c r="W12" i="68" a="1"/>
  <c r="H6" i="68" a="1"/>
  <c r="T11" i="68" a="1"/>
  <c r="T10" i="68" a="1"/>
  <c r="F4" i="68" a="1"/>
  <c r="X4" i="68" a="1"/>
  <c r="D5" i="68" a="1"/>
  <c r="P5" i="68" a="1"/>
  <c r="I9" i="68" a="1"/>
  <c r="K10" i="68" a="1"/>
  <c r="L6" i="68" a="1"/>
  <c r="G12" i="68" a="1"/>
  <c r="P11" i="68" a="1"/>
  <c r="L12" i="68" a="1"/>
  <c r="H11" i="68" a="1"/>
  <c r="N10" i="68" a="1"/>
  <c r="M6" i="68" a="1"/>
  <c r="T3" i="68" a="1"/>
  <c r="V9" i="68" a="1"/>
  <c r="U7" i="68" a="1"/>
  <c r="G8" i="68" a="1"/>
  <c r="U6" i="68" a="1"/>
  <c r="P9" i="68" a="1"/>
  <c r="E10" i="68" a="1"/>
  <c r="U3" i="68" a="1"/>
  <c r="Q6" i="68" a="1"/>
  <c r="P4" i="68" a="1"/>
  <c r="O4" i="68" a="1"/>
  <c r="K3" i="68" a="1"/>
  <c r="Q4" i="68" a="1"/>
  <c r="H9" i="68" a="1"/>
  <c r="K6" i="68" a="1"/>
  <c r="K5" i="68" a="1"/>
  <c r="W11" i="68" a="1"/>
  <c r="F12" i="68" a="1"/>
  <c r="C12" i="68" a="1"/>
  <c r="H4" i="68" a="1"/>
  <c r="X7" i="68" a="1"/>
  <c r="P7" i="68" a="1"/>
  <c r="U8" i="68" a="1"/>
  <c r="P6" i="68" a="1"/>
  <c r="O8" i="68" a="1"/>
  <c r="D6" i="68" a="1"/>
  <c r="C10" i="68" a="1"/>
  <c r="C5" i="68" a="1"/>
  <c r="F3" i="68" a="1"/>
  <c r="W10" i="68" a="1"/>
  <c r="U12" i="68" a="1"/>
  <c r="O12" i="68" a="1"/>
  <c r="D7" i="68" a="1"/>
  <c r="V10" i="68" a="1"/>
  <c r="M3" i="68" a="1"/>
  <c r="K12" i="68" l="1"/>
  <c r="K11" i="68"/>
  <c r="S14" i="73"/>
  <c r="J2" i="73" s="1"/>
  <c r="K10" i="68"/>
  <c r="M14" i="72"/>
  <c r="M15" i="72" s="1"/>
  <c r="K9" i="68"/>
  <c r="K8" i="68"/>
  <c r="K7" i="68"/>
  <c r="K6" i="68"/>
  <c r="K5" i="68"/>
  <c r="K4" i="68"/>
  <c r="K3" i="68"/>
  <c r="S12" i="68"/>
  <c r="S11" i="68"/>
  <c r="S10" i="68"/>
  <c r="S9" i="68"/>
  <c r="W14" i="71"/>
  <c r="AA14" i="71"/>
  <c r="X14" i="71"/>
  <c r="Z14" i="71"/>
  <c r="Y14" i="71"/>
  <c r="U14" i="71"/>
  <c r="S8" i="68"/>
  <c r="AA14" i="70"/>
  <c r="W14" i="70"/>
  <c r="W15" i="70" s="1"/>
  <c r="U14" i="70"/>
  <c r="S7" i="68"/>
  <c r="S6" i="68"/>
  <c r="S5" i="68"/>
  <c r="AA14" i="76"/>
  <c r="U14" i="76"/>
  <c r="Z14" i="76"/>
  <c r="Z15" i="76" s="1"/>
  <c r="V14" i="76"/>
  <c r="W14" i="76"/>
  <c r="T15" i="76"/>
  <c r="S4" i="68"/>
  <c r="Z14" i="58"/>
  <c r="S3" i="68"/>
  <c r="C12" i="68"/>
  <c r="C11" i="68"/>
  <c r="C10" i="68"/>
  <c r="C9" i="68"/>
  <c r="C8" i="68"/>
  <c r="C7" i="68"/>
  <c r="C6" i="68"/>
  <c r="C5" i="68"/>
  <c r="C4" i="68"/>
  <c r="J2" i="76"/>
  <c r="C3" i="68"/>
  <c r="I9" i="68"/>
  <c r="I10" i="68"/>
  <c r="D12" i="68"/>
  <c r="D4" i="68"/>
  <c r="Y6" i="68"/>
  <c r="Y11" i="68"/>
  <c r="Q6" i="68"/>
  <c r="M3" i="68"/>
  <c r="O9" i="68"/>
  <c r="I12" i="68"/>
  <c r="L4" i="68"/>
  <c r="D10" i="68"/>
  <c r="X10" i="68"/>
  <c r="I7" i="68"/>
  <c r="U5" i="68"/>
  <c r="D5" i="68"/>
  <c r="O7" i="68"/>
  <c r="W6" i="68"/>
  <c r="P10" i="68"/>
  <c r="G3" i="68"/>
  <c r="E4" i="68"/>
  <c r="W12" i="68"/>
  <c r="Q3" i="68"/>
  <c r="F4" i="68"/>
  <c r="T12" i="68"/>
  <c r="F9" i="68"/>
  <c r="U10" i="68"/>
  <c r="W5" i="68"/>
  <c r="N12" i="68"/>
  <c r="X5" i="68"/>
  <c r="T3" i="68"/>
  <c r="G12" i="68"/>
  <c r="N4" i="68"/>
  <c r="T5" i="68"/>
  <c r="L8" i="68"/>
  <c r="V3" i="68"/>
  <c r="F5" i="68"/>
  <c r="M7" i="68"/>
  <c r="G10" i="68"/>
  <c r="Y10" i="68"/>
  <c r="V5" i="68"/>
  <c r="Q8" i="68"/>
  <c r="L7" i="68"/>
  <c r="Q10" i="68"/>
  <c r="O6" i="68"/>
  <c r="N3" i="68"/>
  <c r="H4" i="68"/>
  <c r="E9" i="68"/>
  <c r="T10" i="68"/>
  <c r="E12" i="68"/>
  <c r="H6" i="68"/>
  <c r="G6" i="68"/>
  <c r="W10" i="68"/>
  <c r="G5" i="68"/>
  <c r="X6" i="68"/>
  <c r="E3" i="68"/>
  <c r="P6" i="68"/>
  <c r="D9" i="68"/>
  <c r="O4" i="68"/>
  <c r="H10" i="68"/>
  <c r="G7" i="68"/>
  <c r="N8" i="68"/>
  <c r="W3" i="68"/>
  <c r="H5" i="68"/>
  <c r="T9" i="68"/>
  <c r="U8" i="68"/>
  <c r="D3" i="68"/>
  <c r="M9" i="68"/>
  <c r="P4" i="68"/>
  <c r="E8" i="68"/>
  <c r="D7" i="68"/>
  <c r="E11" i="68"/>
  <c r="O8" i="68"/>
  <c r="P12" i="68"/>
  <c r="I5" i="68"/>
  <c r="L5" i="68"/>
  <c r="O10" i="68"/>
  <c r="H3" i="68"/>
  <c r="M11" i="68"/>
  <c r="G4" i="68"/>
  <c r="F8" i="68"/>
  <c r="E7" i="68"/>
  <c r="W4" i="68"/>
  <c r="Q5" i="68"/>
  <c r="T11" i="68"/>
  <c r="I3" i="68"/>
  <c r="L11" i="68"/>
  <c r="L3" i="68"/>
  <c r="I4" i="68"/>
  <c r="G11" i="68"/>
  <c r="L12" i="68"/>
  <c r="V9" i="68"/>
  <c r="H9" i="68"/>
  <c r="D6" i="68"/>
  <c r="E10" i="68"/>
  <c r="G8" i="68"/>
  <c r="F7" i="68"/>
  <c r="D11" i="68"/>
  <c r="P8" i="68"/>
  <c r="O12" i="68"/>
  <c r="E5" i="68"/>
  <c r="U9" i="68"/>
  <c r="X4" i="68"/>
  <c r="M5" i="68"/>
  <c r="L10" i="68"/>
  <c r="W11" i="68"/>
  <c r="N11" i="68"/>
  <c r="O3" i="68"/>
  <c r="G9" i="68"/>
  <c r="I6" i="68"/>
  <c r="F10" i="68"/>
  <c r="I8" i="68"/>
  <c r="H7" i="68"/>
  <c r="H11" i="68"/>
  <c r="M8" i="68"/>
  <c r="N7" i="68"/>
  <c r="T6" i="68"/>
  <c r="P5" i="68"/>
  <c r="M10" i="68"/>
  <c r="U11" i="68"/>
  <c r="F3" i="68"/>
  <c r="O11" i="68"/>
  <c r="P3" i="68"/>
  <c r="U12" i="68"/>
  <c r="H8" i="68"/>
  <c r="I11" i="68"/>
  <c r="U3" i="68"/>
  <c r="P7" i="68"/>
  <c r="W9" i="68"/>
  <c r="V6" i="68"/>
  <c r="O5" i="68"/>
  <c r="N10" i="68"/>
  <c r="V11" i="68"/>
  <c r="M6" i="68"/>
  <c r="P11" i="68"/>
  <c r="N9" i="68"/>
  <c r="U7" i="68"/>
  <c r="V12" i="68"/>
  <c r="X9" i="68"/>
  <c r="N6" i="68"/>
  <c r="Q11" i="68"/>
  <c r="W7" i="68"/>
  <c r="X3" i="68"/>
  <c r="Q7" i="68"/>
  <c r="U6" i="68"/>
  <c r="H12" i="68"/>
  <c r="Q4" i="68"/>
  <c r="D8" i="68"/>
  <c r="Q12" i="68"/>
  <c r="Y9" i="68"/>
  <c r="N5" i="68"/>
  <c r="X11" i="68"/>
  <c r="L6" i="68"/>
  <c r="Q9" i="68"/>
  <c r="Y12" i="68"/>
  <c r="F6" i="68"/>
  <c r="F11" i="68"/>
  <c r="X7" i="68"/>
  <c r="F12" i="68"/>
  <c r="M4" i="68"/>
  <c r="E6" i="68"/>
  <c r="V10" i="68"/>
  <c r="Y5" i="68"/>
  <c r="M12" i="68"/>
  <c r="P9" i="68"/>
  <c r="Y7" i="68"/>
  <c r="X12" i="68"/>
  <c r="M15" i="76"/>
  <c r="U15" i="76"/>
  <c r="O15" i="76"/>
  <c r="M15" i="71"/>
  <c r="W15" i="58"/>
  <c r="W15" i="77"/>
  <c r="V15" i="76"/>
  <c r="Y15" i="76"/>
  <c r="N15" i="71"/>
  <c r="J2" i="75"/>
  <c r="V15" i="58"/>
  <c r="Y15" i="58"/>
  <c r="N15" i="76"/>
  <c r="V15" i="72"/>
  <c r="N15" i="77"/>
  <c r="M15" i="73"/>
  <c r="O15" i="74"/>
  <c r="O15" i="75"/>
  <c r="U15" i="58"/>
  <c r="J2" i="70"/>
  <c r="U15" i="73"/>
  <c r="U15" i="77"/>
  <c r="M15" i="77"/>
  <c r="M15" i="75"/>
  <c r="W15" i="72"/>
  <c r="M15" i="58"/>
  <c r="P15" i="76"/>
  <c r="P2" i="76"/>
  <c r="U15" i="72"/>
  <c r="J2" i="77"/>
  <c r="V15" i="71"/>
  <c r="P15" i="69"/>
  <c r="P2" i="69"/>
  <c r="O15" i="58"/>
  <c r="N15" i="72"/>
  <c r="O15" i="71"/>
  <c r="X15" i="58"/>
  <c r="X2" i="58"/>
  <c r="H2" i="76"/>
  <c r="Q15" i="76"/>
  <c r="P15" i="71"/>
  <c r="P2" i="71"/>
  <c r="H2" i="75"/>
  <c r="Q15" i="75"/>
  <c r="P2" i="73"/>
  <c r="P15" i="73"/>
  <c r="N15" i="74"/>
  <c r="J2" i="58"/>
  <c r="X15" i="76"/>
  <c r="X2" i="76"/>
  <c r="R15" i="77"/>
  <c r="R2" i="77"/>
  <c r="U15" i="74"/>
  <c r="M15" i="74"/>
  <c r="U15" i="70"/>
  <c r="P15" i="58"/>
  <c r="P2" i="58"/>
  <c r="O15" i="70"/>
  <c r="U15" i="69"/>
  <c r="H2" i="77"/>
  <c r="Q15" i="77"/>
  <c r="N15" i="73"/>
  <c r="V15" i="74"/>
  <c r="P2" i="74"/>
  <c r="P15" i="74"/>
  <c r="Q15" i="58"/>
  <c r="H2" i="58"/>
  <c r="V15" i="75"/>
  <c r="Q15" i="70"/>
  <c r="H2" i="70"/>
  <c r="X15" i="72"/>
  <c r="X2" i="72"/>
  <c r="W15" i="69"/>
  <c r="P2" i="77"/>
  <c r="P15" i="77"/>
  <c r="O15" i="73"/>
  <c r="W15" i="74"/>
  <c r="N15" i="69"/>
  <c r="Q15" i="74"/>
  <c r="H2" i="74"/>
  <c r="O15" i="72"/>
  <c r="V15" i="70"/>
  <c r="W15" i="75"/>
  <c r="R2" i="70"/>
  <c r="R15" i="70"/>
  <c r="Y15" i="72"/>
  <c r="V15" i="69"/>
  <c r="W15" i="71"/>
  <c r="O15" i="69"/>
  <c r="R2" i="74"/>
  <c r="R15" i="74"/>
  <c r="J2" i="72"/>
  <c r="X15" i="70"/>
  <c r="X2" i="70"/>
  <c r="H2" i="71"/>
  <c r="Q15" i="71"/>
  <c r="P2" i="75"/>
  <c r="P15" i="75"/>
  <c r="R2" i="76"/>
  <c r="R15" i="76"/>
  <c r="X15" i="73"/>
  <c r="X2" i="73"/>
  <c r="Y15" i="77"/>
  <c r="R15" i="75"/>
  <c r="R2" i="75"/>
  <c r="Z2" i="72"/>
  <c r="Z15" i="72"/>
  <c r="O15" i="77"/>
  <c r="Z15" i="71"/>
  <c r="Z2" i="71"/>
  <c r="Y15" i="74"/>
  <c r="M15" i="69"/>
  <c r="J2" i="74"/>
  <c r="R15" i="72"/>
  <c r="R2" i="72"/>
  <c r="Y15" i="70"/>
  <c r="Z2" i="75"/>
  <c r="Z15" i="75"/>
  <c r="V15" i="73"/>
  <c r="W15" i="73"/>
  <c r="Z15" i="77"/>
  <c r="Z2" i="77"/>
  <c r="J2" i="69"/>
  <c r="H2" i="72"/>
  <c r="Q15" i="72"/>
  <c r="Z2" i="70"/>
  <c r="Z15" i="70"/>
  <c r="Y15" i="75"/>
  <c r="X2" i="74"/>
  <c r="X15" i="74"/>
  <c r="Z15" i="58"/>
  <c r="Z2" i="58"/>
  <c r="N15" i="75"/>
  <c r="Z15" i="69"/>
  <c r="Z2" i="69"/>
  <c r="X15" i="71"/>
  <c r="X2" i="71"/>
  <c r="Z2" i="74"/>
  <c r="Z15" i="74"/>
  <c r="R15" i="69"/>
  <c r="R2" i="69"/>
  <c r="N15" i="58"/>
  <c r="P15" i="72"/>
  <c r="P2" i="72"/>
  <c r="X2" i="77"/>
  <c r="X15" i="77"/>
  <c r="Z2" i="76"/>
  <c r="N15" i="70"/>
  <c r="Y15" i="73"/>
  <c r="V15" i="77"/>
  <c r="J2" i="71"/>
  <c r="P2" i="70"/>
  <c r="P15" i="70"/>
  <c r="X15" i="69"/>
  <c r="X2" i="69"/>
  <c r="H2" i="73"/>
  <c r="Q15" i="73"/>
  <c r="Y15" i="71"/>
  <c r="X2" i="75"/>
  <c r="X15" i="75"/>
  <c r="Z2" i="73"/>
  <c r="Z15" i="73"/>
  <c r="R15" i="71"/>
  <c r="R2" i="71"/>
  <c r="M15" i="70"/>
  <c r="Y15" i="69"/>
  <c r="R15" i="73"/>
  <c r="R2" i="73"/>
  <c r="U15" i="71"/>
  <c r="H2" i="69"/>
  <c r="Q15" i="69"/>
  <c r="R15" i="58"/>
  <c r="R2" i="58"/>
  <c r="U15" i="75"/>
  <c r="G14" i="26"/>
  <c r="E14" i="26"/>
  <c r="D14" i="26"/>
  <c r="K14" i="26"/>
  <c r="P14" i="25"/>
  <c r="N14" i="25"/>
  <c r="M14" i="25"/>
  <c r="T14" i="25"/>
  <c r="D14" i="25"/>
  <c r="Y4" i="68" a="1"/>
  <c r="Y8" i="68" a="1"/>
  <c r="V8" i="68" a="1"/>
  <c r="L9" i="68" a="1"/>
  <c r="H4" i="23" a="1"/>
  <c r="T4" i="68" a="1"/>
  <c r="V4" i="68" a="1"/>
  <c r="X8" i="68" a="1"/>
  <c r="V7" i="68" a="1"/>
  <c r="I4" i="23" a="1"/>
  <c r="U4" i="68" a="1"/>
  <c r="T7" i="68" a="1"/>
  <c r="Y3" i="68" a="1"/>
  <c r="T8" i="68" a="1"/>
  <c r="W8" i="68" a="1"/>
  <c r="K16" i="68" l="1"/>
  <c r="S16" i="68"/>
  <c r="C16" i="68"/>
  <c r="L9" i="68"/>
  <c r="L13" i="68" s="1"/>
  <c r="O13" i="68"/>
  <c r="K13" i="68"/>
  <c r="R13" i="68" s="1"/>
  <c r="P13" i="68"/>
  <c r="M13" i="68"/>
  <c r="N13" i="68"/>
  <c r="Q13" i="68"/>
  <c r="W8" i="68"/>
  <c r="W13" i="68" s="1"/>
  <c r="V8" i="68"/>
  <c r="X8" i="68"/>
  <c r="X13" i="68" s="1"/>
  <c r="Y8" i="68"/>
  <c r="T8" i="68"/>
  <c r="V7" i="68"/>
  <c r="T7" i="68"/>
  <c r="T4" i="68"/>
  <c r="V4" i="68"/>
  <c r="U4" i="68"/>
  <c r="U13" i="68" s="1"/>
  <c r="Y4" i="68"/>
  <c r="W15" i="76"/>
  <c r="S13" i="68"/>
  <c r="Z13" i="68" s="1"/>
  <c r="Y3" i="68"/>
  <c r="C13" i="68"/>
  <c r="E13" i="68"/>
  <c r="D13" i="68"/>
  <c r="I13" i="68"/>
  <c r="H13" i="68"/>
  <c r="F13" i="68"/>
  <c r="G13" i="68"/>
  <c r="H4" i="23"/>
  <c r="I4" i="23"/>
  <c r="D10" i="23" a="1"/>
  <c r="D4" i="23" a="1"/>
  <c r="G10" i="23" a="1"/>
  <c r="F11" i="23" a="1"/>
  <c r="F7" i="23" a="1"/>
  <c r="D8" i="23" a="1"/>
  <c r="D6" i="23" a="1"/>
  <c r="E10" i="23" a="1"/>
  <c r="E12" i="23" a="1"/>
  <c r="F4" i="23" a="1"/>
  <c r="D12" i="23" a="1"/>
  <c r="F12" i="23" a="1"/>
  <c r="D9" i="23" a="1"/>
  <c r="E11" i="23" a="1"/>
  <c r="D7" i="23" a="1"/>
  <c r="E8" i="23" a="1"/>
  <c r="F13" i="23" a="1"/>
  <c r="E9" i="23" a="1"/>
  <c r="D11" i="23" a="1"/>
  <c r="F8" i="23" a="1"/>
  <c r="G13" i="23" a="1"/>
  <c r="G6" i="23" a="1"/>
  <c r="E13" i="23" a="1"/>
  <c r="F6" i="23" a="1"/>
  <c r="G9" i="23" a="1"/>
  <c r="G8" i="23" a="1"/>
  <c r="G12" i="23" a="1"/>
  <c r="G4" i="23" a="1"/>
  <c r="E4" i="23" a="1"/>
  <c r="G11" i="23" a="1"/>
  <c r="E6" i="23" a="1"/>
  <c r="D5" i="23" a="1"/>
  <c r="G7" i="23" a="1"/>
  <c r="D13" i="23" a="1"/>
  <c r="F10" i="23" a="1"/>
  <c r="G5" i="23" a="1"/>
  <c r="F5" i="23" a="1"/>
  <c r="E7" i="23" a="1"/>
  <c r="E5" i="23" a="1"/>
  <c r="F9" i="23" a="1"/>
  <c r="O14" i="68" l="1"/>
  <c r="L14" i="68"/>
  <c r="T13" i="68"/>
  <c r="T14" i="68" s="1"/>
  <c r="V13" i="68"/>
  <c r="V14" i="68" s="1"/>
  <c r="Y13" i="68"/>
  <c r="Y14" i="68" s="1"/>
  <c r="S14" i="68"/>
  <c r="X14" i="68"/>
  <c r="U14" i="68"/>
  <c r="K14" i="68"/>
  <c r="J13" i="68"/>
  <c r="M14" i="68"/>
  <c r="Q14" i="68"/>
  <c r="W14" i="68"/>
  <c r="P14" i="68"/>
  <c r="N14" i="6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<sst xmlns="http://schemas.openxmlformats.org/spreadsheetml/2006/main" count="677" uniqueCount="22">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</sst>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abSelected="1" zoomScale="85" zoomScaleNormal="85" workbookViewId="0">
      <selection activeCell="G40" sqref="G40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116</v>
      </c>
      <c r="C3" s="5" cm="1">
        <f t="array" aca="1" ref="C3" ca="1">INDIRECT("'results" &amp; $B3 &amp; "'!D$14")</f>
        <v>1016993.022341865</v>
      </c>
      <c r="D3" s="33" cm="1">
        <f t="array" aca="1" ref="D3" ca="1">INDIRECT("'results" &amp; $B3 &amp; "'!E$14")</f>
        <v>139.14125608299949</v>
      </c>
      <c r="E3" s="5" cm="1">
        <f t="array" aca="1" ref="E3" ca="1">INDIRECT("'results" &amp; $B3 &amp; "'!F$14")</f>
        <v>9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1249.4328414416452</v>
      </c>
      <c r="H3" s="33" cm="1">
        <f t="array" aca="1" ref="H3" ca="1">INDIRECT("'results" &amp; $B3 &amp; "'!I$14")</f>
        <v>38.276639445583186</v>
      </c>
      <c r="I3" s="5" cm="1">
        <f t="array" aca="1" ref="I3" ca="1">INDIRECT("'results" &amp; $B3 &amp; "'!J$14")</f>
        <v>6596.2340146396646</v>
      </c>
      <c r="J3" s="5"/>
      <c r="K3" s="5" cm="1">
        <f t="array" aca="1" ref="K3" ca="1">INDIRECT("'results" &amp; $B3 &amp; "'!L$14")</f>
        <v>1228710.2787659171</v>
      </c>
      <c r="L3" s="5" cm="1">
        <f t="array" aca="1" ref="L3" ca="1">INDIRECT("'results" &amp; $B3 &amp; "'!M$14")</f>
        <v>74.163710791000085</v>
      </c>
      <c r="M3" s="5" cm="1">
        <f t="array" aca="1" ref="M3" ca="1">INDIRECT("'results" &amp; $B3 &amp; "'!N$14")</f>
        <v>12</v>
      </c>
      <c r="N3" s="5" cm="1">
        <f t="array" aca="1" ref="N3" ca="1">INDIRECT("'results" &amp; $B3 &amp; "'!O$14")</f>
        <v>69</v>
      </c>
      <c r="O3" s="5" cm="1">
        <f t="array" aca="1" ref="O3" ca="1">INDIRECT("'results" &amp; $B3 &amp; "'!P$14")</f>
        <v>603.93414760843075</v>
      </c>
      <c r="P3" s="5" cm="1">
        <f t="array" aca="1" ref="P3" ca="1">INDIRECT("'results" &amp; $B3 &amp; "'!Q$14")</f>
        <v>19.833763255150835</v>
      </c>
      <c r="Q3" s="5" cm="1">
        <f t="array" aca="1" ref="Q3" ca="1">INDIRECT("'results" &amp; $B3 &amp; "'!R$14")</f>
        <v>5376.6734400509567</v>
      </c>
      <c r="R3" s="5"/>
      <c r="S3" s="5" cm="1">
        <f t="array" aca="1" ref="S3" ca="1">INDIRECT("'results" &amp; $B3 &amp; "'!T$14")</f>
        <v>1329702.5133283241</v>
      </c>
      <c r="T3" s="5" cm="1">
        <f t="array" aca="1" ref="T3" ca="1">INDIRECT("'results" &amp; $B3 &amp; "'!U$14")</f>
        <v>66.01295033399947</v>
      </c>
      <c r="U3" s="5" cm="1">
        <f t="array" aca="1" ref="U3" ca="1">INDIRECT("'results" &amp; $B3 &amp; "'!V$14")</f>
        <v>5</v>
      </c>
      <c r="V3" s="5" cm="1">
        <f t="array" aca="1" ref="V3" ca="1">INDIRECT("'results" &amp; $B3 &amp; "'!W$14")</f>
        <v>57</v>
      </c>
      <c r="W3" s="5" cm="1">
        <f t="array" aca="1" ref="W3" ca="1">INDIRECT("'results" &amp; $B3 &amp; "'!X$14")</f>
        <v>897.20621718094048</v>
      </c>
      <c r="X3" s="5" cm="1">
        <f t="array" aca="1" ref="X3" ca="1">INDIRECT("'results" &amp; $B3 &amp; "'!Y$14")</f>
        <v>55.332356810158764</v>
      </c>
      <c r="Y3" s="5" cm="1">
        <f t="array" aca="1" ref="Y3" ca="1">INDIRECT("'results" &amp; $B3 &amp; "'!Z$14")</f>
        <v>6581.6654578845209</v>
      </c>
      <c r="Z3" s="5"/>
    </row>
    <row r="4" spans="2:26" x14ac:dyDescent="0.2">
      <c r="B4" s="4">
        <v>123</v>
      </c>
      <c r="C4" s="5" cm="1">
        <f t="array" aca="1" ref="C4" ca="1">INDIRECT("'results" &amp; $B4 &amp; "'!D$14")</f>
        <v>877460.78949741344</v>
      </c>
      <c r="D4" s="33" cm="1">
        <f t="array" aca="1" ref="D4" ca="1">INDIRECT("'results" &amp; $B4 &amp; "'!E$14")</f>
        <v>45.188973041003919</v>
      </c>
      <c r="E4" s="5" cm="1">
        <f t="array" aca="1" ref="E4" ca="1">INDIRECT("'results" &amp; $B4 &amp; "'!F$14")</f>
        <v>7</v>
      </c>
      <c r="F4" s="5" cm="1">
        <f t="array" aca="1" ref="F4" ca="1">INDIRECT("'results" &amp; $B4 &amp; "'!G$14")</f>
        <v>94</v>
      </c>
      <c r="G4" s="5" cm="1">
        <f t="array" aca="1" ref="G4" ca="1">INDIRECT("'results" &amp; $B4 &amp; "'!H$14")</f>
        <v>997.12912785189155</v>
      </c>
      <c r="H4" s="33" cm="1">
        <f t="array" aca="1" ref="H4" ca="1">INDIRECT("'results" &amp; $B4 &amp; "'!I$14")</f>
        <v>60.844577029343284</v>
      </c>
      <c r="I4" s="5" cm="1">
        <f t="array" aca="1" ref="I4" ca="1">INDIRECT("'results" &amp; $B4 &amp; "'!J$14")</f>
        <v>6403.9976683428849</v>
      </c>
      <c r="J4" s="5"/>
      <c r="K4" s="5" cm="1">
        <f t="array" aca="1" ref="K4" ca="1">INDIRECT("'results" &amp; $B4 &amp; "'!L$14")</f>
        <v>1137419.944912897</v>
      </c>
      <c r="L4" s="5" cm="1">
        <f t="array" aca="1" ref="L4" ca="1">INDIRECT("'results" &amp; $B4 &amp; "'!M$14")</f>
        <v>146.05019429199999</v>
      </c>
      <c r="M4" s="5" cm="1">
        <f t="array" aca="1" ref="M4" ca="1">INDIRECT("'results" &amp; $B4 &amp; "'!N$14")</f>
        <v>14</v>
      </c>
      <c r="N4" s="5" cm="1">
        <f t="array" aca="1" ref="N4" ca="1">INDIRECT("'results" &amp; $B4 &amp; "'!O$14")</f>
        <v>74</v>
      </c>
      <c r="O4" s="5" cm="1">
        <f t="array" aca="1" ref="O4" ca="1">INDIRECT("'results" &amp; $B4 &amp; "'!P$14")</f>
        <v>472.31669704219547</v>
      </c>
      <c r="P4" s="5" cm="1">
        <f t="array" aca="1" ref="P4" ca="1">INDIRECT("'results" &amp; $B4 &amp; "'!Q$14")</f>
        <v>22.655164761370312</v>
      </c>
      <c r="Q4" s="5" cm="1">
        <f t="array" aca="1" ref="Q4" ca="1">INDIRECT("'results" &amp; $B4 &amp; "'!R$14")</f>
        <v>4783.2915922989487</v>
      </c>
      <c r="R4" s="5"/>
      <c r="S4" s="5" cm="1">
        <f t="array" aca="1" ref="S4" ca="1">INDIRECT("'results" &amp; $B4 &amp; "'!T$14")</f>
        <v>1167395.130907607</v>
      </c>
      <c r="T4" s="5" cm="1">
        <f t="array" aca="1" ref="T4" ca="1">INDIRECT("'results" &amp; $B4 &amp; "'!U$14")</f>
        <v>74.505554166004003</v>
      </c>
      <c r="U4" s="5" cm="1">
        <f t="array" aca="1" ref="U4" ca="1">INDIRECT("'results" &amp; $B4 &amp; "'!V$14")</f>
        <v>10</v>
      </c>
      <c r="V4" s="5" cm="1">
        <f t="array" aca="1" ref="V4" ca="1">INDIRECT("'results" &amp; $B4 &amp; "'!W$14")</f>
        <v>77</v>
      </c>
      <c r="W4" s="5" cm="1">
        <f t="array" aca="1" ref="W4" ca="1">INDIRECT("'results" &amp; $B4 &amp; "'!X$14")</f>
        <v>1402.7773959895001</v>
      </c>
      <c r="X4" s="5" cm="1">
        <f t="array" aca="1" ref="X4" ca="1">INDIRECT("'results" &amp; $B4 &amp; "'!Y$14")</f>
        <v>59.066965592674855</v>
      </c>
      <c r="Y4" s="5" cm="1">
        <f t="array" aca="1" ref="Y4" ca="1">INDIRECT("'results" &amp; $B4 &amp; "'!Z$14")</f>
        <v>6806.1032670090808</v>
      </c>
      <c r="Z4" s="5"/>
    </row>
    <row r="5" spans="2:26" x14ac:dyDescent="0.2">
      <c r="B5" s="4">
        <v>163</v>
      </c>
      <c r="C5" s="5" cm="1">
        <f t="array" aca="1" ref="C5" ca="1">INDIRECT("'results" &amp; $B5 &amp; "'!D$14")</f>
        <v>983789.24493517703</v>
      </c>
      <c r="D5" s="33" cm="1">
        <f t="array" aca="1" ref="D5" ca="1">INDIRECT("'results" &amp; $B5 &amp; "'!E$14")</f>
        <v>88.331817332997161</v>
      </c>
      <c r="E5" s="5" cm="1">
        <f t="array" aca="1" ref="E5" ca="1">INDIRECT("'results" &amp; $B5 &amp; "'!F$14")</f>
        <v>8</v>
      </c>
      <c r="F5" s="5" cm="1">
        <f t="array" aca="1" ref="F5" ca="1">INDIRECT("'results" &amp; $B5 &amp; "'!G$14")</f>
        <v>91</v>
      </c>
      <c r="G5" s="5" cm="1">
        <f t="array" aca="1" ref="G5" ca="1">INDIRECT("'results" &amp; $B5 &amp; "'!H$14")</f>
        <v>1173.1277265510039</v>
      </c>
      <c r="H5" s="33" cm="1">
        <f t="array" aca="1" ref="H5" ca="1">INDIRECT("'results" &amp; $B5 &amp; "'!I$14")</f>
        <v>46.808464305657672</v>
      </c>
      <c r="I5" s="5" cm="1">
        <f t="array" aca="1" ref="I5" ca="1">INDIRECT("'results" &amp; $B5 &amp; "'!J$14")</f>
        <v>6645.4034250296827</v>
      </c>
      <c r="J5" s="5"/>
      <c r="K5" s="5" cm="1">
        <f t="array" aca="1" ref="K5" ca="1">INDIRECT("'results" &amp; $B5 &amp; "'!L$14")</f>
        <v>1263469.849005929</v>
      </c>
      <c r="L5" s="5" cm="1">
        <f t="array" aca="1" ref="L5" ca="1">INDIRECT("'results" &amp; $B5 &amp; "'!M$14")</f>
        <v>117.6518662500002</v>
      </c>
      <c r="M5" s="5" cm="1">
        <f t="array" aca="1" ref="M5" ca="1">INDIRECT("'results" &amp; $B5 &amp; "'!N$14")</f>
        <v>12</v>
      </c>
      <c r="N5" s="5" cm="1">
        <f t="array" aca="1" ref="N5" ca="1">INDIRECT("'results" &amp; $B5 &amp; "'!O$14")</f>
        <v>67</v>
      </c>
      <c r="O5" s="5" cm="1">
        <f t="array" aca="1" ref="O5" ca="1">INDIRECT("'results" &amp; $B5 &amp; "'!P$14")</f>
        <v>710.94708044856895</v>
      </c>
      <c r="P5" s="5" cm="1">
        <f t="array" aca="1" ref="P5" ca="1">INDIRECT("'results" &amp; $B5 &amp; "'!Q$14")</f>
        <v>21.905669827139807</v>
      </c>
      <c r="Q5" s="5" cm="1">
        <f t="array" aca="1" ref="Q5" ca="1">INDIRECT("'results" &amp; $B5 &amp; "'!R$14")</f>
        <v>5355.8277608801463</v>
      </c>
      <c r="R5" s="5"/>
      <c r="S5" s="5" cm="1">
        <f t="array" aca="1" ref="S5" ca="1">INDIRECT("'results" &amp; $B5 &amp; "'!T$14")</f>
        <v>1317685.636006007</v>
      </c>
      <c r="T5" s="5" cm="1">
        <f t="array" aca="1" ref="T5" ca="1">INDIRECT("'results" &amp; $B5 &amp; "'!U$14")</f>
        <v>106.1002123750004</v>
      </c>
      <c r="U5" s="5" cm="1">
        <f t="array" aca="1" ref="U5" ca="1">INDIRECT("'results" &amp; $B5 &amp; "'!V$14")</f>
        <v>5</v>
      </c>
      <c r="V5" s="5" cm="1">
        <f t="array" aca="1" ref="V5" ca="1">INDIRECT("'results" &amp; $B5 &amp; "'!W$14")</f>
        <v>53</v>
      </c>
      <c r="W5" s="5" cm="1">
        <f t="array" aca="1" ref="W5" ca="1">INDIRECT("'results" &amp; $B5 &amp; "'!X$14")</f>
        <v>620.86960530706222</v>
      </c>
      <c r="X5" s="5" cm="1">
        <f t="array" aca="1" ref="X5" ca="1">INDIRECT("'results" &amp; $B5 &amp; "'!Y$14")</f>
        <v>71.837491989498133</v>
      </c>
      <c r="Y5" s="5" cm="1">
        <f t="array" aca="1" ref="Y5" ca="1">INDIRECT("'results" &amp; $B5 &amp; "'!Z$14")</f>
        <v>5935.3929389644645</v>
      </c>
      <c r="Z5" s="5"/>
    </row>
    <row r="6" spans="2:26" x14ac:dyDescent="0.2">
      <c r="B6" s="4">
        <v>246</v>
      </c>
      <c r="C6" s="5" cm="1">
        <f t="array" aca="1" ref="C6" ca="1">INDIRECT("'results" &amp; $B6 &amp; "'!D$14")</f>
        <v>920669.68145738309</v>
      </c>
      <c r="D6" s="33" cm="1">
        <f t="array" aca="1" ref="D6" ca="1">INDIRECT("'results" &amp; $B6 &amp; "'!E$14")</f>
        <v>96.943898250006896</v>
      </c>
      <c r="E6" s="5" cm="1">
        <f t="array" aca="1" ref="E6" ca="1">INDIRECT("'results" &amp; $B6 &amp; "'!F$14")</f>
        <v>9</v>
      </c>
      <c r="F6" s="5" cm="1">
        <f t="array" aca="1" ref="F6" ca="1">INDIRECT("'results" &amp; $B6 &amp; "'!G$14")</f>
        <v>98</v>
      </c>
      <c r="G6" s="5" cm="1">
        <f t="array" aca="1" ref="G6" ca="1">INDIRECT("'results" &amp; $B6 &amp; "'!H$14")</f>
        <v>1270.7042929036345</v>
      </c>
      <c r="H6" s="33" cm="1">
        <f t="array" aca="1" ref="H6" ca="1">INDIRECT("'results" &amp; $B6 &amp; "'!I$14")</f>
        <v>47.937573010493907</v>
      </c>
      <c r="I6" s="5" cm="1">
        <f t="array" aca="1" ref="I6" ca="1">INDIRECT("'results" &amp; $B6 &amp; "'!J$14")</f>
        <v>6751.8092421871652</v>
      </c>
      <c r="J6" s="5"/>
      <c r="K6" s="5" cm="1">
        <f t="array" aca="1" ref="K6" ca="1">INDIRECT("'results" &amp; $B6 &amp; "'!L$14")</f>
        <v>1229374.7034348079</v>
      </c>
      <c r="L6" s="5" cm="1">
        <f t="array" aca="1" ref="L6" ca="1">INDIRECT("'results" &amp; $B6 &amp; "'!M$14")</f>
        <v>218.56212212500029</v>
      </c>
      <c r="M6" s="5" cm="1">
        <f t="array" aca="1" ref="M6" ca="1">INDIRECT("'results" &amp; $B6 &amp; "'!N$14")</f>
        <v>13</v>
      </c>
      <c r="N6" s="5" cm="1">
        <f t="array" aca="1" ref="N6" ca="1">INDIRECT("'results" &amp; $B6 &amp; "'!O$14")</f>
        <v>73</v>
      </c>
      <c r="O6" s="5" cm="1">
        <f t="array" aca="1" ref="O6" ca="1">INDIRECT("'results" &amp; $B6 &amp; "'!P$14")</f>
        <v>974.64577273811415</v>
      </c>
      <c r="P6" s="5" cm="1">
        <f t="array" aca="1" ref="P6" ca="1">INDIRECT("'results" &amp; $B6 &amp; "'!Q$14")</f>
        <v>23.67626559128616</v>
      </c>
      <c r="Q6" s="5" cm="1">
        <f t="array" aca="1" ref="Q6" ca="1">INDIRECT("'results" &amp; $B6 &amp; "'!R$14")</f>
        <v>5795.192590436498</v>
      </c>
      <c r="R6" s="5"/>
      <c r="S6" s="5" cm="1">
        <f t="array" aca="1" ref="S6" ca="1">INDIRECT("'results" &amp; $B6 &amp; "'!T$14")</f>
        <v>1192542.731625011</v>
      </c>
      <c r="T6" s="5" cm="1">
        <f t="array" aca="1" ref="T6" ca="1">INDIRECT("'results" &amp; $B6 &amp; "'!U$14")</f>
        <v>164.4327152079932</v>
      </c>
      <c r="U6" s="5" cm="1">
        <f t="array" aca="1" ref="U6" ca="1">INDIRECT("'results" &amp; $B6 &amp; "'!V$14")</f>
        <v>10</v>
      </c>
      <c r="V6" s="5" cm="1">
        <f t="array" aca="1" ref="V6" ca="1">INDIRECT("'results" &amp; $B6 &amp; "'!W$14")</f>
        <v>80</v>
      </c>
      <c r="W6" s="5" cm="1">
        <f t="array" aca="1" ref="W6" ca="1">INDIRECT("'results" &amp; $B6 &amp; "'!X$14")</f>
        <v>1902.263496904081</v>
      </c>
      <c r="X6" s="5" cm="1">
        <f t="array" aca="1" ref="X6" ca="1">INDIRECT("'results" &amp; $B6 &amp; "'!Y$14")</f>
        <v>55.777311233009144</v>
      </c>
      <c r="Y6" s="5" cm="1">
        <f t="array" aca="1" ref="Y6" ca="1">INDIRECT("'results" &amp; $B6 &amp; "'!Z$14")</f>
        <v>7287.2808058677447</v>
      </c>
      <c r="Z6" s="5"/>
    </row>
    <row r="7" spans="2:26" x14ac:dyDescent="0.2">
      <c r="B7" s="4">
        <v>305</v>
      </c>
      <c r="C7" s="5" cm="1">
        <f t="array" aca="1" ref="C7" ca="1">INDIRECT("'results" &amp; $B7 &amp; "'!D$14")</f>
        <v>947109.34710750997</v>
      </c>
      <c r="D7" s="33" cm="1">
        <f t="array" aca="1" ref="D7" ca="1">INDIRECT("'results" &amp; $B7 &amp; "'!E$14")</f>
        <v>69.239780290998169</v>
      </c>
      <c r="E7" s="5" cm="1">
        <f t="array" aca="1" ref="E7" ca="1">INDIRECT("'results" &amp; $B7 &amp; "'!F$14")</f>
        <v>8</v>
      </c>
      <c r="F7" s="5" cm="1">
        <f t="array" aca="1" ref="F7" ca="1">INDIRECT("'results" &amp; $B7 &amp; "'!G$14")</f>
        <v>93</v>
      </c>
      <c r="G7" s="5" cm="1">
        <f t="array" aca="1" ref="G7" ca="1">INDIRECT("'results" &amp; $B7 &amp; "'!H$14")</f>
        <v>1075.3799796227438</v>
      </c>
      <c r="H7" s="33" cm="1">
        <f t="array" aca="1" ref="H7" ca="1">INDIRECT("'results" &amp; $B7 &amp; "'!I$14")</f>
        <v>43.378773438878085</v>
      </c>
      <c r="I7" s="5" cm="1">
        <f t="array" aca="1" ref="I7" ca="1">INDIRECT("'results" &amp; $B7 &amp; "'!J$14")</f>
        <v>6632.2496588848671</v>
      </c>
      <c r="J7" s="5"/>
      <c r="K7" s="5" cm="1">
        <f t="array" aca="1" ref="K7" ca="1">INDIRECT("'results" &amp; $B7 &amp; "'!L$14")</f>
        <v>1217617.7809414901</v>
      </c>
      <c r="L7" s="5" cm="1">
        <f t="array" aca="1" ref="L7" ca="1">INDIRECT("'results" &amp; $B7 &amp; "'!M$14")</f>
        <v>105.3883207919998</v>
      </c>
      <c r="M7" s="5" cm="1">
        <f t="array" aca="1" ref="M7" ca="1">INDIRECT("'results" &amp; $B7 &amp; "'!N$14")</f>
        <v>13</v>
      </c>
      <c r="N7" s="5" cm="1">
        <f t="array" aca="1" ref="N7" ca="1">INDIRECT("'results" &amp; $B7 &amp; "'!O$14")</f>
        <v>74</v>
      </c>
      <c r="O7" s="5" cm="1">
        <f t="array" aca="1" ref="O7" ca="1">INDIRECT("'results" &amp; $B7 &amp; "'!P$14")</f>
        <v>913.94324771549873</v>
      </c>
      <c r="P7" s="5" cm="1">
        <f t="array" aca="1" ref="P7" ca="1">INDIRECT("'results" &amp; $B7 &amp; "'!Q$14")</f>
        <v>21.371846613115142</v>
      </c>
      <c r="Q7" s="5" cm="1">
        <f t="array" aca="1" ref="Q7" ca="1">INDIRECT("'results" &amp; $B7 &amp; "'!R$14")</f>
        <v>5877.4478776013812</v>
      </c>
      <c r="R7" s="5"/>
      <c r="S7" s="5" cm="1">
        <f t="array" aca="1" ref="S7" ca="1">INDIRECT("'results" &amp; $B7 &amp; "'!T$14")</f>
        <v>1306589.6867575489</v>
      </c>
      <c r="T7" s="5" cm="1">
        <f t="array" aca="1" ref="T7" ca="1">INDIRECT("'results" &amp; $B7 &amp; "'!U$14")</f>
        <v>87.479080332996091</v>
      </c>
      <c r="U7" s="5" cm="1">
        <f t="array" aca="1" ref="U7" ca="1">INDIRECT("'results" &amp; $B7 &amp; "'!V$14")</f>
        <v>7</v>
      </c>
      <c r="V7" s="5" cm="1">
        <f t="array" aca="1" ref="V7" ca="1">INDIRECT("'results" &amp; $B7 &amp; "'!W$14")</f>
        <v>63</v>
      </c>
      <c r="W7" s="5" cm="1">
        <f t="array" aca="1" ref="W7" ca="1">INDIRECT("'results" &amp; $B7 &amp; "'!X$14")</f>
        <v>1148.3459141083135</v>
      </c>
      <c r="X7" s="5" cm="1">
        <f t="array" aca="1" ref="X7" ca="1">INDIRECT("'results" &amp; $B7 &amp; "'!Y$14")</f>
        <v>51.158707354558054</v>
      </c>
      <c r="Y7" s="5" cm="1">
        <f t="array" aca="1" ref="Y7" ca="1">INDIRECT("'results" &amp; $B7 &amp; "'!Z$14")</f>
        <v>6881.9910279593387</v>
      </c>
      <c r="Z7" s="5"/>
    </row>
    <row r="8" spans="2:26" x14ac:dyDescent="0.2">
      <c r="B8" s="4">
        <v>449</v>
      </c>
      <c r="C8" s="5" cm="1">
        <f t="array" aca="1" ref="C8" ca="1">INDIRECT("'results" &amp; $B8 &amp; "'!D$14")</f>
        <v>894891.93461494159</v>
      </c>
      <c r="D8" s="33" cm="1">
        <f t="array" aca="1" ref="D8" ca="1">INDIRECT("'results" &amp; $B8 &amp; "'!E$14")</f>
        <v>104.0458023329993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96</v>
      </c>
      <c r="G8" s="5" cm="1">
        <f t="array" aca="1" ref="G8" ca="1">INDIRECT("'results" &amp; $B8 &amp; "'!H$14")</f>
        <v>1093.2574604869908</v>
      </c>
      <c r="H8" s="33" cm="1">
        <f t="array" aca="1" ref="H8" ca="1">INDIRECT("'results" &amp; $B8 &amp; "'!I$14")</f>
        <v>38.392993690871286</v>
      </c>
      <c r="I8" s="5" cm="1">
        <f t="array" aca="1" ref="I8" ca="1">INDIRECT("'results" &amp; $B8 &amp; "'!J$14")</f>
        <v>6144.1724181442123</v>
      </c>
      <c r="J8" s="5"/>
      <c r="K8" s="5" cm="1">
        <f t="array" aca="1" ref="K8" ca="1">INDIRECT("'results" &amp; $B8 &amp; "'!L$14")</f>
        <v>1158662.5437411941</v>
      </c>
      <c r="L8" s="5" cm="1">
        <f t="array" aca="1" ref="L8" ca="1">INDIRECT("'results" &amp; $B8 &amp; "'!M$14")</f>
        <v>99.689716666000095</v>
      </c>
      <c r="M8" s="5" cm="1">
        <f t="array" aca="1" ref="M8" ca="1">INDIRECT("'results" &amp; $B8 &amp; "'!N$14")</f>
        <v>11</v>
      </c>
      <c r="N8" s="5" cm="1">
        <f t="array" aca="1" ref="N8" ca="1">INDIRECT("'results" &amp; $B8 &amp; "'!O$14")</f>
        <v>69</v>
      </c>
      <c r="O8" s="5" cm="1">
        <f t="array" aca="1" ref="O8" ca="1">INDIRECT("'results" &amp; $B8 &amp; "'!P$14")</f>
        <v>470.94495915210126</v>
      </c>
      <c r="P8" s="5" cm="1">
        <f t="array" aca="1" ref="P8" ca="1">INDIRECT("'results" &amp; $B8 &amp; "'!Q$14")</f>
        <v>21.577951961431982</v>
      </c>
      <c r="Q8" s="5" cm="1">
        <f t="array" aca="1" ref="Q8" ca="1">INDIRECT("'results" &amp; $B8 &amp; "'!R$14")</f>
        <v>4911.4903691510017</v>
      </c>
      <c r="R8" s="5"/>
      <c r="S8" s="5" cm="1">
        <f t="array" aca="1" ref="S8" ca="1">INDIRECT("'results" &amp; $B8 &amp; "'!T$14")</f>
        <v>1162573.0734329319</v>
      </c>
      <c r="T8" s="5" cm="1">
        <f t="array" aca="1" ref="T8" ca="1">INDIRECT("'results" &amp; $B8 &amp; "'!U$14")</f>
        <v>83.708672083004785</v>
      </c>
      <c r="U8" s="5" cm="1">
        <f t="array" aca="1" ref="U8" ca="1">INDIRECT("'results" &amp; $B8 &amp; "'!V$14")</f>
        <v>8</v>
      </c>
      <c r="V8" s="5" cm="1">
        <f t="array" aca="1" ref="V8" ca="1">INDIRECT("'results" &amp; $B8 &amp; "'!W$14")</f>
        <v>74</v>
      </c>
      <c r="W8" s="5" cm="1">
        <f t="array" aca="1" ref="W8" ca="1">INDIRECT("'results" &amp; $B8 &amp; "'!X$14")</f>
        <v>1479.9477069203676</v>
      </c>
      <c r="X8" s="5" cm="1">
        <f t="array" aca="1" ref="X8" ca="1">INDIRECT("'results" &amp; $B8 &amp; "'!Y$14")</f>
        <v>60.320300156273589</v>
      </c>
      <c r="Y8" s="5" cm="1">
        <f t="array" aca="1" ref="Y8" ca="1">INDIRECT("'results" &amp; $B8 &amp; "'!Z$14")</f>
        <v>6675.1401646134664</v>
      </c>
      <c r="Z8" s="5"/>
    </row>
    <row r="9" spans="2:26" x14ac:dyDescent="0.2">
      <c r="B9" s="4">
        <v>466</v>
      </c>
      <c r="C9" s="5" cm="1">
        <f t="array" aca="1" ref="C9" ca="1">INDIRECT("'results" &amp; $B9 &amp; "'!D$14")</f>
        <v>857452.67435615964</v>
      </c>
      <c r="D9" s="33" cm="1">
        <f t="array" aca="1" ref="D9" ca="1">INDIRECT("'results" &amp; $B9 &amp; "'!E$14")</f>
        <v>55.233302542001177</v>
      </c>
      <c r="E9" s="5" cm="1">
        <f t="array" aca="1" ref="E9" ca="1">INDIRECT("'results" &amp; $B9 &amp; "'!F$14")</f>
        <v>7</v>
      </c>
      <c r="F9" s="5" cm="1">
        <f t="array" aca="1" ref="F9" ca="1">INDIRECT("'results" &amp; $B9 &amp; "'!G$14")</f>
        <v>94</v>
      </c>
      <c r="G9" s="5" cm="1">
        <f t="array" aca="1" ref="G9" ca="1">INDIRECT("'results" &amp; $B9 &amp; "'!H$14")</f>
        <v>772.86342371791181</v>
      </c>
      <c r="H9" s="33" cm="1">
        <f t="array" aca="1" ref="H9" ca="1">INDIRECT("'results" &amp; $B9 &amp; "'!I$14")</f>
        <v>41.94682111943532</v>
      </c>
      <c r="I9" s="5" cm="1">
        <f t="array" aca="1" ref="I9" ca="1">INDIRECT("'results" &amp; $B9 &amp; "'!J$14")</f>
        <v>6163.7654490203504</v>
      </c>
      <c r="J9" s="5"/>
      <c r="K9" s="5" cm="1">
        <f t="array" aca="1" ref="K9" ca="1">INDIRECT("'results" &amp; $B9 &amp; "'!L$14")</f>
        <v>1104577.3038058251</v>
      </c>
      <c r="L9" s="5" cm="1">
        <f t="array" aca="1" ref="L9" ca="1">INDIRECT("'results" &amp; $B9 &amp; "'!M$14")</f>
        <v>72.475252250000267</v>
      </c>
      <c r="M9" s="5" cm="1">
        <f t="array" aca="1" ref="M9" ca="1">INDIRECT("'results" &amp; $B9 &amp; "'!N$14")</f>
        <v>13</v>
      </c>
      <c r="N9" s="5" cm="1">
        <f t="array" aca="1" ref="N9" ca="1">INDIRECT("'results" &amp; $B9 &amp; "'!O$14")</f>
        <v>77</v>
      </c>
      <c r="O9" s="5" cm="1">
        <f t="array" aca="1" ref="O9" ca="1">INDIRECT("'results" &amp; $B9 &amp; "'!P$14")</f>
        <v>510.6223451041522</v>
      </c>
      <c r="P9" s="5" cm="1">
        <f t="array" aca="1" ref="P9" ca="1">INDIRECT("'results" &amp; $B9 &amp; "'!Q$14")</f>
        <v>17.613340292797105</v>
      </c>
      <c r="Q9" s="5" cm="1">
        <f t="array" aca="1" ref="Q9" ca="1">INDIRECT("'results" &amp; $B9 &amp; "'!R$14")</f>
        <v>5012.5334041371834</v>
      </c>
      <c r="R9" s="5"/>
      <c r="S9" s="5" cm="1">
        <f t="array" aca="1" ref="S9" ca="1">INDIRECT("'results" &amp; $B9 &amp; "'!T$14")</f>
        <v>1103889.7469616979</v>
      </c>
      <c r="T9" s="5" cm="1">
        <f t="array" aca="1" ref="T9" ca="1">INDIRECT("'results" &amp; $B9 &amp; "'!U$14")</f>
        <v>76.463146875001257</v>
      </c>
      <c r="U9" s="5" cm="1">
        <f t="array" aca="1" ref="U9" ca="1">INDIRECT("'results" &amp; $B9 &amp; "'!V$14")</f>
        <v>7</v>
      </c>
      <c r="V9" s="5" cm="1">
        <f t="array" aca="1" ref="V9" ca="1">INDIRECT("'results" &amp; $B9 &amp; "'!W$14")</f>
        <v>76</v>
      </c>
      <c r="W9" s="5" cm="1">
        <f t="array" aca="1" ref="W9" ca="1">INDIRECT("'results" &amp; $B9 &amp; "'!X$14")</f>
        <v>1036.5369808078121</v>
      </c>
      <c r="X9" s="5" cm="1">
        <f t="array" aca="1" ref="X9" ca="1">INDIRECT("'results" &amp; $B9 &amp; "'!Y$14")</f>
        <v>54.706307559669867</v>
      </c>
      <c r="Y9" s="5" cm="1">
        <f t="array" aca="1" ref="Y9" ca="1">INDIRECT("'results" &amp; $B9 &amp; "'!Z$14")</f>
        <v>6434.5964343158676</v>
      </c>
      <c r="Z9" s="5"/>
    </row>
    <row r="10" spans="2:26" x14ac:dyDescent="0.2">
      <c r="B10" s="4">
        <v>590</v>
      </c>
      <c r="C10" s="5" cm="1">
        <f t="array" aca="1" ref="C10" ca="1">INDIRECT("'results" &amp; $B10 &amp; "'!D$14")</f>
        <v>1039285.911304438</v>
      </c>
      <c r="D10" s="33" cm="1">
        <f t="array" aca="1" ref="D10" ca="1">INDIRECT("'results" &amp; $B10 &amp; "'!E$14")</f>
        <v>36.315835791996513</v>
      </c>
      <c r="E10" s="5" cm="1">
        <f t="array" aca="1" ref="E10" ca="1">INDIRECT("'results" &amp; $B10 &amp; "'!F$14")</f>
        <v>7</v>
      </c>
      <c r="F10" s="5" cm="1">
        <f t="array" aca="1" ref="F10" ca="1">INDIRECT("'results" &amp; $B10 &amp; "'!G$14")</f>
        <v>86</v>
      </c>
      <c r="G10" s="5" cm="1">
        <f t="array" aca="1" ref="G10" ca="1">INDIRECT("'results" &amp; $B10 &amp; "'!H$14")</f>
        <v>1287.695407609378</v>
      </c>
      <c r="H10" s="33" cm="1">
        <f t="array" aca="1" ref="H10" ca="1">INDIRECT("'results" &amp; $B10 &amp; "'!I$14")</f>
        <v>52.8310918623731</v>
      </c>
      <c r="I10" s="5" cm="1">
        <f t="array" aca="1" ref="I10" ca="1">INDIRECT("'results" &amp; $B10 &amp; "'!J$14")</f>
        <v>6845.2802105784895</v>
      </c>
      <c r="J10" s="5"/>
      <c r="K10" s="5" cm="1">
        <f t="array" aca="1" ref="K10" ca="1">INDIRECT("'results" &amp; $B10 &amp; "'!L$14")</f>
        <v>1266159.343688614</v>
      </c>
      <c r="L10" s="5" cm="1">
        <f t="array" aca="1" ref="L10" ca="1">INDIRECT("'results" &amp; $B10 &amp; "'!M$14")</f>
        <v>83.519665083999826</v>
      </c>
      <c r="M10" s="5" cm="1">
        <f t="array" aca="1" ref="M10" ca="1">INDIRECT("'results" &amp; $B10 &amp; "'!N$14")</f>
        <v>9</v>
      </c>
      <c r="N10" s="5" cm="1">
        <f t="array" aca="1" ref="N10" ca="1">INDIRECT("'results" &amp; $B10 &amp; "'!O$14")</f>
        <v>62</v>
      </c>
      <c r="O10" s="5" cm="1">
        <f t="array" aca="1" ref="O10" ca="1">INDIRECT("'results" &amp; $B10 &amp; "'!P$14")</f>
        <v>659.14578414970276</v>
      </c>
      <c r="P10" s="5" cm="1">
        <f t="array" aca="1" ref="P10" ca="1">INDIRECT("'results" &amp; $B10 &amp; "'!Q$14")</f>
        <v>26.971662058951541</v>
      </c>
      <c r="Q10" s="5" cm="1">
        <f t="array" aca="1" ref="Q10" ca="1">INDIRECT("'results" &amp; $B10 &amp; "'!R$14")</f>
        <v>5237.2691986913696</v>
      </c>
      <c r="R10" s="5"/>
      <c r="S10" s="5" cm="1">
        <f t="array" aca="1" ref="S10" ca="1">INDIRECT("'results" &amp; $B10 &amp; "'!T$14")</f>
        <v>1321926.3696169569</v>
      </c>
      <c r="T10" s="5" cm="1">
        <f t="array" aca="1" ref="T10" ca="1">INDIRECT("'results" &amp; $B10 &amp; "'!U$14")</f>
        <v>59.73731491700164</v>
      </c>
      <c r="U10" s="5" cm="1">
        <f t="array" aca="1" ref="U10" ca="1">INDIRECT("'results" &amp; $B10 &amp; "'!V$14")</f>
        <v>6</v>
      </c>
      <c r="V10" s="5" cm="1">
        <f t="array" aca="1" ref="V10" ca="1">INDIRECT("'results" &amp; $B10 &amp; "'!W$14")</f>
        <v>60</v>
      </c>
      <c r="W10" s="5" cm="1">
        <f t="array" aca="1" ref="W10" ca="1">INDIRECT("'results" &amp; $B10 &amp; "'!X$14")</f>
        <v>1208.6089387160357</v>
      </c>
      <c r="X10" s="5" cm="1">
        <f t="array" aca="1" ref="X10" ca="1">INDIRECT("'results" &amp; $B10 &amp; "'!Y$14")</f>
        <v>62.073257187785401</v>
      </c>
      <c r="Y10" s="5" cm="1">
        <f t="array" aca="1" ref="Y10" ca="1">INDIRECT("'results" &amp; $B10 &amp; "'!Z$14")</f>
        <v>6802.2516293583722</v>
      </c>
      <c r="Z10" s="5"/>
    </row>
    <row r="11" spans="2:26" x14ac:dyDescent="0.2">
      <c r="B11" s="4">
        <v>715</v>
      </c>
      <c r="C11" s="5" cm="1">
        <f t="array" aca="1" ref="C11" ca="1">INDIRECT("'results" &amp; $B11 &amp; "'!D$14")</f>
        <v>827362.81810634653</v>
      </c>
      <c r="D11" s="33" cm="1">
        <f t="array" aca="1" ref="D11" ca="1">INDIRECT("'results" &amp; $B11 &amp; "'!E$14")</f>
        <v>35.653155959000287</v>
      </c>
      <c r="E11" s="5" cm="1">
        <f t="array" aca="1" ref="E11" ca="1">INDIRECT("'results" &amp; $B11 &amp; "'!F$14")</f>
        <v>7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810.0864719218016</v>
      </c>
      <c r="H11" s="33" cm="1">
        <f t="array" aca="1" ref="H11" ca="1">INDIRECT("'results" &amp; $B11 &amp; "'!I$14")</f>
        <v>42.600910601159065</v>
      </c>
      <c r="I11" s="5" cm="1">
        <f t="array" aca="1" ref="I11" ca="1">INDIRECT("'results" &amp; $B11 &amp; "'!J$14")</f>
        <v>5744.5754530972872</v>
      </c>
      <c r="J11" s="5"/>
      <c r="K11" s="5" cm="1">
        <f t="array" aca="1" ref="K11" ca="1">INDIRECT("'results" &amp; $B11 &amp; "'!L$14")</f>
        <v>1031784.598572218</v>
      </c>
      <c r="L11" s="5" cm="1">
        <f t="array" aca="1" ref="L11" ca="1">INDIRECT("'results" &amp; $B11 &amp; "'!M$14")</f>
        <v>97.164949292000529</v>
      </c>
      <c r="M11" s="5" cm="1">
        <f t="array" aca="1" ref="M11" ca="1">INDIRECT("'results" &amp; $B11 &amp; "'!N$14")</f>
        <v>13</v>
      </c>
      <c r="N11" s="5" cm="1">
        <f t="array" aca="1" ref="N11" ca="1">INDIRECT("'results" &amp; $B11 &amp; "'!O$14")</f>
        <v>82</v>
      </c>
      <c r="O11" s="5" cm="1">
        <f t="array" aca="1" ref="O11" ca="1">INDIRECT("'results" &amp; $B11 &amp; "'!P$14")</f>
        <v>533.91819951129094</v>
      </c>
      <c r="P11" s="5" cm="1">
        <f t="array" aca="1" ref="P11" ca="1">INDIRECT("'results" &amp; $B11 &amp; "'!Q$14")</f>
        <v>19.894583490070747</v>
      </c>
      <c r="Q11" s="5" cm="1">
        <f t="array" aca="1" ref="Q11" ca="1">INDIRECT("'results" &amp; $B11 &amp; "'!R$14")</f>
        <v>5023.9138200308744</v>
      </c>
      <c r="R11" s="5"/>
      <c r="S11" s="5" cm="1">
        <f t="array" aca="1" ref="S11" ca="1">INDIRECT("'results" &amp; $B11 &amp; "'!T$14")</f>
        <v>1095051.0995794621</v>
      </c>
      <c r="T11" s="5" cm="1">
        <f t="array" aca="1" ref="T11" ca="1">INDIRECT("'results" &amp; $B11 &amp; "'!U$14")</f>
        <v>37.119481374997122</v>
      </c>
      <c r="U11" s="5" cm="1">
        <f t="array" aca="1" ref="U11" ca="1">INDIRECT("'results" &amp; $B11 &amp; "'!V$14")</f>
        <v>8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1137.5282297901736</v>
      </c>
      <c r="X11" s="5" cm="1">
        <f t="array" aca="1" ref="X11" ca="1">INDIRECT("'results" &amp; $B11 &amp; "'!Y$14")</f>
        <v>50.703396646028821</v>
      </c>
      <c r="Y11" s="5" cm="1">
        <f t="array" aca="1" ref="Y11" ca="1">INDIRECT("'results" &amp; $B11 &amp; "'!Z$14")</f>
        <v>6559.5528524157708</v>
      </c>
      <c r="Z11" s="5"/>
    </row>
    <row r="12" spans="2:26" x14ac:dyDescent="0.2">
      <c r="B12" s="4">
        <v>874</v>
      </c>
      <c r="C12" s="5" cm="1">
        <f t="array" aca="1" ref="C12" ca="1">INDIRECT("'results" &amp; $B12 &amp; "'!D$14")</f>
        <v>741819.41929463856</v>
      </c>
      <c r="D12" s="33" cm="1">
        <f t="array" aca="1" ref="D12" ca="1">INDIRECT("'results" &amp; $B12 &amp; "'!E$14")</f>
        <v>46.192470249996397</v>
      </c>
      <c r="E12" s="5" cm="1">
        <f t="array" aca="1" ref="E12" ca="1">INDIRECT("'results" &amp; $B12 &amp; "'!F$14")</f>
        <v>8</v>
      </c>
      <c r="F12" s="5" cm="1">
        <f t="array" aca="1" ref="F12" ca="1">INDIRECT("'results" &amp; $B12 &amp; "'!G$14")</f>
        <v>98</v>
      </c>
      <c r="G12" s="5" cm="1">
        <f t="array" aca="1" ref="G12" ca="1">INDIRECT("'results" &amp; $B12 &amp; "'!H$14")</f>
        <v>663.80933282133083</v>
      </c>
      <c r="H12" s="33" cm="1">
        <f t="array" aca="1" ref="H12" ca="1">INDIRECT("'results" &amp; $B12 &amp; "'!I$14")</f>
        <v>53.910977841523987</v>
      </c>
      <c r="I12" s="5" cm="1">
        <f t="array" aca="1" ref="I12" ca="1">INDIRECT("'results" &amp; $B12 &amp; "'!J$14")</f>
        <v>5793.4169580303915</v>
      </c>
      <c r="J12" s="5"/>
      <c r="K12" s="5" cm="1">
        <f t="array" aca="1" ref="K12" ca="1">INDIRECT("'results" &amp; $B12 &amp; "'!L$14")</f>
        <v>1128853.054983679</v>
      </c>
      <c r="L12" s="5" cm="1">
        <f t="array" aca="1" ref="L12" ca="1">INDIRECT("'results" &amp; $B12 &amp; "'!M$14")</f>
        <v>83.93682812499992</v>
      </c>
      <c r="M12" s="5" cm="1">
        <f t="array" aca="1" ref="M12" ca="1">INDIRECT("'results" &amp; $B12 &amp; "'!N$14")</f>
        <v>13</v>
      </c>
      <c r="N12" s="5" cm="1">
        <f t="array" aca="1" ref="N12" ca="1">INDIRECT("'results" &amp; $B12 &amp; "'!O$14")</f>
        <v>73</v>
      </c>
      <c r="O12" s="5" cm="1">
        <f t="array" aca="1" ref="O12" ca="1">INDIRECT("'results" &amp; $B12 &amp; "'!P$14")</f>
        <v>498.21756454699738</v>
      </c>
      <c r="P12" s="5" cm="1">
        <f t="array" aca="1" ref="P12" ca="1">INDIRECT("'results" &amp; $B12 &amp; "'!Q$14")</f>
        <v>22.069998691456323</v>
      </c>
      <c r="Q12" s="5" cm="1">
        <f t="array" aca="1" ref="Q12" ca="1">INDIRECT("'results" &amp; $B12 &amp; "'!R$14")</f>
        <v>4852.577661912529</v>
      </c>
      <c r="R12" s="5"/>
      <c r="S12" s="5" cm="1">
        <f t="array" aca="1" ref="S12" ca="1">INDIRECT("'results" &amp; $B12 &amp; "'!T$14")</f>
        <v>1069039.464434837</v>
      </c>
      <c r="T12" s="5" cm="1">
        <f t="array" aca="1" ref="T12" ca="1">INDIRECT("'results" &amp; $B12 &amp; "'!U$14")</f>
        <v>117.0959379159976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85</v>
      </c>
      <c r="W12" s="5" cm="1">
        <f t="array" aca="1" ref="W12" ca="1">INDIRECT("'results" &amp; $B12 &amp; "'!X$14")</f>
        <v>1608.5680906458799</v>
      </c>
      <c r="X12" s="5" cm="1">
        <f t="array" aca="1" ref="X12" ca="1">INDIRECT("'results" &amp; $B12 &amp; "'!Y$14")</f>
        <v>67.366267824212727</v>
      </c>
      <c r="Y12" s="5" cm="1">
        <f t="array" aca="1" ref="Y12" ca="1">INDIRECT("'results" &amp; $B12 &amp; "'!Z$14")</f>
        <v>7103.419824099311</v>
      </c>
      <c r="Z12" s="5"/>
    </row>
    <row r="13" spans="2:26" x14ac:dyDescent="0.2">
      <c r="B13" s="8" t="s">
        <v>3</v>
      </c>
      <c r="C13" s="9">
        <f ca="1">AVERAGE(C3:C12)</f>
        <v>910683.48430158722</v>
      </c>
      <c r="D13" s="10">
        <f t="shared" ref="D13:I13" ca="1" si="0">AVERAGE(D3:D12)</f>
        <v>71.628629187399923</v>
      </c>
      <c r="E13" s="9">
        <f t="shared" ca="1" si="0"/>
        <v>8</v>
      </c>
      <c r="F13" s="9">
        <f t="shared" ca="1" si="0"/>
        <v>93.4</v>
      </c>
      <c r="G13" s="9">
        <f t="shared" ca="1" si="0"/>
        <v>1039.3486064928331</v>
      </c>
      <c r="H13" s="10">
        <f t="shared" ca="1" si="0"/>
        <v>46.692882234531886</v>
      </c>
      <c r="I13" s="9">
        <f t="shared" ca="1" si="0"/>
        <v>6372.0904497954998</v>
      </c>
      <c r="J13" s="32" t="e">
        <f ca="1">(C13-$D$15)/$D$15</f>
        <v>#DIV/0!</v>
      </c>
      <c r="K13" s="16">
        <f ca="1">AVERAGE(K3:K12)</f>
        <v>1176662.9401852572</v>
      </c>
      <c r="L13" s="41">
        <f t="shared" ref="L13:Q13" ca="1" si="1">AVERAGE(L3:L12)</f>
        <v>109.86026256670011</v>
      </c>
      <c r="M13" s="16">
        <f t="shared" ca="1" si="1"/>
        <v>12.3</v>
      </c>
      <c r="N13" s="16">
        <f ca="1">AVERAGE(N3:N12)</f>
        <v>72</v>
      </c>
      <c r="O13" s="16">
        <f t="shared" ca="1" si="1"/>
        <v>634.86357980170533</v>
      </c>
      <c r="P13" s="41">
        <f t="shared" ca="1" si="1"/>
        <v>21.757024654276997</v>
      </c>
      <c r="Q13" s="16">
        <f t="shared" ca="1" si="1"/>
        <v>5222.6217715190887</v>
      </c>
      <c r="R13" s="42" t="e">
        <f ca="1">(K13-$D$15)/$D$15</f>
        <v>#DIV/0!</v>
      </c>
      <c r="S13" s="38">
        <f ca="1">AVERAGE(S3:S12)</f>
        <v>1206639.5452650383</v>
      </c>
      <c r="T13" s="43">
        <f t="shared" ref="T13:Y13" ca="1" si="2">AVERAGE(T3:T12)</f>
        <v>87.265506558199561</v>
      </c>
      <c r="U13" s="38">
        <f t="shared" ca="1" si="2"/>
        <v>7.6</v>
      </c>
      <c r="V13" s="38">
        <f t="shared" ca="1" si="2"/>
        <v>70.5</v>
      </c>
      <c r="W13" s="38">
        <f t="shared" ca="1" si="2"/>
        <v>1244.2652576370167</v>
      </c>
      <c r="X13" s="43">
        <f t="shared" ca="1" si="2"/>
        <v>58.834236235386946</v>
      </c>
      <c r="Y13" s="38">
        <f t="shared" ca="1" si="2"/>
        <v>6706.7394402487944</v>
      </c>
      <c r="Z13" s="44" t="e">
        <f ca="1">(S13-$D$15)/$D$15</f>
        <v>#DIV/0!</v>
      </c>
    </row>
    <row r="14" spans="2:26" x14ac:dyDescent="0.2">
      <c r="K14" s="45">
        <f ca="1">(K13-C13)/C13</f>
        <v>0.2920657511293866</v>
      </c>
      <c r="L14" s="45">
        <f t="shared" ref="L14:Q14" ca="1" si="3">(L13-D13)/D13</f>
        <v>0.53374794147289717</v>
      </c>
      <c r="M14" s="45">
        <f t="shared" ca="1" si="3"/>
        <v>0.53750000000000009</v>
      </c>
      <c r="N14" s="45">
        <f t="shared" ca="1" si="3"/>
        <v>-0.22912205567451824</v>
      </c>
      <c r="O14" s="45">
        <f t="shared" ca="1" si="3"/>
        <v>-0.38917166402523767</v>
      </c>
      <c r="P14" s="45">
        <f t="shared" ca="1" si="3"/>
        <v>-0.53403980193395495</v>
      </c>
      <c r="Q14" s="45">
        <f t="shared" ca="1" si="3"/>
        <v>-0.18039114280201424</v>
      </c>
      <c r="S14" s="45">
        <f ca="1">(S13-C13)/C13</f>
        <v>0.32498235233773115</v>
      </c>
      <c r="T14" s="45">
        <f t="shared" ref="T14:Y14" ca="1" si="4">(T13-D13)/D13</f>
        <v>0.21830485307612582</v>
      </c>
      <c r="U14" s="45">
        <f t="shared" ca="1" si="4"/>
        <v>-5.0000000000000044E-2</v>
      </c>
      <c r="V14" s="45">
        <f ca="1">(V13-F13)/F13</f>
        <v>-0.24518201284796579</v>
      </c>
      <c r="W14" s="45">
        <f t="shared" ca="1" si="4"/>
        <v>0.19715872986605729</v>
      </c>
      <c r="X14" s="45">
        <f t="shared" ca="1" si="4"/>
        <v>0.26002579879028925</v>
      </c>
      <c r="Y14" s="45">
        <f t="shared" ca="1" si="4"/>
        <v>5.2517928471030179E-2</v>
      </c>
    </row>
    <row r="16" spans="2:26" x14ac:dyDescent="0.2">
      <c r="B16" s="1" t="s">
        <v>21</v>
      </c>
      <c r="C16">
        <f ca="1">_xlfn.STDEV.S(C3:C12)</f>
        <v>90832.793543876192</v>
      </c>
      <c r="J16" s="1" t="s">
        <v>21</v>
      </c>
      <c r="K16">
        <f ca="1">_xlfn.STDEV.S(K3:K12)</f>
        <v>76772.162918354443</v>
      </c>
      <c r="R16" s="1" t="s">
        <v>21</v>
      </c>
      <c r="S16">
        <f ca="1">_xlfn.STDEV.S(S3:S12)</f>
        <v>103484.18756832523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-0.98412578683919827</v>
      </c>
      <c r="J2" s="28" t="e">
        <f>(S14-J14)/J14</f>
        <v>#DIV/0!</v>
      </c>
      <c r="K2" s="28"/>
      <c r="L2" s="1" t="s">
        <v>19</v>
      </c>
      <c r="P2" s="1">
        <f>(P14-H14)/H14</f>
        <v>-0.51663336549438899</v>
      </c>
      <c r="R2" s="1">
        <f>(R14-J14)/J14</f>
        <v>-0.18488740270312093</v>
      </c>
      <c r="T2" s="1" t="s">
        <v>20</v>
      </c>
      <c r="X2" s="1">
        <f>(X14-P14)/P14</f>
        <v>0.48560272793625314</v>
      </c>
      <c r="Z2" s="1">
        <f>(Z14-R14)/R14</f>
        <v>0.22411478607898197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1065497.07739655</v>
      </c>
      <c r="E4" s="33">
        <v>46.499215916002868</v>
      </c>
      <c r="F4" s="5">
        <v>7</v>
      </c>
      <c r="G4" s="23">
        <v>84</v>
      </c>
      <c r="H4" s="33">
        <v>1236.4742067237146</v>
      </c>
      <c r="I4" s="23">
        <v>44.247142683516529</v>
      </c>
      <c r="J4" s="5">
        <v>6738.4181974716703</v>
      </c>
      <c r="K4" s="31"/>
      <c r="L4" s="23">
        <v>1289394.844259247</v>
      </c>
      <c r="M4" s="33">
        <v>78.091391584000121</v>
      </c>
      <c r="N4" s="5">
        <v>15</v>
      </c>
      <c r="O4" s="5">
        <v>77</v>
      </c>
      <c r="P4" s="33">
        <v>1420.9812674265004</v>
      </c>
      <c r="Q4" s="5">
        <v>18.69374415366865</v>
      </c>
      <c r="R4" s="5">
        <v>6318.0928164500892</v>
      </c>
      <c r="S4" s="31"/>
      <c r="T4" s="23">
        <v>1378170.981229997</v>
      </c>
      <c r="U4" s="33">
        <v>49.775661499996197</v>
      </c>
      <c r="V4" s="5">
        <v>5</v>
      </c>
      <c r="W4" s="5">
        <v>53</v>
      </c>
      <c r="X4" s="33">
        <v>874.93323120760317</v>
      </c>
      <c r="Y4" s="5">
        <v>54.773927543153249</v>
      </c>
      <c r="Z4" s="5">
        <v>6519.1310283350585</v>
      </c>
      <c r="AA4" s="35"/>
    </row>
    <row r="5" spans="2:27" x14ac:dyDescent="0.2">
      <c r="B5" s="4">
        <v>2</v>
      </c>
      <c r="C5" s="4">
        <v>554</v>
      </c>
      <c r="D5" s="23">
        <v>1062941.533668387</v>
      </c>
      <c r="E5" s="33">
        <v>79.471451249999518</v>
      </c>
      <c r="F5" s="5">
        <v>7</v>
      </c>
      <c r="G5" s="23">
        <v>85</v>
      </c>
      <c r="H5" s="33">
        <v>1287.7890462486498</v>
      </c>
      <c r="I5" s="23">
        <v>45.441368450775649</v>
      </c>
      <c r="J5" s="5">
        <v>6771.9813081132497</v>
      </c>
      <c r="K5" s="31"/>
      <c r="L5" s="23">
        <v>1258237.8423682321</v>
      </c>
      <c r="M5" s="33">
        <v>48.04952270800004</v>
      </c>
      <c r="N5" s="5">
        <v>12</v>
      </c>
      <c r="O5" s="5">
        <v>67</v>
      </c>
      <c r="P5" s="33">
        <v>664.73493447007672</v>
      </c>
      <c r="Q5" s="5">
        <v>18.727377287007261</v>
      </c>
      <c r="R5" s="5">
        <v>5314.2880899624115</v>
      </c>
      <c r="S5" s="31"/>
      <c r="T5" s="23">
        <v>1329702.5133283241</v>
      </c>
      <c r="U5" s="33">
        <v>66.01295033399947</v>
      </c>
      <c r="V5" s="5">
        <v>5</v>
      </c>
      <c r="W5" s="5">
        <v>57</v>
      </c>
      <c r="X5" s="33">
        <v>897.20621718094048</v>
      </c>
      <c r="Y5" s="5">
        <v>55.332356810158764</v>
      </c>
      <c r="Z5" s="5">
        <v>6581.6654578845209</v>
      </c>
      <c r="AA5" s="35"/>
    </row>
    <row r="6" spans="2:27" x14ac:dyDescent="0.2">
      <c r="B6" s="4">
        <v>3</v>
      </c>
      <c r="C6" s="4">
        <v>604</v>
      </c>
      <c r="D6" s="23">
        <v>1079975.009692305</v>
      </c>
      <c r="E6" s="33">
        <v>49.083240291998663</v>
      </c>
      <c r="F6" s="5">
        <v>7</v>
      </c>
      <c r="G6" s="23">
        <v>84</v>
      </c>
      <c r="H6" s="33">
        <v>1330.5726895390494</v>
      </c>
      <c r="I6" s="23">
        <v>44.177641489583102</v>
      </c>
      <c r="J6" s="5">
        <v>6808.4358699473623</v>
      </c>
      <c r="K6" s="31"/>
      <c r="L6" s="23">
        <v>1256286.3974986239</v>
      </c>
      <c r="M6" s="33">
        <v>88.028418874999261</v>
      </c>
      <c r="N6" s="5">
        <v>11</v>
      </c>
      <c r="O6" s="5">
        <v>68</v>
      </c>
      <c r="P6" s="33">
        <v>849.64171024787674</v>
      </c>
      <c r="Q6" s="5">
        <v>20.433299719444175</v>
      </c>
      <c r="R6" s="5">
        <v>5665.5446740515108</v>
      </c>
      <c r="S6" s="31"/>
      <c r="T6" s="23">
        <v>1354196.923326212</v>
      </c>
      <c r="U6" s="33">
        <v>83.054781958999229</v>
      </c>
      <c r="V6" s="5">
        <v>6</v>
      </c>
      <c r="W6" s="5">
        <v>60</v>
      </c>
      <c r="X6" s="33">
        <v>1416.1015740024748</v>
      </c>
      <c r="Y6" s="5">
        <v>50.59220469181647</v>
      </c>
      <c r="Z6" s="5">
        <v>6984.5753278101074</v>
      </c>
      <c r="AA6" s="35"/>
    </row>
    <row r="7" spans="2:27" x14ac:dyDescent="0.2">
      <c r="B7" s="4">
        <v>4</v>
      </c>
      <c r="C7" s="4">
        <v>655</v>
      </c>
      <c r="D7" s="23">
        <v>1061928.4500636731</v>
      </c>
      <c r="E7" s="33">
        <v>73.133035875005589</v>
      </c>
      <c r="F7" s="5">
        <v>9</v>
      </c>
      <c r="G7" s="23">
        <v>89</v>
      </c>
      <c r="H7" s="33">
        <v>1472.8748609028719</v>
      </c>
      <c r="I7" s="23">
        <v>37.043652637937981</v>
      </c>
      <c r="J7" s="5">
        <v>6811.2657655403282</v>
      </c>
      <c r="K7" s="31"/>
      <c r="L7" s="23">
        <v>1259388.7790056721</v>
      </c>
      <c r="M7" s="33">
        <v>102.6726946670005</v>
      </c>
      <c r="N7" s="5">
        <v>11</v>
      </c>
      <c r="O7" s="5">
        <v>69</v>
      </c>
      <c r="P7" s="33">
        <v>1000.7391018725599</v>
      </c>
      <c r="Q7" s="5">
        <v>21.425483367458291</v>
      </c>
      <c r="R7" s="5">
        <v>5723.8670456678446</v>
      </c>
      <c r="S7" s="31"/>
      <c r="T7" s="23">
        <v>1361241.9171492469</v>
      </c>
      <c r="U7" s="33">
        <v>103.1996090829998</v>
      </c>
      <c r="V7" s="5">
        <v>5</v>
      </c>
      <c r="W7" s="5">
        <v>53</v>
      </c>
      <c r="X7" s="33">
        <v>771.06990482361766</v>
      </c>
      <c r="Y7" s="5">
        <v>54.947358425339644</v>
      </c>
      <c r="Z7" s="5">
        <v>6327.6382264948643</v>
      </c>
      <c r="AA7" s="35"/>
    </row>
    <row r="8" spans="2:27" x14ac:dyDescent="0.2">
      <c r="B8" s="4">
        <v>5</v>
      </c>
      <c r="C8" s="4">
        <v>698</v>
      </c>
      <c r="D8" s="23">
        <v>1016993.022341865</v>
      </c>
      <c r="E8" s="33">
        <v>139.14125608299949</v>
      </c>
      <c r="F8" s="5">
        <v>9</v>
      </c>
      <c r="G8" s="23">
        <v>90</v>
      </c>
      <c r="H8" s="33">
        <v>1249.4328414416452</v>
      </c>
      <c r="I8" s="23">
        <v>38.276639445583186</v>
      </c>
      <c r="J8" s="5">
        <v>6596.2340146396646</v>
      </c>
      <c r="K8" s="31"/>
      <c r="L8" s="23">
        <v>1232801.4192869051</v>
      </c>
      <c r="M8" s="33">
        <v>145.22449083299941</v>
      </c>
      <c r="N8" s="5">
        <v>13</v>
      </c>
      <c r="O8" s="5">
        <v>75</v>
      </c>
      <c r="P8" s="33">
        <v>1135.2337468459716</v>
      </c>
      <c r="Q8" s="5">
        <v>20.982651941088495</v>
      </c>
      <c r="R8" s="5">
        <v>5997.4514523107373</v>
      </c>
      <c r="S8" s="31"/>
      <c r="T8" s="23">
        <v>1332739.581011795</v>
      </c>
      <c r="U8" s="33">
        <v>92.855319250003959</v>
      </c>
      <c r="V8" s="5">
        <v>7</v>
      </c>
      <c r="W8" s="5">
        <v>62</v>
      </c>
      <c r="X8" s="33">
        <v>1282.4450516723036</v>
      </c>
      <c r="Y8" s="5">
        <v>49.016465016012766</v>
      </c>
      <c r="Z8" s="5">
        <v>6911.4071946184013</v>
      </c>
      <c r="AA8" s="35"/>
    </row>
    <row r="9" spans="2:27" x14ac:dyDescent="0.2">
      <c r="B9" s="4">
        <v>6</v>
      </c>
      <c r="C9" s="4">
        <v>723</v>
      </c>
      <c r="D9" s="23">
        <v>1060590.3524555459</v>
      </c>
      <c r="E9" s="33">
        <v>59.816728416997648</v>
      </c>
      <c r="F9" s="5">
        <v>7</v>
      </c>
      <c r="G9" s="23">
        <v>86</v>
      </c>
      <c r="H9" s="33">
        <v>1350.2541745965304</v>
      </c>
      <c r="I9" s="23">
        <v>45.393977840107219</v>
      </c>
      <c r="J9" s="5">
        <v>6858.4157466024208</v>
      </c>
      <c r="K9" s="31"/>
      <c r="L9" s="23">
        <v>1248661.8897939811</v>
      </c>
      <c r="M9" s="33">
        <v>116.2153938750007</v>
      </c>
      <c r="N9" s="5">
        <v>12</v>
      </c>
      <c r="O9" s="5">
        <v>69</v>
      </c>
      <c r="P9" s="33">
        <v>766.19566298131372</v>
      </c>
      <c r="Q9" s="5">
        <v>20.142636522689539</v>
      </c>
      <c r="R9" s="5">
        <v>5540.2942675743379</v>
      </c>
      <c r="S9" s="31"/>
      <c r="T9" s="23">
        <v>1361297.6341145181</v>
      </c>
      <c r="U9" s="33">
        <v>85.986527417000616</v>
      </c>
      <c r="V9" s="5">
        <v>5</v>
      </c>
      <c r="W9" s="5">
        <v>55</v>
      </c>
      <c r="X9" s="33">
        <v>982.84699949117908</v>
      </c>
      <c r="Y9" s="5">
        <v>58.122363822273826</v>
      </c>
      <c r="Z9" s="5">
        <v>6647.2270231522243</v>
      </c>
      <c r="AA9" s="35"/>
    </row>
    <row r="10" spans="2:27" x14ac:dyDescent="0.2">
      <c r="B10" s="4">
        <v>7</v>
      </c>
      <c r="C10" s="4">
        <v>775</v>
      </c>
      <c r="D10" s="23">
        <v>1149410.164305303</v>
      </c>
      <c r="E10" s="33">
        <v>41.039842582998972</v>
      </c>
      <c r="F10" s="5">
        <v>9</v>
      </c>
      <c r="G10" s="23">
        <v>92</v>
      </c>
      <c r="H10" s="33">
        <v>1991.9685743295584</v>
      </c>
      <c r="I10" s="23">
        <v>38.563535575645773</v>
      </c>
      <c r="J10" s="5">
        <v>7600.8315057149639</v>
      </c>
      <c r="K10" s="31"/>
      <c r="L10" s="23">
        <v>1230002.6901469319</v>
      </c>
      <c r="M10" s="33">
        <v>151.94048550000019</v>
      </c>
      <c r="N10" s="5">
        <v>13</v>
      </c>
      <c r="O10" s="5">
        <v>72</v>
      </c>
      <c r="P10" s="33">
        <v>891.06944195607832</v>
      </c>
      <c r="Q10" s="5">
        <v>19.50507210997927</v>
      </c>
      <c r="R10" s="5">
        <v>5500.2340711215893</v>
      </c>
      <c r="S10" s="31"/>
      <c r="T10" s="23">
        <v>1330610.49428416</v>
      </c>
      <c r="U10" s="33">
        <v>66.464318834005098</v>
      </c>
      <c r="V10" s="5">
        <v>5</v>
      </c>
      <c r="W10" s="5">
        <v>58</v>
      </c>
      <c r="X10" s="33">
        <v>1015.893684186203</v>
      </c>
      <c r="Y10" s="5">
        <v>56.375887525436703</v>
      </c>
      <c r="Z10" s="5">
        <v>6734.556795947783</v>
      </c>
      <c r="AA10" s="35"/>
    </row>
    <row r="11" spans="2:27" x14ac:dyDescent="0.2">
      <c r="B11" s="4">
        <v>8</v>
      </c>
      <c r="C11" s="4">
        <v>854</v>
      </c>
      <c r="D11" s="23">
        <v>1062531.685450498</v>
      </c>
      <c r="E11" s="33">
        <v>43.782882750005228</v>
      </c>
      <c r="F11" s="5">
        <v>8</v>
      </c>
      <c r="G11" s="23">
        <v>87</v>
      </c>
      <c r="H11" s="33">
        <v>1389.8765758212037</v>
      </c>
      <c r="I11" s="23">
        <v>40.434364776260423</v>
      </c>
      <c r="J11" s="5">
        <v>6684.7314459278741</v>
      </c>
      <c r="K11" s="31"/>
      <c r="L11" s="23">
        <v>1235767.8759080139</v>
      </c>
      <c r="M11" s="33">
        <v>122.7178726669999</v>
      </c>
      <c r="N11" s="5">
        <v>11</v>
      </c>
      <c r="O11" s="5">
        <v>69</v>
      </c>
      <c r="P11" s="33">
        <v>808.49652086597416</v>
      </c>
      <c r="Q11" s="5">
        <v>21.686969736699965</v>
      </c>
      <c r="R11" s="5">
        <v>5602.1840321586842</v>
      </c>
      <c r="S11" s="31"/>
      <c r="T11" s="23">
        <v>1395798.9790876801</v>
      </c>
      <c r="U11" s="33">
        <v>115.9833544580033</v>
      </c>
      <c r="V11" s="5">
        <v>5</v>
      </c>
      <c r="W11" s="5">
        <v>52</v>
      </c>
      <c r="X11" s="33">
        <v>819.67926420116862</v>
      </c>
      <c r="Y11" s="5">
        <v>53.056036386684831</v>
      </c>
      <c r="Z11" s="5">
        <v>6574.9245919949008</v>
      </c>
      <c r="AA11" s="35"/>
    </row>
    <row r="12" spans="2:27" x14ac:dyDescent="0.2">
      <c r="B12" s="4">
        <v>9</v>
      </c>
      <c r="C12" s="4">
        <v>956</v>
      </c>
      <c r="D12" s="23">
        <v>1048383.436426474</v>
      </c>
      <c r="E12" s="33">
        <v>101.4873964579965</v>
      </c>
      <c r="F12" s="5">
        <v>7</v>
      </c>
      <c r="G12" s="23">
        <v>84</v>
      </c>
      <c r="H12" s="33">
        <v>1093.4666986609093</v>
      </c>
      <c r="I12" s="23">
        <v>44.177365802009589</v>
      </c>
      <c r="J12" s="5">
        <v>6593.0401974881088</v>
      </c>
      <c r="K12" s="31"/>
      <c r="L12" s="23">
        <v>1281514.429631992</v>
      </c>
      <c r="M12" s="33">
        <v>49.249693249999837</v>
      </c>
      <c r="N12" s="5">
        <v>12</v>
      </c>
      <c r="O12" s="5">
        <v>72</v>
      </c>
      <c r="P12" s="33">
        <v>1133.3648936949269</v>
      </c>
      <c r="Q12" s="5">
        <v>20.136663664330765</v>
      </c>
      <c r="R12" s="5">
        <v>6231.5835595908029</v>
      </c>
      <c r="S12" s="31"/>
      <c r="T12" s="23">
        <v>1383917.8926414279</v>
      </c>
      <c r="U12" s="33">
        <v>64.49937250000221</v>
      </c>
      <c r="V12" s="5">
        <v>5</v>
      </c>
      <c r="W12" s="5">
        <v>53</v>
      </c>
      <c r="X12" s="33">
        <v>947.29900939542881</v>
      </c>
      <c r="Y12" s="5">
        <v>50.702515080142483</v>
      </c>
      <c r="Z12" s="5">
        <v>6590.4078112612542</v>
      </c>
      <c r="AA12" s="35"/>
    </row>
    <row r="13" spans="2:27" x14ac:dyDescent="0.2">
      <c r="B13" s="4">
        <v>10</v>
      </c>
      <c r="C13" s="4">
        <v>965</v>
      </c>
      <c r="D13" s="23">
        <v>1031282.277964344</v>
      </c>
      <c r="E13" s="33">
        <v>68.561805290999473</v>
      </c>
      <c r="F13" s="5">
        <v>8</v>
      </c>
      <c r="G13" s="23">
        <v>89</v>
      </c>
      <c r="H13" s="33">
        <v>1297.7974582726983</v>
      </c>
      <c r="I13" s="23">
        <v>41.273269610839215</v>
      </c>
      <c r="J13" s="5">
        <v>6759.0612735767518</v>
      </c>
      <c r="K13" s="31"/>
      <c r="L13" s="23">
        <v>1228710.2787659171</v>
      </c>
      <c r="M13" s="33">
        <v>74.163710791000085</v>
      </c>
      <c r="N13" s="5">
        <v>12</v>
      </c>
      <c r="O13" s="5">
        <v>69</v>
      </c>
      <c r="P13" s="33">
        <v>603.93414760843075</v>
      </c>
      <c r="Q13" s="5">
        <v>19.833763255150835</v>
      </c>
      <c r="R13" s="5">
        <v>5376.6734400509567</v>
      </c>
      <c r="S13" s="31"/>
      <c r="T13" s="23">
        <v>1411030.243549322</v>
      </c>
      <c r="U13" s="33">
        <v>183.21993145900339</v>
      </c>
      <c r="V13" s="5">
        <v>5</v>
      </c>
      <c r="W13" s="5">
        <v>47</v>
      </c>
      <c r="X13" s="33">
        <v>359.03331237546377</v>
      </c>
      <c r="Y13" s="5">
        <v>45.881890640402901</v>
      </c>
      <c r="Z13" s="5">
        <v>5744.9563464698003</v>
      </c>
      <c r="AA13" s="35"/>
    </row>
    <row r="14" spans="2:27" x14ac:dyDescent="0.2">
      <c r="B14" s="46" t="s">
        <v>3</v>
      </c>
      <c r="C14" s="47"/>
      <c r="D14" s="9">
        <f>MIN(D4:D13)</f>
        <v>1016993.022341865</v>
      </c>
      <c r="E14" s="22">
        <f>INDEX(E4:E13, MATCH($D$14, D4:D13, 0))</f>
        <v>139.14125608299949</v>
      </c>
      <c r="F14" s="9">
        <f>INDEX(F4:F13, MATCH($D$14, D4:D13, 0))</f>
        <v>9</v>
      </c>
      <c r="G14" s="9">
        <f>INDEX(G4:G13, MATCH($D$14, D4:D13, 0))</f>
        <v>90</v>
      </c>
      <c r="H14" s="22">
        <f>INDEX(H4:H13, MATCH($D$14, D4:D13, 0))</f>
        <v>1249.4328414416452</v>
      </c>
      <c r="I14" s="22">
        <f>INDEX(I4:I13, MATCH($D$14, D4:D13, 0))</f>
        <v>38.276639445583186</v>
      </c>
      <c r="J14" s="22">
        <f>INDEX(J4:J13, MATCH($D$14, D4:D13, 0))</f>
        <v>6596.2340146396646</v>
      </c>
      <c r="K14" s="32" t="e">
        <f>(D14-$D$15)/$D$15</f>
        <v>#DIV/0!</v>
      </c>
      <c r="L14" s="16">
        <f>MIN(L4:L13)</f>
        <v>1228710.2787659171</v>
      </c>
      <c r="M14" s="21">
        <f>INDEX(M4:M13, MATCH($L$14, L4:L13, 0))</f>
        <v>74.163710791000085</v>
      </c>
      <c r="N14" s="16">
        <f>INDEX(N4:N13, MATCH($L$14, L4:L13, 0))</f>
        <v>12</v>
      </c>
      <c r="O14" s="16">
        <f>INDEX(O4:O13, MATCH($L$14, L4:L13, 0))</f>
        <v>69</v>
      </c>
      <c r="P14" s="21">
        <f>INDEX(P4:P13, MATCH($L$14, L4:L13, 0))</f>
        <v>603.93414760843075</v>
      </c>
      <c r="Q14" s="21">
        <f>INDEX(Q4:Q13, MATCH($L$14, L4:L13, 0))</f>
        <v>19.833763255150835</v>
      </c>
      <c r="R14" s="21">
        <f>INDEX(R4:R13, MATCH($L$14, L4:L13, 0))</f>
        <v>5376.6734400509567</v>
      </c>
      <c r="S14" s="36" t="e">
        <f>(L14-$D$15)/$D$15</f>
        <v>#DIV/0!</v>
      </c>
      <c r="T14" s="38">
        <f>MIN(T4:T13)</f>
        <v>1329702.5133283241</v>
      </c>
      <c r="U14" s="39">
        <f>INDEX(U4:U13, MATCH($T$14, T4:T13, 0))</f>
        <v>66.01295033399947</v>
      </c>
      <c r="V14" s="38">
        <f>INDEX(V4:V13, MATCH($T$14, T4:T13, 0))</f>
        <v>5</v>
      </c>
      <c r="W14" s="38">
        <f>INDEX(W4:W13, MATCH($T$14, T4:T13, 0))</f>
        <v>57</v>
      </c>
      <c r="X14" s="39">
        <f>INDEX(X4:X13, MATCH($T$14, T4:T13, 0))</f>
        <v>897.20621718094048</v>
      </c>
      <c r="Y14" s="39">
        <f>INDEX(Y4:Y13, MATCH($T$14, T4:T13, 0))</f>
        <v>55.332356810158764</v>
      </c>
      <c r="Z14" s="39">
        <f>INDEX(Z4:Z13, MATCH($T$14, T4:T13, 0))</f>
        <v>6581.6654578845209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0.20817965489726115</v>
      </c>
      <c r="M15" s="45">
        <f t="shared" ref="M15:R15" si="0">(M14-E14)/E14</f>
        <v>-0.46698978520963969</v>
      </c>
      <c r="N15" s="45">
        <f t="shared" si="0"/>
        <v>0.33333333333333331</v>
      </c>
      <c r="O15" s="45">
        <f t="shared" si="0"/>
        <v>-0.23333333333333334</v>
      </c>
      <c r="P15" s="45">
        <f t="shared" si="0"/>
        <v>-0.51663336549438899</v>
      </c>
      <c r="Q15" s="45">
        <f t="shared" si="0"/>
        <v>-0.48183112356694913</v>
      </c>
      <c r="R15" s="45">
        <f t="shared" si="0"/>
        <v>-0.18488740270312093</v>
      </c>
      <c r="S15"/>
      <c r="T15" s="45">
        <f>(T14-D14)/D14</f>
        <v>0.30748440167895363</v>
      </c>
      <c r="U15" s="45">
        <f t="shared" ref="U15:Z15" si="1">(U14-E14)/E14</f>
        <v>-0.52556881982852066</v>
      </c>
      <c r="V15" s="45">
        <f t="shared" si="1"/>
        <v>-0.44444444444444442</v>
      </c>
      <c r="W15" s="45">
        <f>(W14-G14)/G14</f>
        <v>-0.36666666666666664</v>
      </c>
      <c r="X15" s="45">
        <f t="shared" si="1"/>
        <v>-0.28190920918509849</v>
      </c>
      <c r="Y15" s="45">
        <f t="shared" si="1"/>
        <v>0.44559077316134843</v>
      </c>
      <c r="Z15" s="45">
        <f t="shared" si="1"/>
        <v>-2.2086173296475232E-3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109" priority="7"/>
    <cfRule type="duplicateValues" dxfId="108" priority="8"/>
  </conditionalFormatting>
  <conditionalFormatting sqref="C14">
    <cfRule type="duplicateValues" dxfId="107" priority="1"/>
    <cfRule type="duplicateValues" dxfId="106" priority="2"/>
  </conditionalFormatting>
  <conditionalFormatting sqref="C15">
    <cfRule type="duplicateValues" dxfId="105" priority="3"/>
    <cfRule type="duplicateValues" dxfId="10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A3F7-A15C-D74B-8540-F6B99B42C33D}">
  <dimension ref="B1:AA17"/>
  <sheetViews>
    <sheetView topLeftCell="A2"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-0.97727960789774926</v>
      </c>
      <c r="J2" s="28" t="e">
        <f>(S14-J14)/J14</f>
        <v>#DIV/0!</v>
      </c>
      <c r="K2" s="28"/>
      <c r="L2" s="1" t="s">
        <v>19</v>
      </c>
      <c r="P2" s="1">
        <f>(P14-H14)/H14</f>
        <v>-0.52632343810906002</v>
      </c>
      <c r="R2" s="1">
        <f>(R14-J14)/J14</f>
        <v>-0.25307724330626036</v>
      </c>
      <c r="T2" s="1" t="s">
        <v>20</v>
      </c>
      <c r="X2" s="1">
        <f>(X14-P14)/P14</f>
        <v>1.969993237110099</v>
      </c>
      <c r="Z2" s="1">
        <f>(Z14-R14)/R14</f>
        <v>0.42289114842315667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879087.59064654657</v>
      </c>
      <c r="E4" s="33">
        <v>51.76945862499997</v>
      </c>
      <c r="F4" s="5">
        <v>8</v>
      </c>
      <c r="G4" s="23">
        <v>93</v>
      </c>
      <c r="H4" s="33">
        <v>891.54604237951276</v>
      </c>
      <c r="I4" s="23">
        <v>53.124459654445126</v>
      </c>
      <c r="J4" s="5">
        <v>6158.5367776322482</v>
      </c>
      <c r="K4" s="31"/>
      <c r="L4" s="23">
        <v>1137419.944912897</v>
      </c>
      <c r="M4" s="33">
        <v>146.05019429199999</v>
      </c>
      <c r="N4" s="5">
        <v>14</v>
      </c>
      <c r="O4" s="5">
        <v>74</v>
      </c>
      <c r="P4" s="33">
        <v>472.31669704219547</v>
      </c>
      <c r="Q4" s="5">
        <v>22.655164761370312</v>
      </c>
      <c r="R4" s="5">
        <v>4783.2915922989487</v>
      </c>
      <c r="S4" s="31"/>
      <c r="T4" s="23">
        <v>1235326.0912971799</v>
      </c>
      <c r="U4" s="33">
        <v>43.679022457996332</v>
      </c>
      <c r="V4" s="5">
        <v>8</v>
      </c>
      <c r="W4" s="5">
        <v>71</v>
      </c>
      <c r="X4" s="33">
        <v>1659.6893337850615</v>
      </c>
      <c r="Y4" s="5">
        <v>68.922285273758149</v>
      </c>
      <c r="Z4" s="5">
        <v>7126.410288660466</v>
      </c>
      <c r="AA4" s="35"/>
    </row>
    <row r="5" spans="2:27" x14ac:dyDescent="0.2">
      <c r="B5" s="4">
        <v>2</v>
      </c>
      <c r="C5" s="4">
        <v>50</v>
      </c>
      <c r="D5" s="23">
        <v>910431.02992257616</v>
      </c>
      <c r="E5" s="33">
        <v>66.613534957999946</v>
      </c>
      <c r="F5" s="5">
        <v>6</v>
      </c>
      <c r="G5" s="23">
        <v>92</v>
      </c>
      <c r="H5" s="33">
        <v>1072.2405779323949</v>
      </c>
      <c r="I5" s="23">
        <v>70.077192163015283</v>
      </c>
      <c r="J5" s="5">
        <v>6537.2569101246618</v>
      </c>
      <c r="K5" s="31"/>
      <c r="L5" s="23">
        <v>1153002.6726533531</v>
      </c>
      <c r="M5" s="33">
        <v>147.77879424999989</v>
      </c>
      <c r="N5" s="5">
        <v>12</v>
      </c>
      <c r="O5" s="5">
        <v>69</v>
      </c>
      <c r="P5" s="33">
        <v>321.42629109382278</v>
      </c>
      <c r="Q5" s="5">
        <v>23.211158008968358</v>
      </c>
      <c r="R5" s="5">
        <v>4601.1093177841185</v>
      </c>
      <c r="S5" s="31"/>
      <c r="T5" s="23">
        <v>1203438.2966982671</v>
      </c>
      <c r="U5" s="33">
        <v>66.781637333995604</v>
      </c>
      <c r="V5" s="5">
        <v>9</v>
      </c>
      <c r="W5" s="5">
        <v>73</v>
      </c>
      <c r="X5" s="33">
        <v>1384.7529047983387</v>
      </c>
      <c r="Y5" s="5">
        <v>61.34895745977763</v>
      </c>
      <c r="Z5" s="5">
        <v>6827.5530279965351</v>
      </c>
      <c r="AA5" s="35"/>
    </row>
    <row r="6" spans="2:27" x14ac:dyDescent="0.2">
      <c r="B6" s="4">
        <v>3</v>
      </c>
      <c r="C6" s="4">
        <v>99</v>
      </c>
      <c r="D6" s="23">
        <v>887324.16116635071</v>
      </c>
      <c r="E6" s="33">
        <v>50.086326583004848</v>
      </c>
      <c r="F6" s="5">
        <v>6</v>
      </c>
      <c r="G6" s="23">
        <v>90</v>
      </c>
      <c r="H6" s="33">
        <v>790.49588002653559</v>
      </c>
      <c r="I6" s="23">
        <v>67.073140420580856</v>
      </c>
      <c r="J6" s="5">
        <v>6263.3563017369324</v>
      </c>
      <c r="K6" s="31"/>
      <c r="L6" s="23">
        <v>1234625.222401944</v>
      </c>
      <c r="M6" s="33">
        <v>93.179855416999999</v>
      </c>
      <c r="N6" s="5">
        <v>13</v>
      </c>
      <c r="O6" s="5">
        <v>68</v>
      </c>
      <c r="P6" s="33">
        <v>664.86610276487772</v>
      </c>
      <c r="Q6" s="5">
        <v>21.434299436630901</v>
      </c>
      <c r="R6" s="5">
        <v>5119.7200614343792</v>
      </c>
      <c r="S6" s="31"/>
      <c r="T6" s="23">
        <v>1167395.130907607</v>
      </c>
      <c r="U6" s="33">
        <v>74.505554166004003</v>
      </c>
      <c r="V6" s="5">
        <v>10</v>
      </c>
      <c r="W6" s="5">
        <v>77</v>
      </c>
      <c r="X6" s="33">
        <v>1402.7773959895001</v>
      </c>
      <c r="Y6" s="5">
        <v>59.066965592674855</v>
      </c>
      <c r="Z6" s="5">
        <v>6806.1032670090808</v>
      </c>
      <c r="AA6" s="35"/>
    </row>
    <row r="7" spans="2:27" x14ac:dyDescent="0.2">
      <c r="B7" s="4">
        <v>4</v>
      </c>
      <c r="C7" s="4">
        <v>286</v>
      </c>
      <c r="D7" s="23">
        <v>877460.78949741344</v>
      </c>
      <c r="E7" s="33">
        <v>45.188973041003919</v>
      </c>
      <c r="F7" s="5">
        <v>7</v>
      </c>
      <c r="G7" s="23">
        <v>94</v>
      </c>
      <c r="H7" s="33">
        <v>997.12912785189155</v>
      </c>
      <c r="I7" s="23">
        <v>60.844577029343284</v>
      </c>
      <c r="J7" s="5">
        <v>6403.9976683428849</v>
      </c>
      <c r="K7" s="31"/>
      <c r="L7" s="23">
        <v>1161205.992922019</v>
      </c>
      <c r="M7" s="33">
        <v>96.937039500000537</v>
      </c>
      <c r="N7" s="5">
        <v>16</v>
      </c>
      <c r="O7" s="5">
        <v>76</v>
      </c>
      <c r="P7" s="33">
        <v>476.59567584511808</v>
      </c>
      <c r="Q7" s="5">
        <v>20.231165529392428</v>
      </c>
      <c r="R7" s="5">
        <v>4989.0379344513294</v>
      </c>
      <c r="S7" s="31"/>
      <c r="T7" s="23">
        <v>1206898.669507703</v>
      </c>
      <c r="U7" s="33">
        <v>136.21192412499661</v>
      </c>
      <c r="V7" s="5">
        <v>7</v>
      </c>
      <c r="W7" s="5">
        <v>70</v>
      </c>
      <c r="X7" s="33">
        <v>1297.6741401451748</v>
      </c>
      <c r="Y7" s="5">
        <v>74.047647066555129</v>
      </c>
      <c r="Z7" s="5">
        <v>6850.6650223618426</v>
      </c>
      <c r="AA7" s="35"/>
    </row>
    <row r="8" spans="2:27" x14ac:dyDescent="0.2">
      <c r="B8" s="4">
        <v>5</v>
      </c>
      <c r="C8" s="4">
        <v>681</v>
      </c>
      <c r="D8" s="23">
        <v>885167.12025321182</v>
      </c>
      <c r="E8" s="33">
        <v>35.804778375000751</v>
      </c>
      <c r="F8" s="5">
        <v>6</v>
      </c>
      <c r="G8" s="23">
        <v>92</v>
      </c>
      <c r="H8" s="33">
        <v>959.60302024127111</v>
      </c>
      <c r="I8" s="23">
        <v>68.787041755731465</v>
      </c>
      <c r="J8" s="5">
        <v>6442.994576382589</v>
      </c>
      <c r="K8" s="31"/>
      <c r="L8" s="23">
        <v>1155382.8118972939</v>
      </c>
      <c r="M8" s="33">
        <v>112.3745858339998</v>
      </c>
      <c r="N8" s="5">
        <v>16</v>
      </c>
      <c r="O8" s="5">
        <v>78</v>
      </c>
      <c r="P8" s="33">
        <v>803.24898058170095</v>
      </c>
      <c r="Q8" s="5">
        <v>20.926723434176324</v>
      </c>
      <c r="R8" s="5">
        <v>5143.9219253609817</v>
      </c>
      <c r="S8" s="31"/>
      <c r="T8" s="23">
        <v>1254321.3881141299</v>
      </c>
      <c r="U8" s="33">
        <v>95.544782999997551</v>
      </c>
      <c r="V8" s="5">
        <v>8</v>
      </c>
      <c r="W8" s="5">
        <v>69</v>
      </c>
      <c r="X8" s="33">
        <v>1491.1201548696217</v>
      </c>
      <c r="Y8" s="5">
        <v>62.969667059253254</v>
      </c>
      <c r="Z8" s="5">
        <v>6894.6381928835681</v>
      </c>
      <c r="AA8" s="35"/>
    </row>
    <row r="9" spans="2:27" x14ac:dyDescent="0.2">
      <c r="B9" s="4">
        <v>6</v>
      </c>
      <c r="C9" s="4">
        <v>749</v>
      </c>
      <c r="D9" s="23">
        <v>890474.35255367041</v>
      </c>
      <c r="E9" s="33">
        <v>42.994750749996463</v>
      </c>
      <c r="F9" s="5">
        <v>6</v>
      </c>
      <c r="G9" s="23">
        <v>90</v>
      </c>
      <c r="H9" s="33">
        <v>798.40968473957889</v>
      </c>
      <c r="I9" s="23">
        <v>66.388798989294472</v>
      </c>
      <c r="J9" s="5">
        <v>6285.8618780209654</v>
      </c>
      <c r="K9" s="31"/>
      <c r="L9" s="23">
        <v>1149451.7010832629</v>
      </c>
      <c r="M9" s="33">
        <v>124.35408429099969</v>
      </c>
      <c r="N9" s="5">
        <v>14</v>
      </c>
      <c r="O9" s="5">
        <v>76</v>
      </c>
      <c r="P9" s="33">
        <v>738.90621718589409</v>
      </c>
      <c r="Q9" s="5">
        <v>23.115440293587163</v>
      </c>
      <c r="R9" s="5">
        <v>5108.0467864690163</v>
      </c>
      <c r="S9" s="31"/>
      <c r="T9" s="23">
        <v>1199156.0093907029</v>
      </c>
      <c r="U9" s="33">
        <v>82.632539834005001</v>
      </c>
      <c r="V9" s="5">
        <v>10</v>
      </c>
      <c r="W9" s="5">
        <v>77</v>
      </c>
      <c r="X9" s="33">
        <v>1800.8831546992992</v>
      </c>
      <c r="Y9" s="5">
        <v>62.71074956758838</v>
      </c>
      <c r="Z9" s="5">
        <v>7073.8461582817263</v>
      </c>
      <c r="AA9" s="35"/>
    </row>
    <row r="10" spans="2:27" x14ac:dyDescent="0.2">
      <c r="B10" s="4">
        <v>7</v>
      </c>
      <c r="C10" s="4">
        <v>837</v>
      </c>
      <c r="D10" s="23">
        <v>907520.76175631594</v>
      </c>
      <c r="E10" s="33">
        <v>41.076950667003977</v>
      </c>
      <c r="F10" s="5">
        <v>6</v>
      </c>
      <c r="G10" s="23">
        <v>91</v>
      </c>
      <c r="H10" s="33">
        <v>1006.2374147194068</v>
      </c>
      <c r="I10" s="23">
        <v>69.207801452350608</v>
      </c>
      <c r="J10" s="5">
        <v>6471.9986889616976</v>
      </c>
      <c r="K10" s="31"/>
      <c r="L10" s="23">
        <v>1210923.1121779941</v>
      </c>
      <c r="M10" s="33">
        <v>79.1199994589997</v>
      </c>
      <c r="N10" s="5">
        <v>13</v>
      </c>
      <c r="O10" s="5">
        <v>69</v>
      </c>
      <c r="P10" s="33">
        <v>513.92161257671717</v>
      </c>
      <c r="Q10" s="5">
        <v>22.796679925218953</v>
      </c>
      <c r="R10" s="5">
        <v>5044.6420128169993</v>
      </c>
      <c r="S10" s="31"/>
      <c r="T10" s="23">
        <v>1303018.035418076</v>
      </c>
      <c r="U10" s="33">
        <v>77.775953124997613</v>
      </c>
      <c r="V10" s="5">
        <v>9</v>
      </c>
      <c r="W10" s="5">
        <v>70</v>
      </c>
      <c r="X10" s="33">
        <v>1916.7992399966643</v>
      </c>
      <c r="Y10" s="5">
        <v>65.135746357733794</v>
      </c>
      <c r="Z10" s="5">
        <v>7400.049427708097</v>
      </c>
      <c r="AA10" s="35"/>
    </row>
    <row r="11" spans="2:27" x14ac:dyDescent="0.2">
      <c r="B11" s="4">
        <v>8</v>
      </c>
      <c r="C11" s="4">
        <v>903</v>
      </c>
      <c r="D11" s="23">
        <v>903296.62177805696</v>
      </c>
      <c r="E11" s="33">
        <v>115.15685695800489</v>
      </c>
      <c r="F11" s="5">
        <v>6</v>
      </c>
      <c r="G11" s="23">
        <v>91</v>
      </c>
      <c r="H11" s="33">
        <v>957.72556986818586</v>
      </c>
      <c r="I11" s="23">
        <v>68.576735843717444</v>
      </c>
      <c r="J11" s="5">
        <v>6422.3369133229862</v>
      </c>
      <c r="K11" s="31"/>
      <c r="L11" s="23">
        <v>1297397.6208414759</v>
      </c>
      <c r="M11" s="33">
        <v>197.29274458300009</v>
      </c>
      <c r="N11" s="5">
        <v>12</v>
      </c>
      <c r="O11" s="5">
        <v>67</v>
      </c>
      <c r="P11" s="33">
        <v>891.51184340834504</v>
      </c>
      <c r="Q11" s="5">
        <v>23.152340220789757</v>
      </c>
      <c r="R11" s="5">
        <v>5793.1063118329894</v>
      </c>
      <c r="S11" s="31"/>
      <c r="T11" s="23">
        <v>1299193.29627377</v>
      </c>
      <c r="U11" s="33">
        <v>36.212963625002892</v>
      </c>
      <c r="V11" s="5">
        <v>8</v>
      </c>
      <c r="W11" s="5">
        <v>65</v>
      </c>
      <c r="X11" s="33">
        <v>1536.9675788783559</v>
      </c>
      <c r="Y11" s="5">
        <v>60.723851113326461</v>
      </c>
      <c r="Z11" s="5">
        <v>6908.2948467849228</v>
      </c>
      <c r="AA11" s="35"/>
    </row>
    <row r="12" spans="2:27" x14ac:dyDescent="0.2">
      <c r="B12" s="4">
        <v>9</v>
      </c>
      <c r="C12" s="4">
        <v>907</v>
      </c>
      <c r="D12" s="23">
        <v>944091.82878367894</v>
      </c>
      <c r="E12" s="33">
        <v>47.395220708000117</v>
      </c>
      <c r="F12" s="5">
        <v>6</v>
      </c>
      <c r="G12" s="23">
        <v>91</v>
      </c>
      <c r="H12" s="33">
        <v>1191.6498428108007</v>
      </c>
      <c r="I12" s="23">
        <v>69.828075124871546</v>
      </c>
      <c r="J12" s="5">
        <v>6672.9968285838431</v>
      </c>
      <c r="K12" s="31"/>
      <c r="L12" s="23">
        <v>1173849.435135467</v>
      </c>
      <c r="M12" s="33">
        <v>92.442622832999405</v>
      </c>
      <c r="N12" s="5">
        <v>13</v>
      </c>
      <c r="O12" s="5">
        <v>71</v>
      </c>
      <c r="P12" s="33">
        <v>460.43653329681956</v>
      </c>
      <c r="Q12" s="5">
        <v>22.233021391886744</v>
      </c>
      <c r="R12" s="5">
        <v>4907.1953382954252</v>
      </c>
      <c r="S12" s="31"/>
      <c r="T12" s="23">
        <v>1365913.255480404</v>
      </c>
      <c r="U12" s="33">
        <v>42.416814917000011</v>
      </c>
      <c r="V12" s="5">
        <v>6</v>
      </c>
      <c r="W12" s="5">
        <v>54</v>
      </c>
      <c r="X12" s="33">
        <v>971.55172714000025</v>
      </c>
      <c r="Y12" s="5">
        <v>71.688529349460097</v>
      </c>
      <c r="Z12" s="5">
        <v>6535.2796317686216</v>
      </c>
      <c r="AA12" s="35"/>
    </row>
    <row r="13" spans="2:27" x14ac:dyDescent="0.2">
      <c r="B13" s="4">
        <v>10</v>
      </c>
      <c r="C13" s="4">
        <v>996</v>
      </c>
      <c r="D13" s="23">
        <v>929320.20265112654</v>
      </c>
      <c r="E13" s="33">
        <v>51.06688429100177</v>
      </c>
      <c r="F13" s="5">
        <v>8</v>
      </c>
      <c r="G13" s="23">
        <v>95</v>
      </c>
      <c r="H13" s="33">
        <v>1293.5596435093069</v>
      </c>
      <c r="I13" s="23">
        <v>55.302017780397144</v>
      </c>
      <c r="J13" s="5">
        <v>6595.3928311461714</v>
      </c>
      <c r="K13" s="31"/>
      <c r="L13" s="23">
        <v>1214495.1641346761</v>
      </c>
      <c r="M13" s="33">
        <v>127.1699627499993</v>
      </c>
      <c r="N13" s="5">
        <v>13</v>
      </c>
      <c r="O13" s="5">
        <v>72</v>
      </c>
      <c r="P13" s="33">
        <v>763.08237253855395</v>
      </c>
      <c r="Q13" s="5">
        <v>23.32785313681109</v>
      </c>
      <c r="R13" s="5">
        <v>5458.7335914623109</v>
      </c>
      <c r="S13" s="31"/>
      <c r="T13" s="23">
        <v>1232562.6712940361</v>
      </c>
      <c r="U13" s="33">
        <v>41.792164040998607</v>
      </c>
      <c r="V13" s="5">
        <v>9</v>
      </c>
      <c r="W13" s="5">
        <v>74</v>
      </c>
      <c r="X13" s="33">
        <v>1821.8236857173595</v>
      </c>
      <c r="Y13" s="5">
        <v>65.598058716131959</v>
      </c>
      <c r="Z13" s="5">
        <v>7314.564269737064</v>
      </c>
      <c r="AA13" s="35"/>
    </row>
    <row r="14" spans="2:27" x14ac:dyDescent="0.2">
      <c r="B14" s="46" t="s">
        <v>3</v>
      </c>
      <c r="C14" s="47"/>
      <c r="D14" s="9">
        <f>MIN(D4:D13)</f>
        <v>877460.78949741344</v>
      </c>
      <c r="E14" s="22">
        <f>INDEX(E4:E13, MATCH($D$14, D4:D13, 0))</f>
        <v>45.188973041003919</v>
      </c>
      <c r="F14" s="9">
        <f>INDEX(F4:F13, MATCH($D$14, D4:D13, 0))</f>
        <v>7</v>
      </c>
      <c r="G14" s="9">
        <f>INDEX(G4:G13, MATCH($D$14, D4:D13, 0))</f>
        <v>94</v>
      </c>
      <c r="H14" s="22">
        <f>INDEX(H4:H13, MATCH($D$14, D4:D13, 0))</f>
        <v>997.12912785189155</v>
      </c>
      <c r="I14" s="22">
        <f>INDEX(I4:I13, MATCH($D$14, D4:D13, 0))</f>
        <v>60.844577029343284</v>
      </c>
      <c r="J14" s="22">
        <f>INDEX(J4:J13, MATCH($D$14, D4:D13, 0))</f>
        <v>6403.9976683428849</v>
      </c>
      <c r="K14" s="32" t="e">
        <f>(D14-$D$15)/$D$15</f>
        <v>#DIV/0!</v>
      </c>
      <c r="L14" s="16">
        <f>MIN(L4:L13)</f>
        <v>1137419.944912897</v>
      </c>
      <c r="M14" s="21">
        <f>INDEX(M4:M13, MATCH($L$14, L4:L13, 0))</f>
        <v>146.05019429199999</v>
      </c>
      <c r="N14" s="16">
        <f>INDEX(N4:N13, MATCH($L$14, L4:L13, 0))</f>
        <v>14</v>
      </c>
      <c r="O14" s="16">
        <f>INDEX(O4:O13, MATCH($L$14, L4:L13, 0))</f>
        <v>74</v>
      </c>
      <c r="P14" s="21">
        <f>INDEX(P4:P13, MATCH($L$14, L4:L13, 0))</f>
        <v>472.31669704219547</v>
      </c>
      <c r="Q14" s="21">
        <f>INDEX(Q4:Q13, MATCH($L$14, L4:L13, 0))</f>
        <v>22.655164761370312</v>
      </c>
      <c r="R14" s="21">
        <f>INDEX(R4:R13, MATCH($L$14, L4:L13, 0))</f>
        <v>4783.2915922989487</v>
      </c>
      <c r="S14" s="36" t="e">
        <f>(L14-$D$15)/$D$15</f>
        <v>#DIV/0!</v>
      </c>
      <c r="T14" s="38">
        <f>MIN(T4:T13)</f>
        <v>1167395.130907607</v>
      </c>
      <c r="U14" s="39">
        <f>INDEX(U4:U13, MATCH($T$14, T4:T13, 0))</f>
        <v>74.505554166004003</v>
      </c>
      <c r="V14" s="38">
        <f>INDEX(V4:V13, MATCH($T$14, T4:T13, 0))</f>
        <v>10</v>
      </c>
      <c r="W14" s="38">
        <f>INDEX(W4:W13, MATCH($T$14, T4:T13, 0))</f>
        <v>77</v>
      </c>
      <c r="X14" s="39">
        <f>INDEX(X4:X13, MATCH($T$14, T4:T13, 0))</f>
        <v>1402.7773959895001</v>
      </c>
      <c r="Y14" s="39">
        <f>INDEX(Y4:Y13, MATCH($T$14, T4:T13, 0))</f>
        <v>59.066965592674855</v>
      </c>
      <c r="Z14" s="39">
        <f>INDEX(Z4:Z13, MATCH($T$14, T4:T13, 0))</f>
        <v>6806.1032670090808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0.29626298807537749</v>
      </c>
      <c r="M15" s="45">
        <f t="shared" ref="M15:R15" si="0">(M14-E14)/E14</f>
        <v>2.2319874620623894</v>
      </c>
      <c r="N15" s="45">
        <f t="shared" si="0"/>
        <v>1</v>
      </c>
      <c r="O15" s="45">
        <f t="shared" si="0"/>
        <v>-0.21276595744680851</v>
      </c>
      <c r="P15" s="45">
        <f t="shared" si="0"/>
        <v>-0.52632343810906002</v>
      </c>
      <c r="Q15" s="45">
        <f t="shared" si="0"/>
        <v>-0.62765515239847103</v>
      </c>
      <c r="R15" s="45">
        <f t="shared" si="0"/>
        <v>-0.25307724330626036</v>
      </c>
      <c r="S15"/>
      <c r="T15" s="45">
        <f>(T14-D14)/D14</f>
        <v>0.33042427066884711</v>
      </c>
      <c r="U15" s="45">
        <f t="shared" ref="U15:Z15" si="1">(U14-E14)/E14</f>
        <v>0.64875519738849963</v>
      </c>
      <c r="V15" s="45">
        <f t="shared" si="1"/>
        <v>0.42857142857142855</v>
      </c>
      <c r="W15" s="45">
        <f>(W14-G14)/G14</f>
        <v>-0.18085106382978725</v>
      </c>
      <c r="X15" s="45">
        <f t="shared" si="1"/>
        <v>0.40681618539365488</v>
      </c>
      <c r="Y15" s="45">
        <f t="shared" si="1"/>
        <v>-2.9215610058578395E-2</v>
      </c>
      <c r="Z15" s="45">
        <f t="shared" si="1"/>
        <v>6.2789779055345246E-2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103" priority="7"/>
    <cfRule type="duplicateValues" dxfId="102" priority="8"/>
  </conditionalFormatting>
  <conditionalFormatting sqref="C14">
    <cfRule type="duplicateValues" dxfId="101" priority="3"/>
    <cfRule type="duplicateValues" dxfId="100" priority="4"/>
  </conditionalFormatting>
  <conditionalFormatting sqref="C15">
    <cfRule type="duplicateValues" dxfId="99" priority="5"/>
    <cfRule type="duplicateValues" dxfId="98" priority="6"/>
  </conditionalFormatting>
  <conditionalFormatting sqref="C17:C3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1372-B7CD-A041-906F-FFC5C5BA005B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-0.98132712292842794</v>
      </c>
      <c r="J2" s="28" t="e">
        <f>(S14-J14)/J14</f>
        <v>#DIV/0!</v>
      </c>
      <c r="K2" s="28"/>
      <c r="L2" s="1" t="s">
        <v>19</v>
      </c>
      <c r="P2" s="1">
        <f>(P14-H14)/H14</f>
        <v>-0.39397299683747672</v>
      </c>
      <c r="R2" s="1">
        <f>(R14-J14)/J14</f>
        <v>-0.19405528628892477</v>
      </c>
      <c r="T2" s="1" t="s">
        <v>20</v>
      </c>
      <c r="X2" s="1">
        <f>(X14-P14)/P14</f>
        <v>-0.12670067522419917</v>
      </c>
      <c r="Z2" s="1">
        <f>(Z14-R14)/R14</f>
        <v>0.10821206430825843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297</v>
      </c>
      <c r="D4" s="23">
        <v>1008975.5041211341</v>
      </c>
      <c r="E4" s="33">
        <v>119.6898842500013</v>
      </c>
      <c r="F4" s="5">
        <v>9</v>
      </c>
      <c r="G4" s="23">
        <v>90</v>
      </c>
      <c r="H4" s="33">
        <v>1243.5426690644349</v>
      </c>
      <c r="I4" s="23">
        <v>41.895868207503057</v>
      </c>
      <c r="J4" s="5">
        <v>6541.7636481697582</v>
      </c>
      <c r="K4" s="31"/>
      <c r="L4" s="23">
        <v>1263469.849005929</v>
      </c>
      <c r="M4" s="33">
        <v>117.6518662500002</v>
      </c>
      <c r="N4" s="5">
        <v>12</v>
      </c>
      <c r="O4" s="5">
        <v>67</v>
      </c>
      <c r="P4" s="33">
        <v>710.94708044856895</v>
      </c>
      <c r="Q4" s="5">
        <v>21.905669827139807</v>
      </c>
      <c r="R4" s="5">
        <v>5355.8277608801463</v>
      </c>
      <c r="S4" s="31"/>
      <c r="T4" s="23">
        <v>1349909.92481455</v>
      </c>
      <c r="U4" s="33">
        <v>30.35522941700037</v>
      </c>
      <c r="V4" s="5">
        <v>7</v>
      </c>
      <c r="W4" s="5">
        <v>57</v>
      </c>
      <c r="X4" s="33">
        <v>1010.3257357614998</v>
      </c>
      <c r="Y4" s="5">
        <v>63.830564650434987</v>
      </c>
      <c r="Z4" s="5">
        <v>6637.6892177094796</v>
      </c>
      <c r="AA4" s="35"/>
    </row>
    <row r="5" spans="2:27" x14ac:dyDescent="0.2">
      <c r="B5" s="4">
        <v>2</v>
      </c>
      <c r="C5" s="4">
        <v>399</v>
      </c>
      <c r="D5" s="23">
        <v>1042069.981261426</v>
      </c>
      <c r="E5" s="33">
        <v>48.75730887499958</v>
      </c>
      <c r="F5" s="5">
        <v>8</v>
      </c>
      <c r="G5" s="23">
        <v>87</v>
      </c>
      <c r="H5" s="33">
        <v>1285.2976759122098</v>
      </c>
      <c r="I5" s="23">
        <v>43.027525708845658</v>
      </c>
      <c r="J5" s="5">
        <v>6712.8245945240906</v>
      </c>
      <c r="K5" s="31"/>
      <c r="L5" s="23">
        <v>1288512.420479785</v>
      </c>
      <c r="M5" s="33">
        <v>167.3688523749997</v>
      </c>
      <c r="N5" s="5">
        <v>14</v>
      </c>
      <c r="O5" s="5">
        <v>70</v>
      </c>
      <c r="P5" s="33">
        <v>942.54058960339421</v>
      </c>
      <c r="Q5" s="5">
        <v>19.642685706221204</v>
      </c>
      <c r="R5" s="5">
        <v>5674.5052968417494</v>
      </c>
      <c r="S5" s="31"/>
      <c r="T5" s="23">
        <v>1343330.2481368191</v>
      </c>
      <c r="U5" s="33">
        <v>87.068274917000963</v>
      </c>
      <c r="V5" s="5">
        <v>7</v>
      </c>
      <c r="W5" s="5">
        <v>62</v>
      </c>
      <c r="X5" s="33">
        <v>1239.4400063479218</v>
      </c>
      <c r="Y5" s="5">
        <v>54.037045438559048</v>
      </c>
      <c r="Z5" s="5">
        <v>7050.5552710980564</v>
      </c>
      <c r="AA5" s="35"/>
    </row>
    <row r="6" spans="2:27" x14ac:dyDescent="0.2">
      <c r="B6" s="4">
        <v>3</v>
      </c>
      <c r="C6" s="4">
        <v>474</v>
      </c>
      <c r="D6" s="23">
        <v>1027404.107263761</v>
      </c>
      <c r="E6" s="33">
        <v>119.8027555000008</v>
      </c>
      <c r="F6" s="5">
        <v>8</v>
      </c>
      <c r="G6" s="23">
        <v>91</v>
      </c>
      <c r="H6" s="33">
        <v>1432.7560634721888</v>
      </c>
      <c r="I6" s="23">
        <v>46.440733843988227</v>
      </c>
      <c r="J6" s="5">
        <v>6903.0600684474512</v>
      </c>
      <c r="K6" s="31"/>
      <c r="L6" s="23">
        <v>1289025.939623127</v>
      </c>
      <c r="M6" s="33">
        <v>100.977067416</v>
      </c>
      <c r="N6" s="5">
        <v>11</v>
      </c>
      <c r="O6" s="5">
        <v>63</v>
      </c>
      <c r="P6" s="33">
        <v>710.99590331031573</v>
      </c>
      <c r="Q6" s="5">
        <v>22.504497940466369</v>
      </c>
      <c r="R6" s="5">
        <v>5202.1198947029252</v>
      </c>
      <c r="S6" s="31"/>
      <c r="T6" s="23">
        <v>1336751.389636386</v>
      </c>
      <c r="U6" s="33">
        <v>40.326482500000573</v>
      </c>
      <c r="V6" s="5">
        <v>5</v>
      </c>
      <c r="W6" s="5">
        <v>53</v>
      </c>
      <c r="X6" s="33">
        <v>623.57644635597114</v>
      </c>
      <c r="Y6" s="5">
        <v>72.362886033331861</v>
      </c>
      <c r="Z6" s="5">
        <v>6201.2961370406656</v>
      </c>
      <c r="AA6" s="35"/>
    </row>
    <row r="7" spans="2:27" x14ac:dyDescent="0.2">
      <c r="B7" s="4">
        <v>4</v>
      </c>
      <c r="C7" s="4">
        <v>500</v>
      </c>
      <c r="D7" s="23">
        <v>1090715.6620989449</v>
      </c>
      <c r="E7" s="33">
        <v>61.161844792004558</v>
      </c>
      <c r="F7" s="5">
        <v>7</v>
      </c>
      <c r="G7" s="23">
        <v>90</v>
      </c>
      <c r="H7" s="33">
        <v>1794.045250908805</v>
      </c>
      <c r="I7" s="23">
        <v>52.274440061539451</v>
      </c>
      <c r="J7" s="5">
        <v>7411.6812859858028</v>
      </c>
      <c r="K7" s="31"/>
      <c r="L7" s="23">
        <v>1399874.5247376901</v>
      </c>
      <c r="M7" s="33">
        <v>61.1298544579995</v>
      </c>
      <c r="N7" s="5">
        <v>16</v>
      </c>
      <c r="O7" s="5">
        <v>66</v>
      </c>
      <c r="P7" s="33">
        <v>1045.3552855946225</v>
      </c>
      <c r="Q7" s="5">
        <v>15.525102682119114</v>
      </c>
      <c r="R7" s="5">
        <v>5920.1870483480398</v>
      </c>
      <c r="S7" s="31"/>
      <c r="T7" s="23">
        <v>1369892.9505307211</v>
      </c>
      <c r="U7" s="33">
        <v>40.19768345799821</v>
      </c>
      <c r="V7" s="5">
        <v>5</v>
      </c>
      <c r="W7" s="5">
        <v>56</v>
      </c>
      <c r="X7" s="33">
        <v>1081.5991257511027</v>
      </c>
      <c r="Y7" s="5">
        <v>63.039292400143083</v>
      </c>
      <c r="Z7" s="5">
        <v>6954.6771927059526</v>
      </c>
      <c r="AA7" s="35"/>
    </row>
    <row r="8" spans="2:27" x14ac:dyDescent="0.2">
      <c r="B8" s="4">
        <v>5</v>
      </c>
      <c r="C8" s="4">
        <v>516</v>
      </c>
      <c r="D8" s="23">
        <v>1024919.727785185</v>
      </c>
      <c r="E8" s="33">
        <v>102.27509641700451</v>
      </c>
      <c r="F8" s="5">
        <v>8</v>
      </c>
      <c r="G8" s="23">
        <v>87</v>
      </c>
      <c r="H8" s="33">
        <v>1129.2517193081674</v>
      </c>
      <c r="I8" s="23">
        <v>43.070952441909427</v>
      </c>
      <c r="J8" s="5">
        <v>6599.5575013834414</v>
      </c>
      <c r="K8" s="31"/>
      <c r="L8" s="23">
        <v>1327464.5731392789</v>
      </c>
      <c r="M8" s="33">
        <v>139.32201520800029</v>
      </c>
      <c r="N8" s="5">
        <v>11</v>
      </c>
      <c r="O8" s="5">
        <v>60</v>
      </c>
      <c r="P8" s="33">
        <v>627.31646185452848</v>
      </c>
      <c r="Q8" s="5">
        <v>20.537523104390988</v>
      </c>
      <c r="R8" s="5">
        <v>5225.2478638966913</v>
      </c>
      <c r="S8" s="31"/>
      <c r="T8" s="23">
        <v>1350719.7170983411</v>
      </c>
      <c r="U8" s="33">
        <v>37.859524624996993</v>
      </c>
      <c r="V8" s="5">
        <v>6</v>
      </c>
      <c r="W8" s="5">
        <v>57</v>
      </c>
      <c r="X8" s="33">
        <v>964.63858673278742</v>
      </c>
      <c r="Y8" s="5">
        <v>60.193596716258696</v>
      </c>
      <c r="Z8" s="5">
        <v>6747.4717477711411</v>
      </c>
      <c r="AA8" s="35"/>
    </row>
    <row r="9" spans="2:27" x14ac:dyDescent="0.2">
      <c r="B9" s="4">
        <v>6</v>
      </c>
      <c r="C9" s="4">
        <v>530</v>
      </c>
      <c r="D9" s="23">
        <v>1014812.103206547</v>
      </c>
      <c r="E9" s="33">
        <v>41.963800874997098</v>
      </c>
      <c r="F9" s="5">
        <v>7</v>
      </c>
      <c r="G9" s="23">
        <v>84</v>
      </c>
      <c r="H9" s="33">
        <v>979.61907358234657</v>
      </c>
      <c r="I9" s="23">
        <v>49.178507747420227</v>
      </c>
      <c r="J9" s="5">
        <v>6321.2865647644321</v>
      </c>
      <c r="K9" s="31"/>
      <c r="L9" s="23">
        <v>1370899.2996621409</v>
      </c>
      <c r="M9" s="33">
        <v>112.788447334</v>
      </c>
      <c r="N9" s="5">
        <v>18</v>
      </c>
      <c r="O9" s="5">
        <v>69</v>
      </c>
      <c r="P9" s="33">
        <v>857.79844025231068</v>
      </c>
      <c r="Q9" s="5">
        <v>15.221720656664608</v>
      </c>
      <c r="R9" s="5">
        <v>5648.9680144231488</v>
      </c>
      <c r="S9" s="31"/>
      <c r="T9" s="23">
        <v>1317685.636006007</v>
      </c>
      <c r="U9" s="33">
        <v>106.1002123750004</v>
      </c>
      <c r="V9" s="5">
        <v>5</v>
      </c>
      <c r="W9" s="5">
        <v>53</v>
      </c>
      <c r="X9" s="33">
        <v>620.86960530706222</v>
      </c>
      <c r="Y9" s="5">
        <v>71.837491989498133</v>
      </c>
      <c r="Z9" s="5">
        <v>5935.3929389644645</v>
      </c>
      <c r="AA9" s="35"/>
    </row>
    <row r="10" spans="2:27" x14ac:dyDescent="0.2">
      <c r="B10" s="4">
        <v>7</v>
      </c>
      <c r="C10" s="4">
        <v>596</v>
      </c>
      <c r="D10" s="23">
        <v>992886.37013114139</v>
      </c>
      <c r="E10" s="33">
        <v>73.157614707997709</v>
      </c>
      <c r="F10" s="5">
        <v>7</v>
      </c>
      <c r="G10" s="23">
        <v>85</v>
      </c>
      <c r="H10" s="33">
        <v>952.39244005827265</v>
      </c>
      <c r="I10" s="23">
        <v>49.775922935560509</v>
      </c>
      <c r="J10" s="5">
        <v>6363.0419408337984</v>
      </c>
      <c r="K10" s="31"/>
      <c r="L10" s="23">
        <v>1269271.9777492911</v>
      </c>
      <c r="M10" s="33">
        <v>241.2650285</v>
      </c>
      <c r="N10" s="5">
        <v>12</v>
      </c>
      <c r="O10" s="5">
        <v>65</v>
      </c>
      <c r="P10" s="33">
        <v>635.4067216527385</v>
      </c>
      <c r="Q10" s="5">
        <v>20.79827723862412</v>
      </c>
      <c r="R10" s="5">
        <v>5161.3926739579492</v>
      </c>
      <c r="S10" s="31"/>
      <c r="T10" s="23">
        <v>1351720.362074483</v>
      </c>
      <c r="U10" s="33">
        <v>41.353760666999733</v>
      </c>
      <c r="V10" s="5">
        <v>5</v>
      </c>
      <c r="W10" s="5">
        <v>51</v>
      </c>
      <c r="X10" s="33">
        <v>523.40516863256812</v>
      </c>
      <c r="Y10" s="5">
        <v>66.603893495055473</v>
      </c>
      <c r="Z10" s="5">
        <v>6044.2454684516042</v>
      </c>
      <c r="AA10" s="35"/>
    </row>
    <row r="11" spans="2:27" x14ac:dyDescent="0.2">
      <c r="B11" s="4">
        <v>8</v>
      </c>
      <c r="C11" s="4">
        <v>684</v>
      </c>
      <c r="D11" s="23">
        <v>1257286.2607631001</v>
      </c>
      <c r="E11" s="33">
        <v>80.253175917001499</v>
      </c>
      <c r="F11" s="5">
        <v>8</v>
      </c>
      <c r="G11" s="23">
        <v>78</v>
      </c>
      <c r="H11" s="33">
        <v>1820.7434511693111</v>
      </c>
      <c r="I11" s="23">
        <v>37.606154474136467</v>
      </c>
      <c r="J11" s="5">
        <v>7495.8498089890281</v>
      </c>
      <c r="K11" s="31"/>
      <c r="L11" s="23">
        <v>1459466.3610678159</v>
      </c>
      <c r="M11" s="33">
        <v>96.643245875000503</v>
      </c>
      <c r="N11" s="5">
        <v>12</v>
      </c>
      <c r="O11" s="5">
        <v>57</v>
      </c>
      <c r="P11" s="33">
        <v>1120.0832433124722</v>
      </c>
      <c r="Q11" s="5">
        <v>18.095731540630606</v>
      </c>
      <c r="R11" s="5">
        <v>5969.0205234391142</v>
      </c>
      <c r="S11" s="31"/>
      <c r="T11" s="23">
        <v>1491986.739673018</v>
      </c>
      <c r="U11" s="33">
        <v>54.721274707997509</v>
      </c>
      <c r="V11" s="5">
        <v>9</v>
      </c>
      <c r="W11" s="5">
        <v>56</v>
      </c>
      <c r="X11" s="33">
        <v>1967.3201354715977</v>
      </c>
      <c r="Y11" s="5">
        <v>44.119092049350122</v>
      </c>
      <c r="Z11" s="5">
        <v>7436.9515457895423</v>
      </c>
      <c r="AA11" s="35"/>
    </row>
    <row r="12" spans="2:27" x14ac:dyDescent="0.2">
      <c r="B12" s="4">
        <v>9</v>
      </c>
      <c r="C12" s="4">
        <v>760</v>
      </c>
      <c r="D12" s="23">
        <v>983789.24493517703</v>
      </c>
      <c r="E12" s="33">
        <v>88.331817332997161</v>
      </c>
      <c r="F12" s="5">
        <v>8</v>
      </c>
      <c r="G12" s="23">
        <v>91</v>
      </c>
      <c r="H12" s="33">
        <v>1173.1277265510039</v>
      </c>
      <c r="I12" s="23">
        <v>46.808464305657672</v>
      </c>
      <c r="J12" s="5">
        <v>6645.4034250296827</v>
      </c>
      <c r="K12" s="31"/>
      <c r="L12" s="23">
        <v>1324315.751440258</v>
      </c>
      <c r="M12" s="33">
        <v>56.757625541999907</v>
      </c>
      <c r="N12" s="5">
        <v>16</v>
      </c>
      <c r="O12" s="5">
        <v>70</v>
      </c>
      <c r="P12" s="33">
        <v>879.90611871713372</v>
      </c>
      <c r="Q12" s="5">
        <v>16.774723640475244</v>
      </c>
      <c r="R12" s="5">
        <v>5630.9815365096892</v>
      </c>
      <c r="S12" s="31"/>
      <c r="T12" s="23">
        <v>1364077.9180809159</v>
      </c>
      <c r="U12" s="33">
        <v>72.848897249998117</v>
      </c>
      <c r="V12" s="5">
        <v>5</v>
      </c>
      <c r="W12" s="5">
        <v>51</v>
      </c>
      <c r="X12" s="33">
        <v>641.99476849907455</v>
      </c>
      <c r="Y12" s="5">
        <v>66.095587063368299</v>
      </c>
      <c r="Z12" s="5">
        <v>6158.0671863400303</v>
      </c>
      <c r="AA12" s="35"/>
    </row>
    <row r="13" spans="2:27" x14ac:dyDescent="0.2">
      <c r="B13" s="4">
        <v>10</v>
      </c>
      <c r="C13" s="4">
        <v>902</v>
      </c>
      <c r="D13" s="23">
        <v>1007480.503097677</v>
      </c>
      <c r="E13" s="33">
        <v>79.849904666996736</v>
      </c>
      <c r="F13" s="5">
        <v>9</v>
      </c>
      <c r="G13" s="23">
        <v>89</v>
      </c>
      <c r="H13" s="33">
        <v>1250.8665530917808</v>
      </c>
      <c r="I13" s="23">
        <v>41.766119727645894</v>
      </c>
      <c r="J13" s="5">
        <v>6298.8076204929612</v>
      </c>
      <c r="K13" s="31"/>
      <c r="L13" s="23">
        <v>1288233.727264103</v>
      </c>
      <c r="M13" s="33">
        <v>96.450647041000593</v>
      </c>
      <c r="N13" s="5">
        <v>12</v>
      </c>
      <c r="O13" s="5">
        <v>65</v>
      </c>
      <c r="P13" s="33">
        <v>676.41330356652156</v>
      </c>
      <c r="Q13" s="5">
        <v>21.070057722683682</v>
      </c>
      <c r="R13" s="5">
        <v>5409.5537082501278</v>
      </c>
      <c r="S13" s="31"/>
      <c r="T13" s="23">
        <v>1362930.426423904</v>
      </c>
      <c r="U13" s="33">
        <v>48.362546250005828</v>
      </c>
      <c r="V13" s="5">
        <v>7</v>
      </c>
      <c r="W13" s="5">
        <v>57</v>
      </c>
      <c r="X13" s="33">
        <v>1277.1062712833379</v>
      </c>
      <c r="Y13" s="5">
        <v>61.868109638778897</v>
      </c>
      <c r="Z13" s="5">
        <v>6756.7299639638541</v>
      </c>
      <c r="AA13" s="35"/>
    </row>
    <row r="14" spans="2:27" x14ac:dyDescent="0.2">
      <c r="B14" s="46" t="s">
        <v>3</v>
      </c>
      <c r="C14" s="47"/>
      <c r="D14" s="9">
        <f>MIN(D4:D13)</f>
        <v>983789.24493517703</v>
      </c>
      <c r="E14" s="22">
        <f>INDEX(E4:E13, MATCH($D$14, D4:D13, 0))</f>
        <v>88.331817332997161</v>
      </c>
      <c r="F14" s="9">
        <f>INDEX(F4:F13, MATCH($D$14, D4:D13, 0))</f>
        <v>8</v>
      </c>
      <c r="G14" s="9">
        <f>INDEX(G4:G13, MATCH($D$14, D4:D13, 0))</f>
        <v>91</v>
      </c>
      <c r="H14" s="22">
        <f>INDEX(H4:H13, MATCH($D$14, D4:D13, 0))</f>
        <v>1173.1277265510039</v>
      </c>
      <c r="I14" s="22">
        <f>INDEX(I4:I13, MATCH($D$14, D4:D13, 0))</f>
        <v>46.808464305657672</v>
      </c>
      <c r="J14" s="22">
        <f>INDEX(J4:J13, MATCH($D$14, D4:D13, 0))</f>
        <v>6645.4034250296827</v>
      </c>
      <c r="K14" s="32" t="e">
        <f>(D14-$D$15)/$D$15</f>
        <v>#DIV/0!</v>
      </c>
      <c r="L14" s="16">
        <f>MIN(L4:L13)</f>
        <v>1263469.849005929</v>
      </c>
      <c r="M14" s="21">
        <f>INDEX(M4:M13, MATCH($L$14, L4:L13, 0))</f>
        <v>117.6518662500002</v>
      </c>
      <c r="N14" s="16">
        <f>INDEX(N4:N13, MATCH($L$14, L4:L13, 0))</f>
        <v>12</v>
      </c>
      <c r="O14" s="16">
        <f>INDEX(O4:O13, MATCH($L$14, L4:L13, 0))</f>
        <v>67</v>
      </c>
      <c r="P14" s="21">
        <f>INDEX(P4:P13, MATCH($L$14, L4:L13, 0))</f>
        <v>710.94708044856895</v>
      </c>
      <c r="Q14" s="21">
        <f>INDEX(Q4:Q13, MATCH($L$14, L4:L13, 0))</f>
        <v>21.905669827139807</v>
      </c>
      <c r="R14" s="21">
        <f>INDEX(R4:R13, MATCH($L$14, L4:L13, 0))</f>
        <v>5355.8277608801463</v>
      </c>
      <c r="S14" s="36" t="e">
        <f>(L14-$D$15)/$D$15</f>
        <v>#DIV/0!</v>
      </c>
      <c r="T14" s="38">
        <f>MIN(T4:T13)</f>
        <v>1317685.636006007</v>
      </c>
      <c r="U14" s="39">
        <f>INDEX(U4:U13, MATCH($T$14, T4:T13, 0))</f>
        <v>106.1002123750004</v>
      </c>
      <c r="V14" s="38">
        <f>INDEX(V4:V13, MATCH($T$14, T4:T13, 0))</f>
        <v>5</v>
      </c>
      <c r="W14" s="38">
        <f>INDEX(W4:W13, MATCH($T$14, T4:T13, 0))</f>
        <v>53</v>
      </c>
      <c r="X14" s="39">
        <f>INDEX(X4:X13, MATCH($T$14, T4:T13, 0))</f>
        <v>620.86960530706222</v>
      </c>
      <c r="Y14" s="39">
        <f>INDEX(Y4:Y13, MATCH($T$14, T4:T13, 0))</f>
        <v>71.837491989498133</v>
      </c>
      <c r="Z14" s="39">
        <f>INDEX(Z4:Z13, MATCH($T$14, T4:T13, 0))</f>
        <v>5935.3929389644645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0.28428914578058878</v>
      </c>
      <c r="M15" s="45">
        <f t="shared" ref="M15:R15" si="0">(M14-E14)/E14</f>
        <v>0.33193077876424787</v>
      </c>
      <c r="N15" s="45">
        <f t="shared" si="0"/>
        <v>0.5</v>
      </c>
      <c r="O15" s="45">
        <f t="shared" si="0"/>
        <v>-0.26373626373626374</v>
      </c>
      <c r="P15" s="45">
        <f t="shared" si="0"/>
        <v>-0.39397299683747672</v>
      </c>
      <c r="Q15" s="45">
        <f t="shared" si="0"/>
        <v>-0.53201477228356542</v>
      </c>
      <c r="R15" s="45">
        <f t="shared" si="0"/>
        <v>-0.19405528628892477</v>
      </c>
      <c r="S15"/>
      <c r="T15" s="45">
        <f>(T14-D14)/D14</f>
        <v>0.33939829367908037</v>
      </c>
      <c r="U15" s="45">
        <f t="shared" ref="U15:Z15" si="1">(U14-E14)/E14</f>
        <v>0.20115509426257086</v>
      </c>
      <c r="V15" s="45">
        <f t="shared" si="1"/>
        <v>-0.375</v>
      </c>
      <c r="W15" s="45">
        <f>(W14-G14)/G14</f>
        <v>-0.4175824175824176</v>
      </c>
      <c r="X15" s="45">
        <f t="shared" si="1"/>
        <v>-0.47075702734226632</v>
      </c>
      <c r="Y15" s="45">
        <f t="shared" si="1"/>
        <v>0.53471157524848001</v>
      </c>
      <c r="Z15" s="45">
        <f t="shared" si="1"/>
        <v>-0.10684234509992098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97" priority="7"/>
    <cfRule type="duplicateValues" dxfId="96" priority="8"/>
  </conditionalFormatting>
  <conditionalFormatting sqref="C14">
    <cfRule type="duplicateValues" dxfId="95" priority="3"/>
    <cfRule type="duplicateValues" dxfId="94" priority="4"/>
  </conditionalFormatting>
  <conditionalFormatting sqref="C15">
    <cfRule type="duplicateValues" dxfId="93" priority="5"/>
    <cfRule type="duplicateValues" dxfId="92" priority="6"/>
  </conditionalFormatting>
  <conditionalFormatting sqref="C17:C31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46CA-867C-2D47-A4FC-789CD0C0E9A7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-0.98136760399448675</v>
      </c>
      <c r="J2" s="28" t="e">
        <f>(S14-J14)/J14</f>
        <v>#DIV/0!</v>
      </c>
      <c r="K2" s="28"/>
      <c r="L2" s="1" t="s">
        <v>19</v>
      </c>
      <c r="P2" s="1">
        <f>(P14-H14)/H14</f>
        <v>-0.23298773901913017</v>
      </c>
      <c r="R2" s="1">
        <f>(R14-J14)/J14</f>
        <v>-0.14168300931452013</v>
      </c>
      <c r="T2" s="1" t="s">
        <v>20</v>
      </c>
      <c r="X2" s="1">
        <f>(X14-P14)/P14</f>
        <v>0.9517485738023268</v>
      </c>
      <c r="Z2" s="1">
        <f>(Z14-R14)/R14</f>
        <v>0.25746999640591089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174</v>
      </c>
      <c r="D4" s="23">
        <v>931696.97948477976</v>
      </c>
      <c r="E4" s="33">
        <v>44.814298375000362</v>
      </c>
      <c r="F4" s="5">
        <v>10</v>
      </c>
      <c r="G4" s="23">
        <v>97</v>
      </c>
      <c r="H4" s="33">
        <v>1242.1757647705949</v>
      </c>
      <c r="I4" s="23">
        <v>42.413879470787656</v>
      </c>
      <c r="J4" s="5">
        <v>6580.4582809017138</v>
      </c>
      <c r="K4" s="31"/>
      <c r="L4" s="23">
        <v>1312501.085241589</v>
      </c>
      <c r="M4" s="33">
        <v>108.7501609159999</v>
      </c>
      <c r="N4" s="5">
        <v>11</v>
      </c>
      <c r="O4" s="5">
        <v>61</v>
      </c>
      <c r="P4" s="33">
        <v>634.59694513055945</v>
      </c>
      <c r="Q4" s="5">
        <v>24.859577285729198</v>
      </c>
      <c r="R4" s="5">
        <v>5290.6630683088897</v>
      </c>
      <c r="S4" s="31"/>
      <c r="T4" s="23">
        <v>1250073.6054547131</v>
      </c>
      <c r="U4" s="33">
        <v>124.5665098329991</v>
      </c>
      <c r="V4" s="5">
        <v>8</v>
      </c>
      <c r="W4" s="5">
        <v>72</v>
      </c>
      <c r="X4" s="33">
        <v>1502.2654607915365</v>
      </c>
      <c r="Y4" s="5">
        <v>53.659955118714386</v>
      </c>
      <c r="Z4" s="5">
        <v>7064.5096427775798</v>
      </c>
      <c r="AA4" s="35"/>
    </row>
    <row r="5" spans="2:27" x14ac:dyDescent="0.2">
      <c r="B5" s="4">
        <v>2</v>
      </c>
      <c r="C5" s="4">
        <v>248</v>
      </c>
      <c r="D5" s="23">
        <v>974647.02288526017</v>
      </c>
      <c r="E5" s="33">
        <v>62.123754209002072</v>
      </c>
      <c r="F5" s="5">
        <v>8</v>
      </c>
      <c r="G5" s="23">
        <v>94</v>
      </c>
      <c r="H5" s="33">
        <v>1433.0126799186737</v>
      </c>
      <c r="I5" s="23">
        <v>50.958882458371818</v>
      </c>
      <c r="J5" s="5">
        <v>6904.1459462428165</v>
      </c>
      <c r="K5" s="31"/>
      <c r="L5" s="23">
        <v>1267522.8235183449</v>
      </c>
      <c r="M5" s="33">
        <v>225.92642841699941</v>
      </c>
      <c r="N5" s="5">
        <v>11</v>
      </c>
      <c r="O5" s="5">
        <v>66</v>
      </c>
      <c r="P5" s="33">
        <v>962.04868955748918</v>
      </c>
      <c r="Q5" s="5">
        <v>24.318247060419381</v>
      </c>
      <c r="R5" s="5">
        <v>5490.6869397285227</v>
      </c>
      <c r="S5" s="31"/>
      <c r="T5" s="23">
        <v>1238819.2349792109</v>
      </c>
      <c r="U5" s="33">
        <v>95.292221832998621</v>
      </c>
      <c r="V5" s="5">
        <v>6</v>
      </c>
      <c r="W5" s="5">
        <v>67</v>
      </c>
      <c r="X5" s="33">
        <v>1333.4132459029868</v>
      </c>
      <c r="Y5" s="5">
        <v>68.204477845773837</v>
      </c>
      <c r="Z5" s="5">
        <v>6871.5140702509498</v>
      </c>
      <c r="AA5" s="35"/>
    </row>
    <row r="6" spans="2:27" x14ac:dyDescent="0.2">
      <c r="B6" s="4">
        <v>3</v>
      </c>
      <c r="C6" s="4">
        <v>271</v>
      </c>
      <c r="D6" s="23">
        <v>930551.13564904057</v>
      </c>
      <c r="E6" s="33">
        <v>96.291657458998088</v>
      </c>
      <c r="F6" s="5">
        <v>8</v>
      </c>
      <c r="G6" s="23">
        <v>94</v>
      </c>
      <c r="H6" s="33">
        <v>1189.8115661857196</v>
      </c>
      <c r="I6" s="23">
        <v>49.765730349795561</v>
      </c>
      <c r="J6" s="5">
        <v>6613.0557617439817</v>
      </c>
      <c r="K6" s="31"/>
      <c r="L6" s="23">
        <v>1286877.516552011</v>
      </c>
      <c r="M6" s="33">
        <v>92.370667042000605</v>
      </c>
      <c r="N6" s="5">
        <v>13</v>
      </c>
      <c r="O6" s="5">
        <v>70</v>
      </c>
      <c r="P6" s="33">
        <v>1067.8513393610206</v>
      </c>
      <c r="Q6" s="5">
        <v>22.401180059728045</v>
      </c>
      <c r="R6" s="5">
        <v>5895.2870747249763</v>
      </c>
      <c r="S6" s="31"/>
      <c r="T6" s="23">
        <v>1220371.0403196211</v>
      </c>
      <c r="U6" s="33">
        <v>125.5451147079948</v>
      </c>
      <c r="V6" s="5">
        <v>10</v>
      </c>
      <c r="W6" s="5">
        <v>81</v>
      </c>
      <c r="X6" s="33">
        <v>2055.0361699693785</v>
      </c>
      <c r="Y6" s="5">
        <v>57.399495199144624</v>
      </c>
      <c r="Z6" s="5">
        <v>7600.2941167872859</v>
      </c>
      <c r="AA6" s="35"/>
    </row>
    <row r="7" spans="2:27" x14ac:dyDescent="0.2">
      <c r="B7" s="4">
        <v>4</v>
      </c>
      <c r="C7" s="4">
        <v>288</v>
      </c>
      <c r="D7" s="23">
        <v>920669.68145738309</v>
      </c>
      <c r="E7" s="33">
        <v>96.943898250006896</v>
      </c>
      <c r="F7" s="5">
        <v>9</v>
      </c>
      <c r="G7" s="23">
        <v>98</v>
      </c>
      <c r="H7" s="33">
        <v>1270.7042929036345</v>
      </c>
      <c r="I7" s="23">
        <v>47.937573010493907</v>
      </c>
      <c r="J7" s="5">
        <v>6751.8092421871652</v>
      </c>
      <c r="K7" s="31"/>
      <c r="L7" s="23">
        <v>1307516.0076889819</v>
      </c>
      <c r="M7" s="33">
        <v>125.18960745800091</v>
      </c>
      <c r="N7" s="5">
        <v>15</v>
      </c>
      <c r="O7" s="5">
        <v>72</v>
      </c>
      <c r="P7" s="33">
        <v>854.86316261787351</v>
      </c>
      <c r="Q7" s="5">
        <v>19.507750379522701</v>
      </c>
      <c r="R7" s="5">
        <v>5872.0773179350717</v>
      </c>
      <c r="S7" s="31"/>
      <c r="T7" s="23">
        <v>1236557.1924730539</v>
      </c>
      <c r="U7" s="33">
        <v>77.555970333996811</v>
      </c>
      <c r="V7" s="5">
        <v>7</v>
      </c>
      <c r="W7" s="5">
        <v>68</v>
      </c>
      <c r="X7" s="33">
        <v>1064.1173292537806</v>
      </c>
      <c r="Y7" s="5">
        <v>57.642567882943517</v>
      </c>
      <c r="Z7" s="5">
        <v>6762.4965568058396</v>
      </c>
      <c r="AA7" s="35"/>
    </row>
    <row r="8" spans="2:27" x14ac:dyDescent="0.2">
      <c r="B8" s="4">
        <v>5</v>
      </c>
      <c r="C8" s="4">
        <v>455</v>
      </c>
      <c r="D8" s="23">
        <v>1003607.892586902</v>
      </c>
      <c r="E8" s="33">
        <v>38.447475166998629</v>
      </c>
      <c r="F8" s="5">
        <v>8</v>
      </c>
      <c r="G8" s="23">
        <v>92</v>
      </c>
      <c r="H8" s="33">
        <v>1529.9007692174494</v>
      </c>
      <c r="I8" s="23">
        <v>50.42596480629134</v>
      </c>
      <c r="J8" s="5">
        <v>6831.1286985661909</v>
      </c>
      <c r="K8" s="31"/>
      <c r="L8" s="23">
        <v>1330053.8089608799</v>
      </c>
      <c r="M8" s="33">
        <v>159.7983142089997</v>
      </c>
      <c r="N8" s="5">
        <v>11</v>
      </c>
      <c r="O8" s="5">
        <v>65</v>
      </c>
      <c r="P8" s="33">
        <v>1148.021570376025</v>
      </c>
      <c r="Q8" s="5">
        <v>23.618680269353948</v>
      </c>
      <c r="R8" s="5">
        <v>5970.6809919467041</v>
      </c>
      <c r="S8" s="31"/>
      <c r="T8" s="23">
        <v>1315292.8291167771</v>
      </c>
      <c r="U8" s="33">
        <v>121.2507392500047</v>
      </c>
      <c r="V8" s="5">
        <v>5</v>
      </c>
      <c r="W8" s="5">
        <v>57</v>
      </c>
      <c r="X8" s="33">
        <v>833.28175108633161</v>
      </c>
      <c r="Y8" s="5">
        <v>70.732579219991592</v>
      </c>
      <c r="Z8" s="5">
        <v>6439.0434142532285</v>
      </c>
      <c r="AA8" s="35"/>
    </row>
    <row r="9" spans="2:27" x14ac:dyDescent="0.2">
      <c r="B9" s="4">
        <v>6</v>
      </c>
      <c r="C9" s="4">
        <v>546</v>
      </c>
      <c r="D9" s="23">
        <v>965736.43893537298</v>
      </c>
      <c r="E9" s="33">
        <v>49.995556750000112</v>
      </c>
      <c r="F9" s="5">
        <v>8</v>
      </c>
      <c r="G9" s="23">
        <v>93</v>
      </c>
      <c r="H9" s="33">
        <v>1347.633117671176</v>
      </c>
      <c r="I9" s="23">
        <v>49.829596008082866</v>
      </c>
      <c r="J9" s="5">
        <v>6794.0184122818864</v>
      </c>
      <c r="K9" s="31"/>
      <c r="L9" s="23">
        <v>1301027.463511145</v>
      </c>
      <c r="M9" s="33">
        <v>56.406421958999999</v>
      </c>
      <c r="N9" s="5">
        <v>11</v>
      </c>
      <c r="O9" s="5">
        <v>65</v>
      </c>
      <c r="P9" s="33">
        <v>929.25707841109204</v>
      </c>
      <c r="Q9" s="5">
        <v>24.736190237778647</v>
      </c>
      <c r="R9" s="5">
        <v>5656.7531879307762</v>
      </c>
      <c r="S9" s="31"/>
      <c r="T9" s="23">
        <v>1221241.551305695</v>
      </c>
      <c r="U9" s="33">
        <v>134.96539154200579</v>
      </c>
      <c r="V9" s="5">
        <v>8</v>
      </c>
      <c r="W9" s="5">
        <v>74</v>
      </c>
      <c r="X9" s="33">
        <v>1738.2422748712538</v>
      </c>
      <c r="Y9" s="5">
        <v>62.058874310611969</v>
      </c>
      <c r="Z9" s="5">
        <v>7243.75385718694</v>
      </c>
      <c r="AA9" s="35"/>
    </row>
    <row r="10" spans="2:27" x14ac:dyDescent="0.2">
      <c r="B10" s="4">
        <v>7</v>
      </c>
      <c r="C10" s="4">
        <v>606</v>
      </c>
      <c r="D10" s="23">
        <v>1001686.069836835</v>
      </c>
      <c r="E10" s="33">
        <v>91.900830374994257</v>
      </c>
      <c r="F10" s="5">
        <v>7</v>
      </c>
      <c r="G10" s="23">
        <v>88</v>
      </c>
      <c r="H10" s="33">
        <v>1198.7688858352892</v>
      </c>
      <c r="I10" s="23">
        <v>55.161869919380322</v>
      </c>
      <c r="J10" s="5">
        <v>6757.9302420605827</v>
      </c>
      <c r="K10" s="31"/>
      <c r="L10" s="23">
        <v>1260961.435517116</v>
      </c>
      <c r="M10" s="33">
        <v>170.83247508400021</v>
      </c>
      <c r="N10" s="5">
        <v>11</v>
      </c>
      <c r="O10" s="5">
        <v>66</v>
      </c>
      <c r="P10" s="33">
        <v>785.16306860004738</v>
      </c>
      <c r="Q10" s="5">
        <v>24.367269726801212</v>
      </c>
      <c r="R10" s="5">
        <v>5487.4027121003292</v>
      </c>
      <c r="S10" s="31"/>
      <c r="T10" s="23">
        <v>1242640.975744507</v>
      </c>
      <c r="U10" s="33">
        <v>124.7511835420009</v>
      </c>
      <c r="V10" s="5">
        <v>8</v>
      </c>
      <c r="W10" s="5">
        <v>72</v>
      </c>
      <c r="X10" s="33">
        <v>1672.9661422566385</v>
      </c>
      <c r="Y10" s="5">
        <v>58.721337550894951</v>
      </c>
      <c r="Z10" s="5">
        <v>7154.1780942106152</v>
      </c>
      <c r="AA10" s="35"/>
    </row>
    <row r="11" spans="2:27" x14ac:dyDescent="0.2">
      <c r="B11" s="4">
        <v>8</v>
      </c>
      <c r="C11" s="4">
        <v>688</v>
      </c>
      <c r="D11" s="23">
        <v>1133889.5104192949</v>
      </c>
      <c r="E11" s="33">
        <v>42.525346041999001</v>
      </c>
      <c r="F11" s="5">
        <v>11</v>
      </c>
      <c r="G11" s="23">
        <v>90</v>
      </c>
      <c r="H11" s="33">
        <v>1815.996459473547</v>
      </c>
      <c r="I11" s="23">
        <v>34.928436667676522</v>
      </c>
      <c r="J11" s="5">
        <v>7243.18639483075</v>
      </c>
      <c r="K11" s="31"/>
      <c r="L11" s="23">
        <v>1379798.4361224051</v>
      </c>
      <c r="M11" s="33">
        <v>62.149289292000503</v>
      </c>
      <c r="N11" s="5">
        <v>10</v>
      </c>
      <c r="O11" s="5">
        <v>57</v>
      </c>
      <c r="P11" s="33">
        <v>727.74222543557266</v>
      </c>
      <c r="Q11" s="5">
        <v>23.34318345036672</v>
      </c>
      <c r="R11" s="5">
        <v>5647.7528095917805</v>
      </c>
      <c r="S11" s="31"/>
      <c r="T11" s="23">
        <v>1192542.731625011</v>
      </c>
      <c r="U11" s="33">
        <v>164.4327152079932</v>
      </c>
      <c r="V11" s="5">
        <v>10</v>
      </c>
      <c r="W11" s="5">
        <v>80</v>
      </c>
      <c r="X11" s="33">
        <v>1902.263496904081</v>
      </c>
      <c r="Y11" s="5">
        <v>55.777311233009144</v>
      </c>
      <c r="Z11" s="5">
        <v>7287.2808058677447</v>
      </c>
      <c r="AA11" s="35"/>
    </row>
    <row r="12" spans="2:27" x14ac:dyDescent="0.2">
      <c r="B12" s="4">
        <v>9</v>
      </c>
      <c r="C12" s="4">
        <v>830</v>
      </c>
      <c r="D12" s="23">
        <v>943551.51950314338</v>
      </c>
      <c r="E12" s="33">
        <v>26.661813750004509</v>
      </c>
      <c r="F12" s="5">
        <v>8</v>
      </c>
      <c r="G12" s="23">
        <v>95</v>
      </c>
      <c r="H12" s="33">
        <v>1307.8936658046989</v>
      </c>
      <c r="I12" s="23">
        <v>50.263179971519989</v>
      </c>
      <c r="J12" s="5">
        <v>6727.9617423342152</v>
      </c>
      <c r="K12" s="31"/>
      <c r="L12" s="23">
        <v>1253900.1389226399</v>
      </c>
      <c r="M12" s="33">
        <v>114.70776916700019</v>
      </c>
      <c r="N12" s="5">
        <v>11</v>
      </c>
      <c r="O12" s="5">
        <v>68</v>
      </c>
      <c r="P12" s="33">
        <v>906.41886589765727</v>
      </c>
      <c r="Q12" s="5">
        <v>26.822210281419828</v>
      </c>
      <c r="R12" s="5">
        <v>5718.7847163796851</v>
      </c>
      <c r="S12" s="31"/>
      <c r="T12" s="23">
        <v>1202024.8966088749</v>
      </c>
      <c r="U12" s="33">
        <v>117.3396370000046</v>
      </c>
      <c r="V12" s="5">
        <v>8</v>
      </c>
      <c r="W12" s="5">
        <v>75</v>
      </c>
      <c r="X12" s="33">
        <v>1619.1620681792169</v>
      </c>
      <c r="Y12" s="5">
        <v>62.208874579049748</v>
      </c>
      <c r="Z12" s="5">
        <v>7197.6072173494813</v>
      </c>
      <c r="AA12" s="35"/>
    </row>
    <row r="13" spans="2:27" x14ac:dyDescent="0.2">
      <c r="B13" s="4">
        <v>10</v>
      </c>
      <c r="C13" s="4">
        <v>971</v>
      </c>
      <c r="D13" s="23">
        <v>1056554.2878135261</v>
      </c>
      <c r="E13" s="33">
        <v>39.89682395800628</v>
      </c>
      <c r="F13" s="5">
        <v>6</v>
      </c>
      <c r="G13" s="23">
        <v>89</v>
      </c>
      <c r="H13" s="33">
        <v>1657.2564908777749</v>
      </c>
      <c r="I13" s="23">
        <v>65.481351442287419</v>
      </c>
      <c r="J13" s="5">
        <v>7305.5996771636592</v>
      </c>
      <c r="K13" s="31"/>
      <c r="L13" s="23">
        <v>1229374.7034348079</v>
      </c>
      <c r="M13" s="33">
        <v>218.56212212500029</v>
      </c>
      <c r="N13" s="5">
        <v>13</v>
      </c>
      <c r="O13" s="5">
        <v>73</v>
      </c>
      <c r="P13" s="33">
        <v>974.64577273811415</v>
      </c>
      <c r="Q13" s="5">
        <v>23.67626559128616</v>
      </c>
      <c r="R13" s="5">
        <v>5795.192590436498</v>
      </c>
      <c r="S13" s="31"/>
      <c r="T13" s="23">
        <v>1271383.8938037991</v>
      </c>
      <c r="U13" s="33">
        <v>29.082537417001731</v>
      </c>
      <c r="V13" s="5">
        <v>6</v>
      </c>
      <c r="W13" s="5">
        <v>60</v>
      </c>
      <c r="X13" s="33">
        <v>684.22339739491986</v>
      </c>
      <c r="Y13" s="5">
        <v>62.980114119893038</v>
      </c>
      <c r="Z13" s="5">
        <v>6219.0285783276304</v>
      </c>
      <c r="AA13" s="35"/>
    </row>
    <row r="14" spans="2:27" x14ac:dyDescent="0.2">
      <c r="B14" s="46" t="s">
        <v>3</v>
      </c>
      <c r="C14" s="47"/>
      <c r="D14" s="9">
        <f>MIN(D4:D13)</f>
        <v>920669.68145738309</v>
      </c>
      <c r="E14" s="22">
        <f>INDEX(E4:E13, MATCH($D$14, D4:D13, 0))</f>
        <v>96.943898250006896</v>
      </c>
      <c r="F14" s="9">
        <f>INDEX(F4:F13, MATCH($D$14, D4:D13, 0))</f>
        <v>9</v>
      </c>
      <c r="G14" s="9">
        <f>INDEX(G4:G13, MATCH($D$14, D4:D13, 0))</f>
        <v>98</v>
      </c>
      <c r="H14" s="22">
        <f>INDEX(H4:H13, MATCH($D$14, D4:D13, 0))</f>
        <v>1270.7042929036345</v>
      </c>
      <c r="I14" s="22">
        <f>INDEX(I4:I13, MATCH($D$14, D4:D13, 0))</f>
        <v>47.937573010493907</v>
      </c>
      <c r="J14" s="22">
        <f>INDEX(J4:J13, MATCH($D$14, D4:D13, 0))</f>
        <v>6751.8092421871652</v>
      </c>
      <c r="K14" s="32" t="e">
        <f>(D14-$D$15)/$D$15</f>
        <v>#DIV/0!</v>
      </c>
      <c r="L14" s="16">
        <f>MIN(L4:L13)</f>
        <v>1229374.7034348079</v>
      </c>
      <c r="M14" s="21">
        <f>INDEX(M4:M13, MATCH($L$14, L4:L13, 0))</f>
        <v>218.56212212500029</v>
      </c>
      <c r="N14" s="16">
        <f>INDEX(N4:N13, MATCH($L$14, L4:L13, 0))</f>
        <v>13</v>
      </c>
      <c r="O14" s="16">
        <f>INDEX(O4:O13, MATCH($L$14, L4:L13, 0))</f>
        <v>73</v>
      </c>
      <c r="P14" s="21">
        <f>INDEX(P4:P13, MATCH($L$14, L4:L13, 0))</f>
        <v>974.64577273811415</v>
      </c>
      <c r="Q14" s="21">
        <f>INDEX(Q4:Q13, MATCH($L$14, L4:L13, 0))</f>
        <v>23.67626559128616</v>
      </c>
      <c r="R14" s="21">
        <f>INDEX(R4:R13, MATCH($L$14, L4:L13, 0))</f>
        <v>5795.192590436498</v>
      </c>
      <c r="S14" s="36" t="e">
        <f>(L14-$D$15)/$D$15</f>
        <v>#DIV/0!</v>
      </c>
      <c r="T14" s="38">
        <f>MIN(T4:T13)</f>
        <v>1192542.731625011</v>
      </c>
      <c r="U14" s="39">
        <f>INDEX(U4:U13, MATCH($T$14, T4:T13, 0))</f>
        <v>164.4327152079932</v>
      </c>
      <c r="V14" s="38">
        <f>INDEX(V4:V13, MATCH($T$14, T4:T13, 0))</f>
        <v>10</v>
      </c>
      <c r="W14" s="38">
        <f>INDEX(W4:W13, MATCH($T$14, T4:T13, 0))</f>
        <v>80</v>
      </c>
      <c r="X14" s="39">
        <f>INDEX(X4:X13, MATCH($T$14, T4:T13, 0))</f>
        <v>1902.263496904081</v>
      </c>
      <c r="Y14" s="39">
        <f>INDEX(Y4:Y13, MATCH($T$14, T4:T13, 0))</f>
        <v>55.777311233009144</v>
      </c>
      <c r="Z14" s="39">
        <f>INDEX(Z4:Z13, MATCH($T$14, T4:T13, 0))</f>
        <v>7287.2808058677447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0.33530486361705453</v>
      </c>
      <c r="M15" s="45">
        <f t="shared" ref="M15:R15" si="0">(M14-E14)/E14</f>
        <v>1.2545216983265344</v>
      </c>
      <c r="N15" s="45">
        <f t="shared" si="0"/>
        <v>0.44444444444444442</v>
      </c>
      <c r="O15" s="45">
        <f t="shared" si="0"/>
        <v>-0.25510204081632654</v>
      </c>
      <c r="P15" s="45">
        <f t="shared" si="0"/>
        <v>-0.23298773901913017</v>
      </c>
      <c r="Q15" s="45">
        <f t="shared" si="0"/>
        <v>-0.50610212189709225</v>
      </c>
      <c r="R15" s="45">
        <f t="shared" si="0"/>
        <v>-0.14168300931452013</v>
      </c>
      <c r="S15"/>
      <c r="T15" s="45">
        <f>(T14-D14)/D14</f>
        <v>0.29529923233408073</v>
      </c>
      <c r="U15" s="45">
        <f t="shared" ref="U15:Z15" si="1">(U14-E14)/E14</f>
        <v>0.69616363872577713</v>
      </c>
      <c r="V15" s="45">
        <f t="shared" si="1"/>
        <v>0.1111111111111111</v>
      </c>
      <c r="W15" s="45">
        <f>(W14-G14)/G14</f>
        <v>-0.18367346938775511</v>
      </c>
      <c r="X15" s="45">
        <f t="shared" si="1"/>
        <v>0.49701508645831072</v>
      </c>
      <c r="Y15" s="45">
        <f t="shared" si="1"/>
        <v>0.16354057433819308</v>
      </c>
      <c r="Z15" s="45">
        <f t="shared" si="1"/>
        <v>7.9307863192402642E-2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91" priority="7"/>
    <cfRule type="duplicateValues" dxfId="90" priority="8"/>
  </conditionalFormatting>
  <conditionalFormatting sqref="C14">
    <cfRule type="duplicateValues" dxfId="89" priority="3"/>
    <cfRule type="duplicateValues" dxfId="88" priority="4"/>
  </conditionalFormatting>
  <conditionalFormatting sqref="C15">
    <cfRule type="duplicateValues" dxfId="87" priority="5"/>
    <cfRule type="duplicateValues" dxfId="86" priority="6"/>
  </conditionalFormatting>
  <conditionalFormatting sqref="C17:C31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3BD-1DED-EA49-AEA5-58EE7565A730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-0.98012623722024961</v>
      </c>
      <c r="J2" s="28" t="e">
        <f>(S14-J14)/J14</f>
        <v>#DIV/0!</v>
      </c>
      <c r="K2" s="28"/>
      <c r="L2" s="1" t="s">
        <v>19</v>
      </c>
      <c r="P2" s="1">
        <f>(P14-H14)/H14</f>
        <v>-0.15012064104436743</v>
      </c>
      <c r="R2" s="1">
        <f>(R14-J14)/J14</f>
        <v>-0.11380780581326862</v>
      </c>
      <c r="T2" s="1" t="s">
        <v>20</v>
      </c>
      <c r="X2" s="1">
        <f>(X14-P14)/P14</f>
        <v>0.25647398454852632</v>
      </c>
      <c r="Z2" s="1">
        <f>(Z14-R14)/R14</f>
        <v>0.17091485475970178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56</v>
      </c>
      <c r="D4" s="23">
        <v>961479.23989327042</v>
      </c>
      <c r="E4" s="33">
        <v>85.739478708004754</v>
      </c>
      <c r="F4" s="5">
        <v>8</v>
      </c>
      <c r="G4" s="23">
        <v>90</v>
      </c>
      <c r="H4" s="33">
        <v>951.10816750254924</v>
      </c>
      <c r="I4" s="23">
        <v>41.399331633353732</v>
      </c>
      <c r="J4" s="5">
        <v>6449.3011083997408</v>
      </c>
      <c r="K4" s="31"/>
      <c r="L4" s="23">
        <v>1217617.7809414901</v>
      </c>
      <c r="M4" s="33">
        <v>105.3883207919998</v>
      </c>
      <c r="N4" s="5">
        <v>13</v>
      </c>
      <c r="O4" s="5">
        <v>74</v>
      </c>
      <c r="P4" s="33">
        <v>913.94324771549873</v>
      </c>
      <c r="Q4" s="5">
        <v>21.371846613115142</v>
      </c>
      <c r="R4" s="5">
        <v>5877.4478776013812</v>
      </c>
      <c r="S4" s="31"/>
      <c r="T4" s="23">
        <v>1465446.082588013</v>
      </c>
      <c r="U4" s="33">
        <v>71.211923499999102</v>
      </c>
      <c r="V4" s="5">
        <v>9</v>
      </c>
      <c r="W4" s="5">
        <v>57</v>
      </c>
      <c r="X4" s="33">
        <v>1548.0436867636199</v>
      </c>
      <c r="Y4" s="5">
        <v>41.152552615469112</v>
      </c>
      <c r="Z4" s="5">
        <v>7329.4577167098705</v>
      </c>
      <c r="AA4" s="35"/>
    </row>
    <row r="5" spans="2:27" x14ac:dyDescent="0.2">
      <c r="B5" s="4">
        <v>2</v>
      </c>
      <c r="C5" s="4">
        <v>106</v>
      </c>
      <c r="D5" s="23">
        <v>947109.34710750997</v>
      </c>
      <c r="E5" s="33">
        <v>69.239780290998169</v>
      </c>
      <c r="F5" s="5">
        <v>8</v>
      </c>
      <c r="G5" s="23">
        <v>93</v>
      </c>
      <c r="H5" s="33">
        <v>1075.3799796227438</v>
      </c>
      <c r="I5" s="23">
        <v>43.378773438878085</v>
      </c>
      <c r="J5" s="5">
        <v>6632.2496588848671</v>
      </c>
      <c r="K5" s="31"/>
      <c r="L5" s="23">
        <v>1421443.1674776941</v>
      </c>
      <c r="M5" s="33">
        <v>75.754554415999337</v>
      </c>
      <c r="N5" s="5">
        <v>18</v>
      </c>
      <c r="O5" s="5">
        <v>70</v>
      </c>
      <c r="P5" s="33">
        <v>1112.6499109532829</v>
      </c>
      <c r="Q5" s="5">
        <v>14.110479599849056</v>
      </c>
      <c r="R5" s="5">
        <v>6136.8027680608557</v>
      </c>
      <c r="S5" s="31"/>
      <c r="T5" s="23">
        <v>1357568.955310913</v>
      </c>
      <c r="U5" s="33">
        <v>55.238908166997128</v>
      </c>
      <c r="V5" s="5">
        <v>6</v>
      </c>
      <c r="W5" s="5">
        <v>62</v>
      </c>
      <c r="X5" s="33">
        <v>1590.7508242518481</v>
      </c>
      <c r="Y5" s="5">
        <v>57.714195595959069</v>
      </c>
      <c r="Z5" s="5">
        <v>7481.0070935090325</v>
      </c>
      <c r="AA5" s="35"/>
    </row>
    <row r="6" spans="2:27" x14ac:dyDescent="0.2">
      <c r="B6" s="4">
        <v>3</v>
      </c>
      <c r="C6" s="4">
        <v>149</v>
      </c>
      <c r="D6" s="23">
        <v>985262.04140789935</v>
      </c>
      <c r="E6" s="33">
        <v>33.779517209004553</v>
      </c>
      <c r="F6" s="5">
        <v>9</v>
      </c>
      <c r="G6" s="23">
        <v>94</v>
      </c>
      <c r="H6" s="33">
        <v>1251.9823431866178</v>
      </c>
      <c r="I6" s="23">
        <v>39.275225733330394</v>
      </c>
      <c r="J6" s="5">
        <v>6806.4632388681375</v>
      </c>
      <c r="K6" s="31"/>
      <c r="L6" s="23">
        <v>1293452.7914124681</v>
      </c>
      <c r="M6" s="33">
        <v>92.307275999999547</v>
      </c>
      <c r="N6" s="5">
        <v>22</v>
      </c>
      <c r="O6" s="5">
        <v>89</v>
      </c>
      <c r="P6" s="33">
        <v>1490.6207831161444</v>
      </c>
      <c r="Q6" s="5">
        <v>15.361672160007675</v>
      </c>
      <c r="R6" s="5">
        <v>6469.1644142278456</v>
      </c>
      <c r="S6" s="31"/>
      <c r="T6" s="23">
        <v>1375446.0632080201</v>
      </c>
      <c r="U6" s="33">
        <v>93.684150125001906</v>
      </c>
      <c r="V6" s="5">
        <v>9</v>
      </c>
      <c r="W6" s="5">
        <v>57</v>
      </c>
      <c r="X6" s="33">
        <v>802.26069455853155</v>
      </c>
      <c r="Y6" s="5">
        <v>40.579781501381987</v>
      </c>
      <c r="Z6" s="5">
        <v>6157.8842639993618</v>
      </c>
      <c r="AA6" s="35"/>
    </row>
    <row r="7" spans="2:27" x14ac:dyDescent="0.2">
      <c r="B7" s="4">
        <v>4</v>
      </c>
      <c r="C7" s="4">
        <v>504</v>
      </c>
      <c r="D7" s="23">
        <v>1112374.2410515349</v>
      </c>
      <c r="E7" s="33">
        <v>34.862907041999279</v>
      </c>
      <c r="F7" s="5">
        <v>8</v>
      </c>
      <c r="G7" s="23">
        <v>91</v>
      </c>
      <c r="H7" s="33">
        <v>1783.2730492828084</v>
      </c>
      <c r="I7" s="23">
        <v>44.048141519907517</v>
      </c>
      <c r="J7" s="5">
        <v>7505.9829880204488</v>
      </c>
      <c r="K7" s="31"/>
      <c r="L7" s="23">
        <v>1284469.2278602801</v>
      </c>
      <c r="M7" s="33">
        <v>188.5468544999994</v>
      </c>
      <c r="N7" s="5">
        <v>17</v>
      </c>
      <c r="O7" s="5">
        <v>76</v>
      </c>
      <c r="P7" s="33">
        <v>918.68361343337301</v>
      </c>
      <c r="Q7" s="5">
        <v>16.372986881243307</v>
      </c>
      <c r="R7" s="5">
        <v>5874.2801329747272</v>
      </c>
      <c r="S7" s="31"/>
      <c r="T7" s="23">
        <v>1372755.053814481</v>
      </c>
      <c r="U7" s="33">
        <v>64.130554750001465</v>
      </c>
      <c r="V7" s="5">
        <v>5</v>
      </c>
      <c r="W7" s="5">
        <v>52</v>
      </c>
      <c r="X7" s="33">
        <v>611.77416370842184</v>
      </c>
      <c r="Y7" s="5">
        <v>56.522502846362308</v>
      </c>
      <c r="Z7" s="5">
        <v>6419.9421941244273</v>
      </c>
      <c r="AA7" s="35"/>
    </row>
    <row r="8" spans="2:27" x14ac:dyDescent="0.2">
      <c r="B8" s="4">
        <v>5</v>
      </c>
      <c r="C8" s="4">
        <v>714</v>
      </c>
      <c r="D8" s="23">
        <v>974597.77536478615</v>
      </c>
      <c r="E8" s="33">
        <v>144.24304437499811</v>
      </c>
      <c r="F8" s="5">
        <v>9</v>
      </c>
      <c r="G8" s="23">
        <v>94</v>
      </c>
      <c r="H8" s="33">
        <v>1214.7893414949285</v>
      </c>
      <c r="I8" s="23">
        <v>38.676892206027908</v>
      </c>
      <c r="J8" s="5">
        <v>6757.2124594870593</v>
      </c>
      <c r="K8" s="31"/>
      <c r="L8" s="23">
        <v>1290805.5629887511</v>
      </c>
      <c r="M8" s="33">
        <v>90.691190584000651</v>
      </c>
      <c r="N8" s="5">
        <v>10</v>
      </c>
      <c r="O8" s="5">
        <v>59</v>
      </c>
      <c r="P8" s="33">
        <v>434.51248020356587</v>
      </c>
      <c r="Q8" s="5">
        <v>21.471762877556102</v>
      </c>
      <c r="R8" s="5">
        <v>5009.1376647796551</v>
      </c>
      <c r="S8" s="31"/>
      <c r="T8" s="23">
        <v>1574162.7169850019</v>
      </c>
      <c r="U8" s="33">
        <v>49.941422625001003</v>
      </c>
      <c r="V8" s="5">
        <v>7</v>
      </c>
      <c r="W8" s="5">
        <v>50</v>
      </c>
      <c r="X8" s="33">
        <v>2304.5274527893207</v>
      </c>
      <c r="Y8" s="5">
        <v>43.595543495808151</v>
      </c>
      <c r="Z8" s="5">
        <v>8070.4618559884339</v>
      </c>
      <c r="AA8" s="35"/>
    </row>
    <row r="9" spans="2:27" x14ac:dyDescent="0.2">
      <c r="B9" s="4">
        <v>6</v>
      </c>
      <c r="C9" s="4">
        <v>726</v>
      </c>
      <c r="D9" s="23">
        <v>953061.49756765889</v>
      </c>
      <c r="E9" s="33">
        <v>42.34808095900371</v>
      </c>
      <c r="F9" s="5">
        <v>9</v>
      </c>
      <c r="G9" s="23">
        <v>96</v>
      </c>
      <c r="H9" s="33">
        <v>1188.0238636631673</v>
      </c>
      <c r="I9" s="23">
        <v>40.076171594361163</v>
      </c>
      <c r="J9" s="5">
        <v>6789.7462151150476</v>
      </c>
      <c r="K9" s="31"/>
      <c r="L9" s="23">
        <v>1241569.6075318011</v>
      </c>
      <c r="M9" s="33">
        <v>144.42848083300029</v>
      </c>
      <c r="N9" s="5">
        <v>13</v>
      </c>
      <c r="O9" s="5">
        <v>71</v>
      </c>
      <c r="P9" s="33">
        <v>736.52079139307637</v>
      </c>
      <c r="Q9" s="5">
        <v>19.652456005113461</v>
      </c>
      <c r="R9" s="5">
        <v>5718.4070701295686</v>
      </c>
      <c r="S9" s="31"/>
      <c r="T9" s="23">
        <v>1316086.686074693</v>
      </c>
      <c r="U9" s="33">
        <v>75.596175582999422</v>
      </c>
      <c r="V9" s="5">
        <v>5</v>
      </c>
      <c r="W9" s="5">
        <v>55</v>
      </c>
      <c r="X9" s="33">
        <v>505.72741546608864</v>
      </c>
      <c r="Y9" s="5">
        <v>61.548289586728323</v>
      </c>
      <c r="Z9" s="5">
        <v>6241.6284635346619</v>
      </c>
      <c r="AA9" s="35"/>
    </row>
    <row r="10" spans="2:27" x14ac:dyDescent="0.2">
      <c r="B10" s="4">
        <v>7</v>
      </c>
      <c r="C10" s="4">
        <v>771</v>
      </c>
      <c r="D10" s="23">
        <v>964703.95261258143</v>
      </c>
      <c r="E10" s="33">
        <v>101.8764436669953</v>
      </c>
      <c r="F10" s="5">
        <v>8</v>
      </c>
      <c r="G10" s="23">
        <v>93</v>
      </c>
      <c r="H10" s="33">
        <v>1076.0669391569559</v>
      </c>
      <c r="I10" s="23">
        <v>42.803765751411575</v>
      </c>
      <c r="J10" s="5">
        <v>6768.5794389244174</v>
      </c>
      <c r="K10" s="31"/>
      <c r="L10" s="23">
        <v>1388601.428787814</v>
      </c>
      <c r="M10" s="33">
        <v>124.8622679169994</v>
      </c>
      <c r="N10" s="5">
        <v>11</v>
      </c>
      <c r="O10" s="5">
        <v>59</v>
      </c>
      <c r="P10" s="33">
        <v>963.46485841578385</v>
      </c>
      <c r="Q10" s="5">
        <v>19.91299324769717</v>
      </c>
      <c r="R10" s="5">
        <v>5795.0997968915799</v>
      </c>
      <c r="S10" s="31"/>
      <c r="T10" s="23">
        <v>1328848.918595979</v>
      </c>
      <c r="U10" s="33">
        <v>94.904907791998994</v>
      </c>
      <c r="V10" s="5">
        <v>5</v>
      </c>
      <c r="W10" s="5">
        <v>56</v>
      </c>
      <c r="X10" s="33">
        <v>749.2435136968395</v>
      </c>
      <c r="Y10" s="5">
        <v>64.738173606597968</v>
      </c>
      <c r="Z10" s="5">
        <v>6501.0538602301503</v>
      </c>
      <c r="AA10" s="35"/>
    </row>
    <row r="11" spans="2:27" x14ac:dyDescent="0.2">
      <c r="B11" s="4">
        <v>8</v>
      </c>
      <c r="C11" s="4">
        <v>785</v>
      </c>
      <c r="D11" s="23">
        <v>983522.4641097131</v>
      </c>
      <c r="E11" s="33">
        <v>66.212663291000354</v>
      </c>
      <c r="F11" s="5">
        <v>7</v>
      </c>
      <c r="G11" s="23">
        <v>90</v>
      </c>
      <c r="H11" s="33">
        <v>1070.9843730779962</v>
      </c>
      <c r="I11" s="23">
        <v>46.96233411358206</v>
      </c>
      <c r="J11" s="5">
        <v>6820.9495997090344</v>
      </c>
      <c r="K11" s="31"/>
      <c r="L11" s="23">
        <v>1226494.5357553861</v>
      </c>
      <c r="M11" s="33">
        <v>140.02244570900069</v>
      </c>
      <c r="N11" s="5">
        <v>13</v>
      </c>
      <c r="O11" s="5">
        <v>73</v>
      </c>
      <c r="P11" s="33">
        <v>899.47762734307355</v>
      </c>
      <c r="Q11" s="5">
        <v>20.854627489991213</v>
      </c>
      <c r="R11" s="5">
        <v>5684.7965703631689</v>
      </c>
      <c r="S11" s="31"/>
      <c r="T11" s="23">
        <v>1354305.085420463</v>
      </c>
      <c r="U11" s="33">
        <v>77.34898187500221</v>
      </c>
      <c r="V11" s="5">
        <v>6</v>
      </c>
      <c r="W11" s="5">
        <v>56</v>
      </c>
      <c r="X11" s="33">
        <v>791.52482499840801</v>
      </c>
      <c r="Y11" s="5">
        <v>46.290738322053564</v>
      </c>
      <c r="Z11" s="5">
        <v>6548.6621821395483</v>
      </c>
      <c r="AA11" s="35"/>
    </row>
    <row r="12" spans="2:27" x14ac:dyDescent="0.2">
      <c r="B12" s="4">
        <v>9</v>
      </c>
      <c r="C12" s="4">
        <v>818</v>
      </c>
      <c r="D12" s="23">
        <v>976938.14041567035</v>
      </c>
      <c r="E12" s="33">
        <v>99.470502666001266</v>
      </c>
      <c r="F12" s="5">
        <v>6</v>
      </c>
      <c r="G12" s="23">
        <v>87</v>
      </c>
      <c r="H12" s="33">
        <v>893.07804090466539</v>
      </c>
      <c r="I12" s="23">
        <v>52.63092757415918</v>
      </c>
      <c r="J12" s="5">
        <v>6645.26603874804</v>
      </c>
      <c r="K12" s="31"/>
      <c r="L12" s="23">
        <v>1261941.0904310979</v>
      </c>
      <c r="M12" s="33">
        <v>91.902535416999854</v>
      </c>
      <c r="N12" s="5">
        <v>12</v>
      </c>
      <c r="O12" s="5">
        <v>68</v>
      </c>
      <c r="P12" s="33">
        <v>783.98968662036987</v>
      </c>
      <c r="Q12" s="5">
        <v>20.296437602190071</v>
      </c>
      <c r="R12" s="5">
        <v>5562.423577616496</v>
      </c>
      <c r="S12" s="31"/>
      <c r="T12" s="23">
        <v>1327281.1509551301</v>
      </c>
      <c r="U12" s="33">
        <v>67.682209250000597</v>
      </c>
      <c r="V12" s="5">
        <v>5</v>
      </c>
      <c r="W12" s="5">
        <v>55</v>
      </c>
      <c r="X12" s="33">
        <v>613.00963247522532</v>
      </c>
      <c r="Y12" s="5">
        <v>62.799837084401517</v>
      </c>
      <c r="Z12" s="5">
        <v>6354.4958920809877</v>
      </c>
      <c r="AA12" s="35"/>
    </row>
    <row r="13" spans="2:27" x14ac:dyDescent="0.2">
      <c r="B13" s="4">
        <v>10</v>
      </c>
      <c r="C13" s="4">
        <v>895</v>
      </c>
      <c r="D13" s="23">
        <v>957274.61769226461</v>
      </c>
      <c r="E13" s="33">
        <v>95.358273958998325</v>
      </c>
      <c r="F13" s="5">
        <v>10</v>
      </c>
      <c r="G13" s="23">
        <v>96</v>
      </c>
      <c r="H13" s="33">
        <v>1214.3321890469201</v>
      </c>
      <c r="I13" s="23">
        <v>36.038857052738337</v>
      </c>
      <c r="J13" s="5">
        <v>6621.7211506880785</v>
      </c>
      <c r="K13" s="31"/>
      <c r="L13" s="23">
        <v>1260775.585144178</v>
      </c>
      <c r="M13" s="33">
        <v>105.7556206669997</v>
      </c>
      <c r="N13" s="5">
        <v>11</v>
      </c>
      <c r="O13" s="5">
        <v>65</v>
      </c>
      <c r="P13" s="33">
        <v>695.30593274341015</v>
      </c>
      <c r="Q13" s="5">
        <v>21.285150727931686</v>
      </c>
      <c r="R13" s="5">
        <v>5328.5750501403836</v>
      </c>
      <c r="S13" s="31"/>
      <c r="T13" s="23">
        <v>1306589.6867575489</v>
      </c>
      <c r="U13" s="33">
        <v>87.479080332996091</v>
      </c>
      <c r="V13" s="5">
        <v>7</v>
      </c>
      <c r="W13" s="5">
        <v>63</v>
      </c>
      <c r="X13" s="33">
        <v>1148.3459141083135</v>
      </c>
      <c r="Y13" s="5">
        <v>51.158707354558054</v>
      </c>
      <c r="Z13" s="5">
        <v>6881.9910279593387</v>
      </c>
      <c r="AA13" s="35"/>
    </row>
    <row r="14" spans="2:27" x14ac:dyDescent="0.2">
      <c r="B14" s="46" t="s">
        <v>3</v>
      </c>
      <c r="C14" s="47"/>
      <c r="D14" s="9">
        <f>MIN(D4:D13)</f>
        <v>947109.34710750997</v>
      </c>
      <c r="E14" s="22">
        <f>INDEX(E4:E13, MATCH($D$14, D4:D13, 0))</f>
        <v>69.239780290998169</v>
      </c>
      <c r="F14" s="9">
        <f>INDEX(F4:F13, MATCH($D$14, D4:D13, 0))</f>
        <v>8</v>
      </c>
      <c r="G14" s="9">
        <f>INDEX(G4:G13, MATCH($D$14, D4:D13, 0))</f>
        <v>93</v>
      </c>
      <c r="H14" s="22">
        <f>INDEX(H4:H13, MATCH($D$14, D4:D13, 0))</f>
        <v>1075.3799796227438</v>
      </c>
      <c r="I14" s="22">
        <f>INDEX(I4:I13, MATCH($D$14, D4:D13, 0))</f>
        <v>43.378773438878085</v>
      </c>
      <c r="J14" s="22">
        <f>INDEX(J4:J13, MATCH($D$14, D4:D13, 0))</f>
        <v>6632.2496588848671</v>
      </c>
      <c r="K14" s="32" t="e">
        <f>(D14-$D$15)/$D$15</f>
        <v>#DIV/0!</v>
      </c>
      <c r="L14" s="16">
        <f>MIN(L4:L13)</f>
        <v>1217617.7809414901</v>
      </c>
      <c r="M14" s="21">
        <f>INDEX(M4:M13, MATCH($L$14, L4:L13, 0))</f>
        <v>105.3883207919998</v>
      </c>
      <c r="N14" s="16">
        <f>INDEX(N4:N13, MATCH($L$14, L4:L13, 0))</f>
        <v>13</v>
      </c>
      <c r="O14" s="16">
        <f>INDEX(O4:O13, MATCH($L$14, L4:L13, 0))</f>
        <v>74</v>
      </c>
      <c r="P14" s="21">
        <f>INDEX(P4:P13, MATCH($L$14, L4:L13, 0))</f>
        <v>913.94324771549873</v>
      </c>
      <c r="Q14" s="21">
        <f>INDEX(Q4:Q13, MATCH($L$14, L4:L13, 0))</f>
        <v>21.371846613115142</v>
      </c>
      <c r="R14" s="21">
        <f>INDEX(R4:R13, MATCH($L$14, L4:L13, 0))</f>
        <v>5877.4478776013812</v>
      </c>
      <c r="S14" s="36" t="e">
        <f>(L14-$D$15)/$D$15</f>
        <v>#DIV/0!</v>
      </c>
      <c r="T14" s="38">
        <f>MIN(T4:T13)</f>
        <v>1306589.6867575489</v>
      </c>
      <c r="U14" s="39">
        <f>INDEX(U4:U13, MATCH($T$14, T4:T13, 0))</f>
        <v>87.479080332996091</v>
      </c>
      <c r="V14" s="38">
        <f>INDEX(V4:V13, MATCH($T$14, T4:T13, 0))</f>
        <v>7</v>
      </c>
      <c r="W14" s="38">
        <f>INDEX(W4:W13, MATCH($T$14, T4:T13, 0))</f>
        <v>63</v>
      </c>
      <c r="X14" s="39">
        <f>INDEX(X4:X13, MATCH($T$14, T4:T13, 0))</f>
        <v>1148.3459141083135</v>
      </c>
      <c r="Y14" s="39">
        <f>INDEX(Y4:Y13, MATCH($T$14, T4:T13, 0))</f>
        <v>51.158707354558054</v>
      </c>
      <c r="Z14" s="39">
        <f>INDEX(Z4:Z13, MATCH($T$14, T4:T13, 0))</f>
        <v>6881.9910279593387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0.28561478636032689</v>
      </c>
      <c r="M15" s="45">
        <f t="shared" ref="M15:R15" si="0">(M14-E14)/E14</f>
        <v>0.52207763151584241</v>
      </c>
      <c r="N15" s="45">
        <f t="shared" si="0"/>
        <v>0.625</v>
      </c>
      <c r="O15" s="45">
        <f t="shared" si="0"/>
        <v>-0.20430107526881722</v>
      </c>
      <c r="P15" s="45">
        <f t="shared" si="0"/>
        <v>-0.15012064104436743</v>
      </c>
      <c r="Q15" s="45">
        <f t="shared" si="0"/>
        <v>-0.50732017254409745</v>
      </c>
      <c r="R15" s="45">
        <f t="shared" si="0"/>
        <v>-0.11380780581326862</v>
      </c>
      <c r="S15"/>
      <c r="T15" s="45">
        <f>(T14-D14)/D14</f>
        <v>0.37955526544838653</v>
      </c>
      <c r="U15" s="45">
        <f t="shared" ref="U15:Z15" si="1">(U14-E14)/E14</f>
        <v>0.26342226918315631</v>
      </c>
      <c r="V15" s="45">
        <f t="shared" si="1"/>
        <v>-0.125</v>
      </c>
      <c r="W15" s="45">
        <f>(W14-G14)/G14</f>
        <v>-0.32258064516129031</v>
      </c>
      <c r="X15" s="45">
        <f t="shared" si="1"/>
        <v>6.7851304532530965E-2</v>
      </c>
      <c r="Y15" s="45">
        <f t="shared" si="1"/>
        <v>0.17934886809656145</v>
      </c>
      <c r="Z15" s="45">
        <f t="shared" si="1"/>
        <v>3.765560434533801E-2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5">
    <cfRule type="duplicateValues" dxfId="81" priority="5"/>
    <cfRule type="duplicateValues" dxfId="80" priority="6"/>
  </conditionalFormatting>
  <conditionalFormatting sqref="C17:C3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014D-ABC4-9F44-AD02-DB506B9FCAB2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-0.98026269864024507</v>
      </c>
      <c r="J2" s="28" t="e">
        <f>(S14-J14)/J14</f>
        <v>#DIV/0!</v>
      </c>
      <c r="K2" s="28"/>
      <c r="L2" s="1" t="s">
        <v>19</v>
      </c>
      <c r="P2" s="1">
        <f>(P14-H14)/H14</f>
        <v>-0.56922776548689713</v>
      </c>
      <c r="R2" s="1">
        <f>(R14-J14)/J14</f>
        <v>-0.20062621376851436</v>
      </c>
      <c r="T2" s="1" t="s">
        <v>20</v>
      </c>
      <c r="X2" s="1">
        <f>(X14-P14)/P14</f>
        <v>2.1425067370609403</v>
      </c>
      <c r="Z2" s="1">
        <f>(Z14-R14)/R14</f>
        <v>0.35908648147615702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</v>
      </c>
      <c r="D4" s="23">
        <v>931145.55197717028</v>
      </c>
      <c r="E4" s="33">
        <v>38.067199542005262</v>
      </c>
      <c r="F4" s="5">
        <v>6</v>
      </c>
      <c r="G4" s="23">
        <v>91</v>
      </c>
      <c r="H4" s="33">
        <v>1247.3001247490879</v>
      </c>
      <c r="I4" s="23">
        <v>57.669001993596034</v>
      </c>
      <c r="J4" s="5">
        <v>6591.0823623037786</v>
      </c>
      <c r="K4" s="31"/>
      <c r="L4" s="23">
        <v>1200022.4968750849</v>
      </c>
      <c r="M4" s="33">
        <v>146.209252959</v>
      </c>
      <c r="N4" s="5">
        <v>11</v>
      </c>
      <c r="O4" s="5">
        <v>66</v>
      </c>
      <c r="P4" s="33">
        <v>488.73621513621629</v>
      </c>
      <c r="Q4" s="5">
        <v>20.641302441180969</v>
      </c>
      <c r="R4" s="5">
        <v>4829.0581519359594</v>
      </c>
      <c r="S4" s="31"/>
      <c r="T4" s="23">
        <v>1162573.0734329319</v>
      </c>
      <c r="U4" s="33">
        <v>83.708672083004785</v>
      </c>
      <c r="V4" s="5">
        <v>8</v>
      </c>
      <c r="W4" s="5">
        <v>74</v>
      </c>
      <c r="X4" s="33">
        <v>1479.9477069203676</v>
      </c>
      <c r="Y4" s="5">
        <v>60.320300156273589</v>
      </c>
      <c r="Z4" s="5">
        <v>6675.1401646134664</v>
      </c>
      <c r="AA4" s="35"/>
    </row>
    <row r="5" spans="2:27" x14ac:dyDescent="0.2">
      <c r="B5" s="4">
        <v>2</v>
      </c>
      <c r="C5" s="4">
        <v>206</v>
      </c>
      <c r="D5" s="23">
        <v>914307.81653925206</v>
      </c>
      <c r="E5" s="33">
        <v>118.1816097499977</v>
      </c>
      <c r="F5" s="5">
        <v>8</v>
      </c>
      <c r="G5" s="23">
        <v>93</v>
      </c>
      <c r="H5" s="33">
        <v>1100.9786586018445</v>
      </c>
      <c r="I5" s="23">
        <v>44.956756746301032</v>
      </c>
      <c r="J5" s="5">
        <v>6368.5899831320758</v>
      </c>
      <c r="K5" s="31"/>
      <c r="L5" s="23">
        <v>1169547.261808377</v>
      </c>
      <c r="M5" s="33">
        <v>114.9880045</v>
      </c>
      <c r="N5" s="5">
        <v>10</v>
      </c>
      <c r="O5" s="5">
        <v>66</v>
      </c>
      <c r="P5" s="33">
        <v>376.10481637582899</v>
      </c>
      <c r="Q5" s="5">
        <v>22.57067254128501</v>
      </c>
      <c r="R5" s="5">
        <v>4795.1013310259113</v>
      </c>
      <c r="S5" s="31"/>
      <c r="T5" s="23">
        <v>1247039.1919471649</v>
      </c>
      <c r="U5" s="33">
        <v>56.421920124994358</v>
      </c>
      <c r="V5" s="5">
        <v>5</v>
      </c>
      <c r="W5" s="5">
        <v>59</v>
      </c>
      <c r="X5" s="33">
        <v>691.66625815701502</v>
      </c>
      <c r="Y5" s="5">
        <v>65.081943880085504</v>
      </c>
      <c r="Z5" s="5">
        <v>6040.5913113483412</v>
      </c>
      <c r="AA5" s="35"/>
    </row>
    <row r="6" spans="2:27" x14ac:dyDescent="0.2">
      <c r="B6" s="4">
        <v>3</v>
      </c>
      <c r="C6" s="4">
        <v>395</v>
      </c>
      <c r="D6" s="23">
        <v>1091304.5224666549</v>
      </c>
      <c r="E6" s="33">
        <v>33.653155166997749</v>
      </c>
      <c r="F6" s="5">
        <v>11</v>
      </c>
      <c r="G6" s="23">
        <v>86</v>
      </c>
      <c r="H6" s="33">
        <v>1360.0328864985295</v>
      </c>
      <c r="I6" s="23">
        <v>30.059110263966193</v>
      </c>
      <c r="J6" s="5">
        <v>6498.8939174313073</v>
      </c>
      <c r="K6" s="31"/>
      <c r="L6" s="23">
        <v>1280704.89972109</v>
      </c>
      <c r="M6" s="33">
        <v>66.143529459000092</v>
      </c>
      <c r="N6" s="5">
        <v>15</v>
      </c>
      <c r="O6" s="5">
        <v>67</v>
      </c>
      <c r="P6" s="33">
        <v>663.46514513102511</v>
      </c>
      <c r="Q6" s="5">
        <v>16.514286007734658</v>
      </c>
      <c r="R6" s="5">
        <v>5031.6120402036386</v>
      </c>
      <c r="S6" s="31"/>
      <c r="T6" s="23">
        <v>1200471.686619537</v>
      </c>
      <c r="U6" s="33">
        <v>90.164288125000894</v>
      </c>
      <c r="V6" s="5">
        <v>7</v>
      </c>
      <c r="W6" s="5">
        <v>67</v>
      </c>
      <c r="X6" s="33">
        <v>1214.189500248043</v>
      </c>
      <c r="Y6" s="5">
        <v>65.481975398917299</v>
      </c>
      <c r="Z6" s="5">
        <v>6401.5603141337051</v>
      </c>
      <c r="AA6" s="35"/>
    </row>
    <row r="7" spans="2:27" x14ac:dyDescent="0.2">
      <c r="B7" s="4">
        <v>4</v>
      </c>
      <c r="C7" s="4">
        <v>471</v>
      </c>
      <c r="D7" s="23">
        <v>940069.11535508418</v>
      </c>
      <c r="E7" s="33">
        <v>39.304862042001332</v>
      </c>
      <c r="F7" s="5">
        <v>8</v>
      </c>
      <c r="G7" s="23">
        <v>93</v>
      </c>
      <c r="H7" s="33">
        <v>1306.0133179649463</v>
      </c>
      <c r="I7" s="23">
        <v>45.217796718287822</v>
      </c>
      <c r="J7" s="5">
        <v>6529.3868982833746</v>
      </c>
      <c r="K7" s="31"/>
      <c r="L7" s="23">
        <v>1249919.825809093</v>
      </c>
      <c r="M7" s="33">
        <v>91.830993833000321</v>
      </c>
      <c r="N7" s="5">
        <v>9</v>
      </c>
      <c r="O7" s="5">
        <v>61</v>
      </c>
      <c r="P7" s="33">
        <v>597.46073677599247</v>
      </c>
      <c r="Q7" s="5">
        <v>23.051448823239681</v>
      </c>
      <c r="R7" s="5">
        <v>5012.1008244868726</v>
      </c>
      <c r="S7" s="31"/>
      <c r="T7" s="23">
        <v>1245849.9558052639</v>
      </c>
      <c r="U7" s="33">
        <v>53.314409541002533</v>
      </c>
      <c r="V7" s="5">
        <v>6</v>
      </c>
      <c r="W7" s="5">
        <v>62</v>
      </c>
      <c r="X7" s="33">
        <v>1042.2890278237996</v>
      </c>
      <c r="Y7" s="5">
        <v>70.636666761012563</v>
      </c>
      <c r="Z7" s="5">
        <v>6401.6450891552186</v>
      </c>
      <c r="AA7" s="35"/>
    </row>
    <row r="8" spans="2:27" x14ac:dyDescent="0.2">
      <c r="B8" s="4">
        <v>5</v>
      </c>
      <c r="C8" s="4">
        <v>541</v>
      </c>
      <c r="D8" s="23">
        <v>935428.15437766374</v>
      </c>
      <c r="E8" s="33">
        <v>72.220136500000081</v>
      </c>
      <c r="F8" s="5">
        <v>8</v>
      </c>
      <c r="G8" s="23">
        <v>95</v>
      </c>
      <c r="H8" s="33">
        <v>1504.3342070780211</v>
      </c>
      <c r="I8" s="23">
        <v>46.591281744653365</v>
      </c>
      <c r="J8" s="5">
        <v>6601.5575387364188</v>
      </c>
      <c r="K8" s="31"/>
      <c r="L8" s="23">
        <v>1209549.115874097</v>
      </c>
      <c r="M8" s="33">
        <v>118.3547069160004</v>
      </c>
      <c r="N8" s="5">
        <v>15</v>
      </c>
      <c r="O8" s="5">
        <v>75</v>
      </c>
      <c r="P8" s="33">
        <v>947.06442803636526</v>
      </c>
      <c r="Q8" s="5">
        <v>17.814595371959523</v>
      </c>
      <c r="R8" s="5">
        <v>5425.9022948455677</v>
      </c>
      <c r="S8" s="31"/>
      <c r="T8" s="23">
        <v>1226622.558440503</v>
      </c>
      <c r="U8" s="33">
        <v>88.155927749998227</v>
      </c>
      <c r="V8" s="5">
        <v>8</v>
      </c>
      <c r="W8" s="5">
        <v>67</v>
      </c>
      <c r="X8" s="33">
        <v>1226.3290912005004</v>
      </c>
      <c r="Y8" s="5">
        <v>53.014309920027124</v>
      </c>
      <c r="Z8" s="5">
        <v>6356.8675938488241</v>
      </c>
      <c r="AA8" s="35"/>
    </row>
    <row r="9" spans="2:27" x14ac:dyDescent="0.2">
      <c r="B9" s="4">
        <v>6</v>
      </c>
      <c r="C9" s="4">
        <v>699</v>
      </c>
      <c r="D9" s="23">
        <v>939326.59437026386</v>
      </c>
      <c r="E9" s="33">
        <v>40.636088207997091</v>
      </c>
      <c r="F9" s="5">
        <v>8</v>
      </c>
      <c r="G9" s="23">
        <v>92</v>
      </c>
      <c r="H9" s="33">
        <v>1238.9304910957233</v>
      </c>
      <c r="I9" s="23">
        <v>44.596538538663317</v>
      </c>
      <c r="J9" s="5">
        <v>6452.9074770511334</v>
      </c>
      <c r="K9" s="31"/>
      <c r="L9" s="23">
        <v>1228917.7137659399</v>
      </c>
      <c r="M9" s="33">
        <v>119.0181315830005</v>
      </c>
      <c r="N9" s="5">
        <v>14</v>
      </c>
      <c r="O9" s="5">
        <v>71</v>
      </c>
      <c r="P9" s="33">
        <v>873.09452611910353</v>
      </c>
      <c r="Q9" s="5">
        <v>17.920837429916084</v>
      </c>
      <c r="R9" s="5">
        <v>5258.3094727486878</v>
      </c>
      <c r="S9" s="31"/>
      <c r="T9" s="23">
        <v>1212638.3538721439</v>
      </c>
      <c r="U9" s="33">
        <v>60.148425125000358</v>
      </c>
      <c r="V9" s="5">
        <v>11</v>
      </c>
      <c r="W9" s="5">
        <v>79</v>
      </c>
      <c r="X9" s="33">
        <v>1952.437216084463</v>
      </c>
      <c r="Y9" s="5">
        <v>51.836035773194588</v>
      </c>
      <c r="Z9" s="5">
        <v>7136.0528348596863</v>
      </c>
      <c r="AA9" s="35"/>
    </row>
    <row r="10" spans="2:27" x14ac:dyDescent="0.2">
      <c r="B10" s="4">
        <v>7</v>
      </c>
      <c r="C10" s="4">
        <v>777</v>
      </c>
      <c r="D10" s="23">
        <v>894891.93461494159</v>
      </c>
      <c r="E10" s="33">
        <v>104.0458023329993</v>
      </c>
      <c r="F10" s="5">
        <v>10</v>
      </c>
      <c r="G10" s="23">
        <v>96</v>
      </c>
      <c r="H10" s="33">
        <v>1093.2574604869908</v>
      </c>
      <c r="I10" s="23">
        <v>38.392993690871286</v>
      </c>
      <c r="J10" s="5">
        <v>6144.1724181442123</v>
      </c>
      <c r="K10" s="31"/>
      <c r="L10" s="23">
        <v>1185514.3634986959</v>
      </c>
      <c r="M10" s="33">
        <v>123.2480960000003</v>
      </c>
      <c r="N10" s="5">
        <v>12</v>
      </c>
      <c r="O10" s="5">
        <v>70</v>
      </c>
      <c r="P10" s="33">
        <v>618.56329880406008</v>
      </c>
      <c r="Q10" s="5">
        <v>20.493458489795575</v>
      </c>
      <c r="R10" s="5">
        <v>5179.3611822117655</v>
      </c>
      <c r="S10" s="31"/>
      <c r="T10" s="23">
        <v>1265558.838241986</v>
      </c>
      <c r="U10" s="33">
        <v>28.94840266699612</v>
      </c>
      <c r="V10" s="5">
        <v>6</v>
      </c>
      <c r="W10" s="5">
        <v>60</v>
      </c>
      <c r="X10" s="33">
        <v>957.85395302827624</v>
      </c>
      <c r="Y10" s="5">
        <v>67.029692736266171</v>
      </c>
      <c r="Z10" s="5">
        <v>6294.2704995629965</v>
      </c>
      <c r="AA10" s="35"/>
    </row>
    <row r="11" spans="2:27" x14ac:dyDescent="0.2">
      <c r="B11" s="4">
        <v>8</v>
      </c>
      <c r="C11" s="4">
        <v>800</v>
      </c>
      <c r="D11" s="23">
        <v>977504.96928392176</v>
      </c>
      <c r="E11" s="33">
        <v>30.69611041699682</v>
      </c>
      <c r="F11" s="5">
        <v>8</v>
      </c>
      <c r="G11" s="23">
        <v>90</v>
      </c>
      <c r="H11" s="33">
        <v>1284.6939641219308</v>
      </c>
      <c r="I11" s="23">
        <v>43.725851744830024</v>
      </c>
      <c r="J11" s="5">
        <v>6525.1563264811957</v>
      </c>
      <c r="K11" s="31"/>
      <c r="L11" s="23">
        <v>1348933.3808266609</v>
      </c>
      <c r="M11" s="33">
        <v>88.793695708999621</v>
      </c>
      <c r="N11" s="5">
        <v>22</v>
      </c>
      <c r="O11" s="5">
        <v>88</v>
      </c>
      <c r="P11" s="33">
        <v>1911.7881521462814</v>
      </c>
      <c r="Q11" s="5">
        <v>15.482424094306479</v>
      </c>
      <c r="R11" s="5">
        <v>6656.4587846793065</v>
      </c>
      <c r="S11" s="31"/>
      <c r="T11" s="23">
        <v>1316771.91984429</v>
      </c>
      <c r="U11" s="33">
        <v>32.193793916005227</v>
      </c>
      <c r="V11" s="5">
        <v>9</v>
      </c>
      <c r="W11" s="5">
        <v>70</v>
      </c>
      <c r="X11" s="33">
        <v>2031.2410320529066</v>
      </c>
      <c r="Y11" s="5">
        <v>52.456254146255674</v>
      </c>
      <c r="Z11" s="5">
        <v>7280.5051856530818</v>
      </c>
      <c r="AA11" s="35"/>
    </row>
    <row r="12" spans="2:27" x14ac:dyDescent="0.2">
      <c r="B12" s="4">
        <v>9</v>
      </c>
      <c r="C12" s="4">
        <v>818</v>
      </c>
      <c r="D12" s="23">
        <v>920731.11079937592</v>
      </c>
      <c r="E12" s="33">
        <v>71.256589916003577</v>
      </c>
      <c r="F12" s="5">
        <v>8</v>
      </c>
      <c r="G12" s="23">
        <v>96</v>
      </c>
      <c r="H12" s="33">
        <v>1439.499229186639</v>
      </c>
      <c r="I12" s="23">
        <v>47.970905559937179</v>
      </c>
      <c r="J12" s="5">
        <v>6601.6864466351544</v>
      </c>
      <c r="K12" s="31"/>
      <c r="L12" s="23">
        <v>1158662.5437411941</v>
      </c>
      <c r="M12" s="33">
        <v>99.689716666000095</v>
      </c>
      <c r="N12" s="5">
        <v>11</v>
      </c>
      <c r="O12" s="5">
        <v>69</v>
      </c>
      <c r="P12" s="33">
        <v>470.94495915210126</v>
      </c>
      <c r="Q12" s="5">
        <v>21.577951961431982</v>
      </c>
      <c r="R12" s="5">
        <v>4911.4903691510017</v>
      </c>
      <c r="S12" s="31"/>
      <c r="T12" s="23">
        <v>1164751.663042268</v>
      </c>
      <c r="U12" s="33">
        <v>48.278806666996388</v>
      </c>
      <c r="V12" s="5">
        <v>10</v>
      </c>
      <c r="W12" s="5">
        <v>77</v>
      </c>
      <c r="X12" s="33">
        <v>1660.3436563812791</v>
      </c>
      <c r="Y12" s="5">
        <v>53.556509042591017</v>
      </c>
      <c r="Z12" s="5">
        <v>6697.1825746690174</v>
      </c>
      <c r="AA12" s="35"/>
    </row>
    <row r="13" spans="2:27" x14ac:dyDescent="0.2">
      <c r="B13" s="4">
        <v>10</v>
      </c>
      <c r="C13" s="4">
        <v>873</v>
      </c>
      <c r="D13" s="23">
        <v>974853.89042250998</v>
      </c>
      <c r="E13" s="33">
        <v>48.399507207999697</v>
      </c>
      <c r="F13" s="5">
        <v>7</v>
      </c>
      <c r="G13" s="23">
        <v>91</v>
      </c>
      <c r="H13" s="33">
        <v>1436.8383902943565</v>
      </c>
      <c r="I13" s="23">
        <v>52.770529369827912</v>
      </c>
      <c r="J13" s="5">
        <v>6702.7835899197153</v>
      </c>
      <c r="K13" s="31"/>
      <c r="L13" s="23">
        <v>1189340.2311027569</v>
      </c>
      <c r="M13" s="33">
        <v>151.6575940419998</v>
      </c>
      <c r="N13" s="5">
        <v>16</v>
      </c>
      <c r="O13" s="5">
        <v>79</v>
      </c>
      <c r="P13" s="33">
        <v>1113.8831785390933</v>
      </c>
      <c r="Q13" s="5">
        <v>18.249088665515544</v>
      </c>
      <c r="R13" s="5">
        <v>5575.4422682731119</v>
      </c>
      <c r="S13" s="31"/>
      <c r="T13" s="23">
        <v>1381171.5087224911</v>
      </c>
      <c r="U13" s="33">
        <v>44.377082125000022</v>
      </c>
      <c r="V13" s="5">
        <v>11</v>
      </c>
      <c r="W13" s="5">
        <v>72</v>
      </c>
      <c r="X13" s="33">
        <v>2559.9617767887121</v>
      </c>
      <c r="Y13" s="5">
        <v>45.007847200043415</v>
      </c>
      <c r="Z13" s="5">
        <v>7786.2214196192408</v>
      </c>
      <c r="AA13" s="35"/>
    </row>
    <row r="14" spans="2:27" x14ac:dyDescent="0.2">
      <c r="B14" s="46" t="s">
        <v>3</v>
      </c>
      <c r="C14" s="47"/>
      <c r="D14" s="9">
        <f>MIN(D4:D13)</f>
        <v>894891.93461494159</v>
      </c>
      <c r="E14" s="22">
        <f>INDEX(E4:E13, MATCH($D$14, D4:D13, 0))</f>
        <v>104.0458023329993</v>
      </c>
      <c r="F14" s="9">
        <f>INDEX(F4:F13, MATCH($D$14, D4:D13, 0))</f>
        <v>10</v>
      </c>
      <c r="G14" s="9">
        <f>INDEX(G4:G13, MATCH($D$14, D4:D13, 0))</f>
        <v>96</v>
      </c>
      <c r="H14" s="22">
        <f>INDEX(H4:H13, MATCH($D$14, D4:D13, 0))</f>
        <v>1093.2574604869908</v>
      </c>
      <c r="I14" s="22">
        <f>INDEX(I4:I13, MATCH($D$14, D4:D13, 0))</f>
        <v>38.392993690871286</v>
      </c>
      <c r="J14" s="22">
        <f>INDEX(J4:J13, MATCH($D$14, D4:D13, 0))</f>
        <v>6144.1724181442123</v>
      </c>
      <c r="K14" s="32" t="e">
        <f>(D14-$D$15)/$D$15</f>
        <v>#DIV/0!</v>
      </c>
      <c r="L14" s="16">
        <f>MIN(L4:L13)</f>
        <v>1158662.5437411941</v>
      </c>
      <c r="M14" s="21">
        <f>INDEX(M4:M13, MATCH($L$14, L4:L13, 0))</f>
        <v>99.689716666000095</v>
      </c>
      <c r="N14" s="16">
        <f>INDEX(N4:N13, MATCH($L$14, L4:L13, 0))</f>
        <v>11</v>
      </c>
      <c r="O14" s="16">
        <f>INDEX(O4:O13, MATCH($L$14, L4:L13, 0))</f>
        <v>69</v>
      </c>
      <c r="P14" s="21">
        <f>INDEX(P4:P13, MATCH($L$14, L4:L13, 0))</f>
        <v>470.94495915210126</v>
      </c>
      <c r="Q14" s="21">
        <f>INDEX(Q4:Q13, MATCH($L$14, L4:L13, 0))</f>
        <v>21.577951961431982</v>
      </c>
      <c r="R14" s="21">
        <f>INDEX(R4:R13, MATCH($L$14, L4:L13, 0))</f>
        <v>4911.4903691510017</v>
      </c>
      <c r="S14" s="36" t="e">
        <f>(L14-$D$15)/$D$15</f>
        <v>#DIV/0!</v>
      </c>
      <c r="T14" s="38">
        <f>MIN(T4:T13)</f>
        <v>1162573.0734329319</v>
      </c>
      <c r="U14" s="39">
        <f>INDEX(U4:U13, MATCH($T$14, T4:T13, 0))</f>
        <v>83.708672083004785</v>
      </c>
      <c r="V14" s="38">
        <f>INDEX(V4:V13, MATCH($T$14, T4:T13, 0))</f>
        <v>8</v>
      </c>
      <c r="W14" s="38">
        <f>INDEX(W4:W13, MATCH($T$14, T4:T13, 0))</f>
        <v>74</v>
      </c>
      <c r="X14" s="39">
        <f>INDEX(X4:X13, MATCH($T$14, T4:T13, 0))</f>
        <v>1479.9477069203676</v>
      </c>
      <c r="Y14" s="39">
        <f>INDEX(Y4:Y13, MATCH($T$14, T4:T13, 0))</f>
        <v>60.320300156273589</v>
      </c>
      <c r="Z14" s="39">
        <f>INDEX(Z4:Z13, MATCH($T$14, T4:T13, 0))</f>
        <v>6675.1401646134664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0.29475135368132349</v>
      </c>
      <c r="M15" s="45">
        <f t="shared" ref="M15:R15" si="0">(M14-E14)/E14</f>
        <v>-4.1867000583623012E-2</v>
      </c>
      <c r="N15" s="45">
        <f t="shared" si="0"/>
        <v>0.1</v>
      </c>
      <c r="O15" s="45">
        <f t="shared" si="0"/>
        <v>-0.28125</v>
      </c>
      <c r="P15" s="45">
        <f t="shared" si="0"/>
        <v>-0.56922776548689713</v>
      </c>
      <c r="Q15" s="45">
        <f t="shared" si="0"/>
        <v>-0.43797162223995628</v>
      </c>
      <c r="R15" s="45">
        <f t="shared" si="0"/>
        <v>-0.20062621376851436</v>
      </c>
      <c r="S15"/>
      <c r="T15" s="45">
        <f>(T14-D14)/D14</f>
        <v>0.29912118822835232</v>
      </c>
      <c r="U15" s="45">
        <f t="shared" ref="U15:Z15" si="1">(U14-E14)/E14</f>
        <v>-0.19546324593572156</v>
      </c>
      <c r="V15" s="45">
        <f t="shared" si="1"/>
        <v>-0.2</v>
      </c>
      <c r="W15" s="45">
        <f>(W14-G14)/G14</f>
        <v>-0.22916666666666666</v>
      </c>
      <c r="X15" s="45">
        <f t="shared" si="1"/>
        <v>0.35370464909622107</v>
      </c>
      <c r="Y15" s="45">
        <f t="shared" si="1"/>
        <v>0.57112781154692727</v>
      </c>
      <c r="Z15" s="45">
        <f t="shared" si="1"/>
        <v>8.6418106513623472E-2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79" priority="7"/>
    <cfRule type="duplicateValues" dxfId="78" priority="8"/>
  </conditionalFormatting>
  <conditionalFormatting sqref="C14">
    <cfRule type="duplicateValues" dxfId="77" priority="3"/>
    <cfRule type="duplicateValues" dxfId="76" priority="4"/>
  </conditionalFormatting>
  <conditionalFormatting sqref="C15">
    <cfRule type="duplicateValues" dxfId="75" priority="5"/>
    <cfRule type="duplicateValues" dxfId="74" priority="6"/>
  </conditionalFormatting>
  <conditionalFormatting sqref="C17:C3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4FDC-20C3-5D49-B3C5-67134AE1BE39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-0.97721028094709539</v>
      </c>
      <c r="J2" s="28" t="e">
        <f>(S14-J14)/J14</f>
        <v>#DIV/0!</v>
      </c>
      <c r="K2" s="28"/>
      <c r="L2" s="1" t="s">
        <v>19</v>
      </c>
      <c r="P2" s="1">
        <f>(P14-H14)/H14</f>
        <v>-0.3393110225765778</v>
      </c>
      <c r="R2" s="1">
        <f>(R14-J14)/J14</f>
        <v>-0.18677414875774356</v>
      </c>
      <c r="T2" s="1" t="s">
        <v>20</v>
      </c>
      <c r="X2" s="1">
        <f>(X14-P14)/P14</f>
        <v>1.0299483380352041</v>
      </c>
      <c r="Z2" s="1">
        <f>(Z14-R14)/R14</f>
        <v>0.28370145703267718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</v>
      </c>
      <c r="D4" s="23">
        <v>874365.85894184676</v>
      </c>
      <c r="E4" s="33">
        <v>74.600187625001126</v>
      </c>
      <c r="F4" s="5">
        <v>7</v>
      </c>
      <c r="G4" s="23">
        <v>95</v>
      </c>
      <c r="H4" s="33">
        <v>938.45443596569976</v>
      </c>
      <c r="I4" s="23">
        <v>44.767841084947733</v>
      </c>
      <c r="J4" s="5">
        <v>6354.6366872451699</v>
      </c>
      <c r="K4" s="31"/>
      <c r="L4" s="23">
        <v>1139719.7045237559</v>
      </c>
      <c r="M4" s="33">
        <v>119.65617679099979</v>
      </c>
      <c r="N4" s="5">
        <v>11</v>
      </c>
      <c r="O4" s="5">
        <v>72</v>
      </c>
      <c r="P4" s="33">
        <v>630.5284601403597</v>
      </c>
      <c r="Q4" s="5">
        <v>18.695754047498255</v>
      </c>
      <c r="R4" s="5">
        <v>4970.1390292756805</v>
      </c>
      <c r="S4" s="31"/>
      <c r="T4" s="23">
        <v>1109709.3356244359</v>
      </c>
      <c r="U4" s="33">
        <v>128.056471625001</v>
      </c>
      <c r="V4" s="5">
        <v>9</v>
      </c>
      <c r="W4" s="5">
        <v>82</v>
      </c>
      <c r="X4" s="33">
        <v>1419.0099980950256</v>
      </c>
      <c r="Y4" s="5">
        <v>49.710738191918821</v>
      </c>
      <c r="Z4" s="5">
        <v>6856.2612111488625</v>
      </c>
      <c r="AA4" s="35"/>
    </row>
    <row r="5" spans="2:27" x14ac:dyDescent="0.2">
      <c r="B5" s="4">
        <v>2</v>
      </c>
      <c r="C5" s="4">
        <v>128</v>
      </c>
      <c r="D5" s="23">
        <v>951071.62800126022</v>
      </c>
      <c r="E5" s="33">
        <v>37.743538125003397</v>
      </c>
      <c r="F5" s="5">
        <v>6</v>
      </c>
      <c r="G5" s="23">
        <v>87</v>
      </c>
      <c r="H5" s="33">
        <v>824.55671744746587</v>
      </c>
      <c r="I5" s="23">
        <v>44.620049719245976</v>
      </c>
      <c r="J5" s="5">
        <v>6350.6700912936012</v>
      </c>
      <c r="K5" s="31"/>
      <c r="L5" s="23">
        <v>1150337.2467113731</v>
      </c>
      <c r="M5" s="33">
        <v>100.96094404199989</v>
      </c>
      <c r="N5" s="5">
        <v>12</v>
      </c>
      <c r="O5" s="5">
        <v>74</v>
      </c>
      <c r="P5" s="33">
        <v>682.8443208793575</v>
      </c>
      <c r="Q5" s="5">
        <v>17.46325482767222</v>
      </c>
      <c r="R5" s="5">
        <v>5109.1713702957277</v>
      </c>
      <c r="S5" s="31"/>
      <c r="T5" s="23">
        <v>1180770.0626068991</v>
      </c>
      <c r="U5" s="33">
        <v>67.445625249994919</v>
      </c>
      <c r="V5" s="5">
        <v>8</v>
      </c>
      <c r="W5" s="5">
        <v>76</v>
      </c>
      <c r="X5" s="33">
        <v>1422.0945598236353</v>
      </c>
      <c r="Y5" s="5">
        <v>48.879082016830665</v>
      </c>
      <c r="Z5" s="5">
        <v>6905.0117770556799</v>
      </c>
      <c r="AA5" s="35"/>
    </row>
    <row r="6" spans="2:27" x14ac:dyDescent="0.2">
      <c r="B6" s="4">
        <v>3</v>
      </c>
      <c r="C6" s="4">
        <v>256</v>
      </c>
      <c r="D6" s="23">
        <v>876011.0731071271</v>
      </c>
      <c r="E6" s="33">
        <v>51.074916124998708</v>
      </c>
      <c r="F6" s="5">
        <v>7</v>
      </c>
      <c r="G6" s="23">
        <v>95</v>
      </c>
      <c r="H6" s="33">
        <v>974.34708441252315</v>
      </c>
      <c r="I6" s="23">
        <v>44.858641068759631</v>
      </c>
      <c r="J6" s="5">
        <v>6349.663569995907</v>
      </c>
      <c r="K6" s="31"/>
      <c r="L6" s="23">
        <v>1118686.3931295399</v>
      </c>
      <c r="M6" s="33">
        <v>93.437773874999948</v>
      </c>
      <c r="N6" s="5">
        <v>14</v>
      </c>
      <c r="O6" s="5">
        <v>77</v>
      </c>
      <c r="P6" s="33">
        <v>546.51415185063047</v>
      </c>
      <c r="Q6" s="5">
        <v>16.030044618086805</v>
      </c>
      <c r="R6" s="5">
        <v>4956.0719340286805</v>
      </c>
      <c r="S6" s="31"/>
      <c r="T6" s="23">
        <v>1270083.00447496</v>
      </c>
      <c r="U6" s="33">
        <v>56.058433416001208</v>
      </c>
      <c r="V6" s="5">
        <v>6</v>
      </c>
      <c r="W6" s="5">
        <v>60</v>
      </c>
      <c r="X6" s="33">
        <v>760.43293594912552</v>
      </c>
      <c r="Y6" s="5">
        <v>46.325370613198061</v>
      </c>
      <c r="Z6" s="5">
        <v>6011.0988564750833</v>
      </c>
      <c r="AA6" s="35"/>
    </row>
    <row r="7" spans="2:27" x14ac:dyDescent="0.2">
      <c r="B7" s="4">
        <v>4</v>
      </c>
      <c r="C7" s="4">
        <v>351</v>
      </c>
      <c r="D7" s="23">
        <v>953351.47424654756</v>
      </c>
      <c r="E7" s="33">
        <v>43.413444083002098</v>
      </c>
      <c r="F7" s="5">
        <v>8</v>
      </c>
      <c r="G7" s="23">
        <v>99</v>
      </c>
      <c r="H7" s="33">
        <v>1461.5832308156309</v>
      </c>
      <c r="I7" s="23">
        <v>41.813788556193948</v>
      </c>
      <c r="J7" s="5">
        <v>6998.1635702056237</v>
      </c>
      <c r="K7" s="31"/>
      <c r="L7" s="23">
        <v>1127017.5234643989</v>
      </c>
      <c r="M7" s="33">
        <v>60.530199207999431</v>
      </c>
      <c r="N7" s="5">
        <v>18</v>
      </c>
      <c r="O7" s="5">
        <v>84</v>
      </c>
      <c r="P7" s="33">
        <v>788.94435778629384</v>
      </c>
      <c r="Q7" s="5">
        <v>14.000998825497618</v>
      </c>
      <c r="R7" s="5">
        <v>5190.2439988092037</v>
      </c>
      <c r="S7" s="31"/>
      <c r="T7" s="23">
        <v>1113202.208507481</v>
      </c>
      <c r="U7" s="33">
        <v>96.099015208004857</v>
      </c>
      <c r="V7" s="5">
        <v>7</v>
      </c>
      <c r="W7" s="5">
        <v>77</v>
      </c>
      <c r="X7" s="33">
        <v>1186.4899605539974</v>
      </c>
      <c r="Y7" s="5">
        <v>57.613950563841797</v>
      </c>
      <c r="Z7" s="5">
        <v>6631.095581248459</v>
      </c>
      <c r="AA7" s="35"/>
    </row>
    <row r="8" spans="2:27" x14ac:dyDescent="0.2">
      <c r="B8" s="4">
        <v>5</v>
      </c>
      <c r="C8" s="4">
        <v>574</v>
      </c>
      <c r="D8" s="23">
        <v>955817.9109015424</v>
      </c>
      <c r="E8" s="33">
        <v>82.881949334005185</v>
      </c>
      <c r="F8" s="5">
        <v>8</v>
      </c>
      <c r="G8" s="23">
        <v>91</v>
      </c>
      <c r="H8" s="33">
        <v>1070.807288834576</v>
      </c>
      <c r="I8" s="23">
        <v>37.229815338864043</v>
      </c>
      <c r="J8" s="5">
        <v>6387.7964062257133</v>
      </c>
      <c r="K8" s="31"/>
      <c r="L8" s="23">
        <v>1128859.466417793</v>
      </c>
      <c r="M8" s="33">
        <v>105.44418383300039</v>
      </c>
      <c r="N8" s="5">
        <v>14</v>
      </c>
      <c r="O8" s="5">
        <v>79</v>
      </c>
      <c r="P8" s="33">
        <v>734.63357654682977</v>
      </c>
      <c r="Q8" s="5">
        <v>17.390785414798692</v>
      </c>
      <c r="R8" s="5">
        <v>5269.3919444423109</v>
      </c>
      <c r="S8" s="31"/>
      <c r="T8" s="23">
        <v>1243504.722061197</v>
      </c>
      <c r="U8" s="33">
        <v>62.806325458004721</v>
      </c>
      <c r="V8" s="5">
        <v>9</v>
      </c>
      <c r="W8" s="5">
        <v>74</v>
      </c>
      <c r="X8" s="33">
        <v>1589.3107803418939</v>
      </c>
      <c r="Y8" s="5">
        <v>49.103864208574969</v>
      </c>
      <c r="Z8" s="5">
        <v>6997.89401131247</v>
      </c>
      <c r="AA8" s="35"/>
    </row>
    <row r="9" spans="2:27" x14ac:dyDescent="0.2">
      <c r="B9" s="4">
        <v>6</v>
      </c>
      <c r="C9" s="4">
        <v>748</v>
      </c>
      <c r="D9" s="23">
        <v>875370.63327362342</v>
      </c>
      <c r="E9" s="33">
        <v>43.568846958005452</v>
      </c>
      <c r="F9" s="5">
        <v>7</v>
      </c>
      <c r="G9" s="23">
        <v>95</v>
      </c>
      <c r="H9" s="33">
        <v>935.67188565257595</v>
      </c>
      <c r="I9" s="23">
        <v>44.761327766549883</v>
      </c>
      <c r="J9" s="5">
        <v>6339.7405397537877</v>
      </c>
      <c r="K9" s="31"/>
      <c r="L9" s="23">
        <v>1130708.5012628641</v>
      </c>
      <c r="M9" s="33">
        <v>91.474495749999733</v>
      </c>
      <c r="N9" s="5">
        <v>17</v>
      </c>
      <c r="O9" s="5">
        <v>83</v>
      </c>
      <c r="P9" s="33">
        <v>744.03851536588343</v>
      </c>
      <c r="Q9" s="5">
        <v>15.047592218544468</v>
      </c>
      <c r="R9" s="5">
        <v>5342.4585190248499</v>
      </c>
      <c r="S9" s="31"/>
      <c r="T9" s="23">
        <v>1124639.531945986</v>
      </c>
      <c r="U9" s="33">
        <v>64.915059832994302</v>
      </c>
      <c r="V9" s="5">
        <v>8</v>
      </c>
      <c r="W9" s="5">
        <v>76</v>
      </c>
      <c r="X9" s="33">
        <v>1255.6548014939456</v>
      </c>
      <c r="Y9" s="5">
        <v>49.966090999487584</v>
      </c>
      <c r="Z9" s="5">
        <v>6419.2447503409521</v>
      </c>
      <c r="AA9" s="35"/>
    </row>
    <row r="10" spans="2:27" x14ac:dyDescent="0.2">
      <c r="B10" s="4">
        <v>7</v>
      </c>
      <c r="C10" s="4">
        <v>886</v>
      </c>
      <c r="D10" s="23">
        <v>881832.01418766181</v>
      </c>
      <c r="E10" s="33">
        <v>27.660556542003182</v>
      </c>
      <c r="F10" s="5">
        <v>5</v>
      </c>
      <c r="G10" s="23">
        <v>89</v>
      </c>
      <c r="H10" s="33">
        <v>667.01803583102526</v>
      </c>
      <c r="I10" s="23">
        <v>54.519324673293831</v>
      </c>
      <c r="J10" s="5">
        <v>6108.2981783125388</v>
      </c>
      <c r="K10" s="31"/>
      <c r="L10" s="23">
        <v>1112549.4630548081</v>
      </c>
      <c r="M10" s="33">
        <v>112.4135898749992</v>
      </c>
      <c r="N10" s="5">
        <v>15</v>
      </c>
      <c r="O10" s="5">
        <v>78</v>
      </c>
      <c r="P10" s="33">
        <v>561.98835633159433</v>
      </c>
      <c r="Q10" s="5">
        <v>15.459556034884637</v>
      </c>
      <c r="R10" s="5">
        <v>4769.3281131462327</v>
      </c>
      <c r="S10" s="31"/>
      <c r="T10" s="23">
        <v>1153443.397055336</v>
      </c>
      <c r="U10" s="33">
        <v>78.828259292000439</v>
      </c>
      <c r="V10" s="5">
        <v>7</v>
      </c>
      <c r="W10" s="5">
        <v>73</v>
      </c>
      <c r="X10" s="33">
        <v>1019.502739837561</v>
      </c>
      <c r="Y10" s="5">
        <v>56.500338632410362</v>
      </c>
      <c r="Z10" s="5">
        <v>6562.0694259101592</v>
      </c>
      <c r="AA10" s="35"/>
    </row>
    <row r="11" spans="2:27" x14ac:dyDescent="0.2">
      <c r="B11" s="4">
        <v>8</v>
      </c>
      <c r="C11" s="4">
        <v>912</v>
      </c>
      <c r="D11" s="23">
        <v>886121.04636987124</v>
      </c>
      <c r="E11" s="33">
        <v>38.998022458996267</v>
      </c>
      <c r="F11" s="5">
        <v>6</v>
      </c>
      <c r="G11" s="23">
        <v>92</v>
      </c>
      <c r="H11" s="33">
        <v>893.38846081645568</v>
      </c>
      <c r="I11" s="23">
        <v>50.008533510749679</v>
      </c>
      <c r="J11" s="5">
        <v>6325.4366015889073</v>
      </c>
      <c r="K11" s="31"/>
      <c r="L11" s="23">
        <v>1121304.6900259829</v>
      </c>
      <c r="M11" s="33">
        <v>101.27845833299941</v>
      </c>
      <c r="N11" s="5">
        <v>13</v>
      </c>
      <c r="O11" s="5">
        <v>77</v>
      </c>
      <c r="P11" s="33">
        <v>702.63550191321508</v>
      </c>
      <c r="Q11" s="5">
        <v>17.865844870798977</v>
      </c>
      <c r="R11" s="5">
        <v>5177.6179795643666</v>
      </c>
      <c r="S11" s="31"/>
      <c r="T11" s="23">
        <v>1139641.804128509</v>
      </c>
      <c r="U11" s="33">
        <v>91.414618292001251</v>
      </c>
      <c r="V11" s="5">
        <v>7</v>
      </c>
      <c r="W11" s="5">
        <v>70</v>
      </c>
      <c r="X11" s="33">
        <v>695.82831610227231</v>
      </c>
      <c r="Y11" s="5">
        <v>52.439065224948592</v>
      </c>
      <c r="Z11" s="5">
        <v>5948.2508904359402</v>
      </c>
      <c r="AA11" s="35"/>
    </row>
    <row r="12" spans="2:27" x14ac:dyDescent="0.2">
      <c r="B12" s="4">
        <v>9</v>
      </c>
      <c r="C12" s="4">
        <v>920</v>
      </c>
      <c r="D12" s="23">
        <v>857452.67435615964</v>
      </c>
      <c r="E12" s="33">
        <v>55.233302542001177</v>
      </c>
      <c r="F12" s="5">
        <v>7</v>
      </c>
      <c r="G12" s="23">
        <v>94</v>
      </c>
      <c r="H12" s="33">
        <v>772.86342371791181</v>
      </c>
      <c r="I12" s="23">
        <v>41.94682111943532</v>
      </c>
      <c r="J12" s="5">
        <v>6163.7654490203504</v>
      </c>
      <c r="K12" s="31"/>
      <c r="L12" s="23">
        <v>1163546.1676368951</v>
      </c>
      <c r="M12" s="33">
        <v>104.5868976659995</v>
      </c>
      <c r="N12" s="5">
        <v>14</v>
      </c>
      <c r="O12" s="5">
        <v>73</v>
      </c>
      <c r="P12" s="33">
        <v>325.91413839078791</v>
      </c>
      <c r="Q12" s="5">
        <v>14.593635478483773</v>
      </c>
      <c r="R12" s="5">
        <v>4786.9994537037792</v>
      </c>
      <c r="S12" s="31"/>
      <c r="T12" s="23">
        <v>1114559.7259891341</v>
      </c>
      <c r="U12" s="33">
        <v>77.798650332995749</v>
      </c>
      <c r="V12" s="5">
        <v>8</v>
      </c>
      <c r="W12" s="5">
        <v>78</v>
      </c>
      <c r="X12" s="33">
        <v>1144.100337957206</v>
      </c>
      <c r="Y12" s="5">
        <v>50.62375637887952</v>
      </c>
      <c r="Z12" s="5">
        <v>6553.3544152613158</v>
      </c>
      <c r="AA12" s="35"/>
    </row>
    <row r="13" spans="2:27" x14ac:dyDescent="0.2">
      <c r="B13" s="4">
        <v>10</v>
      </c>
      <c r="C13" s="4">
        <v>944</v>
      </c>
      <c r="D13" s="23">
        <v>873572.35666113999</v>
      </c>
      <c r="E13" s="33">
        <v>72.074769082995772</v>
      </c>
      <c r="F13" s="5">
        <v>8</v>
      </c>
      <c r="G13" s="23">
        <v>95</v>
      </c>
      <c r="H13" s="33">
        <v>993.42479260026221</v>
      </c>
      <c r="I13" s="23">
        <v>38.611287913618305</v>
      </c>
      <c r="J13" s="5">
        <v>6123.7023348777502</v>
      </c>
      <c r="K13" s="31"/>
      <c r="L13" s="23">
        <v>1104577.3038058251</v>
      </c>
      <c r="M13" s="33">
        <v>72.475252250000267</v>
      </c>
      <c r="N13" s="5">
        <v>13</v>
      </c>
      <c r="O13" s="5">
        <v>77</v>
      </c>
      <c r="P13" s="33">
        <v>510.6223451041522</v>
      </c>
      <c r="Q13" s="5">
        <v>17.613340292797105</v>
      </c>
      <c r="R13" s="5">
        <v>5012.5334041371834</v>
      </c>
      <c r="S13" s="31"/>
      <c r="T13" s="23">
        <v>1103889.7469616979</v>
      </c>
      <c r="U13" s="33">
        <v>76.463146875001257</v>
      </c>
      <c r="V13" s="5">
        <v>7</v>
      </c>
      <c r="W13" s="5">
        <v>76</v>
      </c>
      <c r="X13" s="33">
        <v>1036.5369808078121</v>
      </c>
      <c r="Y13" s="5">
        <v>54.706307559669867</v>
      </c>
      <c r="Z13" s="5">
        <v>6434.5964343158676</v>
      </c>
      <c r="AA13" s="35"/>
    </row>
    <row r="14" spans="2:27" x14ac:dyDescent="0.2">
      <c r="B14" s="46" t="s">
        <v>3</v>
      </c>
      <c r="C14" s="47"/>
      <c r="D14" s="9">
        <f>MIN(D4:D13)</f>
        <v>857452.67435615964</v>
      </c>
      <c r="E14" s="22">
        <f>INDEX(E4:E13, MATCH($D$14, D4:D13, 0))</f>
        <v>55.233302542001177</v>
      </c>
      <c r="F14" s="9">
        <f>INDEX(F4:F13, MATCH($D$14, D4:D13, 0))</f>
        <v>7</v>
      </c>
      <c r="G14" s="9">
        <f>INDEX(G4:G13, MATCH($D$14, D4:D13, 0))</f>
        <v>94</v>
      </c>
      <c r="H14" s="22">
        <f>INDEX(H4:H13, MATCH($D$14, D4:D13, 0))</f>
        <v>772.86342371791181</v>
      </c>
      <c r="I14" s="22">
        <f>INDEX(I4:I13, MATCH($D$14, D4:D13, 0))</f>
        <v>41.94682111943532</v>
      </c>
      <c r="J14" s="22">
        <f>INDEX(J4:J13, MATCH($D$14, D4:D13, 0))</f>
        <v>6163.7654490203504</v>
      </c>
      <c r="K14" s="32" t="e">
        <f>(D14-$D$15)/$D$15</f>
        <v>#DIV/0!</v>
      </c>
      <c r="L14" s="16">
        <f>MIN(L4:L13)</f>
        <v>1104577.3038058251</v>
      </c>
      <c r="M14" s="21">
        <f>INDEX(M4:M13, MATCH($L$14, L4:L13, 0))</f>
        <v>72.475252250000267</v>
      </c>
      <c r="N14" s="16">
        <f>INDEX(N4:N13, MATCH($L$14, L4:L13, 0))</f>
        <v>13</v>
      </c>
      <c r="O14" s="16">
        <f>INDEX(O4:O13, MATCH($L$14, L4:L13, 0))</f>
        <v>77</v>
      </c>
      <c r="P14" s="21">
        <f>INDEX(P4:P13, MATCH($L$14, L4:L13, 0))</f>
        <v>510.6223451041522</v>
      </c>
      <c r="Q14" s="21">
        <f>INDEX(Q4:Q13, MATCH($L$14, L4:L13, 0))</f>
        <v>17.613340292797105</v>
      </c>
      <c r="R14" s="21">
        <f>INDEX(R4:R13, MATCH($L$14, L4:L13, 0))</f>
        <v>5012.5334041371834</v>
      </c>
      <c r="S14" s="36" t="e">
        <f>(L14-$D$15)/$D$15</f>
        <v>#DIV/0!</v>
      </c>
      <c r="T14" s="38">
        <f>MIN(T4:T13)</f>
        <v>1103889.7469616979</v>
      </c>
      <c r="U14" s="39">
        <f>INDEX(U4:U13, MATCH($T$14, T4:T13, 0))</f>
        <v>76.463146875001257</v>
      </c>
      <c r="V14" s="38">
        <f>INDEX(V4:V13, MATCH($T$14, T4:T13, 0))</f>
        <v>7</v>
      </c>
      <c r="W14" s="38">
        <f>INDEX(W4:W13, MATCH($T$14, T4:T13, 0))</f>
        <v>76</v>
      </c>
      <c r="X14" s="39">
        <f>INDEX(X4:X13, MATCH($T$14, T4:T13, 0))</f>
        <v>1036.5369808078121</v>
      </c>
      <c r="Y14" s="39">
        <f>INDEX(Y4:Y13, MATCH($T$14, T4:T13, 0))</f>
        <v>54.706307559669867</v>
      </c>
      <c r="Z14" s="39">
        <f>INDEX(Z4:Z13, MATCH($T$14, T4:T13, 0))</f>
        <v>6434.5964343158676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0.28820789396362345</v>
      </c>
      <c r="M15" s="45">
        <f t="shared" ref="M15:R15" si="0">(M14-E14)/E14</f>
        <v>0.31216582957152994</v>
      </c>
      <c r="N15" s="45">
        <f t="shared" si="0"/>
        <v>0.8571428571428571</v>
      </c>
      <c r="O15" s="45">
        <f t="shared" si="0"/>
        <v>-0.18085106382978725</v>
      </c>
      <c r="P15" s="45">
        <f t="shared" si="0"/>
        <v>-0.3393110225765778</v>
      </c>
      <c r="Q15" s="45">
        <f t="shared" si="0"/>
        <v>-0.58010309666502302</v>
      </c>
      <c r="R15" s="45">
        <f t="shared" si="0"/>
        <v>-0.18677414875774356</v>
      </c>
      <c r="S15"/>
      <c r="T15" s="45">
        <f>(T14-D14)/D14</f>
        <v>0.28740603414711124</v>
      </c>
      <c r="U15" s="45">
        <f t="shared" ref="U15:Z15" si="1">(U14-E14)/E14</f>
        <v>0.384366738107978</v>
      </c>
      <c r="V15" s="45">
        <f t="shared" si="1"/>
        <v>0</v>
      </c>
      <c r="W15" s="45">
        <f>(W14-G14)/G14</f>
        <v>-0.19148936170212766</v>
      </c>
      <c r="X15" s="45">
        <f t="shared" si="1"/>
        <v>0.34116449167885426</v>
      </c>
      <c r="Y15" s="45">
        <f t="shared" si="1"/>
        <v>0.30418244099843511</v>
      </c>
      <c r="Z15" s="45">
        <f t="shared" si="1"/>
        <v>4.3939210136323764E-2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5">
    <cfRule type="duplicateValues" dxfId="69" priority="5"/>
    <cfRule type="duplicateValues" dxfId="68" priority="6"/>
  </conditionalFormatting>
  <conditionalFormatting sqref="C17:C31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6A85-E98D-E54B-92CE-B2F0F0C307C3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-0.97905431525221887</v>
      </c>
      <c r="J2" s="28" t="e">
        <f>(S14-J14)/J14</f>
        <v>#DIV/0!</v>
      </c>
      <c r="K2" s="28"/>
      <c r="L2" s="1" t="s">
        <v>19</v>
      </c>
      <c r="P2" s="1">
        <f>(P14-H14)/H14</f>
        <v>-0.48811979894110608</v>
      </c>
      <c r="R2" s="1">
        <f>(R14-J14)/J14</f>
        <v>-0.2349079895081794</v>
      </c>
      <c r="T2" s="1" t="s">
        <v>20</v>
      </c>
      <c r="X2" s="1">
        <f>(X14-P14)/P14</f>
        <v>0.83359883015126879</v>
      </c>
      <c r="Z2" s="1">
        <f>(Z14-R14)/R14</f>
        <v>0.29881649602010968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150</v>
      </c>
      <c r="D4" s="23">
        <v>1047871.316886457</v>
      </c>
      <c r="E4" s="33">
        <v>60.93872654200095</v>
      </c>
      <c r="F4" s="5">
        <v>7</v>
      </c>
      <c r="G4" s="23">
        <v>88</v>
      </c>
      <c r="H4" s="33">
        <v>1472.8885727031311</v>
      </c>
      <c r="I4" s="23">
        <v>54.905506356812751</v>
      </c>
      <c r="J4" s="5">
        <v>7045.1456049787957</v>
      </c>
      <c r="K4" s="31"/>
      <c r="L4" s="23">
        <v>1266159.343688614</v>
      </c>
      <c r="M4" s="33">
        <v>83.519665083999826</v>
      </c>
      <c r="N4" s="5">
        <v>9</v>
      </c>
      <c r="O4" s="5">
        <v>62</v>
      </c>
      <c r="P4" s="33">
        <v>659.14578414970276</v>
      </c>
      <c r="Q4" s="5">
        <v>26.971662058951541</v>
      </c>
      <c r="R4" s="5">
        <v>5237.2691986913696</v>
      </c>
      <c r="S4" s="31"/>
      <c r="T4" s="23">
        <v>1365466.405476033</v>
      </c>
      <c r="U4" s="33">
        <v>37.958652541994518</v>
      </c>
      <c r="V4" s="5">
        <v>5</v>
      </c>
      <c r="W4" s="5">
        <v>54</v>
      </c>
      <c r="X4" s="33">
        <v>903.98031047970926</v>
      </c>
      <c r="Y4" s="5">
        <v>61.614456147423979</v>
      </c>
      <c r="Z4" s="5">
        <v>6525.8059615549701</v>
      </c>
      <c r="AA4" s="35"/>
    </row>
    <row r="5" spans="2:27" x14ac:dyDescent="0.2">
      <c r="B5" s="4">
        <v>2</v>
      </c>
      <c r="C5" s="4">
        <v>164</v>
      </c>
      <c r="D5" s="23">
        <v>1060423.2935423129</v>
      </c>
      <c r="E5" s="33">
        <v>49.883516042005787</v>
      </c>
      <c r="F5" s="5">
        <v>7</v>
      </c>
      <c r="G5" s="23">
        <v>89</v>
      </c>
      <c r="H5" s="33">
        <v>1589.1220598128086</v>
      </c>
      <c r="I5" s="23">
        <v>56.542196942968019</v>
      </c>
      <c r="J5" s="5">
        <v>7235.8595853388188</v>
      </c>
      <c r="K5" s="31"/>
      <c r="L5" s="23">
        <v>1303382.7815261909</v>
      </c>
      <c r="M5" s="33">
        <v>109.3375598749999</v>
      </c>
      <c r="N5" s="5">
        <v>11</v>
      </c>
      <c r="O5" s="5">
        <v>62</v>
      </c>
      <c r="P5" s="33">
        <v>638.97909325696094</v>
      </c>
      <c r="Q5" s="5">
        <v>22.225688661048487</v>
      </c>
      <c r="R5" s="5">
        <v>5379.2981435732672</v>
      </c>
      <c r="S5" s="31"/>
      <c r="T5" s="23">
        <v>1465669.414701229</v>
      </c>
      <c r="U5" s="33">
        <v>49.925945499999223</v>
      </c>
      <c r="V5" s="5">
        <v>10</v>
      </c>
      <c r="W5" s="5">
        <v>66</v>
      </c>
      <c r="X5" s="33">
        <v>2701.4199476415847</v>
      </c>
      <c r="Y5" s="5">
        <v>52.088459278917675</v>
      </c>
      <c r="Z5" s="5">
        <v>8164.501969295432</v>
      </c>
      <c r="AA5" s="35"/>
    </row>
    <row r="6" spans="2:27" x14ac:dyDescent="0.2">
      <c r="B6" s="4">
        <v>3</v>
      </c>
      <c r="C6" s="4">
        <v>389</v>
      </c>
      <c r="D6" s="23">
        <v>1074509.8878137041</v>
      </c>
      <c r="E6" s="33">
        <v>50.176052375005384</v>
      </c>
      <c r="F6" s="5">
        <v>7</v>
      </c>
      <c r="G6" s="23">
        <v>85</v>
      </c>
      <c r="H6" s="33">
        <v>1637.6040967376057</v>
      </c>
      <c r="I6" s="23">
        <v>51.306732069804411</v>
      </c>
      <c r="J6" s="5">
        <v>6835.4510345259323</v>
      </c>
      <c r="K6" s="31"/>
      <c r="L6" s="23">
        <v>1300506.4668380709</v>
      </c>
      <c r="M6" s="33">
        <v>69.210993333999795</v>
      </c>
      <c r="N6" s="5">
        <v>15</v>
      </c>
      <c r="O6" s="5">
        <v>74</v>
      </c>
      <c r="P6" s="33">
        <v>1245.3907912243908</v>
      </c>
      <c r="Q6" s="5">
        <v>20.483439971875228</v>
      </c>
      <c r="R6" s="5">
        <v>6086.1042609916449</v>
      </c>
      <c r="S6" s="31"/>
      <c r="T6" s="23">
        <v>1328152.7792855659</v>
      </c>
      <c r="U6" s="33">
        <v>116.5888541659951</v>
      </c>
      <c r="V6" s="5">
        <v>5</v>
      </c>
      <c r="W6" s="5">
        <v>59</v>
      </c>
      <c r="X6" s="33">
        <v>1212.9091996935867</v>
      </c>
      <c r="Y6" s="5">
        <v>68.177272329490947</v>
      </c>
      <c r="Z6" s="5">
        <v>6865.3785537027679</v>
      </c>
      <c r="AA6" s="35"/>
    </row>
    <row r="7" spans="2:27" x14ac:dyDescent="0.2">
      <c r="B7" s="4">
        <v>4</v>
      </c>
      <c r="C7" s="4">
        <v>527</v>
      </c>
      <c r="D7" s="23">
        <v>1047446.734316373</v>
      </c>
      <c r="E7" s="33">
        <v>47.08863337499497</v>
      </c>
      <c r="F7" s="5">
        <v>7</v>
      </c>
      <c r="G7" s="23">
        <v>86</v>
      </c>
      <c r="H7" s="33">
        <v>1321.0419953245487</v>
      </c>
      <c r="I7" s="23">
        <v>52.989723112826837</v>
      </c>
      <c r="J7" s="5">
        <v>6889.1042421829243</v>
      </c>
      <c r="K7" s="31"/>
      <c r="L7" s="23">
        <v>1301129.4342401749</v>
      </c>
      <c r="M7" s="33">
        <v>84.885961957999825</v>
      </c>
      <c r="N7" s="5">
        <v>10</v>
      </c>
      <c r="O7" s="5">
        <v>62</v>
      </c>
      <c r="P7" s="33">
        <v>696.92310398411121</v>
      </c>
      <c r="Q7" s="5">
        <v>23.565242407970818</v>
      </c>
      <c r="R7" s="5">
        <v>5435.0441402050756</v>
      </c>
      <c r="S7" s="31"/>
      <c r="T7" s="23">
        <v>1332727.2527426211</v>
      </c>
      <c r="U7" s="33">
        <v>70.004048083996167</v>
      </c>
      <c r="V7" s="5">
        <v>6</v>
      </c>
      <c r="W7" s="5">
        <v>59</v>
      </c>
      <c r="X7" s="33">
        <v>1086.0017455577474</v>
      </c>
      <c r="Y7" s="5">
        <v>58.005736832463391</v>
      </c>
      <c r="Z7" s="5">
        <v>6654.9296512419032</v>
      </c>
      <c r="AA7" s="35"/>
    </row>
    <row r="8" spans="2:27" x14ac:dyDescent="0.2">
      <c r="B8" s="4">
        <v>5</v>
      </c>
      <c r="C8" s="4">
        <v>563</v>
      </c>
      <c r="D8" s="23">
        <v>1052796.701170315</v>
      </c>
      <c r="E8" s="33">
        <v>43.620059958004283</v>
      </c>
      <c r="F8" s="5">
        <v>7</v>
      </c>
      <c r="G8" s="23">
        <v>89</v>
      </c>
      <c r="H8" s="33">
        <v>1544.364377931774</v>
      </c>
      <c r="I8" s="23">
        <v>55.999687400621113</v>
      </c>
      <c r="J8" s="5">
        <v>7143.9393659495227</v>
      </c>
      <c r="K8" s="31"/>
      <c r="L8" s="23">
        <v>1278423.1908251259</v>
      </c>
      <c r="M8" s="33">
        <v>102.8626249999998</v>
      </c>
      <c r="N8" s="5">
        <v>12</v>
      </c>
      <c r="O8" s="5">
        <v>69</v>
      </c>
      <c r="P8" s="33">
        <v>1122.207552216491</v>
      </c>
      <c r="Q8" s="5">
        <v>23.960319083223681</v>
      </c>
      <c r="R8" s="5">
        <v>5670.369691843126</v>
      </c>
      <c r="S8" s="31"/>
      <c r="T8" s="23">
        <v>1494440.1177823241</v>
      </c>
      <c r="U8" s="33">
        <v>45.056314500005101</v>
      </c>
      <c r="V8" s="5">
        <v>4</v>
      </c>
      <c r="W8" s="5">
        <v>46</v>
      </c>
      <c r="X8" s="33">
        <v>1510.7960432857631</v>
      </c>
      <c r="Y8" s="5">
        <v>84.981623836258649</v>
      </c>
      <c r="Z8" s="5">
        <v>7351.9822694773766</v>
      </c>
      <c r="AA8" s="35"/>
    </row>
    <row r="9" spans="2:27" x14ac:dyDescent="0.2">
      <c r="B9" s="4">
        <v>6</v>
      </c>
      <c r="C9" s="4">
        <v>644</v>
      </c>
      <c r="D9" s="23">
        <v>1039285.911304438</v>
      </c>
      <c r="E9" s="33">
        <v>36.315835791996513</v>
      </c>
      <c r="F9" s="5">
        <v>7</v>
      </c>
      <c r="G9" s="23">
        <v>86</v>
      </c>
      <c r="H9" s="33">
        <v>1287.695407609378</v>
      </c>
      <c r="I9" s="23">
        <v>52.8310918623731</v>
      </c>
      <c r="J9" s="5">
        <v>6845.2802105784895</v>
      </c>
      <c r="K9" s="31"/>
      <c r="L9" s="23">
        <v>1333437.7506044919</v>
      </c>
      <c r="M9" s="33">
        <v>59.759888042000057</v>
      </c>
      <c r="N9" s="5">
        <v>13</v>
      </c>
      <c r="O9" s="5">
        <v>64</v>
      </c>
      <c r="P9" s="33">
        <v>691.10511141544953</v>
      </c>
      <c r="Q9" s="5">
        <v>19.239267293043621</v>
      </c>
      <c r="R9" s="5">
        <v>5292.7122341820996</v>
      </c>
      <c r="S9" s="31"/>
      <c r="T9" s="23">
        <v>1321926.3696169569</v>
      </c>
      <c r="U9" s="33">
        <v>59.73731491700164</v>
      </c>
      <c r="V9" s="5">
        <v>6</v>
      </c>
      <c r="W9" s="5">
        <v>60</v>
      </c>
      <c r="X9" s="33">
        <v>1208.6089387160357</v>
      </c>
      <c r="Y9" s="5">
        <v>62.073257187785401</v>
      </c>
      <c r="Z9" s="5">
        <v>6802.2516293583722</v>
      </c>
      <c r="AA9" s="35"/>
    </row>
    <row r="10" spans="2:27" x14ac:dyDescent="0.2">
      <c r="B10" s="4">
        <v>7</v>
      </c>
      <c r="C10" s="4">
        <v>686</v>
      </c>
      <c r="D10" s="23">
        <v>1048691.699122221</v>
      </c>
      <c r="E10" s="33">
        <v>49.623106375001953</v>
      </c>
      <c r="F10" s="5">
        <v>7</v>
      </c>
      <c r="G10" s="23">
        <v>88</v>
      </c>
      <c r="H10" s="33">
        <v>1582.9437232978366</v>
      </c>
      <c r="I10" s="23">
        <v>54.806372129480287</v>
      </c>
      <c r="J10" s="5">
        <v>6999.5779686699425</v>
      </c>
      <c r="K10" s="31"/>
      <c r="L10" s="23">
        <v>1306665.782672863</v>
      </c>
      <c r="M10" s="33">
        <v>117.1099116660007</v>
      </c>
      <c r="N10" s="5">
        <v>14</v>
      </c>
      <c r="O10" s="5">
        <v>69</v>
      </c>
      <c r="P10" s="33">
        <v>813.54720876907322</v>
      </c>
      <c r="Q10" s="5">
        <v>19.877872081802817</v>
      </c>
      <c r="R10" s="5">
        <v>5708.5893591775039</v>
      </c>
      <c r="S10" s="31"/>
      <c r="T10" s="23">
        <v>1354612.464838586</v>
      </c>
      <c r="U10" s="33">
        <v>67.387895624997327</v>
      </c>
      <c r="V10" s="5">
        <v>5</v>
      </c>
      <c r="W10" s="5">
        <v>60</v>
      </c>
      <c r="X10" s="33">
        <v>1577.8884606832289</v>
      </c>
      <c r="Y10" s="5">
        <v>73.60292420093225</v>
      </c>
      <c r="Z10" s="5">
        <v>7319.7676510651154</v>
      </c>
      <c r="AA10" s="35"/>
    </row>
    <row r="11" spans="2:27" x14ac:dyDescent="0.2">
      <c r="B11" s="4">
        <v>8</v>
      </c>
      <c r="C11" s="4">
        <v>740</v>
      </c>
      <c r="D11" s="23">
        <v>1040979.849136965</v>
      </c>
      <c r="E11" s="33">
        <v>55.216706999999587</v>
      </c>
      <c r="F11" s="5">
        <v>7</v>
      </c>
      <c r="G11" s="23">
        <v>86</v>
      </c>
      <c r="H11" s="33">
        <v>1288.7107006595606</v>
      </c>
      <c r="I11" s="23">
        <v>52.27146323882198</v>
      </c>
      <c r="J11" s="5">
        <v>6812.6522829529713</v>
      </c>
      <c r="K11" s="31"/>
      <c r="L11" s="23">
        <v>1324152.3656611149</v>
      </c>
      <c r="M11" s="33">
        <v>71.432716291000361</v>
      </c>
      <c r="N11" s="5">
        <v>10</v>
      </c>
      <c r="O11" s="5">
        <v>59</v>
      </c>
      <c r="P11" s="33">
        <v>502.11302827797823</v>
      </c>
      <c r="Q11" s="5">
        <v>22.367031813476398</v>
      </c>
      <c r="R11" s="5">
        <v>5191.6277915580913</v>
      </c>
      <c r="S11" s="31"/>
      <c r="T11" s="23">
        <v>1389073.0340722541</v>
      </c>
      <c r="U11" s="33">
        <v>39.222739958000602</v>
      </c>
      <c r="V11" s="5">
        <v>5</v>
      </c>
      <c r="W11" s="5">
        <v>53</v>
      </c>
      <c r="X11" s="33">
        <v>1043.1394592865688</v>
      </c>
      <c r="Y11" s="5">
        <v>60.396039015866691</v>
      </c>
      <c r="Z11" s="5">
        <v>6715.5477382714098</v>
      </c>
      <c r="AA11" s="35"/>
    </row>
    <row r="12" spans="2:27" x14ac:dyDescent="0.2">
      <c r="B12" s="4">
        <v>9</v>
      </c>
      <c r="C12" s="4">
        <v>751</v>
      </c>
      <c r="D12" s="23">
        <v>1098340.1299913169</v>
      </c>
      <c r="E12" s="33">
        <v>59.388289041999087</v>
      </c>
      <c r="F12" s="5">
        <v>7</v>
      </c>
      <c r="G12" s="23">
        <v>84</v>
      </c>
      <c r="H12" s="33">
        <v>1476.1290453965139</v>
      </c>
      <c r="I12" s="23">
        <v>52.472504199725314</v>
      </c>
      <c r="J12" s="5">
        <v>7069.1456784078191</v>
      </c>
      <c r="K12" s="31"/>
      <c r="L12" s="23">
        <v>1398385.7487663629</v>
      </c>
      <c r="M12" s="33">
        <v>68.862762792000467</v>
      </c>
      <c r="N12" s="5">
        <v>23</v>
      </c>
      <c r="O12" s="5">
        <v>87</v>
      </c>
      <c r="P12" s="33">
        <v>2072.2190794372259</v>
      </c>
      <c r="Q12" s="5">
        <v>16.990685139959385</v>
      </c>
      <c r="R12" s="5">
        <v>6904.607076988058</v>
      </c>
      <c r="S12" s="31"/>
      <c r="T12" s="23">
        <v>1395969.609648359</v>
      </c>
      <c r="U12" s="33">
        <v>86.839409749998595</v>
      </c>
      <c r="V12" s="5">
        <v>5</v>
      </c>
      <c r="W12" s="5">
        <v>55</v>
      </c>
      <c r="X12" s="33">
        <v>1362.7207764071472</v>
      </c>
      <c r="Y12" s="5">
        <v>66.752972022914349</v>
      </c>
      <c r="Z12" s="5">
        <v>7034.4017325519517</v>
      </c>
      <c r="AA12" s="35"/>
    </row>
    <row r="13" spans="2:27" x14ac:dyDescent="0.2">
      <c r="B13" s="4">
        <v>10</v>
      </c>
      <c r="C13" s="4">
        <v>772</v>
      </c>
      <c r="D13" s="23">
        <v>1074406.502654766</v>
      </c>
      <c r="E13" s="33">
        <v>34.357606167002807</v>
      </c>
      <c r="F13" s="5">
        <v>8</v>
      </c>
      <c r="G13" s="23">
        <v>89</v>
      </c>
      <c r="H13" s="33">
        <v>1687.1608535735359</v>
      </c>
      <c r="I13" s="23">
        <v>48.432402897739237</v>
      </c>
      <c r="J13" s="5">
        <v>7121.7178824234979</v>
      </c>
      <c r="K13" s="31"/>
      <c r="L13" s="23">
        <v>1370229.214744925</v>
      </c>
      <c r="M13" s="33">
        <v>109.9901636670002</v>
      </c>
      <c r="N13" s="5">
        <v>18</v>
      </c>
      <c r="O13" s="5">
        <v>74</v>
      </c>
      <c r="P13" s="33">
        <v>1313.510205130337</v>
      </c>
      <c r="Q13" s="5">
        <v>17.016777812348327</v>
      </c>
      <c r="R13" s="5">
        <v>6138.0195916097246</v>
      </c>
      <c r="S13" s="31"/>
      <c r="T13" s="23">
        <v>1349252.1086213209</v>
      </c>
      <c r="U13" s="33">
        <v>83.960010125003464</v>
      </c>
      <c r="V13" s="5">
        <v>6</v>
      </c>
      <c r="W13" s="5">
        <v>57</v>
      </c>
      <c r="X13" s="33">
        <v>1009.2521414086995</v>
      </c>
      <c r="Y13" s="5">
        <v>55.9953498116543</v>
      </c>
      <c r="Z13" s="5">
        <v>6614.5382681182355</v>
      </c>
      <c r="AA13" s="35"/>
    </row>
    <row r="14" spans="2:27" x14ac:dyDescent="0.2">
      <c r="B14" s="46" t="s">
        <v>3</v>
      </c>
      <c r="C14" s="47"/>
      <c r="D14" s="9">
        <f>MIN(D4:D13)</f>
        <v>1039285.911304438</v>
      </c>
      <c r="E14" s="22">
        <f>INDEX(E4:E13, MATCH($D$14, D4:D13, 0))</f>
        <v>36.315835791996513</v>
      </c>
      <c r="F14" s="9">
        <f>INDEX(F4:F13, MATCH($D$14, D4:D13, 0))</f>
        <v>7</v>
      </c>
      <c r="G14" s="9">
        <f>INDEX(G4:G13, MATCH($D$14, D4:D13, 0))</f>
        <v>86</v>
      </c>
      <c r="H14" s="22">
        <f>INDEX(H4:H13, MATCH($D$14, D4:D13, 0))</f>
        <v>1287.695407609378</v>
      </c>
      <c r="I14" s="22">
        <f>INDEX(I4:I13, MATCH($D$14, D4:D13, 0))</f>
        <v>52.8310918623731</v>
      </c>
      <c r="J14" s="22">
        <f>INDEX(J4:J13, MATCH($D$14, D4:D13, 0))</f>
        <v>6845.2802105784895</v>
      </c>
      <c r="K14" s="32" t="e">
        <f>(D14-$D$15)/$D$15</f>
        <v>#DIV/0!</v>
      </c>
      <c r="L14" s="16">
        <f>MIN(L4:L13)</f>
        <v>1266159.343688614</v>
      </c>
      <c r="M14" s="21">
        <f>INDEX(M4:M13, MATCH($L$14, L4:L13, 0))</f>
        <v>83.519665083999826</v>
      </c>
      <c r="N14" s="16">
        <f>INDEX(N4:N13, MATCH($L$14, L4:L13, 0))</f>
        <v>9</v>
      </c>
      <c r="O14" s="16">
        <f>INDEX(O4:O13, MATCH($L$14, L4:L13, 0))</f>
        <v>62</v>
      </c>
      <c r="P14" s="21">
        <f>INDEX(P4:P13, MATCH($L$14, L4:L13, 0))</f>
        <v>659.14578414970276</v>
      </c>
      <c r="Q14" s="21">
        <f>INDEX(Q4:Q13, MATCH($L$14, L4:L13, 0))</f>
        <v>26.971662058951541</v>
      </c>
      <c r="R14" s="21">
        <f>INDEX(R4:R13, MATCH($L$14, L4:L13, 0))</f>
        <v>5237.2691986913696</v>
      </c>
      <c r="S14" s="36" t="e">
        <f>(L14-$D$15)/$D$15</f>
        <v>#DIV/0!</v>
      </c>
      <c r="T14" s="38">
        <f>MIN(T4:T13)</f>
        <v>1321926.3696169569</v>
      </c>
      <c r="U14" s="39">
        <f>INDEX(U4:U13, MATCH($T$14, T4:T13, 0))</f>
        <v>59.73731491700164</v>
      </c>
      <c r="V14" s="38">
        <f>INDEX(V4:V13, MATCH($T$14, T4:T13, 0))</f>
        <v>6</v>
      </c>
      <c r="W14" s="38">
        <f>INDEX(W4:W13, MATCH($T$14, T4:T13, 0))</f>
        <v>60</v>
      </c>
      <c r="X14" s="39">
        <f>INDEX(X4:X13, MATCH($T$14, T4:T13, 0))</f>
        <v>1208.6089387160357</v>
      </c>
      <c r="Y14" s="39">
        <f>INDEX(Y4:Y13, MATCH($T$14, T4:T13, 0))</f>
        <v>62.073257187785401</v>
      </c>
      <c r="Z14" s="39">
        <f>INDEX(Z4:Z13, MATCH($T$14, T4:T13, 0))</f>
        <v>6802.2516293583722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0.21829741933037511</v>
      </c>
      <c r="M15" s="45">
        <f t="shared" ref="M15:R15" si="0">(M14-E14)/E14</f>
        <v>1.2998139313760846</v>
      </c>
      <c r="N15" s="45">
        <f t="shared" si="0"/>
        <v>0.2857142857142857</v>
      </c>
      <c r="O15" s="45">
        <f t="shared" si="0"/>
        <v>-0.27906976744186046</v>
      </c>
      <c r="P15" s="45">
        <f t="shared" si="0"/>
        <v>-0.48811979894110608</v>
      </c>
      <c r="Q15" s="45">
        <f t="shared" si="0"/>
        <v>-0.4894736961103569</v>
      </c>
      <c r="R15" s="45">
        <f t="shared" si="0"/>
        <v>-0.2349079895081794</v>
      </c>
      <c r="S15"/>
      <c r="T15" s="45">
        <f>(T14-D14)/D14</f>
        <v>0.27195640317857156</v>
      </c>
      <c r="U15" s="45">
        <f t="shared" ref="U15:Z15" si="1">(U14-E14)/E14</f>
        <v>0.64493845767875413</v>
      </c>
      <c r="V15" s="45">
        <f t="shared" si="1"/>
        <v>-0.14285714285714285</v>
      </c>
      <c r="W15" s="45">
        <f>(W14-G14)/G14</f>
        <v>-0.30232558139534882</v>
      </c>
      <c r="X15" s="45">
        <f t="shared" si="1"/>
        <v>-6.1417062160815848E-2</v>
      </c>
      <c r="Y15" s="45">
        <f t="shared" si="1"/>
        <v>0.17493799578264396</v>
      </c>
      <c r="Z15" s="45">
        <f t="shared" si="1"/>
        <v>-6.2858758000325877E-3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67" priority="7"/>
    <cfRule type="duplicateValues" dxfId="66" priority="8"/>
  </conditionalFormatting>
  <conditionalFormatting sqref="C14">
    <cfRule type="duplicateValues" dxfId="65" priority="3"/>
    <cfRule type="duplicateValues" dxfId="64" priority="4"/>
  </conditionalFormatting>
  <conditionalFormatting sqref="C15">
    <cfRule type="duplicateValues" dxfId="63" priority="5"/>
    <cfRule type="duplicateValues" dxfId="62" priority="6"/>
  </conditionalFormatting>
  <conditionalFormatting sqref="C17:C31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FE0D-5E12-F247-9AA8-E7D8BECC6B88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-0.97544140757853415</v>
      </c>
      <c r="J2" s="28" t="e">
        <f>(S14-J14)/J14</f>
        <v>#DIV/0!</v>
      </c>
      <c r="K2" s="28"/>
      <c r="L2" s="1" t="s">
        <v>19</v>
      </c>
      <c r="P2" s="1">
        <f>(P14-H14)/H14</f>
        <v>-0.34091209023074448</v>
      </c>
      <c r="R2" s="1">
        <f>(R14-J14)/J14</f>
        <v>-0.12545080814942655</v>
      </c>
      <c r="T2" s="1" t="s">
        <v>20</v>
      </c>
      <c r="X2" s="1">
        <f>(X14-P14)/P14</f>
        <v>1.130529041398818</v>
      </c>
      <c r="Z2" s="1">
        <f>(Z14-R14)/R14</f>
        <v>0.30566587871434847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47</v>
      </c>
      <c r="D4" s="23">
        <v>1012737.927218059</v>
      </c>
      <c r="E4" s="33">
        <v>27.308193250006301</v>
      </c>
      <c r="F4" s="5">
        <v>9</v>
      </c>
      <c r="G4" s="23">
        <v>92</v>
      </c>
      <c r="H4" s="33">
        <v>1332.1943208080943</v>
      </c>
      <c r="I4" s="23">
        <v>32.931555887785393</v>
      </c>
      <c r="J4" s="5">
        <v>6609.6235502735626</v>
      </c>
      <c r="K4" s="31"/>
      <c r="L4" s="23">
        <v>1112810.2021522201</v>
      </c>
      <c r="M4" s="33">
        <v>83.33165929200004</v>
      </c>
      <c r="N4" s="5">
        <v>14</v>
      </c>
      <c r="O4" s="5">
        <v>85</v>
      </c>
      <c r="P4" s="33">
        <v>1009.350883980685</v>
      </c>
      <c r="Q4" s="5">
        <v>18.956088094490358</v>
      </c>
      <c r="R4" s="5">
        <v>5823.9109607601195</v>
      </c>
      <c r="S4" s="31"/>
      <c r="T4" s="23">
        <v>1111156.3133438821</v>
      </c>
      <c r="U4" s="33">
        <v>27.1924402920049</v>
      </c>
      <c r="V4" s="5">
        <v>8</v>
      </c>
      <c r="W4" s="5">
        <v>78</v>
      </c>
      <c r="X4" s="33">
        <v>1090.3777375412938</v>
      </c>
      <c r="Y4" s="5">
        <v>47.199999080474534</v>
      </c>
      <c r="Z4" s="5">
        <v>6414.9052520121932</v>
      </c>
      <c r="AA4" s="35"/>
    </row>
    <row r="5" spans="2:27" x14ac:dyDescent="0.2">
      <c r="B5" s="4">
        <v>2</v>
      </c>
      <c r="C5" s="4">
        <v>267</v>
      </c>
      <c r="D5" s="23">
        <v>846885.65433332906</v>
      </c>
      <c r="E5" s="33">
        <v>57.967500250000739</v>
      </c>
      <c r="F5" s="5">
        <v>7</v>
      </c>
      <c r="G5" s="23">
        <v>92</v>
      </c>
      <c r="H5" s="33">
        <v>671.32184907206886</v>
      </c>
      <c r="I5" s="23">
        <v>42.117301145833444</v>
      </c>
      <c r="J5" s="5">
        <v>5758.1637367585672</v>
      </c>
      <c r="K5" s="31"/>
      <c r="L5" s="23">
        <v>1054428.253911871</v>
      </c>
      <c r="M5" s="33">
        <v>75.328168375000132</v>
      </c>
      <c r="N5" s="5">
        <v>16</v>
      </c>
      <c r="O5" s="5">
        <v>90</v>
      </c>
      <c r="P5" s="33">
        <v>808.67256871608924</v>
      </c>
      <c r="Q5" s="5">
        <v>18.836032594231536</v>
      </c>
      <c r="R5" s="5">
        <v>5656.4073964496829</v>
      </c>
      <c r="S5" s="31"/>
      <c r="T5" s="23">
        <v>1121961.2096332819</v>
      </c>
      <c r="U5" s="33">
        <v>33.531510417000391</v>
      </c>
      <c r="V5" s="5">
        <v>9</v>
      </c>
      <c r="W5" s="5">
        <v>77</v>
      </c>
      <c r="X5" s="33">
        <v>1052.4622061478431</v>
      </c>
      <c r="Y5" s="5">
        <v>48.256031125065959</v>
      </c>
      <c r="Z5" s="5">
        <v>6430.2636567858972</v>
      </c>
      <c r="AA5" s="35"/>
    </row>
    <row r="6" spans="2:27" x14ac:dyDescent="0.2">
      <c r="B6" s="4">
        <v>3</v>
      </c>
      <c r="C6" s="4">
        <v>276</v>
      </c>
      <c r="D6" s="23">
        <v>833758.83888842457</v>
      </c>
      <c r="E6" s="33">
        <v>25.850586082997321</v>
      </c>
      <c r="F6" s="5">
        <v>7</v>
      </c>
      <c r="G6" s="23">
        <v>92</v>
      </c>
      <c r="H6" s="33">
        <v>590.18119502455215</v>
      </c>
      <c r="I6" s="23">
        <v>41.957795445937577</v>
      </c>
      <c r="J6" s="5">
        <v>5701.451704294318</v>
      </c>
      <c r="K6" s="31"/>
      <c r="L6" s="23">
        <v>1050975.167321543</v>
      </c>
      <c r="M6" s="33">
        <v>128.72852475000039</v>
      </c>
      <c r="N6" s="5">
        <v>14</v>
      </c>
      <c r="O6" s="5">
        <v>85</v>
      </c>
      <c r="P6" s="33">
        <v>761.65318179527685</v>
      </c>
      <c r="Q6" s="5">
        <v>18.995014957265933</v>
      </c>
      <c r="R6" s="5">
        <v>5279.83324567809</v>
      </c>
      <c r="S6" s="31"/>
      <c r="T6" s="23">
        <v>1170165.4344078519</v>
      </c>
      <c r="U6" s="33">
        <v>74.2712434999994</v>
      </c>
      <c r="V6" s="5">
        <v>9</v>
      </c>
      <c r="W6" s="5">
        <v>75</v>
      </c>
      <c r="X6" s="33">
        <v>1113.9259469890876</v>
      </c>
      <c r="Y6" s="5">
        <v>39.850405712254648</v>
      </c>
      <c r="Z6" s="5">
        <v>6317.0343470969992</v>
      </c>
      <c r="AA6" s="35"/>
    </row>
    <row r="7" spans="2:27" x14ac:dyDescent="0.2">
      <c r="B7" s="4">
        <v>4</v>
      </c>
      <c r="C7" s="4">
        <v>299</v>
      </c>
      <c r="D7" s="23">
        <v>1050768.942936115</v>
      </c>
      <c r="E7" s="33">
        <v>67.030749165998714</v>
      </c>
      <c r="F7" s="5">
        <v>7</v>
      </c>
      <c r="G7" s="23">
        <v>91</v>
      </c>
      <c r="H7" s="33">
        <v>1650.3811759010912</v>
      </c>
      <c r="I7" s="23">
        <v>43.501818105669045</v>
      </c>
      <c r="J7" s="5">
        <v>7076.1626382863305</v>
      </c>
      <c r="K7" s="31"/>
      <c r="L7" s="23">
        <v>1169725.3890125139</v>
      </c>
      <c r="M7" s="33">
        <v>44.530092457999672</v>
      </c>
      <c r="N7" s="5">
        <v>12</v>
      </c>
      <c r="O7" s="5">
        <v>77</v>
      </c>
      <c r="P7" s="33">
        <v>944.35016219168449</v>
      </c>
      <c r="Q7" s="5">
        <v>19.235103262769837</v>
      </c>
      <c r="R7" s="5">
        <v>5776.4765007953865</v>
      </c>
      <c r="S7" s="31"/>
      <c r="T7" s="23">
        <v>1276097.462989382</v>
      </c>
      <c r="U7" s="33">
        <v>52.287368958997831</v>
      </c>
      <c r="V7" s="5">
        <v>9</v>
      </c>
      <c r="W7" s="5">
        <v>74</v>
      </c>
      <c r="X7" s="33">
        <v>1686.3081851678137</v>
      </c>
      <c r="Y7" s="5">
        <v>44.049606493083488</v>
      </c>
      <c r="Z7" s="5">
        <v>7252.6047961704899</v>
      </c>
      <c r="AA7" s="35"/>
    </row>
    <row r="8" spans="2:27" x14ac:dyDescent="0.2">
      <c r="B8" s="4">
        <v>5</v>
      </c>
      <c r="C8" s="4">
        <v>397</v>
      </c>
      <c r="D8" s="23">
        <v>846273.12723712169</v>
      </c>
      <c r="E8" s="33">
        <v>33.012210375003633</v>
      </c>
      <c r="F8" s="5">
        <v>7</v>
      </c>
      <c r="G8" s="23">
        <v>94</v>
      </c>
      <c r="H8" s="33">
        <v>889.59521925834622</v>
      </c>
      <c r="I8" s="23">
        <v>42.77400316974758</v>
      </c>
      <c r="J8" s="5">
        <v>5882.4109476511576</v>
      </c>
      <c r="K8" s="31"/>
      <c r="L8" s="23">
        <v>1071769.6876239059</v>
      </c>
      <c r="M8" s="33">
        <v>127.85532304200019</v>
      </c>
      <c r="N8" s="5">
        <v>12</v>
      </c>
      <c r="O8" s="5">
        <v>80</v>
      </c>
      <c r="P8" s="33">
        <v>540.04971478929997</v>
      </c>
      <c r="Q8" s="5">
        <v>21.452948993869828</v>
      </c>
      <c r="R8" s="5">
        <v>5309.3731189840091</v>
      </c>
      <c r="S8" s="31"/>
      <c r="T8" s="23">
        <v>1206801.3105765481</v>
      </c>
      <c r="U8" s="33">
        <v>74.348398374997487</v>
      </c>
      <c r="V8" s="5">
        <v>9</v>
      </c>
      <c r="W8" s="5">
        <v>77</v>
      </c>
      <c r="X8" s="33">
        <v>1581.1400896326422</v>
      </c>
      <c r="Y8" s="5">
        <v>44.15543447656345</v>
      </c>
      <c r="Z8" s="5">
        <v>6960.1241067453948</v>
      </c>
      <c r="AA8" s="35"/>
    </row>
    <row r="9" spans="2:27" x14ac:dyDescent="0.2">
      <c r="B9" s="4">
        <v>6</v>
      </c>
      <c r="C9" s="4">
        <v>527</v>
      </c>
      <c r="D9" s="23">
        <v>845239.92458020907</v>
      </c>
      <c r="E9" s="33">
        <v>42.31438533400069</v>
      </c>
      <c r="F9" s="5">
        <v>8</v>
      </c>
      <c r="G9" s="23">
        <v>92</v>
      </c>
      <c r="H9" s="33">
        <v>522.4525354175438</v>
      </c>
      <c r="I9" s="23">
        <v>36.998212284987304</v>
      </c>
      <c r="J9" s="5">
        <v>5617.5239710540345</v>
      </c>
      <c r="K9" s="31"/>
      <c r="L9" s="23">
        <v>1094973.714827792</v>
      </c>
      <c r="M9" s="33">
        <v>81.967613916999653</v>
      </c>
      <c r="N9" s="5">
        <v>13</v>
      </c>
      <c r="O9" s="5">
        <v>83</v>
      </c>
      <c r="P9" s="33">
        <v>831.16627232306121</v>
      </c>
      <c r="Q9" s="5">
        <v>18.71826270427071</v>
      </c>
      <c r="R9" s="5">
        <v>5738.3521970018173</v>
      </c>
      <c r="S9" s="31"/>
      <c r="T9" s="23">
        <v>1095051.0995794621</v>
      </c>
      <c r="U9" s="33">
        <v>37.119481374997122</v>
      </c>
      <c r="V9" s="5">
        <v>8</v>
      </c>
      <c r="W9" s="5">
        <v>80</v>
      </c>
      <c r="X9" s="33">
        <v>1137.5282297901736</v>
      </c>
      <c r="Y9" s="5">
        <v>50.703396646028821</v>
      </c>
      <c r="Z9" s="5">
        <v>6559.5528524157708</v>
      </c>
      <c r="AA9" s="35"/>
    </row>
    <row r="10" spans="2:27" x14ac:dyDescent="0.2">
      <c r="B10" s="4">
        <v>7</v>
      </c>
      <c r="C10" s="4">
        <v>582</v>
      </c>
      <c r="D10" s="23">
        <v>859557.13068612234</v>
      </c>
      <c r="E10" s="33">
        <v>45.155104707999271</v>
      </c>
      <c r="F10" s="5">
        <v>7</v>
      </c>
      <c r="G10" s="23">
        <v>93</v>
      </c>
      <c r="H10" s="33">
        <v>810.62362602890062</v>
      </c>
      <c r="I10" s="23">
        <v>43.295506352227854</v>
      </c>
      <c r="J10" s="5">
        <v>5915.0902947331278</v>
      </c>
      <c r="K10" s="31"/>
      <c r="L10" s="23">
        <v>1103177.8509780059</v>
      </c>
      <c r="M10" s="33">
        <v>54.461516625000513</v>
      </c>
      <c r="N10" s="5">
        <v>13</v>
      </c>
      <c r="O10" s="5">
        <v>80</v>
      </c>
      <c r="P10" s="33">
        <v>798.93128643391333</v>
      </c>
      <c r="Q10" s="5">
        <v>18.776975609261878</v>
      </c>
      <c r="R10" s="5">
        <v>5336.1191727770838</v>
      </c>
      <c r="S10" s="31"/>
      <c r="T10" s="23">
        <v>1121106.389765027</v>
      </c>
      <c r="U10" s="33">
        <v>46.235546792006062</v>
      </c>
      <c r="V10" s="5">
        <v>8</v>
      </c>
      <c r="W10" s="5">
        <v>80</v>
      </c>
      <c r="X10" s="33">
        <v>1306.0017853889608</v>
      </c>
      <c r="Y10" s="5">
        <v>54.424274317949653</v>
      </c>
      <c r="Z10" s="5">
        <v>6780.8306483440711</v>
      </c>
      <c r="AA10" s="35"/>
    </row>
    <row r="11" spans="2:27" x14ac:dyDescent="0.2">
      <c r="B11" s="4">
        <v>8</v>
      </c>
      <c r="C11" s="4">
        <v>687</v>
      </c>
      <c r="D11" s="23">
        <v>894292.49689634715</v>
      </c>
      <c r="E11" s="33">
        <v>64.978933375001361</v>
      </c>
      <c r="F11" s="5">
        <v>8</v>
      </c>
      <c r="G11" s="23">
        <v>92</v>
      </c>
      <c r="H11" s="33">
        <v>893.77078438786009</v>
      </c>
      <c r="I11" s="23">
        <v>35.103734001424584</v>
      </c>
      <c r="J11" s="5">
        <v>5838.422503654735</v>
      </c>
      <c r="K11" s="31"/>
      <c r="L11" s="23">
        <v>1031784.598572218</v>
      </c>
      <c r="M11" s="33">
        <v>97.164949292000529</v>
      </c>
      <c r="N11" s="5">
        <v>13</v>
      </c>
      <c r="O11" s="5">
        <v>82</v>
      </c>
      <c r="P11" s="33">
        <v>533.91819951129094</v>
      </c>
      <c r="Q11" s="5">
        <v>19.894583490070747</v>
      </c>
      <c r="R11" s="5">
        <v>5023.9138200308744</v>
      </c>
      <c r="S11" s="31"/>
      <c r="T11" s="23">
        <v>1179733.6665836589</v>
      </c>
      <c r="U11" s="33">
        <v>36.233316624995503</v>
      </c>
      <c r="V11" s="5">
        <v>8</v>
      </c>
      <c r="W11" s="5">
        <v>72</v>
      </c>
      <c r="X11" s="33">
        <v>1084.2071293350698</v>
      </c>
      <c r="Y11" s="5">
        <v>48.982428295992335</v>
      </c>
      <c r="Z11" s="5">
        <v>6414.9441851948031</v>
      </c>
      <c r="AA11" s="35"/>
    </row>
    <row r="12" spans="2:27" x14ac:dyDescent="0.2">
      <c r="B12" s="4">
        <v>9</v>
      </c>
      <c r="C12" s="4">
        <v>698</v>
      </c>
      <c r="D12" s="23">
        <v>827362.81810634653</v>
      </c>
      <c r="E12" s="33">
        <v>35.653155959000287</v>
      </c>
      <c r="F12" s="5">
        <v>7</v>
      </c>
      <c r="G12" s="23">
        <v>94</v>
      </c>
      <c r="H12" s="33">
        <v>810.0864719218016</v>
      </c>
      <c r="I12" s="23">
        <v>42.600910601159065</v>
      </c>
      <c r="J12" s="5">
        <v>5744.5754530972872</v>
      </c>
      <c r="K12" s="31"/>
      <c r="L12" s="23">
        <v>1093552.74871699</v>
      </c>
      <c r="M12" s="33">
        <v>95.414798124999834</v>
      </c>
      <c r="N12" s="5">
        <v>14</v>
      </c>
      <c r="O12" s="5">
        <v>82</v>
      </c>
      <c r="P12" s="33">
        <v>682.34817623224671</v>
      </c>
      <c r="Q12" s="5">
        <v>17.610935058785881</v>
      </c>
      <c r="R12" s="5">
        <v>5410.277847238649</v>
      </c>
      <c r="S12" s="31"/>
      <c r="T12" s="23">
        <v>1206907.756316364</v>
      </c>
      <c r="U12" s="33">
        <v>42.275993125003879</v>
      </c>
      <c r="V12" s="5">
        <v>9</v>
      </c>
      <c r="W12" s="5">
        <v>78</v>
      </c>
      <c r="X12" s="33">
        <v>1681.0880343539018</v>
      </c>
      <c r="Y12" s="5">
        <v>44.095188767914223</v>
      </c>
      <c r="Z12" s="5">
        <v>7007.3195965064906</v>
      </c>
      <c r="AA12" s="35"/>
    </row>
    <row r="13" spans="2:27" x14ac:dyDescent="0.2">
      <c r="B13" s="4">
        <v>10</v>
      </c>
      <c r="C13" s="4">
        <v>747</v>
      </c>
      <c r="D13" s="23">
        <v>948894.68059383845</v>
      </c>
      <c r="E13" s="33">
        <v>57.848436749998648</v>
      </c>
      <c r="F13" s="5">
        <v>7</v>
      </c>
      <c r="G13" s="23">
        <v>90</v>
      </c>
      <c r="H13" s="33">
        <v>1064.0648079850016</v>
      </c>
      <c r="I13" s="23">
        <v>43.381434080471635</v>
      </c>
      <c r="J13" s="5">
        <v>6307.2966628329632</v>
      </c>
      <c r="K13" s="31"/>
      <c r="L13" s="23">
        <v>1077535.683544914</v>
      </c>
      <c r="M13" s="33">
        <v>87.938673874999949</v>
      </c>
      <c r="N13" s="5">
        <v>11</v>
      </c>
      <c r="O13" s="5">
        <v>78</v>
      </c>
      <c r="P13" s="33">
        <v>644.26238594065035</v>
      </c>
      <c r="Q13" s="5">
        <v>21.20496240437156</v>
      </c>
      <c r="R13" s="5">
        <v>5154.0723344728613</v>
      </c>
      <c r="S13" s="31"/>
      <c r="T13" s="23">
        <v>1137745.7755007909</v>
      </c>
      <c r="U13" s="33">
        <v>51.263394915993558</v>
      </c>
      <c r="V13" s="5">
        <v>7</v>
      </c>
      <c r="W13" s="5">
        <v>75</v>
      </c>
      <c r="X13" s="33">
        <v>1173.1749175659174</v>
      </c>
      <c r="Y13" s="5">
        <v>52.049656201317475</v>
      </c>
      <c r="Z13" s="5">
        <v>6428.270777660472</v>
      </c>
      <c r="AA13" s="35"/>
    </row>
    <row r="14" spans="2:27" x14ac:dyDescent="0.2">
      <c r="B14" s="46" t="s">
        <v>3</v>
      </c>
      <c r="C14" s="47"/>
      <c r="D14" s="9">
        <f>MIN(D4:D13)</f>
        <v>827362.81810634653</v>
      </c>
      <c r="E14" s="22">
        <f>INDEX(E4:E13, MATCH($D$14, D4:D13, 0))</f>
        <v>35.653155959000287</v>
      </c>
      <c r="F14" s="9">
        <f>INDEX(F4:F13, MATCH($D$14, D4:D13, 0))</f>
        <v>7</v>
      </c>
      <c r="G14" s="9">
        <f>INDEX(G4:G13, MATCH($D$14, D4:D13, 0))</f>
        <v>94</v>
      </c>
      <c r="H14" s="22">
        <f>INDEX(H4:H13, MATCH($D$14, D4:D13, 0))</f>
        <v>810.0864719218016</v>
      </c>
      <c r="I14" s="22">
        <f>INDEX(I4:I13, MATCH($D$14, D4:D13, 0))</f>
        <v>42.600910601159065</v>
      </c>
      <c r="J14" s="22">
        <f>INDEX(J4:J13, MATCH($D$14, D4:D13, 0))</f>
        <v>5744.5754530972872</v>
      </c>
      <c r="K14" s="32" t="e">
        <f>(D14-$D$15)/$D$15</f>
        <v>#DIV/0!</v>
      </c>
      <c r="L14" s="16">
        <f>MIN(L4:L13)</f>
        <v>1031784.598572218</v>
      </c>
      <c r="M14" s="21">
        <f>INDEX(M4:M13, MATCH($L$14, L4:L13, 0))</f>
        <v>97.164949292000529</v>
      </c>
      <c r="N14" s="16">
        <f>INDEX(N4:N13, MATCH($L$14, L4:L13, 0))</f>
        <v>13</v>
      </c>
      <c r="O14" s="16">
        <f>INDEX(O4:O13, MATCH($L$14, L4:L13, 0))</f>
        <v>82</v>
      </c>
      <c r="P14" s="21">
        <f>INDEX(P4:P13, MATCH($L$14, L4:L13, 0))</f>
        <v>533.91819951129094</v>
      </c>
      <c r="Q14" s="21">
        <f>INDEX(Q4:Q13, MATCH($L$14, L4:L13, 0))</f>
        <v>19.894583490070747</v>
      </c>
      <c r="R14" s="21">
        <f>INDEX(R4:R13, MATCH($L$14, L4:L13, 0))</f>
        <v>5023.9138200308744</v>
      </c>
      <c r="S14" s="36" t="e">
        <f>(L14-$D$15)/$D$15</f>
        <v>#DIV/0!</v>
      </c>
      <c r="T14" s="38">
        <f>MIN(T4:T13)</f>
        <v>1095051.0995794621</v>
      </c>
      <c r="U14" s="39">
        <f>INDEX(U4:U13, MATCH($T$14, T4:T13, 0))</f>
        <v>37.119481374997122</v>
      </c>
      <c r="V14" s="38">
        <f>INDEX(V4:V13, MATCH($T$14, T4:T13, 0))</f>
        <v>8</v>
      </c>
      <c r="W14" s="38">
        <f>INDEX(W4:W13, MATCH($T$14, T4:T13, 0))</f>
        <v>80</v>
      </c>
      <c r="X14" s="39">
        <f>INDEX(X4:X13, MATCH($T$14, T4:T13, 0))</f>
        <v>1137.5282297901736</v>
      </c>
      <c r="Y14" s="39">
        <f>INDEX(Y4:Y13, MATCH($T$14, T4:T13, 0))</f>
        <v>50.703396646028821</v>
      </c>
      <c r="Z14" s="39">
        <f>INDEX(Z4:Z13, MATCH($T$14, T4:T13, 0))</f>
        <v>6559.5528524157708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0.24707634424973124</v>
      </c>
      <c r="M15" s="45">
        <f t="shared" ref="M15:R15" si="0">(M14-E14)/E14</f>
        <v>1.7252832653506567</v>
      </c>
      <c r="N15" s="45">
        <f t="shared" si="0"/>
        <v>0.8571428571428571</v>
      </c>
      <c r="O15" s="45">
        <f t="shared" si="0"/>
        <v>-0.1276595744680851</v>
      </c>
      <c r="P15" s="45">
        <f t="shared" si="0"/>
        <v>-0.34091209023074448</v>
      </c>
      <c r="Q15" s="45">
        <f t="shared" si="0"/>
        <v>-0.53300098027647635</v>
      </c>
      <c r="R15" s="45">
        <f t="shared" si="0"/>
        <v>-0.12545080814942655</v>
      </c>
      <c r="S15"/>
      <c r="T15" s="45">
        <f>(T14-D14)/D14</f>
        <v>0.32354400707273234</v>
      </c>
      <c r="U15" s="45">
        <f t="shared" ref="U15:Z15" si="1">(U14-E14)/E14</f>
        <v>4.1127506851933407E-2</v>
      </c>
      <c r="V15" s="45">
        <f t="shared" si="1"/>
        <v>0.14285714285714285</v>
      </c>
      <c r="W15" s="45">
        <f>(W14-G14)/G14</f>
        <v>-0.14893617021276595</v>
      </c>
      <c r="X15" s="45">
        <f t="shared" si="1"/>
        <v>0.40420593259824267</v>
      </c>
      <c r="Y15" s="45">
        <f t="shared" si="1"/>
        <v>0.19019513739336144</v>
      </c>
      <c r="Z15" s="45">
        <f t="shared" si="1"/>
        <v>0.14186903905650233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5">
    <cfRule type="duplicateValues" dxfId="57" priority="5"/>
    <cfRule type="duplicateValues" dxfId="56" priority="6"/>
  </conditionalFormatting>
  <conditionalFormatting sqref="C17:C3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EEAC-E501-9243-A0C9-838A6D92A824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-0.96675250316585004</v>
      </c>
      <c r="J2" s="28" t="e">
        <f>(S14-J14)/J14</f>
        <v>#DIV/0!</v>
      </c>
      <c r="K2" s="28"/>
      <c r="L2" s="1" t="s">
        <v>19</v>
      </c>
      <c r="P2" s="1">
        <f>(P14-H14)/H14</f>
        <v>-0.24945682455311863</v>
      </c>
      <c r="R2" s="1">
        <f>(R14-J14)/J14</f>
        <v>-0.16239799464351395</v>
      </c>
      <c r="T2" s="1" t="s">
        <v>20</v>
      </c>
      <c r="X2" s="1">
        <f>(X14-P14)/P14</f>
        <v>2.2286458870804062</v>
      </c>
      <c r="Z2" s="1">
        <f>(Z14-R14)/R14</f>
        <v>0.46384464484792309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35</v>
      </c>
      <c r="D4" s="23">
        <v>779878.96064985963</v>
      </c>
      <c r="E4" s="33">
        <v>53.345887916999352</v>
      </c>
      <c r="F4" s="5">
        <v>8</v>
      </c>
      <c r="G4" s="23">
        <v>97</v>
      </c>
      <c r="H4" s="33">
        <v>842.97264947908013</v>
      </c>
      <c r="I4" s="23">
        <v>53.479047766539388</v>
      </c>
      <c r="J4" s="5">
        <v>5874.6788543936182</v>
      </c>
      <c r="K4" s="31"/>
      <c r="L4" s="23">
        <v>1161158.2132357601</v>
      </c>
      <c r="M4" s="33">
        <v>138.9664222089996</v>
      </c>
      <c r="N4" s="5">
        <v>13</v>
      </c>
      <c r="O4" s="5">
        <v>73</v>
      </c>
      <c r="P4" s="33">
        <v>666.27722326281071</v>
      </c>
      <c r="Q4" s="5">
        <v>22.465702800429295</v>
      </c>
      <c r="R4" s="5">
        <v>5136.4041113086851</v>
      </c>
      <c r="S4" s="31"/>
      <c r="T4" s="23">
        <v>1108235.4530642109</v>
      </c>
      <c r="U4" s="33">
        <v>53.010255749999487</v>
      </c>
      <c r="V4" s="5">
        <v>9</v>
      </c>
      <c r="W4" s="5">
        <v>79</v>
      </c>
      <c r="X4" s="33">
        <v>1283.3853146632821</v>
      </c>
      <c r="Y4" s="5">
        <v>66.23395108872748</v>
      </c>
      <c r="Z4" s="5">
        <v>6824.1570708233376</v>
      </c>
      <c r="AA4" s="35"/>
    </row>
    <row r="5" spans="2:27" x14ac:dyDescent="0.2">
      <c r="B5" s="4">
        <v>2</v>
      </c>
      <c r="C5" s="4">
        <v>125</v>
      </c>
      <c r="D5" s="23">
        <v>741819.41929463856</v>
      </c>
      <c r="E5" s="33">
        <v>46.192470249996397</v>
      </c>
      <c r="F5" s="5">
        <v>8</v>
      </c>
      <c r="G5" s="23">
        <v>98</v>
      </c>
      <c r="H5" s="33">
        <v>663.80933282133083</v>
      </c>
      <c r="I5" s="23">
        <v>53.910977841523987</v>
      </c>
      <c r="J5" s="5">
        <v>5793.4169580303915</v>
      </c>
      <c r="K5" s="31"/>
      <c r="L5" s="23">
        <v>1180536.230541399</v>
      </c>
      <c r="M5" s="33">
        <v>131.08623541599991</v>
      </c>
      <c r="N5" s="5">
        <v>10</v>
      </c>
      <c r="O5" s="5">
        <v>65</v>
      </c>
      <c r="P5" s="33">
        <v>327.11405676637253</v>
      </c>
      <c r="Q5" s="5">
        <v>25.205022603099298</v>
      </c>
      <c r="R5" s="5">
        <v>4730.2504463343621</v>
      </c>
      <c r="S5" s="31"/>
      <c r="T5" s="23">
        <v>1097485.8625436539</v>
      </c>
      <c r="U5" s="33">
        <v>118.7123379159966</v>
      </c>
      <c r="V5" s="5">
        <v>8</v>
      </c>
      <c r="W5" s="5">
        <v>78</v>
      </c>
      <c r="X5" s="33">
        <v>1199.742811267058</v>
      </c>
      <c r="Y5" s="5">
        <v>67.373091247389567</v>
      </c>
      <c r="Z5" s="5">
        <v>6727.2519553533803</v>
      </c>
      <c r="AA5" s="35"/>
    </row>
    <row r="6" spans="2:27" x14ac:dyDescent="0.2">
      <c r="B6" s="4">
        <v>3</v>
      </c>
      <c r="C6" s="4">
        <v>240</v>
      </c>
      <c r="D6" s="23">
        <v>935637.17602784117</v>
      </c>
      <c r="E6" s="33">
        <v>25.54689291699469</v>
      </c>
      <c r="F6" s="5">
        <v>9</v>
      </c>
      <c r="G6" s="23">
        <v>97</v>
      </c>
      <c r="H6" s="33">
        <v>1515.1354530927802</v>
      </c>
      <c r="I6" s="23">
        <v>49.266827338919931</v>
      </c>
      <c r="J6" s="5">
        <v>6765.4379025066546</v>
      </c>
      <c r="K6" s="31"/>
      <c r="L6" s="23">
        <v>1159925.5674825171</v>
      </c>
      <c r="M6" s="33">
        <v>88.833462042000065</v>
      </c>
      <c r="N6" s="5">
        <v>13</v>
      </c>
      <c r="O6" s="5">
        <v>71</v>
      </c>
      <c r="P6" s="33">
        <v>377.92881278380816</v>
      </c>
      <c r="Q6" s="5">
        <v>20.632314003668341</v>
      </c>
      <c r="R6" s="5">
        <v>4756.5484445581569</v>
      </c>
      <c r="S6" s="31"/>
      <c r="T6" s="23">
        <v>1129628.1365123701</v>
      </c>
      <c r="U6" s="33">
        <v>74.630528749999939</v>
      </c>
      <c r="V6" s="5">
        <v>8</v>
      </c>
      <c r="W6" s="5">
        <v>77</v>
      </c>
      <c r="X6" s="33">
        <v>1281.4106261839581</v>
      </c>
      <c r="Y6" s="5">
        <v>67.80701421631241</v>
      </c>
      <c r="Z6" s="5">
        <v>6938.0337301771451</v>
      </c>
      <c r="AA6" s="35"/>
    </row>
    <row r="7" spans="2:27" x14ac:dyDescent="0.2">
      <c r="B7" s="4">
        <v>4</v>
      </c>
      <c r="C7" s="4">
        <v>268</v>
      </c>
      <c r="D7" s="23">
        <v>938451.31979739142</v>
      </c>
      <c r="E7" s="33">
        <v>71.095333459001267</v>
      </c>
      <c r="F7" s="5">
        <v>8</v>
      </c>
      <c r="G7" s="23">
        <v>95</v>
      </c>
      <c r="H7" s="33">
        <v>1316.7784502946774</v>
      </c>
      <c r="I7" s="23">
        <v>51.852832806798808</v>
      </c>
      <c r="J7" s="5">
        <v>6821.841554362496</v>
      </c>
      <c r="K7" s="31"/>
      <c r="L7" s="23">
        <v>1261568.2506918181</v>
      </c>
      <c r="M7" s="33">
        <v>127.6192276660004</v>
      </c>
      <c r="N7" s="5">
        <v>19</v>
      </c>
      <c r="O7" s="5">
        <v>76</v>
      </c>
      <c r="P7" s="33">
        <v>717.20468646149175</v>
      </c>
      <c r="Q7" s="5">
        <v>16.092594219216959</v>
      </c>
      <c r="R7" s="5">
        <v>5442.5704032069107</v>
      </c>
      <c r="S7" s="31"/>
      <c r="T7" s="23">
        <v>1333697.539371561</v>
      </c>
      <c r="U7" s="33">
        <v>35.49148449999484</v>
      </c>
      <c r="V7" s="5">
        <v>12</v>
      </c>
      <c r="W7" s="5">
        <v>89</v>
      </c>
      <c r="X7" s="33">
        <v>3189.3741306469233</v>
      </c>
      <c r="Y7" s="5">
        <v>65.760508389851836</v>
      </c>
      <c r="Z7" s="5">
        <v>8899.0370678103573</v>
      </c>
      <c r="AA7" s="35"/>
    </row>
    <row r="8" spans="2:27" x14ac:dyDescent="0.2">
      <c r="B8" s="4">
        <v>5</v>
      </c>
      <c r="C8" s="4">
        <v>416</v>
      </c>
      <c r="D8" s="23">
        <v>781003.71519247291</v>
      </c>
      <c r="E8" s="33">
        <v>37.342087083001388</v>
      </c>
      <c r="F8" s="5">
        <v>8</v>
      </c>
      <c r="G8" s="23">
        <v>98</v>
      </c>
      <c r="H8" s="33">
        <v>782.90304399257445</v>
      </c>
      <c r="I8" s="23">
        <v>53.861821306569041</v>
      </c>
      <c r="J8" s="5">
        <v>6108.2363258754758</v>
      </c>
      <c r="K8" s="31"/>
      <c r="L8" s="23">
        <v>1153759.7808885099</v>
      </c>
      <c r="M8" s="33">
        <v>134.0623190000006</v>
      </c>
      <c r="N8" s="5">
        <v>12</v>
      </c>
      <c r="O8" s="5">
        <v>68</v>
      </c>
      <c r="P8" s="33">
        <v>171.49026246689476</v>
      </c>
      <c r="Q8" s="5">
        <v>21.182889974044709</v>
      </c>
      <c r="R8" s="5">
        <v>4527.7404199184366</v>
      </c>
      <c r="S8" s="31"/>
      <c r="T8" s="23">
        <v>1243701.778213928</v>
      </c>
      <c r="U8" s="33">
        <v>40.814087292004842</v>
      </c>
      <c r="V8" s="5">
        <v>11</v>
      </c>
      <c r="W8" s="5">
        <v>81</v>
      </c>
      <c r="X8" s="33">
        <v>2213.3782132477809</v>
      </c>
      <c r="Y8" s="5">
        <v>63.065137490885611</v>
      </c>
      <c r="Z8" s="5">
        <v>7841.6562400833982</v>
      </c>
      <c r="AA8" s="35"/>
    </row>
    <row r="9" spans="2:27" x14ac:dyDescent="0.2">
      <c r="B9" s="4">
        <v>6</v>
      </c>
      <c r="C9" s="4">
        <v>470</v>
      </c>
      <c r="D9" s="23">
        <v>777532.76701082243</v>
      </c>
      <c r="E9" s="33">
        <v>56.953318708001461</v>
      </c>
      <c r="F9" s="5">
        <v>8</v>
      </c>
      <c r="G9" s="23">
        <v>98</v>
      </c>
      <c r="H9" s="33">
        <v>799.35010627676547</v>
      </c>
      <c r="I9" s="23">
        <v>53.817073881038468</v>
      </c>
      <c r="J9" s="5">
        <v>6037.4075870993402</v>
      </c>
      <c r="K9" s="31"/>
      <c r="L9" s="23">
        <v>1227857.7226437819</v>
      </c>
      <c r="M9" s="33">
        <v>88.747583541000495</v>
      </c>
      <c r="N9" s="5">
        <v>22</v>
      </c>
      <c r="O9" s="5">
        <v>87</v>
      </c>
      <c r="P9" s="33">
        <v>1226.1552462256359</v>
      </c>
      <c r="Q9" s="5">
        <v>16.826780334247129</v>
      </c>
      <c r="R9" s="5">
        <v>5865.2848110700179</v>
      </c>
      <c r="S9" s="31"/>
      <c r="T9" s="23">
        <v>1073573.6487346471</v>
      </c>
      <c r="U9" s="33">
        <v>45.590983542002498</v>
      </c>
      <c r="V9" s="5">
        <v>9</v>
      </c>
      <c r="W9" s="5">
        <v>81</v>
      </c>
      <c r="X9" s="33">
        <v>1283.5250144358147</v>
      </c>
      <c r="Y9" s="5">
        <v>65.756020074715181</v>
      </c>
      <c r="Z9" s="5">
        <v>6769.9863347104692</v>
      </c>
      <c r="AA9" s="35"/>
    </row>
    <row r="10" spans="2:27" x14ac:dyDescent="0.2">
      <c r="B10" s="4">
        <v>7</v>
      </c>
      <c r="C10" s="4">
        <v>554</v>
      </c>
      <c r="D10" s="23">
        <v>909328.89250766858</v>
      </c>
      <c r="E10" s="33">
        <v>75.509210417003487</v>
      </c>
      <c r="F10" s="5">
        <v>9</v>
      </c>
      <c r="G10" s="23">
        <v>92</v>
      </c>
      <c r="H10" s="33">
        <v>1111.6367248050967</v>
      </c>
      <c r="I10" s="23">
        <v>45.12587276119794</v>
      </c>
      <c r="J10" s="5">
        <v>6106.5856352293049</v>
      </c>
      <c r="K10" s="31"/>
      <c r="L10" s="23">
        <v>1273675.7523517129</v>
      </c>
      <c r="M10" s="33">
        <v>162.47963045899999</v>
      </c>
      <c r="N10" s="5">
        <v>11</v>
      </c>
      <c r="O10" s="5">
        <v>65</v>
      </c>
      <c r="P10" s="33">
        <v>782.49977554406041</v>
      </c>
      <c r="Q10" s="5">
        <v>24.581737880204162</v>
      </c>
      <c r="R10" s="5">
        <v>5538.9746625890784</v>
      </c>
      <c r="S10" s="31"/>
      <c r="T10" s="23">
        <v>1069039.464434837</v>
      </c>
      <c r="U10" s="33">
        <v>117.0959379159976</v>
      </c>
      <c r="V10" s="5">
        <v>10</v>
      </c>
      <c r="W10" s="5">
        <v>85</v>
      </c>
      <c r="X10" s="33">
        <v>1608.5680906458799</v>
      </c>
      <c r="Y10" s="5">
        <v>67.366267824212727</v>
      </c>
      <c r="Z10" s="5">
        <v>7103.419824099311</v>
      </c>
      <c r="AA10" s="35"/>
    </row>
    <row r="11" spans="2:27" x14ac:dyDescent="0.2">
      <c r="B11" s="4">
        <v>8</v>
      </c>
      <c r="C11" s="4">
        <v>760</v>
      </c>
      <c r="D11" s="23">
        <v>750535.91257394466</v>
      </c>
      <c r="E11" s="33">
        <v>34.224045416005538</v>
      </c>
      <c r="F11" s="5">
        <v>8</v>
      </c>
      <c r="G11" s="23">
        <v>98</v>
      </c>
      <c r="H11" s="33">
        <v>782.14368050265136</v>
      </c>
      <c r="I11" s="23">
        <v>53.75921171823569</v>
      </c>
      <c r="J11" s="5">
        <v>5772.2492211351873</v>
      </c>
      <c r="K11" s="31"/>
      <c r="L11" s="23">
        <v>1175345.481918422</v>
      </c>
      <c r="M11" s="33">
        <v>94.220196874999601</v>
      </c>
      <c r="N11" s="5">
        <v>14</v>
      </c>
      <c r="O11" s="5">
        <v>73</v>
      </c>
      <c r="P11" s="33">
        <v>523.59457510436141</v>
      </c>
      <c r="Q11" s="5">
        <v>19.936733237609889</v>
      </c>
      <c r="R11" s="5">
        <v>5146.3432586582667</v>
      </c>
      <c r="S11" s="31"/>
      <c r="T11" s="23">
        <v>1239493.31793145</v>
      </c>
      <c r="U11" s="33">
        <v>107.0398637499966</v>
      </c>
      <c r="V11" s="5">
        <v>11</v>
      </c>
      <c r="W11" s="5">
        <v>73</v>
      </c>
      <c r="X11" s="33">
        <v>1749.8251170386757</v>
      </c>
      <c r="Y11" s="5">
        <v>54.745735336070112</v>
      </c>
      <c r="Z11" s="5">
        <v>7019.752904350963</v>
      </c>
      <c r="AA11" s="35"/>
    </row>
    <row r="12" spans="2:27" x14ac:dyDescent="0.2">
      <c r="B12" s="4">
        <v>9</v>
      </c>
      <c r="C12" s="4">
        <v>794</v>
      </c>
      <c r="D12" s="23">
        <v>745383.3974441574</v>
      </c>
      <c r="E12" s="33">
        <v>65.703249209000205</v>
      </c>
      <c r="F12" s="5">
        <v>8</v>
      </c>
      <c r="G12" s="23">
        <v>98</v>
      </c>
      <c r="H12" s="33">
        <v>756.3109825666636</v>
      </c>
      <c r="I12" s="23">
        <v>54.107980357307468</v>
      </c>
      <c r="J12" s="5">
        <v>5757.2237411352016</v>
      </c>
      <c r="K12" s="31"/>
      <c r="L12" s="23">
        <v>1133929.0371875709</v>
      </c>
      <c r="M12" s="33">
        <v>121.09674479099979</v>
      </c>
      <c r="N12" s="5">
        <v>16</v>
      </c>
      <c r="O12" s="5">
        <v>78</v>
      </c>
      <c r="P12" s="33">
        <v>636.46321796174027</v>
      </c>
      <c r="Q12" s="5">
        <v>19.888021595942995</v>
      </c>
      <c r="R12" s="5">
        <v>5009.497260271396</v>
      </c>
      <c r="S12" s="31"/>
      <c r="T12" s="23">
        <v>1165904.2336866229</v>
      </c>
      <c r="U12" s="33">
        <v>87.160609833998024</v>
      </c>
      <c r="V12" s="5">
        <v>13</v>
      </c>
      <c r="W12" s="5">
        <v>90</v>
      </c>
      <c r="X12" s="33">
        <v>2330.8234396902244</v>
      </c>
      <c r="Y12" s="5">
        <v>63.152618951049362</v>
      </c>
      <c r="Z12" s="5">
        <v>7738.8983322251706</v>
      </c>
      <c r="AA12" s="35"/>
    </row>
    <row r="13" spans="2:27" x14ac:dyDescent="0.2">
      <c r="B13" s="4">
        <v>10</v>
      </c>
      <c r="C13" s="4">
        <v>818</v>
      </c>
      <c r="D13" s="23">
        <v>777591.61993974668</v>
      </c>
      <c r="E13" s="33">
        <v>54.988494083998383</v>
      </c>
      <c r="F13" s="5">
        <v>8</v>
      </c>
      <c r="G13" s="23">
        <v>98</v>
      </c>
      <c r="H13" s="33">
        <v>805.51748887228007</v>
      </c>
      <c r="I13" s="23">
        <v>53.66642155966467</v>
      </c>
      <c r="J13" s="5">
        <v>6052.404373501372</v>
      </c>
      <c r="K13" s="31"/>
      <c r="L13" s="23">
        <v>1128853.054983679</v>
      </c>
      <c r="M13" s="33">
        <v>83.93682812499992</v>
      </c>
      <c r="N13" s="5">
        <v>13</v>
      </c>
      <c r="O13" s="5">
        <v>73</v>
      </c>
      <c r="P13" s="33">
        <v>498.21756454699738</v>
      </c>
      <c r="Q13" s="5">
        <v>22.069998691456323</v>
      </c>
      <c r="R13" s="5">
        <v>4852.577661912529</v>
      </c>
      <c r="S13" s="31"/>
      <c r="T13" s="23">
        <v>1072377.2363039809</v>
      </c>
      <c r="U13" s="33">
        <v>80.552236916999391</v>
      </c>
      <c r="V13" s="5">
        <v>9</v>
      </c>
      <c r="W13" s="5">
        <v>81</v>
      </c>
      <c r="X13" s="33">
        <v>1278.8429179039406</v>
      </c>
      <c r="Y13" s="5">
        <v>64.394436049322493</v>
      </c>
      <c r="Z13" s="5">
        <v>6779.5041677545869</v>
      </c>
      <c r="AA13" s="35"/>
    </row>
    <row r="14" spans="2:27" x14ac:dyDescent="0.2">
      <c r="B14" s="46" t="s">
        <v>3</v>
      </c>
      <c r="C14" s="47"/>
      <c r="D14" s="9">
        <f>MIN(D4:D13)</f>
        <v>741819.41929463856</v>
      </c>
      <c r="E14" s="22">
        <f>INDEX(E4:E13, MATCH($D$14, D4:D13, 0))</f>
        <v>46.192470249996397</v>
      </c>
      <c r="F14" s="9">
        <f>INDEX(F4:F13, MATCH($D$14, D4:D13, 0))</f>
        <v>8</v>
      </c>
      <c r="G14" s="9">
        <f>INDEX(G4:G13, MATCH($D$14, D4:D13, 0))</f>
        <v>98</v>
      </c>
      <c r="H14" s="22">
        <f>INDEX(H4:H13, MATCH($D$14, D4:D13, 0))</f>
        <v>663.80933282133083</v>
      </c>
      <c r="I14" s="22">
        <f>INDEX(I4:I13, MATCH($D$14, D4:D13, 0))</f>
        <v>53.910977841523987</v>
      </c>
      <c r="J14" s="22">
        <f>INDEX(J4:J13, MATCH($D$14, D4:D13, 0))</f>
        <v>5793.4169580303915</v>
      </c>
      <c r="K14" s="32" t="e">
        <f>(D14-$D$15)/$D$15</f>
        <v>#DIV/0!</v>
      </c>
      <c r="L14" s="16">
        <f>MIN(L4:L13)</f>
        <v>1128853.054983679</v>
      </c>
      <c r="M14" s="21">
        <f>INDEX(M4:M13, MATCH($L$14, L4:L13, 0))</f>
        <v>83.93682812499992</v>
      </c>
      <c r="N14" s="16">
        <f>INDEX(N4:N13, MATCH($L$14, L4:L13, 0))</f>
        <v>13</v>
      </c>
      <c r="O14" s="16">
        <f>INDEX(O4:O13, MATCH($L$14, L4:L13, 0))</f>
        <v>73</v>
      </c>
      <c r="P14" s="21">
        <f>INDEX(P4:P13, MATCH($L$14, L4:L13, 0))</f>
        <v>498.21756454699738</v>
      </c>
      <c r="Q14" s="21">
        <f>INDEX(Q4:Q13, MATCH($L$14, L4:L13, 0))</f>
        <v>22.069998691456323</v>
      </c>
      <c r="R14" s="21">
        <f>INDEX(R4:R13, MATCH($L$14, L4:L13, 0))</f>
        <v>4852.577661912529</v>
      </c>
      <c r="S14" s="36" t="e">
        <f>(L14-$D$15)/$D$15</f>
        <v>#DIV/0!</v>
      </c>
      <c r="T14" s="38">
        <f>MIN(T4:T13)</f>
        <v>1069039.464434837</v>
      </c>
      <c r="U14" s="39">
        <f>INDEX(U4:U13, MATCH($T$14, T4:T13, 0))</f>
        <v>117.0959379159976</v>
      </c>
      <c r="V14" s="38">
        <f>INDEX(V4:V13, MATCH($T$14, T4:T13, 0))</f>
        <v>10</v>
      </c>
      <c r="W14" s="38">
        <f>INDEX(W4:W13, MATCH($T$14, T4:T13, 0))</f>
        <v>85</v>
      </c>
      <c r="X14" s="39">
        <f>INDEX(X4:X13, MATCH($T$14, T4:T13, 0))</f>
        <v>1608.5680906458799</v>
      </c>
      <c r="Y14" s="39">
        <f>INDEX(Y4:Y13, MATCH($T$14, T4:T13, 0))</f>
        <v>67.366267824212727</v>
      </c>
      <c r="Z14" s="39">
        <f>INDEX(Z4:Z13, MATCH($T$14, T4:T13, 0))</f>
        <v>7103.419824099311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0.52173564835637842</v>
      </c>
      <c r="M15" s="45">
        <f t="shared" ref="M15:R15" si="0">(M14-E14)/E14</f>
        <v>0.81711061717913791</v>
      </c>
      <c r="N15" s="45">
        <f t="shared" si="0"/>
        <v>0.625</v>
      </c>
      <c r="O15" s="45">
        <f t="shared" si="0"/>
        <v>-0.25510204081632654</v>
      </c>
      <c r="P15" s="45">
        <f t="shared" si="0"/>
        <v>-0.24945682455311863</v>
      </c>
      <c r="Q15" s="45">
        <f t="shared" si="0"/>
        <v>-0.59062143602119399</v>
      </c>
      <c r="R15" s="45">
        <f t="shared" si="0"/>
        <v>-0.16239799464351395</v>
      </c>
      <c r="S15"/>
      <c r="T15" s="45">
        <f>(T14-D14)/D14</f>
        <v>0.44110471717137939</v>
      </c>
      <c r="U15" s="45">
        <f t="shared" ref="U15:Z15" si="1">(U14-E14)/E14</f>
        <v>1.5349572621309797</v>
      </c>
      <c r="V15" s="45">
        <f t="shared" si="1"/>
        <v>0.25</v>
      </c>
      <c r="W15" s="45">
        <f>(W14-G14)/G14</f>
        <v>-0.1326530612244898</v>
      </c>
      <c r="X15" s="45">
        <f t="shared" si="1"/>
        <v>1.4232381364828413</v>
      </c>
      <c r="Y15" s="45">
        <f t="shared" si="1"/>
        <v>0.24958348969743668</v>
      </c>
      <c r="Z15" s="45">
        <f t="shared" si="1"/>
        <v>0.22611921005497346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2:C1048576">
    <cfRule type="duplicateValues" dxfId="55" priority="7"/>
    <cfRule type="duplicateValues" dxfId="54" priority="8"/>
  </conditionalFormatting>
  <conditionalFormatting sqref="C14">
    <cfRule type="duplicateValues" dxfId="53" priority="3"/>
    <cfRule type="duplicateValues" dxfId="52" priority="4"/>
  </conditionalFormatting>
  <conditionalFormatting sqref="C15">
    <cfRule type="duplicateValues" dxfId="51" priority="5"/>
    <cfRule type="duplicateValues" dxfId="50" priority="6"/>
  </conditionalFormatting>
  <conditionalFormatting sqref="C17:C3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results116</vt:lpstr>
      <vt:lpstr>results123</vt:lpstr>
      <vt:lpstr>results163</vt:lpstr>
      <vt:lpstr>results246</vt:lpstr>
      <vt:lpstr>results305</vt:lpstr>
      <vt:lpstr>results449</vt:lpstr>
      <vt:lpstr>results466</vt:lpstr>
      <vt:lpstr>results590</vt:lpstr>
      <vt:lpstr>results715</vt:lpstr>
      <vt:lpstr>results874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2026-10-21T19:04:36Z</dcterms:modified>
</cp:coreProperties>
</file>