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10-2-2/"/>
    </mc:Choice>
  </mc:AlternateContent>
  <xr:revisionPtr revIDLastSave="0" documentId="13_ncr:1_{4DEC15F5-FA15-6E46-B858-7B833479F1E9}" xr6:coauthVersionLast="47" xr6:coauthVersionMax="47" xr10:uidLastSave="{00000000-0000-0000-0000-000000000000}"/>
  <bookViews>
    <workbookView xWindow="0" yWindow="760" windowWidth="34560" windowHeight="20560" activeTab="1" xr2:uid="{41E620E7-D6DF-9342-B452-EA60AB3B07C5}"/>
  </bookViews>
  <sheets>
    <sheet name="Summary" sheetId="68" r:id="rId1"/>
    <sheet name="results39" sheetId="58" r:id="rId2"/>
    <sheet name="results214" sheetId="69" r:id="rId3"/>
    <sheet name="results238" sheetId="70" r:id="rId4"/>
    <sheet name="results300" sheetId="71" r:id="rId5"/>
    <sheet name="results306" sheetId="76" r:id="rId6"/>
    <sheet name="results426" sheetId="77" r:id="rId7"/>
    <sheet name="results430" sheetId="72" r:id="rId8"/>
    <sheet name="results553" sheetId="73" r:id="rId9"/>
    <sheet name="results728" sheetId="74" r:id="rId10"/>
    <sheet name="results783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J14" i="75" s="1"/>
  <c r="S14" i="74"/>
  <c r="R14" i="74"/>
  <c r="Q14" i="74"/>
  <c r="P14" i="74"/>
  <c r="L14" i="74"/>
  <c r="O14" i="74" s="1"/>
  <c r="D14" i="74"/>
  <c r="I14" i="74" s="1"/>
  <c r="S14" i="73"/>
  <c r="R14" i="73"/>
  <c r="Q14" i="73"/>
  <c r="P14" i="73"/>
  <c r="L14" i="73"/>
  <c r="O14" i="73" s="1"/>
  <c r="D14" i="73"/>
  <c r="K14" i="73" s="1"/>
  <c r="S14" i="72"/>
  <c r="R14" i="72"/>
  <c r="Q14" i="72"/>
  <c r="P14" i="72"/>
  <c r="L14" i="72"/>
  <c r="O14" i="72" s="1"/>
  <c r="D14" i="72"/>
  <c r="J14" i="72" s="1"/>
  <c r="S14" i="77"/>
  <c r="R14" i="77"/>
  <c r="Q14" i="77"/>
  <c r="P14" i="77"/>
  <c r="L14" i="77"/>
  <c r="O14" i="77" s="1"/>
  <c r="D14" i="77"/>
  <c r="J14" i="77" s="1"/>
  <c r="S14" i="76"/>
  <c r="R14" i="76"/>
  <c r="Q14" i="76"/>
  <c r="P14" i="76"/>
  <c r="L14" i="76"/>
  <c r="O14" i="76" s="1"/>
  <c r="D14" i="76"/>
  <c r="G14" i="76" s="1"/>
  <c r="R14" i="71"/>
  <c r="L14" i="71"/>
  <c r="M14" i="71" s="1"/>
  <c r="K14" i="71"/>
  <c r="D14" i="71"/>
  <c r="J14" i="71" s="1"/>
  <c r="S14" i="70"/>
  <c r="R14" i="70"/>
  <c r="Q14" i="70"/>
  <c r="P14" i="70"/>
  <c r="L14" i="70"/>
  <c r="O14" i="70" s="1"/>
  <c r="D14" i="70"/>
  <c r="E14" i="70" s="1"/>
  <c r="S14" i="69"/>
  <c r="R14" i="69"/>
  <c r="Q14" i="69"/>
  <c r="P14" i="69"/>
  <c r="N14" i="69"/>
  <c r="L14" i="69"/>
  <c r="O14" i="69" s="1"/>
  <c r="D14" i="69"/>
  <c r="K14" i="69" s="1"/>
  <c r="M14" i="58"/>
  <c r="S14" i="58"/>
  <c r="R14" i="58"/>
  <c r="Q14" i="58"/>
  <c r="P14" i="58"/>
  <c r="L14" i="58"/>
  <c r="O14" i="58" s="1"/>
  <c r="D14" i="58"/>
  <c r="H14" i="58" s="1"/>
  <c r="E14" i="75" l="1"/>
  <c r="H14" i="75"/>
  <c r="K14" i="75"/>
  <c r="F14" i="75"/>
  <c r="G14" i="75"/>
  <c r="I14" i="75"/>
  <c r="J14" i="74"/>
  <c r="E14" i="74"/>
  <c r="K14" i="74"/>
  <c r="M14" i="74"/>
  <c r="N14" i="74"/>
  <c r="F14" i="74"/>
  <c r="G14" i="74"/>
  <c r="H14" i="74"/>
  <c r="F14" i="73"/>
  <c r="G14" i="73"/>
  <c r="H14" i="73"/>
  <c r="I14" i="73"/>
  <c r="J14" i="73"/>
  <c r="E14" i="73"/>
  <c r="M14" i="73"/>
  <c r="N14" i="73"/>
  <c r="F14" i="72"/>
  <c r="G14" i="72"/>
  <c r="H14" i="72"/>
  <c r="I14" i="72"/>
  <c r="M14" i="72"/>
  <c r="K14" i="72"/>
  <c r="N14" i="72"/>
  <c r="E14" i="72"/>
  <c r="E14" i="77"/>
  <c r="K14" i="77"/>
  <c r="M14" i="77"/>
  <c r="H14" i="77"/>
  <c r="N14" i="77"/>
  <c r="F14" i="77"/>
  <c r="G14" i="77"/>
  <c r="I14" i="77"/>
  <c r="E14" i="76"/>
  <c r="K14" i="76"/>
  <c r="M14" i="76"/>
  <c r="H14" i="76"/>
  <c r="I14" i="76"/>
  <c r="J14" i="76"/>
  <c r="N14" i="76"/>
  <c r="F14" i="76"/>
  <c r="N14" i="71"/>
  <c r="S14" i="71"/>
  <c r="O14" i="71"/>
  <c r="P14" i="71"/>
  <c r="E14" i="71"/>
  <c r="Q14" i="71"/>
  <c r="F14" i="71"/>
  <c r="G14" i="71"/>
  <c r="H14" i="71"/>
  <c r="I14" i="71"/>
  <c r="F14" i="70"/>
  <c r="I14" i="70"/>
  <c r="J14" i="70"/>
  <c r="M14" i="70"/>
  <c r="G14" i="70"/>
  <c r="H14" i="70"/>
  <c r="K14" i="70"/>
  <c r="N14" i="70"/>
  <c r="G14" i="69"/>
  <c r="H14" i="69"/>
  <c r="E14" i="69"/>
  <c r="F14" i="69"/>
  <c r="I14" i="69"/>
  <c r="J14" i="69"/>
  <c r="M14" i="69"/>
  <c r="F14" i="58"/>
  <c r="K14" i="58"/>
  <c r="E14" i="58"/>
  <c r="J14" i="58"/>
  <c r="I14" i="58"/>
  <c r="N14" i="58"/>
  <c r="G14" i="58"/>
  <c r="H12" i="68" a="1"/>
  <c r="D3" i="68" a="1"/>
  <c r="H6" i="68" a="1"/>
  <c r="H5" i="68" a="1"/>
  <c r="H3" i="68" a="1"/>
  <c r="D7" i="68" a="1"/>
  <c r="I9" i="68" a="1"/>
  <c r="D10" i="68" a="1"/>
  <c r="I4" i="68" a="1"/>
  <c r="G10" i="68" a="1"/>
  <c r="F10" i="68" a="1"/>
  <c r="C9" i="68" a="1"/>
  <c r="F7" i="68" a="1"/>
  <c r="C6" i="68" a="1"/>
  <c r="D9" i="68" a="1"/>
  <c r="H11" i="68" a="1"/>
  <c r="F9" i="68" a="1"/>
  <c r="E5" i="68" a="1"/>
  <c r="C5" i="68" a="1"/>
  <c r="G9" i="68" a="1"/>
  <c r="C11" i="68" a="1"/>
  <c r="F12" i="68" a="1"/>
  <c r="E11" i="68" a="1"/>
  <c r="D8" i="68" a="1"/>
  <c r="H8" i="68" a="1"/>
  <c r="C7" i="68" a="1"/>
  <c r="I6" i="68" a="1"/>
  <c r="D5" i="68" a="1"/>
  <c r="H4" i="68" a="1"/>
  <c r="C12" i="68" a="1"/>
  <c r="E3" i="68" a="1"/>
  <c r="E6" i="68" a="1"/>
  <c r="G7" i="68" a="1"/>
  <c r="G4" i="68" a="1"/>
  <c r="I5" i="68" a="1"/>
  <c r="I12" i="68" a="1"/>
  <c r="F6" i="68" a="1"/>
  <c r="G8" i="68" a="1"/>
  <c r="E12" i="68" a="1"/>
  <c r="I3" i="68" a="1"/>
  <c r="G12" i="68" a="1"/>
  <c r="C10" i="68" a="1"/>
  <c r="E10" i="68" a="1"/>
  <c r="G5" i="68" a="1"/>
  <c r="G3" i="68" a="1"/>
  <c r="C8" i="68" a="1"/>
  <c r="I10" i="68" a="1"/>
  <c r="H7" i="68" a="1"/>
  <c r="F11" i="68" a="1"/>
  <c r="I8" i="68" a="1"/>
  <c r="F4" i="68" a="1"/>
  <c r="E7" i="68" a="1"/>
  <c r="H10" i="68" a="1"/>
  <c r="I11" i="68" a="1"/>
  <c r="C3" i="68" a="1"/>
  <c r="E4" i="68" a="1"/>
  <c r="G11" i="68" a="1"/>
  <c r="D4" i="68" a="1"/>
  <c r="D11" i="68" a="1"/>
  <c r="E9" i="68" a="1"/>
  <c r="F5" i="68" a="1"/>
  <c r="G6" i="68" a="1"/>
  <c r="H9" i="68" a="1"/>
  <c r="I7" i="68" a="1"/>
  <c r="D6" i="68" a="1"/>
  <c r="F8" i="68" a="1"/>
  <c r="F3" i="68" a="1"/>
  <c r="C4" i="68" a="1"/>
  <c r="E8" i="68" a="1"/>
  <c r="D12" i="68" a="1"/>
  <c r="D5" i="68" l="1"/>
  <c r="D10" i="68"/>
  <c r="E10" i="68"/>
  <c r="H8" i="68"/>
  <c r="I9" i="68"/>
  <c r="E8" i="68"/>
  <c r="I12" i="68"/>
  <c r="F8" i="68"/>
  <c r="H10" i="68"/>
  <c r="I7" i="68"/>
  <c r="E3" i="68"/>
  <c r="F10" i="68"/>
  <c r="H7" i="68"/>
  <c r="C8" i="68"/>
  <c r="C10" i="68"/>
  <c r="D8" i="68"/>
  <c r="D7" i="68"/>
  <c r="F6" i="68"/>
  <c r="E5" i="68"/>
  <c r="G4" i="68"/>
  <c r="D9" i="68"/>
  <c r="F4" i="68"/>
  <c r="I8" i="68"/>
  <c r="H4" i="68"/>
  <c r="I4" i="68"/>
  <c r="C7" i="68"/>
  <c r="G12" i="68"/>
  <c r="E11" i="68"/>
  <c r="H3" i="68"/>
  <c r="C5" i="68"/>
  <c r="F3" i="68"/>
  <c r="I11" i="68"/>
  <c r="E7" i="68"/>
  <c r="F7" i="68"/>
  <c r="C9" i="68"/>
  <c r="F11" i="68"/>
  <c r="I10" i="68"/>
  <c r="G3" i="68"/>
  <c r="I3" i="68"/>
  <c r="F12" i="68"/>
  <c r="H5" i="68"/>
  <c r="E4" i="68"/>
  <c r="I5" i="68"/>
  <c r="H11" i="68"/>
  <c r="E6" i="68"/>
  <c r="H9" i="68"/>
  <c r="C12" i="68"/>
  <c r="G10" i="68"/>
  <c r="I6" i="68"/>
  <c r="G5" i="68"/>
  <c r="E12" i="68"/>
  <c r="C11" i="68"/>
  <c r="H6" i="68"/>
  <c r="C4" i="68"/>
  <c r="F9" i="68"/>
  <c r="D6" i="68"/>
  <c r="C6" i="68"/>
  <c r="G6" i="68"/>
  <c r="E9" i="68"/>
  <c r="D11" i="68"/>
  <c r="D4" i="68"/>
  <c r="G11" i="68"/>
  <c r="G8" i="68"/>
  <c r="G9" i="68"/>
  <c r="D3" i="68"/>
  <c r="H12" i="68"/>
  <c r="C3" i="68"/>
  <c r="G7" i="68"/>
  <c r="D12" i="68"/>
  <c r="F5" i="68"/>
  <c r="P3" i="68" a="1"/>
  <c r="Q3" i="68" a="1"/>
  <c r="C15" i="68" l="1"/>
  <c r="T14" i="75"/>
  <c r="W14" i="75" s="1"/>
  <c r="T14" i="74"/>
  <c r="T14" i="73"/>
  <c r="T14" i="72"/>
  <c r="T14" i="77"/>
  <c r="T14" i="76"/>
  <c r="T14" i="71"/>
  <c r="T14" i="70"/>
  <c r="T14" i="69"/>
  <c r="T14" i="58"/>
  <c r="AA14" i="75"/>
  <c r="U14" i="75"/>
  <c r="Z14" i="75"/>
  <c r="L14" i="75"/>
  <c r="AA14" i="74"/>
  <c r="V14" i="74"/>
  <c r="Z14" i="74"/>
  <c r="U14" i="74"/>
  <c r="Y14" i="74"/>
  <c r="W14" i="74"/>
  <c r="X14" i="74"/>
  <c r="AA14" i="73"/>
  <c r="Z14" i="73"/>
  <c r="Y14" i="73"/>
  <c r="X14" i="73"/>
  <c r="W14" i="73"/>
  <c r="U14" i="73"/>
  <c r="V14" i="73"/>
  <c r="AA14" i="72"/>
  <c r="Z14" i="72"/>
  <c r="W14" i="72"/>
  <c r="V14" i="72"/>
  <c r="U14" i="72"/>
  <c r="Y14" i="72"/>
  <c r="X14" i="72"/>
  <c r="AA14" i="77"/>
  <c r="W14" i="77"/>
  <c r="Z14" i="77"/>
  <c r="U14" i="77"/>
  <c r="Y14" i="77"/>
  <c r="V14" i="77"/>
  <c r="X14" i="77"/>
  <c r="AA14" i="76"/>
  <c r="Z14" i="76"/>
  <c r="W14" i="76"/>
  <c r="Y14" i="76"/>
  <c r="V14" i="76"/>
  <c r="U14" i="76"/>
  <c r="X14" i="76"/>
  <c r="AA14" i="71"/>
  <c r="Z14" i="71"/>
  <c r="Y14" i="71"/>
  <c r="X14" i="71"/>
  <c r="V14" i="71"/>
  <c r="U14" i="71"/>
  <c r="W14" i="71"/>
  <c r="AA14" i="70"/>
  <c r="V14" i="70"/>
  <c r="Z14" i="70"/>
  <c r="W14" i="70"/>
  <c r="U14" i="70"/>
  <c r="Y14" i="70"/>
  <c r="X14" i="70"/>
  <c r="AA14" i="69"/>
  <c r="V14" i="69"/>
  <c r="Z14" i="69"/>
  <c r="Y14" i="69"/>
  <c r="W14" i="69"/>
  <c r="X14" i="69"/>
  <c r="U14" i="69"/>
  <c r="AA14" i="58"/>
  <c r="V14" i="58"/>
  <c r="Z14" i="58"/>
  <c r="Z2" i="58" s="1"/>
  <c r="W14" i="58"/>
  <c r="Y14" i="58"/>
  <c r="U14" i="58"/>
  <c r="X14" i="58"/>
  <c r="P2" i="58"/>
  <c r="C13" i="68"/>
  <c r="J13" i="68" s="1"/>
  <c r="G13" i="68"/>
  <c r="F13" i="68"/>
  <c r="H13" i="68"/>
  <c r="E13" i="68"/>
  <c r="I13" i="68"/>
  <c r="D13" i="68"/>
  <c r="Q3" i="68"/>
  <c r="P3" i="68"/>
  <c r="R2" i="58"/>
  <c r="V3" i="68" a="1"/>
  <c r="S8" i="68" a="1"/>
  <c r="T8" i="68" a="1"/>
  <c r="U6" i="68" a="1"/>
  <c r="N5" i="68" a="1"/>
  <c r="O5" i="68" a="1"/>
  <c r="N4" i="68" a="1"/>
  <c r="S4" i="68" a="1"/>
  <c r="Y5" i="68" a="1"/>
  <c r="O12" i="68" a="1"/>
  <c r="S9" i="68" a="1"/>
  <c r="Q7" i="68" a="1"/>
  <c r="S10" i="68" a="1"/>
  <c r="T11" i="68" a="1"/>
  <c r="Y11" i="68" a="1"/>
  <c r="O9" i="68" a="1"/>
  <c r="S3" i="68" a="1"/>
  <c r="S7" i="68" a="1"/>
  <c r="U4" i="68" a="1"/>
  <c r="Y8" i="68" a="1"/>
  <c r="P7" i="68" a="1"/>
  <c r="V7" i="68" a="1"/>
  <c r="Y6" i="68" a="1"/>
  <c r="Q10" i="68" a="1"/>
  <c r="T6" i="68" a="1"/>
  <c r="Y12" i="68" a="1"/>
  <c r="W5" i="68" a="1"/>
  <c r="T3" i="68" a="1"/>
  <c r="N12" i="68" a="1"/>
  <c r="K12" i="68" a="1"/>
  <c r="N8" i="68" a="1"/>
  <c r="U5" i="68" a="1"/>
  <c r="K6" i="68" a="1"/>
  <c r="U8" i="68" a="1"/>
  <c r="Q5" i="68" a="1"/>
  <c r="K11" i="68" a="1"/>
  <c r="S11" i="68" a="1"/>
  <c r="V12" i="68" a="1"/>
  <c r="X9" i="68" a="1"/>
  <c r="U10" i="68" a="1"/>
  <c r="S5" i="68" a="1"/>
  <c r="T7" i="68" a="1"/>
  <c r="L9" i="68" a="1"/>
  <c r="U12" i="68" a="1"/>
  <c r="O10" i="68" a="1"/>
  <c r="K7" i="68" a="1"/>
  <c r="N3" i="68" a="1"/>
  <c r="K9" i="68" a="1"/>
  <c r="P6" i="68" a="1"/>
  <c r="Q12" i="68" a="1"/>
  <c r="Y4" i="68" a="1"/>
  <c r="Y3" i="68" a="1"/>
  <c r="O7" i="68" a="1"/>
  <c r="T5" i="68" a="1"/>
  <c r="N10" i="68" a="1"/>
  <c r="W3" i="68" a="1"/>
  <c r="W10" i="68" a="1"/>
  <c r="V11" i="68" a="1"/>
  <c r="T12" i="68" a="1"/>
  <c r="W9" i="68" a="1"/>
  <c r="P10" i="68" a="1"/>
  <c r="Y9" i="68" a="1"/>
  <c r="N6" i="68" a="1"/>
  <c r="U9" i="68" a="1"/>
  <c r="T10" i="68" a="1"/>
  <c r="N9" i="68" a="1"/>
  <c r="V10" i="68" a="1"/>
  <c r="L5" i="68" a="1"/>
  <c r="V4" i="68" a="1"/>
  <c r="V9" i="68" a="1"/>
  <c r="W6" i="68" a="1"/>
  <c r="S12" i="68" a="1"/>
  <c r="N7" i="68" a="1"/>
  <c r="Y7" i="68" a="1"/>
  <c r="P5" i="68" a="1"/>
  <c r="K4" i="68" a="1"/>
  <c r="X3" i="68" a="1"/>
  <c r="X6" i="68" a="1"/>
  <c r="U3" i="68" a="1"/>
  <c r="W7" i="68" a="1"/>
  <c r="X10" i="68" a="1"/>
  <c r="T4" i="68" a="1"/>
  <c r="V6" i="68" a="1"/>
  <c r="W8" i="68" a="1"/>
  <c r="Q9" i="68" a="1"/>
  <c r="V5" i="68" a="1"/>
  <c r="M8" i="68" a="1"/>
  <c r="P9" i="68" a="1"/>
  <c r="L10" i="68" a="1"/>
  <c r="P12" i="68" a="1"/>
  <c r="L6" i="68" a="1"/>
  <c r="O3" i="68" a="1"/>
  <c r="M12" i="68" a="1"/>
  <c r="M9" i="68" a="1"/>
  <c r="X7" i="68" a="1"/>
  <c r="K8" i="68" a="1"/>
  <c r="M10" i="68" a="1"/>
  <c r="P8" i="68" a="1"/>
  <c r="W4" i="68" a="1"/>
  <c r="W12" i="68" a="1"/>
  <c r="X4" i="68" a="1"/>
  <c r="M3" i="68" a="1"/>
  <c r="Y10" i="68" a="1"/>
  <c r="U7" i="68" a="1"/>
  <c r="K10" i="68" a="1"/>
  <c r="Q6" i="68" a="1"/>
  <c r="X5" i="68" a="1"/>
  <c r="M6" i="68" a="1"/>
  <c r="K3" i="68" a="1"/>
  <c r="O6" i="68" a="1"/>
  <c r="V8" i="68" a="1"/>
  <c r="L3" i="68" a="1"/>
  <c r="L12" i="68" a="1"/>
  <c r="M5" i="68" a="1"/>
  <c r="X12" i="68" a="1"/>
  <c r="X8" i="68" a="1"/>
  <c r="K5" i="68" a="1"/>
  <c r="T9" i="68" a="1"/>
  <c r="S6" i="68" a="1"/>
  <c r="X14" i="75" l="1"/>
  <c r="V14" i="75"/>
  <c r="Y14" i="75"/>
  <c r="O14" i="75"/>
  <c r="Q14" i="75"/>
  <c r="N14" i="75"/>
  <c r="M14" i="75"/>
  <c r="R14" i="75"/>
  <c r="Z2" i="75" s="1"/>
  <c r="S14" i="75"/>
  <c r="J2" i="75" s="1"/>
  <c r="P14" i="75"/>
  <c r="P2" i="75" s="1"/>
  <c r="P2" i="69"/>
  <c r="S3" i="68"/>
  <c r="N3" i="68"/>
  <c r="M3" i="68"/>
  <c r="Y3" i="68"/>
  <c r="X3" i="68"/>
  <c r="X2" i="58"/>
  <c r="V3" i="68"/>
  <c r="W3" i="68"/>
  <c r="T3" i="68"/>
  <c r="K3" i="68"/>
  <c r="U3" i="68"/>
  <c r="O3" i="68"/>
  <c r="L3" i="68"/>
  <c r="M9" i="68"/>
  <c r="V10" i="68"/>
  <c r="P9" i="68"/>
  <c r="T10" i="68"/>
  <c r="S11" i="68"/>
  <c r="O12" i="68"/>
  <c r="W5" i="68"/>
  <c r="O6" i="68"/>
  <c r="U7" i="68"/>
  <c r="X4" i="68"/>
  <c r="K7" i="68"/>
  <c r="K8" i="68"/>
  <c r="V4" i="68"/>
  <c r="Q7" i="68"/>
  <c r="M8" i="68"/>
  <c r="U9" i="68"/>
  <c r="K11" i="68"/>
  <c r="Y5" i="68"/>
  <c r="M6" i="68"/>
  <c r="K5" i="68"/>
  <c r="Y4" i="68"/>
  <c r="P7" i="68"/>
  <c r="P8" i="68"/>
  <c r="L9" i="68"/>
  <c r="T11" i="68"/>
  <c r="X9" i="68"/>
  <c r="V5" i="68"/>
  <c r="N6" i="68"/>
  <c r="Q5" i="68"/>
  <c r="S4" i="68"/>
  <c r="X6" i="68"/>
  <c r="M5" i="68"/>
  <c r="S6" i="68"/>
  <c r="P6" i="68"/>
  <c r="S7" i="68"/>
  <c r="O9" i="68"/>
  <c r="S5" i="68"/>
  <c r="L6" i="68"/>
  <c r="Q9" i="68"/>
  <c r="Y9" i="68"/>
  <c r="U8" i="68"/>
  <c r="N4" i="68"/>
  <c r="N10" i="68"/>
  <c r="Q6" i="68"/>
  <c r="P5" i="68"/>
  <c r="W12" i="68"/>
  <c r="N7" i="68"/>
  <c r="W6" i="68"/>
  <c r="M12" i="68"/>
  <c r="S9" i="68"/>
  <c r="W8" i="68"/>
  <c r="P10" i="68"/>
  <c r="K6" i="68"/>
  <c r="O5" i="68"/>
  <c r="Y12" i="68"/>
  <c r="O7" i="68"/>
  <c r="Y6" i="68"/>
  <c r="Y8" i="68"/>
  <c r="O10" i="68"/>
  <c r="X7" i="68"/>
  <c r="L5" i="68"/>
  <c r="V12" i="68"/>
  <c r="V6" i="68"/>
  <c r="W9" i="68"/>
  <c r="U5" i="68"/>
  <c r="N5" i="68"/>
  <c r="X12" i="68"/>
  <c r="T6" i="68"/>
  <c r="Y10" i="68"/>
  <c r="K9" i="68"/>
  <c r="L12" i="68"/>
  <c r="V9" i="68"/>
  <c r="S10" i="68"/>
  <c r="N9" i="68"/>
  <c r="T4" i="68"/>
  <c r="T12" i="68"/>
  <c r="N8" i="68"/>
  <c r="U6" i="68"/>
  <c r="T9" i="68"/>
  <c r="K4" i="68"/>
  <c r="Q12" i="68"/>
  <c r="X8" i="68"/>
  <c r="M10" i="68"/>
  <c r="T7" i="68"/>
  <c r="U10" i="68"/>
  <c r="P12" i="68"/>
  <c r="X10" i="68"/>
  <c r="V11" i="68"/>
  <c r="K12" i="68"/>
  <c r="T8" i="68"/>
  <c r="T5" i="68"/>
  <c r="K10" i="68"/>
  <c r="Y7" i="68"/>
  <c r="U4" i="68"/>
  <c r="U12" i="68"/>
  <c r="Y11" i="68"/>
  <c r="V8" i="68"/>
  <c r="L10" i="68"/>
  <c r="W7" i="68"/>
  <c r="W10" i="68"/>
  <c r="N12" i="68"/>
  <c r="S8" i="68"/>
  <c r="X5" i="68"/>
  <c r="Q10" i="68"/>
  <c r="V7" i="68"/>
  <c r="W4" i="68"/>
  <c r="S12" i="68"/>
  <c r="H2" i="73"/>
  <c r="P2" i="77"/>
  <c r="H2" i="75"/>
  <c r="X2" i="70"/>
  <c r="P2" i="71"/>
  <c r="J2" i="76"/>
  <c r="J2" i="72"/>
  <c r="R2" i="76"/>
  <c r="Z2" i="70"/>
  <c r="J2" i="70"/>
  <c r="Z2" i="69"/>
  <c r="H2" i="76"/>
  <c r="H2" i="72"/>
  <c r="R2" i="69"/>
  <c r="R2" i="70"/>
  <c r="H2" i="71"/>
  <c r="P2" i="73"/>
  <c r="R2" i="73"/>
  <c r="Z2" i="73"/>
  <c r="R2" i="71"/>
  <c r="H2" i="70"/>
  <c r="X2" i="77"/>
  <c r="X2" i="71"/>
  <c r="X2" i="72"/>
  <c r="H2" i="74"/>
  <c r="J2" i="71"/>
  <c r="P2" i="70"/>
  <c r="Z2" i="77"/>
  <c r="P2" i="76"/>
  <c r="Z2" i="71"/>
  <c r="Z2" i="72"/>
  <c r="H2" i="69"/>
  <c r="P2" i="74"/>
  <c r="X2" i="73"/>
  <c r="Z2" i="74"/>
  <c r="J2" i="73"/>
  <c r="J2" i="69"/>
  <c r="R2" i="77"/>
  <c r="H2" i="77"/>
  <c r="J2" i="77"/>
  <c r="J2" i="74"/>
  <c r="Z2" i="76"/>
  <c r="P2" i="72"/>
  <c r="X2" i="76"/>
  <c r="X2" i="74"/>
  <c r="R2" i="74"/>
  <c r="R2" i="72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Q8" i="68" a="1"/>
  <c r="L8" i="68" a="1"/>
  <c r="O4" i="68" a="1"/>
  <c r="L4" i="68" a="1"/>
  <c r="W11" i="68" a="1"/>
  <c r="L7" i="68" a="1"/>
  <c r="U11" i="68" a="1"/>
  <c r="M7" i="68" a="1"/>
  <c r="X11" i="68" a="1"/>
  <c r="P4" i="68" a="1"/>
  <c r="N11" i="68" a="1"/>
  <c r="P11" i="68" a="1"/>
  <c r="Q11" i="68" a="1"/>
  <c r="Q4" i="68" a="1"/>
  <c r="M11" i="68" a="1"/>
  <c r="M4" i="68" a="1"/>
  <c r="L11" i="68" a="1"/>
  <c r="O11" i="68" a="1"/>
  <c r="O8" i="68" a="1"/>
  <c r="S15" i="68" l="1"/>
  <c r="K15" i="68"/>
  <c r="W11" i="68"/>
  <c r="W13" i="68" s="1"/>
  <c r="X11" i="68"/>
  <c r="U11" i="68"/>
  <c r="U13" i="68" s="1"/>
  <c r="S13" i="68"/>
  <c r="T13" i="68"/>
  <c r="Y13" i="68"/>
  <c r="V13" i="68"/>
  <c r="X13" i="68"/>
  <c r="R2" i="75"/>
  <c r="O11" i="68"/>
  <c r="L11" i="68"/>
  <c r="M11" i="68"/>
  <c r="Q11" i="68"/>
  <c r="P11" i="68"/>
  <c r="N11" i="68"/>
  <c r="N13" i="68" s="1"/>
  <c r="X2" i="75"/>
  <c r="Q8" i="68"/>
  <c r="O8" i="68"/>
  <c r="L8" i="68"/>
  <c r="M7" i="68"/>
  <c r="L7" i="68"/>
  <c r="M4" i="68"/>
  <c r="Q4" i="68"/>
  <c r="L4" i="68"/>
  <c r="O4" i="68"/>
  <c r="P4" i="68"/>
  <c r="X2" i="69"/>
  <c r="K13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Z13" i="68" l="1"/>
  <c r="P13" i="68"/>
  <c r="O13" i="68"/>
  <c r="Q13" i="68"/>
  <c r="L13" i="68"/>
  <c r="M13" i="68"/>
  <c r="R13" i="68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D7" i="23" a="1"/>
  <c r="E5" i="23" a="1"/>
  <c r="D11" i="23" a="1"/>
  <c r="G12" i="23" a="1"/>
  <c r="G9" i="23" a="1"/>
  <c r="E9" i="23" a="1"/>
  <c r="E6" i="23" a="1"/>
  <c r="D8" i="23" a="1"/>
  <c r="D4" i="23" a="1"/>
  <c r="D13" i="23" a="1"/>
  <c r="G6" i="23" a="1"/>
  <c r="G13" i="23" a="1"/>
  <c r="F13" i="23" a="1"/>
  <c r="G7" i="23" a="1"/>
  <c r="E7" i="23" a="1"/>
  <c r="G4" i="23" a="1"/>
  <c r="F10" i="23" a="1"/>
  <c r="E11" i="23" a="1"/>
  <c r="E4" i="23" a="1"/>
  <c r="F11" i="23" a="1"/>
  <c r="G5" i="23" a="1"/>
  <c r="D12" i="23" a="1"/>
  <c r="D6" i="23" a="1"/>
  <c r="F6" i="23" a="1"/>
  <c r="G10" i="23" a="1"/>
  <c r="F9" i="23" a="1"/>
  <c r="G11" i="23" a="1"/>
  <c r="F5" i="23" a="1"/>
  <c r="E12" i="23" a="1"/>
  <c r="E10" i="23" a="1"/>
  <c r="G8" i="23" a="1"/>
  <c r="F12" i="23" a="1"/>
  <c r="D10" i="23" a="1"/>
  <c r="F4" i="23" a="1"/>
  <c r="D5" i="23" a="1"/>
  <c r="E8" i="23" a="1"/>
  <c r="D9" i="23" a="1"/>
  <c r="F8" i="23" a="1"/>
  <c r="F7" i="23" a="1"/>
  <c r="E13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<sst xmlns="http://schemas.openxmlformats.org/spreadsheetml/2006/main" count="670" uniqueCount="21">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</sst>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1:Z15"/>
  <sheetViews>
    <sheetView zoomScale="85" zoomScaleNormal="85" workbookViewId="0">
      <selection activeCell="S2" sqref="S2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17</v>
      </c>
      <c r="K1" t="s">
        <v>19</v>
      </c>
      <c r="S1" t="s">
        <v>18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39</v>
      </c>
      <c r="C3" s="5" cm="1">
        <f t="array" aca="1" ref="C3" ca="1">INDIRECT("'results" &amp; $B3 &amp; "'!D$14")</f>
        <v>31311.151091069481</v>
      </c>
      <c r="D3" s="33" cm="1">
        <f t="array" aca="1" ref="D3" ca="1">INDIRECT("'results" &amp; $B3 &amp; "'!E$14")</f>
        <v>4.6274457999970757E-2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90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14.888298331143236</v>
      </c>
      <c r="I3" s="5" cm="1">
        <f t="array" aca="1" ref="I3" ca="1">INDIRECT("'results" &amp; $B3 &amp; "'!J$14")</f>
        <v>1038.6774334332017</v>
      </c>
      <c r="J3" s="5"/>
      <c r="K3" s="5" cm="1">
        <f t="array" aca="1" ref="K3" ca="1">INDIRECT("'results" &amp; $B3 &amp; "'!L$14")</f>
        <v>34862.388120325981</v>
      </c>
      <c r="L3" s="5" cm="1">
        <f t="array" aca="1" ref="L3" ca="1">INDIRECT("'results" &amp; $B3 &amp; "'!M$14")</f>
        <v>3.9998416003072627E-2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80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11.133357619680783</v>
      </c>
      <c r="Q3" s="5" cm="1">
        <f t="array" aca="1" ref="Q3" ca="1">INDIRECT("'results" &amp; $B3 &amp; "'!R$14")</f>
        <v>880.04797206743456</v>
      </c>
      <c r="R3" s="5"/>
      <c r="S3" s="5" cm="1">
        <f t="array" aca="1" ref="S3" ca="1">INDIRECT("'results" &amp; $B3 &amp; "'!T$14")</f>
        <v>33221.833647106687</v>
      </c>
      <c r="T3" s="5" cm="1">
        <f t="array" aca="1" ref="T3" ca="1">INDIRECT("'results" &amp; $B3 &amp; "'!U$14")</f>
        <v>4.4075207999412669E-2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90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27.868969755429312</v>
      </c>
      <c r="Y3" s="5" cm="1">
        <f t="array" aca="1" ref="Y3" ca="1">INDIRECT("'results" &amp; $B3 &amp; "'!Z$14")</f>
        <v>1536.4647964205021</v>
      </c>
      <c r="Z3" s="5"/>
    </row>
    <row r="4" spans="2:26" x14ac:dyDescent="0.2">
      <c r="B4" s="4">
        <v>214</v>
      </c>
      <c r="C4" s="5" cm="1">
        <f t="array" aca="1" ref="C4" ca="1">INDIRECT("'results" &amp; $B4 &amp; "'!D$14")</f>
        <v>37238.625256724103</v>
      </c>
      <c r="D4" s="33" cm="1">
        <f t="array" aca="1" ref="D4" ca="1">INDIRECT("'results" &amp; $B4 &amp; "'!E$14")</f>
        <v>5.0597334000030969E-2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90</v>
      </c>
      <c r="G4" s="5" cm="1">
        <f t="array" aca="1" ref="G4" ca="1">INDIRECT("'results" &amp; $B4 &amp; "'!H$14")</f>
        <v>107.74864228395739</v>
      </c>
      <c r="H4" s="33" cm="1">
        <f t="array" aca="1" ref="H4" ca="1">INDIRECT("'results" &amp; $B4 &amp; "'!I$14")</f>
        <v>19.629370357093762</v>
      </c>
      <c r="I4" s="5" cm="1">
        <f t="array" aca="1" ref="I4" ca="1">INDIRECT("'results" &amp; $B4 &amp; "'!J$14")</f>
        <v>1580.9462713284502</v>
      </c>
      <c r="J4" s="5"/>
      <c r="K4" s="5" cm="1">
        <f t="array" aca="1" ref="K4" ca="1">INDIRECT("'results" &amp; $B4 &amp; "'!L$14")</f>
        <v>39202.534728084232</v>
      </c>
      <c r="L4" s="5" cm="1">
        <f t="array" aca="1" ref="L4" ca="1">INDIRECT("'results" &amp; $B4 &amp; "'!M$14")</f>
        <v>5.2038624999113381E-2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80</v>
      </c>
      <c r="O4" s="5" cm="1">
        <f t="array" aca="1" ref="O4" ca="1">INDIRECT("'results" &amp; $B4 &amp; "'!P$14")</f>
        <v>58.743822733682215</v>
      </c>
      <c r="P4" s="5" cm="1">
        <f t="array" aca="1" ref="P4" ca="1">INDIRECT("'results" &amp; $B4 &amp; "'!Q$14")</f>
        <v>17.160451755170229</v>
      </c>
      <c r="Q4" s="5" cm="1">
        <f t="array" aca="1" ref="Q4" ca="1">INDIRECT("'results" &amp; $B4 &amp; "'!R$14")</f>
        <v>1515.9967897556051</v>
      </c>
      <c r="R4" s="5"/>
      <c r="S4" s="5" cm="1">
        <f t="array" aca="1" ref="S4" ca="1">INDIRECT("'results" &amp; $B4 &amp; "'!T$14")</f>
        <v>42207.190034795349</v>
      </c>
      <c r="T4" s="5" cm="1">
        <f t="array" aca="1" ref="T4" ca="1">INDIRECT("'results" &amp; $B4 &amp; "'!U$14")</f>
        <v>5.0415124998835381E-2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80</v>
      </c>
      <c r="W4" s="5" cm="1">
        <f t="array" aca="1" ref="W4" ca="1">INDIRECT("'results" &amp; $B4 &amp; "'!X$14")</f>
        <v>225.25493734608449</v>
      </c>
      <c r="X4" s="5" cm="1">
        <f t="array" aca="1" ref="X4" ca="1">INDIRECT("'results" &amp; $B4 &amp; "'!Y$14")</f>
        <v>35.731942654115628</v>
      </c>
      <c r="Y4" s="5" cm="1">
        <f t="array" aca="1" ref="Y4" ca="1">INDIRECT("'results" &amp; $B4 &amp; "'!Z$14")</f>
        <v>2101.737233657052</v>
      </c>
      <c r="Z4" s="5"/>
    </row>
    <row r="5" spans="2:26" x14ac:dyDescent="0.2">
      <c r="B5" s="4">
        <v>238</v>
      </c>
      <c r="C5" s="5" cm="1">
        <f t="array" aca="1" ref="C5" ca="1">INDIRECT("'results" &amp; $B5 &amp; "'!D$14")</f>
        <v>24939.0405076553</v>
      </c>
      <c r="D5" s="33" cm="1">
        <f t="array" aca="1" ref="D5" ca="1">INDIRECT("'results" &amp; $B5 &amp; "'!E$14")</f>
        <v>4.1639249999889223E-2</v>
      </c>
      <c r="E5" s="5" cm="1">
        <f t="array" aca="1" ref="E5" ca="1">INDIRECT("'results" &amp; $B5 &amp; "'!F$14")</f>
        <v>1</v>
      </c>
      <c r="F5" s="5" cm="1">
        <f t="array" aca="1" ref="F5" ca="1">INDIRECT("'results" &amp; $B5 &amp; "'!G$14")</f>
        <v>80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26.590698262776179</v>
      </c>
      <c r="I5" s="5" cm="1">
        <f t="array" aca="1" ref="I5" ca="1">INDIRECT("'results" &amp; $B5 &amp; "'!J$14")</f>
        <v>867.36419337133805</v>
      </c>
      <c r="J5" s="5"/>
      <c r="K5" s="5" cm="1">
        <f t="array" aca="1" ref="K5" ca="1">INDIRECT("'results" &amp; $B5 &amp; "'!L$14")</f>
        <v>36911.715000306664</v>
      </c>
      <c r="L5" s="5" cm="1">
        <f t="array" aca="1" ref="L5" ca="1">INDIRECT("'results" &amp; $B5 &amp; "'!M$14")</f>
        <v>4.1266291998908862E-2</v>
      </c>
      <c r="M5" s="5" cm="1">
        <f t="array" aca="1" ref="M5" ca="1">INDIRECT("'results" &amp; $B5 &amp; "'!N$14")</f>
        <v>1</v>
      </c>
      <c r="N5" s="5" cm="1">
        <f t="array" aca="1" ref="N5" ca="1">INDIRECT("'results" &amp; $B5 &amp; "'!O$14")</f>
        <v>50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19.277597402597401</v>
      </c>
      <c r="Q5" s="5" cm="1">
        <f t="array" aca="1" ref="Q5" ca="1">INDIRECT("'results" &amp; $B5 &amp; "'!R$14")</f>
        <v>748.43562194276672</v>
      </c>
      <c r="R5" s="5"/>
      <c r="S5" s="5" cm="1">
        <f t="array" aca="1" ref="S5" ca="1">INDIRECT("'results" &amp; $B5 &amp; "'!T$14")</f>
        <v>26338.41045300895</v>
      </c>
      <c r="T5" s="5" cm="1">
        <f t="array" aca="1" ref="T5" ca="1">INDIRECT("'results" &amp; $B5 &amp; "'!U$14")</f>
        <v>5.3504709001572337E-2</v>
      </c>
      <c r="U5" s="5" cm="1">
        <f t="array" aca="1" ref="U5" ca="1">INDIRECT("'results" &amp; $B5 &amp; "'!V$14")</f>
        <v>1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0</v>
      </c>
      <c r="X5" s="5" cm="1">
        <f t="array" aca="1" ref="X5" ca="1">INDIRECT("'results" &amp; $B5 &amp; "'!Y$14")</f>
        <v>58.207129080952598</v>
      </c>
      <c r="Y5" s="5" cm="1">
        <f t="array" aca="1" ref="Y5" ca="1">INDIRECT("'results" &amp; $B5 &amp; "'!Z$14")</f>
        <v>1388.0277809479683</v>
      </c>
      <c r="Z5" s="5"/>
    </row>
    <row r="6" spans="2:26" x14ac:dyDescent="0.2">
      <c r="B6" s="4">
        <v>300</v>
      </c>
      <c r="C6" s="5" cm="1">
        <f t="array" aca="1" ref="C6" ca="1">INDIRECT("'results" &amp; $B6 &amp; "'!D$14")</f>
        <v>35458.564955876369</v>
      </c>
      <c r="D6" s="33" cm="1">
        <f t="array" aca="1" ref="D6" ca="1">INDIRECT("'results" &amp; $B6 &amp; "'!E$14")</f>
        <v>2.7048500000091739E-2</v>
      </c>
      <c r="E6" s="5" cm="1">
        <f t="array" aca="1" ref="E6" ca="1">INDIRECT("'results" &amp; $B6 &amp; "'!F$14")</f>
        <v>1</v>
      </c>
      <c r="F6" s="5" cm="1">
        <f t="array" aca="1" ref="F6" ca="1">INDIRECT("'results" &amp; $B6 &amp; "'!G$14")</f>
        <v>60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19.3425422705314</v>
      </c>
      <c r="I6" s="5" cm="1">
        <f t="array" aca="1" ref="I6" ca="1">INDIRECT("'results" &amp; $B6 &amp; "'!J$14")</f>
        <v>1115.055683699775</v>
      </c>
      <c r="J6" s="5"/>
      <c r="K6" s="5" cm="1">
        <f t="array" aca="1" ref="K6" ca="1">INDIRECT("'results" &amp; $B6 &amp; "'!L$14")</f>
        <v>38734.577953540087</v>
      </c>
      <c r="L6" s="5" cm="1">
        <f t="array" aca="1" ref="L6" ca="1">INDIRECT("'results" &amp; $B6 &amp; "'!M$14")</f>
        <v>0.1010224999990896</v>
      </c>
      <c r="M6" s="5" cm="1">
        <f t="array" aca="1" ref="M6" ca="1">INDIRECT("'results" &amp; $B6 &amp; "'!N$14")</f>
        <v>1</v>
      </c>
      <c r="N6" s="5" cm="1">
        <f t="array" aca="1" ref="N6" ca="1">INDIRECT("'results" &amp; $B6 &amp; "'!O$14")</f>
        <v>50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15.105195981554679</v>
      </c>
      <c r="Q6" s="5" cm="1">
        <f t="array" aca="1" ref="Q6" ca="1">INDIRECT("'results" &amp; $B6 &amp; "'!R$14")</f>
        <v>984.07083521492643</v>
      </c>
      <c r="R6" s="5"/>
      <c r="S6" s="5" cm="1">
        <f t="array" aca="1" ref="S6" ca="1">INDIRECT("'results" &amp; $B6 &amp; "'!T$14")</f>
        <v>38048.561439988429</v>
      </c>
      <c r="T6" s="5" cm="1">
        <f t="array" aca="1" ref="T6" ca="1">INDIRECT("'results" &amp; $B6 &amp; "'!U$14")</f>
        <v>2.2862541998620148E-2</v>
      </c>
      <c r="U6" s="5" cm="1">
        <f t="array" aca="1" ref="U6" ca="1">INDIRECT("'results" &amp; $B6 &amp; "'!V$14")</f>
        <v>1</v>
      </c>
      <c r="V6" s="5" cm="1">
        <f t="array" aca="1" ref="V6" ca="1">INDIRECT("'results" &amp; $B6 &amp; "'!W$14")</f>
        <v>60</v>
      </c>
      <c r="W6" s="5" cm="1">
        <f t="array" aca="1" ref="W6" ca="1">INDIRECT("'results" &amp; $B6 &amp; "'!X$14")</f>
        <v>63.438185107664538</v>
      </c>
      <c r="X6" s="5" cm="1">
        <f t="array" aca="1" ref="X6" ca="1">INDIRECT("'results" &amp; $B6 &amp; "'!Y$14")</f>
        <v>41.445896036810481</v>
      </c>
      <c r="Y6" s="5" cm="1">
        <f t="array" aca="1" ref="Y6" ca="1">INDIRECT("'results" &amp; $B6 &amp; "'!Z$14")</f>
        <v>1798.314555322994</v>
      </c>
      <c r="Z6" s="5"/>
    </row>
    <row r="7" spans="2:26" x14ac:dyDescent="0.2">
      <c r="B7" s="4">
        <v>306</v>
      </c>
      <c r="C7" s="5" cm="1">
        <f t="array" aca="1" ref="C7" ca="1">INDIRECT("'results" &amp; $B7 &amp; "'!D$14")</f>
        <v>36478.280036822282</v>
      </c>
      <c r="D7" s="33" cm="1">
        <f t="array" aca="1" ref="D7" ca="1">INDIRECT("'results" &amp; $B7 &amp; "'!E$14")</f>
        <v>5.1674415999968908E-2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80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15.086424262183236</v>
      </c>
      <c r="I7" s="5" cm="1">
        <f t="array" aca="1" ref="I7" ca="1">INDIRECT("'results" &amp; $B7 &amp; "'!J$14")</f>
        <v>1107.8121057873232</v>
      </c>
      <c r="J7" s="5"/>
      <c r="K7" s="5" cm="1">
        <f t="array" aca="1" ref="K7" ca="1">INDIRECT("'results" &amp; $B7 &amp; "'!L$14")</f>
        <v>36478.280036822282</v>
      </c>
      <c r="L7" s="5" cm="1">
        <f t="array" aca="1" ref="L7" ca="1">INDIRECT("'results" &amp; $B7 &amp; "'!M$14")</f>
        <v>5.6264750000991633E-2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80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15.086424262183236</v>
      </c>
      <c r="Q7" s="5" cm="1">
        <f t="array" aca="1" ref="Q7" ca="1">INDIRECT("'results" &amp; $B7 &amp; "'!R$14")</f>
        <v>1107.8121057873232</v>
      </c>
      <c r="R7" s="5"/>
      <c r="S7" s="5" cm="1">
        <f t="array" aca="1" ref="S7" ca="1">INDIRECT("'results" &amp; $B7 &amp; "'!T$14")</f>
        <v>37036.227648630411</v>
      </c>
      <c r="T7" s="5" cm="1">
        <f t="array" aca="1" ref="T7" ca="1">INDIRECT("'results" &amp; $B7 &amp; "'!U$14")</f>
        <v>4.8934500002360437E-2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80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20.803039178121509</v>
      </c>
      <c r="Y7" s="5" cm="1">
        <f t="array" aca="1" ref="Y7" ca="1">INDIRECT("'results" &amp; $B7 &amp; "'!Z$14")</f>
        <v>1306.0454213515131</v>
      </c>
      <c r="Z7" s="5"/>
    </row>
    <row r="8" spans="2:26" x14ac:dyDescent="0.2">
      <c r="B8" s="4">
        <v>430</v>
      </c>
      <c r="C8" s="5" cm="1">
        <f t="array" aca="1" ref="C8" ca="1">INDIRECT("'results" &amp; $B8 &amp; "'!D$14")</f>
        <v>31547.611761693519</v>
      </c>
      <c r="D8" s="33" cm="1">
        <f t="array" aca="1" ref="D8" ca="1">INDIRECT("'results" &amp; $B8 &amp; "'!E$14")</f>
        <v>5.7883583000148058E-2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90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10.812395354427663</v>
      </c>
      <c r="I8" s="5" cm="1">
        <f t="array" aca="1" ref="I8" ca="1">INDIRECT("'results" &amp; $B8 &amp; "'!J$14")</f>
        <v>984.51478134749721</v>
      </c>
      <c r="J8" s="5"/>
      <c r="K8" s="5" cm="1">
        <f t="array" aca="1" ref="K8" ca="1">INDIRECT("'results" &amp; $B8 &amp; "'!L$14")</f>
        <v>31547.611761693519</v>
      </c>
      <c r="L8" s="5" cm="1">
        <f t="array" aca="1" ref="L8" ca="1">INDIRECT("'results" &amp; $B8 &amp; "'!M$14")</f>
        <v>5.9971457998472033E-2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90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10.812395354427663</v>
      </c>
      <c r="Q8" s="5" cm="1">
        <f t="array" aca="1" ref="Q8" ca="1">INDIRECT("'results" &amp; $B8 &amp; "'!R$14")</f>
        <v>984.51478134749721</v>
      </c>
      <c r="R8" s="5"/>
      <c r="S8" s="5" cm="1">
        <f t="array" aca="1" ref="S8" ca="1">INDIRECT("'results" &amp; $B8 &amp; "'!T$14")</f>
        <v>32366.689611354512</v>
      </c>
      <c r="T8" s="5" cm="1">
        <f t="array" aca="1" ref="T8" ca="1">INDIRECT("'results" &amp; $B8 &amp; "'!U$14")</f>
        <v>7.0522959002119023E-2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90</v>
      </c>
      <c r="W8" s="5" cm="1">
        <f t="array" aca="1" ref="W8" ca="1">INDIRECT("'results" &amp; $B8 &amp; "'!X$14")</f>
        <v>0</v>
      </c>
      <c r="X8" s="5" cm="1">
        <f t="array" aca="1" ref="X8" ca="1">INDIRECT("'results" &amp; $B8 &amp; "'!Y$14")</f>
        <v>20.263802997188016</v>
      </c>
      <c r="Y8" s="5" cm="1">
        <f t="array" aca="1" ref="Y8" ca="1">INDIRECT("'results" &amp; $B8 &amp; "'!Z$14")</f>
        <v>1292.3454329707502</v>
      </c>
      <c r="Z8" s="5"/>
    </row>
    <row r="9" spans="2:26" x14ac:dyDescent="0.2">
      <c r="B9" s="4">
        <v>553</v>
      </c>
      <c r="C9" s="5" cm="1">
        <f t="array" aca="1" ref="C9" ca="1">INDIRECT("'results" &amp; $B9 &amp; "'!D$14")</f>
        <v>35751.253238267462</v>
      </c>
      <c r="D9" s="33" cm="1">
        <f t="array" aca="1" ref="D9" ca="1">INDIRECT("'results" &amp; $B9 &amp; "'!E$14")</f>
        <v>2.9703374999826341E-2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80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20.86494463270185</v>
      </c>
      <c r="I9" s="5" cm="1">
        <f t="array" aca="1" ref="I9" ca="1">INDIRECT("'results" &amp; $B9 &amp; "'!J$14")</f>
        <v>1279.50848356661</v>
      </c>
      <c r="J9" s="5"/>
      <c r="K9" s="5" cm="1">
        <f t="array" aca="1" ref="K9" ca="1">INDIRECT("'results" &amp; $B9 &amp; "'!L$14")</f>
        <v>35751.253238267462</v>
      </c>
      <c r="L9" s="5" cm="1">
        <f t="array" aca="1" ref="L9" ca="1">INDIRECT("'results" &amp; $B9 &amp; "'!M$14")</f>
        <v>6.4892709000559989E-2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80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20.86494463270185</v>
      </c>
      <c r="Q9" s="5" cm="1">
        <f t="array" aca="1" ref="Q9" ca="1">INDIRECT("'results" &amp; $B9 &amp; "'!R$14")</f>
        <v>1279.50848356661</v>
      </c>
      <c r="R9" s="5"/>
      <c r="S9" s="5" cm="1">
        <f t="array" aca="1" ref="S9" ca="1">INDIRECT("'results" &amp; $B9 &amp; "'!T$14")</f>
        <v>35391.76141106624</v>
      </c>
      <c r="T9" s="5" cm="1">
        <f t="array" aca="1" ref="T9" ca="1">INDIRECT("'results" &amp; $B9 &amp; "'!U$14")</f>
        <v>6.3082707998546539E-2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80</v>
      </c>
      <c r="W9" s="5" cm="1">
        <f t="array" aca="1" ref="W9" ca="1">INDIRECT("'results" &amp; $B9 &amp; "'!X$14")</f>
        <v>9.3464872830475088</v>
      </c>
      <c r="X9" s="5" cm="1">
        <f t="array" aca="1" ref="X9" ca="1">INDIRECT("'results" &amp; $B9 &amp; "'!Y$14")</f>
        <v>29.841478166494007</v>
      </c>
      <c r="Y9" s="5" cm="1">
        <f t="array" aca="1" ref="Y9" ca="1">INDIRECT("'results" &amp; $B9 &amp; "'!Z$14")</f>
        <v>1449.3984110135975</v>
      </c>
      <c r="Z9" s="5"/>
    </row>
    <row r="10" spans="2:26" x14ac:dyDescent="0.2">
      <c r="B10" s="4">
        <v>728</v>
      </c>
      <c r="C10" s="5" cm="1">
        <f t="array" aca="1" ref="C10" ca="1">INDIRECT("'results" &amp; $B10 &amp; "'!D$14")</f>
        <v>31061.09774511425</v>
      </c>
      <c r="D10" s="33" cm="1">
        <f t="array" aca="1" ref="D10" ca="1">INDIRECT("'results" &amp; $B10 &amp; "'!E$14")</f>
        <v>4.0331125000193417E-2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90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13.183244048077043</v>
      </c>
      <c r="I10" s="5" cm="1">
        <f t="array" aca="1" ref="I10" ca="1">INDIRECT("'results" &amp; $B10 &amp; "'!J$14")</f>
        <v>958.78548353669146</v>
      </c>
      <c r="J10" s="5"/>
      <c r="K10" s="5" cm="1">
        <f t="array" aca="1" ref="K10" ca="1">INDIRECT("'results" &amp; $B10 &amp; "'!L$14")</f>
        <v>34739.81972142875</v>
      </c>
      <c r="L10" s="5" cm="1">
        <f t="array" aca="1" ref="L10" ca="1">INDIRECT("'results" &amp; $B10 &amp; "'!M$14")</f>
        <v>7.0590583000011975E-2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9.6630991878573553</v>
      </c>
      <c r="Q10" s="5" cm="1">
        <f t="array" aca="1" ref="Q10" ca="1">INDIRECT("'results" &amp; $B10 &amp; "'!R$14")</f>
        <v>796.00954314276976</v>
      </c>
      <c r="R10" s="5"/>
      <c r="S10" s="5" cm="1">
        <f t="array" aca="1" ref="S10" ca="1">INDIRECT("'results" &amp; $B10 &amp; "'!T$14")</f>
        <v>32434.62438905118</v>
      </c>
      <c r="T10" s="5" cm="1">
        <f t="array" aca="1" ref="T10" ca="1">INDIRECT("'results" &amp; $B10 &amp; "'!U$14")</f>
        <v>4.3681750001269393E-2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7.1844996243205008</v>
      </c>
      <c r="X10" s="5" cm="1">
        <f t="array" aca="1" ref="X10" ca="1">INDIRECT("'results" &amp; $B10 &amp; "'!Y$14")</f>
        <v>28.050126428881097</v>
      </c>
      <c r="Y10" s="5" cm="1">
        <f t="array" aca="1" ref="Y10" ca="1">INDIRECT("'results" &amp; $B10 &amp; "'!Z$14")</f>
        <v>1399.3725847214919</v>
      </c>
      <c r="Z10" s="5"/>
    </row>
    <row r="11" spans="2:26" x14ac:dyDescent="0.2">
      <c r="B11" s="4">
        <v>783</v>
      </c>
      <c r="C11" s="5" cm="1">
        <f t="array" aca="1" ref="C11" ca="1">INDIRECT("'results" &amp; $B11 &amp; "'!D$14")</f>
        <v>35136.628870788947</v>
      </c>
      <c r="D11" s="33" cm="1">
        <f t="array" aca="1" ref="D11" ca="1">INDIRECT("'results" &amp; $B11 &amp; "'!E$14")</f>
        <v>3.4827375000077147E-2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10.529784830598903</v>
      </c>
      <c r="I11" s="5" cm="1">
        <f t="array" aca="1" ref="I11" ca="1">INDIRECT("'results" &amp; $B11 &amp; "'!J$14")</f>
        <v>1189.3345680789398</v>
      </c>
      <c r="J11" s="5"/>
      <c r="K11" s="5" cm="1">
        <f t="array" aca="1" ref="K11" ca="1">INDIRECT("'results" &amp; $B11 &amp; "'!L$14")</f>
        <v>35136.628870788947</v>
      </c>
      <c r="L11" s="5" cm="1">
        <f t="array" aca="1" ref="L11" ca="1">INDIRECT("'results" &amp; $B11 &amp; "'!M$14")</f>
        <v>3.3351166999636923E-2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90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10.529784830598903</v>
      </c>
      <c r="Q11" s="5" cm="1">
        <f t="array" aca="1" ref="Q11" ca="1">INDIRECT("'results" &amp; $B11 &amp; "'!R$14")</f>
        <v>1189.3345680789398</v>
      </c>
      <c r="R11" s="5"/>
      <c r="S11" s="5" cm="1">
        <f t="array" aca="1" ref="S11" ca="1">INDIRECT("'results" &amp; $B11 &amp; "'!T$14")</f>
        <v>38332.240756066138</v>
      </c>
      <c r="T11" s="5" cm="1">
        <f t="array" aca="1" ref="T11" ca="1">INDIRECT("'results" &amp; $B11 &amp; "'!U$14")</f>
        <v>3.3345416999509332E-2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90</v>
      </c>
      <c r="W11" s="5" cm="1">
        <f t="array" aca="1" ref="W11" ca="1">INDIRECT("'results" &amp; $B11 &amp; "'!X$14")</f>
        <v>12.3119623762286</v>
      </c>
      <c r="X11" s="5" cm="1">
        <f t="array" aca="1" ref="X11" ca="1">INDIRECT("'results" &amp; $B11 &amp; "'!Y$14")</f>
        <v>16.291683238792071</v>
      </c>
      <c r="Y11" s="5" cm="1">
        <f t="array" aca="1" ref="Y11" ca="1">INDIRECT("'results" &amp; $B11 &amp; "'!Z$14")</f>
        <v>1604.7234856381435</v>
      </c>
      <c r="Z11" s="5"/>
    </row>
    <row r="12" spans="2:26" x14ac:dyDescent="0.2">
      <c r="B12" s="4">
        <v>426</v>
      </c>
      <c r="C12" s="5" cm="1">
        <f t="array" aca="1" ref="C12" ca="1">INDIRECT("'results" &amp; $B12 &amp; "'!D$14")</f>
        <v>31368.006478364801</v>
      </c>
      <c r="D12" s="33" cm="1">
        <f t="array" aca="1" ref="D12" ca="1">INDIRECT("'results" &amp; $B12 &amp; "'!E$14")</f>
        <v>4.0148749999843858E-2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100</v>
      </c>
      <c r="G12" s="5" cm="1">
        <f t="array" aca="1" ref="G12" ca="1">INDIRECT("'results" &amp; $B12 &amp; "'!H$14")</f>
        <v>0</v>
      </c>
      <c r="H12" s="33" cm="1">
        <f t="array" aca="1" ref="H12" ca="1">INDIRECT("'results" &amp; $B12 &amp; "'!I$14")</f>
        <v>15.3792402241814</v>
      </c>
      <c r="I12" s="5" cm="1">
        <f t="array" aca="1" ref="I12" ca="1">INDIRECT("'results" &amp; $B12 &amp; "'!J$14")</f>
        <v>1307.9545749568497</v>
      </c>
      <c r="J12" s="5"/>
      <c r="K12" s="5" cm="1">
        <f t="array" aca="1" ref="K12" ca="1">INDIRECT("'results" &amp; $B12 &amp; "'!L$14")</f>
        <v>31368.006478364801</v>
      </c>
      <c r="L12" s="5" cm="1">
        <f t="array" aca="1" ref="L12" ca="1">INDIRECT("'results" &amp; $B12 &amp; "'!M$14")</f>
        <v>4.0338833001442247E-2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100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15.3792402241814</v>
      </c>
      <c r="Q12" s="5" cm="1">
        <f t="array" aca="1" ref="Q12" ca="1">INDIRECT("'results" &amp; $B12 &amp; "'!R$14")</f>
        <v>1307.9545749568497</v>
      </c>
      <c r="R12" s="5"/>
      <c r="S12" s="5" cm="1">
        <f t="array" aca="1" ref="S12" ca="1">INDIRECT("'results" &amp; $B12 &amp; "'!T$14")</f>
        <v>36482.328673121578</v>
      </c>
      <c r="T12" s="5" cm="1">
        <f t="array" aca="1" ref="T12" ca="1">INDIRECT("'results" &amp; $B12 &amp; "'!U$14")</f>
        <v>3.982095899846172E-2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90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26.671604641941475</v>
      </c>
      <c r="Y12" s="5" cm="1">
        <f t="array" aca="1" ref="Y12" ca="1">INDIRECT("'results" &amp; $B12 &amp; "'!Z$14")</f>
        <v>1701.783122619624</v>
      </c>
      <c r="Z12" s="5"/>
    </row>
    <row r="13" spans="2:26" x14ac:dyDescent="0.2">
      <c r="B13" s="8" t="s">
        <v>3</v>
      </c>
      <c r="C13" s="9">
        <f ca="1">AVERAGE(C3:C12)</f>
        <v>33029.025994237651</v>
      </c>
      <c r="D13" s="10">
        <f t="shared" ref="D13:I13" ca="1" si="0">AVERAGE(D3:D12)</f>
        <v>4.2012816600004041E-2</v>
      </c>
      <c r="E13" s="9">
        <f t="shared" ca="1" si="0"/>
        <v>1.8</v>
      </c>
      <c r="F13" s="9">
        <f t="shared" ca="1" si="0"/>
        <v>85</v>
      </c>
      <c r="G13" s="9">
        <f t="shared" ca="1" si="0"/>
        <v>10.774864228395739</v>
      </c>
      <c r="H13" s="10">
        <f t="shared" ca="1" si="0"/>
        <v>16.630694257371466</v>
      </c>
      <c r="I13" s="9">
        <f t="shared" ca="1" si="0"/>
        <v>1142.9953579106677</v>
      </c>
      <c r="J13" s="32" t="e">
        <f ca="1">(C13-$D$15)/$D$15</f>
        <v>#DIV/0!</v>
      </c>
      <c r="K13" s="16">
        <f ca="1">AVERAGE(K3:K12)</f>
        <v>35473.281590962273</v>
      </c>
      <c r="L13" s="41">
        <f t="shared" ref="L13:Q13" ca="1" si="1">AVERAGE(L3:L12)</f>
        <v>5.5973533300129927E-2</v>
      </c>
      <c r="M13" s="16">
        <f t="shared" ca="1" si="1"/>
        <v>1.8</v>
      </c>
      <c r="N13" s="16">
        <f ca="1">AVERAGE(N3:N12)</f>
        <v>78</v>
      </c>
      <c r="O13" s="16">
        <f t="shared" ca="1" si="1"/>
        <v>5.8743822733682212</v>
      </c>
      <c r="P13" s="41">
        <f t="shared" ca="1" si="1"/>
        <v>14.501249125095351</v>
      </c>
      <c r="Q13" s="16">
        <f t="shared" ca="1" si="1"/>
        <v>1079.3685275860723</v>
      </c>
      <c r="R13" s="42" t="e">
        <f ca="1">(K13-$D$15)/$D$15</f>
        <v>#DIV/0!</v>
      </c>
      <c r="S13" s="38">
        <f ca="1">AVERAGE(S3:S12)</f>
        <v>35185.98680641895</v>
      </c>
      <c r="T13" s="43">
        <f t="shared" ref="T13:Y13" ca="1" si="2">AVERAGE(T3:T12)</f>
        <v>4.7024587700070695E-2</v>
      </c>
      <c r="U13" s="38">
        <f t="shared" ca="1" si="2"/>
        <v>1.8</v>
      </c>
      <c r="V13" s="38">
        <f t="shared" ca="1" si="2"/>
        <v>83</v>
      </c>
      <c r="W13" s="38">
        <f t="shared" ca="1" si="2"/>
        <v>31.753607173734565</v>
      </c>
      <c r="X13" s="43">
        <f t="shared" ca="1" si="2"/>
        <v>30.517567217872617</v>
      </c>
      <c r="Y13" s="38">
        <f t="shared" ca="1" si="2"/>
        <v>1557.8212824663638</v>
      </c>
      <c r="Z13" s="44" t="e">
        <f ca="1">(S13-$D$15)/$D$15</f>
        <v>#DIV/0!</v>
      </c>
    </row>
    <row r="14" spans="2:26" x14ac:dyDescent="0.2">
      <c r="K14" s="45"/>
      <c r="L14" s="45"/>
      <c r="M14" s="45"/>
      <c r="N14" s="45"/>
      <c r="O14" s="45"/>
      <c r="P14" s="45"/>
      <c r="Q14" s="45"/>
      <c r="S14" s="45"/>
      <c r="T14" s="45"/>
      <c r="U14" s="45"/>
      <c r="V14" s="45"/>
      <c r="W14" s="45"/>
      <c r="X14" s="45"/>
      <c r="Y14" s="45"/>
    </row>
    <row r="15" spans="2:26" x14ac:dyDescent="0.2">
      <c r="B15" s="1" t="s">
        <v>20</v>
      </c>
      <c r="C15">
        <f ca="1">_xlfn.STDEV.S(C3:C12)</f>
        <v>3720.7903122672956</v>
      </c>
      <c r="J15" s="1" t="s">
        <v>20</v>
      </c>
      <c r="K15">
        <f ca="1">_xlfn.STDEV.S(K3:K12)</f>
        <v>2603.1695055231526</v>
      </c>
      <c r="R15" s="1" t="s">
        <v>20</v>
      </c>
      <c r="S15">
        <f ca="1">_xlfn.STDEV.S(S3:S12)</f>
        <v>4348.5976744554582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tabSelected="1" zoomScale="110" zoomScaleNormal="110" workbookViewId="0">
      <selection activeCell="F18" sqref="F18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/>
      <c r="J2" s="28"/>
      <c r="K2" s="28"/>
      <c r="L2" s="1" t="s">
        <v>18</v>
      </c>
      <c r="P2" s="1" t="e">
        <f>(P14-H14)/H14</f>
        <v>#DIV/0!</v>
      </c>
      <c r="R2" s="1">
        <f>(R14-J14)/J14</f>
        <v>-0.15272254528669199</v>
      </c>
      <c r="T2" s="1" t="s">
        <v>19</v>
      </c>
      <c r="X2" s="1" t="e">
        <f>(X14-P14)/P14</f>
        <v>#DIV/0!</v>
      </c>
      <c r="Z2" s="1">
        <f>(Z14-R14)/R14</f>
        <v>0.74588754839238347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167</v>
      </c>
      <c r="D4" s="23">
        <v>31311.151091069481</v>
      </c>
      <c r="E4" s="33">
        <v>4.6274457999970757E-2</v>
      </c>
      <c r="F4" s="5">
        <v>2</v>
      </c>
      <c r="G4" s="23">
        <v>90</v>
      </c>
      <c r="H4" s="33">
        <v>0</v>
      </c>
      <c r="I4" s="23">
        <v>14.888298331143236</v>
      </c>
      <c r="J4" s="5">
        <v>1038.6774334332017</v>
      </c>
      <c r="K4" s="31"/>
      <c r="L4" s="23">
        <v>34862.388120325981</v>
      </c>
      <c r="M4" s="33">
        <v>3.9998416003072627E-2</v>
      </c>
      <c r="N4" s="5">
        <v>2</v>
      </c>
      <c r="O4" s="5">
        <v>80</v>
      </c>
      <c r="P4" s="33">
        <v>0</v>
      </c>
      <c r="Q4" s="5">
        <v>11.133357619680783</v>
      </c>
      <c r="R4" s="5">
        <v>880.04797206743456</v>
      </c>
      <c r="S4" s="31"/>
      <c r="T4" s="23">
        <v>33221.833647106687</v>
      </c>
      <c r="U4" s="33">
        <v>4.4075207999412669E-2</v>
      </c>
      <c r="V4" s="5">
        <v>2</v>
      </c>
      <c r="W4" s="5">
        <v>90</v>
      </c>
      <c r="X4" s="33">
        <v>0</v>
      </c>
      <c r="Y4" s="5">
        <v>27.868969755429312</v>
      </c>
      <c r="Z4" s="5">
        <v>1536.4647964205021</v>
      </c>
      <c r="AA4" s="35"/>
    </row>
    <row r="5" spans="2:27" x14ac:dyDescent="0.2">
      <c r="B5" s="4">
        <v>2</v>
      </c>
      <c r="C5" s="4">
        <v>327</v>
      </c>
      <c r="D5" s="23">
        <v>31311.151091069481</v>
      </c>
      <c r="E5" s="33">
        <v>5.1823000000013053E-2</v>
      </c>
      <c r="F5" s="5">
        <v>2</v>
      </c>
      <c r="G5" s="23">
        <v>90</v>
      </c>
      <c r="H5" s="33">
        <v>0</v>
      </c>
      <c r="I5" s="23">
        <v>14.888298331143236</v>
      </c>
      <c r="J5" s="5">
        <v>1038.6774334332017</v>
      </c>
      <c r="K5" s="31"/>
      <c r="L5" s="23">
        <v>34862.388120325981</v>
      </c>
      <c r="M5" s="33">
        <v>6.2469709002471063E-2</v>
      </c>
      <c r="N5" s="5">
        <v>2</v>
      </c>
      <c r="O5" s="5">
        <v>80</v>
      </c>
      <c r="P5" s="33">
        <v>0</v>
      </c>
      <c r="Q5" s="5">
        <v>11.133357619680783</v>
      </c>
      <c r="R5" s="5">
        <v>880.04797206743456</v>
      </c>
      <c r="S5" s="31"/>
      <c r="T5" s="23">
        <v>33221.833647106687</v>
      </c>
      <c r="U5" s="33">
        <v>6.0073166998336092E-2</v>
      </c>
      <c r="V5" s="5">
        <v>2</v>
      </c>
      <c r="W5" s="5">
        <v>90</v>
      </c>
      <c r="X5" s="33">
        <v>0</v>
      </c>
      <c r="Y5" s="5">
        <v>27.868969755429312</v>
      </c>
      <c r="Z5" s="5">
        <v>1536.4647964205021</v>
      </c>
      <c r="AA5" s="35"/>
    </row>
    <row r="6" spans="2:27" x14ac:dyDescent="0.2">
      <c r="B6" s="4">
        <v>3</v>
      </c>
      <c r="C6" s="4">
        <v>420</v>
      </c>
      <c r="D6" s="23">
        <v>31311.151091069481</v>
      </c>
      <c r="E6" s="33">
        <v>6.4445665999983248E-2</v>
      </c>
      <c r="F6" s="5">
        <v>2</v>
      </c>
      <c r="G6" s="23">
        <v>90</v>
      </c>
      <c r="H6" s="33">
        <v>0</v>
      </c>
      <c r="I6" s="23">
        <v>14.888298331143236</v>
      </c>
      <c r="J6" s="5">
        <v>1038.6774334332017</v>
      </c>
      <c r="K6" s="31"/>
      <c r="L6" s="23">
        <v>34862.388120325981</v>
      </c>
      <c r="M6" s="33">
        <v>4.1896166003425613E-2</v>
      </c>
      <c r="N6" s="5">
        <v>2</v>
      </c>
      <c r="O6" s="5">
        <v>80</v>
      </c>
      <c r="P6" s="33">
        <v>0</v>
      </c>
      <c r="Q6" s="5">
        <v>11.133357619680783</v>
      </c>
      <c r="R6" s="5">
        <v>880.04797206743456</v>
      </c>
      <c r="S6" s="31"/>
      <c r="T6" s="23">
        <v>33221.833647106687</v>
      </c>
      <c r="U6" s="33">
        <v>8.8877166999736801E-2</v>
      </c>
      <c r="V6" s="5">
        <v>2</v>
      </c>
      <c r="W6" s="5">
        <v>90</v>
      </c>
      <c r="X6" s="33">
        <v>0</v>
      </c>
      <c r="Y6" s="5">
        <v>27.868969755429312</v>
      </c>
      <c r="Z6" s="5">
        <v>1536.4647964205021</v>
      </c>
      <c r="AA6" s="35"/>
    </row>
    <row r="7" spans="2:27" x14ac:dyDescent="0.2">
      <c r="B7" s="4">
        <v>4</v>
      </c>
      <c r="C7" s="4">
        <v>481</v>
      </c>
      <c r="D7" s="23">
        <v>31311.151091069481</v>
      </c>
      <c r="E7" s="33">
        <v>4.9366999999847387E-2</v>
      </c>
      <c r="F7" s="5">
        <v>2</v>
      </c>
      <c r="G7" s="23">
        <v>90</v>
      </c>
      <c r="H7" s="33">
        <v>0</v>
      </c>
      <c r="I7" s="23">
        <v>14.888298331143236</v>
      </c>
      <c r="J7" s="5">
        <v>1038.6774334332017</v>
      </c>
      <c r="K7" s="31"/>
      <c r="L7" s="23">
        <v>34862.388120325981</v>
      </c>
      <c r="M7" s="33">
        <v>6.0971124999923632E-2</v>
      </c>
      <c r="N7" s="5">
        <v>2</v>
      </c>
      <c r="O7" s="5">
        <v>80</v>
      </c>
      <c r="P7" s="33">
        <v>0</v>
      </c>
      <c r="Q7" s="5">
        <v>11.133357619680783</v>
      </c>
      <c r="R7" s="5">
        <v>880.04797206743456</v>
      </c>
      <c r="S7" s="31"/>
      <c r="T7" s="23">
        <v>33221.833647106687</v>
      </c>
      <c r="U7" s="33">
        <v>5.0987250000616768E-2</v>
      </c>
      <c r="V7" s="5">
        <v>2</v>
      </c>
      <c r="W7" s="5">
        <v>90</v>
      </c>
      <c r="X7" s="33">
        <v>0</v>
      </c>
      <c r="Y7" s="5">
        <v>27.868969755429312</v>
      </c>
      <c r="Z7" s="5">
        <v>1536.4647964205021</v>
      </c>
      <c r="AA7" s="35"/>
    </row>
    <row r="8" spans="2:27" x14ac:dyDescent="0.2">
      <c r="B8" s="4">
        <v>5</v>
      </c>
      <c r="C8" s="4">
        <v>558</v>
      </c>
      <c r="D8" s="23">
        <v>31311.151091069481</v>
      </c>
      <c r="E8" s="33">
        <v>5.8705041999928653E-2</v>
      </c>
      <c r="F8" s="5">
        <v>2</v>
      </c>
      <c r="G8" s="23">
        <v>90</v>
      </c>
      <c r="H8" s="33">
        <v>0</v>
      </c>
      <c r="I8" s="23">
        <v>14.888298331143236</v>
      </c>
      <c r="J8" s="5">
        <v>1038.6774334332017</v>
      </c>
      <c r="K8" s="31"/>
      <c r="L8" s="23">
        <v>34862.388120325981</v>
      </c>
      <c r="M8" s="33">
        <v>5.2371583002241102E-2</v>
      </c>
      <c r="N8" s="5">
        <v>2</v>
      </c>
      <c r="O8" s="5">
        <v>80</v>
      </c>
      <c r="P8" s="33">
        <v>0</v>
      </c>
      <c r="Q8" s="5">
        <v>11.133357619680783</v>
      </c>
      <c r="R8" s="5">
        <v>880.04797206743456</v>
      </c>
      <c r="S8" s="31"/>
      <c r="T8" s="23">
        <v>33221.833647106687</v>
      </c>
      <c r="U8" s="33">
        <v>6.3650957999925595E-2</v>
      </c>
      <c r="V8" s="5">
        <v>2</v>
      </c>
      <c r="W8" s="5">
        <v>90</v>
      </c>
      <c r="X8" s="33">
        <v>0</v>
      </c>
      <c r="Y8" s="5">
        <v>27.868969755429312</v>
      </c>
      <c r="Z8" s="5">
        <v>1536.4647964205021</v>
      </c>
      <c r="AA8" s="35"/>
    </row>
    <row r="9" spans="2:27" x14ac:dyDescent="0.2">
      <c r="B9" s="4">
        <v>6</v>
      </c>
      <c r="C9" s="4">
        <v>673</v>
      </c>
      <c r="D9" s="23">
        <v>31311.151091069481</v>
      </c>
      <c r="E9" s="33">
        <v>5.2641665999999532E-2</v>
      </c>
      <c r="F9" s="5">
        <v>2</v>
      </c>
      <c r="G9" s="23">
        <v>90</v>
      </c>
      <c r="H9" s="33">
        <v>0</v>
      </c>
      <c r="I9" s="23">
        <v>14.888298331143236</v>
      </c>
      <c r="J9" s="5">
        <v>1038.6774334332017</v>
      </c>
      <c r="K9" s="31"/>
      <c r="L9" s="23">
        <v>34862.388120325981</v>
      </c>
      <c r="M9" s="33">
        <v>7.0169833998079412E-2</v>
      </c>
      <c r="N9" s="5">
        <v>2</v>
      </c>
      <c r="O9" s="5">
        <v>80</v>
      </c>
      <c r="P9" s="33">
        <v>0</v>
      </c>
      <c r="Q9" s="5">
        <v>11.133357619680783</v>
      </c>
      <c r="R9" s="5">
        <v>880.04797206743456</v>
      </c>
      <c r="S9" s="31"/>
      <c r="T9" s="23">
        <v>33221.833647106687</v>
      </c>
      <c r="U9" s="33">
        <v>5.6689542001549853E-2</v>
      </c>
      <c r="V9" s="5">
        <v>2</v>
      </c>
      <c r="W9" s="5">
        <v>90</v>
      </c>
      <c r="X9" s="33">
        <v>0</v>
      </c>
      <c r="Y9" s="5">
        <v>27.868969755429312</v>
      </c>
      <c r="Z9" s="5">
        <v>1536.4647964205021</v>
      </c>
      <c r="AA9" s="35"/>
    </row>
    <row r="10" spans="2:27" x14ac:dyDescent="0.2">
      <c r="B10" s="4">
        <v>7</v>
      </c>
      <c r="C10" s="4">
        <v>765</v>
      </c>
      <c r="D10" s="23">
        <v>31311.151091069481</v>
      </c>
      <c r="E10" s="33">
        <v>6.1098792000166213E-2</v>
      </c>
      <c r="F10" s="5">
        <v>2</v>
      </c>
      <c r="G10" s="23">
        <v>90</v>
      </c>
      <c r="H10" s="33">
        <v>0</v>
      </c>
      <c r="I10" s="23">
        <v>14.888298331143236</v>
      </c>
      <c r="J10" s="5">
        <v>1038.6774334332017</v>
      </c>
      <c r="K10" s="31"/>
      <c r="L10" s="23">
        <v>34862.388120325981</v>
      </c>
      <c r="M10" s="33">
        <v>5.7987708998552989E-2</v>
      </c>
      <c r="N10" s="5">
        <v>2</v>
      </c>
      <c r="O10" s="5">
        <v>80</v>
      </c>
      <c r="P10" s="33">
        <v>0</v>
      </c>
      <c r="Q10" s="5">
        <v>11.133357619680783</v>
      </c>
      <c r="R10" s="5">
        <v>880.04797206743456</v>
      </c>
      <c r="S10" s="31"/>
      <c r="T10" s="23">
        <v>33221.833647106687</v>
      </c>
      <c r="U10" s="33">
        <v>6.4534875000390457E-2</v>
      </c>
      <c r="V10" s="5">
        <v>2</v>
      </c>
      <c r="W10" s="5">
        <v>90</v>
      </c>
      <c r="X10" s="33">
        <v>0</v>
      </c>
      <c r="Y10" s="5">
        <v>27.868969755429312</v>
      </c>
      <c r="Z10" s="5">
        <v>1536.4647964205021</v>
      </c>
      <c r="AA10" s="35"/>
    </row>
    <row r="11" spans="2:27" x14ac:dyDescent="0.2">
      <c r="B11" s="4">
        <v>8</v>
      </c>
      <c r="C11" s="4">
        <v>838</v>
      </c>
      <c r="D11" s="23">
        <v>31311.151091069481</v>
      </c>
      <c r="E11" s="33">
        <v>6.6076957999939623E-2</v>
      </c>
      <c r="F11" s="5">
        <v>2</v>
      </c>
      <c r="G11" s="23">
        <v>90</v>
      </c>
      <c r="H11" s="33">
        <v>0</v>
      </c>
      <c r="I11" s="23">
        <v>14.888298331143236</v>
      </c>
      <c r="J11" s="5">
        <v>1038.6774334332017</v>
      </c>
      <c r="K11" s="31"/>
      <c r="L11" s="23">
        <v>34862.388120325981</v>
      </c>
      <c r="M11" s="33">
        <v>5.6633459000295261E-2</v>
      </c>
      <c r="N11" s="5">
        <v>2</v>
      </c>
      <c r="O11" s="5">
        <v>80</v>
      </c>
      <c r="P11" s="33">
        <v>0</v>
      </c>
      <c r="Q11" s="5">
        <v>11.133357619680783</v>
      </c>
      <c r="R11" s="5">
        <v>880.04797206743456</v>
      </c>
      <c r="S11" s="31"/>
      <c r="T11" s="23">
        <v>33221.833647106687</v>
      </c>
      <c r="U11" s="33">
        <v>6.6322583999863127E-2</v>
      </c>
      <c r="V11" s="5">
        <v>2</v>
      </c>
      <c r="W11" s="5">
        <v>90</v>
      </c>
      <c r="X11" s="33">
        <v>0</v>
      </c>
      <c r="Y11" s="5">
        <v>27.868969755429312</v>
      </c>
      <c r="Z11" s="5">
        <v>1536.4647964205021</v>
      </c>
      <c r="AA11" s="35"/>
    </row>
    <row r="12" spans="2:27" x14ac:dyDescent="0.2">
      <c r="B12" s="4">
        <v>9</v>
      </c>
      <c r="C12" s="4">
        <v>863</v>
      </c>
      <c r="D12" s="23">
        <v>31311.151091069481</v>
      </c>
      <c r="E12" s="33">
        <v>6.5334249999978056E-2</v>
      </c>
      <c r="F12" s="5">
        <v>2</v>
      </c>
      <c r="G12" s="23">
        <v>90</v>
      </c>
      <c r="H12" s="33">
        <v>0</v>
      </c>
      <c r="I12" s="23">
        <v>14.888298331143236</v>
      </c>
      <c r="J12" s="5">
        <v>1038.6774334332017</v>
      </c>
      <c r="K12" s="31"/>
      <c r="L12" s="23">
        <v>34862.388120325981</v>
      </c>
      <c r="M12" s="33">
        <v>5.8690041998488603E-2</v>
      </c>
      <c r="N12" s="5">
        <v>2</v>
      </c>
      <c r="O12" s="5">
        <v>80</v>
      </c>
      <c r="P12" s="33">
        <v>0</v>
      </c>
      <c r="Q12" s="5">
        <v>11.133357619680783</v>
      </c>
      <c r="R12" s="5">
        <v>880.04797206743456</v>
      </c>
      <c r="S12" s="31"/>
      <c r="T12" s="23">
        <v>33221.833647106687</v>
      </c>
      <c r="U12" s="33">
        <v>5.7285791997855988E-2</v>
      </c>
      <c r="V12" s="5">
        <v>2</v>
      </c>
      <c r="W12" s="5">
        <v>90</v>
      </c>
      <c r="X12" s="33">
        <v>0</v>
      </c>
      <c r="Y12" s="5">
        <v>27.868969755429312</v>
      </c>
      <c r="Z12" s="5">
        <v>1536.4647964205021</v>
      </c>
      <c r="AA12" s="35"/>
    </row>
    <row r="13" spans="2:27" x14ac:dyDescent="0.2">
      <c r="B13" s="4">
        <v>10</v>
      </c>
      <c r="C13" s="4">
        <v>939</v>
      </c>
      <c r="D13" s="23">
        <v>31311.151091069481</v>
      </c>
      <c r="E13" s="33">
        <v>5.7518332999961792E-2</v>
      </c>
      <c r="F13" s="5">
        <v>2</v>
      </c>
      <c r="G13" s="23">
        <v>90</v>
      </c>
      <c r="H13" s="33">
        <v>0</v>
      </c>
      <c r="I13" s="23">
        <v>14.888298331143236</v>
      </c>
      <c r="J13" s="5">
        <v>1038.6774334332017</v>
      </c>
      <c r="K13" s="31"/>
      <c r="L13" s="23">
        <v>34862.388120325981</v>
      </c>
      <c r="M13" s="33">
        <v>7.5483249998796964E-2</v>
      </c>
      <c r="N13" s="5">
        <v>2</v>
      </c>
      <c r="O13" s="5">
        <v>80</v>
      </c>
      <c r="P13" s="33">
        <v>0</v>
      </c>
      <c r="Q13" s="5">
        <v>11.133357619680783</v>
      </c>
      <c r="R13" s="5">
        <v>880.04797206743456</v>
      </c>
      <c r="S13" s="31"/>
      <c r="T13" s="23">
        <v>33221.833647106687</v>
      </c>
      <c r="U13" s="33">
        <v>6.4295583000784973E-2</v>
      </c>
      <c r="V13" s="5">
        <v>2</v>
      </c>
      <c r="W13" s="5">
        <v>90</v>
      </c>
      <c r="X13" s="33">
        <v>0</v>
      </c>
      <c r="Y13" s="5">
        <v>27.868969755429312</v>
      </c>
      <c r="Z13" s="5">
        <v>1536.4647964205021</v>
      </c>
      <c r="AA13" s="35"/>
    </row>
    <row r="14" spans="2:27" x14ac:dyDescent="0.2">
      <c r="B14" s="46" t="s">
        <v>3</v>
      </c>
      <c r="C14" s="47"/>
      <c r="D14" s="9">
        <f>MIN(D4:D13)</f>
        <v>31311.151091069481</v>
      </c>
      <c r="E14" s="22">
        <f>INDEX(E4:E13, MATCH($D$14, D4:D13, 0))</f>
        <v>4.6274457999970757E-2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14.888298331143236</v>
      </c>
      <c r="J14" s="22">
        <f>INDEX(J4:J13, MATCH($D$14, D4:D13, 0))</f>
        <v>1038.6774334332017</v>
      </c>
      <c r="K14" s="32" t="e">
        <f>(D14-$D$15)/$D$15</f>
        <v>#DIV/0!</v>
      </c>
      <c r="L14" s="16">
        <f>MIN(L4:L13)</f>
        <v>34862.388120325981</v>
      </c>
      <c r="M14" s="21">
        <f>INDEX(M4:M13, MATCH($L$14, L4:L13, 0))</f>
        <v>3.9998416003072627E-2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11.133357619680783</v>
      </c>
      <c r="R14" s="21">
        <f>INDEX(R4:R13, MATCH($L$14, L4:L13, 0))</f>
        <v>880.04797206743456</v>
      </c>
      <c r="S14" s="36" t="e">
        <f>(L14-$D$15)/$D$15</f>
        <v>#DIV/0!</v>
      </c>
      <c r="T14" s="38">
        <f>MIN(T4:T13)</f>
        <v>33221.833647106687</v>
      </c>
      <c r="U14" s="39">
        <f>INDEX(U4:U13, MATCH($T$14, T4:T13, 0))</f>
        <v>4.4075207999412669E-2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27.868969755429312</v>
      </c>
      <c r="Z14" s="39">
        <f>INDEX(Z4:Z13, MATCH($T$14, T4:T13, 0))</f>
        <v>1536.4647964205021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87" priority="7"/>
    <cfRule type="duplicateValues" dxfId="86" priority="8"/>
  </conditionalFormatting>
  <conditionalFormatting sqref="C14">
    <cfRule type="duplicateValues" dxfId="85" priority="1"/>
    <cfRule type="duplicateValues" dxfId="8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5880-BFFE-6343-9748-4D94D69E4198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>
        <f>(Q14-H14)/H14</f>
        <v>-0.84073625995262091</v>
      </c>
      <c r="J2" s="28" t="e">
        <f>(S14-J14)/J14</f>
        <v>#DIV/0!</v>
      </c>
      <c r="K2" s="28"/>
      <c r="L2" s="1" t="s">
        <v>18</v>
      </c>
      <c r="P2" s="1">
        <f>(P14-H14)/H14</f>
        <v>-0.45480684036026564</v>
      </c>
      <c r="R2" s="1">
        <f>(R14-J14)/J14</f>
        <v>-4.1082662169327773E-2</v>
      </c>
      <c r="T2" s="1" t="s">
        <v>19</v>
      </c>
      <c r="X2" s="1">
        <f>(X14-P14)/P14</f>
        <v>2.8345297745992455</v>
      </c>
      <c r="Z2" s="1">
        <f>(Z14-R14)/R14</f>
        <v>0.38637314264753464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</v>
      </c>
      <c r="D4" s="23">
        <v>37238.625256724103</v>
      </c>
      <c r="E4" s="33">
        <v>5.0597334000030969E-2</v>
      </c>
      <c r="F4" s="5">
        <v>2</v>
      </c>
      <c r="G4" s="23">
        <v>90</v>
      </c>
      <c r="H4" s="33">
        <v>107.74864228395739</v>
      </c>
      <c r="I4" s="23">
        <v>19.629370357093762</v>
      </c>
      <c r="J4" s="5">
        <v>1580.9462713284502</v>
      </c>
      <c r="K4" s="31"/>
      <c r="L4" s="23">
        <v>39202.534728084232</v>
      </c>
      <c r="M4" s="33">
        <v>5.2038624999113381E-2</v>
      </c>
      <c r="N4" s="5">
        <v>2</v>
      </c>
      <c r="O4" s="5">
        <v>80</v>
      </c>
      <c r="P4" s="33">
        <v>58.743822733682215</v>
      </c>
      <c r="Q4" s="5">
        <v>17.160451755170229</v>
      </c>
      <c r="R4" s="5">
        <v>1515.9967897556051</v>
      </c>
      <c r="S4" s="31"/>
      <c r="T4" s="23">
        <v>42207.190034795349</v>
      </c>
      <c r="U4" s="33">
        <v>5.0415124998835381E-2</v>
      </c>
      <c r="V4" s="5">
        <v>2</v>
      </c>
      <c r="W4" s="5">
        <v>80</v>
      </c>
      <c r="X4" s="33">
        <v>225.25493734608449</v>
      </c>
      <c r="Y4" s="5">
        <v>35.731942654115628</v>
      </c>
      <c r="Z4" s="5">
        <v>2101.737233657052</v>
      </c>
      <c r="AA4" s="35"/>
    </row>
    <row r="5" spans="2:27" x14ac:dyDescent="0.2">
      <c r="B5" s="4">
        <v>2</v>
      </c>
      <c r="C5" s="4">
        <v>48</v>
      </c>
      <c r="D5" s="23">
        <v>37238.625256724103</v>
      </c>
      <c r="E5" s="33">
        <v>9.434433300020828E-2</v>
      </c>
      <c r="F5" s="5">
        <v>2</v>
      </c>
      <c r="G5" s="23">
        <v>90</v>
      </c>
      <c r="H5" s="33">
        <v>107.74864228395739</v>
      </c>
      <c r="I5" s="23">
        <v>19.629370357093762</v>
      </c>
      <c r="J5" s="5">
        <v>1580.9462713284502</v>
      </c>
      <c r="K5" s="31"/>
      <c r="L5" s="23">
        <v>39202.534728084232</v>
      </c>
      <c r="M5" s="33">
        <v>9.2623958000331186E-2</v>
      </c>
      <c r="N5" s="5">
        <v>2</v>
      </c>
      <c r="O5" s="5">
        <v>80</v>
      </c>
      <c r="P5" s="33">
        <v>58.743822733682215</v>
      </c>
      <c r="Q5" s="5">
        <v>17.160451755170229</v>
      </c>
      <c r="R5" s="5">
        <v>1515.9967897556051</v>
      </c>
      <c r="S5" s="31"/>
      <c r="T5" s="23">
        <v>42207.190034795349</v>
      </c>
      <c r="U5" s="33">
        <v>7.0977707997371908E-2</v>
      </c>
      <c r="V5" s="5">
        <v>2</v>
      </c>
      <c r="W5" s="5">
        <v>80</v>
      </c>
      <c r="X5" s="33">
        <v>225.25493734608449</v>
      </c>
      <c r="Y5" s="5">
        <v>35.731942654115628</v>
      </c>
      <c r="Z5" s="5">
        <v>2101.737233657052</v>
      </c>
      <c r="AA5" s="35"/>
    </row>
    <row r="6" spans="2:27" x14ac:dyDescent="0.2">
      <c r="B6" s="4">
        <v>3</v>
      </c>
      <c r="C6" s="4">
        <v>291</v>
      </c>
      <c r="D6" s="23">
        <v>37238.625256724103</v>
      </c>
      <c r="E6" s="33">
        <v>4.1863874999990003E-2</v>
      </c>
      <c r="F6" s="5">
        <v>2</v>
      </c>
      <c r="G6" s="23">
        <v>90</v>
      </c>
      <c r="H6" s="33">
        <v>107.74864228395739</v>
      </c>
      <c r="I6" s="23">
        <v>19.629370357093762</v>
      </c>
      <c r="J6" s="5">
        <v>1580.9462713284502</v>
      </c>
      <c r="K6" s="31"/>
      <c r="L6" s="23">
        <v>39202.534728084232</v>
      </c>
      <c r="M6" s="33">
        <v>5.0759666999510962E-2</v>
      </c>
      <c r="N6" s="5">
        <v>2</v>
      </c>
      <c r="O6" s="5">
        <v>80</v>
      </c>
      <c r="P6" s="33">
        <v>58.743822733682215</v>
      </c>
      <c r="Q6" s="5">
        <v>17.160451755170229</v>
      </c>
      <c r="R6" s="5">
        <v>1515.9967897556051</v>
      </c>
      <c r="S6" s="31"/>
      <c r="T6" s="23">
        <v>43275.347363886758</v>
      </c>
      <c r="U6" s="33">
        <v>4.0996457999426639E-2</v>
      </c>
      <c r="V6" s="5">
        <v>2</v>
      </c>
      <c r="W6" s="5">
        <v>80</v>
      </c>
      <c r="X6" s="33">
        <v>202.45421238006287</v>
      </c>
      <c r="Y6" s="5">
        <v>39.408363166703296</v>
      </c>
      <c r="Z6" s="5">
        <v>2458.5442084851347</v>
      </c>
      <c r="AA6" s="35"/>
    </row>
    <row r="7" spans="2:27" x14ac:dyDescent="0.2">
      <c r="B7" s="4">
        <v>4</v>
      </c>
      <c r="C7" s="4">
        <v>555</v>
      </c>
      <c r="D7" s="23">
        <v>37238.625256724103</v>
      </c>
      <c r="E7" s="33">
        <v>3.7636916999872483E-2</v>
      </c>
      <c r="F7" s="5">
        <v>2</v>
      </c>
      <c r="G7" s="23">
        <v>90</v>
      </c>
      <c r="H7" s="33">
        <v>107.74864228395739</v>
      </c>
      <c r="I7" s="23">
        <v>19.629370357093762</v>
      </c>
      <c r="J7" s="5">
        <v>1580.9462713284502</v>
      </c>
      <c r="K7" s="31"/>
      <c r="L7" s="23">
        <v>39202.534728084232</v>
      </c>
      <c r="M7" s="33">
        <v>6.0853249997308012E-2</v>
      </c>
      <c r="N7" s="5">
        <v>2</v>
      </c>
      <c r="O7" s="5">
        <v>80</v>
      </c>
      <c r="P7" s="33">
        <v>58.743822733682215</v>
      </c>
      <c r="Q7" s="5">
        <v>17.160451755170229</v>
      </c>
      <c r="R7" s="5">
        <v>1515.9967897556051</v>
      </c>
      <c r="S7" s="31"/>
      <c r="T7" s="23">
        <v>42207.190034795349</v>
      </c>
      <c r="U7" s="33">
        <v>5.6125332997908117E-2</v>
      </c>
      <c r="V7" s="5">
        <v>2</v>
      </c>
      <c r="W7" s="5">
        <v>80</v>
      </c>
      <c r="X7" s="33">
        <v>225.25493734608449</v>
      </c>
      <c r="Y7" s="5">
        <v>35.731942654115628</v>
      </c>
      <c r="Z7" s="5">
        <v>2101.737233657052</v>
      </c>
      <c r="AA7" s="35"/>
    </row>
    <row r="8" spans="2:27" x14ac:dyDescent="0.2">
      <c r="B8" s="4">
        <v>5</v>
      </c>
      <c r="C8" s="4">
        <v>639</v>
      </c>
      <c r="D8" s="23">
        <v>37238.625256724103</v>
      </c>
      <c r="E8" s="33">
        <v>5.8051458000136343E-2</v>
      </c>
      <c r="F8" s="5">
        <v>2</v>
      </c>
      <c r="G8" s="23">
        <v>90</v>
      </c>
      <c r="H8" s="33">
        <v>107.74864228395739</v>
      </c>
      <c r="I8" s="23">
        <v>19.629370357093762</v>
      </c>
      <c r="J8" s="5">
        <v>1580.9462713284502</v>
      </c>
      <c r="K8" s="31"/>
      <c r="L8" s="23">
        <v>39202.534728084232</v>
      </c>
      <c r="M8" s="33">
        <v>6.9501166999543784E-2</v>
      </c>
      <c r="N8" s="5">
        <v>2</v>
      </c>
      <c r="O8" s="5">
        <v>80</v>
      </c>
      <c r="P8" s="33">
        <v>58.743822733682215</v>
      </c>
      <c r="Q8" s="5">
        <v>17.160451755170229</v>
      </c>
      <c r="R8" s="5">
        <v>1515.9967897556051</v>
      </c>
      <c r="S8" s="31"/>
      <c r="T8" s="23">
        <v>42207.190034795349</v>
      </c>
      <c r="U8" s="33">
        <v>6.0259208003117237E-2</v>
      </c>
      <c r="V8" s="5">
        <v>2</v>
      </c>
      <c r="W8" s="5">
        <v>80</v>
      </c>
      <c r="X8" s="33">
        <v>225.25493734608449</v>
      </c>
      <c r="Y8" s="5">
        <v>35.731942654115628</v>
      </c>
      <c r="Z8" s="5">
        <v>2101.737233657052</v>
      </c>
      <c r="AA8" s="35"/>
    </row>
    <row r="9" spans="2:27" x14ac:dyDescent="0.2">
      <c r="B9" s="4">
        <v>6</v>
      </c>
      <c r="C9" s="4">
        <v>633</v>
      </c>
      <c r="D9" s="23">
        <v>37238.625256724103</v>
      </c>
      <c r="E9" s="33">
        <v>5.1596124999832682E-2</v>
      </c>
      <c r="F9" s="5">
        <v>2</v>
      </c>
      <c r="G9" s="23">
        <v>90</v>
      </c>
      <c r="H9" s="33">
        <v>107.74864228395739</v>
      </c>
      <c r="I9" s="23">
        <v>19.629370357093762</v>
      </c>
      <c r="J9" s="5">
        <v>1580.9462713284502</v>
      </c>
      <c r="K9" s="31"/>
      <c r="L9" s="23">
        <v>39202.534728084232</v>
      </c>
      <c r="M9" s="33">
        <v>7.218500000089989E-2</v>
      </c>
      <c r="N9" s="5">
        <v>2</v>
      </c>
      <c r="O9" s="5">
        <v>80</v>
      </c>
      <c r="P9" s="33">
        <v>58.743822733682215</v>
      </c>
      <c r="Q9" s="5">
        <v>17.160451755170229</v>
      </c>
      <c r="R9" s="5">
        <v>1515.9967897556051</v>
      </c>
      <c r="S9" s="31"/>
      <c r="T9" s="23">
        <v>43167.607964241019</v>
      </c>
      <c r="U9" s="33">
        <v>5.0418165999872137E-2</v>
      </c>
      <c r="V9" s="5">
        <v>2</v>
      </c>
      <c r="W9" s="5">
        <v>70</v>
      </c>
      <c r="X9" s="33">
        <v>73.145678483476786</v>
      </c>
      <c r="Y9" s="5">
        <v>32.707580199774284</v>
      </c>
      <c r="Z9" s="5">
        <v>1889.2683028388685</v>
      </c>
      <c r="AA9" s="35"/>
    </row>
    <row r="10" spans="2:27" x14ac:dyDescent="0.2">
      <c r="B10" s="4">
        <v>7</v>
      </c>
      <c r="C10" s="4">
        <v>828</v>
      </c>
      <c r="D10" s="23">
        <v>37238.625256724103</v>
      </c>
      <c r="E10" s="33">
        <v>7.4183500000117419E-2</v>
      </c>
      <c r="F10" s="5">
        <v>2</v>
      </c>
      <c r="G10" s="23">
        <v>90</v>
      </c>
      <c r="H10" s="33">
        <v>107.74864228395739</v>
      </c>
      <c r="I10" s="23">
        <v>19.629370357093762</v>
      </c>
      <c r="J10" s="5">
        <v>1580.9462713284502</v>
      </c>
      <c r="K10" s="31"/>
      <c r="L10" s="23">
        <v>39202.534728084232</v>
      </c>
      <c r="M10" s="33">
        <v>4.3850999998539919E-2</v>
      </c>
      <c r="N10" s="5">
        <v>2</v>
      </c>
      <c r="O10" s="5">
        <v>80</v>
      </c>
      <c r="P10" s="33">
        <v>58.743822733682215</v>
      </c>
      <c r="Q10" s="5">
        <v>17.160451755170229</v>
      </c>
      <c r="R10" s="5">
        <v>1515.9967897556051</v>
      </c>
      <c r="S10" s="31"/>
      <c r="T10" s="23">
        <v>42207.190034795349</v>
      </c>
      <c r="U10" s="33">
        <v>4.8029165998741519E-2</v>
      </c>
      <c r="V10" s="5">
        <v>2</v>
      </c>
      <c r="W10" s="5">
        <v>80</v>
      </c>
      <c r="X10" s="33">
        <v>225.25493734608449</v>
      </c>
      <c r="Y10" s="5">
        <v>35.731942654115628</v>
      </c>
      <c r="Z10" s="5">
        <v>2101.737233657052</v>
      </c>
      <c r="AA10" s="35"/>
    </row>
    <row r="11" spans="2:27" x14ac:dyDescent="0.2">
      <c r="B11" s="4">
        <v>8</v>
      </c>
      <c r="C11" s="4">
        <v>880</v>
      </c>
      <c r="D11" s="23">
        <v>37238.625256724103</v>
      </c>
      <c r="E11" s="33">
        <v>6.2624459000062416E-2</v>
      </c>
      <c r="F11" s="5">
        <v>2</v>
      </c>
      <c r="G11" s="23">
        <v>90</v>
      </c>
      <c r="H11" s="33">
        <v>107.74864228395739</v>
      </c>
      <c r="I11" s="23">
        <v>19.629370357093762</v>
      </c>
      <c r="J11" s="5">
        <v>1580.9462713284502</v>
      </c>
      <c r="K11" s="31"/>
      <c r="L11" s="23">
        <v>39202.534728084232</v>
      </c>
      <c r="M11" s="33">
        <v>4.7532208998745773E-2</v>
      </c>
      <c r="N11" s="5">
        <v>2</v>
      </c>
      <c r="O11" s="5">
        <v>80</v>
      </c>
      <c r="P11" s="33">
        <v>58.743822733682215</v>
      </c>
      <c r="Q11" s="5">
        <v>17.160451755170229</v>
      </c>
      <c r="R11" s="5">
        <v>1515.9967897556051</v>
      </c>
      <c r="S11" s="31"/>
      <c r="T11" s="23">
        <v>42207.190034795349</v>
      </c>
      <c r="U11" s="33">
        <v>5.2945250001357642E-2</v>
      </c>
      <c r="V11" s="5">
        <v>2</v>
      </c>
      <c r="W11" s="5">
        <v>80</v>
      </c>
      <c r="X11" s="33">
        <v>225.25493734608449</v>
      </c>
      <c r="Y11" s="5">
        <v>35.731942654115628</v>
      </c>
      <c r="Z11" s="5">
        <v>2101.737233657052</v>
      </c>
      <c r="AA11" s="35"/>
    </row>
    <row r="12" spans="2:27" x14ac:dyDescent="0.2">
      <c r="B12" s="4">
        <v>9</v>
      </c>
      <c r="C12" s="4">
        <v>919</v>
      </c>
      <c r="D12" s="23">
        <v>37238.625256724103</v>
      </c>
      <c r="E12" s="33">
        <v>4.1824708000149258E-2</v>
      </c>
      <c r="F12" s="5">
        <v>2</v>
      </c>
      <c r="G12" s="23">
        <v>90</v>
      </c>
      <c r="H12" s="33">
        <v>107.74864228395739</v>
      </c>
      <c r="I12" s="23">
        <v>19.629370357093762</v>
      </c>
      <c r="J12" s="5">
        <v>1580.9462713284502</v>
      </c>
      <c r="K12" s="31"/>
      <c r="L12" s="23">
        <v>39202.534728084232</v>
      </c>
      <c r="M12" s="33">
        <v>4.4357334001688287E-2</v>
      </c>
      <c r="N12" s="5">
        <v>2</v>
      </c>
      <c r="O12" s="5">
        <v>80</v>
      </c>
      <c r="P12" s="33">
        <v>58.743822733682215</v>
      </c>
      <c r="Q12" s="5">
        <v>17.160451755170229</v>
      </c>
      <c r="R12" s="5">
        <v>1515.9967897556051</v>
      </c>
      <c r="S12" s="31"/>
      <c r="T12" s="23">
        <v>43071.618556907233</v>
      </c>
      <c r="U12" s="33">
        <v>5.2946000003430527E-2</v>
      </c>
      <c r="V12" s="5">
        <v>2</v>
      </c>
      <c r="W12" s="5">
        <v>80</v>
      </c>
      <c r="X12" s="33">
        <v>156.73356623401787</v>
      </c>
      <c r="Y12" s="5">
        <v>38.646127672109372</v>
      </c>
      <c r="Z12" s="5">
        <v>2275.6616239009545</v>
      </c>
      <c r="AA12" s="35"/>
    </row>
    <row r="13" spans="2:27" x14ac:dyDescent="0.2">
      <c r="B13" s="4">
        <v>10</v>
      </c>
      <c r="C13" s="4">
        <v>987</v>
      </c>
      <c r="D13" s="23">
        <v>37238.625256724103</v>
      </c>
      <c r="E13" s="33">
        <v>6.3754125000059503E-2</v>
      </c>
      <c r="F13" s="5">
        <v>2</v>
      </c>
      <c r="G13" s="23">
        <v>90</v>
      </c>
      <c r="H13" s="33">
        <v>107.74864228395739</v>
      </c>
      <c r="I13" s="23">
        <v>19.629370357093762</v>
      </c>
      <c r="J13" s="5">
        <v>1580.9462713284502</v>
      </c>
      <c r="K13" s="31"/>
      <c r="L13" s="23">
        <v>39202.534728084232</v>
      </c>
      <c r="M13" s="33">
        <v>6.8083457998000085E-2</v>
      </c>
      <c r="N13" s="5">
        <v>2</v>
      </c>
      <c r="O13" s="5">
        <v>80</v>
      </c>
      <c r="P13" s="33">
        <v>58.743822733682215</v>
      </c>
      <c r="Q13" s="5">
        <v>17.160451755170229</v>
      </c>
      <c r="R13" s="5">
        <v>1515.9967897556051</v>
      </c>
      <c r="S13" s="31"/>
      <c r="T13" s="23">
        <v>42207.190034795349</v>
      </c>
      <c r="U13" s="33">
        <v>8.5009833001095103E-2</v>
      </c>
      <c r="V13" s="5">
        <v>2</v>
      </c>
      <c r="W13" s="5">
        <v>80</v>
      </c>
      <c r="X13" s="33">
        <v>225.25493734608449</v>
      </c>
      <c r="Y13" s="5">
        <v>35.731942654115628</v>
      </c>
      <c r="Z13" s="5">
        <v>2101.737233657052</v>
      </c>
      <c r="AA13" s="35"/>
    </row>
    <row r="14" spans="2:27" x14ac:dyDescent="0.2">
      <c r="B14" s="46" t="s">
        <v>3</v>
      </c>
      <c r="C14" s="47"/>
      <c r="D14" s="9">
        <f>MIN(D4:D13)</f>
        <v>37238.625256724103</v>
      </c>
      <c r="E14" s="22">
        <f>INDEX(E4:E13, MATCH($D$14, D4:D13, 0))</f>
        <v>5.0597334000030969E-2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107.74864228395739</v>
      </c>
      <c r="I14" s="22">
        <f>INDEX(I4:I13, MATCH($D$14, D4:D13, 0))</f>
        <v>19.629370357093762</v>
      </c>
      <c r="J14" s="22">
        <f>INDEX(J4:J13, MATCH($D$14, D4:D13, 0))</f>
        <v>1580.9462713284502</v>
      </c>
      <c r="K14" s="32" t="e">
        <f>(D14-$D$15)/$D$15</f>
        <v>#DIV/0!</v>
      </c>
      <c r="L14" s="16">
        <f>MIN(L4:L13)</f>
        <v>39202.534728084232</v>
      </c>
      <c r="M14" s="21">
        <f>INDEX(M4:M13, MATCH($L$14, L4:L13, 0))</f>
        <v>5.2038624999113381E-2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58.743822733682215</v>
      </c>
      <c r="Q14" s="21">
        <f>INDEX(Q4:Q13, MATCH($L$14, L4:L13, 0))</f>
        <v>17.160451755170229</v>
      </c>
      <c r="R14" s="21">
        <f>INDEX(R4:R13, MATCH($L$14, L4:L13, 0))</f>
        <v>1515.9967897556051</v>
      </c>
      <c r="S14" s="36" t="e">
        <f>(L14-$D$15)/$D$15</f>
        <v>#DIV/0!</v>
      </c>
      <c r="T14" s="38">
        <f>MIN(T4:T13)</f>
        <v>42207.190034795349</v>
      </c>
      <c r="U14" s="39">
        <f>INDEX(U4:U13, MATCH($T$14, T4:T13, 0))</f>
        <v>5.0415124998835381E-2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225.25493734608449</v>
      </c>
      <c r="Y14" s="39">
        <f>INDEX(Y4:Y13, MATCH($T$14, T4:T13, 0))</f>
        <v>35.731942654115628</v>
      </c>
      <c r="Z14" s="39">
        <f>INDEX(Z4:Z13, MATCH($T$14, T4:T13, 0))</f>
        <v>2101.737233657052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7:C1048576">
    <cfRule type="duplicateValues" dxfId="83" priority="9"/>
    <cfRule type="duplicateValues" dxfId="82" priority="10"/>
  </conditionalFormatting>
  <conditionalFormatting sqref="C14">
    <cfRule type="duplicateValues" dxfId="81" priority="3"/>
    <cfRule type="duplicateValues" dxfId="80" priority="4"/>
  </conditionalFormatting>
  <conditionalFormatting sqref="C15:C2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927E-A4ED-9D47-AE89-F55C68837993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-0.13711491935851144</v>
      </c>
      <c r="T2" s="1" t="s">
        <v>19</v>
      </c>
      <c r="X2" s="1" t="e">
        <f>(X14-P14)/P14</f>
        <v>#DIV/0!</v>
      </c>
      <c r="Z2" s="1">
        <f>(Z14-R14)/R14</f>
        <v>0.85457204367820905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930</v>
      </c>
      <c r="D4" s="23">
        <v>24939.0405076553</v>
      </c>
      <c r="E4" s="33">
        <v>4.1639249999889223E-2</v>
      </c>
      <c r="F4" s="5">
        <v>1</v>
      </c>
      <c r="G4" s="23">
        <v>80</v>
      </c>
      <c r="H4" s="33">
        <v>0</v>
      </c>
      <c r="I4" s="23">
        <v>26.590698262776179</v>
      </c>
      <c r="J4" s="5">
        <v>867.36419337133805</v>
      </c>
      <c r="K4" s="31"/>
      <c r="L4" s="23">
        <v>36911.715000306664</v>
      </c>
      <c r="M4" s="33">
        <v>4.1266291998908862E-2</v>
      </c>
      <c r="N4" s="5">
        <v>1</v>
      </c>
      <c r="O4" s="5">
        <v>50</v>
      </c>
      <c r="P4" s="33">
        <v>0</v>
      </c>
      <c r="Q4" s="5">
        <v>19.277597402597401</v>
      </c>
      <c r="R4" s="5">
        <v>748.43562194276672</v>
      </c>
      <c r="S4" s="31"/>
      <c r="T4" s="23">
        <v>26338.41045300895</v>
      </c>
      <c r="U4" s="33">
        <v>5.3504709001572337E-2</v>
      </c>
      <c r="V4" s="5">
        <v>1</v>
      </c>
      <c r="W4" s="5">
        <v>80</v>
      </c>
      <c r="X4" s="33">
        <v>0</v>
      </c>
      <c r="Y4" s="5">
        <v>58.207129080952598</v>
      </c>
      <c r="Z4" s="5">
        <v>1388.0277809479683</v>
      </c>
      <c r="AA4" s="35"/>
    </row>
    <row r="5" spans="2:27" x14ac:dyDescent="0.2">
      <c r="B5" s="4">
        <v>2</v>
      </c>
      <c r="C5" s="4">
        <v>313</v>
      </c>
      <c r="D5" s="23">
        <v>25442.634842263589</v>
      </c>
      <c r="E5" s="33">
        <v>5.4636708000089129E-2</v>
      </c>
      <c r="F5" s="5">
        <v>2</v>
      </c>
      <c r="G5" s="23">
        <v>100</v>
      </c>
      <c r="H5" s="33">
        <v>0</v>
      </c>
      <c r="I5" s="23">
        <v>15.995351831390792</v>
      </c>
      <c r="J5" s="5">
        <v>802.03590128865915</v>
      </c>
      <c r="K5" s="31"/>
      <c r="L5" s="23">
        <v>36911.715000306664</v>
      </c>
      <c r="M5" s="33">
        <v>5.9403540999483077E-2</v>
      </c>
      <c r="N5" s="5">
        <v>1</v>
      </c>
      <c r="O5" s="5">
        <v>50</v>
      </c>
      <c r="P5" s="33">
        <v>0</v>
      </c>
      <c r="Q5" s="5">
        <v>19.277597402597401</v>
      </c>
      <c r="R5" s="5">
        <v>748.43562194276672</v>
      </c>
      <c r="S5" s="31"/>
      <c r="T5" s="23">
        <v>26338.41045300895</v>
      </c>
      <c r="U5" s="33">
        <v>5.9364249998907333E-2</v>
      </c>
      <c r="V5" s="5">
        <v>1</v>
      </c>
      <c r="W5" s="5">
        <v>80</v>
      </c>
      <c r="X5" s="33">
        <v>0</v>
      </c>
      <c r="Y5" s="5">
        <v>58.207129080952598</v>
      </c>
      <c r="Z5" s="5">
        <v>1388.0277809479683</v>
      </c>
      <c r="AA5" s="35"/>
    </row>
    <row r="6" spans="2:27" x14ac:dyDescent="0.2">
      <c r="B6" s="4">
        <v>3</v>
      </c>
      <c r="C6" s="4">
        <v>639</v>
      </c>
      <c r="D6" s="23">
        <v>24939.0405076553</v>
      </c>
      <c r="E6" s="33">
        <v>4.9437666999892833E-2</v>
      </c>
      <c r="F6" s="5">
        <v>1</v>
      </c>
      <c r="G6" s="23">
        <v>80</v>
      </c>
      <c r="H6" s="33">
        <v>0</v>
      </c>
      <c r="I6" s="23">
        <v>26.590698262776179</v>
      </c>
      <c r="J6" s="5">
        <v>867.36419337133805</v>
      </c>
      <c r="K6" s="31"/>
      <c r="L6" s="23">
        <v>36911.715000306664</v>
      </c>
      <c r="M6" s="33">
        <v>7.4549124998156913E-2</v>
      </c>
      <c r="N6" s="5">
        <v>1</v>
      </c>
      <c r="O6" s="5">
        <v>50</v>
      </c>
      <c r="P6" s="33">
        <v>0</v>
      </c>
      <c r="Q6" s="5">
        <v>19.277597402597401</v>
      </c>
      <c r="R6" s="5">
        <v>748.43562194276672</v>
      </c>
      <c r="S6" s="31"/>
      <c r="T6" s="23">
        <v>26338.41045300895</v>
      </c>
      <c r="U6" s="33">
        <v>5.2627249999204651E-2</v>
      </c>
      <c r="V6" s="5">
        <v>1</v>
      </c>
      <c r="W6" s="5">
        <v>80</v>
      </c>
      <c r="X6" s="33">
        <v>0</v>
      </c>
      <c r="Y6" s="5">
        <v>58.207129080952598</v>
      </c>
      <c r="Z6" s="5">
        <v>1388.0277809479683</v>
      </c>
      <c r="AA6" s="35"/>
    </row>
    <row r="7" spans="2:27" x14ac:dyDescent="0.2">
      <c r="B7" s="4">
        <v>4</v>
      </c>
      <c r="C7" s="4">
        <v>335</v>
      </c>
      <c r="D7" s="23">
        <v>25442.634842263589</v>
      </c>
      <c r="E7" s="33">
        <v>4.4606500000099913E-2</v>
      </c>
      <c r="F7" s="5">
        <v>2</v>
      </c>
      <c r="G7" s="23">
        <v>100</v>
      </c>
      <c r="H7" s="33">
        <v>0</v>
      </c>
      <c r="I7" s="23">
        <v>15.995351831390792</v>
      </c>
      <c r="J7" s="5">
        <v>802.03590128865915</v>
      </c>
      <c r="K7" s="31"/>
      <c r="L7" s="23">
        <v>36911.715000306664</v>
      </c>
      <c r="M7" s="33">
        <v>8.5593792002327973E-2</v>
      </c>
      <c r="N7" s="5">
        <v>1</v>
      </c>
      <c r="O7" s="5">
        <v>50</v>
      </c>
      <c r="P7" s="33">
        <v>0</v>
      </c>
      <c r="Q7" s="5">
        <v>19.277597402597401</v>
      </c>
      <c r="R7" s="5">
        <v>748.43562194276672</v>
      </c>
      <c r="S7" s="31"/>
      <c r="T7" s="23">
        <v>26338.41045300895</v>
      </c>
      <c r="U7" s="33">
        <v>5.5247042000701192E-2</v>
      </c>
      <c r="V7" s="5">
        <v>1</v>
      </c>
      <c r="W7" s="5">
        <v>80</v>
      </c>
      <c r="X7" s="33">
        <v>0</v>
      </c>
      <c r="Y7" s="5">
        <v>58.207129080952598</v>
      </c>
      <c r="Z7" s="5">
        <v>1388.0277809479683</v>
      </c>
      <c r="AA7" s="35"/>
    </row>
    <row r="8" spans="2:27" x14ac:dyDescent="0.2">
      <c r="B8" s="4">
        <v>5</v>
      </c>
      <c r="C8" s="4">
        <v>353</v>
      </c>
      <c r="D8" s="23">
        <v>24939.0405076553</v>
      </c>
      <c r="E8" s="33">
        <v>5.9518374999925072E-2</v>
      </c>
      <c r="F8" s="5">
        <v>1</v>
      </c>
      <c r="G8" s="23">
        <v>80</v>
      </c>
      <c r="H8" s="33">
        <v>0</v>
      </c>
      <c r="I8" s="23">
        <v>26.590698262776179</v>
      </c>
      <c r="J8" s="5">
        <v>867.36419337133805</v>
      </c>
      <c r="K8" s="31"/>
      <c r="L8" s="23">
        <v>36911.715000306664</v>
      </c>
      <c r="M8" s="33">
        <v>5.9508124999410938E-2</v>
      </c>
      <c r="N8" s="5">
        <v>1</v>
      </c>
      <c r="O8" s="5">
        <v>50</v>
      </c>
      <c r="P8" s="33">
        <v>0</v>
      </c>
      <c r="Q8" s="5">
        <v>19.277597402597401</v>
      </c>
      <c r="R8" s="5">
        <v>748.43562194276672</v>
      </c>
      <c r="S8" s="31"/>
      <c r="T8" s="23">
        <v>26338.41045300895</v>
      </c>
      <c r="U8" s="33">
        <v>6.1161792000348207E-2</v>
      </c>
      <c r="V8" s="5">
        <v>1</v>
      </c>
      <c r="W8" s="5">
        <v>80</v>
      </c>
      <c r="X8" s="33">
        <v>0</v>
      </c>
      <c r="Y8" s="5">
        <v>58.207129080952598</v>
      </c>
      <c r="Z8" s="5">
        <v>1388.0277809479683</v>
      </c>
      <c r="AA8" s="35"/>
    </row>
    <row r="9" spans="2:27" x14ac:dyDescent="0.2">
      <c r="B9" s="4">
        <v>6</v>
      </c>
      <c r="C9" s="4">
        <v>994</v>
      </c>
      <c r="D9" s="23">
        <v>24939.0405076553</v>
      </c>
      <c r="E9" s="33">
        <v>4.4901792000018759E-2</v>
      </c>
      <c r="F9" s="5">
        <v>1</v>
      </c>
      <c r="G9" s="23">
        <v>80</v>
      </c>
      <c r="H9" s="33">
        <v>0</v>
      </c>
      <c r="I9" s="23">
        <v>26.590698262776179</v>
      </c>
      <c r="J9" s="5">
        <v>867.36419337133805</v>
      </c>
      <c r="K9" s="31"/>
      <c r="L9" s="23">
        <v>36911.715000306664</v>
      </c>
      <c r="M9" s="33">
        <v>4.5385957997496007E-2</v>
      </c>
      <c r="N9" s="5">
        <v>1</v>
      </c>
      <c r="O9" s="5">
        <v>50</v>
      </c>
      <c r="P9" s="33">
        <v>0</v>
      </c>
      <c r="Q9" s="5">
        <v>19.277597402597401</v>
      </c>
      <c r="R9" s="5">
        <v>748.43562194276672</v>
      </c>
      <c r="S9" s="31"/>
      <c r="T9" s="23">
        <v>26338.41045300895</v>
      </c>
      <c r="U9" s="33">
        <v>3.5750832998019177E-2</v>
      </c>
      <c r="V9" s="5">
        <v>1</v>
      </c>
      <c r="W9" s="5">
        <v>80</v>
      </c>
      <c r="X9" s="33">
        <v>0</v>
      </c>
      <c r="Y9" s="5">
        <v>58.207129080952598</v>
      </c>
      <c r="Z9" s="5">
        <v>1388.0277809479683</v>
      </c>
      <c r="AA9" s="35"/>
    </row>
    <row r="10" spans="2:27" x14ac:dyDescent="0.2">
      <c r="B10" s="4">
        <v>7</v>
      </c>
      <c r="C10" s="4">
        <v>718</v>
      </c>
      <c r="D10" s="23">
        <v>24939.0405076553</v>
      </c>
      <c r="E10" s="33">
        <v>6.4924833000077342E-2</v>
      </c>
      <c r="F10" s="5">
        <v>1</v>
      </c>
      <c r="G10" s="23">
        <v>80</v>
      </c>
      <c r="H10" s="33">
        <v>0</v>
      </c>
      <c r="I10" s="23">
        <v>26.590698262776179</v>
      </c>
      <c r="J10" s="5">
        <v>867.36419337133805</v>
      </c>
      <c r="K10" s="31"/>
      <c r="L10" s="23">
        <v>36911.715000306664</v>
      </c>
      <c r="M10" s="33">
        <v>5.2643709001131363E-2</v>
      </c>
      <c r="N10" s="5">
        <v>1</v>
      </c>
      <c r="O10" s="5">
        <v>50</v>
      </c>
      <c r="P10" s="33">
        <v>0</v>
      </c>
      <c r="Q10" s="5">
        <v>19.277597402597401</v>
      </c>
      <c r="R10" s="5">
        <v>748.43562194276672</v>
      </c>
      <c r="S10" s="31"/>
      <c r="T10" s="23">
        <v>26338.41045300895</v>
      </c>
      <c r="U10" s="33">
        <v>7.6658416001009755E-2</v>
      </c>
      <c r="V10" s="5">
        <v>1</v>
      </c>
      <c r="W10" s="5">
        <v>80</v>
      </c>
      <c r="X10" s="33">
        <v>0</v>
      </c>
      <c r="Y10" s="5">
        <v>58.207129080952598</v>
      </c>
      <c r="Z10" s="5">
        <v>1388.0277809479683</v>
      </c>
      <c r="AA10" s="35"/>
    </row>
    <row r="11" spans="2:27" x14ac:dyDescent="0.2">
      <c r="B11" s="4">
        <v>8</v>
      </c>
      <c r="C11" s="4">
        <v>771</v>
      </c>
      <c r="D11" s="23">
        <v>24939.0405076553</v>
      </c>
      <c r="E11" s="33">
        <v>9.565941699997893E-2</v>
      </c>
      <c r="F11" s="5">
        <v>1</v>
      </c>
      <c r="G11" s="23">
        <v>80</v>
      </c>
      <c r="H11" s="33">
        <v>0</v>
      </c>
      <c r="I11" s="23">
        <v>26.590698262776179</v>
      </c>
      <c r="J11" s="5">
        <v>867.36419337133805</v>
      </c>
      <c r="K11" s="31"/>
      <c r="L11" s="23">
        <v>36911.715000306664</v>
      </c>
      <c r="M11" s="33">
        <v>7.6940791997913038E-2</v>
      </c>
      <c r="N11" s="5">
        <v>1</v>
      </c>
      <c r="O11" s="5">
        <v>50</v>
      </c>
      <c r="P11" s="33">
        <v>0</v>
      </c>
      <c r="Q11" s="5">
        <v>19.277597402597401</v>
      </c>
      <c r="R11" s="5">
        <v>748.43562194276672</v>
      </c>
      <c r="S11" s="31"/>
      <c r="T11" s="23">
        <v>26338.41045300895</v>
      </c>
      <c r="U11" s="33">
        <v>9.1146417002164526E-2</v>
      </c>
      <c r="V11" s="5">
        <v>1</v>
      </c>
      <c r="W11" s="5">
        <v>80</v>
      </c>
      <c r="X11" s="33">
        <v>0</v>
      </c>
      <c r="Y11" s="5">
        <v>58.207129080952598</v>
      </c>
      <c r="Z11" s="5">
        <v>1388.0277809479683</v>
      </c>
      <c r="AA11" s="35"/>
    </row>
    <row r="12" spans="2:27" x14ac:dyDescent="0.2">
      <c r="B12" s="4">
        <v>9</v>
      </c>
      <c r="C12" s="4">
        <v>911</v>
      </c>
      <c r="D12" s="23">
        <v>24939.0405076553</v>
      </c>
      <c r="E12" s="33">
        <v>9.9061541999844849E-2</v>
      </c>
      <c r="F12" s="5">
        <v>1</v>
      </c>
      <c r="G12" s="23">
        <v>80</v>
      </c>
      <c r="H12" s="33">
        <v>0</v>
      </c>
      <c r="I12" s="23">
        <v>26.590698262776179</v>
      </c>
      <c r="J12" s="5">
        <v>867.36419337133805</v>
      </c>
      <c r="K12" s="31"/>
      <c r="L12" s="23">
        <v>36911.715000306664</v>
      </c>
      <c r="M12" s="33">
        <v>5.9419541998067871E-2</v>
      </c>
      <c r="N12" s="5">
        <v>1</v>
      </c>
      <c r="O12" s="5">
        <v>50</v>
      </c>
      <c r="P12" s="33">
        <v>0</v>
      </c>
      <c r="Q12" s="5">
        <v>19.277597402597401</v>
      </c>
      <c r="R12" s="5">
        <v>748.43562194276672</v>
      </c>
      <c r="S12" s="31"/>
      <c r="T12" s="23">
        <v>26338.41045300895</v>
      </c>
      <c r="U12" s="33">
        <v>8.4597041000961326E-2</v>
      </c>
      <c r="V12" s="5">
        <v>1</v>
      </c>
      <c r="W12" s="5">
        <v>80</v>
      </c>
      <c r="X12" s="33">
        <v>0</v>
      </c>
      <c r="Y12" s="5">
        <v>58.207129080952598</v>
      </c>
      <c r="Z12" s="5">
        <v>1388.0277809479683</v>
      </c>
      <c r="AA12" s="35"/>
    </row>
    <row r="13" spans="2:27" x14ac:dyDescent="0.2">
      <c r="B13" s="4">
        <v>10</v>
      </c>
      <c r="C13" s="4">
        <v>890</v>
      </c>
      <c r="D13" s="23">
        <v>24939.0405076553</v>
      </c>
      <c r="E13" s="33">
        <v>0.1035251250000329</v>
      </c>
      <c r="F13" s="5">
        <v>1</v>
      </c>
      <c r="G13" s="23">
        <v>80</v>
      </c>
      <c r="H13" s="33">
        <v>0</v>
      </c>
      <c r="I13" s="23">
        <v>26.590698262776179</v>
      </c>
      <c r="J13" s="5">
        <v>867.36419337133805</v>
      </c>
      <c r="K13" s="31"/>
      <c r="L13" s="23">
        <v>36911.715000306664</v>
      </c>
      <c r="M13" s="33">
        <v>5.2418666997255059E-2</v>
      </c>
      <c r="N13" s="5">
        <v>1</v>
      </c>
      <c r="O13" s="5">
        <v>50</v>
      </c>
      <c r="P13" s="33">
        <v>0</v>
      </c>
      <c r="Q13" s="5">
        <v>19.277597402597401</v>
      </c>
      <c r="R13" s="5">
        <v>748.43562194276672</v>
      </c>
      <c r="S13" s="31"/>
      <c r="T13" s="23">
        <v>26338.41045300895</v>
      </c>
      <c r="U13" s="33">
        <v>0.11008366700116309</v>
      </c>
      <c r="V13" s="5">
        <v>1</v>
      </c>
      <c r="W13" s="5">
        <v>80</v>
      </c>
      <c r="X13" s="33">
        <v>0</v>
      </c>
      <c r="Y13" s="5">
        <v>58.207129080952598</v>
      </c>
      <c r="Z13" s="5">
        <v>1388.0277809479683</v>
      </c>
      <c r="AA13" s="35"/>
    </row>
    <row r="14" spans="2:27" x14ac:dyDescent="0.2">
      <c r="B14" s="46" t="s">
        <v>3</v>
      </c>
      <c r="C14" s="47"/>
      <c r="D14" s="9">
        <f>MIN(D4:D13)</f>
        <v>24939.0405076553</v>
      </c>
      <c r="E14" s="22">
        <f>INDEX(E4:E13, MATCH($D$14, D4:D13, 0))</f>
        <v>4.1639249999889223E-2</v>
      </c>
      <c r="F14" s="9">
        <f>INDEX(F4:F13, MATCH($D$14, D4:D13, 0))</f>
        <v>1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26.590698262776179</v>
      </c>
      <c r="J14" s="22">
        <f>INDEX(J4:J13, MATCH($D$14, D4:D13, 0))</f>
        <v>867.36419337133805</v>
      </c>
      <c r="K14" s="32" t="e">
        <f>(D14-$D$15)/$D$15</f>
        <v>#DIV/0!</v>
      </c>
      <c r="L14" s="16">
        <f>MIN(L4:L13)</f>
        <v>36911.715000306664</v>
      </c>
      <c r="M14" s="21">
        <f>INDEX(M4:M13, MATCH($L$14, L4:L13, 0))</f>
        <v>4.1266291998908862E-2</v>
      </c>
      <c r="N14" s="16">
        <f>INDEX(N4:N13, MATCH($L$14, L4:L13, 0))</f>
        <v>1</v>
      </c>
      <c r="O14" s="16">
        <f>INDEX(O4:O13, MATCH($L$14, L4:L13, 0))</f>
        <v>50</v>
      </c>
      <c r="P14" s="21">
        <f>INDEX(P4:P13, MATCH($L$14, L4:L13, 0))</f>
        <v>0</v>
      </c>
      <c r="Q14" s="21">
        <f>INDEX(Q4:Q13, MATCH($L$14, L4:L13, 0))</f>
        <v>19.277597402597401</v>
      </c>
      <c r="R14" s="21">
        <f>INDEX(R4:R13, MATCH($L$14, L4:L13, 0))</f>
        <v>748.43562194276672</v>
      </c>
      <c r="S14" s="36" t="e">
        <f>(L14-$D$15)/$D$15</f>
        <v>#DIV/0!</v>
      </c>
      <c r="T14" s="38">
        <f>MIN(T4:T13)</f>
        <v>26338.41045300895</v>
      </c>
      <c r="U14" s="39">
        <f>INDEX(U4:U13, MATCH($T$14, T4:T13, 0))</f>
        <v>5.3504709001572337E-2</v>
      </c>
      <c r="V14" s="38">
        <f>INDEX(V4:V13, MATCH($T$14, T4:T13, 0))</f>
        <v>1</v>
      </c>
      <c r="W14" s="38">
        <f>INDEX(W4:W13, MATCH($T$14, T4:T13, 0))</f>
        <v>80</v>
      </c>
      <c r="X14" s="39">
        <f>INDEX(X4:X13, MATCH($T$14, T4:T13, 0))</f>
        <v>0</v>
      </c>
      <c r="Y14" s="39">
        <f>INDEX(Y4:Y13, MATCH($T$14, T4:T13, 0))</f>
        <v>58.207129080952598</v>
      </c>
      <c r="Z14" s="39">
        <f>INDEX(Z4:Z13, MATCH($T$14, T4:T13, 0))</f>
        <v>1388.0277809479683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7:C1048576">
    <cfRule type="duplicateValues" dxfId="79" priority="9"/>
    <cfRule type="duplicateValues" dxfId="78" priority="10"/>
  </conditionalFormatting>
  <conditionalFormatting sqref="C14">
    <cfRule type="duplicateValues" dxfId="77" priority="3"/>
    <cfRule type="duplicateValues" dxfId="76" priority="4"/>
  </conditionalFormatting>
  <conditionalFormatting sqref="C15:C2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9799-2AEE-4B4A-B301-5A85112777BB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-0.11746933395311569</v>
      </c>
      <c r="T2" s="1" t="s">
        <v>19</v>
      </c>
      <c r="X2" s="1" t="e">
        <f>(X14-P14)/P14</f>
        <v>#DIV/0!</v>
      </c>
      <c r="Z2" s="1">
        <f>(Z14-R14)/R14</f>
        <v>0.82742389162486696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292</v>
      </c>
      <c r="D4" s="23">
        <v>35458.564955876369</v>
      </c>
      <c r="E4" s="33">
        <v>2.7048500000091739E-2</v>
      </c>
      <c r="F4" s="5">
        <v>1</v>
      </c>
      <c r="G4" s="23">
        <v>60</v>
      </c>
      <c r="H4" s="33">
        <v>0</v>
      </c>
      <c r="I4" s="23">
        <v>19.3425422705314</v>
      </c>
      <c r="J4" s="5">
        <v>1115.055683699775</v>
      </c>
      <c r="K4" s="31"/>
      <c r="L4" s="23">
        <v>40525.665760938158</v>
      </c>
      <c r="M4" s="33">
        <v>3.7400375000288477E-2</v>
      </c>
      <c r="N4" s="5">
        <v>2</v>
      </c>
      <c r="O4" s="5">
        <v>80</v>
      </c>
      <c r="P4" s="33">
        <v>22.396905701715976</v>
      </c>
      <c r="Q4" s="5">
        <v>9.6193813440715381</v>
      </c>
      <c r="R4" s="5">
        <v>1457.9205575605163</v>
      </c>
      <c r="S4" s="31"/>
      <c r="T4" s="23">
        <v>38048.561439988429</v>
      </c>
      <c r="U4" s="33">
        <v>2.2862541998620148E-2</v>
      </c>
      <c r="V4" s="5">
        <v>1</v>
      </c>
      <c r="W4" s="5">
        <v>60</v>
      </c>
      <c r="X4" s="33">
        <v>63.438185107664538</v>
      </c>
      <c r="Y4" s="5">
        <v>41.445896036810481</v>
      </c>
      <c r="Z4" s="5">
        <v>1798.314555322994</v>
      </c>
      <c r="AA4" s="35"/>
    </row>
    <row r="5" spans="2:27" x14ac:dyDescent="0.2">
      <c r="B5" s="4">
        <v>2</v>
      </c>
      <c r="C5" s="4">
        <v>632</v>
      </c>
      <c r="D5" s="23">
        <v>35458.564955876369</v>
      </c>
      <c r="E5" s="33">
        <v>8.7419083000440878E-2</v>
      </c>
      <c r="F5" s="5">
        <v>1</v>
      </c>
      <c r="G5" s="23">
        <v>60</v>
      </c>
      <c r="H5" s="33">
        <v>0</v>
      </c>
      <c r="I5" s="23">
        <v>19.3425422705314</v>
      </c>
      <c r="J5" s="5">
        <v>1115.055683699775</v>
      </c>
      <c r="K5" s="31"/>
      <c r="L5" s="23">
        <v>38734.577953540087</v>
      </c>
      <c r="M5" s="33">
        <v>0.1010224999990896</v>
      </c>
      <c r="N5" s="5">
        <v>1</v>
      </c>
      <c r="O5" s="5">
        <v>50</v>
      </c>
      <c r="P5" s="33">
        <v>0</v>
      </c>
      <c r="Q5" s="5">
        <v>15.105195981554679</v>
      </c>
      <c r="R5" s="5">
        <v>984.07083521492643</v>
      </c>
      <c r="S5" s="31"/>
      <c r="T5" s="23">
        <v>38048.561439988429</v>
      </c>
      <c r="U5" s="33">
        <v>9.1895416000625119E-2</v>
      </c>
      <c r="V5" s="5">
        <v>1</v>
      </c>
      <c r="W5" s="5">
        <v>60</v>
      </c>
      <c r="X5" s="33">
        <v>63.438185107664538</v>
      </c>
      <c r="Y5" s="5">
        <v>41.445896036810481</v>
      </c>
      <c r="Z5" s="5">
        <v>1798.314555322994</v>
      </c>
      <c r="AA5" s="35"/>
    </row>
    <row r="6" spans="2:27" x14ac:dyDescent="0.2">
      <c r="B6" s="4">
        <v>3</v>
      </c>
      <c r="C6" s="4">
        <v>308</v>
      </c>
      <c r="D6" s="23">
        <v>35458.564955876369</v>
      </c>
      <c r="E6" s="33">
        <v>5.7232290999763791E-2</v>
      </c>
      <c r="F6" s="5">
        <v>1</v>
      </c>
      <c r="G6" s="23">
        <v>60</v>
      </c>
      <c r="H6" s="33">
        <v>0</v>
      </c>
      <c r="I6" s="23">
        <v>19.3425422705314</v>
      </c>
      <c r="J6" s="5">
        <v>1115.055683699775</v>
      </c>
      <c r="K6" s="31"/>
      <c r="L6" s="23">
        <v>40525.665760938158</v>
      </c>
      <c r="M6" s="33">
        <v>6.1850083999161143E-2</v>
      </c>
      <c r="N6" s="5">
        <v>2</v>
      </c>
      <c r="O6" s="5">
        <v>80</v>
      </c>
      <c r="P6" s="33">
        <v>22.396905701715976</v>
      </c>
      <c r="Q6" s="5">
        <v>9.6193813440715381</v>
      </c>
      <c r="R6" s="5">
        <v>1457.9205575605163</v>
      </c>
      <c r="S6" s="31"/>
      <c r="T6" s="23">
        <v>38048.561439988429</v>
      </c>
      <c r="U6" s="33">
        <v>5.8487582999077858E-2</v>
      </c>
      <c r="V6" s="5">
        <v>1</v>
      </c>
      <c r="W6" s="5">
        <v>60</v>
      </c>
      <c r="X6" s="33">
        <v>63.438185107664538</v>
      </c>
      <c r="Y6" s="5">
        <v>41.445896036810481</v>
      </c>
      <c r="Z6" s="5">
        <v>1798.314555322994</v>
      </c>
      <c r="AA6" s="35"/>
    </row>
    <row r="7" spans="2:27" x14ac:dyDescent="0.2">
      <c r="B7" s="4">
        <v>4</v>
      </c>
      <c r="C7" s="4">
        <v>357</v>
      </c>
      <c r="D7" s="23">
        <v>35458.564955876369</v>
      </c>
      <c r="E7" s="33">
        <v>4.8700457999984792E-2</v>
      </c>
      <c r="F7" s="5">
        <v>1</v>
      </c>
      <c r="G7" s="23">
        <v>60</v>
      </c>
      <c r="H7" s="33">
        <v>0</v>
      </c>
      <c r="I7" s="23">
        <v>19.3425422705314</v>
      </c>
      <c r="J7" s="5">
        <v>1115.055683699775</v>
      </c>
      <c r="K7" s="31"/>
      <c r="L7" s="23">
        <v>38734.577953540087</v>
      </c>
      <c r="M7" s="33">
        <v>5.9120499998243758E-2</v>
      </c>
      <c r="N7" s="5">
        <v>1</v>
      </c>
      <c r="O7" s="5">
        <v>50</v>
      </c>
      <c r="P7" s="33">
        <v>0</v>
      </c>
      <c r="Q7" s="5">
        <v>15.105195981554679</v>
      </c>
      <c r="R7" s="5">
        <v>984.07083521492643</v>
      </c>
      <c r="S7" s="31"/>
      <c r="T7" s="23">
        <v>38048.561439988429</v>
      </c>
      <c r="U7" s="33">
        <v>5.376412499754224E-2</v>
      </c>
      <c r="V7" s="5">
        <v>1</v>
      </c>
      <c r="W7" s="5">
        <v>60</v>
      </c>
      <c r="X7" s="33">
        <v>63.438185107664538</v>
      </c>
      <c r="Y7" s="5">
        <v>41.445896036810481</v>
      </c>
      <c r="Z7" s="5">
        <v>1798.314555322994</v>
      </c>
      <c r="AA7" s="35"/>
    </row>
    <row r="8" spans="2:27" x14ac:dyDescent="0.2">
      <c r="B8" s="4">
        <v>5</v>
      </c>
      <c r="C8" s="4">
        <v>523</v>
      </c>
      <c r="D8" s="23">
        <v>35458.564955876369</v>
      </c>
      <c r="E8" s="33">
        <v>3.3030291999693873E-2</v>
      </c>
      <c r="F8" s="5">
        <v>1</v>
      </c>
      <c r="G8" s="23">
        <v>60</v>
      </c>
      <c r="H8" s="33">
        <v>0</v>
      </c>
      <c r="I8" s="23">
        <v>19.3425422705314</v>
      </c>
      <c r="J8" s="5">
        <v>1115.055683699775</v>
      </c>
      <c r="K8" s="31"/>
      <c r="L8" s="23">
        <v>38734.577953540087</v>
      </c>
      <c r="M8" s="33">
        <v>4.3898417003219947E-2</v>
      </c>
      <c r="N8" s="5">
        <v>1</v>
      </c>
      <c r="O8" s="5">
        <v>50</v>
      </c>
      <c r="P8" s="33">
        <v>0</v>
      </c>
      <c r="Q8" s="5">
        <v>15.105195981554679</v>
      </c>
      <c r="R8" s="5">
        <v>984.07083521492643</v>
      </c>
      <c r="S8" s="31"/>
      <c r="T8" s="23">
        <v>38048.561439988429</v>
      </c>
      <c r="U8" s="33">
        <v>3.6450292001973139E-2</v>
      </c>
      <c r="V8" s="5">
        <v>1</v>
      </c>
      <c r="W8" s="5">
        <v>60</v>
      </c>
      <c r="X8" s="33">
        <v>63.438185107664538</v>
      </c>
      <c r="Y8" s="5">
        <v>41.445896036810481</v>
      </c>
      <c r="Z8" s="5">
        <v>1798.314555322994</v>
      </c>
      <c r="AA8" s="35"/>
    </row>
    <row r="9" spans="2:27" x14ac:dyDescent="0.2">
      <c r="B9" s="4">
        <v>6</v>
      </c>
      <c r="C9" s="4">
        <v>532</v>
      </c>
      <c r="D9" s="23">
        <v>35458.564955876369</v>
      </c>
      <c r="E9" s="33">
        <v>5.7385707999856088E-2</v>
      </c>
      <c r="F9" s="5">
        <v>1</v>
      </c>
      <c r="G9" s="23">
        <v>60</v>
      </c>
      <c r="H9" s="33">
        <v>0</v>
      </c>
      <c r="I9" s="23">
        <v>19.3425422705314</v>
      </c>
      <c r="J9" s="5">
        <v>1115.055683699775</v>
      </c>
      <c r="K9" s="31"/>
      <c r="L9" s="23">
        <v>38734.577953540087</v>
      </c>
      <c r="M9" s="33">
        <v>6.1098707999917679E-2</v>
      </c>
      <c r="N9" s="5">
        <v>1</v>
      </c>
      <c r="O9" s="5">
        <v>50</v>
      </c>
      <c r="P9" s="33">
        <v>0</v>
      </c>
      <c r="Q9" s="5">
        <v>15.105195981554679</v>
      </c>
      <c r="R9" s="5">
        <v>984.07083521492643</v>
      </c>
      <c r="S9" s="31"/>
      <c r="T9" s="23">
        <v>38048.561439988429</v>
      </c>
      <c r="U9" s="33">
        <v>6.7526709000958363E-2</v>
      </c>
      <c r="V9" s="5">
        <v>1</v>
      </c>
      <c r="W9" s="5">
        <v>60</v>
      </c>
      <c r="X9" s="33">
        <v>63.438185107664538</v>
      </c>
      <c r="Y9" s="5">
        <v>41.445896036810481</v>
      </c>
      <c r="Z9" s="5">
        <v>1798.314555322994</v>
      </c>
      <c r="AA9" s="35"/>
    </row>
    <row r="10" spans="2:27" x14ac:dyDescent="0.2">
      <c r="B10" s="4">
        <v>7</v>
      </c>
      <c r="C10" s="4">
        <v>586</v>
      </c>
      <c r="D10" s="23">
        <v>35458.564955876369</v>
      </c>
      <c r="E10" s="33">
        <v>4.4707209000080177E-2</v>
      </c>
      <c r="F10" s="5">
        <v>1</v>
      </c>
      <c r="G10" s="23">
        <v>60</v>
      </c>
      <c r="H10" s="33">
        <v>0</v>
      </c>
      <c r="I10" s="23">
        <v>19.3425422705314</v>
      </c>
      <c r="J10" s="5">
        <v>1115.055683699775</v>
      </c>
      <c r="K10" s="31"/>
      <c r="L10" s="23">
        <v>40525.665760938158</v>
      </c>
      <c r="M10" s="33">
        <v>4.3087124999146909E-2</v>
      </c>
      <c r="N10" s="5">
        <v>2</v>
      </c>
      <c r="O10" s="5">
        <v>80</v>
      </c>
      <c r="P10" s="33">
        <v>22.396905701715976</v>
      </c>
      <c r="Q10" s="5">
        <v>9.6193813440715381</v>
      </c>
      <c r="R10" s="5">
        <v>1457.9205575605163</v>
      </c>
      <c r="S10" s="31"/>
      <c r="T10" s="23">
        <v>38048.561439988429</v>
      </c>
      <c r="U10" s="33">
        <v>3.8439291998656699E-2</v>
      </c>
      <c r="V10" s="5">
        <v>1</v>
      </c>
      <c r="W10" s="5">
        <v>60</v>
      </c>
      <c r="X10" s="33">
        <v>63.438185107664538</v>
      </c>
      <c r="Y10" s="5">
        <v>41.445896036810481</v>
      </c>
      <c r="Z10" s="5">
        <v>1798.314555322994</v>
      </c>
      <c r="AA10" s="35"/>
    </row>
    <row r="11" spans="2:27" x14ac:dyDescent="0.2">
      <c r="B11" s="4">
        <v>8</v>
      </c>
      <c r="C11" s="4">
        <v>748</v>
      </c>
      <c r="D11" s="23">
        <v>35458.564955876369</v>
      </c>
      <c r="E11" s="33">
        <v>7.7495458999692346E-2</v>
      </c>
      <c r="F11" s="5">
        <v>1</v>
      </c>
      <c r="G11" s="23">
        <v>60</v>
      </c>
      <c r="H11" s="33">
        <v>0</v>
      </c>
      <c r="I11" s="23">
        <v>19.3425422705314</v>
      </c>
      <c r="J11" s="5">
        <v>1115.055683699775</v>
      </c>
      <c r="K11" s="31"/>
      <c r="L11" s="23">
        <v>38734.577953540087</v>
      </c>
      <c r="M11" s="33">
        <v>7.7111208000133047E-2</v>
      </c>
      <c r="N11" s="5">
        <v>1</v>
      </c>
      <c r="O11" s="5">
        <v>50</v>
      </c>
      <c r="P11" s="33">
        <v>0</v>
      </c>
      <c r="Q11" s="5">
        <v>15.105195981554679</v>
      </c>
      <c r="R11" s="5">
        <v>984.07083521492643</v>
      </c>
      <c r="S11" s="31"/>
      <c r="T11" s="23">
        <v>38048.561439988429</v>
      </c>
      <c r="U11" s="33">
        <v>8.3164208997914102E-2</v>
      </c>
      <c r="V11" s="5">
        <v>1</v>
      </c>
      <c r="W11" s="5">
        <v>60</v>
      </c>
      <c r="X11" s="33">
        <v>63.438185107664538</v>
      </c>
      <c r="Y11" s="5">
        <v>41.445896036810481</v>
      </c>
      <c r="Z11" s="5">
        <v>1798.314555322994</v>
      </c>
      <c r="AA11" s="35"/>
    </row>
    <row r="12" spans="2:27" x14ac:dyDescent="0.2">
      <c r="B12" s="4">
        <v>9</v>
      </c>
      <c r="C12" s="4">
        <v>998</v>
      </c>
      <c r="D12" s="23">
        <v>35458.564955876369</v>
      </c>
      <c r="E12" s="33">
        <v>5.6600832999720303E-2</v>
      </c>
      <c r="F12" s="5">
        <v>1</v>
      </c>
      <c r="G12" s="23">
        <v>60</v>
      </c>
      <c r="H12" s="33">
        <v>0</v>
      </c>
      <c r="I12" s="23">
        <v>19.3425422705314</v>
      </c>
      <c r="J12" s="5">
        <v>1115.055683699775</v>
      </c>
      <c r="K12" s="31"/>
      <c r="L12" s="23">
        <v>38734.577953540087</v>
      </c>
      <c r="M12" s="33">
        <v>5.30923750011425E-2</v>
      </c>
      <c r="N12" s="5">
        <v>1</v>
      </c>
      <c r="O12" s="5">
        <v>50</v>
      </c>
      <c r="P12" s="33">
        <v>0</v>
      </c>
      <c r="Q12" s="5">
        <v>15.105195981554679</v>
      </c>
      <c r="R12" s="5">
        <v>984.07083521492643</v>
      </c>
      <c r="S12" s="31"/>
      <c r="T12" s="23">
        <v>38048.561439988429</v>
      </c>
      <c r="U12" s="33">
        <v>7.0376458003011066E-2</v>
      </c>
      <c r="V12" s="5">
        <v>1</v>
      </c>
      <c r="W12" s="5">
        <v>60</v>
      </c>
      <c r="X12" s="33">
        <v>63.438185107664538</v>
      </c>
      <c r="Y12" s="5">
        <v>41.445896036810481</v>
      </c>
      <c r="Z12" s="5">
        <v>1798.314555322994</v>
      </c>
      <c r="AA12" s="35"/>
    </row>
    <row r="13" spans="2:27" x14ac:dyDescent="0.2">
      <c r="B13" s="4">
        <v>10</v>
      </c>
      <c r="C13" s="4">
        <v>733</v>
      </c>
      <c r="D13" s="23">
        <v>35458.564955876369</v>
      </c>
      <c r="E13" s="33">
        <v>5.8742124999753287E-2</v>
      </c>
      <c r="F13" s="5">
        <v>1</v>
      </c>
      <c r="G13" s="23">
        <v>60</v>
      </c>
      <c r="H13" s="33">
        <v>0</v>
      </c>
      <c r="I13" s="23">
        <v>19.3425422705314</v>
      </c>
      <c r="J13" s="5">
        <v>1115.055683699775</v>
      </c>
      <c r="K13" s="31"/>
      <c r="L13" s="23">
        <v>38734.577953540087</v>
      </c>
      <c r="M13" s="33">
        <v>7.4137750001682434E-2</v>
      </c>
      <c r="N13" s="5">
        <v>1</v>
      </c>
      <c r="O13" s="5">
        <v>50</v>
      </c>
      <c r="P13" s="33">
        <v>0</v>
      </c>
      <c r="Q13" s="5">
        <v>15.105195981554679</v>
      </c>
      <c r="R13" s="5">
        <v>984.07083521492643</v>
      </c>
      <c r="S13" s="31"/>
      <c r="T13" s="23">
        <v>38048.561439988429</v>
      </c>
      <c r="U13" s="33">
        <v>5.058554100105539E-2</v>
      </c>
      <c r="V13" s="5">
        <v>1</v>
      </c>
      <c r="W13" s="5">
        <v>60</v>
      </c>
      <c r="X13" s="33">
        <v>63.438185107664538</v>
      </c>
      <c r="Y13" s="5">
        <v>41.445896036810481</v>
      </c>
      <c r="Z13" s="5">
        <v>1798.314555322994</v>
      </c>
      <c r="AA13" s="35"/>
    </row>
    <row r="14" spans="2:27" x14ac:dyDescent="0.2">
      <c r="B14" s="46" t="s">
        <v>3</v>
      </c>
      <c r="C14" s="47"/>
      <c r="D14" s="9">
        <f>MIN(D4:D13)</f>
        <v>35458.564955876369</v>
      </c>
      <c r="E14" s="22">
        <f>INDEX(E4:E13, MATCH($D$14, D4:D13, 0))</f>
        <v>2.7048500000091739E-2</v>
      </c>
      <c r="F14" s="9">
        <f>INDEX(F4:F13, MATCH($D$14, D4:D13, 0))</f>
        <v>1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19.3425422705314</v>
      </c>
      <c r="J14" s="22">
        <f>INDEX(J4:J13, MATCH($D$14, D4:D13, 0))</f>
        <v>1115.055683699775</v>
      </c>
      <c r="K14" s="32" t="e">
        <f>(D14-$D$15)/$D$15</f>
        <v>#DIV/0!</v>
      </c>
      <c r="L14" s="16">
        <f>MIN(L4:L13)</f>
        <v>38734.577953540087</v>
      </c>
      <c r="M14" s="21">
        <f>INDEX(M4:M13, MATCH($L$14, L4:L13, 0))</f>
        <v>0.1010224999990896</v>
      </c>
      <c r="N14" s="16">
        <f>INDEX(N4:N13, MATCH($L$14, L4:L13, 0))</f>
        <v>1</v>
      </c>
      <c r="O14" s="16">
        <f>INDEX(O4:O13, MATCH($L$14, L4:L13, 0))</f>
        <v>50</v>
      </c>
      <c r="P14" s="21">
        <f>INDEX(P4:P13, MATCH($L$14, L4:L13, 0))</f>
        <v>0</v>
      </c>
      <c r="Q14" s="21">
        <f>INDEX(Q4:Q13, MATCH($L$14, L4:L13, 0))</f>
        <v>15.105195981554679</v>
      </c>
      <c r="R14" s="21">
        <f>INDEX(R4:R13, MATCH($L$14, L4:L13, 0))</f>
        <v>984.07083521492643</v>
      </c>
      <c r="S14" s="36" t="e">
        <f>(L14-$D$15)/$D$15</f>
        <v>#DIV/0!</v>
      </c>
      <c r="T14" s="38">
        <f>MIN(T4:T13)</f>
        <v>38048.561439988429</v>
      </c>
      <c r="U14" s="39">
        <f>INDEX(U4:U13, MATCH($T$14, T4:T13, 0))</f>
        <v>2.2862541998620148E-2</v>
      </c>
      <c r="V14" s="38">
        <f>INDEX(V4:V13, MATCH($T$14, T4:T13, 0))</f>
        <v>1</v>
      </c>
      <c r="W14" s="38">
        <f>INDEX(W4:W13, MATCH($T$14, T4:T13, 0))</f>
        <v>60</v>
      </c>
      <c r="X14" s="39">
        <f>INDEX(X4:X13, MATCH($T$14, T4:T13, 0))</f>
        <v>63.438185107664538</v>
      </c>
      <c r="Y14" s="39">
        <f>INDEX(Y4:Y13, MATCH($T$14, T4:T13, 0))</f>
        <v>41.445896036810481</v>
      </c>
      <c r="Z14" s="39">
        <f>INDEX(Z4:Z13, MATCH($T$14, T4:T13, 0))</f>
        <v>1798.314555322994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7:C1048576">
    <cfRule type="duplicateValues" dxfId="75" priority="9"/>
    <cfRule type="duplicateValues" dxfId="74" priority="10"/>
  </conditionalFormatting>
  <conditionalFormatting sqref="C14">
    <cfRule type="duplicateValues" dxfId="73" priority="3"/>
    <cfRule type="duplicateValues" dxfId="72" priority="4"/>
  </conditionalFormatting>
  <conditionalFormatting sqref="C15:C2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0BC6-BBE3-4149-B754-AA81067600EA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0</v>
      </c>
      <c r="T2" s="1" t="s">
        <v>19</v>
      </c>
      <c r="X2" s="1" t="e">
        <f>(X14-P14)/P14</f>
        <v>#DIV/0!</v>
      </c>
      <c r="Z2" s="1">
        <f>(Z14-R14)/R14</f>
        <v>0.17894127941787147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</v>
      </c>
      <c r="D4" s="23">
        <v>36826.162510202543</v>
      </c>
      <c r="E4" s="33">
        <v>5.4975375000140048E-2</v>
      </c>
      <c r="F4" s="5">
        <v>2</v>
      </c>
      <c r="G4" s="23">
        <v>80</v>
      </c>
      <c r="H4" s="33">
        <v>0</v>
      </c>
      <c r="I4" s="23">
        <v>16.051036403085931</v>
      </c>
      <c r="J4" s="5">
        <v>1167.4686144930229</v>
      </c>
      <c r="K4" s="31"/>
      <c r="L4" s="23">
        <v>36826.162510202543</v>
      </c>
      <c r="M4" s="33">
        <v>5.9027958002843661E-2</v>
      </c>
      <c r="N4" s="5">
        <v>2</v>
      </c>
      <c r="O4" s="5">
        <v>80</v>
      </c>
      <c r="P4" s="33">
        <v>0</v>
      </c>
      <c r="Q4" s="5">
        <v>16.051036403085931</v>
      </c>
      <c r="R4" s="5">
        <v>1167.4686144930229</v>
      </c>
      <c r="S4" s="31"/>
      <c r="T4" s="23">
        <v>37996.354149412131</v>
      </c>
      <c r="U4" s="33">
        <v>6.245508299980429E-2</v>
      </c>
      <c r="V4" s="5">
        <v>2</v>
      </c>
      <c r="W4" s="5">
        <v>80</v>
      </c>
      <c r="X4" s="33">
        <v>0</v>
      </c>
      <c r="Y4" s="5">
        <v>20.33864907362323</v>
      </c>
      <c r="Z4" s="5">
        <v>1378.5881145088429</v>
      </c>
      <c r="AA4" s="35"/>
    </row>
    <row r="5" spans="2:27" x14ac:dyDescent="0.2">
      <c r="B5" s="4">
        <v>2</v>
      </c>
      <c r="C5" s="4">
        <v>82</v>
      </c>
      <c r="D5" s="23">
        <v>36478.280036822282</v>
      </c>
      <c r="E5" s="33">
        <v>5.1674415999968908E-2</v>
      </c>
      <c r="F5" s="5">
        <v>2</v>
      </c>
      <c r="G5" s="23">
        <v>80</v>
      </c>
      <c r="H5" s="33">
        <v>0</v>
      </c>
      <c r="I5" s="23">
        <v>15.086424262183236</v>
      </c>
      <c r="J5" s="5">
        <v>1107.8121057873232</v>
      </c>
      <c r="K5" s="31"/>
      <c r="L5" s="23">
        <v>36478.280036822282</v>
      </c>
      <c r="M5" s="33">
        <v>5.6264750000991633E-2</v>
      </c>
      <c r="N5" s="5">
        <v>2</v>
      </c>
      <c r="O5" s="5">
        <v>80</v>
      </c>
      <c r="P5" s="33">
        <v>0</v>
      </c>
      <c r="Q5" s="5">
        <v>15.086424262183236</v>
      </c>
      <c r="R5" s="5">
        <v>1107.8121057873232</v>
      </c>
      <c r="S5" s="31"/>
      <c r="T5" s="23">
        <v>37036.227648630411</v>
      </c>
      <c r="U5" s="33">
        <v>4.8934500002360437E-2</v>
      </c>
      <c r="V5" s="5">
        <v>2</v>
      </c>
      <c r="W5" s="5">
        <v>80</v>
      </c>
      <c r="X5" s="33">
        <v>0</v>
      </c>
      <c r="Y5" s="5">
        <v>20.803039178121509</v>
      </c>
      <c r="Z5" s="5">
        <v>1306.0454213515131</v>
      </c>
      <c r="AA5" s="35"/>
    </row>
    <row r="6" spans="2:27" x14ac:dyDescent="0.2">
      <c r="B6" s="4">
        <v>3</v>
      </c>
      <c r="C6" s="4">
        <v>191</v>
      </c>
      <c r="D6" s="23">
        <v>36478.280036822282</v>
      </c>
      <c r="E6" s="33">
        <v>5.9577208000064268E-2</v>
      </c>
      <c r="F6" s="5">
        <v>2</v>
      </c>
      <c r="G6" s="23">
        <v>80</v>
      </c>
      <c r="H6" s="33">
        <v>0</v>
      </c>
      <c r="I6" s="23">
        <v>15.086424262183236</v>
      </c>
      <c r="J6" s="5">
        <v>1107.8121057873232</v>
      </c>
      <c r="K6" s="31"/>
      <c r="L6" s="23">
        <v>36478.280036822282</v>
      </c>
      <c r="M6" s="33">
        <v>6.3571499998943182E-2</v>
      </c>
      <c r="N6" s="5">
        <v>2</v>
      </c>
      <c r="O6" s="5">
        <v>80</v>
      </c>
      <c r="P6" s="33">
        <v>0</v>
      </c>
      <c r="Q6" s="5">
        <v>15.086424262183236</v>
      </c>
      <c r="R6" s="5">
        <v>1107.8121057873232</v>
      </c>
      <c r="S6" s="31"/>
      <c r="T6" s="23">
        <v>37036.227648630411</v>
      </c>
      <c r="U6" s="33">
        <v>6.1532458999863593E-2</v>
      </c>
      <c r="V6" s="5">
        <v>2</v>
      </c>
      <c r="W6" s="5">
        <v>80</v>
      </c>
      <c r="X6" s="33">
        <v>0</v>
      </c>
      <c r="Y6" s="5">
        <v>20.803039178121509</v>
      </c>
      <c r="Z6" s="5">
        <v>1306.0454213515131</v>
      </c>
      <c r="AA6" s="35"/>
    </row>
    <row r="7" spans="2:27" x14ac:dyDescent="0.2">
      <c r="B7" s="4">
        <v>4</v>
      </c>
      <c r="C7" s="4">
        <v>199</v>
      </c>
      <c r="D7" s="23">
        <v>36478.280036822282</v>
      </c>
      <c r="E7" s="33">
        <v>8.2289082999977836E-2</v>
      </c>
      <c r="F7" s="5">
        <v>2</v>
      </c>
      <c r="G7" s="23">
        <v>80</v>
      </c>
      <c r="H7" s="33">
        <v>0</v>
      </c>
      <c r="I7" s="23">
        <v>15.086424262183236</v>
      </c>
      <c r="J7" s="5">
        <v>1107.8121057873232</v>
      </c>
      <c r="K7" s="31"/>
      <c r="L7" s="23">
        <v>36478.280036822282</v>
      </c>
      <c r="M7" s="33">
        <v>8.6379207998106722E-2</v>
      </c>
      <c r="N7" s="5">
        <v>2</v>
      </c>
      <c r="O7" s="5">
        <v>80</v>
      </c>
      <c r="P7" s="33">
        <v>0</v>
      </c>
      <c r="Q7" s="5">
        <v>15.086424262183236</v>
      </c>
      <c r="R7" s="5">
        <v>1107.8121057873232</v>
      </c>
      <c r="S7" s="31"/>
      <c r="T7" s="23">
        <v>37036.227648630411</v>
      </c>
      <c r="U7" s="33">
        <v>8.1427624998468673E-2</v>
      </c>
      <c r="V7" s="5">
        <v>2</v>
      </c>
      <c r="W7" s="5">
        <v>80</v>
      </c>
      <c r="X7" s="33">
        <v>0</v>
      </c>
      <c r="Y7" s="5">
        <v>20.803039178121509</v>
      </c>
      <c r="Z7" s="5">
        <v>1306.0454213515131</v>
      </c>
      <c r="AA7" s="35"/>
    </row>
    <row r="8" spans="2:27" x14ac:dyDescent="0.2">
      <c r="B8" s="4">
        <v>5</v>
      </c>
      <c r="C8" s="4">
        <v>216</v>
      </c>
      <c r="D8" s="23">
        <v>36478.280036822282</v>
      </c>
      <c r="E8" s="33">
        <v>6.559054199988168E-2</v>
      </c>
      <c r="F8" s="5">
        <v>2</v>
      </c>
      <c r="G8" s="23">
        <v>80</v>
      </c>
      <c r="H8" s="33">
        <v>0</v>
      </c>
      <c r="I8" s="23">
        <v>15.086424262183236</v>
      </c>
      <c r="J8" s="5">
        <v>1107.8121057873232</v>
      </c>
      <c r="K8" s="31"/>
      <c r="L8" s="23">
        <v>36478.280036822282</v>
      </c>
      <c r="M8" s="33">
        <v>7.099158399796579E-2</v>
      </c>
      <c r="N8" s="5">
        <v>2</v>
      </c>
      <c r="O8" s="5">
        <v>80</v>
      </c>
      <c r="P8" s="33">
        <v>0</v>
      </c>
      <c r="Q8" s="5">
        <v>15.086424262183236</v>
      </c>
      <c r="R8" s="5">
        <v>1107.8121057873232</v>
      </c>
      <c r="S8" s="31"/>
      <c r="T8" s="23">
        <v>37320.838737345643</v>
      </c>
      <c r="U8" s="33">
        <v>3.7984790997143143E-2</v>
      </c>
      <c r="V8" s="5">
        <v>2</v>
      </c>
      <c r="W8" s="5">
        <v>80</v>
      </c>
      <c r="X8" s="33">
        <v>0</v>
      </c>
      <c r="Y8" s="5">
        <v>19.163829004038504</v>
      </c>
      <c r="Z8" s="5">
        <v>1267.6948913442918</v>
      </c>
      <c r="AA8" s="35"/>
    </row>
    <row r="9" spans="2:27" x14ac:dyDescent="0.2">
      <c r="B9" s="4">
        <v>6</v>
      </c>
      <c r="C9" s="4">
        <v>489</v>
      </c>
      <c r="D9" s="23">
        <v>36478.280036822282</v>
      </c>
      <c r="E9" s="33">
        <v>5.7137583999974588E-2</v>
      </c>
      <c r="F9" s="5">
        <v>2</v>
      </c>
      <c r="G9" s="23">
        <v>80</v>
      </c>
      <c r="H9" s="33">
        <v>0</v>
      </c>
      <c r="I9" s="23">
        <v>15.086424262183236</v>
      </c>
      <c r="J9" s="5">
        <v>1107.8121057873232</v>
      </c>
      <c r="K9" s="31"/>
      <c r="L9" s="23">
        <v>36478.280036822282</v>
      </c>
      <c r="M9" s="33">
        <v>6.2137666998751229E-2</v>
      </c>
      <c r="N9" s="5">
        <v>2</v>
      </c>
      <c r="O9" s="5">
        <v>80</v>
      </c>
      <c r="P9" s="33">
        <v>0</v>
      </c>
      <c r="Q9" s="5">
        <v>15.086424262183236</v>
      </c>
      <c r="R9" s="5">
        <v>1107.8121057873232</v>
      </c>
      <c r="S9" s="31"/>
      <c r="T9" s="23">
        <v>37036.227648630411</v>
      </c>
      <c r="U9" s="33">
        <v>4.8862709001696203E-2</v>
      </c>
      <c r="V9" s="5">
        <v>2</v>
      </c>
      <c r="W9" s="5">
        <v>80</v>
      </c>
      <c r="X9" s="33">
        <v>0</v>
      </c>
      <c r="Y9" s="5">
        <v>20.803039178121509</v>
      </c>
      <c r="Z9" s="5">
        <v>1306.0454213515131</v>
      </c>
      <c r="AA9" s="35"/>
    </row>
    <row r="10" spans="2:27" x14ac:dyDescent="0.2">
      <c r="B10" s="4">
        <v>7</v>
      </c>
      <c r="C10" s="4">
        <v>508</v>
      </c>
      <c r="D10" s="23">
        <v>36478.280036822282</v>
      </c>
      <c r="E10" s="33">
        <v>8.0073791999893729E-2</v>
      </c>
      <c r="F10" s="5">
        <v>2</v>
      </c>
      <c r="G10" s="23">
        <v>80</v>
      </c>
      <c r="H10" s="33">
        <v>0</v>
      </c>
      <c r="I10" s="23">
        <v>15.086424262183236</v>
      </c>
      <c r="J10" s="5">
        <v>1107.8121057873232</v>
      </c>
      <c r="K10" s="31"/>
      <c r="L10" s="23">
        <v>36478.280036822282</v>
      </c>
      <c r="M10" s="33">
        <v>8.8668000000325264E-2</v>
      </c>
      <c r="N10" s="5">
        <v>2</v>
      </c>
      <c r="O10" s="5">
        <v>80</v>
      </c>
      <c r="P10" s="33">
        <v>0</v>
      </c>
      <c r="Q10" s="5">
        <v>15.086424262183236</v>
      </c>
      <c r="R10" s="5">
        <v>1107.8121057873232</v>
      </c>
      <c r="S10" s="31"/>
      <c r="T10" s="23">
        <v>37036.227648630411</v>
      </c>
      <c r="U10" s="33">
        <v>0.10234162500273671</v>
      </c>
      <c r="V10" s="5">
        <v>2</v>
      </c>
      <c r="W10" s="5">
        <v>80</v>
      </c>
      <c r="X10" s="33">
        <v>0</v>
      </c>
      <c r="Y10" s="5">
        <v>20.803039178121509</v>
      </c>
      <c r="Z10" s="5">
        <v>1306.0454213515131</v>
      </c>
      <c r="AA10" s="35"/>
    </row>
    <row r="11" spans="2:27" x14ac:dyDescent="0.2">
      <c r="B11" s="4">
        <v>8</v>
      </c>
      <c r="C11" s="4">
        <v>630</v>
      </c>
      <c r="D11" s="23">
        <v>36478.280036822282</v>
      </c>
      <c r="E11" s="33">
        <v>6.0879457999817532E-2</v>
      </c>
      <c r="F11" s="5">
        <v>2</v>
      </c>
      <c r="G11" s="23">
        <v>80</v>
      </c>
      <c r="H11" s="33">
        <v>0</v>
      </c>
      <c r="I11" s="23">
        <v>15.086424262183236</v>
      </c>
      <c r="J11" s="5">
        <v>1107.8121057873232</v>
      </c>
      <c r="K11" s="31"/>
      <c r="L11" s="23">
        <v>36478.280036822282</v>
      </c>
      <c r="M11" s="33">
        <v>6.6493750000518048E-2</v>
      </c>
      <c r="N11" s="5">
        <v>2</v>
      </c>
      <c r="O11" s="5">
        <v>80</v>
      </c>
      <c r="P11" s="33">
        <v>0</v>
      </c>
      <c r="Q11" s="5">
        <v>15.086424262183236</v>
      </c>
      <c r="R11" s="5">
        <v>1107.8121057873232</v>
      </c>
      <c r="S11" s="31"/>
      <c r="T11" s="23">
        <v>37036.227648630411</v>
      </c>
      <c r="U11" s="33">
        <v>5.9237292000034358E-2</v>
      </c>
      <c r="V11" s="5">
        <v>2</v>
      </c>
      <c r="W11" s="5">
        <v>80</v>
      </c>
      <c r="X11" s="33">
        <v>0</v>
      </c>
      <c r="Y11" s="5">
        <v>20.803039178121509</v>
      </c>
      <c r="Z11" s="5">
        <v>1306.0454213515131</v>
      </c>
      <c r="AA11" s="35"/>
    </row>
    <row r="12" spans="2:27" x14ac:dyDescent="0.2">
      <c r="B12" s="4">
        <v>9</v>
      </c>
      <c r="C12" s="4">
        <v>754</v>
      </c>
      <c r="D12" s="23">
        <v>36478.280036822282</v>
      </c>
      <c r="E12" s="33">
        <v>4.4908750000104192E-2</v>
      </c>
      <c r="F12" s="5">
        <v>2</v>
      </c>
      <c r="G12" s="23">
        <v>80</v>
      </c>
      <c r="H12" s="33">
        <v>0</v>
      </c>
      <c r="I12" s="23">
        <v>15.086424262183236</v>
      </c>
      <c r="J12" s="5">
        <v>1107.8121057873232</v>
      </c>
      <c r="K12" s="31"/>
      <c r="L12" s="23">
        <v>36478.280036822282</v>
      </c>
      <c r="M12" s="33">
        <v>4.3993540999508703E-2</v>
      </c>
      <c r="N12" s="5">
        <v>2</v>
      </c>
      <c r="O12" s="5">
        <v>80</v>
      </c>
      <c r="P12" s="33">
        <v>0</v>
      </c>
      <c r="Q12" s="5">
        <v>15.086424262183236</v>
      </c>
      <c r="R12" s="5">
        <v>1107.8121057873232</v>
      </c>
      <c r="S12" s="31"/>
      <c r="T12" s="23">
        <v>37036.227648630411</v>
      </c>
      <c r="U12" s="33">
        <v>5.0379374999465647E-2</v>
      </c>
      <c r="V12" s="5">
        <v>2</v>
      </c>
      <c r="W12" s="5">
        <v>80</v>
      </c>
      <c r="X12" s="33">
        <v>0</v>
      </c>
      <c r="Y12" s="5">
        <v>20.803039178121509</v>
      </c>
      <c r="Z12" s="5">
        <v>1306.0454213515131</v>
      </c>
      <c r="AA12" s="35"/>
    </row>
    <row r="13" spans="2:27" x14ac:dyDescent="0.2">
      <c r="B13" s="4">
        <v>10</v>
      </c>
      <c r="C13" s="4">
        <v>922</v>
      </c>
      <c r="D13" s="23">
        <v>36478.280036822282</v>
      </c>
      <c r="E13" s="33">
        <v>4.6121291999952518E-2</v>
      </c>
      <c r="F13" s="5">
        <v>2</v>
      </c>
      <c r="G13" s="23">
        <v>80</v>
      </c>
      <c r="H13" s="33">
        <v>0</v>
      </c>
      <c r="I13" s="23">
        <v>15.086424262183236</v>
      </c>
      <c r="J13" s="5">
        <v>1107.8121057873232</v>
      </c>
      <c r="K13" s="31"/>
      <c r="L13" s="23">
        <v>36478.280036822282</v>
      </c>
      <c r="M13" s="33">
        <v>4.3606208000710467E-2</v>
      </c>
      <c r="N13" s="5">
        <v>2</v>
      </c>
      <c r="O13" s="5">
        <v>80</v>
      </c>
      <c r="P13" s="33">
        <v>0</v>
      </c>
      <c r="Q13" s="5">
        <v>15.086424262183236</v>
      </c>
      <c r="R13" s="5">
        <v>1107.8121057873232</v>
      </c>
      <c r="S13" s="31"/>
      <c r="T13" s="23">
        <v>37036.227648630411</v>
      </c>
      <c r="U13" s="33">
        <v>5.1233624999440508E-2</v>
      </c>
      <c r="V13" s="5">
        <v>2</v>
      </c>
      <c r="W13" s="5">
        <v>80</v>
      </c>
      <c r="X13" s="33">
        <v>0</v>
      </c>
      <c r="Y13" s="5">
        <v>20.803039178121509</v>
      </c>
      <c r="Z13" s="5">
        <v>1306.0454213515131</v>
      </c>
      <c r="AA13" s="35"/>
    </row>
    <row r="14" spans="2:27" x14ac:dyDescent="0.2">
      <c r="B14" s="46" t="s">
        <v>3</v>
      </c>
      <c r="C14" s="47"/>
      <c r="D14" s="9">
        <f>MIN(D4:D13)</f>
        <v>36478.280036822282</v>
      </c>
      <c r="E14" s="22">
        <f>INDEX(E4:E13, MATCH($D$14, D4:D13, 0))</f>
        <v>5.1674415999968908E-2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15.086424262183236</v>
      </c>
      <c r="J14" s="22">
        <f>INDEX(J4:J13, MATCH($D$14, D4:D13, 0))</f>
        <v>1107.8121057873232</v>
      </c>
      <c r="K14" s="32" t="e">
        <f>(D14-$D$15)/$D$15</f>
        <v>#DIV/0!</v>
      </c>
      <c r="L14" s="16">
        <f>MIN(L4:L13)</f>
        <v>36478.280036822282</v>
      </c>
      <c r="M14" s="21">
        <f>INDEX(M4:M13, MATCH($L$14, L4:L13, 0))</f>
        <v>5.6264750000991633E-2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15.086424262183236</v>
      </c>
      <c r="R14" s="21">
        <f>INDEX(R4:R13, MATCH($L$14, L4:L13, 0))</f>
        <v>1107.8121057873232</v>
      </c>
      <c r="S14" s="36" t="e">
        <f>(L14-$D$15)/$D$15</f>
        <v>#DIV/0!</v>
      </c>
      <c r="T14" s="38">
        <f>MIN(T4:T13)</f>
        <v>37036.227648630411</v>
      </c>
      <c r="U14" s="39">
        <f>INDEX(U4:U13, MATCH($T$14, T4:T13, 0))</f>
        <v>4.8934500002360437E-2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0</v>
      </c>
      <c r="Y14" s="39">
        <f>INDEX(Y4:Y13, MATCH($T$14, T4:T13, 0))</f>
        <v>20.803039178121509</v>
      </c>
      <c r="Z14" s="39">
        <f>INDEX(Z4:Z13, MATCH($T$14, T4:T13, 0))</f>
        <v>1306.0454213515131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7:C1048576">
    <cfRule type="duplicateValues" dxfId="71" priority="9"/>
    <cfRule type="duplicateValues" dxfId="70" priority="10"/>
  </conditionalFormatting>
  <conditionalFormatting sqref="C14">
    <cfRule type="duplicateValues" dxfId="69" priority="3"/>
    <cfRule type="duplicateValues" dxfId="68" priority="4"/>
  </conditionalFormatting>
  <conditionalFormatting sqref="C15:C26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9C2F-2335-724C-B60A-C8B1A3771F06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0</v>
      </c>
      <c r="T2" s="1" t="s">
        <v>19</v>
      </c>
      <c r="X2" s="1" t="e">
        <f>(X14-P14)/P14</f>
        <v>#DIV/0!</v>
      </c>
      <c r="Z2" s="1">
        <f>(Z14-R14)/R14</f>
        <v>0.30110261870200422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60</v>
      </c>
      <c r="D4" s="23">
        <v>31368.006478364801</v>
      </c>
      <c r="E4" s="33">
        <v>4.0148749999843858E-2</v>
      </c>
      <c r="F4" s="5">
        <v>2</v>
      </c>
      <c r="G4" s="23">
        <v>100</v>
      </c>
      <c r="H4" s="33">
        <v>0</v>
      </c>
      <c r="I4" s="23">
        <v>15.3792402241814</v>
      </c>
      <c r="J4" s="5">
        <v>1307.9545749568497</v>
      </c>
      <c r="K4" s="31"/>
      <c r="L4" s="23">
        <v>31368.006478364801</v>
      </c>
      <c r="M4" s="33">
        <v>4.0338833001442247E-2</v>
      </c>
      <c r="N4" s="5">
        <v>2</v>
      </c>
      <c r="O4" s="5">
        <v>100</v>
      </c>
      <c r="P4" s="33">
        <v>0</v>
      </c>
      <c r="Q4" s="5">
        <v>15.3792402241814</v>
      </c>
      <c r="R4" s="5">
        <v>1307.9545749568497</v>
      </c>
      <c r="S4" s="31"/>
      <c r="T4" s="23">
        <v>36482.328673121578</v>
      </c>
      <c r="U4" s="33">
        <v>3.982095899846172E-2</v>
      </c>
      <c r="V4" s="5">
        <v>2</v>
      </c>
      <c r="W4" s="5">
        <v>90</v>
      </c>
      <c r="X4" s="33">
        <v>0</v>
      </c>
      <c r="Y4" s="5">
        <v>26.671604641941475</v>
      </c>
      <c r="Z4" s="5">
        <v>1701.783122619624</v>
      </c>
      <c r="AA4" s="35"/>
    </row>
    <row r="5" spans="2:27" x14ac:dyDescent="0.2">
      <c r="B5" s="4">
        <v>2</v>
      </c>
      <c r="C5" s="4">
        <v>83</v>
      </c>
      <c r="D5" s="23">
        <v>31368.006478364801</v>
      </c>
      <c r="E5" s="33">
        <v>5.3552332999970531E-2</v>
      </c>
      <c r="F5" s="5">
        <v>2</v>
      </c>
      <c r="G5" s="23">
        <v>100</v>
      </c>
      <c r="H5" s="33">
        <v>0</v>
      </c>
      <c r="I5" s="23">
        <v>15.3792402241814</v>
      </c>
      <c r="J5" s="5">
        <v>1307.9545749568497</v>
      </c>
      <c r="K5" s="31"/>
      <c r="L5" s="23">
        <v>31368.006478364801</v>
      </c>
      <c r="M5" s="33">
        <v>6.6005333999783034E-2</v>
      </c>
      <c r="N5" s="5">
        <v>2</v>
      </c>
      <c r="O5" s="5">
        <v>100</v>
      </c>
      <c r="P5" s="33">
        <v>0</v>
      </c>
      <c r="Q5" s="5">
        <v>15.3792402241814</v>
      </c>
      <c r="R5" s="5">
        <v>1307.9545749568497</v>
      </c>
      <c r="S5" s="31"/>
      <c r="T5" s="23">
        <v>36482.328673121578</v>
      </c>
      <c r="U5" s="33">
        <v>8.5537584000121569E-2</v>
      </c>
      <c r="V5" s="5">
        <v>2</v>
      </c>
      <c r="W5" s="5">
        <v>90</v>
      </c>
      <c r="X5" s="33">
        <v>0</v>
      </c>
      <c r="Y5" s="5">
        <v>26.671604641941475</v>
      </c>
      <c r="Z5" s="5">
        <v>1701.783122619624</v>
      </c>
      <c r="AA5" s="35"/>
    </row>
    <row r="6" spans="2:27" x14ac:dyDescent="0.2">
      <c r="B6" s="4">
        <v>3</v>
      </c>
      <c r="C6" s="4">
        <v>465</v>
      </c>
      <c r="D6" s="23">
        <v>33616.616902538299</v>
      </c>
      <c r="E6" s="33">
        <v>3.1409749999966152E-2</v>
      </c>
      <c r="F6" s="5">
        <v>2</v>
      </c>
      <c r="G6" s="23">
        <v>100</v>
      </c>
      <c r="H6" s="33">
        <v>0</v>
      </c>
      <c r="I6" s="23">
        <v>15.37893500975866</v>
      </c>
      <c r="J6" s="5">
        <v>1543.4906776699311</v>
      </c>
      <c r="K6" s="31"/>
      <c r="L6" s="23">
        <v>31368.006478364801</v>
      </c>
      <c r="M6" s="33">
        <v>5.6064749998768093E-2</v>
      </c>
      <c r="N6" s="5">
        <v>2</v>
      </c>
      <c r="O6" s="5">
        <v>100</v>
      </c>
      <c r="P6" s="33">
        <v>0</v>
      </c>
      <c r="Q6" s="5">
        <v>15.3792402241814</v>
      </c>
      <c r="R6" s="5">
        <v>1307.9545749568497</v>
      </c>
      <c r="S6" s="31"/>
      <c r="T6" s="23">
        <v>36482.328673121578</v>
      </c>
      <c r="U6" s="33">
        <v>8.6442499999975553E-2</v>
      </c>
      <c r="V6" s="5">
        <v>2</v>
      </c>
      <c r="W6" s="5">
        <v>90</v>
      </c>
      <c r="X6" s="33">
        <v>0</v>
      </c>
      <c r="Y6" s="5">
        <v>26.671604641941475</v>
      </c>
      <c r="Z6" s="5">
        <v>1701.783122619624</v>
      </c>
      <c r="AA6" s="35"/>
    </row>
    <row r="7" spans="2:27" x14ac:dyDescent="0.2">
      <c r="B7" s="4">
        <v>4</v>
      </c>
      <c r="C7" s="4">
        <v>601</v>
      </c>
      <c r="D7" s="23">
        <v>31368.006478364801</v>
      </c>
      <c r="E7" s="33">
        <v>7.9705541999828711E-2</v>
      </c>
      <c r="F7" s="5">
        <v>2</v>
      </c>
      <c r="G7" s="23">
        <v>100</v>
      </c>
      <c r="H7" s="33">
        <v>0</v>
      </c>
      <c r="I7" s="23">
        <v>15.3792402241814</v>
      </c>
      <c r="J7" s="5">
        <v>1307.9545749568497</v>
      </c>
      <c r="K7" s="31"/>
      <c r="L7" s="23">
        <v>31368.006478364801</v>
      </c>
      <c r="M7" s="33">
        <v>5.5780292001145433E-2</v>
      </c>
      <c r="N7" s="5">
        <v>2</v>
      </c>
      <c r="O7" s="5">
        <v>100</v>
      </c>
      <c r="P7" s="33">
        <v>0</v>
      </c>
      <c r="Q7" s="5">
        <v>15.3792402241814</v>
      </c>
      <c r="R7" s="5">
        <v>1307.9545749568497</v>
      </c>
      <c r="S7" s="31"/>
      <c r="T7" s="23">
        <v>36946.089726112419</v>
      </c>
      <c r="U7" s="33">
        <v>3.158804099803092E-2</v>
      </c>
      <c r="V7" s="5">
        <v>2</v>
      </c>
      <c r="W7" s="5">
        <v>80</v>
      </c>
      <c r="X7" s="33">
        <v>0</v>
      </c>
      <c r="Y7" s="5">
        <v>21.341831439188375</v>
      </c>
      <c r="Z7" s="5">
        <v>1323.4129956829474</v>
      </c>
      <c r="AA7" s="35"/>
    </row>
    <row r="8" spans="2:27" x14ac:dyDescent="0.2">
      <c r="B8" s="4">
        <v>5</v>
      </c>
      <c r="C8" s="4">
        <v>634</v>
      </c>
      <c r="D8" s="23">
        <v>31368.006478364801</v>
      </c>
      <c r="E8" s="33">
        <v>0.10854074999997471</v>
      </c>
      <c r="F8" s="5">
        <v>2</v>
      </c>
      <c r="G8" s="23">
        <v>100</v>
      </c>
      <c r="H8" s="33">
        <v>0</v>
      </c>
      <c r="I8" s="23">
        <v>15.3792402241814</v>
      </c>
      <c r="J8" s="5">
        <v>1307.9545749568497</v>
      </c>
      <c r="K8" s="31"/>
      <c r="L8" s="23">
        <v>31368.006478364801</v>
      </c>
      <c r="M8" s="33">
        <v>9.752091699920129E-2</v>
      </c>
      <c r="N8" s="5">
        <v>2</v>
      </c>
      <c r="O8" s="5">
        <v>100</v>
      </c>
      <c r="P8" s="33">
        <v>0</v>
      </c>
      <c r="Q8" s="5">
        <v>15.3792402241814</v>
      </c>
      <c r="R8" s="5">
        <v>1307.9545749568497</v>
      </c>
      <c r="S8" s="31"/>
      <c r="T8" s="23">
        <v>36482.328673121578</v>
      </c>
      <c r="U8" s="33">
        <v>8.2100208001065766E-2</v>
      </c>
      <c r="V8" s="5">
        <v>2</v>
      </c>
      <c r="W8" s="5">
        <v>90</v>
      </c>
      <c r="X8" s="33">
        <v>0</v>
      </c>
      <c r="Y8" s="5">
        <v>26.671604641941475</v>
      </c>
      <c r="Z8" s="5">
        <v>1701.783122619624</v>
      </c>
      <c r="AA8" s="35"/>
    </row>
    <row r="9" spans="2:27" x14ac:dyDescent="0.2">
      <c r="B9" s="4">
        <v>6</v>
      </c>
      <c r="C9" s="4">
        <v>775</v>
      </c>
      <c r="D9" s="23">
        <v>31368.006478364801</v>
      </c>
      <c r="E9" s="33">
        <v>4.484658399996988E-2</v>
      </c>
      <c r="F9" s="5">
        <v>2</v>
      </c>
      <c r="G9" s="23">
        <v>100</v>
      </c>
      <c r="H9" s="33">
        <v>0</v>
      </c>
      <c r="I9" s="23">
        <v>15.3792402241814</v>
      </c>
      <c r="J9" s="5">
        <v>1307.9545749568497</v>
      </c>
      <c r="K9" s="31"/>
      <c r="L9" s="23">
        <v>31368.006478364801</v>
      </c>
      <c r="M9" s="33">
        <v>8.0286000000342028E-2</v>
      </c>
      <c r="N9" s="5">
        <v>2</v>
      </c>
      <c r="O9" s="5">
        <v>100</v>
      </c>
      <c r="P9" s="33">
        <v>0</v>
      </c>
      <c r="Q9" s="5">
        <v>15.3792402241814</v>
      </c>
      <c r="R9" s="5">
        <v>1307.9545749568497</v>
      </c>
      <c r="S9" s="31"/>
      <c r="T9" s="23">
        <v>36482.328673121578</v>
      </c>
      <c r="U9" s="33">
        <v>4.848495899932459E-2</v>
      </c>
      <c r="V9" s="5">
        <v>2</v>
      </c>
      <c r="W9" s="5">
        <v>90</v>
      </c>
      <c r="X9" s="33">
        <v>0</v>
      </c>
      <c r="Y9" s="5">
        <v>26.671604641941475</v>
      </c>
      <c r="Z9" s="5">
        <v>1701.783122619624</v>
      </c>
      <c r="AA9" s="35"/>
    </row>
    <row r="10" spans="2:27" x14ac:dyDescent="0.2">
      <c r="B10" s="4">
        <v>7</v>
      </c>
      <c r="C10" s="4">
        <v>867</v>
      </c>
      <c r="D10" s="23">
        <v>31368.006478364801</v>
      </c>
      <c r="E10" s="33">
        <v>3.8765332999901148E-2</v>
      </c>
      <c r="F10" s="5">
        <v>2</v>
      </c>
      <c r="G10" s="23">
        <v>100</v>
      </c>
      <c r="H10" s="33">
        <v>0</v>
      </c>
      <c r="I10" s="23">
        <v>15.3792402241814</v>
      </c>
      <c r="J10" s="5">
        <v>1307.9545749568497</v>
      </c>
      <c r="K10" s="31"/>
      <c r="L10" s="23">
        <v>31368.006478364801</v>
      </c>
      <c r="M10" s="33">
        <v>5.4698500000085908E-2</v>
      </c>
      <c r="N10" s="5">
        <v>2</v>
      </c>
      <c r="O10" s="5">
        <v>100</v>
      </c>
      <c r="P10" s="33">
        <v>0</v>
      </c>
      <c r="Q10" s="5">
        <v>15.3792402241814</v>
      </c>
      <c r="R10" s="5">
        <v>1307.9545749568497</v>
      </c>
      <c r="S10" s="31"/>
      <c r="T10" s="23">
        <v>36482.328673121578</v>
      </c>
      <c r="U10" s="33">
        <v>4.0465957998094382E-2</v>
      </c>
      <c r="V10" s="5">
        <v>2</v>
      </c>
      <c r="W10" s="5">
        <v>90</v>
      </c>
      <c r="X10" s="33">
        <v>0</v>
      </c>
      <c r="Y10" s="5">
        <v>26.671604641941475</v>
      </c>
      <c r="Z10" s="5">
        <v>1701.783122619624</v>
      </c>
      <c r="AA10" s="35"/>
    </row>
    <row r="11" spans="2:27" x14ac:dyDescent="0.2">
      <c r="B11" s="4">
        <v>8</v>
      </c>
      <c r="C11" s="4">
        <v>900</v>
      </c>
      <c r="D11" s="23">
        <v>31368.006478364801</v>
      </c>
      <c r="E11" s="33">
        <v>7.3914167000111775E-2</v>
      </c>
      <c r="F11" s="5">
        <v>2</v>
      </c>
      <c r="G11" s="23">
        <v>100</v>
      </c>
      <c r="H11" s="33">
        <v>0</v>
      </c>
      <c r="I11" s="23">
        <v>15.3792402241814</v>
      </c>
      <c r="J11" s="5">
        <v>1307.9545749568497</v>
      </c>
      <c r="K11" s="31"/>
      <c r="L11" s="23">
        <v>31368.006478364801</v>
      </c>
      <c r="M11" s="33">
        <v>6.6807957999117207E-2</v>
      </c>
      <c r="N11" s="5">
        <v>2</v>
      </c>
      <c r="O11" s="5">
        <v>100</v>
      </c>
      <c r="P11" s="33">
        <v>0</v>
      </c>
      <c r="Q11" s="5">
        <v>15.3792402241814</v>
      </c>
      <c r="R11" s="5">
        <v>1307.9545749568497</v>
      </c>
      <c r="S11" s="31"/>
      <c r="T11" s="23">
        <v>36482.328673121578</v>
      </c>
      <c r="U11" s="33">
        <v>9.8940957999730017E-2</v>
      </c>
      <c r="V11" s="5">
        <v>2</v>
      </c>
      <c r="W11" s="5">
        <v>90</v>
      </c>
      <c r="X11" s="33">
        <v>0</v>
      </c>
      <c r="Y11" s="5">
        <v>26.671604641941475</v>
      </c>
      <c r="Z11" s="5">
        <v>1701.783122619624</v>
      </c>
      <c r="AA11" s="35"/>
    </row>
    <row r="12" spans="2:27" x14ac:dyDescent="0.2">
      <c r="B12" s="4">
        <v>9</v>
      </c>
      <c r="C12" s="4">
        <v>908</v>
      </c>
      <c r="D12" s="23">
        <v>31368.006478364801</v>
      </c>
      <c r="E12" s="33">
        <v>6.8378791000213823E-2</v>
      </c>
      <c r="F12" s="5">
        <v>2</v>
      </c>
      <c r="G12" s="23">
        <v>100</v>
      </c>
      <c r="H12" s="33">
        <v>0</v>
      </c>
      <c r="I12" s="23">
        <v>15.3792402241814</v>
      </c>
      <c r="J12" s="5">
        <v>1307.9545749568497</v>
      </c>
      <c r="K12" s="31"/>
      <c r="L12" s="23">
        <v>31368.006478364801</v>
      </c>
      <c r="M12" s="33">
        <v>5.5768832997273421E-2</v>
      </c>
      <c r="N12" s="5">
        <v>2</v>
      </c>
      <c r="O12" s="5">
        <v>100</v>
      </c>
      <c r="P12" s="33">
        <v>0</v>
      </c>
      <c r="Q12" s="5">
        <v>15.3792402241814</v>
      </c>
      <c r="R12" s="5">
        <v>1307.9545749568497</v>
      </c>
      <c r="S12" s="31"/>
      <c r="T12" s="23">
        <v>36482.328673121578</v>
      </c>
      <c r="U12" s="33">
        <v>0.1039850000015576</v>
      </c>
      <c r="V12" s="5">
        <v>2</v>
      </c>
      <c r="W12" s="5">
        <v>90</v>
      </c>
      <c r="X12" s="33">
        <v>0</v>
      </c>
      <c r="Y12" s="5">
        <v>26.671604641941475</v>
      </c>
      <c r="Z12" s="5">
        <v>1701.783122619624</v>
      </c>
      <c r="AA12" s="35"/>
    </row>
    <row r="13" spans="2:27" x14ac:dyDescent="0.2">
      <c r="B13" s="4">
        <v>10</v>
      </c>
      <c r="C13" s="4">
        <v>964</v>
      </c>
      <c r="D13" s="23">
        <v>31368.006478364801</v>
      </c>
      <c r="E13" s="33">
        <v>9.2023041000174999E-2</v>
      </c>
      <c r="F13" s="5">
        <v>2</v>
      </c>
      <c r="G13" s="23">
        <v>100</v>
      </c>
      <c r="H13" s="33">
        <v>0</v>
      </c>
      <c r="I13" s="23">
        <v>15.3792402241814</v>
      </c>
      <c r="J13" s="5">
        <v>1307.9545749568497</v>
      </c>
      <c r="K13" s="31"/>
      <c r="L13" s="23">
        <v>31368.006478364801</v>
      </c>
      <c r="M13" s="33">
        <v>6.9579750001139473E-2</v>
      </c>
      <c r="N13" s="5">
        <v>2</v>
      </c>
      <c r="O13" s="5">
        <v>100</v>
      </c>
      <c r="P13" s="33">
        <v>0</v>
      </c>
      <c r="Q13" s="5">
        <v>15.3792402241814</v>
      </c>
      <c r="R13" s="5">
        <v>1307.9545749568497</v>
      </c>
      <c r="S13" s="31"/>
      <c r="T13" s="23">
        <v>36482.328673121578</v>
      </c>
      <c r="U13" s="33">
        <v>6.3754708000487881E-2</v>
      </c>
      <c r="V13" s="5">
        <v>2</v>
      </c>
      <c r="W13" s="5">
        <v>90</v>
      </c>
      <c r="X13" s="33">
        <v>0</v>
      </c>
      <c r="Y13" s="5">
        <v>26.671604641941475</v>
      </c>
      <c r="Z13" s="5">
        <v>1701.783122619624</v>
      </c>
      <c r="AA13" s="35"/>
    </row>
    <row r="14" spans="2:27" x14ac:dyDescent="0.2">
      <c r="B14" s="46" t="s">
        <v>3</v>
      </c>
      <c r="C14" s="47"/>
      <c r="D14" s="9">
        <f>MIN(D4:D13)</f>
        <v>31368.006478364801</v>
      </c>
      <c r="E14" s="22">
        <f>INDEX(E4:E13, MATCH($D$14, D4:D13, 0))</f>
        <v>4.0148749999843858E-2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15.3792402241814</v>
      </c>
      <c r="J14" s="22">
        <f>INDEX(J4:J13, MATCH($D$14, D4:D13, 0))</f>
        <v>1307.9545749568497</v>
      </c>
      <c r="K14" s="32" t="e">
        <f>(D14-$D$15)/$D$15</f>
        <v>#DIV/0!</v>
      </c>
      <c r="L14" s="16">
        <f>MIN(L4:L13)</f>
        <v>31368.006478364801</v>
      </c>
      <c r="M14" s="21">
        <f>INDEX(M4:M13, MATCH($L$14, L4:L13, 0))</f>
        <v>4.0338833001442247E-2</v>
      </c>
      <c r="N14" s="16">
        <f>INDEX(N4:N13, MATCH($L$14, L4:L13, 0))</f>
        <v>2</v>
      </c>
      <c r="O14" s="16">
        <f>INDEX(O4:O13, MATCH($L$14, L4:L13, 0))</f>
        <v>100</v>
      </c>
      <c r="P14" s="21">
        <f>INDEX(P4:P13, MATCH($L$14, L4:L13, 0))</f>
        <v>0</v>
      </c>
      <c r="Q14" s="21">
        <f>INDEX(Q4:Q13, MATCH($L$14, L4:L13, 0))</f>
        <v>15.3792402241814</v>
      </c>
      <c r="R14" s="21">
        <f>INDEX(R4:R13, MATCH($L$14, L4:L13, 0))</f>
        <v>1307.9545749568497</v>
      </c>
      <c r="S14" s="36" t="e">
        <f>(L14-$D$15)/$D$15</f>
        <v>#DIV/0!</v>
      </c>
      <c r="T14" s="38">
        <f>MIN(T4:T13)</f>
        <v>36482.328673121578</v>
      </c>
      <c r="U14" s="39">
        <f>INDEX(U4:U13, MATCH($T$14, T4:T13, 0))</f>
        <v>3.982095899846172E-2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26.671604641941475</v>
      </c>
      <c r="Z14" s="39">
        <f>INDEX(Z4:Z13, MATCH($T$14, T4:T13, 0))</f>
        <v>1701.783122619624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7:C1048576">
    <cfRule type="duplicateValues" dxfId="67" priority="9"/>
    <cfRule type="duplicateValues" dxfId="66" priority="10"/>
  </conditionalFormatting>
  <conditionalFormatting sqref="C14">
    <cfRule type="duplicateValues" dxfId="65" priority="3"/>
    <cfRule type="duplicateValues" dxfId="64" priority="4"/>
  </conditionalFormatting>
  <conditionalFormatting sqref="C15:C26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4BF8-D4D7-DE46-851D-CC51CE98A97D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0</v>
      </c>
      <c r="T2" s="1" t="s">
        <v>19</v>
      </c>
      <c r="X2" s="1" t="e">
        <f>(X14-P14)/P14</f>
        <v>#DIV/0!</v>
      </c>
      <c r="Z2" s="1">
        <f>(Z14-R14)/R14</f>
        <v>0.31267245292338597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</v>
      </c>
      <c r="D4" s="23">
        <v>31547.611761693519</v>
      </c>
      <c r="E4" s="33">
        <v>5.7883583000148058E-2</v>
      </c>
      <c r="F4" s="5">
        <v>2</v>
      </c>
      <c r="G4" s="23">
        <v>90</v>
      </c>
      <c r="H4" s="33">
        <v>0</v>
      </c>
      <c r="I4" s="23">
        <v>10.812395354427663</v>
      </c>
      <c r="J4" s="5">
        <v>984.51478134749721</v>
      </c>
      <c r="K4" s="31"/>
      <c r="L4" s="23">
        <v>31547.611761693519</v>
      </c>
      <c r="M4" s="33">
        <v>5.9971457998472033E-2</v>
      </c>
      <c r="N4" s="5">
        <v>2</v>
      </c>
      <c r="O4" s="5">
        <v>90</v>
      </c>
      <c r="P4" s="33">
        <v>0</v>
      </c>
      <c r="Q4" s="5">
        <v>10.812395354427663</v>
      </c>
      <c r="R4" s="5">
        <v>984.51478134749721</v>
      </c>
      <c r="S4" s="31"/>
      <c r="T4" s="23">
        <v>32366.689611354512</v>
      </c>
      <c r="U4" s="33">
        <v>7.0522959002119023E-2</v>
      </c>
      <c r="V4" s="5">
        <v>2</v>
      </c>
      <c r="W4" s="5">
        <v>90</v>
      </c>
      <c r="X4" s="33">
        <v>0</v>
      </c>
      <c r="Y4" s="5">
        <v>20.263802997188016</v>
      </c>
      <c r="Z4" s="5">
        <v>1292.3454329707502</v>
      </c>
      <c r="AA4" s="35"/>
    </row>
    <row r="5" spans="2:27" x14ac:dyDescent="0.2">
      <c r="B5" s="4">
        <v>2</v>
      </c>
      <c r="C5" s="4">
        <v>13</v>
      </c>
      <c r="D5" s="23">
        <v>31547.611761693519</v>
      </c>
      <c r="E5" s="33">
        <v>6.5708000000086031E-2</v>
      </c>
      <c r="F5" s="5">
        <v>2</v>
      </c>
      <c r="G5" s="23">
        <v>90</v>
      </c>
      <c r="H5" s="33">
        <v>0</v>
      </c>
      <c r="I5" s="23">
        <v>10.812395354427663</v>
      </c>
      <c r="J5" s="5">
        <v>984.51478134749721</v>
      </c>
      <c r="K5" s="31"/>
      <c r="L5" s="23">
        <v>31547.611761693519</v>
      </c>
      <c r="M5" s="33">
        <v>7.2583582998049678E-2</v>
      </c>
      <c r="N5" s="5">
        <v>2</v>
      </c>
      <c r="O5" s="5">
        <v>90</v>
      </c>
      <c r="P5" s="33">
        <v>0</v>
      </c>
      <c r="Q5" s="5">
        <v>10.812395354427663</v>
      </c>
      <c r="R5" s="5">
        <v>984.51478134749721</v>
      </c>
      <c r="S5" s="31"/>
      <c r="T5" s="23">
        <v>32673.57801697978</v>
      </c>
      <c r="U5" s="33">
        <v>3.711216599913314E-2</v>
      </c>
      <c r="V5" s="5">
        <v>2</v>
      </c>
      <c r="W5" s="5">
        <v>90</v>
      </c>
      <c r="X5" s="33">
        <v>0</v>
      </c>
      <c r="Y5" s="5">
        <v>18.490021304653581</v>
      </c>
      <c r="Z5" s="5">
        <v>1248.6831580476055</v>
      </c>
      <c r="AA5" s="35"/>
    </row>
    <row r="6" spans="2:27" x14ac:dyDescent="0.2">
      <c r="B6" s="4">
        <v>3</v>
      </c>
      <c r="C6" s="4">
        <v>34</v>
      </c>
      <c r="D6" s="23">
        <v>31547.611761693519</v>
      </c>
      <c r="E6" s="33">
        <v>5.9873999999581429E-2</v>
      </c>
      <c r="F6" s="5">
        <v>2</v>
      </c>
      <c r="G6" s="23">
        <v>90</v>
      </c>
      <c r="H6" s="33">
        <v>0</v>
      </c>
      <c r="I6" s="23">
        <v>10.812395354427663</v>
      </c>
      <c r="J6" s="5">
        <v>984.51478134749721</v>
      </c>
      <c r="K6" s="31"/>
      <c r="L6" s="23">
        <v>31547.611761693519</v>
      </c>
      <c r="M6" s="33">
        <v>6.5851708000991493E-2</v>
      </c>
      <c r="N6" s="5">
        <v>2</v>
      </c>
      <c r="O6" s="5">
        <v>90</v>
      </c>
      <c r="P6" s="33">
        <v>0</v>
      </c>
      <c r="Q6" s="5">
        <v>10.812395354427663</v>
      </c>
      <c r="R6" s="5">
        <v>984.51478134749721</v>
      </c>
      <c r="S6" s="31"/>
      <c r="T6" s="23">
        <v>32366.689611354512</v>
      </c>
      <c r="U6" s="33">
        <v>6.1552625000331318E-2</v>
      </c>
      <c r="V6" s="5">
        <v>2</v>
      </c>
      <c r="W6" s="5">
        <v>90</v>
      </c>
      <c r="X6" s="33">
        <v>0</v>
      </c>
      <c r="Y6" s="5">
        <v>20.263802997188016</v>
      </c>
      <c r="Z6" s="5">
        <v>1292.3454329707502</v>
      </c>
      <c r="AA6" s="35"/>
    </row>
    <row r="7" spans="2:27" x14ac:dyDescent="0.2">
      <c r="B7" s="4">
        <v>4</v>
      </c>
      <c r="C7" s="4">
        <v>438</v>
      </c>
      <c r="D7" s="23">
        <v>31547.611761693519</v>
      </c>
      <c r="E7" s="33">
        <v>5.3139415999794437E-2</v>
      </c>
      <c r="F7" s="5">
        <v>2</v>
      </c>
      <c r="G7" s="23">
        <v>90</v>
      </c>
      <c r="H7" s="33">
        <v>0</v>
      </c>
      <c r="I7" s="23">
        <v>10.812395354427663</v>
      </c>
      <c r="J7" s="5">
        <v>984.51478134749721</v>
      </c>
      <c r="K7" s="31"/>
      <c r="L7" s="23">
        <v>31547.611761693519</v>
      </c>
      <c r="M7" s="33">
        <v>5.7209416998375673E-2</v>
      </c>
      <c r="N7" s="5">
        <v>2</v>
      </c>
      <c r="O7" s="5">
        <v>90</v>
      </c>
      <c r="P7" s="33">
        <v>0</v>
      </c>
      <c r="Q7" s="5">
        <v>10.812395354427663</v>
      </c>
      <c r="R7" s="5">
        <v>984.51478134749721</v>
      </c>
      <c r="S7" s="31"/>
      <c r="T7" s="23">
        <v>32366.689611354512</v>
      </c>
      <c r="U7" s="33">
        <v>5.5450708001444582E-2</v>
      </c>
      <c r="V7" s="5">
        <v>2</v>
      </c>
      <c r="W7" s="5">
        <v>90</v>
      </c>
      <c r="X7" s="33">
        <v>0</v>
      </c>
      <c r="Y7" s="5">
        <v>20.263802997188016</v>
      </c>
      <c r="Z7" s="5">
        <v>1292.3454329707502</v>
      </c>
      <c r="AA7" s="35"/>
    </row>
    <row r="8" spans="2:27" x14ac:dyDescent="0.2">
      <c r="B8" s="4">
        <v>5</v>
      </c>
      <c r="C8" s="4">
        <v>529</v>
      </c>
      <c r="D8" s="23">
        <v>31547.611761693519</v>
      </c>
      <c r="E8" s="33">
        <v>4.9169792000157031E-2</v>
      </c>
      <c r="F8" s="5">
        <v>2</v>
      </c>
      <c r="G8" s="23">
        <v>90</v>
      </c>
      <c r="H8" s="33">
        <v>0</v>
      </c>
      <c r="I8" s="23">
        <v>10.812395354427663</v>
      </c>
      <c r="J8" s="5">
        <v>984.51478134749721</v>
      </c>
      <c r="K8" s="31"/>
      <c r="L8" s="23">
        <v>31547.611761693519</v>
      </c>
      <c r="M8" s="33">
        <v>5.2618958001403371E-2</v>
      </c>
      <c r="N8" s="5">
        <v>2</v>
      </c>
      <c r="O8" s="5">
        <v>90</v>
      </c>
      <c r="P8" s="33">
        <v>0</v>
      </c>
      <c r="Q8" s="5">
        <v>10.812395354427663</v>
      </c>
      <c r="R8" s="5">
        <v>984.51478134749721</v>
      </c>
      <c r="S8" s="31"/>
      <c r="T8" s="23">
        <v>32366.689611354512</v>
      </c>
      <c r="U8" s="33">
        <v>7.3889291001250967E-2</v>
      </c>
      <c r="V8" s="5">
        <v>2</v>
      </c>
      <c r="W8" s="5">
        <v>90</v>
      </c>
      <c r="X8" s="33">
        <v>0</v>
      </c>
      <c r="Y8" s="5">
        <v>20.263802997188016</v>
      </c>
      <c r="Z8" s="5">
        <v>1292.3454329707502</v>
      </c>
      <c r="AA8" s="35"/>
    </row>
    <row r="9" spans="2:27" x14ac:dyDescent="0.2">
      <c r="B9" s="4">
        <v>6</v>
      </c>
      <c r="C9" s="4">
        <v>788</v>
      </c>
      <c r="D9" s="23">
        <v>31547.611761693519</v>
      </c>
      <c r="E9" s="33">
        <v>4.2377708999993047E-2</v>
      </c>
      <c r="F9" s="5">
        <v>2</v>
      </c>
      <c r="G9" s="23">
        <v>90</v>
      </c>
      <c r="H9" s="33">
        <v>0</v>
      </c>
      <c r="I9" s="23">
        <v>10.812395354427663</v>
      </c>
      <c r="J9" s="5">
        <v>984.51478134749721</v>
      </c>
      <c r="K9" s="31"/>
      <c r="L9" s="23">
        <v>31547.611761693519</v>
      </c>
      <c r="M9" s="33">
        <v>4.9307124998449581E-2</v>
      </c>
      <c r="N9" s="5">
        <v>2</v>
      </c>
      <c r="O9" s="5">
        <v>90</v>
      </c>
      <c r="P9" s="33">
        <v>0</v>
      </c>
      <c r="Q9" s="5">
        <v>10.812395354427663</v>
      </c>
      <c r="R9" s="5">
        <v>984.51478134749721</v>
      </c>
      <c r="S9" s="31"/>
      <c r="T9" s="23">
        <v>32366.689611354512</v>
      </c>
      <c r="U9" s="33">
        <v>5.8385583000926999E-2</v>
      </c>
      <c r="V9" s="5">
        <v>2</v>
      </c>
      <c r="W9" s="5">
        <v>90</v>
      </c>
      <c r="X9" s="33">
        <v>0</v>
      </c>
      <c r="Y9" s="5">
        <v>20.263802997188016</v>
      </c>
      <c r="Z9" s="5">
        <v>1292.3454329707502</v>
      </c>
      <c r="AA9" s="35"/>
    </row>
    <row r="10" spans="2:27" x14ac:dyDescent="0.2">
      <c r="B10" s="4">
        <v>7</v>
      </c>
      <c r="C10" s="4">
        <v>899</v>
      </c>
      <c r="D10" s="23">
        <v>31547.611761693519</v>
      </c>
      <c r="E10" s="33">
        <v>3.8283333999970637E-2</v>
      </c>
      <c r="F10" s="5">
        <v>2</v>
      </c>
      <c r="G10" s="23">
        <v>90</v>
      </c>
      <c r="H10" s="33">
        <v>0</v>
      </c>
      <c r="I10" s="23">
        <v>10.812395354427663</v>
      </c>
      <c r="J10" s="5">
        <v>984.51478134749721</v>
      </c>
      <c r="K10" s="31"/>
      <c r="L10" s="23">
        <v>31547.611761693519</v>
      </c>
      <c r="M10" s="33">
        <v>4.1617874998337363E-2</v>
      </c>
      <c r="N10" s="5">
        <v>2</v>
      </c>
      <c r="O10" s="5">
        <v>90</v>
      </c>
      <c r="P10" s="33">
        <v>0</v>
      </c>
      <c r="Q10" s="5">
        <v>10.812395354427663</v>
      </c>
      <c r="R10" s="5">
        <v>984.51478134749721</v>
      </c>
      <c r="S10" s="31"/>
      <c r="T10" s="23">
        <v>32366.689611354512</v>
      </c>
      <c r="U10" s="33">
        <v>4.30594999997993E-2</v>
      </c>
      <c r="V10" s="5">
        <v>2</v>
      </c>
      <c r="W10" s="5">
        <v>90</v>
      </c>
      <c r="X10" s="33">
        <v>0</v>
      </c>
      <c r="Y10" s="5">
        <v>20.263802997188016</v>
      </c>
      <c r="Z10" s="5">
        <v>1292.3454329707502</v>
      </c>
      <c r="AA10" s="35"/>
    </row>
    <row r="11" spans="2:27" x14ac:dyDescent="0.2">
      <c r="B11" s="4">
        <v>8</v>
      </c>
      <c r="C11" s="4">
        <v>937</v>
      </c>
      <c r="D11" s="23">
        <v>31547.611761693519</v>
      </c>
      <c r="E11" s="33">
        <v>6.0997292000138259E-2</v>
      </c>
      <c r="F11" s="5">
        <v>2</v>
      </c>
      <c r="G11" s="23">
        <v>90</v>
      </c>
      <c r="H11" s="33">
        <v>0</v>
      </c>
      <c r="I11" s="23">
        <v>10.812395354427663</v>
      </c>
      <c r="J11" s="5">
        <v>984.51478134749721</v>
      </c>
      <c r="K11" s="31"/>
      <c r="L11" s="23">
        <v>31547.611761693519</v>
      </c>
      <c r="M11" s="33">
        <v>6.4227999999275198E-2</v>
      </c>
      <c r="N11" s="5">
        <v>2</v>
      </c>
      <c r="O11" s="5">
        <v>90</v>
      </c>
      <c r="P11" s="33">
        <v>0</v>
      </c>
      <c r="Q11" s="5">
        <v>10.812395354427663</v>
      </c>
      <c r="R11" s="5">
        <v>984.51478134749721</v>
      </c>
      <c r="S11" s="31"/>
      <c r="T11" s="23">
        <v>32366.689611354512</v>
      </c>
      <c r="U11" s="33">
        <v>5.9466833998158108E-2</v>
      </c>
      <c r="V11" s="5">
        <v>2</v>
      </c>
      <c r="W11" s="5">
        <v>90</v>
      </c>
      <c r="X11" s="33">
        <v>0</v>
      </c>
      <c r="Y11" s="5">
        <v>20.263802997188016</v>
      </c>
      <c r="Z11" s="5">
        <v>1292.3454329707502</v>
      </c>
      <c r="AA11" s="35"/>
    </row>
    <row r="12" spans="2:27" x14ac:dyDescent="0.2">
      <c r="B12" s="4">
        <v>9</v>
      </c>
      <c r="C12" s="4">
        <v>955</v>
      </c>
      <c r="D12" s="23">
        <v>31547.611761693519</v>
      </c>
      <c r="E12" s="33">
        <v>6.2067165999906138E-2</v>
      </c>
      <c r="F12" s="5">
        <v>2</v>
      </c>
      <c r="G12" s="23">
        <v>90</v>
      </c>
      <c r="H12" s="33">
        <v>0</v>
      </c>
      <c r="I12" s="23">
        <v>10.812395354427663</v>
      </c>
      <c r="J12" s="5">
        <v>984.51478134749721</v>
      </c>
      <c r="K12" s="31"/>
      <c r="L12" s="23">
        <v>31547.611761693519</v>
      </c>
      <c r="M12" s="33">
        <v>6.6747041000780882E-2</v>
      </c>
      <c r="N12" s="5">
        <v>2</v>
      </c>
      <c r="O12" s="5">
        <v>90</v>
      </c>
      <c r="P12" s="33">
        <v>0</v>
      </c>
      <c r="Q12" s="5">
        <v>10.812395354427663</v>
      </c>
      <c r="R12" s="5">
        <v>984.51478134749721</v>
      </c>
      <c r="S12" s="31"/>
      <c r="T12" s="23">
        <v>32366.689611354512</v>
      </c>
      <c r="U12" s="33">
        <v>6.9373165999422781E-2</v>
      </c>
      <c r="V12" s="5">
        <v>2</v>
      </c>
      <c r="W12" s="5">
        <v>90</v>
      </c>
      <c r="X12" s="33">
        <v>0</v>
      </c>
      <c r="Y12" s="5">
        <v>20.263802997188016</v>
      </c>
      <c r="Z12" s="5">
        <v>1292.3454329707502</v>
      </c>
      <c r="AA12" s="35"/>
    </row>
    <row r="13" spans="2:27" x14ac:dyDescent="0.2">
      <c r="B13" s="4">
        <v>10</v>
      </c>
      <c r="C13" s="4">
        <v>997</v>
      </c>
      <c r="D13" s="23">
        <v>31547.611761693519</v>
      </c>
      <c r="E13" s="33">
        <v>5.7682166999711633E-2</v>
      </c>
      <c r="F13" s="5">
        <v>2</v>
      </c>
      <c r="G13" s="23">
        <v>90</v>
      </c>
      <c r="H13" s="33">
        <v>0</v>
      </c>
      <c r="I13" s="23">
        <v>10.812395354427663</v>
      </c>
      <c r="J13" s="5">
        <v>984.51478134749721</v>
      </c>
      <c r="K13" s="31"/>
      <c r="L13" s="23">
        <v>31547.611761693519</v>
      </c>
      <c r="M13" s="33">
        <v>6.2376249999942963E-2</v>
      </c>
      <c r="N13" s="5">
        <v>2</v>
      </c>
      <c r="O13" s="5">
        <v>90</v>
      </c>
      <c r="P13" s="33">
        <v>0</v>
      </c>
      <c r="Q13" s="5">
        <v>10.812395354427663</v>
      </c>
      <c r="R13" s="5">
        <v>984.51478134749721</v>
      </c>
      <c r="S13" s="31"/>
      <c r="T13" s="23">
        <v>32366.689611354512</v>
      </c>
      <c r="U13" s="33">
        <v>5.4925500000535983E-2</v>
      </c>
      <c r="V13" s="5">
        <v>2</v>
      </c>
      <c r="W13" s="5">
        <v>90</v>
      </c>
      <c r="X13" s="33">
        <v>0</v>
      </c>
      <c r="Y13" s="5">
        <v>20.263802997188016</v>
      </c>
      <c r="Z13" s="5">
        <v>1292.3454329707502</v>
      </c>
      <c r="AA13" s="35"/>
    </row>
    <row r="14" spans="2:27" x14ac:dyDescent="0.2">
      <c r="B14" s="46" t="s">
        <v>3</v>
      </c>
      <c r="C14" s="47"/>
      <c r="D14" s="9">
        <f>MIN(D4:D13)</f>
        <v>31547.611761693519</v>
      </c>
      <c r="E14" s="22">
        <f>INDEX(E4:E13, MATCH($D$14, D4:D13, 0))</f>
        <v>5.7883583000148058E-2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10.812395354427663</v>
      </c>
      <c r="J14" s="22">
        <f>INDEX(J4:J13, MATCH($D$14, D4:D13, 0))</f>
        <v>984.51478134749721</v>
      </c>
      <c r="K14" s="32" t="e">
        <f>(D14-$D$15)/$D$15</f>
        <v>#DIV/0!</v>
      </c>
      <c r="L14" s="16">
        <f>MIN(L4:L13)</f>
        <v>31547.611761693519</v>
      </c>
      <c r="M14" s="21">
        <f>INDEX(M4:M13, MATCH($L$14, L4:L13, 0))</f>
        <v>5.9971457998472033E-2</v>
      </c>
      <c r="N14" s="16">
        <f>INDEX(N4:N13, MATCH($L$14, L4:L13, 0))</f>
        <v>2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10.812395354427663</v>
      </c>
      <c r="R14" s="21">
        <f>INDEX(R4:R13, MATCH($L$14, L4:L13, 0))</f>
        <v>984.51478134749721</v>
      </c>
      <c r="S14" s="36" t="e">
        <f>(L14-$D$15)/$D$15</f>
        <v>#DIV/0!</v>
      </c>
      <c r="T14" s="38">
        <f>MIN(T4:T13)</f>
        <v>32366.689611354512</v>
      </c>
      <c r="U14" s="39">
        <f>INDEX(U4:U13, MATCH($T$14, T4:T13, 0))</f>
        <v>7.0522959002119023E-2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20.263802997188016</v>
      </c>
      <c r="Z14" s="39">
        <f>INDEX(Z4:Z13, MATCH($T$14, T4:T13, 0))</f>
        <v>1292.3454329707502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7:C1048576">
    <cfRule type="duplicateValues" dxfId="63" priority="9"/>
    <cfRule type="duplicateValues" dxfId="62" priority="10"/>
  </conditionalFormatting>
  <conditionalFormatting sqref="C14">
    <cfRule type="duplicateValues" dxfId="61" priority="3"/>
    <cfRule type="duplicateValues" dxfId="60" priority="4"/>
  </conditionalFormatting>
  <conditionalFormatting sqref="C15:C26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BF2F-3AF7-2048-BEDB-4416FDA2C2C3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0</v>
      </c>
      <c r="T2" s="1" t="s">
        <v>19</v>
      </c>
      <c r="X2" s="1" t="e">
        <f>(X14-P14)/P14</f>
        <v>#DIV/0!</v>
      </c>
      <c r="Z2" s="1">
        <f>(Z14-R14)/R14</f>
        <v>0.13277749200491579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389</v>
      </c>
      <c r="D4" s="23">
        <v>35751.253238267462</v>
      </c>
      <c r="E4" s="33">
        <v>2.9703374999826341E-2</v>
      </c>
      <c r="F4" s="5">
        <v>2</v>
      </c>
      <c r="G4" s="23">
        <v>80</v>
      </c>
      <c r="H4" s="33">
        <v>0</v>
      </c>
      <c r="I4" s="23">
        <v>20.86494463270185</v>
      </c>
      <c r="J4" s="5">
        <v>1279.50848356661</v>
      </c>
      <c r="K4" s="31"/>
      <c r="L4" s="23">
        <v>35751.253238267462</v>
      </c>
      <c r="M4" s="33">
        <v>6.4892709000559989E-2</v>
      </c>
      <c r="N4" s="5">
        <v>2</v>
      </c>
      <c r="O4" s="5">
        <v>80</v>
      </c>
      <c r="P4" s="33">
        <v>0</v>
      </c>
      <c r="Q4" s="5">
        <v>20.86494463270185</v>
      </c>
      <c r="R4" s="5">
        <v>1279.50848356661</v>
      </c>
      <c r="S4" s="31"/>
      <c r="T4" s="23">
        <v>35632.842506169458</v>
      </c>
      <c r="U4" s="33">
        <v>2.9445166997902561E-2</v>
      </c>
      <c r="V4" s="5">
        <v>2</v>
      </c>
      <c r="W4" s="5">
        <v>80</v>
      </c>
      <c r="X4" s="33">
        <v>9.3464872830475088</v>
      </c>
      <c r="Y4" s="5">
        <v>29.79272290940542</v>
      </c>
      <c r="Z4" s="5">
        <v>1466.233747552059</v>
      </c>
      <c r="AA4" s="35"/>
    </row>
    <row r="5" spans="2:27" x14ac:dyDescent="0.2">
      <c r="B5" s="4">
        <v>2</v>
      </c>
      <c r="C5" s="4">
        <v>558</v>
      </c>
      <c r="D5" s="23">
        <v>35751.253238267462</v>
      </c>
      <c r="E5" s="33">
        <v>7.2184167000159505E-2</v>
      </c>
      <c r="F5" s="5">
        <v>2</v>
      </c>
      <c r="G5" s="23">
        <v>80</v>
      </c>
      <c r="H5" s="33">
        <v>0</v>
      </c>
      <c r="I5" s="23">
        <v>20.86494463270185</v>
      </c>
      <c r="J5" s="5">
        <v>1279.50848356661</v>
      </c>
      <c r="K5" s="31"/>
      <c r="L5" s="23">
        <v>35751.253238267462</v>
      </c>
      <c r="M5" s="33">
        <v>4.8309582998626872E-2</v>
      </c>
      <c r="N5" s="5">
        <v>2</v>
      </c>
      <c r="O5" s="5">
        <v>80</v>
      </c>
      <c r="P5" s="33">
        <v>0</v>
      </c>
      <c r="Q5" s="5">
        <v>20.86494463270185</v>
      </c>
      <c r="R5" s="5">
        <v>1279.50848356661</v>
      </c>
      <c r="S5" s="31"/>
      <c r="T5" s="23">
        <v>35391.76141106624</v>
      </c>
      <c r="U5" s="33">
        <v>6.3082707998546539E-2</v>
      </c>
      <c r="V5" s="5">
        <v>2</v>
      </c>
      <c r="W5" s="5">
        <v>80</v>
      </c>
      <c r="X5" s="33">
        <v>9.3464872830475088</v>
      </c>
      <c r="Y5" s="5">
        <v>29.841478166494007</v>
      </c>
      <c r="Z5" s="5">
        <v>1449.3984110135975</v>
      </c>
      <c r="AA5" s="35"/>
    </row>
    <row r="6" spans="2:27" x14ac:dyDescent="0.2">
      <c r="B6" s="4">
        <v>3</v>
      </c>
      <c r="C6" s="4">
        <v>59</v>
      </c>
      <c r="D6" s="23">
        <v>35751.253238267462</v>
      </c>
      <c r="E6" s="33">
        <v>5.1142750000053638E-2</v>
      </c>
      <c r="F6" s="5">
        <v>2</v>
      </c>
      <c r="G6" s="23">
        <v>80</v>
      </c>
      <c r="H6" s="33">
        <v>0</v>
      </c>
      <c r="I6" s="23">
        <v>20.86494463270185</v>
      </c>
      <c r="J6" s="5">
        <v>1279.50848356661</v>
      </c>
      <c r="K6" s="31"/>
      <c r="L6" s="23">
        <v>35751.253238267462</v>
      </c>
      <c r="M6" s="33">
        <v>4.2747250001411892E-2</v>
      </c>
      <c r="N6" s="5">
        <v>2</v>
      </c>
      <c r="O6" s="5">
        <v>80</v>
      </c>
      <c r="P6" s="33">
        <v>0</v>
      </c>
      <c r="Q6" s="5">
        <v>20.86494463270185</v>
      </c>
      <c r="R6" s="5">
        <v>1279.50848356661</v>
      </c>
      <c r="S6" s="31"/>
      <c r="T6" s="23">
        <v>35391.76141106624</v>
      </c>
      <c r="U6" s="33">
        <v>5.3348833000200102E-2</v>
      </c>
      <c r="V6" s="5">
        <v>2</v>
      </c>
      <c r="W6" s="5">
        <v>80</v>
      </c>
      <c r="X6" s="33">
        <v>9.3464872830475088</v>
      </c>
      <c r="Y6" s="5">
        <v>29.841478166494007</v>
      </c>
      <c r="Z6" s="5">
        <v>1449.3984110135975</v>
      </c>
      <c r="AA6" s="35"/>
    </row>
    <row r="7" spans="2:27" x14ac:dyDescent="0.2">
      <c r="B7" s="4">
        <v>4</v>
      </c>
      <c r="C7" s="4">
        <v>75</v>
      </c>
      <c r="D7" s="23">
        <v>35751.253238267462</v>
      </c>
      <c r="E7" s="33">
        <v>3.9753540999754478E-2</v>
      </c>
      <c r="F7" s="5">
        <v>2</v>
      </c>
      <c r="G7" s="23">
        <v>80</v>
      </c>
      <c r="H7" s="33">
        <v>0</v>
      </c>
      <c r="I7" s="23">
        <v>20.86494463270185</v>
      </c>
      <c r="J7" s="5">
        <v>1279.50848356661</v>
      </c>
      <c r="K7" s="31"/>
      <c r="L7" s="23">
        <v>35751.253238267462</v>
      </c>
      <c r="M7" s="33">
        <v>6.0301542001980117E-2</v>
      </c>
      <c r="N7" s="5">
        <v>2</v>
      </c>
      <c r="O7" s="5">
        <v>80</v>
      </c>
      <c r="P7" s="33">
        <v>0</v>
      </c>
      <c r="Q7" s="5">
        <v>20.86494463270185</v>
      </c>
      <c r="R7" s="5">
        <v>1279.50848356661</v>
      </c>
      <c r="S7" s="31"/>
      <c r="T7" s="23">
        <v>35391.76141106624</v>
      </c>
      <c r="U7" s="33">
        <v>5.8703124999738072E-2</v>
      </c>
      <c r="V7" s="5">
        <v>2</v>
      </c>
      <c r="W7" s="5">
        <v>80</v>
      </c>
      <c r="X7" s="33">
        <v>9.3464872830475088</v>
      </c>
      <c r="Y7" s="5">
        <v>29.841478166494007</v>
      </c>
      <c r="Z7" s="5">
        <v>1449.3984110135975</v>
      </c>
      <c r="AA7" s="35"/>
    </row>
    <row r="8" spans="2:27" x14ac:dyDescent="0.2">
      <c r="B8" s="4">
        <v>5</v>
      </c>
      <c r="C8" s="4">
        <v>245</v>
      </c>
      <c r="D8" s="23">
        <v>35751.253238267462</v>
      </c>
      <c r="E8" s="33">
        <v>4.2915208000067651E-2</v>
      </c>
      <c r="F8" s="5">
        <v>2</v>
      </c>
      <c r="G8" s="23">
        <v>80</v>
      </c>
      <c r="H8" s="33">
        <v>0</v>
      </c>
      <c r="I8" s="23">
        <v>20.86494463270185</v>
      </c>
      <c r="J8" s="5">
        <v>1279.50848356661</v>
      </c>
      <c r="K8" s="31"/>
      <c r="L8" s="23">
        <v>35751.253238267462</v>
      </c>
      <c r="M8" s="33">
        <v>4.9520207998284597E-2</v>
      </c>
      <c r="N8" s="5">
        <v>2</v>
      </c>
      <c r="O8" s="5">
        <v>80</v>
      </c>
      <c r="P8" s="33">
        <v>0</v>
      </c>
      <c r="Q8" s="5">
        <v>20.86494463270185</v>
      </c>
      <c r="R8" s="5">
        <v>1279.50848356661</v>
      </c>
      <c r="S8" s="31"/>
      <c r="T8" s="23">
        <v>35391.76141106624</v>
      </c>
      <c r="U8" s="33">
        <v>5.2742416999535642E-2</v>
      </c>
      <c r="V8" s="5">
        <v>2</v>
      </c>
      <c r="W8" s="5">
        <v>80</v>
      </c>
      <c r="X8" s="33">
        <v>9.3464872830475088</v>
      </c>
      <c r="Y8" s="5">
        <v>29.841478166494007</v>
      </c>
      <c r="Z8" s="5">
        <v>1449.3984110135975</v>
      </c>
      <c r="AA8" s="35"/>
    </row>
    <row r="9" spans="2:27" x14ac:dyDescent="0.2">
      <c r="B9" s="4">
        <v>6</v>
      </c>
      <c r="C9" s="4">
        <v>473</v>
      </c>
      <c r="D9" s="23">
        <v>35751.253238267462</v>
      </c>
      <c r="E9" s="33">
        <v>5.7995084000140203E-2</v>
      </c>
      <c r="F9" s="5">
        <v>2</v>
      </c>
      <c r="G9" s="23">
        <v>80</v>
      </c>
      <c r="H9" s="33">
        <v>0</v>
      </c>
      <c r="I9" s="23">
        <v>20.86494463270185</v>
      </c>
      <c r="J9" s="5">
        <v>1279.50848356661</v>
      </c>
      <c r="K9" s="31"/>
      <c r="L9" s="23">
        <v>35751.253238267462</v>
      </c>
      <c r="M9" s="33">
        <v>5.4311750001943437E-2</v>
      </c>
      <c r="N9" s="5">
        <v>2</v>
      </c>
      <c r="O9" s="5">
        <v>80</v>
      </c>
      <c r="P9" s="33">
        <v>0</v>
      </c>
      <c r="Q9" s="5">
        <v>20.86494463270185</v>
      </c>
      <c r="R9" s="5">
        <v>1279.50848356661</v>
      </c>
      <c r="S9" s="31"/>
      <c r="T9" s="23">
        <v>35391.76141106624</v>
      </c>
      <c r="U9" s="33">
        <v>7.1900667000591056E-2</v>
      </c>
      <c r="V9" s="5">
        <v>2</v>
      </c>
      <c r="W9" s="5">
        <v>80</v>
      </c>
      <c r="X9" s="33">
        <v>9.3464872830475088</v>
      </c>
      <c r="Y9" s="5">
        <v>29.841478166494007</v>
      </c>
      <c r="Z9" s="5">
        <v>1449.3984110135975</v>
      </c>
      <c r="AA9" s="35"/>
    </row>
    <row r="10" spans="2:27" x14ac:dyDescent="0.2">
      <c r="B10" s="4">
        <v>7</v>
      </c>
      <c r="C10" s="4">
        <v>517</v>
      </c>
      <c r="D10" s="23">
        <v>35751.253238267462</v>
      </c>
      <c r="E10" s="33">
        <v>7.5507583000216982E-2</v>
      </c>
      <c r="F10" s="5">
        <v>2</v>
      </c>
      <c r="G10" s="23">
        <v>80</v>
      </c>
      <c r="H10" s="33">
        <v>0</v>
      </c>
      <c r="I10" s="23">
        <v>20.86494463270185</v>
      </c>
      <c r="J10" s="5">
        <v>1279.50848356661</v>
      </c>
      <c r="K10" s="31"/>
      <c r="L10" s="23">
        <v>35751.253238267462</v>
      </c>
      <c r="M10" s="33">
        <v>6.8605541997385444E-2</v>
      </c>
      <c r="N10" s="5">
        <v>2</v>
      </c>
      <c r="O10" s="5">
        <v>80</v>
      </c>
      <c r="P10" s="33">
        <v>0</v>
      </c>
      <c r="Q10" s="5">
        <v>20.86494463270185</v>
      </c>
      <c r="R10" s="5">
        <v>1279.50848356661</v>
      </c>
      <c r="S10" s="31"/>
      <c r="T10" s="23">
        <v>35391.76141106624</v>
      </c>
      <c r="U10" s="33">
        <v>6.4079625000886153E-2</v>
      </c>
      <c r="V10" s="5">
        <v>2</v>
      </c>
      <c r="W10" s="5">
        <v>80</v>
      </c>
      <c r="X10" s="33">
        <v>9.3464872830475088</v>
      </c>
      <c r="Y10" s="5">
        <v>29.841478166494007</v>
      </c>
      <c r="Z10" s="5">
        <v>1449.3984110135975</v>
      </c>
      <c r="AA10" s="35"/>
    </row>
    <row r="11" spans="2:27" x14ac:dyDescent="0.2">
      <c r="B11" s="4">
        <v>8</v>
      </c>
      <c r="C11" s="4">
        <v>668</v>
      </c>
      <c r="D11" s="23">
        <v>35751.253238267462</v>
      </c>
      <c r="E11" s="33">
        <v>3.9714749999802727E-2</v>
      </c>
      <c r="F11" s="5">
        <v>2</v>
      </c>
      <c r="G11" s="23">
        <v>80</v>
      </c>
      <c r="H11" s="33">
        <v>0</v>
      </c>
      <c r="I11" s="23">
        <v>20.86494463270185</v>
      </c>
      <c r="J11" s="5">
        <v>1279.50848356661</v>
      </c>
      <c r="K11" s="31"/>
      <c r="L11" s="23">
        <v>35751.253238267462</v>
      </c>
      <c r="M11" s="33">
        <v>4.9458790999779012E-2</v>
      </c>
      <c r="N11" s="5">
        <v>2</v>
      </c>
      <c r="O11" s="5">
        <v>80</v>
      </c>
      <c r="P11" s="33">
        <v>0</v>
      </c>
      <c r="Q11" s="5">
        <v>20.86494463270185</v>
      </c>
      <c r="R11" s="5">
        <v>1279.50848356661</v>
      </c>
      <c r="S11" s="31"/>
      <c r="T11" s="23">
        <v>35391.76141106624</v>
      </c>
      <c r="U11" s="33">
        <v>4.2139125001995133E-2</v>
      </c>
      <c r="V11" s="5">
        <v>2</v>
      </c>
      <c r="W11" s="5">
        <v>80</v>
      </c>
      <c r="X11" s="33">
        <v>9.3464872830475088</v>
      </c>
      <c r="Y11" s="5">
        <v>29.841478166494007</v>
      </c>
      <c r="Z11" s="5">
        <v>1449.3984110135975</v>
      </c>
      <c r="AA11" s="35"/>
    </row>
    <row r="12" spans="2:27" x14ac:dyDescent="0.2">
      <c r="B12" s="4">
        <v>9</v>
      </c>
      <c r="C12" s="4">
        <v>877</v>
      </c>
      <c r="D12" s="23">
        <v>35751.253238267462</v>
      </c>
      <c r="E12" s="33">
        <v>4.1552707999926497E-2</v>
      </c>
      <c r="F12" s="5">
        <v>2</v>
      </c>
      <c r="G12" s="23">
        <v>80</v>
      </c>
      <c r="H12" s="33">
        <v>0</v>
      </c>
      <c r="I12" s="23">
        <v>20.86494463270185</v>
      </c>
      <c r="J12" s="5">
        <v>1279.50848356661</v>
      </c>
      <c r="K12" s="31"/>
      <c r="L12" s="23">
        <v>35751.253238267462</v>
      </c>
      <c r="M12" s="33">
        <v>5.6335083998419577E-2</v>
      </c>
      <c r="N12" s="5">
        <v>2</v>
      </c>
      <c r="O12" s="5">
        <v>80</v>
      </c>
      <c r="P12" s="33">
        <v>0</v>
      </c>
      <c r="Q12" s="5">
        <v>20.86494463270185</v>
      </c>
      <c r="R12" s="5">
        <v>1279.50848356661</v>
      </c>
      <c r="S12" s="31"/>
      <c r="T12" s="23">
        <v>35391.76141106624</v>
      </c>
      <c r="U12" s="33">
        <v>4.2512290998274693E-2</v>
      </c>
      <c r="V12" s="5">
        <v>2</v>
      </c>
      <c r="W12" s="5">
        <v>80</v>
      </c>
      <c r="X12" s="33">
        <v>9.3464872830475088</v>
      </c>
      <c r="Y12" s="5">
        <v>29.841478166494007</v>
      </c>
      <c r="Z12" s="5">
        <v>1449.3984110135975</v>
      </c>
      <c r="AA12" s="35"/>
    </row>
    <row r="13" spans="2:27" x14ac:dyDescent="0.2">
      <c r="B13" s="4">
        <v>10</v>
      </c>
      <c r="C13" s="4">
        <v>768</v>
      </c>
      <c r="D13" s="23">
        <v>35751.253238267462</v>
      </c>
      <c r="E13" s="33">
        <v>5.0923499999953492E-2</v>
      </c>
      <c r="F13" s="5">
        <v>2</v>
      </c>
      <c r="G13" s="23">
        <v>80</v>
      </c>
      <c r="H13" s="33">
        <v>0</v>
      </c>
      <c r="I13" s="23">
        <v>20.86494463270185</v>
      </c>
      <c r="J13" s="5">
        <v>1279.50848356661</v>
      </c>
      <c r="K13" s="31"/>
      <c r="L13" s="23">
        <v>35751.253238267462</v>
      </c>
      <c r="M13" s="33">
        <v>4.5147459000872907E-2</v>
      </c>
      <c r="N13" s="5">
        <v>2</v>
      </c>
      <c r="O13" s="5">
        <v>80</v>
      </c>
      <c r="P13" s="33">
        <v>0</v>
      </c>
      <c r="Q13" s="5">
        <v>20.86494463270185</v>
      </c>
      <c r="R13" s="5">
        <v>1279.50848356661</v>
      </c>
      <c r="S13" s="31"/>
      <c r="T13" s="23">
        <v>35391.76141106624</v>
      </c>
      <c r="U13" s="33">
        <v>5.2337125001940883E-2</v>
      </c>
      <c r="V13" s="5">
        <v>2</v>
      </c>
      <c r="W13" s="5">
        <v>80</v>
      </c>
      <c r="X13" s="33">
        <v>9.3464872830475088</v>
      </c>
      <c r="Y13" s="5">
        <v>29.841478166494007</v>
      </c>
      <c r="Z13" s="5">
        <v>1449.3984110135975</v>
      </c>
      <c r="AA13" s="35"/>
    </row>
    <row r="14" spans="2:27" x14ac:dyDescent="0.2">
      <c r="B14" s="46" t="s">
        <v>3</v>
      </c>
      <c r="C14" s="47"/>
      <c r="D14" s="9">
        <f>MIN(D4:D13)</f>
        <v>35751.253238267462</v>
      </c>
      <c r="E14" s="22">
        <f>INDEX(E4:E13, MATCH($D$14, D4:D13, 0))</f>
        <v>2.9703374999826341E-2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0</v>
      </c>
      <c r="I14" s="22">
        <f>INDEX(I4:I13, MATCH($D$14, D4:D13, 0))</f>
        <v>20.86494463270185</v>
      </c>
      <c r="J14" s="22">
        <f>INDEX(J4:J13, MATCH($D$14, D4:D13, 0))</f>
        <v>1279.50848356661</v>
      </c>
      <c r="K14" s="32" t="e">
        <f>(D14-$D$15)/$D$15</f>
        <v>#DIV/0!</v>
      </c>
      <c r="L14" s="16">
        <f>MIN(L4:L13)</f>
        <v>35751.253238267462</v>
      </c>
      <c r="M14" s="21">
        <f>INDEX(M4:M13, MATCH($L$14, L4:L13, 0))</f>
        <v>6.4892709000559989E-2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20.86494463270185</v>
      </c>
      <c r="R14" s="21">
        <f>INDEX(R4:R13, MATCH($L$14, L4:L13, 0))</f>
        <v>1279.50848356661</v>
      </c>
      <c r="S14" s="36" t="e">
        <f>(L14-$D$15)/$D$15</f>
        <v>#DIV/0!</v>
      </c>
      <c r="T14" s="38">
        <f>MIN(T4:T13)</f>
        <v>35391.76141106624</v>
      </c>
      <c r="U14" s="39">
        <f>INDEX(U4:U13, MATCH($T$14, T4:T13, 0))</f>
        <v>6.3082707998546539E-2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9.3464872830475088</v>
      </c>
      <c r="Y14" s="39">
        <f>INDEX(Y4:Y13, MATCH($T$14, T4:T13, 0))</f>
        <v>29.841478166494007</v>
      </c>
      <c r="Z14" s="39">
        <f>INDEX(Z4:Z13, MATCH($T$14, T4:T13, 0))</f>
        <v>1449.3984110135975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59" priority="5"/>
    <cfRule type="duplicateValues" dxfId="58" priority="6"/>
  </conditionalFormatting>
  <conditionalFormatting sqref="C14">
    <cfRule type="duplicateValues" dxfId="57" priority="1"/>
    <cfRule type="duplicateValues" dxfId="56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7A4D-5107-A647-8DF3-280EFCE6E93F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-0.1697730547541112</v>
      </c>
      <c r="T2" s="1" t="s">
        <v>19</v>
      </c>
      <c r="X2" s="1" t="e">
        <f>(X14-P14)/P14</f>
        <v>#DIV/0!</v>
      </c>
      <c r="Z2" s="1">
        <f>(Z14-R14)/R14</f>
        <v>0.75798468344556624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141</v>
      </c>
      <c r="D4" s="23">
        <v>31061.09774511425</v>
      </c>
      <c r="E4" s="33">
        <v>4.0331125000193417E-2</v>
      </c>
      <c r="F4" s="5">
        <v>2</v>
      </c>
      <c r="G4" s="23">
        <v>90</v>
      </c>
      <c r="H4" s="33">
        <v>0</v>
      </c>
      <c r="I4" s="23">
        <v>13.183244048077043</v>
      </c>
      <c r="J4" s="5">
        <v>958.78548353669146</v>
      </c>
      <c r="K4" s="31"/>
      <c r="L4" s="23">
        <v>34739.81972142875</v>
      </c>
      <c r="M4" s="33">
        <v>7.0590583000011975E-2</v>
      </c>
      <c r="N4" s="5">
        <v>2</v>
      </c>
      <c r="O4" s="5">
        <v>80</v>
      </c>
      <c r="P4" s="33">
        <v>0</v>
      </c>
      <c r="Q4" s="5">
        <v>9.6630991878573553</v>
      </c>
      <c r="R4" s="5">
        <v>796.00954314276976</v>
      </c>
      <c r="S4" s="31"/>
      <c r="T4" s="23">
        <v>32434.62438905118</v>
      </c>
      <c r="U4" s="33">
        <v>4.3681750001269393E-2</v>
      </c>
      <c r="V4" s="5">
        <v>2</v>
      </c>
      <c r="W4" s="5">
        <v>90</v>
      </c>
      <c r="X4" s="33">
        <v>7.1844996243205008</v>
      </c>
      <c r="Y4" s="5">
        <v>28.050126428881097</v>
      </c>
      <c r="Z4" s="5">
        <v>1399.3725847214919</v>
      </c>
      <c r="AA4" s="35"/>
    </row>
    <row r="5" spans="2:27" x14ac:dyDescent="0.2">
      <c r="B5" s="4">
        <v>2</v>
      </c>
      <c r="C5" s="4">
        <v>325</v>
      </c>
      <c r="D5" s="23">
        <v>31061.09774511425</v>
      </c>
      <c r="E5" s="33">
        <v>7.699937500001397E-2</v>
      </c>
      <c r="F5" s="5">
        <v>2</v>
      </c>
      <c r="G5" s="23">
        <v>90</v>
      </c>
      <c r="H5" s="33">
        <v>0</v>
      </c>
      <c r="I5" s="23">
        <v>13.183244048077043</v>
      </c>
      <c r="J5" s="5">
        <v>958.78548353669146</v>
      </c>
      <c r="K5" s="31"/>
      <c r="L5" s="23">
        <v>34739.81972142875</v>
      </c>
      <c r="M5" s="33">
        <v>7.9687124998599757E-2</v>
      </c>
      <c r="N5" s="5">
        <v>2</v>
      </c>
      <c r="O5" s="5">
        <v>80</v>
      </c>
      <c r="P5" s="33">
        <v>0</v>
      </c>
      <c r="Q5" s="5">
        <v>9.6630991878573553</v>
      </c>
      <c r="R5" s="5">
        <v>796.00954314276976</v>
      </c>
      <c r="S5" s="31"/>
      <c r="T5" s="23">
        <v>32434.62438905118</v>
      </c>
      <c r="U5" s="33">
        <v>7.2175875000539236E-2</v>
      </c>
      <c r="V5" s="5">
        <v>2</v>
      </c>
      <c r="W5" s="5">
        <v>90</v>
      </c>
      <c r="X5" s="33">
        <v>7.1844996243205008</v>
      </c>
      <c r="Y5" s="5">
        <v>28.050126428881097</v>
      </c>
      <c r="Z5" s="5">
        <v>1399.3725847214919</v>
      </c>
      <c r="AA5" s="35"/>
    </row>
    <row r="6" spans="2:27" x14ac:dyDescent="0.2">
      <c r="B6" s="4">
        <v>3</v>
      </c>
      <c r="C6" s="4">
        <v>533</v>
      </c>
      <c r="D6" s="23">
        <v>31061.09774511425</v>
      </c>
      <c r="E6" s="33">
        <v>5.6149916999856941E-2</v>
      </c>
      <c r="F6" s="5">
        <v>2</v>
      </c>
      <c r="G6" s="23">
        <v>90</v>
      </c>
      <c r="H6" s="33">
        <v>0</v>
      </c>
      <c r="I6" s="23">
        <v>13.183244048077043</v>
      </c>
      <c r="J6" s="5">
        <v>958.78548353669146</v>
      </c>
      <c r="K6" s="31"/>
      <c r="L6" s="23">
        <v>34739.81972142875</v>
      </c>
      <c r="M6" s="33">
        <v>5.9984874998917803E-2</v>
      </c>
      <c r="N6" s="5">
        <v>2</v>
      </c>
      <c r="O6" s="5">
        <v>80</v>
      </c>
      <c r="P6" s="33">
        <v>0</v>
      </c>
      <c r="Q6" s="5">
        <v>9.6630991878573553</v>
      </c>
      <c r="R6" s="5">
        <v>796.00954314276976</v>
      </c>
      <c r="S6" s="31"/>
      <c r="T6" s="23">
        <v>32434.62438905118</v>
      </c>
      <c r="U6" s="33">
        <v>5.2297917001851602E-2</v>
      </c>
      <c r="V6" s="5">
        <v>2</v>
      </c>
      <c r="W6" s="5">
        <v>90</v>
      </c>
      <c r="X6" s="33">
        <v>7.1844996243205008</v>
      </c>
      <c r="Y6" s="5">
        <v>28.050126428881097</v>
      </c>
      <c r="Z6" s="5">
        <v>1399.3725847214919</v>
      </c>
      <c r="AA6" s="35"/>
    </row>
    <row r="7" spans="2:27" x14ac:dyDescent="0.2">
      <c r="B7" s="4">
        <v>4</v>
      </c>
      <c r="C7" s="4">
        <v>550</v>
      </c>
      <c r="D7" s="23">
        <v>31061.09774511425</v>
      </c>
      <c r="E7" s="33">
        <v>5.0143333000050923E-2</v>
      </c>
      <c r="F7" s="5">
        <v>2</v>
      </c>
      <c r="G7" s="23">
        <v>90</v>
      </c>
      <c r="H7" s="33">
        <v>0</v>
      </c>
      <c r="I7" s="23">
        <v>13.183244048077043</v>
      </c>
      <c r="J7" s="5">
        <v>958.78548353669146</v>
      </c>
      <c r="K7" s="31"/>
      <c r="L7" s="23">
        <v>35023.444993650221</v>
      </c>
      <c r="M7" s="33">
        <v>7.6297165996948024E-2</v>
      </c>
      <c r="N7" s="5">
        <v>2</v>
      </c>
      <c r="O7" s="5">
        <v>80</v>
      </c>
      <c r="P7" s="33">
        <v>0</v>
      </c>
      <c r="Q7" s="5">
        <v>10.799244079536008</v>
      </c>
      <c r="R7" s="5">
        <v>882.66652591042293</v>
      </c>
      <c r="S7" s="31"/>
      <c r="T7" s="23">
        <v>32434.62438905118</v>
      </c>
      <c r="U7" s="33">
        <v>4.7359582997160032E-2</v>
      </c>
      <c r="V7" s="5">
        <v>2</v>
      </c>
      <c r="W7" s="5">
        <v>90</v>
      </c>
      <c r="X7" s="33">
        <v>7.1844996243205008</v>
      </c>
      <c r="Y7" s="5">
        <v>28.050126428881097</v>
      </c>
      <c r="Z7" s="5">
        <v>1399.3725847214919</v>
      </c>
      <c r="AA7" s="35"/>
    </row>
    <row r="8" spans="2:27" x14ac:dyDescent="0.2">
      <c r="B8" s="4">
        <v>5</v>
      </c>
      <c r="C8" s="4">
        <v>581</v>
      </c>
      <c r="D8" s="23">
        <v>31061.09774511425</v>
      </c>
      <c r="E8" s="33">
        <v>6.1162166000030993E-2</v>
      </c>
      <c r="F8" s="5">
        <v>2</v>
      </c>
      <c r="G8" s="23">
        <v>90</v>
      </c>
      <c r="H8" s="33">
        <v>0</v>
      </c>
      <c r="I8" s="23">
        <v>13.183244048077043</v>
      </c>
      <c r="J8" s="5">
        <v>958.78548353669146</v>
      </c>
      <c r="K8" s="31"/>
      <c r="L8" s="23">
        <v>34739.81972142875</v>
      </c>
      <c r="M8" s="33">
        <v>6.91714589993353E-2</v>
      </c>
      <c r="N8" s="5">
        <v>2</v>
      </c>
      <c r="O8" s="5">
        <v>80</v>
      </c>
      <c r="P8" s="33">
        <v>0</v>
      </c>
      <c r="Q8" s="5">
        <v>9.6630991878573553</v>
      </c>
      <c r="R8" s="5">
        <v>796.00954314276976</v>
      </c>
      <c r="S8" s="31"/>
      <c r="T8" s="23">
        <v>32434.62438905118</v>
      </c>
      <c r="U8" s="33">
        <v>5.4188874997635139E-2</v>
      </c>
      <c r="V8" s="5">
        <v>2</v>
      </c>
      <c r="W8" s="5">
        <v>90</v>
      </c>
      <c r="X8" s="33">
        <v>7.1844996243205008</v>
      </c>
      <c r="Y8" s="5">
        <v>28.050126428881097</v>
      </c>
      <c r="Z8" s="5">
        <v>1399.3725847214919</v>
      </c>
      <c r="AA8" s="35"/>
    </row>
    <row r="9" spans="2:27" x14ac:dyDescent="0.2">
      <c r="B9" s="4">
        <v>6</v>
      </c>
      <c r="C9" s="4">
        <v>628</v>
      </c>
      <c r="D9" s="23">
        <v>31061.09774511425</v>
      </c>
      <c r="E9" s="33">
        <v>5.9939708000001701E-2</v>
      </c>
      <c r="F9" s="5">
        <v>2</v>
      </c>
      <c r="G9" s="23">
        <v>90</v>
      </c>
      <c r="H9" s="33">
        <v>0</v>
      </c>
      <c r="I9" s="23">
        <v>13.183244048077043</v>
      </c>
      <c r="J9" s="5">
        <v>958.78548353669146</v>
      </c>
      <c r="K9" s="31"/>
      <c r="L9" s="23">
        <v>34739.81972142875</v>
      </c>
      <c r="M9" s="33">
        <v>4.7334582999610568E-2</v>
      </c>
      <c r="N9" s="5">
        <v>2</v>
      </c>
      <c r="O9" s="5">
        <v>80</v>
      </c>
      <c r="P9" s="33">
        <v>0</v>
      </c>
      <c r="Q9" s="5">
        <v>9.6630991878573553</v>
      </c>
      <c r="R9" s="5">
        <v>796.00954314276976</v>
      </c>
      <c r="S9" s="31"/>
      <c r="T9" s="23">
        <v>32434.62438905118</v>
      </c>
      <c r="U9" s="33">
        <v>6.82352500007255E-2</v>
      </c>
      <c r="V9" s="5">
        <v>2</v>
      </c>
      <c r="W9" s="5">
        <v>90</v>
      </c>
      <c r="X9" s="33">
        <v>7.1844996243205008</v>
      </c>
      <c r="Y9" s="5">
        <v>28.050126428881097</v>
      </c>
      <c r="Z9" s="5">
        <v>1399.3725847214919</v>
      </c>
      <c r="AA9" s="35"/>
    </row>
    <row r="10" spans="2:27" x14ac:dyDescent="0.2">
      <c r="B10" s="4">
        <v>7</v>
      </c>
      <c r="C10" s="4">
        <v>689</v>
      </c>
      <c r="D10" s="23">
        <v>31061.09774511425</v>
      </c>
      <c r="E10" s="33">
        <v>4.0848749999895517E-2</v>
      </c>
      <c r="F10" s="5">
        <v>2</v>
      </c>
      <c r="G10" s="23">
        <v>90</v>
      </c>
      <c r="H10" s="33">
        <v>0</v>
      </c>
      <c r="I10" s="23">
        <v>13.183244048077043</v>
      </c>
      <c r="J10" s="5">
        <v>958.78548353669146</v>
      </c>
      <c r="K10" s="31"/>
      <c r="L10" s="23">
        <v>34739.81972142875</v>
      </c>
      <c r="M10" s="33">
        <v>8.7558500003069639E-2</v>
      </c>
      <c r="N10" s="5">
        <v>2</v>
      </c>
      <c r="O10" s="5">
        <v>80</v>
      </c>
      <c r="P10" s="33">
        <v>0</v>
      </c>
      <c r="Q10" s="5">
        <v>9.6630991878573553</v>
      </c>
      <c r="R10" s="5">
        <v>796.00954314276976</v>
      </c>
      <c r="S10" s="31"/>
      <c r="T10" s="23">
        <v>32434.62438905118</v>
      </c>
      <c r="U10" s="33">
        <v>4.4968082998821053E-2</v>
      </c>
      <c r="V10" s="5">
        <v>2</v>
      </c>
      <c r="W10" s="5">
        <v>90</v>
      </c>
      <c r="X10" s="33">
        <v>7.1844996243205008</v>
      </c>
      <c r="Y10" s="5">
        <v>28.050126428881097</v>
      </c>
      <c r="Z10" s="5">
        <v>1399.3725847214919</v>
      </c>
      <c r="AA10" s="35"/>
    </row>
    <row r="11" spans="2:27" x14ac:dyDescent="0.2">
      <c r="B11" s="4">
        <v>8</v>
      </c>
      <c r="C11" s="4">
        <v>793</v>
      </c>
      <c r="D11" s="23">
        <v>31061.09774511425</v>
      </c>
      <c r="E11" s="33">
        <v>5.6447584000125062E-2</v>
      </c>
      <c r="F11" s="5">
        <v>2</v>
      </c>
      <c r="G11" s="23">
        <v>90</v>
      </c>
      <c r="H11" s="33">
        <v>0</v>
      </c>
      <c r="I11" s="23">
        <v>13.183244048077043</v>
      </c>
      <c r="J11" s="5">
        <v>958.78548353669146</v>
      </c>
      <c r="K11" s="31"/>
      <c r="L11" s="23">
        <v>34739.81972142875</v>
      </c>
      <c r="M11" s="33">
        <v>3.9078083002095809E-2</v>
      </c>
      <c r="N11" s="5">
        <v>2</v>
      </c>
      <c r="O11" s="5">
        <v>80</v>
      </c>
      <c r="P11" s="33">
        <v>0</v>
      </c>
      <c r="Q11" s="5">
        <v>9.6630991878573553</v>
      </c>
      <c r="R11" s="5">
        <v>796.00954314276976</v>
      </c>
      <c r="S11" s="31"/>
      <c r="T11" s="23">
        <v>32434.62438905118</v>
      </c>
      <c r="U11" s="33">
        <v>4.4633874997089151E-2</v>
      </c>
      <c r="V11" s="5">
        <v>2</v>
      </c>
      <c r="W11" s="5">
        <v>90</v>
      </c>
      <c r="X11" s="33">
        <v>7.1844996243205008</v>
      </c>
      <c r="Y11" s="5">
        <v>28.050126428881097</v>
      </c>
      <c r="Z11" s="5">
        <v>1399.3725847214919</v>
      </c>
      <c r="AA11" s="35"/>
    </row>
    <row r="12" spans="2:27" x14ac:dyDescent="0.2">
      <c r="B12" s="4">
        <v>9</v>
      </c>
      <c r="C12" s="4">
        <v>856</v>
      </c>
      <c r="D12" s="23">
        <v>31061.09774511425</v>
      </c>
      <c r="E12" s="33">
        <v>6.3231665999865072E-2</v>
      </c>
      <c r="F12" s="5">
        <v>2</v>
      </c>
      <c r="G12" s="23">
        <v>90</v>
      </c>
      <c r="H12" s="33">
        <v>0</v>
      </c>
      <c r="I12" s="23">
        <v>13.183244048077043</v>
      </c>
      <c r="J12" s="5">
        <v>958.78548353669146</v>
      </c>
      <c r="K12" s="31"/>
      <c r="L12" s="23">
        <v>34739.81972142875</v>
      </c>
      <c r="M12" s="33">
        <v>7.9734499999176478E-2</v>
      </c>
      <c r="N12" s="5">
        <v>2</v>
      </c>
      <c r="O12" s="5">
        <v>80</v>
      </c>
      <c r="P12" s="33">
        <v>0</v>
      </c>
      <c r="Q12" s="5">
        <v>9.6630991878573553</v>
      </c>
      <c r="R12" s="5">
        <v>796.00954314276976</v>
      </c>
      <c r="S12" s="31"/>
      <c r="T12" s="23">
        <v>32434.62438905118</v>
      </c>
      <c r="U12" s="33">
        <v>7.2049292000883725E-2</v>
      </c>
      <c r="V12" s="5">
        <v>2</v>
      </c>
      <c r="W12" s="5">
        <v>90</v>
      </c>
      <c r="X12" s="33">
        <v>7.1844996243205008</v>
      </c>
      <c r="Y12" s="5">
        <v>28.050126428881097</v>
      </c>
      <c r="Z12" s="5">
        <v>1399.3725847214919</v>
      </c>
      <c r="AA12" s="35"/>
    </row>
    <row r="13" spans="2:27" x14ac:dyDescent="0.2">
      <c r="B13" s="4">
        <v>10</v>
      </c>
      <c r="C13" s="4">
        <v>863</v>
      </c>
      <c r="D13" s="23">
        <v>31061.09774511425</v>
      </c>
      <c r="E13" s="33">
        <v>6.1855042000388487E-2</v>
      </c>
      <c r="F13" s="5">
        <v>2</v>
      </c>
      <c r="G13" s="23">
        <v>90</v>
      </c>
      <c r="H13" s="33">
        <v>0</v>
      </c>
      <c r="I13" s="23">
        <v>13.183244048077043</v>
      </c>
      <c r="J13" s="5">
        <v>958.78548353669146</v>
      </c>
      <c r="K13" s="31"/>
      <c r="L13" s="23">
        <v>34739.81972142875</v>
      </c>
      <c r="M13" s="33">
        <v>6.06666249987029E-2</v>
      </c>
      <c r="N13" s="5">
        <v>2</v>
      </c>
      <c r="O13" s="5">
        <v>80</v>
      </c>
      <c r="P13" s="33">
        <v>0</v>
      </c>
      <c r="Q13" s="5">
        <v>9.6630991878573553</v>
      </c>
      <c r="R13" s="5">
        <v>796.00954314276976</v>
      </c>
      <c r="S13" s="31"/>
      <c r="T13" s="23">
        <v>32434.62438905118</v>
      </c>
      <c r="U13" s="33">
        <v>6.206512499920791E-2</v>
      </c>
      <c r="V13" s="5">
        <v>2</v>
      </c>
      <c r="W13" s="5">
        <v>90</v>
      </c>
      <c r="X13" s="33">
        <v>7.1844996243205008</v>
      </c>
      <c r="Y13" s="5">
        <v>28.050126428881097</v>
      </c>
      <c r="Z13" s="5">
        <v>1399.3725847214919</v>
      </c>
      <c r="AA13" s="35"/>
    </row>
    <row r="14" spans="2:27" x14ac:dyDescent="0.2">
      <c r="B14" s="46" t="s">
        <v>3</v>
      </c>
      <c r="C14" s="47"/>
      <c r="D14" s="9">
        <f>MIN(D4:D13)</f>
        <v>31061.09774511425</v>
      </c>
      <c r="E14" s="22">
        <f>INDEX(E4:E13, MATCH($D$14, D4:D13, 0))</f>
        <v>4.0331125000193417E-2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13.183244048077043</v>
      </c>
      <c r="J14" s="22">
        <f>INDEX(J4:J13, MATCH($D$14, D4:D13, 0))</f>
        <v>958.78548353669146</v>
      </c>
      <c r="K14" s="32" t="e">
        <f>(D14-$D$15)/$D$15</f>
        <v>#DIV/0!</v>
      </c>
      <c r="L14" s="16">
        <f>MIN(L4:L13)</f>
        <v>34739.81972142875</v>
      </c>
      <c r="M14" s="21">
        <f>INDEX(M4:M13, MATCH($L$14, L4:L13, 0))</f>
        <v>7.0590583000011975E-2</v>
      </c>
      <c r="N14" s="16">
        <f>INDEX(N4:N13, MATCH($L$14, L4:L13, 0))</f>
        <v>2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9.6630991878573553</v>
      </c>
      <c r="R14" s="21">
        <f>INDEX(R4:R13, MATCH($L$14, L4:L13, 0))</f>
        <v>796.00954314276976</v>
      </c>
      <c r="S14" s="36" t="e">
        <f>(L14-$D$15)/$D$15</f>
        <v>#DIV/0!</v>
      </c>
      <c r="T14" s="38">
        <f>MIN(T4:T13)</f>
        <v>32434.62438905118</v>
      </c>
      <c r="U14" s="39">
        <f>INDEX(U4:U13, MATCH($T$14, T4:T13, 0))</f>
        <v>4.3681750001269393E-2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7.1844996243205008</v>
      </c>
      <c r="Y14" s="39">
        <f>INDEX(Y4:Y13, MATCH($T$14, T4:T13, 0))</f>
        <v>28.050126428881097</v>
      </c>
      <c r="Z14" s="39">
        <f>INDEX(Z4:Z13, MATCH($T$14, T4:T13, 0))</f>
        <v>1399.3725847214919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7:C1048576">
    <cfRule type="duplicateValues" dxfId="55" priority="13"/>
    <cfRule type="duplicateValues" dxfId="54" priority="14"/>
  </conditionalFormatting>
  <conditionalFormatting sqref="C14">
    <cfRule type="duplicateValues" dxfId="53" priority="3"/>
    <cfRule type="duplicateValues" dxfId="52" priority="4"/>
  </conditionalFormatting>
  <conditionalFormatting sqref="C15:C26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7E6A-0CD6-D846-87F3-EFD9AC4983EA}">
  <dimension ref="B1:AA17"/>
  <sheetViews>
    <sheetView zoomScale="110" zoomScaleNormal="110" workbookViewId="0">
      <selection activeCell="A15" sqref="A15:XFD26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10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0</v>
      </c>
      <c r="T2" s="1" t="s">
        <v>19</v>
      </c>
      <c r="X2" s="1" t="e">
        <f>(X14-P14)/P14</f>
        <v>#DIV/0!</v>
      </c>
      <c r="Z2" s="1">
        <f>(Z14-R14)/R14</f>
        <v>0.34926161965522984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18</v>
      </c>
      <c r="D4" s="23">
        <v>35136.628870788947</v>
      </c>
      <c r="E4" s="33">
        <v>3.4827375000077147E-2</v>
      </c>
      <c r="F4" s="5">
        <v>2</v>
      </c>
      <c r="G4" s="23">
        <v>90</v>
      </c>
      <c r="H4" s="33">
        <v>0</v>
      </c>
      <c r="I4" s="23">
        <v>10.529784830598903</v>
      </c>
      <c r="J4" s="5">
        <v>1189.3345680789398</v>
      </c>
      <c r="K4" s="31"/>
      <c r="L4" s="23">
        <v>35136.628870788947</v>
      </c>
      <c r="M4" s="33">
        <v>3.3351166999636923E-2</v>
      </c>
      <c r="N4" s="5">
        <v>2</v>
      </c>
      <c r="O4" s="5">
        <v>90</v>
      </c>
      <c r="P4" s="33">
        <v>0</v>
      </c>
      <c r="Q4" s="5">
        <v>10.529784830598903</v>
      </c>
      <c r="R4" s="5">
        <v>1189.3345680789398</v>
      </c>
      <c r="S4" s="31"/>
      <c r="T4" s="23">
        <v>38332.240756066138</v>
      </c>
      <c r="U4" s="33">
        <v>3.3345416999509332E-2</v>
      </c>
      <c r="V4" s="5">
        <v>2</v>
      </c>
      <c r="W4" s="5">
        <v>90</v>
      </c>
      <c r="X4" s="33">
        <v>12.3119623762286</v>
      </c>
      <c r="Y4" s="5">
        <v>16.291683238792071</v>
      </c>
      <c r="Z4" s="5">
        <v>1604.7234856381435</v>
      </c>
      <c r="AA4" s="35"/>
    </row>
    <row r="5" spans="2:27" x14ac:dyDescent="0.2">
      <c r="B5" s="4">
        <v>2</v>
      </c>
      <c r="C5" s="4">
        <v>23</v>
      </c>
      <c r="D5" s="23">
        <v>35136.628870788947</v>
      </c>
      <c r="E5" s="33">
        <v>6.5887709000435279E-2</v>
      </c>
      <c r="F5" s="5">
        <v>2</v>
      </c>
      <c r="G5" s="23">
        <v>90</v>
      </c>
      <c r="H5" s="33">
        <v>0</v>
      </c>
      <c r="I5" s="23">
        <v>10.529784830598903</v>
      </c>
      <c r="J5" s="5">
        <v>1189.3345680789398</v>
      </c>
      <c r="K5" s="31"/>
      <c r="L5" s="23">
        <v>35136.628870788947</v>
      </c>
      <c r="M5" s="33">
        <v>5.4136582999490201E-2</v>
      </c>
      <c r="N5" s="5">
        <v>2</v>
      </c>
      <c r="O5" s="5">
        <v>90</v>
      </c>
      <c r="P5" s="33">
        <v>0</v>
      </c>
      <c r="Q5" s="5">
        <v>10.529784830598903</v>
      </c>
      <c r="R5" s="5">
        <v>1189.3345680789398</v>
      </c>
      <c r="S5" s="31"/>
      <c r="T5" s="23">
        <v>38332.240756066138</v>
      </c>
      <c r="U5" s="33">
        <v>7.0443917000375222E-2</v>
      </c>
      <c r="V5" s="5">
        <v>2</v>
      </c>
      <c r="W5" s="5">
        <v>90</v>
      </c>
      <c r="X5" s="33">
        <v>12.3119623762286</v>
      </c>
      <c r="Y5" s="5">
        <v>16.291683238792071</v>
      </c>
      <c r="Z5" s="5">
        <v>1604.7234856381435</v>
      </c>
      <c r="AA5" s="35"/>
    </row>
    <row r="6" spans="2:27" x14ac:dyDescent="0.2">
      <c r="B6" s="4">
        <v>3</v>
      </c>
      <c r="C6" s="4">
        <v>87</v>
      </c>
      <c r="D6" s="23">
        <v>35136.628870788947</v>
      </c>
      <c r="E6" s="33">
        <v>5.8467124999879161E-2</v>
      </c>
      <c r="F6" s="5">
        <v>2</v>
      </c>
      <c r="G6" s="23">
        <v>90</v>
      </c>
      <c r="H6" s="33">
        <v>0</v>
      </c>
      <c r="I6" s="23">
        <v>10.529784830598903</v>
      </c>
      <c r="J6" s="5">
        <v>1189.3345680789398</v>
      </c>
      <c r="K6" s="31"/>
      <c r="L6" s="23">
        <v>35136.628870788947</v>
      </c>
      <c r="M6" s="33">
        <v>6.3199250002071494E-2</v>
      </c>
      <c r="N6" s="5">
        <v>2</v>
      </c>
      <c r="O6" s="5">
        <v>90</v>
      </c>
      <c r="P6" s="33">
        <v>0</v>
      </c>
      <c r="Q6" s="5">
        <v>10.529784830598903</v>
      </c>
      <c r="R6" s="5">
        <v>1189.3345680789398</v>
      </c>
      <c r="S6" s="31"/>
      <c r="T6" s="23">
        <v>38332.240756066138</v>
      </c>
      <c r="U6" s="33">
        <v>6.1890624998341082E-2</v>
      </c>
      <c r="V6" s="5">
        <v>2</v>
      </c>
      <c r="W6" s="5">
        <v>90</v>
      </c>
      <c r="X6" s="33">
        <v>12.3119623762286</v>
      </c>
      <c r="Y6" s="5">
        <v>16.291683238792071</v>
      </c>
      <c r="Z6" s="5">
        <v>1604.7234856381435</v>
      </c>
      <c r="AA6" s="35"/>
    </row>
    <row r="7" spans="2:27" x14ac:dyDescent="0.2">
      <c r="B7" s="4">
        <v>4</v>
      </c>
      <c r="C7" s="4">
        <v>124</v>
      </c>
      <c r="D7" s="23">
        <v>35136.628870788947</v>
      </c>
      <c r="E7" s="33">
        <v>4.939787500006787E-2</v>
      </c>
      <c r="F7" s="5">
        <v>2</v>
      </c>
      <c r="G7" s="23">
        <v>90</v>
      </c>
      <c r="H7" s="33">
        <v>0</v>
      </c>
      <c r="I7" s="23">
        <v>10.529784830598903</v>
      </c>
      <c r="J7" s="5">
        <v>1189.3345680789398</v>
      </c>
      <c r="K7" s="31"/>
      <c r="L7" s="23">
        <v>35136.628870788947</v>
      </c>
      <c r="M7" s="33">
        <v>4.7934541002177873E-2</v>
      </c>
      <c r="N7" s="5">
        <v>2</v>
      </c>
      <c r="O7" s="5">
        <v>90</v>
      </c>
      <c r="P7" s="33">
        <v>0</v>
      </c>
      <c r="Q7" s="5">
        <v>10.529784830598903</v>
      </c>
      <c r="R7" s="5">
        <v>1189.3345680789398</v>
      </c>
      <c r="S7" s="31"/>
      <c r="T7" s="23">
        <v>38332.240756066138</v>
      </c>
      <c r="U7" s="33">
        <v>4.9822249999124317E-2</v>
      </c>
      <c r="V7" s="5">
        <v>2</v>
      </c>
      <c r="W7" s="5">
        <v>90</v>
      </c>
      <c r="X7" s="33">
        <v>12.3119623762286</v>
      </c>
      <c r="Y7" s="5">
        <v>16.291683238792071</v>
      </c>
      <c r="Z7" s="5">
        <v>1604.7234856381435</v>
      </c>
      <c r="AA7" s="35"/>
    </row>
    <row r="8" spans="2:27" x14ac:dyDescent="0.2">
      <c r="B8" s="4">
        <v>5</v>
      </c>
      <c r="C8" s="4">
        <v>319</v>
      </c>
      <c r="D8" s="23">
        <v>35136.628870788947</v>
      </c>
      <c r="E8" s="33">
        <v>5.7441333000042498E-2</v>
      </c>
      <c r="F8" s="5">
        <v>2</v>
      </c>
      <c r="G8" s="23">
        <v>90</v>
      </c>
      <c r="H8" s="33">
        <v>0</v>
      </c>
      <c r="I8" s="23">
        <v>10.529784830598903</v>
      </c>
      <c r="J8" s="5">
        <v>1189.3345680789398</v>
      </c>
      <c r="K8" s="31"/>
      <c r="L8" s="23">
        <v>35136.628870788947</v>
      </c>
      <c r="M8" s="33">
        <v>6.0258583001996158E-2</v>
      </c>
      <c r="N8" s="5">
        <v>2</v>
      </c>
      <c r="O8" s="5">
        <v>90</v>
      </c>
      <c r="P8" s="33">
        <v>0</v>
      </c>
      <c r="Q8" s="5">
        <v>10.529784830598903</v>
      </c>
      <c r="R8" s="5">
        <v>1189.3345680789398</v>
      </c>
      <c r="S8" s="31"/>
      <c r="T8" s="23">
        <v>38332.240756066138</v>
      </c>
      <c r="U8" s="33">
        <v>5.8421209003427073E-2</v>
      </c>
      <c r="V8" s="5">
        <v>2</v>
      </c>
      <c r="W8" s="5">
        <v>90</v>
      </c>
      <c r="X8" s="33">
        <v>12.3119623762286</v>
      </c>
      <c r="Y8" s="5">
        <v>16.291683238792071</v>
      </c>
      <c r="Z8" s="5">
        <v>1604.7234856381435</v>
      </c>
      <c r="AA8" s="35"/>
    </row>
    <row r="9" spans="2:27" x14ac:dyDescent="0.2">
      <c r="B9" s="4">
        <v>6</v>
      </c>
      <c r="C9" s="4">
        <v>355</v>
      </c>
      <c r="D9" s="23">
        <v>35136.628870788947</v>
      </c>
      <c r="E9" s="33">
        <v>7.6427250000051572E-2</v>
      </c>
      <c r="F9" s="5">
        <v>2</v>
      </c>
      <c r="G9" s="23">
        <v>90</v>
      </c>
      <c r="H9" s="33">
        <v>0</v>
      </c>
      <c r="I9" s="23">
        <v>10.529784830598903</v>
      </c>
      <c r="J9" s="5">
        <v>1189.3345680789398</v>
      </c>
      <c r="K9" s="31"/>
      <c r="L9" s="23">
        <v>35136.628870788947</v>
      </c>
      <c r="M9" s="33">
        <v>7.2892250002041692E-2</v>
      </c>
      <c r="N9" s="5">
        <v>2</v>
      </c>
      <c r="O9" s="5">
        <v>90</v>
      </c>
      <c r="P9" s="33">
        <v>0</v>
      </c>
      <c r="Q9" s="5">
        <v>10.529784830598903</v>
      </c>
      <c r="R9" s="5">
        <v>1189.3345680789398</v>
      </c>
      <c r="S9" s="31"/>
      <c r="T9" s="23">
        <v>38332.240756066138</v>
      </c>
      <c r="U9" s="33">
        <v>8.1505458998435643E-2</v>
      </c>
      <c r="V9" s="5">
        <v>2</v>
      </c>
      <c r="W9" s="5">
        <v>90</v>
      </c>
      <c r="X9" s="33">
        <v>12.3119623762286</v>
      </c>
      <c r="Y9" s="5">
        <v>16.291683238792071</v>
      </c>
      <c r="Z9" s="5">
        <v>1604.7234856381435</v>
      </c>
      <c r="AA9" s="35"/>
    </row>
    <row r="10" spans="2:27" x14ac:dyDescent="0.2">
      <c r="B10" s="4">
        <v>7</v>
      </c>
      <c r="C10" s="4">
        <v>478</v>
      </c>
      <c r="D10" s="23">
        <v>35136.628870788947</v>
      </c>
      <c r="E10" s="33">
        <v>3.9555917000143381E-2</v>
      </c>
      <c r="F10" s="5">
        <v>2</v>
      </c>
      <c r="G10" s="23">
        <v>90</v>
      </c>
      <c r="H10" s="33">
        <v>0</v>
      </c>
      <c r="I10" s="23">
        <v>10.529784830598903</v>
      </c>
      <c r="J10" s="5">
        <v>1189.3345680789398</v>
      </c>
      <c r="K10" s="31"/>
      <c r="L10" s="23">
        <v>35136.628870788947</v>
      </c>
      <c r="M10" s="33">
        <v>3.4681208999245428E-2</v>
      </c>
      <c r="N10" s="5">
        <v>2</v>
      </c>
      <c r="O10" s="5">
        <v>90</v>
      </c>
      <c r="P10" s="33">
        <v>0</v>
      </c>
      <c r="Q10" s="5">
        <v>10.529784830598903</v>
      </c>
      <c r="R10" s="5">
        <v>1189.3345680789398</v>
      </c>
      <c r="S10" s="31"/>
      <c r="T10" s="23">
        <v>40751.157836095903</v>
      </c>
      <c r="U10" s="33">
        <v>3.8888750001206063E-2</v>
      </c>
      <c r="V10" s="5">
        <v>1</v>
      </c>
      <c r="W10" s="5">
        <v>60</v>
      </c>
      <c r="X10" s="33">
        <v>10.82880891053234</v>
      </c>
      <c r="Y10" s="5">
        <v>24.865482934126849</v>
      </c>
      <c r="Z10" s="5">
        <v>1928.972853463194</v>
      </c>
      <c r="AA10" s="35"/>
    </row>
    <row r="11" spans="2:27" x14ac:dyDescent="0.2">
      <c r="B11" s="4">
        <v>8</v>
      </c>
      <c r="C11" s="4">
        <v>610</v>
      </c>
      <c r="D11" s="23">
        <v>35136.628870788947</v>
      </c>
      <c r="E11" s="33">
        <v>4.9997583000276791E-2</v>
      </c>
      <c r="F11" s="5">
        <v>2</v>
      </c>
      <c r="G11" s="23">
        <v>90</v>
      </c>
      <c r="H11" s="33">
        <v>0</v>
      </c>
      <c r="I11" s="23">
        <v>10.529784830598903</v>
      </c>
      <c r="J11" s="5">
        <v>1189.3345680789398</v>
      </c>
      <c r="K11" s="31"/>
      <c r="L11" s="23">
        <v>35136.628870788947</v>
      </c>
      <c r="M11" s="33">
        <v>5.6828125001629808E-2</v>
      </c>
      <c r="N11" s="5">
        <v>2</v>
      </c>
      <c r="O11" s="5">
        <v>90</v>
      </c>
      <c r="P11" s="33">
        <v>0</v>
      </c>
      <c r="Q11" s="5">
        <v>10.529784830598903</v>
      </c>
      <c r="R11" s="5">
        <v>1189.3345680789398</v>
      </c>
      <c r="S11" s="31"/>
      <c r="T11" s="23">
        <v>38332.240756066138</v>
      </c>
      <c r="U11" s="33">
        <v>5.6969457997183781E-2</v>
      </c>
      <c r="V11" s="5">
        <v>2</v>
      </c>
      <c r="W11" s="5">
        <v>90</v>
      </c>
      <c r="X11" s="33">
        <v>12.3119623762286</v>
      </c>
      <c r="Y11" s="5">
        <v>16.291683238792071</v>
      </c>
      <c r="Z11" s="5">
        <v>1604.7234856381435</v>
      </c>
      <c r="AA11" s="35"/>
    </row>
    <row r="12" spans="2:27" x14ac:dyDescent="0.2">
      <c r="B12" s="4">
        <v>9</v>
      </c>
      <c r="C12" s="4">
        <v>622</v>
      </c>
      <c r="D12" s="23">
        <v>35136.628870788947</v>
      </c>
      <c r="E12" s="33">
        <v>4.9157625000134431E-2</v>
      </c>
      <c r="F12" s="5">
        <v>2</v>
      </c>
      <c r="G12" s="23">
        <v>90</v>
      </c>
      <c r="H12" s="33">
        <v>0</v>
      </c>
      <c r="I12" s="23">
        <v>10.529784830598903</v>
      </c>
      <c r="J12" s="5">
        <v>1189.3345680789398</v>
      </c>
      <c r="K12" s="31"/>
      <c r="L12" s="23">
        <v>35136.628870788947</v>
      </c>
      <c r="M12" s="33">
        <v>5.3775000000314321E-2</v>
      </c>
      <c r="N12" s="5">
        <v>2</v>
      </c>
      <c r="O12" s="5">
        <v>90</v>
      </c>
      <c r="P12" s="33">
        <v>0</v>
      </c>
      <c r="Q12" s="5">
        <v>10.529784830598903</v>
      </c>
      <c r="R12" s="5">
        <v>1189.3345680789398</v>
      </c>
      <c r="S12" s="31"/>
      <c r="T12" s="23">
        <v>38332.240756066138</v>
      </c>
      <c r="U12" s="33">
        <v>5.3361750000476597E-2</v>
      </c>
      <c r="V12" s="5">
        <v>2</v>
      </c>
      <c r="W12" s="5">
        <v>90</v>
      </c>
      <c r="X12" s="33">
        <v>12.3119623762286</v>
      </c>
      <c r="Y12" s="5">
        <v>16.291683238792071</v>
      </c>
      <c r="Z12" s="5">
        <v>1604.7234856381435</v>
      </c>
      <c r="AA12" s="35"/>
    </row>
    <row r="13" spans="2:27" x14ac:dyDescent="0.2">
      <c r="B13" s="4">
        <v>10</v>
      </c>
      <c r="C13" s="4">
        <v>985</v>
      </c>
      <c r="D13" s="23">
        <v>35136.628870788947</v>
      </c>
      <c r="E13" s="33">
        <v>6.9904999999835127E-2</v>
      </c>
      <c r="F13" s="5">
        <v>2</v>
      </c>
      <c r="G13" s="23">
        <v>90</v>
      </c>
      <c r="H13" s="33">
        <v>0</v>
      </c>
      <c r="I13" s="23">
        <v>10.529784830598903</v>
      </c>
      <c r="J13" s="5">
        <v>1189.3345680789398</v>
      </c>
      <c r="K13" s="31"/>
      <c r="L13" s="23">
        <v>35136.628870788947</v>
      </c>
      <c r="M13" s="33">
        <v>6.8671332999656443E-2</v>
      </c>
      <c r="N13" s="5">
        <v>2</v>
      </c>
      <c r="O13" s="5">
        <v>90</v>
      </c>
      <c r="P13" s="33">
        <v>0</v>
      </c>
      <c r="Q13" s="5">
        <v>10.529784830598903</v>
      </c>
      <c r="R13" s="5">
        <v>1189.3345680789398</v>
      </c>
      <c r="S13" s="31"/>
      <c r="T13" s="23">
        <v>38332.240756066138</v>
      </c>
      <c r="U13" s="33">
        <v>5.8574374997988343E-2</v>
      </c>
      <c r="V13" s="5">
        <v>2</v>
      </c>
      <c r="W13" s="5">
        <v>90</v>
      </c>
      <c r="X13" s="33">
        <v>12.3119623762286</v>
      </c>
      <c r="Y13" s="5">
        <v>16.291683238792071</v>
      </c>
      <c r="Z13" s="5">
        <v>1604.7234856381435</v>
      </c>
      <c r="AA13" s="35"/>
    </row>
    <row r="14" spans="2:27" x14ac:dyDescent="0.2">
      <c r="B14" s="46" t="s">
        <v>3</v>
      </c>
      <c r="C14" s="47"/>
      <c r="D14" s="9">
        <f>MIN(D4:D13)</f>
        <v>35136.628870788947</v>
      </c>
      <c r="E14" s="22">
        <f>INDEX(E4:E13, MATCH($D$14, D4:D13, 0))</f>
        <v>3.4827375000077147E-2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10.529784830598903</v>
      </c>
      <c r="J14" s="22">
        <f>INDEX(J4:J13, MATCH($D$14, D4:D13, 0))</f>
        <v>1189.3345680789398</v>
      </c>
      <c r="K14" s="32" t="e">
        <f>(D14-$D$15)/$D$15</f>
        <v>#DIV/0!</v>
      </c>
      <c r="L14" s="16">
        <f>MIN(L4:L13)</f>
        <v>35136.628870788947</v>
      </c>
      <c r="M14" s="21">
        <f>INDEX(M4:M13, MATCH($L$14, L4:L13, 0))</f>
        <v>3.3351166999636923E-2</v>
      </c>
      <c r="N14" s="16">
        <f>INDEX(N4:N13, MATCH($L$14, L4:L13, 0))</f>
        <v>2</v>
      </c>
      <c r="O14" s="16">
        <f>INDEX(O4:O13, MATCH($L$14, L4:L13, 0))</f>
        <v>90</v>
      </c>
      <c r="P14" s="21">
        <f>INDEX(P4:P13, MATCH($L$14, L4:L13, 0))</f>
        <v>0</v>
      </c>
      <c r="Q14" s="21">
        <f>INDEX(Q4:Q13, MATCH($L$14, L4:L13, 0))</f>
        <v>10.529784830598903</v>
      </c>
      <c r="R14" s="21">
        <f>INDEX(R4:R13, MATCH($L$14, L4:L13, 0))</f>
        <v>1189.3345680789398</v>
      </c>
      <c r="S14" s="36" t="e">
        <f>(L14-$D$15)/$D$15</f>
        <v>#DIV/0!</v>
      </c>
      <c r="T14" s="38">
        <f>MIN(T4:T13)</f>
        <v>38332.240756066138</v>
      </c>
      <c r="U14" s="39">
        <f>INDEX(U4:U13, MATCH($T$14, T4:T13, 0))</f>
        <v>3.3345416999509332E-2</v>
      </c>
      <c r="V14" s="38">
        <f>INDEX(V4:V13, MATCH($T$14, T4:T13, 0))</f>
        <v>2</v>
      </c>
      <c r="W14" s="38">
        <f>INDEX(W4:W13, MATCH($T$14, T4:T13, 0))</f>
        <v>90</v>
      </c>
      <c r="X14" s="39">
        <f>INDEX(X4:X13, MATCH($T$14, T4:T13, 0))</f>
        <v>12.3119623762286</v>
      </c>
      <c r="Y14" s="39">
        <f>INDEX(Y4:Y13, MATCH($T$14, T4:T13, 0))</f>
        <v>16.291683238792071</v>
      </c>
      <c r="Z14" s="39">
        <f>INDEX(Z4:Z13, MATCH($T$14, T4:T13, 0))</f>
        <v>1604.7234856381435</v>
      </c>
      <c r="AA14" s="40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7:C1048576">
    <cfRule type="duplicateValues" dxfId="51" priority="9"/>
    <cfRule type="duplicateValues" dxfId="50" priority="10"/>
  </conditionalFormatting>
  <conditionalFormatting sqref="C14">
    <cfRule type="duplicateValues" dxfId="49" priority="3"/>
    <cfRule type="duplicateValues" dxfId="48" priority="4"/>
  </conditionalFormatting>
  <conditionalFormatting sqref="C15:C26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</conditionalFormatting>
  <conditionalFormatting sqref="L14">
    <cfRule type="duplicateValues" dxfId="3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6" priority="1"/>
    <cfRule type="duplicateValues" dxfId="35" priority="2"/>
  </conditionalFormatting>
  <conditionalFormatting sqref="L14">
    <cfRule type="duplicateValues" dxfId="3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results39</vt:lpstr>
      <vt:lpstr>results214</vt:lpstr>
      <vt:lpstr>results238</vt:lpstr>
      <vt:lpstr>results300</vt:lpstr>
      <vt:lpstr>results306</vt:lpstr>
      <vt:lpstr>results426</vt:lpstr>
      <vt:lpstr>results430</vt:lpstr>
      <vt:lpstr>results553</vt:lpstr>
      <vt:lpstr>results728</vt:lpstr>
      <vt:lpstr>results783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2026-10-16T18:05:26Z</dcterms:modified>
</cp:coreProperties>
</file>