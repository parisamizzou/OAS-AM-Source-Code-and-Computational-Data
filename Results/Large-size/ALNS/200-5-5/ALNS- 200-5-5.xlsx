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200-5-5/"/>
    </mc:Choice>
  </mc:AlternateContent>
  <xr:revisionPtr revIDLastSave="0" documentId="13_ncr:1_{D3DEE741-EB7D-5D4F-A568-887C8F462F62}" xr6:coauthVersionLast="47" xr6:coauthVersionMax="47" xr10:uidLastSave="{00000000-0000-0000-0000-000000000000}"/>
  <bookViews>
    <workbookView xWindow="0" yWindow="760" windowWidth="34560" windowHeight="20500" tabRatio="789" activeTab="10" xr2:uid="{41E620E7-D6DF-9342-B452-EA60AB3B07C5}"/>
  </bookViews>
  <sheets>
    <sheet name="Summary" sheetId="68" r:id="rId1"/>
    <sheet name="results105" sheetId="58" r:id="rId2"/>
    <sheet name="results118" sheetId="69" r:id="rId3"/>
    <sheet name="results129" sheetId="70" r:id="rId4"/>
    <sheet name="results223" sheetId="71" r:id="rId5"/>
    <sheet name="results261" sheetId="72" r:id="rId6"/>
    <sheet name="results361" sheetId="76" r:id="rId7"/>
    <sheet name="results469" sheetId="77" r:id="rId8"/>
    <sheet name="results494" sheetId="73" r:id="rId9"/>
    <sheet name="results519" sheetId="74" r:id="rId10"/>
    <sheet name="results963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75" l="1"/>
  <c r="K14" i="75"/>
  <c r="J14" i="75"/>
  <c r="I14" i="75"/>
  <c r="H14" i="75"/>
  <c r="D14" i="75"/>
  <c r="G14" i="75" s="1"/>
  <c r="K14" i="74"/>
  <c r="J14" i="74"/>
  <c r="I14" i="74"/>
  <c r="H14" i="74"/>
  <c r="D14" i="74"/>
  <c r="G14" i="74" s="1"/>
  <c r="K14" i="73"/>
  <c r="H14" i="73"/>
  <c r="D14" i="73"/>
  <c r="G14" i="73" s="1"/>
  <c r="K14" i="77"/>
  <c r="J14" i="77"/>
  <c r="I14" i="77"/>
  <c r="H14" i="77"/>
  <c r="D14" i="77"/>
  <c r="G14" i="77" s="1"/>
  <c r="K14" i="76"/>
  <c r="J14" i="76"/>
  <c r="I14" i="76"/>
  <c r="H14" i="76"/>
  <c r="G14" i="76"/>
  <c r="F14" i="76"/>
  <c r="E14" i="76"/>
  <c r="D14" i="76"/>
  <c r="K14" i="72"/>
  <c r="J14" i="72"/>
  <c r="I14" i="72"/>
  <c r="H14" i="72"/>
  <c r="D14" i="72"/>
  <c r="G14" i="72" s="1"/>
  <c r="K14" i="71"/>
  <c r="J14" i="71"/>
  <c r="I14" i="71"/>
  <c r="H14" i="71"/>
  <c r="D14" i="71"/>
  <c r="G14" i="71" s="1"/>
  <c r="K14" i="70"/>
  <c r="J14" i="70"/>
  <c r="I14" i="70"/>
  <c r="H14" i="70"/>
  <c r="D14" i="70"/>
  <c r="G14" i="70" s="1"/>
  <c r="K14" i="69"/>
  <c r="J14" i="69"/>
  <c r="I14" i="69"/>
  <c r="H14" i="69"/>
  <c r="D14" i="69"/>
  <c r="G14" i="69" s="1"/>
  <c r="AA14" i="58"/>
  <c r="Z14" i="58"/>
  <c r="T14" i="58"/>
  <c r="Y14" i="58" s="1"/>
  <c r="K14" i="58"/>
  <c r="J14" i="58"/>
  <c r="I14" i="58"/>
  <c r="H14" i="58"/>
  <c r="G14" i="58"/>
  <c r="F14" i="58"/>
  <c r="D14" i="58"/>
  <c r="E14" i="58" s="1"/>
  <c r="E14" i="75" l="1"/>
  <c r="F14" i="75"/>
  <c r="F14" i="74"/>
  <c r="E14" i="74"/>
  <c r="J14" i="73"/>
  <c r="I14" i="73"/>
  <c r="E14" i="73"/>
  <c r="F14" i="73"/>
  <c r="E14" i="77"/>
  <c r="F14" i="77"/>
  <c r="E14" i="72"/>
  <c r="F14" i="72"/>
  <c r="E14" i="71"/>
  <c r="F14" i="71"/>
  <c r="E14" i="70"/>
  <c r="F14" i="70"/>
  <c r="E14" i="69"/>
  <c r="F14" i="69"/>
  <c r="U14" i="58"/>
  <c r="V14" i="58"/>
  <c r="W14" i="58"/>
  <c r="X14" i="58"/>
  <c r="L14" i="72" l="1"/>
  <c r="N14" i="72" s="1"/>
  <c r="L14" i="75"/>
  <c r="Q14" i="75" s="1"/>
  <c r="L14" i="74"/>
  <c r="P14" i="74" s="1"/>
  <c r="L14" i="73"/>
  <c r="R14" i="73" s="1"/>
  <c r="L14" i="77"/>
  <c r="L14" i="76"/>
  <c r="M14" i="76" s="1"/>
  <c r="L14" i="71"/>
  <c r="R14" i="71" s="1"/>
  <c r="L14" i="70"/>
  <c r="S14" i="70" s="1"/>
  <c r="L14" i="69"/>
  <c r="T14" i="75"/>
  <c r="AA14" i="75" s="1"/>
  <c r="T14" i="74"/>
  <c r="X14" i="74" s="1"/>
  <c r="T14" i="73"/>
  <c r="T14" i="77"/>
  <c r="Y14" i="77" s="1"/>
  <c r="T14" i="76"/>
  <c r="Z14" i="76" s="1"/>
  <c r="T14" i="72"/>
  <c r="V14" i="72" s="1"/>
  <c r="T14" i="71"/>
  <c r="AA14" i="71" s="1"/>
  <c r="T14" i="70"/>
  <c r="W14" i="70" s="1"/>
  <c r="T14" i="69"/>
  <c r="Q14" i="77"/>
  <c r="P14" i="77"/>
  <c r="N14" i="77"/>
  <c r="M14" i="77"/>
  <c r="R14" i="77"/>
  <c r="S14" i="77"/>
  <c r="O14" i="77"/>
  <c r="AA14" i="72"/>
  <c r="Y14" i="72"/>
  <c r="Z14" i="72"/>
  <c r="X14" i="72"/>
  <c r="W14" i="72"/>
  <c r="Y14" i="71"/>
  <c r="W14" i="71"/>
  <c r="U14" i="71"/>
  <c r="X14" i="71"/>
  <c r="M14" i="70"/>
  <c r="R14" i="70"/>
  <c r="N14" i="70"/>
  <c r="Q14" i="69"/>
  <c r="P14" i="69"/>
  <c r="O14" i="69"/>
  <c r="N14" i="69"/>
  <c r="M14" i="69"/>
  <c r="S14" i="69"/>
  <c r="R14" i="69"/>
  <c r="AA14" i="69"/>
  <c r="X14" i="69"/>
  <c r="V14" i="69"/>
  <c r="Z14" i="69"/>
  <c r="W14" i="69"/>
  <c r="U14" i="69"/>
  <c r="Y14" i="69"/>
  <c r="D4" i="68" a="1"/>
  <c r="Y4" i="68" a="1"/>
  <c r="F10" i="68" a="1"/>
  <c r="E9" i="68" a="1"/>
  <c r="P9" i="68" a="1"/>
  <c r="C6" i="68" a="1"/>
  <c r="G9" i="68" a="1"/>
  <c r="S5" i="68" a="1"/>
  <c r="L9" i="68" a="1"/>
  <c r="S4" i="68" a="1"/>
  <c r="C5" i="68" a="1"/>
  <c r="H12" i="68" a="1"/>
  <c r="L4" i="68" a="1"/>
  <c r="O9" i="68" a="1"/>
  <c r="S11" i="68" a="1"/>
  <c r="K10" i="68" a="1"/>
  <c r="H4" i="68" a="1"/>
  <c r="M9" i="68" a="1"/>
  <c r="C7" i="68" a="1"/>
  <c r="E6" i="68" a="1"/>
  <c r="K9" i="68" a="1"/>
  <c r="X6" i="68" a="1"/>
  <c r="K6" i="68" a="1"/>
  <c r="K5" i="68" a="1"/>
  <c r="X9" i="68" a="1"/>
  <c r="T4" i="68" a="1"/>
  <c r="C12" i="68" a="1"/>
  <c r="C4" i="68" a="1"/>
  <c r="E8" i="68" a="1"/>
  <c r="K7" i="68" a="1"/>
  <c r="I7" i="68" a="1"/>
  <c r="K11" i="68" a="1"/>
  <c r="X4" i="68" a="1"/>
  <c r="I4" i="68" a="1"/>
  <c r="E4" i="68" a="1"/>
  <c r="G10" i="68" a="1"/>
  <c r="S12" i="68" a="1"/>
  <c r="F9" i="68" a="1"/>
  <c r="H9" i="68" a="1"/>
  <c r="N9" i="68" a="1"/>
  <c r="S8" i="68" a="1"/>
  <c r="S7" i="68" a="1"/>
  <c r="F6" i="68" a="1"/>
  <c r="N4" i="68" a="1"/>
  <c r="G8" i="68" a="1"/>
  <c r="E10" i="68" a="1"/>
  <c r="H10" i="68" a="1"/>
  <c r="D10" i="68" a="1"/>
  <c r="C11" i="68" a="1"/>
  <c r="P4" i="68" a="1"/>
  <c r="H8" i="68" a="1"/>
  <c r="K8" i="68" a="1"/>
  <c r="D8" i="68" a="1"/>
  <c r="S6" i="68" a="1"/>
  <c r="K4" i="68" a="1"/>
  <c r="Q9" i="68" a="1"/>
  <c r="I10" i="68" a="1"/>
  <c r="M4" i="68" a="1"/>
  <c r="O4" i="68" a="1"/>
  <c r="L8" i="68" a="1"/>
  <c r="S9" i="68" a="1"/>
  <c r="C9" i="68" a="1"/>
  <c r="G12" i="68" a="1"/>
  <c r="S10" i="68" a="1"/>
  <c r="Q10" i="68" a="1"/>
  <c r="K12" i="68" a="1"/>
  <c r="D9" i="68" a="1"/>
  <c r="U4" i="68" a="1"/>
  <c r="G4" i="68" a="1"/>
  <c r="I12" i="68" a="1"/>
  <c r="C8" i="68" a="1"/>
  <c r="Q4" i="68" a="1"/>
  <c r="I9" i="68" a="1"/>
  <c r="C10" i="68" a="1"/>
  <c r="K7" i="68" l="1"/>
  <c r="Q14" i="72"/>
  <c r="S14" i="72"/>
  <c r="O14" i="72"/>
  <c r="M14" i="72"/>
  <c r="P14" i="72"/>
  <c r="R14" i="72"/>
  <c r="R2" i="72" s="1"/>
  <c r="R14" i="75"/>
  <c r="N14" i="75"/>
  <c r="P14" i="75"/>
  <c r="S14" i="75"/>
  <c r="J2" i="75" s="1"/>
  <c r="O14" i="75"/>
  <c r="M14" i="75"/>
  <c r="K12" i="68"/>
  <c r="M14" i="74"/>
  <c r="R14" i="74"/>
  <c r="S14" i="74"/>
  <c r="Q14" i="74"/>
  <c r="O14" i="74"/>
  <c r="N14" i="74"/>
  <c r="K11" i="68"/>
  <c r="P14" i="73"/>
  <c r="O14" i="73"/>
  <c r="Q14" i="73"/>
  <c r="S14" i="73"/>
  <c r="M14" i="73"/>
  <c r="N14" i="73"/>
  <c r="K10" i="68"/>
  <c r="K9" i="68"/>
  <c r="N14" i="76"/>
  <c r="S14" i="76"/>
  <c r="R14" i="76"/>
  <c r="P14" i="76"/>
  <c r="Q14" i="76"/>
  <c r="O14" i="76"/>
  <c r="K8" i="68"/>
  <c r="O14" i="71"/>
  <c r="M14" i="71"/>
  <c r="P14" i="71"/>
  <c r="Q14" i="71"/>
  <c r="S14" i="71"/>
  <c r="N14" i="71"/>
  <c r="K6" i="68"/>
  <c r="K5" i="68"/>
  <c r="Q14" i="70"/>
  <c r="O14" i="70"/>
  <c r="P14" i="70"/>
  <c r="K4" i="68"/>
  <c r="L14" i="58"/>
  <c r="O14" i="58" s="1"/>
  <c r="S12" i="68"/>
  <c r="V14" i="75"/>
  <c r="Y14" i="75"/>
  <c r="W14" i="75"/>
  <c r="Z14" i="75"/>
  <c r="X14" i="75"/>
  <c r="S11" i="68"/>
  <c r="W14" i="74"/>
  <c r="V14" i="74"/>
  <c r="Z14" i="74"/>
  <c r="Y14" i="74"/>
  <c r="AA14" i="74"/>
  <c r="U14" i="74"/>
  <c r="S10" i="68"/>
  <c r="U14" i="73"/>
  <c r="V14" i="73"/>
  <c r="W14" i="73"/>
  <c r="X14" i="73"/>
  <c r="Y14" i="73"/>
  <c r="Z14" i="73"/>
  <c r="Z2" i="73" s="1"/>
  <c r="AA14" i="73"/>
  <c r="Z14" i="77"/>
  <c r="Z2" i="77" s="1"/>
  <c r="U14" i="77"/>
  <c r="W14" i="77"/>
  <c r="V14" i="77"/>
  <c r="X14" i="77"/>
  <c r="X2" i="77" s="1"/>
  <c r="AA14" i="77"/>
  <c r="S9" i="68"/>
  <c r="X14" i="76"/>
  <c r="W14" i="76"/>
  <c r="Y14" i="76"/>
  <c r="AA14" i="76"/>
  <c r="U14" i="76"/>
  <c r="V14" i="76"/>
  <c r="S8" i="68"/>
  <c r="S7" i="68"/>
  <c r="U14" i="72"/>
  <c r="Z14" i="71"/>
  <c r="V14" i="71"/>
  <c r="S6" i="68"/>
  <c r="X14" i="70"/>
  <c r="U14" i="70"/>
  <c r="AA14" i="70"/>
  <c r="Y14" i="70"/>
  <c r="V14" i="70"/>
  <c r="Z14" i="70"/>
  <c r="S5" i="68"/>
  <c r="S4" i="68"/>
  <c r="Z2" i="76"/>
  <c r="C8" i="68"/>
  <c r="C9" i="68"/>
  <c r="C10" i="68"/>
  <c r="C11" i="68"/>
  <c r="P2" i="74"/>
  <c r="J2" i="74"/>
  <c r="H2" i="74"/>
  <c r="H2" i="75"/>
  <c r="P2" i="75"/>
  <c r="R2" i="75"/>
  <c r="C12" i="68"/>
  <c r="G12" i="68"/>
  <c r="H12" i="68"/>
  <c r="I12" i="68"/>
  <c r="G10" i="68"/>
  <c r="H10" i="68"/>
  <c r="I10" i="68"/>
  <c r="Q10" i="68"/>
  <c r="D10" i="68"/>
  <c r="E10" i="68"/>
  <c r="F10" i="68"/>
  <c r="J2" i="73"/>
  <c r="L9" i="68"/>
  <c r="M9" i="68"/>
  <c r="P9" i="68"/>
  <c r="X9" i="68"/>
  <c r="I9" i="68"/>
  <c r="N9" i="68"/>
  <c r="Q9" i="68"/>
  <c r="F9" i="68"/>
  <c r="O9" i="68"/>
  <c r="D9" i="68"/>
  <c r="E9" i="68"/>
  <c r="H9" i="68"/>
  <c r="G9" i="68"/>
  <c r="J2" i="77"/>
  <c r="G8" i="68"/>
  <c r="D8" i="68"/>
  <c r="E8" i="68"/>
  <c r="L8" i="68"/>
  <c r="H8" i="68"/>
  <c r="J2" i="76"/>
  <c r="C4" i="68"/>
  <c r="X2" i="69"/>
  <c r="J2" i="70"/>
  <c r="C5" i="68"/>
  <c r="H2" i="70"/>
  <c r="H2" i="71"/>
  <c r="R2" i="71"/>
  <c r="C6" i="68"/>
  <c r="C7" i="68"/>
  <c r="I7" i="68"/>
  <c r="J2" i="72"/>
  <c r="E6" i="68"/>
  <c r="X6" i="68"/>
  <c r="F6" i="68"/>
  <c r="J2" i="71"/>
  <c r="T4" i="68"/>
  <c r="D4" i="68"/>
  <c r="H4" i="68"/>
  <c r="X4" i="68"/>
  <c r="E4" i="68"/>
  <c r="Y4" i="68"/>
  <c r="U4" i="68"/>
  <c r="I4" i="68"/>
  <c r="N4" i="68"/>
  <c r="Q4" i="68"/>
  <c r="O4" i="68"/>
  <c r="P4" i="68"/>
  <c r="G4" i="68"/>
  <c r="L4" i="68"/>
  <c r="M4" i="68"/>
  <c r="J2" i="69"/>
  <c r="H2" i="76"/>
  <c r="P2" i="76"/>
  <c r="X2" i="76"/>
  <c r="P2" i="77"/>
  <c r="H2" i="77"/>
  <c r="H2" i="73"/>
  <c r="R2" i="77"/>
  <c r="R2" i="73"/>
  <c r="P2" i="69"/>
  <c r="H2" i="69"/>
  <c r="R2" i="69"/>
  <c r="Z2" i="69"/>
  <c r="C3" i="68" a="1"/>
  <c r="W11" i="68" a="1"/>
  <c r="P5" i="68" a="1"/>
  <c r="Y9" i="68" a="1"/>
  <c r="U10" i="68" a="1"/>
  <c r="M5" i="68" a="1"/>
  <c r="N12" i="68" a="1"/>
  <c r="W9" i="68" a="1"/>
  <c r="P12" i="68" a="1"/>
  <c r="Q7" i="68" a="1"/>
  <c r="X5" i="68" a="1"/>
  <c r="N6" i="68" a="1"/>
  <c r="W12" i="68" a="1"/>
  <c r="N10" i="68" a="1"/>
  <c r="W5" i="68" a="1"/>
  <c r="H6" i="68" a="1"/>
  <c r="O5" i="68" a="1"/>
  <c r="H7" i="68" a="1"/>
  <c r="P8" i="68" a="1"/>
  <c r="T10" i="68" a="1"/>
  <c r="L7" i="68" a="1"/>
  <c r="L5" i="68" a="1"/>
  <c r="Y8" i="68" a="1"/>
  <c r="V8" i="68" a="1"/>
  <c r="N5" i="68" a="1"/>
  <c r="V7" i="68" a="1"/>
  <c r="Q12" i="68" a="1"/>
  <c r="O6" i="68" a="1"/>
  <c r="F5" i="68" a="1"/>
  <c r="N8" i="68" a="1"/>
  <c r="W6" i="68" a="1"/>
  <c r="F4" i="68" a="1"/>
  <c r="U6" i="68" a="1"/>
  <c r="T12" i="68" a="1"/>
  <c r="T11" i="68" a="1"/>
  <c r="Q8" i="68" a="1"/>
  <c r="P10" i="68" a="1"/>
  <c r="D7" i="68" a="1"/>
  <c r="V6" i="68" a="1"/>
  <c r="N7" i="68" a="1"/>
  <c r="U8" i="68" a="1"/>
  <c r="G7" i="68" a="1"/>
  <c r="G5" i="68" a="1"/>
  <c r="X10" i="68" a="1"/>
  <c r="Q11" i="68" a="1"/>
  <c r="E11" i="68" a="1"/>
  <c r="F11" i="68" a="1"/>
  <c r="L12" i="68" a="1"/>
  <c r="V9" i="68" a="1"/>
  <c r="U7" i="68" a="1"/>
  <c r="P7" i="68" a="1"/>
  <c r="M12" i="68" a="1"/>
  <c r="M11" i="68" a="1"/>
  <c r="W8" i="68" a="1"/>
  <c r="Y10" i="68" a="1"/>
  <c r="M7" i="68" a="1"/>
  <c r="U11" i="68" a="1"/>
  <c r="I6" i="68" a="1"/>
  <c r="K3" i="68" a="1"/>
  <c r="O8" i="68" a="1"/>
  <c r="M6" i="68" a="1"/>
  <c r="X7" i="68" a="1"/>
  <c r="H5" i="68" a="1"/>
  <c r="U12" i="68" a="1"/>
  <c r="W7" i="68" a="1"/>
  <c r="V12" i="68" a="1"/>
  <c r="X8" i="68" a="1"/>
  <c r="L6" i="68" a="1"/>
  <c r="S3" i="68" a="1"/>
  <c r="F7" i="68" a="1"/>
  <c r="I11" i="68" a="1"/>
  <c r="O11" i="68" a="1"/>
  <c r="O12" i="68" a="1"/>
  <c r="T9" i="68" a="1"/>
  <c r="P6" i="68" a="1"/>
  <c r="O10" i="68" a="1"/>
  <c r="D6" i="68" a="1"/>
  <c r="V10" i="68" a="1"/>
  <c r="W10" i="68" a="1"/>
  <c r="Q6" i="68" a="1"/>
  <c r="M10" i="68" a="1"/>
  <c r="V11" i="68" a="1"/>
  <c r="T5" i="68" a="1"/>
  <c r="V4" i="68" a="1"/>
  <c r="N11" i="68" a="1"/>
  <c r="H11" i="68" a="1"/>
  <c r="D12" i="68" a="1"/>
  <c r="T7" i="68" a="1"/>
  <c r="L11" i="68" a="1"/>
  <c r="O7" i="68" a="1"/>
  <c r="E5" i="68" a="1"/>
  <c r="U9" i="68" a="1"/>
  <c r="L10" i="68" a="1"/>
  <c r="W4" i="68" a="1"/>
  <c r="I8" i="68" a="1"/>
  <c r="D11" i="68" a="1"/>
  <c r="T8" i="68" a="1"/>
  <c r="G6" i="68" a="1"/>
  <c r="Y12" i="68" a="1"/>
  <c r="Q5" i="68" a="1"/>
  <c r="Y5" i="68" a="1"/>
  <c r="T6" i="68" a="1"/>
  <c r="F12" i="68" a="1"/>
  <c r="X12" i="68" a="1"/>
  <c r="F8" i="68" a="1"/>
  <c r="Y6" i="68" a="1"/>
  <c r="I5" i="68" a="1"/>
  <c r="E7" i="68" a="1"/>
  <c r="U5" i="68" a="1"/>
  <c r="Y7" i="68" a="1"/>
  <c r="M8" i="68" a="1"/>
  <c r="E12" i="68" a="1"/>
  <c r="V5" i="68" a="1"/>
  <c r="X11" i="68" a="1"/>
  <c r="D5" i="68" a="1"/>
  <c r="Y11" i="68" a="1"/>
  <c r="P11" i="68" a="1"/>
  <c r="G11" i="68" a="1"/>
  <c r="M12" i="68" l="1"/>
  <c r="L12" i="68"/>
  <c r="N12" i="68"/>
  <c r="Q11" i="68"/>
  <c r="Z2" i="74"/>
  <c r="O10" i="68"/>
  <c r="M10" i="68"/>
  <c r="P10" i="68"/>
  <c r="L10" i="68"/>
  <c r="N10" i="68"/>
  <c r="X2" i="73"/>
  <c r="P2" i="73"/>
  <c r="Q8" i="68"/>
  <c r="M8" i="68"/>
  <c r="P8" i="68"/>
  <c r="O8" i="68"/>
  <c r="N6" i="68"/>
  <c r="P5" i="68"/>
  <c r="R14" i="58"/>
  <c r="N14" i="58"/>
  <c r="M14" i="58"/>
  <c r="Q14" i="58"/>
  <c r="S14" i="58"/>
  <c r="P14" i="58"/>
  <c r="K3" i="68"/>
  <c r="Y12" i="68"/>
  <c r="Y10" i="68"/>
  <c r="W10" i="68"/>
  <c r="V10" i="68"/>
  <c r="T10" i="68"/>
  <c r="X10" i="68"/>
  <c r="U10" i="68"/>
  <c r="W9" i="68"/>
  <c r="U9" i="68"/>
  <c r="V9" i="68"/>
  <c r="T9" i="68"/>
  <c r="Y9" i="68"/>
  <c r="U8" i="68"/>
  <c r="T8" i="68"/>
  <c r="V8" i="68"/>
  <c r="W8" i="68"/>
  <c r="Y6" i="68"/>
  <c r="S3" i="68"/>
  <c r="F8" i="68"/>
  <c r="X8" i="68"/>
  <c r="I8" i="68"/>
  <c r="N8" i="68"/>
  <c r="Y8" i="68"/>
  <c r="R2" i="76"/>
  <c r="X2" i="75"/>
  <c r="D11" i="68"/>
  <c r="T11" i="68"/>
  <c r="Y11" i="68"/>
  <c r="X11" i="68"/>
  <c r="F11" i="68"/>
  <c r="W11" i="68"/>
  <c r="V11" i="68"/>
  <c r="U11" i="68"/>
  <c r="X2" i="74"/>
  <c r="H11" i="68"/>
  <c r="G11" i="68"/>
  <c r="E11" i="68"/>
  <c r="R2" i="74"/>
  <c r="P11" i="68"/>
  <c r="L11" i="68"/>
  <c r="I11" i="68"/>
  <c r="O11" i="68"/>
  <c r="N11" i="68"/>
  <c r="M11" i="68"/>
  <c r="Z2" i="75"/>
  <c r="T12" i="68"/>
  <c r="F12" i="68"/>
  <c r="U12" i="68"/>
  <c r="Q12" i="68"/>
  <c r="O12" i="68"/>
  <c r="P12" i="68"/>
  <c r="X12" i="68"/>
  <c r="D12" i="68"/>
  <c r="E12" i="68"/>
  <c r="W12" i="68"/>
  <c r="V12" i="68"/>
  <c r="W4" i="68"/>
  <c r="F4" i="68"/>
  <c r="V4" i="68"/>
  <c r="Z2" i="70"/>
  <c r="W5" i="68"/>
  <c r="Y5" i="68"/>
  <c r="I5" i="68"/>
  <c r="X5" i="68"/>
  <c r="U5" i="68"/>
  <c r="H5" i="68"/>
  <c r="F5" i="68"/>
  <c r="E5" i="68"/>
  <c r="V5" i="68"/>
  <c r="T5" i="68"/>
  <c r="Q5" i="68"/>
  <c r="R2" i="70"/>
  <c r="Z2" i="71"/>
  <c r="D5" i="68"/>
  <c r="L5" i="68"/>
  <c r="M5" i="68"/>
  <c r="O5" i="68"/>
  <c r="G5" i="68"/>
  <c r="N5" i="68"/>
  <c r="X2" i="70"/>
  <c r="P2" i="70"/>
  <c r="D6" i="68"/>
  <c r="V6" i="68"/>
  <c r="I6" i="68"/>
  <c r="W6" i="68"/>
  <c r="Q6" i="68"/>
  <c r="M6" i="68"/>
  <c r="G6" i="68"/>
  <c r="H6" i="68"/>
  <c r="U6" i="68"/>
  <c r="P6" i="68"/>
  <c r="O6" i="68"/>
  <c r="L6" i="68"/>
  <c r="T6" i="68"/>
  <c r="X2" i="71"/>
  <c r="P2" i="71"/>
  <c r="X2" i="72"/>
  <c r="Z2" i="72"/>
  <c r="P7" i="68"/>
  <c r="O7" i="68"/>
  <c r="Y7" i="68"/>
  <c r="E7" i="68"/>
  <c r="U7" i="68"/>
  <c r="D7" i="68"/>
  <c r="X7" i="68"/>
  <c r="N7" i="68"/>
  <c r="M7" i="68"/>
  <c r="H2" i="72"/>
  <c r="P2" i="72"/>
  <c r="H7" i="68"/>
  <c r="Q7" i="68"/>
  <c r="W7" i="68"/>
  <c r="V7" i="68"/>
  <c r="T7" i="68"/>
  <c r="F7" i="68"/>
  <c r="L7" i="68"/>
  <c r="G7" i="68"/>
  <c r="C3" i="68"/>
  <c r="W3" i="68" a="1"/>
  <c r="H3" i="68" a="1"/>
  <c r="P3" i="68" a="1"/>
  <c r="Q3" i="68" a="1"/>
  <c r="O3" i="68" a="1"/>
  <c r="E3" i="68" a="1"/>
  <c r="G3" i="68" a="1"/>
  <c r="N3" i="68" a="1"/>
  <c r="Y3" i="68" a="1"/>
  <c r="X3" i="68" a="1"/>
  <c r="I3" i="68" a="1"/>
  <c r="M3" i="68" a="1"/>
  <c r="V3" i="68" a="1"/>
  <c r="U3" i="68" a="1"/>
  <c r="D3" i="68" a="1"/>
  <c r="T3" i="68" a="1"/>
  <c r="L3" i="68" a="1"/>
  <c r="F3" i="68" a="1"/>
  <c r="C13" i="68" l="1"/>
  <c r="C16" i="68"/>
  <c r="S13" i="68"/>
  <c r="Z13" i="68" s="1"/>
  <c r="S16" i="68"/>
  <c r="K13" i="68"/>
  <c r="R13" i="68" s="1"/>
  <c r="K16" i="68"/>
  <c r="V3" i="68"/>
  <c r="V13" i="68" s="1"/>
  <c r="X3" i="68"/>
  <c r="X13" i="68" s="1"/>
  <c r="M3" i="68"/>
  <c r="M13" i="68" s="1"/>
  <c r="O3" i="68"/>
  <c r="O13" i="68" s="1"/>
  <c r="W3" i="68"/>
  <c r="W13" i="68" s="1"/>
  <c r="E3" i="68"/>
  <c r="E13" i="68" s="1"/>
  <c r="F3" i="68"/>
  <c r="F13" i="68" s="1"/>
  <c r="L3" i="68"/>
  <c r="L13" i="68" s="1"/>
  <c r="L16" i="68" s="1"/>
  <c r="N3" i="68"/>
  <c r="N13" i="68" s="1"/>
  <c r="P3" i="68"/>
  <c r="P13" i="68" s="1"/>
  <c r="G3" i="68"/>
  <c r="G13" i="68" s="1"/>
  <c r="Y3" i="68"/>
  <c r="Y13" i="68" s="1"/>
  <c r="Q3" i="68"/>
  <c r="Q13" i="68" s="1"/>
  <c r="H3" i="68"/>
  <c r="H13" i="68" s="1"/>
  <c r="T3" i="68"/>
  <c r="T13" i="68" s="1"/>
  <c r="T16" i="68" s="1"/>
  <c r="I3" i="68"/>
  <c r="I13" i="68" s="1"/>
  <c r="U3" i="68"/>
  <c r="U13" i="68" s="1"/>
  <c r="D3" i="68"/>
  <c r="D13" i="68" s="1"/>
  <c r="D16" i="68" s="1"/>
  <c r="J13" i="68"/>
  <c r="J2" i="58"/>
  <c r="R2" i="58"/>
  <c r="H2" i="58"/>
  <c r="Z2" i="58"/>
  <c r="P2" i="58"/>
  <c r="X2" i="58"/>
  <c r="S14" i="68" l="1"/>
  <c r="K14" i="68"/>
  <c r="U14" i="68"/>
  <c r="N14" i="68"/>
  <c r="V14" i="68"/>
  <c r="T14" i="68"/>
  <c r="Q14" i="68"/>
  <c r="Y14" i="68"/>
  <c r="P14" i="68"/>
  <c r="L14" i="68"/>
  <c r="W14" i="68"/>
  <c r="O14" i="68"/>
  <c r="M14" i="68"/>
  <c r="X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E5" i="23" a="1"/>
  <c r="F13" i="23" a="1"/>
  <c r="D4" i="23" a="1"/>
  <c r="G11" i="23" a="1"/>
  <c r="D12" i="23" a="1"/>
  <c r="G10" i="23" a="1"/>
  <c r="G8" i="23" a="1"/>
  <c r="E12" i="23" a="1"/>
  <c r="F4" i="23" a="1"/>
  <c r="F5" i="23" a="1"/>
  <c r="G5" i="23" a="1"/>
  <c r="G4" i="23" a="1"/>
  <c r="F9" i="23" a="1"/>
  <c r="D5" i="23" a="1"/>
  <c r="D10" i="23" a="1"/>
  <c r="E10" i="23" a="1"/>
  <c r="D9" i="23" a="1"/>
  <c r="G9" i="23" a="1"/>
  <c r="G6" i="23" a="1"/>
  <c r="D11" i="23" a="1"/>
  <c r="F8" i="23" a="1"/>
  <c r="E8" i="23" a="1"/>
  <c r="F11" i="23" a="1"/>
  <c r="G12" i="23" a="1"/>
  <c r="D6" i="23" a="1"/>
  <c r="F12" i="23" a="1"/>
  <c r="F6" i="23" a="1"/>
  <c r="G7" i="23" a="1"/>
  <c r="E9" i="23" a="1"/>
  <c r="F7" i="23" a="1"/>
  <c r="D7" i="23" a="1"/>
  <c r="D8" i="23" a="1"/>
  <c r="F10" i="23" a="1"/>
  <c r="E7" i="23" a="1"/>
  <c r="D13" i="23" a="1"/>
  <c r="E4" i="23" a="1"/>
  <c r="E11" i="23" a="1"/>
  <c r="G13" i="23" a="1"/>
  <c r="E6" i="23" a="1"/>
  <c r="E13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<sst xmlns="http://schemas.openxmlformats.org/spreadsheetml/2006/main" count="677" uniqueCount="23">
  <si>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</si>
  <si>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</si>
  <si>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</si>
  <si>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</si>
  <si>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</si>
  <si>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</si>
  <si>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</si>
  <si>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</si>
  <si>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</si>
  <si>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</si>
  <si>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</si>
  <si>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</si>
  <si>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</si>
  <si>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</si>
  <si>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</si>
  <si>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</si>
  <si>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</si>
  <si>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</si>
  <si>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</si>
  <si>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</si>
  <si>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</si>
  <si>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results494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</si>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</sst>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opLeftCell="H1" zoomScale="85" zoomScaleNormal="85" workbookViewId="0">
      <selection activeCell="H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105</v>
      </c>
      <c r="C3" s="5" cm="1">
        <f t="array" aca="1" ref="C3" ca="1">INDIRECT("'results" &amp; $B3 &amp; "'!D$14")</f>
        <v>2468527.3138936409</v>
      </c>
      <c r="D3" s="33" cm="1">
        <f t="array" aca="1" ref="D3" ca="1">INDIRECT("'results" &amp; $B3 &amp; "'!E$14")</f>
        <v>285.9282352941056</v>
      </c>
      <c r="E3" s="5" cm="1">
        <f t="array" aca="1" ref="E3" ca="1">INDIRECT("'results" &amp; $B3 &amp; "'!F$14")</f>
        <v>9</v>
      </c>
      <c r="F3" s="5" cm="1">
        <f t="array" aca="1" ref="F3" ca="1">INDIRECT("'results" &amp; $B3 &amp; "'!G$14")</f>
        <v>72.5</v>
      </c>
      <c r="G3" s="5" cm="1">
        <f t="array" aca="1" ref="G3" ca="1">INDIRECT("'results" &amp; $B3 &amp; "'!H$14")</f>
        <v>1709.4410012965061</v>
      </c>
      <c r="H3" s="33" cm="1">
        <f t="array" aca="1" ref="H3" ca="1">INDIRECT("'results" &amp; $B3 &amp; "'!I$14")</f>
        <v>49.716918346124025</v>
      </c>
      <c r="I3" s="5" cm="1">
        <f t="array" aca="1" ref="I3" ca="1">INDIRECT("'results" &amp; $B3 &amp; "'!J$14")</f>
        <v>7267.3560938723513</v>
      </c>
      <c r="J3" s="5"/>
      <c r="K3" s="5" cm="1">
        <f t="array" aca="1" ref="K3" ca="1">INDIRECT("'results" &amp; $B3 &amp; "'!L$14")</f>
        <v>3076064.0246882779</v>
      </c>
      <c r="L3" s="5" cm="1">
        <f t="array" aca="1" ref="L3" ca="1">INDIRECT("'results" &amp; $B3 &amp; "'!M$14")</f>
        <v>676.1952941176512</v>
      </c>
      <c r="M3" s="5" cm="1">
        <f t="array" aca="1" ref="M3" ca="1">INDIRECT("'results" &amp; $B3 &amp; "'!N$14")</f>
        <v>11</v>
      </c>
      <c r="N3" s="5" cm="1">
        <f t="array" aca="1" ref="N3" ca="1">INDIRECT("'results" &amp; $B3 &amp; "'!O$14")</f>
        <v>40.5</v>
      </c>
      <c r="O3" s="5" cm="1">
        <f t="array" aca="1" ref="O3" ca="1">INDIRECT("'results" &amp; $B3 &amp; "'!P$14")</f>
        <v>804.05056802629042</v>
      </c>
      <c r="P3" s="5" cm="1">
        <f t="array" aca="1" ref="P3" ca="1">INDIRECT("'results" &amp; $B3 &amp; "'!Q$14")</f>
        <v>22.199584842517105</v>
      </c>
      <c r="Q3" s="5" cm="1">
        <f t="array" aca="1" ref="Q3" ca="1">INDIRECT("'results" &amp; $B3 &amp; "'!R$14")</f>
        <v>5580.9759890353143</v>
      </c>
      <c r="R3" s="5"/>
      <c r="S3" s="5" cm="1">
        <f t="array" aca="1" ref="S3" ca="1">INDIRECT("'results" &amp; $B3 &amp; "'!T$14")</f>
        <v>3042372.2061616099</v>
      </c>
      <c r="T3" s="5" cm="1">
        <f t="array" aca="1" ref="T3" ca="1">INDIRECT("'results" &amp; $B3 &amp; "'!U$14")</f>
        <v>397.95000000000823</v>
      </c>
      <c r="U3" s="5" cm="1">
        <f t="array" aca="1" ref="U3" ca="1">INDIRECT("'results" &amp; $B3 &amp; "'!V$14")</f>
        <v>5</v>
      </c>
      <c r="V3" s="5" cm="1">
        <f t="array" aca="1" ref="V3" ca="1">INDIRECT("'results" &amp; $B3 &amp; "'!W$14")</f>
        <v>41.5</v>
      </c>
      <c r="W3" s="5" cm="1">
        <f t="array" aca="1" ref="W3" ca="1">INDIRECT("'results" &amp; $B3 &amp; "'!X$14")</f>
        <v>1015.233824597942</v>
      </c>
      <c r="X3" s="5" cm="1">
        <f t="array" aca="1" ref="X3" ca="1">INDIRECT("'results" &amp; $B3 &amp; "'!Y$14")</f>
        <v>66.890087223868221</v>
      </c>
      <c r="Y3" s="5" cm="1">
        <f t="array" aca="1" ref="Y3" ca="1">INDIRECT("'results" &amp; $B3 &amp; "'!Z$14")</f>
        <v>6843.145367384529</v>
      </c>
      <c r="Z3" s="5"/>
    </row>
    <row r="4" spans="2:26" x14ac:dyDescent="0.2">
      <c r="B4" s="4">
        <v>118</v>
      </c>
      <c r="C4" s="5" cm="1">
        <f t="array" aca="1" ref="C4" ca="1">INDIRECT("'results" &amp; $B4 &amp; "'!D$14")</f>
        <v>2687943.969743853</v>
      </c>
      <c r="D4" s="33" cm="1">
        <f t="array" aca="1" ref="D4" ca="1">INDIRECT("'results" &amp; $B4 &amp; "'!E$14")</f>
        <v>345.29411764705884</v>
      </c>
      <c r="E4" s="5" cm="1">
        <f t="array" aca="1" ref="E4" ca="1">INDIRECT("'results" &amp; $B4 &amp; "'!F$14")</f>
        <v>9</v>
      </c>
      <c r="F4" s="5" cm="1">
        <f t="array" aca="1" ref="F4" ca="1">INDIRECT("'results" &amp; $B4 &amp; "'!G$14")</f>
        <v>60</v>
      </c>
      <c r="G4" s="5" cm="1">
        <f t="array" aca="1" ref="G4" ca="1">INDIRECT("'results" &amp; $B4 &amp; "'!H$14")</f>
        <v>1605.8742213884245</v>
      </c>
      <c r="H4" s="33" cm="1">
        <f t="array" aca="1" ref="H4" ca="1">INDIRECT("'results" &amp; $B4 &amp; "'!I$14")</f>
        <v>47.977227492760328</v>
      </c>
      <c r="I4" s="5" cm="1">
        <f t="array" aca="1" ref="I4" ca="1">INDIRECT("'results" &amp; $B4 &amp; "'!J$14")</f>
        <v>7247.1585818515805</v>
      </c>
      <c r="J4" s="5"/>
      <c r="K4" s="5" cm="1">
        <f t="array" aca="1" ref="K4" ca="1">INDIRECT("'results" &amp; $B4 &amp; "'!L$14")</f>
        <v>3165515.642222954</v>
      </c>
      <c r="L4" s="5" cm="1">
        <f t="array" aca="1" ref="L4" ca="1">INDIRECT("'results" &amp; $B4 &amp; "'!M$14")</f>
        <v>460.73529411764707</v>
      </c>
      <c r="M4" s="5" cm="1">
        <f t="array" aca="1" ref="M4" ca="1">INDIRECT("'results" &amp; $B4 &amp; "'!N$14")</f>
        <v>14</v>
      </c>
      <c r="N4" s="5" cm="1">
        <f t="array" aca="1" ref="N4" ca="1">INDIRECT("'results" &amp; $B4 &amp; "'!O$14")</f>
        <v>40.5</v>
      </c>
      <c r="O4" s="5" cm="1">
        <f t="array" aca="1" ref="O4" ca="1">INDIRECT("'results" &amp; $B4 &amp; "'!P$14")</f>
        <v>1216.1725238763586</v>
      </c>
      <c r="P4" s="5" cm="1">
        <f t="array" aca="1" ref="P4" ca="1">INDIRECT("'results" &amp; $B4 &amp; "'!Q$14")</f>
        <v>19.854172006351593</v>
      </c>
      <c r="Q4" s="5" cm="1">
        <f t="array" aca="1" ref="Q4" ca="1">INDIRECT("'results" &amp; $B4 &amp; "'!R$14")</f>
        <v>6020.3683865558378</v>
      </c>
      <c r="R4" s="5"/>
      <c r="S4" s="5" cm="1">
        <f t="array" aca="1" ref="S4" ca="1">INDIRECT("'results" &amp; $B4 &amp; "'!T$14")</f>
        <v>3133126.8811240732</v>
      </c>
      <c r="T4" s="5" cm="1">
        <f t="array" aca="1" ref="T4" ca="1">INDIRECT("'results" &amp; $B4 &amp; "'!U$14")</f>
        <v>339.77941176470591</v>
      </c>
      <c r="U4" s="5" cm="1">
        <f t="array" aca="1" ref="U4" ca="1">INDIRECT("'results" &amp; $B4 &amp; "'!V$14")</f>
        <v>6</v>
      </c>
      <c r="V4" s="5" cm="1">
        <f t="array" aca="1" ref="V4" ca="1">INDIRECT("'results" &amp; $B4 &amp; "'!W$14")</f>
        <v>38.5</v>
      </c>
      <c r="W4" s="5" cm="1">
        <f t="array" aca="1" ref="W4" ca="1">INDIRECT("'results" &amp; $B4 &amp; "'!X$14")</f>
        <v>1446.2056582807065</v>
      </c>
      <c r="X4" s="5" cm="1">
        <f t="array" aca="1" ref="X4" ca="1">INDIRECT("'results" &amp; $B4 &amp; "'!Y$14")</f>
        <v>58.513195270529586</v>
      </c>
      <c r="Y4" s="5" cm="1">
        <f t="array" aca="1" ref="Y4" ca="1">INDIRECT("'results" &amp; $B4 &amp; "'!Z$14")</f>
        <v>7082.8271754742782</v>
      </c>
      <c r="Z4" s="5"/>
    </row>
    <row r="5" spans="2:26" x14ac:dyDescent="0.2">
      <c r="B5" s="4">
        <v>129</v>
      </c>
      <c r="C5" s="5" cm="1">
        <f t="array" aca="1" ref="C5" ca="1">INDIRECT("'results" &amp; $B5 &amp; "'!D$14")</f>
        <v>2988307.7689280608</v>
      </c>
      <c r="D5" s="33" cm="1">
        <f t="array" aca="1" ref="D5" ca="1">INDIRECT("'results" &amp; $B5 &amp; "'!E$14")</f>
        <v>1056.0017647058705</v>
      </c>
      <c r="E5" s="5" cm="1">
        <f t="array" aca="1" ref="E5" ca="1">INDIRECT("'results" &amp; $B5 &amp; "'!F$14")</f>
        <v>7</v>
      </c>
      <c r="F5" s="5" cm="1">
        <f t="array" aca="1" ref="F5" ca="1">INDIRECT("'results" &amp; $B5 &amp; "'!G$14")</f>
        <v>46.5</v>
      </c>
      <c r="G5" s="5" cm="1">
        <f t="array" aca="1" ref="G5" ca="1">INDIRECT("'results" &amp; $B5 &amp; "'!H$14")</f>
        <v>1493.6129449865205</v>
      </c>
      <c r="H5" s="33" cm="1">
        <f t="array" aca="1" ref="H5" ca="1">INDIRECT("'results" &amp; $B5 &amp; "'!I$14")</f>
        <v>47.303132377161148</v>
      </c>
      <c r="I5" s="5" cm="1">
        <f t="array" aca="1" ref="I5" ca="1">INDIRECT("'results" &amp; $B5 &amp; "'!J$14")</f>
        <v>7146.3925553059635</v>
      </c>
      <c r="J5" s="5"/>
      <c r="K5" s="5" cm="1">
        <f t="array" aca="1" ref="K5" ca="1">INDIRECT("'results" &amp; $B5 &amp; "'!L$14")</f>
        <v>3306175.7124768002</v>
      </c>
      <c r="L5" s="5" cm="1">
        <f t="array" aca="1" ref="L5" ca="1">INDIRECT("'results" &amp; $B5 &amp; "'!M$14")</f>
        <v>682.50941176467359</v>
      </c>
      <c r="M5" s="5" cm="1">
        <f t="array" aca="1" ref="M5" ca="1">INDIRECT("'results" &amp; $B5 &amp; "'!N$14")</f>
        <v>7</v>
      </c>
      <c r="N5" s="5" cm="1">
        <f t="array" aca="1" ref="N5" ca="1">INDIRECT("'results" &amp; $B5 &amp; "'!O$14")</f>
        <v>29.5</v>
      </c>
      <c r="O5" s="5" cm="1">
        <f t="array" aca="1" ref="O5" ca="1">INDIRECT("'results" &amp; $B5 &amp; "'!P$14")</f>
        <v>739.70085221256068</v>
      </c>
      <c r="P5" s="5" cm="1">
        <f t="array" aca="1" ref="P5" ca="1">INDIRECT("'results" &amp; $B5 &amp; "'!Q$14")</f>
        <v>25.334618989283435</v>
      </c>
      <c r="Q5" s="5" cm="1">
        <f t="array" aca="1" ref="Q5" ca="1">INDIRECT("'results" &amp; $B5 &amp; "'!R$14")</f>
        <v>5782.5473883088089</v>
      </c>
      <c r="R5" s="5"/>
      <c r="S5" s="5" cm="1">
        <f t="array" aca="1" ref="S5" ca="1">INDIRECT("'results" &amp; $B5 &amp; "'!T$14")</f>
        <v>3323677.9521174598</v>
      </c>
      <c r="T5" s="5" cm="1">
        <f t="array" aca="1" ref="T5" ca="1">INDIRECT("'results" &amp; $B5 &amp; "'!U$14")</f>
        <v>380.03647058825555</v>
      </c>
      <c r="U5" s="5" cm="1">
        <f t="array" aca="1" ref="U5" ca="1">INDIRECT("'results" &amp; $B5 &amp; "'!V$14")</f>
        <v>7</v>
      </c>
      <c r="V5" s="5" cm="1">
        <f t="array" aca="1" ref="V5" ca="1">INDIRECT("'results" &amp; $B5 &amp; "'!W$14")</f>
        <v>34.5</v>
      </c>
      <c r="W5" s="5" cm="1">
        <f t="array" aca="1" ref="W5" ca="1">INDIRECT("'results" &amp; $B5 &amp; "'!X$14")</f>
        <v>1993.7525117968453</v>
      </c>
      <c r="X5" s="5" cm="1">
        <f t="array" aca="1" ref="X5" ca="1">INDIRECT("'results" &amp; $B5 &amp; "'!Y$14")</f>
        <v>46.76377285366906</v>
      </c>
      <c r="Y5" s="5" cm="1">
        <f t="array" aca="1" ref="Y5" ca="1">INDIRECT("'results" &amp; $B5 &amp; "'!Z$14")</f>
        <v>7584.637552428464</v>
      </c>
      <c r="Z5" s="5"/>
    </row>
    <row r="6" spans="2:26" x14ac:dyDescent="0.2">
      <c r="B6" s="4">
        <v>223</v>
      </c>
      <c r="C6" s="5" cm="1">
        <f t="array" aca="1" ref="C6" ca="1">INDIRECT("'results" &amp; $B6 &amp; "'!D$14")</f>
        <v>2841983.3253300078</v>
      </c>
      <c r="D6" s="33" cm="1">
        <f t="array" aca="1" ref="D6" ca="1">INDIRECT("'results" &amp; $B6 &amp; "'!E$14")</f>
        <v>649.43941176471765</v>
      </c>
      <c r="E6" s="5" cm="1">
        <f t="array" aca="1" ref="E6" ca="1">INDIRECT("'results" &amp; $B6 &amp; "'!F$14")</f>
        <v>8</v>
      </c>
      <c r="F6" s="5" cm="1">
        <f t="array" aca="1" ref="F6" ca="1">INDIRECT("'results" &amp; $B6 &amp; "'!G$14")</f>
        <v>56</v>
      </c>
      <c r="G6" s="5" cm="1">
        <f t="array" aca="1" ref="G6" ca="1">INDIRECT("'results" &amp; $B6 &amp; "'!H$14")</f>
        <v>1619.6761938305451</v>
      </c>
      <c r="H6" s="33" cm="1">
        <f t="array" aca="1" ref="H6" ca="1">INDIRECT("'results" &amp; $B6 &amp; "'!I$14")</f>
        <v>33.417668497124609</v>
      </c>
      <c r="I6" s="5" cm="1">
        <f t="array" aca="1" ref="I6" ca="1">INDIRECT("'results" &amp; $B6 &amp; "'!J$14")</f>
        <v>7271.7580055900526</v>
      </c>
      <c r="J6" s="5"/>
      <c r="K6" s="5" cm="1">
        <f t="array" aca="1" ref="K6" ca="1">INDIRECT("'results" &amp; $B6 &amp; "'!L$14")</f>
        <v>3304931.0173341469</v>
      </c>
      <c r="L6" s="5" cm="1">
        <f t="array" aca="1" ref="L6" ca="1">INDIRECT("'results" &amp; $B6 &amp; "'!M$14")</f>
        <v>519.22823529416587</v>
      </c>
      <c r="M6" s="5" cm="1">
        <f t="array" aca="1" ref="M6" ca="1">INDIRECT("'results" &amp; $B6 &amp; "'!N$14")</f>
        <v>7</v>
      </c>
      <c r="N6" s="5" cm="1">
        <f t="array" aca="1" ref="N6" ca="1">INDIRECT("'results" &amp; $B6 &amp; "'!O$14")</f>
        <v>30</v>
      </c>
      <c r="O6" s="5" cm="1">
        <f t="array" aca="1" ref="O6" ca="1">INDIRECT("'results" &amp; $B6 &amp; "'!P$14")</f>
        <v>898.77616341063219</v>
      </c>
      <c r="P6" s="5" cm="1">
        <f t="array" aca="1" ref="P6" ca="1">INDIRECT("'results" &amp; $B6 &amp; "'!Q$14")</f>
        <v>20.607068958525012</v>
      </c>
      <c r="Q6" s="5" cm="1">
        <f t="array" aca="1" ref="Q6" ca="1">INDIRECT("'results" &amp; $B6 &amp; "'!R$14")</f>
        <v>5736.8003288713262</v>
      </c>
      <c r="R6" s="5"/>
      <c r="S6" s="5" cm="1">
        <f t="array" aca="1" ref="S6" ca="1">INDIRECT("'results" &amp; $B6 &amp; "'!T$14")</f>
        <v>3106639.3192616431</v>
      </c>
      <c r="T6" s="5" cm="1">
        <f t="array" aca="1" ref="T6" ca="1">INDIRECT("'results" &amp; $B6 &amp; "'!U$14")</f>
        <v>853.38235294117646</v>
      </c>
      <c r="U6" s="5" cm="1">
        <f t="array" aca="1" ref="U6" ca="1">INDIRECT("'results" &amp; $B6 &amp; "'!V$14")</f>
        <v>5</v>
      </c>
      <c r="V6" s="5" cm="1">
        <f t="array" aca="1" ref="V6" ca="1">INDIRECT("'results" &amp; $B6 &amp; "'!W$14")</f>
        <v>39.5</v>
      </c>
      <c r="W6" s="5" cm="1">
        <f t="array" aca="1" ref="W6" ca="1">INDIRECT("'results" &amp; $B6 &amp; "'!X$14")</f>
        <v>1129.3667142253546</v>
      </c>
      <c r="X6" s="5" cm="1">
        <f t="array" aca="1" ref="X6" ca="1">INDIRECT("'results" &amp; $B6 &amp; "'!Y$14")</f>
        <v>45.887471476605022</v>
      </c>
      <c r="Y6" s="5" cm="1">
        <f t="array" aca="1" ref="Y6" ca="1">INDIRECT("'results" &amp; $B6 &amp; "'!Z$14")</f>
        <v>6880.8387903813136</v>
      </c>
      <c r="Z6" s="5"/>
    </row>
    <row r="7" spans="2:26" x14ac:dyDescent="0.2">
      <c r="B7" s="4">
        <v>261</v>
      </c>
      <c r="C7" s="5" cm="1">
        <f t="array" aca="1" ref="C7" ca="1">INDIRECT("'results" &amp; $B7 &amp; "'!D$14")</f>
        <v>2234288.012717817</v>
      </c>
      <c r="D7" s="33" cm="1">
        <f t="array" aca="1" ref="D7" ca="1">INDIRECT("'results" &amp; $B7 &amp; "'!E$14")</f>
        <v>533.40058823533855</v>
      </c>
      <c r="E7" s="5" cm="1">
        <f t="array" aca="1" ref="E7" ca="1">INDIRECT("'results" &amp; $B7 &amp; "'!F$14")</f>
        <v>9</v>
      </c>
      <c r="F7" s="5" cm="1">
        <f t="array" aca="1" ref="F7" ca="1">INDIRECT("'results" &amp; $B7 &amp; "'!G$14")</f>
        <v>75</v>
      </c>
      <c r="G7" s="5" cm="1">
        <f t="array" aca="1" ref="G7" ca="1">INDIRECT("'results" &amp; $B7 &amp; "'!H$14")</f>
        <v>1308.772849288207</v>
      </c>
      <c r="H7" s="33" cm="1">
        <f t="array" aca="1" ref="H7" ca="1">INDIRECT("'results" &amp; $B7 &amp; "'!I$14")</f>
        <v>53.185004776232503</v>
      </c>
      <c r="I7" s="5" cm="1">
        <f t="array" aca="1" ref="I7" ca="1">INDIRECT("'results" &amp; $B7 &amp; "'!J$14")</f>
        <v>6466.5570093156803</v>
      </c>
      <c r="J7" s="5"/>
      <c r="K7" s="5" cm="1">
        <f t="array" aca="1" ref="K7" ca="1">INDIRECT("'results" &amp; $B7 &amp; "'!L$14")</f>
        <v>2689242.3421750218</v>
      </c>
      <c r="L7" s="5" cm="1">
        <f t="array" aca="1" ref="L7" ca="1">INDIRECT("'results" &amp; $B7 &amp; "'!M$14")</f>
        <v>1561.5717647058941</v>
      </c>
      <c r="M7" s="5" cm="1">
        <f t="array" aca="1" ref="M7" ca="1">INDIRECT("'results" &amp; $B7 &amp; "'!N$14")</f>
        <v>12</v>
      </c>
      <c r="N7" s="5" cm="1">
        <f t="array" aca="1" ref="N7" ca="1">INDIRECT("'results" &amp; $B7 &amp; "'!O$14")</f>
        <v>54</v>
      </c>
      <c r="O7" s="5" cm="1">
        <f t="array" aca="1" ref="O7" ca="1">INDIRECT("'results" &amp; $B7 &amp; "'!P$14")</f>
        <v>760.98951659255567</v>
      </c>
      <c r="P7" s="5" cm="1">
        <f t="array" aca="1" ref="P7" ca="1">INDIRECT("'results" &amp; $B7 &amp; "'!Q$14")</f>
        <v>26.264102858575381</v>
      </c>
      <c r="Q7" s="5" cm="1">
        <f t="array" aca="1" ref="Q7" ca="1">INDIRECT("'results" &amp; $B7 &amp; "'!R$14")</f>
        <v>5402.811197869969</v>
      </c>
      <c r="R7" s="5"/>
      <c r="S7" s="5" cm="1">
        <f t="array" aca="1" ref="S7" ca="1">INDIRECT("'results" &amp; $B7 &amp; "'!T$14")</f>
        <v>2773652.6824823581</v>
      </c>
      <c r="T7" s="5" cm="1">
        <f t="array" aca="1" ref="T7" ca="1">INDIRECT("'results" &amp; $B7 &amp; "'!U$14")</f>
        <v>364.5123529411606</v>
      </c>
      <c r="U7" s="5" cm="1">
        <f t="array" aca="1" ref="U7" ca="1">INDIRECT("'results" &amp; $B7 &amp; "'!V$14")</f>
        <v>6</v>
      </c>
      <c r="V7" s="5" cm="1">
        <f t="array" aca="1" ref="V7" ca="1">INDIRECT("'results" &amp; $B7 &amp; "'!W$14")</f>
        <v>52.5</v>
      </c>
      <c r="W7" s="5" cm="1">
        <f t="array" aca="1" ref="W7" ca="1">INDIRECT("'results" &amp; $B7 &amp; "'!X$14")</f>
        <v>1214.1427939519565</v>
      </c>
      <c r="X7" s="5" cm="1">
        <f t="array" aca="1" ref="X7" ca="1">INDIRECT("'results" &amp; $B7 &amp; "'!Y$14")</f>
        <v>71.558528422855503</v>
      </c>
      <c r="Y7" s="5" cm="1">
        <f t="array" aca="1" ref="Y7" ca="1">INDIRECT("'results" &amp; $B7 &amp; "'!Z$14")</f>
        <v>6885.7311108992999</v>
      </c>
      <c r="Z7" s="5"/>
    </row>
    <row r="8" spans="2:26" x14ac:dyDescent="0.2">
      <c r="B8" s="4">
        <v>361</v>
      </c>
      <c r="C8" s="5" cm="1">
        <f t="array" aca="1" ref="C8" ca="1">INDIRECT("'results" &amp; $B8 &amp; "'!D$14")</f>
        <v>2727534.3390035802</v>
      </c>
      <c r="D8" s="33" cm="1">
        <f t="array" aca="1" ref="D8" ca="1">INDIRECT("'results" &amp; $B8 &amp; "'!E$14")</f>
        <v>452.72058823529414</v>
      </c>
      <c r="E8" s="5" cm="1">
        <f t="array" aca="1" ref="E8" ca="1">INDIRECT("'results" &amp; $B8 &amp; "'!F$14")</f>
        <v>9</v>
      </c>
      <c r="F8" s="5" cm="1">
        <f t="array" aca="1" ref="F8" ca="1">INDIRECT("'results" &amp; $B8 &amp; "'!G$14")</f>
        <v>63</v>
      </c>
      <c r="G8" s="5" cm="1">
        <f t="array" aca="1" ref="G8" ca="1">INDIRECT("'results" &amp; $B8 &amp; "'!H$14")</f>
        <v>1914.1622181945195</v>
      </c>
      <c r="H8" s="33" cm="1">
        <f t="array" aca="1" ref="H8" ca="1">INDIRECT("'results" &amp; $B8 &amp; "'!I$14")</f>
        <v>47.019901495864971</v>
      </c>
      <c r="I8" s="5" cm="1">
        <f t="array" aca="1" ref="I8" ca="1">INDIRECT("'results" &amp; $B8 &amp; "'!J$14")</f>
        <v>7599.1141521615382</v>
      </c>
      <c r="J8" s="5"/>
      <c r="K8" s="5" cm="1">
        <f t="array" aca="1" ref="K8" ca="1">INDIRECT("'results" &amp; $B8 &amp; "'!L$14")</f>
        <v>3105860.8342154999</v>
      </c>
      <c r="L8" s="5" cm="1">
        <f t="array" aca="1" ref="L8" ca="1">INDIRECT("'results" &amp; $B8 &amp; "'!M$14")</f>
        <v>1330.8641176470148</v>
      </c>
      <c r="M8" s="5" cm="1">
        <f t="array" aca="1" ref="M8" ca="1">INDIRECT("'results" &amp; $B8 &amp; "'!N$14")</f>
        <v>8</v>
      </c>
      <c r="N8" s="5" cm="1">
        <f t="array" aca="1" ref="N8" ca="1">INDIRECT("'results" &amp; $B8 &amp; "'!O$14")</f>
        <v>37.5</v>
      </c>
      <c r="O8" s="5" cm="1">
        <f t="array" aca="1" ref="O8" ca="1">INDIRECT("'results" &amp; $B8 &amp; "'!P$14")</f>
        <v>676.75526557639944</v>
      </c>
      <c r="P8" s="5" cm="1">
        <f t="array" aca="1" ref="P8" ca="1">INDIRECT("'results" &amp; $B8 &amp; "'!Q$14")</f>
        <v>28.165305590820783</v>
      </c>
      <c r="Q8" s="5" cm="1">
        <f t="array" aca="1" ref="Q8" ca="1">INDIRECT("'results" &amp; $B8 &amp; "'!R$14")</f>
        <v>5886.33073622755</v>
      </c>
      <c r="R8" s="5"/>
      <c r="S8" s="5" cm="1">
        <f t="array" aca="1" ref="S8" ca="1">INDIRECT("'results" &amp; $B8 &amp; "'!T$14")</f>
        <v>3056428.512021048</v>
      </c>
      <c r="T8" s="5" cm="1">
        <f t="array" aca="1" ref="T8" ca="1">INDIRECT("'results" &amp; $B8 &amp; "'!U$14")</f>
        <v>438.575294117635</v>
      </c>
      <c r="U8" s="5" cm="1">
        <f t="array" aca="1" ref="U8" ca="1">INDIRECT("'results" &amp; $B8 &amp; "'!V$14")</f>
        <v>7</v>
      </c>
      <c r="V8" s="5" cm="1">
        <f t="array" aca="1" ref="V8" ca="1">INDIRECT("'results" &amp; $B8 &amp; "'!W$14")</f>
        <v>43</v>
      </c>
      <c r="W8" s="5" cm="1">
        <f t="array" aca="1" ref="W8" ca="1">INDIRECT("'results" &amp; $B8 &amp; "'!X$14")</f>
        <v>1384.1429330214323</v>
      </c>
      <c r="X8" s="5" cm="1">
        <f t="array" aca="1" ref="X8" ca="1">INDIRECT("'results" &amp; $B8 &amp; "'!Y$14")</f>
        <v>52.852133981480065</v>
      </c>
      <c r="Y8" s="5" cm="1">
        <f t="array" aca="1" ref="Y8" ca="1">INDIRECT("'results" &amp; $B8 &amp; "'!Z$14")</f>
        <v>7063.0437526162959</v>
      </c>
      <c r="Z8" s="5"/>
    </row>
    <row r="9" spans="2:26" x14ac:dyDescent="0.2">
      <c r="B9" s="4">
        <v>469</v>
      </c>
      <c r="C9" s="5" cm="1">
        <f t="array" aca="1" ref="C9" ca="1">INDIRECT("'results" &amp; $B9 &amp; "'!D$14")</f>
        <v>2708957.4537607441</v>
      </c>
      <c r="D9" s="33" cm="1">
        <f t="array" aca="1" ref="D9" ca="1">INDIRECT("'results" &amp; $B9 &amp; "'!E$14")</f>
        <v>832.52764705883533</v>
      </c>
      <c r="E9" s="5" cm="1">
        <f t="array" aca="1" ref="E9" ca="1">INDIRECT("'results" &amp; $B9 &amp; "'!F$14")</f>
        <v>7</v>
      </c>
      <c r="F9" s="5" cm="1">
        <f t="array" aca="1" ref="F9" ca="1">INDIRECT("'results" &amp; $B9 &amp; "'!G$14")</f>
        <v>57.5</v>
      </c>
      <c r="G9" s="5" cm="1">
        <f t="array" aca="1" ref="G9" ca="1">INDIRECT("'results" &amp; $B9 &amp; "'!H$14")</f>
        <v>1449.5066122455939</v>
      </c>
      <c r="H9" s="33" cm="1">
        <f t="array" aca="1" ref="H9" ca="1">INDIRECT("'results" &amp; $B9 &amp; "'!I$14")</f>
        <v>55.951184458801556</v>
      </c>
      <c r="I9" s="5" cm="1">
        <f t="array" aca="1" ref="I9" ca="1">INDIRECT("'results" &amp; $B9 &amp; "'!J$14")</f>
        <v>7049.6564024374666</v>
      </c>
      <c r="J9" s="5"/>
      <c r="K9" s="5" cm="1">
        <f t="array" aca="1" ref="K9" ca="1">INDIRECT("'results" &amp; $B9 &amp; "'!L$14")</f>
        <v>3104845.7185017061</v>
      </c>
      <c r="L9" s="5" cm="1">
        <f t="array" aca="1" ref="L9" ca="1">INDIRECT("'results" &amp; $B9 &amp; "'!M$14")</f>
        <v>324.99117647058</v>
      </c>
      <c r="M9" s="5" cm="1">
        <f t="array" aca="1" ref="M9" ca="1">INDIRECT("'results" &amp; $B9 &amp; "'!N$14")</f>
        <v>14</v>
      </c>
      <c r="N9" s="5" cm="1">
        <f t="array" aca="1" ref="N9" ca="1">INDIRECT("'results" &amp; $B9 &amp; "'!O$14")</f>
        <v>45.5</v>
      </c>
      <c r="O9" s="5" cm="1">
        <f t="array" aca="1" ref="O9" ca="1">INDIRECT("'results" &amp; $B9 &amp; "'!P$14")</f>
        <v>1498.8412056512464</v>
      </c>
      <c r="P9" s="5" cm="1">
        <f t="array" aca="1" ref="P9" ca="1">INDIRECT("'results" &amp; $B9 &amp; "'!Q$14")</f>
        <v>24.552934094383382</v>
      </c>
      <c r="Q9" s="5" cm="1">
        <f t="array" aca="1" ref="Q9" ca="1">INDIRECT("'results" &amp; $B9 &amp; "'!R$14")</f>
        <v>6582.1776293785115</v>
      </c>
      <c r="R9" s="5"/>
      <c r="S9" s="5" cm="1">
        <f t="array" aca="1" ref="S9" ca="1">INDIRECT("'results" &amp; $B9 &amp; "'!T$14")</f>
        <v>3108506.7684734082</v>
      </c>
      <c r="T9" s="5" cm="1">
        <f t="array" aca="1" ref="T9" ca="1">INDIRECT("'results" &amp; $B9 &amp; "'!U$14")</f>
        <v>498.44647058819913</v>
      </c>
      <c r="U9" s="5" cm="1">
        <f t="array" aca="1" ref="U9" ca="1">INDIRECT("'results" &amp; $B9 &amp; "'!V$14")</f>
        <v>5</v>
      </c>
      <c r="V9" s="5" cm="1">
        <f t="array" aca="1" ref="V9" ca="1">INDIRECT("'results" &amp; $B9 &amp; "'!W$14")</f>
        <v>37.5</v>
      </c>
      <c r="W9" s="5" cm="1">
        <f t="array" aca="1" ref="W9" ca="1">INDIRECT("'results" &amp; $B9 &amp; "'!X$14")</f>
        <v>951.16102296198642</v>
      </c>
      <c r="X9" s="5" cm="1">
        <f t="array" aca="1" ref="X9" ca="1">INDIRECT("'results" &amp; $B9 &amp; "'!Y$14")</f>
        <v>66.089889993642288</v>
      </c>
      <c r="Y9" s="5" cm="1">
        <f t="array" aca="1" ref="Y9" ca="1">INDIRECT("'results" &amp; $B9 &amp; "'!Z$14")</f>
        <v>6713.8472693628673</v>
      </c>
      <c r="Z9" s="5"/>
    </row>
    <row r="10" spans="2:26" x14ac:dyDescent="0.2">
      <c r="B10" s="4">
        <v>494</v>
      </c>
      <c r="C10" s="5" cm="1">
        <f t="array" aca="1" ref="C10" ca="1">INDIRECT("'results" &amp; $B10 &amp; "'!D$14")</f>
        <v>2870064.8283787589</v>
      </c>
      <c r="D10" s="33" cm="1">
        <f t="array" aca="1" ref="D10" ca="1">INDIRECT("'results" &amp; $B10 &amp; "'!E$14")</f>
        <v>226.97588235290499</v>
      </c>
      <c r="E10" s="5" cm="1">
        <f t="array" aca="1" ref="E10" ca="1">INDIRECT("'results" &amp; $B10 &amp; "'!F$14")</f>
        <v>11</v>
      </c>
      <c r="F10" s="5" cm="1">
        <f t="array" aca="1" ref="F10" ca="1">INDIRECT("'results" &amp; $B10 &amp; "'!G$14")</f>
        <v>58</v>
      </c>
      <c r="G10" s="5" cm="1">
        <f t="array" aca="1" ref="G10" ca="1">INDIRECT("'results" &amp; $B10 &amp; "'!H$14")</f>
        <v>2074.8837371082132</v>
      </c>
      <c r="H10" s="33" cm="1">
        <f t="array" aca="1" ref="H10" ca="1">INDIRECT("'results" &amp; $B10 &amp; "'!I$14")</f>
        <v>30.013195973644223</v>
      </c>
      <c r="I10" s="5" cm="1">
        <f t="array" aca="1" ref="I10" ca="1">INDIRECT("'results" &amp; $B10 &amp; "'!J$14")</f>
        <v>7464.1230573503835</v>
      </c>
      <c r="J10" s="5"/>
      <c r="K10" s="5" cm="1">
        <f t="array" aca="1" ref="K10" ca="1">INDIRECT("'results" &amp; $B10 &amp; "'!L$14")</f>
        <v>3091480.81747464</v>
      </c>
      <c r="L10" s="5" cm="1">
        <f t="array" aca="1" ref="L10" ca="1">INDIRECT("'results" &amp; $B10 &amp; "'!M$14")</f>
        <v>1104.3935294117207</v>
      </c>
      <c r="M10" s="5" cm="1">
        <f t="array" aca="1" ref="M10" ca="1">INDIRECT("'results" &amp; $B10 &amp; "'!N$14")</f>
        <v>11</v>
      </c>
      <c r="N10" s="5" cm="1">
        <f t="array" aca="1" ref="N10" ca="1">INDIRECT("'results" &amp; $B10 &amp; "'!O$14")</f>
        <v>42.5</v>
      </c>
      <c r="O10" s="5" cm="1">
        <f t="array" aca="1" ref="O10" ca="1">INDIRECT("'results" &amp; $B10 &amp; "'!P$14")</f>
        <v>1236.350174246448</v>
      </c>
      <c r="P10" s="5" cm="1">
        <f t="array" aca="1" ref="P10" ca="1">INDIRECT("'results" &amp; $B10 &amp; "'!Q$14")</f>
        <v>20.582911185219061</v>
      </c>
      <c r="Q10" s="5" cm="1">
        <f t="array" aca="1" ref="Q10" ca="1">INDIRECT("'results" &amp; $B10 &amp; "'!R$14")</f>
        <v>6357.475026422102</v>
      </c>
      <c r="R10" s="5"/>
      <c r="S10" s="5" cm="1">
        <f t="array" aca="1" ref="S10" ca="1">INDIRECT("'results" &amp; $B10 &amp; "'!T$14")</f>
        <v>3180443.629875686</v>
      </c>
      <c r="T10" s="5" cm="1">
        <f t="array" aca="1" ref="T10" ca="1">INDIRECT("'results" &amp; $B10 &amp; "'!U$14")</f>
        <v>455.90941176468999</v>
      </c>
      <c r="U10" s="5" cm="1">
        <f t="array" aca="1" ref="U10" ca="1">INDIRECT("'results" &amp; $B10 &amp; "'!V$14")</f>
        <v>7</v>
      </c>
      <c r="V10" s="5" cm="1">
        <f t="array" aca="1" ref="V10" ca="1">INDIRECT("'results" &amp; $B10 &amp; "'!W$14")</f>
        <v>39.5</v>
      </c>
      <c r="W10" s="5" cm="1">
        <f t="array" aca="1" ref="W10" ca="1">INDIRECT("'results" &amp; $B10 &amp; "'!X$14")</f>
        <v>1699.3857298654816</v>
      </c>
      <c r="X10" s="5" cm="1">
        <f t="array" aca="1" ref="X10" ca="1">INDIRECT("'results" &amp; $B10 &amp; "'!Y$14")</f>
        <v>41.322751512285613</v>
      </c>
      <c r="Y10" s="5" cm="1">
        <f t="array" aca="1" ref="Y10" ca="1">INDIRECT("'results" &amp; $B10 &amp; "'!Z$14")</f>
        <v>7232.8968683462535</v>
      </c>
      <c r="Z10" s="5"/>
    </row>
    <row r="11" spans="2:26" x14ac:dyDescent="0.2">
      <c r="B11" s="4">
        <v>519</v>
      </c>
      <c r="C11" s="5" cm="1">
        <f t="array" aca="1" ref="C11" ca="1">INDIRECT("'results" &amp; $B11 &amp; "'!D$14")</f>
        <v>2653362.6584630478</v>
      </c>
      <c r="D11" s="33" cm="1">
        <f t="array" aca="1" ref="D11" ca="1">INDIRECT("'results" &amp; $B11 &amp; "'!E$14")</f>
        <v>391.37823529411384</v>
      </c>
      <c r="E11" s="5" cm="1">
        <f t="array" aca="1" ref="E11" ca="1">INDIRECT("'results" &amp; $B11 &amp; "'!F$14")</f>
        <v>5</v>
      </c>
      <c r="F11" s="5" cm="1">
        <f t="array" aca="1" ref="F11" ca="1">INDIRECT("'results" &amp; $B11 &amp; "'!G$14")</f>
        <v>55</v>
      </c>
      <c r="G11" s="5" cm="1">
        <f t="array" aca="1" ref="G11" ca="1">INDIRECT("'results" &amp; $B11 &amp; "'!H$14")</f>
        <v>911.99998600228128</v>
      </c>
      <c r="H11" s="33" cm="1">
        <f t="array" aca="1" ref="H11" ca="1">INDIRECT("'results" &amp; $B11 &amp; "'!I$14")</f>
        <v>65.215548184284785</v>
      </c>
      <c r="I11" s="5" cm="1">
        <f t="array" aca="1" ref="I11" ca="1">INDIRECT("'results" &amp; $B11 &amp; "'!J$14")</f>
        <v>6520.0115604467983</v>
      </c>
      <c r="J11" s="5"/>
      <c r="K11" s="5" cm="1">
        <f t="array" aca="1" ref="K11" ca="1">INDIRECT("'results" &amp; $B11 &amp; "'!L$14")</f>
        <v>3100501.8533303561</v>
      </c>
      <c r="L11" s="5" cm="1">
        <f t="array" aca="1" ref="L11" ca="1">INDIRECT("'results" &amp; $B11 &amp; "'!M$14")</f>
        <v>1146.534705882317</v>
      </c>
      <c r="M11" s="5" cm="1">
        <f t="array" aca="1" ref="M11" ca="1">INDIRECT("'results" &amp; $B11 &amp; "'!N$14")</f>
        <v>8</v>
      </c>
      <c r="N11" s="5" cm="1">
        <f t="array" aca="1" ref="N11" ca="1">INDIRECT("'results" &amp; $B11 &amp; "'!O$14")</f>
        <v>35</v>
      </c>
      <c r="O11" s="5" cm="1">
        <f t="array" aca="1" ref="O11" ca="1">INDIRECT("'results" &amp; $B11 &amp; "'!P$14")</f>
        <v>363.42475147857482</v>
      </c>
      <c r="P11" s="5" cm="1">
        <f t="array" aca="1" ref="P11" ca="1">INDIRECT("'results" &amp; $B11 &amp; "'!Q$14")</f>
        <v>27.299755497821383</v>
      </c>
      <c r="Q11" s="5" cm="1">
        <f t="array" aca="1" ref="Q11" ca="1">INDIRECT("'results" &amp; $B11 &amp; "'!R$14")</f>
        <v>4985.4160645258617</v>
      </c>
      <c r="R11" s="5"/>
      <c r="S11" s="5" cm="1">
        <f t="array" aca="1" ref="S11" ca="1">INDIRECT("'results" &amp; $B11 &amp; "'!T$14")</f>
        <v>2945819.494803844</v>
      </c>
      <c r="T11" s="5" cm="1">
        <f t="array" aca="1" ref="T11" ca="1">INDIRECT("'results" &amp; $B11 &amp; "'!U$14")</f>
        <v>732.35294117647061</v>
      </c>
      <c r="U11" s="5" cm="1">
        <f t="array" aca="1" ref="U11" ca="1">INDIRECT("'results" &amp; $B11 &amp; "'!V$14")</f>
        <v>6</v>
      </c>
      <c r="V11" s="5" cm="1">
        <f t="array" aca="1" ref="V11" ca="1">INDIRECT("'results" &amp; $B11 &amp; "'!W$14")</f>
        <v>45</v>
      </c>
      <c r="W11" s="5" cm="1">
        <f t="array" aca="1" ref="W11" ca="1">INDIRECT("'results" &amp; $B11 &amp; "'!X$14")</f>
        <v>1138.452674965557</v>
      </c>
      <c r="X11" s="5" cm="1">
        <f t="array" aca="1" ref="X11" ca="1">INDIRECT("'results" &amp; $B11 &amp; "'!Y$14")</f>
        <v>64.19366648421726</v>
      </c>
      <c r="Y11" s="5" cm="1">
        <f t="array" aca="1" ref="Y11" ca="1">INDIRECT("'results" &amp; $B11 &amp; "'!Z$14")</f>
        <v>6677.0363680986557</v>
      </c>
      <c r="Z11" s="5"/>
    </row>
    <row r="12" spans="2:26" x14ac:dyDescent="0.2">
      <c r="B12" s="4">
        <v>963</v>
      </c>
      <c r="C12" s="5" cm="1">
        <f t="array" aca="1" ref="C12" ca="1">INDIRECT("'results" &amp; $B12 &amp; "'!D$14")</f>
        <v>2638945.9923879178</v>
      </c>
      <c r="D12" s="33" cm="1">
        <f t="array" aca="1" ref="D12" ca="1">INDIRECT("'results" &amp; $B12 &amp; "'!E$14")</f>
        <v>341.0105882352903</v>
      </c>
      <c r="E12" s="5" cm="1">
        <f t="array" aca="1" ref="E12" ca="1">INDIRECT("'results" &amp; $B12 &amp; "'!F$14")</f>
        <v>8</v>
      </c>
      <c r="F12" s="5" cm="1">
        <f t="array" aca="1" ref="F12" ca="1">INDIRECT("'results" &amp; $B12 &amp; "'!G$14")</f>
        <v>63</v>
      </c>
      <c r="G12" s="5" cm="1">
        <f t="array" aca="1" ref="G12" ca="1">INDIRECT("'results" &amp; $B12 &amp; "'!H$14")</f>
        <v>1546.7998336492572</v>
      </c>
      <c r="H12" s="33" cm="1">
        <f t="array" aca="1" ref="H12" ca="1">INDIRECT("'results" &amp; $B12 &amp; "'!I$14")</f>
        <v>54.663753029478741</v>
      </c>
      <c r="I12" s="5" cm="1">
        <f t="array" aca="1" ref="I12" ca="1">INDIRECT("'results" &amp; $B12 &amp; "'!J$14")</f>
        <v>7212.8637521304117</v>
      </c>
      <c r="J12" s="5"/>
      <c r="K12" s="5" cm="1">
        <f t="array" aca="1" ref="K12" ca="1">INDIRECT("'results" &amp; $B12 &amp; "'!L$14")</f>
        <v>3068486.0907536568</v>
      </c>
      <c r="L12" s="5" cm="1">
        <f t="array" aca="1" ref="L12" ca="1">INDIRECT("'results" &amp; $B12 &amp; "'!M$14")</f>
        <v>459.59529411766732</v>
      </c>
      <c r="M12" s="5" cm="1">
        <f t="array" aca="1" ref="M12" ca="1">INDIRECT("'results" &amp; $B12 &amp; "'!N$14")</f>
        <v>10</v>
      </c>
      <c r="N12" s="5" cm="1">
        <f t="array" aca="1" ref="N12" ca="1">INDIRECT("'results" &amp; $B12 &amp; "'!O$14")</f>
        <v>41</v>
      </c>
      <c r="O12" s="5" cm="1">
        <f t="array" aca="1" ref="O12" ca="1">INDIRECT("'results" &amp; $B12 &amp; "'!P$14")</f>
        <v>946.5272996553</v>
      </c>
      <c r="P12" s="5" cm="1">
        <f t="array" aca="1" ref="P12" ca="1">INDIRECT("'results" &amp; $B12 &amp; "'!Q$14")</f>
        <v>25.70522321411902</v>
      </c>
      <c r="Q12" s="5" cm="1">
        <f t="array" aca="1" ref="Q12" ca="1">INDIRECT("'results" &amp; $B12 &amp; "'!R$14")</f>
        <v>5958.8447371446255</v>
      </c>
      <c r="R12" s="5"/>
      <c r="S12" s="5" cm="1">
        <f t="array" aca="1" ref="S12" ca="1">INDIRECT("'results" &amp; $B12 &amp; "'!T$14")</f>
        <v>3026004.0868130089</v>
      </c>
      <c r="T12" s="5" cm="1">
        <f t="array" aca="1" ref="T12" ca="1">INDIRECT("'results" &amp; $B12 &amp; "'!U$14")</f>
        <v>657.60999999995181</v>
      </c>
      <c r="U12" s="5" cm="1">
        <f t="array" aca="1" ref="U12" ca="1">INDIRECT("'results" &amp; $B12 &amp; "'!V$14")</f>
        <v>8</v>
      </c>
      <c r="V12" s="5" cm="1">
        <f t="array" aca="1" ref="V12" ca="1">INDIRECT("'results" &amp; $B12 &amp; "'!W$14")</f>
        <v>46</v>
      </c>
      <c r="W12" s="5" cm="1">
        <f t="array" aca="1" ref="W12" ca="1">INDIRECT("'results" &amp; $B12 &amp; "'!X$14")</f>
        <v>1607.8945523801556</v>
      </c>
      <c r="X12" s="5" cm="1">
        <f t="array" aca="1" ref="X12" ca="1">INDIRECT("'results" &amp; $B12 &amp; "'!Y$14")</f>
        <v>55.139175694628918</v>
      </c>
      <c r="Y12" s="5" cm="1">
        <f t="array" aca="1" ref="Y12" ca="1">INDIRECT("'results" &amp; $B12 &amp; "'!Z$14")</f>
        <v>7272.7703192100262</v>
      </c>
      <c r="Z12" s="5"/>
    </row>
    <row r="13" spans="2:26" x14ac:dyDescent="0.2">
      <c r="B13" s="8" t="s">
        <v>3</v>
      </c>
      <c r="C13" s="9">
        <f ca="1">AVERAGE(C3:C12)</f>
        <v>2681991.566260743</v>
      </c>
      <c r="D13" s="10">
        <f t="shared" ref="D13:I13" ca="1" si="0">AVERAGE(D3:D12)</f>
        <v>511.46770588235285</v>
      </c>
      <c r="E13" s="9">
        <f t="shared" ca="1" si="0"/>
        <v>8.1999999999999993</v>
      </c>
      <c r="F13" s="9">
        <f t="shared" ca="1" si="0"/>
        <v>60.65</v>
      </c>
      <c r="G13" s="9">
        <f t="shared" ca="1" si="0"/>
        <v>1563.4729597990067</v>
      </c>
      <c r="H13" s="10">
        <f t="shared" ca="1" si="0"/>
        <v>48.446353463147695</v>
      </c>
      <c r="I13" s="9">
        <f t="shared" ca="1" si="0"/>
        <v>7124.4991170462217</v>
      </c>
      <c r="J13" s="32" t="e">
        <f ca="1">(C13-$D$15)/$D$15</f>
        <v>#DIV/0!</v>
      </c>
      <c r="K13" s="16">
        <f ca="1">AVERAGE(K3:K12)</f>
        <v>3101310.4053173056</v>
      </c>
      <c r="L13" s="41">
        <f t="shared" ref="L13:Q13" ca="1" si="1">AVERAGE(L3:L12)</f>
        <v>826.66188235293316</v>
      </c>
      <c r="M13" s="16">
        <f t="shared" ca="1" si="1"/>
        <v>10.199999999999999</v>
      </c>
      <c r="N13" s="16">
        <f ca="1">AVERAGE(N3:N12)</f>
        <v>39.6</v>
      </c>
      <c r="O13" s="16">
        <f t="shared" ca="1" si="1"/>
        <v>914.15883207263653</v>
      </c>
      <c r="P13" s="41">
        <f t="shared" ca="1" si="1"/>
        <v>24.056567723761621</v>
      </c>
      <c r="Q13" s="16">
        <f t="shared" ca="1" si="1"/>
        <v>5829.374748433991</v>
      </c>
      <c r="R13" s="42" t="e">
        <f ca="1">(K13-$D$15)/$D$15</f>
        <v>#DIV/0!</v>
      </c>
      <c r="S13" s="38">
        <f ca="1">AVERAGE(S3:S12)</f>
        <v>3069667.1533134142</v>
      </c>
      <c r="T13" s="43">
        <f t="shared" ref="T13:Y13" ca="1" si="2">AVERAGE(T3:T12)</f>
        <v>511.85547058822533</v>
      </c>
      <c r="U13" s="38">
        <f t="shared" ca="1" si="2"/>
        <v>6.2</v>
      </c>
      <c r="V13" s="38">
        <f t="shared" ca="1" si="2"/>
        <v>41.75</v>
      </c>
      <c r="W13" s="38">
        <f t="shared" ca="1" si="2"/>
        <v>1357.9738416047417</v>
      </c>
      <c r="X13" s="43">
        <f t="shared" ca="1" si="2"/>
        <v>56.921067291378151</v>
      </c>
      <c r="Y13" s="38">
        <f t="shared" ca="1" si="2"/>
        <v>7023.6774574201972</v>
      </c>
      <c r="Z13" s="44" t="e">
        <f ca="1">(S13-$D$15)/$D$15</f>
        <v>#DIV/0!</v>
      </c>
    </row>
    <row r="14" spans="2:26" x14ac:dyDescent="0.2">
      <c r="K14" s="45">
        <f ca="1">(K13-C13)/C13</f>
        <v>0.15634606921645947</v>
      </c>
      <c r="L14" s="45">
        <f t="shared" ref="L14:Q14" ca="1" si="3">(L13-D13)/D13</f>
        <v>0.61625430666600267</v>
      </c>
      <c r="M14" s="45">
        <f t="shared" ca="1" si="3"/>
        <v>0.24390243902439027</v>
      </c>
      <c r="N14" s="45">
        <f t="shared" ca="1" si="3"/>
        <v>-0.34707337180544101</v>
      </c>
      <c r="O14" s="45">
        <f t="shared" ca="1" si="3"/>
        <v>-0.41530243529753352</v>
      </c>
      <c r="P14" s="45">
        <f t="shared" ca="1" si="3"/>
        <v>-0.50343904124670524</v>
      </c>
      <c r="Q14" s="45">
        <f t="shared" ca="1" si="3"/>
        <v>-0.18178462055156827</v>
      </c>
      <c r="S14" s="45">
        <f ca="1">(S13-C13)/C13</f>
        <v>0.14454765329227789</v>
      </c>
      <c r="T14" s="45">
        <f t="shared" ref="T14:Y14" ca="1" si="4">(T13-D13)/D13</f>
        <v>7.5814113269094226E-4</v>
      </c>
      <c r="U14" s="45">
        <f t="shared" ca="1" si="4"/>
        <v>-0.24390243902439016</v>
      </c>
      <c r="V14" s="45">
        <f ca="1">(V13-F13)/F13</f>
        <v>-0.3116240725474031</v>
      </c>
      <c r="W14" s="45">
        <f t="shared" ca="1" si="4"/>
        <v>-0.13143759020986404</v>
      </c>
      <c r="X14" s="45">
        <f t="shared" ca="1" si="4"/>
        <v>0.17492985998785285</v>
      </c>
      <c r="Y14" s="45">
        <f t="shared" ca="1" si="4"/>
        <v>-1.4151403203180491E-2</v>
      </c>
    </row>
    <row r="16" spans="2:26" x14ac:dyDescent="0.2">
      <c r="B16" s="1" t="s">
        <v>22</v>
      </c>
      <c r="C16">
        <f ca="1">_xlfn.STDEV.S(C3:C12)</f>
        <v>212475.68748255208</v>
      </c>
      <c r="D16">
        <f ca="1">D13/1.7</f>
        <v>300.86335640138401</v>
      </c>
      <c r="J16" s="1" t="s">
        <v>22</v>
      </c>
      <c r="K16">
        <f ca="1">_xlfn.STDEV.S(K3:K12)</f>
        <v>169705.2489141071</v>
      </c>
      <c r="L16">
        <f ca="1">L13/1.7</f>
        <v>486.27169550172539</v>
      </c>
      <c r="R16" s="1" t="s">
        <v>22</v>
      </c>
      <c r="S16">
        <f ca="1">_xlfn.STDEV.S(S3:S12)</f>
        <v>145099.60413542119</v>
      </c>
      <c r="T16">
        <f ca="1">T13/1.7</f>
        <v>301.09145328719137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8"/>
  <sheetViews>
    <sheetView zoomScale="85" zoomScaleNormal="85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-0.98701354137072872</v>
      </c>
      <c r="J2" s="28" t="e">
        <f>(S14-J14)/J14</f>
        <v>#DIV/0!</v>
      </c>
      <c r="K2" s="28"/>
      <c r="L2" s="1" t="s">
        <v>19</v>
      </c>
      <c r="P2" s="1">
        <f>(P14-H14)/H14</f>
        <v>-0.52964122925771207</v>
      </c>
      <c r="R2" s="1">
        <f>(R14-J14)/J14</f>
        <v>-0.23204864094370573</v>
      </c>
      <c r="T2" s="1" t="s">
        <v>20</v>
      </c>
      <c r="X2" s="1">
        <f>(X14-P14)/P14</f>
        <v>0.26264922253589701</v>
      </c>
      <c r="Z2" s="1">
        <f>(Z14-R14)/R14</f>
        <v>0.22615567256138361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915</v>
      </c>
      <c r="D4" s="23">
        <v>2655887.0405876469</v>
      </c>
      <c r="E4" s="33">
        <v>225.50529411761087</v>
      </c>
      <c r="F4" s="5">
        <v>5</v>
      </c>
      <c r="G4" s="23">
        <v>56</v>
      </c>
      <c r="H4" s="33">
        <v>808.3528089135981</v>
      </c>
      <c r="I4" s="23">
        <v>64.831862068076646</v>
      </c>
      <c r="J4" s="5">
        <v>6637.0691052060183</v>
      </c>
      <c r="K4" s="31"/>
      <c r="L4" s="23">
        <v>3241829.6251982949</v>
      </c>
      <c r="M4" s="33">
        <v>702.53647058825527</v>
      </c>
      <c r="N4" s="5">
        <v>8</v>
      </c>
      <c r="O4" s="5">
        <v>30.5</v>
      </c>
      <c r="P4" s="33">
        <v>424.69029988379805</v>
      </c>
      <c r="Q4" s="5">
        <v>23.256528860424055</v>
      </c>
      <c r="R4" s="5">
        <v>5000.1076039511845</v>
      </c>
      <c r="S4" s="31"/>
      <c r="T4" s="23">
        <v>3065975.9046552731</v>
      </c>
      <c r="U4" s="33">
        <v>256.34176470585828</v>
      </c>
      <c r="V4" s="5">
        <v>5</v>
      </c>
      <c r="W4" s="5">
        <v>40.5</v>
      </c>
      <c r="X4" s="33">
        <v>1043.3520905254788</v>
      </c>
      <c r="Y4" s="5">
        <v>68.878332979626251</v>
      </c>
      <c r="Z4" s="5">
        <v>6875.5548475527385</v>
      </c>
      <c r="AA4" s="35"/>
    </row>
    <row r="5" spans="2:27" x14ac:dyDescent="0.2">
      <c r="B5" s="4">
        <v>2</v>
      </c>
      <c r="C5" s="4">
        <v>976</v>
      </c>
      <c r="D5" s="23">
        <v>2659076.2929281839</v>
      </c>
      <c r="E5" s="33">
        <v>918.60294117647061</v>
      </c>
      <c r="F5" s="5">
        <v>7</v>
      </c>
      <c r="G5" s="23">
        <v>60</v>
      </c>
      <c r="H5" s="33">
        <v>1348.4007413866625</v>
      </c>
      <c r="I5" s="23">
        <v>50.755312150619837</v>
      </c>
      <c r="J5" s="5">
        <v>6953.4543201826473</v>
      </c>
      <c r="K5" s="31"/>
      <c r="L5" s="23">
        <v>3114890.6935222121</v>
      </c>
      <c r="M5" s="33">
        <v>1024.7700000000323</v>
      </c>
      <c r="N5" s="5">
        <v>12</v>
      </c>
      <c r="O5" s="5">
        <v>40</v>
      </c>
      <c r="P5" s="33">
        <v>915.60720678170162</v>
      </c>
      <c r="Q5" s="5">
        <v>20.640787556024701</v>
      </c>
      <c r="R5" s="5">
        <v>5627.848836123896</v>
      </c>
      <c r="S5" s="31"/>
      <c r="T5" s="23">
        <v>3042372.2061616099</v>
      </c>
      <c r="U5" s="33">
        <v>397.95000000000823</v>
      </c>
      <c r="V5" s="5">
        <v>5</v>
      </c>
      <c r="W5" s="5">
        <v>41.5</v>
      </c>
      <c r="X5" s="33">
        <v>1015.233824597942</v>
      </c>
      <c r="Y5" s="5">
        <v>66.890087223868221</v>
      </c>
      <c r="Z5" s="5">
        <v>6843.145367384529</v>
      </c>
      <c r="AA5" s="35"/>
    </row>
    <row r="6" spans="2:27" x14ac:dyDescent="0.2">
      <c r="B6" s="4">
        <v>3</v>
      </c>
      <c r="C6" s="4">
        <v>821</v>
      </c>
      <c r="D6" s="23">
        <v>2801725.1432510251</v>
      </c>
      <c r="E6" s="33">
        <v>280.79941176466968</v>
      </c>
      <c r="F6" s="5">
        <v>11</v>
      </c>
      <c r="G6" s="23">
        <v>67</v>
      </c>
      <c r="H6" s="33">
        <v>2565.8826987765665</v>
      </c>
      <c r="I6" s="23">
        <v>39.249754801083114</v>
      </c>
      <c r="J6" s="5">
        <v>8001.5809782753986</v>
      </c>
      <c r="K6" s="31"/>
      <c r="L6" s="23">
        <v>3076064.0246882779</v>
      </c>
      <c r="M6" s="33">
        <v>676.1952941176512</v>
      </c>
      <c r="N6" s="5">
        <v>11</v>
      </c>
      <c r="O6" s="5">
        <v>40.5</v>
      </c>
      <c r="P6" s="33">
        <v>804.05056802629042</v>
      </c>
      <c r="Q6" s="5">
        <v>22.199584842517105</v>
      </c>
      <c r="R6" s="5">
        <v>5580.9759890353143</v>
      </c>
      <c r="S6" s="31"/>
      <c r="T6" s="23">
        <v>3059903.3024791288</v>
      </c>
      <c r="U6" s="33">
        <v>753.18000000004417</v>
      </c>
      <c r="V6" s="5">
        <v>5</v>
      </c>
      <c r="W6" s="5">
        <v>39.5</v>
      </c>
      <c r="X6" s="33">
        <v>818.18276330603135</v>
      </c>
      <c r="Y6" s="5">
        <v>63.510136550566664</v>
      </c>
      <c r="Z6" s="5">
        <v>6689.962930073013</v>
      </c>
      <c r="AA6" s="35"/>
    </row>
    <row r="7" spans="2:27" x14ac:dyDescent="0.2">
      <c r="B7" s="4">
        <v>4</v>
      </c>
      <c r="C7" s="4">
        <v>777</v>
      </c>
      <c r="D7" s="23">
        <v>2596550.2057998879</v>
      </c>
      <c r="E7" s="33">
        <v>354.24588235293737</v>
      </c>
      <c r="F7" s="5">
        <v>6</v>
      </c>
      <c r="G7" s="23">
        <v>60</v>
      </c>
      <c r="H7" s="33">
        <v>1049.809704338423</v>
      </c>
      <c r="I7" s="23">
        <v>54.792686867671364</v>
      </c>
      <c r="J7" s="5">
        <v>6747.9154319164918</v>
      </c>
      <c r="K7" s="31"/>
      <c r="L7" s="23">
        <v>3259637.9830502891</v>
      </c>
      <c r="M7" s="33">
        <v>799.85294117647061</v>
      </c>
      <c r="N7" s="5">
        <v>7</v>
      </c>
      <c r="O7" s="5">
        <v>29.5</v>
      </c>
      <c r="P7" s="33">
        <v>438.94142532300515</v>
      </c>
      <c r="Q7" s="5">
        <v>24.176684647111021</v>
      </c>
      <c r="R7" s="5">
        <v>5133.1200458369713</v>
      </c>
      <c r="S7" s="31"/>
      <c r="T7" s="23">
        <v>3081159.771143131</v>
      </c>
      <c r="U7" s="33">
        <v>852.93235294116823</v>
      </c>
      <c r="V7" s="5">
        <v>5</v>
      </c>
      <c r="W7" s="5">
        <v>40</v>
      </c>
      <c r="X7" s="33">
        <v>1094.7251872349511</v>
      </c>
      <c r="Y7" s="5">
        <v>64.753938317939813</v>
      </c>
      <c r="Z7" s="5">
        <v>6883.820879969202</v>
      </c>
      <c r="AA7" s="35"/>
    </row>
    <row r="8" spans="2:27" x14ac:dyDescent="0.2">
      <c r="B8" s="4">
        <v>5</v>
      </c>
      <c r="C8" s="4">
        <v>787</v>
      </c>
      <c r="D8" s="23">
        <v>2676599.185189527</v>
      </c>
      <c r="E8" s="33">
        <v>244.28352941176854</v>
      </c>
      <c r="F8" s="5">
        <v>10</v>
      </c>
      <c r="G8" s="23">
        <v>61.5</v>
      </c>
      <c r="H8" s="33">
        <v>1507.0338731390525</v>
      </c>
      <c r="I8" s="23">
        <v>36.777483092737072</v>
      </c>
      <c r="J8" s="5">
        <v>6907.3855852374218</v>
      </c>
      <c r="K8" s="31"/>
      <c r="L8" s="23">
        <v>3298139.5736805499</v>
      </c>
      <c r="M8" s="33">
        <v>1651.828823529376</v>
      </c>
      <c r="N8" s="5">
        <v>7</v>
      </c>
      <c r="O8" s="5">
        <v>27.5</v>
      </c>
      <c r="P8" s="33">
        <v>202.09013491882348</v>
      </c>
      <c r="Q8" s="5">
        <v>23.299792570832942</v>
      </c>
      <c r="R8" s="5">
        <v>4841.4981314961115</v>
      </c>
      <c r="S8" s="31"/>
      <c r="T8" s="23">
        <v>3243871.5656048302</v>
      </c>
      <c r="U8" s="33">
        <v>342.23352941177677</v>
      </c>
      <c r="V8" s="5">
        <v>6</v>
      </c>
      <c r="W8" s="5">
        <v>41</v>
      </c>
      <c r="X8" s="33">
        <v>2367.409534087717</v>
      </c>
      <c r="Y8" s="5">
        <v>70.830195965838456</v>
      </c>
      <c r="Z8" s="5">
        <v>8262.5005536412718</v>
      </c>
      <c r="AA8" s="35"/>
    </row>
    <row r="9" spans="2:27" x14ac:dyDescent="0.2">
      <c r="B9" s="4">
        <v>6</v>
      </c>
      <c r="C9" s="4">
        <v>442</v>
      </c>
      <c r="D9" s="23">
        <v>3038907.2899940871</v>
      </c>
      <c r="E9" s="33">
        <v>615.11941176476228</v>
      </c>
      <c r="F9" s="5">
        <v>13</v>
      </c>
      <c r="G9" s="23">
        <v>58</v>
      </c>
      <c r="H9" s="33">
        <v>2608.9939088979054</v>
      </c>
      <c r="I9" s="23">
        <v>25.544683588306636</v>
      </c>
      <c r="J9" s="5">
        <v>7835.7652508463998</v>
      </c>
      <c r="K9" s="31"/>
      <c r="L9" s="23">
        <v>3210510.109060145</v>
      </c>
      <c r="M9" s="33">
        <v>518.42823529410566</v>
      </c>
      <c r="N9" s="5">
        <v>11</v>
      </c>
      <c r="O9" s="5">
        <v>37.5</v>
      </c>
      <c r="P9" s="33">
        <v>1086.14348914385</v>
      </c>
      <c r="Q9" s="5">
        <v>20.668466351760959</v>
      </c>
      <c r="R9" s="5">
        <v>6051.1562096043626</v>
      </c>
      <c r="S9" s="31"/>
      <c r="T9" s="23">
        <v>3085225.4275892251</v>
      </c>
      <c r="U9" s="33">
        <v>681.34176470585828</v>
      </c>
      <c r="V9" s="5">
        <v>9</v>
      </c>
      <c r="W9" s="5">
        <v>43.5</v>
      </c>
      <c r="X9" s="33">
        <v>1549.7893024338425</v>
      </c>
      <c r="Y9" s="5">
        <v>40.285034427742772</v>
      </c>
      <c r="Z9" s="5">
        <v>6982.1017029553377</v>
      </c>
      <c r="AA9" s="35"/>
    </row>
    <row r="10" spans="2:27" x14ac:dyDescent="0.2">
      <c r="B10" s="4">
        <v>7</v>
      </c>
      <c r="C10" s="4">
        <v>459</v>
      </c>
      <c r="D10" s="23">
        <v>2468527.3138936409</v>
      </c>
      <c r="E10" s="33">
        <v>285.9282352941056</v>
      </c>
      <c r="F10" s="5">
        <v>9</v>
      </c>
      <c r="G10" s="23">
        <v>72.5</v>
      </c>
      <c r="H10" s="33">
        <v>1709.4410012965061</v>
      </c>
      <c r="I10" s="23">
        <v>49.716918346124025</v>
      </c>
      <c r="J10" s="5">
        <v>7267.3560938723513</v>
      </c>
      <c r="K10" s="31"/>
      <c r="L10" s="23">
        <v>3314254.5601132419</v>
      </c>
      <c r="M10" s="33">
        <v>609.2464705882594</v>
      </c>
      <c r="N10" s="5">
        <v>7</v>
      </c>
      <c r="O10" s="5">
        <v>27</v>
      </c>
      <c r="P10" s="33">
        <v>200.50868351107582</v>
      </c>
      <c r="Q10" s="5">
        <v>24.024016312950121</v>
      </c>
      <c r="R10" s="5">
        <v>4753.1606219322475</v>
      </c>
      <c r="S10" s="31"/>
      <c r="T10" s="23">
        <v>3101274.4020652911</v>
      </c>
      <c r="U10" s="33">
        <v>649.19117647058829</v>
      </c>
      <c r="V10" s="5">
        <v>5</v>
      </c>
      <c r="W10" s="5">
        <v>38.5</v>
      </c>
      <c r="X10" s="33">
        <v>877.22642180977948</v>
      </c>
      <c r="Y10" s="5">
        <v>54.739984184389115</v>
      </c>
      <c r="Z10" s="5">
        <v>6759.477081240364</v>
      </c>
      <c r="AA10" s="35"/>
    </row>
    <row r="11" spans="2:27" x14ac:dyDescent="0.2">
      <c r="B11" s="4">
        <v>8</v>
      </c>
      <c r="C11" s="4">
        <v>216</v>
      </c>
      <c r="D11" s="23">
        <v>2649576.985950856</v>
      </c>
      <c r="E11" s="33">
        <v>270.89117647059652</v>
      </c>
      <c r="F11" s="5">
        <v>5</v>
      </c>
      <c r="G11" s="23">
        <v>55.5</v>
      </c>
      <c r="H11" s="33">
        <v>771.15135859268707</v>
      </c>
      <c r="I11" s="23">
        <v>62.667533713133615</v>
      </c>
      <c r="J11" s="5">
        <v>6486.8270053613633</v>
      </c>
      <c r="K11" s="31"/>
      <c r="L11" s="23">
        <v>3185472.641581262</v>
      </c>
      <c r="M11" s="33">
        <v>512.27058823528591</v>
      </c>
      <c r="N11" s="5">
        <v>11</v>
      </c>
      <c r="O11" s="5">
        <v>35</v>
      </c>
      <c r="P11" s="33">
        <v>497.01260985780175</v>
      </c>
      <c r="Q11" s="5">
        <v>18.898519495397075</v>
      </c>
      <c r="R11" s="5">
        <v>5060.4898512017789</v>
      </c>
      <c r="S11" s="31"/>
      <c r="T11" s="23">
        <v>3077035.0717755719</v>
      </c>
      <c r="U11" s="33">
        <v>337.63823529410945</v>
      </c>
      <c r="V11" s="5">
        <v>6</v>
      </c>
      <c r="W11" s="5">
        <v>41.5</v>
      </c>
      <c r="X11" s="33">
        <v>1202.1342630985653</v>
      </c>
      <c r="Y11" s="5">
        <v>55.471607560345866</v>
      </c>
      <c r="Z11" s="5">
        <v>7012.1997212011547</v>
      </c>
      <c r="AA11" s="35"/>
    </row>
    <row r="12" spans="2:27" x14ac:dyDescent="0.2">
      <c r="B12" s="4">
        <v>9</v>
      </c>
      <c r="C12" s="4">
        <v>262</v>
      </c>
      <c r="D12" s="23">
        <v>2671390.669242145</v>
      </c>
      <c r="E12" s="33">
        <v>472.86764705882354</v>
      </c>
      <c r="F12" s="5">
        <v>10</v>
      </c>
      <c r="G12" s="23">
        <v>66.5</v>
      </c>
      <c r="H12" s="33">
        <v>1769.0647764069256</v>
      </c>
      <c r="I12" s="23">
        <v>40.022065174191098</v>
      </c>
      <c r="J12" s="5">
        <v>7456.2982397142478</v>
      </c>
      <c r="K12" s="31"/>
      <c r="L12" s="23">
        <v>3485173.0289735808</v>
      </c>
      <c r="M12" s="33">
        <v>348.59352941172858</v>
      </c>
      <c r="N12" s="5">
        <v>13</v>
      </c>
      <c r="O12" s="5">
        <v>26.5</v>
      </c>
      <c r="P12" s="33">
        <v>659.31223753613529</v>
      </c>
      <c r="Q12" s="5">
        <v>13.404936720685686</v>
      </c>
      <c r="R12" s="5">
        <v>5101.240884034074</v>
      </c>
      <c r="S12" s="31"/>
      <c r="T12" s="23">
        <v>3790432.1796449879</v>
      </c>
      <c r="U12" s="33">
        <v>291.90294117646232</v>
      </c>
      <c r="V12" s="5">
        <v>11</v>
      </c>
      <c r="W12" s="5">
        <v>21</v>
      </c>
      <c r="X12" s="33">
        <v>3050.882188980655</v>
      </c>
      <c r="Y12" s="5">
        <v>26.273755557905215</v>
      </c>
      <c r="Z12" s="5">
        <v>8296.2091808430814</v>
      </c>
      <c r="AA12" s="35"/>
    </row>
    <row r="13" spans="2:27" x14ac:dyDescent="0.2">
      <c r="B13" s="4">
        <v>10</v>
      </c>
      <c r="C13" s="4">
        <v>989</v>
      </c>
      <c r="D13" s="23">
        <v>2596866.0203977348</v>
      </c>
      <c r="E13" s="33">
        <v>282.29764705886788</v>
      </c>
      <c r="F13" s="5">
        <v>8</v>
      </c>
      <c r="G13" s="23">
        <v>62</v>
      </c>
      <c r="H13" s="33">
        <v>1310.4418656839082</v>
      </c>
      <c r="I13" s="23">
        <v>48.15335212265154</v>
      </c>
      <c r="J13" s="5">
        <v>6750.4519587247041</v>
      </c>
      <c r="K13" s="31"/>
      <c r="L13" s="23">
        <v>3096860.2060547411</v>
      </c>
      <c r="M13" s="33">
        <v>941.45235294120062</v>
      </c>
      <c r="N13" s="5">
        <v>14</v>
      </c>
      <c r="O13" s="5">
        <v>40.5</v>
      </c>
      <c r="P13" s="33">
        <v>774.9027167446676</v>
      </c>
      <c r="Q13" s="5">
        <v>16.501555802258935</v>
      </c>
      <c r="R13" s="5">
        <v>5218.256709641857</v>
      </c>
      <c r="S13" s="31"/>
      <c r="T13" s="23">
        <v>3064197.086549812</v>
      </c>
      <c r="U13" s="33">
        <v>425.21176470587415</v>
      </c>
      <c r="V13" s="5">
        <v>6</v>
      </c>
      <c r="W13" s="5">
        <v>41.5</v>
      </c>
      <c r="X13" s="33">
        <v>1125.3410145799082</v>
      </c>
      <c r="Y13" s="5">
        <v>56.953754352644786</v>
      </c>
      <c r="Z13" s="5">
        <v>6843.777836285677</v>
      </c>
      <c r="AA13" s="35"/>
    </row>
    <row r="14" spans="2:27" x14ac:dyDescent="0.2">
      <c r="B14" s="46" t="s">
        <v>3</v>
      </c>
      <c r="C14" s="47"/>
      <c r="D14" s="9">
        <f>MIN(D4:D13)</f>
        <v>2468527.3138936409</v>
      </c>
      <c r="E14" s="22">
        <f>INDEX(E4:E13, MATCH($D$14, D4:D13, 0))</f>
        <v>285.9282352941056</v>
      </c>
      <c r="F14" s="9">
        <f>INDEX(F4:F13, MATCH($D$14, D4:D13, 0))</f>
        <v>9</v>
      </c>
      <c r="G14" s="9">
        <f>INDEX(G4:G13, MATCH($D$14, D4:D13, 0))</f>
        <v>72.5</v>
      </c>
      <c r="H14" s="22">
        <f>INDEX(H4:H13, MATCH($D$14, D4:D13, 0))</f>
        <v>1709.4410012965061</v>
      </c>
      <c r="I14" s="22">
        <f>INDEX(I4:I13, MATCH($D$14, D4:D13, 0))</f>
        <v>49.716918346124025</v>
      </c>
      <c r="J14" s="22">
        <f>INDEX(J4:J13, MATCH($D$14, D4:D13, 0))</f>
        <v>7267.3560938723513</v>
      </c>
      <c r="K14" s="32" t="e">
        <f>(D14-$D$15)/$D$15</f>
        <v>#DIV/0!</v>
      </c>
      <c r="L14" s="16">
        <f>MIN(L4:L13)</f>
        <v>3076064.0246882779</v>
      </c>
      <c r="M14" s="21">
        <f>INDEX(M4:M13, MATCH($L$14, L4:L13, 0))</f>
        <v>676.1952941176512</v>
      </c>
      <c r="N14" s="16">
        <f>INDEX(N4:N13, MATCH($L$14, L4:L13, 0))</f>
        <v>11</v>
      </c>
      <c r="O14" s="16">
        <f>INDEX(O4:O13, MATCH($L$14, L4:L13, 0))</f>
        <v>40.5</v>
      </c>
      <c r="P14" s="21">
        <f>INDEX(P4:P13, MATCH($L$14, L4:L13, 0))</f>
        <v>804.05056802629042</v>
      </c>
      <c r="Q14" s="21">
        <f>INDEX(Q4:Q13, MATCH($L$14, L4:L13, 0))</f>
        <v>22.199584842517105</v>
      </c>
      <c r="R14" s="21">
        <f>INDEX(R4:R13, MATCH($L$14, L4:L13, 0))</f>
        <v>5580.9759890353143</v>
      </c>
      <c r="S14" s="36" t="e">
        <f>(L14-$D$15)/$D$15</f>
        <v>#DIV/0!</v>
      </c>
      <c r="T14" s="38">
        <f>MIN(T4:T13)</f>
        <v>3042372.2061616099</v>
      </c>
      <c r="U14" s="39">
        <f>INDEX(U4:U13, MATCH($T$14, T4:T13, 0))</f>
        <v>397.95000000000823</v>
      </c>
      <c r="V14" s="38">
        <f>INDEX(V4:V13, MATCH($T$14, T4:T13, 0))</f>
        <v>5</v>
      </c>
      <c r="W14" s="38">
        <f>INDEX(W4:W13, MATCH($T$14, T4:T13, 0))</f>
        <v>41.5</v>
      </c>
      <c r="X14" s="39">
        <f>INDEX(X4:X13, MATCH($T$14, T4:T13, 0))</f>
        <v>1015.233824597942</v>
      </c>
      <c r="Y14" s="39">
        <f>INDEX(Y4:Y13, MATCH($T$14, T4:T13, 0))</f>
        <v>66.890087223868221</v>
      </c>
      <c r="Z14" s="39">
        <f>INDEX(Z4:Z13, MATCH($T$14, T4:T13, 0))</f>
        <v>6843.145367384529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D679-9A68-472F-9C99-61E410D6F169}">
  <dimension ref="B1:AA38"/>
  <sheetViews>
    <sheetView topLeftCell="A2"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-0.98763653358281955</v>
      </c>
      <c r="J2" s="28" t="e">
        <f>(S14-J14)/J14</f>
        <v>#DIV/0!</v>
      </c>
      <c r="K2" s="28"/>
      <c r="L2" s="1" t="s">
        <v>19</v>
      </c>
      <c r="P2" s="1">
        <f>(P14-H14)/H14</f>
        <v>-0.24267261552721939</v>
      </c>
      <c r="R2" s="1">
        <f>(R14-J14)/J14</f>
        <v>-0.16927878442840827</v>
      </c>
      <c r="T2" s="1" t="s">
        <v>20</v>
      </c>
      <c r="X2" s="1">
        <f>(X14-P14)/P14</f>
        <v>0.18914514995878506</v>
      </c>
      <c r="Z2" s="1">
        <f>(Z14-R14)/R14</f>
        <v>0.17647737159922486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844</v>
      </c>
      <c r="D4" s="23">
        <v>2977591.3779997099</v>
      </c>
      <c r="E4" s="33">
        <v>290.43235294116823</v>
      </c>
      <c r="F4" s="5">
        <v>5</v>
      </c>
      <c r="G4" s="23">
        <v>42</v>
      </c>
      <c r="H4" s="33">
        <v>901.10639973182026</v>
      </c>
      <c r="I4" s="23">
        <v>57.588878804718469</v>
      </c>
      <c r="J4" s="5">
        <v>6555.1038804850941</v>
      </c>
      <c r="K4" s="31"/>
      <c r="L4" s="23">
        <v>3376701.8720196551</v>
      </c>
      <c r="M4" s="33">
        <v>1035.9741176470347</v>
      </c>
      <c r="N4" s="5">
        <v>6</v>
      </c>
      <c r="O4" s="5">
        <v>26</v>
      </c>
      <c r="P4" s="33">
        <v>830.68070968891777</v>
      </c>
      <c r="Q4" s="5">
        <v>27.958610624483768</v>
      </c>
      <c r="R4" s="5">
        <v>5638.5386584767421</v>
      </c>
      <c r="S4" s="31"/>
      <c r="T4" s="23">
        <v>3164209.352819006</v>
      </c>
      <c r="U4" s="33">
        <v>220.32176470589442</v>
      </c>
      <c r="V4" s="5">
        <v>5</v>
      </c>
      <c r="W4" s="5">
        <v>35.5</v>
      </c>
      <c r="X4" s="33">
        <v>1044.8319382909492</v>
      </c>
      <c r="Y4" s="5">
        <v>57.470107053178097</v>
      </c>
      <c r="Z4" s="5">
        <v>6823.5360707029222</v>
      </c>
      <c r="AA4" s="35"/>
    </row>
    <row r="5" spans="2:27" x14ac:dyDescent="0.2">
      <c r="B5" s="4">
        <v>2</v>
      </c>
      <c r="C5" s="4">
        <v>547</v>
      </c>
      <c r="D5" s="23">
        <v>2859609.624472965</v>
      </c>
      <c r="E5" s="33">
        <v>311.79235294112004</v>
      </c>
      <c r="F5" s="5">
        <v>10</v>
      </c>
      <c r="G5" s="23">
        <v>59.5</v>
      </c>
      <c r="H5" s="33">
        <v>2237.6507456097929</v>
      </c>
      <c r="I5" s="23">
        <v>45.535429562950107</v>
      </c>
      <c r="J5" s="5">
        <v>7904.2883275776421</v>
      </c>
      <c r="K5" s="31"/>
      <c r="L5" s="23">
        <v>3497314.989775219</v>
      </c>
      <c r="M5" s="33">
        <v>1099.9264705882354</v>
      </c>
      <c r="N5" s="5">
        <v>4</v>
      </c>
      <c r="O5" s="5">
        <v>18.5</v>
      </c>
      <c r="P5" s="33">
        <v>46.146398769418347</v>
      </c>
      <c r="Q5" s="5">
        <v>29.388934383633959</v>
      </c>
      <c r="R5" s="5">
        <v>4696.4353368734119</v>
      </c>
      <c r="S5" s="31"/>
      <c r="T5" s="23">
        <v>3186491.234603561</v>
      </c>
      <c r="U5" s="33">
        <v>256.40647058827147</v>
      </c>
      <c r="V5" s="5">
        <v>5</v>
      </c>
      <c r="W5" s="5">
        <v>35.5</v>
      </c>
      <c r="X5" s="33">
        <v>1235.0876358708224</v>
      </c>
      <c r="Y5" s="5">
        <v>65.359857607097155</v>
      </c>
      <c r="Z5" s="5">
        <v>6998.8495593148591</v>
      </c>
      <c r="AA5" s="35"/>
    </row>
    <row r="6" spans="2:27" x14ac:dyDescent="0.2">
      <c r="B6" s="4">
        <v>3</v>
      </c>
      <c r="C6" s="4">
        <v>255</v>
      </c>
      <c r="D6" s="23">
        <v>2687943.969743853</v>
      </c>
      <c r="E6" s="33">
        <v>345.29411764705884</v>
      </c>
      <c r="F6" s="5">
        <v>9</v>
      </c>
      <c r="G6" s="23">
        <v>60</v>
      </c>
      <c r="H6" s="33">
        <v>1605.8742213884245</v>
      </c>
      <c r="I6" s="23">
        <v>47.977227492760328</v>
      </c>
      <c r="J6" s="5">
        <v>7247.1585818515805</v>
      </c>
      <c r="K6" s="31"/>
      <c r="L6" s="23">
        <v>3474286.8475391432</v>
      </c>
      <c r="M6" s="33">
        <v>469.38411764704676</v>
      </c>
      <c r="N6" s="5">
        <v>5</v>
      </c>
      <c r="O6" s="5">
        <v>19.5</v>
      </c>
      <c r="P6" s="33">
        <v>48.726641812168843</v>
      </c>
      <c r="Q6" s="5">
        <v>28.471226025204572</v>
      </c>
      <c r="R6" s="5">
        <v>4563.0823287062831</v>
      </c>
      <c r="S6" s="31"/>
      <c r="T6" s="23">
        <v>3235668.7904648958</v>
      </c>
      <c r="U6" s="33">
        <v>343.75</v>
      </c>
      <c r="V6" s="5">
        <v>5</v>
      </c>
      <c r="W6" s="5">
        <v>34.5</v>
      </c>
      <c r="X6" s="33">
        <v>1383.2311306352026</v>
      </c>
      <c r="Y6" s="5">
        <v>63.091763355432967</v>
      </c>
      <c r="Z6" s="5">
        <v>7210.1244045608655</v>
      </c>
      <c r="AA6" s="35"/>
    </row>
    <row r="7" spans="2:27" x14ac:dyDescent="0.2">
      <c r="B7" s="4">
        <v>4</v>
      </c>
      <c r="C7" s="4">
        <v>214</v>
      </c>
      <c r="D7" s="23">
        <v>2839955.6373951859</v>
      </c>
      <c r="E7" s="33">
        <v>550.91000000001202</v>
      </c>
      <c r="F7" s="5">
        <v>6</v>
      </c>
      <c r="G7" s="23">
        <v>49</v>
      </c>
      <c r="H7" s="33">
        <v>1091.0407923909577</v>
      </c>
      <c r="I7" s="23">
        <v>60.667829781662135</v>
      </c>
      <c r="J7" s="5">
        <v>6738.0427377721517</v>
      </c>
      <c r="K7" s="31"/>
      <c r="L7" s="23">
        <v>3462196.6399510088</v>
      </c>
      <c r="M7" s="33">
        <v>566.64529411765909</v>
      </c>
      <c r="N7" s="5">
        <v>5</v>
      </c>
      <c r="O7" s="5">
        <v>19.5</v>
      </c>
      <c r="P7" s="33">
        <v>0.69129957741489101</v>
      </c>
      <c r="Q7" s="5">
        <v>30.735593259739357</v>
      </c>
      <c r="R7" s="5">
        <v>4306.6763042716075</v>
      </c>
      <c r="S7" s="31"/>
      <c r="T7" s="23">
        <v>3162949.8607969279</v>
      </c>
      <c r="U7" s="33">
        <v>375.83647058817888</v>
      </c>
      <c r="V7" s="5">
        <v>5</v>
      </c>
      <c r="W7" s="5">
        <v>35.5</v>
      </c>
      <c r="X7" s="33">
        <v>1005.6796087285669</v>
      </c>
      <c r="Y7" s="5">
        <v>63.350728427060155</v>
      </c>
      <c r="Z7" s="5">
        <v>6754.2254893636891</v>
      </c>
      <c r="AA7" s="35"/>
    </row>
    <row r="8" spans="2:27" x14ac:dyDescent="0.2">
      <c r="B8" s="4">
        <v>5</v>
      </c>
      <c r="C8" s="4">
        <v>855</v>
      </c>
      <c r="D8" s="23">
        <v>3073130.8320330121</v>
      </c>
      <c r="E8" s="33">
        <v>259.39352941172035</v>
      </c>
      <c r="F8" s="5">
        <v>9</v>
      </c>
      <c r="G8" s="23">
        <v>54</v>
      </c>
      <c r="H8" s="33">
        <v>2727.2289344402097</v>
      </c>
      <c r="I8" s="23">
        <v>49.231950085576798</v>
      </c>
      <c r="J8" s="5">
        <v>8223.5747531405395</v>
      </c>
      <c r="K8" s="31"/>
      <c r="L8" s="23">
        <v>3425509.074593958</v>
      </c>
      <c r="M8" s="33">
        <v>428.01470588235293</v>
      </c>
      <c r="N8" s="5">
        <v>7</v>
      </c>
      <c r="O8" s="5">
        <v>23</v>
      </c>
      <c r="P8" s="33">
        <v>350.74366044166902</v>
      </c>
      <c r="Q8" s="5">
        <v>26.308497358752788</v>
      </c>
      <c r="R8" s="5">
        <v>4797.6884578387308</v>
      </c>
      <c r="S8" s="31"/>
      <c r="T8" s="23">
        <v>3495377.9311857019</v>
      </c>
      <c r="U8" s="33">
        <v>317.36235294114414</v>
      </c>
      <c r="V8" s="5">
        <v>6</v>
      </c>
      <c r="W8" s="5">
        <v>30</v>
      </c>
      <c r="X8" s="33">
        <v>2967.8032717541482</v>
      </c>
      <c r="Y8" s="5">
        <v>70.645613671671995</v>
      </c>
      <c r="Z8" s="5">
        <v>8606.4699384208197</v>
      </c>
      <c r="AA8" s="35"/>
    </row>
    <row r="9" spans="2:27" x14ac:dyDescent="0.2">
      <c r="B9" s="4">
        <v>6</v>
      </c>
      <c r="C9" s="4">
        <v>680</v>
      </c>
      <c r="D9" s="23">
        <v>2992486.7603228111</v>
      </c>
      <c r="E9" s="33">
        <v>381.9947058823206</v>
      </c>
      <c r="F9" s="5">
        <v>4</v>
      </c>
      <c r="G9" s="23">
        <v>41.5</v>
      </c>
      <c r="H9" s="33">
        <v>1021.4180615065054</v>
      </c>
      <c r="I9" s="23">
        <v>71.989287120564725</v>
      </c>
      <c r="J9" s="5">
        <v>6809.7803920365041</v>
      </c>
      <c r="K9" s="31"/>
      <c r="L9" s="23">
        <v>3328009.5556295668</v>
      </c>
      <c r="M9" s="33">
        <v>1414.1176470588236</v>
      </c>
      <c r="N9" s="5">
        <v>7</v>
      </c>
      <c r="O9" s="5">
        <v>27</v>
      </c>
      <c r="P9" s="33">
        <v>464.67570162942076</v>
      </c>
      <c r="Q9" s="5">
        <v>22.961273485412001</v>
      </c>
      <c r="R9" s="5">
        <v>5277.4348297931792</v>
      </c>
      <c r="S9" s="31"/>
      <c r="T9" s="23">
        <v>3188188.9124557972</v>
      </c>
      <c r="U9" s="33">
        <v>293.89705882352939</v>
      </c>
      <c r="V9" s="5">
        <v>5</v>
      </c>
      <c r="W9" s="5">
        <v>35</v>
      </c>
      <c r="X9" s="33">
        <v>1173.946815310419</v>
      </c>
      <c r="Y9" s="5">
        <v>64.554754742701292</v>
      </c>
      <c r="Z9" s="5">
        <v>6890.163708472458</v>
      </c>
      <c r="AA9" s="35"/>
    </row>
    <row r="10" spans="2:27" x14ac:dyDescent="0.2">
      <c r="B10" s="4">
        <v>7</v>
      </c>
      <c r="C10" s="4">
        <v>529</v>
      </c>
      <c r="D10" s="23">
        <v>2887191.8223265111</v>
      </c>
      <c r="E10" s="33">
        <v>362.09588235292091</v>
      </c>
      <c r="F10" s="5">
        <v>6</v>
      </c>
      <c r="G10" s="23">
        <v>48</v>
      </c>
      <c r="H10" s="33">
        <v>1274.6995097344343</v>
      </c>
      <c r="I10" s="23">
        <v>59.95719677128141</v>
      </c>
      <c r="J10" s="5">
        <v>6909.661084895678</v>
      </c>
      <c r="K10" s="31"/>
      <c r="L10" s="23">
        <v>3316630.0959730959</v>
      </c>
      <c r="M10" s="33">
        <v>719.18235294116823</v>
      </c>
      <c r="N10" s="5">
        <v>12</v>
      </c>
      <c r="O10" s="5">
        <v>33</v>
      </c>
      <c r="P10" s="33">
        <v>973.4382207015276</v>
      </c>
      <c r="Q10" s="5">
        <v>19.829082168593384</v>
      </c>
      <c r="R10" s="5">
        <v>5868.3598788534018</v>
      </c>
      <c r="S10" s="31"/>
      <c r="T10" s="23">
        <v>3139359.4357019649</v>
      </c>
      <c r="U10" s="33">
        <v>664.23705882358581</v>
      </c>
      <c r="V10" s="5">
        <v>5</v>
      </c>
      <c r="W10" s="5">
        <v>35.5</v>
      </c>
      <c r="X10" s="33">
        <v>877.68282300723979</v>
      </c>
      <c r="Y10" s="5">
        <v>61.660881799216654</v>
      </c>
      <c r="Z10" s="5">
        <v>6665.979752426264</v>
      </c>
      <c r="AA10" s="35"/>
    </row>
    <row r="11" spans="2:27" x14ac:dyDescent="0.2">
      <c r="B11" s="4">
        <v>8</v>
      </c>
      <c r="C11" s="4">
        <v>780</v>
      </c>
      <c r="D11" s="23">
        <v>3101417.0349682998</v>
      </c>
      <c r="E11" s="33">
        <v>320.73529411764707</v>
      </c>
      <c r="F11" s="5">
        <v>5</v>
      </c>
      <c r="G11" s="23">
        <v>44</v>
      </c>
      <c r="H11" s="33">
        <v>1869.2286819699491</v>
      </c>
      <c r="I11" s="23">
        <v>60.563830774269078</v>
      </c>
      <c r="J11" s="5">
        <v>7733.7028834683551</v>
      </c>
      <c r="K11" s="31"/>
      <c r="L11" s="23">
        <v>3165515.642222954</v>
      </c>
      <c r="M11" s="33">
        <v>460.73529411764707</v>
      </c>
      <c r="N11" s="5">
        <v>14</v>
      </c>
      <c r="O11" s="5">
        <v>40.5</v>
      </c>
      <c r="P11" s="33">
        <v>1216.1725238763586</v>
      </c>
      <c r="Q11" s="5">
        <v>19.854172006351593</v>
      </c>
      <c r="R11" s="5">
        <v>6020.3683865558378</v>
      </c>
      <c r="S11" s="31"/>
      <c r="T11" s="23">
        <v>3133126.8811240732</v>
      </c>
      <c r="U11" s="33">
        <v>339.77941176470591</v>
      </c>
      <c r="V11" s="5">
        <v>6</v>
      </c>
      <c r="W11" s="5">
        <v>38.5</v>
      </c>
      <c r="X11" s="33">
        <v>1446.2056582807065</v>
      </c>
      <c r="Y11" s="5">
        <v>58.513195270529586</v>
      </c>
      <c r="Z11" s="5">
        <v>7082.8271754742782</v>
      </c>
      <c r="AA11" s="35"/>
    </row>
    <row r="12" spans="2:27" x14ac:dyDescent="0.2">
      <c r="B12" s="4">
        <v>9</v>
      </c>
      <c r="C12" s="4">
        <v>698</v>
      </c>
      <c r="D12" s="23">
        <v>3118638.6362562468</v>
      </c>
      <c r="E12" s="33">
        <v>882.02176470590234</v>
      </c>
      <c r="F12" s="5">
        <v>16</v>
      </c>
      <c r="G12" s="23">
        <v>62.5</v>
      </c>
      <c r="H12" s="33">
        <v>3211.5836870241515</v>
      </c>
      <c r="I12" s="23">
        <v>27.371409985928281</v>
      </c>
      <c r="J12" s="5">
        <v>8783.5013341599479</v>
      </c>
      <c r="K12" s="31"/>
      <c r="L12" s="23">
        <v>3269726.448424174</v>
      </c>
      <c r="M12" s="33">
        <v>716.20411764707058</v>
      </c>
      <c r="N12" s="5">
        <v>13</v>
      </c>
      <c r="O12" s="5">
        <v>35</v>
      </c>
      <c r="P12" s="33">
        <v>1103.7850620995314</v>
      </c>
      <c r="Q12" s="5">
        <v>21.17315624060063</v>
      </c>
      <c r="R12" s="5">
        <v>5780.630504066512</v>
      </c>
      <c r="S12" s="31"/>
      <c r="T12" s="23">
        <v>3327169.1064081122</v>
      </c>
      <c r="U12" s="33">
        <v>357.58294117650678</v>
      </c>
      <c r="V12" s="5">
        <v>7</v>
      </c>
      <c r="W12" s="5">
        <v>35</v>
      </c>
      <c r="X12" s="33">
        <v>2037.5241894542426</v>
      </c>
      <c r="Y12" s="5">
        <v>58.519542331583061</v>
      </c>
      <c r="Z12" s="5">
        <v>7814.9925581642528</v>
      </c>
      <c r="AA12" s="35"/>
    </row>
    <row r="13" spans="2:27" x14ac:dyDescent="0.2">
      <c r="B13" s="4">
        <v>10</v>
      </c>
      <c r="C13" s="4">
        <v>396</v>
      </c>
      <c r="D13" s="23">
        <v>2832330.8956939569</v>
      </c>
      <c r="E13" s="33">
        <v>849.06235294115243</v>
      </c>
      <c r="F13" s="5">
        <v>5</v>
      </c>
      <c r="G13" s="23">
        <v>49</v>
      </c>
      <c r="H13" s="33">
        <v>1033.5669151856978</v>
      </c>
      <c r="I13" s="23">
        <v>58.82450938144369</v>
      </c>
      <c r="J13" s="5">
        <v>6752.7402617800599</v>
      </c>
      <c r="K13" s="31"/>
      <c r="L13" s="23">
        <v>3315274.686134398</v>
      </c>
      <c r="M13" s="33">
        <v>345.30294117647884</v>
      </c>
      <c r="N13" s="5">
        <v>17</v>
      </c>
      <c r="O13" s="5">
        <v>43</v>
      </c>
      <c r="P13" s="33">
        <v>1986.3371832031248</v>
      </c>
      <c r="Q13" s="5">
        <v>18.924596109968121</v>
      </c>
      <c r="R13" s="5">
        <v>7172.6963087692866</v>
      </c>
      <c r="S13" s="31"/>
      <c r="T13" s="23">
        <v>3143405.5270585162</v>
      </c>
      <c r="U13" s="33">
        <v>866.91176470588232</v>
      </c>
      <c r="V13" s="5">
        <v>5</v>
      </c>
      <c r="W13" s="5">
        <v>35.5</v>
      </c>
      <c r="X13" s="33">
        <v>898.91134958942132</v>
      </c>
      <c r="Y13" s="5">
        <v>61.508982873637557</v>
      </c>
      <c r="Z13" s="5">
        <v>6660.3572453530442</v>
      </c>
      <c r="AA13" s="35"/>
    </row>
    <row r="14" spans="2:27" x14ac:dyDescent="0.2">
      <c r="B14" s="46" t="s">
        <v>3</v>
      </c>
      <c r="C14" s="47"/>
      <c r="D14" s="9">
        <f>MIN(D4:D13)</f>
        <v>2687943.969743853</v>
      </c>
      <c r="E14" s="22">
        <f>INDEX(E4:E13, MATCH($D$14, D4:D13, 0))</f>
        <v>345.29411764705884</v>
      </c>
      <c r="F14" s="9">
        <f>INDEX(F4:F13, MATCH($D$14, D4:D13, 0))</f>
        <v>9</v>
      </c>
      <c r="G14" s="9">
        <f>INDEX(G4:G13, MATCH($D$14, D4:D13, 0))</f>
        <v>60</v>
      </c>
      <c r="H14" s="22">
        <f>INDEX(H4:H13, MATCH($D$14, D4:D13, 0))</f>
        <v>1605.8742213884245</v>
      </c>
      <c r="I14" s="22">
        <f>INDEX(I4:I13, MATCH($D$14, D4:D13, 0))</f>
        <v>47.977227492760328</v>
      </c>
      <c r="J14" s="22">
        <f>INDEX(J4:J13, MATCH($D$14, D4:D13, 0))</f>
        <v>7247.1585818515805</v>
      </c>
      <c r="K14" s="32" t="e">
        <f>(D14-$D$15)/$D$15</f>
        <v>#DIV/0!</v>
      </c>
      <c r="L14" s="16">
        <f>MIN(L4:L13)</f>
        <v>3165515.642222954</v>
      </c>
      <c r="M14" s="21">
        <f>INDEX(M4:M13, MATCH($L$14, L4:L13, 0))</f>
        <v>460.73529411764707</v>
      </c>
      <c r="N14" s="16">
        <f>INDEX(N4:N13, MATCH($L$14, L4:L13, 0))</f>
        <v>14</v>
      </c>
      <c r="O14" s="16">
        <f>INDEX(O4:O13, MATCH($L$14, L4:L13, 0))</f>
        <v>40.5</v>
      </c>
      <c r="P14" s="21">
        <f>INDEX(P4:P13, MATCH($L$14, L4:L13, 0))</f>
        <v>1216.1725238763586</v>
      </c>
      <c r="Q14" s="21">
        <f>INDEX(Q4:Q13, MATCH($L$14, L4:L13, 0))</f>
        <v>19.854172006351593</v>
      </c>
      <c r="R14" s="21">
        <f>INDEX(R4:R13, MATCH($L$14, L4:L13, 0))</f>
        <v>6020.3683865558378</v>
      </c>
      <c r="S14" s="36" t="e">
        <f>(L14-$D$15)/$D$15</f>
        <v>#DIV/0!</v>
      </c>
      <c r="T14" s="38">
        <f>MIN(T4:T13)</f>
        <v>3133126.8811240732</v>
      </c>
      <c r="U14" s="39">
        <f>INDEX(U4:U13, MATCH($T$14, T4:T13, 0))</f>
        <v>339.77941176470591</v>
      </c>
      <c r="V14" s="38">
        <f>INDEX(V4:V13, MATCH($T$14, T4:T13, 0))</f>
        <v>6</v>
      </c>
      <c r="W14" s="38">
        <f>INDEX(W4:W13, MATCH($T$14, T4:T13, 0))</f>
        <v>38.5</v>
      </c>
      <c r="X14" s="39">
        <f>INDEX(X4:X13, MATCH($T$14, T4:T13, 0))</f>
        <v>1446.2056582807065</v>
      </c>
      <c r="Y14" s="39">
        <f>INDEX(Y4:Y13, MATCH($T$14, T4:T13, 0))</f>
        <v>58.513195270529586</v>
      </c>
      <c r="Z14" s="39">
        <f>INDEX(Z4:Z13, MATCH($T$14, T4:T13, 0))</f>
        <v>7082.8271754742782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</sheetData>
  <mergeCells count="1">
    <mergeCell ref="B14:C14"/>
  </mergeCells>
  <conditionalFormatting sqref="C1:C13 C15:C16 C39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7:C38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E93D-7221-4520-9FA6-782C6791F3C3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-0.98303802931387152</v>
      </c>
      <c r="J2" s="28" t="e">
        <f>(S14-J14)/J14</f>
        <v>#DIV/0!</v>
      </c>
      <c r="K2" s="28"/>
      <c r="L2" s="1" t="s">
        <v>19</v>
      </c>
      <c r="P2" s="1">
        <f>(P14-H14)/H14</f>
        <v>-0.50475733710299608</v>
      </c>
      <c r="R2" s="1">
        <f>(R14-J14)/J14</f>
        <v>-0.19084386373157516</v>
      </c>
      <c r="T2" s="1" t="s">
        <v>20</v>
      </c>
      <c r="X2" s="1">
        <f>(X14-P14)/P14</f>
        <v>1.6953497563687001</v>
      </c>
      <c r="Z2" s="1">
        <f>(Z14-R14)/R14</f>
        <v>0.31164295648715867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861</v>
      </c>
      <c r="D4" s="23">
        <v>3197154.902431272</v>
      </c>
      <c r="E4" s="33">
        <v>403.95235294113212</v>
      </c>
      <c r="F4" s="5">
        <v>5</v>
      </c>
      <c r="G4" s="23">
        <v>36.5</v>
      </c>
      <c r="H4" s="33">
        <v>1331.5155360303495</v>
      </c>
      <c r="I4" s="23">
        <v>49.191318302920223</v>
      </c>
      <c r="J4" s="5">
        <v>7233.6311829480073</v>
      </c>
      <c r="K4" s="31"/>
      <c r="L4" s="23">
        <v>3306175.7124768002</v>
      </c>
      <c r="M4" s="33">
        <v>682.50941176467359</v>
      </c>
      <c r="N4" s="5">
        <v>7</v>
      </c>
      <c r="O4" s="5">
        <v>29.5</v>
      </c>
      <c r="P4" s="33">
        <v>739.70085221256068</v>
      </c>
      <c r="Q4" s="5">
        <v>25.334618989283435</v>
      </c>
      <c r="R4" s="5">
        <v>5782.5473883088089</v>
      </c>
      <c r="S4" s="31"/>
      <c r="T4" s="23">
        <v>6749519.1131254165</v>
      </c>
      <c r="U4" s="33">
        <v>220.72588235290499</v>
      </c>
      <c r="V4" s="5">
        <v>29</v>
      </c>
      <c r="W4" s="5">
        <v>88.5</v>
      </c>
      <c r="X4" s="33">
        <v>15806.546071849963</v>
      </c>
      <c r="Y4" s="5">
        <v>54.19109997079822</v>
      </c>
      <c r="Z4" s="5">
        <v>21500.734289291358</v>
      </c>
      <c r="AA4" s="35"/>
    </row>
    <row r="5" spans="2:27" x14ac:dyDescent="0.2">
      <c r="B5" s="4">
        <v>2</v>
      </c>
      <c r="C5" s="4">
        <v>17</v>
      </c>
      <c r="D5" s="23">
        <v>3195664.2745769899</v>
      </c>
      <c r="E5" s="33">
        <v>206.83823529411765</v>
      </c>
      <c r="F5" s="5">
        <v>5</v>
      </c>
      <c r="G5" s="23">
        <v>36</v>
      </c>
      <c r="H5" s="33">
        <v>1291.7412365357591</v>
      </c>
      <c r="I5" s="23">
        <v>59.750076461049062</v>
      </c>
      <c r="J5" s="5">
        <v>7224.7300200903228</v>
      </c>
      <c r="K5" s="31"/>
      <c r="L5" s="23">
        <v>3558178.0208929358</v>
      </c>
      <c r="M5" s="33">
        <v>312.94117647058823</v>
      </c>
      <c r="N5" s="5">
        <v>4</v>
      </c>
      <c r="O5" s="5">
        <v>16.5</v>
      </c>
      <c r="P5" s="33">
        <v>176.42126952270016</v>
      </c>
      <c r="Q5" s="5">
        <v>29.810649616221717</v>
      </c>
      <c r="R5" s="5">
        <v>4797.2528157377146</v>
      </c>
      <c r="S5" s="31"/>
      <c r="T5" s="23">
        <v>3640933.004826013</v>
      </c>
      <c r="U5" s="33">
        <v>240.78117647057618</v>
      </c>
      <c r="V5" s="5">
        <v>5</v>
      </c>
      <c r="W5" s="5">
        <v>23.5</v>
      </c>
      <c r="X5" s="33">
        <v>2991.4695121926593</v>
      </c>
      <c r="Y5" s="5">
        <v>48.398978215553022</v>
      </c>
      <c r="Z5" s="5">
        <v>8912.767384533081</v>
      </c>
      <c r="AA5" s="35"/>
    </row>
    <row r="6" spans="2:27" x14ac:dyDescent="0.2">
      <c r="B6" s="4">
        <v>3</v>
      </c>
      <c r="C6" s="4">
        <v>543</v>
      </c>
      <c r="D6" s="23">
        <v>3197482.1217392189</v>
      </c>
      <c r="E6" s="33">
        <v>389.0717647058944</v>
      </c>
      <c r="F6" s="5">
        <v>5</v>
      </c>
      <c r="G6" s="23">
        <v>34.5</v>
      </c>
      <c r="H6" s="33">
        <v>958.04916366583552</v>
      </c>
      <c r="I6" s="23">
        <v>55.70585573014273</v>
      </c>
      <c r="J6" s="5">
        <v>6861.1773748890191</v>
      </c>
      <c r="K6" s="31"/>
      <c r="L6" s="23">
        <v>3687554.1592949582</v>
      </c>
      <c r="M6" s="33">
        <v>319.17294117642621</v>
      </c>
      <c r="N6" s="5">
        <v>16</v>
      </c>
      <c r="O6" s="5">
        <v>23</v>
      </c>
      <c r="P6" s="33">
        <v>980.45641506752725</v>
      </c>
      <c r="Q6" s="5">
        <v>10.933815265901833</v>
      </c>
      <c r="R6" s="5">
        <v>6154.2109495155573</v>
      </c>
      <c r="S6" s="31"/>
      <c r="T6" s="23">
        <v>3438231.6118041109</v>
      </c>
      <c r="U6" s="33">
        <v>213.40058823527002</v>
      </c>
      <c r="V6" s="5">
        <v>6</v>
      </c>
      <c r="W6" s="5">
        <v>30</v>
      </c>
      <c r="X6" s="33">
        <v>2078.174220421934</v>
      </c>
      <c r="Y6" s="5">
        <v>44.601457569500695</v>
      </c>
      <c r="Z6" s="5">
        <v>7875.3854436161555</v>
      </c>
      <c r="AA6" s="35"/>
    </row>
    <row r="7" spans="2:27" x14ac:dyDescent="0.2">
      <c r="B7" s="4">
        <v>4</v>
      </c>
      <c r="C7" s="4">
        <v>873</v>
      </c>
      <c r="D7" s="23">
        <v>3482914.3065436869</v>
      </c>
      <c r="E7" s="33">
        <v>560.44117647058829</v>
      </c>
      <c r="F7" s="5">
        <v>10</v>
      </c>
      <c r="G7" s="23">
        <v>30</v>
      </c>
      <c r="H7" s="33">
        <v>1888.2686305235386</v>
      </c>
      <c r="I7" s="23">
        <v>21.383894201711968</v>
      </c>
      <c r="J7" s="5">
        <v>7149.4709310178941</v>
      </c>
      <c r="K7" s="31"/>
      <c r="L7" s="23">
        <v>3729198.4285409902</v>
      </c>
      <c r="M7" s="33">
        <v>392.94117647058823</v>
      </c>
      <c r="N7" s="5">
        <v>19</v>
      </c>
      <c r="O7" s="5">
        <v>28</v>
      </c>
      <c r="P7" s="33">
        <v>2210.2102368160427</v>
      </c>
      <c r="Q7" s="5">
        <v>14.063345021938369</v>
      </c>
      <c r="R7" s="5">
        <v>7284.3304526287075</v>
      </c>
      <c r="S7" s="31"/>
      <c r="T7" s="23">
        <v>6577694.3417569986</v>
      </c>
      <c r="U7" s="33">
        <v>226.04764705886788</v>
      </c>
      <c r="V7" s="5">
        <v>28</v>
      </c>
      <c r="W7" s="5">
        <v>89</v>
      </c>
      <c r="X7" s="33">
        <v>15225.832169090405</v>
      </c>
      <c r="Y7" s="5">
        <v>53.591771995452454</v>
      </c>
      <c r="Z7" s="5">
        <v>20953.472618528609</v>
      </c>
      <c r="AA7" s="35"/>
    </row>
    <row r="8" spans="2:27" x14ac:dyDescent="0.2">
      <c r="B8" s="4">
        <v>5</v>
      </c>
      <c r="C8" s="4">
        <v>46</v>
      </c>
      <c r="D8" s="23">
        <v>3221443.5320423031</v>
      </c>
      <c r="E8" s="33">
        <v>497.60117647060031</v>
      </c>
      <c r="F8" s="5">
        <v>5</v>
      </c>
      <c r="G8" s="23">
        <v>37</v>
      </c>
      <c r="H8" s="33">
        <v>1526.6381099454284</v>
      </c>
      <c r="I8" s="23">
        <v>47.42421881730705</v>
      </c>
      <c r="J8" s="5">
        <v>7416.2453200463333</v>
      </c>
      <c r="K8" s="31"/>
      <c r="L8" s="23">
        <v>3326647.8683230858</v>
      </c>
      <c r="M8" s="33">
        <v>396.77352941177293</v>
      </c>
      <c r="N8" s="5">
        <v>10</v>
      </c>
      <c r="O8" s="5">
        <v>35.5</v>
      </c>
      <c r="P8" s="33">
        <v>1554.8660160991699</v>
      </c>
      <c r="Q8" s="5">
        <v>22.827664777549078</v>
      </c>
      <c r="R8" s="5">
        <v>6926.1693815587951</v>
      </c>
      <c r="S8" s="31"/>
      <c r="T8" s="23">
        <v>3323677.9521174598</v>
      </c>
      <c r="U8" s="33">
        <v>380.03647058825555</v>
      </c>
      <c r="V8" s="5">
        <v>7</v>
      </c>
      <c r="W8" s="5">
        <v>34.5</v>
      </c>
      <c r="X8" s="33">
        <v>1993.7525117968453</v>
      </c>
      <c r="Y8" s="5">
        <v>46.76377285366906</v>
      </c>
      <c r="Z8" s="5">
        <v>7584.637552428464</v>
      </c>
      <c r="AA8" s="35"/>
    </row>
    <row r="9" spans="2:27" x14ac:dyDescent="0.2">
      <c r="B9" s="4">
        <v>6</v>
      </c>
      <c r="C9" s="4">
        <v>124</v>
      </c>
      <c r="D9" s="23">
        <v>2988307.7689280608</v>
      </c>
      <c r="E9" s="33">
        <v>1056.0017647058705</v>
      </c>
      <c r="F9" s="5">
        <v>7</v>
      </c>
      <c r="G9" s="23">
        <v>46.5</v>
      </c>
      <c r="H9" s="33">
        <v>1493.6129449865205</v>
      </c>
      <c r="I9" s="23">
        <v>47.303132377161148</v>
      </c>
      <c r="J9" s="5">
        <v>7146.3925553059635</v>
      </c>
      <c r="K9" s="31"/>
      <c r="L9" s="23">
        <v>3904031.2877796842</v>
      </c>
      <c r="M9" s="33">
        <v>385.59764705879121</v>
      </c>
      <c r="N9" s="5">
        <v>3</v>
      </c>
      <c r="O9" s="5">
        <v>4.5</v>
      </c>
      <c r="P9" s="33">
        <v>0</v>
      </c>
      <c r="Q9" s="5">
        <v>15.385899347268449</v>
      </c>
      <c r="R9" s="5">
        <v>3541.0811299403749</v>
      </c>
      <c r="S9" s="31"/>
      <c r="T9" s="23">
        <v>3800883.3747331351</v>
      </c>
      <c r="U9" s="33">
        <v>301.77352941177293</v>
      </c>
      <c r="V9" s="5">
        <v>6</v>
      </c>
      <c r="W9" s="5">
        <v>13.5</v>
      </c>
      <c r="X9" s="33">
        <v>2149.2983560222324</v>
      </c>
      <c r="Y9" s="5">
        <v>39.455616455573882</v>
      </c>
      <c r="Z9" s="5">
        <v>8027.0689585618384</v>
      </c>
      <c r="AA9" s="35"/>
    </row>
    <row r="10" spans="2:27" x14ac:dyDescent="0.2">
      <c r="B10" s="4">
        <v>7</v>
      </c>
      <c r="C10" s="4">
        <v>878</v>
      </c>
      <c r="D10" s="23">
        <v>3583629.3183554201</v>
      </c>
      <c r="E10" s="33">
        <v>551.72764705884379</v>
      </c>
      <c r="F10" s="5">
        <v>10</v>
      </c>
      <c r="G10" s="23">
        <v>44</v>
      </c>
      <c r="H10" s="33">
        <v>4598.0831505979813</v>
      </c>
      <c r="I10" s="23">
        <v>41.927538562563299</v>
      </c>
      <c r="J10" s="5">
        <v>10058.284700889277</v>
      </c>
      <c r="K10" s="31"/>
      <c r="L10" s="23">
        <v>3413474.607199837</v>
      </c>
      <c r="M10" s="33">
        <v>471.78294117651495</v>
      </c>
      <c r="N10" s="5">
        <v>17</v>
      </c>
      <c r="O10" s="5">
        <v>40</v>
      </c>
      <c r="P10" s="33">
        <v>2224.7486589683172</v>
      </c>
      <c r="Q10" s="5">
        <v>14.984915740806414</v>
      </c>
      <c r="R10" s="5">
        <v>7360.7028247198368</v>
      </c>
      <c r="S10" s="31"/>
      <c r="T10" s="23">
        <v>3889386.176206084</v>
      </c>
      <c r="U10" s="33">
        <v>290.80882352941177</v>
      </c>
      <c r="V10" s="5">
        <v>16</v>
      </c>
      <c r="W10" s="5">
        <v>43</v>
      </c>
      <c r="X10" s="33">
        <v>5765.6927311233703</v>
      </c>
      <c r="Y10" s="5">
        <v>30.427610209811178</v>
      </c>
      <c r="Z10" s="5">
        <v>11499.781195850777</v>
      </c>
      <c r="AA10" s="35"/>
    </row>
    <row r="11" spans="2:27" x14ac:dyDescent="0.2">
      <c r="B11" s="4">
        <v>8</v>
      </c>
      <c r="C11" s="4">
        <v>331</v>
      </c>
      <c r="D11" s="23">
        <v>3248950.0039589321</v>
      </c>
      <c r="E11" s="33">
        <v>279.15470588240117</v>
      </c>
      <c r="F11" s="5">
        <v>5</v>
      </c>
      <c r="G11" s="23">
        <v>34.5</v>
      </c>
      <c r="H11" s="33">
        <v>1443.3306217128497</v>
      </c>
      <c r="I11" s="23">
        <v>60.422976254755483</v>
      </c>
      <c r="J11" s="5">
        <v>7299.2483974670831</v>
      </c>
      <c r="K11" s="31"/>
      <c r="L11" s="23">
        <v>3396345.8648264408</v>
      </c>
      <c r="M11" s="33">
        <v>316.90235294114029</v>
      </c>
      <c r="N11" s="5">
        <v>9</v>
      </c>
      <c r="O11" s="5">
        <v>32</v>
      </c>
      <c r="P11" s="33">
        <v>1578.967325711021</v>
      </c>
      <c r="Q11" s="5">
        <v>24.773829776589192</v>
      </c>
      <c r="R11" s="5">
        <v>7125.8251543550568</v>
      </c>
      <c r="S11" s="31"/>
      <c r="T11" s="23">
        <v>3332122.1695252392</v>
      </c>
      <c r="U11" s="33">
        <v>316.06588235296147</v>
      </c>
      <c r="V11" s="5">
        <v>8</v>
      </c>
      <c r="W11" s="5">
        <v>33.5</v>
      </c>
      <c r="X11" s="33">
        <v>1712.0757374284858</v>
      </c>
      <c r="Y11" s="5">
        <v>46.684596087487115</v>
      </c>
      <c r="Z11" s="5">
        <v>7339.2009996705547</v>
      </c>
      <c r="AA11" s="35"/>
    </row>
    <row r="12" spans="2:27" x14ac:dyDescent="0.2">
      <c r="B12" s="4">
        <v>9</v>
      </c>
      <c r="C12" s="4">
        <v>934</v>
      </c>
      <c r="D12" s="23">
        <v>3168282.229190127</v>
      </c>
      <c r="E12" s="33">
        <v>747.65647058820298</v>
      </c>
      <c r="F12" s="5">
        <v>5</v>
      </c>
      <c r="G12" s="23">
        <v>35</v>
      </c>
      <c r="H12" s="33">
        <v>833.78741311778526</v>
      </c>
      <c r="I12" s="23">
        <v>56.578780480985799</v>
      </c>
      <c r="J12" s="5">
        <v>6764.0465151081771</v>
      </c>
      <c r="K12" s="31"/>
      <c r="L12" s="23">
        <v>3389258.5299862372</v>
      </c>
      <c r="M12" s="33">
        <v>943.20764705881174</v>
      </c>
      <c r="N12" s="5">
        <v>5</v>
      </c>
      <c r="O12" s="5">
        <v>25.5</v>
      </c>
      <c r="P12" s="33">
        <v>556.58651677882619</v>
      </c>
      <c r="Q12" s="5">
        <v>27.707261425575371</v>
      </c>
      <c r="R12" s="5">
        <v>5940.7913956736502</v>
      </c>
      <c r="S12" s="31"/>
      <c r="T12" s="23">
        <v>3463951.8822760638</v>
      </c>
      <c r="U12" s="33">
        <v>393.20764705881146</v>
      </c>
      <c r="V12" s="5">
        <v>5</v>
      </c>
      <c r="W12" s="5">
        <v>25</v>
      </c>
      <c r="X12" s="33">
        <v>1453.3645370517897</v>
      </c>
      <c r="Y12" s="5">
        <v>62.400835353174465</v>
      </c>
      <c r="Z12" s="5">
        <v>7309.7921661897217</v>
      </c>
      <c r="AA12" s="35"/>
    </row>
    <row r="13" spans="2:27" x14ac:dyDescent="0.2">
      <c r="B13" s="4">
        <v>10</v>
      </c>
      <c r="C13" s="4">
        <v>956</v>
      </c>
      <c r="D13" s="23">
        <v>3072512.961794503</v>
      </c>
      <c r="E13" s="33">
        <v>271.33294117650678</v>
      </c>
      <c r="F13" s="5">
        <v>5</v>
      </c>
      <c r="G13" s="23">
        <v>41</v>
      </c>
      <c r="H13" s="33">
        <v>1208.3427879718693</v>
      </c>
      <c r="I13" s="23">
        <v>56.778888861512392</v>
      </c>
      <c r="J13" s="5">
        <v>7108.6015453704267</v>
      </c>
      <c r="K13" s="31"/>
      <c r="L13" s="23">
        <v>3503412.4806791558</v>
      </c>
      <c r="M13" s="33">
        <v>427.1694117647541</v>
      </c>
      <c r="N13" s="5">
        <v>9</v>
      </c>
      <c r="O13" s="5">
        <v>26.5</v>
      </c>
      <c r="P13" s="33">
        <v>1515.8755074797198</v>
      </c>
      <c r="Q13" s="5">
        <v>19.048055344645444</v>
      </c>
      <c r="R13" s="5">
        <v>6619.9941514238426</v>
      </c>
      <c r="S13" s="31"/>
      <c r="T13" s="23">
        <v>3397705.3106244709</v>
      </c>
      <c r="U13" s="33">
        <v>303.97941176471409</v>
      </c>
      <c r="V13" s="5">
        <v>5</v>
      </c>
      <c r="W13" s="5">
        <v>28</v>
      </c>
      <c r="X13" s="33">
        <v>1369.8250350332996</v>
      </c>
      <c r="Y13" s="5">
        <v>46.092545376604349</v>
      </c>
      <c r="Z13" s="5">
        <v>7115.8901650425987</v>
      </c>
      <c r="AA13" s="35"/>
    </row>
    <row r="14" spans="2:27" x14ac:dyDescent="0.2">
      <c r="B14" s="46" t="s">
        <v>3</v>
      </c>
      <c r="C14" s="47"/>
      <c r="D14" s="9">
        <f>MIN(D4:D13)</f>
        <v>2988307.7689280608</v>
      </c>
      <c r="E14" s="22">
        <f>INDEX(E4:E13, MATCH($D$14, D4:D13, 0))</f>
        <v>1056.0017647058705</v>
      </c>
      <c r="F14" s="9">
        <f>INDEX(F4:F13, MATCH($D$14, D4:D13, 0))</f>
        <v>7</v>
      </c>
      <c r="G14" s="9">
        <f>INDEX(G4:G13, MATCH($D$14, D4:D13, 0))</f>
        <v>46.5</v>
      </c>
      <c r="H14" s="22">
        <f>INDEX(H4:H13, MATCH($D$14, D4:D13, 0))</f>
        <v>1493.6129449865205</v>
      </c>
      <c r="I14" s="22">
        <f>INDEX(I4:I13, MATCH($D$14, D4:D13, 0))</f>
        <v>47.303132377161148</v>
      </c>
      <c r="J14" s="22">
        <f>INDEX(J4:J13, MATCH($D$14, D4:D13, 0))</f>
        <v>7146.3925553059635</v>
      </c>
      <c r="K14" s="32" t="e">
        <f>(D14-$D$15)/$D$15</f>
        <v>#DIV/0!</v>
      </c>
      <c r="L14" s="16">
        <f>MIN(L4:L13)</f>
        <v>3306175.7124768002</v>
      </c>
      <c r="M14" s="21">
        <f>INDEX(M4:M13, MATCH($L$14, L4:L13, 0))</f>
        <v>682.50941176467359</v>
      </c>
      <c r="N14" s="16">
        <f>INDEX(N4:N13, MATCH($L$14, L4:L13, 0))</f>
        <v>7</v>
      </c>
      <c r="O14" s="16">
        <f>INDEX(O4:O13, MATCH($L$14, L4:L13, 0))</f>
        <v>29.5</v>
      </c>
      <c r="P14" s="21">
        <f>INDEX(P4:P13, MATCH($L$14, L4:L13, 0))</f>
        <v>739.70085221256068</v>
      </c>
      <c r="Q14" s="21">
        <f>INDEX(Q4:Q13, MATCH($L$14, L4:L13, 0))</f>
        <v>25.334618989283435</v>
      </c>
      <c r="R14" s="21">
        <f>INDEX(R4:R13, MATCH($L$14, L4:L13, 0))</f>
        <v>5782.5473883088089</v>
      </c>
      <c r="S14" s="36" t="e">
        <f>(L14-$D$15)/$D$15</f>
        <v>#DIV/0!</v>
      </c>
      <c r="T14" s="38">
        <f>MIN(T4:T13)</f>
        <v>3323677.9521174598</v>
      </c>
      <c r="U14" s="39">
        <f>INDEX(U4:U13, MATCH($T$14, T4:T13, 0))</f>
        <v>380.03647058825555</v>
      </c>
      <c r="V14" s="38">
        <f>INDEX(V4:V13, MATCH($T$14, T4:T13, 0))</f>
        <v>7</v>
      </c>
      <c r="W14" s="38">
        <f>INDEX(W4:W13, MATCH($T$14, T4:T13, 0))</f>
        <v>34.5</v>
      </c>
      <c r="X14" s="39">
        <f>INDEX(X4:X13, MATCH($T$14, T4:T13, 0))</f>
        <v>1993.7525117968453</v>
      </c>
      <c r="Y14" s="39">
        <f>INDEX(Y4:Y13, MATCH($T$14, T4:T13, 0))</f>
        <v>46.76377285366906</v>
      </c>
      <c r="Z14" s="39">
        <f>INDEX(Z4:Z13, MATCH($T$14, T4:T13, 0))</f>
        <v>7584.637552428464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17:C38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2FA-A2B4-4748-B539-8B1A6CA2D26E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-0.98727704399372007</v>
      </c>
      <c r="J2" s="28" t="e">
        <f>(S14-J14)/J14</f>
        <v>#DIV/0!</v>
      </c>
      <c r="K2" s="28"/>
      <c r="L2" s="1" t="s">
        <v>19</v>
      </c>
      <c r="P2" s="1">
        <f>(P14-H14)/H14</f>
        <v>-0.44508898332016567</v>
      </c>
      <c r="R2" s="1">
        <f>(R14-J14)/J14</f>
        <v>-0.21108481271499288</v>
      </c>
      <c r="T2" s="1" t="s">
        <v>20</v>
      </c>
      <c r="X2" s="1">
        <f>(X14-P14)/P14</f>
        <v>0.25656059895902061</v>
      </c>
      <c r="Z2" s="1">
        <f>(Z14-R14)/R14</f>
        <v>0.19942100054492723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2999796.1038167449</v>
      </c>
      <c r="E4" s="33">
        <v>496.78352941176854</v>
      </c>
      <c r="F4" s="5">
        <v>8</v>
      </c>
      <c r="G4" s="23">
        <v>52</v>
      </c>
      <c r="H4" s="33">
        <v>1868.8287352999612</v>
      </c>
      <c r="I4" s="23">
        <v>35.539223941397424</v>
      </c>
      <c r="J4" s="5">
        <v>7596.2074297300378</v>
      </c>
      <c r="K4" s="31"/>
      <c r="L4" s="23">
        <v>3347463.7818000792</v>
      </c>
      <c r="M4" s="33">
        <v>1314.5129411764824</v>
      </c>
      <c r="N4" s="5">
        <v>5</v>
      </c>
      <c r="O4" s="5">
        <v>25.5</v>
      </c>
      <c r="P4" s="33">
        <v>282.40850194006919</v>
      </c>
      <c r="Q4" s="5">
        <v>25.253661768896134</v>
      </c>
      <c r="R4" s="5">
        <v>5391.0336403022911</v>
      </c>
      <c r="S4" s="31"/>
      <c r="T4" s="23">
        <v>3392327.2910596351</v>
      </c>
      <c r="U4" s="33">
        <v>173.53823529412591</v>
      </c>
      <c r="V4" s="5">
        <v>5</v>
      </c>
      <c r="W4" s="5">
        <v>31.5</v>
      </c>
      <c r="X4" s="33">
        <v>1948.0477736281041</v>
      </c>
      <c r="Y4" s="5">
        <v>44.452126075580765</v>
      </c>
      <c r="Z4" s="5">
        <v>7749.7483049527755</v>
      </c>
      <c r="AA4" s="35"/>
    </row>
    <row r="5" spans="2:27" x14ac:dyDescent="0.2">
      <c r="B5" s="4">
        <v>2</v>
      </c>
      <c r="C5" s="4">
        <v>263</v>
      </c>
      <c r="D5" s="23">
        <v>3161776.858524465</v>
      </c>
      <c r="E5" s="33">
        <v>376.66352941182112</v>
      </c>
      <c r="F5" s="5">
        <v>5</v>
      </c>
      <c r="G5" s="23">
        <v>37.5</v>
      </c>
      <c r="H5" s="33">
        <v>1057.1097912545827</v>
      </c>
      <c r="I5" s="23">
        <v>36.843170524133392</v>
      </c>
      <c r="J5" s="5">
        <v>6914.4207297460971</v>
      </c>
      <c r="K5" s="31"/>
      <c r="L5" s="23">
        <v>3377559.244827345</v>
      </c>
      <c r="M5" s="33">
        <v>606.19470588232889</v>
      </c>
      <c r="N5" s="5">
        <v>5</v>
      </c>
      <c r="O5" s="5">
        <v>25</v>
      </c>
      <c r="P5" s="33">
        <v>494.38329888951876</v>
      </c>
      <c r="Q5" s="5">
        <v>25.003771030428908</v>
      </c>
      <c r="R5" s="5">
        <v>5404.0781253809828</v>
      </c>
      <c r="S5" s="31"/>
      <c r="T5" s="23">
        <v>3198449.442697234</v>
      </c>
      <c r="U5" s="33">
        <v>369.5035294117406</v>
      </c>
      <c r="V5" s="5">
        <v>5</v>
      </c>
      <c r="W5" s="5">
        <v>34.5</v>
      </c>
      <c r="X5" s="33">
        <v>985.1682376997943</v>
      </c>
      <c r="Y5" s="5">
        <v>42.924158733681317</v>
      </c>
      <c r="Z5" s="5">
        <v>6641.9043267136785</v>
      </c>
      <c r="AA5" s="35"/>
    </row>
    <row r="6" spans="2:27" x14ac:dyDescent="0.2">
      <c r="B6" s="4">
        <v>3</v>
      </c>
      <c r="C6" s="4">
        <v>294</v>
      </c>
      <c r="D6" s="23">
        <v>3213711.546128043</v>
      </c>
      <c r="E6" s="33">
        <v>522.8217647058259</v>
      </c>
      <c r="F6" s="5">
        <v>12</v>
      </c>
      <c r="G6" s="23">
        <v>42.5</v>
      </c>
      <c r="H6" s="33">
        <v>1800.764965789361</v>
      </c>
      <c r="I6" s="23">
        <v>19.137950788398435</v>
      </c>
      <c r="J6" s="5">
        <v>6991.5494897418794</v>
      </c>
      <c r="K6" s="31"/>
      <c r="L6" s="23">
        <v>3430750.4997413279</v>
      </c>
      <c r="M6" s="33">
        <v>612.94117647058829</v>
      </c>
      <c r="N6" s="5">
        <v>6</v>
      </c>
      <c r="O6" s="5">
        <v>23.5</v>
      </c>
      <c r="P6" s="33">
        <v>417.8411866952618</v>
      </c>
      <c r="Q6" s="5">
        <v>18.99896668850069</v>
      </c>
      <c r="R6" s="5">
        <v>5205.4147488546359</v>
      </c>
      <c r="S6" s="31"/>
      <c r="T6" s="23">
        <v>3157051.5893774251</v>
      </c>
      <c r="U6" s="33">
        <v>338.86941176469384</v>
      </c>
      <c r="V6" s="5">
        <v>10</v>
      </c>
      <c r="W6" s="5">
        <v>45</v>
      </c>
      <c r="X6" s="33">
        <v>1778.8789128155431</v>
      </c>
      <c r="Y6" s="5">
        <v>30.095887120868696</v>
      </c>
      <c r="Z6" s="5">
        <v>7377.3392597967113</v>
      </c>
      <c r="AA6" s="35"/>
    </row>
    <row r="7" spans="2:27" x14ac:dyDescent="0.2">
      <c r="B7" s="4">
        <v>4</v>
      </c>
      <c r="C7" s="4">
        <v>503</v>
      </c>
      <c r="D7" s="23">
        <v>3033372.6246291702</v>
      </c>
      <c r="E7" s="33">
        <v>228.04235294112004</v>
      </c>
      <c r="F7" s="5">
        <v>8</v>
      </c>
      <c r="G7" s="23">
        <v>50.5</v>
      </c>
      <c r="H7" s="33">
        <v>1841.919503118391</v>
      </c>
      <c r="I7" s="23">
        <v>34.248084069712824</v>
      </c>
      <c r="J7" s="5">
        <v>7724.2614825303372</v>
      </c>
      <c r="K7" s="31"/>
      <c r="L7" s="23">
        <v>3505716.4288370898</v>
      </c>
      <c r="M7" s="33">
        <v>570.91941176468561</v>
      </c>
      <c r="N7" s="5">
        <v>4</v>
      </c>
      <c r="O7" s="5">
        <v>20.5</v>
      </c>
      <c r="P7" s="33">
        <v>538.61949585662137</v>
      </c>
      <c r="Q7" s="5">
        <v>22.758436475713374</v>
      </c>
      <c r="R7" s="5">
        <v>5805.9471330510596</v>
      </c>
      <c r="S7" s="31"/>
      <c r="T7" s="23">
        <v>3107159.9386214688</v>
      </c>
      <c r="U7" s="33">
        <v>677.76647058822357</v>
      </c>
      <c r="V7" s="5">
        <v>5</v>
      </c>
      <c r="W7" s="5">
        <v>39</v>
      </c>
      <c r="X7" s="33">
        <v>1049.7448997392435</v>
      </c>
      <c r="Y7" s="5">
        <v>45.352692184504335</v>
      </c>
      <c r="Z7" s="5">
        <v>6819.3925523073067</v>
      </c>
      <c r="AA7" s="35"/>
    </row>
    <row r="8" spans="2:27" x14ac:dyDescent="0.2">
      <c r="B8" s="4">
        <v>5</v>
      </c>
      <c r="C8" s="4">
        <v>530</v>
      </c>
      <c r="D8" s="23">
        <v>2903776.7044662018</v>
      </c>
      <c r="E8" s="33">
        <v>512.13235294117646</v>
      </c>
      <c r="F8" s="5">
        <v>7</v>
      </c>
      <c r="G8" s="23">
        <v>49.5</v>
      </c>
      <c r="H8" s="33">
        <v>1188.0341706965869</v>
      </c>
      <c r="I8" s="23">
        <v>31.142948138327757</v>
      </c>
      <c r="J8" s="5">
        <v>6910.516796121221</v>
      </c>
      <c r="K8" s="31"/>
      <c r="L8" s="23">
        <v>3371618.0187279172</v>
      </c>
      <c r="M8" s="33">
        <v>1256.3788235293678</v>
      </c>
      <c r="N8" s="5">
        <v>6</v>
      </c>
      <c r="O8" s="5">
        <v>27</v>
      </c>
      <c r="P8" s="33">
        <v>728.43432792338115</v>
      </c>
      <c r="Q8" s="5">
        <v>20.937896006867447</v>
      </c>
      <c r="R8" s="5">
        <v>5937.3759262524409</v>
      </c>
      <c r="S8" s="31"/>
      <c r="T8" s="23">
        <v>3816603.395764478</v>
      </c>
      <c r="U8" s="33">
        <v>480.08294117643828</v>
      </c>
      <c r="V8" s="5">
        <v>11</v>
      </c>
      <c r="W8" s="5">
        <v>14</v>
      </c>
      <c r="X8" s="33">
        <v>785.02350978576601</v>
      </c>
      <c r="Y8" s="5">
        <v>15.683859509340056</v>
      </c>
      <c r="Z8" s="5">
        <v>5841.4613959999406</v>
      </c>
      <c r="AA8" s="35"/>
    </row>
    <row r="9" spans="2:27" x14ac:dyDescent="0.2">
      <c r="B9" s="4">
        <v>6</v>
      </c>
      <c r="C9" s="4">
        <v>612</v>
      </c>
      <c r="D9" s="23">
        <v>3003025.1462543979</v>
      </c>
      <c r="E9" s="33">
        <v>199.06235294115237</v>
      </c>
      <c r="F9" s="5">
        <v>5</v>
      </c>
      <c r="G9" s="23">
        <v>43.5</v>
      </c>
      <c r="H9" s="33">
        <v>1092.6916557323821</v>
      </c>
      <c r="I9" s="23">
        <v>44.175288886739381</v>
      </c>
      <c r="J9" s="5">
        <v>6821.5316334105992</v>
      </c>
      <c r="K9" s="31"/>
      <c r="L9" s="23">
        <v>3304931.0173341469</v>
      </c>
      <c r="M9" s="33">
        <v>519.22823529416587</v>
      </c>
      <c r="N9" s="5">
        <v>7</v>
      </c>
      <c r="O9" s="5">
        <v>30</v>
      </c>
      <c r="P9" s="33">
        <v>898.77616341063219</v>
      </c>
      <c r="Q9" s="5">
        <v>20.607068958525012</v>
      </c>
      <c r="R9" s="5">
        <v>5736.8003288713262</v>
      </c>
      <c r="S9" s="31"/>
      <c r="T9" s="23">
        <v>3115922.8889804962</v>
      </c>
      <c r="U9" s="33">
        <v>516.41529411762292</v>
      </c>
      <c r="V9" s="5">
        <v>5</v>
      </c>
      <c r="W9" s="5">
        <v>38.5</v>
      </c>
      <c r="X9" s="33">
        <v>994.50405501529906</v>
      </c>
      <c r="Y9" s="5">
        <v>44.798788702921129</v>
      </c>
      <c r="Z9" s="5">
        <v>6817.2945172015425</v>
      </c>
      <c r="AA9" s="35"/>
    </row>
    <row r="10" spans="2:27" x14ac:dyDescent="0.2">
      <c r="B10" s="4">
        <v>7</v>
      </c>
      <c r="C10" s="4">
        <v>694</v>
      </c>
      <c r="D10" s="23">
        <v>3014945.2178063472</v>
      </c>
      <c r="E10" s="33">
        <v>264.21882352942384</v>
      </c>
      <c r="F10" s="5">
        <v>9</v>
      </c>
      <c r="G10" s="23">
        <v>52</v>
      </c>
      <c r="H10" s="33">
        <v>2026.0891389244684</v>
      </c>
      <c r="I10" s="23">
        <v>26.577559738619328</v>
      </c>
      <c r="J10" s="5">
        <v>7425.8025007958731</v>
      </c>
      <c r="K10" s="31"/>
      <c r="L10" s="23">
        <v>3348484.4157266729</v>
      </c>
      <c r="M10" s="33">
        <v>396.86588235295324</v>
      </c>
      <c r="N10" s="5">
        <v>5</v>
      </c>
      <c r="O10" s="5">
        <v>25</v>
      </c>
      <c r="P10" s="33">
        <v>115.74067769022651</v>
      </c>
      <c r="Q10" s="5">
        <v>23.362335851306362</v>
      </c>
      <c r="R10" s="5">
        <v>5267.2042501185097</v>
      </c>
      <c r="S10" s="31"/>
      <c r="T10" s="23">
        <v>3106639.3192616431</v>
      </c>
      <c r="U10" s="33">
        <v>853.38235294117646</v>
      </c>
      <c r="V10" s="5">
        <v>5</v>
      </c>
      <c r="W10" s="5">
        <v>39.5</v>
      </c>
      <c r="X10" s="33">
        <v>1129.3667142253546</v>
      </c>
      <c r="Y10" s="5">
        <v>45.887471476605022</v>
      </c>
      <c r="Z10" s="5">
        <v>6880.8387903813136</v>
      </c>
      <c r="AA10" s="35"/>
    </row>
    <row r="11" spans="2:27" x14ac:dyDescent="0.2">
      <c r="B11" s="4">
        <v>8</v>
      </c>
      <c r="C11" s="4">
        <v>733</v>
      </c>
      <c r="D11" s="23">
        <v>3112081.5701802191</v>
      </c>
      <c r="E11" s="33">
        <v>881.03823529412591</v>
      </c>
      <c r="F11" s="5">
        <v>6</v>
      </c>
      <c r="G11" s="23">
        <v>41.5</v>
      </c>
      <c r="H11" s="33">
        <v>1364.6549412411093</v>
      </c>
      <c r="I11" s="23">
        <v>31.85232146878559</v>
      </c>
      <c r="J11" s="5">
        <v>7186.3886583634812</v>
      </c>
      <c r="K11" s="31"/>
      <c r="L11" s="23">
        <v>3346958.1531516248</v>
      </c>
      <c r="M11" s="33">
        <v>632.5</v>
      </c>
      <c r="N11" s="5">
        <v>6</v>
      </c>
      <c r="O11" s="5">
        <v>26.5</v>
      </c>
      <c r="P11" s="33">
        <v>392.65649817359548</v>
      </c>
      <c r="Q11" s="5">
        <v>20.923302090502382</v>
      </c>
      <c r="R11" s="5">
        <v>5559.7873141924565</v>
      </c>
      <c r="S11" s="31"/>
      <c r="T11" s="23">
        <v>3231083.9786356459</v>
      </c>
      <c r="U11" s="33">
        <v>243.61235294121266</v>
      </c>
      <c r="V11" s="5">
        <v>6</v>
      </c>
      <c r="W11" s="5">
        <v>38</v>
      </c>
      <c r="X11" s="33">
        <v>1801.8307573715076</v>
      </c>
      <c r="Y11" s="5">
        <v>40.638953948858862</v>
      </c>
      <c r="Z11" s="5">
        <v>7312.9518696936293</v>
      </c>
      <c r="AA11" s="35"/>
    </row>
    <row r="12" spans="2:27" x14ac:dyDescent="0.2">
      <c r="B12" s="4">
        <v>9</v>
      </c>
      <c r="C12" s="4">
        <v>824</v>
      </c>
      <c r="D12" s="23">
        <v>2841983.3253300078</v>
      </c>
      <c r="E12" s="33">
        <v>649.43941176471765</v>
      </c>
      <c r="F12" s="5">
        <v>8</v>
      </c>
      <c r="G12" s="23">
        <v>56</v>
      </c>
      <c r="H12" s="33">
        <v>1619.6761938305451</v>
      </c>
      <c r="I12" s="23">
        <v>33.417668497124609</v>
      </c>
      <c r="J12" s="5">
        <v>7271.7580055900526</v>
      </c>
      <c r="K12" s="31"/>
      <c r="L12" s="23">
        <v>3589640.6217021481</v>
      </c>
      <c r="M12" s="33">
        <v>488.12470588237323</v>
      </c>
      <c r="N12" s="5">
        <v>9</v>
      </c>
      <c r="O12" s="5">
        <v>24</v>
      </c>
      <c r="P12" s="33">
        <v>1572.5771146587595</v>
      </c>
      <c r="Q12" s="5">
        <v>15.810549646977165</v>
      </c>
      <c r="R12" s="5">
        <v>6649.0974276821225</v>
      </c>
      <c r="S12" s="31"/>
      <c r="T12" s="23">
        <v>3177219.595089287</v>
      </c>
      <c r="U12" s="33">
        <v>390</v>
      </c>
      <c r="V12" s="5">
        <v>5</v>
      </c>
      <c r="W12" s="5">
        <v>35.5</v>
      </c>
      <c r="X12" s="33">
        <v>959.80774122279183</v>
      </c>
      <c r="Y12" s="5">
        <v>45.441091176644463</v>
      </c>
      <c r="Z12" s="5">
        <v>6620.6857126982068</v>
      </c>
      <c r="AA12" s="35"/>
    </row>
    <row r="13" spans="2:27" x14ac:dyDescent="0.2">
      <c r="B13" s="4">
        <v>10</v>
      </c>
      <c r="C13" s="4">
        <v>840</v>
      </c>
      <c r="D13" s="23">
        <v>3062033.4968748689</v>
      </c>
      <c r="E13" s="33">
        <v>263.5017647059388</v>
      </c>
      <c r="F13" s="5">
        <v>5</v>
      </c>
      <c r="G13" s="23">
        <v>42</v>
      </c>
      <c r="H13" s="33">
        <v>1160.9728443853498</v>
      </c>
      <c r="I13" s="23">
        <v>38.432099990411189</v>
      </c>
      <c r="J13" s="5">
        <v>6935.8508760161794</v>
      </c>
      <c r="K13" s="31"/>
      <c r="L13" s="23">
        <v>3591215.0030831899</v>
      </c>
      <c r="M13" s="33">
        <v>384.82529411770349</v>
      </c>
      <c r="N13" s="5">
        <v>5</v>
      </c>
      <c r="O13" s="5">
        <v>17</v>
      </c>
      <c r="P13" s="33">
        <v>389.41418575359398</v>
      </c>
      <c r="Q13" s="5">
        <v>17.719321314406983</v>
      </c>
      <c r="R13" s="5">
        <v>5143.1845771664557</v>
      </c>
      <c r="S13" s="31"/>
      <c r="T13" s="23">
        <v>3189006.0119429482</v>
      </c>
      <c r="U13" s="33">
        <v>477.66529411762298</v>
      </c>
      <c r="V13" s="5">
        <v>5</v>
      </c>
      <c r="W13" s="5">
        <v>36.5</v>
      </c>
      <c r="X13" s="33">
        <v>1305.1083789814365</v>
      </c>
      <c r="Y13" s="5">
        <v>47.826174588752302</v>
      </c>
      <c r="Z13" s="5">
        <v>6936.9220914276975</v>
      </c>
      <c r="AA13" s="35"/>
    </row>
    <row r="14" spans="2:27" x14ac:dyDescent="0.2">
      <c r="B14" s="46" t="s">
        <v>3</v>
      </c>
      <c r="C14" s="47"/>
      <c r="D14" s="9">
        <f>MIN(D4:D13)</f>
        <v>2841983.3253300078</v>
      </c>
      <c r="E14" s="22">
        <f>INDEX(E4:E13, MATCH($D$14, D4:D13, 0))</f>
        <v>649.43941176471765</v>
      </c>
      <c r="F14" s="9">
        <f>INDEX(F4:F13, MATCH($D$14, D4:D13, 0))</f>
        <v>8</v>
      </c>
      <c r="G14" s="9">
        <f>INDEX(G4:G13, MATCH($D$14, D4:D13, 0))</f>
        <v>56</v>
      </c>
      <c r="H14" s="22">
        <f>INDEX(H4:H13, MATCH($D$14, D4:D13, 0))</f>
        <v>1619.6761938305451</v>
      </c>
      <c r="I14" s="22">
        <f>INDEX(I4:I13, MATCH($D$14, D4:D13, 0))</f>
        <v>33.417668497124609</v>
      </c>
      <c r="J14" s="22">
        <f>INDEX(J4:J13, MATCH($D$14, D4:D13, 0))</f>
        <v>7271.7580055900526</v>
      </c>
      <c r="K14" s="32" t="e">
        <f>(D14-$D$15)/$D$15</f>
        <v>#DIV/0!</v>
      </c>
      <c r="L14" s="16">
        <f>MIN(L4:L13)</f>
        <v>3304931.0173341469</v>
      </c>
      <c r="M14" s="21">
        <f>INDEX(M4:M13, MATCH($L$14, L4:L13, 0))</f>
        <v>519.22823529416587</v>
      </c>
      <c r="N14" s="16">
        <f>INDEX(N4:N13, MATCH($L$14, L4:L13, 0))</f>
        <v>7</v>
      </c>
      <c r="O14" s="16">
        <f>INDEX(O4:O13, MATCH($L$14, L4:L13, 0))</f>
        <v>30</v>
      </c>
      <c r="P14" s="21">
        <f>INDEX(P4:P13, MATCH($L$14, L4:L13, 0))</f>
        <v>898.77616341063219</v>
      </c>
      <c r="Q14" s="21">
        <f>INDEX(Q4:Q13, MATCH($L$14, L4:L13, 0))</f>
        <v>20.607068958525012</v>
      </c>
      <c r="R14" s="21">
        <f>INDEX(R4:R13, MATCH($L$14, L4:L13, 0))</f>
        <v>5736.8003288713262</v>
      </c>
      <c r="S14" s="36" t="e">
        <f>(L14-$D$15)/$D$15</f>
        <v>#DIV/0!</v>
      </c>
      <c r="T14" s="38">
        <f>MIN(T4:T13)</f>
        <v>3106639.3192616431</v>
      </c>
      <c r="U14" s="39">
        <f>INDEX(U4:U13, MATCH($T$14, T4:T13, 0))</f>
        <v>853.38235294117646</v>
      </c>
      <c r="V14" s="38">
        <f>INDEX(V4:V13, MATCH($T$14, T4:T13, 0))</f>
        <v>5</v>
      </c>
      <c r="W14" s="38">
        <f>INDEX(W4:W13, MATCH($T$14, T4:T13, 0))</f>
        <v>39.5</v>
      </c>
      <c r="X14" s="39">
        <f>INDEX(X4:X13, MATCH($T$14, T4:T13, 0))</f>
        <v>1129.3667142253546</v>
      </c>
      <c r="Y14" s="39">
        <f>INDEX(Y4:Y13, MATCH($T$14, T4:T13, 0))</f>
        <v>45.887471476605022</v>
      </c>
      <c r="Z14" s="39">
        <f>INDEX(Z4:Z13, MATCH($T$14, T4:T13, 0))</f>
        <v>6880.8387903813136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17:C3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08D4-87B1-4128-B711-E21DC11F6D72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-0.97993226794637478</v>
      </c>
      <c r="J2" s="28" t="e">
        <f>(S14-J14)/J14</f>
        <v>#DIV/0!</v>
      </c>
      <c r="K2" s="28"/>
      <c r="L2" s="1" t="s">
        <v>19</v>
      </c>
      <c r="P2" s="1">
        <f>(P14-H14)/H14</f>
        <v>-0.41854729259823076</v>
      </c>
      <c r="R2" s="1">
        <f>(R14-J14)/J14</f>
        <v>-0.1644995644379669</v>
      </c>
      <c r="T2" s="1" t="s">
        <v>20</v>
      </c>
      <c r="X2" s="1">
        <f>(X14-P14)/P14</f>
        <v>0.59547900132509357</v>
      </c>
      <c r="Z2" s="1">
        <f>(Z14-R14)/R14</f>
        <v>0.27447191077377731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615</v>
      </c>
      <c r="D4" s="23">
        <v>2542570.0764368768</v>
      </c>
      <c r="E4" s="33">
        <v>298.4282352941056</v>
      </c>
      <c r="F4" s="5">
        <v>8</v>
      </c>
      <c r="G4" s="23">
        <v>62</v>
      </c>
      <c r="H4" s="33">
        <v>1105.5188801963673</v>
      </c>
      <c r="I4" s="23">
        <v>48.670220858252158</v>
      </c>
      <c r="J4" s="5">
        <v>6525.1968370295099</v>
      </c>
      <c r="K4" s="31"/>
      <c r="L4" s="23">
        <v>2915048.465416979</v>
      </c>
      <c r="M4" s="33">
        <v>831.76470588235293</v>
      </c>
      <c r="N4" s="5">
        <v>11</v>
      </c>
      <c r="O4" s="5">
        <v>49.5</v>
      </c>
      <c r="P4" s="33">
        <v>1195.0018846374776</v>
      </c>
      <c r="Q4" s="5">
        <v>24.034219664981507</v>
      </c>
      <c r="R4" s="5">
        <v>6201.3033962049767</v>
      </c>
      <c r="S4" s="31"/>
      <c r="T4" s="23">
        <v>2848306.5017094719</v>
      </c>
      <c r="U4" s="33">
        <v>283.72294117648647</v>
      </c>
      <c r="V4" s="5">
        <v>5</v>
      </c>
      <c r="W4" s="5">
        <v>46</v>
      </c>
      <c r="X4" s="33">
        <v>739.07684874378447</v>
      </c>
      <c r="Y4" s="5">
        <v>81.06632690618126</v>
      </c>
      <c r="Z4" s="5">
        <v>6502.9591753045752</v>
      </c>
      <c r="AA4" s="35"/>
    </row>
    <row r="5" spans="2:27" x14ac:dyDescent="0.2">
      <c r="B5" s="4">
        <v>2</v>
      </c>
      <c r="C5" s="4">
        <v>462</v>
      </c>
      <c r="D5" s="23">
        <v>2417539.3739188458</v>
      </c>
      <c r="E5" s="33">
        <v>703.20764705881174</v>
      </c>
      <c r="F5" s="5">
        <v>8</v>
      </c>
      <c r="G5" s="23">
        <v>67.5</v>
      </c>
      <c r="H5" s="33">
        <v>1127.7898115901432</v>
      </c>
      <c r="I5" s="23">
        <v>52.398242211044746</v>
      </c>
      <c r="J5" s="5">
        <v>6654.2221975068514</v>
      </c>
      <c r="K5" s="31"/>
      <c r="L5" s="23">
        <v>2689242.3421750218</v>
      </c>
      <c r="M5" s="33">
        <v>1561.5717647058941</v>
      </c>
      <c r="N5" s="5">
        <v>12</v>
      </c>
      <c r="O5" s="5">
        <v>54</v>
      </c>
      <c r="P5" s="33">
        <v>760.98951659255567</v>
      </c>
      <c r="Q5" s="5">
        <v>26.264102858575381</v>
      </c>
      <c r="R5" s="5">
        <v>5402.811197869969</v>
      </c>
      <c r="S5" s="31"/>
      <c r="T5" s="23">
        <v>3048757.2103021541</v>
      </c>
      <c r="U5" s="33">
        <v>299.42058823530238</v>
      </c>
      <c r="V5" s="5">
        <v>12</v>
      </c>
      <c r="W5" s="5">
        <v>75.5</v>
      </c>
      <c r="X5" s="33">
        <v>3989.1029021253862</v>
      </c>
      <c r="Y5" s="5">
        <v>71.545008079802457</v>
      </c>
      <c r="Z5" s="5">
        <v>9563.4268393000712</v>
      </c>
      <c r="AA5" s="35"/>
    </row>
    <row r="6" spans="2:27" x14ac:dyDescent="0.2">
      <c r="B6" s="4">
        <v>3</v>
      </c>
      <c r="C6" s="4">
        <v>445</v>
      </c>
      <c r="D6" s="23">
        <v>2365771.496464652</v>
      </c>
      <c r="E6" s="33">
        <v>773.2629411764824</v>
      </c>
      <c r="F6" s="5">
        <v>6</v>
      </c>
      <c r="G6" s="23">
        <v>67.5</v>
      </c>
      <c r="H6" s="33">
        <v>1060.88095701713</v>
      </c>
      <c r="I6" s="23">
        <v>69.609073727617442</v>
      </c>
      <c r="J6" s="5">
        <v>6612.9654817586525</v>
      </c>
      <c r="K6" s="31"/>
      <c r="L6" s="23">
        <v>2825526.3568137041</v>
      </c>
      <c r="M6" s="33">
        <v>1092.0588235294117</v>
      </c>
      <c r="N6" s="5">
        <v>9</v>
      </c>
      <c r="O6" s="5">
        <v>46</v>
      </c>
      <c r="P6" s="33">
        <v>586.87860732741956</v>
      </c>
      <c r="Q6" s="5">
        <v>28.928305887162608</v>
      </c>
      <c r="R6" s="5">
        <v>5195.4688076663506</v>
      </c>
      <c r="S6" s="31"/>
      <c r="T6" s="23">
        <v>2773652.6824823581</v>
      </c>
      <c r="U6" s="33">
        <v>364.5123529411606</v>
      </c>
      <c r="V6" s="5">
        <v>6</v>
      </c>
      <c r="W6" s="5">
        <v>52.5</v>
      </c>
      <c r="X6" s="33">
        <v>1214.1427939519565</v>
      </c>
      <c r="Y6" s="5">
        <v>71.558528422855503</v>
      </c>
      <c r="Z6" s="5">
        <v>6885.7311108992999</v>
      </c>
      <c r="AA6" s="35"/>
    </row>
    <row r="7" spans="2:27" x14ac:dyDescent="0.2">
      <c r="B7" s="4">
        <v>4</v>
      </c>
      <c r="C7" s="4">
        <v>442</v>
      </c>
      <c r="D7" s="23">
        <v>2393110.761886538</v>
      </c>
      <c r="E7" s="33">
        <v>181.94882352939146</v>
      </c>
      <c r="F7" s="5">
        <v>9</v>
      </c>
      <c r="G7" s="23">
        <v>71</v>
      </c>
      <c r="H7" s="33">
        <v>1362.8479824542235</v>
      </c>
      <c r="I7" s="23">
        <v>50.386711867480741</v>
      </c>
      <c r="J7" s="5">
        <v>6797.6232905841316</v>
      </c>
      <c r="K7" s="31"/>
      <c r="L7" s="23">
        <v>2993147.9571953621</v>
      </c>
      <c r="M7" s="33">
        <v>563.06058823528213</v>
      </c>
      <c r="N7" s="5">
        <v>8</v>
      </c>
      <c r="O7" s="5">
        <v>37.5</v>
      </c>
      <c r="P7" s="33">
        <v>255.45489785947666</v>
      </c>
      <c r="Q7" s="5">
        <v>27.434354930192228</v>
      </c>
      <c r="R7" s="5">
        <v>4692.0973237492117</v>
      </c>
      <c r="S7" s="31"/>
      <c r="T7" s="23">
        <v>2934555.7810227722</v>
      </c>
      <c r="U7" s="33">
        <v>186.28705882350911</v>
      </c>
      <c r="V7" s="5">
        <v>16</v>
      </c>
      <c r="W7" s="5">
        <v>62</v>
      </c>
      <c r="X7" s="33">
        <v>2362.8715985492572</v>
      </c>
      <c r="Y7" s="5">
        <v>37.128221115630694</v>
      </c>
      <c r="Z7" s="5">
        <v>7824.4592091713475</v>
      </c>
      <c r="AA7" s="35"/>
    </row>
    <row r="8" spans="2:27" x14ac:dyDescent="0.2">
      <c r="B8" s="4">
        <v>5</v>
      </c>
      <c r="C8" s="4">
        <v>564</v>
      </c>
      <c r="D8" s="23">
        <v>2295679.4779720278</v>
      </c>
      <c r="E8" s="33">
        <v>353.05176470586207</v>
      </c>
      <c r="F8" s="5">
        <v>8</v>
      </c>
      <c r="G8" s="23">
        <v>72.5</v>
      </c>
      <c r="H8" s="33">
        <v>1217.7530279781349</v>
      </c>
      <c r="I8" s="23">
        <v>57.383287504227873</v>
      </c>
      <c r="J8" s="5">
        <v>6674.295556151179</v>
      </c>
      <c r="K8" s="31"/>
      <c r="L8" s="23">
        <v>2967431.4368702532</v>
      </c>
      <c r="M8" s="33">
        <v>1155.9282352941059</v>
      </c>
      <c r="N8" s="5">
        <v>11</v>
      </c>
      <c r="O8" s="5">
        <v>45.5</v>
      </c>
      <c r="P8" s="33">
        <v>1045.059402776983</v>
      </c>
      <c r="Q8" s="5">
        <v>24.682432930063843</v>
      </c>
      <c r="R8" s="5">
        <v>5853.1952592985181</v>
      </c>
      <c r="S8" s="31"/>
      <c r="T8" s="23">
        <v>2780832.0059414678</v>
      </c>
      <c r="U8" s="33">
        <v>566.65470588233268</v>
      </c>
      <c r="V8" s="5">
        <v>6</v>
      </c>
      <c r="W8" s="5">
        <v>49.5</v>
      </c>
      <c r="X8" s="33">
        <v>915.26528636350736</v>
      </c>
      <c r="Y8" s="5">
        <v>73.886638508085127</v>
      </c>
      <c r="Z8" s="5">
        <v>6514.6052239578612</v>
      </c>
      <c r="AA8" s="35"/>
    </row>
    <row r="9" spans="2:27" x14ac:dyDescent="0.2">
      <c r="B9" s="4">
        <v>6</v>
      </c>
      <c r="C9" s="4">
        <v>96</v>
      </c>
      <c r="D9" s="23">
        <v>2388576.2352897911</v>
      </c>
      <c r="E9" s="33">
        <v>161.62705882349712</v>
      </c>
      <c r="F9" s="5">
        <v>6</v>
      </c>
      <c r="G9" s="23">
        <v>68</v>
      </c>
      <c r="H9" s="33">
        <v>1132.5699198318696</v>
      </c>
      <c r="I9" s="23">
        <v>67.215833293969425</v>
      </c>
      <c r="J9" s="5">
        <v>6656.3410146394826</v>
      </c>
      <c r="K9" s="31"/>
      <c r="L9" s="23">
        <v>2705792.049398894</v>
      </c>
      <c r="M9" s="33">
        <v>933.54764705886771</v>
      </c>
      <c r="N9" s="5">
        <v>14</v>
      </c>
      <c r="O9" s="5">
        <v>56.5</v>
      </c>
      <c r="P9" s="33">
        <v>1086.5978193129822</v>
      </c>
      <c r="Q9" s="5">
        <v>24.31104559618559</v>
      </c>
      <c r="R9" s="5">
        <v>5710.1839670397621</v>
      </c>
      <c r="S9" s="31"/>
      <c r="T9" s="23">
        <v>2797375.4062128081</v>
      </c>
      <c r="U9" s="33">
        <v>245.82705882357376</v>
      </c>
      <c r="V9" s="5">
        <v>8</v>
      </c>
      <c r="W9" s="5">
        <v>54</v>
      </c>
      <c r="X9" s="33">
        <v>1370.3972079216085</v>
      </c>
      <c r="Y9" s="5">
        <v>54.420753558817822</v>
      </c>
      <c r="Z9" s="5">
        <v>6962.5668790530808</v>
      </c>
      <c r="AA9" s="35"/>
    </row>
    <row r="10" spans="2:27" x14ac:dyDescent="0.2">
      <c r="B10" s="4">
        <v>7</v>
      </c>
      <c r="C10" s="4">
        <v>221</v>
      </c>
      <c r="D10" s="23">
        <v>2234288.012717817</v>
      </c>
      <c r="E10" s="33">
        <v>533.40058823533855</v>
      </c>
      <c r="F10" s="5">
        <v>9</v>
      </c>
      <c r="G10" s="23">
        <v>75</v>
      </c>
      <c r="H10" s="33">
        <v>1308.772849288207</v>
      </c>
      <c r="I10" s="23">
        <v>53.185004776232503</v>
      </c>
      <c r="J10" s="5">
        <v>6466.5570093156803</v>
      </c>
      <c r="K10" s="31"/>
      <c r="L10" s="23">
        <v>2810147.5009326371</v>
      </c>
      <c r="M10" s="33">
        <v>767.72999999996773</v>
      </c>
      <c r="N10" s="5">
        <v>11</v>
      </c>
      <c r="O10" s="5">
        <v>46</v>
      </c>
      <c r="P10" s="33">
        <v>331.06828969215792</v>
      </c>
      <c r="Q10" s="5">
        <v>24.660378052978139</v>
      </c>
      <c r="R10" s="5">
        <v>4872.2958170690417</v>
      </c>
      <c r="S10" s="31"/>
      <c r="T10" s="23">
        <v>2848326.7200017832</v>
      </c>
      <c r="U10" s="33">
        <v>439.51294117648263</v>
      </c>
      <c r="V10" s="5">
        <v>5</v>
      </c>
      <c r="W10" s="5">
        <v>46</v>
      </c>
      <c r="X10" s="33">
        <v>730.14011588566461</v>
      </c>
      <c r="Y10" s="5">
        <v>80.484641866981462</v>
      </c>
      <c r="Z10" s="5">
        <v>6456.9587223195249</v>
      </c>
      <c r="AA10" s="35"/>
    </row>
    <row r="11" spans="2:27" x14ac:dyDescent="0.2">
      <c r="B11" s="4">
        <v>8</v>
      </c>
      <c r="C11" s="4">
        <v>965</v>
      </c>
      <c r="D11" s="23">
        <v>2454322.411820801</v>
      </c>
      <c r="E11" s="33">
        <v>438.15235294114035</v>
      </c>
      <c r="F11" s="5">
        <v>9</v>
      </c>
      <c r="G11" s="23">
        <v>84</v>
      </c>
      <c r="H11" s="33">
        <v>2464.4315901249988</v>
      </c>
      <c r="I11" s="23">
        <v>63.961957892485252</v>
      </c>
      <c r="J11" s="5">
        <v>8071.8982962508162</v>
      </c>
      <c r="K11" s="31"/>
      <c r="L11" s="23">
        <v>2868306.6663746359</v>
      </c>
      <c r="M11" s="33">
        <v>618.34529411759888</v>
      </c>
      <c r="N11" s="5">
        <v>8</v>
      </c>
      <c r="O11" s="5">
        <v>43</v>
      </c>
      <c r="P11" s="33">
        <v>343.23420404456829</v>
      </c>
      <c r="Q11" s="5">
        <v>30.817039254813203</v>
      </c>
      <c r="R11" s="5">
        <v>5070.1916310475171</v>
      </c>
      <c r="S11" s="31"/>
      <c r="T11" s="23">
        <v>3071859.7786275791</v>
      </c>
      <c r="U11" s="33">
        <v>939.85294117647061</v>
      </c>
      <c r="V11" s="5">
        <v>5</v>
      </c>
      <c r="W11" s="5">
        <v>37</v>
      </c>
      <c r="X11" s="33">
        <v>636.34008694136719</v>
      </c>
      <c r="Y11" s="5">
        <v>67.001086752558663</v>
      </c>
      <c r="Z11" s="5">
        <v>6207.0466124799868</v>
      </c>
      <c r="AA11" s="35"/>
    </row>
    <row r="12" spans="2:27" x14ac:dyDescent="0.2">
      <c r="B12" s="4">
        <v>9</v>
      </c>
      <c r="C12" s="4">
        <v>905</v>
      </c>
      <c r="D12" s="23">
        <v>2261519.1379426741</v>
      </c>
      <c r="E12" s="33">
        <v>346.50764705887173</v>
      </c>
      <c r="F12" s="5">
        <v>10</v>
      </c>
      <c r="G12" s="23">
        <v>77</v>
      </c>
      <c r="H12" s="33">
        <v>1504.3084881957504</v>
      </c>
      <c r="I12" s="23">
        <v>50.085530180636972</v>
      </c>
      <c r="J12" s="5">
        <v>6677.8816531504763</v>
      </c>
      <c r="K12" s="31"/>
      <c r="L12" s="23">
        <v>2887763.8854162698</v>
      </c>
      <c r="M12" s="33">
        <v>290.9282352941741</v>
      </c>
      <c r="N12" s="5">
        <v>9</v>
      </c>
      <c r="O12" s="5">
        <v>41.5</v>
      </c>
      <c r="P12" s="33">
        <v>145.83153807972926</v>
      </c>
      <c r="Q12" s="5">
        <v>26.156172777187454</v>
      </c>
      <c r="R12" s="5">
        <v>4687.6200993958591</v>
      </c>
      <c r="S12" s="31"/>
      <c r="T12" s="23">
        <v>2855178.9214485758</v>
      </c>
      <c r="U12" s="33">
        <v>209.9264705882353</v>
      </c>
      <c r="V12" s="5">
        <v>5</v>
      </c>
      <c r="W12" s="5">
        <v>47</v>
      </c>
      <c r="X12" s="33">
        <v>903.77606308908275</v>
      </c>
      <c r="Y12" s="5">
        <v>82.64213833986156</v>
      </c>
      <c r="Z12" s="5">
        <v>6659.8321887774691</v>
      </c>
      <c r="AA12" s="35"/>
    </row>
    <row r="13" spans="2:27" x14ac:dyDescent="0.2">
      <c r="B13" s="4">
        <v>10</v>
      </c>
      <c r="C13" s="4">
        <v>952</v>
      </c>
      <c r="D13" s="23">
        <v>2511918.179790644</v>
      </c>
      <c r="E13" s="33">
        <v>331.16705882349328</v>
      </c>
      <c r="F13" s="5">
        <v>8</v>
      </c>
      <c r="G13" s="23">
        <v>59</v>
      </c>
      <c r="H13" s="33">
        <v>663.2975587945208</v>
      </c>
      <c r="I13" s="23">
        <v>41.00602784249935</v>
      </c>
      <c r="J13" s="5">
        <v>5834.0127345761675</v>
      </c>
      <c r="K13" s="31"/>
      <c r="L13" s="23">
        <v>3061183.11687952</v>
      </c>
      <c r="M13" s="33">
        <v>396.9947058823206</v>
      </c>
      <c r="N13" s="5">
        <v>8</v>
      </c>
      <c r="O13" s="5">
        <v>38.5</v>
      </c>
      <c r="P13" s="33">
        <v>661.08768747219301</v>
      </c>
      <c r="Q13" s="5">
        <v>31.078532278735036</v>
      </c>
      <c r="R13" s="5">
        <v>5487.137845800693</v>
      </c>
      <c r="S13" s="31"/>
      <c r="T13" s="23">
        <v>3104443.345598619</v>
      </c>
      <c r="U13" s="33">
        <v>677.38058823530594</v>
      </c>
      <c r="V13" s="5">
        <v>10</v>
      </c>
      <c r="W13" s="5">
        <v>44</v>
      </c>
      <c r="X13" s="33">
        <v>1890.0125171336674</v>
      </c>
      <c r="Y13" s="5">
        <v>59.315743109263053</v>
      </c>
      <c r="Z13" s="5">
        <v>7104.5326809321996</v>
      </c>
      <c r="AA13" s="35"/>
    </row>
    <row r="14" spans="2:27" x14ac:dyDescent="0.2">
      <c r="B14" s="46" t="s">
        <v>3</v>
      </c>
      <c r="C14" s="47"/>
      <c r="D14" s="9">
        <f>MIN(D4:D13)</f>
        <v>2234288.012717817</v>
      </c>
      <c r="E14" s="22">
        <f>INDEX(E4:E13, MATCH($D$14, D4:D13, 0))</f>
        <v>533.40058823533855</v>
      </c>
      <c r="F14" s="9">
        <f>INDEX(F4:F13, MATCH($D$14, D4:D13, 0))</f>
        <v>9</v>
      </c>
      <c r="G14" s="9">
        <f>INDEX(G4:G13, MATCH($D$14, D4:D13, 0))</f>
        <v>75</v>
      </c>
      <c r="H14" s="22">
        <f>INDEX(H4:H13, MATCH($D$14, D4:D13, 0))</f>
        <v>1308.772849288207</v>
      </c>
      <c r="I14" s="22">
        <f>INDEX(I4:I13, MATCH($D$14, D4:D13, 0))</f>
        <v>53.185004776232503</v>
      </c>
      <c r="J14" s="22">
        <f>INDEX(J4:J13, MATCH($D$14, D4:D13, 0))</f>
        <v>6466.5570093156803</v>
      </c>
      <c r="K14" s="32" t="e">
        <f>(D14-$D$15)/$D$15</f>
        <v>#DIV/0!</v>
      </c>
      <c r="L14" s="16">
        <f>MIN(L4:L13)</f>
        <v>2689242.3421750218</v>
      </c>
      <c r="M14" s="21">
        <f>INDEX(M4:M13, MATCH($L$14, L4:L13, 0))</f>
        <v>1561.5717647058941</v>
      </c>
      <c r="N14" s="16">
        <f>INDEX(N4:N13, MATCH($L$14, L4:L13, 0))</f>
        <v>12</v>
      </c>
      <c r="O14" s="16">
        <f>INDEX(O4:O13, MATCH($L$14, L4:L13, 0))</f>
        <v>54</v>
      </c>
      <c r="P14" s="21">
        <f>INDEX(P4:P13, MATCH($L$14, L4:L13, 0))</f>
        <v>760.98951659255567</v>
      </c>
      <c r="Q14" s="21">
        <f>INDEX(Q4:Q13, MATCH($L$14, L4:L13, 0))</f>
        <v>26.264102858575381</v>
      </c>
      <c r="R14" s="21">
        <f>INDEX(R4:R13, MATCH($L$14, L4:L13, 0))</f>
        <v>5402.811197869969</v>
      </c>
      <c r="S14" s="36" t="e">
        <f>(L14-$D$15)/$D$15</f>
        <v>#DIV/0!</v>
      </c>
      <c r="T14" s="38">
        <f>MIN(T4:T13)</f>
        <v>2773652.6824823581</v>
      </c>
      <c r="U14" s="39">
        <f>INDEX(U4:U13, MATCH($T$14, T4:T13, 0))</f>
        <v>364.5123529411606</v>
      </c>
      <c r="V14" s="38">
        <f>INDEX(V4:V13, MATCH($T$14, T4:T13, 0))</f>
        <v>6</v>
      </c>
      <c r="W14" s="38">
        <f>INDEX(W4:W13, MATCH($T$14, T4:T13, 0))</f>
        <v>52.5</v>
      </c>
      <c r="X14" s="39">
        <f>INDEX(X4:X13, MATCH($T$14, T4:T13, 0))</f>
        <v>1214.1427939519565</v>
      </c>
      <c r="Y14" s="39">
        <f>INDEX(Y4:Y13, MATCH($T$14, T4:T13, 0))</f>
        <v>71.558528422855503</v>
      </c>
      <c r="Z14" s="39">
        <f>INDEX(Z4:Z13, MATCH($T$14, T4:T13, 0))</f>
        <v>6885.7311108992999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7:C3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1867-1D2E-4D1F-A504-C5ED809C6E88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-0.98528583140806802</v>
      </c>
      <c r="J2" s="28" t="e">
        <f>(S14-J14)/J14</f>
        <v>#DIV/0!</v>
      </c>
      <c r="K2" s="28"/>
      <c r="L2" s="1" t="s">
        <v>19</v>
      </c>
      <c r="P2" s="1">
        <f>(P14-H14)/H14</f>
        <v>-0.64644832128453045</v>
      </c>
      <c r="R2" s="1">
        <f>(R14-J14)/J14</f>
        <v>-0.22539251044765443</v>
      </c>
      <c r="T2" s="1" t="s">
        <v>20</v>
      </c>
      <c r="X2" s="1">
        <f>(X14-P14)/P14</f>
        <v>1.0452636328474572</v>
      </c>
      <c r="Z2" s="1">
        <f>(Z14-R14)/R14</f>
        <v>0.1999060312983503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311</v>
      </c>
      <c r="D4" s="23">
        <v>2753923.6771090748</v>
      </c>
      <c r="E4" s="33">
        <v>334.65058823533849</v>
      </c>
      <c r="F4" s="5">
        <v>5</v>
      </c>
      <c r="G4" s="23">
        <v>53.5</v>
      </c>
      <c r="H4" s="33">
        <v>1228.0191199428284</v>
      </c>
      <c r="I4" s="23">
        <v>67.825240729267833</v>
      </c>
      <c r="J4" s="5">
        <v>6907.6159373402797</v>
      </c>
      <c r="K4" s="31"/>
      <c r="L4" s="23">
        <v>3166961.6265706229</v>
      </c>
      <c r="M4" s="33">
        <v>829.54058823525008</v>
      </c>
      <c r="N4" s="5">
        <v>8</v>
      </c>
      <c r="O4" s="5">
        <v>35</v>
      </c>
      <c r="P4" s="33">
        <v>797.11802776668674</v>
      </c>
      <c r="Q4" s="5">
        <v>25.529765406223571</v>
      </c>
      <c r="R4" s="5">
        <v>5753.4565721144691</v>
      </c>
      <c r="S4" s="31"/>
      <c r="T4" s="23">
        <v>3439838.6081483061</v>
      </c>
      <c r="U4" s="33">
        <v>250.70764705881149</v>
      </c>
      <c r="V4" s="5">
        <v>18</v>
      </c>
      <c r="W4" s="5">
        <v>52.5</v>
      </c>
      <c r="X4" s="33">
        <v>3692.0392266685385</v>
      </c>
      <c r="Y4" s="5">
        <v>28.940308210376209</v>
      </c>
      <c r="Z4" s="5">
        <v>9308.5979258534644</v>
      </c>
      <c r="AA4" s="35"/>
    </row>
    <row r="5" spans="2:27" x14ac:dyDescent="0.2">
      <c r="B5" s="4">
        <v>2</v>
      </c>
      <c r="C5" s="4">
        <v>678</v>
      </c>
      <c r="D5" s="23">
        <v>3065439.9012932731</v>
      </c>
      <c r="E5" s="33">
        <v>644.71470588236116</v>
      </c>
      <c r="F5" s="5">
        <v>11</v>
      </c>
      <c r="G5" s="23">
        <v>58.5</v>
      </c>
      <c r="H5" s="33">
        <v>2846.7528649766218</v>
      </c>
      <c r="I5" s="23">
        <v>36.667159599516211</v>
      </c>
      <c r="J5" s="5">
        <v>8520.5586051691371</v>
      </c>
      <c r="K5" s="31"/>
      <c r="L5" s="23">
        <v>3283992.4705266468</v>
      </c>
      <c r="M5" s="33">
        <v>784.52235294115644</v>
      </c>
      <c r="N5" s="5">
        <v>6</v>
      </c>
      <c r="O5" s="5">
        <v>28.5</v>
      </c>
      <c r="P5" s="33">
        <v>458.74346592635311</v>
      </c>
      <c r="Q5" s="5">
        <v>30.918317727143961</v>
      </c>
      <c r="R5" s="5">
        <v>5387.7846511070329</v>
      </c>
      <c r="S5" s="31"/>
      <c r="T5" s="23">
        <v>3118346.2799995001</v>
      </c>
      <c r="U5" s="33">
        <v>283.04235294118854</v>
      </c>
      <c r="V5" s="5">
        <v>6</v>
      </c>
      <c r="W5" s="5">
        <v>41.5</v>
      </c>
      <c r="X5" s="33">
        <v>1646.3601380977982</v>
      </c>
      <c r="Y5" s="5">
        <v>57.725254931228186</v>
      </c>
      <c r="Z5" s="5">
        <v>7318.1956898839207</v>
      </c>
      <c r="AA5" s="35"/>
    </row>
    <row r="6" spans="2:27" x14ac:dyDescent="0.2">
      <c r="B6" s="4">
        <v>3</v>
      </c>
      <c r="C6" s="4">
        <v>754</v>
      </c>
      <c r="D6" s="23">
        <v>2736999.5974916001</v>
      </c>
      <c r="E6" s="33">
        <v>289.81588235296147</v>
      </c>
      <c r="F6" s="5">
        <v>7</v>
      </c>
      <c r="G6" s="23">
        <v>59</v>
      </c>
      <c r="H6" s="33">
        <v>1615.3003329567587</v>
      </c>
      <c r="I6" s="23">
        <v>50.702705088434733</v>
      </c>
      <c r="J6" s="5">
        <v>7295.5379069423725</v>
      </c>
      <c r="K6" s="31"/>
      <c r="L6" s="23">
        <v>3284428.939673055</v>
      </c>
      <c r="M6" s="33">
        <v>722.58294117643834</v>
      </c>
      <c r="N6" s="5">
        <v>8</v>
      </c>
      <c r="O6" s="5">
        <v>29.5</v>
      </c>
      <c r="P6" s="33">
        <v>598.63210408120278</v>
      </c>
      <c r="Q6" s="5">
        <v>24.364763082458808</v>
      </c>
      <c r="R6" s="5">
        <v>5148.3008032071621</v>
      </c>
      <c r="S6" s="31"/>
      <c r="T6" s="23">
        <v>3150624.873385631</v>
      </c>
      <c r="U6" s="33">
        <v>395.7447058823206</v>
      </c>
      <c r="V6" s="5">
        <v>7</v>
      </c>
      <c r="W6" s="5">
        <v>40</v>
      </c>
      <c r="X6" s="33">
        <v>1624.6066858197187</v>
      </c>
      <c r="Y6" s="5">
        <v>55.293455687909095</v>
      </c>
      <c r="Z6" s="5">
        <v>7257.6119247980223</v>
      </c>
      <c r="AA6" s="35"/>
    </row>
    <row r="7" spans="2:27" x14ac:dyDescent="0.2">
      <c r="B7" s="4">
        <v>4</v>
      </c>
      <c r="C7" s="4">
        <v>675</v>
      </c>
      <c r="D7" s="23">
        <v>2839760.054418717</v>
      </c>
      <c r="E7" s="33">
        <v>255.14705882352942</v>
      </c>
      <c r="F7" s="5">
        <v>10</v>
      </c>
      <c r="G7" s="23">
        <v>58</v>
      </c>
      <c r="H7" s="33">
        <v>1724.4671528077961</v>
      </c>
      <c r="I7" s="23">
        <v>35.706833641382836</v>
      </c>
      <c r="J7" s="5">
        <v>7401.5835751945442</v>
      </c>
      <c r="K7" s="31"/>
      <c r="L7" s="23">
        <v>3518407.4720269879</v>
      </c>
      <c r="M7" s="33">
        <v>444.85294117647061</v>
      </c>
      <c r="N7" s="5">
        <v>7</v>
      </c>
      <c r="O7" s="5">
        <v>23</v>
      </c>
      <c r="P7" s="33">
        <v>1116.8403105828841</v>
      </c>
      <c r="Q7" s="5">
        <v>22.105157301129363</v>
      </c>
      <c r="R7" s="5">
        <v>6193.1132072860682</v>
      </c>
      <c r="S7" s="31"/>
      <c r="T7" s="23">
        <v>3083326.8044472071</v>
      </c>
      <c r="U7" s="33">
        <v>558.74058823525797</v>
      </c>
      <c r="V7" s="5">
        <v>5</v>
      </c>
      <c r="W7" s="5">
        <v>41</v>
      </c>
      <c r="X7" s="33">
        <v>1387.5942199160947</v>
      </c>
      <c r="Y7" s="5">
        <v>69.249748021055851</v>
      </c>
      <c r="Z7" s="5">
        <v>7087.7199891111986</v>
      </c>
      <c r="AA7" s="35"/>
    </row>
    <row r="8" spans="2:27" x14ac:dyDescent="0.2">
      <c r="B8" s="4">
        <v>5</v>
      </c>
      <c r="C8" s="4">
        <v>142</v>
      </c>
      <c r="D8" s="23">
        <v>2799994.0357836029</v>
      </c>
      <c r="E8" s="33">
        <v>274.54058823531824</v>
      </c>
      <c r="F8" s="5">
        <v>5</v>
      </c>
      <c r="G8" s="23">
        <v>52</v>
      </c>
      <c r="H8" s="33">
        <v>1308.9063421364103</v>
      </c>
      <c r="I8" s="23">
        <v>67.969104778673596</v>
      </c>
      <c r="J8" s="5">
        <v>6999.2663986331945</v>
      </c>
      <c r="K8" s="31"/>
      <c r="L8" s="23">
        <v>3315146.0076807691</v>
      </c>
      <c r="M8" s="33">
        <v>269.36588235295324</v>
      </c>
      <c r="N8" s="5">
        <v>5</v>
      </c>
      <c r="O8" s="5">
        <v>26</v>
      </c>
      <c r="P8" s="33">
        <v>223.6191638350094</v>
      </c>
      <c r="Q8" s="5">
        <v>32.535741471389066</v>
      </c>
      <c r="R8" s="5">
        <v>5077.6960082847263</v>
      </c>
      <c r="S8" s="31"/>
      <c r="T8" s="23">
        <v>3251127.1858642939</v>
      </c>
      <c r="U8" s="33">
        <v>331.02058823528591</v>
      </c>
      <c r="V8" s="5">
        <v>5</v>
      </c>
      <c r="W8" s="5">
        <v>33.5</v>
      </c>
      <c r="X8" s="33">
        <v>1339.6211734814838</v>
      </c>
      <c r="Y8" s="5">
        <v>60.477351195321106</v>
      </c>
      <c r="Z8" s="5">
        <v>7032.6799400939271</v>
      </c>
      <c r="AA8" s="35"/>
    </row>
    <row r="9" spans="2:27" x14ac:dyDescent="0.2">
      <c r="B9" s="4">
        <v>6</v>
      </c>
      <c r="C9" s="4">
        <v>90</v>
      </c>
      <c r="D9" s="23">
        <v>2756474.9644126678</v>
      </c>
      <c r="E9" s="33">
        <v>440.19294117645853</v>
      </c>
      <c r="F9" s="5">
        <v>6</v>
      </c>
      <c r="G9" s="23">
        <v>55</v>
      </c>
      <c r="H9" s="33">
        <v>1386.7958858508418</v>
      </c>
      <c r="I9" s="23">
        <v>53.710222450881055</v>
      </c>
      <c r="J9" s="5">
        <v>7059.3682272532596</v>
      </c>
      <c r="K9" s="31"/>
      <c r="L9" s="23">
        <v>3313060.7588251992</v>
      </c>
      <c r="M9" s="33">
        <v>907.81235294122064</v>
      </c>
      <c r="N9" s="5">
        <v>8</v>
      </c>
      <c r="O9" s="5">
        <v>30.5</v>
      </c>
      <c r="P9" s="33">
        <v>749.08024696285406</v>
      </c>
      <c r="Q9" s="5">
        <v>24.726165747155068</v>
      </c>
      <c r="R9" s="5">
        <v>5822.1504051449438</v>
      </c>
      <c r="S9" s="31"/>
      <c r="T9" s="23">
        <v>3067190.4150965628</v>
      </c>
      <c r="U9" s="33">
        <v>638.29941176467003</v>
      </c>
      <c r="V9" s="5">
        <v>5</v>
      </c>
      <c r="W9" s="5">
        <v>40</v>
      </c>
      <c r="X9" s="33">
        <v>1133.0322346591361</v>
      </c>
      <c r="Y9" s="5">
        <v>67.442685106055279</v>
      </c>
      <c r="Z9" s="5">
        <v>6835.0377643911906</v>
      </c>
      <c r="AA9" s="35"/>
    </row>
    <row r="10" spans="2:27" x14ac:dyDescent="0.2">
      <c r="B10" s="4">
        <v>7</v>
      </c>
      <c r="C10" s="4">
        <v>993</v>
      </c>
      <c r="D10" s="23">
        <v>2740403.5690335808</v>
      </c>
      <c r="E10" s="33">
        <v>1020.7170588235535</v>
      </c>
      <c r="F10" s="5">
        <v>9</v>
      </c>
      <c r="G10" s="23">
        <v>61</v>
      </c>
      <c r="H10" s="33">
        <v>1899.8185617978179</v>
      </c>
      <c r="I10" s="23">
        <v>41.322510720720338</v>
      </c>
      <c r="J10" s="5">
        <v>7349.3398564424506</v>
      </c>
      <c r="K10" s="31"/>
      <c r="L10" s="23">
        <v>3560599.40631851</v>
      </c>
      <c r="M10" s="33">
        <v>1178.5752941176354</v>
      </c>
      <c r="N10" s="5">
        <v>30</v>
      </c>
      <c r="O10" s="5">
        <v>60.5</v>
      </c>
      <c r="P10" s="33">
        <v>3789.3395037957125</v>
      </c>
      <c r="Q10" s="5">
        <v>14.079327755291901</v>
      </c>
      <c r="R10" s="5">
        <v>9031.5439436060296</v>
      </c>
      <c r="S10" s="31"/>
      <c r="T10" s="23">
        <v>3112487.5318330359</v>
      </c>
      <c r="U10" s="33">
        <v>340.7447058823206</v>
      </c>
      <c r="V10" s="5">
        <v>5</v>
      </c>
      <c r="W10" s="5">
        <v>39.5</v>
      </c>
      <c r="X10" s="33">
        <v>1416.794727505353</v>
      </c>
      <c r="Y10" s="5">
        <v>67.712041814090625</v>
      </c>
      <c r="Z10" s="5">
        <v>7131.673751933944</v>
      </c>
      <c r="AA10" s="35"/>
    </row>
    <row r="11" spans="2:27" x14ac:dyDescent="0.2">
      <c r="B11" s="4">
        <v>8</v>
      </c>
      <c r="C11" s="4">
        <v>846</v>
      </c>
      <c r="D11" s="23">
        <v>2727534.3390035802</v>
      </c>
      <c r="E11" s="33">
        <v>452.72058823529414</v>
      </c>
      <c r="F11" s="5">
        <v>9</v>
      </c>
      <c r="G11" s="23">
        <v>63</v>
      </c>
      <c r="H11" s="33">
        <v>1914.1622181945195</v>
      </c>
      <c r="I11" s="23">
        <v>47.019901495864971</v>
      </c>
      <c r="J11" s="5">
        <v>7599.1141521615382</v>
      </c>
      <c r="K11" s="31"/>
      <c r="L11" s="23">
        <v>3105860.8342154999</v>
      </c>
      <c r="M11" s="33">
        <v>1330.8641176470148</v>
      </c>
      <c r="N11" s="5">
        <v>8</v>
      </c>
      <c r="O11" s="5">
        <v>37.5</v>
      </c>
      <c r="P11" s="33">
        <v>676.75526557639944</v>
      </c>
      <c r="Q11" s="5">
        <v>28.165305590820783</v>
      </c>
      <c r="R11" s="5">
        <v>5886.33073622755</v>
      </c>
      <c r="S11" s="31"/>
      <c r="T11" s="23">
        <v>3143378.6393870208</v>
      </c>
      <c r="U11" s="33">
        <v>565.39529411765909</v>
      </c>
      <c r="V11" s="5">
        <v>5</v>
      </c>
      <c r="W11" s="5">
        <v>38</v>
      </c>
      <c r="X11" s="33">
        <v>1309.8140545328656</v>
      </c>
      <c r="Y11" s="5">
        <v>66.344334414526045</v>
      </c>
      <c r="Z11" s="5">
        <v>7186.1395337342001</v>
      </c>
      <c r="AA11" s="35"/>
    </row>
    <row r="12" spans="2:27" x14ac:dyDescent="0.2">
      <c r="B12" s="4">
        <v>9</v>
      </c>
      <c r="C12" s="4">
        <v>583</v>
      </c>
      <c r="D12" s="23">
        <v>2870977.6070808331</v>
      </c>
      <c r="E12" s="33">
        <v>372.79411764705884</v>
      </c>
      <c r="F12" s="5">
        <v>5</v>
      </c>
      <c r="G12" s="23">
        <v>55.5</v>
      </c>
      <c r="H12" s="33">
        <v>1998.0480056947672</v>
      </c>
      <c r="I12" s="23">
        <v>68.983165138980524</v>
      </c>
      <c r="J12" s="5">
        <v>7759.7957534425113</v>
      </c>
      <c r="K12" s="31"/>
      <c r="L12" s="23">
        <v>3362301.8921411321</v>
      </c>
      <c r="M12" s="33">
        <v>660.17470588236472</v>
      </c>
      <c r="N12" s="5">
        <v>5</v>
      </c>
      <c r="O12" s="5">
        <v>23.5</v>
      </c>
      <c r="P12" s="33">
        <v>94.790375096816675</v>
      </c>
      <c r="Q12" s="5">
        <v>30.096811831066738</v>
      </c>
      <c r="R12" s="5">
        <v>4713.1527430239585</v>
      </c>
      <c r="S12" s="31"/>
      <c r="T12" s="23">
        <v>3056428.512021048</v>
      </c>
      <c r="U12" s="33">
        <v>438.575294117635</v>
      </c>
      <c r="V12" s="5">
        <v>7</v>
      </c>
      <c r="W12" s="5">
        <v>43</v>
      </c>
      <c r="X12" s="33">
        <v>1384.1429330214323</v>
      </c>
      <c r="Y12" s="5">
        <v>52.852133981480065</v>
      </c>
      <c r="Z12" s="5">
        <v>7063.0437526162959</v>
      </c>
      <c r="AA12" s="35"/>
    </row>
    <row r="13" spans="2:27" x14ac:dyDescent="0.2">
      <c r="B13" s="4">
        <v>10</v>
      </c>
      <c r="C13" s="4">
        <v>908</v>
      </c>
      <c r="D13" s="23">
        <v>2758030.4529494322</v>
      </c>
      <c r="E13" s="33">
        <v>384.77000000003233</v>
      </c>
      <c r="F13" s="5">
        <v>5</v>
      </c>
      <c r="G13" s="23">
        <v>54</v>
      </c>
      <c r="H13" s="33">
        <v>1240.5586482140484</v>
      </c>
      <c r="I13" s="23">
        <v>68.243415866975141</v>
      </c>
      <c r="J13" s="5">
        <v>6965.5338466721705</v>
      </c>
      <c r="K13" s="31"/>
      <c r="L13" s="23">
        <v>3130650.1029281882</v>
      </c>
      <c r="M13" s="33">
        <v>482.9317647059147</v>
      </c>
      <c r="N13" s="5">
        <v>9</v>
      </c>
      <c r="O13" s="5">
        <v>36.5</v>
      </c>
      <c r="P13" s="33">
        <v>689.60836257632195</v>
      </c>
      <c r="Q13" s="5">
        <v>26.338826920685946</v>
      </c>
      <c r="R13" s="5">
        <v>5570.4747077345228</v>
      </c>
      <c r="S13" s="31"/>
      <c r="T13" s="23">
        <v>3195860.339071183</v>
      </c>
      <c r="U13" s="33">
        <v>552.41764705881531</v>
      </c>
      <c r="V13" s="5">
        <v>5</v>
      </c>
      <c r="W13" s="5">
        <v>36</v>
      </c>
      <c r="X13" s="33">
        <v>1331.5350474817049</v>
      </c>
      <c r="Y13" s="5">
        <v>57.844216106641646</v>
      </c>
      <c r="Z13" s="5">
        <v>7129.277378038938</v>
      </c>
      <c r="AA13" s="35"/>
    </row>
    <row r="14" spans="2:27" x14ac:dyDescent="0.2">
      <c r="B14" s="46" t="s">
        <v>3</v>
      </c>
      <c r="C14" s="47"/>
      <c r="D14" s="9">
        <f>MIN(D4:D13)</f>
        <v>2727534.3390035802</v>
      </c>
      <c r="E14" s="22">
        <f>INDEX(E4:E13, MATCH($D$14, D4:D13, 0))</f>
        <v>452.72058823529414</v>
      </c>
      <c r="F14" s="9">
        <f>INDEX(F4:F13, MATCH($D$14, D4:D13, 0))</f>
        <v>9</v>
      </c>
      <c r="G14" s="9">
        <f>INDEX(G4:G13, MATCH($D$14, D4:D13, 0))</f>
        <v>63</v>
      </c>
      <c r="H14" s="22">
        <f>INDEX(H4:H13, MATCH($D$14, D4:D13, 0))</f>
        <v>1914.1622181945195</v>
      </c>
      <c r="I14" s="22">
        <f>INDEX(I4:I13, MATCH($D$14, D4:D13, 0))</f>
        <v>47.019901495864971</v>
      </c>
      <c r="J14" s="22">
        <f>INDEX(J4:J13, MATCH($D$14, D4:D13, 0))</f>
        <v>7599.1141521615382</v>
      </c>
      <c r="K14" s="32" t="e">
        <f>(D14-$D$15)/$D$15</f>
        <v>#DIV/0!</v>
      </c>
      <c r="L14" s="16">
        <f>MIN(L4:L13)</f>
        <v>3105860.8342154999</v>
      </c>
      <c r="M14" s="21">
        <f>INDEX(M4:M13, MATCH($L$14, L4:L13, 0))</f>
        <v>1330.8641176470148</v>
      </c>
      <c r="N14" s="16">
        <f>INDEX(N4:N13, MATCH($L$14, L4:L13, 0))</f>
        <v>8</v>
      </c>
      <c r="O14" s="16">
        <f>INDEX(O4:O13, MATCH($L$14, L4:L13, 0))</f>
        <v>37.5</v>
      </c>
      <c r="P14" s="21">
        <f>INDEX(P4:P13, MATCH($L$14, L4:L13, 0))</f>
        <v>676.75526557639944</v>
      </c>
      <c r="Q14" s="21">
        <f>INDEX(Q4:Q13, MATCH($L$14, L4:L13, 0))</f>
        <v>28.165305590820783</v>
      </c>
      <c r="R14" s="21">
        <f>INDEX(R4:R13, MATCH($L$14, L4:L13, 0))</f>
        <v>5886.33073622755</v>
      </c>
      <c r="S14" s="36" t="e">
        <f>(L14-$D$15)/$D$15</f>
        <v>#DIV/0!</v>
      </c>
      <c r="T14" s="38">
        <f>MIN(T4:T13)</f>
        <v>3056428.512021048</v>
      </c>
      <c r="U14" s="39">
        <f>INDEX(U4:U13, MATCH($T$14, T4:T13, 0))</f>
        <v>438.575294117635</v>
      </c>
      <c r="V14" s="38">
        <f>INDEX(V4:V13, MATCH($T$14, T4:T13, 0))</f>
        <v>7</v>
      </c>
      <c r="W14" s="38">
        <f>INDEX(W4:W13, MATCH($T$14, T4:T13, 0))</f>
        <v>43</v>
      </c>
      <c r="X14" s="39">
        <f>INDEX(X4:X13, MATCH($T$14, T4:T13, 0))</f>
        <v>1384.1429330214323</v>
      </c>
      <c r="Y14" s="39">
        <f>INDEX(Y4:Y13, MATCH($T$14, T4:T13, 0))</f>
        <v>52.852133981480065</v>
      </c>
      <c r="Z14" s="39">
        <f>INDEX(Z4:Z13, MATCH($T$14, T4:T13, 0))</f>
        <v>7063.0437526162959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17:C3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231D-DF1E-4335-9A78-1522EE1F9C7C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-0.98306117827476092</v>
      </c>
      <c r="J2" s="28" t="e">
        <f>(S14-J14)/J14</f>
        <v>#DIV/0!</v>
      </c>
      <c r="K2" s="28"/>
      <c r="L2" s="1" t="s">
        <v>19</v>
      </c>
      <c r="P2" s="1">
        <f>(P14-H14)/H14</f>
        <v>3.4035438671937229E-2</v>
      </c>
      <c r="R2" s="1">
        <f>(R14-J14)/J14</f>
        <v>-6.6312277701551681E-2</v>
      </c>
      <c r="T2" s="1" t="s">
        <v>20</v>
      </c>
      <c r="X2" s="1">
        <f>(X14-P14)/P14</f>
        <v>-0.36540240595486762</v>
      </c>
      <c r="Z2" s="1">
        <f>(Z14-R14)/R14</f>
        <v>2.000396333831363E-2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935</v>
      </c>
      <c r="D4" s="23">
        <v>2772944.0320962761</v>
      </c>
      <c r="E4" s="33">
        <v>337.80294117647884</v>
      </c>
      <c r="F4" s="5">
        <v>5</v>
      </c>
      <c r="G4" s="23">
        <v>51</v>
      </c>
      <c r="H4" s="33">
        <v>978.59632959613384</v>
      </c>
      <c r="I4" s="23">
        <v>69.030206544645495</v>
      </c>
      <c r="J4" s="5">
        <v>6704.6031957303112</v>
      </c>
      <c r="K4" s="31"/>
      <c r="L4" s="23">
        <v>3104845.7185017061</v>
      </c>
      <c r="M4" s="33">
        <v>324.99117647058</v>
      </c>
      <c r="N4" s="5">
        <v>14</v>
      </c>
      <c r="O4" s="5">
        <v>45.5</v>
      </c>
      <c r="P4" s="33">
        <v>1498.8412056512464</v>
      </c>
      <c r="Q4" s="5">
        <v>24.552934094383382</v>
      </c>
      <c r="R4" s="5">
        <v>6582.1776293785115</v>
      </c>
      <c r="S4" s="31"/>
      <c r="T4" s="23">
        <v>3317748.600348027</v>
      </c>
      <c r="U4" s="33">
        <v>274.41176470588238</v>
      </c>
      <c r="V4" s="5">
        <v>5</v>
      </c>
      <c r="W4" s="5">
        <v>30.5</v>
      </c>
      <c r="X4" s="33">
        <v>1355.3070007170863</v>
      </c>
      <c r="Y4" s="5">
        <v>68.110714557945215</v>
      </c>
      <c r="Z4" s="5">
        <v>7079.0674093598882</v>
      </c>
      <c r="AA4" s="35"/>
    </row>
    <row r="5" spans="2:27" x14ac:dyDescent="0.2">
      <c r="B5" s="4">
        <v>2</v>
      </c>
      <c r="C5" s="4">
        <v>67</v>
      </c>
      <c r="D5" s="23">
        <v>2858943.6916404208</v>
      </c>
      <c r="E5" s="33">
        <v>369.22764705877535</v>
      </c>
      <c r="F5" s="5">
        <v>5</v>
      </c>
      <c r="G5" s="23">
        <v>48</v>
      </c>
      <c r="H5" s="33">
        <v>1097.6223801010008</v>
      </c>
      <c r="I5" s="23">
        <v>70.063625357395125</v>
      </c>
      <c r="J5" s="5">
        <v>6833.1325858078771</v>
      </c>
      <c r="K5" s="31"/>
      <c r="L5" s="23">
        <v>3230909.0453259079</v>
      </c>
      <c r="M5" s="33">
        <v>900.26705882354531</v>
      </c>
      <c r="N5" s="5">
        <v>6</v>
      </c>
      <c r="O5" s="5">
        <v>29</v>
      </c>
      <c r="P5" s="33">
        <v>208.20284541014246</v>
      </c>
      <c r="Q5" s="5">
        <v>32.038833967426875</v>
      </c>
      <c r="R5" s="5">
        <v>5089.5032052215738</v>
      </c>
      <c r="S5" s="31"/>
      <c r="T5" s="23">
        <v>3170234.2040394442</v>
      </c>
      <c r="U5" s="33">
        <v>406.06647058821505</v>
      </c>
      <c r="V5" s="5">
        <v>5</v>
      </c>
      <c r="W5" s="5">
        <v>35.5</v>
      </c>
      <c r="X5" s="33">
        <v>1005.1184780296102</v>
      </c>
      <c r="Y5" s="5">
        <v>66.011935894714796</v>
      </c>
      <c r="Z5" s="5">
        <v>6805.6999417514744</v>
      </c>
      <c r="AA5" s="35"/>
    </row>
    <row r="6" spans="2:27" x14ac:dyDescent="0.2">
      <c r="B6" s="4">
        <v>3</v>
      </c>
      <c r="C6" s="4">
        <v>215</v>
      </c>
      <c r="D6" s="23">
        <v>2954395.6693345532</v>
      </c>
      <c r="E6" s="33">
        <v>970.77176470590234</v>
      </c>
      <c r="F6" s="5">
        <v>5</v>
      </c>
      <c r="G6" s="23">
        <v>44.5</v>
      </c>
      <c r="H6" s="33">
        <v>1147.0308525126368</v>
      </c>
      <c r="I6" s="23">
        <v>60.619969513589979</v>
      </c>
      <c r="J6" s="5">
        <v>6821.6046862702879</v>
      </c>
      <c r="K6" s="31"/>
      <c r="L6" s="23">
        <v>3173312.3531216448</v>
      </c>
      <c r="M6" s="33">
        <v>611.58058823531417</v>
      </c>
      <c r="N6" s="5">
        <v>9</v>
      </c>
      <c r="O6" s="5">
        <v>37</v>
      </c>
      <c r="P6" s="33">
        <v>997.4769710481404</v>
      </c>
      <c r="Q6" s="5">
        <v>26.492105612838298</v>
      </c>
      <c r="R6" s="5">
        <v>6163.4926147762344</v>
      </c>
      <c r="S6" s="31"/>
      <c r="T6" s="23">
        <v>3146850.5491068838</v>
      </c>
      <c r="U6" s="33">
        <v>425.98352941177677</v>
      </c>
      <c r="V6" s="5">
        <v>6</v>
      </c>
      <c r="W6" s="5">
        <v>36.5</v>
      </c>
      <c r="X6" s="33">
        <v>1004.7106654840532</v>
      </c>
      <c r="Y6" s="5">
        <v>57.479250725361396</v>
      </c>
      <c r="Z6" s="5">
        <v>6719.5181828736695</v>
      </c>
      <c r="AA6" s="35"/>
    </row>
    <row r="7" spans="2:27" x14ac:dyDescent="0.2">
      <c r="B7" s="4">
        <v>4</v>
      </c>
      <c r="C7" s="4">
        <v>96</v>
      </c>
      <c r="D7" s="23">
        <v>2796855.2700626701</v>
      </c>
      <c r="E7" s="33">
        <v>257.31588235296147</v>
      </c>
      <c r="F7" s="5">
        <v>5</v>
      </c>
      <c r="G7" s="23">
        <v>50.5</v>
      </c>
      <c r="H7" s="33">
        <v>1011.1351056348246</v>
      </c>
      <c r="I7" s="23">
        <v>67.828474260877897</v>
      </c>
      <c r="J7" s="5">
        <v>6759.1144384347781</v>
      </c>
      <c r="K7" s="31"/>
      <c r="L7" s="23">
        <v>3294169.652119583</v>
      </c>
      <c r="M7" s="33">
        <v>707.49117647058006</v>
      </c>
      <c r="N7" s="5">
        <v>7</v>
      </c>
      <c r="O7" s="5">
        <v>29</v>
      </c>
      <c r="P7" s="33">
        <v>527.99643201642016</v>
      </c>
      <c r="Q7" s="5">
        <v>30.696529037725639</v>
      </c>
      <c r="R7" s="5">
        <v>5457.6625392361821</v>
      </c>
      <c r="S7" s="31"/>
      <c r="T7" s="23">
        <v>3108506.7684734082</v>
      </c>
      <c r="U7" s="33">
        <v>498.44647058819913</v>
      </c>
      <c r="V7" s="5">
        <v>5</v>
      </c>
      <c r="W7" s="5">
        <v>37.5</v>
      </c>
      <c r="X7" s="33">
        <v>951.16102296198642</v>
      </c>
      <c r="Y7" s="5">
        <v>66.089889993642288</v>
      </c>
      <c r="Z7" s="5">
        <v>6713.8472693628673</v>
      </c>
      <c r="AA7" s="35"/>
    </row>
    <row r="8" spans="2:27" x14ac:dyDescent="0.2">
      <c r="B8" s="4">
        <v>5</v>
      </c>
      <c r="C8" s="4">
        <v>693</v>
      </c>
      <c r="D8" s="23">
        <v>3028514.7193802549</v>
      </c>
      <c r="E8" s="33">
        <v>471.43411764703859</v>
      </c>
      <c r="F8" s="5">
        <v>11</v>
      </c>
      <c r="G8" s="23">
        <v>56.5</v>
      </c>
      <c r="H8" s="33">
        <v>2488.6143879869792</v>
      </c>
      <c r="I8" s="23">
        <v>40.078202753662843</v>
      </c>
      <c r="J8" s="5">
        <v>8068.1945069022613</v>
      </c>
      <c r="K8" s="31"/>
      <c r="L8" s="23">
        <v>3313466.676351741</v>
      </c>
      <c r="M8" s="33">
        <v>1338.6399999999801</v>
      </c>
      <c r="N8" s="5">
        <v>7</v>
      </c>
      <c r="O8" s="5">
        <v>29.5</v>
      </c>
      <c r="P8" s="33">
        <v>893.23115697258879</v>
      </c>
      <c r="Q8" s="5">
        <v>30.156461491287295</v>
      </c>
      <c r="R8" s="5">
        <v>5664.2410326572299</v>
      </c>
      <c r="S8" s="31"/>
      <c r="T8" s="23">
        <v>3640431.6246267371</v>
      </c>
      <c r="U8" s="33">
        <v>237.95058823526185</v>
      </c>
      <c r="V8" s="5">
        <v>7</v>
      </c>
      <c r="W8" s="5">
        <v>23.5</v>
      </c>
      <c r="X8" s="33">
        <v>2879.6608131956973</v>
      </c>
      <c r="Y8" s="5">
        <v>55.41736035148373</v>
      </c>
      <c r="Z8" s="5">
        <v>8532.8026559829195</v>
      </c>
      <c r="AA8" s="35"/>
    </row>
    <row r="9" spans="2:27" x14ac:dyDescent="0.2">
      <c r="B9" s="4">
        <v>6</v>
      </c>
      <c r="C9" s="4">
        <v>714</v>
      </c>
      <c r="D9" s="23">
        <v>2708957.4537607441</v>
      </c>
      <c r="E9" s="33">
        <v>832.52764705883533</v>
      </c>
      <c r="F9" s="5">
        <v>7</v>
      </c>
      <c r="G9" s="23">
        <v>57.5</v>
      </c>
      <c r="H9" s="33">
        <v>1449.5066122455939</v>
      </c>
      <c r="I9" s="23">
        <v>55.951184458801556</v>
      </c>
      <c r="J9" s="5">
        <v>7049.6564024374666</v>
      </c>
      <c r="K9" s="31"/>
      <c r="L9" s="23">
        <v>3295222.9661025591</v>
      </c>
      <c r="M9" s="33">
        <v>571.27764705883556</v>
      </c>
      <c r="N9" s="5">
        <v>5</v>
      </c>
      <c r="O9" s="5">
        <v>26</v>
      </c>
      <c r="P9" s="33">
        <v>183.76936049967227</v>
      </c>
      <c r="Q9" s="5">
        <v>35.503585082275379</v>
      </c>
      <c r="R9" s="5">
        <v>4962.0413662702067</v>
      </c>
      <c r="S9" s="31"/>
      <c r="T9" s="23">
        <v>3225848.87744362</v>
      </c>
      <c r="U9" s="33">
        <v>546.71882352942384</v>
      </c>
      <c r="V9" s="5">
        <v>5</v>
      </c>
      <c r="W9" s="5">
        <v>34</v>
      </c>
      <c r="X9" s="33">
        <v>1262.4845759924192</v>
      </c>
      <c r="Y9" s="5">
        <v>70.176232253341382</v>
      </c>
      <c r="Z9" s="5">
        <v>7085.3219759571166</v>
      </c>
      <c r="AA9" s="35"/>
    </row>
    <row r="10" spans="2:27" x14ac:dyDescent="0.2">
      <c r="B10" s="4">
        <v>7</v>
      </c>
      <c r="C10" s="4">
        <v>672</v>
      </c>
      <c r="D10" s="23">
        <v>2839174.1446580179</v>
      </c>
      <c r="E10" s="33">
        <v>288.10705882353324</v>
      </c>
      <c r="F10" s="5">
        <v>6</v>
      </c>
      <c r="G10" s="23">
        <v>50</v>
      </c>
      <c r="H10" s="33">
        <v>1178.3317063459481</v>
      </c>
      <c r="I10" s="23">
        <v>57.46872992149688</v>
      </c>
      <c r="J10" s="5">
        <v>6886.6111685120559</v>
      </c>
      <c r="K10" s="31"/>
      <c r="L10" s="23">
        <v>3166241.495425622</v>
      </c>
      <c r="M10" s="33">
        <v>1171.0476470587994</v>
      </c>
      <c r="N10" s="5">
        <v>8</v>
      </c>
      <c r="O10" s="5">
        <v>36.5</v>
      </c>
      <c r="P10" s="33">
        <v>1005.2015898752238</v>
      </c>
      <c r="Q10" s="5">
        <v>33.685583535681673</v>
      </c>
      <c r="R10" s="5">
        <v>6072.7332103285153</v>
      </c>
      <c r="S10" s="31"/>
      <c r="T10" s="23">
        <v>3268390.0862397072</v>
      </c>
      <c r="U10" s="33">
        <v>249.90823529414175</v>
      </c>
      <c r="V10" s="5">
        <v>5</v>
      </c>
      <c r="W10" s="5">
        <v>34</v>
      </c>
      <c r="X10" s="33">
        <v>1489.0404392514947</v>
      </c>
      <c r="Y10" s="5">
        <v>73.220271713541678</v>
      </c>
      <c r="Z10" s="5">
        <v>7331.3425144213443</v>
      </c>
      <c r="AA10" s="35"/>
    </row>
    <row r="11" spans="2:27" x14ac:dyDescent="0.2">
      <c r="B11" s="4">
        <v>8</v>
      </c>
      <c r="C11" s="4">
        <v>376</v>
      </c>
      <c r="D11" s="23">
        <v>2720785.7711219611</v>
      </c>
      <c r="E11" s="33">
        <v>336.58999999998798</v>
      </c>
      <c r="F11" s="5">
        <v>5</v>
      </c>
      <c r="G11" s="23">
        <v>52</v>
      </c>
      <c r="H11" s="33">
        <v>851.13687158866628</v>
      </c>
      <c r="I11" s="23">
        <v>64.537159781691003</v>
      </c>
      <c r="J11" s="5">
        <v>6579.0187796693826</v>
      </c>
      <c r="K11" s="31"/>
      <c r="L11" s="23">
        <v>3473914.419283431</v>
      </c>
      <c r="M11" s="33">
        <v>473.01470588235293</v>
      </c>
      <c r="N11" s="5">
        <v>5</v>
      </c>
      <c r="O11" s="5">
        <v>21</v>
      </c>
      <c r="P11" s="33">
        <v>330.62123421254842</v>
      </c>
      <c r="Q11" s="5">
        <v>27.487764343728951</v>
      </c>
      <c r="R11" s="5">
        <v>5310.1127944769878</v>
      </c>
      <c r="S11" s="31"/>
      <c r="T11" s="23">
        <v>3205621.1181402239</v>
      </c>
      <c r="U11" s="33">
        <v>212.50941176467359</v>
      </c>
      <c r="V11" s="5">
        <v>5</v>
      </c>
      <c r="W11" s="5">
        <v>35.5</v>
      </c>
      <c r="X11" s="33">
        <v>1287.8947381884805</v>
      </c>
      <c r="Y11" s="5">
        <v>70.802501916179182</v>
      </c>
      <c r="Z11" s="5">
        <v>7061.9823321622334</v>
      </c>
      <c r="AA11" s="35"/>
    </row>
    <row r="12" spans="2:27" x14ac:dyDescent="0.2">
      <c r="B12" s="4">
        <v>9</v>
      </c>
      <c r="C12" s="4">
        <v>901</v>
      </c>
      <c r="D12" s="23">
        <v>2988353.1806140272</v>
      </c>
      <c r="E12" s="33">
        <v>430.06411764709117</v>
      </c>
      <c r="F12" s="5">
        <v>5</v>
      </c>
      <c r="G12" s="23">
        <v>43.5</v>
      </c>
      <c r="H12" s="33">
        <v>1115.3420037816893</v>
      </c>
      <c r="I12" s="23">
        <v>55.03121010398327</v>
      </c>
      <c r="J12" s="5">
        <v>6735.8311221964532</v>
      </c>
      <c r="K12" s="31"/>
      <c r="L12" s="23">
        <v>3177328.8826354658</v>
      </c>
      <c r="M12" s="33">
        <v>787.57352941176475</v>
      </c>
      <c r="N12" s="5">
        <v>9</v>
      </c>
      <c r="O12" s="5">
        <v>34.5</v>
      </c>
      <c r="P12" s="33">
        <v>611.17884473295442</v>
      </c>
      <c r="Q12" s="5">
        <v>25.648066170486654</v>
      </c>
      <c r="R12" s="5">
        <v>5577.2583089361842</v>
      </c>
      <c r="S12" s="31"/>
      <c r="T12" s="23">
        <v>3149010.3441229779</v>
      </c>
      <c r="U12" s="33">
        <v>535.165882352945</v>
      </c>
      <c r="V12" s="5">
        <v>6</v>
      </c>
      <c r="W12" s="5">
        <v>39</v>
      </c>
      <c r="X12" s="33">
        <v>1478.9077945531806</v>
      </c>
      <c r="Y12" s="5">
        <v>60.488425582809221</v>
      </c>
      <c r="Z12" s="5">
        <v>7204.489213133771</v>
      </c>
      <c r="AA12" s="35"/>
    </row>
    <row r="13" spans="2:27" x14ac:dyDescent="0.2">
      <c r="B13" s="4">
        <v>10</v>
      </c>
      <c r="C13" s="4">
        <v>138</v>
      </c>
      <c r="D13" s="23">
        <v>2857521.4223154192</v>
      </c>
      <c r="E13" s="33">
        <v>228.43764705877919</v>
      </c>
      <c r="F13" s="5">
        <v>8</v>
      </c>
      <c r="G13" s="23">
        <v>59.5</v>
      </c>
      <c r="H13" s="33">
        <v>2382.6580244015477</v>
      </c>
      <c r="I13" s="23">
        <v>59.058297127831942</v>
      </c>
      <c r="J13" s="5">
        <v>7944.2341120495403</v>
      </c>
      <c r="K13" s="31"/>
      <c r="L13" s="23">
        <v>3277815.285822574</v>
      </c>
      <c r="M13" s="33">
        <v>421.84705882353762</v>
      </c>
      <c r="N13" s="5">
        <v>7</v>
      </c>
      <c r="O13" s="5">
        <v>29</v>
      </c>
      <c r="P13" s="33">
        <v>418.68509502645333</v>
      </c>
      <c r="Q13" s="5">
        <v>28.575051581358871</v>
      </c>
      <c r="R13" s="5">
        <v>5333.7194570745369</v>
      </c>
      <c r="S13" s="31"/>
      <c r="T13" s="23">
        <v>3256191.1600598502</v>
      </c>
      <c r="U13" s="33">
        <v>585.76294117648263</v>
      </c>
      <c r="V13" s="5">
        <v>5</v>
      </c>
      <c r="W13" s="5">
        <v>34</v>
      </c>
      <c r="X13" s="33">
        <v>1411.5243519415289</v>
      </c>
      <c r="Y13" s="5">
        <v>72.4780216215498</v>
      </c>
      <c r="Z13" s="5">
        <v>7277.2862552836477</v>
      </c>
      <c r="AA13" s="35"/>
    </row>
    <row r="14" spans="2:27" x14ac:dyDescent="0.2">
      <c r="B14" s="46" t="s">
        <v>3</v>
      </c>
      <c r="C14" s="47"/>
      <c r="D14" s="9">
        <f>MIN(D4:D13)</f>
        <v>2708957.4537607441</v>
      </c>
      <c r="E14" s="22">
        <f>INDEX(E4:E13, MATCH($D$14, D4:D13, 0))</f>
        <v>832.52764705883533</v>
      </c>
      <c r="F14" s="9">
        <f>INDEX(F4:F13, MATCH($D$14, D4:D13, 0))</f>
        <v>7</v>
      </c>
      <c r="G14" s="9">
        <f>INDEX(G4:G13, MATCH($D$14, D4:D13, 0))</f>
        <v>57.5</v>
      </c>
      <c r="H14" s="22">
        <f>INDEX(H4:H13, MATCH($D$14, D4:D13, 0))</f>
        <v>1449.5066122455939</v>
      </c>
      <c r="I14" s="22">
        <f>INDEX(I4:I13, MATCH($D$14, D4:D13, 0))</f>
        <v>55.951184458801556</v>
      </c>
      <c r="J14" s="22">
        <f>INDEX(J4:J13, MATCH($D$14, D4:D13, 0))</f>
        <v>7049.6564024374666</v>
      </c>
      <c r="K14" s="32" t="e">
        <f>(D14-$D$15)/$D$15</f>
        <v>#DIV/0!</v>
      </c>
      <c r="L14" s="16">
        <f>MIN(L4:L13)</f>
        <v>3104845.7185017061</v>
      </c>
      <c r="M14" s="21">
        <f>INDEX(M4:M13, MATCH($L$14, L4:L13, 0))</f>
        <v>324.99117647058</v>
      </c>
      <c r="N14" s="16">
        <f>INDEX(N4:N13, MATCH($L$14, L4:L13, 0))</f>
        <v>14</v>
      </c>
      <c r="O14" s="16">
        <f>INDEX(O4:O13, MATCH($L$14, L4:L13, 0))</f>
        <v>45.5</v>
      </c>
      <c r="P14" s="21">
        <f>INDEX(P4:P13, MATCH($L$14, L4:L13, 0))</f>
        <v>1498.8412056512464</v>
      </c>
      <c r="Q14" s="21">
        <f>INDEX(Q4:Q13, MATCH($L$14, L4:L13, 0))</f>
        <v>24.552934094383382</v>
      </c>
      <c r="R14" s="21">
        <f>INDEX(R4:R13, MATCH($L$14, L4:L13, 0))</f>
        <v>6582.1776293785115</v>
      </c>
      <c r="S14" s="36" t="e">
        <f>(L14-$D$15)/$D$15</f>
        <v>#DIV/0!</v>
      </c>
      <c r="T14" s="38">
        <f>MIN(T4:T13)</f>
        <v>3108506.7684734082</v>
      </c>
      <c r="U14" s="39">
        <f>INDEX(U4:U13, MATCH($T$14, T4:T13, 0))</f>
        <v>498.44647058819913</v>
      </c>
      <c r="V14" s="38">
        <f>INDEX(V4:V13, MATCH($T$14, T4:T13, 0))</f>
        <v>5</v>
      </c>
      <c r="W14" s="38">
        <f>INDEX(W4:W13, MATCH($T$14, T4:T13, 0))</f>
        <v>37.5</v>
      </c>
      <c r="X14" s="39">
        <f>INDEX(X4:X13, MATCH($T$14, T4:T13, 0))</f>
        <v>951.16102296198642</v>
      </c>
      <c r="Y14" s="39">
        <f>INDEX(Y4:Y13, MATCH($T$14, T4:T13, 0))</f>
        <v>66.089889993642288</v>
      </c>
      <c r="Z14" s="39">
        <f>INDEX(Z4:Z13, MATCH($T$14, T4:T13, 0))</f>
        <v>6713.8472693628673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17:C3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6245-B35F-400A-A6DA-48CE43154ABF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-0.99007996890760464</v>
      </c>
      <c r="J2" s="28" t="e">
        <f>(S14-J14)/J14</f>
        <v>#DIV/0!</v>
      </c>
      <c r="K2" s="28"/>
      <c r="L2" s="1" t="s">
        <v>19</v>
      </c>
      <c r="P2" s="1">
        <f>(P14-H14)/H14</f>
        <v>-0.4041352042357988</v>
      </c>
      <c r="R2" s="1">
        <f>(R14-J14)/J14</f>
        <v>-0.1482622971815151</v>
      </c>
      <c r="T2" s="1" t="s">
        <v>20</v>
      </c>
      <c r="X2" s="1">
        <f>(X14-P14)/P14</f>
        <v>0.37451813027102338</v>
      </c>
      <c r="Z2" s="1">
        <f>(Z14-R14)/R14</f>
        <v>0.13769961160458175</v>
      </c>
    </row>
    <row r="3" spans="2:27" x14ac:dyDescent="0.2">
      <c r="B3" s="8" t="s">
        <v>7</v>
      </c>
      <c r="C3" s="8" t="s">
        <v>4</v>
      </c>
      <c r="D3" s="8" t="s">
        <v>21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646</v>
      </c>
      <c r="D4" s="23">
        <v>3203937.176755182</v>
      </c>
      <c r="E4" s="33">
        <v>432.683529411785</v>
      </c>
      <c r="F4" s="5">
        <v>6</v>
      </c>
      <c r="G4" s="23">
        <v>43.5</v>
      </c>
      <c r="H4" s="33">
        <v>2055.549583693698</v>
      </c>
      <c r="I4" s="23">
        <v>40.811428473802842</v>
      </c>
      <c r="J4" s="5">
        <v>7796.0960622004814</v>
      </c>
      <c r="K4" s="31"/>
      <c r="L4" s="23">
        <v>3616350.812046519</v>
      </c>
      <c r="M4" s="33">
        <v>581.80117647060854</v>
      </c>
      <c r="N4" s="5">
        <v>3</v>
      </c>
      <c r="O4" s="5">
        <v>13</v>
      </c>
      <c r="P4" s="33">
        <v>0</v>
      </c>
      <c r="Q4" s="5">
        <v>21.319555434606048</v>
      </c>
      <c r="R4" s="5">
        <v>3385.0972340719072</v>
      </c>
      <c r="S4" s="31"/>
      <c r="T4" s="23">
        <v>3238550.7965497272</v>
      </c>
      <c r="U4" s="33">
        <v>360.75411764706269</v>
      </c>
      <c r="V4" s="5">
        <v>6</v>
      </c>
      <c r="W4" s="5">
        <v>35</v>
      </c>
      <c r="X4" s="33">
        <v>1505.4219180067876</v>
      </c>
      <c r="Y4" s="5">
        <v>56.244421387887847</v>
      </c>
      <c r="Z4" s="5">
        <v>7262.1640598986978</v>
      </c>
      <c r="AA4" s="35"/>
    </row>
    <row r="5" spans="2:27" x14ac:dyDescent="0.2">
      <c r="B5" s="4">
        <v>2</v>
      </c>
      <c r="C5" s="4">
        <v>713</v>
      </c>
      <c r="D5" s="23">
        <v>2870064.8283787589</v>
      </c>
      <c r="E5" s="33">
        <v>226.97588235290499</v>
      </c>
      <c r="F5" s="5">
        <v>11</v>
      </c>
      <c r="G5" s="23">
        <v>58</v>
      </c>
      <c r="H5" s="33">
        <v>2074.8837371082132</v>
      </c>
      <c r="I5" s="23">
        <v>30.013195973644223</v>
      </c>
      <c r="J5" s="5">
        <v>7464.1230573503835</v>
      </c>
      <c r="K5" s="31"/>
      <c r="L5" s="23">
        <v>3160716.033103073</v>
      </c>
      <c r="M5" s="33">
        <v>523.36352941176085</v>
      </c>
      <c r="N5" s="5">
        <v>9</v>
      </c>
      <c r="O5" s="5">
        <v>37.5</v>
      </c>
      <c r="P5" s="33">
        <v>1010.5564434132671</v>
      </c>
      <c r="Q5" s="5">
        <v>21.866227995773301</v>
      </c>
      <c r="R5" s="5">
        <v>6197.5515533646303</v>
      </c>
      <c r="S5" s="31"/>
      <c r="T5" s="23">
        <v>3195804.656769264</v>
      </c>
      <c r="U5" s="33">
        <v>347.683529411785</v>
      </c>
      <c r="V5" s="5">
        <v>8</v>
      </c>
      <c r="W5" s="5">
        <v>40.5</v>
      </c>
      <c r="X5" s="33">
        <v>1923.282232584718</v>
      </c>
      <c r="Y5" s="5">
        <v>43.034317411964402</v>
      </c>
      <c r="Z5" s="5">
        <v>7512.2826259945714</v>
      </c>
      <c r="AA5" s="35"/>
    </row>
    <row r="6" spans="2:27" x14ac:dyDescent="0.2">
      <c r="B6" s="4">
        <v>3</v>
      </c>
      <c r="C6" s="4">
        <v>146</v>
      </c>
      <c r="D6" s="23">
        <v>3740041.0151035129</v>
      </c>
      <c r="E6" s="33">
        <v>162.16000000001205</v>
      </c>
      <c r="F6" s="5">
        <v>17</v>
      </c>
      <c r="G6" s="23">
        <v>89</v>
      </c>
      <c r="H6" s="33">
        <v>6519.3164417195312</v>
      </c>
      <c r="I6" s="23">
        <v>36.572665750973123</v>
      </c>
      <c r="J6" s="5">
        <v>12072.772155526847</v>
      </c>
      <c r="K6" s="31"/>
      <c r="L6" s="23">
        <v>3894231.7469656589</v>
      </c>
      <c r="M6" s="33">
        <v>300.54235294118854</v>
      </c>
      <c r="N6" s="5">
        <v>27</v>
      </c>
      <c r="O6" s="5">
        <v>52.5</v>
      </c>
      <c r="P6" s="33">
        <v>5291.1556511169301</v>
      </c>
      <c r="Q6" s="5">
        <v>12.324641207509012</v>
      </c>
      <c r="R6" s="5">
        <v>10431.098317861879</v>
      </c>
      <c r="S6" s="31"/>
      <c r="T6" s="23">
        <v>4706099.0939024696</v>
      </c>
      <c r="U6" s="33">
        <v>486.55352941173237</v>
      </c>
      <c r="V6" s="5">
        <v>16</v>
      </c>
      <c r="W6" s="5">
        <v>43</v>
      </c>
      <c r="X6" s="33">
        <v>11285.986557048294</v>
      </c>
      <c r="Y6" s="5">
        <v>42.574324069486231</v>
      </c>
      <c r="Z6" s="5">
        <v>16885.849714413405</v>
      </c>
      <c r="AA6" s="35"/>
    </row>
    <row r="7" spans="2:27" x14ac:dyDescent="0.2">
      <c r="B7" s="4">
        <v>4</v>
      </c>
      <c r="C7" s="4">
        <v>896</v>
      </c>
      <c r="D7" s="23">
        <v>3112021.557450484</v>
      </c>
      <c r="E7" s="33">
        <v>385.79999999999177</v>
      </c>
      <c r="F7" s="5">
        <v>3</v>
      </c>
      <c r="G7" s="23">
        <v>38</v>
      </c>
      <c r="H7" s="33">
        <v>1266.3764220057008</v>
      </c>
      <c r="I7" s="23">
        <v>72.892896406870761</v>
      </c>
      <c r="J7" s="5">
        <v>7164.8252251631566</v>
      </c>
      <c r="K7" s="31"/>
      <c r="L7" s="23">
        <v>3320088.183461688</v>
      </c>
      <c r="M7" s="33">
        <v>413.41941176468561</v>
      </c>
      <c r="N7" s="5">
        <v>7</v>
      </c>
      <c r="O7" s="5">
        <v>31</v>
      </c>
      <c r="P7" s="33">
        <v>1216.8671840509037</v>
      </c>
      <c r="Q7" s="5">
        <v>23.902578587887099</v>
      </c>
      <c r="R7" s="5">
        <v>6246.4983113684348</v>
      </c>
      <c r="S7" s="31"/>
      <c r="T7" s="23">
        <v>3310439.9121987219</v>
      </c>
      <c r="U7" s="33">
        <v>523.87823529411378</v>
      </c>
      <c r="V7" s="5">
        <v>5</v>
      </c>
      <c r="W7" s="5">
        <v>30.5</v>
      </c>
      <c r="X7" s="33">
        <v>1044.6035928631511</v>
      </c>
      <c r="Y7" s="5">
        <v>47.702675165755963</v>
      </c>
      <c r="Z7" s="5">
        <v>6900.9140404796326</v>
      </c>
      <c r="AA7" s="35"/>
    </row>
    <row r="8" spans="2:27" x14ac:dyDescent="0.2">
      <c r="B8" s="4">
        <v>5</v>
      </c>
      <c r="C8" s="4">
        <v>348</v>
      </c>
      <c r="D8" s="23">
        <v>2960341.197531315</v>
      </c>
      <c r="E8" s="33">
        <v>451.73764705883946</v>
      </c>
      <c r="F8" s="5">
        <v>6</v>
      </c>
      <c r="G8" s="23">
        <v>46.5</v>
      </c>
      <c r="H8" s="33">
        <v>1513.946662542879</v>
      </c>
      <c r="I8" s="23">
        <v>40.531666662642955</v>
      </c>
      <c r="J8" s="5">
        <v>7083.3618006619135</v>
      </c>
      <c r="K8" s="31"/>
      <c r="L8" s="23">
        <v>3295744.0603068969</v>
      </c>
      <c r="M8" s="33">
        <v>642.64705882352939</v>
      </c>
      <c r="N8" s="5">
        <v>11</v>
      </c>
      <c r="O8" s="5">
        <v>36</v>
      </c>
      <c r="P8" s="33">
        <v>1384.0755469182088</v>
      </c>
      <c r="Q8" s="5">
        <v>21.245597042527695</v>
      </c>
      <c r="R8" s="5">
        <v>6487.2854278190598</v>
      </c>
      <c r="S8" s="31"/>
      <c r="T8" s="23">
        <v>3240247.0591951138</v>
      </c>
      <c r="U8" s="33">
        <v>253.52941176470588</v>
      </c>
      <c r="V8" s="5">
        <v>7</v>
      </c>
      <c r="W8" s="5">
        <v>35.5</v>
      </c>
      <c r="X8" s="33">
        <v>1539.1097586202284</v>
      </c>
      <c r="Y8" s="5">
        <v>45.919474042975949</v>
      </c>
      <c r="Z8" s="5">
        <v>7095.2269664606911</v>
      </c>
      <c r="AA8" s="35"/>
    </row>
    <row r="9" spans="2:27" x14ac:dyDescent="0.2">
      <c r="B9" s="4">
        <v>6</v>
      </c>
      <c r="C9" s="4">
        <v>148</v>
      </c>
      <c r="D9" s="23">
        <v>3058157.0890558148</v>
      </c>
      <c r="E9" s="33">
        <v>151.15764705881969</v>
      </c>
      <c r="F9" s="5">
        <v>5</v>
      </c>
      <c r="G9" s="23">
        <v>43</v>
      </c>
      <c r="H9" s="33">
        <v>1570.3657429401023</v>
      </c>
      <c r="I9" s="23">
        <v>54.370242597145271</v>
      </c>
      <c r="J9" s="5">
        <v>7339.7830991115734</v>
      </c>
      <c r="K9" s="31"/>
      <c r="L9" s="23">
        <v>3245618.9149302952</v>
      </c>
      <c r="M9" s="33">
        <v>681.5441176470589</v>
      </c>
      <c r="N9" s="5">
        <v>10</v>
      </c>
      <c r="O9" s="5">
        <v>34.5</v>
      </c>
      <c r="P9" s="33">
        <v>922.04054290833051</v>
      </c>
      <c r="Q9" s="5">
        <v>19.38692681794975</v>
      </c>
      <c r="R9" s="5">
        <v>5935.3167085797786</v>
      </c>
      <c r="S9" s="31"/>
      <c r="T9" s="23">
        <v>3337392.869206538</v>
      </c>
      <c r="U9" s="33">
        <v>283.37352941175646</v>
      </c>
      <c r="V9" s="5">
        <v>7</v>
      </c>
      <c r="W9" s="5">
        <v>33</v>
      </c>
      <c r="X9" s="33">
        <v>1724.9223345620092</v>
      </c>
      <c r="Y9" s="5">
        <v>38.826283834040069</v>
      </c>
      <c r="Z9" s="5">
        <v>7445.3637947224461</v>
      </c>
      <c r="AA9" s="35"/>
    </row>
    <row r="10" spans="2:27" x14ac:dyDescent="0.2">
      <c r="B10" s="4">
        <v>7</v>
      </c>
      <c r="C10" s="4">
        <v>926</v>
      </c>
      <c r="D10" s="23">
        <v>3063803.9755614148</v>
      </c>
      <c r="E10" s="33">
        <v>252.22411764703472</v>
      </c>
      <c r="F10" s="5">
        <v>4</v>
      </c>
      <c r="G10" s="23">
        <v>40</v>
      </c>
      <c r="H10" s="33">
        <v>1118.6937997078735</v>
      </c>
      <c r="I10" s="23">
        <v>59.567871459580374</v>
      </c>
      <c r="J10" s="5">
        <v>6911.9057012089379</v>
      </c>
      <c r="K10" s="31"/>
      <c r="L10" s="23">
        <v>3416130.70157457</v>
      </c>
      <c r="M10" s="33">
        <v>1009.8441176470507</v>
      </c>
      <c r="N10" s="5">
        <v>4</v>
      </c>
      <c r="O10" s="5">
        <v>22</v>
      </c>
      <c r="P10" s="33">
        <v>226.04838493923745</v>
      </c>
      <c r="Q10" s="5">
        <v>28.19146240612481</v>
      </c>
      <c r="R10" s="5">
        <v>5167.2743802749674</v>
      </c>
      <c r="S10" s="31"/>
      <c r="T10" s="23">
        <v>3409171.4549684408</v>
      </c>
      <c r="U10" s="33">
        <v>455.57941176469768</v>
      </c>
      <c r="V10" s="5">
        <v>5</v>
      </c>
      <c r="W10" s="5">
        <v>26.5</v>
      </c>
      <c r="X10" s="33">
        <v>1044.0255347493323</v>
      </c>
      <c r="Y10" s="5">
        <v>51.751983451226565</v>
      </c>
      <c r="Z10" s="5">
        <v>6813.1854809081324</v>
      </c>
      <c r="AA10" s="35"/>
    </row>
    <row r="11" spans="2:27" x14ac:dyDescent="0.2">
      <c r="B11" s="4">
        <v>8</v>
      </c>
      <c r="C11" s="4">
        <v>812</v>
      </c>
      <c r="D11" s="23">
        <v>3498392.0534536908</v>
      </c>
      <c r="E11" s="33">
        <v>163.97058823529412</v>
      </c>
      <c r="F11" s="5">
        <v>13</v>
      </c>
      <c r="G11" s="23">
        <v>43</v>
      </c>
      <c r="H11" s="33">
        <v>3584.6294194005691</v>
      </c>
      <c r="I11" s="23">
        <v>23.245927292122897</v>
      </c>
      <c r="J11" s="5">
        <v>8891.38191848319</v>
      </c>
      <c r="K11" s="31"/>
      <c r="L11" s="23">
        <v>3984995.226402896</v>
      </c>
      <c r="M11" s="33">
        <v>524.49411764706701</v>
      </c>
      <c r="N11" s="5">
        <v>34</v>
      </c>
      <c r="O11" s="5">
        <v>39.5</v>
      </c>
      <c r="P11" s="33">
        <v>3900.5482495080855</v>
      </c>
      <c r="Q11" s="5">
        <v>7.7725093984876574</v>
      </c>
      <c r="R11" s="5">
        <v>8884.6974402841843</v>
      </c>
      <c r="S11" s="31"/>
      <c r="T11" s="23">
        <v>3339082.7467822148</v>
      </c>
      <c r="U11" s="33">
        <v>859.57705882350535</v>
      </c>
      <c r="V11" s="5">
        <v>5</v>
      </c>
      <c r="W11" s="5">
        <v>32.5</v>
      </c>
      <c r="X11" s="33">
        <v>1741.0106473956464</v>
      </c>
      <c r="Y11" s="5">
        <v>60.259232220014042</v>
      </c>
      <c r="Z11" s="5">
        <v>7700.9952627802559</v>
      </c>
      <c r="AA11" s="35"/>
    </row>
    <row r="12" spans="2:27" x14ac:dyDescent="0.2">
      <c r="B12" s="4">
        <v>9</v>
      </c>
      <c r="C12" s="4">
        <v>289</v>
      </c>
      <c r="D12" s="23">
        <v>3050463.55916742</v>
      </c>
      <c r="E12" s="33">
        <v>484.55882352941177</v>
      </c>
      <c r="F12" s="5">
        <v>5</v>
      </c>
      <c r="G12" s="23">
        <v>42</v>
      </c>
      <c r="H12" s="33">
        <v>1295.6588029835539</v>
      </c>
      <c r="I12" s="23">
        <v>54.177263107767757</v>
      </c>
      <c r="J12" s="5">
        <v>7052.7997535108643</v>
      </c>
      <c r="K12" s="31"/>
      <c r="L12" s="23">
        <v>3091480.81747464</v>
      </c>
      <c r="M12" s="33">
        <v>1104.3935294117207</v>
      </c>
      <c r="N12" s="5">
        <v>11</v>
      </c>
      <c r="O12" s="5">
        <v>42.5</v>
      </c>
      <c r="P12" s="33">
        <v>1236.350174246448</v>
      </c>
      <c r="Q12" s="5">
        <v>20.582911185219061</v>
      </c>
      <c r="R12" s="5">
        <v>6357.475026422102</v>
      </c>
      <c r="S12" s="31"/>
      <c r="T12" s="23">
        <v>3180443.629875686</v>
      </c>
      <c r="U12" s="33">
        <v>455.90941176468999</v>
      </c>
      <c r="V12" s="5">
        <v>7</v>
      </c>
      <c r="W12" s="5">
        <v>39.5</v>
      </c>
      <c r="X12" s="33">
        <v>1699.3857298654816</v>
      </c>
      <c r="Y12" s="5">
        <v>41.322751512285613</v>
      </c>
      <c r="Z12" s="5">
        <v>7232.8968683462535</v>
      </c>
      <c r="AA12" s="35"/>
    </row>
    <row r="13" spans="2:27" x14ac:dyDescent="0.2">
      <c r="B13" s="4">
        <v>10</v>
      </c>
      <c r="C13" s="4">
        <v>908</v>
      </c>
      <c r="D13" s="23">
        <v>2915387.4147864659</v>
      </c>
      <c r="E13" s="33">
        <v>735.3494117646618</v>
      </c>
      <c r="F13" s="5">
        <v>5</v>
      </c>
      <c r="G13" s="23">
        <v>46.5</v>
      </c>
      <c r="H13" s="33">
        <v>1136.3829011433079</v>
      </c>
      <c r="I13" s="23">
        <v>53.550274448667281</v>
      </c>
      <c r="J13" s="5">
        <v>6854.8860666811061</v>
      </c>
      <c r="K13" s="31"/>
      <c r="L13" s="23">
        <v>3319328.804880166</v>
      </c>
      <c r="M13" s="33">
        <v>664.86176470589055</v>
      </c>
      <c r="N13" s="5">
        <v>5</v>
      </c>
      <c r="O13" s="5">
        <v>26</v>
      </c>
      <c r="P13" s="33">
        <v>194.03869044754944</v>
      </c>
      <c r="Q13" s="5">
        <v>29.042195439900393</v>
      </c>
      <c r="R13" s="5">
        <v>5219.298285026407</v>
      </c>
      <c r="S13" s="31"/>
      <c r="T13" s="23">
        <v>3272600.991016956</v>
      </c>
      <c r="U13" s="33">
        <v>246.85647058821121</v>
      </c>
      <c r="V13" s="5">
        <v>5</v>
      </c>
      <c r="W13" s="5">
        <v>32</v>
      </c>
      <c r="X13" s="33">
        <v>1108.8926063366459</v>
      </c>
      <c r="Y13" s="5">
        <v>55.442920277615237</v>
      </c>
      <c r="Z13" s="5">
        <v>7008.4716956741713</v>
      </c>
      <c r="AA13" s="35"/>
    </row>
    <row r="14" spans="2:27" x14ac:dyDescent="0.2">
      <c r="B14" s="46" t="s">
        <v>3</v>
      </c>
      <c r="C14" s="47"/>
      <c r="D14" s="9">
        <f>MIN(D4:D13)</f>
        <v>2870064.8283787589</v>
      </c>
      <c r="E14" s="22">
        <f>INDEX(E4:E13, MATCH($D$14, D4:D13, 0))</f>
        <v>226.97588235290499</v>
      </c>
      <c r="F14" s="9">
        <f>INDEX(F4:F13, MATCH($D$14, D4:D13, 0))</f>
        <v>11</v>
      </c>
      <c r="G14" s="9">
        <f>INDEX(G4:G13, MATCH($D$14, D4:D13, 0))</f>
        <v>58</v>
      </c>
      <c r="H14" s="22">
        <f>INDEX(H4:H13, MATCH($D$14, D4:D13, 0))</f>
        <v>2074.8837371082132</v>
      </c>
      <c r="I14" s="22">
        <f>INDEX(I4:I13, MATCH($D$14, D4:D13, 0))</f>
        <v>30.013195973644223</v>
      </c>
      <c r="J14" s="22">
        <f>INDEX(J4:J13, MATCH($D$14, D4:D13, 0))</f>
        <v>7464.1230573503835</v>
      </c>
      <c r="K14" s="32" t="e">
        <f>(D14-$D$15)/$D$15</f>
        <v>#DIV/0!</v>
      </c>
      <c r="L14" s="16">
        <f>MIN(L4:L13)</f>
        <v>3091480.81747464</v>
      </c>
      <c r="M14" s="21">
        <f>INDEX(M4:M13, MATCH($L$14, L4:L13, 0))</f>
        <v>1104.3935294117207</v>
      </c>
      <c r="N14" s="16">
        <f>INDEX(N4:N13, MATCH($L$14, L4:L13, 0))</f>
        <v>11</v>
      </c>
      <c r="O14" s="16">
        <f>INDEX(O4:O13, MATCH($L$14, L4:L13, 0))</f>
        <v>42.5</v>
      </c>
      <c r="P14" s="21">
        <f>INDEX(P4:P13, MATCH($L$14, L4:L13, 0))</f>
        <v>1236.350174246448</v>
      </c>
      <c r="Q14" s="21">
        <f>INDEX(Q4:Q13, MATCH($L$14, L4:L13, 0))</f>
        <v>20.582911185219061</v>
      </c>
      <c r="R14" s="21">
        <f>INDEX(R4:R13, MATCH($L$14, L4:L13, 0))</f>
        <v>6357.475026422102</v>
      </c>
      <c r="S14" s="36" t="e">
        <f>(L14-$D$15)/$D$15</f>
        <v>#DIV/0!</v>
      </c>
      <c r="T14" s="38">
        <f>MIN(T4:T13)</f>
        <v>3180443.629875686</v>
      </c>
      <c r="U14" s="39">
        <f>INDEX(U4:U13, MATCH($T$14, T4:T13, 0))</f>
        <v>455.90941176468999</v>
      </c>
      <c r="V14" s="38">
        <f>INDEX(V4:V13, MATCH($T$14, T4:T13, 0))</f>
        <v>7</v>
      </c>
      <c r="W14" s="38">
        <f>INDEX(W4:W13, MATCH($T$14, T4:T13, 0))</f>
        <v>39.5</v>
      </c>
      <c r="X14" s="39">
        <f>INDEX(X4:X13, MATCH($T$14, T4:T13, 0))</f>
        <v>1699.3857298654816</v>
      </c>
      <c r="Y14" s="39">
        <f>INDEX(Y4:Y13, MATCH($T$14, T4:T13, 0))</f>
        <v>41.322751512285613</v>
      </c>
      <c r="Z14" s="39">
        <f>INDEX(Z4:Z13, MATCH($T$14, T4:T13, 0))</f>
        <v>7232.8968683462535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7:C3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CDF0-4741-497D-A824-6C2BBB78ED89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-0.97006605710874094</v>
      </c>
      <c r="J2" s="28" t="e">
        <f>(S14-J14)/J14</f>
        <v>#DIV/0!</v>
      </c>
      <c r="K2" s="28"/>
      <c r="L2" s="1" t="s">
        <v>19</v>
      </c>
      <c r="P2" s="1">
        <f>(P14-H14)/H14</f>
        <v>-0.6015079418239534</v>
      </c>
      <c r="R2" s="1">
        <f>(R14-J14)/J14</f>
        <v>-0.23536699002659053</v>
      </c>
      <c r="T2" s="1" t="s">
        <v>20</v>
      </c>
      <c r="X2" s="1">
        <f>(X14-P14)/P14</f>
        <v>2.1325678020933387</v>
      </c>
      <c r="Z2" s="1">
        <f>(Z14-R14)/R14</f>
        <v>0.33931376673045555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586</v>
      </c>
      <c r="D4" s="23">
        <v>3007231.433502249</v>
      </c>
      <c r="E4" s="33">
        <v>316.12117647056414</v>
      </c>
      <c r="F4" s="5">
        <v>5</v>
      </c>
      <c r="G4" s="23">
        <v>44</v>
      </c>
      <c r="H4" s="33">
        <v>1291.6037088213095</v>
      </c>
      <c r="I4" s="23">
        <v>53.64119511720871</v>
      </c>
      <c r="J4" s="5">
        <v>7015.241376146103</v>
      </c>
      <c r="K4" s="31"/>
      <c r="L4" s="23">
        <v>3164628.1876776782</v>
      </c>
      <c r="M4" s="33">
        <v>751.99411764706701</v>
      </c>
      <c r="N4" s="5">
        <v>8</v>
      </c>
      <c r="O4" s="5">
        <v>34</v>
      </c>
      <c r="P4" s="33">
        <v>536.40558170224188</v>
      </c>
      <c r="Q4" s="5">
        <v>26.788261508925633</v>
      </c>
      <c r="R4" s="5">
        <v>5323.2153843220258</v>
      </c>
      <c r="S4" s="31"/>
      <c r="T4" s="23">
        <v>3148588.955481777</v>
      </c>
      <c r="U4" s="33">
        <v>274.46705882355354</v>
      </c>
      <c r="V4" s="5">
        <v>8</v>
      </c>
      <c r="W4" s="5">
        <v>41</v>
      </c>
      <c r="X4" s="33">
        <v>1641.0030754091158</v>
      </c>
      <c r="Y4" s="5">
        <v>47.260977478923905</v>
      </c>
      <c r="Z4" s="5">
        <v>7124.3411134418966</v>
      </c>
      <c r="AA4" s="35"/>
    </row>
    <row r="5" spans="2:27" x14ac:dyDescent="0.2">
      <c r="B5" s="4">
        <v>2</v>
      </c>
      <c r="C5" s="4">
        <v>73</v>
      </c>
      <c r="D5" s="23">
        <v>2673878.0811398639</v>
      </c>
      <c r="E5" s="33">
        <v>387.19647058819913</v>
      </c>
      <c r="F5" s="5">
        <v>10</v>
      </c>
      <c r="G5" s="23">
        <v>64.5</v>
      </c>
      <c r="H5" s="33">
        <v>1816.5856812165759</v>
      </c>
      <c r="I5" s="23">
        <v>41.562818141552036</v>
      </c>
      <c r="J5" s="5">
        <v>7231.0122092975671</v>
      </c>
      <c r="K5" s="31"/>
      <c r="L5" s="23">
        <v>4070688.426454145</v>
      </c>
      <c r="M5" s="33">
        <v>397.30705882354147</v>
      </c>
      <c r="N5" s="5">
        <v>37</v>
      </c>
      <c r="O5" s="5">
        <v>57</v>
      </c>
      <c r="P5" s="33">
        <v>5313.4952771852604</v>
      </c>
      <c r="Q5" s="5">
        <v>11.31836646565373</v>
      </c>
      <c r="R5" s="5">
        <v>10533.63749947768</v>
      </c>
      <c r="S5" s="31"/>
      <c r="T5" s="23">
        <v>3785275.1423631702</v>
      </c>
      <c r="U5" s="33">
        <v>285.79999999999177</v>
      </c>
      <c r="V5" s="5">
        <v>10</v>
      </c>
      <c r="W5" s="5">
        <v>21</v>
      </c>
      <c r="X5" s="33">
        <v>3454.049630034433</v>
      </c>
      <c r="Y5" s="5">
        <v>35.010561769191327</v>
      </c>
      <c r="Z5" s="5">
        <v>8664.3558436036947</v>
      </c>
      <c r="AA5" s="35"/>
    </row>
    <row r="6" spans="2:27" x14ac:dyDescent="0.2">
      <c r="B6" s="4">
        <v>3</v>
      </c>
      <c r="C6" s="4">
        <v>829</v>
      </c>
      <c r="D6" s="23">
        <v>2706355.758801193</v>
      </c>
      <c r="E6" s="33">
        <v>334.32000000002409</v>
      </c>
      <c r="F6" s="5">
        <v>10</v>
      </c>
      <c r="G6" s="23">
        <v>81.5</v>
      </c>
      <c r="H6" s="33">
        <v>3144.1620873648067</v>
      </c>
      <c r="I6" s="23">
        <v>55.799173060163049</v>
      </c>
      <c r="J6" s="5">
        <v>8796.7465130134005</v>
      </c>
      <c r="K6" s="31"/>
      <c r="L6" s="23">
        <v>3378897.606857806</v>
      </c>
      <c r="M6" s="33">
        <v>987.0129411764824</v>
      </c>
      <c r="N6" s="5">
        <v>10</v>
      </c>
      <c r="O6" s="5">
        <v>28</v>
      </c>
      <c r="P6" s="33">
        <v>521.66967678301091</v>
      </c>
      <c r="Q6" s="5">
        <v>17.2358776580881</v>
      </c>
      <c r="R6" s="5">
        <v>5212.7145962440572</v>
      </c>
      <c r="S6" s="31"/>
      <c r="T6" s="23">
        <v>3848746.3309556069</v>
      </c>
      <c r="U6" s="33">
        <v>357.10470588234091</v>
      </c>
      <c r="V6" s="5">
        <v>6</v>
      </c>
      <c r="W6" s="5">
        <v>14</v>
      </c>
      <c r="X6" s="33">
        <v>3344.2816954977411</v>
      </c>
      <c r="Y6" s="5">
        <v>38.710781812722338</v>
      </c>
      <c r="Z6" s="5">
        <v>8898.1331983429936</v>
      </c>
      <c r="AA6" s="35"/>
    </row>
    <row r="7" spans="2:27" x14ac:dyDescent="0.2">
      <c r="B7" s="4">
        <v>4</v>
      </c>
      <c r="C7" s="4">
        <v>662</v>
      </c>
      <c r="D7" s="23">
        <v>2773792.9567823298</v>
      </c>
      <c r="E7" s="33">
        <v>637.15058823526999</v>
      </c>
      <c r="F7" s="5">
        <v>5</v>
      </c>
      <c r="G7" s="23">
        <v>50.5</v>
      </c>
      <c r="H7" s="33">
        <v>1005.2535093443827</v>
      </c>
      <c r="I7" s="23">
        <v>69.777591646940778</v>
      </c>
      <c r="J7" s="5">
        <v>6605.7048517718522</v>
      </c>
      <c r="K7" s="31"/>
      <c r="L7" s="23">
        <v>3100501.8533303561</v>
      </c>
      <c r="M7" s="33">
        <v>1146.534705882317</v>
      </c>
      <c r="N7" s="5">
        <v>8</v>
      </c>
      <c r="O7" s="5">
        <v>35</v>
      </c>
      <c r="P7" s="33">
        <v>363.42475147857482</v>
      </c>
      <c r="Q7" s="5">
        <v>27.299755497821383</v>
      </c>
      <c r="R7" s="5">
        <v>4985.4160645258617</v>
      </c>
      <c r="S7" s="31"/>
      <c r="T7" s="23">
        <v>3050753.8360712761</v>
      </c>
      <c r="U7" s="33">
        <v>489.34705882353762</v>
      </c>
      <c r="V7" s="5">
        <v>5</v>
      </c>
      <c r="W7" s="5">
        <v>38.5</v>
      </c>
      <c r="X7" s="33">
        <v>794.06334694548218</v>
      </c>
      <c r="Y7" s="5">
        <v>67.444862717238763</v>
      </c>
      <c r="Z7" s="5">
        <v>6330.2045924232871</v>
      </c>
      <c r="AA7" s="35"/>
    </row>
    <row r="8" spans="2:27" x14ac:dyDescent="0.2">
      <c r="B8" s="4">
        <v>5</v>
      </c>
      <c r="C8" s="4">
        <v>739</v>
      </c>
      <c r="D8" s="23">
        <v>2897009.029951971</v>
      </c>
      <c r="E8" s="33">
        <v>267.29764705879944</v>
      </c>
      <c r="F8" s="5">
        <v>5</v>
      </c>
      <c r="G8" s="23">
        <v>44</v>
      </c>
      <c r="H8" s="33">
        <v>694.73919179229222</v>
      </c>
      <c r="I8" s="23">
        <v>65.739628075979979</v>
      </c>
      <c r="J8" s="5">
        <v>6228.4693822002964</v>
      </c>
      <c r="K8" s="31"/>
      <c r="L8" s="23">
        <v>3461576.9338664082</v>
      </c>
      <c r="M8" s="33">
        <v>387.85823529415001</v>
      </c>
      <c r="N8" s="5">
        <v>14</v>
      </c>
      <c r="O8" s="5">
        <v>37</v>
      </c>
      <c r="P8" s="33">
        <v>2489.5917026876255</v>
      </c>
      <c r="Q8" s="5">
        <v>17.480173581283083</v>
      </c>
      <c r="R8" s="5">
        <v>7279.1681966328542</v>
      </c>
      <c r="S8" s="31"/>
      <c r="T8" s="23">
        <v>3180048.10220965</v>
      </c>
      <c r="U8" s="33">
        <v>256.43411764703853</v>
      </c>
      <c r="V8" s="5">
        <v>5</v>
      </c>
      <c r="W8" s="5">
        <v>36</v>
      </c>
      <c r="X8" s="33">
        <v>1306.9254635751981</v>
      </c>
      <c r="Y8" s="5">
        <v>68.000349100909361</v>
      </c>
      <c r="Z8" s="5">
        <v>7053.2120419123548</v>
      </c>
      <c r="AA8" s="35"/>
    </row>
    <row r="9" spans="2:27" x14ac:dyDescent="0.2">
      <c r="B9" s="4">
        <v>6</v>
      </c>
      <c r="C9" s="4">
        <v>486</v>
      </c>
      <c r="D9" s="23">
        <v>2837123.7222293708</v>
      </c>
      <c r="E9" s="33">
        <v>143.18941176471793</v>
      </c>
      <c r="F9" s="5">
        <v>7</v>
      </c>
      <c r="G9" s="23">
        <v>56</v>
      </c>
      <c r="H9" s="33">
        <v>1722.1239349367575</v>
      </c>
      <c r="I9" s="23">
        <v>53.74993402285137</v>
      </c>
      <c r="J9" s="5">
        <v>7415.4968473588588</v>
      </c>
      <c r="K9" s="31"/>
      <c r="L9" s="23">
        <v>3207750.8394403178</v>
      </c>
      <c r="M9" s="33">
        <v>670.97411764703475</v>
      </c>
      <c r="N9" s="5">
        <v>9</v>
      </c>
      <c r="O9" s="5">
        <v>31.5</v>
      </c>
      <c r="P9" s="33">
        <v>293.20548719041858</v>
      </c>
      <c r="Q9" s="5">
        <v>24.531531509387278</v>
      </c>
      <c r="R9" s="5">
        <v>4842.3003583950003</v>
      </c>
      <c r="S9" s="31"/>
      <c r="T9" s="23">
        <v>3054997.6760146832</v>
      </c>
      <c r="U9" s="33">
        <v>668.70411764707058</v>
      </c>
      <c r="V9" s="5">
        <v>5</v>
      </c>
      <c r="W9" s="5">
        <v>40</v>
      </c>
      <c r="X9" s="33">
        <v>1000.7789749308738</v>
      </c>
      <c r="Y9" s="5">
        <v>59.187362918458163</v>
      </c>
      <c r="Z9" s="5">
        <v>6677.8951245593535</v>
      </c>
      <c r="AA9" s="35"/>
    </row>
    <row r="10" spans="2:27" x14ac:dyDescent="0.2">
      <c r="B10" s="4">
        <v>7</v>
      </c>
      <c r="C10" s="4">
        <v>850</v>
      </c>
      <c r="D10" s="23">
        <v>2653362.6584630478</v>
      </c>
      <c r="E10" s="33">
        <v>391.37823529411384</v>
      </c>
      <c r="F10" s="5">
        <v>5</v>
      </c>
      <c r="G10" s="23">
        <v>55</v>
      </c>
      <c r="H10" s="33">
        <v>911.99998600228128</v>
      </c>
      <c r="I10" s="23">
        <v>65.215548184284785</v>
      </c>
      <c r="J10" s="5">
        <v>6520.0115604467983</v>
      </c>
      <c r="K10" s="31"/>
      <c r="L10" s="23">
        <v>3163974.6765470579</v>
      </c>
      <c r="M10" s="33">
        <v>851.12117647063235</v>
      </c>
      <c r="N10" s="5">
        <v>17</v>
      </c>
      <c r="O10" s="5">
        <v>50</v>
      </c>
      <c r="P10" s="33">
        <v>2204.586201805786</v>
      </c>
      <c r="Q10" s="5">
        <v>19.256261923371252</v>
      </c>
      <c r="R10" s="5">
        <v>7192.2196821675761</v>
      </c>
      <c r="S10" s="31"/>
      <c r="T10" s="23">
        <v>3153590.734588909</v>
      </c>
      <c r="U10" s="33">
        <v>307.4352941176553</v>
      </c>
      <c r="V10" s="5">
        <v>7</v>
      </c>
      <c r="W10" s="5">
        <v>39.5</v>
      </c>
      <c r="X10" s="33">
        <v>1434.3965041693643</v>
      </c>
      <c r="Y10" s="5">
        <v>56.776425780641326</v>
      </c>
      <c r="Z10" s="5">
        <v>7007.4035194469761</v>
      </c>
      <c r="AA10" s="35"/>
    </row>
    <row r="11" spans="2:27" x14ac:dyDescent="0.2">
      <c r="B11" s="4">
        <v>8</v>
      </c>
      <c r="C11" s="4">
        <v>453</v>
      </c>
      <c r="D11" s="23">
        <v>3491199.8836592501</v>
      </c>
      <c r="E11" s="33">
        <v>142.692941176527</v>
      </c>
      <c r="F11" s="5">
        <v>13</v>
      </c>
      <c r="G11" s="23">
        <v>89</v>
      </c>
      <c r="H11" s="33">
        <v>5685.3967359889284</v>
      </c>
      <c r="I11" s="23">
        <v>48.192584240643363</v>
      </c>
      <c r="J11" s="5">
        <v>11441.058690153544</v>
      </c>
      <c r="K11" s="31"/>
      <c r="L11" s="23">
        <v>3330600.2686076709</v>
      </c>
      <c r="M11" s="33">
        <v>719.25588235293299</v>
      </c>
      <c r="N11" s="5">
        <v>9</v>
      </c>
      <c r="O11" s="5">
        <v>32.5</v>
      </c>
      <c r="P11" s="33">
        <v>1381.228980543847</v>
      </c>
      <c r="Q11" s="5">
        <v>22.652591850690182</v>
      </c>
      <c r="R11" s="5">
        <v>6271.4664300758168</v>
      </c>
      <c r="S11" s="31"/>
      <c r="T11" s="23">
        <v>3110284.2809106279</v>
      </c>
      <c r="U11" s="33">
        <v>637.16000000001179</v>
      </c>
      <c r="V11" s="5">
        <v>5</v>
      </c>
      <c r="W11" s="5">
        <v>39.5</v>
      </c>
      <c r="X11" s="33">
        <v>1398.8155465938951</v>
      </c>
      <c r="Y11" s="5">
        <v>69.710635434507381</v>
      </c>
      <c r="Z11" s="5">
        <v>7013.8222161901595</v>
      </c>
      <c r="AA11" s="35"/>
    </row>
    <row r="12" spans="2:27" x14ac:dyDescent="0.2">
      <c r="B12" s="4">
        <v>9</v>
      </c>
      <c r="C12" s="4">
        <v>441</v>
      </c>
      <c r="D12" s="23">
        <v>3019418.50853418</v>
      </c>
      <c r="E12" s="33">
        <v>211.0017647058703</v>
      </c>
      <c r="F12" s="5">
        <v>9</v>
      </c>
      <c r="G12" s="23">
        <v>77.5</v>
      </c>
      <c r="H12" s="33">
        <v>3992.4955038525127</v>
      </c>
      <c r="I12" s="23">
        <v>62.448014551324292</v>
      </c>
      <c r="J12" s="5">
        <v>9631.3325126368491</v>
      </c>
      <c r="K12" s="31"/>
      <c r="L12" s="23">
        <v>3343867.025832199</v>
      </c>
      <c r="M12" s="33">
        <v>1062.7576470588035</v>
      </c>
      <c r="N12" s="5">
        <v>6</v>
      </c>
      <c r="O12" s="5">
        <v>26</v>
      </c>
      <c r="P12" s="33">
        <v>355.7468016851783</v>
      </c>
      <c r="Q12" s="5">
        <v>31.917853892915247</v>
      </c>
      <c r="R12" s="5">
        <v>5322.9548936146984</v>
      </c>
      <c r="S12" s="31"/>
      <c r="T12" s="23">
        <v>3132085.957984847</v>
      </c>
      <c r="U12" s="33">
        <v>291.6358823529855</v>
      </c>
      <c r="V12" s="5">
        <v>5</v>
      </c>
      <c r="W12" s="5">
        <v>36</v>
      </c>
      <c r="X12" s="33">
        <v>1002.7396068902318</v>
      </c>
      <c r="Y12" s="5">
        <v>66.856663241001769</v>
      </c>
      <c r="Z12" s="5">
        <v>6531.1269268784717</v>
      </c>
      <c r="AA12" s="35"/>
    </row>
    <row r="13" spans="2:27" x14ac:dyDescent="0.2">
      <c r="B13" s="4">
        <v>10</v>
      </c>
      <c r="C13" s="4">
        <v>922</v>
      </c>
      <c r="D13" s="23">
        <v>2705438.8483546069</v>
      </c>
      <c r="E13" s="33">
        <v>239.72411764710318</v>
      </c>
      <c r="F13" s="5">
        <v>6</v>
      </c>
      <c r="G13" s="23">
        <v>56.5</v>
      </c>
      <c r="H13" s="33">
        <v>1317.853139664395</v>
      </c>
      <c r="I13" s="23">
        <v>61.648133876513782</v>
      </c>
      <c r="J13" s="5">
        <v>6932.8437471319767</v>
      </c>
      <c r="K13" s="31"/>
      <c r="L13" s="23">
        <v>3250989.4676866578</v>
      </c>
      <c r="M13" s="33">
        <v>442.14176470585005</v>
      </c>
      <c r="N13" s="5">
        <v>5</v>
      </c>
      <c r="O13" s="5">
        <v>28.5</v>
      </c>
      <c r="P13" s="33">
        <v>290.52264876012953</v>
      </c>
      <c r="Q13" s="5">
        <v>34.522244130121003</v>
      </c>
      <c r="R13" s="5">
        <v>5271.4262662449692</v>
      </c>
      <c r="S13" s="31"/>
      <c r="T13" s="23">
        <v>2945819.494803844</v>
      </c>
      <c r="U13" s="33">
        <v>732.35294117647061</v>
      </c>
      <c r="V13" s="5">
        <v>6</v>
      </c>
      <c r="W13" s="5">
        <v>45</v>
      </c>
      <c r="X13" s="33">
        <v>1138.452674965557</v>
      </c>
      <c r="Y13" s="5">
        <v>64.19366648421726</v>
      </c>
      <c r="Z13" s="5">
        <v>6677.0363680986557</v>
      </c>
      <c r="AA13" s="35"/>
    </row>
    <row r="14" spans="2:27" x14ac:dyDescent="0.2">
      <c r="B14" s="46" t="s">
        <v>3</v>
      </c>
      <c r="C14" s="47"/>
      <c r="D14" s="9">
        <f>MIN(D4:D13)</f>
        <v>2653362.6584630478</v>
      </c>
      <c r="E14" s="22">
        <f>INDEX(E4:E13, MATCH($D$14, D4:D13, 0))</f>
        <v>391.37823529411384</v>
      </c>
      <c r="F14" s="9">
        <f>INDEX(F4:F13, MATCH($D$14, D4:D13, 0))</f>
        <v>5</v>
      </c>
      <c r="G14" s="9">
        <f>INDEX(G4:G13, MATCH($D$14, D4:D13, 0))</f>
        <v>55</v>
      </c>
      <c r="H14" s="22">
        <f>INDEX(H4:H13, MATCH($D$14, D4:D13, 0))</f>
        <v>911.99998600228128</v>
      </c>
      <c r="I14" s="22">
        <f>INDEX(I4:I13, MATCH($D$14, D4:D13, 0))</f>
        <v>65.215548184284785</v>
      </c>
      <c r="J14" s="22">
        <f>INDEX(J4:J13, MATCH($D$14, D4:D13, 0))</f>
        <v>6520.0115604467983</v>
      </c>
      <c r="K14" s="32" t="e">
        <f>(D14-$D$15)/$D$15</f>
        <v>#DIV/0!</v>
      </c>
      <c r="L14" s="16">
        <f>MIN(L4:L13)</f>
        <v>3100501.8533303561</v>
      </c>
      <c r="M14" s="21">
        <f>INDEX(M4:M13, MATCH($L$14, L4:L13, 0))</f>
        <v>1146.534705882317</v>
      </c>
      <c r="N14" s="16">
        <f>INDEX(N4:N13, MATCH($L$14, L4:L13, 0))</f>
        <v>8</v>
      </c>
      <c r="O14" s="16">
        <f>INDEX(O4:O13, MATCH($L$14, L4:L13, 0))</f>
        <v>35</v>
      </c>
      <c r="P14" s="21">
        <f>INDEX(P4:P13, MATCH($L$14, L4:L13, 0))</f>
        <v>363.42475147857482</v>
      </c>
      <c r="Q14" s="21">
        <f>INDEX(Q4:Q13, MATCH($L$14, L4:L13, 0))</f>
        <v>27.299755497821383</v>
      </c>
      <c r="R14" s="21">
        <f>INDEX(R4:R13, MATCH($L$14, L4:L13, 0))</f>
        <v>4985.4160645258617</v>
      </c>
      <c r="S14" s="36" t="e">
        <f>(L14-$D$15)/$D$15</f>
        <v>#DIV/0!</v>
      </c>
      <c r="T14" s="38">
        <f>MIN(T4:T13)</f>
        <v>2945819.494803844</v>
      </c>
      <c r="U14" s="39">
        <f>INDEX(U4:U13, MATCH($T$14, T4:T13, 0))</f>
        <v>732.35294117647061</v>
      </c>
      <c r="V14" s="38">
        <f>INDEX(V4:V13, MATCH($T$14, T4:T13, 0))</f>
        <v>6</v>
      </c>
      <c r="W14" s="38">
        <f>INDEX(W4:W13, MATCH($T$14, T4:T13, 0))</f>
        <v>45</v>
      </c>
      <c r="X14" s="39">
        <f>INDEX(X4:X13, MATCH($T$14, T4:T13, 0))</f>
        <v>1138.452674965557</v>
      </c>
      <c r="Y14" s="39">
        <f>INDEX(Y4:Y13, MATCH($T$14, T4:T13, 0))</f>
        <v>64.19366648421726</v>
      </c>
      <c r="Z14" s="39">
        <f>INDEX(Z4:Z13, MATCH($T$14, T4:T13, 0))</f>
        <v>6677.0363680986557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17:C3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DBC6-0810-4D37-AB41-93D4353B546C}">
  <dimension ref="B1:AA17"/>
  <sheetViews>
    <sheetView tabSelected="1"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-0.98338167443846014</v>
      </c>
      <c r="J2" s="28" t="e">
        <f>(S14-J14)/J14</f>
        <v>#DIV/0!</v>
      </c>
      <c r="K2" s="28"/>
      <c r="L2" s="1" t="s">
        <v>19</v>
      </c>
      <c r="P2" s="1">
        <f>(P14-H14)/H14</f>
        <v>-0.3880738289050471</v>
      </c>
      <c r="R2" s="1">
        <f>(R14-J14)/J14</f>
        <v>-0.17385868610306077</v>
      </c>
      <c r="T2" s="1" t="s">
        <v>20</v>
      </c>
      <c r="X2" s="1">
        <f>(X14-P14)/P14</f>
        <v>0.69873024577918452</v>
      </c>
      <c r="Z2" s="1">
        <f>(Z14-R14)/R14</f>
        <v>0.22050005328633734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496</v>
      </c>
      <c r="D4" s="23">
        <v>2747466.607613415</v>
      </c>
      <c r="E4" s="33">
        <v>279.42117647062446</v>
      </c>
      <c r="F4" s="5">
        <v>5</v>
      </c>
      <c r="G4" s="23">
        <v>53</v>
      </c>
      <c r="H4" s="33">
        <v>983.54133286920785</v>
      </c>
      <c r="I4" s="23">
        <v>61.841307107416107</v>
      </c>
      <c r="J4" s="5">
        <v>6775.9077611991688</v>
      </c>
      <c r="K4" s="31"/>
      <c r="L4" s="23">
        <v>3154654.2902152562</v>
      </c>
      <c r="M4" s="33">
        <v>749.76117647061233</v>
      </c>
      <c r="N4" s="5">
        <v>8</v>
      </c>
      <c r="O4" s="5">
        <v>38</v>
      </c>
      <c r="P4" s="33">
        <v>1127.0642320629815</v>
      </c>
      <c r="Q4" s="5">
        <v>31.199948084680052</v>
      </c>
      <c r="R4" s="5">
        <v>6307.2979618362797</v>
      </c>
      <c r="S4" s="31"/>
      <c r="T4" s="23">
        <v>3681569.202498123</v>
      </c>
      <c r="U4" s="33">
        <v>299.65117647059208</v>
      </c>
      <c r="V4" s="5">
        <v>9</v>
      </c>
      <c r="W4" s="5">
        <v>30</v>
      </c>
      <c r="X4" s="33">
        <v>4157.3808938764496</v>
      </c>
      <c r="Y4" s="5">
        <v>58.026227812923267</v>
      </c>
      <c r="Z4" s="5">
        <v>10072.814227209783</v>
      </c>
      <c r="AA4" s="35"/>
    </row>
    <row r="5" spans="2:27" x14ac:dyDescent="0.2">
      <c r="B5" s="4">
        <v>2</v>
      </c>
      <c r="C5" s="4">
        <v>681</v>
      </c>
      <c r="D5" s="23">
        <v>2644167.9439996849</v>
      </c>
      <c r="E5" s="33">
        <v>402.87647058824354</v>
      </c>
      <c r="F5" s="5">
        <v>9</v>
      </c>
      <c r="G5" s="23">
        <v>63.5</v>
      </c>
      <c r="H5" s="33">
        <v>1620.4597714187121</v>
      </c>
      <c r="I5" s="23">
        <v>47.598357115833146</v>
      </c>
      <c r="J5" s="5">
        <v>7172.377533739018</v>
      </c>
      <c r="K5" s="31"/>
      <c r="L5" s="23">
        <v>3095815.2375074639</v>
      </c>
      <c r="M5" s="33">
        <v>1218.8235294117646</v>
      </c>
      <c r="N5" s="5">
        <v>9</v>
      </c>
      <c r="O5" s="5">
        <v>39.5</v>
      </c>
      <c r="P5" s="33">
        <v>1041.738757907779</v>
      </c>
      <c r="Q5" s="5">
        <v>30.193916437965374</v>
      </c>
      <c r="R5" s="5">
        <v>6025.7369257288838</v>
      </c>
      <c r="S5" s="31"/>
      <c r="T5" s="23">
        <v>3104577.9817817779</v>
      </c>
      <c r="U5" s="33">
        <v>482.03999999999616</v>
      </c>
      <c r="V5" s="5">
        <v>6</v>
      </c>
      <c r="W5" s="5">
        <v>39.5</v>
      </c>
      <c r="X5" s="33">
        <v>1271.0094054728904</v>
      </c>
      <c r="Y5" s="5">
        <v>58.998020682826024</v>
      </c>
      <c r="Z5" s="5">
        <v>6895.4262877259307</v>
      </c>
      <c r="AA5" s="35"/>
    </row>
    <row r="6" spans="2:27" x14ac:dyDescent="0.2">
      <c r="B6" s="4">
        <v>3</v>
      </c>
      <c r="C6" s="4">
        <v>80</v>
      </c>
      <c r="D6" s="23">
        <v>2851053.725999203</v>
      </c>
      <c r="E6" s="33">
        <v>386.60823529408151</v>
      </c>
      <c r="F6" s="5">
        <v>6</v>
      </c>
      <c r="G6" s="23">
        <v>56.5</v>
      </c>
      <c r="H6" s="33">
        <v>1881.0967677273718</v>
      </c>
      <c r="I6" s="23">
        <v>64.853146514288298</v>
      </c>
      <c r="J6" s="5">
        <v>7665.8427762781057</v>
      </c>
      <c r="K6" s="31"/>
      <c r="L6" s="23">
        <v>3189034.6251559239</v>
      </c>
      <c r="M6" s="33">
        <v>1332.4076470588195</v>
      </c>
      <c r="N6" s="5">
        <v>13</v>
      </c>
      <c r="O6" s="5">
        <v>37.5</v>
      </c>
      <c r="P6" s="33">
        <v>920.63861754947629</v>
      </c>
      <c r="Q6" s="5">
        <v>21.392056112894775</v>
      </c>
      <c r="R6" s="5">
        <v>5654.6652027200507</v>
      </c>
      <c r="S6" s="31"/>
      <c r="T6" s="23">
        <v>3351615.311940697</v>
      </c>
      <c r="U6" s="33">
        <v>637.92235294117233</v>
      </c>
      <c r="V6" s="5">
        <v>7</v>
      </c>
      <c r="W6" s="5">
        <v>38</v>
      </c>
      <c r="X6" s="33">
        <v>2512.4060529151971</v>
      </c>
      <c r="Y6" s="5">
        <v>68.623474693257762</v>
      </c>
      <c r="Z6" s="5">
        <v>8394.7178784293083</v>
      </c>
      <c r="AA6" s="35"/>
    </row>
    <row r="7" spans="2:27" x14ac:dyDescent="0.2">
      <c r="B7" s="4">
        <v>4</v>
      </c>
      <c r="C7" s="4">
        <v>866</v>
      </c>
      <c r="D7" s="23">
        <v>2762965.2484128848</v>
      </c>
      <c r="E7" s="33">
        <v>232.5</v>
      </c>
      <c r="F7" s="5">
        <v>5</v>
      </c>
      <c r="G7" s="23">
        <v>54</v>
      </c>
      <c r="H7" s="33">
        <v>1197.6842061316609</v>
      </c>
      <c r="I7" s="23">
        <v>65.130043050705723</v>
      </c>
      <c r="J7" s="5">
        <v>7035.0187754938688</v>
      </c>
      <c r="K7" s="31"/>
      <c r="L7" s="23">
        <v>3068486.0907536568</v>
      </c>
      <c r="M7" s="33">
        <v>459.59529411766732</v>
      </c>
      <c r="N7" s="5">
        <v>10</v>
      </c>
      <c r="O7" s="5">
        <v>41</v>
      </c>
      <c r="P7" s="33">
        <v>946.5272996553</v>
      </c>
      <c r="Q7" s="5">
        <v>25.70522321411902</v>
      </c>
      <c r="R7" s="5">
        <v>5958.8447371446255</v>
      </c>
      <c r="S7" s="31"/>
      <c r="T7" s="23">
        <v>3026004.0868130089</v>
      </c>
      <c r="U7" s="33">
        <v>657.60999999995181</v>
      </c>
      <c r="V7" s="5">
        <v>8</v>
      </c>
      <c r="W7" s="5">
        <v>46</v>
      </c>
      <c r="X7" s="33">
        <v>1607.8945523801556</v>
      </c>
      <c r="Y7" s="5">
        <v>55.139175694628918</v>
      </c>
      <c r="Z7" s="5">
        <v>7272.7703192100262</v>
      </c>
      <c r="AA7" s="35"/>
    </row>
    <row r="8" spans="2:27" x14ac:dyDescent="0.2">
      <c r="B8" s="4">
        <v>5</v>
      </c>
      <c r="C8" s="4">
        <v>561</v>
      </c>
      <c r="D8" s="23">
        <v>2759270.1425172202</v>
      </c>
      <c r="E8" s="33">
        <v>228.91529411769142</v>
      </c>
      <c r="F8" s="5">
        <v>5</v>
      </c>
      <c r="G8" s="23">
        <v>54</v>
      </c>
      <c r="H8" s="33">
        <v>1146.6165755270322</v>
      </c>
      <c r="I8" s="23">
        <v>64.115239950826634</v>
      </c>
      <c r="J8" s="5">
        <v>6963.2462371908578</v>
      </c>
      <c r="K8" s="31"/>
      <c r="L8" s="23">
        <v>3299973.471037162</v>
      </c>
      <c r="M8" s="33">
        <v>957.59176470585828</v>
      </c>
      <c r="N8" s="5">
        <v>5</v>
      </c>
      <c r="O8" s="5">
        <v>25</v>
      </c>
      <c r="P8" s="33">
        <v>63.375893455479925</v>
      </c>
      <c r="Q8" s="5">
        <v>29.699537294285342</v>
      </c>
      <c r="R8" s="5">
        <v>4293.2521154283277</v>
      </c>
      <c r="S8" s="31"/>
      <c r="T8" s="23">
        <v>3061666.3424498821</v>
      </c>
      <c r="U8" s="33">
        <v>936.85705882353352</v>
      </c>
      <c r="V8" s="5">
        <v>6</v>
      </c>
      <c r="W8" s="5">
        <v>41.5</v>
      </c>
      <c r="X8" s="33">
        <v>1261.8725564836009</v>
      </c>
      <c r="Y8" s="5">
        <v>64.544902909406588</v>
      </c>
      <c r="Z8" s="5">
        <v>6983.3954618714779</v>
      </c>
      <c r="AA8" s="35"/>
    </row>
    <row r="9" spans="2:27" x14ac:dyDescent="0.2">
      <c r="B9" s="4">
        <v>6</v>
      </c>
      <c r="C9" s="4">
        <v>779</v>
      </c>
      <c r="D9" s="23">
        <v>2767496.5737412958</v>
      </c>
      <c r="E9" s="33">
        <v>1101.2682352940935</v>
      </c>
      <c r="F9" s="5">
        <v>6</v>
      </c>
      <c r="G9" s="23">
        <v>53.5</v>
      </c>
      <c r="H9" s="33">
        <v>1245.5683413370982</v>
      </c>
      <c r="I9" s="23">
        <v>66.811026326733341</v>
      </c>
      <c r="J9" s="5">
        <v>6904.0510773261458</v>
      </c>
      <c r="K9" s="31"/>
      <c r="L9" s="23">
        <v>3194719.1987424642</v>
      </c>
      <c r="M9" s="33">
        <v>630.56058823528235</v>
      </c>
      <c r="N9" s="5">
        <v>6</v>
      </c>
      <c r="O9" s="5">
        <v>31</v>
      </c>
      <c r="P9" s="33">
        <v>242.05174510436603</v>
      </c>
      <c r="Q9" s="5">
        <v>33.329108068192276</v>
      </c>
      <c r="R9" s="5">
        <v>5183.4292390372066</v>
      </c>
      <c r="S9" s="31"/>
      <c r="T9" s="23">
        <v>3119886.3471377562</v>
      </c>
      <c r="U9" s="33">
        <v>735.61588235295301</v>
      </c>
      <c r="V9" s="5">
        <v>6</v>
      </c>
      <c r="W9" s="5">
        <v>37</v>
      </c>
      <c r="X9" s="33">
        <v>955.11521301216305</v>
      </c>
      <c r="Y9" s="5">
        <v>61.305554934595172</v>
      </c>
      <c r="Z9" s="5">
        <v>6569.2549355899146</v>
      </c>
      <c r="AA9" s="35"/>
    </row>
    <row r="10" spans="2:27" x14ac:dyDescent="0.2">
      <c r="B10" s="4">
        <v>7</v>
      </c>
      <c r="C10" s="4">
        <v>276</v>
      </c>
      <c r="D10" s="23">
        <v>2764893.3393755611</v>
      </c>
      <c r="E10" s="33">
        <v>196.22294117648647</v>
      </c>
      <c r="F10" s="5">
        <v>6</v>
      </c>
      <c r="G10" s="23">
        <v>55.5</v>
      </c>
      <c r="H10" s="33">
        <v>1326.0233020663061</v>
      </c>
      <c r="I10" s="23">
        <v>59.374458961718489</v>
      </c>
      <c r="J10" s="5">
        <v>7088.2179516454389</v>
      </c>
      <c r="K10" s="31"/>
      <c r="L10" s="23">
        <v>3118995.8212599582</v>
      </c>
      <c r="M10" s="33">
        <v>634.31999999995594</v>
      </c>
      <c r="N10" s="5">
        <v>8</v>
      </c>
      <c r="O10" s="5">
        <v>36</v>
      </c>
      <c r="P10" s="33">
        <v>694.11357726345648</v>
      </c>
      <c r="Q10" s="5">
        <v>29.583359926890402</v>
      </c>
      <c r="R10" s="5">
        <v>5475.8221505163565</v>
      </c>
      <c r="S10" s="31"/>
      <c r="T10" s="23">
        <v>3150548.6271797339</v>
      </c>
      <c r="U10" s="33">
        <v>528.69470588239733</v>
      </c>
      <c r="V10" s="5">
        <v>6</v>
      </c>
      <c r="W10" s="5">
        <v>36.5</v>
      </c>
      <c r="X10" s="33">
        <v>984.82805247306328</v>
      </c>
      <c r="Y10" s="5">
        <v>55.448469613280885</v>
      </c>
      <c r="Z10" s="5">
        <v>6713.9773553202667</v>
      </c>
      <c r="AA10" s="35"/>
    </row>
    <row r="11" spans="2:27" x14ac:dyDescent="0.2">
      <c r="B11" s="4">
        <v>8</v>
      </c>
      <c r="C11" s="4">
        <v>822</v>
      </c>
      <c r="D11" s="23">
        <v>2638945.9923879178</v>
      </c>
      <c r="E11" s="33">
        <v>341.0105882352903</v>
      </c>
      <c r="F11" s="5">
        <v>8</v>
      </c>
      <c r="G11" s="23">
        <v>63</v>
      </c>
      <c r="H11" s="33">
        <v>1546.7998336492572</v>
      </c>
      <c r="I11" s="23">
        <v>54.663753029478741</v>
      </c>
      <c r="J11" s="5">
        <v>7212.8637521304117</v>
      </c>
      <c r="K11" s="31"/>
      <c r="L11" s="23">
        <v>3142360.7624867982</v>
      </c>
      <c r="M11" s="33">
        <v>1465.1376470588559</v>
      </c>
      <c r="N11" s="5">
        <v>9</v>
      </c>
      <c r="O11" s="5">
        <v>36</v>
      </c>
      <c r="P11" s="33">
        <v>796.7397445788057</v>
      </c>
      <c r="Q11" s="5">
        <v>27.549280567221956</v>
      </c>
      <c r="R11" s="5">
        <v>5455.8068672034633</v>
      </c>
      <c r="S11" s="31"/>
      <c r="T11" s="23">
        <v>3054405.2128835958</v>
      </c>
      <c r="U11" s="33">
        <v>533.94294117645859</v>
      </c>
      <c r="V11" s="5">
        <v>7</v>
      </c>
      <c r="W11" s="5">
        <v>43</v>
      </c>
      <c r="X11" s="33">
        <v>1435.064286613386</v>
      </c>
      <c r="Y11" s="5">
        <v>61.613936425221425</v>
      </c>
      <c r="Z11" s="5">
        <v>7157.5449844468167</v>
      </c>
      <c r="AA11" s="35"/>
    </row>
    <row r="12" spans="2:27" x14ac:dyDescent="0.2">
      <c r="B12" s="4">
        <v>9</v>
      </c>
      <c r="C12" s="4">
        <v>951</v>
      </c>
      <c r="D12" s="23">
        <v>2640255.4445886142</v>
      </c>
      <c r="E12" s="33">
        <v>321.25</v>
      </c>
      <c r="F12" s="5">
        <v>9</v>
      </c>
      <c r="G12" s="23">
        <v>63.5</v>
      </c>
      <c r="H12" s="33">
        <v>1615.5577110710447</v>
      </c>
      <c r="I12" s="23">
        <v>48.55816767246715</v>
      </c>
      <c r="J12" s="5">
        <v>7163.1762464869817</v>
      </c>
      <c r="K12" s="31"/>
      <c r="L12" s="23">
        <v>3225580.2212643689</v>
      </c>
      <c r="M12" s="33">
        <v>563.2447058823891</v>
      </c>
      <c r="N12" s="5">
        <v>6</v>
      </c>
      <c r="O12" s="5">
        <v>30.5</v>
      </c>
      <c r="P12" s="33">
        <v>239.07189508163077</v>
      </c>
      <c r="Q12" s="5">
        <v>30.199299897745096</v>
      </c>
      <c r="R12" s="5">
        <v>5319.0471881073308</v>
      </c>
      <c r="S12" s="31"/>
      <c r="T12" s="23">
        <v>3143601.157504648</v>
      </c>
      <c r="U12" s="33">
        <v>749.61411764708294</v>
      </c>
      <c r="V12" s="5">
        <v>5</v>
      </c>
      <c r="W12" s="5">
        <v>36</v>
      </c>
      <c r="X12" s="33">
        <v>928.00865020244578</v>
      </c>
      <c r="Y12" s="5">
        <v>67.460729989327859</v>
      </c>
      <c r="Z12" s="5">
        <v>6626.2312085364019</v>
      </c>
      <c r="AA12" s="35"/>
    </row>
    <row r="13" spans="2:27" x14ac:dyDescent="0.2">
      <c r="B13" s="4">
        <v>10</v>
      </c>
      <c r="C13" s="4">
        <v>223</v>
      </c>
      <c r="D13" s="23">
        <v>3052479.7165411292</v>
      </c>
      <c r="E13" s="33">
        <v>197.1782352941056</v>
      </c>
      <c r="F13" s="5">
        <v>13</v>
      </c>
      <c r="G13" s="23">
        <v>62</v>
      </c>
      <c r="H13" s="33">
        <v>3047.4401078139026</v>
      </c>
      <c r="I13" s="23">
        <v>40.181585587380773</v>
      </c>
      <c r="J13" s="5">
        <v>8547.6519079722239</v>
      </c>
      <c r="K13" s="31"/>
      <c r="L13" s="23">
        <v>3242298.5177092692</v>
      </c>
      <c r="M13" s="33">
        <v>1082.122941176503</v>
      </c>
      <c r="N13" s="5">
        <v>5</v>
      </c>
      <c r="O13" s="5">
        <v>28.5</v>
      </c>
      <c r="P13" s="33">
        <v>203.38259638663163</v>
      </c>
      <c r="Q13" s="5">
        <v>35.526348790325819</v>
      </c>
      <c r="R13" s="5">
        <v>5210.0261331132679</v>
      </c>
      <c r="S13" s="31"/>
      <c r="T13" s="23">
        <v>3095808.737151735</v>
      </c>
      <c r="U13" s="33">
        <v>370.91882352943202</v>
      </c>
      <c r="V13" s="5">
        <v>5</v>
      </c>
      <c r="W13" s="5">
        <v>38.5</v>
      </c>
      <c r="X13" s="33">
        <v>1003.9162295400599</v>
      </c>
      <c r="Y13" s="5">
        <v>64.794849239730027</v>
      </c>
      <c r="Z13" s="5">
        <v>6761.2673374917658</v>
      </c>
      <c r="AA13" s="35"/>
    </row>
    <row r="14" spans="2:27" x14ac:dyDescent="0.2">
      <c r="B14" s="46" t="s">
        <v>3</v>
      </c>
      <c r="C14" s="47"/>
      <c r="D14" s="9">
        <f>MIN(D4:D13)</f>
        <v>2638945.9923879178</v>
      </c>
      <c r="E14" s="22">
        <f>INDEX(E4:E13, MATCH($D$14, D4:D13, 0))</f>
        <v>341.0105882352903</v>
      </c>
      <c r="F14" s="9">
        <f>INDEX(F4:F13, MATCH($D$14, D4:D13, 0))</f>
        <v>8</v>
      </c>
      <c r="G14" s="9">
        <f>INDEX(G4:G13, MATCH($D$14, D4:D13, 0))</f>
        <v>63</v>
      </c>
      <c r="H14" s="22">
        <f>INDEX(H4:H13, MATCH($D$14, D4:D13, 0))</f>
        <v>1546.7998336492572</v>
      </c>
      <c r="I14" s="22">
        <f>INDEX(I4:I13, MATCH($D$14, D4:D13, 0))</f>
        <v>54.663753029478741</v>
      </c>
      <c r="J14" s="22">
        <f>INDEX(J4:J13, MATCH($D$14, D4:D13, 0))</f>
        <v>7212.8637521304117</v>
      </c>
      <c r="K14" s="32" t="e">
        <f>(D14-$D$15)/$D$15</f>
        <v>#DIV/0!</v>
      </c>
      <c r="L14" s="16">
        <f>MIN(L4:L13)</f>
        <v>3068486.0907536568</v>
      </c>
      <c r="M14" s="21">
        <f>INDEX(M4:M13, MATCH($L$14, L4:L13, 0))</f>
        <v>459.59529411766732</v>
      </c>
      <c r="N14" s="16">
        <f>INDEX(N4:N13, MATCH($L$14, L4:L13, 0))</f>
        <v>10</v>
      </c>
      <c r="O14" s="16">
        <f>INDEX(O4:O13, MATCH($L$14, L4:L13, 0))</f>
        <v>41</v>
      </c>
      <c r="P14" s="21">
        <f>INDEX(P4:P13, MATCH($L$14, L4:L13, 0))</f>
        <v>946.5272996553</v>
      </c>
      <c r="Q14" s="21">
        <f>INDEX(Q4:Q13, MATCH($L$14, L4:L13, 0))</f>
        <v>25.70522321411902</v>
      </c>
      <c r="R14" s="21">
        <f>INDEX(R4:R13, MATCH($L$14, L4:L13, 0))</f>
        <v>5958.8447371446255</v>
      </c>
      <c r="S14" s="36" t="e">
        <f>(L14-$D$15)/$D$15</f>
        <v>#DIV/0!</v>
      </c>
      <c r="T14" s="38">
        <f>MIN(T4:T13)</f>
        <v>3026004.0868130089</v>
      </c>
      <c r="U14" s="39">
        <f>INDEX(U4:U13, MATCH($T$14, T4:T13, 0))</f>
        <v>657.60999999995181</v>
      </c>
      <c r="V14" s="38">
        <f>INDEX(V4:V13, MATCH($T$14, T4:T13, 0))</f>
        <v>8</v>
      </c>
      <c r="W14" s="38">
        <f>INDEX(W4:W13, MATCH($T$14, T4:T13, 0))</f>
        <v>46</v>
      </c>
      <c r="X14" s="39">
        <f>INDEX(X4:X13, MATCH($T$14, T4:T13, 0))</f>
        <v>1607.8945523801556</v>
      </c>
      <c r="Y14" s="39">
        <f>INDEX(Y4:Y13, MATCH($T$14, T4:T13, 0))</f>
        <v>55.139175694628918</v>
      </c>
      <c r="Z14" s="39">
        <f>INDEX(Z4:Z13, MATCH($T$14, T4:T13, 0))</f>
        <v>7272.7703192100262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9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17:C3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results105</vt:lpstr>
      <vt:lpstr>results118</vt:lpstr>
      <vt:lpstr>results129</vt:lpstr>
      <vt:lpstr>results223</vt:lpstr>
      <vt:lpstr>results261</vt:lpstr>
      <vt:lpstr>results361</vt:lpstr>
      <vt:lpstr>results469</vt:lpstr>
      <vt:lpstr>results494</vt:lpstr>
      <vt:lpstr>results519</vt:lpstr>
      <vt:lpstr>results963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2026-10-22T01:17:46Z</dcterms:modified>
</cp:coreProperties>
</file>