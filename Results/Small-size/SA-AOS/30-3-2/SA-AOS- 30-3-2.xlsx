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30-3-2/"/>
    </mc:Choice>
  </mc:AlternateContent>
  <xr:revisionPtr revIDLastSave="0" documentId="13_ncr:1_{514A465A-0ADC-6D4B-A705-E7E467D26CB8}" xr6:coauthVersionLast="47" xr6:coauthVersionMax="47" xr10:uidLastSave="{00000000-0000-0000-0000-000000000000}"/>
  <bookViews>
    <workbookView xWindow="0" yWindow="760" windowWidth="34560" windowHeight="20500" tabRatio="679" xr2:uid="{41E620E7-D6DF-9342-B452-EA60AB3B07C5}"/>
  </bookViews>
  <sheets>
    <sheet name="Summary" sheetId="67" r:id="rId1"/>
    <sheet name="results53" sheetId="58" r:id="rId2"/>
    <sheet name="results74" sheetId="57" r:id="rId3"/>
    <sheet name="results101" sheetId="59" r:id="rId4"/>
    <sheet name="results145" sheetId="60" r:id="rId5"/>
    <sheet name="results311" sheetId="61" r:id="rId6"/>
    <sheet name="results529" sheetId="62" r:id="rId7"/>
    <sheet name="results587" sheetId="63" r:id="rId8"/>
    <sheet name="results753" sheetId="64" r:id="rId9"/>
    <sheet name="results898" sheetId="65" r:id="rId10"/>
    <sheet name="results997" sheetId="66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9" i="67" a="1"/>
  <c r="C10" i="67" a="1"/>
  <c r="G6" i="67" a="1"/>
  <c r="H6" i="67" a="1"/>
  <c r="F4" i="67" a="1"/>
  <c r="I3" i="67" a="1"/>
  <c r="H9" i="67" a="1"/>
  <c r="D10" i="67" a="1"/>
  <c r="C4" i="67" a="1"/>
  <c r="I4" i="67" a="1"/>
  <c r="F6" i="67" a="1"/>
  <c r="D8" i="67" a="1"/>
  <c r="F7" i="67" a="1"/>
  <c r="I6" i="67" a="1"/>
  <c r="C9" i="67" a="1"/>
  <c r="G5" i="67" a="1"/>
  <c r="E3" i="67" a="1"/>
  <c r="G10" i="67" a="1"/>
  <c r="E5" i="67" a="1"/>
  <c r="C8" i="67" a="1"/>
  <c r="D5" i="67" a="1"/>
  <c r="F3" i="67" a="1"/>
  <c r="F10" i="67" a="1"/>
  <c r="D4" i="67" a="1"/>
  <c r="C11" i="67" a="1"/>
  <c r="E10" i="67" a="1"/>
  <c r="H11" i="67" a="1"/>
  <c r="E12" i="67" a="1"/>
  <c r="G7" i="67" a="1"/>
  <c r="H5" i="67" a="1"/>
  <c r="F11" i="67" a="1"/>
  <c r="D12" i="67" a="1"/>
  <c r="D3" i="67" a="1"/>
  <c r="H4" i="67" a="1"/>
  <c r="H3" i="67" a="1"/>
  <c r="I11" i="67" a="1"/>
  <c r="C6" i="67" a="1"/>
  <c r="C3" i="67" a="1"/>
  <c r="F12" i="67" a="1"/>
  <c r="H8" i="67" a="1"/>
  <c r="H12" i="67" a="1"/>
  <c r="C12" i="67" a="1"/>
  <c r="E6" i="67" a="1"/>
  <c r="I7" i="67" a="1"/>
  <c r="F5" i="67" a="1"/>
  <c r="I5" i="67" a="1"/>
  <c r="G12" i="67" a="1"/>
  <c r="I10" i="67" a="1"/>
  <c r="G3" i="67" a="1"/>
  <c r="E8" i="67" a="1"/>
  <c r="F8" i="67" a="1"/>
  <c r="I12" i="67" a="1"/>
  <c r="E11" i="67" a="1"/>
  <c r="H7" i="67" a="1"/>
  <c r="G9" i="67" a="1"/>
  <c r="D6" i="67" a="1"/>
  <c r="D11" i="67" a="1"/>
  <c r="I9" i="67" a="1"/>
  <c r="D9" i="67" a="1"/>
  <c r="D7" i="67" a="1"/>
  <c r="E7" i="67" a="1"/>
  <c r="G4" i="67" a="1"/>
  <c r="C7" i="67" a="1"/>
  <c r="I8" i="67" a="1"/>
  <c r="G11" i="67" a="1"/>
  <c r="E9" i="67" a="1"/>
  <c r="H10" i="67" a="1"/>
  <c r="G8" i="67" a="1"/>
  <c r="C5" i="67" a="1"/>
  <c r="E4" i="67" a="1"/>
  <c r="L14" i="57" l="1"/>
  <c r="G7" i="67"/>
  <c r="C8" i="67"/>
  <c r="H7" i="67"/>
  <c r="G9" i="67"/>
  <c r="D10" i="67"/>
  <c r="H12" i="67"/>
  <c r="H4" i="67"/>
  <c r="D8" i="67"/>
  <c r="F9" i="67"/>
  <c r="E3" i="67"/>
  <c r="I4" i="67"/>
  <c r="G10" i="67"/>
  <c r="D11" i="67"/>
  <c r="I12" i="67"/>
  <c r="E8" i="67"/>
  <c r="G4" i="67"/>
  <c r="G6" i="67"/>
  <c r="C10" i="67"/>
  <c r="D5" i="67"/>
  <c r="E5" i="67"/>
  <c r="H6" i="67"/>
  <c r="G8" i="67"/>
  <c r="F5" i="67"/>
  <c r="H3" i="67"/>
  <c r="E7" i="67"/>
  <c r="H8" i="67"/>
  <c r="I10" i="67"/>
  <c r="F11" i="67"/>
  <c r="C12" i="67"/>
  <c r="I8" i="67"/>
  <c r="E9" i="67"/>
  <c r="G11" i="67"/>
  <c r="D12" i="67"/>
  <c r="D3" i="67"/>
  <c r="D6" i="67"/>
  <c r="G12" i="67"/>
  <c r="E6" i="67"/>
  <c r="F3" i="67"/>
  <c r="G3" i="67"/>
  <c r="D7" i="67"/>
  <c r="H10" i="67"/>
  <c r="E11" i="67"/>
  <c r="C4" i="67"/>
  <c r="I6" i="67"/>
  <c r="D9" i="67"/>
  <c r="D4" i="67"/>
  <c r="G5" i="67"/>
  <c r="C6" i="67"/>
  <c r="F7" i="67"/>
  <c r="E4" i="67"/>
  <c r="H5" i="67"/>
  <c r="H9" i="67"/>
  <c r="E12" i="67"/>
  <c r="I5" i="67"/>
  <c r="F6" i="67"/>
  <c r="I7" i="67"/>
  <c r="F8" i="67"/>
  <c r="C9" i="67"/>
  <c r="I9" i="67"/>
  <c r="F10" i="67"/>
  <c r="C11" i="67"/>
  <c r="I11" i="67"/>
  <c r="F12" i="67"/>
  <c r="E10" i="67"/>
  <c r="H11" i="67"/>
  <c r="C3" i="67"/>
  <c r="I3" i="67"/>
  <c r="F4" i="67"/>
  <c r="C5" i="67"/>
  <c r="C7" i="67"/>
  <c r="K9" i="66"/>
  <c r="K11" i="66"/>
  <c r="K12" i="66"/>
  <c r="K10" i="66"/>
  <c r="K5" i="66"/>
  <c r="K13" i="66"/>
  <c r="K6" i="66"/>
  <c r="K8" i="66"/>
  <c r="K7" i="66"/>
  <c r="K9" i="65"/>
  <c r="K10" i="65"/>
  <c r="K5" i="65"/>
  <c r="K13" i="65"/>
  <c r="K6" i="65"/>
  <c r="K8" i="65"/>
  <c r="K11" i="65"/>
  <c r="K12" i="65"/>
  <c r="K7" i="65"/>
  <c r="K8" i="64"/>
  <c r="K13" i="64"/>
  <c r="K12" i="64"/>
  <c r="K11" i="64"/>
  <c r="K5" i="64"/>
  <c r="K6" i="64"/>
  <c r="K9" i="64"/>
  <c r="K10" i="64"/>
  <c r="K7" i="64"/>
  <c r="K8" i="63"/>
  <c r="K9" i="63"/>
  <c r="K5" i="63"/>
  <c r="K10" i="63"/>
  <c r="K11" i="63"/>
  <c r="K6" i="63"/>
  <c r="K12" i="63"/>
  <c r="K13" i="63"/>
  <c r="K7" i="63"/>
  <c r="K10" i="62"/>
  <c r="K11" i="62"/>
  <c r="K12" i="62"/>
  <c r="K13" i="62"/>
  <c r="K5" i="62"/>
  <c r="K8" i="62"/>
  <c r="K9" i="62"/>
  <c r="K6" i="62"/>
  <c r="K7" i="62"/>
  <c r="K9" i="61"/>
  <c r="K10" i="61"/>
  <c r="K13" i="61"/>
  <c r="K11" i="61"/>
  <c r="K5" i="61"/>
  <c r="K8" i="61"/>
  <c r="K12" i="61"/>
  <c r="K6" i="61"/>
  <c r="K7" i="61"/>
  <c r="K8" i="60"/>
  <c r="K11" i="60"/>
  <c r="K5" i="60"/>
  <c r="K6" i="60"/>
  <c r="K9" i="60"/>
  <c r="K10" i="60"/>
  <c r="K12" i="60"/>
  <c r="K13" i="60"/>
  <c r="K7" i="60"/>
  <c r="K8" i="59"/>
  <c r="K11" i="59"/>
  <c r="K13" i="59"/>
  <c r="K5" i="59"/>
  <c r="K12" i="59"/>
  <c r="K6" i="59"/>
  <c r="K9" i="59"/>
  <c r="K10" i="59"/>
  <c r="K7" i="59"/>
  <c r="K9" i="58"/>
  <c r="K10" i="58"/>
  <c r="K7" i="58"/>
  <c r="K8" i="58"/>
  <c r="K13" i="58"/>
  <c r="K5" i="58"/>
  <c r="K11" i="58"/>
  <c r="K12" i="58"/>
  <c r="K6" i="58"/>
  <c r="K9" i="57"/>
  <c r="K11" i="57"/>
  <c r="K13" i="57"/>
  <c r="K10" i="57"/>
  <c r="K8" i="57"/>
  <c r="K5" i="57"/>
  <c r="K12" i="57"/>
  <c r="K6" i="57"/>
  <c r="K7" i="5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K8" i="67" a="1"/>
  <c r="C16" i="67" l="1"/>
  <c r="T14" i="66"/>
  <c r="V14" i="66" s="1"/>
  <c r="T14" i="65"/>
  <c r="AA14" i="65" s="1"/>
  <c r="T14" i="64"/>
  <c r="Z14" i="64" s="1"/>
  <c r="T14" i="63"/>
  <c r="T14" i="62"/>
  <c r="Z14" i="62" s="1"/>
  <c r="T14" i="61"/>
  <c r="T14" i="60"/>
  <c r="T14" i="59"/>
  <c r="AA14" i="59" s="1"/>
  <c r="T14" i="57"/>
  <c r="T14" i="58"/>
  <c r="X14" i="58" s="1"/>
  <c r="L14" i="66"/>
  <c r="R14" i="66" s="1"/>
  <c r="L14" i="65"/>
  <c r="O14" i="65" s="1"/>
  <c r="L14" i="64"/>
  <c r="Q14" i="64" s="1"/>
  <c r="L14" i="63"/>
  <c r="L14" i="62"/>
  <c r="M14" i="62" s="1"/>
  <c r="L14" i="61"/>
  <c r="O14" i="61" s="1"/>
  <c r="L14" i="60"/>
  <c r="P14" i="60" s="1"/>
  <c r="L14" i="59"/>
  <c r="L14" i="58"/>
  <c r="W14" i="66"/>
  <c r="Q14" i="66"/>
  <c r="M14" i="66"/>
  <c r="P14" i="66"/>
  <c r="N14" i="66"/>
  <c r="O14" i="66"/>
  <c r="S14" i="66"/>
  <c r="P14" i="65"/>
  <c r="N14" i="65"/>
  <c r="M14" i="65"/>
  <c r="R14" i="65"/>
  <c r="Z14" i="65"/>
  <c r="AA14" i="64"/>
  <c r="AA14" i="63"/>
  <c r="Z14" i="63"/>
  <c r="Y14" i="63"/>
  <c r="X14" i="63"/>
  <c r="W14" i="63"/>
  <c r="V14" i="63"/>
  <c r="U14" i="63"/>
  <c r="O14" i="63"/>
  <c r="N14" i="63"/>
  <c r="M14" i="63"/>
  <c r="S14" i="63"/>
  <c r="R14" i="63"/>
  <c r="Q14" i="63"/>
  <c r="P14" i="63"/>
  <c r="AA14" i="62"/>
  <c r="Y14" i="62"/>
  <c r="V14" i="62"/>
  <c r="AA14" i="61"/>
  <c r="Z14" i="61"/>
  <c r="Y14" i="61"/>
  <c r="X14" i="61"/>
  <c r="W14" i="61"/>
  <c r="V14" i="61"/>
  <c r="U14" i="61"/>
  <c r="AA14" i="60"/>
  <c r="Z14" i="60"/>
  <c r="Y14" i="60"/>
  <c r="X14" i="60"/>
  <c r="W14" i="60"/>
  <c r="V14" i="60"/>
  <c r="U14" i="60"/>
  <c r="O14" i="60"/>
  <c r="N14" i="60"/>
  <c r="M14" i="60"/>
  <c r="S14" i="60"/>
  <c r="R14" i="60"/>
  <c r="Q14" i="60"/>
  <c r="Z14" i="59"/>
  <c r="Y14" i="59"/>
  <c r="X14" i="59"/>
  <c r="W14" i="59"/>
  <c r="V14" i="59"/>
  <c r="U14" i="59"/>
  <c r="P14" i="59"/>
  <c r="N14" i="59"/>
  <c r="O14" i="59"/>
  <c r="M14" i="59"/>
  <c r="S14" i="59"/>
  <c r="R14" i="59"/>
  <c r="Q14" i="59"/>
  <c r="Q14" i="57"/>
  <c r="P14" i="57"/>
  <c r="O14" i="57"/>
  <c r="N14" i="57"/>
  <c r="M14" i="57"/>
  <c r="S14" i="57"/>
  <c r="R14" i="57"/>
  <c r="AA14" i="57"/>
  <c r="Z14" i="57"/>
  <c r="Y14" i="57"/>
  <c r="X14" i="57"/>
  <c r="W14" i="57"/>
  <c r="V14" i="57"/>
  <c r="U14" i="57"/>
  <c r="S14" i="58"/>
  <c r="R14" i="58"/>
  <c r="Q14" i="58"/>
  <c r="P14" i="58"/>
  <c r="O14" i="58"/>
  <c r="N14" i="58"/>
  <c r="M14" i="58"/>
  <c r="AA14" i="58"/>
  <c r="Z14" i="58"/>
  <c r="Y14" i="58"/>
  <c r="I13" i="67"/>
  <c r="K8" i="67"/>
  <c r="F13" i="67"/>
  <c r="H13" i="67"/>
  <c r="C13" i="67"/>
  <c r="J13" i="67" s="1"/>
  <c r="E13" i="67"/>
  <c r="G13" i="67"/>
  <c r="D13" i="67"/>
  <c r="K4" i="66"/>
  <c r="D14" i="66"/>
  <c r="D14" i="65"/>
  <c r="K4" i="65"/>
  <c r="D14" i="64"/>
  <c r="K4" i="64"/>
  <c r="D14" i="63"/>
  <c r="K4" i="63"/>
  <c r="D14" i="62"/>
  <c r="K4" i="62"/>
  <c r="K4" i="61"/>
  <c r="D14" i="61"/>
  <c r="D14" i="60"/>
  <c r="K4" i="60"/>
  <c r="D14" i="59"/>
  <c r="K4" i="59"/>
  <c r="K4" i="58"/>
  <c r="D14" i="58"/>
  <c r="D14" i="57"/>
  <c r="K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K6" i="67" a="1"/>
  <c r="K3" i="67" a="1"/>
  <c r="K7" i="67" a="1"/>
  <c r="P8" i="67" a="1"/>
  <c r="L10" i="67" a="1"/>
  <c r="X10" i="67" a="1"/>
  <c r="S8" i="67" a="1"/>
  <c r="N6" i="67" a="1"/>
  <c r="Y8" i="67" a="1"/>
  <c r="W8" i="67" a="1"/>
  <c r="S9" i="67" a="1"/>
  <c r="M10" i="67" a="1"/>
  <c r="U8" i="67" a="1"/>
  <c r="M12" i="67" a="1"/>
  <c r="X7" i="67" a="1"/>
  <c r="K5" i="67" a="1"/>
  <c r="M8" i="67" a="1"/>
  <c r="O11" i="67" a="1"/>
  <c r="Q11" i="67" a="1"/>
  <c r="T12" i="67" a="1"/>
  <c r="O10" i="67" a="1"/>
  <c r="O5" i="67" a="1"/>
  <c r="P12" i="67" a="1"/>
  <c r="W3" i="67" a="1"/>
  <c r="Q8" i="67" a="1"/>
  <c r="K11" i="67" a="1"/>
  <c r="P9" i="67" a="1"/>
  <c r="V9" i="67" a="1"/>
  <c r="T9" i="67" a="1"/>
  <c r="O12" i="67" a="1"/>
  <c r="L11" i="67" a="1"/>
  <c r="L12" i="67" a="1"/>
  <c r="V5" i="67" a="1"/>
  <c r="N10" i="67" a="1"/>
  <c r="X8" i="67" a="1"/>
  <c r="M6" i="67" a="1"/>
  <c r="S5" i="67" a="1"/>
  <c r="Y12" i="67" a="1"/>
  <c r="Y10" i="67" a="1"/>
  <c r="W5" i="67" a="1"/>
  <c r="W10" i="67" a="1"/>
  <c r="N5" i="67" a="1"/>
  <c r="S12" i="67" a="1"/>
  <c r="Y3" i="67" a="1"/>
  <c r="S10" i="67" a="1"/>
  <c r="V8" i="67" a="1"/>
  <c r="K4" i="67" a="1"/>
  <c r="U5" i="67" a="1"/>
  <c r="Y6" i="67" a="1"/>
  <c r="U7" i="67" a="1"/>
  <c r="T8" i="67" a="1"/>
  <c r="X5" i="67" a="1"/>
  <c r="Y4" i="67" a="1"/>
  <c r="L7" i="67" a="1"/>
  <c r="O8" i="67" a="1"/>
  <c r="X3" i="67" a="1"/>
  <c r="X12" i="67" a="1"/>
  <c r="K9" i="67" a="1"/>
  <c r="P10" i="67" a="1"/>
  <c r="X9" i="67" a="1"/>
  <c r="V3" i="67" a="1"/>
  <c r="L8" i="67" a="1"/>
  <c r="L5" i="67" a="1"/>
  <c r="M9" i="67" a="1"/>
  <c r="Q10" i="67" a="1"/>
  <c r="S7" i="67" a="1"/>
  <c r="L9" i="67" a="1"/>
  <c r="W9" i="67" a="1"/>
  <c r="U3" i="67" a="1"/>
  <c r="T3" i="67" a="1"/>
  <c r="Y9" i="67" a="1"/>
  <c r="P5" i="67" a="1"/>
  <c r="W12" i="67" a="1"/>
  <c r="M5" i="67" a="1"/>
  <c r="N8" i="67" a="1"/>
  <c r="M11" i="67" a="1"/>
  <c r="U12" i="67" a="1"/>
  <c r="T5" i="67" a="1"/>
  <c r="Y7" i="67" a="1"/>
  <c r="Q6" i="67" a="1"/>
  <c r="O9" i="67" a="1"/>
  <c r="U9" i="67" a="1"/>
  <c r="S6" i="67" a="1"/>
  <c r="V12" i="67" a="1"/>
  <c r="U11" i="67" a="1"/>
  <c r="O6" i="67" a="1"/>
  <c r="P11" i="67" a="1"/>
  <c r="V11" i="67" a="1"/>
  <c r="S11" i="67" a="1"/>
  <c r="N3" i="67" a="1"/>
  <c r="P4" i="67" a="1"/>
  <c r="L6" i="67" a="1"/>
  <c r="Q5" i="67" a="1"/>
  <c r="S4" i="67" a="1"/>
  <c r="K10" i="67" a="1"/>
  <c r="N9" i="67" a="1"/>
  <c r="N11" i="67" a="1"/>
  <c r="S3" i="67" a="1"/>
  <c r="Q9" i="67" a="1"/>
  <c r="N12" i="67" a="1"/>
  <c r="K12" i="67" a="1"/>
  <c r="Q12" i="67" a="1"/>
  <c r="Y5" i="67" a="1"/>
  <c r="AA14" i="66" l="1"/>
  <c r="Z14" i="66"/>
  <c r="X14" i="66"/>
  <c r="U14" i="66"/>
  <c r="Y14" i="66"/>
  <c r="S11" i="67"/>
  <c r="U14" i="65"/>
  <c r="X14" i="65"/>
  <c r="V14" i="65"/>
  <c r="W14" i="65"/>
  <c r="Y14" i="65"/>
  <c r="S6" i="67"/>
  <c r="U14" i="64"/>
  <c r="V14" i="64"/>
  <c r="W14" i="64"/>
  <c r="X14" i="64"/>
  <c r="X2" i="64" s="1"/>
  <c r="Y14" i="64"/>
  <c r="S4" i="67"/>
  <c r="S12" i="67"/>
  <c r="U14" i="62"/>
  <c r="W14" i="62"/>
  <c r="X14" i="62"/>
  <c r="S7" i="67"/>
  <c r="S3" i="67"/>
  <c r="S9" i="67"/>
  <c r="S5" i="67"/>
  <c r="S8" i="67"/>
  <c r="U14" i="58"/>
  <c r="V14" i="58"/>
  <c r="W14" i="58"/>
  <c r="S10" i="67"/>
  <c r="K11" i="67"/>
  <c r="S14" i="65"/>
  <c r="Q14" i="65"/>
  <c r="K6" i="67"/>
  <c r="N14" i="64"/>
  <c r="O14" i="64"/>
  <c r="R14" i="64"/>
  <c r="Z2" i="64" s="1"/>
  <c r="S14" i="64"/>
  <c r="P14" i="64"/>
  <c r="M14" i="64"/>
  <c r="K4" i="67"/>
  <c r="K12" i="67"/>
  <c r="R14" i="62"/>
  <c r="S14" i="62"/>
  <c r="O14" i="62"/>
  <c r="N14" i="62"/>
  <c r="P14" i="62"/>
  <c r="Q14" i="62"/>
  <c r="K7" i="67"/>
  <c r="R14" i="61"/>
  <c r="S14" i="61"/>
  <c r="M14" i="61"/>
  <c r="P14" i="61"/>
  <c r="Q14" i="61"/>
  <c r="N14" i="61"/>
  <c r="K3" i="67"/>
  <c r="K9" i="67"/>
  <c r="K5" i="67"/>
  <c r="K10" i="67"/>
  <c r="Q11" i="67"/>
  <c r="N11" i="67"/>
  <c r="M11" i="67"/>
  <c r="L11" i="67"/>
  <c r="P11" i="67"/>
  <c r="U11" i="67"/>
  <c r="V11" i="67"/>
  <c r="O11" i="67"/>
  <c r="R2" i="66"/>
  <c r="X2" i="66"/>
  <c r="Z2" i="66"/>
  <c r="P2" i="66"/>
  <c r="Y6" i="67"/>
  <c r="Q6" i="67"/>
  <c r="M6" i="67"/>
  <c r="O6" i="67"/>
  <c r="N6" i="67"/>
  <c r="L6" i="67"/>
  <c r="X2" i="65"/>
  <c r="Z2" i="65"/>
  <c r="R2" i="65"/>
  <c r="P2" i="65"/>
  <c r="P4" i="67"/>
  <c r="Y4" i="67"/>
  <c r="R2" i="64"/>
  <c r="O12" i="67"/>
  <c r="P12" i="67"/>
  <c r="Q12" i="67"/>
  <c r="L12" i="67"/>
  <c r="M12" i="67"/>
  <c r="N12" i="67"/>
  <c r="T12" i="67"/>
  <c r="U12" i="67"/>
  <c r="V12" i="67"/>
  <c r="W12" i="67"/>
  <c r="X12" i="67"/>
  <c r="Y12" i="67"/>
  <c r="P2" i="63"/>
  <c r="R2" i="63"/>
  <c r="X2" i="63"/>
  <c r="Z2" i="63"/>
  <c r="L7" i="67"/>
  <c r="U7" i="67"/>
  <c r="X7" i="67"/>
  <c r="Y7" i="67"/>
  <c r="P2" i="62"/>
  <c r="X2" i="62"/>
  <c r="Z2" i="62"/>
  <c r="V3" i="67"/>
  <c r="W3" i="67"/>
  <c r="X3" i="67"/>
  <c r="N3" i="67"/>
  <c r="Y3" i="67"/>
  <c r="U3" i="67"/>
  <c r="T3" i="67"/>
  <c r="R2" i="61"/>
  <c r="Z2" i="61"/>
  <c r="O9" i="67"/>
  <c r="L9" i="67"/>
  <c r="V9" i="67"/>
  <c r="W9" i="67"/>
  <c r="P9" i="67"/>
  <c r="M9" i="67"/>
  <c r="X9" i="67"/>
  <c r="N9" i="67"/>
  <c r="U9" i="67"/>
  <c r="Y9" i="67"/>
  <c r="T9" i="67"/>
  <c r="Q9" i="67"/>
  <c r="P2" i="60"/>
  <c r="X2" i="60"/>
  <c r="Z2" i="60"/>
  <c r="R2" i="60"/>
  <c r="P5" i="67"/>
  <c r="L5" i="67"/>
  <c r="V5" i="67"/>
  <c r="Q5" i="67"/>
  <c r="N5" i="67"/>
  <c r="W5" i="67"/>
  <c r="M5" i="67"/>
  <c r="O5" i="67"/>
  <c r="T5" i="67"/>
  <c r="U5" i="67"/>
  <c r="X5" i="67"/>
  <c r="Y5" i="67"/>
  <c r="R2" i="59"/>
  <c r="X2" i="59"/>
  <c r="P2" i="59"/>
  <c r="Z2" i="59"/>
  <c r="V8" i="67"/>
  <c r="M8" i="67"/>
  <c r="U8" i="67"/>
  <c r="Q8" i="67"/>
  <c r="Y8" i="67"/>
  <c r="O8" i="67"/>
  <c r="T8" i="67"/>
  <c r="W8" i="67"/>
  <c r="X8" i="67"/>
  <c r="L8" i="67"/>
  <c r="N8" i="67"/>
  <c r="P8" i="67"/>
  <c r="R2" i="57"/>
  <c r="Z2" i="57"/>
  <c r="P2" i="57"/>
  <c r="X2" i="57"/>
  <c r="W10" i="67"/>
  <c r="X10" i="67"/>
  <c r="Y10" i="67"/>
  <c r="L10" i="67"/>
  <c r="M10" i="67"/>
  <c r="N10" i="67"/>
  <c r="O10" i="67"/>
  <c r="P10" i="67"/>
  <c r="Q10" i="67"/>
  <c r="X2" i="58"/>
  <c r="Z2" i="58"/>
  <c r="P2" i="58"/>
  <c r="R2" i="58"/>
  <c r="I14" i="66"/>
  <c r="H14" i="66"/>
  <c r="G14" i="66"/>
  <c r="E14" i="66"/>
  <c r="K14" i="66"/>
  <c r="F14" i="66"/>
  <c r="J14" i="66"/>
  <c r="I14" i="65"/>
  <c r="H14" i="65"/>
  <c r="G14" i="65"/>
  <c r="E14" i="65"/>
  <c r="F14" i="65"/>
  <c r="K14" i="65"/>
  <c r="J14" i="65"/>
  <c r="I14" i="64"/>
  <c r="H14" i="64"/>
  <c r="G14" i="64"/>
  <c r="F14" i="64"/>
  <c r="K14" i="64"/>
  <c r="E14" i="64"/>
  <c r="J14" i="64"/>
  <c r="I14" i="63"/>
  <c r="H14" i="63"/>
  <c r="G14" i="63"/>
  <c r="F14" i="63"/>
  <c r="K14" i="63"/>
  <c r="E14" i="63"/>
  <c r="J14" i="63"/>
  <c r="I14" i="62"/>
  <c r="K14" i="62"/>
  <c r="H14" i="62"/>
  <c r="E14" i="62"/>
  <c r="G14" i="62"/>
  <c r="F14" i="62"/>
  <c r="J14" i="62"/>
  <c r="I14" i="61"/>
  <c r="H14" i="61"/>
  <c r="G14" i="61"/>
  <c r="F14" i="61"/>
  <c r="E14" i="61"/>
  <c r="K14" i="61"/>
  <c r="J14" i="61"/>
  <c r="I14" i="60"/>
  <c r="K14" i="60"/>
  <c r="H14" i="60"/>
  <c r="G14" i="60"/>
  <c r="F14" i="60"/>
  <c r="E14" i="60"/>
  <c r="J14" i="60"/>
  <c r="I14" i="59"/>
  <c r="H14" i="59"/>
  <c r="G14" i="59"/>
  <c r="F14" i="59"/>
  <c r="K14" i="59"/>
  <c r="E14" i="59"/>
  <c r="J14" i="59"/>
  <c r="H14" i="58"/>
  <c r="J14" i="58"/>
  <c r="G14" i="58"/>
  <c r="F14" i="58"/>
  <c r="E14" i="58"/>
  <c r="K14" i="58"/>
  <c r="I14" i="58"/>
  <c r="I14" i="57"/>
  <c r="H14" i="57"/>
  <c r="G14" i="57"/>
  <c r="F14" i="57"/>
  <c r="K14" i="57"/>
  <c r="E14" i="57"/>
  <c r="J14" i="57"/>
  <c r="G14" i="26"/>
  <c r="E14" i="26"/>
  <c r="D14" i="26"/>
  <c r="K14" i="26"/>
  <c r="P14" i="25"/>
  <c r="N14" i="25"/>
  <c r="M14" i="25"/>
  <c r="T14" i="25"/>
  <c r="D14" i="25"/>
  <c r="P3" i="67" a="1"/>
  <c r="T4" i="67" a="1"/>
  <c r="T6" i="67" a="1"/>
  <c r="V4" i="67" a="1"/>
  <c r="M7" i="67" a="1"/>
  <c r="U4" i="67" a="1"/>
  <c r="L3" i="67" a="1"/>
  <c r="W11" i="67" a="1"/>
  <c r="T11" i="67" a="1"/>
  <c r="P6" i="67" a="1"/>
  <c r="V7" i="67" a="1"/>
  <c r="V10" i="67" a="1"/>
  <c r="O4" i="67" a="1"/>
  <c r="T7" i="67" a="1"/>
  <c r="H4" i="23" a="1"/>
  <c r="X11" i="67" a="1"/>
  <c r="Q4" i="67" a="1"/>
  <c r="W7" i="67" a="1"/>
  <c r="U10" i="67" a="1"/>
  <c r="Q3" i="67" a="1"/>
  <c r="O7" i="67" a="1"/>
  <c r="W4" i="67" a="1"/>
  <c r="Q7" i="67" a="1"/>
  <c r="U6" i="67" a="1"/>
  <c r="L4" i="67" a="1"/>
  <c r="I4" i="23" a="1"/>
  <c r="N4" i="67" a="1"/>
  <c r="N7" i="67" a="1"/>
  <c r="X6" i="67" a="1"/>
  <c r="X4" i="67" a="1"/>
  <c r="M4" i="67" a="1"/>
  <c r="T10" i="67" a="1"/>
  <c r="V6" i="67" a="1"/>
  <c r="O3" i="67" a="1"/>
  <c r="P7" i="67" a="1"/>
  <c r="W6" i="67" a="1"/>
  <c r="Y11" i="67" a="1"/>
  <c r="M3" i="67" a="1"/>
  <c r="K16" i="67" l="1"/>
  <c r="S16" i="67"/>
  <c r="T11" i="67"/>
  <c r="X11" i="67"/>
  <c r="W11" i="67"/>
  <c r="Y11" i="67"/>
  <c r="Y13" i="67" s="1"/>
  <c r="X6" i="67"/>
  <c r="V6" i="67"/>
  <c r="U6" i="67"/>
  <c r="W6" i="67"/>
  <c r="T6" i="67"/>
  <c r="S13" i="67"/>
  <c r="Z13" i="67" s="1"/>
  <c r="V4" i="67"/>
  <c r="U4" i="67"/>
  <c r="T4" i="67"/>
  <c r="X4" i="67"/>
  <c r="W4" i="67"/>
  <c r="T7" i="67"/>
  <c r="V7" i="67"/>
  <c r="W7" i="67"/>
  <c r="T10" i="67"/>
  <c r="V10" i="67"/>
  <c r="U10" i="67"/>
  <c r="P6" i="67"/>
  <c r="L4" i="67"/>
  <c r="O4" i="67"/>
  <c r="Q4" i="67"/>
  <c r="N4" i="67"/>
  <c r="M4" i="67"/>
  <c r="P2" i="64"/>
  <c r="K13" i="67"/>
  <c r="Q7" i="67"/>
  <c r="R2" i="62"/>
  <c r="P7" i="67"/>
  <c r="O7" i="67"/>
  <c r="M7" i="67"/>
  <c r="N7" i="67"/>
  <c r="P2" i="61"/>
  <c r="M3" i="67"/>
  <c r="P3" i="67"/>
  <c r="O3" i="67"/>
  <c r="L3" i="67"/>
  <c r="Q3" i="67"/>
  <c r="X2" i="61"/>
  <c r="J2" i="66"/>
  <c r="H2" i="66"/>
  <c r="H2" i="65"/>
  <c r="J2" i="65"/>
  <c r="J2" i="64"/>
  <c r="H2" i="64"/>
  <c r="J2" i="63"/>
  <c r="H2" i="63"/>
  <c r="J2" i="62"/>
  <c r="H2" i="62"/>
  <c r="J2" i="61"/>
  <c r="H2" i="61"/>
  <c r="J2" i="60"/>
  <c r="H2" i="60"/>
  <c r="J2" i="59"/>
  <c r="H2" i="59"/>
  <c r="J2" i="58"/>
  <c r="H2" i="58"/>
  <c r="J2" i="57"/>
  <c r="H2" i="57"/>
  <c r="H4" i="23"/>
  <c r="I4" i="23"/>
  <c r="F12" i="23" a="1"/>
  <c r="F10" i="23" a="1"/>
  <c r="D13" i="23" a="1"/>
  <c r="D12" i="23" a="1"/>
  <c r="G13" i="23" a="1"/>
  <c r="D4" i="23" a="1"/>
  <c r="E7" i="23" a="1"/>
  <c r="E6" i="23" a="1"/>
  <c r="G7" i="23" a="1"/>
  <c r="G9" i="23" a="1"/>
  <c r="E10" i="23" a="1"/>
  <c r="E4" i="23" a="1"/>
  <c r="F6" i="23" a="1"/>
  <c r="E11" i="23" a="1"/>
  <c r="F5" i="23" a="1"/>
  <c r="G11" i="23" a="1"/>
  <c r="E12" i="23" a="1"/>
  <c r="G5" i="23" a="1"/>
  <c r="D5" i="23" a="1"/>
  <c r="G4" i="23" a="1"/>
  <c r="E5" i="23" a="1"/>
  <c r="D7" i="23" a="1"/>
  <c r="D9" i="23" a="1"/>
  <c r="D11" i="23" a="1"/>
  <c r="G12" i="23" a="1"/>
  <c r="F13" i="23" a="1"/>
  <c r="D8" i="23" a="1"/>
  <c r="F9" i="23" a="1"/>
  <c r="E8" i="23" a="1"/>
  <c r="F8" i="23" a="1"/>
  <c r="F11" i="23" a="1"/>
  <c r="G6" i="23" a="1"/>
  <c r="F4" i="23" a="1"/>
  <c r="F7" i="23" a="1"/>
  <c r="D10" i="23" a="1"/>
  <c r="D6" i="23" a="1"/>
  <c r="E9" i="23" a="1"/>
  <c r="E13" i="23" a="1"/>
  <c r="G10" i="23" a="1"/>
  <c r="G8" i="23" a="1"/>
  <c r="X13" i="67" l="1"/>
  <c r="U13" i="67"/>
  <c r="T13" i="67"/>
  <c r="W13" i="67"/>
  <c r="V13" i="67"/>
  <c r="O13" i="67"/>
  <c r="L13" i="67"/>
  <c r="Q13" i="67"/>
  <c r="P13" i="67"/>
  <c r="M13" i="67"/>
  <c r="N13" i="67"/>
  <c r="R13" i="67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<sst xmlns="http://schemas.openxmlformats.org/spreadsheetml/2006/main" count="667" uniqueCount="21">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</sst>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4F61-C1F9-C249-958D-6FE2578C6576}">
  <dimension ref="B2:Z16"/>
  <sheetViews>
    <sheetView tabSelected="1" zoomScale="85" zoomScaleNormal="85" workbookViewId="0">
      <selection activeCell="A14" sqref="A14:XFD14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5" t="s">
        <v>0</v>
      </c>
      <c r="T2" s="35" t="s">
        <v>5</v>
      </c>
      <c r="U2" s="35" t="s">
        <v>12</v>
      </c>
      <c r="V2" s="35" t="s">
        <v>15</v>
      </c>
      <c r="W2" s="35" t="s">
        <v>11</v>
      </c>
      <c r="X2" s="35" t="s">
        <v>16</v>
      </c>
      <c r="Y2" s="35" t="s">
        <v>10</v>
      </c>
      <c r="Z2" s="35" t="s">
        <v>1</v>
      </c>
    </row>
    <row r="3" spans="2:26" x14ac:dyDescent="0.2">
      <c r="B3" s="4">
        <v>311</v>
      </c>
      <c r="C3" s="5" cm="1">
        <f t="array" aca="1" ref="C3" ca="1">INDIRECT("'results" &amp; $B3 &amp; "'!D$14")</f>
        <v>84613.696640188573</v>
      </c>
      <c r="D3" s="33" cm="1">
        <f t="array" aca="1" ref="D3" ca="1">INDIRECT("'results" &amp; $B3 &amp; "'!E$14")</f>
        <v>5.0672526249982184</v>
      </c>
      <c r="E3" s="5" cm="1">
        <f t="array" aca="1" ref="E3" ca="1">INDIRECT("'results" &amp; $B3 &amp; "'!F$14")</f>
        <v>3</v>
      </c>
      <c r="F3" s="5" cm="1">
        <f t="array" aca="1" ref="F3" ca="1">INDIRECT("'results" &amp; $B3 &amp; "'!G$14")</f>
        <v>100</v>
      </c>
      <c r="G3" s="5" cm="1">
        <f t="array" aca="1" ref="G3" ca="1">INDIRECT("'results" &amp; $B3 &amp; "'!H$14")</f>
        <v>79.244472119810908</v>
      </c>
      <c r="H3" s="33" cm="1">
        <f t="array" aca="1" ref="H3" ca="1">INDIRECT("'results" &amp; $B3 &amp; "'!I$14")</f>
        <v>40.798766953658252</v>
      </c>
      <c r="I3" s="5" cm="1">
        <f t="array" aca="1" ref="I3" ca="1">INDIRECT("'results" &amp; $B3 &amp; "'!J$14")</f>
        <v>2152.0930320844855</v>
      </c>
      <c r="J3" s="5"/>
      <c r="K3" s="5" cm="1">
        <f t="array" aca="1" ref="K3" ca="1">INDIRECT("'results" &amp; $B3 &amp; "'!L$14")</f>
        <v>109354.2606983547</v>
      </c>
      <c r="L3" s="5" cm="1">
        <f t="array" aca="1" ref="L3" ca="1">INDIRECT("'results" &amp; $B3 &amp; "'!M$14")</f>
        <v>10.21518066600038</v>
      </c>
      <c r="M3" s="5" cm="1">
        <f t="array" aca="1" ref="M3" ca="1">INDIRECT("'results" &amp; $B3 &amp; "'!N$14")</f>
        <v>3</v>
      </c>
      <c r="N3" s="5" cm="1">
        <f t="array" aca="1" ref="N3" ca="1">INDIRECT("'results" &amp; $B3 &amp; "'!O$14")</f>
        <v>60</v>
      </c>
      <c r="O3" s="5" cm="1">
        <f t="array" aca="1" ref="O3" ca="1">INDIRECT("'results" &amp; $B3 &amp; "'!P$14")</f>
        <v>10.947047367274561</v>
      </c>
      <c r="P3" s="5" cm="1">
        <f t="array" aca="1" ref="P3" ca="1">INDIRECT("'results" &amp; $B3 &amp; "'!Q$14")</f>
        <v>25.014754052021129</v>
      </c>
      <c r="Q3" s="5" cm="1">
        <f t="array" aca="1" ref="Q3" ca="1">INDIRECT("'results" &amp; $B3 &amp; "'!R$14")</f>
        <v>1483.7859956412706</v>
      </c>
      <c r="R3" s="5"/>
      <c r="S3" s="5" cm="1">
        <f t="array" aca="1" ref="S3" ca="1">INDIRECT("'results" &amp; $B3 &amp; "'!T$14")</f>
        <v>104814.1502606498</v>
      </c>
      <c r="T3" s="5" cm="1">
        <f t="array" aca="1" ref="T3" ca="1">INDIRECT("'results" &amp; $B3 &amp; "'!U$14")</f>
        <v>5.3225411659987003</v>
      </c>
      <c r="U3" s="5" cm="1">
        <f t="array" aca="1" ref="U3" ca="1">INDIRECT("'results" &amp; $B3 &amp; "'!V$14")</f>
        <v>3</v>
      </c>
      <c r="V3" s="5" cm="1">
        <f t="array" aca="1" ref="V3" ca="1">INDIRECT("'results" &amp; $B3 &amp; "'!W$14")</f>
        <v>76.666666666666671</v>
      </c>
      <c r="W3" s="5" cm="1">
        <f t="array" aca="1" ref="W3" ca="1">INDIRECT("'results" &amp; $B3 &amp; "'!X$14")</f>
        <v>117.8180629555287</v>
      </c>
      <c r="X3" s="5" cm="1">
        <f t="array" aca="1" ref="X3" ca="1">INDIRECT("'results" &amp; $B3 &amp; "'!Y$14")</f>
        <v>45.316332184525855</v>
      </c>
      <c r="Y3" s="5" cm="1">
        <f t="array" aca="1" ref="Y3" ca="1">INDIRECT("'results" &amp; $B3 &amp; "'!Z$14")</f>
        <v>2233.2351177454589</v>
      </c>
      <c r="Z3" s="5"/>
    </row>
    <row r="4" spans="2:26" x14ac:dyDescent="0.2">
      <c r="B4" s="4">
        <v>753</v>
      </c>
      <c r="C4" s="5" cm="1">
        <f t="array" aca="1" ref="C4" ca="1">INDIRECT("'results" &amp; $B4 &amp; "'!D$14")</f>
        <v>82027.707563121658</v>
      </c>
      <c r="D4" s="33" cm="1">
        <f t="array" aca="1" ref="D4" ca="1">INDIRECT("'results" &amp; $B4 &amp; "'!E$14")</f>
        <v>5.0370460839985753</v>
      </c>
      <c r="E4" s="5" cm="1">
        <f t="array" aca="1" ref="E4" ca="1">INDIRECT("'results" &amp; $B4 &amp; "'!F$14")</f>
        <v>3</v>
      </c>
      <c r="F4" s="5" cm="1">
        <f t="array" aca="1" ref="F4" ca="1">INDIRECT("'results" &amp; $B4 &amp; "'!G$14")</f>
        <v>96.666666666666671</v>
      </c>
      <c r="G4" s="5" cm="1">
        <f t="array" aca="1" ref="G4" ca="1">INDIRECT("'results" &amp; $B4 &amp; "'!H$14")</f>
        <v>22.65623644188496</v>
      </c>
      <c r="H4" s="33" cm="1">
        <f t="array" aca="1" ref="H4" ca="1">INDIRECT("'results" &amp; $B4 &amp; "'!I$14")</f>
        <v>28.566151113291962</v>
      </c>
      <c r="I4" s="5" cm="1">
        <f t="array" aca="1" ref="I4" ca="1">INDIRECT("'results" &amp; $B4 &amp; "'!J$14")</f>
        <v>1864.4128751485491</v>
      </c>
      <c r="J4" s="5"/>
      <c r="K4" s="5" cm="1">
        <f t="array" aca="1" ref="K4" ca="1">INDIRECT("'results" &amp; $B4 &amp; "'!L$14")</f>
        <v>107666.5719471733</v>
      </c>
      <c r="L4" s="5" cm="1">
        <f t="array" aca="1" ref="L4" ca="1">INDIRECT("'results" &amp; $B4 &amp; "'!M$14")</f>
        <v>9.0113931669984595</v>
      </c>
      <c r="M4" s="5" cm="1">
        <f t="array" aca="1" ref="M4" ca="1">INDIRECT("'results" &amp; $B4 &amp; "'!N$14")</f>
        <v>4</v>
      </c>
      <c r="N4" s="5" cm="1">
        <f t="array" aca="1" ref="N4" ca="1">INDIRECT("'results" &amp; $B4 &amp; "'!O$14")</f>
        <v>70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14.825141225490288</v>
      </c>
      <c r="Q4" s="5" cm="1">
        <f t="array" aca="1" ref="Q4" ca="1">INDIRECT("'results" &amp; $B4 &amp; "'!R$14")</f>
        <v>1343.577022220685</v>
      </c>
      <c r="R4" s="5"/>
      <c r="S4" s="5" cm="1">
        <f t="array" aca="1" ref="S4" ca="1">INDIRECT("'results" &amp; $B4 &amp; "'!T$14")</f>
        <v>97846.985411306669</v>
      </c>
      <c r="T4" s="5" cm="1">
        <f t="array" aca="1" ref="T4" ca="1">INDIRECT("'results" &amp; $B4 &amp; "'!U$14")</f>
        <v>5.7539397909968102</v>
      </c>
      <c r="U4" s="5" cm="1">
        <f t="array" aca="1" ref="U4" ca="1">INDIRECT("'results" &amp; $B4 &amp; "'!V$14")</f>
        <v>3</v>
      </c>
      <c r="V4" s="5" cm="1">
        <f t="array" aca="1" ref="V4" ca="1">INDIRECT("'results" &amp; $B4 &amp; "'!W$14")</f>
        <v>83.333333333333329</v>
      </c>
      <c r="W4" s="5" cm="1">
        <f t="array" aca="1" ref="W4" ca="1">INDIRECT("'results" &amp; $B4 &amp; "'!X$14")</f>
        <v>81.582054171113171</v>
      </c>
      <c r="X4" s="5" cm="1">
        <f t="array" aca="1" ref="X4" ca="1">INDIRECT("'results" &amp; $B4 &amp; "'!Y$14")</f>
        <v>37.717590926548375</v>
      </c>
      <c r="Y4" s="5" cm="1">
        <f t="array" aca="1" ref="Y4" ca="1">INDIRECT("'results" &amp; $B4 &amp; "'!Z$14")</f>
        <v>2101.9629309835964</v>
      </c>
      <c r="Z4" s="5"/>
    </row>
    <row r="5" spans="2:26" x14ac:dyDescent="0.2">
      <c r="B5" s="4">
        <v>101</v>
      </c>
      <c r="C5" s="5" cm="1">
        <f t="array" aca="1" ref="C5" ca="1">INDIRECT("'results" &amp; $B5 &amp; "'!D$14")</f>
        <v>64786.667066205191</v>
      </c>
      <c r="D5" s="33" cm="1">
        <f t="array" aca="1" ref="D5" ca="1">INDIRECT("'results" &amp; $B5 &amp; "'!E$14")</f>
        <v>4.5600420839982689</v>
      </c>
      <c r="E5" s="5" cm="1">
        <f t="array" aca="1" ref="E5" ca="1">INDIRECT("'results" &amp; $B5 &amp; "'!F$14")</f>
        <v>3</v>
      </c>
      <c r="F5" s="5" cm="1">
        <f t="array" aca="1" ref="F5" ca="1">INDIRECT("'results" &amp; $B5 &amp; "'!G$14")</f>
        <v>96.666666666666671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23.845399197300178</v>
      </c>
      <c r="I5" s="5" cm="1">
        <f t="array" aca="1" ref="I5" ca="1">INDIRECT("'results" &amp; $B5 &amp; "'!J$14")</f>
        <v>1250.1670501607355</v>
      </c>
      <c r="J5" s="5"/>
      <c r="K5" s="5" cm="1">
        <f t="array" aca="1" ref="K5" ca="1">INDIRECT("'results" &amp; $B5 &amp; "'!L$14")</f>
        <v>80277.808310820372</v>
      </c>
      <c r="L5" s="5" cm="1">
        <f t="array" aca="1" ref="L5" ca="1">INDIRECT("'results" &amp; $B5 &amp; "'!M$14")</f>
        <v>6.7352615829986462</v>
      </c>
      <c r="M5" s="5" cm="1">
        <f t="array" aca="1" ref="M5" ca="1">INDIRECT("'results" &amp; $B5 &amp; "'!N$14")</f>
        <v>3</v>
      </c>
      <c r="N5" s="5" cm="1">
        <f t="array" aca="1" ref="N5" ca="1">INDIRECT("'results" &amp; $B5 &amp; "'!O$14")</f>
        <v>80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17.730338050293575</v>
      </c>
      <c r="Q5" s="5" cm="1">
        <f t="array" aca="1" ref="Q5" ca="1">INDIRECT("'results" &amp; $B5 &amp; "'!R$14")</f>
        <v>1062.5944082862645</v>
      </c>
      <c r="R5" s="5"/>
      <c r="S5" s="5" cm="1">
        <f t="array" aca="1" ref="S5" ca="1">INDIRECT("'results" &amp; $B5 &amp; "'!T$14")</f>
        <v>77463.182900853688</v>
      </c>
      <c r="T5" s="5" cm="1">
        <f t="array" aca="1" ref="T5" ca="1">INDIRECT("'results" &amp; $B5 &amp; "'!U$14")</f>
        <v>5.2156320409994814</v>
      </c>
      <c r="U5" s="5" cm="1">
        <f t="array" aca="1" ref="U5" ca="1">INDIRECT("'results" &amp; $B5 &amp; "'!V$14")</f>
        <v>3</v>
      </c>
      <c r="V5" s="5" cm="1">
        <f t="array" aca="1" ref="V5" ca="1">INDIRECT("'results" &amp; $B5 &amp; "'!W$14")</f>
        <v>86.666666666666671</v>
      </c>
      <c r="W5" s="5" cm="1">
        <f t="array" aca="1" ref="W5" ca="1">INDIRECT("'results" &amp; $B5 &amp; "'!X$14")</f>
        <v>1.9375629167079838</v>
      </c>
      <c r="X5" s="5" cm="1">
        <f t="array" aca="1" ref="X5" ca="1">INDIRECT("'results" &amp; $B5 &amp; "'!Y$14")</f>
        <v>33.221399834546965</v>
      </c>
      <c r="Y5" s="5" cm="1">
        <f t="array" aca="1" ref="Y5" ca="1">INDIRECT("'results" &amp; $B5 &amp; "'!Z$14")</f>
        <v>1438.7225398455339</v>
      </c>
      <c r="Z5" s="5"/>
    </row>
    <row r="6" spans="2:26" x14ac:dyDescent="0.2">
      <c r="B6" s="4">
        <v>898</v>
      </c>
      <c r="C6" s="5" cm="1">
        <f t="array" aca="1" ref="C6" ca="1">INDIRECT("'results" &amp; $B6 &amp; "'!D$14")</f>
        <v>66176.330204665122</v>
      </c>
      <c r="D6" s="33" cm="1">
        <f t="array" aca="1" ref="D6" ca="1">INDIRECT("'results" &amp; $B6 &amp; "'!E$14")</f>
        <v>3.8281920420049569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90</v>
      </c>
      <c r="G6" s="5" cm="1">
        <f t="array" aca="1" ref="G6" ca="1">INDIRECT("'results" &amp; $B6 &amp; "'!H$14")</f>
        <v>6.8644436676500442</v>
      </c>
      <c r="H6" s="33" cm="1">
        <f t="array" aca="1" ref="H6" ca="1">INDIRECT("'results" &amp; $B6 &amp; "'!I$14")</f>
        <v>30.609111687926273</v>
      </c>
      <c r="I6" s="5" cm="1">
        <f t="array" aca="1" ref="I6" ca="1">INDIRECT("'results" &amp; $B6 &amp; "'!J$14")</f>
        <v>1307.5593664185517</v>
      </c>
      <c r="J6" s="5"/>
      <c r="K6" s="5" cm="1">
        <f t="array" aca="1" ref="K6" ca="1">INDIRECT("'results" &amp; $B6 &amp; "'!L$14")</f>
        <v>85069.264584558667</v>
      </c>
      <c r="L6" s="5" cm="1">
        <f t="array" aca="1" ref="L6" ca="1">INDIRECT("'results" &amp; $B6 &amp; "'!M$14")</f>
        <v>5.6121600420010509</v>
      </c>
      <c r="M6" s="5" cm="1">
        <f t="array" aca="1" ref="M6" ca="1">INDIRECT("'results" &amp; $B6 &amp; "'!N$14")</f>
        <v>3</v>
      </c>
      <c r="N6" s="5" cm="1">
        <f t="array" aca="1" ref="N6" ca="1">INDIRECT("'results" &amp; $B6 &amp; "'!O$14")</f>
        <v>76.666666666666671</v>
      </c>
      <c r="O6" s="5" cm="1">
        <f t="array" aca="1" ref="O6" ca="1">INDIRECT("'results" &amp; $B6 &amp; "'!P$14")</f>
        <v>0.25373368505002558</v>
      </c>
      <c r="P6" s="5" cm="1">
        <f t="array" aca="1" ref="P6" ca="1">INDIRECT("'results" &amp; $B6 &amp; "'!Q$14")</f>
        <v>20.679011613428859</v>
      </c>
      <c r="Q6" s="5" cm="1">
        <f t="array" aca="1" ref="Q6" ca="1">INDIRECT("'results" &amp; $B6 &amp; "'!R$14")</f>
        <v>1088.0935194747265</v>
      </c>
      <c r="R6" s="5"/>
      <c r="S6" s="5" cm="1">
        <f t="array" aca="1" ref="S6" ca="1">INDIRECT("'results" &amp; $B6 &amp; "'!T$14")</f>
        <v>75924.241844787713</v>
      </c>
      <c r="T6" s="5" cm="1">
        <f t="array" aca="1" ref="T6" ca="1">INDIRECT("'results" &amp; $B6 &amp; "'!U$14")</f>
        <v>4.9029541250019966</v>
      </c>
      <c r="U6" s="5" cm="1">
        <f t="array" aca="1" ref="U6" ca="1">INDIRECT("'results" &amp; $B6 &amp; "'!V$14")</f>
        <v>3</v>
      </c>
      <c r="V6" s="5" cm="1">
        <f t="array" aca="1" ref="V6" ca="1">INDIRECT("'results" &amp; $B6 &amp; "'!W$14")</f>
        <v>90</v>
      </c>
      <c r="W6" s="5" cm="1">
        <f t="array" aca="1" ref="W6" ca="1">INDIRECT("'results" &amp; $B6 &amp; "'!X$14")</f>
        <v>0</v>
      </c>
      <c r="X6" s="5" cm="1">
        <f t="array" aca="1" ref="X6" ca="1">INDIRECT("'results" &amp; $B6 &amp; "'!Y$14")</f>
        <v>38.703937090311264</v>
      </c>
      <c r="Y6" s="5" cm="1">
        <f t="array" aca="1" ref="Y6" ca="1">INDIRECT("'results" &amp; $B6 &amp; "'!Z$14")</f>
        <v>1508.5351648242843</v>
      </c>
      <c r="Z6" s="5"/>
    </row>
    <row r="7" spans="2:26" x14ac:dyDescent="0.2">
      <c r="B7" s="4">
        <v>529</v>
      </c>
      <c r="C7" s="5" cm="1">
        <f t="array" aca="1" ref="C7" ca="1">INDIRECT("'results" &amp; $B7 &amp; "'!D$14")</f>
        <v>82016.345880946363</v>
      </c>
      <c r="D7" s="33" cm="1">
        <f t="array" aca="1" ref="D7" ca="1">INDIRECT("'results" &amp; $B7 &amp; "'!E$14")</f>
        <v>4.1850847919995431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90</v>
      </c>
      <c r="G7" s="5" cm="1">
        <f t="array" aca="1" ref="G7" ca="1">INDIRECT("'results" &amp; $B7 &amp; "'!H$14")</f>
        <v>10.80607104796575</v>
      </c>
      <c r="H7" s="33" cm="1">
        <f t="array" aca="1" ref="H7" ca="1">INDIRECT("'results" &amp; $B7 &amp; "'!I$14")</f>
        <v>33.183494197660266</v>
      </c>
      <c r="I7" s="5" cm="1">
        <f t="array" aca="1" ref="I7" ca="1">INDIRECT("'results" &amp; $B7 &amp; "'!J$14")</f>
        <v>1938.0390448547407</v>
      </c>
      <c r="J7" s="5"/>
      <c r="K7" s="5" cm="1">
        <f t="array" aca="1" ref="K7" ca="1">INDIRECT("'results" &amp; $B7 &amp; "'!L$14")</f>
        <v>93464.404283285738</v>
      </c>
      <c r="L7" s="5" cm="1">
        <f t="array" aca="1" ref="L7" ca="1">INDIRECT("'results" &amp; $B7 &amp; "'!M$14")</f>
        <v>9.5194294159991841</v>
      </c>
      <c r="M7" s="5" cm="1">
        <f t="array" aca="1" ref="M7" ca="1">INDIRECT("'results" &amp; $B7 &amp; "'!N$14")</f>
        <v>3</v>
      </c>
      <c r="N7" s="5" cm="1">
        <f t="array" aca="1" ref="N7" ca="1">INDIRECT("'results" &amp; $B7 &amp; "'!O$14")</f>
        <v>76.666666666666671</v>
      </c>
      <c r="O7" s="5" cm="1">
        <f t="array" aca="1" ref="O7" ca="1">INDIRECT("'results" &amp; $B7 &amp; "'!P$14")</f>
        <v>3.591581316710369E-2</v>
      </c>
      <c r="P7" s="5" cm="1">
        <f t="array" aca="1" ref="P7" ca="1">INDIRECT("'results" &amp; $B7 &amp; "'!Q$14")</f>
        <v>17.681678081746465</v>
      </c>
      <c r="Q7" s="5" cm="1">
        <f t="array" aca="1" ref="Q7" ca="1">INDIRECT("'results" &amp; $B7 &amp; "'!R$14")</f>
        <v>1463.6797192428003</v>
      </c>
      <c r="R7" s="5"/>
      <c r="S7" s="5" cm="1">
        <f t="array" aca="1" ref="S7" ca="1">INDIRECT("'results" &amp; $B7 &amp; "'!T$14")</f>
        <v>102009.2470018123</v>
      </c>
      <c r="T7" s="5" cm="1">
        <f t="array" aca="1" ref="T7" ca="1">INDIRECT("'results" &amp; $B7 &amp; "'!U$14")</f>
        <v>5.1791730829972948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70</v>
      </c>
      <c r="W7" s="5" cm="1">
        <f t="array" aca="1" ref="W7" ca="1">INDIRECT("'results" &amp; $B7 &amp; "'!X$14")</f>
        <v>38.730556296578683</v>
      </c>
      <c r="X7" s="5" cm="1">
        <f t="array" aca="1" ref="X7" ca="1">INDIRECT("'results" &amp; $B7 &amp; "'!Y$14")</f>
        <v>37.041352271424984</v>
      </c>
      <c r="Y7" s="5" cm="1">
        <f t="array" aca="1" ref="Y7" ca="1">INDIRECT("'results" &amp; $B7 &amp; "'!Z$14")</f>
        <v>2072.87065999276</v>
      </c>
      <c r="Z7" s="5"/>
    </row>
    <row r="8" spans="2:26" x14ac:dyDescent="0.2">
      <c r="B8" s="4">
        <v>74</v>
      </c>
      <c r="C8" s="5" cm="1">
        <f t="array" aca="1" ref="C8" ca="1">INDIRECT("'results" &amp; $B8 &amp; "'!D$14")</f>
        <v>82679.948890660555</v>
      </c>
      <c r="D8" s="33" cm="1">
        <f t="array" aca="1" ref="D8" ca="1">INDIRECT("'results" &amp; $B8 &amp; "'!E$14")</f>
        <v>4.7865935419977177</v>
      </c>
      <c r="E8" s="5" cm="1">
        <f t="array" aca="1" ref="E8" ca="1">INDIRECT("'results" &amp; $B8 &amp; "'!F$14")</f>
        <v>3</v>
      </c>
      <c r="F8" s="5" cm="1">
        <f t="array" aca="1" ref="F8" ca="1">INDIRECT("'results" &amp; $B8 &amp; "'!G$14")</f>
        <v>96.666666666666671</v>
      </c>
      <c r="G8" s="5" cm="1">
        <f t="array" aca="1" ref="G8" ca="1">INDIRECT("'results" &amp; $B8 &amp; "'!H$14")</f>
        <v>24.759466187687977</v>
      </c>
      <c r="H8" s="33" cm="1">
        <f t="array" aca="1" ref="H8" ca="1">INDIRECT("'results" &amp; $B8 &amp; "'!I$14")</f>
        <v>24.291336372541181</v>
      </c>
      <c r="I8" s="5" cm="1">
        <f t="array" aca="1" ref="I8" ca="1">INDIRECT("'results" &amp; $B8 &amp; "'!J$14")</f>
        <v>1768.5757161688666</v>
      </c>
      <c r="J8" s="5"/>
      <c r="K8" s="5" cm="1">
        <f t="array" aca="1" ref="K8" ca="1">INDIRECT("'results" &amp; $B8 &amp; "'!L$14")</f>
        <v>88616.992066160223</v>
      </c>
      <c r="L8" s="5" cm="1">
        <f t="array" aca="1" ref="L8" ca="1">INDIRECT("'results" &amp; $B8 &amp; "'!M$14")</f>
        <v>11.14679016700029</v>
      </c>
      <c r="M8" s="5" cm="1">
        <f t="array" aca="1" ref="M8" ca="1">INDIRECT("'results" &amp; $B8 &amp; "'!N$14")</f>
        <v>3</v>
      </c>
      <c r="N8" s="5" cm="1">
        <f t="array" aca="1" ref="N8" ca="1">INDIRECT("'results" &amp; $B8 &amp; "'!O$14")</f>
        <v>83.333333333333329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19.305935936205525</v>
      </c>
      <c r="Q8" s="5" cm="1">
        <f t="array" aca="1" ref="Q8" ca="1">INDIRECT("'results" &amp; $B8 &amp; "'!R$14")</f>
        <v>1479.630767075854</v>
      </c>
      <c r="R8" s="5"/>
      <c r="S8" s="5" cm="1">
        <f t="array" aca="1" ref="S8" ca="1">INDIRECT("'results" &amp; $B8 &amp; "'!T$14")</f>
        <v>97401.030264295405</v>
      </c>
      <c r="T8" s="5" cm="1">
        <f t="array" aca="1" ref="T8" ca="1">INDIRECT("'results" &amp; $B8 &amp; "'!U$14")</f>
        <v>5.6358063749976282</v>
      </c>
      <c r="U8" s="5" cm="1">
        <f t="array" aca="1" ref="U8" ca="1">INDIRECT("'results" &amp; $B8 &amp; "'!V$14")</f>
        <v>3</v>
      </c>
      <c r="V8" s="5" cm="1">
        <f t="array" aca="1" ref="V8" ca="1">INDIRECT("'results" &amp; $B8 &amp; "'!W$14")</f>
        <v>76.666666666666671</v>
      </c>
      <c r="W8" s="5" cm="1">
        <f t="array" aca="1" ref="W8" ca="1">INDIRECT("'results" &amp; $B8 &amp; "'!X$14")</f>
        <v>0</v>
      </c>
      <c r="X8" s="5" cm="1">
        <f t="array" aca="1" ref="X8" ca="1">INDIRECT("'results" &amp; $B8 &amp; "'!Y$14")</f>
        <v>30.394345607870815</v>
      </c>
      <c r="Y8" s="5" cm="1">
        <f t="array" aca="1" ref="Y8" ca="1">INDIRECT("'results" &amp; $B8 &amp; "'!Z$14")</f>
        <v>1718.7545068713587</v>
      </c>
      <c r="Z8" s="5"/>
    </row>
    <row r="9" spans="2:26" x14ac:dyDescent="0.2">
      <c r="B9" s="4">
        <v>145</v>
      </c>
      <c r="C9" s="5" cm="1">
        <f t="array" aca="1" ref="C9" ca="1">INDIRECT("'results" &amp; $B9 &amp; "'!D$14")</f>
        <v>73439.394193460685</v>
      </c>
      <c r="D9" s="33" cm="1">
        <f t="array" aca="1" ref="D9" ca="1">INDIRECT("'results" &amp; $B9 &amp; "'!E$14")</f>
        <v>4.0690843330012294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93.333333333333329</v>
      </c>
      <c r="G9" s="5" cm="1">
        <f t="array" aca="1" ref="G9" ca="1">INDIRECT("'results" &amp; $B9 &amp; "'!H$14")</f>
        <v>30.876085681026943</v>
      </c>
      <c r="H9" s="33" cm="1">
        <f t="array" aca="1" ref="H9" ca="1">INDIRECT("'results" &amp; $B9 &amp; "'!I$14")</f>
        <v>35.582790983135382</v>
      </c>
      <c r="I9" s="5" cm="1">
        <f t="array" aca="1" ref="I9" ca="1">INDIRECT("'results" &amp; $B9 &amp; "'!J$14")</f>
        <v>1751.9974772275161</v>
      </c>
      <c r="J9" s="5"/>
      <c r="K9" s="5" cm="1">
        <f t="array" aca="1" ref="K9" ca="1">INDIRECT("'results" &amp; $B9 &amp; "'!L$14")</f>
        <v>96199.094798923295</v>
      </c>
      <c r="L9" s="5" cm="1">
        <f t="array" aca="1" ref="L9" ca="1">INDIRECT("'results" &amp; $B9 &amp; "'!M$14")</f>
        <v>9.2550218340002175</v>
      </c>
      <c r="M9" s="5" cm="1">
        <f t="array" aca="1" ref="M9" ca="1">INDIRECT("'results" &amp; $B9 &amp; "'!N$14")</f>
        <v>3</v>
      </c>
      <c r="N9" s="5" cm="1">
        <f t="array" aca="1" ref="N9" ca="1">INDIRECT("'results" &amp; $B9 &amp; "'!O$14")</f>
        <v>70</v>
      </c>
      <c r="O9" s="5" cm="1">
        <f t="array" aca="1" ref="O9" ca="1">INDIRECT("'results" &amp; $B9 &amp; "'!P$14")</f>
        <v>4.7978238901050947</v>
      </c>
      <c r="P9" s="5" cm="1">
        <f t="array" aca="1" ref="P9" ca="1">INDIRECT("'results" &amp; $B9 &amp; "'!Q$14")</f>
        <v>17.487320065168579</v>
      </c>
      <c r="Q9" s="5" cm="1">
        <f t="array" aca="1" ref="Q9" ca="1">INDIRECT("'results" &amp; $B9 &amp; "'!R$14")</f>
        <v>1265.1824291818596</v>
      </c>
      <c r="R9" s="5"/>
      <c r="S9" s="5" cm="1">
        <f t="array" aca="1" ref="S9" ca="1">INDIRECT("'results" &amp; $B9 &amp; "'!T$14")</f>
        <v>97185.314636974101</v>
      </c>
      <c r="T9" s="5" cm="1">
        <f t="array" aca="1" ref="T9" ca="1">INDIRECT("'results" &amp; $B9 &amp; "'!U$14")</f>
        <v>4.1502979159995448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73.333333333333329</v>
      </c>
      <c r="W9" s="5" cm="1">
        <f t="array" aca="1" ref="W9" ca="1">INDIRECT("'results" &amp; $B9 &amp; "'!X$14")</f>
        <v>44.137319642833454</v>
      </c>
      <c r="X9" s="5" cm="1">
        <f t="array" aca="1" ref="X9" ca="1">INDIRECT("'results" &amp; $B9 &amp; "'!Y$14")</f>
        <v>45.3193306486003</v>
      </c>
      <c r="Y9" s="5" cm="1">
        <f t="array" aca="1" ref="Y9" ca="1">INDIRECT("'results" &amp; $B9 &amp; "'!Z$14")</f>
        <v>2050.6659564774341</v>
      </c>
      <c r="Z9" s="5"/>
    </row>
    <row r="10" spans="2:26" x14ac:dyDescent="0.2">
      <c r="B10" s="4">
        <v>53</v>
      </c>
      <c r="C10" s="5" cm="1">
        <f t="array" aca="1" ref="C10" ca="1">INDIRECT("'results" &amp; $B10 &amp; "'!D$14")</f>
        <v>69943.193848351497</v>
      </c>
      <c r="D10" s="33" cm="1">
        <f t="array" aca="1" ref="D10" ca="1">INDIRECT("'results" &amp; $B10 &amp; "'!E$14")</f>
        <v>4.7077678749992629</v>
      </c>
      <c r="E10" s="5" cm="1">
        <f t="array" aca="1" ref="E10" ca="1">INDIRECT("'results" &amp; $B10 &amp; "'!F$14")</f>
        <v>3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25.325749603484581</v>
      </c>
      <c r="I10" s="5" cm="1">
        <f t="array" aca="1" ref="I10" ca="1">INDIRECT("'results" &amp; $B10 &amp; "'!J$14")</f>
        <v>1314.6428938607353</v>
      </c>
      <c r="J10" s="5"/>
      <c r="K10" s="5" cm="1">
        <f t="array" aca="1" ref="K10" ca="1">INDIRECT("'results" &amp; $B10 &amp; "'!L$14")</f>
        <v>84260.456193244594</v>
      </c>
      <c r="L10" s="5" cm="1">
        <f t="array" aca="1" ref="L10" ca="1">INDIRECT("'results" &amp; $B10 &amp; "'!M$14")</f>
        <v>6.1826284999988266</v>
      </c>
      <c r="M10" s="5" cm="1">
        <f t="array" aca="1" ref="M10" ca="1">INDIRECT("'results" &amp; $B10 &amp; "'!N$14")</f>
        <v>3</v>
      </c>
      <c r="N10" s="5" cm="1">
        <f t="array" aca="1" ref="N10" ca="1">INDIRECT("'results" &amp; $B10 &amp; "'!O$14")</f>
        <v>80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19.186862849288215</v>
      </c>
      <c r="Q10" s="5" cm="1">
        <f t="array" aca="1" ref="Q10" ca="1">INDIRECT("'results" &amp; $B10 &amp; "'!R$14")</f>
        <v>1223.7899571117237</v>
      </c>
      <c r="R10" s="5"/>
      <c r="S10" s="5" cm="1">
        <f t="array" aca="1" ref="S10" ca="1">INDIRECT("'results" &amp; $B10 &amp; "'!T$14")</f>
        <v>84234.808907633254</v>
      </c>
      <c r="T10" s="5" cm="1">
        <f t="array" aca="1" ref="T10" ca="1">INDIRECT("'results" &amp; $B10 &amp; "'!U$14")</f>
        <v>4.9863717919979544</v>
      </c>
      <c r="U10" s="5" cm="1">
        <f t="array" aca="1" ref="U10" ca="1">INDIRECT("'results" &amp; $B10 &amp; "'!V$14")</f>
        <v>3</v>
      </c>
      <c r="V10" s="5" cm="1">
        <f t="array" aca="1" ref="V10" ca="1">INDIRECT("'results" &amp; $B10 &amp; "'!W$14")</f>
        <v>86.666666666666671</v>
      </c>
      <c r="W10" s="5" cm="1">
        <f t="array" aca="1" ref="W10" ca="1">INDIRECT("'results" &amp; $B10 &amp; "'!X$14")</f>
        <v>13.034130523767836</v>
      </c>
      <c r="X10" s="5" cm="1">
        <f t="array" aca="1" ref="X10" ca="1">INDIRECT("'results" &amp; $B10 &amp; "'!Y$14")</f>
        <v>36.212587226863299</v>
      </c>
      <c r="Y10" s="5" cm="1">
        <f t="array" aca="1" ref="Y10" ca="1">INDIRECT("'results" &amp; $B10 &amp; "'!Z$14")</f>
        <v>1684.5080397238974</v>
      </c>
      <c r="Z10" s="5"/>
    </row>
    <row r="11" spans="2:26" x14ac:dyDescent="0.2">
      <c r="B11" s="4">
        <v>997</v>
      </c>
      <c r="C11" s="5" cm="1">
        <f t="array" aca="1" ref="C11" ca="1">INDIRECT("'results" &amp; $B11 &amp; "'!D$14")</f>
        <v>77840.006300560955</v>
      </c>
      <c r="D11" s="33" cm="1">
        <f t="array" aca="1" ref="D11" ca="1">INDIRECT("'results" &amp; $B11 &amp; "'!E$14")</f>
        <v>3.5836661249995809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96.666666666666671</v>
      </c>
      <c r="G11" s="5" cm="1">
        <f t="array" aca="1" ref="G11" ca="1">INDIRECT("'results" &amp; $B11 &amp; "'!H$14")</f>
        <v>53.215832651093542</v>
      </c>
      <c r="H11" s="33" cm="1">
        <f t="array" aca="1" ref="H11" ca="1">INDIRECT("'results" &amp; $B11 &amp; "'!I$14")</f>
        <v>35.471837421837421</v>
      </c>
      <c r="I11" s="5" cm="1">
        <f t="array" aca="1" ref="I11" ca="1">INDIRECT("'results" &amp; $B11 &amp; "'!J$14")</f>
        <v>1855.8823560708863</v>
      </c>
      <c r="J11" s="5"/>
      <c r="K11" s="5" cm="1">
        <f t="array" aca="1" ref="K11" ca="1">INDIRECT("'results" &amp; $B11 &amp; "'!L$14")</f>
        <v>94491.868686276735</v>
      </c>
      <c r="L11" s="5" cm="1">
        <f t="array" aca="1" ref="L11" ca="1">INDIRECT("'results" &amp; $B11 &amp; "'!M$14")</f>
        <v>9.0751496669981861</v>
      </c>
      <c r="M11" s="5" cm="1">
        <f t="array" aca="1" ref="M11" ca="1">INDIRECT("'results" &amp; $B11 &amp; "'!N$14")</f>
        <v>3</v>
      </c>
      <c r="N11" s="5" cm="1">
        <f t="array" aca="1" ref="N11" ca="1">INDIRECT("'results" &amp; $B11 &amp; "'!O$14")</f>
        <v>80</v>
      </c>
      <c r="O11" s="5" cm="1">
        <f t="array" aca="1" ref="O11" ca="1">INDIRECT("'results" &amp; $B11 &amp; "'!P$14")</f>
        <v>17.436512090359219</v>
      </c>
      <c r="P11" s="5" cm="1">
        <f t="array" aca="1" ref="P11" ca="1">INDIRECT("'results" &amp; $B11 &amp; "'!Q$14")</f>
        <v>17.93455793455793</v>
      </c>
      <c r="Q11" s="5" cm="1">
        <f t="array" aca="1" ref="Q11" ca="1">INDIRECT("'results" &amp; $B11 &amp; "'!R$14")</f>
        <v>1507.3399051846891</v>
      </c>
      <c r="R11" s="5"/>
      <c r="S11" s="5" cm="1">
        <f t="array" aca="1" ref="S11" ca="1">INDIRECT("'results" &amp; $B11 &amp; "'!T$14")</f>
        <v>93043.441032278861</v>
      </c>
      <c r="T11" s="5" cm="1">
        <f t="array" aca="1" ref="T11" ca="1">INDIRECT("'results" &amp; $B11 &amp; "'!U$14")</f>
        <v>4.1901565000007386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80</v>
      </c>
      <c r="W11" s="5" cm="1">
        <f t="array" aca="1" ref="W11" ca="1">INDIRECT("'results" &amp; $B11 &amp; "'!X$14")</f>
        <v>57.421291490429631</v>
      </c>
      <c r="X11" s="5" cm="1">
        <f t="array" aca="1" ref="X11" ca="1">INDIRECT("'results" &amp; $B11 &amp; "'!Y$14")</f>
        <v>37.157116468878144</v>
      </c>
      <c r="Y11" s="5" cm="1">
        <f t="array" aca="1" ref="Y11" ca="1">INDIRECT("'results" &amp; $B11 &amp; "'!Z$14")</f>
        <v>1895.4845707852066</v>
      </c>
      <c r="Z11" s="5"/>
    </row>
    <row r="12" spans="2:26" x14ac:dyDescent="0.2">
      <c r="B12" s="4">
        <v>587</v>
      </c>
      <c r="C12" s="5" cm="1">
        <f t="array" aca="1" ref="C12" ca="1">INDIRECT("'results" &amp; $B12 &amp; "'!D$14")</f>
        <v>67990.035746193927</v>
      </c>
      <c r="D12" s="33" cm="1">
        <f t="array" aca="1" ref="D12" ca="1">INDIRECT("'results" &amp; $B12 &amp; "'!E$14")</f>
        <v>3.616430333997414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96.666666666666671</v>
      </c>
      <c r="G12" s="5" cm="1">
        <f t="array" aca="1" ref="G12" ca="1">INDIRECT("'results" &amp; $B12 &amp; "'!H$14")</f>
        <v>4.9417655605470578</v>
      </c>
      <c r="H12" s="33" cm="1">
        <f t="array" aca="1" ref="H12" ca="1">INDIRECT("'results" &amp; $B12 &amp; "'!I$14")</f>
        <v>40.428845223846622</v>
      </c>
      <c r="I12" s="5" cm="1">
        <f t="array" aca="1" ref="I12" ca="1">INDIRECT("'results" &amp; $B12 &amp; "'!J$14")</f>
        <v>1602.3419813402365</v>
      </c>
      <c r="J12" s="5"/>
      <c r="K12" s="5" cm="1">
        <f t="array" aca="1" ref="K12" ca="1">INDIRECT("'results" &amp; $B12 &amp; "'!L$14")</f>
        <v>91701.522704364106</v>
      </c>
      <c r="L12" s="5" cm="1">
        <f t="array" aca="1" ref="L12" ca="1">INDIRECT("'results" &amp; $B12 &amp; "'!M$14")</f>
        <v>8.6429368749995774</v>
      </c>
      <c r="M12" s="5" cm="1">
        <f t="array" aca="1" ref="M12" ca="1">INDIRECT("'results" &amp; $B12 &amp; "'!N$14")</f>
        <v>3</v>
      </c>
      <c r="N12" s="5" cm="1">
        <f t="array" aca="1" ref="N12" ca="1">INDIRECT("'results" &amp; $B12 &amp; "'!O$14")</f>
        <v>73.333333333333329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18.429403310437866</v>
      </c>
      <c r="Q12" s="5" cm="1">
        <f t="array" aca="1" ref="Q12" ca="1">INDIRECT("'results" &amp; $B12 &amp; "'!R$14")</f>
        <v>1151.6250022592887</v>
      </c>
      <c r="R12" s="5"/>
      <c r="S12" s="5" cm="1">
        <f t="array" aca="1" ref="S12" ca="1">INDIRECT("'results" &amp; $B12 &amp; "'!T$14")</f>
        <v>85297.817695101505</v>
      </c>
      <c r="T12" s="5" cm="1">
        <f t="array" aca="1" ref="T12" ca="1">INDIRECT("'results" &amp; $B12 &amp; "'!U$14")</f>
        <v>4.3646001660017646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86.666666666666671</v>
      </c>
      <c r="W12" s="5" cm="1">
        <f t="array" aca="1" ref="W12" ca="1">INDIRECT("'results" &amp; $B12 &amp; "'!X$14")</f>
        <v>26.513671806130048</v>
      </c>
      <c r="X12" s="5" cm="1">
        <f t="array" aca="1" ref="X12" ca="1">INDIRECT("'results" &amp; $B12 &amp; "'!Y$14")</f>
        <v>58.134138989657757</v>
      </c>
      <c r="Y12" s="5" cm="1">
        <f t="array" aca="1" ref="Y12" ca="1">INDIRECT("'results" &amp; $B12 &amp; "'!Z$14")</f>
        <v>1984.2338361947934</v>
      </c>
      <c r="Z12" s="5"/>
    </row>
    <row r="13" spans="2:26" x14ac:dyDescent="0.2">
      <c r="B13" s="8" t="s">
        <v>3</v>
      </c>
      <c r="C13" s="9">
        <f ca="1">AVERAGE(C3:C12)</f>
        <v>75151.33263343545</v>
      </c>
      <c r="D13" s="10">
        <f t="shared" ref="D13:I13" ca="1" si="0">AVERAGE(D3:D12)</f>
        <v>4.3441159835994769</v>
      </c>
      <c r="E13" s="9">
        <f t="shared" ca="1" si="0"/>
        <v>2.5</v>
      </c>
      <c r="F13" s="9">
        <f t="shared" ca="1" si="0"/>
        <v>95</v>
      </c>
      <c r="G13" s="9">
        <f t="shared" ca="1" si="0"/>
        <v>23.336437335766718</v>
      </c>
      <c r="H13" s="10">
        <f t="shared" ca="1" si="0"/>
        <v>31.810348275468215</v>
      </c>
      <c r="I13" s="9">
        <f t="shared" ca="1" si="0"/>
        <v>1680.5711793335304</v>
      </c>
      <c r="J13" s="32" t="e">
        <f ca="1">(C13-$D$15)/$D$15</f>
        <v>#DIV/0!</v>
      </c>
      <c r="K13" s="16">
        <f ca="1">AVERAGE(K3:K12)</f>
        <v>93110.224427316163</v>
      </c>
      <c r="L13" s="36">
        <f t="shared" ref="L13:Q13" ca="1" si="1">AVERAGE(L3:L12)</f>
        <v>8.5395951916994814</v>
      </c>
      <c r="M13" s="16">
        <f t="shared" ca="1" si="1"/>
        <v>3.1</v>
      </c>
      <c r="N13" s="16">
        <f ca="1">AVERAGE(N3:N12)</f>
        <v>75.000000000000014</v>
      </c>
      <c r="O13" s="16">
        <f t="shared" ca="1" si="1"/>
        <v>3.3471032845956001</v>
      </c>
      <c r="P13" s="36">
        <f t="shared" ca="1" si="1"/>
        <v>18.827500311863844</v>
      </c>
      <c r="Q13" s="16">
        <f t="shared" ca="1" si="1"/>
        <v>1306.9298725679162</v>
      </c>
      <c r="R13" s="37" t="e">
        <f ca="1">(K13-$D$15)/$D$15</f>
        <v>#DIV/0!</v>
      </c>
      <c r="S13" s="38">
        <f ca="1">AVERAGE(S3:S12)</f>
        <v>91522.021995569332</v>
      </c>
      <c r="T13" s="39">
        <f t="shared" ref="T13:Y13" ca="1" si="2">AVERAGE(T3:T12)</f>
        <v>4.9701472954991912</v>
      </c>
      <c r="U13" s="38">
        <f t="shared" ca="1" si="2"/>
        <v>2.6</v>
      </c>
      <c r="V13" s="38">
        <f t="shared" ca="1" si="2"/>
        <v>81</v>
      </c>
      <c r="W13" s="38">
        <f t="shared" ca="1" si="2"/>
        <v>38.117464980308952</v>
      </c>
      <c r="X13" s="39">
        <f t="shared" ca="1" si="2"/>
        <v>39.921813124922771</v>
      </c>
      <c r="Y13" s="38">
        <f t="shared" ca="1" si="2"/>
        <v>1868.8973323444327</v>
      </c>
      <c r="Z13" s="40" t="e">
        <f ca="1">(S13-$D$15)/$D$15</f>
        <v>#DIV/0!</v>
      </c>
    </row>
    <row r="14" spans="2:26" x14ac:dyDescent="0.2">
      <c r="K14" s="41"/>
      <c r="L14" s="41"/>
      <c r="M14" s="41"/>
      <c r="N14" s="41"/>
      <c r="O14" s="41"/>
      <c r="P14" s="41"/>
      <c r="Q14" s="41"/>
      <c r="S14" s="41"/>
      <c r="T14" s="41"/>
      <c r="U14" s="41"/>
      <c r="V14" s="41"/>
      <c r="W14" s="41"/>
      <c r="X14" s="41"/>
      <c r="Y14" s="41"/>
    </row>
    <row r="16" spans="2:26" x14ac:dyDescent="0.2">
      <c r="B16" s="1" t="s">
        <v>20</v>
      </c>
      <c r="C16">
        <f ca="1">_xlfn.STDEV.S(C3:C12)</f>
        <v>7580.493075038783</v>
      </c>
      <c r="J16" s="1" t="s">
        <v>20</v>
      </c>
      <c r="K16">
        <f ca="1">_xlfn.STDEV.S(K3:K12)</f>
        <v>9528.6199645947418</v>
      </c>
      <c r="R16" s="1" t="s">
        <v>20</v>
      </c>
      <c r="S16">
        <f ca="1">_xlfn.STDEV.S(S3:S12)</f>
        <v>10156.573996375702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3447-9DEE-A944-9EF6-283E42A021B6}">
  <dimension ref="B1:AA17"/>
  <sheetViews>
    <sheetView zoomScale="118" zoomScaleNormal="120" workbookViewId="0">
      <selection activeCell="L15" sqref="A15:XFD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-6.9108453081279123E-2</v>
      </c>
      <c r="T2" s="1" t="s">
        <v>19</v>
      </c>
      <c r="X2" s="1" t="e">
        <f>(X14-P14)/P14</f>
        <v>#DIV/0!</v>
      </c>
      <c r="Z2" s="1">
        <f>(Z14-R14)/R14</f>
        <v>0.37646826559969332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279</v>
      </c>
      <c r="D4" s="23">
        <v>69943.193848351497</v>
      </c>
      <c r="E4" s="33">
        <v>4.7077678749992629</v>
      </c>
      <c r="F4" s="5">
        <v>3</v>
      </c>
      <c r="G4" s="23">
        <v>93.333333333333329</v>
      </c>
      <c r="H4" s="33">
        <v>0</v>
      </c>
      <c r="I4" s="23">
        <v>25.325749603484581</v>
      </c>
      <c r="J4" s="5">
        <v>1314.6428938607353</v>
      </c>
      <c r="K4" s="31" t="e">
        <f>(D4-$D$15)/$D$15</f>
        <v>#DIV/0!</v>
      </c>
      <c r="L4" s="23">
        <v>85826.702565869404</v>
      </c>
      <c r="M4" s="33">
        <v>5.9675758750017849</v>
      </c>
      <c r="N4" s="5">
        <v>3</v>
      </c>
      <c r="O4" s="5">
        <v>83.333333333333329</v>
      </c>
      <c r="P4" s="33">
        <v>0</v>
      </c>
      <c r="Q4" s="5">
        <v>19.3572348723904</v>
      </c>
      <c r="R4" s="5">
        <v>1443.8300910006335</v>
      </c>
      <c r="S4" s="42"/>
      <c r="T4" s="23">
        <v>84234.808907633254</v>
      </c>
      <c r="U4" s="33">
        <v>4.9863717919979544</v>
      </c>
      <c r="V4" s="5">
        <v>3</v>
      </c>
      <c r="W4" s="5">
        <v>86.666666666666671</v>
      </c>
      <c r="X4" s="33">
        <v>13.034130523767836</v>
      </c>
      <c r="Y4" s="5">
        <v>36.212587226863299</v>
      </c>
      <c r="Z4" s="5">
        <v>1684.5080397238974</v>
      </c>
      <c r="AA4" s="42"/>
    </row>
    <row r="5" spans="2:27" x14ac:dyDescent="0.2">
      <c r="B5" s="4">
        <v>2</v>
      </c>
      <c r="C5" s="4">
        <v>421</v>
      </c>
      <c r="D5" s="23">
        <v>69943.193848351497</v>
      </c>
      <c r="E5" s="33">
        <v>4.7344103750001523</v>
      </c>
      <c r="F5" s="5">
        <v>3</v>
      </c>
      <c r="G5" s="23">
        <v>93.333333333333329</v>
      </c>
      <c r="H5" s="33">
        <v>0</v>
      </c>
      <c r="I5" s="23">
        <v>25.325749603484581</v>
      </c>
      <c r="J5" s="5">
        <v>1314.6428938607353</v>
      </c>
      <c r="K5" s="31" t="e">
        <f>(D5-$D$15)/$D$15</f>
        <v>#DIV/0!</v>
      </c>
      <c r="L5" s="23">
        <v>84260.456193244594</v>
      </c>
      <c r="M5" s="33">
        <v>6.1826284999988266</v>
      </c>
      <c r="N5" s="5">
        <v>3</v>
      </c>
      <c r="O5" s="5">
        <v>80</v>
      </c>
      <c r="P5" s="33">
        <v>0</v>
      </c>
      <c r="Q5" s="5">
        <v>19.186862849288215</v>
      </c>
      <c r="R5" s="5">
        <v>1223.7899571117237</v>
      </c>
      <c r="S5" s="42"/>
      <c r="T5" s="23">
        <v>84234.808907633254</v>
      </c>
      <c r="U5" s="33">
        <v>5.1143990419986949</v>
      </c>
      <c r="V5" s="5">
        <v>3</v>
      </c>
      <c r="W5" s="5">
        <v>86.666666666666671</v>
      </c>
      <c r="X5" s="33">
        <v>13.034130523767836</v>
      </c>
      <c r="Y5" s="5">
        <v>36.212587226863299</v>
      </c>
      <c r="Z5" s="5">
        <v>1684.5080397238974</v>
      </c>
      <c r="AA5" s="42"/>
    </row>
    <row r="6" spans="2:27" x14ac:dyDescent="0.2">
      <c r="B6" s="4">
        <v>3</v>
      </c>
      <c r="C6" s="4">
        <v>490</v>
      </c>
      <c r="D6" s="23">
        <v>69943.193848351497</v>
      </c>
      <c r="E6" s="33">
        <v>4.7352561250008884</v>
      </c>
      <c r="F6" s="5">
        <v>3</v>
      </c>
      <c r="G6" s="23">
        <v>93.333333333333329</v>
      </c>
      <c r="H6" s="33">
        <v>0</v>
      </c>
      <c r="I6" s="23">
        <v>25.325749603484581</v>
      </c>
      <c r="J6" s="5">
        <v>1314.6428938607353</v>
      </c>
      <c r="K6" s="31" t="e">
        <f t="shared" ref="K6:K13" si="0">(D6-$D$15)/$D$15</f>
        <v>#DIV/0!</v>
      </c>
      <c r="L6" s="23">
        <v>85826.702565869404</v>
      </c>
      <c r="M6" s="33">
        <v>6.0188030000026629</v>
      </c>
      <c r="N6" s="5">
        <v>3</v>
      </c>
      <c r="O6" s="5">
        <v>83.333333333333329</v>
      </c>
      <c r="P6" s="33">
        <v>0</v>
      </c>
      <c r="Q6" s="5">
        <v>19.3572348723904</v>
      </c>
      <c r="R6" s="5">
        <v>1443.8300910006335</v>
      </c>
      <c r="S6" s="42"/>
      <c r="T6" s="23">
        <v>84234.808907633254</v>
      </c>
      <c r="U6" s="33">
        <v>5.0818559580002329</v>
      </c>
      <c r="V6" s="5">
        <v>3</v>
      </c>
      <c r="W6" s="5">
        <v>86.666666666666671</v>
      </c>
      <c r="X6" s="33">
        <v>13.034130523767836</v>
      </c>
      <c r="Y6" s="5">
        <v>36.212587226863299</v>
      </c>
      <c r="Z6" s="5">
        <v>1684.5080397238974</v>
      </c>
      <c r="AA6" s="42"/>
    </row>
    <row r="7" spans="2:27" x14ac:dyDescent="0.2">
      <c r="B7" s="4">
        <v>4</v>
      </c>
      <c r="C7" s="4">
        <v>547</v>
      </c>
      <c r="D7" s="23">
        <v>69943.193848351497</v>
      </c>
      <c r="E7" s="33">
        <v>4.6898104170031729</v>
      </c>
      <c r="F7" s="5">
        <v>3</v>
      </c>
      <c r="G7" s="23">
        <v>93.333333333333329</v>
      </c>
      <c r="H7" s="33">
        <v>0</v>
      </c>
      <c r="I7" s="23">
        <v>25.325749603484581</v>
      </c>
      <c r="J7" s="5">
        <v>1314.6428938607353</v>
      </c>
      <c r="K7" s="31" t="e">
        <f t="shared" si="0"/>
        <v>#DIV/0!</v>
      </c>
      <c r="L7" s="23">
        <v>85826.702565869404</v>
      </c>
      <c r="M7" s="33">
        <v>5.9186275840002054</v>
      </c>
      <c r="N7" s="5">
        <v>3</v>
      </c>
      <c r="O7" s="5">
        <v>83.333333333333329</v>
      </c>
      <c r="P7" s="33">
        <v>0</v>
      </c>
      <c r="Q7" s="5">
        <v>19.3572348723904</v>
      </c>
      <c r="R7" s="5">
        <v>1443.8300910006335</v>
      </c>
      <c r="S7" s="42"/>
      <c r="T7" s="23">
        <v>84234.808907633254</v>
      </c>
      <c r="U7" s="33">
        <v>7.4873413750028703</v>
      </c>
      <c r="V7" s="5">
        <v>3</v>
      </c>
      <c r="W7" s="5">
        <v>86.666666666666671</v>
      </c>
      <c r="X7" s="33">
        <v>13.034130523767836</v>
      </c>
      <c r="Y7" s="5">
        <v>36.212587226863299</v>
      </c>
      <c r="Z7" s="5">
        <v>1684.5080397238974</v>
      </c>
      <c r="AA7" s="42"/>
    </row>
    <row r="8" spans="2:27" x14ac:dyDescent="0.2">
      <c r="B8" s="4">
        <v>5</v>
      </c>
      <c r="C8" s="4">
        <v>666</v>
      </c>
      <c r="D8" s="23">
        <v>69943.193848351497</v>
      </c>
      <c r="E8" s="33">
        <v>5.0377875830017729</v>
      </c>
      <c r="F8" s="5">
        <v>3</v>
      </c>
      <c r="G8" s="23">
        <v>93.333333333333329</v>
      </c>
      <c r="H8" s="33">
        <v>0</v>
      </c>
      <c r="I8" s="23">
        <v>25.325749603484581</v>
      </c>
      <c r="J8" s="5">
        <v>1314.6428938607353</v>
      </c>
      <c r="K8" s="31" t="e">
        <f t="shared" si="0"/>
        <v>#DIV/0!</v>
      </c>
      <c r="L8" s="23">
        <v>85826.702565869404</v>
      </c>
      <c r="M8" s="33">
        <v>6.0339209999983723</v>
      </c>
      <c r="N8" s="5">
        <v>3</v>
      </c>
      <c r="O8" s="5">
        <v>83.333333333333329</v>
      </c>
      <c r="P8" s="33">
        <v>0</v>
      </c>
      <c r="Q8" s="5">
        <v>19.3572348723904</v>
      </c>
      <c r="R8" s="5">
        <v>1443.8300910006335</v>
      </c>
      <c r="S8" s="42"/>
      <c r="T8" s="23">
        <v>84234.808907633254</v>
      </c>
      <c r="U8" s="33">
        <v>6.6686468750012864</v>
      </c>
      <c r="V8" s="5">
        <v>3</v>
      </c>
      <c r="W8" s="5">
        <v>86.666666666666671</v>
      </c>
      <c r="X8" s="33">
        <v>13.034130523767836</v>
      </c>
      <c r="Y8" s="5">
        <v>36.212587226863299</v>
      </c>
      <c r="Z8" s="5">
        <v>1684.5080397238974</v>
      </c>
      <c r="AA8" s="42"/>
    </row>
    <row r="9" spans="2:27" x14ac:dyDescent="0.2">
      <c r="B9" s="4">
        <v>6</v>
      </c>
      <c r="C9" s="4">
        <v>694</v>
      </c>
      <c r="D9" s="23">
        <v>69943.193848351497</v>
      </c>
      <c r="E9" s="33">
        <v>4.6993083750057849</v>
      </c>
      <c r="F9" s="5">
        <v>3</v>
      </c>
      <c r="G9" s="23">
        <v>93.333333333333329</v>
      </c>
      <c r="H9" s="33">
        <v>0</v>
      </c>
      <c r="I9" s="23">
        <v>25.325749603484581</v>
      </c>
      <c r="J9" s="5">
        <v>1314.6428938607353</v>
      </c>
      <c r="K9" s="31" t="e">
        <f t="shared" si="0"/>
        <v>#DIV/0!</v>
      </c>
      <c r="L9" s="23">
        <v>85826.702565869404</v>
      </c>
      <c r="M9" s="33">
        <v>6.074899583003571</v>
      </c>
      <c r="N9" s="5">
        <v>3</v>
      </c>
      <c r="O9" s="5">
        <v>83.333333333333329</v>
      </c>
      <c r="P9" s="33">
        <v>0</v>
      </c>
      <c r="Q9" s="5">
        <v>19.3572348723904</v>
      </c>
      <c r="R9" s="5">
        <v>1443.8300910006335</v>
      </c>
      <c r="S9" s="42"/>
      <c r="T9" s="23">
        <v>84234.808907633254</v>
      </c>
      <c r="U9" s="33">
        <v>6.6847127499968337</v>
      </c>
      <c r="V9" s="5">
        <v>3</v>
      </c>
      <c r="W9" s="5">
        <v>86.666666666666671</v>
      </c>
      <c r="X9" s="33">
        <v>13.034130523767836</v>
      </c>
      <c r="Y9" s="5">
        <v>36.212587226863299</v>
      </c>
      <c r="Z9" s="5">
        <v>1684.5080397238974</v>
      </c>
      <c r="AA9" s="42"/>
    </row>
    <row r="10" spans="2:27" x14ac:dyDescent="0.2">
      <c r="B10" s="4">
        <v>7</v>
      </c>
      <c r="C10" s="4">
        <v>723</v>
      </c>
      <c r="D10" s="23">
        <v>69943.193848351497</v>
      </c>
      <c r="E10" s="33">
        <v>4.6222320419983589</v>
      </c>
      <c r="F10" s="5">
        <v>3</v>
      </c>
      <c r="G10" s="23">
        <v>93.333333333333329</v>
      </c>
      <c r="H10" s="33">
        <v>0</v>
      </c>
      <c r="I10" s="23">
        <v>25.325749603484581</v>
      </c>
      <c r="J10" s="5">
        <v>1314.6428938607353</v>
      </c>
      <c r="K10" s="31" t="e">
        <f t="shared" si="0"/>
        <v>#DIV/0!</v>
      </c>
      <c r="L10" s="23">
        <v>85826.702565869404</v>
      </c>
      <c r="M10" s="33">
        <v>6.0242025409970674</v>
      </c>
      <c r="N10" s="5">
        <v>3</v>
      </c>
      <c r="O10" s="5">
        <v>83.333333333333329</v>
      </c>
      <c r="P10" s="33">
        <v>0</v>
      </c>
      <c r="Q10" s="5">
        <v>19.3572348723904</v>
      </c>
      <c r="R10" s="5">
        <v>1443.8300910006335</v>
      </c>
      <c r="S10" s="42"/>
      <c r="T10" s="23">
        <v>84234.808907633254</v>
      </c>
      <c r="U10" s="33">
        <v>5.3020297910006784</v>
      </c>
      <c r="V10" s="5">
        <v>3</v>
      </c>
      <c r="W10" s="5">
        <v>86.666666666666671</v>
      </c>
      <c r="X10" s="33">
        <v>13.034130523767836</v>
      </c>
      <c r="Y10" s="5">
        <v>36.212587226863299</v>
      </c>
      <c r="Z10" s="5">
        <v>1684.5080397238974</v>
      </c>
      <c r="AA10" s="42"/>
    </row>
    <row r="11" spans="2:27" x14ac:dyDescent="0.2">
      <c r="B11" s="4">
        <v>8</v>
      </c>
      <c r="C11" s="4">
        <v>740</v>
      </c>
      <c r="D11" s="23">
        <v>69943.193848351497</v>
      </c>
      <c r="E11" s="33">
        <v>4.5615112500017858</v>
      </c>
      <c r="F11" s="5">
        <v>3</v>
      </c>
      <c r="G11" s="23">
        <v>93.333333333333329</v>
      </c>
      <c r="H11" s="33">
        <v>0</v>
      </c>
      <c r="I11" s="23">
        <v>25.325749603484581</v>
      </c>
      <c r="J11" s="5">
        <v>1314.6428938607353</v>
      </c>
      <c r="K11" s="31" t="e">
        <f t="shared" si="0"/>
        <v>#DIV/0!</v>
      </c>
      <c r="L11" s="23">
        <v>85826.702565869404</v>
      </c>
      <c r="M11" s="33">
        <v>6.1003584999998566</v>
      </c>
      <c r="N11" s="5">
        <v>3</v>
      </c>
      <c r="O11" s="5">
        <v>83.333333333333329</v>
      </c>
      <c r="P11" s="33">
        <v>0</v>
      </c>
      <c r="Q11" s="5">
        <v>19.3572348723904</v>
      </c>
      <c r="R11" s="5">
        <v>1443.8300910006335</v>
      </c>
      <c r="S11" s="42"/>
      <c r="T11" s="23">
        <v>84234.808907633254</v>
      </c>
      <c r="U11" s="33">
        <v>5.829727708001883</v>
      </c>
      <c r="V11" s="5">
        <v>3</v>
      </c>
      <c r="W11" s="5">
        <v>86.666666666666671</v>
      </c>
      <c r="X11" s="33">
        <v>13.034130523767836</v>
      </c>
      <c r="Y11" s="5">
        <v>36.212587226863299</v>
      </c>
      <c r="Z11" s="5">
        <v>1684.5080397238974</v>
      </c>
      <c r="AA11" s="42"/>
    </row>
    <row r="12" spans="2:27" x14ac:dyDescent="0.2">
      <c r="B12" s="4">
        <v>9</v>
      </c>
      <c r="C12" s="4">
        <v>776</v>
      </c>
      <c r="D12" s="23">
        <v>69943.193848351497</v>
      </c>
      <c r="E12" s="33">
        <v>5.1011463339964394</v>
      </c>
      <c r="F12" s="5">
        <v>3</v>
      </c>
      <c r="G12" s="23">
        <v>93.333333333333329</v>
      </c>
      <c r="H12" s="33">
        <v>0</v>
      </c>
      <c r="I12" s="23">
        <v>25.325749603484581</v>
      </c>
      <c r="J12" s="5">
        <v>1314.6428938607353</v>
      </c>
      <c r="K12" s="31" t="e">
        <f t="shared" si="0"/>
        <v>#DIV/0!</v>
      </c>
      <c r="L12" s="23">
        <v>85826.702565869404</v>
      </c>
      <c r="M12" s="33">
        <v>6.1463854579997133</v>
      </c>
      <c r="N12" s="5">
        <v>3</v>
      </c>
      <c r="O12" s="5">
        <v>83.333333333333329</v>
      </c>
      <c r="P12" s="33">
        <v>0</v>
      </c>
      <c r="Q12" s="5">
        <v>19.3572348723904</v>
      </c>
      <c r="R12" s="5">
        <v>1443.8300910006335</v>
      </c>
      <c r="S12" s="42"/>
      <c r="T12" s="23">
        <v>84234.808907633254</v>
      </c>
      <c r="U12" s="33">
        <v>6.8471237499979907</v>
      </c>
      <c r="V12" s="5">
        <v>3</v>
      </c>
      <c r="W12" s="5">
        <v>86.666666666666671</v>
      </c>
      <c r="X12" s="33">
        <v>13.034130523767836</v>
      </c>
      <c r="Y12" s="5">
        <v>36.212587226863299</v>
      </c>
      <c r="Z12" s="5">
        <v>1684.5080397238974</v>
      </c>
      <c r="AA12" s="42"/>
    </row>
    <row r="13" spans="2:27" x14ac:dyDescent="0.2">
      <c r="B13" s="4">
        <v>10</v>
      </c>
      <c r="C13" s="4">
        <v>940</v>
      </c>
      <c r="D13" s="23">
        <v>69943.193848351497</v>
      </c>
      <c r="E13" s="33">
        <v>4.7206090409963508</v>
      </c>
      <c r="F13" s="5">
        <v>3</v>
      </c>
      <c r="G13" s="23">
        <v>93.333333333333329</v>
      </c>
      <c r="H13" s="33">
        <v>0</v>
      </c>
      <c r="I13" s="23">
        <v>25.325749603484581</v>
      </c>
      <c r="J13" s="5">
        <v>1314.6428938607353</v>
      </c>
      <c r="K13" s="31" t="e">
        <f t="shared" si="0"/>
        <v>#DIV/0!</v>
      </c>
      <c r="L13" s="23">
        <v>85826.702565869404</v>
      </c>
      <c r="M13" s="33">
        <v>6.1237801249990298</v>
      </c>
      <c r="N13" s="5">
        <v>3</v>
      </c>
      <c r="O13" s="5">
        <v>83.333333333333329</v>
      </c>
      <c r="P13" s="33">
        <v>0</v>
      </c>
      <c r="Q13" s="5">
        <v>19.3572348723904</v>
      </c>
      <c r="R13" s="5">
        <v>1443.8300910006335</v>
      </c>
      <c r="S13" s="42"/>
      <c r="T13" s="23">
        <v>84234.808907633254</v>
      </c>
      <c r="U13" s="33">
        <v>5.3607535410010314</v>
      </c>
      <c r="V13" s="5">
        <v>3</v>
      </c>
      <c r="W13" s="5">
        <v>86.666666666666671</v>
      </c>
      <c r="X13" s="33">
        <v>13.034130523767836</v>
      </c>
      <c r="Y13" s="5">
        <v>36.212587226863299</v>
      </c>
      <c r="Z13" s="5">
        <v>1684.5080397238974</v>
      </c>
      <c r="AA13" s="42"/>
    </row>
    <row r="14" spans="2:27" x14ac:dyDescent="0.2">
      <c r="B14" s="46" t="s">
        <v>3</v>
      </c>
      <c r="C14" s="47"/>
      <c r="D14" s="9">
        <f>MIN(D4:D13)</f>
        <v>69943.193848351497</v>
      </c>
      <c r="E14" s="22">
        <f>INDEX(E4:E13, MATCH($D$14, D4:D13, 0))</f>
        <v>4.7077678749992629</v>
      </c>
      <c r="F14" s="9">
        <f>INDEX(F4:F13, MATCH($D$14, D4:D13, 0))</f>
        <v>3</v>
      </c>
      <c r="G14" s="9">
        <f>INDEX(G4:G13, MATCH($D$14, D4:D13, 0))</f>
        <v>93.333333333333329</v>
      </c>
      <c r="H14" s="22">
        <f>INDEX(H4:H13, MATCH($D$14, D4:D13, 0))</f>
        <v>0</v>
      </c>
      <c r="I14" s="22">
        <f>INDEX(I4:I13, MATCH($D$14, D4:D13, 0))</f>
        <v>25.325749603484581</v>
      </c>
      <c r="J14" s="22">
        <f>INDEX(J4:J13, MATCH($D$14, D4:D13, 0))</f>
        <v>1314.6428938607353</v>
      </c>
      <c r="K14" s="32" t="e">
        <f>(D14-$D$15)/$D$15</f>
        <v>#DIV/0!</v>
      </c>
      <c r="L14" s="16">
        <f>MIN(L4:L13)</f>
        <v>84260.456193244594</v>
      </c>
      <c r="M14" s="21">
        <f>INDEX(M4:M13, MATCH($L$14, L4:L13, 0))</f>
        <v>6.1826284999988266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19.186862849288215</v>
      </c>
      <c r="R14" s="21">
        <f>INDEX(R4:R13, MATCH($L$14, L4:L13, 0))</f>
        <v>1223.7899571117237</v>
      </c>
      <c r="S14" s="43" t="e">
        <f>(L14-$D$15)/$D$15</f>
        <v>#DIV/0!</v>
      </c>
      <c r="T14" s="38">
        <f>MIN(T4:T13)</f>
        <v>84234.808907633254</v>
      </c>
      <c r="U14" s="44">
        <f>INDEX(U4:U13, MATCH($T$14, T4:T13, 0))</f>
        <v>4.9863717919979544</v>
      </c>
      <c r="V14" s="38">
        <f>INDEX(V4:V13, MATCH($T$14, T4:T13, 0))</f>
        <v>3</v>
      </c>
      <c r="W14" s="38">
        <f>INDEX(W4:W13, MATCH($T$14, T4:T13, 0))</f>
        <v>86.666666666666671</v>
      </c>
      <c r="X14" s="44">
        <f>INDEX(X4:X13, MATCH($T$14, T4:T13, 0))</f>
        <v>13.034130523767836</v>
      </c>
      <c r="Y14" s="44">
        <f>INDEX(Y4:Y13, MATCH($T$14, T4:T13, 0))</f>
        <v>36.212587226863299</v>
      </c>
      <c r="Z14" s="44">
        <f>INDEX(Z4:Z13, MATCH($T$14, T4:T13, 0))</f>
        <v>1684.5080397238974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89" priority="3"/>
    <cfRule type="duplicateValues" dxfId="88" priority="4"/>
  </conditionalFormatting>
  <conditionalFormatting sqref="C14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470B-B52D-6E4D-8653-908191E28CD6}">
  <dimension ref="B1:AA17"/>
  <sheetViews>
    <sheetView zoomScale="118" zoomScaleNormal="120" workbookViewId="0">
      <selection activeCell="L15" sqref="A15:XFD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-0.22026041313420169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-0.16337720033775679</v>
      </c>
      <c r="T2" s="1" t="s">
        <v>19</v>
      </c>
      <c r="X2" s="1" t="e">
        <f>(X14-P14)/P14</f>
        <v>#DIV/0!</v>
      </c>
      <c r="Z2" s="1">
        <f>(Z14-R14)/R14</f>
        <v>0.16161041329795886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64</v>
      </c>
      <c r="D4" s="23">
        <v>82679.948890660555</v>
      </c>
      <c r="E4" s="33">
        <v>4.7865935419977177</v>
      </c>
      <c r="F4" s="5">
        <v>3</v>
      </c>
      <c r="G4" s="23">
        <v>96.666666666666671</v>
      </c>
      <c r="H4" s="33">
        <v>24.759466187687977</v>
      </c>
      <c r="I4" s="23">
        <v>24.291336372541181</v>
      </c>
      <c r="J4" s="5">
        <v>1768.5757161688666</v>
      </c>
      <c r="K4" s="31" t="e">
        <f>(D4-$D$15)/$D$15</f>
        <v>#DIV/0!</v>
      </c>
      <c r="L4" s="23">
        <v>89122.236368398153</v>
      </c>
      <c r="M4" s="33">
        <v>10.26941308299865</v>
      </c>
      <c r="N4" s="5">
        <v>3</v>
      </c>
      <c r="O4" s="5">
        <v>83.333333333333329</v>
      </c>
      <c r="P4" s="33">
        <v>0</v>
      </c>
      <c r="Q4" s="5">
        <v>19.469788012576846</v>
      </c>
      <c r="R4" s="5">
        <v>1499.7391042779536</v>
      </c>
      <c r="S4" s="42"/>
      <c r="T4" s="23">
        <v>101983.861589149</v>
      </c>
      <c r="U4" s="33">
        <v>5.0764354579987412</v>
      </c>
      <c r="V4" s="5">
        <v>3</v>
      </c>
      <c r="W4" s="5">
        <v>80</v>
      </c>
      <c r="X4" s="33">
        <v>24.890226259070165</v>
      </c>
      <c r="Y4" s="5">
        <v>29.897574014160895</v>
      </c>
      <c r="Z4" s="5">
        <v>1980.0237845126494</v>
      </c>
      <c r="AA4" s="42"/>
    </row>
    <row r="5" spans="2:27" x14ac:dyDescent="0.2">
      <c r="B5" s="4">
        <v>2</v>
      </c>
      <c r="C5" s="4">
        <v>196</v>
      </c>
      <c r="D5" s="23">
        <v>82679.948890660555</v>
      </c>
      <c r="E5" s="33">
        <v>4.7537448330040206</v>
      </c>
      <c r="F5" s="5">
        <v>3</v>
      </c>
      <c r="G5" s="23">
        <v>96.666666666666671</v>
      </c>
      <c r="H5" s="33">
        <v>24.759466187687977</v>
      </c>
      <c r="I5" s="23">
        <v>24.291336372541181</v>
      </c>
      <c r="J5" s="5">
        <v>1768.5757161688666</v>
      </c>
      <c r="K5" s="31" t="e">
        <f>(D5-$D$15)/$D$15</f>
        <v>#DIV/0!</v>
      </c>
      <c r="L5" s="23">
        <v>88616.992066160223</v>
      </c>
      <c r="M5" s="33">
        <v>11.14679016700029</v>
      </c>
      <c r="N5" s="5">
        <v>3</v>
      </c>
      <c r="O5" s="5">
        <v>83.333333333333329</v>
      </c>
      <c r="P5" s="33">
        <v>0</v>
      </c>
      <c r="Q5" s="5">
        <v>19.305935936205525</v>
      </c>
      <c r="R5" s="5">
        <v>1479.630767075854</v>
      </c>
      <c r="S5" s="42"/>
      <c r="T5" s="23">
        <v>101983.861589149</v>
      </c>
      <c r="U5" s="33">
        <v>5.5754914589997497</v>
      </c>
      <c r="V5" s="5">
        <v>3</v>
      </c>
      <c r="W5" s="5">
        <v>80</v>
      </c>
      <c r="X5" s="33">
        <v>24.890226259070165</v>
      </c>
      <c r="Y5" s="5">
        <v>29.897574014160895</v>
      </c>
      <c r="Z5" s="5">
        <v>1980.0237845126494</v>
      </c>
      <c r="AA5" s="42"/>
    </row>
    <row r="6" spans="2:27" x14ac:dyDescent="0.2">
      <c r="B6" s="4">
        <v>3</v>
      </c>
      <c r="C6" s="4">
        <v>288</v>
      </c>
      <c r="D6" s="23">
        <v>82679.948890660555</v>
      </c>
      <c r="E6" s="33">
        <v>4.7339631659997394</v>
      </c>
      <c r="F6" s="5">
        <v>3</v>
      </c>
      <c r="G6" s="23">
        <v>96.666666666666671</v>
      </c>
      <c r="H6" s="33">
        <v>24.759466187687977</v>
      </c>
      <c r="I6" s="23">
        <v>24.291336372541181</v>
      </c>
      <c r="J6" s="5">
        <v>1768.5757161688666</v>
      </c>
      <c r="K6" s="31" t="e">
        <f t="shared" ref="K6:K13" si="0">(D6-$D$15)/$D$15</f>
        <v>#DIV/0!</v>
      </c>
      <c r="L6" s="23">
        <v>88616.992066160223</v>
      </c>
      <c r="M6" s="33">
        <v>10.3728080410001</v>
      </c>
      <c r="N6" s="5">
        <v>3</v>
      </c>
      <c r="O6" s="5">
        <v>83.333333333333329</v>
      </c>
      <c r="P6" s="33">
        <v>0</v>
      </c>
      <c r="Q6" s="5">
        <v>19.305935936205525</v>
      </c>
      <c r="R6" s="5">
        <v>1479.630767075854</v>
      </c>
      <c r="S6" s="42"/>
      <c r="T6" s="23">
        <v>101983.861589149</v>
      </c>
      <c r="U6" s="33">
        <v>5.1489835000029416</v>
      </c>
      <c r="V6" s="5">
        <v>3</v>
      </c>
      <c r="W6" s="5">
        <v>80</v>
      </c>
      <c r="X6" s="33">
        <v>24.890226259070165</v>
      </c>
      <c r="Y6" s="5">
        <v>29.897574014160895</v>
      </c>
      <c r="Z6" s="5">
        <v>1980.0237845126494</v>
      </c>
      <c r="AA6" s="42"/>
    </row>
    <row r="7" spans="2:27" x14ac:dyDescent="0.2">
      <c r="B7" s="4">
        <v>4</v>
      </c>
      <c r="C7" s="4">
        <v>463</v>
      </c>
      <c r="D7" s="23">
        <v>82679.948890660555</v>
      </c>
      <c r="E7" s="33">
        <v>4.8256835409993073</v>
      </c>
      <c r="F7" s="5">
        <v>3</v>
      </c>
      <c r="G7" s="23">
        <v>96.666666666666671</v>
      </c>
      <c r="H7" s="33">
        <v>24.759466187687977</v>
      </c>
      <c r="I7" s="23">
        <v>24.291336372541181</v>
      </c>
      <c r="J7" s="5">
        <v>1768.5757161688666</v>
      </c>
      <c r="K7" s="31" t="e">
        <f t="shared" si="0"/>
        <v>#DIV/0!</v>
      </c>
      <c r="L7" s="23">
        <v>94547.522867354826</v>
      </c>
      <c r="M7" s="33">
        <v>6.432395332998567</v>
      </c>
      <c r="N7" s="5">
        <v>3</v>
      </c>
      <c r="O7" s="5">
        <v>80</v>
      </c>
      <c r="P7" s="33">
        <v>0</v>
      </c>
      <c r="Q7" s="5">
        <v>18.421650592009257</v>
      </c>
      <c r="R7" s="5">
        <v>1580.5808608825737</v>
      </c>
      <c r="S7" s="42"/>
      <c r="T7" s="23">
        <v>101983.861589149</v>
      </c>
      <c r="U7" s="33">
        <v>5.1384392920008386</v>
      </c>
      <c r="V7" s="5">
        <v>3</v>
      </c>
      <c r="W7" s="5">
        <v>80</v>
      </c>
      <c r="X7" s="33">
        <v>24.890226259070165</v>
      </c>
      <c r="Y7" s="5">
        <v>29.897574014160895</v>
      </c>
      <c r="Z7" s="5">
        <v>1980.0237845126494</v>
      </c>
      <c r="AA7" s="42"/>
    </row>
    <row r="8" spans="2:27" x14ac:dyDescent="0.2">
      <c r="B8" s="4">
        <v>5</v>
      </c>
      <c r="C8" s="4">
        <v>68</v>
      </c>
      <c r="D8" s="23">
        <v>82679.948890660555</v>
      </c>
      <c r="E8" s="33">
        <v>5.3293470409989823</v>
      </c>
      <c r="F8" s="5">
        <v>3</v>
      </c>
      <c r="G8" s="23">
        <v>96.666666666666671</v>
      </c>
      <c r="H8" s="33">
        <v>24.759466187687977</v>
      </c>
      <c r="I8" s="23">
        <v>24.291336372541181</v>
      </c>
      <c r="J8" s="5">
        <v>1768.5757161688666</v>
      </c>
      <c r="K8" s="31" t="e">
        <f t="shared" si="0"/>
        <v>#DIV/0!</v>
      </c>
      <c r="L8" s="23">
        <v>88773.724708590045</v>
      </c>
      <c r="M8" s="33">
        <v>10.226056084000451</v>
      </c>
      <c r="N8" s="5">
        <v>3</v>
      </c>
      <c r="O8" s="5">
        <v>83.333333333333329</v>
      </c>
      <c r="P8" s="33">
        <v>0</v>
      </c>
      <c r="Q8" s="5">
        <v>19.333244615600751</v>
      </c>
      <c r="R8" s="5">
        <v>1485.6729684469797</v>
      </c>
      <c r="S8" s="42"/>
      <c r="T8" s="23">
        <v>101983.861589149</v>
      </c>
      <c r="U8" s="33">
        <v>5.1701665830005368</v>
      </c>
      <c r="V8" s="5">
        <v>3</v>
      </c>
      <c r="W8" s="5">
        <v>80</v>
      </c>
      <c r="X8" s="33">
        <v>24.890226259070165</v>
      </c>
      <c r="Y8" s="5">
        <v>29.897574014160895</v>
      </c>
      <c r="Z8" s="5">
        <v>1980.0237845126494</v>
      </c>
      <c r="AA8" s="42"/>
    </row>
    <row r="9" spans="2:27" x14ac:dyDescent="0.2">
      <c r="B9" s="4">
        <v>6</v>
      </c>
      <c r="C9" s="4">
        <v>484</v>
      </c>
      <c r="D9" s="23">
        <v>82679.948890660555</v>
      </c>
      <c r="E9" s="33">
        <v>4.8452424169954611</v>
      </c>
      <c r="F9" s="5">
        <v>3</v>
      </c>
      <c r="G9" s="23">
        <v>96.666666666666671</v>
      </c>
      <c r="H9" s="33">
        <v>24.759466187687977</v>
      </c>
      <c r="I9" s="23">
        <v>24.291336372541181</v>
      </c>
      <c r="J9" s="5">
        <v>1768.5757161688666</v>
      </c>
      <c r="K9" s="31" t="e">
        <f t="shared" si="0"/>
        <v>#DIV/0!</v>
      </c>
      <c r="L9" s="23">
        <v>89264.087178497415</v>
      </c>
      <c r="M9" s="33">
        <v>10.73943529199823</v>
      </c>
      <c r="N9" s="5">
        <v>3</v>
      </c>
      <c r="O9" s="5">
        <v>83.333333333333329</v>
      </c>
      <c r="P9" s="33">
        <v>0</v>
      </c>
      <c r="Q9" s="5">
        <v>19.551714050762499</v>
      </c>
      <c r="R9" s="5">
        <v>1505.950475696588</v>
      </c>
      <c r="S9" s="42"/>
      <c r="T9" s="23">
        <v>101983.861589149</v>
      </c>
      <c r="U9" s="33">
        <v>5.2967092920007417</v>
      </c>
      <c r="V9" s="5">
        <v>3</v>
      </c>
      <c r="W9" s="5">
        <v>80</v>
      </c>
      <c r="X9" s="33">
        <v>24.890226259070165</v>
      </c>
      <c r="Y9" s="5">
        <v>29.897574014160895</v>
      </c>
      <c r="Z9" s="5">
        <v>1980.0237845126494</v>
      </c>
      <c r="AA9" s="42"/>
    </row>
    <row r="10" spans="2:27" x14ac:dyDescent="0.2">
      <c r="B10" s="4">
        <v>7</v>
      </c>
      <c r="C10" s="4">
        <v>718</v>
      </c>
      <c r="D10" s="23">
        <v>82679.948890660555</v>
      </c>
      <c r="E10" s="33">
        <v>4.857672874997661</v>
      </c>
      <c r="F10" s="5">
        <v>3</v>
      </c>
      <c r="G10" s="23">
        <v>96.666666666666671</v>
      </c>
      <c r="H10" s="33">
        <v>24.759466187687977</v>
      </c>
      <c r="I10" s="23">
        <v>24.291336372541181</v>
      </c>
      <c r="J10" s="5">
        <v>1768.5757161688666</v>
      </c>
      <c r="K10" s="31" t="e">
        <f t="shared" si="0"/>
        <v>#DIV/0!</v>
      </c>
      <c r="L10" s="23">
        <v>94547.522867354826</v>
      </c>
      <c r="M10" s="33">
        <v>9.1821947499993257</v>
      </c>
      <c r="N10" s="5">
        <v>3</v>
      </c>
      <c r="O10" s="5">
        <v>80</v>
      </c>
      <c r="P10" s="33">
        <v>0</v>
      </c>
      <c r="Q10" s="5">
        <v>18.421650592009257</v>
      </c>
      <c r="R10" s="5">
        <v>1580.5808608825737</v>
      </c>
      <c r="S10" s="42"/>
      <c r="T10" s="23">
        <v>101983.861589149</v>
      </c>
      <c r="U10" s="33">
        <v>5.2484764580003684</v>
      </c>
      <c r="V10" s="5">
        <v>3</v>
      </c>
      <c r="W10" s="5">
        <v>80</v>
      </c>
      <c r="X10" s="33">
        <v>24.890226259070165</v>
      </c>
      <c r="Y10" s="5">
        <v>29.897574014160895</v>
      </c>
      <c r="Z10" s="5">
        <v>1980.0237845126494</v>
      </c>
      <c r="AA10" s="42"/>
    </row>
    <row r="11" spans="2:27" x14ac:dyDescent="0.2">
      <c r="B11" s="4">
        <v>8</v>
      </c>
      <c r="C11" s="4">
        <v>280</v>
      </c>
      <c r="D11" s="23">
        <v>82679.948890660555</v>
      </c>
      <c r="E11" s="33">
        <v>4.7479895409996971</v>
      </c>
      <c r="F11" s="5">
        <v>3</v>
      </c>
      <c r="G11" s="23">
        <v>96.666666666666671</v>
      </c>
      <c r="H11" s="33">
        <v>24.759466187687977</v>
      </c>
      <c r="I11" s="23">
        <v>24.291336372541181</v>
      </c>
      <c r="J11" s="5">
        <v>1768.5757161688666</v>
      </c>
      <c r="K11" s="31" t="e">
        <f t="shared" si="0"/>
        <v>#DIV/0!</v>
      </c>
      <c r="L11" s="23">
        <v>88616.992066160223</v>
      </c>
      <c r="M11" s="33">
        <v>11.27436395800032</v>
      </c>
      <c r="N11" s="5">
        <v>3</v>
      </c>
      <c r="O11" s="5">
        <v>83.333333333333329</v>
      </c>
      <c r="P11" s="33">
        <v>0</v>
      </c>
      <c r="Q11" s="5">
        <v>19.305935936205525</v>
      </c>
      <c r="R11" s="5">
        <v>1479.630767075854</v>
      </c>
      <c r="S11" s="42"/>
      <c r="T11" s="23">
        <v>101983.861589149</v>
      </c>
      <c r="U11" s="33">
        <v>5.698735084002692</v>
      </c>
      <c r="V11" s="5">
        <v>3</v>
      </c>
      <c r="W11" s="5">
        <v>80</v>
      </c>
      <c r="X11" s="33">
        <v>24.890226259070165</v>
      </c>
      <c r="Y11" s="5">
        <v>29.897574014160895</v>
      </c>
      <c r="Z11" s="5">
        <v>1980.0237845126494</v>
      </c>
      <c r="AA11" s="42"/>
    </row>
    <row r="12" spans="2:27" x14ac:dyDescent="0.2">
      <c r="B12" s="4">
        <v>9</v>
      </c>
      <c r="C12" s="4">
        <v>565</v>
      </c>
      <c r="D12" s="23">
        <v>82679.948890660555</v>
      </c>
      <c r="E12" s="33">
        <v>4.7830631250035367</v>
      </c>
      <c r="F12" s="5">
        <v>3</v>
      </c>
      <c r="G12" s="23">
        <v>96.666666666666671</v>
      </c>
      <c r="H12" s="33">
        <v>24.759466187687977</v>
      </c>
      <c r="I12" s="23">
        <v>24.291336372541181</v>
      </c>
      <c r="J12" s="5">
        <v>1768.5757161688666</v>
      </c>
      <c r="K12" s="31" t="e">
        <f t="shared" si="0"/>
        <v>#DIV/0!</v>
      </c>
      <c r="L12" s="23">
        <v>88616.992066160223</v>
      </c>
      <c r="M12" s="33">
        <v>10.63917650000076</v>
      </c>
      <c r="N12" s="5">
        <v>3</v>
      </c>
      <c r="O12" s="5">
        <v>83.333333333333329</v>
      </c>
      <c r="P12" s="33">
        <v>0</v>
      </c>
      <c r="Q12" s="5">
        <v>19.305935936205525</v>
      </c>
      <c r="R12" s="5">
        <v>1479.630767075854</v>
      </c>
      <c r="S12" s="42"/>
      <c r="T12" s="23">
        <v>101983.861589149</v>
      </c>
      <c r="U12" s="33">
        <v>5.6725567089997639</v>
      </c>
      <c r="V12" s="5">
        <v>3</v>
      </c>
      <c r="W12" s="5">
        <v>80</v>
      </c>
      <c r="X12" s="33">
        <v>24.890226259070165</v>
      </c>
      <c r="Y12" s="5">
        <v>29.897574014160895</v>
      </c>
      <c r="Z12" s="5">
        <v>1980.0237845126494</v>
      </c>
      <c r="AA12" s="42"/>
    </row>
    <row r="13" spans="2:27" x14ac:dyDescent="0.2">
      <c r="B13" s="4">
        <v>10</v>
      </c>
      <c r="C13" s="4">
        <v>661</v>
      </c>
      <c r="D13" s="23">
        <v>82679.948890660555</v>
      </c>
      <c r="E13" s="33">
        <v>4.7348009999986971</v>
      </c>
      <c r="F13" s="5">
        <v>3</v>
      </c>
      <c r="G13" s="23">
        <v>96.666666666666671</v>
      </c>
      <c r="H13" s="33">
        <v>24.759466187687977</v>
      </c>
      <c r="I13" s="23">
        <v>24.291336372541181</v>
      </c>
      <c r="J13" s="5">
        <v>1768.5757161688666</v>
      </c>
      <c r="K13" s="31" t="e">
        <f t="shared" si="0"/>
        <v>#DIV/0!</v>
      </c>
      <c r="L13" s="23">
        <v>94547.522867354826</v>
      </c>
      <c r="M13" s="33">
        <v>10.645311624997699</v>
      </c>
      <c r="N13" s="5">
        <v>3</v>
      </c>
      <c r="O13" s="5">
        <v>80</v>
      </c>
      <c r="P13" s="33">
        <v>0</v>
      </c>
      <c r="Q13" s="5">
        <v>18.421650592009257</v>
      </c>
      <c r="R13" s="5">
        <v>1580.5808608825737</v>
      </c>
      <c r="S13" s="42"/>
      <c r="T13" s="23">
        <v>97401.030264295405</v>
      </c>
      <c r="U13" s="33">
        <v>5.6358063749976282</v>
      </c>
      <c r="V13" s="5">
        <v>3</v>
      </c>
      <c r="W13" s="5">
        <v>76.666666666666671</v>
      </c>
      <c r="X13" s="33">
        <v>0</v>
      </c>
      <c r="Y13" s="5">
        <v>30.394345607870815</v>
      </c>
      <c r="Z13" s="5">
        <v>1718.7545068713587</v>
      </c>
      <c r="AA13" s="42"/>
    </row>
    <row r="14" spans="2:27" x14ac:dyDescent="0.2">
      <c r="B14" s="46" t="s">
        <v>3</v>
      </c>
      <c r="C14" s="47"/>
      <c r="D14" s="9">
        <f>MIN(D4:D13)</f>
        <v>82679.948890660555</v>
      </c>
      <c r="E14" s="22">
        <f>INDEX(E4:E13, MATCH($D$14, D4:D13, 0))</f>
        <v>4.7865935419977177</v>
      </c>
      <c r="F14" s="9">
        <f>INDEX(F4:F13, MATCH($D$14, D4:D13, 0))</f>
        <v>3</v>
      </c>
      <c r="G14" s="9">
        <f>INDEX(G4:G13, MATCH($D$14, D4:D13, 0))</f>
        <v>96.666666666666671</v>
      </c>
      <c r="H14" s="22">
        <f>INDEX(H4:H13, MATCH($D$14, D4:D13, 0))</f>
        <v>24.759466187687977</v>
      </c>
      <c r="I14" s="22">
        <f>INDEX(I4:I13, MATCH($D$14, D4:D13, 0))</f>
        <v>24.291336372541181</v>
      </c>
      <c r="J14" s="22">
        <f>INDEX(J4:J13, MATCH($D$14, D4:D13, 0))</f>
        <v>1768.5757161688666</v>
      </c>
      <c r="K14" s="32" t="e">
        <f>(D14-$D$15)/$D$15</f>
        <v>#DIV/0!</v>
      </c>
      <c r="L14" s="16">
        <f>MIN(L4:L13)</f>
        <v>88616.992066160223</v>
      </c>
      <c r="M14" s="21">
        <f>INDEX(M4:M13, MATCH($L$14, L4:L13, 0))</f>
        <v>11.14679016700029</v>
      </c>
      <c r="N14" s="16">
        <f>INDEX(N4:N13, MATCH($L$14, L4:L13, 0))</f>
        <v>3</v>
      </c>
      <c r="O14" s="16">
        <f>INDEX(O4:O13, MATCH($L$14, L4:L13, 0))</f>
        <v>83.333333333333329</v>
      </c>
      <c r="P14" s="21">
        <f>INDEX(P4:P13, MATCH($L$14, L4:L13, 0))</f>
        <v>0</v>
      </c>
      <c r="Q14" s="21">
        <f>INDEX(Q4:Q13, MATCH($L$14, L4:L13, 0))</f>
        <v>19.305935936205525</v>
      </c>
      <c r="R14" s="21">
        <f>INDEX(R4:R13, MATCH($L$14, L4:L13, 0))</f>
        <v>1479.630767075854</v>
      </c>
      <c r="S14" s="43" t="e">
        <f>(L14-$D$15)/$D$15</f>
        <v>#DIV/0!</v>
      </c>
      <c r="T14" s="38">
        <f>MIN(T4:T13)</f>
        <v>97401.030264295405</v>
      </c>
      <c r="U14" s="44">
        <f>INDEX(U4:U13, MATCH($T$14, T4:T13, 0))</f>
        <v>5.6358063749976282</v>
      </c>
      <c r="V14" s="38">
        <f>INDEX(V4:V13, MATCH($T$14, T4:T13, 0))</f>
        <v>3</v>
      </c>
      <c r="W14" s="38">
        <f>INDEX(W4:W13, MATCH($T$14, T4:T13, 0))</f>
        <v>76.666666666666671</v>
      </c>
      <c r="X14" s="44">
        <f>INDEX(X4:X13, MATCH($T$14, T4:T13, 0))</f>
        <v>0</v>
      </c>
      <c r="Y14" s="44">
        <f>INDEX(Y4:Y13, MATCH($T$14, T4:T13, 0))</f>
        <v>30.394345607870815</v>
      </c>
      <c r="Z14" s="44">
        <f>INDEX(Z4:Z13, MATCH($T$14, T4:T13, 0))</f>
        <v>1718.7545068713587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85" priority="3"/>
    <cfRule type="duplicateValues" dxfId="84" priority="4"/>
  </conditionalFormatting>
  <conditionalFormatting sqref="C30:C1048576 C1:C13">
    <cfRule type="duplicateValues" dxfId="83" priority="5"/>
    <cfRule type="duplicateValues" dxfId="82" priority="6"/>
  </conditionalFormatting>
  <conditionalFormatting sqref="C15:C29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19E4-7544-0042-906A-F113D7E2593F}">
  <dimension ref="B1:AA17"/>
  <sheetViews>
    <sheetView topLeftCell="L1" zoomScale="118" zoomScaleNormal="120" workbookViewId="0">
      <selection activeCell="L15" sqref="A15:XFD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-0.15003806239362533</v>
      </c>
      <c r="T2" s="1" t="s">
        <v>19</v>
      </c>
      <c r="X2" s="1" t="e">
        <f>(X14-P14)/P14</f>
        <v>#DIV/0!</v>
      </c>
      <c r="Z2" s="1">
        <f>(Z14-R14)/R14</f>
        <v>0.35397149526307303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65</v>
      </c>
      <c r="D4" s="23">
        <v>64786.667066205191</v>
      </c>
      <c r="E4" s="33">
        <v>4.5600420839982689</v>
      </c>
      <c r="F4" s="5">
        <v>3</v>
      </c>
      <c r="G4" s="23">
        <v>96.666666666666671</v>
      </c>
      <c r="H4" s="33">
        <v>0</v>
      </c>
      <c r="I4" s="23">
        <v>23.845399197300178</v>
      </c>
      <c r="J4" s="5">
        <v>1250.1670501607355</v>
      </c>
      <c r="K4" s="31" t="e">
        <f>(D4-$D$15)/$D$15</f>
        <v>#DIV/0!</v>
      </c>
      <c r="L4" s="23">
        <v>80277.808310820372</v>
      </c>
      <c r="M4" s="33">
        <v>6.7352615829986462</v>
      </c>
      <c r="N4" s="5">
        <v>3</v>
      </c>
      <c r="O4" s="5">
        <v>80</v>
      </c>
      <c r="P4" s="33">
        <v>0</v>
      </c>
      <c r="Q4" s="5">
        <v>17.730338050293575</v>
      </c>
      <c r="R4" s="5">
        <v>1062.5944082862645</v>
      </c>
      <c r="S4" s="42"/>
      <c r="T4" s="23">
        <v>77463.182900853688</v>
      </c>
      <c r="U4" s="33">
        <v>5.2156320409994814</v>
      </c>
      <c r="V4" s="5">
        <v>3</v>
      </c>
      <c r="W4" s="5">
        <v>86.666666666666671</v>
      </c>
      <c r="X4" s="33">
        <v>1.9375629167079838</v>
      </c>
      <c r="Y4" s="5">
        <v>33.221399834546965</v>
      </c>
      <c r="Z4" s="5">
        <v>1438.7225398455339</v>
      </c>
      <c r="AA4" s="42"/>
    </row>
    <row r="5" spans="2:27" x14ac:dyDescent="0.2">
      <c r="B5" s="4">
        <v>2</v>
      </c>
      <c r="C5" s="4">
        <v>234</v>
      </c>
      <c r="D5" s="23">
        <v>64786.667066205191</v>
      </c>
      <c r="E5" s="33">
        <v>4.7240180829976453</v>
      </c>
      <c r="F5" s="5">
        <v>3</v>
      </c>
      <c r="G5" s="23">
        <v>96.666666666666671</v>
      </c>
      <c r="H5" s="33">
        <v>0</v>
      </c>
      <c r="I5" s="23">
        <v>23.845399197300178</v>
      </c>
      <c r="J5" s="5">
        <v>1250.1670501607355</v>
      </c>
      <c r="K5" s="31" t="e">
        <f>(D5-$D$15)/$D$15</f>
        <v>#DIV/0!</v>
      </c>
      <c r="L5" s="23">
        <v>86903.45551403139</v>
      </c>
      <c r="M5" s="33">
        <v>8.3959183330007363</v>
      </c>
      <c r="N5" s="5">
        <v>3</v>
      </c>
      <c r="O5" s="5">
        <v>73.333333333333329</v>
      </c>
      <c r="P5" s="33">
        <v>0</v>
      </c>
      <c r="Q5" s="5">
        <v>13.414695692416965</v>
      </c>
      <c r="R5" s="5">
        <v>948.40155046618156</v>
      </c>
      <c r="S5" s="42"/>
      <c r="T5" s="23">
        <v>77463.182900853688</v>
      </c>
      <c r="U5" s="33">
        <v>5.193881582999893</v>
      </c>
      <c r="V5" s="5">
        <v>3</v>
      </c>
      <c r="W5" s="5">
        <v>86.666666666666671</v>
      </c>
      <c r="X5" s="33">
        <v>1.9375629167079838</v>
      </c>
      <c r="Y5" s="5">
        <v>33.221399834546965</v>
      </c>
      <c r="Z5" s="5">
        <v>1438.7225398455339</v>
      </c>
      <c r="AA5" s="42"/>
    </row>
    <row r="6" spans="2:27" x14ac:dyDescent="0.2">
      <c r="B6" s="4">
        <v>3</v>
      </c>
      <c r="C6" s="4">
        <v>255</v>
      </c>
      <c r="D6" s="23">
        <v>64786.667066205191</v>
      </c>
      <c r="E6" s="33">
        <v>4.6102396249989397</v>
      </c>
      <c r="F6" s="5">
        <v>3</v>
      </c>
      <c r="G6" s="23">
        <v>96.666666666666671</v>
      </c>
      <c r="H6" s="33">
        <v>0</v>
      </c>
      <c r="I6" s="23">
        <v>23.845399197300178</v>
      </c>
      <c r="J6" s="5">
        <v>1250.1670501607355</v>
      </c>
      <c r="K6" s="31" t="e">
        <f t="shared" ref="K6:K13" si="0">(D6-$D$15)/$D$15</f>
        <v>#DIV/0!</v>
      </c>
      <c r="L6" s="23">
        <v>87228.405676699069</v>
      </c>
      <c r="M6" s="33">
        <v>8.3860012919976725</v>
      </c>
      <c r="N6" s="5">
        <v>3</v>
      </c>
      <c r="O6" s="5">
        <v>73.333333333333329</v>
      </c>
      <c r="P6" s="33">
        <v>0</v>
      </c>
      <c r="Q6" s="5">
        <v>13.850718867889588</v>
      </c>
      <c r="R6" s="5">
        <v>962.27341141167699</v>
      </c>
      <c r="S6" s="42"/>
      <c r="T6" s="23">
        <v>77463.182900853688</v>
      </c>
      <c r="U6" s="33">
        <v>5.2665524590011046</v>
      </c>
      <c r="V6" s="5">
        <v>3</v>
      </c>
      <c r="W6" s="5">
        <v>86.666666666666671</v>
      </c>
      <c r="X6" s="33">
        <v>1.9375629167079838</v>
      </c>
      <c r="Y6" s="5">
        <v>33.221399834546965</v>
      </c>
      <c r="Z6" s="5">
        <v>1438.7225398455339</v>
      </c>
      <c r="AA6" s="42"/>
    </row>
    <row r="7" spans="2:27" x14ac:dyDescent="0.2">
      <c r="B7" s="4">
        <v>4</v>
      </c>
      <c r="C7" s="4">
        <v>399</v>
      </c>
      <c r="D7" s="23">
        <v>64786.667066205191</v>
      </c>
      <c r="E7" s="33">
        <v>4.6986774999968466</v>
      </c>
      <c r="F7" s="5">
        <v>3</v>
      </c>
      <c r="G7" s="23">
        <v>96.666666666666671</v>
      </c>
      <c r="H7" s="33">
        <v>0</v>
      </c>
      <c r="I7" s="23">
        <v>23.845399197300178</v>
      </c>
      <c r="J7" s="5">
        <v>1250.1670501607355</v>
      </c>
      <c r="K7" s="31" t="e">
        <f t="shared" si="0"/>
        <v>#DIV/0!</v>
      </c>
      <c r="L7" s="23">
        <v>80277.808310820372</v>
      </c>
      <c r="M7" s="33">
        <v>6.7250383749997127</v>
      </c>
      <c r="N7" s="5">
        <v>3</v>
      </c>
      <c r="O7" s="5">
        <v>80</v>
      </c>
      <c r="P7" s="33">
        <v>0</v>
      </c>
      <c r="Q7" s="5">
        <v>17.730338050293575</v>
      </c>
      <c r="R7" s="5">
        <v>1062.5944082862645</v>
      </c>
      <c r="S7" s="42"/>
      <c r="T7" s="23">
        <v>77463.182900853688</v>
      </c>
      <c r="U7" s="33">
        <v>5.2423174169998674</v>
      </c>
      <c r="V7" s="5">
        <v>3</v>
      </c>
      <c r="W7" s="5">
        <v>86.666666666666671</v>
      </c>
      <c r="X7" s="33">
        <v>1.9375629167079838</v>
      </c>
      <c r="Y7" s="5">
        <v>33.221399834546965</v>
      </c>
      <c r="Z7" s="5">
        <v>1438.7225398455339</v>
      </c>
      <c r="AA7" s="42"/>
    </row>
    <row r="8" spans="2:27" x14ac:dyDescent="0.2">
      <c r="B8" s="4">
        <v>5</v>
      </c>
      <c r="C8" s="4">
        <v>438</v>
      </c>
      <c r="D8" s="23">
        <v>64786.667066205191</v>
      </c>
      <c r="E8" s="33">
        <v>4.5159957920041052</v>
      </c>
      <c r="F8" s="5">
        <v>3</v>
      </c>
      <c r="G8" s="23">
        <v>96.666666666666671</v>
      </c>
      <c r="H8" s="33">
        <v>0</v>
      </c>
      <c r="I8" s="23">
        <v>23.845399197300178</v>
      </c>
      <c r="J8" s="5">
        <v>1250.1670501607355</v>
      </c>
      <c r="K8" s="31" t="e">
        <f t="shared" si="0"/>
        <v>#DIV/0!</v>
      </c>
      <c r="L8" s="23">
        <v>87269.583266444664</v>
      </c>
      <c r="M8" s="33">
        <v>8.549517041999934</v>
      </c>
      <c r="N8" s="5">
        <v>3</v>
      </c>
      <c r="O8" s="5">
        <v>73.333333333333329</v>
      </c>
      <c r="P8" s="33">
        <v>0</v>
      </c>
      <c r="Q8" s="5">
        <v>14.177262986593659</v>
      </c>
      <c r="R8" s="5">
        <v>974.66014624542515</v>
      </c>
      <c r="S8" s="42"/>
      <c r="T8" s="23">
        <v>77463.182900853688</v>
      </c>
      <c r="U8" s="33">
        <v>5.2359416670005876</v>
      </c>
      <c r="V8" s="5">
        <v>3</v>
      </c>
      <c r="W8" s="5">
        <v>86.666666666666671</v>
      </c>
      <c r="X8" s="33">
        <v>1.9375629167079838</v>
      </c>
      <c r="Y8" s="5">
        <v>33.221399834546965</v>
      </c>
      <c r="Z8" s="5">
        <v>1438.7225398455339</v>
      </c>
      <c r="AA8" s="42"/>
    </row>
    <row r="9" spans="2:27" x14ac:dyDescent="0.2">
      <c r="B9" s="4">
        <v>6</v>
      </c>
      <c r="C9" s="4">
        <v>745</v>
      </c>
      <c r="D9" s="23">
        <v>64786.667066205191</v>
      </c>
      <c r="E9" s="33">
        <v>4.5287186659988947</v>
      </c>
      <c r="F9" s="5">
        <v>3</v>
      </c>
      <c r="G9" s="23">
        <v>96.666666666666671</v>
      </c>
      <c r="H9" s="33">
        <v>0</v>
      </c>
      <c r="I9" s="23">
        <v>23.845399197300178</v>
      </c>
      <c r="J9" s="5">
        <v>1250.1670501607355</v>
      </c>
      <c r="K9" s="31" t="e">
        <f t="shared" si="0"/>
        <v>#DIV/0!</v>
      </c>
      <c r="L9" s="23">
        <v>86359.804807011446</v>
      </c>
      <c r="M9" s="33">
        <v>8.6854830830015999</v>
      </c>
      <c r="N9" s="5">
        <v>3</v>
      </c>
      <c r="O9" s="5">
        <v>76.666666666666671</v>
      </c>
      <c r="P9" s="33">
        <v>0</v>
      </c>
      <c r="Q9" s="5">
        <v>16.066508926071638</v>
      </c>
      <c r="R9" s="5">
        <v>1130.8571568758723</v>
      </c>
      <c r="S9" s="42"/>
      <c r="T9" s="23">
        <v>77463.182900853688</v>
      </c>
      <c r="U9" s="33">
        <v>5.2524744590009496</v>
      </c>
      <c r="V9" s="5">
        <v>3</v>
      </c>
      <c r="W9" s="5">
        <v>86.666666666666671</v>
      </c>
      <c r="X9" s="33">
        <v>1.9375629167079838</v>
      </c>
      <c r="Y9" s="5">
        <v>33.221399834546965</v>
      </c>
      <c r="Z9" s="5">
        <v>1438.7225398455339</v>
      </c>
      <c r="AA9" s="42"/>
    </row>
    <row r="10" spans="2:27" x14ac:dyDescent="0.2">
      <c r="B10" s="4">
        <v>7</v>
      </c>
      <c r="C10" s="4">
        <v>759</v>
      </c>
      <c r="D10" s="23">
        <v>64786.667066205191</v>
      </c>
      <c r="E10" s="33">
        <v>4.6043330839966066</v>
      </c>
      <c r="F10" s="5">
        <v>3</v>
      </c>
      <c r="G10" s="23">
        <v>96.666666666666671</v>
      </c>
      <c r="H10" s="33">
        <v>0</v>
      </c>
      <c r="I10" s="23">
        <v>23.845399197300178</v>
      </c>
      <c r="J10" s="5">
        <v>1250.1670501607355</v>
      </c>
      <c r="K10" s="31" t="e">
        <f t="shared" si="0"/>
        <v>#DIV/0!</v>
      </c>
      <c r="L10" s="23">
        <v>80277.808310820372</v>
      </c>
      <c r="M10" s="33">
        <v>6.8445887919988309</v>
      </c>
      <c r="N10" s="5">
        <v>3</v>
      </c>
      <c r="O10" s="5">
        <v>80</v>
      </c>
      <c r="P10" s="33">
        <v>0</v>
      </c>
      <c r="Q10" s="5">
        <v>17.730338050293575</v>
      </c>
      <c r="R10" s="5">
        <v>1062.5944082862645</v>
      </c>
      <c r="S10" s="42"/>
      <c r="T10" s="23">
        <v>77463.182900853688</v>
      </c>
      <c r="U10" s="33">
        <v>5.6943225409995648</v>
      </c>
      <c r="V10" s="5">
        <v>3</v>
      </c>
      <c r="W10" s="5">
        <v>86.666666666666671</v>
      </c>
      <c r="X10" s="33">
        <v>1.9375629167079838</v>
      </c>
      <c r="Y10" s="5">
        <v>33.221399834546965</v>
      </c>
      <c r="Z10" s="5">
        <v>1438.7225398455339</v>
      </c>
      <c r="AA10" s="42"/>
    </row>
    <row r="11" spans="2:27" x14ac:dyDescent="0.2">
      <c r="B11" s="4">
        <v>8</v>
      </c>
      <c r="C11" s="4">
        <v>807</v>
      </c>
      <c r="D11" s="23">
        <v>64786.667066205191</v>
      </c>
      <c r="E11" s="33">
        <v>4.7098883330036188</v>
      </c>
      <c r="F11" s="5">
        <v>3</v>
      </c>
      <c r="G11" s="23">
        <v>96.666666666666671</v>
      </c>
      <c r="H11" s="33">
        <v>0</v>
      </c>
      <c r="I11" s="23">
        <v>23.845399197300178</v>
      </c>
      <c r="J11" s="5">
        <v>1250.1670501607355</v>
      </c>
      <c r="K11" s="31" t="e">
        <f t="shared" si="0"/>
        <v>#DIV/0!</v>
      </c>
      <c r="L11" s="23">
        <v>86903.45551403139</v>
      </c>
      <c r="M11" s="33">
        <v>8.6223849590023747</v>
      </c>
      <c r="N11" s="5">
        <v>3</v>
      </c>
      <c r="O11" s="5">
        <v>73.333333333333329</v>
      </c>
      <c r="P11" s="33">
        <v>0</v>
      </c>
      <c r="Q11" s="5">
        <v>13.414695692416965</v>
      </c>
      <c r="R11" s="5">
        <v>948.40155046618156</v>
      </c>
      <c r="S11" s="42"/>
      <c r="T11" s="23">
        <v>77463.182900853688</v>
      </c>
      <c r="U11" s="33">
        <v>5.182676291999087</v>
      </c>
      <c r="V11" s="5">
        <v>3</v>
      </c>
      <c r="W11" s="5">
        <v>86.666666666666671</v>
      </c>
      <c r="X11" s="33">
        <v>1.9375629167079838</v>
      </c>
      <c r="Y11" s="5">
        <v>33.221399834546965</v>
      </c>
      <c r="Z11" s="5">
        <v>1438.7225398455339</v>
      </c>
      <c r="AA11" s="42"/>
    </row>
    <row r="12" spans="2:27" x14ac:dyDescent="0.2">
      <c r="B12" s="4">
        <v>9</v>
      </c>
      <c r="C12" s="4">
        <v>823</v>
      </c>
      <c r="D12" s="23">
        <v>64786.667066205191</v>
      </c>
      <c r="E12" s="33">
        <v>4.6610816249958589</v>
      </c>
      <c r="F12" s="5">
        <v>3</v>
      </c>
      <c r="G12" s="23">
        <v>96.666666666666671</v>
      </c>
      <c r="H12" s="33">
        <v>0</v>
      </c>
      <c r="I12" s="23">
        <v>23.845399197300178</v>
      </c>
      <c r="J12" s="5">
        <v>1250.1670501607355</v>
      </c>
      <c r="K12" s="31" t="e">
        <f t="shared" si="0"/>
        <v>#DIV/0!</v>
      </c>
      <c r="L12" s="23">
        <v>87196.281716986588</v>
      </c>
      <c r="M12" s="33">
        <v>8.8309774999979709</v>
      </c>
      <c r="N12" s="5">
        <v>3</v>
      </c>
      <c r="O12" s="5">
        <v>73.333333333333329</v>
      </c>
      <c r="P12" s="33">
        <v>0</v>
      </c>
      <c r="Q12" s="5">
        <v>13.965155064837964</v>
      </c>
      <c r="R12" s="5">
        <v>967.43462741436565</v>
      </c>
      <c r="S12" s="42"/>
      <c r="T12" s="23">
        <v>77463.182900853688</v>
      </c>
      <c r="U12" s="33">
        <v>5.1889067919983063</v>
      </c>
      <c r="V12" s="5">
        <v>3</v>
      </c>
      <c r="W12" s="5">
        <v>86.666666666666671</v>
      </c>
      <c r="X12" s="33">
        <v>1.9375629167079838</v>
      </c>
      <c r="Y12" s="5">
        <v>33.221399834546965</v>
      </c>
      <c r="Z12" s="5">
        <v>1438.7225398455339</v>
      </c>
      <c r="AA12" s="42"/>
    </row>
    <row r="13" spans="2:27" x14ac:dyDescent="0.2">
      <c r="B13" s="4">
        <v>10</v>
      </c>
      <c r="C13" s="4">
        <v>950</v>
      </c>
      <c r="D13" s="23">
        <v>64786.667066205191</v>
      </c>
      <c r="E13" s="33">
        <v>4.7138987079961234</v>
      </c>
      <c r="F13" s="5">
        <v>3</v>
      </c>
      <c r="G13" s="23">
        <v>96.666666666666671</v>
      </c>
      <c r="H13" s="33">
        <v>0</v>
      </c>
      <c r="I13" s="23">
        <v>23.845399197300178</v>
      </c>
      <c r="J13" s="5">
        <v>1250.1670501607355</v>
      </c>
      <c r="K13" s="31" t="e">
        <f t="shared" si="0"/>
        <v>#DIV/0!</v>
      </c>
      <c r="L13" s="23">
        <v>86903.45551403139</v>
      </c>
      <c r="M13" s="33">
        <v>8.9221804589979001</v>
      </c>
      <c r="N13" s="5">
        <v>3</v>
      </c>
      <c r="O13" s="5">
        <v>73.333333333333329</v>
      </c>
      <c r="P13" s="33">
        <v>0</v>
      </c>
      <c r="Q13" s="5">
        <v>13.414695692416965</v>
      </c>
      <c r="R13" s="5">
        <v>948.40155046618156</v>
      </c>
      <c r="S13" s="42"/>
      <c r="T13" s="23">
        <v>77463.182900853688</v>
      </c>
      <c r="U13" s="33">
        <v>5.7192782919992169</v>
      </c>
      <c r="V13" s="5">
        <v>3</v>
      </c>
      <c r="W13" s="5">
        <v>86.666666666666671</v>
      </c>
      <c r="X13" s="33">
        <v>1.9375629167079838</v>
      </c>
      <c r="Y13" s="5">
        <v>33.221399834546965</v>
      </c>
      <c r="Z13" s="5">
        <v>1438.7225398455339</v>
      </c>
      <c r="AA13" s="42"/>
    </row>
    <row r="14" spans="2:27" x14ac:dyDescent="0.2">
      <c r="B14" s="46" t="s">
        <v>3</v>
      </c>
      <c r="C14" s="47"/>
      <c r="D14" s="9">
        <f>MIN(D4:D13)</f>
        <v>64786.667066205191</v>
      </c>
      <c r="E14" s="22">
        <f>INDEX(E4:E13, MATCH($D$14, D4:D13, 0))</f>
        <v>4.5600420839982689</v>
      </c>
      <c r="F14" s="9">
        <f>INDEX(F4:F13, MATCH($D$14, D4:D13, 0))</f>
        <v>3</v>
      </c>
      <c r="G14" s="9">
        <f>INDEX(G4:G13, MATCH($D$14, D4:D13, 0))</f>
        <v>96.666666666666671</v>
      </c>
      <c r="H14" s="22">
        <f>INDEX(H4:H13, MATCH($D$14, D4:D13, 0))</f>
        <v>0</v>
      </c>
      <c r="I14" s="22">
        <f>INDEX(I4:I13, MATCH($D$14, D4:D13, 0))</f>
        <v>23.845399197300178</v>
      </c>
      <c r="J14" s="22">
        <f>INDEX(J4:J13, MATCH($D$14, D4:D13, 0))</f>
        <v>1250.1670501607355</v>
      </c>
      <c r="K14" s="32" t="e">
        <f>(D14-$D$15)/$D$15</f>
        <v>#DIV/0!</v>
      </c>
      <c r="L14" s="16">
        <f>MIN(L4:L13)</f>
        <v>80277.808310820372</v>
      </c>
      <c r="M14" s="21">
        <f>INDEX(M4:M13, MATCH($L$14, L4:L13, 0))</f>
        <v>6.7352615829986462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17.730338050293575</v>
      </c>
      <c r="R14" s="21">
        <f>INDEX(R4:R13, MATCH($L$14, L4:L13, 0))</f>
        <v>1062.5944082862645</v>
      </c>
      <c r="S14" s="43" t="e">
        <f>(L14-$D$15)/$D$15</f>
        <v>#DIV/0!</v>
      </c>
      <c r="T14" s="38">
        <f>MIN(T4:T13)</f>
        <v>77463.182900853688</v>
      </c>
      <c r="U14" s="44">
        <f>INDEX(U4:U13, MATCH($T$14, T4:T13, 0))</f>
        <v>5.2156320409994814</v>
      </c>
      <c r="V14" s="38">
        <f>INDEX(V4:V13, MATCH($T$14, T4:T13, 0))</f>
        <v>3</v>
      </c>
      <c r="W14" s="38">
        <f>INDEX(W4:W13, MATCH($T$14, T4:T13, 0))</f>
        <v>86.666666666666671</v>
      </c>
      <c r="X14" s="44">
        <f>INDEX(X4:X13, MATCH($T$14, T4:T13, 0))</f>
        <v>1.9375629167079838</v>
      </c>
      <c r="Y14" s="44">
        <f>INDEX(Y4:Y13, MATCH($T$14, T4:T13, 0))</f>
        <v>33.221399834546965</v>
      </c>
      <c r="Z14" s="44">
        <f>INDEX(Z4:Z13, MATCH($T$14, T4:T13, 0))</f>
        <v>1438.7225398455339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0:C1048576">
    <cfRule type="duplicateValues" dxfId="81" priority="5"/>
    <cfRule type="duplicateValues" dxfId="80" priority="6"/>
  </conditionalFormatting>
  <conditionalFormatting sqref="C14">
    <cfRule type="duplicateValues" dxfId="79" priority="3"/>
    <cfRule type="duplicateValues" dxfId="78" priority="4"/>
  </conditionalFormatting>
  <conditionalFormatting sqref="C15:C29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6365-C2B4-B142-A9CB-AE68AE2E8276}">
  <dimension ref="B1:AA17"/>
  <sheetViews>
    <sheetView topLeftCell="L1" zoomScale="118" zoomScaleNormal="120" workbookViewId="0">
      <selection activeCell="L15" sqref="A15:XFD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-0.43362898244856318</v>
      </c>
      <c r="J2" s="28" t="e">
        <f>(S14-J14)/J14</f>
        <v>#DIV/0!</v>
      </c>
      <c r="K2" s="28"/>
      <c r="L2" s="1" t="s">
        <v>18</v>
      </c>
      <c r="P2" s="1">
        <f>(P14-H14)/H14</f>
        <v>-0.84461035833135711</v>
      </c>
      <c r="R2" s="1">
        <f>(R14-J14)/J14</f>
        <v>-0.27786287045117603</v>
      </c>
      <c r="T2" s="1" t="s">
        <v>19</v>
      </c>
      <c r="X2" s="1">
        <f>(X14-P14)/P14</f>
        <v>8.1994455515262032</v>
      </c>
      <c r="Z2" s="1">
        <f>(Z14-R14)/R14</f>
        <v>0.62084606075624504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236</v>
      </c>
      <c r="D4" s="23">
        <v>73439.394193460685</v>
      </c>
      <c r="E4" s="33">
        <v>4.0690843330012294</v>
      </c>
      <c r="F4" s="5">
        <v>2</v>
      </c>
      <c r="G4" s="23">
        <v>93.333333333333329</v>
      </c>
      <c r="H4" s="33">
        <v>30.876085681026943</v>
      </c>
      <c r="I4" s="23">
        <v>35.582790983135382</v>
      </c>
      <c r="J4" s="5">
        <v>1751.9974772275161</v>
      </c>
      <c r="K4" s="31" t="e">
        <f>(D4-$D$15)/$D$15</f>
        <v>#DIV/0!</v>
      </c>
      <c r="L4" s="23">
        <v>112016.1221947325</v>
      </c>
      <c r="M4" s="33">
        <v>5.5993848750003963</v>
      </c>
      <c r="N4" s="5">
        <v>3</v>
      </c>
      <c r="O4" s="5">
        <v>53.333333333333343</v>
      </c>
      <c r="P4" s="33">
        <v>0</v>
      </c>
      <c r="Q4" s="5">
        <v>15.941638242051299</v>
      </c>
      <c r="R4" s="5">
        <v>995.69068641996284</v>
      </c>
      <c r="S4" s="42"/>
      <c r="T4" s="23">
        <v>109573.94662209541</v>
      </c>
      <c r="U4" s="33">
        <v>4.5878145419992507</v>
      </c>
      <c r="V4" s="5">
        <v>2</v>
      </c>
      <c r="W4" s="5">
        <v>56.666666666666657</v>
      </c>
      <c r="X4" s="33">
        <v>55.356575089836667</v>
      </c>
      <c r="Y4" s="5">
        <v>49.186077111490825</v>
      </c>
      <c r="Z4" s="5">
        <v>1894.9098921804596</v>
      </c>
      <c r="AA4" s="42"/>
    </row>
    <row r="5" spans="2:27" x14ac:dyDescent="0.2">
      <c r="B5" s="4">
        <v>2</v>
      </c>
      <c r="C5" s="4">
        <v>280</v>
      </c>
      <c r="D5" s="23">
        <v>73439.394193460685</v>
      </c>
      <c r="E5" s="33">
        <v>4.0517583750042832</v>
      </c>
      <c r="F5" s="5">
        <v>2</v>
      </c>
      <c r="G5" s="23">
        <v>93.333333333333329</v>
      </c>
      <c r="H5" s="33">
        <v>30.876085681026943</v>
      </c>
      <c r="I5" s="23">
        <v>35.582790983135382</v>
      </c>
      <c r="J5" s="5">
        <v>1751.9974772275161</v>
      </c>
      <c r="K5" s="31" t="e">
        <f>(D5-$D$15)/$D$15</f>
        <v>#DIV/0!</v>
      </c>
      <c r="L5" s="23">
        <v>98492.594441237889</v>
      </c>
      <c r="M5" s="33">
        <v>7.6620038750006643</v>
      </c>
      <c r="N5" s="5">
        <v>4</v>
      </c>
      <c r="O5" s="5">
        <v>80</v>
      </c>
      <c r="P5" s="33">
        <v>25.171093201926272</v>
      </c>
      <c r="Q5" s="5">
        <v>17.298491722789244</v>
      </c>
      <c r="R5" s="5">
        <v>1430.6240083135626</v>
      </c>
      <c r="S5" s="42"/>
      <c r="T5" s="23">
        <v>97185.314636974101</v>
      </c>
      <c r="U5" s="33">
        <v>4.1502979159995448</v>
      </c>
      <c r="V5" s="5">
        <v>2</v>
      </c>
      <c r="W5" s="5">
        <v>73.333333333333329</v>
      </c>
      <c r="X5" s="33">
        <v>44.137319642833454</v>
      </c>
      <c r="Y5" s="5">
        <v>45.3193306486003</v>
      </c>
      <c r="Z5" s="5">
        <v>2050.6659564774341</v>
      </c>
      <c r="AA5" s="42"/>
    </row>
    <row r="6" spans="2:27" x14ac:dyDescent="0.2">
      <c r="B6" s="4">
        <v>3</v>
      </c>
      <c r="C6" s="4">
        <v>336</v>
      </c>
      <c r="D6" s="23">
        <v>73439.394193460685</v>
      </c>
      <c r="E6" s="33">
        <v>4.1404668750037672</v>
      </c>
      <c r="F6" s="5">
        <v>2</v>
      </c>
      <c r="G6" s="23">
        <v>93.333333333333329</v>
      </c>
      <c r="H6" s="33">
        <v>30.876085681026943</v>
      </c>
      <c r="I6" s="23">
        <v>35.582790983135382</v>
      </c>
      <c r="J6" s="5">
        <v>1751.9974772275161</v>
      </c>
      <c r="K6" s="31" t="e">
        <f t="shared" ref="K6:K13" si="0">(D6-$D$15)/$D$15</f>
        <v>#DIV/0!</v>
      </c>
      <c r="L6" s="23">
        <v>112016.1221947325</v>
      </c>
      <c r="M6" s="33">
        <v>6.1040282499998284</v>
      </c>
      <c r="N6" s="5">
        <v>3</v>
      </c>
      <c r="O6" s="5">
        <v>53.333333333333343</v>
      </c>
      <c r="P6" s="33">
        <v>0</v>
      </c>
      <c r="Q6" s="5">
        <v>15.941638242051299</v>
      </c>
      <c r="R6" s="5">
        <v>995.69068641996284</v>
      </c>
      <c r="S6" s="42"/>
      <c r="T6" s="23">
        <v>97185.314636974101</v>
      </c>
      <c r="U6" s="33">
        <v>4.1320501669979421</v>
      </c>
      <c r="V6" s="5">
        <v>2</v>
      </c>
      <c r="W6" s="5">
        <v>73.333333333333329</v>
      </c>
      <c r="X6" s="33">
        <v>44.137319642833454</v>
      </c>
      <c r="Y6" s="5">
        <v>45.3193306486003</v>
      </c>
      <c r="Z6" s="5">
        <v>2050.6659564774341</v>
      </c>
      <c r="AA6" s="42"/>
    </row>
    <row r="7" spans="2:27" x14ac:dyDescent="0.2">
      <c r="B7" s="4">
        <v>4</v>
      </c>
      <c r="C7" s="4">
        <v>451</v>
      </c>
      <c r="D7" s="23">
        <v>73439.394193460685</v>
      </c>
      <c r="E7" s="33">
        <v>4.0961187919965596</v>
      </c>
      <c r="F7" s="5">
        <v>2</v>
      </c>
      <c r="G7" s="23">
        <v>93.333333333333329</v>
      </c>
      <c r="H7" s="33">
        <v>30.876085681026943</v>
      </c>
      <c r="I7" s="23">
        <v>35.582790983135382</v>
      </c>
      <c r="J7" s="5">
        <v>1751.9974772275161</v>
      </c>
      <c r="K7" s="31" t="e">
        <f t="shared" si="0"/>
        <v>#DIV/0!</v>
      </c>
      <c r="L7" s="23">
        <v>112016.1221947325</v>
      </c>
      <c r="M7" s="33">
        <v>5.1707609580007556</v>
      </c>
      <c r="N7" s="5">
        <v>3</v>
      </c>
      <c r="O7" s="5">
        <v>53.333333333333343</v>
      </c>
      <c r="P7" s="33">
        <v>0</v>
      </c>
      <c r="Q7" s="5">
        <v>15.941638242051299</v>
      </c>
      <c r="R7" s="5">
        <v>995.69068641996284</v>
      </c>
      <c r="S7" s="42"/>
      <c r="T7" s="23">
        <v>97185.314636974101</v>
      </c>
      <c r="U7" s="33">
        <v>4.0783437919999406</v>
      </c>
      <c r="V7" s="5">
        <v>2</v>
      </c>
      <c r="W7" s="5">
        <v>73.333333333333329</v>
      </c>
      <c r="X7" s="33">
        <v>44.137319642833454</v>
      </c>
      <c r="Y7" s="5">
        <v>45.3193306486003</v>
      </c>
      <c r="Z7" s="5">
        <v>2050.6659564774341</v>
      </c>
      <c r="AA7" s="42"/>
    </row>
    <row r="8" spans="2:27" x14ac:dyDescent="0.2">
      <c r="B8" s="4">
        <v>5</v>
      </c>
      <c r="C8" s="4">
        <v>576</v>
      </c>
      <c r="D8" s="23">
        <v>73439.394193460685</v>
      </c>
      <c r="E8" s="33">
        <v>4.1918381249997756</v>
      </c>
      <c r="F8" s="5">
        <v>2</v>
      </c>
      <c r="G8" s="23">
        <v>93.333333333333329</v>
      </c>
      <c r="H8" s="33">
        <v>30.876085681026943</v>
      </c>
      <c r="I8" s="23">
        <v>35.582790983135382</v>
      </c>
      <c r="J8" s="5">
        <v>1751.9974772275161</v>
      </c>
      <c r="K8" s="31" t="e">
        <f t="shared" si="0"/>
        <v>#DIV/0!</v>
      </c>
      <c r="L8" s="23">
        <v>98492.594441237889</v>
      </c>
      <c r="M8" s="33">
        <v>7.8431190829978732</v>
      </c>
      <c r="N8" s="5">
        <v>4</v>
      </c>
      <c r="O8" s="5">
        <v>80</v>
      </c>
      <c r="P8" s="33">
        <v>25.171093201926272</v>
      </c>
      <c r="Q8" s="5">
        <v>17.298491722789244</v>
      </c>
      <c r="R8" s="5">
        <v>1430.6240083135626</v>
      </c>
      <c r="S8" s="42"/>
      <c r="T8" s="23">
        <v>97185.314636974101</v>
      </c>
      <c r="U8" s="33">
        <v>4.3616740830002527</v>
      </c>
      <c r="V8" s="5">
        <v>2</v>
      </c>
      <c r="W8" s="5">
        <v>73.333333333333329</v>
      </c>
      <c r="X8" s="33">
        <v>44.137319642833454</v>
      </c>
      <c r="Y8" s="5">
        <v>45.3193306486003</v>
      </c>
      <c r="Z8" s="5">
        <v>2050.6659564774341</v>
      </c>
      <c r="AA8" s="42"/>
    </row>
    <row r="9" spans="2:27" x14ac:dyDescent="0.2">
      <c r="B9" s="4">
        <v>6</v>
      </c>
      <c r="C9" s="4">
        <v>608</v>
      </c>
      <c r="D9" s="23">
        <v>73439.394193460685</v>
      </c>
      <c r="E9" s="33">
        <v>4.1487302089954028</v>
      </c>
      <c r="F9" s="5">
        <v>2</v>
      </c>
      <c r="G9" s="23">
        <v>93.333333333333329</v>
      </c>
      <c r="H9" s="33">
        <v>30.876085681026943</v>
      </c>
      <c r="I9" s="23">
        <v>35.582790983135382</v>
      </c>
      <c r="J9" s="5">
        <v>1751.9974772275161</v>
      </c>
      <c r="K9" s="31" t="e">
        <f t="shared" si="0"/>
        <v>#DIV/0!</v>
      </c>
      <c r="L9" s="23">
        <v>98492.594441237889</v>
      </c>
      <c r="M9" s="33">
        <v>7.8996413330023643</v>
      </c>
      <c r="N9" s="5">
        <v>4</v>
      </c>
      <c r="O9" s="5">
        <v>80</v>
      </c>
      <c r="P9" s="33">
        <v>25.171093201926272</v>
      </c>
      <c r="Q9" s="5">
        <v>17.298491722789244</v>
      </c>
      <c r="R9" s="5">
        <v>1430.6240083135626</v>
      </c>
      <c r="S9" s="42"/>
      <c r="T9" s="23">
        <v>97185.314636974101</v>
      </c>
      <c r="U9" s="33">
        <v>4.0575075829983689</v>
      </c>
      <c r="V9" s="5">
        <v>2</v>
      </c>
      <c r="W9" s="5">
        <v>73.333333333333329</v>
      </c>
      <c r="X9" s="33">
        <v>44.137319642833454</v>
      </c>
      <c r="Y9" s="5">
        <v>45.3193306486003</v>
      </c>
      <c r="Z9" s="5">
        <v>2050.6659564774341</v>
      </c>
      <c r="AA9" s="42"/>
    </row>
    <row r="10" spans="2:27" x14ac:dyDescent="0.2">
      <c r="B10" s="4">
        <v>7</v>
      </c>
      <c r="C10" s="4">
        <v>710</v>
      </c>
      <c r="D10" s="23">
        <v>73439.394193460685</v>
      </c>
      <c r="E10" s="33">
        <v>4.0622980830012239</v>
      </c>
      <c r="F10" s="5">
        <v>2</v>
      </c>
      <c r="G10" s="23">
        <v>93.333333333333329</v>
      </c>
      <c r="H10" s="33">
        <v>30.876085681026943</v>
      </c>
      <c r="I10" s="23">
        <v>35.582790983135382</v>
      </c>
      <c r="J10" s="5">
        <v>1751.9974772275161</v>
      </c>
      <c r="K10" s="31" t="e">
        <f t="shared" si="0"/>
        <v>#DIV/0!</v>
      </c>
      <c r="L10" s="23">
        <v>96199.094798923295</v>
      </c>
      <c r="M10" s="33">
        <v>9.2550218340002175</v>
      </c>
      <c r="N10" s="5">
        <v>3</v>
      </c>
      <c r="O10" s="5">
        <v>70</v>
      </c>
      <c r="P10" s="33">
        <v>4.7978238901050947</v>
      </c>
      <c r="Q10" s="5">
        <v>17.487320065168579</v>
      </c>
      <c r="R10" s="5">
        <v>1265.1824291818596</v>
      </c>
      <c r="S10" s="42"/>
      <c r="T10" s="23">
        <v>97185.314636974101</v>
      </c>
      <c r="U10" s="33">
        <v>4.3146735410009569</v>
      </c>
      <c r="V10" s="5">
        <v>2</v>
      </c>
      <c r="W10" s="5">
        <v>73.333333333333329</v>
      </c>
      <c r="X10" s="33">
        <v>44.137319642833454</v>
      </c>
      <c r="Y10" s="5">
        <v>45.3193306486003</v>
      </c>
      <c r="Z10" s="5">
        <v>2050.6659564774341</v>
      </c>
      <c r="AA10" s="42"/>
    </row>
    <row r="11" spans="2:27" x14ac:dyDescent="0.2">
      <c r="B11" s="4">
        <v>8</v>
      </c>
      <c r="C11" s="4">
        <v>809</v>
      </c>
      <c r="D11" s="23">
        <v>73439.394193460685</v>
      </c>
      <c r="E11" s="33">
        <v>4.1127616669982672</v>
      </c>
      <c r="F11" s="5">
        <v>2</v>
      </c>
      <c r="G11" s="23">
        <v>93.333333333333329</v>
      </c>
      <c r="H11" s="33">
        <v>30.876085681026943</v>
      </c>
      <c r="I11" s="23">
        <v>35.582790983135382</v>
      </c>
      <c r="J11" s="5">
        <v>1751.9974772275161</v>
      </c>
      <c r="K11" s="31" t="e">
        <f t="shared" si="0"/>
        <v>#DIV/0!</v>
      </c>
      <c r="L11" s="23">
        <v>112016.1221947325</v>
      </c>
      <c r="M11" s="33">
        <v>5.2954973750020136</v>
      </c>
      <c r="N11" s="5">
        <v>3</v>
      </c>
      <c r="O11" s="5">
        <v>53.333333333333343</v>
      </c>
      <c r="P11" s="33">
        <v>0</v>
      </c>
      <c r="Q11" s="5">
        <v>15.941638242051299</v>
      </c>
      <c r="R11" s="5">
        <v>995.69068641996284</v>
      </c>
      <c r="S11" s="42"/>
      <c r="T11" s="23">
        <v>97185.314636974101</v>
      </c>
      <c r="U11" s="33">
        <v>5.1577608750012587</v>
      </c>
      <c r="V11" s="5">
        <v>2</v>
      </c>
      <c r="W11" s="5">
        <v>73.333333333333329</v>
      </c>
      <c r="X11" s="33">
        <v>44.137319642833454</v>
      </c>
      <c r="Y11" s="5">
        <v>45.3193306486003</v>
      </c>
      <c r="Z11" s="5">
        <v>2050.6659564774341</v>
      </c>
      <c r="AA11" s="42"/>
    </row>
    <row r="12" spans="2:27" x14ac:dyDescent="0.2">
      <c r="B12" s="4">
        <v>9</v>
      </c>
      <c r="C12" s="4">
        <v>960</v>
      </c>
      <c r="D12" s="23">
        <v>73439.394193460685</v>
      </c>
      <c r="E12" s="33">
        <v>4.053857250000874</v>
      </c>
      <c r="F12" s="5">
        <v>2</v>
      </c>
      <c r="G12" s="23">
        <v>93.333333333333329</v>
      </c>
      <c r="H12" s="33">
        <v>30.876085681026943</v>
      </c>
      <c r="I12" s="23">
        <v>35.582790983135382</v>
      </c>
      <c r="J12" s="5">
        <v>1751.9974772275161</v>
      </c>
      <c r="K12" s="31" t="e">
        <f t="shared" si="0"/>
        <v>#DIV/0!</v>
      </c>
      <c r="L12" s="23">
        <v>98492.594441237889</v>
      </c>
      <c r="M12" s="33">
        <v>8.4538279160005914</v>
      </c>
      <c r="N12" s="5">
        <v>4</v>
      </c>
      <c r="O12" s="5">
        <v>80</v>
      </c>
      <c r="P12" s="33">
        <v>25.171093201926272</v>
      </c>
      <c r="Q12" s="5">
        <v>17.298491722789244</v>
      </c>
      <c r="R12" s="5">
        <v>1430.6240083135626</v>
      </c>
      <c r="S12" s="42"/>
      <c r="T12" s="23">
        <v>97185.314636974101</v>
      </c>
      <c r="U12" s="33">
        <v>4.2579568750006729</v>
      </c>
      <c r="V12" s="5">
        <v>2</v>
      </c>
      <c r="W12" s="5">
        <v>73.333333333333329</v>
      </c>
      <c r="X12" s="33">
        <v>44.137319642833454</v>
      </c>
      <c r="Y12" s="5">
        <v>45.3193306486003</v>
      </c>
      <c r="Z12" s="5">
        <v>2050.6659564774341</v>
      </c>
      <c r="AA12" s="42"/>
    </row>
    <row r="13" spans="2:27" x14ac:dyDescent="0.2">
      <c r="B13" s="4">
        <v>10</v>
      </c>
      <c r="C13" s="4">
        <v>979</v>
      </c>
      <c r="D13" s="23">
        <v>73439.394193460685</v>
      </c>
      <c r="E13" s="33">
        <v>4.0865864579973277</v>
      </c>
      <c r="F13" s="5">
        <v>2</v>
      </c>
      <c r="G13" s="23">
        <v>93.333333333333329</v>
      </c>
      <c r="H13" s="33">
        <v>30.876085681026943</v>
      </c>
      <c r="I13" s="23">
        <v>35.582790983135382</v>
      </c>
      <c r="J13" s="5">
        <v>1751.9974772275161</v>
      </c>
      <c r="K13" s="31" t="e">
        <f t="shared" si="0"/>
        <v>#DIV/0!</v>
      </c>
      <c r="L13" s="23">
        <v>98492.594441237889</v>
      </c>
      <c r="M13" s="33">
        <v>8.0071866250000312</v>
      </c>
      <c r="N13" s="5">
        <v>4</v>
      </c>
      <c r="O13" s="5">
        <v>80</v>
      </c>
      <c r="P13" s="33">
        <v>25.171093201926272</v>
      </c>
      <c r="Q13" s="5">
        <v>17.298491722789244</v>
      </c>
      <c r="R13" s="5">
        <v>1430.6240083135626</v>
      </c>
      <c r="S13" s="42"/>
      <c r="T13" s="23">
        <v>97185.314636974101</v>
      </c>
      <c r="U13" s="33">
        <v>4.0897661249982784</v>
      </c>
      <c r="V13" s="5">
        <v>2</v>
      </c>
      <c r="W13" s="5">
        <v>73.333333333333329</v>
      </c>
      <c r="X13" s="33">
        <v>44.137319642833454</v>
      </c>
      <c r="Y13" s="5">
        <v>45.3193306486003</v>
      </c>
      <c r="Z13" s="5">
        <v>2050.6659564774341</v>
      </c>
      <c r="AA13" s="42"/>
    </row>
    <row r="14" spans="2:27" x14ac:dyDescent="0.2">
      <c r="B14" s="46" t="s">
        <v>3</v>
      </c>
      <c r="C14" s="47"/>
      <c r="D14" s="9">
        <f>MIN(D4:D13)</f>
        <v>73439.394193460685</v>
      </c>
      <c r="E14" s="22">
        <f>INDEX(E4:E13, MATCH($D$14, D4:D13, 0))</f>
        <v>4.0690843330012294</v>
      </c>
      <c r="F14" s="9">
        <f>INDEX(F4:F13, MATCH($D$14, D4:D13, 0))</f>
        <v>2</v>
      </c>
      <c r="G14" s="9">
        <f>INDEX(G4:G13, MATCH($D$14, D4:D13, 0))</f>
        <v>93.333333333333329</v>
      </c>
      <c r="H14" s="22">
        <f>INDEX(H4:H13, MATCH($D$14, D4:D13, 0))</f>
        <v>30.876085681026943</v>
      </c>
      <c r="I14" s="22">
        <f>INDEX(I4:I13, MATCH($D$14, D4:D13, 0))</f>
        <v>35.582790983135382</v>
      </c>
      <c r="J14" s="22">
        <f>INDEX(J4:J13, MATCH($D$14, D4:D13, 0))</f>
        <v>1751.9974772275161</v>
      </c>
      <c r="K14" s="32" t="e">
        <f>(D14-$D$15)/$D$15</f>
        <v>#DIV/0!</v>
      </c>
      <c r="L14" s="16">
        <f>MIN(L4:L13)</f>
        <v>96199.094798923295</v>
      </c>
      <c r="M14" s="21">
        <f>INDEX(M4:M13, MATCH($L$14, L4:L13, 0))</f>
        <v>9.2550218340002175</v>
      </c>
      <c r="N14" s="16">
        <f>INDEX(N4:N13, MATCH($L$14, L4:L13, 0))</f>
        <v>3</v>
      </c>
      <c r="O14" s="16">
        <f>INDEX(O4:O13, MATCH($L$14, L4:L13, 0))</f>
        <v>70</v>
      </c>
      <c r="P14" s="21">
        <f>INDEX(P4:P13, MATCH($L$14, L4:L13, 0))</f>
        <v>4.7978238901050947</v>
      </c>
      <c r="Q14" s="21">
        <f>INDEX(Q4:Q13, MATCH($L$14, L4:L13, 0))</f>
        <v>17.487320065168579</v>
      </c>
      <c r="R14" s="21">
        <f>INDEX(R4:R13, MATCH($L$14, L4:L13, 0))</f>
        <v>1265.1824291818596</v>
      </c>
      <c r="S14" s="43" t="e">
        <f>(L14-$D$15)/$D$15</f>
        <v>#DIV/0!</v>
      </c>
      <c r="T14" s="38">
        <f>MIN(T4:T13)</f>
        <v>97185.314636974101</v>
      </c>
      <c r="U14" s="44">
        <f>INDEX(U4:U13, MATCH($T$14, T4:T13, 0))</f>
        <v>4.1502979159995448</v>
      </c>
      <c r="V14" s="38">
        <f>INDEX(V4:V13, MATCH($T$14, T4:T13, 0))</f>
        <v>2</v>
      </c>
      <c r="W14" s="38">
        <f>INDEX(W4:W13, MATCH($T$14, T4:T13, 0))</f>
        <v>73.333333333333329</v>
      </c>
      <c r="X14" s="44">
        <f>INDEX(X4:X13, MATCH($T$14, T4:T13, 0))</f>
        <v>44.137319642833454</v>
      </c>
      <c r="Y14" s="44">
        <f>INDEX(Y4:Y13, MATCH($T$14, T4:T13, 0))</f>
        <v>45.3193306486003</v>
      </c>
      <c r="Z14" s="44">
        <f>INDEX(Z4:Z13, MATCH($T$14, T4:T13, 0))</f>
        <v>2050.6659564774341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0:C1048576">
    <cfRule type="duplicateValues" dxfId="77" priority="5"/>
    <cfRule type="duplicateValues" dxfId="76" priority="6"/>
  </conditionalFormatting>
  <conditionalFormatting sqref="C14">
    <cfRule type="duplicateValues" dxfId="75" priority="3"/>
    <cfRule type="duplicateValues" dxfId="74" priority="4"/>
  </conditionalFormatting>
  <conditionalFormatting sqref="C15:C29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0DD0-7627-3F4E-8977-2935F756C1E8}">
  <dimension ref="B1:AA17"/>
  <sheetViews>
    <sheetView topLeftCell="L1" zoomScale="118" zoomScaleNormal="120" workbookViewId="0">
      <selection activeCell="L15" sqref="A15:XFD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-0.68433439730406742</v>
      </c>
      <c r="J2" s="28" t="e">
        <f>(S14-J14)/J14</f>
        <v>#DIV/0!</v>
      </c>
      <c r="K2" s="28"/>
      <c r="L2" s="1" t="s">
        <v>18</v>
      </c>
      <c r="P2" s="1">
        <f>(P14-H14)/H14</f>
        <v>-0.86185727440112725</v>
      </c>
      <c r="R2" s="1">
        <f>(R14-J14)/J14</f>
        <v>-0.31053817213278301</v>
      </c>
      <c r="T2" s="1" t="s">
        <v>19</v>
      </c>
      <c r="X2" s="1">
        <f>(X14-P14)/P14</f>
        <v>9.7625425379758237</v>
      </c>
      <c r="Z2" s="1">
        <f>(Z14-R14)/R14</f>
        <v>0.50509246232660887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52</v>
      </c>
      <c r="D4" s="23">
        <v>84613.696640188573</v>
      </c>
      <c r="E4" s="33">
        <v>5.0672526249982184</v>
      </c>
      <c r="F4" s="5">
        <v>3</v>
      </c>
      <c r="G4" s="23">
        <v>100</v>
      </c>
      <c r="H4" s="33">
        <v>79.244472119810908</v>
      </c>
      <c r="I4" s="23">
        <v>40.798766953658252</v>
      </c>
      <c r="J4" s="5">
        <v>2152.0930320844855</v>
      </c>
      <c r="K4" s="31" t="e">
        <f>(D4-$D$15)/$D$15</f>
        <v>#DIV/0!</v>
      </c>
      <c r="L4" s="23">
        <v>114054.9340583391</v>
      </c>
      <c r="M4" s="33">
        <v>6.8566932909998286</v>
      </c>
      <c r="N4" s="5">
        <v>4</v>
      </c>
      <c r="O4" s="5">
        <v>66.666666666666671</v>
      </c>
      <c r="P4" s="33">
        <v>67.445152302732183</v>
      </c>
      <c r="Q4" s="5">
        <v>21.261597809540348</v>
      </c>
      <c r="R4" s="5">
        <v>1614.5384143365793</v>
      </c>
      <c r="S4" s="42"/>
      <c r="T4" s="23">
        <v>104814.1502606498</v>
      </c>
      <c r="U4" s="33">
        <v>5.3225411659987003</v>
      </c>
      <c r="V4" s="5">
        <v>3</v>
      </c>
      <c r="W4" s="5">
        <v>76.666666666666671</v>
      </c>
      <c r="X4" s="33">
        <v>117.8180629555287</v>
      </c>
      <c r="Y4" s="5">
        <v>45.316332184525855</v>
      </c>
      <c r="Z4" s="5">
        <v>2233.2351177454589</v>
      </c>
      <c r="AA4" s="42"/>
    </row>
    <row r="5" spans="2:27" x14ac:dyDescent="0.2">
      <c r="B5" s="4">
        <v>2</v>
      </c>
      <c r="C5" s="4">
        <v>230</v>
      </c>
      <c r="D5" s="23">
        <v>84613.696640188573</v>
      </c>
      <c r="E5" s="33">
        <v>4.9498643749975599</v>
      </c>
      <c r="F5" s="5">
        <v>3</v>
      </c>
      <c r="G5" s="23">
        <v>100</v>
      </c>
      <c r="H5" s="33">
        <v>79.244472119810908</v>
      </c>
      <c r="I5" s="23">
        <v>40.798766953658252</v>
      </c>
      <c r="J5" s="5">
        <v>2152.0930320844855</v>
      </c>
      <c r="K5" s="31" t="e">
        <f>(D5-$D$15)/$D$15</f>
        <v>#DIV/0!</v>
      </c>
      <c r="L5" s="23">
        <v>109354.2606983547</v>
      </c>
      <c r="M5" s="33">
        <v>10.21518066600038</v>
      </c>
      <c r="N5" s="5">
        <v>3</v>
      </c>
      <c r="O5" s="5">
        <v>60</v>
      </c>
      <c r="P5" s="33">
        <v>10.947047367274561</v>
      </c>
      <c r="Q5" s="5">
        <v>25.014754052021129</v>
      </c>
      <c r="R5" s="5">
        <v>1483.7859956412706</v>
      </c>
      <c r="S5" s="42"/>
      <c r="T5" s="23">
        <v>104814.1502606498</v>
      </c>
      <c r="U5" s="33">
        <v>5.3361452909994114</v>
      </c>
      <c r="V5" s="5">
        <v>3</v>
      </c>
      <c r="W5" s="5">
        <v>76.666666666666671</v>
      </c>
      <c r="X5" s="33">
        <v>117.8180629555287</v>
      </c>
      <c r="Y5" s="5">
        <v>45.316332184525855</v>
      </c>
      <c r="Z5" s="5">
        <v>2233.2351177454589</v>
      </c>
      <c r="AA5" s="42"/>
    </row>
    <row r="6" spans="2:27" x14ac:dyDescent="0.2">
      <c r="B6" s="4">
        <v>3</v>
      </c>
      <c r="C6" s="4">
        <v>432</v>
      </c>
      <c r="D6" s="23">
        <v>84613.696640188573</v>
      </c>
      <c r="E6" s="33">
        <v>4.5907555410012719</v>
      </c>
      <c r="F6" s="5">
        <v>3</v>
      </c>
      <c r="G6" s="23">
        <v>100</v>
      </c>
      <c r="H6" s="33">
        <v>79.244472119810908</v>
      </c>
      <c r="I6" s="23">
        <v>40.798766953658252</v>
      </c>
      <c r="J6" s="5">
        <v>2152.0930320844855</v>
      </c>
      <c r="K6" s="31" t="e">
        <f t="shared" ref="K6:K13" si="0">(D6-$D$15)/$D$15</f>
        <v>#DIV/0!</v>
      </c>
      <c r="L6" s="23">
        <v>109354.2606983547</v>
      </c>
      <c r="M6" s="33">
        <v>6.451470750002045</v>
      </c>
      <c r="N6" s="5">
        <v>3</v>
      </c>
      <c r="O6" s="5">
        <v>60</v>
      </c>
      <c r="P6" s="33">
        <v>10.947047367274561</v>
      </c>
      <c r="Q6" s="5">
        <v>25.014754052021129</v>
      </c>
      <c r="R6" s="5">
        <v>1483.7859956412706</v>
      </c>
      <c r="S6" s="42"/>
      <c r="T6" s="23">
        <v>104814.1502606498</v>
      </c>
      <c r="U6" s="33">
        <v>5.7150966670014904</v>
      </c>
      <c r="V6" s="5">
        <v>3</v>
      </c>
      <c r="W6" s="5">
        <v>76.666666666666671</v>
      </c>
      <c r="X6" s="33">
        <v>117.8180629555287</v>
      </c>
      <c r="Y6" s="5">
        <v>45.316332184525855</v>
      </c>
      <c r="Z6" s="5">
        <v>2233.2351177454589</v>
      </c>
      <c r="AA6" s="42"/>
    </row>
    <row r="7" spans="2:27" x14ac:dyDescent="0.2">
      <c r="B7" s="4">
        <v>4</v>
      </c>
      <c r="C7" s="4">
        <v>448</v>
      </c>
      <c r="D7" s="23">
        <v>84613.696640188573</v>
      </c>
      <c r="E7" s="33">
        <v>4.5131572500031334</v>
      </c>
      <c r="F7" s="5">
        <v>3</v>
      </c>
      <c r="G7" s="23">
        <v>100</v>
      </c>
      <c r="H7" s="33">
        <v>79.244472119810908</v>
      </c>
      <c r="I7" s="23">
        <v>40.798766953658252</v>
      </c>
      <c r="J7" s="5">
        <v>2152.0930320844855</v>
      </c>
      <c r="K7" s="31" t="e">
        <f t="shared" si="0"/>
        <v>#DIV/0!</v>
      </c>
      <c r="L7" s="23">
        <v>109354.2606983547</v>
      </c>
      <c r="M7" s="33">
        <v>8.4218729580024956</v>
      </c>
      <c r="N7" s="5">
        <v>3</v>
      </c>
      <c r="O7" s="5">
        <v>60</v>
      </c>
      <c r="P7" s="33">
        <v>10.947047367274561</v>
      </c>
      <c r="Q7" s="5">
        <v>25.014754052021129</v>
      </c>
      <c r="R7" s="5">
        <v>1483.7859956412706</v>
      </c>
      <c r="S7" s="42"/>
      <c r="T7" s="23">
        <v>104814.1502606498</v>
      </c>
      <c r="U7" s="33">
        <v>5.7500563749999856</v>
      </c>
      <c r="V7" s="5">
        <v>3</v>
      </c>
      <c r="W7" s="5">
        <v>76.666666666666671</v>
      </c>
      <c r="X7" s="33">
        <v>117.8180629555287</v>
      </c>
      <c r="Y7" s="5">
        <v>45.316332184525855</v>
      </c>
      <c r="Z7" s="5">
        <v>2233.2351177454589</v>
      </c>
      <c r="AA7" s="42"/>
    </row>
    <row r="8" spans="2:27" x14ac:dyDescent="0.2">
      <c r="B8" s="4">
        <v>5</v>
      </c>
      <c r="C8" s="4">
        <v>477</v>
      </c>
      <c r="D8" s="23">
        <v>84613.696640188573</v>
      </c>
      <c r="E8" s="33">
        <v>4.4946690420038067</v>
      </c>
      <c r="F8" s="5">
        <v>3</v>
      </c>
      <c r="G8" s="23">
        <v>100</v>
      </c>
      <c r="H8" s="33">
        <v>79.244472119810908</v>
      </c>
      <c r="I8" s="23">
        <v>40.798766953658252</v>
      </c>
      <c r="J8" s="5">
        <v>2152.0930320844855</v>
      </c>
      <c r="K8" s="31" t="e">
        <f t="shared" si="0"/>
        <v>#DIV/0!</v>
      </c>
      <c r="L8" s="23">
        <v>109354.2606983547</v>
      </c>
      <c r="M8" s="33">
        <v>6.9091943339990394</v>
      </c>
      <c r="N8" s="5">
        <v>3</v>
      </c>
      <c r="O8" s="5">
        <v>60</v>
      </c>
      <c r="P8" s="33">
        <v>10.947047367274561</v>
      </c>
      <c r="Q8" s="5">
        <v>25.014754052021129</v>
      </c>
      <c r="R8" s="5">
        <v>1483.7859956412706</v>
      </c>
      <c r="S8" s="42"/>
      <c r="T8" s="23">
        <v>104814.1502606498</v>
      </c>
      <c r="U8" s="33">
        <v>5.3180527910008104</v>
      </c>
      <c r="V8" s="5">
        <v>3</v>
      </c>
      <c r="W8" s="5">
        <v>76.666666666666671</v>
      </c>
      <c r="X8" s="33">
        <v>117.8180629555287</v>
      </c>
      <c r="Y8" s="5">
        <v>45.316332184525855</v>
      </c>
      <c r="Z8" s="5">
        <v>2233.2351177454589</v>
      </c>
      <c r="AA8" s="42"/>
    </row>
    <row r="9" spans="2:27" x14ac:dyDescent="0.2">
      <c r="B9" s="4">
        <v>6</v>
      </c>
      <c r="C9" s="4">
        <v>548</v>
      </c>
      <c r="D9" s="23">
        <v>84613.696640188573</v>
      </c>
      <c r="E9" s="33">
        <v>4.509943042001396</v>
      </c>
      <c r="F9" s="5">
        <v>3</v>
      </c>
      <c r="G9" s="23">
        <v>100</v>
      </c>
      <c r="H9" s="33">
        <v>79.244472119810908</v>
      </c>
      <c r="I9" s="23">
        <v>40.798766953658252</v>
      </c>
      <c r="J9" s="5">
        <v>2152.0930320844855</v>
      </c>
      <c r="K9" s="31" t="e">
        <f t="shared" si="0"/>
        <v>#DIV/0!</v>
      </c>
      <c r="L9" s="23">
        <v>109354.2606983547</v>
      </c>
      <c r="M9" s="33">
        <v>7.111152375000529</v>
      </c>
      <c r="N9" s="5">
        <v>3</v>
      </c>
      <c r="O9" s="5">
        <v>60</v>
      </c>
      <c r="P9" s="33">
        <v>10.947047367274561</v>
      </c>
      <c r="Q9" s="5">
        <v>25.014754052021129</v>
      </c>
      <c r="R9" s="5">
        <v>1483.7859956412706</v>
      </c>
      <c r="S9" s="42"/>
      <c r="T9" s="23">
        <v>104814.1502606498</v>
      </c>
      <c r="U9" s="33">
        <v>5.2749489999987418</v>
      </c>
      <c r="V9" s="5">
        <v>3</v>
      </c>
      <c r="W9" s="5">
        <v>76.666666666666671</v>
      </c>
      <c r="X9" s="33">
        <v>117.8180629555287</v>
      </c>
      <c r="Y9" s="5">
        <v>45.316332184525855</v>
      </c>
      <c r="Z9" s="5">
        <v>2233.2351177454589</v>
      </c>
      <c r="AA9" s="42"/>
    </row>
    <row r="10" spans="2:27" x14ac:dyDescent="0.2">
      <c r="B10" s="4">
        <v>7</v>
      </c>
      <c r="C10" s="4">
        <v>590</v>
      </c>
      <c r="D10" s="23">
        <v>84613.696640188573</v>
      </c>
      <c r="E10" s="33">
        <v>4.481430833999184</v>
      </c>
      <c r="F10" s="5">
        <v>3</v>
      </c>
      <c r="G10" s="23">
        <v>100</v>
      </c>
      <c r="H10" s="33">
        <v>79.244472119810908</v>
      </c>
      <c r="I10" s="23">
        <v>40.798766953658252</v>
      </c>
      <c r="J10" s="5">
        <v>2152.0930320844855</v>
      </c>
      <c r="K10" s="31" t="e">
        <f t="shared" si="0"/>
        <v>#DIV/0!</v>
      </c>
      <c r="L10" s="23">
        <v>109354.2606983547</v>
      </c>
      <c r="M10" s="33">
        <v>7.4957746659965778</v>
      </c>
      <c r="N10" s="5">
        <v>3</v>
      </c>
      <c r="O10" s="5">
        <v>60</v>
      </c>
      <c r="P10" s="33">
        <v>10.947047367274561</v>
      </c>
      <c r="Q10" s="5">
        <v>25.014754052021129</v>
      </c>
      <c r="R10" s="5">
        <v>1483.7859956412706</v>
      </c>
      <c r="S10" s="42"/>
      <c r="T10" s="23">
        <v>104814.1502606498</v>
      </c>
      <c r="U10" s="33">
        <v>5.3143806660009432</v>
      </c>
      <c r="V10" s="5">
        <v>3</v>
      </c>
      <c r="W10" s="5">
        <v>76.666666666666671</v>
      </c>
      <c r="X10" s="33">
        <v>117.8180629555287</v>
      </c>
      <c r="Y10" s="5">
        <v>45.316332184525855</v>
      </c>
      <c r="Z10" s="5">
        <v>2233.2351177454589</v>
      </c>
      <c r="AA10" s="42"/>
    </row>
    <row r="11" spans="2:27" x14ac:dyDescent="0.2">
      <c r="B11" s="4">
        <v>8</v>
      </c>
      <c r="C11" s="4">
        <v>624</v>
      </c>
      <c r="D11" s="23">
        <v>84613.696640188573</v>
      </c>
      <c r="E11" s="33">
        <v>4.4107875839981716</v>
      </c>
      <c r="F11" s="5">
        <v>3</v>
      </c>
      <c r="G11" s="23">
        <v>100</v>
      </c>
      <c r="H11" s="33">
        <v>79.244472119810908</v>
      </c>
      <c r="I11" s="23">
        <v>40.798766953658252</v>
      </c>
      <c r="J11" s="5">
        <v>2152.0930320844855</v>
      </c>
      <c r="K11" s="31" t="e">
        <f t="shared" si="0"/>
        <v>#DIV/0!</v>
      </c>
      <c r="L11" s="23">
        <v>112274.6174973248</v>
      </c>
      <c r="M11" s="33">
        <v>6.6063916659986717</v>
      </c>
      <c r="N11" s="5">
        <v>4</v>
      </c>
      <c r="O11" s="5">
        <v>66.666666666666671</v>
      </c>
      <c r="P11" s="33">
        <v>37.092065795775738</v>
      </c>
      <c r="Q11" s="5">
        <v>22.587193079235</v>
      </c>
      <c r="R11" s="5">
        <v>1557.8156018481429</v>
      </c>
      <c r="S11" s="42"/>
      <c r="T11" s="23">
        <v>104814.1502606498</v>
      </c>
      <c r="U11" s="33">
        <v>5.3530197079999198</v>
      </c>
      <c r="V11" s="5">
        <v>3</v>
      </c>
      <c r="W11" s="5">
        <v>76.666666666666671</v>
      </c>
      <c r="X11" s="33">
        <v>117.8180629555287</v>
      </c>
      <c r="Y11" s="5">
        <v>45.316332184525855</v>
      </c>
      <c r="Z11" s="5">
        <v>2233.2351177454589</v>
      </c>
      <c r="AA11" s="42"/>
    </row>
    <row r="12" spans="2:27" x14ac:dyDescent="0.2">
      <c r="B12" s="4">
        <v>9</v>
      </c>
      <c r="C12" s="4">
        <v>763</v>
      </c>
      <c r="D12" s="23">
        <v>84613.696640188573</v>
      </c>
      <c r="E12" s="33">
        <v>4.4797511659999154</v>
      </c>
      <c r="F12" s="5">
        <v>3</v>
      </c>
      <c r="G12" s="23">
        <v>100</v>
      </c>
      <c r="H12" s="33">
        <v>79.244472119810908</v>
      </c>
      <c r="I12" s="23">
        <v>40.798766953658252</v>
      </c>
      <c r="J12" s="5">
        <v>2152.0930320844855</v>
      </c>
      <c r="K12" s="31" t="e">
        <f t="shared" si="0"/>
        <v>#DIV/0!</v>
      </c>
      <c r="L12" s="23">
        <v>109354.2606983547</v>
      </c>
      <c r="M12" s="33">
        <v>6.3878824580024229</v>
      </c>
      <c r="N12" s="5">
        <v>3</v>
      </c>
      <c r="O12" s="5">
        <v>60</v>
      </c>
      <c r="P12" s="33">
        <v>10.947047367274561</v>
      </c>
      <c r="Q12" s="5">
        <v>25.014754052021129</v>
      </c>
      <c r="R12" s="5">
        <v>1483.7859956412706</v>
      </c>
      <c r="S12" s="42"/>
      <c r="T12" s="23">
        <v>104814.1502606498</v>
      </c>
      <c r="U12" s="33">
        <v>5.3963395419996232</v>
      </c>
      <c r="V12" s="5">
        <v>3</v>
      </c>
      <c r="W12" s="5">
        <v>76.666666666666671</v>
      </c>
      <c r="X12" s="33">
        <v>117.8180629555287</v>
      </c>
      <c r="Y12" s="5">
        <v>45.316332184525855</v>
      </c>
      <c r="Z12" s="5">
        <v>2233.2351177454589</v>
      </c>
      <c r="AA12" s="42"/>
    </row>
    <row r="13" spans="2:27" x14ac:dyDescent="0.2">
      <c r="B13" s="4">
        <v>10</v>
      </c>
      <c r="C13" s="4">
        <v>882</v>
      </c>
      <c r="D13" s="23">
        <v>84613.696640188573</v>
      </c>
      <c r="E13" s="33">
        <v>4.4516127499955473</v>
      </c>
      <c r="F13" s="5">
        <v>3</v>
      </c>
      <c r="G13" s="23">
        <v>100</v>
      </c>
      <c r="H13" s="33">
        <v>79.244472119810908</v>
      </c>
      <c r="I13" s="23">
        <v>40.798766953658252</v>
      </c>
      <c r="J13" s="5">
        <v>2152.0930320844855</v>
      </c>
      <c r="K13" s="31" t="e">
        <f t="shared" si="0"/>
        <v>#DIV/0!</v>
      </c>
      <c r="L13" s="23">
        <v>109354.2606983547</v>
      </c>
      <c r="M13" s="33">
        <v>6.4335345830004371</v>
      </c>
      <c r="N13" s="5">
        <v>3</v>
      </c>
      <c r="O13" s="5">
        <v>60</v>
      </c>
      <c r="P13" s="33">
        <v>10.947047367274561</v>
      </c>
      <c r="Q13" s="5">
        <v>25.014754052021129</v>
      </c>
      <c r="R13" s="5">
        <v>1483.7859956412706</v>
      </c>
      <c r="S13" s="42"/>
      <c r="T13" s="23">
        <v>104814.1502606498</v>
      </c>
      <c r="U13" s="33">
        <v>5.4300230420012667</v>
      </c>
      <c r="V13" s="5">
        <v>3</v>
      </c>
      <c r="W13" s="5">
        <v>76.666666666666671</v>
      </c>
      <c r="X13" s="33">
        <v>117.8180629555287</v>
      </c>
      <c r="Y13" s="5">
        <v>45.316332184525855</v>
      </c>
      <c r="Z13" s="5">
        <v>2233.2351177454589</v>
      </c>
      <c r="AA13" s="42"/>
    </row>
    <row r="14" spans="2:27" x14ac:dyDescent="0.2">
      <c r="B14" s="46" t="s">
        <v>3</v>
      </c>
      <c r="C14" s="47"/>
      <c r="D14" s="9">
        <f>MIN(D4:D13)</f>
        <v>84613.696640188573</v>
      </c>
      <c r="E14" s="22">
        <f>INDEX(E4:E13, MATCH($D$14, D4:D13, 0))</f>
        <v>5.0672526249982184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79.244472119810908</v>
      </c>
      <c r="I14" s="22">
        <f>INDEX(I4:I13, MATCH($D$14, D4:D13, 0))</f>
        <v>40.798766953658252</v>
      </c>
      <c r="J14" s="22">
        <f>INDEX(J4:J13, MATCH($D$14, D4:D13, 0))</f>
        <v>2152.0930320844855</v>
      </c>
      <c r="K14" s="32" t="e">
        <f>(D14-$D$15)/$D$15</f>
        <v>#DIV/0!</v>
      </c>
      <c r="L14" s="16">
        <f>MIN(L4:L13)</f>
        <v>109354.2606983547</v>
      </c>
      <c r="M14" s="21">
        <f>INDEX(M4:M13, MATCH($L$14, L4:L13, 0))</f>
        <v>10.21518066600038</v>
      </c>
      <c r="N14" s="16">
        <f>INDEX(N4:N13, MATCH($L$14, L4:L13, 0))</f>
        <v>3</v>
      </c>
      <c r="O14" s="16">
        <f>INDEX(O4:O13, MATCH($L$14, L4:L13, 0))</f>
        <v>60</v>
      </c>
      <c r="P14" s="21">
        <f>INDEX(P4:P13, MATCH($L$14, L4:L13, 0))</f>
        <v>10.947047367274561</v>
      </c>
      <c r="Q14" s="21">
        <f>INDEX(Q4:Q13, MATCH($L$14, L4:L13, 0))</f>
        <v>25.014754052021129</v>
      </c>
      <c r="R14" s="21">
        <f>INDEX(R4:R13, MATCH($L$14, L4:L13, 0))</f>
        <v>1483.7859956412706</v>
      </c>
      <c r="S14" s="43" t="e">
        <f>(L14-$D$15)/$D$15</f>
        <v>#DIV/0!</v>
      </c>
      <c r="T14" s="38">
        <f>MIN(T4:T13)</f>
        <v>104814.1502606498</v>
      </c>
      <c r="U14" s="44">
        <f>INDEX(U4:U13, MATCH($T$14, T4:T13, 0))</f>
        <v>5.3225411659987003</v>
      </c>
      <c r="V14" s="38">
        <f>INDEX(V4:V13, MATCH($T$14, T4:T13, 0))</f>
        <v>3</v>
      </c>
      <c r="W14" s="38">
        <f>INDEX(W4:W13, MATCH($T$14, T4:T13, 0))</f>
        <v>76.666666666666671</v>
      </c>
      <c r="X14" s="44">
        <f>INDEX(X4:X13, MATCH($T$14, T4:T13, 0))</f>
        <v>117.8180629555287</v>
      </c>
      <c r="Y14" s="44">
        <f>INDEX(Y4:Y13, MATCH($T$14, T4:T13, 0))</f>
        <v>45.316332184525855</v>
      </c>
      <c r="Z14" s="44">
        <f>INDEX(Z4:Z13, MATCH($T$14, T4:T13, 0))</f>
        <v>2233.2351177454589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0:C1048576">
    <cfRule type="duplicateValues" dxfId="73" priority="5"/>
    <cfRule type="duplicateValues" dxfId="72" priority="6"/>
  </conditionalFormatting>
  <conditionalFormatting sqref="C14">
    <cfRule type="duplicateValues" dxfId="71" priority="3"/>
    <cfRule type="duplicateValues" dxfId="70" priority="4"/>
  </conditionalFormatting>
  <conditionalFormatting sqref="C15:C29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DF7D-0407-964C-9AE0-DF88A376AB33}">
  <dimension ref="B1:AA17"/>
  <sheetViews>
    <sheetView topLeftCell="L1" zoomScale="118" zoomScaleNormal="120" workbookViewId="0">
      <selection activeCell="L15" sqref="A15:XFD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0.6362726103929377</v>
      </c>
      <c r="J2" s="28" t="e">
        <f>(S14-J14)/J14</f>
        <v>#DIV/0!</v>
      </c>
      <c r="K2" s="28"/>
      <c r="L2" s="1" t="s">
        <v>18</v>
      </c>
      <c r="P2" s="1">
        <f>(P14-H14)/H14</f>
        <v>-0.99667633009188239</v>
      </c>
      <c r="R2" s="1">
        <f>(R14-J14)/J14</f>
        <v>-0.24476252264953438</v>
      </c>
      <c r="T2" s="1" t="s">
        <v>19</v>
      </c>
      <c r="X2" s="1">
        <f>(X14-P14)/P14</f>
        <v>1077.3705805679238</v>
      </c>
      <c r="Z2" s="1">
        <f>(Z14-R14)/R14</f>
        <v>0.41620508417313462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23</v>
      </c>
      <c r="D4" s="23">
        <v>82016.345880946363</v>
      </c>
      <c r="E4" s="33">
        <v>4.1850847919995431</v>
      </c>
      <c r="F4" s="5">
        <v>2</v>
      </c>
      <c r="G4" s="23">
        <v>90</v>
      </c>
      <c r="H4" s="33">
        <v>10.80607104796575</v>
      </c>
      <c r="I4" s="23">
        <v>33.183494197660266</v>
      </c>
      <c r="J4" s="5">
        <v>1938.0390448547407</v>
      </c>
      <c r="K4" s="31" t="e">
        <f>(D4-$D$15)/$D$15</f>
        <v>#DIV/0!</v>
      </c>
      <c r="L4" s="23">
        <v>93464.404283285738</v>
      </c>
      <c r="M4" s="33">
        <v>9.5194294159991841</v>
      </c>
      <c r="N4" s="5">
        <v>3</v>
      </c>
      <c r="O4" s="5">
        <v>76.666666666666671</v>
      </c>
      <c r="P4" s="33">
        <v>3.591581316710369E-2</v>
      </c>
      <c r="Q4" s="5">
        <v>17.681678081746465</v>
      </c>
      <c r="R4" s="5">
        <v>1463.6797192428003</v>
      </c>
      <c r="S4" s="42"/>
      <c r="T4" s="23">
        <v>102009.2470018123</v>
      </c>
      <c r="U4" s="33">
        <v>5.1791730829972948</v>
      </c>
      <c r="V4" s="5">
        <v>2</v>
      </c>
      <c r="W4" s="5">
        <v>70</v>
      </c>
      <c r="X4" s="33">
        <v>38.730556296578683</v>
      </c>
      <c r="Y4" s="5">
        <v>37.041352271424984</v>
      </c>
      <c r="Z4" s="5">
        <v>2072.87065999276</v>
      </c>
      <c r="AA4" s="42"/>
    </row>
    <row r="5" spans="2:27" x14ac:dyDescent="0.2">
      <c r="B5" s="4">
        <v>2</v>
      </c>
      <c r="C5" s="4">
        <v>117</v>
      </c>
      <c r="D5" s="23">
        <v>82016.345880946363</v>
      </c>
      <c r="E5" s="33">
        <v>4.180841875000624</v>
      </c>
      <c r="F5" s="5">
        <v>2</v>
      </c>
      <c r="G5" s="23">
        <v>90</v>
      </c>
      <c r="H5" s="33">
        <v>10.80607104796575</v>
      </c>
      <c r="I5" s="23">
        <v>33.183494197660266</v>
      </c>
      <c r="J5" s="5">
        <v>1938.0390448547407</v>
      </c>
      <c r="K5" s="31" t="e">
        <f>(D5-$D$15)/$D$15</f>
        <v>#DIV/0!</v>
      </c>
      <c r="L5" s="23">
        <v>93464.404283285738</v>
      </c>
      <c r="M5" s="33">
        <v>16.630183500001291</v>
      </c>
      <c r="N5" s="5">
        <v>3</v>
      </c>
      <c r="O5" s="5">
        <v>76.666666666666671</v>
      </c>
      <c r="P5" s="33">
        <v>3.591581316710369E-2</v>
      </c>
      <c r="Q5" s="5">
        <v>17.681678081746465</v>
      </c>
      <c r="R5" s="5">
        <v>1463.6797192428003</v>
      </c>
      <c r="S5" s="42"/>
      <c r="T5" s="23">
        <v>102009.2470018123</v>
      </c>
      <c r="U5" s="33">
        <v>5.0734559999982594</v>
      </c>
      <c r="V5" s="5">
        <v>2</v>
      </c>
      <c r="W5" s="5">
        <v>70</v>
      </c>
      <c r="X5" s="33">
        <v>38.730556296578683</v>
      </c>
      <c r="Y5" s="5">
        <v>37.041352271424984</v>
      </c>
      <c r="Z5" s="5">
        <v>2072.87065999276</v>
      </c>
      <c r="AA5" s="42"/>
    </row>
    <row r="6" spans="2:27" x14ac:dyDescent="0.2">
      <c r="B6" s="4">
        <v>3</v>
      </c>
      <c r="C6" s="4">
        <v>182</v>
      </c>
      <c r="D6" s="23">
        <v>82016.345880946363</v>
      </c>
      <c r="E6" s="33">
        <v>4.1008513749984559</v>
      </c>
      <c r="F6" s="5">
        <v>2</v>
      </c>
      <c r="G6" s="23">
        <v>90</v>
      </c>
      <c r="H6" s="33">
        <v>10.80607104796575</v>
      </c>
      <c r="I6" s="23">
        <v>33.183494197660266</v>
      </c>
      <c r="J6" s="5">
        <v>1938.0390448547407</v>
      </c>
      <c r="K6" s="31" t="e">
        <f t="shared" ref="K6:K13" si="0">(D6-$D$15)/$D$15</f>
        <v>#DIV/0!</v>
      </c>
      <c r="L6" s="23">
        <v>93464.404283285738</v>
      </c>
      <c r="M6" s="33">
        <v>9.3494935419985268</v>
      </c>
      <c r="N6" s="5">
        <v>3</v>
      </c>
      <c r="O6" s="5">
        <v>76.666666666666671</v>
      </c>
      <c r="P6" s="33">
        <v>3.591581316710369E-2</v>
      </c>
      <c r="Q6" s="5">
        <v>17.681678081746465</v>
      </c>
      <c r="R6" s="5">
        <v>1463.6797192428003</v>
      </c>
      <c r="S6" s="42"/>
      <c r="T6" s="23">
        <v>102009.2470018123</v>
      </c>
      <c r="U6" s="33">
        <v>4.8098759169988634</v>
      </c>
      <c r="V6" s="5">
        <v>2</v>
      </c>
      <c r="W6" s="5">
        <v>70</v>
      </c>
      <c r="X6" s="33">
        <v>38.730556296578683</v>
      </c>
      <c r="Y6" s="5">
        <v>37.041352271424984</v>
      </c>
      <c r="Z6" s="5">
        <v>2072.87065999276</v>
      </c>
      <c r="AA6" s="42"/>
    </row>
    <row r="7" spans="2:27" x14ac:dyDescent="0.2">
      <c r="B7" s="4">
        <v>4</v>
      </c>
      <c r="C7" s="4">
        <v>186</v>
      </c>
      <c r="D7" s="23">
        <v>82016.345880946363</v>
      </c>
      <c r="E7" s="33">
        <v>4.225668291997863</v>
      </c>
      <c r="F7" s="5">
        <v>2</v>
      </c>
      <c r="G7" s="23">
        <v>90</v>
      </c>
      <c r="H7" s="33">
        <v>10.80607104796575</v>
      </c>
      <c r="I7" s="23">
        <v>33.183494197660266</v>
      </c>
      <c r="J7" s="5">
        <v>1938.0390448547407</v>
      </c>
      <c r="K7" s="31" t="e">
        <f t="shared" si="0"/>
        <v>#DIV/0!</v>
      </c>
      <c r="L7" s="23">
        <v>116522.4326093587</v>
      </c>
      <c r="M7" s="33">
        <v>4.5713900830014609</v>
      </c>
      <c r="N7" s="5">
        <v>2</v>
      </c>
      <c r="O7" s="5">
        <v>43.333333333333343</v>
      </c>
      <c r="P7" s="33">
        <v>0</v>
      </c>
      <c r="Q7" s="5">
        <v>18.733131454722656</v>
      </c>
      <c r="R7" s="5">
        <v>1161.8928865900705</v>
      </c>
      <c r="S7" s="42"/>
      <c r="T7" s="23">
        <v>119250.31303475609</v>
      </c>
      <c r="U7" s="33">
        <v>3.6691890000001881</v>
      </c>
      <c r="V7" s="5">
        <v>2</v>
      </c>
      <c r="W7" s="5">
        <v>46.666666666666657</v>
      </c>
      <c r="X7" s="33">
        <v>19.951927211531999</v>
      </c>
      <c r="Y7" s="5">
        <v>41.436650316704572</v>
      </c>
      <c r="Z7" s="5">
        <v>1925.528672326373</v>
      </c>
      <c r="AA7" s="42"/>
    </row>
    <row r="8" spans="2:27" x14ac:dyDescent="0.2">
      <c r="B8" s="4">
        <v>5</v>
      </c>
      <c r="C8" s="4">
        <v>462</v>
      </c>
      <c r="D8" s="23">
        <v>82016.345880946363</v>
      </c>
      <c r="E8" s="33">
        <v>4.1871611249953284</v>
      </c>
      <c r="F8" s="5">
        <v>2</v>
      </c>
      <c r="G8" s="23">
        <v>90</v>
      </c>
      <c r="H8" s="33">
        <v>10.80607104796575</v>
      </c>
      <c r="I8" s="23">
        <v>33.183494197660266</v>
      </c>
      <c r="J8" s="5">
        <v>1938.0390448547407</v>
      </c>
      <c r="K8" s="31" t="e">
        <f t="shared" si="0"/>
        <v>#DIV/0!</v>
      </c>
      <c r="L8" s="23">
        <v>93464.404283285738</v>
      </c>
      <c r="M8" s="33">
        <v>8.469812166000338</v>
      </c>
      <c r="N8" s="5">
        <v>3</v>
      </c>
      <c r="O8" s="5">
        <v>76.666666666666671</v>
      </c>
      <c r="P8" s="33">
        <v>3.591581316710369E-2</v>
      </c>
      <c r="Q8" s="5">
        <v>17.681678081746465</v>
      </c>
      <c r="R8" s="5">
        <v>1463.6797192428003</v>
      </c>
      <c r="S8" s="42"/>
      <c r="T8" s="23">
        <v>102009.2470018123</v>
      </c>
      <c r="U8" s="33">
        <v>6.0856542920009824</v>
      </c>
      <c r="V8" s="5">
        <v>2</v>
      </c>
      <c r="W8" s="5">
        <v>70</v>
      </c>
      <c r="X8" s="33">
        <v>38.730556296578683</v>
      </c>
      <c r="Y8" s="5">
        <v>37.041352271424984</v>
      </c>
      <c r="Z8" s="5">
        <v>2072.87065999276</v>
      </c>
      <c r="AA8" s="42"/>
    </row>
    <row r="9" spans="2:27" x14ac:dyDescent="0.2">
      <c r="B9" s="4">
        <v>6</v>
      </c>
      <c r="C9" s="4">
        <v>577</v>
      </c>
      <c r="D9" s="23">
        <v>82016.345880946363</v>
      </c>
      <c r="E9" s="33">
        <v>4.2952940420000232</v>
      </c>
      <c r="F9" s="5">
        <v>2</v>
      </c>
      <c r="G9" s="23">
        <v>90</v>
      </c>
      <c r="H9" s="33">
        <v>10.80607104796575</v>
      </c>
      <c r="I9" s="23">
        <v>33.183494197660266</v>
      </c>
      <c r="J9" s="5">
        <v>1938.0390448547407</v>
      </c>
      <c r="K9" s="31" t="e">
        <f t="shared" si="0"/>
        <v>#DIV/0!</v>
      </c>
      <c r="L9" s="23">
        <v>93464.404283285738</v>
      </c>
      <c r="M9" s="33">
        <v>8.2998034579977684</v>
      </c>
      <c r="N9" s="5">
        <v>3</v>
      </c>
      <c r="O9" s="5">
        <v>76.666666666666671</v>
      </c>
      <c r="P9" s="33">
        <v>3.591581316710369E-2</v>
      </c>
      <c r="Q9" s="5">
        <v>17.681678081746465</v>
      </c>
      <c r="R9" s="5">
        <v>1463.6797192428003</v>
      </c>
      <c r="S9" s="42"/>
      <c r="T9" s="23">
        <v>102009.2470018123</v>
      </c>
      <c r="U9" s="33">
        <v>6.0981416249996983</v>
      </c>
      <c r="V9" s="5">
        <v>2</v>
      </c>
      <c r="W9" s="5">
        <v>70</v>
      </c>
      <c r="X9" s="33">
        <v>38.730556296578683</v>
      </c>
      <c r="Y9" s="5">
        <v>37.041352271424984</v>
      </c>
      <c r="Z9" s="5">
        <v>2072.87065999276</v>
      </c>
      <c r="AA9" s="42"/>
    </row>
    <row r="10" spans="2:27" x14ac:dyDescent="0.2">
      <c r="B10" s="4">
        <v>7</v>
      </c>
      <c r="C10" s="4">
        <v>709</v>
      </c>
      <c r="D10" s="23">
        <v>82016.345880946363</v>
      </c>
      <c r="E10" s="33">
        <v>4.2450644589989679</v>
      </c>
      <c r="F10" s="5">
        <v>2</v>
      </c>
      <c r="G10" s="23">
        <v>90</v>
      </c>
      <c r="H10" s="33">
        <v>10.80607104796575</v>
      </c>
      <c r="I10" s="23">
        <v>33.183494197660266</v>
      </c>
      <c r="J10" s="5">
        <v>1938.0390448547407</v>
      </c>
      <c r="K10" s="31" t="e">
        <f t="shared" si="0"/>
        <v>#DIV/0!</v>
      </c>
      <c r="L10" s="23">
        <v>93464.404283285738</v>
      </c>
      <c r="M10" s="33">
        <v>9.5488098749992787</v>
      </c>
      <c r="N10" s="5">
        <v>3</v>
      </c>
      <c r="O10" s="5">
        <v>76.666666666666671</v>
      </c>
      <c r="P10" s="33">
        <v>3.591581316710369E-2</v>
      </c>
      <c r="Q10" s="5">
        <v>17.681678081746465</v>
      </c>
      <c r="R10" s="5">
        <v>1463.6797192428003</v>
      </c>
      <c r="S10" s="42"/>
      <c r="T10" s="23">
        <v>102009.2470018123</v>
      </c>
      <c r="U10" s="33">
        <v>5.5756619169987971</v>
      </c>
      <c r="V10" s="5">
        <v>2</v>
      </c>
      <c r="W10" s="5">
        <v>70</v>
      </c>
      <c r="X10" s="33">
        <v>38.730556296578683</v>
      </c>
      <c r="Y10" s="5">
        <v>37.041352271424984</v>
      </c>
      <c r="Z10" s="5">
        <v>2072.87065999276</v>
      </c>
      <c r="AA10" s="42"/>
    </row>
    <row r="11" spans="2:27" x14ac:dyDescent="0.2">
      <c r="B11" s="4">
        <v>8</v>
      </c>
      <c r="C11" s="4">
        <v>849</v>
      </c>
      <c r="D11" s="23">
        <v>82016.345880946363</v>
      </c>
      <c r="E11" s="33">
        <v>4.1637076250044629</v>
      </c>
      <c r="F11" s="5">
        <v>2</v>
      </c>
      <c r="G11" s="23">
        <v>90</v>
      </c>
      <c r="H11" s="33">
        <v>10.80607104796575</v>
      </c>
      <c r="I11" s="23">
        <v>33.183494197660266</v>
      </c>
      <c r="J11" s="5">
        <v>1938.0390448547407</v>
      </c>
      <c r="K11" s="31" t="e">
        <f t="shared" si="0"/>
        <v>#DIV/0!</v>
      </c>
      <c r="L11" s="23">
        <v>93464.404283285738</v>
      </c>
      <c r="M11" s="33">
        <v>10.91280829199968</v>
      </c>
      <c r="N11" s="5">
        <v>3</v>
      </c>
      <c r="O11" s="5">
        <v>76.666666666666671</v>
      </c>
      <c r="P11" s="33">
        <v>3.591581316710369E-2</v>
      </c>
      <c r="Q11" s="5">
        <v>17.681678081746465</v>
      </c>
      <c r="R11" s="5">
        <v>1463.6797192428003</v>
      </c>
      <c r="S11" s="42"/>
      <c r="T11" s="23">
        <v>102009.2470018123</v>
      </c>
      <c r="U11" s="33">
        <v>5.7150633330020364</v>
      </c>
      <c r="V11" s="5">
        <v>2</v>
      </c>
      <c r="W11" s="5">
        <v>70</v>
      </c>
      <c r="X11" s="33">
        <v>38.730556296578683</v>
      </c>
      <c r="Y11" s="5">
        <v>37.041352271424984</v>
      </c>
      <c r="Z11" s="5">
        <v>2072.87065999276</v>
      </c>
      <c r="AA11" s="42"/>
    </row>
    <row r="12" spans="2:27" x14ac:dyDescent="0.2">
      <c r="B12" s="4">
        <v>9</v>
      </c>
      <c r="C12" s="4">
        <v>851</v>
      </c>
      <c r="D12" s="23">
        <v>82016.345880946363</v>
      </c>
      <c r="E12" s="33">
        <v>4.1977089579959284</v>
      </c>
      <c r="F12" s="5">
        <v>2</v>
      </c>
      <c r="G12" s="23">
        <v>90</v>
      </c>
      <c r="H12" s="33">
        <v>10.80607104796575</v>
      </c>
      <c r="I12" s="23">
        <v>33.183494197660266</v>
      </c>
      <c r="J12" s="5">
        <v>1938.0390448547407</v>
      </c>
      <c r="K12" s="31" t="e">
        <f t="shared" si="0"/>
        <v>#DIV/0!</v>
      </c>
      <c r="L12" s="23">
        <v>93464.404283285738</v>
      </c>
      <c r="M12" s="33">
        <v>11.033077416999729</v>
      </c>
      <c r="N12" s="5">
        <v>3</v>
      </c>
      <c r="O12" s="5">
        <v>76.666666666666671</v>
      </c>
      <c r="P12" s="33">
        <v>3.591581316710369E-2</v>
      </c>
      <c r="Q12" s="5">
        <v>17.681678081746465</v>
      </c>
      <c r="R12" s="5">
        <v>1463.6797192428003</v>
      </c>
      <c r="S12" s="42"/>
      <c r="T12" s="23">
        <v>102009.2470018123</v>
      </c>
      <c r="U12" s="33">
        <v>7.8213984579997486</v>
      </c>
      <c r="V12" s="5">
        <v>2</v>
      </c>
      <c r="W12" s="5">
        <v>70</v>
      </c>
      <c r="X12" s="33">
        <v>38.730556296578683</v>
      </c>
      <c r="Y12" s="5">
        <v>37.041352271424984</v>
      </c>
      <c r="Z12" s="5">
        <v>2072.87065999276</v>
      </c>
      <c r="AA12" s="42"/>
    </row>
    <row r="13" spans="2:27" x14ac:dyDescent="0.2">
      <c r="B13" s="4">
        <v>10</v>
      </c>
      <c r="C13" s="4">
        <v>982</v>
      </c>
      <c r="D13" s="23">
        <v>82016.345880946363</v>
      </c>
      <c r="E13" s="33">
        <v>4.1250226670017582</v>
      </c>
      <c r="F13" s="5">
        <v>2</v>
      </c>
      <c r="G13" s="23">
        <v>90</v>
      </c>
      <c r="H13" s="33">
        <v>10.80607104796575</v>
      </c>
      <c r="I13" s="23">
        <v>33.183494197660266</v>
      </c>
      <c r="J13" s="5">
        <v>1938.0390448547407</v>
      </c>
      <c r="K13" s="31" t="e">
        <f t="shared" si="0"/>
        <v>#DIV/0!</v>
      </c>
      <c r="L13" s="23">
        <v>93464.404283285738</v>
      </c>
      <c r="M13" s="33">
        <v>12.76568408300227</v>
      </c>
      <c r="N13" s="5">
        <v>3</v>
      </c>
      <c r="O13" s="5">
        <v>76.666666666666671</v>
      </c>
      <c r="P13" s="33">
        <v>3.591581316710369E-2</v>
      </c>
      <c r="Q13" s="5">
        <v>17.681678081746465</v>
      </c>
      <c r="R13" s="5">
        <v>1463.6797192428003</v>
      </c>
      <c r="S13" s="42"/>
      <c r="T13" s="23">
        <v>102009.2470018123</v>
      </c>
      <c r="U13" s="33">
        <v>6.0827120410031057</v>
      </c>
      <c r="V13" s="5">
        <v>2</v>
      </c>
      <c r="W13" s="5">
        <v>70</v>
      </c>
      <c r="X13" s="33">
        <v>38.730556296578683</v>
      </c>
      <c r="Y13" s="5">
        <v>37.041352271424984</v>
      </c>
      <c r="Z13" s="5">
        <v>2072.87065999276</v>
      </c>
      <c r="AA13" s="42"/>
    </row>
    <row r="14" spans="2:27" x14ac:dyDescent="0.2">
      <c r="B14" s="46" t="s">
        <v>3</v>
      </c>
      <c r="C14" s="47"/>
      <c r="D14" s="9">
        <f>MIN(D4:D13)</f>
        <v>82016.345880946363</v>
      </c>
      <c r="E14" s="22">
        <f>INDEX(E4:E13, MATCH($D$14, D4:D13, 0))</f>
        <v>4.1850847919995431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10.80607104796575</v>
      </c>
      <c r="I14" s="22">
        <f>INDEX(I4:I13, MATCH($D$14, D4:D13, 0))</f>
        <v>33.183494197660266</v>
      </c>
      <c r="J14" s="22">
        <f>INDEX(J4:J13, MATCH($D$14, D4:D13, 0))</f>
        <v>1938.0390448547407</v>
      </c>
      <c r="K14" s="32" t="e">
        <f>(D14-$D$15)/$D$15</f>
        <v>#DIV/0!</v>
      </c>
      <c r="L14" s="16">
        <f>MIN(L4:L13)</f>
        <v>93464.404283285738</v>
      </c>
      <c r="M14" s="21">
        <f>INDEX(M4:M13, MATCH($L$14, L4:L13, 0))</f>
        <v>9.5194294159991841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3.591581316710369E-2</v>
      </c>
      <c r="Q14" s="21">
        <f>INDEX(Q4:Q13, MATCH($L$14, L4:L13, 0))</f>
        <v>17.681678081746465</v>
      </c>
      <c r="R14" s="21">
        <f>INDEX(R4:R13, MATCH($L$14, L4:L13, 0))</f>
        <v>1463.6797192428003</v>
      </c>
      <c r="S14" s="43" t="e">
        <f>(L14-$D$15)/$D$15</f>
        <v>#DIV/0!</v>
      </c>
      <c r="T14" s="38">
        <f>MIN(T4:T13)</f>
        <v>102009.2470018123</v>
      </c>
      <c r="U14" s="44">
        <f>INDEX(U4:U13, MATCH($T$14, T4:T13, 0))</f>
        <v>5.1791730829972948</v>
      </c>
      <c r="V14" s="38">
        <f>INDEX(V4:V13, MATCH($T$14, T4:T13, 0))</f>
        <v>2</v>
      </c>
      <c r="W14" s="38">
        <f>INDEX(W4:W13, MATCH($T$14, T4:T13, 0))</f>
        <v>70</v>
      </c>
      <c r="X14" s="44">
        <f>INDEX(X4:X13, MATCH($T$14, T4:T13, 0))</f>
        <v>38.730556296578683</v>
      </c>
      <c r="Y14" s="44">
        <f>INDEX(Y4:Y13, MATCH($T$14, T4:T13, 0))</f>
        <v>37.041352271424984</v>
      </c>
      <c r="Z14" s="44">
        <f>INDEX(Z4:Z13, MATCH($T$14, T4:T13, 0))</f>
        <v>2072.87065999276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0:C1048576">
    <cfRule type="duplicateValues" dxfId="69" priority="5"/>
    <cfRule type="duplicateValues" dxfId="68" priority="6"/>
  </conditionalFormatting>
  <conditionalFormatting sqref="C14">
    <cfRule type="duplicateValues" dxfId="67" priority="3"/>
    <cfRule type="duplicateValues" dxfId="66" priority="4"/>
  </conditionalFormatting>
  <conditionalFormatting sqref="C15:C29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FEA6-E5EF-7D4E-8C04-17AFBE64D7A0}">
  <dimension ref="B1:AA17"/>
  <sheetViews>
    <sheetView topLeftCell="L1" zoomScale="118" zoomScaleNormal="120" workbookViewId="0">
      <selection activeCell="L15" sqref="A15:XFD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2.7293155825865836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-0.28128638226401426</v>
      </c>
      <c r="T2" s="1" t="s">
        <v>19</v>
      </c>
      <c r="X2" s="1" t="e">
        <f>(X14-P14)/P14</f>
        <v>#DIV/0!</v>
      </c>
      <c r="Z2" s="1">
        <f>(Z14-R14)/R14</f>
        <v>0.72298606951227207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55</v>
      </c>
      <c r="D4" s="23">
        <v>67990.035746193927</v>
      </c>
      <c r="E4" s="33">
        <v>3.616430333997414</v>
      </c>
      <c r="F4" s="5">
        <v>2</v>
      </c>
      <c r="G4" s="23">
        <v>96.666666666666671</v>
      </c>
      <c r="H4" s="33">
        <v>4.9417655605470578</v>
      </c>
      <c r="I4" s="23">
        <v>40.428845223846622</v>
      </c>
      <c r="J4" s="5">
        <v>1602.3419813402365</v>
      </c>
      <c r="K4" s="31" t="e">
        <f>(D4-$D$15)/$D$15</f>
        <v>#DIV/0!</v>
      </c>
      <c r="L4" s="23">
        <v>91701.522704364106</v>
      </c>
      <c r="M4" s="33">
        <v>8.6429368749995774</v>
      </c>
      <c r="N4" s="5">
        <v>3</v>
      </c>
      <c r="O4" s="5">
        <v>73.333333333333329</v>
      </c>
      <c r="P4" s="33">
        <v>0</v>
      </c>
      <c r="Q4" s="5">
        <v>18.429403310437866</v>
      </c>
      <c r="R4" s="5">
        <v>1151.6250022592887</v>
      </c>
      <c r="S4" s="42"/>
      <c r="T4" s="23">
        <v>85297.817695101505</v>
      </c>
      <c r="U4" s="33">
        <v>4.3646001660017646</v>
      </c>
      <c r="V4" s="5">
        <v>2</v>
      </c>
      <c r="W4" s="5">
        <v>86.666666666666671</v>
      </c>
      <c r="X4" s="33">
        <v>26.513671806130048</v>
      </c>
      <c r="Y4" s="5">
        <v>58.134138989657757</v>
      </c>
      <c r="Z4" s="5">
        <v>1984.2338361947934</v>
      </c>
      <c r="AA4" s="42"/>
    </row>
    <row r="5" spans="2:27" x14ac:dyDescent="0.2">
      <c r="B5" s="4">
        <v>2</v>
      </c>
      <c r="C5" s="4">
        <v>240</v>
      </c>
      <c r="D5" s="23">
        <v>67990.035746193927</v>
      </c>
      <c r="E5" s="33">
        <v>3.7269391250010808</v>
      </c>
      <c r="F5" s="5">
        <v>2</v>
      </c>
      <c r="G5" s="23">
        <v>96.666666666666671</v>
      </c>
      <c r="H5" s="33">
        <v>4.9417655605470578</v>
      </c>
      <c r="I5" s="23">
        <v>40.428845223846622</v>
      </c>
      <c r="J5" s="5">
        <v>1602.3419813402365</v>
      </c>
      <c r="K5" s="31" t="e">
        <f>(D5-$D$15)/$D$15</f>
        <v>#DIV/0!</v>
      </c>
      <c r="L5" s="23">
        <v>100476.540807592</v>
      </c>
      <c r="M5" s="33">
        <v>7.6965322920004837</v>
      </c>
      <c r="N5" s="5">
        <v>3</v>
      </c>
      <c r="O5" s="5">
        <v>70</v>
      </c>
      <c r="P5" s="33">
        <v>3.6248445925337669</v>
      </c>
      <c r="Q5" s="5">
        <v>16.291198241695941</v>
      </c>
      <c r="R5" s="5">
        <v>1316.8232289595026</v>
      </c>
      <c r="S5" s="42"/>
      <c r="T5" s="23">
        <v>85297.817695101505</v>
      </c>
      <c r="U5" s="33">
        <v>4.2636108330007119</v>
      </c>
      <c r="V5" s="5">
        <v>2</v>
      </c>
      <c r="W5" s="5">
        <v>86.666666666666671</v>
      </c>
      <c r="X5" s="33">
        <v>26.513671806130048</v>
      </c>
      <c r="Y5" s="5">
        <v>58.134138989657757</v>
      </c>
      <c r="Z5" s="5">
        <v>1984.2338361947934</v>
      </c>
      <c r="AA5" s="42"/>
    </row>
    <row r="6" spans="2:27" x14ac:dyDescent="0.2">
      <c r="B6" s="4">
        <v>3</v>
      </c>
      <c r="C6" s="4">
        <v>376</v>
      </c>
      <c r="D6" s="23">
        <v>67990.035746193927</v>
      </c>
      <c r="E6" s="33">
        <v>3.861247417000413</v>
      </c>
      <c r="F6" s="5">
        <v>2</v>
      </c>
      <c r="G6" s="23">
        <v>96.666666666666671</v>
      </c>
      <c r="H6" s="33">
        <v>4.9417655605470578</v>
      </c>
      <c r="I6" s="23">
        <v>40.428845223846622</v>
      </c>
      <c r="J6" s="5">
        <v>1602.3419813402365</v>
      </c>
      <c r="K6" s="31" t="e">
        <f t="shared" ref="K6:K13" si="0">(D6-$D$15)/$D$15</f>
        <v>#DIV/0!</v>
      </c>
      <c r="L6" s="23">
        <v>91701.522704364106</v>
      </c>
      <c r="M6" s="33">
        <v>8.4779308340002899</v>
      </c>
      <c r="N6" s="5">
        <v>3</v>
      </c>
      <c r="O6" s="5">
        <v>73.333333333333329</v>
      </c>
      <c r="P6" s="33">
        <v>0</v>
      </c>
      <c r="Q6" s="5">
        <v>18.429403310437866</v>
      </c>
      <c r="R6" s="5">
        <v>1151.6250022592887</v>
      </c>
      <c r="S6" s="42"/>
      <c r="T6" s="23">
        <v>85297.817695101505</v>
      </c>
      <c r="U6" s="33">
        <v>4.2254281249988708</v>
      </c>
      <c r="V6" s="5">
        <v>2</v>
      </c>
      <c r="W6" s="5">
        <v>86.666666666666671</v>
      </c>
      <c r="X6" s="33">
        <v>26.513671806130048</v>
      </c>
      <c r="Y6" s="5">
        <v>58.134138989657757</v>
      </c>
      <c r="Z6" s="5">
        <v>1984.2338361947934</v>
      </c>
      <c r="AA6" s="42"/>
    </row>
    <row r="7" spans="2:27" x14ac:dyDescent="0.2">
      <c r="B7" s="4">
        <v>4</v>
      </c>
      <c r="C7" s="4">
        <v>409</v>
      </c>
      <c r="D7" s="23">
        <v>67990.035746193927</v>
      </c>
      <c r="E7" s="33">
        <v>3.7683925000019372</v>
      </c>
      <c r="F7" s="5">
        <v>2</v>
      </c>
      <c r="G7" s="23">
        <v>96.666666666666671</v>
      </c>
      <c r="H7" s="33">
        <v>4.9417655605470578</v>
      </c>
      <c r="I7" s="23">
        <v>40.428845223846622</v>
      </c>
      <c r="J7" s="5">
        <v>1602.3419813402365</v>
      </c>
      <c r="K7" s="31" t="e">
        <f t="shared" si="0"/>
        <v>#DIV/0!</v>
      </c>
      <c r="L7" s="23">
        <v>91701.522704364106</v>
      </c>
      <c r="M7" s="33">
        <v>8.3889113750010438</v>
      </c>
      <c r="N7" s="5">
        <v>3</v>
      </c>
      <c r="O7" s="5">
        <v>73.333333333333329</v>
      </c>
      <c r="P7" s="33">
        <v>0</v>
      </c>
      <c r="Q7" s="5">
        <v>18.429403310437866</v>
      </c>
      <c r="R7" s="5">
        <v>1151.6250022592887</v>
      </c>
      <c r="S7" s="42"/>
      <c r="T7" s="23">
        <v>85297.817695101505</v>
      </c>
      <c r="U7" s="33">
        <v>4.4629024590030886</v>
      </c>
      <c r="V7" s="5">
        <v>2</v>
      </c>
      <c r="W7" s="5">
        <v>86.666666666666671</v>
      </c>
      <c r="X7" s="33">
        <v>26.513671806130048</v>
      </c>
      <c r="Y7" s="5">
        <v>58.134138989657757</v>
      </c>
      <c r="Z7" s="5">
        <v>1984.2338361947934</v>
      </c>
      <c r="AA7" s="42"/>
    </row>
    <row r="8" spans="2:27" x14ac:dyDescent="0.2">
      <c r="B8" s="4">
        <v>5</v>
      </c>
      <c r="C8" s="4">
        <v>491</v>
      </c>
      <c r="D8" s="23">
        <v>67990.035746193927</v>
      </c>
      <c r="E8" s="33">
        <v>3.7314530410003499</v>
      </c>
      <c r="F8" s="5">
        <v>2</v>
      </c>
      <c r="G8" s="23">
        <v>96.666666666666671</v>
      </c>
      <c r="H8" s="33">
        <v>4.9417655605470578</v>
      </c>
      <c r="I8" s="23">
        <v>40.428845223846622</v>
      </c>
      <c r="J8" s="5">
        <v>1602.3419813402365</v>
      </c>
      <c r="K8" s="31" t="e">
        <f t="shared" si="0"/>
        <v>#DIV/0!</v>
      </c>
      <c r="L8" s="23">
        <v>91701.522704364106</v>
      </c>
      <c r="M8" s="33">
        <v>8.6485379580008157</v>
      </c>
      <c r="N8" s="5">
        <v>3</v>
      </c>
      <c r="O8" s="5">
        <v>73.333333333333329</v>
      </c>
      <c r="P8" s="33">
        <v>0</v>
      </c>
      <c r="Q8" s="5">
        <v>18.429403310437866</v>
      </c>
      <c r="R8" s="5">
        <v>1151.6250022592887</v>
      </c>
      <c r="S8" s="42"/>
      <c r="T8" s="23">
        <v>85297.817695101505</v>
      </c>
      <c r="U8" s="33">
        <v>4.3569123339984799</v>
      </c>
      <c r="V8" s="5">
        <v>2</v>
      </c>
      <c r="W8" s="5">
        <v>86.666666666666671</v>
      </c>
      <c r="X8" s="33">
        <v>26.513671806130048</v>
      </c>
      <c r="Y8" s="5">
        <v>58.134138989657757</v>
      </c>
      <c r="Z8" s="5">
        <v>1984.2338361947934</v>
      </c>
      <c r="AA8" s="42"/>
    </row>
    <row r="9" spans="2:27" x14ac:dyDescent="0.2">
      <c r="B9" s="4">
        <v>6</v>
      </c>
      <c r="C9" s="4">
        <v>525</v>
      </c>
      <c r="D9" s="23">
        <v>67990.035746193927</v>
      </c>
      <c r="E9" s="33">
        <v>3.9282309589980291</v>
      </c>
      <c r="F9" s="5">
        <v>2</v>
      </c>
      <c r="G9" s="23">
        <v>96.666666666666671</v>
      </c>
      <c r="H9" s="33">
        <v>4.9417655605470578</v>
      </c>
      <c r="I9" s="23">
        <v>40.428845223846622</v>
      </c>
      <c r="J9" s="5">
        <v>1602.3419813402365</v>
      </c>
      <c r="K9" s="31" t="e">
        <f t="shared" si="0"/>
        <v>#DIV/0!</v>
      </c>
      <c r="L9" s="23">
        <v>91701.522704364106</v>
      </c>
      <c r="M9" s="33">
        <v>8.3340593749999243</v>
      </c>
      <c r="N9" s="5">
        <v>3</v>
      </c>
      <c r="O9" s="5">
        <v>73.333333333333329</v>
      </c>
      <c r="P9" s="33">
        <v>0</v>
      </c>
      <c r="Q9" s="5">
        <v>18.429403310437866</v>
      </c>
      <c r="R9" s="5">
        <v>1151.6250022592887</v>
      </c>
      <c r="S9" s="42"/>
      <c r="T9" s="23">
        <v>85297.817695101505</v>
      </c>
      <c r="U9" s="33">
        <v>4.3667345419999037</v>
      </c>
      <c r="V9" s="5">
        <v>2</v>
      </c>
      <c r="W9" s="5">
        <v>86.666666666666671</v>
      </c>
      <c r="X9" s="33">
        <v>26.513671806130048</v>
      </c>
      <c r="Y9" s="5">
        <v>58.134138989657757</v>
      </c>
      <c r="Z9" s="5">
        <v>1984.2338361947934</v>
      </c>
      <c r="AA9" s="42"/>
    </row>
    <row r="10" spans="2:27" x14ac:dyDescent="0.2">
      <c r="B10" s="4">
        <v>7</v>
      </c>
      <c r="C10" s="4">
        <v>640</v>
      </c>
      <c r="D10" s="23">
        <v>91075.691651452405</v>
      </c>
      <c r="E10" s="33">
        <v>3.8533265840014792</v>
      </c>
      <c r="F10" s="5">
        <v>2</v>
      </c>
      <c r="G10" s="23">
        <v>73.333333333333329</v>
      </c>
      <c r="H10" s="33">
        <v>14.283794222109918</v>
      </c>
      <c r="I10" s="23">
        <v>24.763325326152632</v>
      </c>
      <c r="J10" s="5">
        <v>1535.4353463062407</v>
      </c>
      <c r="K10" s="31" t="e">
        <f t="shared" si="0"/>
        <v>#DIV/0!</v>
      </c>
      <c r="L10" s="23">
        <v>101007.29363286091</v>
      </c>
      <c r="M10" s="33">
        <v>8.7074523749979562</v>
      </c>
      <c r="N10" s="5">
        <v>3</v>
      </c>
      <c r="O10" s="5">
        <v>70</v>
      </c>
      <c r="P10" s="33">
        <v>3.6248445925337669</v>
      </c>
      <c r="Q10" s="5">
        <v>16.450351681154235</v>
      </c>
      <c r="R10" s="5">
        <v>1341.3561292509282</v>
      </c>
      <c r="S10" s="42"/>
      <c r="T10" s="23">
        <v>103259.41932921761</v>
      </c>
      <c r="U10" s="33">
        <v>3.900510291998216</v>
      </c>
      <c r="V10" s="5">
        <v>2</v>
      </c>
      <c r="W10" s="5">
        <v>63.333333333333343</v>
      </c>
      <c r="X10" s="33">
        <v>10.071287173813813</v>
      </c>
      <c r="Y10" s="5">
        <v>34.570048093376464</v>
      </c>
      <c r="Z10" s="5">
        <v>1687.5934517784933</v>
      </c>
      <c r="AA10" s="42"/>
    </row>
    <row r="11" spans="2:27" x14ac:dyDescent="0.2">
      <c r="B11" s="4">
        <v>8</v>
      </c>
      <c r="C11" s="4">
        <v>661</v>
      </c>
      <c r="D11" s="23">
        <v>91075.691651452405</v>
      </c>
      <c r="E11" s="33">
        <v>3.9898839160014181</v>
      </c>
      <c r="F11" s="5">
        <v>2</v>
      </c>
      <c r="G11" s="23">
        <v>73.333333333333329</v>
      </c>
      <c r="H11" s="33">
        <v>14.283794222109918</v>
      </c>
      <c r="I11" s="23">
        <v>24.763325326152632</v>
      </c>
      <c r="J11" s="5">
        <v>1535.4353463062407</v>
      </c>
      <c r="K11" s="31" t="e">
        <f t="shared" si="0"/>
        <v>#DIV/0!</v>
      </c>
      <c r="L11" s="23">
        <v>100286.3089300108</v>
      </c>
      <c r="M11" s="33">
        <v>8.7350134169973899</v>
      </c>
      <c r="N11" s="5">
        <v>3</v>
      </c>
      <c r="O11" s="5">
        <v>70</v>
      </c>
      <c r="P11" s="33">
        <v>3.6248445925337669</v>
      </c>
      <c r="Q11" s="5">
        <v>16.274925695516917</v>
      </c>
      <c r="R11" s="5">
        <v>1310.0537847510964</v>
      </c>
      <c r="S11" s="42"/>
      <c r="T11" s="23">
        <v>103259.41932921761</v>
      </c>
      <c r="U11" s="33">
        <v>4.2806471660005627</v>
      </c>
      <c r="V11" s="5">
        <v>2</v>
      </c>
      <c r="W11" s="5">
        <v>63.333333333333343</v>
      </c>
      <c r="X11" s="33">
        <v>10.071287173813813</v>
      </c>
      <c r="Y11" s="5">
        <v>34.570048093376464</v>
      </c>
      <c r="Z11" s="5">
        <v>1687.5934517784933</v>
      </c>
      <c r="AA11" s="42"/>
    </row>
    <row r="12" spans="2:27" x14ac:dyDescent="0.2">
      <c r="B12" s="4">
        <v>9</v>
      </c>
      <c r="C12" s="4">
        <v>806</v>
      </c>
      <c r="D12" s="23">
        <v>67990.035746193927</v>
      </c>
      <c r="E12" s="33">
        <v>3.8014769170040381</v>
      </c>
      <c r="F12" s="5">
        <v>2</v>
      </c>
      <c r="G12" s="23">
        <v>96.666666666666671</v>
      </c>
      <c r="H12" s="33">
        <v>4.9417655605470578</v>
      </c>
      <c r="I12" s="23">
        <v>40.428845223846622</v>
      </c>
      <c r="J12" s="5">
        <v>1602.3419813402365</v>
      </c>
      <c r="K12" s="31" t="e">
        <f t="shared" si="0"/>
        <v>#DIV/0!</v>
      </c>
      <c r="L12" s="23">
        <v>91701.522704364106</v>
      </c>
      <c r="M12" s="33">
        <v>9.4798472500006028</v>
      </c>
      <c r="N12" s="5">
        <v>3</v>
      </c>
      <c r="O12" s="5">
        <v>73.333333333333329</v>
      </c>
      <c r="P12" s="33">
        <v>0</v>
      </c>
      <c r="Q12" s="5">
        <v>18.429403310437866</v>
      </c>
      <c r="R12" s="5">
        <v>1151.6250022592887</v>
      </c>
      <c r="S12" s="42"/>
      <c r="T12" s="23">
        <v>85297.817695101505</v>
      </c>
      <c r="U12" s="33">
        <v>4.2290817079992848</v>
      </c>
      <c r="V12" s="5">
        <v>2</v>
      </c>
      <c r="W12" s="5">
        <v>86.666666666666671</v>
      </c>
      <c r="X12" s="33">
        <v>26.513671806130048</v>
      </c>
      <c r="Y12" s="5">
        <v>58.134138989657757</v>
      </c>
      <c r="Z12" s="5">
        <v>1984.2338361947934</v>
      </c>
      <c r="AA12" s="42"/>
    </row>
    <row r="13" spans="2:27" x14ac:dyDescent="0.2">
      <c r="B13" s="4">
        <v>10</v>
      </c>
      <c r="C13" s="4">
        <v>832</v>
      </c>
      <c r="D13" s="23">
        <v>91075.691651452405</v>
      </c>
      <c r="E13" s="33">
        <v>4.1622633330043746</v>
      </c>
      <c r="F13" s="5">
        <v>2</v>
      </c>
      <c r="G13" s="23">
        <v>73.333333333333329</v>
      </c>
      <c r="H13" s="33">
        <v>14.283794222109918</v>
      </c>
      <c r="I13" s="23">
        <v>24.763325326152632</v>
      </c>
      <c r="J13" s="5">
        <v>1535.4353463062407</v>
      </c>
      <c r="K13" s="31" t="e">
        <f t="shared" si="0"/>
        <v>#DIV/0!</v>
      </c>
      <c r="L13" s="23">
        <v>100186.56871931189</v>
      </c>
      <c r="M13" s="33">
        <v>8.2243143339983362</v>
      </c>
      <c r="N13" s="5">
        <v>3</v>
      </c>
      <c r="O13" s="5">
        <v>70</v>
      </c>
      <c r="P13" s="33">
        <v>3.6248445925337669</v>
      </c>
      <c r="Q13" s="5">
        <v>16.275719478257354</v>
      </c>
      <c r="R13" s="5">
        <v>1303.1063570599199</v>
      </c>
      <c r="S13" s="42"/>
      <c r="T13" s="23">
        <v>103259.41932921761</v>
      </c>
      <c r="U13" s="33">
        <v>3.90145895799651</v>
      </c>
      <c r="V13" s="5">
        <v>2</v>
      </c>
      <c r="W13" s="5">
        <v>63.333333333333343</v>
      </c>
      <c r="X13" s="33">
        <v>10.071287173813813</v>
      </c>
      <c r="Y13" s="5">
        <v>34.570048093376464</v>
      </c>
      <c r="Z13" s="5">
        <v>1687.5934517784933</v>
      </c>
      <c r="AA13" s="42"/>
    </row>
    <row r="14" spans="2:27" x14ac:dyDescent="0.2">
      <c r="B14" s="46" t="s">
        <v>3</v>
      </c>
      <c r="C14" s="47"/>
      <c r="D14" s="9">
        <f>MIN(D4:D13)</f>
        <v>67990.035746193927</v>
      </c>
      <c r="E14" s="22">
        <f>INDEX(E4:E13, MATCH($D$14, D4:D13, 0))</f>
        <v>3.616430333997414</v>
      </c>
      <c r="F14" s="9">
        <f>INDEX(F4:F13, MATCH($D$14, D4:D13, 0))</f>
        <v>2</v>
      </c>
      <c r="G14" s="9">
        <f>INDEX(G4:G13, MATCH($D$14, D4:D13, 0))</f>
        <v>96.666666666666671</v>
      </c>
      <c r="H14" s="22">
        <f>INDEX(H4:H13, MATCH($D$14, D4:D13, 0))</f>
        <v>4.9417655605470578</v>
      </c>
      <c r="I14" s="22">
        <f>INDEX(I4:I13, MATCH($D$14, D4:D13, 0))</f>
        <v>40.428845223846622</v>
      </c>
      <c r="J14" s="22">
        <f>INDEX(J4:J13, MATCH($D$14, D4:D13, 0))</f>
        <v>1602.3419813402365</v>
      </c>
      <c r="K14" s="32" t="e">
        <f>(D14-$D$15)/$D$15</f>
        <v>#DIV/0!</v>
      </c>
      <c r="L14" s="16">
        <f>MIN(L4:L13)</f>
        <v>91701.522704364106</v>
      </c>
      <c r="M14" s="21">
        <f>INDEX(M4:M13, MATCH($L$14, L4:L13, 0))</f>
        <v>8.6429368749995774</v>
      </c>
      <c r="N14" s="16">
        <f>INDEX(N4:N13, MATCH($L$14, L4:L13, 0))</f>
        <v>3</v>
      </c>
      <c r="O14" s="16">
        <f>INDEX(O4:O13, MATCH($L$14, L4:L13, 0))</f>
        <v>73.333333333333329</v>
      </c>
      <c r="P14" s="21">
        <f>INDEX(P4:P13, MATCH($L$14, L4:L13, 0))</f>
        <v>0</v>
      </c>
      <c r="Q14" s="21">
        <f>INDEX(Q4:Q13, MATCH($L$14, L4:L13, 0))</f>
        <v>18.429403310437866</v>
      </c>
      <c r="R14" s="21">
        <f>INDEX(R4:R13, MATCH($L$14, L4:L13, 0))</f>
        <v>1151.6250022592887</v>
      </c>
      <c r="S14" s="43" t="e">
        <f>(L14-$D$15)/$D$15</f>
        <v>#DIV/0!</v>
      </c>
      <c r="T14" s="38">
        <f>MIN(T4:T13)</f>
        <v>85297.817695101505</v>
      </c>
      <c r="U14" s="44">
        <f>INDEX(U4:U13, MATCH($T$14, T4:T13, 0))</f>
        <v>4.3646001660017646</v>
      </c>
      <c r="V14" s="38">
        <f>INDEX(V4:V13, MATCH($T$14, T4:T13, 0))</f>
        <v>2</v>
      </c>
      <c r="W14" s="38">
        <f>INDEX(W4:W13, MATCH($T$14, T4:T13, 0))</f>
        <v>86.666666666666671</v>
      </c>
      <c r="X14" s="44">
        <f>INDEX(X4:X13, MATCH($T$14, T4:T13, 0))</f>
        <v>26.513671806130048</v>
      </c>
      <c r="Y14" s="44">
        <f>INDEX(Y4:Y13, MATCH($T$14, T4:T13, 0))</f>
        <v>58.134138989657757</v>
      </c>
      <c r="Z14" s="44">
        <f>INDEX(Z4:Z13, MATCH($T$14, T4:T13, 0))</f>
        <v>1984.2338361947934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0:C1048576">
    <cfRule type="duplicateValues" dxfId="65" priority="5"/>
    <cfRule type="duplicateValues" dxfId="64" priority="6"/>
  </conditionalFormatting>
  <conditionalFormatting sqref="C14">
    <cfRule type="duplicateValues" dxfId="63" priority="3"/>
    <cfRule type="duplicateValues" dxfId="62" priority="4"/>
  </conditionalFormatting>
  <conditionalFormatting sqref="C15:C29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08D5-7996-3746-9491-C1944C49EB66}">
  <dimension ref="B1:AA17"/>
  <sheetViews>
    <sheetView topLeftCell="L1" zoomScale="118" zoomScaleNormal="120" workbookViewId="0">
      <selection activeCell="L15" sqref="A15:XFD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-0.34564854743116985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-0.27935649869740681</v>
      </c>
      <c r="T2" s="1" t="s">
        <v>19</v>
      </c>
      <c r="X2" s="1" t="e">
        <f>(X14-P14)/P14</f>
        <v>#DIV/0!</v>
      </c>
      <c r="Z2" s="1">
        <f>(Z14-R14)/R14</f>
        <v>0.56445287186397353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71</v>
      </c>
      <c r="D4" s="23">
        <v>82027.707563121658</v>
      </c>
      <c r="E4" s="33">
        <v>5.0370460839985753</v>
      </c>
      <c r="F4" s="5">
        <v>3</v>
      </c>
      <c r="G4" s="23">
        <v>96.666666666666671</v>
      </c>
      <c r="H4" s="33">
        <v>22.65623644188496</v>
      </c>
      <c r="I4" s="23">
        <v>28.566151113291962</v>
      </c>
      <c r="J4" s="5">
        <v>1864.4128751485491</v>
      </c>
      <c r="K4" s="31" t="e">
        <f>(D4-$D$15)/$D$15</f>
        <v>#DIV/0!</v>
      </c>
      <c r="L4" s="23">
        <v>107666.5719471733</v>
      </c>
      <c r="M4" s="33">
        <v>9.0113931669984595</v>
      </c>
      <c r="N4" s="5">
        <v>4</v>
      </c>
      <c r="O4" s="5">
        <v>70</v>
      </c>
      <c r="P4" s="33">
        <v>0</v>
      </c>
      <c r="Q4" s="5">
        <v>14.825141225490288</v>
      </c>
      <c r="R4" s="5">
        <v>1343.577022220685</v>
      </c>
      <c r="S4" s="42"/>
      <c r="T4" s="23">
        <v>97846.985411306669</v>
      </c>
      <c r="U4" s="33">
        <v>5.7539397909968102</v>
      </c>
      <c r="V4" s="5">
        <v>3</v>
      </c>
      <c r="W4" s="5">
        <v>83.333333333333329</v>
      </c>
      <c r="X4" s="33">
        <v>81.582054171113171</v>
      </c>
      <c r="Y4" s="5">
        <v>37.717590926548375</v>
      </c>
      <c r="Z4" s="5">
        <v>2101.9629309835964</v>
      </c>
      <c r="AA4" s="42"/>
    </row>
    <row r="5" spans="2:27" x14ac:dyDescent="0.2">
      <c r="B5" s="4">
        <v>2</v>
      </c>
      <c r="C5" s="4">
        <v>173</v>
      </c>
      <c r="D5" s="23">
        <v>82027.707563121658</v>
      </c>
      <c r="E5" s="33">
        <v>6.6899617920062164</v>
      </c>
      <c r="F5" s="5">
        <v>3</v>
      </c>
      <c r="G5" s="23">
        <v>96.666666666666671</v>
      </c>
      <c r="H5" s="33">
        <v>22.65623644188496</v>
      </c>
      <c r="I5" s="23">
        <v>28.566151113291962</v>
      </c>
      <c r="J5" s="5">
        <v>1864.4128751485491</v>
      </c>
      <c r="K5" s="31" t="e">
        <f>(D5-$D$15)/$D$15</f>
        <v>#DIV/0!</v>
      </c>
      <c r="L5" s="23">
        <v>107666.5719471733</v>
      </c>
      <c r="M5" s="33">
        <v>8.9106004999994184</v>
      </c>
      <c r="N5" s="5">
        <v>4</v>
      </c>
      <c r="O5" s="5">
        <v>70</v>
      </c>
      <c r="P5" s="33">
        <v>0</v>
      </c>
      <c r="Q5" s="5">
        <v>14.825141225490288</v>
      </c>
      <c r="R5" s="5">
        <v>1343.577022220685</v>
      </c>
      <c r="S5" s="42"/>
      <c r="T5" s="23">
        <v>97846.985411306669</v>
      </c>
      <c r="U5" s="33">
        <v>5.3459867500023392</v>
      </c>
      <c r="V5" s="5">
        <v>3</v>
      </c>
      <c r="W5" s="5">
        <v>83.333333333333329</v>
      </c>
      <c r="X5" s="33">
        <v>81.582054171113171</v>
      </c>
      <c r="Y5" s="5">
        <v>37.717590926548375</v>
      </c>
      <c r="Z5" s="5">
        <v>2101.9629309835964</v>
      </c>
      <c r="AA5" s="42"/>
    </row>
    <row r="6" spans="2:27" x14ac:dyDescent="0.2">
      <c r="B6" s="4">
        <v>3</v>
      </c>
      <c r="C6" s="4">
        <v>275</v>
      </c>
      <c r="D6" s="23">
        <v>82027.707563121658</v>
      </c>
      <c r="E6" s="33">
        <v>5.0210122920034337</v>
      </c>
      <c r="F6" s="5">
        <v>3</v>
      </c>
      <c r="G6" s="23">
        <v>96.666666666666671</v>
      </c>
      <c r="H6" s="33">
        <v>22.65623644188496</v>
      </c>
      <c r="I6" s="23">
        <v>28.566151113291962</v>
      </c>
      <c r="J6" s="5">
        <v>1864.4128751485491</v>
      </c>
      <c r="K6" s="31" t="e">
        <f t="shared" ref="K6:K13" si="0">(D6-$D$15)/$D$15</f>
        <v>#DIV/0!</v>
      </c>
      <c r="L6" s="23">
        <v>107666.5719471733</v>
      </c>
      <c r="M6" s="33">
        <v>9.2194130409989157</v>
      </c>
      <c r="N6" s="5">
        <v>4</v>
      </c>
      <c r="O6" s="5">
        <v>70</v>
      </c>
      <c r="P6" s="33">
        <v>0</v>
      </c>
      <c r="Q6" s="5">
        <v>14.825141225490288</v>
      </c>
      <c r="R6" s="5">
        <v>1343.577022220685</v>
      </c>
      <c r="S6" s="42"/>
      <c r="T6" s="23">
        <v>97846.985411306669</v>
      </c>
      <c r="U6" s="33">
        <v>5.3578542920004111</v>
      </c>
      <c r="V6" s="5">
        <v>3</v>
      </c>
      <c r="W6" s="5">
        <v>83.333333333333329</v>
      </c>
      <c r="X6" s="33">
        <v>81.582054171113171</v>
      </c>
      <c r="Y6" s="5">
        <v>37.717590926548375</v>
      </c>
      <c r="Z6" s="5">
        <v>2101.9629309835964</v>
      </c>
      <c r="AA6" s="42"/>
    </row>
    <row r="7" spans="2:27" x14ac:dyDescent="0.2">
      <c r="B7" s="4">
        <v>4</v>
      </c>
      <c r="C7" s="4">
        <v>328</v>
      </c>
      <c r="D7" s="23">
        <v>82027.707563121658</v>
      </c>
      <c r="E7" s="33">
        <v>6.2388600419944851</v>
      </c>
      <c r="F7" s="5">
        <v>3</v>
      </c>
      <c r="G7" s="23">
        <v>96.666666666666671</v>
      </c>
      <c r="H7" s="33">
        <v>22.65623644188496</v>
      </c>
      <c r="I7" s="23">
        <v>28.566151113291962</v>
      </c>
      <c r="J7" s="5">
        <v>1864.4128751485491</v>
      </c>
      <c r="K7" s="31" t="e">
        <f t="shared" si="0"/>
        <v>#DIV/0!</v>
      </c>
      <c r="L7" s="23">
        <v>107666.5719471733</v>
      </c>
      <c r="M7" s="33">
        <v>9.1074796249995416</v>
      </c>
      <c r="N7" s="5">
        <v>4</v>
      </c>
      <c r="O7" s="5">
        <v>70</v>
      </c>
      <c r="P7" s="33">
        <v>0</v>
      </c>
      <c r="Q7" s="5">
        <v>14.825141225490288</v>
      </c>
      <c r="R7" s="5">
        <v>1343.577022220685</v>
      </c>
      <c r="S7" s="42"/>
      <c r="T7" s="23">
        <v>97846.985411306669</v>
      </c>
      <c r="U7" s="33">
        <v>5.3233182079966346</v>
      </c>
      <c r="V7" s="5">
        <v>3</v>
      </c>
      <c r="W7" s="5">
        <v>83.333333333333329</v>
      </c>
      <c r="X7" s="33">
        <v>81.582054171113171</v>
      </c>
      <c r="Y7" s="5">
        <v>37.717590926548375</v>
      </c>
      <c r="Z7" s="5">
        <v>2101.9629309835964</v>
      </c>
      <c r="AA7" s="42"/>
    </row>
    <row r="8" spans="2:27" x14ac:dyDescent="0.2">
      <c r="B8" s="4">
        <v>5</v>
      </c>
      <c r="C8" s="4">
        <v>455</v>
      </c>
      <c r="D8" s="23">
        <v>82027.707563121658</v>
      </c>
      <c r="E8" s="33">
        <v>4.5519381249978323</v>
      </c>
      <c r="F8" s="5">
        <v>3</v>
      </c>
      <c r="G8" s="23">
        <v>96.666666666666671</v>
      </c>
      <c r="H8" s="33">
        <v>22.65623644188496</v>
      </c>
      <c r="I8" s="23">
        <v>28.566151113291962</v>
      </c>
      <c r="J8" s="5">
        <v>1864.4128751485491</v>
      </c>
      <c r="K8" s="31" t="e">
        <f t="shared" si="0"/>
        <v>#DIV/0!</v>
      </c>
      <c r="L8" s="23">
        <v>107666.5719471733</v>
      </c>
      <c r="M8" s="33">
        <v>9.1762129999988247</v>
      </c>
      <c r="N8" s="5">
        <v>4</v>
      </c>
      <c r="O8" s="5">
        <v>70</v>
      </c>
      <c r="P8" s="33">
        <v>0</v>
      </c>
      <c r="Q8" s="5">
        <v>14.825141225490288</v>
      </c>
      <c r="R8" s="5">
        <v>1343.577022220685</v>
      </c>
      <c r="S8" s="42"/>
      <c r="T8" s="23">
        <v>97846.985411306669</v>
      </c>
      <c r="U8" s="33">
        <v>5.2353964169997198</v>
      </c>
      <c r="V8" s="5">
        <v>3</v>
      </c>
      <c r="W8" s="5">
        <v>83.333333333333329</v>
      </c>
      <c r="X8" s="33">
        <v>81.582054171113171</v>
      </c>
      <c r="Y8" s="5">
        <v>37.717590926548375</v>
      </c>
      <c r="Z8" s="5">
        <v>2101.9629309835964</v>
      </c>
      <c r="AA8" s="42"/>
    </row>
    <row r="9" spans="2:27" x14ac:dyDescent="0.2">
      <c r="B9" s="4">
        <v>6</v>
      </c>
      <c r="C9" s="4">
        <v>509</v>
      </c>
      <c r="D9" s="23">
        <v>82027.707563121658</v>
      </c>
      <c r="E9" s="33">
        <v>5.1668924590048846</v>
      </c>
      <c r="F9" s="5">
        <v>3</v>
      </c>
      <c r="G9" s="23">
        <v>96.666666666666671</v>
      </c>
      <c r="H9" s="33">
        <v>22.65623644188496</v>
      </c>
      <c r="I9" s="23">
        <v>28.566151113291962</v>
      </c>
      <c r="J9" s="5">
        <v>1864.4128751485491</v>
      </c>
      <c r="K9" s="31" t="e">
        <f t="shared" si="0"/>
        <v>#DIV/0!</v>
      </c>
      <c r="L9" s="23">
        <v>107666.5719471733</v>
      </c>
      <c r="M9" s="33">
        <v>9.0885483749989362</v>
      </c>
      <c r="N9" s="5">
        <v>4</v>
      </c>
      <c r="O9" s="5">
        <v>70</v>
      </c>
      <c r="P9" s="33">
        <v>0</v>
      </c>
      <c r="Q9" s="5">
        <v>14.825141225490288</v>
      </c>
      <c r="R9" s="5">
        <v>1343.577022220685</v>
      </c>
      <c r="S9" s="42"/>
      <c r="T9" s="23">
        <v>97846.985411306669</v>
      </c>
      <c r="U9" s="33">
        <v>5.7691723329990046</v>
      </c>
      <c r="V9" s="5">
        <v>3</v>
      </c>
      <c r="W9" s="5">
        <v>83.333333333333329</v>
      </c>
      <c r="X9" s="33">
        <v>81.582054171113171</v>
      </c>
      <c r="Y9" s="5">
        <v>37.717590926548375</v>
      </c>
      <c r="Z9" s="5">
        <v>2101.9629309835964</v>
      </c>
      <c r="AA9" s="42"/>
    </row>
    <row r="10" spans="2:27" x14ac:dyDescent="0.2">
      <c r="B10" s="4">
        <v>7</v>
      </c>
      <c r="C10" s="4">
        <v>514</v>
      </c>
      <c r="D10" s="23">
        <v>82027.707563121658</v>
      </c>
      <c r="E10" s="33">
        <v>4.5988175829988904</v>
      </c>
      <c r="F10" s="5">
        <v>3</v>
      </c>
      <c r="G10" s="23">
        <v>96.666666666666671</v>
      </c>
      <c r="H10" s="33">
        <v>22.65623644188496</v>
      </c>
      <c r="I10" s="23">
        <v>28.566151113291962</v>
      </c>
      <c r="J10" s="5">
        <v>1864.4128751485491</v>
      </c>
      <c r="K10" s="31" t="e">
        <f t="shared" si="0"/>
        <v>#DIV/0!</v>
      </c>
      <c r="L10" s="23">
        <v>107666.5719471733</v>
      </c>
      <c r="M10" s="33">
        <v>10.41374091699981</v>
      </c>
      <c r="N10" s="5">
        <v>4</v>
      </c>
      <c r="O10" s="5">
        <v>70</v>
      </c>
      <c r="P10" s="33">
        <v>0</v>
      </c>
      <c r="Q10" s="5">
        <v>14.825141225490288</v>
      </c>
      <c r="R10" s="5">
        <v>1343.577022220685</v>
      </c>
      <c r="S10" s="42"/>
      <c r="T10" s="23">
        <v>97846.985411306669</v>
      </c>
      <c r="U10" s="33">
        <v>5.2567409580005906</v>
      </c>
      <c r="V10" s="5">
        <v>3</v>
      </c>
      <c r="W10" s="5">
        <v>83.333333333333329</v>
      </c>
      <c r="X10" s="33">
        <v>81.582054171113171</v>
      </c>
      <c r="Y10" s="5">
        <v>37.717590926548375</v>
      </c>
      <c r="Z10" s="5">
        <v>2101.9629309835964</v>
      </c>
      <c r="AA10" s="42"/>
    </row>
    <row r="11" spans="2:27" x14ac:dyDescent="0.2">
      <c r="B11" s="4">
        <v>8</v>
      </c>
      <c r="C11" s="4">
        <v>730</v>
      </c>
      <c r="D11" s="23">
        <v>82027.707563121658</v>
      </c>
      <c r="E11" s="33">
        <v>5.72872350000398</v>
      </c>
      <c r="F11" s="5">
        <v>3</v>
      </c>
      <c r="G11" s="23">
        <v>96.666666666666671</v>
      </c>
      <c r="H11" s="33">
        <v>22.65623644188496</v>
      </c>
      <c r="I11" s="23">
        <v>28.566151113291962</v>
      </c>
      <c r="J11" s="5">
        <v>1864.4128751485491</v>
      </c>
      <c r="K11" s="31" t="e">
        <f t="shared" si="0"/>
        <v>#DIV/0!</v>
      </c>
      <c r="L11" s="23">
        <v>107666.5719471733</v>
      </c>
      <c r="M11" s="33">
        <v>9.227883457999269</v>
      </c>
      <c r="N11" s="5">
        <v>4</v>
      </c>
      <c r="O11" s="5">
        <v>70</v>
      </c>
      <c r="P11" s="33">
        <v>0</v>
      </c>
      <c r="Q11" s="5">
        <v>14.825141225490288</v>
      </c>
      <c r="R11" s="5">
        <v>1343.577022220685</v>
      </c>
      <c r="S11" s="42"/>
      <c r="T11" s="23">
        <v>97846.985411306669</v>
      </c>
      <c r="U11" s="33">
        <v>5.3098582080019696</v>
      </c>
      <c r="V11" s="5">
        <v>3</v>
      </c>
      <c r="W11" s="5">
        <v>83.333333333333329</v>
      </c>
      <c r="X11" s="33">
        <v>81.582054171113171</v>
      </c>
      <c r="Y11" s="5">
        <v>37.717590926548375</v>
      </c>
      <c r="Z11" s="5">
        <v>2101.9629309835964</v>
      </c>
      <c r="AA11" s="42"/>
    </row>
    <row r="12" spans="2:27" x14ac:dyDescent="0.2">
      <c r="B12" s="4">
        <v>9</v>
      </c>
      <c r="C12" s="4">
        <v>804</v>
      </c>
      <c r="D12" s="23">
        <v>82027.707563121658</v>
      </c>
      <c r="E12" s="33">
        <v>5.3475545420005801</v>
      </c>
      <c r="F12" s="5">
        <v>3</v>
      </c>
      <c r="G12" s="23">
        <v>96.666666666666671</v>
      </c>
      <c r="H12" s="33">
        <v>22.65623644188496</v>
      </c>
      <c r="I12" s="23">
        <v>28.566151113291962</v>
      </c>
      <c r="J12" s="5">
        <v>1864.4128751485491</v>
      </c>
      <c r="K12" s="31" t="e">
        <f t="shared" si="0"/>
        <v>#DIV/0!</v>
      </c>
      <c r="L12" s="23">
        <v>107666.5719471733</v>
      </c>
      <c r="M12" s="33">
        <v>8.7909244160000526</v>
      </c>
      <c r="N12" s="5">
        <v>4</v>
      </c>
      <c r="O12" s="5">
        <v>70</v>
      </c>
      <c r="P12" s="33">
        <v>0</v>
      </c>
      <c r="Q12" s="5">
        <v>14.825141225490288</v>
      </c>
      <c r="R12" s="5">
        <v>1343.577022220685</v>
      </c>
      <c r="S12" s="42"/>
      <c r="T12" s="23">
        <v>97846.985411306669</v>
      </c>
      <c r="U12" s="33">
        <v>5.3213029170001391</v>
      </c>
      <c r="V12" s="5">
        <v>3</v>
      </c>
      <c r="W12" s="5">
        <v>83.333333333333329</v>
      </c>
      <c r="X12" s="33">
        <v>81.582054171113171</v>
      </c>
      <c r="Y12" s="5">
        <v>37.717590926548375</v>
      </c>
      <c r="Z12" s="5">
        <v>2101.9629309835964</v>
      </c>
      <c r="AA12" s="42"/>
    </row>
    <row r="13" spans="2:27" x14ac:dyDescent="0.2">
      <c r="B13" s="4">
        <v>10</v>
      </c>
      <c r="C13" s="4">
        <v>816</v>
      </c>
      <c r="D13" s="23">
        <v>82027.707563121658</v>
      </c>
      <c r="E13" s="33">
        <v>4.9793981250040824</v>
      </c>
      <c r="F13" s="5">
        <v>3</v>
      </c>
      <c r="G13" s="23">
        <v>96.666666666666671</v>
      </c>
      <c r="H13" s="33">
        <v>22.65623644188496</v>
      </c>
      <c r="I13" s="23">
        <v>28.566151113291962</v>
      </c>
      <c r="J13" s="5">
        <v>1864.4128751485491</v>
      </c>
      <c r="K13" s="31" t="e">
        <f t="shared" si="0"/>
        <v>#DIV/0!</v>
      </c>
      <c r="L13" s="23">
        <v>107666.5719471733</v>
      </c>
      <c r="M13" s="33">
        <v>8.669148666998808</v>
      </c>
      <c r="N13" s="5">
        <v>4</v>
      </c>
      <c r="O13" s="5">
        <v>70</v>
      </c>
      <c r="P13" s="33">
        <v>0</v>
      </c>
      <c r="Q13" s="5">
        <v>14.825141225490288</v>
      </c>
      <c r="R13" s="5">
        <v>1343.577022220685</v>
      </c>
      <c r="S13" s="42"/>
      <c r="T13" s="23">
        <v>97846.985411306669</v>
      </c>
      <c r="U13" s="33">
        <v>5.813467166000919</v>
      </c>
      <c r="V13" s="5">
        <v>3</v>
      </c>
      <c r="W13" s="5">
        <v>83.333333333333329</v>
      </c>
      <c r="X13" s="33">
        <v>81.582054171113171</v>
      </c>
      <c r="Y13" s="5">
        <v>37.717590926548375</v>
      </c>
      <c r="Z13" s="5">
        <v>2101.9629309835964</v>
      </c>
      <c r="AA13" s="42"/>
    </row>
    <row r="14" spans="2:27" x14ac:dyDescent="0.2">
      <c r="B14" s="46" t="s">
        <v>3</v>
      </c>
      <c r="C14" s="47"/>
      <c r="D14" s="9">
        <f>MIN(D4:D13)</f>
        <v>82027.707563121658</v>
      </c>
      <c r="E14" s="22">
        <f>INDEX(E4:E13, MATCH($D$14, D4:D13, 0))</f>
        <v>5.0370460839985753</v>
      </c>
      <c r="F14" s="9">
        <f>INDEX(F4:F13, MATCH($D$14, D4:D13, 0))</f>
        <v>3</v>
      </c>
      <c r="G14" s="9">
        <f>INDEX(G4:G13, MATCH($D$14, D4:D13, 0))</f>
        <v>96.666666666666671</v>
      </c>
      <c r="H14" s="22">
        <f>INDEX(H4:H13, MATCH($D$14, D4:D13, 0))</f>
        <v>22.65623644188496</v>
      </c>
      <c r="I14" s="22">
        <f>INDEX(I4:I13, MATCH($D$14, D4:D13, 0))</f>
        <v>28.566151113291962</v>
      </c>
      <c r="J14" s="22">
        <f>INDEX(J4:J13, MATCH($D$14, D4:D13, 0))</f>
        <v>1864.4128751485491</v>
      </c>
      <c r="K14" s="32" t="e">
        <f>(D14-$D$15)/$D$15</f>
        <v>#DIV/0!</v>
      </c>
      <c r="L14" s="16">
        <f>MIN(L4:L13)</f>
        <v>107666.5719471733</v>
      </c>
      <c r="M14" s="21">
        <f>INDEX(M4:M13, MATCH($L$14, L4:L13, 0))</f>
        <v>9.0113931669984595</v>
      </c>
      <c r="N14" s="16">
        <f>INDEX(N4:N13, MATCH($L$14, L4:L13, 0))</f>
        <v>4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14.825141225490288</v>
      </c>
      <c r="R14" s="21">
        <f>INDEX(R4:R13, MATCH($L$14, L4:L13, 0))</f>
        <v>1343.577022220685</v>
      </c>
      <c r="S14" s="43" t="e">
        <f>(L14-$D$15)/$D$15</f>
        <v>#DIV/0!</v>
      </c>
      <c r="T14" s="38">
        <f>MIN(T4:T13)</f>
        <v>97846.985411306669</v>
      </c>
      <c r="U14" s="44">
        <f>INDEX(U4:U13, MATCH($T$14, T4:T13, 0))</f>
        <v>5.7539397909968102</v>
      </c>
      <c r="V14" s="38">
        <f>INDEX(V4:V13, MATCH($T$14, T4:T13, 0))</f>
        <v>3</v>
      </c>
      <c r="W14" s="38">
        <f>INDEX(W4:W13, MATCH($T$14, T4:T13, 0))</f>
        <v>83.333333333333329</v>
      </c>
      <c r="X14" s="44">
        <f>INDEX(X4:X13, MATCH($T$14, T4:T13, 0))</f>
        <v>81.582054171113171</v>
      </c>
      <c r="Y14" s="44">
        <f>INDEX(Y4:Y13, MATCH($T$14, T4:T13, 0))</f>
        <v>37.717590926548375</v>
      </c>
      <c r="Z14" s="44">
        <f>INDEX(Z4:Z13, MATCH($T$14, T4:T13, 0))</f>
        <v>2101.9629309835964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0:C1048576">
    <cfRule type="duplicateValues" dxfId="61" priority="5"/>
    <cfRule type="duplicateValues" dxfId="60" priority="6"/>
  </conditionalFormatting>
  <conditionalFormatting sqref="C14">
    <cfRule type="duplicateValues" dxfId="59" priority="3"/>
    <cfRule type="duplicateValues" dxfId="58" priority="4"/>
  </conditionalFormatting>
  <conditionalFormatting sqref="C15:C29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B003-001E-934D-83C3-AAF89FEF327E}">
  <dimension ref="B1:AA17"/>
  <sheetViews>
    <sheetView topLeftCell="L1" zoomScale="118" zoomScaleNormal="120" workbookViewId="0">
      <selection activeCell="L15" sqref="A15:XFD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2.0124817996369484</v>
      </c>
      <c r="J2" s="28" t="e">
        <f>(S14-J14)/J14</f>
        <v>#DIV/0!</v>
      </c>
      <c r="K2" s="28"/>
      <c r="L2" s="1" t="s">
        <v>18</v>
      </c>
      <c r="P2" s="1">
        <f>(P14-H14)/H14</f>
        <v>-0.96303652599761402</v>
      </c>
      <c r="R2" s="1">
        <f>(R14-J14)/J14</f>
        <v>-0.16784388730658512</v>
      </c>
      <c r="T2" s="1" t="s">
        <v>19</v>
      </c>
      <c r="X2" s="1">
        <f>(X14-P14)/P14</f>
        <v>-1</v>
      </c>
      <c r="Z2" s="1">
        <f>(Z14-R14)/R14</f>
        <v>0.38640212245039801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20</v>
      </c>
      <c r="D4" s="23">
        <v>66176.330204665122</v>
      </c>
      <c r="E4" s="33">
        <v>3.8281920420049569</v>
      </c>
      <c r="F4" s="5">
        <v>2</v>
      </c>
      <c r="G4" s="23">
        <v>90</v>
      </c>
      <c r="H4" s="33">
        <v>6.8644436676500442</v>
      </c>
      <c r="I4" s="23">
        <v>30.609111687926273</v>
      </c>
      <c r="J4" s="5">
        <v>1307.5593664185517</v>
      </c>
      <c r="K4" s="31" t="e">
        <f>(D4-$D$15)/$D$15</f>
        <v>#DIV/0!</v>
      </c>
      <c r="L4" s="23">
        <v>85069.264584558667</v>
      </c>
      <c r="M4" s="33">
        <v>5.6121600420010509</v>
      </c>
      <c r="N4" s="5">
        <v>3</v>
      </c>
      <c r="O4" s="5">
        <v>76.666666666666671</v>
      </c>
      <c r="P4" s="33">
        <v>0.25373368505002558</v>
      </c>
      <c r="Q4" s="5">
        <v>20.679011613428859</v>
      </c>
      <c r="R4" s="5">
        <v>1088.0935194747265</v>
      </c>
      <c r="S4" s="42"/>
      <c r="T4" s="23">
        <v>75924.241844787713</v>
      </c>
      <c r="U4" s="33">
        <v>4.9029541250019966</v>
      </c>
      <c r="V4" s="5">
        <v>3</v>
      </c>
      <c r="W4" s="5">
        <v>90</v>
      </c>
      <c r="X4" s="33">
        <v>0</v>
      </c>
      <c r="Y4" s="5">
        <v>38.703937090311264</v>
      </c>
      <c r="Z4" s="5">
        <v>1508.5351648242843</v>
      </c>
      <c r="AA4" s="42"/>
    </row>
    <row r="5" spans="2:27" x14ac:dyDescent="0.2">
      <c r="B5" s="4">
        <v>2</v>
      </c>
      <c r="C5" s="4">
        <v>115</v>
      </c>
      <c r="D5" s="23">
        <v>66176.330204665122</v>
      </c>
      <c r="E5" s="33">
        <v>3.8668997909990139</v>
      </c>
      <c r="F5" s="5">
        <v>2</v>
      </c>
      <c r="G5" s="23">
        <v>90</v>
      </c>
      <c r="H5" s="33">
        <v>6.8644436676500442</v>
      </c>
      <c r="I5" s="23">
        <v>30.609111687926273</v>
      </c>
      <c r="J5" s="5">
        <v>1307.5593664185517</v>
      </c>
      <c r="K5" s="31" t="e">
        <f>(D5-$D$15)/$D$15</f>
        <v>#DIV/0!</v>
      </c>
      <c r="L5" s="23">
        <v>85069.264584558667</v>
      </c>
      <c r="M5" s="33">
        <v>5.6825122499976706</v>
      </c>
      <c r="N5" s="5">
        <v>3</v>
      </c>
      <c r="O5" s="5">
        <v>76.666666666666671</v>
      </c>
      <c r="P5" s="33">
        <v>0.25373368505002558</v>
      </c>
      <c r="Q5" s="5">
        <v>20.679011613428859</v>
      </c>
      <c r="R5" s="5">
        <v>1088.0935194747265</v>
      </c>
      <c r="S5" s="42"/>
      <c r="T5" s="23">
        <v>75924.241844787713</v>
      </c>
      <c r="U5" s="33">
        <v>4.9176722500014884</v>
      </c>
      <c r="V5" s="5">
        <v>3</v>
      </c>
      <c r="W5" s="5">
        <v>90</v>
      </c>
      <c r="X5" s="33">
        <v>0</v>
      </c>
      <c r="Y5" s="5">
        <v>38.703937090311264</v>
      </c>
      <c r="Z5" s="5">
        <v>1508.5351648242843</v>
      </c>
      <c r="AA5" s="42"/>
    </row>
    <row r="6" spans="2:27" x14ac:dyDescent="0.2">
      <c r="B6" s="4">
        <v>3</v>
      </c>
      <c r="C6" s="4">
        <v>363</v>
      </c>
      <c r="D6" s="23">
        <v>66176.330204665122</v>
      </c>
      <c r="E6" s="33">
        <v>3.641606584002147</v>
      </c>
      <c r="F6" s="5">
        <v>2</v>
      </c>
      <c r="G6" s="23">
        <v>90</v>
      </c>
      <c r="H6" s="33">
        <v>6.8644436676500442</v>
      </c>
      <c r="I6" s="23">
        <v>30.609111687926273</v>
      </c>
      <c r="J6" s="5">
        <v>1307.5593664185517</v>
      </c>
      <c r="K6" s="31" t="e">
        <f t="shared" ref="K6:K13" si="0">(D6-$D$15)/$D$15</f>
        <v>#DIV/0!</v>
      </c>
      <c r="L6" s="23">
        <v>85069.264584558667</v>
      </c>
      <c r="M6" s="33">
        <v>5.6938571659993613</v>
      </c>
      <c r="N6" s="5">
        <v>3</v>
      </c>
      <c r="O6" s="5">
        <v>76.666666666666671</v>
      </c>
      <c r="P6" s="33">
        <v>0.25373368505002558</v>
      </c>
      <c r="Q6" s="5">
        <v>20.679011613428859</v>
      </c>
      <c r="R6" s="5">
        <v>1088.0935194747265</v>
      </c>
      <c r="S6" s="42"/>
      <c r="T6" s="23">
        <v>75924.241844787713</v>
      </c>
      <c r="U6" s="33">
        <v>4.8925465829997847</v>
      </c>
      <c r="V6" s="5">
        <v>3</v>
      </c>
      <c r="W6" s="5">
        <v>90</v>
      </c>
      <c r="X6" s="33">
        <v>0</v>
      </c>
      <c r="Y6" s="5">
        <v>38.703937090311264</v>
      </c>
      <c r="Z6" s="5">
        <v>1508.5351648242843</v>
      </c>
      <c r="AA6" s="42"/>
    </row>
    <row r="7" spans="2:27" x14ac:dyDescent="0.2">
      <c r="B7" s="4">
        <v>4</v>
      </c>
      <c r="C7" s="4">
        <v>372</v>
      </c>
      <c r="D7" s="23">
        <v>66176.330204665122</v>
      </c>
      <c r="E7" s="33">
        <v>3.7891008750011679</v>
      </c>
      <c r="F7" s="5">
        <v>2</v>
      </c>
      <c r="G7" s="23">
        <v>90</v>
      </c>
      <c r="H7" s="33">
        <v>6.8644436676500442</v>
      </c>
      <c r="I7" s="23">
        <v>30.609111687926273</v>
      </c>
      <c r="J7" s="5">
        <v>1307.5593664185517</v>
      </c>
      <c r="K7" s="31" t="e">
        <f t="shared" si="0"/>
        <v>#DIV/0!</v>
      </c>
      <c r="L7" s="23">
        <v>85069.264584558667</v>
      </c>
      <c r="M7" s="33">
        <v>5.7299303749969113</v>
      </c>
      <c r="N7" s="5">
        <v>3</v>
      </c>
      <c r="O7" s="5">
        <v>76.666666666666671</v>
      </c>
      <c r="P7" s="33">
        <v>0.25373368505002558</v>
      </c>
      <c r="Q7" s="5">
        <v>20.679011613428859</v>
      </c>
      <c r="R7" s="5">
        <v>1088.0935194747265</v>
      </c>
      <c r="S7" s="42"/>
      <c r="T7" s="23">
        <v>75924.241844787713</v>
      </c>
      <c r="U7" s="33">
        <v>4.9073836249990563</v>
      </c>
      <c r="V7" s="5">
        <v>3</v>
      </c>
      <c r="W7" s="5">
        <v>90</v>
      </c>
      <c r="X7" s="33">
        <v>0</v>
      </c>
      <c r="Y7" s="5">
        <v>38.703937090311264</v>
      </c>
      <c r="Z7" s="5">
        <v>1508.5351648242843</v>
      </c>
      <c r="AA7" s="42"/>
    </row>
    <row r="8" spans="2:27" x14ac:dyDescent="0.2">
      <c r="B8" s="4">
        <v>5</v>
      </c>
      <c r="C8" s="4">
        <v>597</v>
      </c>
      <c r="D8" s="23">
        <v>66176.330204665122</v>
      </c>
      <c r="E8" s="33">
        <v>3.8369198330037761</v>
      </c>
      <c r="F8" s="5">
        <v>2</v>
      </c>
      <c r="G8" s="23">
        <v>90</v>
      </c>
      <c r="H8" s="33">
        <v>6.8644436676500442</v>
      </c>
      <c r="I8" s="23">
        <v>30.609111687926273</v>
      </c>
      <c r="J8" s="5">
        <v>1307.5593664185517</v>
      </c>
      <c r="K8" s="31" t="e">
        <f t="shared" si="0"/>
        <v>#DIV/0!</v>
      </c>
      <c r="L8" s="23">
        <v>96438.387043872091</v>
      </c>
      <c r="M8" s="33">
        <v>6.5418320829994627</v>
      </c>
      <c r="N8" s="5">
        <v>4</v>
      </c>
      <c r="O8" s="5">
        <v>83.333333333333329</v>
      </c>
      <c r="P8" s="33">
        <v>55.279065612268262</v>
      </c>
      <c r="Q8" s="5">
        <v>19.998582266489809</v>
      </c>
      <c r="R8" s="5">
        <v>1461.6094252901644</v>
      </c>
      <c r="S8" s="42"/>
      <c r="T8" s="23">
        <v>75924.241844787713</v>
      </c>
      <c r="U8" s="33">
        <v>4.9817423340027744</v>
      </c>
      <c r="V8" s="5">
        <v>3</v>
      </c>
      <c r="W8" s="5">
        <v>90</v>
      </c>
      <c r="X8" s="33">
        <v>0</v>
      </c>
      <c r="Y8" s="5">
        <v>38.703937090311264</v>
      </c>
      <c r="Z8" s="5">
        <v>1508.5351648242843</v>
      </c>
      <c r="AA8" s="42"/>
    </row>
    <row r="9" spans="2:27" x14ac:dyDescent="0.2">
      <c r="B9" s="4">
        <v>6</v>
      </c>
      <c r="C9" s="4">
        <v>603</v>
      </c>
      <c r="D9" s="23">
        <v>66176.330204665122</v>
      </c>
      <c r="E9" s="33">
        <v>3.665005125003518</v>
      </c>
      <c r="F9" s="5">
        <v>2</v>
      </c>
      <c r="G9" s="23">
        <v>90</v>
      </c>
      <c r="H9" s="33">
        <v>6.8644436676500442</v>
      </c>
      <c r="I9" s="23">
        <v>30.609111687926273</v>
      </c>
      <c r="J9" s="5">
        <v>1307.5593664185517</v>
      </c>
      <c r="K9" s="31" t="e">
        <f t="shared" si="0"/>
        <v>#DIV/0!</v>
      </c>
      <c r="L9" s="23">
        <v>85069.264584558667</v>
      </c>
      <c r="M9" s="33">
        <v>5.9014731249990291</v>
      </c>
      <c r="N9" s="5">
        <v>3</v>
      </c>
      <c r="O9" s="5">
        <v>76.666666666666671</v>
      </c>
      <c r="P9" s="33">
        <v>0.25373368505002558</v>
      </c>
      <c r="Q9" s="5">
        <v>20.679011613428859</v>
      </c>
      <c r="R9" s="5">
        <v>1088.0935194747265</v>
      </c>
      <c r="S9" s="42"/>
      <c r="T9" s="23">
        <v>75924.241844787713</v>
      </c>
      <c r="U9" s="33">
        <v>4.952401208000083</v>
      </c>
      <c r="V9" s="5">
        <v>3</v>
      </c>
      <c r="W9" s="5">
        <v>90</v>
      </c>
      <c r="X9" s="33">
        <v>0</v>
      </c>
      <c r="Y9" s="5">
        <v>38.703937090311264</v>
      </c>
      <c r="Z9" s="5">
        <v>1508.5351648242843</v>
      </c>
      <c r="AA9" s="42"/>
    </row>
    <row r="10" spans="2:27" x14ac:dyDescent="0.2">
      <c r="B10" s="4">
        <v>7</v>
      </c>
      <c r="C10" s="4">
        <v>807</v>
      </c>
      <c r="D10" s="23">
        <v>66176.330204665122</v>
      </c>
      <c r="E10" s="33">
        <v>3.8183471250013099</v>
      </c>
      <c r="F10" s="5">
        <v>2</v>
      </c>
      <c r="G10" s="23">
        <v>90</v>
      </c>
      <c r="H10" s="33">
        <v>6.8644436676500442</v>
      </c>
      <c r="I10" s="23">
        <v>30.609111687926273</v>
      </c>
      <c r="J10" s="5">
        <v>1307.5593664185517</v>
      </c>
      <c r="K10" s="31" t="e">
        <f t="shared" si="0"/>
        <v>#DIV/0!</v>
      </c>
      <c r="L10" s="23">
        <v>92755.764206030028</v>
      </c>
      <c r="M10" s="33">
        <v>7.1793209159986873</v>
      </c>
      <c r="N10" s="5">
        <v>3</v>
      </c>
      <c r="O10" s="5">
        <v>73.333333333333329</v>
      </c>
      <c r="P10" s="33">
        <v>20.531362656834435</v>
      </c>
      <c r="Q10" s="5">
        <v>20.606082755365261</v>
      </c>
      <c r="R10" s="5">
        <v>1261.575044734715</v>
      </c>
      <c r="S10" s="42"/>
      <c r="T10" s="23">
        <v>75924.241844787713</v>
      </c>
      <c r="U10" s="33">
        <v>5.4281230829983542</v>
      </c>
      <c r="V10" s="5">
        <v>3</v>
      </c>
      <c r="W10" s="5">
        <v>90</v>
      </c>
      <c r="X10" s="33">
        <v>0</v>
      </c>
      <c r="Y10" s="5">
        <v>38.703937090311264</v>
      </c>
      <c r="Z10" s="5">
        <v>1508.5351648242843</v>
      </c>
      <c r="AA10" s="42"/>
    </row>
    <row r="11" spans="2:27" x14ac:dyDescent="0.2">
      <c r="B11" s="4">
        <v>8</v>
      </c>
      <c r="C11" s="4">
        <v>810</v>
      </c>
      <c r="D11" s="23">
        <v>66176.330204665122</v>
      </c>
      <c r="E11" s="33">
        <v>3.8483672500005919</v>
      </c>
      <c r="F11" s="5">
        <v>2</v>
      </c>
      <c r="G11" s="23">
        <v>90</v>
      </c>
      <c r="H11" s="33">
        <v>6.8644436676500442</v>
      </c>
      <c r="I11" s="23">
        <v>30.609111687926273</v>
      </c>
      <c r="J11" s="5">
        <v>1307.5593664185517</v>
      </c>
      <c r="K11" s="31" t="e">
        <f t="shared" si="0"/>
        <v>#DIV/0!</v>
      </c>
      <c r="L11" s="23">
        <v>85069.264584558667</v>
      </c>
      <c r="M11" s="33">
        <v>5.8127528330005589</v>
      </c>
      <c r="N11" s="5">
        <v>3</v>
      </c>
      <c r="O11" s="5">
        <v>76.666666666666671</v>
      </c>
      <c r="P11" s="33">
        <v>0.25373368505002558</v>
      </c>
      <c r="Q11" s="5">
        <v>20.679011613428859</v>
      </c>
      <c r="R11" s="5">
        <v>1088.0935194747265</v>
      </c>
      <c r="S11" s="42"/>
      <c r="T11" s="23">
        <v>75924.241844787713</v>
      </c>
      <c r="U11" s="33">
        <v>4.8768403750000289</v>
      </c>
      <c r="V11" s="5">
        <v>3</v>
      </c>
      <c r="W11" s="5">
        <v>90</v>
      </c>
      <c r="X11" s="33">
        <v>0</v>
      </c>
      <c r="Y11" s="5">
        <v>38.703937090311264</v>
      </c>
      <c r="Z11" s="5">
        <v>1508.5351648242843</v>
      </c>
      <c r="AA11" s="42"/>
    </row>
    <row r="12" spans="2:27" x14ac:dyDescent="0.2">
      <c r="B12" s="4">
        <v>9</v>
      </c>
      <c r="C12" s="4">
        <v>895</v>
      </c>
      <c r="D12" s="23">
        <v>66176.330204665122</v>
      </c>
      <c r="E12" s="33">
        <v>3.7117723329938599</v>
      </c>
      <c r="F12" s="5">
        <v>2</v>
      </c>
      <c r="G12" s="23">
        <v>90</v>
      </c>
      <c r="H12" s="33">
        <v>6.8644436676500442</v>
      </c>
      <c r="I12" s="23">
        <v>30.609111687926273</v>
      </c>
      <c r="J12" s="5">
        <v>1307.5593664185517</v>
      </c>
      <c r="K12" s="31" t="e">
        <f t="shared" si="0"/>
        <v>#DIV/0!</v>
      </c>
      <c r="L12" s="23">
        <v>96438.387043872091</v>
      </c>
      <c r="M12" s="33">
        <v>6.2686626249997062</v>
      </c>
      <c r="N12" s="5">
        <v>4</v>
      </c>
      <c r="O12" s="5">
        <v>83.333333333333329</v>
      </c>
      <c r="P12" s="33">
        <v>55.279065612268262</v>
      </c>
      <c r="Q12" s="5">
        <v>19.998582266489809</v>
      </c>
      <c r="R12" s="5">
        <v>1461.6094252901644</v>
      </c>
      <c r="S12" s="42"/>
      <c r="T12" s="23">
        <v>75924.241844787713</v>
      </c>
      <c r="U12" s="33">
        <v>4.9127063330015517</v>
      </c>
      <c r="V12" s="5">
        <v>3</v>
      </c>
      <c r="W12" s="5">
        <v>90</v>
      </c>
      <c r="X12" s="33">
        <v>0</v>
      </c>
      <c r="Y12" s="5">
        <v>38.703937090311264</v>
      </c>
      <c r="Z12" s="5">
        <v>1508.5351648242843</v>
      </c>
      <c r="AA12" s="42"/>
    </row>
    <row r="13" spans="2:27" x14ac:dyDescent="0.2">
      <c r="B13" s="4">
        <v>10</v>
      </c>
      <c r="C13" s="4">
        <v>921</v>
      </c>
      <c r="D13" s="23">
        <v>66176.330204665122</v>
      </c>
      <c r="E13" s="33">
        <v>3.6506385419997969</v>
      </c>
      <c r="F13" s="5">
        <v>2</v>
      </c>
      <c r="G13" s="23">
        <v>90</v>
      </c>
      <c r="H13" s="33">
        <v>6.8644436676500442</v>
      </c>
      <c r="I13" s="23">
        <v>30.609111687926273</v>
      </c>
      <c r="J13" s="5">
        <v>1307.5593664185517</v>
      </c>
      <c r="K13" s="31" t="e">
        <f t="shared" si="0"/>
        <v>#DIV/0!</v>
      </c>
      <c r="L13" s="23">
        <v>96438.387043872091</v>
      </c>
      <c r="M13" s="33">
        <v>5.9357399170003191</v>
      </c>
      <c r="N13" s="5">
        <v>4</v>
      </c>
      <c r="O13" s="5">
        <v>83.333333333333329</v>
      </c>
      <c r="P13" s="33">
        <v>55.279065612268262</v>
      </c>
      <c r="Q13" s="5">
        <v>19.998582266489809</v>
      </c>
      <c r="R13" s="5">
        <v>1461.6094252901644</v>
      </c>
      <c r="S13" s="42"/>
      <c r="T13" s="23">
        <v>75924.241844787713</v>
      </c>
      <c r="U13" s="33">
        <v>4.9216749999977756</v>
      </c>
      <c r="V13" s="5">
        <v>3</v>
      </c>
      <c r="W13" s="5">
        <v>90</v>
      </c>
      <c r="X13" s="33">
        <v>0</v>
      </c>
      <c r="Y13" s="5">
        <v>38.703937090311264</v>
      </c>
      <c r="Z13" s="5">
        <v>1508.5351648242843</v>
      </c>
      <c r="AA13" s="42"/>
    </row>
    <row r="14" spans="2:27" x14ac:dyDescent="0.2">
      <c r="B14" s="46" t="s">
        <v>3</v>
      </c>
      <c r="C14" s="47"/>
      <c r="D14" s="9">
        <f>MIN(D4:D13)</f>
        <v>66176.330204665122</v>
      </c>
      <c r="E14" s="22">
        <f>INDEX(E4:E13, MATCH($D$14, D4:D13, 0))</f>
        <v>3.8281920420049569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6.8644436676500442</v>
      </c>
      <c r="I14" s="22">
        <f>INDEX(I4:I13, MATCH($D$14, D4:D13, 0))</f>
        <v>30.609111687926273</v>
      </c>
      <c r="J14" s="22">
        <f>INDEX(J4:J13, MATCH($D$14, D4:D13, 0))</f>
        <v>1307.5593664185517</v>
      </c>
      <c r="K14" s="32" t="e">
        <f>(D14-$D$15)/$D$15</f>
        <v>#DIV/0!</v>
      </c>
      <c r="L14" s="16">
        <f>MIN(L4:L13)</f>
        <v>85069.264584558667</v>
      </c>
      <c r="M14" s="21">
        <f>INDEX(M4:M13, MATCH($L$14, L4:L13, 0))</f>
        <v>5.6121600420010509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0.25373368505002558</v>
      </c>
      <c r="Q14" s="21">
        <f>INDEX(Q4:Q13, MATCH($L$14, L4:L13, 0))</f>
        <v>20.679011613428859</v>
      </c>
      <c r="R14" s="21">
        <f>INDEX(R4:R13, MATCH($L$14, L4:L13, 0))</f>
        <v>1088.0935194747265</v>
      </c>
      <c r="S14" s="43" t="e">
        <f>(L14-$D$15)/$D$15</f>
        <v>#DIV/0!</v>
      </c>
      <c r="T14" s="38">
        <f>MIN(T4:T13)</f>
        <v>75924.241844787713</v>
      </c>
      <c r="U14" s="44">
        <f>INDEX(U4:U13, MATCH($T$14, T4:T13, 0))</f>
        <v>4.9029541250019966</v>
      </c>
      <c r="V14" s="38">
        <f>INDEX(V4:V13, MATCH($T$14, T4:T13, 0))</f>
        <v>3</v>
      </c>
      <c r="W14" s="38">
        <f>INDEX(W4:W13, MATCH($T$14, T4:T13, 0))</f>
        <v>90</v>
      </c>
      <c r="X14" s="44">
        <f>INDEX(X4:X13, MATCH($T$14, T4:T13, 0))</f>
        <v>0</v>
      </c>
      <c r="Y14" s="44">
        <f>INDEX(Y4:Y13, MATCH($T$14, T4:T13, 0))</f>
        <v>38.703937090311264</v>
      </c>
      <c r="Z14" s="44">
        <f>INDEX(Z4:Z13, MATCH($T$14, T4:T13, 0))</f>
        <v>1508.5351648242843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0:C1048576">
    <cfRule type="duplicateValues" dxfId="57" priority="5"/>
    <cfRule type="duplicateValues" dxfId="56" priority="6"/>
  </conditionalFormatting>
  <conditionalFormatting sqref="C14">
    <cfRule type="duplicateValues" dxfId="55" priority="3"/>
    <cfRule type="duplicateValues" dxfId="54" priority="4"/>
  </conditionalFormatting>
  <conditionalFormatting sqref="C15:C29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73D5-C36A-8A48-A8E6-323D5B7E9D43}">
  <dimension ref="B1:AA17"/>
  <sheetViews>
    <sheetView topLeftCell="L1" zoomScale="118" zoomScaleNormal="120" workbookViewId="0">
      <selection activeCell="L15" sqref="A15:XFD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-0.66298454724659117</v>
      </c>
      <c r="J2" s="28" t="e">
        <f>(S14-J14)/J14</f>
        <v>#DIV/0!</v>
      </c>
      <c r="K2" s="28"/>
      <c r="L2" s="1" t="s">
        <v>18</v>
      </c>
      <c r="P2" s="1">
        <f>(P14-H14)/H14</f>
        <v>-0.67234352594498181</v>
      </c>
      <c r="R2" s="1">
        <f>(R14-J14)/J14</f>
        <v>-0.18780417290247922</v>
      </c>
      <c r="T2" s="1" t="s">
        <v>19</v>
      </c>
      <c r="X2" s="1">
        <f>(X14-P14)/P14</f>
        <v>2.2931638617208483</v>
      </c>
      <c r="Z2" s="1">
        <f>(Z14-R14)/R14</f>
        <v>0.25750307828078073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30</v>
      </c>
      <c r="D4" s="23">
        <v>77840.006300560955</v>
      </c>
      <c r="E4" s="33">
        <v>3.5836661249995809</v>
      </c>
      <c r="F4" s="5">
        <v>2</v>
      </c>
      <c r="G4" s="23">
        <v>96.666666666666671</v>
      </c>
      <c r="H4" s="33">
        <v>53.215832651093542</v>
      </c>
      <c r="I4" s="23">
        <v>35.471837421837421</v>
      </c>
      <c r="J4" s="5">
        <v>1855.8823560708863</v>
      </c>
      <c r="K4" s="31" t="e">
        <f>(D4-$D$15)/$D$15</f>
        <v>#DIV/0!</v>
      </c>
      <c r="L4" s="23">
        <v>94491.868686276735</v>
      </c>
      <c r="M4" s="33">
        <v>9.0751496669981861</v>
      </c>
      <c r="N4" s="5">
        <v>3</v>
      </c>
      <c r="O4" s="5">
        <v>80</v>
      </c>
      <c r="P4" s="33">
        <v>17.436512090359219</v>
      </c>
      <c r="Q4" s="5">
        <v>17.93455793455793</v>
      </c>
      <c r="R4" s="5">
        <v>1507.3399051846891</v>
      </c>
      <c r="S4" s="42"/>
      <c r="T4" s="23">
        <v>93043.441032278861</v>
      </c>
      <c r="U4" s="33">
        <v>4.1901565000007386</v>
      </c>
      <c r="V4" s="5">
        <v>2</v>
      </c>
      <c r="W4" s="5">
        <v>80</v>
      </c>
      <c r="X4" s="33">
        <v>57.421291490429631</v>
      </c>
      <c r="Y4" s="5">
        <v>37.157116468878144</v>
      </c>
      <c r="Z4" s="5">
        <v>1895.4845707852066</v>
      </c>
      <c r="AA4" s="42"/>
    </row>
    <row r="5" spans="2:27" x14ac:dyDescent="0.2">
      <c r="B5" s="4">
        <v>2</v>
      </c>
      <c r="C5" s="4">
        <v>177</v>
      </c>
      <c r="D5" s="23">
        <v>90205.530689393927</v>
      </c>
      <c r="E5" s="33">
        <v>7.0311982499988517</v>
      </c>
      <c r="F5" s="5">
        <v>3</v>
      </c>
      <c r="G5" s="23">
        <v>86.666666666666671</v>
      </c>
      <c r="H5" s="33">
        <v>26.893868474509311</v>
      </c>
      <c r="I5" s="23">
        <v>20.322766850544625</v>
      </c>
      <c r="J5" s="5">
        <v>1609.2658249936696</v>
      </c>
      <c r="K5" s="31" t="e">
        <f>(D5-$D$15)/$D$15</f>
        <v>#DIV/0!</v>
      </c>
      <c r="L5" s="23">
        <v>95134.895627415724</v>
      </c>
      <c r="M5" s="33">
        <v>7.4657655829978466</v>
      </c>
      <c r="N5" s="5">
        <v>3</v>
      </c>
      <c r="O5" s="5">
        <v>73.333333333333329</v>
      </c>
      <c r="P5" s="33">
        <v>0</v>
      </c>
      <c r="Q5" s="5">
        <v>16.393570915793138</v>
      </c>
      <c r="R5" s="5">
        <v>1267.0894633758469</v>
      </c>
      <c r="S5" s="42"/>
      <c r="T5" s="23">
        <v>102764.697642368</v>
      </c>
      <c r="U5" s="33">
        <v>7.4717841660021804</v>
      </c>
      <c r="V5" s="5">
        <v>3</v>
      </c>
      <c r="W5" s="5">
        <v>80</v>
      </c>
      <c r="X5" s="33">
        <v>67.41021875951985</v>
      </c>
      <c r="Y5" s="5">
        <v>29.585349284220374</v>
      </c>
      <c r="Z5" s="5">
        <v>1931.0164649381866</v>
      </c>
      <c r="AA5" s="42"/>
    </row>
    <row r="6" spans="2:27" x14ac:dyDescent="0.2">
      <c r="B6" s="4">
        <v>3</v>
      </c>
      <c r="C6" s="4">
        <v>209</v>
      </c>
      <c r="D6" s="23">
        <v>77840.006300560955</v>
      </c>
      <c r="E6" s="33">
        <v>3.6079469169999361</v>
      </c>
      <c r="F6" s="5">
        <v>2</v>
      </c>
      <c r="G6" s="23">
        <v>96.666666666666671</v>
      </c>
      <c r="H6" s="33">
        <v>53.215832651093542</v>
      </c>
      <c r="I6" s="23">
        <v>35.471837421837421</v>
      </c>
      <c r="J6" s="5">
        <v>1855.8823560708863</v>
      </c>
      <c r="K6" s="31" t="e">
        <f t="shared" ref="K6:K13" si="0">(D6-$D$15)/$D$15</f>
        <v>#DIV/0!</v>
      </c>
      <c r="L6" s="23">
        <v>95134.895627415724</v>
      </c>
      <c r="M6" s="33">
        <v>7.439564459000394</v>
      </c>
      <c r="N6" s="5">
        <v>3</v>
      </c>
      <c r="O6" s="5">
        <v>73.333333333333329</v>
      </c>
      <c r="P6" s="33">
        <v>0</v>
      </c>
      <c r="Q6" s="5">
        <v>16.393570915793138</v>
      </c>
      <c r="R6" s="5">
        <v>1267.0894633758469</v>
      </c>
      <c r="S6" s="42"/>
      <c r="T6" s="23">
        <v>93043.441032278861</v>
      </c>
      <c r="U6" s="33">
        <v>4.1657344580016797</v>
      </c>
      <c r="V6" s="5">
        <v>2</v>
      </c>
      <c r="W6" s="5">
        <v>80</v>
      </c>
      <c r="X6" s="33">
        <v>57.421291490429631</v>
      </c>
      <c r="Y6" s="5">
        <v>37.157116468878144</v>
      </c>
      <c r="Z6" s="5">
        <v>1895.4845707852066</v>
      </c>
      <c r="AA6" s="42"/>
    </row>
    <row r="7" spans="2:27" x14ac:dyDescent="0.2">
      <c r="B7" s="4">
        <v>4</v>
      </c>
      <c r="C7" s="4">
        <v>303</v>
      </c>
      <c r="D7" s="23">
        <v>77840.006300560955</v>
      </c>
      <c r="E7" s="33">
        <v>3.5692293749962118</v>
      </c>
      <c r="F7" s="5">
        <v>2</v>
      </c>
      <c r="G7" s="23">
        <v>96.666666666666671</v>
      </c>
      <c r="H7" s="33">
        <v>53.215832651093542</v>
      </c>
      <c r="I7" s="23">
        <v>35.471837421837421</v>
      </c>
      <c r="J7" s="5">
        <v>1855.8823560708863</v>
      </c>
      <c r="K7" s="31" t="e">
        <f t="shared" si="0"/>
        <v>#DIV/0!</v>
      </c>
      <c r="L7" s="23">
        <v>95134.895627415724</v>
      </c>
      <c r="M7" s="33">
        <v>6.90499404199727</v>
      </c>
      <c r="N7" s="5">
        <v>3</v>
      </c>
      <c r="O7" s="5">
        <v>73.333333333333329</v>
      </c>
      <c r="P7" s="33">
        <v>0</v>
      </c>
      <c r="Q7" s="5">
        <v>16.393570915793138</v>
      </c>
      <c r="R7" s="5">
        <v>1267.0894633758469</v>
      </c>
      <c r="S7" s="42"/>
      <c r="T7" s="23">
        <v>93043.441032278861</v>
      </c>
      <c r="U7" s="33">
        <v>4.473764916001528</v>
      </c>
      <c r="V7" s="5">
        <v>2</v>
      </c>
      <c r="W7" s="5">
        <v>80</v>
      </c>
      <c r="X7" s="33">
        <v>57.421291490429631</v>
      </c>
      <c r="Y7" s="5">
        <v>37.157116468878144</v>
      </c>
      <c r="Z7" s="5">
        <v>1895.4845707852066</v>
      </c>
      <c r="AA7" s="42"/>
    </row>
    <row r="8" spans="2:27" x14ac:dyDescent="0.2">
      <c r="B8" s="4">
        <v>5</v>
      </c>
      <c r="C8" s="4">
        <v>354</v>
      </c>
      <c r="D8" s="23">
        <v>77840.006300560955</v>
      </c>
      <c r="E8" s="33">
        <v>3.5877502499934049</v>
      </c>
      <c r="F8" s="5">
        <v>2</v>
      </c>
      <c r="G8" s="23">
        <v>96.666666666666671</v>
      </c>
      <c r="H8" s="33">
        <v>53.215832651093542</v>
      </c>
      <c r="I8" s="23">
        <v>35.471837421837421</v>
      </c>
      <c r="J8" s="5">
        <v>1855.8823560708863</v>
      </c>
      <c r="K8" s="31" t="e">
        <f t="shared" si="0"/>
        <v>#DIV/0!</v>
      </c>
      <c r="L8" s="23">
        <v>94491.868686276735</v>
      </c>
      <c r="M8" s="33">
        <v>9.1247869580001861</v>
      </c>
      <c r="N8" s="5">
        <v>3</v>
      </c>
      <c r="O8" s="5">
        <v>80</v>
      </c>
      <c r="P8" s="33">
        <v>17.436512090359219</v>
      </c>
      <c r="Q8" s="5">
        <v>17.93455793455793</v>
      </c>
      <c r="R8" s="5">
        <v>1507.3399051846891</v>
      </c>
      <c r="S8" s="42"/>
      <c r="T8" s="23">
        <v>93043.441032278861</v>
      </c>
      <c r="U8" s="33">
        <v>4.0882899579992227</v>
      </c>
      <c r="V8" s="5">
        <v>2</v>
      </c>
      <c r="W8" s="5">
        <v>80</v>
      </c>
      <c r="X8" s="33">
        <v>57.421291490429631</v>
      </c>
      <c r="Y8" s="5">
        <v>37.157116468878144</v>
      </c>
      <c r="Z8" s="5">
        <v>1895.4845707852066</v>
      </c>
      <c r="AA8" s="42"/>
    </row>
    <row r="9" spans="2:27" x14ac:dyDescent="0.2">
      <c r="B9" s="4">
        <v>6</v>
      </c>
      <c r="C9" s="4">
        <v>365</v>
      </c>
      <c r="D9" s="23">
        <v>77840.006300560955</v>
      </c>
      <c r="E9" s="33">
        <v>3.476475999996183</v>
      </c>
      <c r="F9" s="5">
        <v>2</v>
      </c>
      <c r="G9" s="23">
        <v>96.666666666666671</v>
      </c>
      <c r="H9" s="33">
        <v>53.215832651093542</v>
      </c>
      <c r="I9" s="23">
        <v>35.471837421837421</v>
      </c>
      <c r="J9" s="5">
        <v>1855.8823560708863</v>
      </c>
      <c r="K9" s="31" t="e">
        <f t="shared" si="0"/>
        <v>#DIV/0!</v>
      </c>
      <c r="L9" s="23">
        <v>95134.895627415724</v>
      </c>
      <c r="M9" s="33">
        <v>6.7418469170006574</v>
      </c>
      <c r="N9" s="5">
        <v>3</v>
      </c>
      <c r="O9" s="5">
        <v>73.333333333333329</v>
      </c>
      <c r="P9" s="33">
        <v>0</v>
      </c>
      <c r="Q9" s="5">
        <v>16.393570915793138</v>
      </c>
      <c r="R9" s="5">
        <v>1267.0894633758469</v>
      </c>
      <c r="S9" s="42"/>
      <c r="T9" s="23">
        <v>93043.441032278861</v>
      </c>
      <c r="U9" s="33">
        <v>4.0778531249998196</v>
      </c>
      <c r="V9" s="5">
        <v>2</v>
      </c>
      <c r="W9" s="5">
        <v>80</v>
      </c>
      <c r="X9" s="33">
        <v>57.421291490429631</v>
      </c>
      <c r="Y9" s="5">
        <v>37.157116468878144</v>
      </c>
      <c r="Z9" s="5">
        <v>1895.4845707852066</v>
      </c>
      <c r="AA9" s="42"/>
    </row>
    <row r="10" spans="2:27" x14ac:dyDescent="0.2">
      <c r="B10" s="4">
        <v>7</v>
      </c>
      <c r="C10" s="4">
        <v>443</v>
      </c>
      <c r="D10" s="23">
        <v>90205.530689393927</v>
      </c>
      <c r="E10" s="33">
        <v>5.6085268750030082</v>
      </c>
      <c r="F10" s="5">
        <v>3</v>
      </c>
      <c r="G10" s="23">
        <v>86.666666666666671</v>
      </c>
      <c r="H10" s="33">
        <v>26.893868474509311</v>
      </c>
      <c r="I10" s="23">
        <v>20.322766850544625</v>
      </c>
      <c r="J10" s="5">
        <v>1609.2658249936696</v>
      </c>
      <c r="K10" s="31" t="e">
        <f t="shared" si="0"/>
        <v>#DIV/0!</v>
      </c>
      <c r="L10" s="23">
        <v>94491.868686276735</v>
      </c>
      <c r="M10" s="33">
        <v>8.8305627919980907</v>
      </c>
      <c r="N10" s="5">
        <v>3</v>
      </c>
      <c r="O10" s="5">
        <v>80</v>
      </c>
      <c r="P10" s="33">
        <v>17.436512090359219</v>
      </c>
      <c r="Q10" s="5">
        <v>17.93455793455793</v>
      </c>
      <c r="R10" s="5">
        <v>1507.3399051846891</v>
      </c>
      <c r="S10" s="42"/>
      <c r="T10" s="23">
        <v>102764.697642368</v>
      </c>
      <c r="U10" s="33">
        <v>7.447426374998031</v>
      </c>
      <c r="V10" s="5">
        <v>3</v>
      </c>
      <c r="W10" s="5">
        <v>80</v>
      </c>
      <c r="X10" s="33">
        <v>67.41021875951985</v>
      </c>
      <c r="Y10" s="5">
        <v>29.585349284220374</v>
      </c>
      <c r="Z10" s="5">
        <v>1931.0164649381866</v>
      </c>
      <c r="AA10" s="42"/>
    </row>
    <row r="11" spans="2:27" x14ac:dyDescent="0.2">
      <c r="B11" s="4">
        <v>8</v>
      </c>
      <c r="C11" s="4">
        <v>515</v>
      </c>
      <c r="D11" s="23">
        <v>77840.006300560955</v>
      </c>
      <c r="E11" s="33">
        <v>3.6428918750025332</v>
      </c>
      <c r="F11" s="5">
        <v>2</v>
      </c>
      <c r="G11" s="23">
        <v>96.666666666666671</v>
      </c>
      <c r="H11" s="33">
        <v>53.215832651093542</v>
      </c>
      <c r="I11" s="23">
        <v>35.471837421837421</v>
      </c>
      <c r="J11" s="5">
        <v>1855.8823560708863</v>
      </c>
      <c r="K11" s="31" t="e">
        <f t="shared" si="0"/>
        <v>#DIV/0!</v>
      </c>
      <c r="L11" s="23">
        <v>95150.398187947329</v>
      </c>
      <c r="M11" s="33">
        <v>9.8833434580010362</v>
      </c>
      <c r="N11" s="5">
        <v>3</v>
      </c>
      <c r="O11" s="5">
        <v>80</v>
      </c>
      <c r="P11" s="33">
        <v>17.436512090359219</v>
      </c>
      <c r="Q11" s="5">
        <v>17.93455793455793</v>
      </c>
      <c r="R11" s="5">
        <v>1529.5456304412862</v>
      </c>
      <c r="S11" s="42"/>
      <c r="T11" s="23">
        <v>93043.441032278861</v>
      </c>
      <c r="U11" s="33">
        <v>4.0745437089972256</v>
      </c>
      <c r="V11" s="5">
        <v>2</v>
      </c>
      <c r="W11" s="5">
        <v>80</v>
      </c>
      <c r="X11" s="33">
        <v>57.421291490429631</v>
      </c>
      <c r="Y11" s="5">
        <v>37.157116468878144</v>
      </c>
      <c r="Z11" s="5">
        <v>1895.4845707852066</v>
      </c>
      <c r="AA11" s="42"/>
    </row>
    <row r="12" spans="2:27" x14ac:dyDescent="0.2">
      <c r="B12" s="4">
        <v>9</v>
      </c>
      <c r="C12" s="4">
        <v>573</v>
      </c>
      <c r="D12" s="23">
        <v>77840.006300560955</v>
      </c>
      <c r="E12" s="33">
        <v>3.607837666997511</v>
      </c>
      <c r="F12" s="5">
        <v>2</v>
      </c>
      <c r="G12" s="23">
        <v>96.666666666666671</v>
      </c>
      <c r="H12" s="33">
        <v>53.215832651093542</v>
      </c>
      <c r="I12" s="23">
        <v>35.471837421837421</v>
      </c>
      <c r="J12" s="5">
        <v>1855.8823560708863</v>
      </c>
      <c r="K12" s="31" t="e">
        <f t="shared" si="0"/>
        <v>#DIV/0!</v>
      </c>
      <c r="L12" s="23">
        <v>95134.895627415724</v>
      </c>
      <c r="M12" s="33">
        <v>6.1607967499985534</v>
      </c>
      <c r="N12" s="5">
        <v>3</v>
      </c>
      <c r="O12" s="5">
        <v>73.333333333333329</v>
      </c>
      <c r="P12" s="33">
        <v>0</v>
      </c>
      <c r="Q12" s="5">
        <v>16.393570915793138</v>
      </c>
      <c r="R12" s="5">
        <v>1267.0894633758469</v>
      </c>
      <c r="S12" s="42"/>
      <c r="T12" s="23">
        <v>93043.441032278861</v>
      </c>
      <c r="U12" s="33">
        <v>5.6026017090007372</v>
      </c>
      <c r="V12" s="5">
        <v>2</v>
      </c>
      <c r="W12" s="5">
        <v>80</v>
      </c>
      <c r="X12" s="33">
        <v>57.421291490429631</v>
      </c>
      <c r="Y12" s="5">
        <v>37.157116468878144</v>
      </c>
      <c r="Z12" s="5">
        <v>1895.4845707852066</v>
      </c>
      <c r="AA12" s="42"/>
    </row>
    <row r="13" spans="2:27" x14ac:dyDescent="0.2">
      <c r="B13" s="4">
        <v>10</v>
      </c>
      <c r="C13" s="4">
        <v>998</v>
      </c>
      <c r="D13" s="23">
        <v>77840.006300560955</v>
      </c>
      <c r="E13" s="33">
        <v>3.6143711249969779</v>
      </c>
      <c r="F13" s="5">
        <v>2</v>
      </c>
      <c r="G13" s="23">
        <v>96.666666666666671</v>
      </c>
      <c r="H13" s="33">
        <v>53.215832651093542</v>
      </c>
      <c r="I13" s="23">
        <v>35.471837421837421</v>
      </c>
      <c r="J13" s="5">
        <v>1855.8823560708863</v>
      </c>
      <c r="K13" s="31" t="e">
        <f t="shared" si="0"/>
        <v>#DIV/0!</v>
      </c>
      <c r="L13" s="23">
        <v>95134.895627415724</v>
      </c>
      <c r="M13" s="33">
        <v>6.8994142080009624</v>
      </c>
      <c r="N13" s="5">
        <v>3</v>
      </c>
      <c r="O13" s="5">
        <v>73.333333333333329</v>
      </c>
      <c r="P13" s="33">
        <v>0</v>
      </c>
      <c r="Q13" s="5">
        <v>16.393570915793138</v>
      </c>
      <c r="R13" s="5">
        <v>1267.0894633758469</v>
      </c>
      <c r="S13" s="42"/>
      <c r="T13" s="23">
        <v>93043.441032278861</v>
      </c>
      <c r="U13" s="33">
        <v>4.1365524579996418</v>
      </c>
      <c r="V13" s="5">
        <v>2</v>
      </c>
      <c r="W13" s="5">
        <v>80</v>
      </c>
      <c r="X13" s="33">
        <v>57.421291490429631</v>
      </c>
      <c r="Y13" s="5">
        <v>37.157116468878144</v>
      </c>
      <c r="Z13" s="5">
        <v>1895.4845707852066</v>
      </c>
      <c r="AA13" s="42"/>
    </row>
    <row r="14" spans="2:27" x14ac:dyDescent="0.2">
      <c r="B14" s="46" t="s">
        <v>3</v>
      </c>
      <c r="C14" s="47"/>
      <c r="D14" s="9">
        <f>MIN(D4:D13)</f>
        <v>77840.006300560955</v>
      </c>
      <c r="E14" s="22">
        <f>INDEX(E4:E13, MATCH($D$14, D4:D13, 0))</f>
        <v>3.5836661249995809</v>
      </c>
      <c r="F14" s="9">
        <f>INDEX(F4:F13, MATCH($D$14, D4:D13, 0))</f>
        <v>2</v>
      </c>
      <c r="G14" s="9">
        <f>INDEX(G4:G13, MATCH($D$14, D4:D13, 0))</f>
        <v>96.666666666666671</v>
      </c>
      <c r="H14" s="22">
        <f>INDEX(H4:H13, MATCH($D$14, D4:D13, 0))</f>
        <v>53.215832651093542</v>
      </c>
      <c r="I14" s="22">
        <f>INDEX(I4:I13, MATCH($D$14, D4:D13, 0))</f>
        <v>35.471837421837421</v>
      </c>
      <c r="J14" s="22">
        <f>INDEX(J4:J13, MATCH($D$14, D4:D13, 0))</f>
        <v>1855.8823560708863</v>
      </c>
      <c r="K14" s="32" t="e">
        <f>(D14-$D$15)/$D$15</f>
        <v>#DIV/0!</v>
      </c>
      <c r="L14" s="16">
        <f>MIN(L4:L13)</f>
        <v>94491.868686276735</v>
      </c>
      <c r="M14" s="21">
        <f>INDEX(M4:M13, MATCH($L$14, L4:L13, 0))</f>
        <v>9.0751496669981861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17.436512090359219</v>
      </c>
      <c r="Q14" s="21">
        <f>INDEX(Q4:Q13, MATCH($L$14, L4:L13, 0))</f>
        <v>17.93455793455793</v>
      </c>
      <c r="R14" s="21">
        <f>INDEX(R4:R13, MATCH($L$14, L4:L13, 0))</f>
        <v>1507.3399051846891</v>
      </c>
      <c r="S14" s="43" t="e">
        <f>(L14-$D$15)/$D$15</f>
        <v>#DIV/0!</v>
      </c>
      <c r="T14" s="38">
        <f>MIN(T4:T13)</f>
        <v>93043.441032278861</v>
      </c>
      <c r="U14" s="44">
        <f>INDEX(U4:U13, MATCH($T$14, T4:T13, 0))</f>
        <v>4.1901565000007386</v>
      </c>
      <c r="V14" s="38">
        <f>INDEX(V4:V13, MATCH($T$14, T4:T13, 0))</f>
        <v>2</v>
      </c>
      <c r="W14" s="38">
        <f>INDEX(W4:W13, MATCH($T$14, T4:T13, 0))</f>
        <v>80</v>
      </c>
      <c r="X14" s="44">
        <f>INDEX(X4:X13, MATCH($T$14, T4:T13, 0))</f>
        <v>57.421291490429631</v>
      </c>
      <c r="Y14" s="44">
        <f>INDEX(Y4:Y13, MATCH($T$14, T4:T13, 0))</f>
        <v>37.157116468878144</v>
      </c>
      <c r="Z14" s="44">
        <f>INDEX(Z4:Z13, MATCH($T$14, T4:T13, 0))</f>
        <v>1895.4845707852066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0:C1048576">
    <cfRule type="duplicateValues" dxfId="53" priority="5"/>
    <cfRule type="duplicateValues" dxfId="52" priority="6"/>
  </conditionalFormatting>
  <conditionalFormatting sqref="C14">
    <cfRule type="duplicateValues" dxfId="51" priority="3"/>
    <cfRule type="duplicateValues" dxfId="50" priority="4"/>
  </conditionalFormatting>
  <conditionalFormatting sqref="C15:C2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results53</vt:lpstr>
      <vt:lpstr>results74</vt:lpstr>
      <vt:lpstr>results101</vt:lpstr>
      <vt:lpstr>results145</vt:lpstr>
      <vt:lpstr>results311</vt:lpstr>
      <vt:lpstr>results529</vt:lpstr>
      <vt:lpstr>results587</vt:lpstr>
      <vt:lpstr>results753</vt:lpstr>
      <vt:lpstr>results898</vt:lpstr>
      <vt:lpstr>results997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2026-10-15T22:28:55Z</dcterms:modified>
</cp:coreProperties>
</file>