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Uploaded/Small/ALNS/30-3-3/"/>
    </mc:Choice>
  </mc:AlternateContent>
  <xr:revisionPtr revIDLastSave="0" documentId="13_ncr:1_{FE01C9B9-8487-F64F-82CE-47520DD20CDF}" xr6:coauthVersionLast="47" xr6:coauthVersionMax="47" xr10:uidLastSave="{00000000-0000-0000-0000-000000000000}"/>
  <bookViews>
    <workbookView xWindow="0" yWindow="740" windowWidth="34560" windowHeight="21600" xr2:uid="{41E620E7-D6DF-9342-B452-EA60AB3B07C5}"/>
  </bookViews>
  <sheets>
    <sheet name="Summary" sheetId="68" r:id="rId1"/>
    <sheet name="results118" sheetId="58" r:id="rId2"/>
    <sheet name="results287" sheetId="69" r:id="rId3"/>
    <sheet name="results503" sheetId="70" r:id="rId4"/>
    <sheet name="results579" sheetId="71" r:id="rId5"/>
    <sheet name="results685" sheetId="76" r:id="rId6"/>
    <sheet name="results759" sheetId="77" r:id="rId7"/>
    <sheet name="results782" sheetId="72" r:id="rId8"/>
    <sheet name="results818" sheetId="73" r:id="rId9"/>
    <sheet name="results872" sheetId="74" r:id="rId10"/>
    <sheet name="results982" sheetId="75" r:id="rId11"/>
    <sheet name="Sample1" sheetId="23" state="hidden" r:id="rId12"/>
    <sheet name="10-2-2_a" sheetId="25" state="hidden" r:id="rId13"/>
    <sheet name="10-2-3_a" sheetId="26" state="hidden" r:id="rId14"/>
    <sheet name="10-3-2_a" sheetId="27" state="hidden" r:id="rId15"/>
    <sheet name="10-3-3_a" sheetId="28" state="hidden" r:id="rId16"/>
    <sheet name="20-2-2_a" sheetId="29" state="hidden" r:id="rId17"/>
    <sheet name="20-2-3_a" sheetId="31" state="hidden" r:id="rId18"/>
    <sheet name="20-3-2_a" sheetId="32" state="hidden" r:id="rId19"/>
    <sheet name="20-3-3_a" sheetId="33" state="hidden" r:id="rId20"/>
    <sheet name="30-2-2_a" sheetId="34" state="hidden" r:id="rId21"/>
    <sheet name="30-2-3_a" sheetId="35" state="hidden" r:id="rId22"/>
    <sheet name="30-3-2_a" sheetId="36" state="hidden" r:id="rId23"/>
    <sheet name="30-3-3_a" sheetId="37" state="hidden" r:id="rId24"/>
    <sheet name="30-3-2b" sheetId="40" state="hidden" r:id="rId25"/>
    <sheet name="30-3-3b" sheetId="38" state="hidden" r:id="rId26"/>
    <sheet name="20-3-3b" sheetId="41" state="hidden" r:id="rId27"/>
    <sheet name="10-3-3b" sheetId="42" state="hidden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73" l="1"/>
  <c r="E14" i="73" s="1"/>
  <c r="D14" i="77"/>
  <c r="K14" i="77" s="1"/>
  <c r="D14" i="76"/>
  <c r="F14" i="76" s="1"/>
  <c r="E14" i="75"/>
  <c r="D14" i="75"/>
  <c r="K14" i="75" s="1"/>
  <c r="E14" i="74"/>
  <c r="D14" i="74"/>
  <c r="K14" i="74" s="1"/>
  <c r="D14" i="72"/>
  <c r="J14" i="72" s="1"/>
  <c r="D14" i="71"/>
  <c r="K14" i="71" s="1"/>
  <c r="D14" i="70"/>
  <c r="K14" i="70" s="1"/>
  <c r="D14" i="69"/>
  <c r="F14" i="69" s="1"/>
  <c r="D14" i="58"/>
  <c r="K14" i="58" s="1"/>
  <c r="F14" i="73" l="1"/>
  <c r="I14" i="73"/>
  <c r="G14" i="73"/>
  <c r="H14" i="73"/>
  <c r="J14" i="73"/>
  <c r="K14" i="73"/>
  <c r="G14" i="77"/>
  <c r="F14" i="77"/>
  <c r="H14" i="77"/>
  <c r="I14" i="77"/>
  <c r="E14" i="77"/>
  <c r="J14" i="77"/>
  <c r="H14" i="76"/>
  <c r="G14" i="76"/>
  <c r="I14" i="76"/>
  <c r="J14" i="76"/>
  <c r="E14" i="76"/>
  <c r="K14" i="76"/>
  <c r="H14" i="75"/>
  <c r="I14" i="75"/>
  <c r="F14" i="75"/>
  <c r="J14" i="75"/>
  <c r="G14" i="75"/>
  <c r="F14" i="74"/>
  <c r="G14" i="74"/>
  <c r="H14" i="74"/>
  <c r="I14" i="74"/>
  <c r="J14" i="74"/>
  <c r="G14" i="72"/>
  <c r="E14" i="72"/>
  <c r="F14" i="72"/>
  <c r="H14" i="72"/>
  <c r="I14" i="72"/>
  <c r="K14" i="72"/>
  <c r="H14" i="71"/>
  <c r="F14" i="71"/>
  <c r="G14" i="71"/>
  <c r="I14" i="71"/>
  <c r="J14" i="71"/>
  <c r="E14" i="71"/>
  <c r="H14" i="70"/>
  <c r="I14" i="70"/>
  <c r="E14" i="70"/>
  <c r="F14" i="70"/>
  <c r="G14" i="70"/>
  <c r="J14" i="70"/>
  <c r="E14" i="69"/>
  <c r="G14" i="69"/>
  <c r="K14" i="69"/>
  <c r="H14" i="69"/>
  <c r="I14" i="69"/>
  <c r="J14" i="69"/>
  <c r="E14" i="58"/>
  <c r="F14" i="58"/>
  <c r="G14" i="58"/>
  <c r="H14" i="58"/>
  <c r="I14" i="58"/>
  <c r="J14" i="58"/>
  <c r="C3" i="68" a="1"/>
  <c r="I5" i="68" a="1"/>
  <c r="H8" i="68" a="1"/>
  <c r="C5" i="68" a="1"/>
  <c r="H5" i="68" a="1"/>
  <c r="C12" i="68" a="1"/>
  <c r="D8" i="68" a="1"/>
  <c r="F5" i="68" a="1"/>
  <c r="I7" i="68" a="1"/>
  <c r="D3" i="68" a="1"/>
  <c r="E8" i="68" a="1"/>
  <c r="E5" i="68" a="1"/>
  <c r="C8" i="68" a="1"/>
  <c r="H7" i="68" a="1"/>
  <c r="D12" i="68" a="1"/>
  <c r="E9" i="68" a="1"/>
  <c r="D11" i="68" a="1"/>
  <c r="G8" i="68" a="1"/>
  <c r="E11" i="68" a="1"/>
  <c r="F4" i="68" a="1"/>
  <c r="G5" i="68" a="1"/>
  <c r="C7" i="68" a="1"/>
  <c r="I9" i="68" a="1"/>
  <c r="F8" i="68" a="1"/>
  <c r="F10" i="68" a="1"/>
  <c r="H3" i="68" a="1"/>
  <c r="H9" i="68" a="1"/>
  <c r="I4" i="68" a="1"/>
  <c r="H12" i="68" a="1"/>
  <c r="G7" i="68" a="1"/>
  <c r="C6" i="68" a="1"/>
  <c r="G9" i="68" a="1"/>
  <c r="C10" i="68" a="1"/>
  <c r="F3" i="68" a="1"/>
  <c r="G4" i="68" a="1"/>
  <c r="E10" i="68" a="1"/>
  <c r="G3" i="68" a="1"/>
  <c r="E12" i="68" a="1"/>
  <c r="H4" i="68" a="1"/>
  <c r="D9" i="68" a="1"/>
  <c r="G11" i="68" a="1"/>
  <c r="G12" i="68" a="1"/>
  <c r="I12" i="68" a="1"/>
  <c r="I8" i="68" a="1"/>
  <c r="E3" i="68" a="1"/>
  <c r="D10" i="68" a="1"/>
  <c r="F9" i="68" a="1"/>
  <c r="E4" i="68" a="1"/>
  <c r="I10" i="68" a="1"/>
  <c r="D5" i="68" a="1"/>
  <c r="C11" i="68" a="1"/>
  <c r="H11" i="68" a="1"/>
  <c r="H10" i="68" a="1"/>
  <c r="F11" i="68" a="1"/>
  <c r="F7" i="68" a="1"/>
  <c r="I3" i="68" a="1"/>
  <c r="C4" i="68" a="1"/>
  <c r="G10" i="68" a="1"/>
  <c r="D7" i="68" a="1"/>
  <c r="C9" i="68" a="1"/>
  <c r="D4" i="68" a="1"/>
  <c r="E7" i="68" a="1"/>
  <c r="F12" i="68" a="1"/>
  <c r="I11" i="68" a="1"/>
  <c r="E11" i="68" l="1"/>
  <c r="C12" i="68"/>
  <c r="T14" i="70"/>
  <c r="G3" i="68"/>
  <c r="T14" i="74"/>
  <c r="F8" i="68"/>
  <c r="E8" i="68"/>
  <c r="T14" i="77"/>
  <c r="G10" i="68"/>
  <c r="I7" i="68"/>
  <c r="F5" i="68"/>
  <c r="D8" i="68"/>
  <c r="T14" i="73"/>
  <c r="H10" i="68"/>
  <c r="G12" i="68"/>
  <c r="G7" i="68"/>
  <c r="G8" i="68"/>
  <c r="H5" i="68"/>
  <c r="D4" i="68"/>
  <c r="C9" i="68"/>
  <c r="F3" i="68"/>
  <c r="C10" i="68"/>
  <c r="G5" i="68"/>
  <c r="I8" i="68"/>
  <c r="F7" i="68"/>
  <c r="H11" i="68"/>
  <c r="G11" i="68"/>
  <c r="H12" i="68"/>
  <c r="D11" i="68"/>
  <c r="C5" i="68"/>
  <c r="T14" i="58"/>
  <c r="F10" i="68"/>
  <c r="G4" i="68"/>
  <c r="D10" i="68"/>
  <c r="C7" i="68"/>
  <c r="G9" i="68"/>
  <c r="I3" i="68"/>
  <c r="I12" i="68"/>
  <c r="C11" i="68"/>
  <c r="D9" i="68"/>
  <c r="I4" i="68"/>
  <c r="E9" i="68"/>
  <c r="H8" i="68"/>
  <c r="E4" i="68"/>
  <c r="T14" i="72"/>
  <c r="E5" i="68"/>
  <c r="D7" i="68"/>
  <c r="E3" i="68"/>
  <c r="T14" i="71"/>
  <c r="C4" i="68"/>
  <c r="L14" i="58"/>
  <c r="F4" i="68"/>
  <c r="L14" i="73"/>
  <c r="F11" i="68"/>
  <c r="T14" i="69"/>
  <c r="T14" i="75"/>
  <c r="L14" i="69"/>
  <c r="D5" i="68"/>
  <c r="H4" i="68"/>
  <c r="H9" i="68"/>
  <c r="D12" i="68"/>
  <c r="I5" i="68"/>
  <c r="E10" i="68"/>
  <c r="F9" i="68"/>
  <c r="I9" i="68"/>
  <c r="L14" i="76"/>
  <c r="D3" i="68"/>
  <c r="I11" i="68"/>
  <c r="T14" i="76"/>
  <c r="F12" i="68"/>
  <c r="E7" i="68"/>
  <c r="I10" i="68"/>
  <c r="E12" i="68"/>
  <c r="H3" i="68"/>
  <c r="L14" i="77"/>
  <c r="H7" i="68"/>
  <c r="C3" i="68"/>
  <c r="C8" i="68"/>
  <c r="C6" i="68"/>
  <c r="D6" i="68" a="1"/>
  <c r="H6" i="68" a="1"/>
  <c r="S5" i="68" a="1"/>
  <c r="S12" i="68" a="1"/>
  <c r="G6" i="68" a="1"/>
  <c r="S11" i="68" a="1"/>
  <c r="F6" i="68" a="1"/>
  <c r="S6" i="68" a="1"/>
  <c r="I6" i="68" a="1"/>
  <c r="S9" i="68" a="1"/>
  <c r="S8" i="68" a="1"/>
  <c r="S4" i="68" a="1"/>
  <c r="K3" i="68" a="1"/>
  <c r="E6" i="68" a="1"/>
  <c r="K6" i="68" a="1"/>
  <c r="S7" i="68" a="1"/>
  <c r="K10" i="68" a="1"/>
  <c r="S3" i="68" a="1"/>
  <c r="S10" i="68" a="1"/>
  <c r="N14" i="73" l="1"/>
  <c r="M14" i="73"/>
  <c r="P14" i="73"/>
  <c r="O14" i="73"/>
  <c r="R14" i="73"/>
  <c r="S14" i="73"/>
  <c r="J2" i="73" s="1"/>
  <c r="Q14" i="73"/>
  <c r="AA14" i="73"/>
  <c r="Z14" i="73"/>
  <c r="Y14" i="73"/>
  <c r="X14" i="73"/>
  <c r="W14" i="73"/>
  <c r="V14" i="73"/>
  <c r="U14" i="73"/>
  <c r="N14" i="77"/>
  <c r="M14" i="77"/>
  <c r="Q14" i="77"/>
  <c r="S14" i="77"/>
  <c r="R14" i="77"/>
  <c r="P14" i="77"/>
  <c r="O14" i="77"/>
  <c r="AA14" i="77"/>
  <c r="Z14" i="77"/>
  <c r="Y14" i="77"/>
  <c r="X14" i="77"/>
  <c r="W14" i="77"/>
  <c r="V14" i="77"/>
  <c r="U14" i="77"/>
  <c r="M14" i="76"/>
  <c r="S14" i="76"/>
  <c r="Q14" i="76"/>
  <c r="P14" i="76"/>
  <c r="N14" i="76"/>
  <c r="R14" i="76"/>
  <c r="O14" i="76"/>
  <c r="AA14" i="76"/>
  <c r="Z14" i="76"/>
  <c r="Y14" i="76"/>
  <c r="X14" i="76"/>
  <c r="W14" i="76"/>
  <c r="V14" i="76"/>
  <c r="U14" i="76"/>
  <c r="L14" i="75"/>
  <c r="AA14" i="75"/>
  <c r="Z14" i="75"/>
  <c r="Y14" i="75"/>
  <c r="X14" i="75"/>
  <c r="W14" i="75"/>
  <c r="V14" i="75"/>
  <c r="U14" i="75"/>
  <c r="L14" i="74"/>
  <c r="AA14" i="74"/>
  <c r="Z14" i="74"/>
  <c r="Y14" i="74"/>
  <c r="V14" i="74"/>
  <c r="U14" i="74"/>
  <c r="X14" i="74"/>
  <c r="W14" i="74"/>
  <c r="H2" i="73"/>
  <c r="AA14" i="72"/>
  <c r="Z14" i="72"/>
  <c r="Y14" i="72"/>
  <c r="X14" i="72"/>
  <c r="V14" i="72"/>
  <c r="W14" i="72"/>
  <c r="U14" i="72"/>
  <c r="L14" i="72"/>
  <c r="L14" i="71"/>
  <c r="AA14" i="71"/>
  <c r="Z14" i="71"/>
  <c r="Y14" i="71"/>
  <c r="X14" i="71"/>
  <c r="W14" i="71"/>
  <c r="V14" i="71"/>
  <c r="U14" i="71"/>
  <c r="L14" i="70"/>
  <c r="AA14" i="70"/>
  <c r="Z14" i="70"/>
  <c r="Y14" i="70"/>
  <c r="X14" i="70"/>
  <c r="W14" i="70"/>
  <c r="V14" i="70"/>
  <c r="U14" i="70"/>
  <c r="O14" i="69"/>
  <c r="N14" i="69"/>
  <c r="Q14" i="69"/>
  <c r="P14" i="69"/>
  <c r="M14" i="69"/>
  <c r="S14" i="69"/>
  <c r="J2" i="69" s="1"/>
  <c r="R14" i="69"/>
  <c r="AA14" i="69"/>
  <c r="Z14" i="69"/>
  <c r="Y14" i="69"/>
  <c r="V14" i="69"/>
  <c r="U14" i="69"/>
  <c r="X14" i="69"/>
  <c r="W14" i="69"/>
  <c r="O14" i="58"/>
  <c r="N14" i="58"/>
  <c r="M14" i="58"/>
  <c r="S14" i="58"/>
  <c r="J2" i="58" s="1"/>
  <c r="R14" i="58"/>
  <c r="R2" i="58" s="1"/>
  <c r="Q14" i="58"/>
  <c r="H2" i="58" s="1"/>
  <c r="P14" i="58"/>
  <c r="P2" i="58" s="1"/>
  <c r="AA14" i="58"/>
  <c r="V14" i="58"/>
  <c r="U14" i="58"/>
  <c r="Z14" i="58"/>
  <c r="Y14" i="58"/>
  <c r="X14" i="58"/>
  <c r="W14" i="58"/>
  <c r="C17" i="68"/>
  <c r="K3" i="68"/>
  <c r="K6" i="68"/>
  <c r="K10" i="68"/>
  <c r="S9" i="68"/>
  <c r="S6" i="68"/>
  <c r="S11" i="68"/>
  <c r="S10" i="68"/>
  <c r="S4" i="68"/>
  <c r="S3" i="68"/>
  <c r="S8" i="68"/>
  <c r="S12" i="68"/>
  <c r="C13" i="68"/>
  <c r="J13" i="68" s="1"/>
  <c r="S5" i="68"/>
  <c r="S7" i="68"/>
  <c r="G6" i="68"/>
  <c r="G13" i="68" s="1"/>
  <c r="H6" i="68"/>
  <c r="H13" i="68" s="1"/>
  <c r="I6" i="68"/>
  <c r="I13" i="68" s="1"/>
  <c r="E6" i="68"/>
  <c r="E13" i="68" s="1"/>
  <c r="D6" i="68"/>
  <c r="D13" i="68" s="1"/>
  <c r="F6" i="68"/>
  <c r="F13" i="68" s="1"/>
  <c r="K12" i="68" a="1"/>
  <c r="W10" i="68" a="1"/>
  <c r="W3" i="68" a="1"/>
  <c r="Y5" i="68" a="1"/>
  <c r="W7" i="68" a="1"/>
  <c r="T6" i="68" a="1"/>
  <c r="X11" i="68" a="1"/>
  <c r="Y6" i="68" a="1"/>
  <c r="U8" i="68" a="1"/>
  <c r="W12" i="68" a="1"/>
  <c r="L10" i="68" a="1"/>
  <c r="V3" i="68" a="1"/>
  <c r="X4" i="68" a="1"/>
  <c r="W11" i="68" a="1"/>
  <c r="Y4" i="68" a="1"/>
  <c r="K11" i="68" a="1"/>
  <c r="Y10" i="68" a="1"/>
  <c r="Y3" i="68" a="1"/>
  <c r="X9" i="68" a="1"/>
  <c r="V10" i="68" a="1"/>
  <c r="T8" i="68" a="1"/>
  <c r="N6" i="68" a="1"/>
  <c r="V5" i="68" a="1"/>
  <c r="T3" i="68" a="1"/>
  <c r="P6" i="68" a="1"/>
  <c r="K4" i="68" a="1"/>
  <c r="U6" i="68" a="1"/>
  <c r="U12" i="68" a="1"/>
  <c r="M10" i="68" a="1"/>
  <c r="Y7" i="68" a="1"/>
  <c r="W4" i="68" a="1"/>
  <c r="Y11" i="68" a="1"/>
  <c r="K9" i="68" a="1"/>
  <c r="M3" i="68" a="1"/>
  <c r="W5" i="68" a="1"/>
  <c r="Y9" i="68" a="1"/>
  <c r="W6" i="68" a="1"/>
  <c r="O8" i="68" a="1"/>
  <c r="P8" i="68" a="1"/>
  <c r="K7" i="68" a="1"/>
  <c r="Y8" i="68" a="1"/>
  <c r="X12" i="68" a="1"/>
  <c r="V8" i="68" a="1"/>
  <c r="X3" i="68" a="1"/>
  <c r="V4" i="68" a="1"/>
  <c r="Q3" i="68" a="1"/>
  <c r="U9" i="68" a="1"/>
  <c r="O10" i="68" a="1"/>
  <c r="K8" i="68" a="1"/>
  <c r="L6" i="68" a="1"/>
  <c r="L3" i="68" a="1"/>
  <c r="T5" i="68" a="1"/>
  <c r="X7" i="68" a="1"/>
  <c r="M8" i="68" a="1"/>
  <c r="V12" i="68" a="1"/>
  <c r="X8" i="68" a="1"/>
  <c r="V9" i="68" a="1"/>
  <c r="V6" i="68" a="1"/>
  <c r="N8" i="68" a="1"/>
  <c r="Q6" i="68" a="1"/>
  <c r="W9" i="68" a="1"/>
  <c r="K5" i="68" a="1"/>
  <c r="X5" i="68" a="1"/>
  <c r="U7" i="68" a="1"/>
  <c r="U5" i="68" a="1"/>
  <c r="X6" i="68" a="1"/>
  <c r="N10" i="68" a="1"/>
  <c r="O3" i="68" a="1"/>
  <c r="V11" i="68" a="1"/>
  <c r="N3" i="68" a="1"/>
  <c r="V7" i="68" a="1"/>
  <c r="M6" i="68" a="1"/>
  <c r="U10" i="68" a="1"/>
  <c r="T9" i="68" a="1"/>
  <c r="P3" i="68" a="1"/>
  <c r="T12" i="68" a="1"/>
  <c r="W8" i="68" a="1"/>
  <c r="P10" i="68" a="1"/>
  <c r="X10" i="68" a="1"/>
  <c r="U4" i="68" a="1"/>
  <c r="O6" i="68" a="1"/>
  <c r="Q8" i="68" a="1"/>
  <c r="L8" i="68" a="1"/>
  <c r="T7" i="68" a="1"/>
  <c r="T11" i="68" a="1"/>
  <c r="U3" i="68" a="1"/>
  <c r="T4" i="68" a="1"/>
  <c r="Y12" i="68" a="1"/>
  <c r="T10" i="68" a="1"/>
  <c r="Q10" i="68" a="1"/>
  <c r="U11" i="68" a="1"/>
  <c r="K12" i="68" l="1"/>
  <c r="N14" i="75"/>
  <c r="O14" i="75"/>
  <c r="M14" i="75"/>
  <c r="R14" i="75"/>
  <c r="Q14" i="75"/>
  <c r="H2" i="75" s="1"/>
  <c r="S14" i="75"/>
  <c r="J2" i="75" s="1"/>
  <c r="P14" i="75"/>
  <c r="P2" i="75" s="1"/>
  <c r="K11" i="68"/>
  <c r="N14" i="74"/>
  <c r="M14" i="74"/>
  <c r="S14" i="74"/>
  <c r="J2" i="74" s="1"/>
  <c r="R14" i="74"/>
  <c r="Z2" i="74" s="1"/>
  <c r="Q14" i="74"/>
  <c r="H2" i="74" s="1"/>
  <c r="O14" i="74"/>
  <c r="P14" i="74"/>
  <c r="X2" i="74" s="1"/>
  <c r="K9" i="68"/>
  <c r="N14" i="72"/>
  <c r="M14" i="72"/>
  <c r="P14" i="72"/>
  <c r="P2" i="72" s="1"/>
  <c r="R14" i="72"/>
  <c r="Z2" i="72" s="1"/>
  <c r="Q14" i="72"/>
  <c r="H2" i="72" s="1"/>
  <c r="S14" i="72"/>
  <c r="J2" i="72" s="1"/>
  <c r="O14" i="72"/>
  <c r="K7" i="68"/>
  <c r="J2" i="76"/>
  <c r="R2" i="76"/>
  <c r="H2" i="76"/>
  <c r="P2" i="76"/>
  <c r="K5" i="68"/>
  <c r="N14" i="71"/>
  <c r="M14" i="71"/>
  <c r="Q14" i="71"/>
  <c r="H2" i="71" s="1"/>
  <c r="P14" i="71"/>
  <c r="P2" i="71" s="1"/>
  <c r="R14" i="71"/>
  <c r="Z2" i="71" s="1"/>
  <c r="S14" i="71"/>
  <c r="J2" i="71" s="1"/>
  <c r="O14" i="71"/>
  <c r="K4" i="68"/>
  <c r="O14" i="70"/>
  <c r="N14" i="70"/>
  <c r="M14" i="70"/>
  <c r="S14" i="70"/>
  <c r="J2" i="70" s="1"/>
  <c r="R14" i="70"/>
  <c r="Z2" i="70" s="1"/>
  <c r="P14" i="70"/>
  <c r="P2" i="70" s="1"/>
  <c r="Q14" i="70"/>
  <c r="H2" i="70" s="1"/>
  <c r="X2" i="73"/>
  <c r="X2" i="77"/>
  <c r="Y10" i="68"/>
  <c r="W10" i="68"/>
  <c r="T11" i="68"/>
  <c r="P10" i="68"/>
  <c r="T12" i="68"/>
  <c r="V6" i="68"/>
  <c r="X8" i="68"/>
  <c r="M6" i="68"/>
  <c r="X2" i="58"/>
  <c r="Z2" i="69"/>
  <c r="Z2" i="73"/>
  <c r="X3" i="68"/>
  <c r="X5" i="68"/>
  <c r="N6" i="68"/>
  <c r="M3" i="68"/>
  <c r="R2" i="73"/>
  <c r="P2" i="73"/>
  <c r="Q6" i="68"/>
  <c r="T5" i="68"/>
  <c r="V3" i="68"/>
  <c r="M8" i="68"/>
  <c r="X2" i="69"/>
  <c r="Z2" i="77"/>
  <c r="Z2" i="75"/>
  <c r="X4" i="68"/>
  <c r="L6" i="68"/>
  <c r="U9" i="68"/>
  <c r="N3" i="68"/>
  <c r="U7" i="68"/>
  <c r="V5" i="68"/>
  <c r="W5" i="68"/>
  <c r="Y3" i="68"/>
  <c r="W3" i="68"/>
  <c r="U3" i="68"/>
  <c r="X10" i="68"/>
  <c r="S13" i="68"/>
  <c r="S17" i="68"/>
  <c r="R2" i="77"/>
  <c r="V10" i="68"/>
  <c r="W7" i="68"/>
  <c r="Y12" i="68"/>
  <c r="O6" i="68"/>
  <c r="Y4" i="68"/>
  <c r="P3" i="68"/>
  <c r="M10" i="68"/>
  <c r="U10" i="68"/>
  <c r="V4" i="68"/>
  <c r="U5" i="68"/>
  <c r="Y8" i="68"/>
  <c r="Y9" i="68"/>
  <c r="X9" i="68"/>
  <c r="Y5" i="68"/>
  <c r="T4" i="68"/>
  <c r="U4" i="68"/>
  <c r="W4" i="68"/>
  <c r="H2" i="69"/>
  <c r="T9" i="68"/>
  <c r="U12" i="68"/>
  <c r="V11" i="68"/>
  <c r="V8" i="68"/>
  <c r="L10" i="68"/>
  <c r="W12" i="68"/>
  <c r="Y6" i="68"/>
  <c r="U11" i="68"/>
  <c r="T7" i="68"/>
  <c r="W9" i="68"/>
  <c r="X7" i="68"/>
  <c r="Y7" i="68"/>
  <c r="K8" i="68"/>
  <c r="Q3" i="68"/>
  <c r="O3" i="68"/>
  <c r="P6" i="68"/>
  <c r="P8" i="68"/>
  <c r="T8" i="68"/>
  <c r="X11" i="68"/>
  <c r="Q10" i="68"/>
  <c r="L8" i="68"/>
  <c r="Y11" i="68"/>
  <c r="W11" i="68"/>
  <c r="V9" i="68"/>
  <c r="V12" i="68"/>
  <c r="V7" i="68"/>
  <c r="N10" i="68"/>
  <c r="X12" i="68"/>
  <c r="O8" i="68"/>
  <c r="U8" i="68"/>
  <c r="T6" i="68"/>
  <c r="T10" i="68"/>
  <c r="Q8" i="68"/>
  <c r="W8" i="68"/>
  <c r="N8" i="68"/>
  <c r="L3" i="68"/>
  <c r="O10" i="68"/>
  <c r="U6" i="68"/>
  <c r="X6" i="68"/>
  <c r="T3" i="68"/>
  <c r="W6" i="68"/>
  <c r="Z2" i="58"/>
  <c r="J2" i="77"/>
  <c r="R2" i="69"/>
  <c r="P2" i="69"/>
  <c r="H2" i="77"/>
  <c r="P2" i="77"/>
  <c r="H14" i="34"/>
  <c r="J14" i="34"/>
  <c r="I14" i="34"/>
  <c r="F14" i="34"/>
  <c r="Q14" i="33"/>
  <c r="F14" i="33"/>
  <c r="O14" i="33"/>
  <c r="H14" i="33"/>
  <c r="R14" i="33"/>
  <c r="J14" i="33"/>
  <c r="I14" i="33"/>
  <c r="S14" i="33"/>
  <c r="F14" i="32"/>
  <c r="I14" i="32"/>
  <c r="Q14" i="32"/>
  <c r="R14" i="32"/>
  <c r="J14" i="32"/>
  <c r="O14" i="32"/>
  <c r="H14" i="32"/>
  <c r="S14" i="32"/>
  <c r="J14" i="31"/>
  <c r="H14" i="31"/>
  <c r="I14" i="31"/>
  <c r="F14" i="31"/>
  <c r="S14" i="31"/>
  <c r="O14" i="31"/>
  <c r="Q14" i="31"/>
  <c r="R14" i="31"/>
  <c r="F14" i="29"/>
  <c r="O14" i="29"/>
  <c r="Q14" i="29"/>
  <c r="I14" i="29"/>
  <c r="J14" i="29"/>
  <c r="H14" i="29"/>
  <c r="R14" i="29"/>
  <c r="S14" i="29"/>
  <c r="F14" i="28"/>
  <c r="O14" i="28"/>
  <c r="Q14" i="28"/>
  <c r="I14" i="28"/>
  <c r="S14" i="28"/>
  <c r="R14" i="28"/>
  <c r="J14" i="28"/>
  <c r="H14" i="28"/>
  <c r="J14" i="27"/>
  <c r="Q14" i="27"/>
  <c r="H14" i="27"/>
  <c r="R14" i="27"/>
  <c r="O14" i="27"/>
  <c r="I14" i="27"/>
  <c r="S14" i="27"/>
  <c r="F14" i="27"/>
  <c r="L12" i="68" a="1"/>
  <c r="O9" i="68" a="1"/>
  <c r="N5" i="68" a="1"/>
  <c r="M4" i="68" a="1"/>
  <c r="Q12" i="68" a="1"/>
  <c r="Q9" i="68" a="1"/>
  <c r="P5" i="68" a="1"/>
  <c r="L7" i="68" a="1"/>
  <c r="P12" i="68" a="1"/>
  <c r="P9" i="68" a="1"/>
  <c r="O5" i="68" a="1"/>
  <c r="L11" i="68" a="1"/>
  <c r="O11" i="68" a="1"/>
  <c r="O12" i="68" a="1"/>
  <c r="N9" i="68" a="1"/>
  <c r="Q5" i="68" a="1"/>
  <c r="Q11" i="68" a="1"/>
  <c r="Q7" i="68" a="1"/>
  <c r="N11" i="68" a="1"/>
  <c r="O4" i="68" a="1"/>
  <c r="M11" i="68" a="1"/>
  <c r="M7" i="68" a="1"/>
  <c r="N4" i="68" a="1"/>
  <c r="L4" i="68" a="1"/>
  <c r="P11" i="68" a="1"/>
  <c r="P7" i="68" a="1"/>
  <c r="Q4" i="68" a="1"/>
  <c r="O7" i="68" a="1"/>
  <c r="P4" i="68" a="1"/>
  <c r="N7" i="68" a="1"/>
  <c r="M12" i="68" a="1"/>
  <c r="M9" i="68" a="1"/>
  <c r="M5" i="68" a="1"/>
  <c r="N12" i="68" a="1"/>
  <c r="L9" i="68" a="1"/>
  <c r="L5" i="68" a="1"/>
  <c r="T13" i="68" l="1"/>
  <c r="T14" i="68" s="1"/>
  <c r="W13" i="68"/>
  <c r="W14" i="68" s="1"/>
  <c r="Y13" i="68"/>
  <c r="Y14" i="68" s="1"/>
  <c r="X13" i="68"/>
  <c r="X14" i="68" s="1"/>
  <c r="U13" i="68"/>
  <c r="U14" i="68" s="1"/>
  <c r="V13" i="68"/>
  <c r="V14" i="68" s="1"/>
  <c r="R2" i="74"/>
  <c r="K13" i="68"/>
  <c r="R13" i="68" s="1"/>
  <c r="K17" i="68"/>
  <c r="X2" i="75"/>
  <c r="O12" i="68"/>
  <c r="P12" i="68"/>
  <c r="Q12" i="68"/>
  <c r="L12" i="68"/>
  <c r="N12" i="68"/>
  <c r="M12" i="68"/>
  <c r="R2" i="75"/>
  <c r="R2" i="72"/>
  <c r="O11" i="68"/>
  <c r="N11" i="68"/>
  <c r="P11" i="68"/>
  <c r="Q11" i="68"/>
  <c r="L11" i="68"/>
  <c r="M11" i="68"/>
  <c r="X2" i="72"/>
  <c r="X2" i="76"/>
  <c r="P2" i="74"/>
  <c r="N9" i="68"/>
  <c r="P9" i="68"/>
  <c r="Q9" i="68"/>
  <c r="O9" i="68"/>
  <c r="L9" i="68"/>
  <c r="M9" i="68"/>
  <c r="R2" i="70"/>
  <c r="N7" i="68"/>
  <c r="O7" i="68"/>
  <c r="P7" i="68"/>
  <c r="Q7" i="68"/>
  <c r="L7" i="68"/>
  <c r="M7" i="68"/>
  <c r="Z2" i="76"/>
  <c r="Q5" i="68"/>
  <c r="O5" i="68"/>
  <c r="P5" i="68"/>
  <c r="N5" i="68"/>
  <c r="L5" i="68"/>
  <c r="M5" i="68"/>
  <c r="R2" i="71"/>
  <c r="X2" i="71"/>
  <c r="P4" i="68"/>
  <c r="O4" i="68"/>
  <c r="Q4" i="68"/>
  <c r="L4" i="68"/>
  <c r="M4" i="68"/>
  <c r="N4" i="68"/>
  <c r="X2" i="70"/>
  <c r="Z13" i="68"/>
  <c r="S14" i="68"/>
  <c r="F14" i="42"/>
  <c r="O14" i="42"/>
  <c r="R14" i="42"/>
  <c r="J14" i="42"/>
  <c r="K14" i="42"/>
  <c r="I14" i="42"/>
  <c r="G14" i="42"/>
  <c r="H14" i="42"/>
  <c r="D14" i="42"/>
  <c r="Q14" i="42"/>
  <c r="S14" i="42"/>
  <c r="E14" i="42"/>
  <c r="F14" i="41"/>
  <c r="O14" i="41"/>
  <c r="H14" i="41"/>
  <c r="I14" i="41"/>
  <c r="Q14" i="41"/>
  <c r="D14" i="41"/>
  <c r="G14" i="41"/>
  <c r="R14" i="41"/>
  <c r="J14" i="41"/>
  <c r="E14" i="41"/>
  <c r="S14" i="41"/>
  <c r="K14" i="41"/>
  <c r="G14" i="40"/>
  <c r="J14" i="40"/>
  <c r="F14" i="40"/>
  <c r="H14" i="40"/>
  <c r="Q14" i="40"/>
  <c r="I14" i="40"/>
  <c r="O14" i="40"/>
  <c r="R14" i="40"/>
  <c r="S14" i="40"/>
  <c r="E14" i="40"/>
  <c r="K14" i="40"/>
  <c r="D14" i="40"/>
  <c r="F14" i="38"/>
  <c r="G14" i="38"/>
  <c r="Q14" i="38"/>
  <c r="R14" i="38"/>
  <c r="J14" i="38"/>
  <c r="O14" i="38"/>
  <c r="H14" i="38"/>
  <c r="K14" i="38"/>
  <c r="D14" i="38"/>
  <c r="S14" i="38"/>
  <c r="I14" i="38"/>
  <c r="E14" i="38"/>
  <c r="O14" i="37"/>
  <c r="S14" i="37"/>
  <c r="H14" i="37"/>
  <c r="I14" i="37"/>
  <c r="J14" i="37"/>
  <c r="F14" i="37"/>
  <c r="Q14" i="37"/>
  <c r="R14" i="37"/>
  <c r="R14" i="36"/>
  <c r="S14" i="36"/>
  <c r="H14" i="36"/>
  <c r="O14" i="36"/>
  <c r="Q14" i="36"/>
  <c r="F14" i="36"/>
  <c r="I14" i="36"/>
  <c r="J14" i="36"/>
  <c r="Q14" i="34"/>
  <c r="I14" i="35"/>
  <c r="S14" i="35"/>
  <c r="H14" i="35"/>
  <c r="R14" i="35"/>
  <c r="R14" i="34"/>
  <c r="S14" i="34"/>
  <c r="F14" i="35"/>
  <c r="J14" i="35"/>
  <c r="O14" i="34"/>
  <c r="O14" i="35"/>
  <c r="Q14" i="35"/>
  <c r="K14" i="34"/>
  <c r="D14" i="34"/>
  <c r="G14" i="34"/>
  <c r="E14" i="34"/>
  <c r="T14" i="33"/>
  <c r="M14" i="33"/>
  <c r="N14" i="33"/>
  <c r="P14" i="33"/>
  <c r="K14" i="33"/>
  <c r="G14" i="33"/>
  <c r="E14" i="33"/>
  <c r="D14" i="33"/>
  <c r="N14" i="32"/>
  <c r="T14" i="32"/>
  <c r="M14" i="32"/>
  <c r="P14" i="32"/>
  <c r="E14" i="32"/>
  <c r="K14" i="32"/>
  <c r="D14" i="32"/>
  <c r="G14" i="32"/>
  <c r="M14" i="31"/>
  <c r="T14" i="31"/>
  <c r="P14" i="31"/>
  <c r="N14" i="31"/>
  <c r="K14" i="31"/>
  <c r="G14" i="31"/>
  <c r="D14" i="31"/>
  <c r="E14" i="31"/>
  <c r="T14" i="29"/>
  <c r="P14" i="29"/>
  <c r="N14" i="29"/>
  <c r="M14" i="29"/>
  <c r="E14" i="29"/>
  <c r="G14" i="29"/>
  <c r="D14" i="29"/>
  <c r="K14" i="29"/>
  <c r="P14" i="28"/>
  <c r="T14" i="28"/>
  <c r="M14" i="28"/>
  <c r="N14" i="28"/>
  <c r="E14" i="28"/>
  <c r="G14" i="28"/>
  <c r="K14" i="28"/>
  <c r="D14" i="28"/>
  <c r="T14" i="27"/>
  <c r="P14" i="27"/>
  <c r="N14" i="27"/>
  <c r="M14" i="27"/>
  <c r="D14" i="27"/>
  <c r="K14" i="27"/>
  <c r="G14" i="27"/>
  <c r="E14" i="27"/>
  <c r="E14" i="25"/>
  <c r="K14" i="25"/>
  <c r="J14" i="25"/>
  <c r="I14" i="25"/>
  <c r="H14" i="25"/>
  <c r="G14" i="25"/>
  <c r="F14" i="25"/>
  <c r="M13" i="68" l="1"/>
  <c r="M14" i="68" s="1"/>
  <c r="L13" i="68"/>
  <c r="L14" i="68" s="1"/>
  <c r="K14" i="68"/>
  <c r="Q13" i="68"/>
  <c r="Q14" i="68" s="1"/>
  <c r="P13" i="68"/>
  <c r="P14" i="68" s="1"/>
  <c r="N13" i="68"/>
  <c r="N14" i="68" s="1"/>
  <c r="O13" i="68"/>
  <c r="O14" i="68" s="1"/>
  <c r="P14" i="42"/>
  <c r="T14" i="42"/>
  <c r="N14" i="42"/>
  <c r="M14" i="42"/>
  <c r="P14" i="41"/>
  <c r="M14" i="41"/>
  <c r="N14" i="41"/>
  <c r="T14" i="41"/>
  <c r="P14" i="40"/>
  <c r="N14" i="40"/>
  <c r="M14" i="40"/>
  <c r="T14" i="40"/>
  <c r="T14" i="38"/>
  <c r="P14" i="38"/>
  <c r="M14" i="38"/>
  <c r="N14" i="38"/>
  <c r="T14" i="37"/>
  <c r="P14" i="37"/>
  <c r="N14" i="37"/>
  <c r="M14" i="37"/>
  <c r="D14" i="37"/>
  <c r="K14" i="37"/>
  <c r="E14" i="37"/>
  <c r="G14" i="37"/>
  <c r="P14" i="36"/>
  <c r="N14" i="36"/>
  <c r="M14" i="36"/>
  <c r="T14" i="36"/>
  <c r="D14" i="36"/>
  <c r="G14" i="36"/>
  <c r="K14" i="36"/>
  <c r="E14" i="36"/>
  <c r="T14" i="35"/>
  <c r="P14" i="35"/>
  <c r="N14" i="35"/>
  <c r="M14" i="35"/>
  <c r="E14" i="35"/>
  <c r="G14" i="35"/>
  <c r="K14" i="35"/>
  <c r="D14" i="35"/>
  <c r="M14" i="34"/>
  <c r="P14" i="34"/>
  <c r="T14" i="34"/>
  <c r="N14" i="34"/>
  <c r="Q14" i="26"/>
  <c r="S14" i="26"/>
  <c r="R14" i="26"/>
  <c r="H14" i="26"/>
  <c r="O14" i="26"/>
  <c r="I14" i="26"/>
  <c r="J14" i="26"/>
  <c r="F14" i="26"/>
  <c r="N14" i="26"/>
  <c r="M14" i="26"/>
  <c r="T14" i="26"/>
  <c r="P14" i="26"/>
  <c r="S14" i="25"/>
  <c r="R14" i="25"/>
  <c r="Q14" i="25"/>
  <c r="O14" i="25"/>
  <c r="G14" i="26" l="1"/>
  <c r="E14" i="26"/>
  <c r="D14" i="26"/>
  <c r="K14" i="26"/>
  <c r="P14" i="25"/>
  <c r="N14" i="25"/>
  <c r="M14" i="25"/>
  <c r="T14" i="25"/>
  <c r="D14" i="25"/>
  <c r="I4" i="23" a="1"/>
  <c r="H4" i="23" a="1"/>
  <c r="H4" i="23" l="1"/>
  <c r="I4" i="23"/>
  <c r="G6" i="23" a="1"/>
  <c r="G4" i="23" a="1"/>
  <c r="D4" i="23" a="1"/>
  <c r="F5" i="23" a="1"/>
  <c r="G5" i="23" a="1"/>
  <c r="D9" i="23" a="1"/>
  <c r="E10" i="23" a="1"/>
  <c r="G8" i="23" a="1"/>
  <c r="D13" i="23" a="1"/>
  <c r="F7" i="23" a="1"/>
  <c r="D11" i="23" a="1"/>
  <c r="G7" i="23" a="1"/>
  <c r="F9" i="23" a="1"/>
  <c r="F8" i="23" a="1"/>
  <c r="D8" i="23" a="1"/>
  <c r="E7" i="23" a="1"/>
  <c r="F13" i="23" a="1"/>
  <c r="D7" i="23" a="1"/>
  <c r="E13" i="23" a="1"/>
  <c r="F10" i="23" a="1"/>
  <c r="F6" i="23" a="1"/>
  <c r="E5" i="23" a="1"/>
  <c r="E11" i="23" a="1"/>
  <c r="F4" i="23" a="1"/>
  <c r="E9" i="23" a="1"/>
  <c r="E6" i="23" a="1"/>
  <c r="E4" i="23" a="1"/>
  <c r="E12" i="23" a="1"/>
  <c r="D6" i="23" a="1"/>
  <c r="D5" i="23" a="1"/>
  <c r="D10" i="23" a="1"/>
  <c r="F11" i="23" a="1"/>
  <c r="G11" i="23" a="1"/>
  <c r="E8" i="23" a="1"/>
  <c r="F12" i="23" a="1"/>
  <c r="G12" i="23" a="1"/>
  <c r="G10" i="23" a="1"/>
  <c r="D12" i="23" a="1"/>
  <c r="G13" i="23" a="1"/>
  <c r="G9" i="23" a="1"/>
  <c r="G9" i="23" l="1"/>
  <c r="G7" i="23"/>
  <c r="G8" i="23"/>
  <c r="G13" i="23"/>
  <c r="G10" i="23"/>
  <c r="G6" i="23"/>
  <c r="G12" i="23"/>
  <c r="G11" i="23"/>
  <c r="G5" i="23"/>
  <c r="G4" i="23"/>
  <c r="F4" i="23"/>
  <c r="F14" i="23" s="1"/>
  <c r="F6" i="23"/>
  <c r="D11" i="23"/>
  <c r="E5" i="23"/>
  <c r="E13" i="23"/>
  <c r="F5" i="23"/>
  <c r="F9" i="23"/>
  <c r="F11" i="23"/>
  <c r="F13" i="23"/>
  <c r="F8" i="23"/>
  <c r="D9" i="23"/>
  <c r="E9" i="23"/>
  <c r="F7" i="23"/>
  <c r="D6" i="23"/>
  <c r="D10" i="23"/>
  <c r="D12" i="23"/>
  <c r="F12" i="23"/>
  <c r="D7" i="23"/>
  <c r="E11" i="23"/>
  <c r="D8" i="23"/>
  <c r="F10" i="23"/>
  <c r="D5" i="23"/>
  <c r="D13" i="23"/>
  <c r="E7" i="23"/>
  <c r="D4" i="23"/>
  <c r="D14" i="23" s="1"/>
  <c r="E4" i="23"/>
  <c r="E14" i="23" s="1"/>
  <c r="E6" i="23"/>
  <c r="E8" i="23"/>
  <c r="E10" i="23"/>
  <c r="E1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<sst xmlns="http://schemas.openxmlformats.org/spreadsheetml/2006/main" count="677" uniqueCount="22">
  <si>
    <t>Obj</t>
  </si>
  <si>
    <t>Gap%</t>
  </si>
  <si>
    <t>Run</t>
  </si>
  <si>
    <t>Average</t>
  </si>
  <si>
    <t>Seed</t>
  </si>
  <si>
    <t>Time (sec)</t>
  </si>
  <si>
    <t>Optimality</t>
  </si>
  <si>
    <t>Instance</t>
  </si>
  <si>
    <t>Total Rejection</t>
  </si>
  <si>
    <t>Total Unused Capacity</t>
  </si>
  <si>
    <t>Ave Completion time</t>
  </si>
  <si>
    <t>Ave Tardiness</t>
  </si>
  <si>
    <t># Batches</t>
  </si>
  <si>
    <t>seed</t>
  </si>
  <si>
    <t>N</t>
  </si>
  <si>
    <t>Acceptance Rate (%)</t>
  </si>
  <si>
    <t>Average Batch Utilization (%)</t>
  </si>
  <si>
    <t>MILP</t>
  </si>
  <si>
    <t>BVC</t>
  </si>
  <si>
    <t>TPA</t>
  </si>
  <si>
    <t>BBA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</si>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</sst>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00000"/>
    <numFmt numFmtId="167" formatCode="0.000"/>
    <numFmt numFmtId="168" formatCode="0.0000000"/>
    <numFmt numFmtId="169" formatCode="0.0"/>
  </numFmts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166" fontId="0" fillId="0" borderId="1" xfId="0" quotePrefix="1" applyNumberFormat="1" applyBorder="1" applyAlignment="1">
      <alignment horizontal="center" vertical="center"/>
    </xf>
    <xf numFmtId="167" fontId="0" fillId="2" borderId="1" xfId="0" applyNumberForma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7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169" fontId="0" fillId="2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4" fillId="6" borderId="0" xfId="0" applyNumberFormat="1" applyFont="1" applyFill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0" fontId="0" fillId="7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0" fontId="0" fillId="4" borderId="1" xfId="1" applyNumberFormat="1" applyFon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0" fontId="0" fillId="7" borderId="1" xfId="1" applyNumberFormat="1" applyFont="1" applyFill="1" applyBorder="1" applyAlignment="1">
      <alignment horizontal="center" vertical="center"/>
    </xf>
    <xf numFmtId="9" fontId="0" fillId="0" borderId="5" xfId="1" applyFont="1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D5A1-1E8B-9F49-88F1-E1F82C44F487}">
  <dimension ref="B2:Z17"/>
  <sheetViews>
    <sheetView tabSelected="1" zoomScale="85" zoomScaleNormal="85" workbookViewId="0">
      <selection activeCell="B19" sqref="B19"/>
    </sheetView>
  </sheetViews>
  <sheetFormatPr baseColWidth="10" defaultColWidth="11.5" defaultRowHeight="16" x14ac:dyDescent="0.2"/>
  <cols>
    <col min="1" max="1" width="3.5" customWidth="1"/>
    <col min="2" max="2" width="11.5" style="1"/>
    <col min="3" max="4" width="9.5" bestFit="1" customWidth="1"/>
    <col min="5" max="5" width="9.1640625" bestFit="1" customWidth="1"/>
    <col min="6" max="6" width="18.33203125" bestFit="1" customWidth="1"/>
    <col min="7" max="7" width="19.33203125" bestFit="1" customWidth="1"/>
    <col min="8" max="8" width="24.83203125" bestFit="1" customWidth="1"/>
    <col min="9" max="9" width="18" bestFit="1" customWidth="1"/>
    <col min="11" max="11" width="8" bestFit="1" customWidth="1"/>
    <col min="12" max="12" width="9.1640625" bestFit="1" customWidth="1"/>
    <col min="13" max="13" width="8.83203125" bestFit="1" customWidth="1"/>
    <col min="14" max="14" width="17.6640625" bestFit="1" customWidth="1"/>
    <col min="15" max="15" width="12.1640625" bestFit="1" customWidth="1"/>
    <col min="16" max="16" width="23.83203125" bestFit="1" customWidth="1"/>
    <col min="17" max="17" width="17.33203125" bestFit="1" customWidth="1"/>
    <col min="18" max="18" width="6.83203125" bestFit="1" customWidth="1"/>
    <col min="19" max="19" width="8" bestFit="1" customWidth="1"/>
    <col min="20" max="20" width="9.1640625" bestFit="1" customWidth="1"/>
    <col min="21" max="21" width="8.83203125" bestFit="1" customWidth="1"/>
    <col min="22" max="22" width="17.6640625" bestFit="1" customWidth="1"/>
    <col min="23" max="23" width="12.1640625" bestFit="1" customWidth="1"/>
    <col min="24" max="24" width="23.83203125" bestFit="1" customWidth="1"/>
    <col min="25" max="25" width="17.33203125" bestFit="1" customWidth="1"/>
    <col min="26" max="26" width="5.83203125" bestFit="1" customWidth="1"/>
  </cols>
  <sheetData>
    <row r="2" spans="2:26" x14ac:dyDescent="0.2">
      <c r="B2" s="30" t="s">
        <v>4</v>
      </c>
      <c r="C2" s="8" t="s">
        <v>0</v>
      </c>
      <c r="D2" s="8" t="s">
        <v>5</v>
      </c>
      <c r="E2" s="8" t="s">
        <v>12</v>
      </c>
      <c r="F2" s="8" t="s">
        <v>15</v>
      </c>
      <c r="G2" s="8" t="s">
        <v>11</v>
      </c>
      <c r="H2" s="8" t="s">
        <v>16</v>
      </c>
      <c r="I2" s="8" t="s">
        <v>10</v>
      </c>
      <c r="J2" s="8" t="s">
        <v>1</v>
      </c>
      <c r="K2" s="15" t="s">
        <v>0</v>
      </c>
      <c r="L2" s="15" t="s">
        <v>5</v>
      </c>
      <c r="M2" s="15" t="s">
        <v>12</v>
      </c>
      <c r="N2" s="15" t="s">
        <v>15</v>
      </c>
      <c r="O2" s="15" t="s">
        <v>11</v>
      </c>
      <c r="P2" s="15" t="s">
        <v>16</v>
      </c>
      <c r="Q2" s="15" t="s">
        <v>10</v>
      </c>
      <c r="R2" s="15" t="s">
        <v>1</v>
      </c>
      <c r="S2" s="37" t="s">
        <v>0</v>
      </c>
      <c r="T2" s="37" t="s">
        <v>5</v>
      </c>
      <c r="U2" s="37" t="s">
        <v>12</v>
      </c>
      <c r="V2" s="37" t="s">
        <v>15</v>
      </c>
      <c r="W2" s="37" t="s">
        <v>11</v>
      </c>
      <c r="X2" s="37" t="s">
        <v>16</v>
      </c>
      <c r="Y2" s="37" t="s">
        <v>10</v>
      </c>
      <c r="Z2" s="37" t="s">
        <v>1</v>
      </c>
    </row>
    <row r="3" spans="2:26" x14ac:dyDescent="0.2">
      <c r="B3" s="4">
        <v>287</v>
      </c>
      <c r="C3" s="5" cm="1">
        <f t="array" aca="1" ref="C3" ca="1">INDIRECT("'results" &amp; $B3 &amp; "'!D$14")</f>
        <v>86789.675838657742</v>
      </c>
      <c r="D3" s="33" cm="1">
        <f t="array" aca="1" ref="D3" ca="1">INDIRECT("'results" &amp; $B3 &amp; "'!E$14")</f>
        <v>0.95438587500029826</v>
      </c>
      <c r="E3" s="5" cm="1">
        <f t="array" aca="1" ref="E3" ca="1">INDIRECT("'results" &amp; $B3 &amp; "'!F$14")</f>
        <v>3</v>
      </c>
      <c r="F3" s="5" cm="1">
        <f t="array" aca="1" ref="F3" ca="1">INDIRECT("'results" &amp; $B3 &amp; "'!G$14")</f>
        <v>90</v>
      </c>
      <c r="G3" s="5" cm="1">
        <f t="array" aca="1" ref="G3" ca="1">INDIRECT("'results" &amp; $B3 &amp; "'!H$14")</f>
        <v>10.349988019843472</v>
      </c>
      <c r="H3" s="33" cm="1">
        <f t="array" aca="1" ref="H3" ca="1">INDIRECT("'results" &amp; $B3 &amp; "'!I$14")</f>
        <v>22.710715928342054</v>
      </c>
      <c r="I3" s="5" cm="1">
        <f t="array" aca="1" ref="I3" ca="1">INDIRECT("'results" &amp; $B3 &amp; "'!J$14")</f>
        <v>1707.771099757749</v>
      </c>
      <c r="J3" s="5"/>
      <c r="K3" s="5" cm="1">
        <f t="array" aca="1" ref="K3" ca="1">INDIRECT("'results" &amp; $B3 &amp; "'!L$14")</f>
        <v>106817.6679873207</v>
      </c>
      <c r="L3" s="5" cm="1">
        <f t="array" aca="1" ref="L3" ca="1">INDIRECT("'results" &amp; $B3 &amp; "'!M$14")</f>
        <v>0.71815000000060536</v>
      </c>
      <c r="M3" s="5" cm="1">
        <f t="array" aca="1" ref="M3" ca="1">INDIRECT("'results" &amp; $B3 &amp; "'!N$14")</f>
        <v>3</v>
      </c>
      <c r="N3" s="5" cm="1">
        <f t="array" aca="1" ref="N3" ca="1">INDIRECT("'results" &amp; $B3 &amp; "'!O$14")</f>
        <v>63.333333333333343</v>
      </c>
      <c r="O3" s="5" cm="1">
        <f t="array" aca="1" ref="O3" ca="1">INDIRECT("'results" &amp; $B3 &amp; "'!P$14")</f>
        <v>0</v>
      </c>
      <c r="P3" s="5" cm="1">
        <f t="array" aca="1" ref="P3" ca="1">INDIRECT("'results" &amp; $B3 &amp; "'!Q$14")</f>
        <v>14.93490688036583</v>
      </c>
      <c r="Q3" s="5" cm="1">
        <f t="array" aca="1" ref="Q3" ca="1">INDIRECT("'results" &amp; $B3 &amp; "'!R$14")</f>
        <v>1357.472201112367</v>
      </c>
      <c r="R3" s="5"/>
      <c r="S3" s="5" cm="1">
        <f t="array" aca="1" ref="S3" ca="1">INDIRECT("'results" &amp; $B3 &amp; "'!T$14")</f>
        <v>106880.8911981195</v>
      </c>
      <c r="T3" s="5" cm="1">
        <f t="array" aca="1" ref="T3" ca="1">INDIRECT("'results" &amp; $B3 &amp; "'!U$14")</f>
        <v>0.94284029100163025</v>
      </c>
      <c r="U3" s="5" cm="1">
        <f t="array" aca="1" ref="U3" ca="1">INDIRECT("'results" &amp; $B3 &amp; "'!V$14")</f>
        <v>3</v>
      </c>
      <c r="V3" s="5" cm="1">
        <f t="array" aca="1" ref="V3" ca="1">INDIRECT("'results" &amp; $B3 &amp; "'!W$14")</f>
        <v>76.666666666666671</v>
      </c>
      <c r="W3" s="5" cm="1">
        <f t="array" aca="1" ref="W3" ca="1">INDIRECT("'results" &amp; $B3 &amp; "'!X$14")</f>
        <v>75.770877667681219</v>
      </c>
      <c r="X3" s="5" cm="1">
        <f t="array" aca="1" ref="X3" ca="1">INDIRECT("'results" &amp; $B3 &amp; "'!Y$14")</f>
        <v>31.2853352111573</v>
      </c>
      <c r="Y3" s="5" cm="1">
        <f t="array" aca="1" ref="Y3" ca="1">INDIRECT("'results" &amp; $B3 &amp; "'!Z$14")</f>
        <v>2090.131531859457</v>
      </c>
      <c r="Z3" s="5"/>
    </row>
    <row r="4" spans="2:26" x14ac:dyDescent="0.2">
      <c r="B4" s="4">
        <v>503</v>
      </c>
      <c r="C4" s="5" cm="1">
        <f t="array" aca="1" ref="C4" ca="1">INDIRECT("'results" &amp; $B4 &amp; "'!D$14")</f>
        <v>72109.261992094922</v>
      </c>
      <c r="D4" s="33" cm="1">
        <f t="array" aca="1" ref="D4" ca="1">INDIRECT("'results" &amp; $B4 &amp; "'!E$14")</f>
        <v>1.2776501670014111</v>
      </c>
      <c r="E4" s="5" cm="1">
        <f t="array" aca="1" ref="E4" ca="1">INDIRECT("'results" &amp; $B4 &amp; "'!F$14")</f>
        <v>3</v>
      </c>
      <c r="F4" s="5" cm="1">
        <f t="array" aca="1" ref="F4" ca="1">INDIRECT("'results" &amp; $B4 &amp; "'!G$14")</f>
        <v>96.666666666666671</v>
      </c>
      <c r="G4" s="5" cm="1">
        <f t="array" aca="1" ref="G4" ca="1">INDIRECT("'results" &amp; $B4 &amp; "'!H$14")</f>
        <v>6.785365388679355</v>
      </c>
      <c r="H4" s="33" cm="1">
        <f t="array" aca="1" ref="H4" ca="1">INDIRECT("'results" &amp; $B4 &amp; "'!I$14")</f>
        <v>20.965674169162099</v>
      </c>
      <c r="I4" s="5" cm="1">
        <f t="array" aca="1" ref="I4" ca="1">INDIRECT("'results" &amp; $B4 &amp; "'!J$14")</f>
        <v>1457.2080932494894</v>
      </c>
      <c r="J4" s="5"/>
      <c r="K4" s="5" cm="1">
        <f t="array" aca="1" ref="K4" ca="1">INDIRECT("'results" &amp; $B4 &amp; "'!L$14")</f>
        <v>90683.257211579243</v>
      </c>
      <c r="L4" s="5" cm="1">
        <f t="array" aca="1" ref="L4" ca="1">INDIRECT("'results" &amp; $B4 &amp; "'!M$14")</f>
        <v>0.73320941600104561</v>
      </c>
      <c r="M4" s="5" cm="1">
        <f t="array" aca="1" ref="M4" ca="1">INDIRECT("'results" &amp; $B4 &amp; "'!N$14")</f>
        <v>3</v>
      </c>
      <c r="N4" s="5" cm="1">
        <f t="array" aca="1" ref="N4" ca="1">INDIRECT("'results" &amp; $B4 &amp; "'!O$14")</f>
        <v>76.666666666666671</v>
      </c>
      <c r="O4" s="5" cm="1">
        <f t="array" aca="1" ref="O4" ca="1">INDIRECT("'results" &amp; $B4 &amp; "'!P$14")</f>
        <v>8.4036166019507655E-2</v>
      </c>
      <c r="P4" s="5" cm="1">
        <f t="array" aca="1" ref="P4" ca="1">INDIRECT("'results" &amp; $B4 &amp; "'!Q$14")</f>
        <v>15.902850611581471</v>
      </c>
      <c r="Q4" s="5" cm="1">
        <f t="array" aca="1" ref="Q4" ca="1">INDIRECT("'results" &amp; $B4 &amp; "'!R$14")</f>
        <v>1315.7706733066291</v>
      </c>
      <c r="R4" s="5"/>
      <c r="S4" s="5" cm="1">
        <f t="array" aca="1" ref="S4" ca="1">INDIRECT("'results" &amp; $B4 &amp; "'!T$14")</f>
        <v>89283.931045723555</v>
      </c>
      <c r="T4" s="5" cm="1">
        <f t="array" aca="1" ref="T4" ca="1">INDIRECT("'results" &amp; $B4 &amp; "'!U$14")</f>
        <v>1.169493458997749</v>
      </c>
      <c r="U4" s="5" cm="1">
        <f t="array" aca="1" ref="U4" ca="1">INDIRECT("'results" &amp; $B4 &amp; "'!V$14")</f>
        <v>3</v>
      </c>
      <c r="V4" s="5" cm="1">
        <f t="array" aca="1" ref="V4" ca="1">INDIRECT("'results" &amp; $B4 &amp; "'!W$14")</f>
        <v>90</v>
      </c>
      <c r="W4" s="5" cm="1">
        <f t="array" aca="1" ref="W4" ca="1">INDIRECT("'results" &amp; $B4 &amp; "'!X$14")</f>
        <v>58.435518689979197</v>
      </c>
      <c r="X4" s="5" cm="1">
        <f t="array" aca="1" ref="X4" ca="1">INDIRECT("'results" &amp; $B4 &amp; "'!Y$14")</f>
        <v>37.020723499110588</v>
      </c>
      <c r="Y4" s="5" cm="1">
        <f t="array" aca="1" ref="Y4" ca="1">INDIRECT("'results" &amp; $B4 &amp; "'!Z$14")</f>
        <v>1978.1854750277089</v>
      </c>
      <c r="Z4" s="5"/>
    </row>
    <row r="5" spans="2:26" x14ac:dyDescent="0.2">
      <c r="B5" s="4">
        <v>579</v>
      </c>
      <c r="C5" s="5" cm="1">
        <f t="array" aca="1" ref="C5" ca="1">INDIRECT("'results" &amp; $B5 &amp; "'!D$14")</f>
        <v>71363.297273729797</v>
      </c>
      <c r="D5" s="33" cm="1">
        <f t="array" aca="1" ref="D5" ca="1">INDIRECT("'results" &amp; $B5 &amp; "'!E$14")</f>
        <v>1.229316999997536</v>
      </c>
      <c r="E5" s="5" cm="1">
        <f t="array" aca="1" ref="E5" ca="1">INDIRECT("'results" &amp; $B5 &amp; "'!F$14")</f>
        <v>3</v>
      </c>
      <c r="F5" s="5" cm="1">
        <f t="array" aca="1" ref="F5" ca="1">INDIRECT("'results" &amp; $B5 &amp; "'!G$14")</f>
        <v>93.333333333333329</v>
      </c>
      <c r="G5" s="5" cm="1">
        <f t="array" aca="1" ref="G5" ca="1">INDIRECT("'results" &amp; $B5 &amp; "'!H$14")</f>
        <v>0</v>
      </c>
      <c r="H5" s="33" cm="1">
        <f t="array" aca="1" ref="H5" ca="1">INDIRECT("'results" &amp; $B5 &amp; "'!I$14")</f>
        <v>27.701524852998279</v>
      </c>
      <c r="I5" s="5" cm="1">
        <f t="array" aca="1" ref="I5" ca="1">INDIRECT("'results" &amp; $B5 &amp; "'!J$14")</f>
        <v>1364.5156168347064</v>
      </c>
      <c r="J5" s="5"/>
      <c r="K5" s="5" cm="1">
        <f t="array" aca="1" ref="K5" ca="1">INDIRECT("'results" &amp; $B5 &amp; "'!L$14")</f>
        <v>89602.481122703699</v>
      </c>
      <c r="L5" s="5" cm="1">
        <f t="array" aca="1" ref="L5" ca="1">INDIRECT("'results" &amp; $B5 &amp; "'!M$14")</f>
        <v>0.7147714589991665</v>
      </c>
      <c r="M5" s="5" cm="1">
        <f t="array" aca="1" ref="M5" ca="1">INDIRECT("'results" &amp; $B5 &amp; "'!N$14")</f>
        <v>3</v>
      </c>
      <c r="N5" s="5" cm="1">
        <f t="array" aca="1" ref="N5" ca="1">INDIRECT("'results" &amp; $B5 &amp; "'!O$14")</f>
        <v>73.333333333333329</v>
      </c>
      <c r="O5" s="5" cm="1">
        <f t="array" aca="1" ref="O5" ca="1">INDIRECT("'results" &amp; $B5 &amp; "'!P$14")</f>
        <v>0</v>
      </c>
      <c r="P5" s="5" cm="1">
        <f t="array" aca="1" ref="P5" ca="1">INDIRECT("'results" &amp; $B5 &amp; "'!Q$14")</f>
        <v>20.063982010565532</v>
      </c>
      <c r="Q5" s="5" cm="1">
        <f t="array" aca="1" ref="Q5" ca="1">INDIRECT("'results" &amp; $B5 &amp; "'!R$14")</f>
        <v>1166.344765020493</v>
      </c>
      <c r="R5" s="5"/>
      <c r="S5" s="5" cm="1">
        <f t="array" aca="1" ref="S5" ca="1">INDIRECT("'results" &amp; $B5 &amp; "'!T$14")</f>
        <v>83016.194208229135</v>
      </c>
      <c r="T5" s="5" cm="1">
        <f t="array" aca="1" ref="T5" ca="1">INDIRECT("'results" &amp; $B5 &amp; "'!U$14")</f>
        <v>1.811156874999142</v>
      </c>
      <c r="U5" s="5" cm="1">
        <f t="array" aca="1" ref="U5" ca="1">INDIRECT("'results" &amp; $B5 &amp; "'!V$14")</f>
        <v>3</v>
      </c>
      <c r="V5" s="5" cm="1">
        <f t="array" aca="1" ref="V5" ca="1">INDIRECT("'results" &amp; $B5 &amp; "'!W$14")</f>
        <v>90</v>
      </c>
      <c r="W5" s="5" cm="1">
        <f t="array" aca="1" ref="W5" ca="1">INDIRECT("'results" &amp; $B5 &amp; "'!X$14")</f>
        <v>18.87955283543516</v>
      </c>
      <c r="X5" s="5" cm="1">
        <f t="array" aca="1" ref="X5" ca="1">INDIRECT("'results" &amp; $B5 &amp; "'!Y$14")</f>
        <v>44.259179003305931</v>
      </c>
      <c r="Y5" s="5" cm="1">
        <f t="array" aca="1" ref="Y5" ca="1">INDIRECT("'results" &amp; $B5 &amp; "'!Z$14")</f>
        <v>1841.4998834650701</v>
      </c>
      <c r="Z5" s="5"/>
    </row>
    <row r="6" spans="2:26" x14ac:dyDescent="0.2">
      <c r="B6" s="4">
        <v>118</v>
      </c>
      <c r="C6" s="5" cm="1">
        <f t="array" aca="1" ref="C6" ca="1">INDIRECT("'results" &amp; $B6 &amp; "'!D$14")</f>
        <v>73592.606073053597</v>
      </c>
      <c r="D6" s="33" cm="1">
        <f t="array" aca="1" ref="D6" ca="1">INDIRECT("'results" &amp; $B6 &amp; "'!E$14")</f>
        <v>0.84506424999926821</v>
      </c>
      <c r="E6" s="5" cm="1">
        <f t="array" aca="1" ref="E6" ca="1">INDIRECT("'results" &amp; $B6 &amp; "'!F$14")</f>
        <v>3</v>
      </c>
      <c r="F6" s="5" cm="1">
        <f t="array" aca="1" ref="F6" ca="1">INDIRECT("'results" &amp; $B6 &amp; "'!G$14")</f>
        <v>93.333333333333329</v>
      </c>
      <c r="G6" s="5" cm="1">
        <f t="array" aca="1" ref="G6" ca="1">INDIRECT("'results" &amp; $B6 &amp; "'!H$14")</f>
        <v>0.74228536943810142</v>
      </c>
      <c r="H6" s="33" cm="1">
        <f t="array" aca="1" ref="H6" ca="1">INDIRECT("'results" &amp; $B6 &amp; "'!I$14")</f>
        <v>21.856010723698091</v>
      </c>
      <c r="I6" s="5" cm="1">
        <f t="array" aca="1" ref="I6" ca="1">INDIRECT("'results" &amp; $B6 &amp; "'!J$14")</f>
        <v>1375.3054739255083</v>
      </c>
      <c r="J6" s="5"/>
      <c r="K6" s="5" cm="1">
        <f t="array" aca="1" ref="K6" ca="1">INDIRECT("'results" &amp; $B6 &amp; "'!L$14")</f>
        <v>82256.2041871853</v>
      </c>
      <c r="L6" s="5" cm="1">
        <f t="array" aca="1" ref="L6" ca="1">INDIRECT("'results" &amp; $B6 &amp; "'!M$14")</f>
        <v>0.89757020799879683</v>
      </c>
      <c r="M6" s="5" cm="1">
        <f t="array" aca="1" ref="M6" ca="1">INDIRECT("'results" &amp; $B6 &amp; "'!N$14")</f>
        <v>3</v>
      </c>
      <c r="N6" s="5" cm="1">
        <f t="array" aca="1" ref="N6" ca="1">INDIRECT("'results" &amp; $B6 &amp; "'!O$14")</f>
        <v>80</v>
      </c>
      <c r="O6" s="5" cm="1">
        <f t="array" aca="1" ref="O6" ca="1">INDIRECT("'results" &amp; $B6 &amp; "'!P$14")</f>
        <v>0</v>
      </c>
      <c r="P6" s="5" cm="1">
        <f t="array" aca="1" ref="P6" ca="1">INDIRECT("'results" &amp; $B6 &amp; "'!Q$14")</f>
        <v>16.298707825740451</v>
      </c>
      <c r="Q6" s="5" cm="1">
        <f t="array" aca="1" ref="Q6" ca="1">INDIRECT("'results" &amp; $B6 &amp; "'!R$14")</f>
        <v>1103.7100164986141</v>
      </c>
      <c r="R6" s="5"/>
      <c r="S6" s="5" cm="1">
        <f t="array" aca="1" ref="S6" ca="1">INDIRECT("'results" &amp; $B6 &amp; "'!T$14")</f>
        <v>84315.084711685544</v>
      </c>
      <c r="T6" s="5" cm="1">
        <f t="array" aca="1" ref="T6" ca="1">INDIRECT("'results" &amp; $B6 &amp; "'!U$14")</f>
        <v>0.76911795799969696</v>
      </c>
      <c r="U6" s="5" cm="1">
        <f t="array" aca="1" ref="U6" ca="1">INDIRECT("'results" &amp; $B6 &amp; "'!V$14")</f>
        <v>3</v>
      </c>
      <c r="V6" s="5" cm="1">
        <f t="array" aca="1" ref="V6" ca="1">INDIRECT("'results" &amp; $B6 &amp; "'!W$14")</f>
        <v>86.666666666666671</v>
      </c>
      <c r="W6" s="5" cm="1">
        <f t="array" aca="1" ref="W6" ca="1">INDIRECT("'results" &amp; $B6 &amp; "'!X$14")</f>
        <v>11.97895568568601</v>
      </c>
      <c r="X6" s="5" cm="1">
        <f t="array" aca="1" ref="X6" ca="1">INDIRECT("'results" &amp; $B6 &amp; "'!Y$14")</f>
        <v>31.741236718996991</v>
      </c>
      <c r="Y6" s="5" cm="1">
        <f t="array" aca="1" ref="Y6" ca="1">INDIRECT("'results" &amp; $B6 &amp; "'!Z$14")</f>
        <v>1602.558272784971</v>
      </c>
      <c r="Z6" s="5"/>
    </row>
    <row r="7" spans="2:26" x14ac:dyDescent="0.2">
      <c r="B7" s="4">
        <v>685</v>
      </c>
      <c r="C7" s="5" cm="1">
        <f t="array" aca="1" ref="C7" ca="1">INDIRECT("'results" &amp; $B7 &amp; "'!D$14")</f>
        <v>59445.697516057509</v>
      </c>
      <c r="D7" s="33" cm="1">
        <f t="array" aca="1" ref="D7" ca="1">INDIRECT("'results" &amp; $B7 &amp; "'!E$14")</f>
        <v>0.97850691700296011</v>
      </c>
      <c r="E7" s="5" cm="1">
        <f t="array" aca="1" ref="E7" ca="1">INDIRECT("'results" &amp; $B7 &amp; "'!F$14")</f>
        <v>3</v>
      </c>
      <c r="F7" s="5" cm="1">
        <f t="array" aca="1" ref="F7" ca="1">INDIRECT("'results" &amp; $B7 &amp; "'!G$14")</f>
        <v>96.666666666666671</v>
      </c>
      <c r="G7" s="5" cm="1">
        <f t="array" aca="1" ref="G7" ca="1">INDIRECT("'results" &amp; $B7 &amp; "'!H$14")</f>
        <v>0</v>
      </c>
      <c r="H7" s="33" cm="1">
        <f t="array" aca="1" ref="H7" ca="1">INDIRECT("'results" &amp; $B7 &amp; "'!I$14")</f>
        <v>25.046206949285096</v>
      </c>
      <c r="I7" s="5" cm="1">
        <f t="array" aca="1" ref="I7" ca="1">INDIRECT("'results" &amp; $B7 &amp; "'!J$14")</f>
        <v>1082.2641236466002</v>
      </c>
      <c r="J7" s="5"/>
      <c r="K7" s="5" cm="1">
        <f t="array" aca="1" ref="K7" ca="1">INDIRECT("'results" &amp; $B7 &amp; "'!L$14")</f>
        <v>78041.033181721112</v>
      </c>
      <c r="L7" s="5" cm="1">
        <f t="array" aca="1" ref="L7" ca="1">INDIRECT("'results" &amp; $B7 &amp; "'!M$14")</f>
        <v>0.89924408300066716</v>
      </c>
      <c r="M7" s="5" cm="1">
        <f t="array" aca="1" ref="M7" ca="1">INDIRECT("'results" &amp; $B7 &amp; "'!N$14")</f>
        <v>3</v>
      </c>
      <c r="N7" s="5" cm="1">
        <f t="array" aca="1" ref="N7" ca="1">INDIRECT("'results" &amp; $B7 &amp; "'!O$14")</f>
        <v>80</v>
      </c>
      <c r="O7" s="5" cm="1">
        <f t="array" aca="1" ref="O7" ca="1">INDIRECT("'results" &amp; $B7 &amp; "'!P$14")</f>
        <v>0</v>
      </c>
      <c r="P7" s="5" cm="1">
        <f t="array" aca="1" ref="P7" ca="1">INDIRECT("'results" &amp; $B7 &amp; "'!Q$14")</f>
        <v>21.05817272302702</v>
      </c>
      <c r="Q7" s="5" cm="1">
        <f t="array" aca="1" ref="Q7" ca="1">INDIRECT("'results" &amp; $B7 &amp; "'!R$14")</f>
        <v>1013.892176716561</v>
      </c>
      <c r="R7" s="5"/>
      <c r="S7" s="5" cm="1">
        <f t="array" aca="1" ref="S7" ca="1">INDIRECT("'results" &amp; $B7 &amp; "'!T$14")</f>
        <v>72090.85447259061</v>
      </c>
      <c r="T7" s="5" cm="1">
        <f t="array" aca="1" ref="T7" ca="1">INDIRECT("'results" &amp; $B7 &amp; "'!U$14")</f>
        <v>0.863935291999951</v>
      </c>
      <c r="U7" s="5" cm="1">
        <f t="array" aca="1" ref="U7" ca="1">INDIRECT("'results" &amp; $B7 &amp; "'!V$14")</f>
        <v>3</v>
      </c>
      <c r="V7" s="5" cm="1">
        <f t="array" aca="1" ref="V7" ca="1">INDIRECT("'results" &amp; $B7 &amp; "'!W$14")</f>
        <v>96.666666666666671</v>
      </c>
      <c r="W7" s="5" cm="1">
        <f t="array" aca="1" ref="W7" ca="1">INDIRECT("'results" &amp; $B7 &amp; "'!X$14")</f>
        <v>66.670837253471177</v>
      </c>
      <c r="X7" s="5" cm="1">
        <f t="array" aca="1" ref="X7" ca="1">INDIRECT("'results" &amp; $B7 &amp; "'!Y$14")</f>
        <v>58.396702493702378</v>
      </c>
      <c r="Y7" s="5" cm="1">
        <f t="array" aca="1" ref="Y7" ca="1">INDIRECT("'results" &amp; $B7 &amp; "'!Z$14")</f>
        <v>1796.773693956241</v>
      </c>
      <c r="Z7" s="5"/>
    </row>
    <row r="8" spans="2:26" x14ac:dyDescent="0.2">
      <c r="B8" s="4">
        <v>759</v>
      </c>
      <c r="C8" s="5" cm="1">
        <f t="array" aca="1" ref="C8" ca="1">INDIRECT("'results" &amp; $B8 &amp; "'!D$14")</f>
        <v>72423.467370351544</v>
      </c>
      <c r="D8" s="33" cm="1">
        <f t="array" aca="1" ref="D8" ca="1">INDIRECT("'results" &amp; $B8 &amp; "'!E$14")</f>
        <v>1.3110477920017729</v>
      </c>
      <c r="E8" s="5" cm="1">
        <f t="array" aca="1" ref="E8" ca="1">INDIRECT("'results" &amp; $B8 &amp; "'!F$14")</f>
        <v>3</v>
      </c>
      <c r="F8" s="5" cm="1">
        <f t="array" aca="1" ref="F8" ca="1">INDIRECT("'results" &amp; $B8 &amp; "'!G$14")</f>
        <v>93.333333333333329</v>
      </c>
      <c r="G8" s="5" cm="1">
        <f t="array" aca="1" ref="G8" ca="1">INDIRECT("'results" &amp; $B8 &amp; "'!H$14")</f>
        <v>1.4187637980341006</v>
      </c>
      <c r="H8" s="33" cm="1">
        <f t="array" aca="1" ref="H8" ca="1">INDIRECT("'results" &amp; $B8 &amp; "'!I$14")</f>
        <v>21.891217074218162</v>
      </c>
      <c r="I8" s="5" cm="1">
        <f t="array" aca="1" ref="I8" ca="1">INDIRECT("'results" &amp; $B8 &amp; "'!J$14")</f>
        <v>1338.5468569134343</v>
      </c>
      <c r="J8" s="5"/>
      <c r="K8" s="5" cm="1">
        <f t="array" aca="1" ref="K8" ca="1">INDIRECT("'results" &amp; $B8 &amp; "'!L$14")</f>
        <v>88434.559970481831</v>
      </c>
      <c r="L8" s="5" cm="1">
        <f t="array" aca="1" ref="L8" ca="1">INDIRECT("'results" &amp; $B8 &amp; "'!M$14")</f>
        <v>0.99259783399975277</v>
      </c>
      <c r="M8" s="5" cm="1">
        <f t="array" aca="1" ref="M8" ca="1">INDIRECT("'results" &amp; $B8 &amp; "'!N$14")</f>
        <v>3</v>
      </c>
      <c r="N8" s="5" cm="1">
        <f t="array" aca="1" ref="N8" ca="1">INDIRECT("'results" &amp; $B8 &amp; "'!O$14")</f>
        <v>80</v>
      </c>
      <c r="O8" s="5" cm="1">
        <f t="array" aca="1" ref="O8" ca="1">INDIRECT("'results" &amp; $B8 &amp; "'!P$14")</f>
        <v>0</v>
      </c>
      <c r="P8" s="5" cm="1">
        <f t="array" aca="1" ref="P8" ca="1">INDIRECT("'results" &amp; $B8 &amp; "'!Q$14")</f>
        <v>18.20990129900763</v>
      </c>
      <c r="Q8" s="5" cm="1">
        <f t="array" aca="1" ref="Q8" ca="1">INDIRECT("'results" &amp; $B8 &amp; "'!R$14")</f>
        <v>1364.8001557522409</v>
      </c>
      <c r="R8" s="5"/>
      <c r="S8" s="5" cm="1">
        <f t="array" aca="1" ref="S8" ca="1">INDIRECT("'results" &amp; $B8 &amp; "'!T$14")</f>
        <v>87311.918777623505</v>
      </c>
      <c r="T8" s="5" cm="1">
        <f t="array" aca="1" ref="T8" ca="1">INDIRECT("'results" &amp; $B8 &amp; "'!U$14")</f>
        <v>1.1823316670015629</v>
      </c>
      <c r="U8" s="5" cm="1">
        <f t="array" aca="1" ref="U8" ca="1">INDIRECT("'results" &amp; $B8 &amp; "'!V$14")</f>
        <v>3</v>
      </c>
      <c r="V8" s="5" cm="1">
        <f t="array" aca="1" ref="V8" ca="1">INDIRECT("'results" &amp; $B8 &amp; "'!W$14")</f>
        <v>86.666666666666671</v>
      </c>
      <c r="W8" s="5" cm="1">
        <f t="array" aca="1" ref="W8" ca="1">INDIRECT("'results" &amp; $B8 &amp; "'!X$14")</f>
        <v>38.128978109078389</v>
      </c>
      <c r="X8" s="5" cm="1">
        <f t="array" aca="1" ref="X8" ca="1">INDIRECT("'results" &amp; $B8 &amp; "'!Y$14")</f>
        <v>39.99273064797174</v>
      </c>
      <c r="Y8" s="5" cm="1">
        <f t="array" aca="1" ref="Y8" ca="1">INDIRECT("'results" &amp; $B8 &amp; "'!Z$14")</f>
        <v>1806.979798494378</v>
      </c>
      <c r="Z8" s="5"/>
    </row>
    <row r="9" spans="2:26" x14ac:dyDescent="0.2">
      <c r="B9" s="4">
        <v>782</v>
      </c>
      <c r="C9" s="5" cm="1">
        <f t="array" aca="1" ref="C9" ca="1">INDIRECT("'results" &amp; $B9 &amp; "'!D$14")</f>
        <v>69266.712503584946</v>
      </c>
      <c r="D9" s="33" cm="1">
        <f t="array" aca="1" ref="D9" ca="1">INDIRECT("'results" &amp; $B9 &amp; "'!E$14")</f>
        <v>2.6423347919990192</v>
      </c>
      <c r="E9" s="5" cm="1">
        <f t="array" aca="1" ref="E9" ca="1">INDIRECT("'results" &amp; $B9 &amp; "'!F$14")</f>
        <v>3</v>
      </c>
      <c r="F9" s="5" cm="1">
        <f t="array" aca="1" ref="F9" ca="1">INDIRECT("'results" &amp; $B9 &amp; "'!G$14")</f>
        <v>100</v>
      </c>
      <c r="G9" s="5" cm="1">
        <f t="array" aca="1" ref="G9" ca="1">INDIRECT("'results" &amp; $B9 &amp; "'!H$14")</f>
        <v>0.98448605249473065</v>
      </c>
      <c r="H9" s="33" cm="1">
        <f t="array" aca="1" ref="H9" ca="1">INDIRECT("'results" &amp; $B9 &amp; "'!I$14")</f>
        <v>25.869465076292453</v>
      </c>
      <c r="I9" s="5" cm="1">
        <f t="array" aca="1" ref="I9" ca="1">INDIRECT("'results" &amp; $B9 &amp; "'!J$14")</f>
        <v>1447.1036338498152</v>
      </c>
      <c r="J9" s="5"/>
      <c r="K9" s="5" cm="1">
        <f t="array" aca="1" ref="K9" ca="1">INDIRECT("'results" &amp; $B9 &amp; "'!L$14")</f>
        <v>89173.5764601868</v>
      </c>
      <c r="L9" s="5" cm="1">
        <f t="array" aca="1" ref="L9" ca="1">INDIRECT("'results" &amp; $B9 &amp; "'!M$14")</f>
        <v>1.471171875000437</v>
      </c>
      <c r="M9" s="5" cm="1">
        <f t="array" aca="1" ref="M9" ca="1">INDIRECT("'results" &amp; $B9 &amp; "'!N$14")</f>
        <v>3</v>
      </c>
      <c r="N9" s="5" cm="1">
        <f t="array" aca="1" ref="N9" ca="1">INDIRECT("'results" &amp; $B9 &amp; "'!O$14")</f>
        <v>76.666666666666671</v>
      </c>
      <c r="O9" s="5" cm="1">
        <f t="array" aca="1" ref="O9" ca="1">INDIRECT("'results" &amp; $B9 &amp; "'!P$14")</f>
        <v>0</v>
      </c>
      <c r="P9" s="5" cm="1">
        <f t="array" aca="1" ref="P9" ca="1">INDIRECT("'results" &amp; $B9 &amp; "'!Q$14")</f>
        <v>18.38434896444663</v>
      </c>
      <c r="Q9" s="5" cm="1">
        <f t="array" aca="1" ref="Q9" ca="1">INDIRECT("'results" &amp; $B9 &amp; "'!R$14")</f>
        <v>1192.3658617739411</v>
      </c>
      <c r="R9" s="5"/>
      <c r="S9" s="5" cm="1">
        <f t="array" aca="1" ref="S9" ca="1">INDIRECT("'results" &amp; $B9 &amp; "'!T$14")</f>
        <v>87586.314588304595</v>
      </c>
      <c r="T9" s="5" cm="1">
        <f t="array" aca="1" ref="T9" ca="1">INDIRECT("'results" &amp; $B9 &amp; "'!U$14")</f>
        <v>1.763540416002797</v>
      </c>
      <c r="U9" s="5" cm="1">
        <f t="array" aca="1" ref="U9" ca="1">INDIRECT("'results" &amp; $B9 &amp; "'!V$14")</f>
        <v>3</v>
      </c>
      <c r="V9" s="5" cm="1">
        <f t="array" aca="1" ref="V9" ca="1">INDIRECT("'results" &amp; $B9 &amp; "'!W$14")</f>
        <v>90</v>
      </c>
      <c r="W9" s="5" cm="1">
        <f t="array" aca="1" ref="W9" ca="1">INDIRECT("'results" &amp; $B9 &amp; "'!X$14")</f>
        <v>38.299041373565608</v>
      </c>
      <c r="X9" s="5" cm="1">
        <f t="array" aca="1" ref="X9" ca="1">INDIRECT("'results" &amp; $B9 &amp; "'!Y$14")</f>
        <v>36.574214833969883</v>
      </c>
      <c r="Y9" s="5" cm="1">
        <f t="array" aca="1" ref="Y9" ca="1">INDIRECT("'results" &amp; $B9 &amp; "'!Z$14")</f>
        <v>1800.8906195496761</v>
      </c>
      <c r="Z9" s="5"/>
    </row>
    <row r="10" spans="2:26" x14ac:dyDescent="0.2">
      <c r="B10" s="4">
        <v>818</v>
      </c>
      <c r="C10" s="5" cm="1">
        <f t="array" aca="1" ref="C10" ca="1">INDIRECT("'results" &amp; $B10 &amp; "'!D$14")</f>
        <v>65596.766920592912</v>
      </c>
      <c r="D10" s="33" cm="1">
        <f t="array" aca="1" ref="D10" ca="1">INDIRECT("'results" &amp; $B10 &amp; "'!E$14")</f>
        <v>0.87754962499820977</v>
      </c>
      <c r="E10" s="5" cm="1">
        <f t="array" aca="1" ref="E10" ca="1">INDIRECT("'results" &amp; $B10 &amp; "'!F$14")</f>
        <v>3</v>
      </c>
      <c r="F10" s="5" cm="1">
        <f t="array" aca="1" ref="F10" ca="1">INDIRECT("'results" &amp; $B10 &amp; "'!G$14")</f>
        <v>93.333333333333329</v>
      </c>
      <c r="G10" s="5" cm="1">
        <f t="array" aca="1" ref="G10" ca="1">INDIRECT("'results" &amp; $B10 &amp; "'!H$14")</f>
        <v>0</v>
      </c>
      <c r="H10" s="33" cm="1">
        <f t="array" aca="1" ref="H10" ca="1">INDIRECT("'results" &amp; $B10 &amp; "'!I$14")</f>
        <v>28.501759696329113</v>
      </c>
      <c r="I10" s="5" cm="1">
        <f t="array" aca="1" ref="I10" ca="1">INDIRECT("'results" &amp; $B10 &amp; "'!J$14")</f>
        <v>1165.1316383942581</v>
      </c>
      <c r="J10" s="5"/>
      <c r="K10" s="5" cm="1">
        <f t="array" aca="1" ref="K10" ca="1">INDIRECT("'results" &amp; $B10 &amp; "'!L$14")</f>
        <v>92645.406827852639</v>
      </c>
      <c r="L10" s="5" cm="1">
        <f t="array" aca="1" ref="L10" ca="1">INDIRECT("'results" &amp; $B10 &amp; "'!M$14")</f>
        <v>1.198776040997473</v>
      </c>
      <c r="M10" s="5" cm="1">
        <f t="array" aca="1" ref="M10" ca="1">INDIRECT("'results" &amp; $B10 &amp; "'!N$14")</f>
        <v>3</v>
      </c>
      <c r="N10" s="5" cm="1">
        <f t="array" aca="1" ref="N10" ca="1">INDIRECT("'results" &amp; $B10 &amp; "'!O$14")</f>
        <v>66.666666666666671</v>
      </c>
      <c r="O10" s="5" cm="1">
        <f t="array" aca="1" ref="O10" ca="1">INDIRECT("'results" &amp; $B10 &amp; "'!P$14")</f>
        <v>0</v>
      </c>
      <c r="P10" s="5" cm="1">
        <f t="array" aca="1" ref="P10" ca="1">INDIRECT("'results" &amp; $B10 &amp; "'!Q$14")</f>
        <v>18.304385776904269</v>
      </c>
      <c r="Q10" s="5" cm="1">
        <f t="array" aca="1" ref="Q10" ca="1">INDIRECT("'results" &amp; $B10 &amp; "'!R$14")</f>
        <v>899.66662083924598</v>
      </c>
      <c r="R10" s="5"/>
      <c r="S10" s="5" cm="1">
        <f t="array" aca="1" ref="S10" ca="1">INDIRECT("'results" &amp; $B10 &amp; "'!T$14")</f>
        <v>78477.063271796185</v>
      </c>
      <c r="T10" s="5" cm="1">
        <f t="array" aca="1" ref="T10" ca="1">INDIRECT("'results" &amp; $B10 &amp; "'!U$14")</f>
        <v>0.90682087499953923</v>
      </c>
      <c r="U10" s="5" cm="1">
        <f t="array" aca="1" ref="U10" ca="1">INDIRECT("'results" &amp; $B10 &amp; "'!V$14")</f>
        <v>3</v>
      </c>
      <c r="V10" s="5" cm="1">
        <f t="array" aca="1" ref="V10" ca="1">INDIRECT("'results" &amp; $B10 &amp; "'!W$14")</f>
        <v>90</v>
      </c>
      <c r="W10" s="5" cm="1">
        <f t="array" aca="1" ref="W10" ca="1">INDIRECT("'results" &amp; $B10 &amp; "'!X$14")</f>
        <v>26.203060054191791</v>
      </c>
      <c r="X10" s="5" cm="1">
        <f t="array" aca="1" ref="X10" ca="1">INDIRECT("'results" &amp; $B10 &amp; "'!Y$14")</f>
        <v>53.232608473222861</v>
      </c>
      <c r="Y10" s="5" cm="1">
        <f t="array" aca="1" ref="Y10" ca="1">INDIRECT("'results" &amp; $B10 &amp; "'!Z$14")</f>
        <v>1723.65719921608</v>
      </c>
      <c r="Z10" s="5"/>
    </row>
    <row r="11" spans="2:26" x14ac:dyDescent="0.2">
      <c r="B11" s="4">
        <v>872</v>
      </c>
      <c r="C11" s="5" cm="1">
        <f t="array" aca="1" ref="C11" ca="1">INDIRECT("'results" &amp; $B11 &amp; "'!D$14")</f>
        <v>86285.36512106919</v>
      </c>
      <c r="D11" s="33" cm="1">
        <f t="array" aca="1" ref="D11" ca="1">INDIRECT("'results" &amp; $B11 &amp; "'!E$14")</f>
        <v>0.83980387499832432</v>
      </c>
      <c r="E11" s="5" cm="1">
        <f t="array" aca="1" ref="E11" ca="1">INDIRECT("'results" &amp; $B11 &amp; "'!F$14")</f>
        <v>3</v>
      </c>
      <c r="F11" s="5" cm="1">
        <f t="array" aca="1" ref="F11" ca="1">INDIRECT("'results" &amp; $B11 &amp; "'!G$14")</f>
        <v>90</v>
      </c>
      <c r="G11" s="5" cm="1">
        <f t="array" aca="1" ref="G11" ca="1">INDIRECT("'results" &amp; $B11 &amp; "'!H$14")</f>
        <v>66.808881280413544</v>
      </c>
      <c r="H11" s="33" cm="1">
        <f t="array" aca="1" ref="H11" ca="1">INDIRECT("'results" &amp; $B11 &amp; "'!I$14")</f>
        <v>21.904398589771642</v>
      </c>
      <c r="I11" s="5" cm="1">
        <f t="array" aca="1" ref="I11" ca="1">INDIRECT("'results" &amp; $B11 &amp; "'!J$14")</f>
        <v>1719.3605027239985</v>
      </c>
      <c r="J11" s="5"/>
      <c r="K11" s="5" cm="1">
        <f t="array" aca="1" ref="K11" ca="1">INDIRECT("'results" &amp; $B11 &amp; "'!L$14")</f>
        <v>94052.258476526025</v>
      </c>
      <c r="L11" s="5" cm="1">
        <f t="array" aca="1" ref="L11" ca="1">INDIRECT("'results" &amp; $B11 &amp; "'!M$14")</f>
        <v>0.88046404200213146</v>
      </c>
      <c r="M11" s="5" cm="1">
        <f t="array" aca="1" ref="M11" ca="1">INDIRECT("'results" &amp; $B11 &amp; "'!N$14")</f>
        <v>3</v>
      </c>
      <c r="N11" s="5" cm="1">
        <f t="array" aca="1" ref="N11" ca="1">INDIRECT("'results" &amp; $B11 &amp; "'!O$14")</f>
        <v>76.666666666666671</v>
      </c>
      <c r="O11" s="5" cm="1">
        <f t="array" aca="1" ref="O11" ca="1">INDIRECT("'results" &amp; $B11 &amp; "'!P$14")</f>
        <v>5.6680754217169094</v>
      </c>
      <c r="P11" s="5" cm="1">
        <f t="array" aca="1" ref="P11" ca="1">INDIRECT("'results" &amp; $B11 &amp; "'!Q$14")</f>
        <v>18.2649453308135</v>
      </c>
      <c r="Q11" s="5" cm="1">
        <f t="array" aca="1" ref="Q11" ca="1">INDIRECT("'results" &amp; $B11 &amp; "'!R$14")</f>
        <v>1498.9802608252101</v>
      </c>
      <c r="R11" s="5"/>
      <c r="S11" s="5" cm="1">
        <f t="array" aca="1" ref="S11" ca="1">INDIRECT("'results" &amp; $B11 &amp; "'!T$14")</f>
        <v>98131.480821315956</v>
      </c>
      <c r="T11" s="5" cm="1">
        <f t="array" aca="1" ref="T11" ca="1">INDIRECT("'results" &amp; $B11 &amp; "'!U$14")</f>
        <v>1.926965292001114</v>
      </c>
      <c r="U11" s="5" cm="1">
        <f t="array" aca="1" ref="U11" ca="1">INDIRECT("'results" &amp; $B11 &amp; "'!V$14")</f>
        <v>3</v>
      </c>
      <c r="V11" s="5" cm="1">
        <f t="array" aca="1" ref="V11" ca="1">INDIRECT("'results" &amp; $B11 &amp; "'!W$14")</f>
        <v>83.333333333333329</v>
      </c>
      <c r="W11" s="5" cm="1">
        <f t="array" aca="1" ref="W11" ca="1">INDIRECT("'results" &amp; $B11 &amp; "'!X$14")</f>
        <v>85.267360621903336</v>
      </c>
      <c r="X11" s="5" cm="1">
        <f t="array" aca="1" ref="X11" ca="1">INDIRECT("'results" &amp; $B11 &amp; "'!Y$14")</f>
        <v>29.191896766013421</v>
      </c>
      <c r="Y11" s="5" cm="1">
        <f t="array" aca="1" ref="Y11" ca="1">INDIRECT("'results" &amp; $B11 &amp; "'!Z$14")</f>
        <v>2011.333256162698</v>
      </c>
      <c r="Z11" s="5"/>
    </row>
    <row r="12" spans="2:26" x14ac:dyDescent="0.2">
      <c r="B12" s="4">
        <v>982</v>
      </c>
      <c r="C12" s="5" cm="1">
        <f t="array" aca="1" ref="C12" ca="1">INDIRECT("'results" &amp; $B12 &amp; "'!D$14")</f>
        <v>89866.355749144073</v>
      </c>
      <c r="D12" s="33" cm="1">
        <f t="array" aca="1" ref="D12" ca="1">INDIRECT("'results" &amp; $B12 &amp; "'!E$14")</f>
        <v>1.884248542002751</v>
      </c>
      <c r="E12" s="5" cm="1">
        <f t="array" aca="1" ref="E12" ca="1">INDIRECT("'results" &amp; $B12 &amp; "'!F$14")</f>
        <v>3</v>
      </c>
      <c r="F12" s="5" cm="1">
        <f t="array" aca="1" ref="F12" ca="1">INDIRECT("'results" &amp; $B12 &amp; "'!G$14")</f>
        <v>90</v>
      </c>
      <c r="G12" s="5" cm="1">
        <f t="array" aca="1" ref="G12" ca="1">INDIRECT("'results" &amp; $B12 &amp; "'!H$14")</f>
        <v>67.346991821188013</v>
      </c>
      <c r="H12" s="33" cm="1">
        <f t="array" aca="1" ref="H12" ca="1">INDIRECT("'results" &amp; $B12 &amp; "'!I$14")</f>
        <v>32.64738230806234</v>
      </c>
      <c r="I12" s="5" cm="1">
        <f t="array" aca="1" ref="I12" ca="1">INDIRECT("'results" &amp; $B12 &amp; "'!J$14")</f>
        <v>1835.2067967906503</v>
      </c>
      <c r="J12" s="5"/>
      <c r="K12" s="5" cm="1">
        <f t="array" aca="1" ref="K12" ca="1">INDIRECT("'results" &amp; $B12 &amp; "'!L$14")</f>
        <v>103051.7158705187</v>
      </c>
      <c r="L12" s="5" cm="1">
        <f t="array" aca="1" ref="L12" ca="1">INDIRECT("'results" &amp; $B12 &amp; "'!M$14")</f>
        <v>1.471665583001595</v>
      </c>
      <c r="M12" s="5" cm="1">
        <f t="array" aca="1" ref="M12" ca="1">INDIRECT("'results" &amp; $B12 &amp; "'!N$14")</f>
        <v>4</v>
      </c>
      <c r="N12" s="5" cm="1">
        <f t="array" aca="1" ref="N12" ca="1">INDIRECT("'results" &amp; $B12 &amp; "'!O$14")</f>
        <v>80</v>
      </c>
      <c r="O12" s="5" cm="1">
        <f t="array" aca="1" ref="O12" ca="1">INDIRECT("'results" &amp; $B12 &amp; "'!P$14")</f>
        <v>21.809095408595979</v>
      </c>
      <c r="P12" s="5" cm="1">
        <f t="array" aca="1" ref="P12" ca="1">INDIRECT("'results" &amp; $B12 &amp; "'!Q$14")</f>
        <v>20.959120391776921</v>
      </c>
      <c r="Q12" s="5" cm="1">
        <f t="array" aca="1" ref="Q12" ca="1">INDIRECT("'results" &amp; $B12 &amp; "'!R$14")</f>
        <v>1591.6540207295379</v>
      </c>
      <c r="R12" s="5"/>
      <c r="S12" s="5" cm="1">
        <f t="array" aca="1" ref="S12" ca="1">INDIRECT("'results" &amp; $B12 &amp; "'!T$14")</f>
        <v>102910.8817070123</v>
      </c>
      <c r="T12" s="5" cm="1">
        <f t="array" aca="1" ref="T12" ca="1">INDIRECT("'results" &amp; $B12 &amp; "'!U$14")</f>
        <v>2.2606427500031709</v>
      </c>
      <c r="U12" s="5" cm="1">
        <f t="array" aca="1" ref="U12" ca="1">INDIRECT("'results" &amp; $B12 &amp; "'!V$14")</f>
        <v>3</v>
      </c>
      <c r="V12" s="5" cm="1">
        <f t="array" aca="1" ref="V12" ca="1">INDIRECT("'results" &amp; $B12 &amp; "'!W$14")</f>
        <v>76.666666666666671</v>
      </c>
      <c r="W12" s="5" cm="1">
        <f t="array" aca="1" ref="W12" ca="1">INDIRECT("'results" &amp; $B12 &amp; "'!X$14")</f>
        <v>58.144926832172203</v>
      </c>
      <c r="X12" s="5" cm="1">
        <f t="array" aca="1" ref="X12" ca="1">INDIRECT("'results" &amp; $B12 &amp; "'!Y$14")</f>
        <v>38.689959566458157</v>
      </c>
      <c r="Y12" s="5" cm="1">
        <f t="array" aca="1" ref="Y12" ca="1">INDIRECT("'results" &amp; $B12 &amp; "'!Z$14")</f>
        <v>1912.695228226984</v>
      </c>
      <c r="Z12" s="5"/>
    </row>
    <row r="13" spans="2:26" x14ac:dyDescent="0.2">
      <c r="B13" s="8" t="s">
        <v>3</v>
      </c>
      <c r="C13" s="9">
        <f ca="1">AVERAGE(C3:C12)</f>
        <v>74673.920635833623</v>
      </c>
      <c r="D13" s="10">
        <f t="shared" ref="D13:I13" ca="1" si="0">AVERAGE(D3:D12)</f>
        <v>1.2839908835001552</v>
      </c>
      <c r="E13" s="9">
        <f t="shared" ca="1" si="0"/>
        <v>3</v>
      </c>
      <c r="F13" s="9">
        <f t="shared" ca="1" si="0"/>
        <v>93.666666666666671</v>
      </c>
      <c r="G13" s="9">
        <f t="shared" ca="1" si="0"/>
        <v>15.443676173009132</v>
      </c>
      <c r="H13" s="10">
        <f t="shared" ca="1" si="0"/>
        <v>24.909435536815927</v>
      </c>
      <c r="I13" s="9">
        <f t="shared" ca="1" si="0"/>
        <v>1449.2413836086209</v>
      </c>
      <c r="J13" s="32" t="e">
        <f ca="1">(C13-$D$15)/$D$15</f>
        <v>#DIV/0!</v>
      </c>
      <c r="K13" s="16">
        <f ca="1">AVERAGE(K3:K12)</f>
        <v>91475.816129607585</v>
      </c>
      <c r="L13" s="41">
        <f t="shared" ref="L13:Q13" ca="1" si="1">AVERAGE(L3:L12)</f>
        <v>0.99776205410016705</v>
      </c>
      <c r="M13" s="16">
        <f t="shared" ca="1" si="1"/>
        <v>3.1</v>
      </c>
      <c r="N13" s="16">
        <f ca="1">AVERAGE(N3:N12)</f>
        <v>75.333333333333329</v>
      </c>
      <c r="O13" s="16">
        <f t="shared" ca="1" si="1"/>
        <v>2.7561206996332395</v>
      </c>
      <c r="P13" s="41">
        <f t="shared" ca="1" si="1"/>
        <v>18.238132181422923</v>
      </c>
      <c r="Q13" s="16">
        <f t="shared" ca="1" si="1"/>
        <v>1250.4656752574842</v>
      </c>
      <c r="R13" s="42" t="e">
        <f ca="1">(K13-$D$15)/$D$15</f>
        <v>#DIV/0!</v>
      </c>
      <c r="S13" s="38">
        <f ca="1">AVERAGE(S3:S12)</f>
        <v>89000.46148024009</v>
      </c>
      <c r="T13" s="43">
        <f t="shared" ref="T13:Y13" ca="1" si="2">AVERAGE(T3:T12)</f>
        <v>1.3596844875006355</v>
      </c>
      <c r="U13" s="38">
        <f t="shared" ca="1" si="2"/>
        <v>3</v>
      </c>
      <c r="V13" s="38">
        <f t="shared" ca="1" si="2"/>
        <v>86.666666666666671</v>
      </c>
      <c r="W13" s="38">
        <f t="shared" ca="1" si="2"/>
        <v>47.777910912316408</v>
      </c>
      <c r="X13" s="43">
        <f t="shared" ca="1" si="2"/>
        <v>40.038458721390931</v>
      </c>
      <c r="Y13" s="38">
        <f t="shared" ca="1" si="2"/>
        <v>1856.4704958743266</v>
      </c>
      <c r="Z13" s="44" t="e">
        <f ca="1">(S13-$D$15)/$D$15</f>
        <v>#DIV/0!</v>
      </c>
    </row>
    <row r="14" spans="2:26" x14ac:dyDescent="0.2">
      <c r="K14" s="45">
        <f ca="1">(K13-C13)/C13</f>
        <v>0.22500352667583481</v>
      </c>
      <c r="L14" s="45">
        <f t="shared" ref="L14:Q14" ca="1" si="3">(L13-D13)/D13</f>
        <v>-0.2229212318234918</v>
      </c>
      <c r="M14" s="45">
        <f t="shared" ca="1" si="3"/>
        <v>3.3333333333333361E-2</v>
      </c>
      <c r="N14" s="45">
        <f t="shared" ca="1" si="3"/>
        <v>-0.19572953736654813</v>
      </c>
      <c r="O14" s="45">
        <f t="shared" ca="1" si="3"/>
        <v>-0.82153726426547946</v>
      </c>
      <c r="P14" s="45">
        <f t="shared" ca="1" si="3"/>
        <v>-0.26782234167983759</v>
      </c>
      <c r="Q14" s="45">
        <f t="shared" ca="1" si="3"/>
        <v>-0.1371584544847759</v>
      </c>
      <c r="S14" s="45">
        <f ca="1">(S13-C13)/C13</f>
        <v>0.19185467593530395</v>
      </c>
      <c r="T14" s="45">
        <f t="shared" ref="T14:Y14" ca="1" si="4">(T13-D13)/D13</f>
        <v>5.8951823547329071E-2</v>
      </c>
      <c r="U14" s="45">
        <f t="shared" ca="1" si="4"/>
        <v>0</v>
      </c>
      <c r="V14" s="45">
        <f ca="1">(V13-F13)/F13</f>
        <v>-7.4733096085409248E-2</v>
      </c>
      <c r="W14" s="45">
        <f t="shared" ca="1" si="4"/>
        <v>2.0936876930777482</v>
      </c>
      <c r="X14" s="45">
        <f t="shared" ca="1" si="4"/>
        <v>0.60736114081005332</v>
      </c>
      <c r="Y14" s="45">
        <f t="shared" ca="1" si="4"/>
        <v>0.28099467547062618</v>
      </c>
    </row>
    <row r="17" spans="2:19" ht="15" customHeight="1" x14ac:dyDescent="0.2">
      <c r="B17" s="1" t="s">
        <v>21</v>
      </c>
      <c r="C17">
        <f ca="1">_xlfn.STDEV.S(C3:C12)</f>
        <v>9886.7483288956064</v>
      </c>
      <c r="J17" s="1" t="s">
        <v>21</v>
      </c>
      <c r="K17">
        <f ca="1">_xlfn.STDEV.S(K3:K12)</f>
        <v>8573.6131903341611</v>
      </c>
      <c r="R17" s="1" t="s">
        <v>21</v>
      </c>
      <c r="S17">
        <f ca="1">_xlfn.STDEV.S(S3:S12)</f>
        <v>10831.83243001029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AFEC-F5C9-C34A-8FE4-AA407CE81AD5}">
  <dimension ref="B1:AA17"/>
  <sheetViews>
    <sheetView zoomScale="110" zoomScaleNormal="110" workbookViewId="0">
      <selection activeCell="A17" sqref="A17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20.957468780609702</v>
      </c>
      <c r="J2" s="28">
        <f>(S14-J14)/J14</f>
        <v>-0.99991440173854274</v>
      </c>
      <c r="K2" s="28"/>
      <c r="L2" s="1" t="s">
        <v>19</v>
      </c>
      <c r="P2" s="1">
        <f>(P14-H14)/H14</f>
        <v>-1</v>
      </c>
      <c r="R2" s="1">
        <f>(R14-J14)/J14</f>
        <v>-0.19748009629575924</v>
      </c>
      <c r="T2" s="1" t="s">
        <v>20</v>
      </c>
      <c r="X2" s="1" t="e">
        <f>(X14-P14)/P14</f>
        <v>#DIV/0!</v>
      </c>
      <c r="Z2" s="1">
        <f>(Z14-R14)/R14</f>
        <v>0.45197402291309485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131</v>
      </c>
      <c r="D4" s="23">
        <v>73603.759680800591</v>
      </c>
      <c r="E4" s="33">
        <v>1.0107980419998059</v>
      </c>
      <c r="F4" s="5">
        <v>3</v>
      </c>
      <c r="G4" s="23">
        <v>93.333333333333329</v>
      </c>
      <c r="H4" s="33">
        <v>0.41111653826926287</v>
      </c>
      <c r="I4" s="23">
        <v>21.778714962288461</v>
      </c>
      <c r="J4" s="5">
        <v>1371.3314479514822</v>
      </c>
      <c r="K4" s="31"/>
      <c r="L4" s="23">
        <v>82256.2041871853</v>
      </c>
      <c r="M4" s="33">
        <v>0.89757020799879683</v>
      </c>
      <c r="N4" s="5">
        <v>3</v>
      </c>
      <c r="O4" s="5">
        <v>80</v>
      </c>
      <c r="P4" s="33">
        <v>0</v>
      </c>
      <c r="Q4" s="5">
        <v>16.298707825740451</v>
      </c>
      <c r="R4" s="5">
        <v>1103.7100164986141</v>
      </c>
      <c r="S4" s="31"/>
      <c r="T4" s="23">
        <v>84603.864708597757</v>
      </c>
      <c r="U4" s="33">
        <v>0.59439549999660812</v>
      </c>
      <c r="V4" s="5">
        <v>3</v>
      </c>
      <c r="W4" s="5">
        <v>90</v>
      </c>
      <c r="X4" s="33">
        <v>30.55790495700661</v>
      </c>
      <c r="Y4" s="5">
        <v>35.468237952679672</v>
      </c>
      <c r="Z4" s="5">
        <v>1750.9825964126551</v>
      </c>
      <c r="AA4" s="35"/>
    </row>
    <row r="5" spans="2:27" x14ac:dyDescent="0.2">
      <c r="B5" s="4">
        <v>2</v>
      </c>
      <c r="C5" s="4">
        <v>241</v>
      </c>
      <c r="D5" s="23">
        <v>73592.606073053597</v>
      </c>
      <c r="E5" s="33">
        <v>0.84506424999926821</v>
      </c>
      <c r="F5" s="5">
        <v>3</v>
      </c>
      <c r="G5" s="23">
        <v>93.333333333333329</v>
      </c>
      <c r="H5" s="33">
        <v>0.74228536943810142</v>
      </c>
      <c r="I5" s="23">
        <v>21.856010723698091</v>
      </c>
      <c r="J5" s="5">
        <v>1375.3054739255083</v>
      </c>
      <c r="K5" s="31"/>
      <c r="L5" s="23">
        <v>82256.2041871853</v>
      </c>
      <c r="M5" s="33">
        <v>0.9390500420013268</v>
      </c>
      <c r="N5" s="5">
        <v>3</v>
      </c>
      <c r="O5" s="5">
        <v>80</v>
      </c>
      <c r="P5" s="33">
        <v>0</v>
      </c>
      <c r="Q5" s="5">
        <v>16.298707825740451</v>
      </c>
      <c r="R5" s="5">
        <v>1103.7100164986141</v>
      </c>
      <c r="S5" s="31"/>
      <c r="T5" s="23">
        <v>84315.084711685544</v>
      </c>
      <c r="U5" s="33">
        <v>0.76911795799969696</v>
      </c>
      <c r="V5" s="5">
        <v>3</v>
      </c>
      <c r="W5" s="5">
        <v>86.666666666666671</v>
      </c>
      <c r="X5" s="33">
        <v>11.97895568568601</v>
      </c>
      <c r="Y5" s="5">
        <v>31.741236718996991</v>
      </c>
      <c r="Z5" s="5">
        <v>1602.558272784971</v>
      </c>
      <c r="AA5" s="35"/>
    </row>
    <row r="6" spans="2:27" x14ac:dyDescent="0.2">
      <c r="B6" s="4">
        <v>3</v>
      </c>
      <c r="C6" s="4">
        <v>266</v>
      </c>
      <c r="D6" s="23">
        <v>73592.606073053597</v>
      </c>
      <c r="E6" s="33">
        <v>0.85378591599874198</v>
      </c>
      <c r="F6" s="5">
        <v>3</v>
      </c>
      <c r="G6" s="23">
        <v>93.333333333333329</v>
      </c>
      <c r="H6" s="33">
        <v>0.74228536943810142</v>
      </c>
      <c r="I6" s="23">
        <v>21.856010723698091</v>
      </c>
      <c r="J6" s="5">
        <v>1375.3054739255083</v>
      </c>
      <c r="K6" s="31"/>
      <c r="L6" s="23">
        <v>82256.2041871853</v>
      </c>
      <c r="M6" s="33">
        <v>0.84853450000082375</v>
      </c>
      <c r="N6" s="5">
        <v>3</v>
      </c>
      <c r="O6" s="5">
        <v>80</v>
      </c>
      <c r="P6" s="33">
        <v>0</v>
      </c>
      <c r="Q6" s="5">
        <v>16.298707825740451</v>
      </c>
      <c r="R6" s="5">
        <v>1103.7100164986141</v>
      </c>
      <c r="S6" s="31"/>
      <c r="T6" s="23">
        <v>84315.084711685544</v>
      </c>
      <c r="U6" s="33">
        <v>0.93176908399982494</v>
      </c>
      <c r="V6" s="5">
        <v>3</v>
      </c>
      <c r="W6" s="5">
        <v>86.666666666666671</v>
      </c>
      <c r="X6" s="33">
        <v>11.97895568568601</v>
      </c>
      <c r="Y6" s="5">
        <v>31.741236718996991</v>
      </c>
      <c r="Z6" s="5">
        <v>1602.558272784971</v>
      </c>
      <c r="AA6" s="35"/>
    </row>
    <row r="7" spans="2:27" x14ac:dyDescent="0.2">
      <c r="B7" s="4">
        <v>4</v>
      </c>
      <c r="C7" s="4">
        <v>313</v>
      </c>
      <c r="D7" s="23">
        <v>73592.606073053597</v>
      </c>
      <c r="E7" s="33">
        <v>0.50940016700042179</v>
      </c>
      <c r="F7" s="5">
        <v>3</v>
      </c>
      <c r="G7" s="23">
        <v>93.333333333333329</v>
      </c>
      <c r="H7" s="33">
        <v>0.74228536943810142</v>
      </c>
      <c r="I7" s="23">
        <v>21.856010723698091</v>
      </c>
      <c r="J7" s="5">
        <v>1375.3054739255083</v>
      </c>
      <c r="K7" s="31"/>
      <c r="L7" s="23">
        <v>82256.2041871853</v>
      </c>
      <c r="M7" s="33">
        <v>1.466571375000058</v>
      </c>
      <c r="N7" s="5">
        <v>3</v>
      </c>
      <c r="O7" s="5">
        <v>80</v>
      </c>
      <c r="P7" s="33">
        <v>0</v>
      </c>
      <c r="Q7" s="5">
        <v>16.298707825740451</v>
      </c>
      <c r="R7" s="5">
        <v>1103.7100164986141</v>
      </c>
      <c r="S7" s="31"/>
      <c r="T7" s="23">
        <v>84315.084711685544</v>
      </c>
      <c r="U7" s="33">
        <v>1.079838375000691</v>
      </c>
      <c r="V7" s="5">
        <v>3</v>
      </c>
      <c r="W7" s="5">
        <v>86.666666666666671</v>
      </c>
      <c r="X7" s="33">
        <v>11.97895568568601</v>
      </c>
      <c r="Y7" s="5">
        <v>31.741236718996991</v>
      </c>
      <c r="Z7" s="5">
        <v>1602.558272784971</v>
      </c>
      <c r="AA7" s="35"/>
    </row>
    <row r="8" spans="2:27" x14ac:dyDescent="0.2">
      <c r="B8" s="4">
        <v>5</v>
      </c>
      <c r="C8" s="4">
        <v>532</v>
      </c>
      <c r="D8" s="23">
        <v>73592.606073053597</v>
      </c>
      <c r="E8" s="33">
        <v>0.93020833300033701</v>
      </c>
      <c r="F8" s="5">
        <v>3</v>
      </c>
      <c r="G8" s="23">
        <v>93.333333333333329</v>
      </c>
      <c r="H8" s="33">
        <v>0.74228536943810142</v>
      </c>
      <c r="I8" s="23">
        <v>21.856010723698091</v>
      </c>
      <c r="J8" s="5">
        <v>1375.3054739255083</v>
      </c>
      <c r="K8" s="31"/>
      <c r="L8" s="23">
        <v>82256.2041871853</v>
      </c>
      <c r="M8" s="33">
        <v>1.161986667000747</v>
      </c>
      <c r="N8" s="5">
        <v>3</v>
      </c>
      <c r="O8" s="5">
        <v>80</v>
      </c>
      <c r="P8" s="33">
        <v>0</v>
      </c>
      <c r="Q8" s="5">
        <v>16.298707825740451</v>
      </c>
      <c r="R8" s="5">
        <v>1103.7100164986141</v>
      </c>
      <c r="S8" s="31"/>
      <c r="T8" s="23">
        <v>84603.864708597757</v>
      </c>
      <c r="U8" s="33">
        <v>0.65422149999722023</v>
      </c>
      <c r="V8" s="5">
        <v>3</v>
      </c>
      <c r="W8" s="5">
        <v>90</v>
      </c>
      <c r="X8" s="33">
        <v>30.55790495700661</v>
      </c>
      <c r="Y8" s="5">
        <v>35.468237952679672</v>
      </c>
      <c r="Z8" s="5">
        <v>1750.9825964126551</v>
      </c>
      <c r="AA8" s="35"/>
    </row>
    <row r="9" spans="2:27" x14ac:dyDescent="0.2">
      <c r="B9" s="4">
        <v>6</v>
      </c>
      <c r="C9" s="4">
        <v>680</v>
      </c>
      <c r="D9" s="23">
        <v>73592.606073053597</v>
      </c>
      <c r="E9" s="33">
        <v>1.3249267080027489</v>
      </c>
      <c r="F9" s="5">
        <v>3</v>
      </c>
      <c r="G9" s="23">
        <v>93.333333333333329</v>
      </c>
      <c r="H9" s="33">
        <v>0.74228536943810142</v>
      </c>
      <c r="I9" s="23">
        <v>21.856010723698091</v>
      </c>
      <c r="J9" s="5">
        <v>1375.3054739255083</v>
      </c>
      <c r="K9" s="31"/>
      <c r="L9" s="23">
        <v>82256.2041871853</v>
      </c>
      <c r="M9" s="33">
        <v>1.5592126669980639</v>
      </c>
      <c r="N9" s="5">
        <v>3</v>
      </c>
      <c r="O9" s="5">
        <v>80</v>
      </c>
      <c r="P9" s="33">
        <v>0</v>
      </c>
      <c r="Q9" s="5">
        <v>16.298707825740451</v>
      </c>
      <c r="R9" s="5">
        <v>1103.7100164986141</v>
      </c>
      <c r="S9" s="31"/>
      <c r="T9" s="23">
        <v>84603.864708597757</v>
      </c>
      <c r="U9" s="33">
        <v>1.06596187499963</v>
      </c>
      <c r="V9" s="5">
        <v>3</v>
      </c>
      <c r="W9" s="5">
        <v>90</v>
      </c>
      <c r="X9" s="33">
        <v>30.55790495700661</v>
      </c>
      <c r="Y9" s="5">
        <v>35.468237952679672</v>
      </c>
      <c r="Z9" s="5">
        <v>1750.9825964126551</v>
      </c>
      <c r="AA9" s="35"/>
    </row>
    <row r="10" spans="2:27" x14ac:dyDescent="0.2">
      <c r="B10" s="4">
        <v>7</v>
      </c>
      <c r="C10" s="4">
        <v>733</v>
      </c>
      <c r="D10" s="23">
        <v>73592.606073053597</v>
      </c>
      <c r="E10" s="33">
        <v>1.0618664169996921</v>
      </c>
      <c r="F10" s="5">
        <v>3</v>
      </c>
      <c r="G10" s="23">
        <v>93.333333333333329</v>
      </c>
      <c r="H10" s="33">
        <v>0.74228536943810142</v>
      </c>
      <c r="I10" s="23">
        <v>21.856010723698091</v>
      </c>
      <c r="J10" s="5">
        <v>1375.3054739255083</v>
      </c>
      <c r="K10" s="31"/>
      <c r="L10" s="23">
        <v>82256.2041871853</v>
      </c>
      <c r="M10" s="33">
        <v>0.89124170799914282</v>
      </c>
      <c r="N10" s="5">
        <v>3</v>
      </c>
      <c r="O10" s="5">
        <v>80</v>
      </c>
      <c r="P10" s="33">
        <v>0</v>
      </c>
      <c r="Q10" s="5">
        <v>16.298707825740451</v>
      </c>
      <c r="R10" s="5">
        <v>1103.7100164986141</v>
      </c>
      <c r="S10" s="31"/>
      <c r="T10" s="23">
        <v>84315.084711685544</v>
      </c>
      <c r="U10" s="33">
        <v>1.097841541999514</v>
      </c>
      <c r="V10" s="5">
        <v>3</v>
      </c>
      <c r="W10" s="5">
        <v>86.666666666666671</v>
      </c>
      <c r="X10" s="33">
        <v>11.97895568568601</v>
      </c>
      <c r="Y10" s="5">
        <v>31.741236718996991</v>
      </c>
      <c r="Z10" s="5">
        <v>1602.558272784971</v>
      </c>
      <c r="AA10" s="35"/>
    </row>
    <row r="11" spans="2:27" x14ac:dyDescent="0.2">
      <c r="B11" s="4">
        <v>8</v>
      </c>
      <c r="C11" s="4">
        <v>760</v>
      </c>
      <c r="D11" s="23">
        <v>73592.606073053597</v>
      </c>
      <c r="E11" s="33">
        <v>0.89440758300042944</v>
      </c>
      <c r="F11" s="5">
        <v>3</v>
      </c>
      <c r="G11" s="23">
        <v>93.333333333333329</v>
      </c>
      <c r="H11" s="33">
        <v>0.74228536943810142</v>
      </c>
      <c r="I11" s="23">
        <v>21.856010723698091</v>
      </c>
      <c r="J11" s="5">
        <v>1375.3054739255083</v>
      </c>
      <c r="K11" s="31"/>
      <c r="L11" s="23">
        <v>82256.2041871853</v>
      </c>
      <c r="M11" s="33">
        <v>0.54601179200108163</v>
      </c>
      <c r="N11" s="5">
        <v>3</v>
      </c>
      <c r="O11" s="5">
        <v>80</v>
      </c>
      <c r="P11" s="33">
        <v>0</v>
      </c>
      <c r="Q11" s="5">
        <v>16.298707825740451</v>
      </c>
      <c r="R11" s="5">
        <v>1103.7100164986141</v>
      </c>
      <c r="S11" s="31"/>
      <c r="T11" s="23">
        <v>84315.084711685544</v>
      </c>
      <c r="U11" s="33">
        <v>1.328348499999265</v>
      </c>
      <c r="V11" s="5">
        <v>3</v>
      </c>
      <c r="W11" s="5">
        <v>86.666666666666671</v>
      </c>
      <c r="X11" s="33">
        <v>11.97895568568601</v>
      </c>
      <c r="Y11" s="5">
        <v>31.741236718996991</v>
      </c>
      <c r="Z11" s="5">
        <v>1602.558272784971</v>
      </c>
      <c r="AA11" s="35"/>
    </row>
    <row r="12" spans="2:27" x14ac:dyDescent="0.2">
      <c r="B12" s="4">
        <v>9</v>
      </c>
      <c r="C12" s="4">
        <v>874</v>
      </c>
      <c r="D12" s="23">
        <v>73603.759680800591</v>
      </c>
      <c r="E12" s="33">
        <v>0.7708117090005544</v>
      </c>
      <c r="F12" s="5">
        <v>3</v>
      </c>
      <c r="G12" s="23">
        <v>93.333333333333329</v>
      </c>
      <c r="H12" s="33">
        <v>0.41111653826926287</v>
      </c>
      <c r="I12" s="23">
        <v>21.778714962288461</v>
      </c>
      <c r="J12" s="5">
        <v>1371.3314479514822</v>
      </c>
      <c r="K12" s="31"/>
      <c r="L12" s="23">
        <v>82256.2041871853</v>
      </c>
      <c r="M12" s="33">
        <v>0.80151295800169464</v>
      </c>
      <c r="N12" s="5">
        <v>3</v>
      </c>
      <c r="O12" s="5">
        <v>80</v>
      </c>
      <c r="P12" s="33">
        <v>0</v>
      </c>
      <c r="Q12" s="5">
        <v>16.298707825740451</v>
      </c>
      <c r="R12" s="5">
        <v>1103.7100164986141</v>
      </c>
      <c r="S12" s="31"/>
      <c r="T12" s="23">
        <v>84315.084711685544</v>
      </c>
      <c r="U12" s="33">
        <v>0.98076633299933746</v>
      </c>
      <c r="V12" s="5">
        <v>3</v>
      </c>
      <c r="W12" s="5">
        <v>86.666666666666671</v>
      </c>
      <c r="X12" s="33">
        <v>11.97895568568601</v>
      </c>
      <c r="Y12" s="5">
        <v>31.741236718996991</v>
      </c>
      <c r="Z12" s="5">
        <v>1602.558272784971</v>
      </c>
      <c r="AA12" s="35"/>
    </row>
    <row r="13" spans="2:27" x14ac:dyDescent="0.2">
      <c r="B13" s="4">
        <v>10</v>
      </c>
      <c r="C13" s="4">
        <v>907</v>
      </c>
      <c r="D13" s="23">
        <v>73592.606073053597</v>
      </c>
      <c r="E13" s="33">
        <v>0.73423437499877764</v>
      </c>
      <c r="F13" s="5">
        <v>3</v>
      </c>
      <c r="G13" s="23">
        <v>93.333333333333329</v>
      </c>
      <c r="H13" s="33">
        <v>0.74228536943810142</v>
      </c>
      <c r="I13" s="23">
        <v>21.856010723698091</v>
      </c>
      <c r="J13" s="5">
        <v>1375.3054739255083</v>
      </c>
      <c r="K13" s="31"/>
      <c r="L13" s="23">
        <v>82256.2041871853</v>
      </c>
      <c r="M13" s="33">
        <v>0.60814029199900688</v>
      </c>
      <c r="N13" s="5">
        <v>3</v>
      </c>
      <c r="O13" s="5">
        <v>80</v>
      </c>
      <c r="P13" s="33">
        <v>0</v>
      </c>
      <c r="Q13" s="5">
        <v>16.298707825740451</v>
      </c>
      <c r="R13" s="5">
        <v>1103.7100164986141</v>
      </c>
      <c r="S13" s="31"/>
      <c r="T13" s="23">
        <v>84315.084711685544</v>
      </c>
      <c r="U13" s="33">
        <v>0.86037891700107139</v>
      </c>
      <c r="V13" s="5">
        <v>3</v>
      </c>
      <c r="W13" s="5">
        <v>86.666666666666671</v>
      </c>
      <c r="X13" s="33">
        <v>11.97895568568601</v>
      </c>
      <c r="Y13" s="5">
        <v>31.741236718996991</v>
      </c>
      <c r="Z13" s="5">
        <v>1602.558272784971</v>
      </c>
      <c r="AA13" s="35"/>
    </row>
    <row r="14" spans="2:27" x14ac:dyDescent="0.2">
      <c r="B14" s="46" t="s">
        <v>3</v>
      </c>
      <c r="C14" s="47"/>
      <c r="D14" s="9">
        <f>MIN(D4:D13)</f>
        <v>73592.606073053597</v>
      </c>
      <c r="E14" s="22">
        <f>INDEX(E4:E13, MATCH($D$14, D4:D13, 0))</f>
        <v>0.84506424999926821</v>
      </c>
      <c r="F14" s="9">
        <f>INDEX(F4:F13, MATCH($D$14, D4:D13, 0))</f>
        <v>3</v>
      </c>
      <c r="G14" s="9">
        <f>INDEX(G4:G13, MATCH($D$14, D4:D13, 0))</f>
        <v>93.333333333333329</v>
      </c>
      <c r="H14" s="22">
        <f>INDEX(H4:H13, MATCH($D$14, D4:D13, 0))</f>
        <v>0.74228536943810142</v>
      </c>
      <c r="I14" s="22">
        <f>INDEX(I4:I13, MATCH($D$14, D4:D13, 0))</f>
        <v>21.856010723698091</v>
      </c>
      <c r="J14" s="22">
        <f>INDEX(J4:J13, MATCH($D$14, D4:D13, 0))</f>
        <v>1375.3054739255083</v>
      </c>
      <c r="K14" s="32">
        <f>(D14-$D$15)/$D$15</f>
        <v>0</v>
      </c>
      <c r="L14" s="16">
        <f>MIN(L4:L13)</f>
        <v>82256.2041871853</v>
      </c>
      <c r="M14" s="21">
        <f>INDEX(M4:M13, MATCH($L$14, L4:L13, 0))</f>
        <v>0.89757020799879683</v>
      </c>
      <c r="N14" s="16">
        <f>INDEX(N4:N13, MATCH($L$14, L4:L13, 0))</f>
        <v>3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16.298707825740451</v>
      </c>
      <c r="R14" s="21">
        <f>INDEX(R4:R13, MATCH($L$14, L4:L13, 0))</f>
        <v>1103.7100164986141</v>
      </c>
      <c r="S14" s="36">
        <f>(L14-$D$15)/$D$15</f>
        <v>0.11772375754069041</v>
      </c>
      <c r="T14" s="38">
        <f>MIN(T4:T13)</f>
        <v>84315.084711685544</v>
      </c>
      <c r="U14" s="39">
        <f>INDEX(U4:U13, MATCH($T$14, T4:T13, 0))</f>
        <v>0.76911795799969696</v>
      </c>
      <c r="V14" s="38">
        <f>INDEX(V4:V13, MATCH($T$14, T4:T13, 0))</f>
        <v>3</v>
      </c>
      <c r="W14" s="38">
        <f>INDEX(W4:W13, MATCH($T$14, T4:T13, 0))</f>
        <v>86.666666666666671</v>
      </c>
      <c r="X14" s="39">
        <f>INDEX(X4:X13, MATCH($T$14, T4:T13, 0))</f>
        <v>11.97895568568601</v>
      </c>
      <c r="Y14" s="39">
        <f>INDEX(Y4:Y13, MATCH($T$14, T4:T13, 0))</f>
        <v>31.741236718996991</v>
      </c>
      <c r="Z14" s="39">
        <f>INDEX(Z4:Z13, MATCH($T$14, T4:T13, 0))</f>
        <v>1602.558272784971</v>
      </c>
      <c r="AA14" s="40">
        <f>(T14-$D$15)/$D$15</f>
        <v>0.14570048827986878</v>
      </c>
    </row>
    <row r="15" spans="2:27" x14ac:dyDescent="0.2">
      <c r="C15" s="1" t="s">
        <v>17</v>
      </c>
      <c r="D15" s="34">
        <v>73592.606073053597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18:C1048576">
    <cfRule type="duplicateValues" dxfId="127" priority="7"/>
    <cfRule type="duplicateValues" dxfId="126" priority="8"/>
  </conditionalFormatting>
  <conditionalFormatting sqref="C14">
    <cfRule type="duplicateValues" dxfId="125" priority="1"/>
    <cfRule type="duplicateValues" dxfId="124" priority="2"/>
  </conditionalFormatting>
  <conditionalFormatting sqref="C17">
    <cfRule type="duplicateValues" dxfId="123" priority="3"/>
    <cfRule type="duplicateValues" dxfId="122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83D3-C7B7-174E-A2E1-6B977A4A0745}">
  <dimension ref="B1:AA17"/>
  <sheetViews>
    <sheetView zoomScale="110" zoomScaleNormal="110" workbookViewId="0">
      <selection activeCell="A17" sqref="A17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0.44298784227884519</v>
      </c>
      <c r="J2" s="28">
        <f>(S14-J14)/J14</f>
        <v>-0.99986487376184641</v>
      </c>
      <c r="K2" s="28"/>
      <c r="L2" s="1" t="s">
        <v>19</v>
      </c>
      <c r="P2" s="1">
        <f>(P14-H14)/H14</f>
        <v>-1</v>
      </c>
      <c r="R2" s="1">
        <f>(R14-J14)/J14</f>
        <v>-0.20512052153539351</v>
      </c>
      <c r="T2" s="1" t="s">
        <v>20</v>
      </c>
      <c r="X2" s="1" t="e">
        <f>(X14-P14)/P14</f>
        <v>#DIV/0!</v>
      </c>
      <c r="Z2" s="1">
        <f>(Z14-R14)/R14</f>
        <v>0.53972326663243619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26</v>
      </c>
      <c r="D4" s="23">
        <v>86789.675838657742</v>
      </c>
      <c r="E4" s="33">
        <v>0.95438587500029826</v>
      </c>
      <c r="F4" s="5">
        <v>3</v>
      </c>
      <c r="G4" s="23">
        <v>90</v>
      </c>
      <c r="H4" s="33">
        <v>10.349988019843472</v>
      </c>
      <c r="I4" s="23">
        <v>22.710715928342054</v>
      </c>
      <c r="J4" s="5">
        <v>1707.771099757749</v>
      </c>
      <c r="K4" s="31"/>
      <c r="L4" s="23">
        <v>106817.6679873207</v>
      </c>
      <c r="M4" s="33">
        <v>0.71815000000060536</v>
      </c>
      <c r="N4" s="5">
        <v>3</v>
      </c>
      <c r="O4" s="5">
        <v>63.333333333333343</v>
      </c>
      <c r="P4" s="33">
        <v>0</v>
      </c>
      <c r="Q4" s="5">
        <v>14.93490688036583</v>
      </c>
      <c r="R4" s="5">
        <v>1357.472201112367</v>
      </c>
      <c r="S4" s="31"/>
      <c r="T4" s="23">
        <v>107673.31388968071</v>
      </c>
      <c r="U4" s="33">
        <v>1.394437792001554</v>
      </c>
      <c r="V4" s="5">
        <v>3</v>
      </c>
      <c r="W4" s="5">
        <v>80</v>
      </c>
      <c r="X4" s="33">
        <v>127.1120615212795</v>
      </c>
      <c r="Y4" s="5">
        <v>33.215506241806168</v>
      </c>
      <c r="Z4" s="5">
        <v>2209.3519612617438</v>
      </c>
      <c r="AA4" s="35"/>
    </row>
    <row r="5" spans="2:27" x14ac:dyDescent="0.2">
      <c r="B5" s="4">
        <v>2</v>
      </c>
      <c r="C5" s="4">
        <v>42</v>
      </c>
      <c r="D5" s="23">
        <v>88119.597514625522</v>
      </c>
      <c r="E5" s="33">
        <v>0.6768318750000617</v>
      </c>
      <c r="F5" s="5">
        <v>3</v>
      </c>
      <c r="G5" s="23">
        <v>86.666666666666671</v>
      </c>
      <c r="H5" s="33">
        <v>1.1383290225430054</v>
      </c>
      <c r="I5" s="23">
        <v>22.661917920862294</v>
      </c>
      <c r="J5" s="5">
        <v>1653.8392153288478</v>
      </c>
      <c r="K5" s="31"/>
      <c r="L5" s="23">
        <v>107260.61582842861</v>
      </c>
      <c r="M5" s="33">
        <v>0.8503502909989038</v>
      </c>
      <c r="N5" s="5">
        <v>3</v>
      </c>
      <c r="O5" s="5">
        <v>63.333333333333343</v>
      </c>
      <c r="P5" s="33">
        <v>0</v>
      </c>
      <c r="Q5" s="5">
        <v>15.371377947268121</v>
      </c>
      <c r="R5" s="5">
        <v>1388.515978780837</v>
      </c>
      <c r="S5" s="31"/>
      <c r="T5" s="23">
        <v>108243.38023798411</v>
      </c>
      <c r="U5" s="33">
        <v>1.358056208002381</v>
      </c>
      <c r="V5" s="5">
        <v>3</v>
      </c>
      <c r="W5" s="5">
        <v>76.666666666666671</v>
      </c>
      <c r="X5" s="33">
        <v>107.9861518490293</v>
      </c>
      <c r="Y5" s="5">
        <v>33.692492669796763</v>
      </c>
      <c r="Z5" s="5">
        <v>2168.701523537361</v>
      </c>
      <c r="AA5" s="35"/>
    </row>
    <row r="6" spans="2:27" x14ac:dyDescent="0.2">
      <c r="B6" s="4">
        <v>3</v>
      </c>
      <c r="C6" s="4">
        <v>185</v>
      </c>
      <c r="D6" s="23">
        <v>87769.705954867735</v>
      </c>
      <c r="E6" s="33">
        <v>0.50864999999976135</v>
      </c>
      <c r="F6" s="5">
        <v>3</v>
      </c>
      <c r="G6" s="23">
        <v>93.333333333333329</v>
      </c>
      <c r="H6" s="33">
        <v>39.947476332993297</v>
      </c>
      <c r="I6" s="23">
        <v>23.968405215692361</v>
      </c>
      <c r="J6" s="5">
        <v>1839.2834504965867</v>
      </c>
      <c r="K6" s="31"/>
      <c r="L6" s="23">
        <v>107176.4139154054</v>
      </c>
      <c r="M6" s="33">
        <v>0.53774408400204265</v>
      </c>
      <c r="N6" s="5">
        <v>3</v>
      </c>
      <c r="O6" s="5">
        <v>63.333333333333343</v>
      </c>
      <c r="P6" s="33">
        <v>0</v>
      </c>
      <c r="Q6" s="5">
        <v>14.95388388327463</v>
      </c>
      <c r="R6" s="5">
        <v>1372.5509391740161</v>
      </c>
      <c r="S6" s="31"/>
      <c r="T6" s="23">
        <v>107338.6474999686</v>
      </c>
      <c r="U6" s="33">
        <v>1.0558379579997561</v>
      </c>
      <c r="V6" s="5">
        <v>3</v>
      </c>
      <c r="W6" s="5">
        <v>80</v>
      </c>
      <c r="X6" s="33">
        <v>125.9832584463215</v>
      </c>
      <c r="Y6" s="5">
        <v>34.128685685374379</v>
      </c>
      <c r="Z6" s="5">
        <v>2200.3916911103661</v>
      </c>
      <c r="AA6" s="35"/>
    </row>
    <row r="7" spans="2:27" x14ac:dyDescent="0.2">
      <c r="B7" s="4">
        <v>4</v>
      </c>
      <c r="C7" s="4">
        <v>197</v>
      </c>
      <c r="D7" s="23">
        <v>86789.675838657742</v>
      </c>
      <c r="E7" s="33">
        <v>1.40505816699806</v>
      </c>
      <c r="F7" s="5">
        <v>3</v>
      </c>
      <c r="G7" s="23">
        <v>90</v>
      </c>
      <c r="H7" s="33">
        <v>10.349988019843472</v>
      </c>
      <c r="I7" s="23">
        <v>22.710715928342054</v>
      </c>
      <c r="J7" s="5">
        <v>1707.771099757749</v>
      </c>
      <c r="K7" s="31"/>
      <c r="L7" s="23">
        <v>107290.0448101182</v>
      </c>
      <c r="M7" s="33">
        <v>0.77023045800160617</v>
      </c>
      <c r="N7" s="5">
        <v>3</v>
      </c>
      <c r="O7" s="5">
        <v>63.333333333333343</v>
      </c>
      <c r="P7" s="33">
        <v>0</v>
      </c>
      <c r="Q7" s="5">
        <v>15.06528908822782</v>
      </c>
      <c r="R7" s="5">
        <v>1362.048809299501</v>
      </c>
      <c r="S7" s="31"/>
      <c r="T7" s="23">
        <v>106880.8911981195</v>
      </c>
      <c r="U7" s="33">
        <v>0.94284029100163025</v>
      </c>
      <c r="V7" s="5">
        <v>3</v>
      </c>
      <c r="W7" s="5">
        <v>76.666666666666671</v>
      </c>
      <c r="X7" s="33">
        <v>75.770877667681219</v>
      </c>
      <c r="Y7" s="5">
        <v>31.2853352111573</v>
      </c>
      <c r="Z7" s="5">
        <v>2090.131531859457</v>
      </c>
      <c r="AA7" s="35"/>
    </row>
    <row r="8" spans="2:27" x14ac:dyDescent="0.2">
      <c r="B8" s="4">
        <v>5</v>
      </c>
      <c r="C8" s="4">
        <v>704</v>
      </c>
      <c r="D8" s="23">
        <v>87706.258940032611</v>
      </c>
      <c r="E8" s="33">
        <v>0.75125383300110116</v>
      </c>
      <c r="F8" s="5">
        <v>3</v>
      </c>
      <c r="G8" s="23">
        <v>90</v>
      </c>
      <c r="H8" s="33">
        <v>12.67605240198262</v>
      </c>
      <c r="I8" s="23">
        <v>23.036035978207106</v>
      </c>
      <c r="J8" s="5">
        <v>1731.0317435791401</v>
      </c>
      <c r="K8" s="31"/>
      <c r="L8" s="23">
        <v>106817.6679873207</v>
      </c>
      <c r="M8" s="33">
        <v>0.61798033299783128</v>
      </c>
      <c r="N8" s="5">
        <v>3</v>
      </c>
      <c r="O8" s="5">
        <v>63.333333333333343</v>
      </c>
      <c r="P8" s="33">
        <v>0</v>
      </c>
      <c r="Q8" s="5">
        <v>14.93490688036583</v>
      </c>
      <c r="R8" s="5">
        <v>1357.472201112367</v>
      </c>
      <c r="S8" s="31"/>
      <c r="T8" s="23">
        <v>107558.73942132029</v>
      </c>
      <c r="U8" s="33">
        <v>0.9876442919994588</v>
      </c>
      <c r="V8" s="5">
        <v>3</v>
      </c>
      <c r="W8" s="5">
        <v>80</v>
      </c>
      <c r="X8" s="33">
        <v>132.16186696137859</v>
      </c>
      <c r="Y8" s="5">
        <v>34.512744077576187</v>
      </c>
      <c r="Z8" s="5">
        <v>2225.1061251705942</v>
      </c>
      <c r="AA8" s="35"/>
    </row>
    <row r="9" spans="2:27" x14ac:dyDescent="0.2">
      <c r="B9" s="4">
        <v>6</v>
      </c>
      <c r="C9" s="4">
        <v>842</v>
      </c>
      <c r="D9" s="23">
        <v>86789.675838657742</v>
      </c>
      <c r="E9" s="33">
        <v>0.68601449999914621</v>
      </c>
      <c r="F9" s="5">
        <v>3</v>
      </c>
      <c r="G9" s="23">
        <v>90</v>
      </c>
      <c r="H9" s="33">
        <v>10.349988019843472</v>
      </c>
      <c r="I9" s="23">
        <v>22.710715928342054</v>
      </c>
      <c r="J9" s="5">
        <v>1707.771099757749</v>
      </c>
      <c r="K9" s="31"/>
      <c r="L9" s="23">
        <v>110316.6978579001</v>
      </c>
      <c r="M9" s="33">
        <v>0.50928229199780617</v>
      </c>
      <c r="N9" s="5">
        <v>3</v>
      </c>
      <c r="O9" s="5">
        <v>60</v>
      </c>
      <c r="P9" s="33">
        <v>4.828096251964805</v>
      </c>
      <c r="Q9" s="5">
        <v>14.334776332216579</v>
      </c>
      <c r="R9" s="5">
        <v>1344.2717829708261</v>
      </c>
      <c r="S9" s="31"/>
      <c r="T9" s="23">
        <v>106880.8911981195</v>
      </c>
      <c r="U9" s="33">
        <v>1.0493490419976299</v>
      </c>
      <c r="V9" s="5">
        <v>3</v>
      </c>
      <c r="W9" s="5">
        <v>76.666666666666671</v>
      </c>
      <c r="X9" s="33">
        <v>75.770877667681219</v>
      </c>
      <c r="Y9" s="5">
        <v>31.2853352111573</v>
      </c>
      <c r="Z9" s="5">
        <v>2090.131531859457</v>
      </c>
      <c r="AA9" s="35"/>
    </row>
    <row r="10" spans="2:27" x14ac:dyDescent="0.2">
      <c r="B10" s="4">
        <v>7</v>
      </c>
      <c r="C10" s="4">
        <v>854</v>
      </c>
      <c r="D10" s="23">
        <v>86789.675838657742</v>
      </c>
      <c r="E10" s="33">
        <v>0.64897104199917521</v>
      </c>
      <c r="F10" s="5">
        <v>3</v>
      </c>
      <c r="G10" s="23">
        <v>90</v>
      </c>
      <c r="H10" s="33">
        <v>10.349988019843472</v>
      </c>
      <c r="I10" s="23">
        <v>22.710715928342054</v>
      </c>
      <c r="J10" s="5">
        <v>1707.771099757749</v>
      </c>
      <c r="K10" s="31"/>
      <c r="L10" s="23">
        <v>106817.6679873207</v>
      </c>
      <c r="M10" s="33">
        <v>0.43275929099763738</v>
      </c>
      <c r="N10" s="5">
        <v>3</v>
      </c>
      <c r="O10" s="5">
        <v>63.333333333333343</v>
      </c>
      <c r="P10" s="33">
        <v>0</v>
      </c>
      <c r="Q10" s="5">
        <v>14.93490688036583</v>
      </c>
      <c r="R10" s="5">
        <v>1357.472201112367</v>
      </c>
      <c r="S10" s="31"/>
      <c r="T10" s="23">
        <v>107766.25396386661</v>
      </c>
      <c r="U10" s="33">
        <v>0.69285083300201222</v>
      </c>
      <c r="V10" s="5">
        <v>3</v>
      </c>
      <c r="W10" s="5">
        <v>76.666666666666671</v>
      </c>
      <c r="X10" s="33">
        <v>79.68830319072417</v>
      </c>
      <c r="Y10" s="5">
        <v>31.060285563342621</v>
      </c>
      <c r="Z10" s="5">
        <v>2109.0697831612651</v>
      </c>
      <c r="AA10" s="35"/>
    </row>
    <row r="11" spans="2:27" x14ac:dyDescent="0.2">
      <c r="B11" s="4">
        <v>8</v>
      </c>
      <c r="C11" s="4">
        <v>926</v>
      </c>
      <c r="D11" s="23">
        <v>86789.675838657742</v>
      </c>
      <c r="E11" s="33">
        <v>0.54453825000018696</v>
      </c>
      <c r="F11" s="5">
        <v>3</v>
      </c>
      <c r="G11" s="23">
        <v>90</v>
      </c>
      <c r="H11" s="33">
        <v>10.349988019843472</v>
      </c>
      <c r="I11" s="23">
        <v>22.710715928342054</v>
      </c>
      <c r="J11" s="5">
        <v>1707.771099757749</v>
      </c>
      <c r="K11" s="31"/>
      <c r="L11" s="23">
        <v>107176.4139154054</v>
      </c>
      <c r="M11" s="33">
        <v>0.49797991599916708</v>
      </c>
      <c r="N11" s="5">
        <v>3</v>
      </c>
      <c r="O11" s="5">
        <v>63.333333333333343</v>
      </c>
      <c r="P11" s="33">
        <v>0</v>
      </c>
      <c r="Q11" s="5">
        <v>14.95388388327463</v>
      </c>
      <c r="R11" s="5">
        <v>1372.5509391740161</v>
      </c>
      <c r="S11" s="31"/>
      <c r="T11" s="23">
        <v>107673.31388968071</v>
      </c>
      <c r="U11" s="33">
        <v>1.044282750001003</v>
      </c>
      <c r="V11" s="5">
        <v>3</v>
      </c>
      <c r="W11" s="5">
        <v>80</v>
      </c>
      <c r="X11" s="33">
        <v>127.1120615212795</v>
      </c>
      <c r="Y11" s="5">
        <v>33.215506241806168</v>
      </c>
      <c r="Z11" s="5">
        <v>2209.3519612617438</v>
      </c>
      <c r="AA11" s="35"/>
    </row>
    <row r="12" spans="2:27" x14ac:dyDescent="0.2">
      <c r="B12" s="4">
        <v>9</v>
      </c>
      <c r="C12" s="4">
        <v>933</v>
      </c>
      <c r="D12" s="23">
        <v>88181.550612290754</v>
      </c>
      <c r="E12" s="33">
        <v>0.908716292000463</v>
      </c>
      <c r="F12" s="5">
        <v>3</v>
      </c>
      <c r="G12" s="23">
        <v>93.333333333333329</v>
      </c>
      <c r="H12" s="33">
        <v>39.947476332993297</v>
      </c>
      <c r="I12" s="23">
        <v>23.650030056959604</v>
      </c>
      <c r="J12" s="5">
        <v>1852.0011427384532</v>
      </c>
      <c r="K12" s="31"/>
      <c r="L12" s="23">
        <v>107176.4139154054</v>
      </c>
      <c r="M12" s="33">
        <v>0.88135991700255545</v>
      </c>
      <c r="N12" s="5">
        <v>3</v>
      </c>
      <c r="O12" s="5">
        <v>63.333333333333343</v>
      </c>
      <c r="P12" s="33">
        <v>0</v>
      </c>
      <c r="Q12" s="5">
        <v>14.95388388327463</v>
      </c>
      <c r="R12" s="5">
        <v>1372.5509391740161</v>
      </c>
      <c r="S12" s="31"/>
      <c r="T12" s="23">
        <v>107215.5575878317</v>
      </c>
      <c r="U12" s="33">
        <v>1.0857902499992631</v>
      </c>
      <c r="V12" s="5">
        <v>3</v>
      </c>
      <c r="W12" s="5">
        <v>76.666666666666671</v>
      </c>
      <c r="X12" s="33">
        <v>76.948759137202543</v>
      </c>
      <c r="Y12" s="5">
        <v>30.372155767589089</v>
      </c>
      <c r="Z12" s="5">
        <v>2099.4813789739392</v>
      </c>
      <c r="AA12" s="35"/>
    </row>
    <row r="13" spans="2:27" x14ac:dyDescent="0.2">
      <c r="B13" s="4">
        <v>10</v>
      </c>
      <c r="C13" s="4">
        <v>952</v>
      </c>
      <c r="D13" s="23">
        <v>87201.52049608076</v>
      </c>
      <c r="E13" s="33">
        <v>0.80502025000168942</v>
      </c>
      <c r="F13" s="5">
        <v>3</v>
      </c>
      <c r="G13" s="23">
        <v>90</v>
      </c>
      <c r="H13" s="33">
        <v>10.349988019843472</v>
      </c>
      <c r="I13" s="23">
        <v>22.392340769609302</v>
      </c>
      <c r="J13" s="5">
        <v>1720.9598176382028</v>
      </c>
      <c r="K13" s="31"/>
      <c r="L13" s="23">
        <v>107260.61582842861</v>
      </c>
      <c r="M13" s="33">
        <v>0.78972104200147442</v>
      </c>
      <c r="N13" s="5">
        <v>3</v>
      </c>
      <c r="O13" s="5">
        <v>63.333333333333343</v>
      </c>
      <c r="P13" s="33">
        <v>0</v>
      </c>
      <c r="Q13" s="5">
        <v>15.371377947268121</v>
      </c>
      <c r="R13" s="5">
        <v>1388.515978780837</v>
      </c>
      <c r="S13" s="31"/>
      <c r="T13" s="23">
        <v>108581.20761186141</v>
      </c>
      <c r="U13" s="33">
        <v>1.13993816600123</v>
      </c>
      <c r="V13" s="5">
        <v>3</v>
      </c>
      <c r="W13" s="5">
        <v>73.333333333333329</v>
      </c>
      <c r="X13" s="33">
        <v>96.514124166837234</v>
      </c>
      <c r="Y13" s="5">
        <v>30.76359333786753</v>
      </c>
      <c r="Z13" s="5">
        <v>2028.0583313523071</v>
      </c>
      <c r="AA13" s="35"/>
    </row>
    <row r="14" spans="2:27" x14ac:dyDescent="0.2">
      <c r="B14" s="46" t="s">
        <v>3</v>
      </c>
      <c r="C14" s="47"/>
      <c r="D14" s="9">
        <f>MIN(D4:D13)</f>
        <v>86789.675838657742</v>
      </c>
      <c r="E14" s="22">
        <f>INDEX(E4:E13, MATCH($D$14, D4:D13, 0))</f>
        <v>0.95438587500029826</v>
      </c>
      <c r="F14" s="9">
        <f>INDEX(F4:F13, MATCH($D$14, D4:D13, 0))</f>
        <v>3</v>
      </c>
      <c r="G14" s="9">
        <f>INDEX(G4:G13, MATCH($D$14, D4:D13, 0))</f>
        <v>90</v>
      </c>
      <c r="H14" s="22">
        <f>INDEX(H4:H13, MATCH($D$14, D4:D13, 0))</f>
        <v>10.349988019843472</v>
      </c>
      <c r="I14" s="22">
        <f>INDEX(I4:I13, MATCH($D$14, D4:D13, 0))</f>
        <v>22.710715928342054</v>
      </c>
      <c r="J14" s="22">
        <f>INDEX(J4:J13, MATCH($D$14, D4:D13, 0))</f>
        <v>1707.771099757749</v>
      </c>
      <c r="K14" s="32">
        <f>(D14-$D$15)/$D$15</f>
        <v>0</v>
      </c>
      <c r="L14" s="16">
        <f>MIN(L4:L13)</f>
        <v>106817.6679873207</v>
      </c>
      <c r="M14" s="21">
        <f>INDEX(M4:M13, MATCH($L$14, L4:L13, 0))</f>
        <v>0.71815000000060536</v>
      </c>
      <c r="N14" s="16">
        <f>INDEX(N4:N13, MATCH($L$14, L4:L13, 0))</f>
        <v>3</v>
      </c>
      <c r="O14" s="16">
        <f>INDEX(O4:O13, MATCH($L$14, L4:L13, 0))</f>
        <v>63.333333333333343</v>
      </c>
      <c r="P14" s="21">
        <f>INDEX(P4:P13, MATCH($L$14, L4:L13, 0))</f>
        <v>0</v>
      </c>
      <c r="Q14" s="21">
        <f>INDEX(Q4:Q13, MATCH($L$14, L4:L13, 0))</f>
        <v>14.93490688036583</v>
      </c>
      <c r="R14" s="21">
        <f>INDEX(R4:R13, MATCH($L$14, L4:L13, 0))</f>
        <v>1357.472201112367</v>
      </c>
      <c r="S14" s="36">
        <f>(L14-$D$15)/$D$15</f>
        <v>0.23076468433751332</v>
      </c>
      <c r="T14" s="38">
        <f>MIN(T4:T13)</f>
        <v>106880.8911981195</v>
      </c>
      <c r="U14" s="39">
        <f>INDEX(U4:U13, MATCH($T$14, T4:T13, 0))</f>
        <v>0.94284029100163025</v>
      </c>
      <c r="V14" s="38">
        <f>INDEX(V4:V13, MATCH($T$14, T4:T13, 0))</f>
        <v>3</v>
      </c>
      <c r="W14" s="38">
        <f>INDEX(W4:W13, MATCH($T$14, T4:T13, 0))</f>
        <v>76.666666666666671</v>
      </c>
      <c r="X14" s="39">
        <f>INDEX(X4:X13, MATCH($T$14, T4:T13, 0))</f>
        <v>75.770877667681219</v>
      </c>
      <c r="Y14" s="39">
        <f>INDEX(Y4:Y13, MATCH($T$14, T4:T13, 0))</f>
        <v>31.2853352111573</v>
      </c>
      <c r="Z14" s="39">
        <f>INDEX(Z4:Z13, MATCH($T$14, T4:T13, 0))</f>
        <v>2090.131531859457</v>
      </c>
      <c r="AA14" s="40">
        <f>(T14-$D$15)/$D$15</f>
        <v>0.23149314898711434</v>
      </c>
    </row>
    <row r="15" spans="2:27" x14ac:dyDescent="0.2">
      <c r="C15" s="1" t="s">
        <v>17</v>
      </c>
      <c r="D15" s="34">
        <v>86789.675838657742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28:C1048576">
    <cfRule type="duplicateValues" dxfId="121" priority="11"/>
    <cfRule type="duplicateValues" dxfId="120" priority="12"/>
  </conditionalFormatting>
  <conditionalFormatting sqref="C14">
    <cfRule type="duplicateValues" dxfId="119" priority="5"/>
    <cfRule type="duplicateValues" dxfId="118" priority="6"/>
  </conditionalFormatting>
  <conditionalFormatting sqref="C18:C27">
    <cfRule type="duplicateValues" dxfId="35" priority="3"/>
    <cfRule type="duplicateValues" dxfId="34" priority="4"/>
  </conditionalFormatting>
  <conditionalFormatting sqref="C17">
    <cfRule type="duplicateValues" dxfId="33" priority="1"/>
    <cfRule type="duplicateValues" dxfId="32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9D99-1D08-7142-9218-26E5D70A642C}">
  <dimension ref="B1:AA17"/>
  <sheetViews>
    <sheetView zoomScale="110" zoomScaleNormal="110" workbookViewId="0">
      <selection activeCell="A17" sqref="A17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1.3436984894157136</v>
      </c>
      <c r="J2" s="28">
        <f>(S14-J14)/J14</f>
        <v>-0.9998232364544799</v>
      </c>
      <c r="K2" s="28"/>
      <c r="L2" s="1" t="s">
        <v>19</v>
      </c>
      <c r="P2" s="1">
        <f>(P14-H14)/H14</f>
        <v>-0.98761508611463833</v>
      </c>
      <c r="R2" s="1">
        <f>(R14-J14)/J14</f>
        <v>-9.7060550650293925E-2</v>
      </c>
      <c r="T2" s="1" t="s">
        <v>20</v>
      </c>
      <c r="X2" s="1">
        <f>(X14-P14)/P14</f>
        <v>694.36155036409355</v>
      </c>
      <c r="Z2" s="1">
        <f>(Z14-R14)/R14</f>
        <v>0.50344244263810989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101</v>
      </c>
      <c r="D4" s="23">
        <v>72109.261992094922</v>
      </c>
      <c r="E4" s="33">
        <v>1.2776501670014111</v>
      </c>
      <c r="F4" s="5">
        <v>3</v>
      </c>
      <c r="G4" s="23">
        <v>96.666666666666671</v>
      </c>
      <c r="H4" s="33">
        <v>6.785365388679355</v>
      </c>
      <c r="I4" s="23">
        <v>20.965674169162099</v>
      </c>
      <c r="J4" s="5">
        <v>1457.2080932494894</v>
      </c>
      <c r="K4" s="31"/>
      <c r="L4" s="23">
        <v>90683.257211579243</v>
      </c>
      <c r="M4" s="33">
        <v>0.73320941600104561</v>
      </c>
      <c r="N4" s="5">
        <v>3</v>
      </c>
      <c r="O4" s="5">
        <v>76.666666666666671</v>
      </c>
      <c r="P4" s="33">
        <v>8.4036166019507655E-2</v>
      </c>
      <c r="Q4" s="5">
        <v>15.902850611581471</v>
      </c>
      <c r="R4" s="5">
        <v>1315.7706733066291</v>
      </c>
      <c r="S4" s="31"/>
      <c r="T4" s="23">
        <v>89283.931045723555</v>
      </c>
      <c r="U4" s="33">
        <v>1.169493458997749</v>
      </c>
      <c r="V4" s="5">
        <v>3</v>
      </c>
      <c r="W4" s="5">
        <v>90</v>
      </c>
      <c r="X4" s="33">
        <v>58.435518689979197</v>
      </c>
      <c r="Y4" s="5">
        <v>37.020723499110588</v>
      </c>
      <c r="Z4" s="5">
        <v>1978.1854750277089</v>
      </c>
      <c r="AA4" s="35"/>
    </row>
    <row r="5" spans="2:27" x14ac:dyDescent="0.2">
      <c r="B5" s="4">
        <v>2</v>
      </c>
      <c r="C5" s="4">
        <v>342</v>
      </c>
      <c r="D5" s="23">
        <v>72109.261992094922</v>
      </c>
      <c r="E5" s="33">
        <v>1.180265291997785</v>
      </c>
      <c r="F5" s="5">
        <v>3</v>
      </c>
      <c r="G5" s="23">
        <v>96.666666666666671</v>
      </c>
      <c r="H5" s="33">
        <v>6.785365388679355</v>
      </c>
      <c r="I5" s="23">
        <v>20.965674169162099</v>
      </c>
      <c r="J5" s="5">
        <v>1457.2080932494894</v>
      </c>
      <c r="K5" s="31"/>
      <c r="L5" s="23">
        <v>90683.257211579243</v>
      </c>
      <c r="M5" s="33">
        <v>1.0844866670013289</v>
      </c>
      <c r="N5" s="5">
        <v>3</v>
      </c>
      <c r="O5" s="5">
        <v>76.666666666666671</v>
      </c>
      <c r="P5" s="33">
        <v>8.4036166019507655E-2</v>
      </c>
      <c r="Q5" s="5">
        <v>15.902850611581471</v>
      </c>
      <c r="R5" s="5">
        <v>1315.7706733066291</v>
      </c>
      <c r="S5" s="31"/>
      <c r="T5" s="23">
        <v>89283.931045723555</v>
      </c>
      <c r="U5" s="33">
        <v>1.6331147920027429</v>
      </c>
      <c r="V5" s="5">
        <v>3</v>
      </c>
      <c r="W5" s="5">
        <v>90</v>
      </c>
      <c r="X5" s="33">
        <v>58.435518689979197</v>
      </c>
      <c r="Y5" s="5">
        <v>37.020723499110588</v>
      </c>
      <c r="Z5" s="5">
        <v>1978.1854750277089</v>
      </c>
      <c r="AA5" s="35"/>
    </row>
    <row r="6" spans="2:27" x14ac:dyDescent="0.2">
      <c r="B6" s="4">
        <v>3</v>
      </c>
      <c r="C6" s="4">
        <v>357</v>
      </c>
      <c r="D6" s="23">
        <v>72109.261992094922</v>
      </c>
      <c r="E6" s="33">
        <v>1.575362957999459</v>
      </c>
      <c r="F6" s="5">
        <v>3</v>
      </c>
      <c r="G6" s="23">
        <v>96.666666666666671</v>
      </c>
      <c r="H6" s="33">
        <v>6.785365388679355</v>
      </c>
      <c r="I6" s="23">
        <v>20.965674169162099</v>
      </c>
      <c r="J6" s="5">
        <v>1457.2080932494894</v>
      </c>
      <c r="K6" s="31"/>
      <c r="L6" s="23">
        <v>90740.682410200476</v>
      </c>
      <c r="M6" s="33">
        <v>1.1714496669992509</v>
      </c>
      <c r="N6" s="5">
        <v>3</v>
      </c>
      <c r="O6" s="5">
        <v>76.666666666666671</v>
      </c>
      <c r="P6" s="33">
        <v>8.4036166019507655E-2</v>
      </c>
      <c r="Q6" s="5">
        <v>16.262816488788729</v>
      </c>
      <c r="R6" s="5">
        <v>1323.4318427219209</v>
      </c>
      <c r="S6" s="31"/>
      <c r="T6" s="23">
        <v>89283.931045723555</v>
      </c>
      <c r="U6" s="33">
        <v>0.99555833299746155</v>
      </c>
      <c r="V6" s="5">
        <v>3</v>
      </c>
      <c r="W6" s="5">
        <v>90</v>
      </c>
      <c r="X6" s="33">
        <v>58.435518689979197</v>
      </c>
      <c r="Y6" s="5">
        <v>37.020723499110588</v>
      </c>
      <c r="Z6" s="5">
        <v>1978.1854750277089</v>
      </c>
      <c r="AA6" s="35"/>
    </row>
    <row r="7" spans="2:27" x14ac:dyDescent="0.2">
      <c r="B7" s="4">
        <v>4</v>
      </c>
      <c r="C7" s="4">
        <v>532</v>
      </c>
      <c r="D7" s="23">
        <v>72109.261992094922</v>
      </c>
      <c r="E7" s="33">
        <v>1.071431833002862</v>
      </c>
      <c r="F7" s="5">
        <v>3</v>
      </c>
      <c r="G7" s="23">
        <v>96.666666666666671</v>
      </c>
      <c r="H7" s="33">
        <v>6.785365388679355</v>
      </c>
      <c r="I7" s="23">
        <v>20.965674169162099</v>
      </c>
      <c r="J7" s="5">
        <v>1457.2080932494894</v>
      </c>
      <c r="K7" s="31"/>
      <c r="L7" s="23">
        <v>90683.257211579243</v>
      </c>
      <c r="M7" s="33">
        <v>0.75743029200020828</v>
      </c>
      <c r="N7" s="5">
        <v>3</v>
      </c>
      <c r="O7" s="5">
        <v>76.666666666666671</v>
      </c>
      <c r="P7" s="33">
        <v>8.4036166019507655E-2</v>
      </c>
      <c r="Q7" s="5">
        <v>15.902850611581471</v>
      </c>
      <c r="R7" s="5">
        <v>1315.7706733066291</v>
      </c>
      <c r="S7" s="31"/>
      <c r="T7" s="23">
        <v>89283.931045723555</v>
      </c>
      <c r="U7" s="33">
        <v>1.117951249998441</v>
      </c>
      <c r="V7" s="5">
        <v>3</v>
      </c>
      <c r="W7" s="5">
        <v>90</v>
      </c>
      <c r="X7" s="33">
        <v>58.435518689979197</v>
      </c>
      <c r="Y7" s="5">
        <v>37.020723499110588</v>
      </c>
      <c r="Z7" s="5">
        <v>1978.1854750277089</v>
      </c>
      <c r="AA7" s="35"/>
    </row>
    <row r="8" spans="2:27" x14ac:dyDescent="0.2">
      <c r="B8" s="4">
        <v>5</v>
      </c>
      <c r="C8" s="4">
        <v>718</v>
      </c>
      <c r="D8" s="23">
        <v>72109.261992094922</v>
      </c>
      <c r="E8" s="33">
        <v>0.65301220800029114</v>
      </c>
      <c r="F8" s="5">
        <v>3</v>
      </c>
      <c r="G8" s="23">
        <v>96.666666666666671</v>
      </c>
      <c r="H8" s="33">
        <v>6.785365388679355</v>
      </c>
      <c r="I8" s="23">
        <v>20.965674169162099</v>
      </c>
      <c r="J8" s="5">
        <v>1457.2080932494894</v>
      </c>
      <c r="K8" s="31"/>
      <c r="L8" s="23">
        <v>90683.257211579243</v>
      </c>
      <c r="M8" s="33">
        <v>0.62606187500205124</v>
      </c>
      <c r="N8" s="5">
        <v>3</v>
      </c>
      <c r="O8" s="5">
        <v>76.666666666666671</v>
      </c>
      <c r="P8" s="33">
        <v>8.4036166019507655E-2</v>
      </c>
      <c r="Q8" s="5">
        <v>15.902850611581471</v>
      </c>
      <c r="R8" s="5">
        <v>1315.7706733066291</v>
      </c>
      <c r="S8" s="31"/>
      <c r="T8" s="23">
        <v>89283.931045723555</v>
      </c>
      <c r="U8" s="33">
        <v>0.64611208300266298</v>
      </c>
      <c r="V8" s="5">
        <v>3</v>
      </c>
      <c r="W8" s="5">
        <v>90</v>
      </c>
      <c r="X8" s="33">
        <v>58.435518689979197</v>
      </c>
      <c r="Y8" s="5">
        <v>37.020723499110588</v>
      </c>
      <c r="Z8" s="5">
        <v>1978.1854750277089</v>
      </c>
      <c r="AA8" s="35"/>
    </row>
    <row r="9" spans="2:27" x14ac:dyDescent="0.2">
      <c r="B9" s="4">
        <v>6</v>
      </c>
      <c r="C9" s="4">
        <v>727</v>
      </c>
      <c r="D9" s="23">
        <v>72109.261992094922</v>
      </c>
      <c r="E9" s="33">
        <v>0.87547216600069078</v>
      </c>
      <c r="F9" s="5">
        <v>3</v>
      </c>
      <c r="G9" s="23">
        <v>96.666666666666671</v>
      </c>
      <c r="H9" s="33">
        <v>6.785365388679355</v>
      </c>
      <c r="I9" s="23">
        <v>20.965674169162099</v>
      </c>
      <c r="J9" s="5">
        <v>1457.2080932494894</v>
      </c>
      <c r="K9" s="31"/>
      <c r="L9" s="23">
        <v>90683.257211579243</v>
      </c>
      <c r="M9" s="33">
        <v>0.695662625003024</v>
      </c>
      <c r="N9" s="5">
        <v>3</v>
      </c>
      <c r="O9" s="5">
        <v>76.666666666666671</v>
      </c>
      <c r="P9" s="33">
        <v>8.4036166019507655E-2</v>
      </c>
      <c r="Q9" s="5">
        <v>15.902850611581471</v>
      </c>
      <c r="R9" s="5">
        <v>1315.7706733066291</v>
      </c>
      <c r="S9" s="31"/>
      <c r="T9" s="23">
        <v>89283.931045723555</v>
      </c>
      <c r="U9" s="33">
        <v>1.6162189579990811</v>
      </c>
      <c r="V9" s="5">
        <v>3</v>
      </c>
      <c r="W9" s="5">
        <v>90</v>
      </c>
      <c r="X9" s="33">
        <v>58.435518689979197</v>
      </c>
      <c r="Y9" s="5">
        <v>37.020723499110588</v>
      </c>
      <c r="Z9" s="5">
        <v>1978.1854750277089</v>
      </c>
      <c r="AA9" s="35"/>
    </row>
    <row r="10" spans="2:27" x14ac:dyDescent="0.2">
      <c r="B10" s="4">
        <v>7</v>
      </c>
      <c r="C10" s="4">
        <v>803</v>
      </c>
      <c r="D10" s="23">
        <v>72109.261992094922</v>
      </c>
      <c r="E10" s="33">
        <v>0.5699840419983957</v>
      </c>
      <c r="F10" s="5">
        <v>3</v>
      </c>
      <c r="G10" s="23">
        <v>96.666666666666671</v>
      </c>
      <c r="H10" s="33">
        <v>6.785365388679355</v>
      </c>
      <c r="I10" s="23">
        <v>20.965674169162099</v>
      </c>
      <c r="J10" s="5">
        <v>1457.2080932494894</v>
      </c>
      <c r="K10" s="31"/>
      <c r="L10" s="23">
        <v>93066.336507113054</v>
      </c>
      <c r="M10" s="33">
        <v>0.65045579200159409</v>
      </c>
      <c r="N10" s="5">
        <v>3</v>
      </c>
      <c r="O10" s="5">
        <v>73.333333333333329</v>
      </c>
      <c r="P10" s="33">
        <v>0</v>
      </c>
      <c r="Q10" s="5">
        <v>15.08464124660382</v>
      </c>
      <c r="R10" s="5">
        <v>1257.2575553387451</v>
      </c>
      <c r="S10" s="31"/>
      <c r="T10" s="23">
        <v>89283.931045723555</v>
      </c>
      <c r="U10" s="33">
        <v>1.1382795419995091</v>
      </c>
      <c r="V10" s="5">
        <v>3</v>
      </c>
      <c r="W10" s="5">
        <v>90</v>
      </c>
      <c r="X10" s="33">
        <v>58.435518689979197</v>
      </c>
      <c r="Y10" s="5">
        <v>37.020723499110588</v>
      </c>
      <c r="Z10" s="5">
        <v>1978.1854750277089</v>
      </c>
      <c r="AA10" s="35"/>
    </row>
    <row r="11" spans="2:27" x14ac:dyDescent="0.2">
      <c r="B11" s="4">
        <v>8</v>
      </c>
      <c r="C11" s="4">
        <v>810</v>
      </c>
      <c r="D11" s="23">
        <v>72109.261992094922</v>
      </c>
      <c r="E11" s="33">
        <v>0.99436533400148619</v>
      </c>
      <c r="F11" s="5">
        <v>3</v>
      </c>
      <c r="G11" s="23">
        <v>96.666666666666671</v>
      </c>
      <c r="H11" s="33">
        <v>6.785365388679355</v>
      </c>
      <c r="I11" s="23">
        <v>20.965674169162099</v>
      </c>
      <c r="J11" s="5">
        <v>1457.2080932494894</v>
      </c>
      <c r="K11" s="31"/>
      <c r="L11" s="23">
        <v>93527.731867415307</v>
      </c>
      <c r="M11" s="33">
        <v>1.1737870830002071</v>
      </c>
      <c r="N11" s="5">
        <v>3</v>
      </c>
      <c r="O11" s="5">
        <v>73.333333333333329</v>
      </c>
      <c r="P11" s="33">
        <v>8.7855991747667089E-2</v>
      </c>
      <c r="Q11" s="5">
        <v>14.15396863559063</v>
      </c>
      <c r="R11" s="5">
        <v>1258.0196878909239</v>
      </c>
      <c r="S11" s="31"/>
      <c r="T11" s="23">
        <v>89283.931045723555</v>
      </c>
      <c r="U11" s="33">
        <v>1.4050994999997779</v>
      </c>
      <c r="V11" s="5">
        <v>3</v>
      </c>
      <c r="W11" s="5">
        <v>90</v>
      </c>
      <c r="X11" s="33">
        <v>58.435518689979197</v>
      </c>
      <c r="Y11" s="5">
        <v>37.020723499110588</v>
      </c>
      <c r="Z11" s="5">
        <v>1978.1854750277089</v>
      </c>
      <c r="AA11" s="35"/>
    </row>
    <row r="12" spans="2:27" x14ac:dyDescent="0.2">
      <c r="B12" s="4">
        <v>9</v>
      </c>
      <c r="C12" s="4">
        <v>859</v>
      </c>
      <c r="D12" s="23">
        <v>72109.261992094922</v>
      </c>
      <c r="E12" s="33">
        <v>1.185981500002526</v>
      </c>
      <c r="F12" s="5">
        <v>3</v>
      </c>
      <c r="G12" s="23">
        <v>96.666666666666671</v>
      </c>
      <c r="H12" s="33">
        <v>6.785365388679355</v>
      </c>
      <c r="I12" s="23">
        <v>20.965674169162099</v>
      </c>
      <c r="J12" s="5">
        <v>1457.2080932494894</v>
      </c>
      <c r="K12" s="31"/>
      <c r="L12" s="23">
        <v>90683.257211579243</v>
      </c>
      <c r="M12" s="33">
        <v>0.63041245800195611</v>
      </c>
      <c r="N12" s="5">
        <v>3</v>
      </c>
      <c r="O12" s="5">
        <v>76.666666666666671</v>
      </c>
      <c r="P12" s="33">
        <v>8.4036166019507655E-2</v>
      </c>
      <c r="Q12" s="5">
        <v>15.902850611581471</v>
      </c>
      <c r="R12" s="5">
        <v>1315.7706733066291</v>
      </c>
      <c r="S12" s="31"/>
      <c r="T12" s="23">
        <v>89283.931045723555</v>
      </c>
      <c r="U12" s="33">
        <v>1.1824487500016401</v>
      </c>
      <c r="V12" s="5">
        <v>3</v>
      </c>
      <c r="W12" s="5">
        <v>90</v>
      </c>
      <c r="X12" s="33">
        <v>58.435518689979197</v>
      </c>
      <c r="Y12" s="5">
        <v>37.020723499110588</v>
      </c>
      <c r="Z12" s="5">
        <v>1978.1854750277089</v>
      </c>
      <c r="AA12" s="35"/>
    </row>
    <row r="13" spans="2:27" x14ac:dyDescent="0.2">
      <c r="B13" s="4">
        <v>10</v>
      </c>
      <c r="C13" s="4">
        <v>904</v>
      </c>
      <c r="D13" s="23">
        <v>72109.261992094922</v>
      </c>
      <c r="E13" s="33">
        <v>0.67398933299773489</v>
      </c>
      <c r="F13" s="5">
        <v>3</v>
      </c>
      <c r="G13" s="23">
        <v>96.666666666666671</v>
      </c>
      <c r="H13" s="33">
        <v>6.785365388679355</v>
      </c>
      <c r="I13" s="23">
        <v>20.965674169162099</v>
      </c>
      <c r="J13" s="5">
        <v>1457.2080932494894</v>
      </c>
      <c r="K13" s="31"/>
      <c r="L13" s="23">
        <v>90683.257211579243</v>
      </c>
      <c r="M13" s="33">
        <v>0.50526695900043705</v>
      </c>
      <c r="N13" s="5">
        <v>3</v>
      </c>
      <c r="O13" s="5">
        <v>76.666666666666671</v>
      </c>
      <c r="P13" s="33">
        <v>8.4036166019507655E-2</v>
      </c>
      <c r="Q13" s="5">
        <v>15.902850611581471</v>
      </c>
      <c r="R13" s="5">
        <v>1315.7706733066291</v>
      </c>
      <c r="S13" s="31"/>
      <c r="T13" s="23">
        <v>89283.931045723555</v>
      </c>
      <c r="U13" s="33">
        <v>1.083929500000522</v>
      </c>
      <c r="V13" s="5">
        <v>3</v>
      </c>
      <c r="W13" s="5">
        <v>90</v>
      </c>
      <c r="X13" s="33">
        <v>58.435518689979197</v>
      </c>
      <c r="Y13" s="5">
        <v>37.020723499110588</v>
      </c>
      <c r="Z13" s="5">
        <v>1978.1854750277089</v>
      </c>
      <c r="AA13" s="35"/>
    </row>
    <row r="14" spans="2:27" x14ac:dyDescent="0.2">
      <c r="B14" s="46" t="s">
        <v>3</v>
      </c>
      <c r="C14" s="47"/>
      <c r="D14" s="9">
        <f>MIN(D4:D13)</f>
        <v>72109.261992094922</v>
      </c>
      <c r="E14" s="22">
        <f>INDEX(E4:E13, MATCH($D$14, D4:D13, 0))</f>
        <v>1.2776501670014111</v>
      </c>
      <c r="F14" s="9">
        <f>INDEX(F4:F13, MATCH($D$14, D4:D13, 0))</f>
        <v>3</v>
      </c>
      <c r="G14" s="9">
        <f>INDEX(G4:G13, MATCH($D$14, D4:D13, 0))</f>
        <v>96.666666666666671</v>
      </c>
      <c r="H14" s="22">
        <f>INDEX(H4:H13, MATCH($D$14, D4:D13, 0))</f>
        <v>6.785365388679355</v>
      </c>
      <c r="I14" s="22">
        <f>INDEX(I4:I13, MATCH($D$14, D4:D13, 0))</f>
        <v>20.965674169162099</v>
      </c>
      <c r="J14" s="22">
        <f>INDEX(J4:J13, MATCH($D$14, D4:D13, 0))</f>
        <v>1457.2080932494894</v>
      </c>
      <c r="K14" s="32">
        <f>(D14-$D$15)/$D$15</f>
        <v>0</v>
      </c>
      <c r="L14" s="16">
        <f>MIN(L4:L13)</f>
        <v>90683.257211579243</v>
      </c>
      <c r="M14" s="21">
        <f>INDEX(M4:M13, MATCH($L$14, L4:L13, 0))</f>
        <v>0.73320941600104561</v>
      </c>
      <c r="N14" s="16">
        <f>INDEX(N4:N13, MATCH($L$14, L4:L13, 0))</f>
        <v>3</v>
      </c>
      <c r="O14" s="16">
        <f>INDEX(O4:O13, MATCH($L$14, L4:L13, 0))</f>
        <v>76.666666666666671</v>
      </c>
      <c r="P14" s="21">
        <f>INDEX(P4:P13, MATCH($L$14, L4:L13, 0))</f>
        <v>8.4036166019507655E-2</v>
      </c>
      <c r="Q14" s="21">
        <f>INDEX(Q4:Q13, MATCH($L$14, L4:L13, 0))</f>
        <v>15.902850611581471</v>
      </c>
      <c r="R14" s="21">
        <f>INDEX(R4:R13, MATCH($L$14, L4:L13, 0))</f>
        <v>1315.7706733066291</v>
      </c>
      <c r="S14" s="36">
        <f>(L14-$D$15)/$D$15</f>
        <v>0.25758126912352147</v>
      </c>
      <c r="T14" s="38">
        <f>MIN(T4:T13)</f>
        <v>89283.931045723555</v>
      </c>
      <c r="U14" s="39">
        <f>INDEX(U4:U13, MATCH($T$14, T4:T13, 0))</f>
        <v>1.169493458997749</v>
      </c>
      <c r="V14" s="38">
        <f>INDEX(V4:V13, MATCH($T$14, T4:T13, 0))</f>
        <v>3</v>
      </c>
      <c r="W14" s="38">
        <f>INDEX(W4:W13, MATCH($T$14, T4:T13, 0))</f>
        <v>90</v>
      </c>
      <c r="X14" s="39">
        <f>INDEX(X4:X13, MATCH($T$14, T4:T13, 0))</f>
        <v>58.435518689979197</v>
      </c>
      <c r="Y14" s="39">
        <f>INDEX(Y4:Y13, MATCH($T$14, T4:T13, 0))</f>
        <v>37.020723499110588</v>
      </c>
      <c r="Z14" s="39">
        <f>INDEX(Z4:Z13, MATCH($T$14, T4:T13, 0))</f>
        <v>1978.1854750277089</v>
      </c>
      <c r="AA14" s="40">
        <f>(T14-$D$15)/$D$15</f>
        <v>0.23817563207776873</v>
      </c>
    </row>
    <row r="15" spans="2:27" x14ac:dyDescent="0.2">
      <c r="C15" s="1" t="s">
        <v>17</v>
      </c>
      <c r="D15" s="34">
        <v>72109.261992094922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28:C1048576">
    <cfRule type="duplicateValues" dxfId="115" priority="11"/>
    <cfRule type="duplicateValues" dxfId="114" priority="12"/>
  </conditionalFormatting>
  <conditionalFormatting sqref="C14">
    <cfRule type="duplicateValues" dxfId="113" priority="5"/>
    <cfRule type="duplicateValues" dxfId="112" priority="6"/>
  </conditionalFormatting>
  <conditionalFormatting sqref="C18:C27">
    <cfRule type="duplicateValues" dxfId="31" priority="3"/>
    <cfRule type="duplicateValues" dxfId="30" priority="4"/>
  </conditionalFormatting>
  <conditionalFormatting sqref="C17">
    <cfRule type="duplicateValues" dxfId="29" priority="1"/>
    <cfRule type="duplicateValues" dxfId="28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AD953-73F0-C64E-AFF6-4A98582D43B1}">
  <dimension ref="B1:AA17"/>
  <sheetViews>
    <sheetView zoomScale="110" zoomScaleNormal="110" workbookViewId="0">
      <selection activeCell="A17" sqref="A17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 t="e">
        <f>(Q14-H14)/H14</f>
        <v>#DIV/0!</v>
      </c>
      <c r="J2" s="28">
        <f>(S14-J14)/J14</f>
        <v>-0.99981269387360472</v>
      </c>
      <c r="K2" s="28"/>
      <c r="L2" s="1" t="s">
        <v>19</v>
      </c>
      <c r="P2" s="1" t="e">
        <f>(P14-H14)/H14</f>
        <v>#DIV/0!</v>
      </c>
      <c r="R2" s="1">
        <f>(R14-J14)/J14</f>
        <v>-0.14523164804365829</v>
      </c>
      <c r="T2" s="1" t="s">
        <v>20</v>
      </c>
      <c r="X2" s="1" t="e">
        <f>(X14-P14)/P14</f>
        <v>#DIV/0!</v>
      </c>
      <c r="Z2" s="1">
        <f>(Z14-R14)/R14</f>
        <v>0.57886410493102736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14</v>
      </c>
      <c r="D4" s="23">
        <v>71363.297273729797</v>
      </c>
      <c r="E4" s="33">
        <v>1.229316999997536</v>
      </c>
      <c r="F4" s="5">
        <v>3</v>
      </c>
      <c r="G4" s="23">
        <v>93.333333333333329</v>
      </c>
      <c r="H4" s="33">
        <v>0</v>
      </c>
      <c r="I4" s="23">
        <v>27.701524852998279</v>
      </c>
      <c r="J4" s="5">
        <v>1364.5156168347064</v>
      </c>
      <c r="K4" s="31"/>
      <c r="L4" s="23">
        <v>92152.874899891351</v>
      </c>
      <c r="M4" s="33">
        <v>0.69680724999852828</v>
      </c>
      <c r="N4" s="5">
        <v>4</v>
      </c>
      <c r="O4" s="5">
        <v>80</v>
      </c>
      <c r="P4" s="33">
        <v>0</v>
      </c>
      <c r="Q4" s="5">
        <v>17.575322170450029</v>
      </c>
      <c r="R4" s="5">
        <v>1200.568144378899</v>
      </c>
      <c r="S4" s="31"/>
      <c r="T4" s="23">
        <v>83016.194208229135</v>
      </c>
      <c r="U4" s="33">
        <v>1.811156874999142</v>
      </c>
      <c r="V4" s="5">
        <v>3</v>
      </c>
      <c r="W4" s="5">
        <v>90</v>
      </c>
      <c r="X4" s="33">
        <v>18.87955283543516</v>
      </c>
      <c r="Y4" s="5">
        <v>44.259179003305931</v>
      </c>
      <c r="Z4" s="5">
        <v>1841.4998834650701</v>
      </c>
      <c r="AA4" s="35"/>
    </row>
    <row r="5" spans="2:27" x14ac:dyDescent="0.2">
      <c r="B5" s="4">
        <v>2</v>
      </c>
      <c r="C5" s="4">
        <v>25</v>
      </c>
      <c r="D5" s="23">
        <v>72274.933715379942</v>
      </c>
      <c r="E5" s="33">
        <v>1.0708049169988949</v>
      </c>
      <c r="F5" s="5">
        <v>3</v>
      </c>
      <c r="G5" s="23">
        <v>93.333333333333329</v>
      </c>
      <c r="H5" s="33">
        <v>2.4323728923224377</v>
      </c>
      <c r="I5" s="23">
        <v>27.2611202928816</v>
      </c>
      <c r="J5" s="5">
        <v>1403.2132552144637</v>
      </c>
      <c r="K5" s="31"/>
      <c r="L5" s="23">
        <v>97236.314322179765</v>
      </c>
      <c r="M5" s="33">
        <v>0.76290825000251061</v>
      </c>
      <c r="N5" s="5">
        <v>4</v>
      </c>
      <c r="O5" s="5">
        <v>80</v>
      </c>
      <c r="P5" s="33">
        <v>64.240259867001427</v>
      </c>
      <c r="Q5" s="5">
        <v>17.41644830250436</v>
      </c>
      <c r="R5" s="5">
        <v>1397.6012320656889</v>
      </c>
      <c r="S5" s="31"/>
      <c r="T5" s="23">
        <v>83016.194208229135</v>
      </c>
      <c r="U5" s="33">
        <v>2.552283083001385</v>
      </c>
      <c r="V5" s="5">
        <v>3</v>
      </c>
      <c r="W5" s="5">
        <v>90</v>
      </c>
      <c r="X5" s="33">
        <v>18.87955283543516</v>
      </c>
      <c r="Y5" s="5">
        <v>44.259179003305931</v>
      </c>
      <c r="Z5" s="5">
        <v>1841.4998834650701</v>
      </c>
      <c r="AA5" s="35"/>
    </row>
    <row r="6" spans="2:27" x14ac:dyDescent="0.2">
      <c r="B6" s="4">
        <v>3</v>
      </c>
      <c r="C6" s="4">
        <v>37</v>
      </c>
      <c r="D6" s="23">
        <v>71903.141901336741</v>
      </c>
      <c r="E6" s="33">
        <v>0.73278458300046623</v>
      </c>
      <c r="F6" s="5">
        <v>3</v>
      </c>
      <c r="G6" s="23">
        <v>93.333333333333329</v>
      </c>
      <c r="H6" s="33">
        <v>0</v>
      </c>
      <c r="I6" s="23">
        <v>28.63645512314076</v>
      </c>
      <c r="J6" s="5">
        <v>1404.0941588284275</v>
      </c>
      <c r="K6" s="31"/>
      <c r="L6" s="23">
        <v>96022.843183495032</v>
      </c>
      <c r="M6" s="33">
        <v>0.70413079100035247</v>
      </c>
      <c r="N6" s="5">
        <v>4</v>
      </c>
      <c r="O6" s="5">
        <v>80</v>
      </c>
      <c r="P6" s="33">
        <v>28.786555904207191</v>
      </c>
      <c r="Q6" s="5">
        <v>17.657069231601561</v>
      </c>
      <c r="R6" s="5">
        <v>1352.4418358045959</v>
      </c>
      <c r="S6" s="31"/>
      <c r="T6" s="23">
        <v>85515.857627615886</v>
      </c>
      <c r="U6" s="33">
        <v>0.87744549999843002</v>
      </c>
      <c r="V6" s="5">
        <v>3</v>
      </c>
      <c r="W6" s="5">
        <v>86.666666666666671</v>
      </c>
      <c r="X6" s="33">
        <v>28.22417592972365</v>
      </c>
      <c r="Y6" s="5">
        <v>41.000834982628199</v>
      </c>
      <c r="Z6" s="5">
        <v>1794.415858962607</v>
      </c>
      <c r="AA6" s="35"/>
    </row>
    <row r="7" spans="2:27" x14ac:dyDescent="0.2">
      <c r="B7" s="4">
        <v>4</v>
      </c>
      <c r="C7" s="4">
        <v>54</v>
      </c>
      <c r="D7" s="23">
        <v>71363.297273729797</v>
      </c>
      <c r="E7" s="33">
        <v>0.57485370799986413</v>
      </c>
      <c r="F7" s="5">
        <v>3</v>
      </c>
      <c r="G7" s="23">
        <v>93.333333333333329</v>
      </c>
      <c r="H7" s="33">
        <v>0</v>
      </c>
      <c r="I7" s="23">
        <v>27.701524852998279</v>
      </c>
      <c r="J7" s="5">
        <v>1364.5156168347064</v>
      </c>
      <c r="K7" s="31"/>
      <c r="L7" s="23">
        <v>89602.481122703699</v>
      </c>
      <c r="M7" s="33">
        <v>0.7147714589991665</v>
      </c>
      <c r="N7" s="5">
        <v>3</v>
      </c>
      <c r="O7" s="5">
        <v>73.333333333333329</v>
      </c>
      <c r="P7" s="33">
        <v>0</v>
      </c>
      <c r="Q7" s="5">
        <v>20.063982010565532</v>
      </c>
      <c r="R7" s="5">
        <v>1166.344765020493</v>
      </c>
      <c r="S7" s="31"/>
      <c r="T7" s="23">
        <v>83426.836154170451</v>
      </c>
      <c r="U7" s="33">
        <v>0.76090924999880372</v>
      </c>
      <c r="V7" s="5">
        <v>3</v>
      </c>
      <c r="W7" s="5">
        <v>86.666666666666671</v>
      </c>
      <c r="X7" s="33">
        <v>6.5239436425853743</v>
      </c>
      <c r="Y7" s="5">
        <v>39.449017126790856</v>
      </c>
      <c r="Z7" s="5">
        <v>1692.9294862196609</v>
      </c>
      <c r="AA7" s="35"/>
    </row>
    <row r="8" spans="2:27" x14ac:dyDescent="0.2">
      <c r="B8" s="4">
        <v>5</v>
      </c>
      <c r="C8" s="4">
        <v>148</v>
      </c>
      <c r="D8" s="23">
        <v>71363.297273729797</v>
      </c>
      <c r="E8" s="33">
        <v>0.94111479200000758</v>
      </c>
      <c r="F8" s="5">
        <v>3</v>
      </c>
      <c r="G8" s="23">
        <v>93.333333333333329</v>
      </c>
      <c r="H8" s="33">
        <v>0</v>
      </c>
      <c r="I8" s="23">
        <v>27.701524852998279</v>
      </c>
      <c r="J8" s="5">
        <v>1364.5156168347064</v>
      </c>
      <c r="K8" s="31"/>
      <c r="L8" s="23">
        <v>92152.874899891351</v>
      </c>
      <c r="M8" s="33">
        <v>1.0140488750002989</v>
      </c>
      <c r="N8" s="5">
        <v>4</v>
      </c>
      <c r="O8" s="5">
        <v>80</v>
      </c>
      <c r="P8" s="33">
        <v>0</v>
      </c>
      <c r="Q8" s="5">
        <v>17.575322170450029</v>
      </c>
      <c r="R8" s="5">
        <v>1200.568144378899</v>
      </c>
      <c r="S8" s="31"/>
      <c r="T8" s="23">
        <v>83426.836154170451</v>
      </c>
      <c r="U8" s="33">
        <v>1.334091374999844</v>
      </c>
      <c r="V8" s="5">
        <v>3</v>
      </c>
      <c r="W8" s="5">
        <v>86.666666666666671</v>
      </c>
      <c r="X8" s="33">
        <v>6.5239436425853743</v>
      </c>
      <c r="Y8" s="5">
        <v>39.449017126790856</v>
      </c>
      <c r="Z8" s="5">
        <v>1692.9294862196609</v>
      </c>
      <c r="AA8" s="35"/>
    </row>
    <row r="9" spans="2:27" x14ac:dyDescent="0.2">
      <c r="B9" s="4">
        <v>6</v>
      </c>
      <c r="C9" s="4">
        <v>188</v>
      </c>
      <c r="D9" s="23">
        <v>71363.297273729797</v>
      </c>
      <c r="E9" s="33">
        <v>1.146849249998922</v>
      </c>
      <c r="F9" s="5">
        <v>3</v>
      </c>
      <c r="G9" s="23">
        <v>93.333333333333329</v>
      </c>
      <c r="H9" s="33">
        <v>0</v>
      </c>
      <c r="I9" s="23">
        <v>27.701524852998279</v>
      </c>
      <c r="J9" s="5">
        <v>1364.5156168347064</v>
      </c>
      <c r="K9" s="31"/>
      <c r="L9" s="23">
        <v>92310.86565641308</v>
      </c>
      <c r="M9" s="33">
        <v>1.0136568750021979</v>
      </c>
      <c r="N9" s="5">
        <v>4</v>
      </c>
      <c r="O9" s="5">
        <v>80</v>
      </c>
      <c r="P9" s="33">
        <v>0</v>
      </c>
      <c r="Q9" s="5">
        <v>17.094256899514068</v>
      </c>
      <c r="R9" s="5">
        <v>1194.3661183511331</v>
      </c>
      <c r="S9" s="31"/>
      <c r="T9" s="23">
        <v>83016.194208229135</v>
      </c>
      <c r="U9" s="33">
        <v>1.293804417000501</v>
      </c>
      <c r="V9" s="5">
        <v>3</v>
      </c>
      <c r="W9" s="5">
        <v>90</v>
      </c>
      <c r="X9" s="33">
        <v>18.87955283543516</v>
      </c>
      <c r="Y9" s="5">
        <v>44.259179003305931</v>
      </c>
      <c r="Z9" s="5">
        <v>1841.4998834650701</v>
      </c>
      <c r="AA9" s="35"/>
    </row>
    <row r="10" spans="2:27" x14ac:dyDescent="0.2">
      <c r="B10" s="4">
        <v>7</v>
      </c>
      <c r="C10" s="4">
        <v>472</v>
      </c>
      <c r="D10" s="23">
        <v>71363.297273729797</v>
      </c>
      <c r="E10" s="33">
        <v>1.5699046669979</v>
      </c>
      <c r="F10" s="5">
        <v>3</v>
      </c>
      <c r="G10" s="23">
        <v>93.333333333333329</v>
      </c>
      <c r="H10" s="33">
        <v>0</v>
      </c>
      <c r="I10" s="23">
        <v>27.701524852998279</v>
      </c>
      <c r="J10" s="5">
        <v>1364.5156168347064</v>
      </c>
      <c r="K10" s="31"/>
      <c r="L10" s="23">
        <v>92152.874899891351</v>
      </c>
      <c r="M10" s="33">
        <v>0.77384079200055567</v>
      </c>
      <c r="N10" s="5">
        <v>4</v>
      </c>
      <c r="O10" s="5">
        <v>80</v>
      </c>
      <c r="P10" s="33">
        <v>0</v>
      </c>
      <c r="Q10" s="5">
        <v>17.575322170450029</v>
      </c>
      <c r="R10" s="5">
        <v>1200.568144378899</v>
      </c>
      <c r="S10" s="31"/>
      <c r="T10" s="23">
        <v>85695.732694555147</v>
      </c>
      <c r="U10" s="33">
        <v>1.1348001660007869</v>
      </c>
      <c r="V10" s="5">
        <v>3</v>
      </c>
      <c r="W10" s="5">
        <v>86.666666666666671</v>
      </c>
      <c r="X10" s="33">
        <v>27.800777551287361</v>
      </c>
      <c r="Y10" s="5">
        <v>40.937161045063739</v>
      </c>
      <c r="Z10" s="5">
        <v>1792.2988670704251</v>
      </c>
      <c r="AA10" s="35"/>
    </row>
    <row r="11" spans="2:27" x14ac:dyDescent="0.2">
      <c r="B11" s="4">
        <v>8</v>
      </c>
      <c r="C11" s="4">
        <v>622</v>
      </c>
      <c r="D11" s="23">
        <v>71528.411863845104</v>
      </c>
      <c r="E11" s="33">
        <v>0.5652732910020859</v>
      </c>
      <c r="F11" s="5">
        <v>3</v>
      </c>
      <c r="G11" s="23">
        <v>93.333333333333329</v>
      </c>
      <c r="H11" s="33">
        <v>0</v>
      </c>
      <c r="I11" s="23">
        <v>27.775892431113988</v>
      </c>
      <c r="J11" s="5">
        <v>1363.507997435572</v>
      </c>
      <c r="K11" s="31"/>
      <c r="L11" s="23">
        <v>96909.267148581304</v>
      </c>
      <c r="M11" s="33">
        <v>0.91563508300168905</v>
      </c>
      <c r="N11" s="5">
        <v>4</v>
      </c>
      <c r="O11" s="5">
        <v>80</v>
      </c>
      <c r="P11" s="33">
        <v>24.82694350898722</v>
      </c>
      <c r="Q11" s="5">
        <v>17.584654807059231</v>
      </c>
      <c r="R11" s="5">
        <v>1357.1192738310831</v>
      </c>
      <c r="S11" s="31"/>
      <c r="T11" s="23">
        <v>83016.194208229135</v>
      </c>
      <c r="U11" s="33">
        <v>1.231173415999365</v>
      </c>
      <c r="V11" s="5">
        <v>3</v>
      </c>
      <c r="W11" s="5">
        <v>90</v>
      </c>
      <c r="X11" s="33">
        <v>18.87955283543516</v>
      </c>
      <c r="Y11" s="5">
        <v>44.259179003305931</v>
      </c>
      <c r="Z11" s="5">
        <v>1841.4998834650701</v>
      </c>
      <c r="AA11" s="35"/>
    </row>
    <row r="12" spans="2:27" x14ac:dyDescent="0.2">
      <c r="B12" s="4">
        <v>9</v>
      </c>
      <c r="C12" s="4">
        <v>767</v>
      </c>
      <c r="D12" s="23">
        <v>71363.297273729797</v>
      </c>
      <c r="E12" s="33">
        <v>2.0353064170012658</v>
      </c>
      <c r="F12" s="5">
        <v>3</v>
      </c>
      <c r="G12" s="23">
        <v>93.333333333333329</v>
      </c>
      <c r="H12" s="33">
        <v>0</v>
      </c>
      <c r="I12" s="23">
        <v>27.701524852998279</v>
      </c>
      <c r="J12" s="5">
        <v>1364.5156168347064</v>
      </c>
      <c r="K12" s="31"/>
      <c r="L12" s="23">
        <v>90364.140148388818</v>
      </c>
      <c r="M12" s="33">
        <v>1.1777583749972109</v>
      </c>
      <c r="N12" s="5">
        <v>3</v>
      </c>
      <c r="O12" s="5">
        <v>73.333333333333329</v>
      </c>
      <c r="P12" s="33">
        <v>0</v>
      </c>
      <c r="Q12" s="5">
        <v>21.151607840507701</v>
      </c>
      <c r="R12" s="5">
        <v>1193.600446838675</v>
      </c>
      <c r="S12" s="31"/>
      <c r="T12" s="23">
        <v>83426.836154170451</v>
      </c>
      <c r="U12" s="33">
        <v>2.706488624997291</v>
      </c>
      <c r="V12" s="5">
        <v>3</v>
      </c>
      <c r="W12" s="5">
        <v>86.666666666666671</v>
      </c>
      <c r="X12" s="33">
        <v>6.5239436425853743</v>
      </c>
      <c r="Y12" s="5">
        <v>39.449017126790856</v>
      </c>
      <c r="Z12" s="5">
        <v>1692.9294862196609</v>
      </c>
      <c r="AA12" s="35"/>
    </row>
    <row r="13" spans="2:27" x14ac:dyDescent="0.2">
      <c r="B13" s="4">
        <v>10</v>
      </c>
      <c r="C13" s="4">
        <v>917</v>
      </c>
      <c r="D13" s="23">
        <v>72274.933715379942</v>
      </c>
      <c r="E13" s="33">
        <v>1.394504583000526</v>
      </c>
      <c r="F13" s="5">
        <v>3</v>
      </c>
      <c r="G13" s="23">
        <v>93.333333333333329</v>
      </c>
      <c r="H13" s="33">
        <v>2.4323728923224377</v>
      </c>
      <c r="I13" s="23">
        <v>27.2611202928816</v>
      </c>
      <c r="J13" s="5">
        <v>1403.2132552144637</v>
      </c>
      <c r="K13" s="31"/>
      <c r="L13" s="23">
        <v>95587.567479458696</v>
      </c>
      <c r="M13" s="33">
        <v>1.442107167000358</v>
      </c>
      <c r="N13" s="5">
        <v>4</v>
      </c>
      <c r="O13" s="5">
        <v>80</v>
      </c>
      <c r="P13" s="33">
        <v>20.434086366130089</v>
      </c>
      <c r="Q13" s="5">
        <v>17.282191788866001</v>
      </c>
      <c r="R13" s="5">
        <v>1338.712805299614</v>
      </c>
      <c r="S13" s="31"/>
      <c r="T13" s="23">
        <v>83016.194208229135</v>
      </c>
      <c r="U13" s="33">
        <v>1.3173807080020199</v>
      </c>
      <c r="V13" s="5">
        <v>3</v>
      </c>
      <c r="W13" s="5">
        <v>90</v>
      </c>
      <c r="X13" s="33">
        <v>18.87955283543516</v>
      </c>
      <c r="Y13" s="5">
        <v>44.259179003305931</v>
      </c>
      <c r="Z13" s="5">
        <v>1841.4998834650701</v>
      </c>
      <c r="AA13" s="35"/>
    </row>
    <row r="14" spans="2:27" x14ac:dyDescent="0.2">
      <c r="B14" s="46" t="s">
        <v>3</v>
      </c>
      <c r="C14" s="47"/>
      <c r="D14" s="9">
        <f>MIN(D4:D13)</f>
        <v>71363.297273729797</v>
      </c>
      <c r="E14" s="22">
        <f>INDEX(E4:E13, MATCH($D$14, D4:D13, 0))</f>
        <v>1.229316999997536</v>
      </c>
      <c r="F14" s="9">
        <f>INDEX(F4:F13, MATCH($D$14, D4:D13, 0))</f>
        <v>3</v>
      </c>
      <c r="G14" s="9">
        <f>INDEX(G4:G13, MATCH($D$14, D4:D13, 0))</f>
        <v>93.333333333333329</v>
      </c>
      <c r="H14" s="22">
        <f>INDEX(H4:H13, MATCH($D$14, D4:D13, 0))</f>
        <v>0</v>
      </c>
      <c r="I14" s="22">
        <f>INDEX(I4:I13, MATCH($D$14, D4:D13, 0))</f>
        <v>27.701524852998279</v>
      </c>
      <c r="J14" s="22">
        <f>INDEX(J4:J13, MATCH($D$14, D4:D13, 0))</f>
        <v>1364.5156168347064</v>
      </c>
      <c r="K14" s="32">
        <f>(D14-$D$15)/$D$15</f>
        <v>0</v>
      </c>
      <c r="L14" s="16">
        <f>MIN(L4:L13)</f>
        <v>89602.481122703699</v>
      </c>
      <c r="M14" s="21">
        <f>INDEX(M4:M13, MATCH($L$14, L4:L13, 0))</f>
        <v>0.7147714589991665</v>
      </c>
      <c r="N14" s="16">
        <f>INDEX(N4:N13, MATCH($L$14, L4:L13, 0))</f>
        <v>3</v>
      </c>
      <c r="O14" s="16">
        <f>INDEX(O4:O13, MATCH($L$14, L4:L13, 0))</f>
        <v>73.333333333333329</v>
      </c>
      <c r="P14" s="21">
        <f>INDEX(P4:P13, MATCH($L$14, L4:L13, 0))</f>
        <v>0</v>
      </c>
      <c r="Q14" s="21">
        <f>INDEX(Q4:Q13, MATCH($L$14, L4:L13, 0))</f>
        <v>20.063982010565532</v>
      </c>
      <c r="R14" s="21">
        <f>INDEX(R4:R13, MATCH($L$14, L4:L13, 0))</f>
        <v>1166.344765020493</v>
      </c>
      <c r="S14" s="36">
        <f>(L14-$D$15)/$D$15</f>
        <v>0.25558213459523116</v>
      </c>
      <c r="T14" s="38">
        <f>MIN(T4:T13)</f>
        <v>83016.194208229135</v>
      </c>
      <c r="U14" s="39">
        <f>INDEX(U4:U13, MATCH($T$14, T4:T13, 0))</f>
        <v>1.811156874999142</v>
      </c>
      <c r="V14" s="38">
        <f>INDEX(V4:V13, MATCH($T$14, T4:T13, 0))</f>
        <v>3</v>
      </c>
      <c r="W14" s="38">
        <f>INDEX(W4:W13, MATCH($T$14, T4:T13, 0))</f>
        <v>90</v>
      </c>
      <c r="X14" s="39">
        <f>INDEX(X4:X13, MATCH($T$14, T4:T13, 0))</f>
        <v>18.87955283543516</v>
      </c>
      <c r="Y14" s="39">
        <f>INDEX(Y4:Y13, MATCH($T$14, T4:T13, 0))</f>
        <v>44.259179003305931</v>
      </c>
      <c r="Z14" s="39">
        <f>INDEX(Z4:Z13, MATCH($T$14, T4:T13, 0))</f>
        <v>1841.4998834650701</v>
      </c>
      <c r="AA14" s="40">
        <f>(T14-$D$15)/$D$15</f>
        <v>0.16328977751409188</v>
      </c>
    </row>
    <row r="15" spans="2:27" x14ac:dyDescent="0.2">
      <c r="C15" s="1" t="s">
        <v>17</v>
      </c>
      <c r="D15" s="34">
        <v>71363.297273729797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28:C1048576">
    <cfRule type="duplicateValues" dxfId="109" priority="11"/>
    <cfRule type="duplicateValues" dxfId="108" priority="12"/>
  </conditionalFormatting>
  <conditionalFormatting sqref="C14">
    <cfRule type="duplicateValues" dxfId="107" priority="5"/>
    <cfRule type="duplicateValues" dxfId="106" priority="6"/>
  </conditionalFormatting>
  <conditionalFormatting sqref="C18:C27">
    <cfRule type="duplicateValues" dxfId="27" priority="3"/>
    <cfRule type="duplicateValues" dxfId="26" priority="4"/>
  </conditionalFormatting>
  <conditionalFormatting sqref="C17">
    <cfRule type="duplicateValues" dxfId="25" priority="1"/>
    <cfRule type="duplicateValues" dxfId="24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B2A34-1F45-3F42-AA9B-34D49570C59E}">
  <dimension ref="B1:AA17"/>
  <sheetViews>
    <sheetView zoomScale="110" zoomScaleNormal="110" workbookViewId="0">
      <selection activeCell="A17" sqref="A17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 t="e">
        <f>(Q14-H14)/H14</f>
        <v>#DIV/0!</v>
      </c>
      <c r="J2" s="28" t="e">
        <f>(S14-J14)/J14</f>
        <v>#DIV/0!</v>
      </c>
      <c r="K2" s="28"/>
      <c r="L2" s="1" t="s">
        <v>19</v>
      </c>
      <c r="P2" s="1" t="e">
        <f>(P14-H14)/H14</f>
        <v>#DIV/0!</v>
      </c>
      <c r="R2" s="1">
        <f>(R14-J14)/J14</f>
        <v>-6.3174917689838475E-2</v>
      </c>
      <c r="T2" s="1" t="s">
        <v>20</v>
      </c>
      <c r="X2" s="1" t="e">
        <f>(X14-P14)/P14</f>
        <v>#DIV/0!</v>
      </c>
      <c r="Z2" s="1">
        <f>(Z14-R14)/R14</f>
        <v>0.77215460895950738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224</v>
      </c>
      <c r="D4" s="23">
        <v>59445.697516057509</v>
      </c>
      <c r="E4" s="33">
        <v>0.97850691700296011</v>
      </c>
      <c r="F4" s="5">
        <v>3</v>
      </c>
      <c r="G4" s="23">
        <v>96.666666666666671</v>
      </c>
      <c r="H4" s="33">
        <v>0</v>
      </c>
      <c r="I4" s="23">
        <v>25.046206949285096</v>
      </c>
      <c r="J4" s="5">
        <v>1082.2641236466002</v>
      </c>
      <c r="K4" s="31"/>
      <c r="L4" s="23">
        <v>78041.033181721112</v>
      </c>
      <c r="M4" s="33">
        <v>0.89924408300066716</v>
      </c>
      <c r="N4" s="5">
        <v>3</v>
      </c>
      <c r="O4" s="5">
        <v>80</v>
      </c>
      <c r="P4" s="33">
        <v>0</v>
      </c>
      <c r="Q4" s="5">
        <v>21.05817272302702</v>
      </c>
      <c r="R4" s="5">
        <v>1013.892176716561</v>
      </c>
      <c r="S4" s="31"/>
      <c r="T4" s="23">
        <v>72090.85447259061</v>
      </c>
      <c r="U4" s="33">
        <v>0.863935291999951</v>
      </c>
      <c r="V4" s="5">
        <v>3</v>
      </c>
      <c r="W4" s="5">
        <v>96.666666666666671</v>
      </c>
      <c r="X4" s="33">
        <v>66.670837253471177</v>
      </c>
      <c r="Y4" s="5">
        <v>58.396702493702378</v>
      </c>
      <c r="Z4" s="5">
        <v>1796.773693956241</v>
      </c>
      <c r="AA4" s="35"/>
    </row>
    <row r="5" spans="2:27" x14ac:dyDescent="0.2">
      <c r="B5" s="4">
        <v>2</v>
      </c>
      <c r="C5" s="4">
        <v>240</v>
      </c>
      <c r="D5" s="23">
        <v>59445.697516057509</v>
      </c>
      <c r="E5" s="33">
        <v>0.4517977499999688</v>
      </c>
      <c r="F5" s="5">
        <v>3</v>
      </c>
      <c r="G5" s="23">
        <v>96.666666666666671</v>
      </c>
      <c r="H5" s="33">
        <v>0</v>
      </c>
      <c r="I5" s="23">
        <v>25.046206949285096</v>
      </c>
      <c r="J5" s="5">
        <v>1082.2641236466002</v>
      </c>
      <c r="K5" s="31"/>
      <c r="L5" s="23">
        <v>78041.033181721112</v>
      </c>
      <c r="M5" s="33">
        <v>0.54185429100107285</v>
      </c>
      <c r="N5" s="5">
        <v>3</v>
      </c>
      <c r="O5" s="5">
        <v>80</v>
      </c>
      <c r="P5" s="33">
        <v>0</v>
      </c>
      <c r="Q5" s="5">
        <v>21.05817272302702</v>
      </c>
      <c r="R5" s="5">
        <v>1013.892176716561</v>
      </c>
      <c r="S5" s="31"/>
      <c r="T5" s="23">
        <v>72090.85447259061</v>
      </c>
      <c r="U5" s="33">
        <v>0.72518374999708612</v>
      </c>
      <c r="V5" s="5">
        <v>3</v>
      </c>
      <c r="W5" s="5">
        <v>96.666666666666671</v>
      </c>
      <c r="X5" s="33">
        <v>66.670837253471177</v>
      </c>
      <c r="Y5" s="5">
        <v>58.396702493702378</v>
      </c>
      <c r="Z5" s="5">
        <v>1796.773693956241</v>
      </c>
      <c r="AA5" s="35"/>
    </row>
    <row r="6" spans="2:27" x14ac:dyDescent="0.2">
      <c r="B6" s="4">
        <v>3</v>
      </c>
      <c r="C6" s="4">
        <v>353</v>
      </c>
      <c r="D6" s="23">
        <v>59445.697516057509</v>
      </c>
      <c r="E6" s="33">
        <v>1.099784333000571</v>
      </c>
      <c r="F6" s="5">
        <v>3</v>
      </c>
      <c r="G6" s="23">
        <v>96.666666666666671</v>
      </c>
      <c r="H6" s="33">
        <v>0</v>
      </c>
      <c r="I6" s="23">
        <v>25.046206949285096</v>
      </c>
      <c r="J6" s="5">
        <v>1082.2641236466002</v>
      </c>
      <c r="K6" s="31"/>
      <c r="L6" s="23">
        <v>78041.033181721112</v>
      </c>
      <c r="M6" s="33">
        <v>0.90355424999870593</v>
      </c>
      <c r="N6" s="5">
        <v>3</v>
      </c>
      <c r="O6" s="5">
        <v>80</v>
      </c>
      <c r="P6" s="33">
        <v>0</v>
      </c>
      <c r="Q6" s="5">
        <v>21.05817272302702</v>
      </c>
      <c r="R6" s="5">
        <v>1013.892176716561</v>
      </c>
      <c r="S6" s="31"/>
      <c r="T6" s="23">
        <v>72090.85447259061</v>
      </c>
      <c r="U6" s="33">
        <v>0.99443075000090175</v>
      </c>
      <c r="V6" s="5">
        <v>3</v>
      </c>
      <c r="W6" s="5">
        <v>96.666666666666671</v>
      </c>
      <c r="X6" s="33">
        <v>66.670837253471177</v>
      </c>
      <c r="Y6" s="5">
        <v>58.396702493702378</v>
      </c>
      <c r="Z6" s="5">
        <v>1796.773693956241</v>
      </c>
      <c r="AA6" s="35"/>
    </row>
    <row r="7" spans="2:27" x14ac:dyDescent="0.2">
      <c r="B7" s="4">
        <v>4</v>
      </c>
      <c r="C7" s="4">
        <v>458</v>
      </c>
      <c r="D7" s="23">
        <v>59445.697516057509</v>
      </c>
      <c r="E7" s="33">
        <v>0.55079441699854215</v>
      </c>
      <c r="F7" s="5">
        <v>3</v>
      </c>
      <c r="G7" s="23">
        <v>96.666666666666671</v>
      </c>
      <c r="H7" s="33">
        <v>0</v>
      </c>
      <c r="I7" s="23">
        <v>25.046206949285096</v>
      </c>
      <c r="J7" s="5">
        <v>1082.2641236466002</v>
      </c>
      <c r="K7" s="31"/>
      <c r="L7" s="23">
        <v>78041.033181721112</v>
      </c>
      <c r="M7" s="33">
        <v>1.302801792000537</v>
      </c>
      <c r="N7" s="5">
        <v>3</v>
      </c>
      <c r="O7" s="5">
        <v>80</v>
      </c>
      <c r="P7" s="33">
        <v>0</v>
      </c>
      <c r="Q7" s="5">
        <v>21.05817272302702</v>
      </c>
      <c r="R7" s="5">
        <v>1013.892176716561</v>
      </c>
      <c r="S7" s="31"/>
      <c r="T7" s="23">
        <v>72090.85447259061</v>
      </c>
      <c r="U7" s="33">
        <v>1.3541655419976451</v>
      </c>
      <c r="V7" s="5">
        <v>3</v>
      </c>
      <c r="W7" s="5">
        <v>96.666666666666671</v>
      </c>
      <c r="X7" s="33">
        <v>66.670837253471177</v>
      </c>
      <c r="Y7" s="5">
        <v>58.396702493702378</v>
      </c>
      <c r="Z7" s="5">
        <v>1796.773693956241</v>
      </c>
      <c r="AA7" s="35"/>
    </row>
    <row r="8" spans="2:27" x14ac:dyDescent="0.2">
      <c r="B8" s="4">
        <v>5</v>
      </c>
      <c r="C8" s="4">
        <v>492</v>
      </c>
      <c r="D8" s="23">
        <v>59691.21004613088</v>
      </c>
      <c r="E8" s="33">
        <v>0.75948591600172222</v>
      </c>
      <c r="F8" s="5">
        <v>3</v>
      </c>
      <c r="G8" s="23">
        <v>96.666666666666671</v>
      </c>
      <c r="H8" s="33">
        <v>0</v>
      </c>
      <c r="I8" s="23">
        <v>25.438056479065665</v>
      </c>
      <c r="J8" s="5">
        <v>1096.5592513737404</v>
      </c>
      <c r="K8" s="31"/>
      <c r="L8" s="23">
        <v>78041.033181721112</v>
      </c>
      <c r="M8" s="33">
        <v>0.51939491600205656</v>
      </c>
      <c r="N8" s="5">
        <v>3</v>
      </c>
      <c r="O8" s="5">
        <v>80</v>
      </c>
      <c r="P8" s="33">
        <v>0</v>
      </c>
      <c r="Q8" s="5">
        <v>21.05817272302702</v>
      </c>
      <c r="R8" s="5">
        <v>1013.892176716561</v>
      </c>
      <c r="S8" s="31"/>
      <c r="T8" s="23">
        <v>72090.85447259061</v>
      </c>
      <c r="U8" s="33">
        <v>0.66361574999973527</v>
      </c>
      <c r="V8" s="5">
        <v>3</v>
      </c>
      <c r="W8" s="5">
        <v>96.666666666666671</v>
      </c>
      <c r="X8" s="33">
        <v>66.670837253471177</v>
      </c>
      <c r="Y8" s="5">
        <v>58.396702493702378</v>
      </c>
      <c r="Z8" s="5">
        <v>1796.773693956241</v>
      </c>
      <c r="AA8" s="35"/>
    </row>
    <row r="9" spans="2:27" x14ac:dyDescent="0.2">
      <c r="B9" s="4">
        <v>6</v>
      </c>
      <c r="C9" s="4">
        <v>534</v>
      </c>
      <c r="D9" s="23">
        <v>59445.697516057509</v>
      </c>
      <c r="E9" s="33">
        <v>1.450996792002115</v>
      </c>
      <c r="F9" s="5">
        <v>3</v>
      </c>
      <c r="G9" s="23">
        <v>96.666666666666671</v>
      </c>
      <c r="H9" s="33">
        <v>0</v>
      </c>
      <c r="I9" s="23">
        <v>25.046206949285096</v>
      </c>
      <c r="J9" s="5">
        <v>1082.2641236466002</v>
      </c>
      <c r="K9" s="31"/>
      <c r="L9" s="23">
        <v>78041.033181721112</v>
      </c>
      <c r="M9" s="33">
        <v>1.0535447919974099</v>
      </c>
      <c r="N9" s="5">
        <v>3</v>
      </c>
      <c r="O9" s="5">
        <v>80</v>
      </c>
      <c r="P9" s="33">
        <v>0</v>
      </c>
      <c r="Q9" s="5">
        <v>21.05817272302702</v>
      </c>
      <c r="R9" s="5">
        <v>1013.892176716561</v>
      </c>
      <c r="S9" s="31"/>
      <c r="T9" s="23">
        <v>72090.85447259061</v>
      </c>
      <c r="U9" s="33">
        <v>1.30591241699949</v>
      </c>
      <c r="V9" s="5">
        <v>3</v>
      </c>
      <c r="W9" s="5">
        <v>96.666666666666671</v>
      </c>
      <c r="X9" s="33">
        <v>66.670837253471177</v>
      </c>
      <c r="Y9" s="5">
        <v>58.396702493702378</v>
      </c>
      <c r="Z9" s="5">
        <v>1796.773693956241</v>
      </c>
      <c r="AA9" s="35"/>
    </row>
    <row r="10" spans="2:27" x14ac:dyDescent="0.2">
      <c r="B10" s="4">
        <v>7</v>
      </c>
      <c r="C10" s="4">
        <v>558</v>
      </c>
      <c r="D10" s="23">
        <v>59445.697516057509</v>
      </c>
      <c r="E10" s="33">
        <v>0.75657491699894308</v>
      </c>
      <c r="F10" s="5">
        <v>3</v>
      </c>
      <c r="G10" s="23">
        <v>96.666666666666671</v>
      </c>
      <c r="H10" s="33">
        <v>0</v>
      </c>
      <c r="I10" s="23">
        <v>25.046206949285096</v>
      </c>
      <c r="J10" s="5">
        <v>1082.2641236466002</v>
      </c>
      <c r="K10" s="31"/>
      <c r="L10" s="23">
        <v>78041.033181721112</v>
      </c>
      <c r="M10" s="33">
        <v>0.75924349999695551</v>
      </c>
      <c r="N10" s="5">
        <v>3</v>
      </c>
      <c r="O10" s="5">
        <v>80</v>
      </c>
      <c r="P10" s="33">
        <v>0</v>
      </c>
      <c r="Q10" s="5">
        <v>21.05817272302702</v>
      </c>
      <c r="R10" s="5">
        <v>1013.892176716561</v>
      </c>
      <c r="S10" s="31"/>
      <c r="T10" s="23">
        <v>72090.85447259061</v>
      </c>
      <c r="U10" s="33">
        <v>0.65659287499875063</v>
      </c>
      <c r="V10" s="5">
        <v>3</v>
      </c>
      <c r="W10" s="5">
        <v>96.666666666666671</v>
      </c>
      <c r="X10" s="33">
        <v>66.670837253471177</v>
      </c>
      <c r="Y10" s="5">
        <v>58.396702493702378</v>
      </c>
      <c r="Z10" s="5">
        <v>1796.773693956241</v>
      </c>
      <c r="AA10" s="35"/>
    </row>
    <row r="11" spans="2:27" x14ac:dyDescent="0.2">
      <c r="B11" s="4">
        <v>8</v>
      </c>
      <c r="C11" s="4">
        <v>684</v>
      </c>
      <c r="D11" s="23">
        <v>59445.697516057509</v>
      </c>
      <c r="E11" s="33">
        <v>1.4968514579995831</v>
      </c>
      <c r="F11" s="5">
        <v>3</v>
      </c>
      <c r="G11" s="23">
        <v>96.666666666666671</v>
      </c>
      <c r="H11" s="33">
        <v>0</v>
      </c>
      <c r="I11" s="23">
        <v>25.046206949285096</v>
      </c>
      <c r="J11" s="5">
        <v>1082.2641236466002</v>
      </c>
      <c r="K11" s="31"/>
      <c r="L11" s="23">
        <v>78111.15393111993</v>
      </c>
      <c r="M11" s="33">
        <v>1.4927578329989051</v>
      </c>
      <c r="N11" s="5">
        <v>3</v>
      </c>
      <c r="O11" s="5">
        <v>80</v>
      </c>
      <c r="P11" s="33">
        <v>0</v>
      </c>
      <c r="Q11" s="5">
        <v>21.639654204508499</v>
      </c>
      <c r="R11" s="5">
        <v>1027.9349544943391</v>
      </c>
      <c r="S11" s="31"/>
      <c r="T11" s="23">
        <v>72090.85447259061</v>
      </c>
      <c r="U11" s="33">
        <v>1.8173387079987151</v>
      </c>
      <c r="V11" s="5">
        <v>3</v>
      </c>
      <c r="W11" s="5">
        <v>96.666666666666671</v>
      </c>
      <c r="X11" s="33">
        <v>66.670837253471177</v>
      </c>
      <c r="Y11" s="5">
        <v>58.396702493702378</v>
      </c>
      <c r="Z11" s="5">
        <v>1796.773693956241</v>
      </c>
      <c r="AA11" s="35"/>
    </row>
    <row r="12" spans="2:27" x14ac:dyDescent="0.2">
      <c r="B12" s="4">
        <v>9</v>
      </c>
      <c r="C12" s="4">
        <v>738</v>
      </c>
      <c r="D12" s="23">
        <v>59445.697516057509</v>
      </c>
      <c r="E12" s="33">
        <v>0.83656799999880604</v>
      </c>
      <c r="F12" s="5">
        <v>3</v>
      </c>
      <c r="G12" s="23">
        <v>96.666666666666671</v>
      </c>
      <c r="H12" s="33">
        <v>0</v>
      </c>
      <c r="I12" s="23">
        <v>25.046206949285096</v>
      </c>
      <c r="J12" s="5">
        <v>1082.2641236466002</v>
      </c>
      <c r="K12" s="31"/>
      <c r="L12" s="23">
        <v>78041.033181721112</v>
      </c>
      <c r="M12" s="33">
        <v>0.81518933299958007</v>
      </c>
      <c r="N12" s="5">
        <v>3</v>
      </c>
      <c r="O12" s="5">
        <v>80</v>
      </c>
      <c r="P12" s="33">
        <v>0</v>
      </c>
      <c r="Q12" s="5">
        <v>21.05817272302702</v>
      </c>
      <c r="R12" s="5">
        <v>1013.892176716561</v>
      </c>
      <c r="S12" s="31"/>
      <c r="T12" s="23">
        <v>72090.85447259061</v>
      </c>
      <c r="U12" s="33">
        <v>0.64106991600056062</v>
      </c>
      <c r="V12" s="5">
        <v>3</v>
      </c>
      <c r="W12" s="5">
        <v>96.666666666666671</v>
      </c>
      <c r="X12" s="33">
        <v>66.670837253471177</v>
      </c>
      <c r="Y12" s="5">
        <v>58.396702493702378</v>
      </c>
      <c r="Z12" s="5">
        <v>1796.773693956241</v>
      </c>
      <c r="AA12" s="35"/>
    </row>
    <row r="13" spans="2:27" x14ac:dyDescent="0.2">
      <c r="B13" s="4">
        <v>10</v>
      </c>
      <c r="C13" s="4">
        <v>907</v>
      </c>
      <c r="D13" s="23">
        <v>59445.697516057509</v>
      </c>
      <c r="E13" s="33">
        <v>0.65444054199906532</v>
      </c>
      <c r="F13" s="5">
        <v>3</v>
      </c>
      <c r="G13" s="23">
        <v>96.666666666666671</v>
      </c>
      <c r="H13" s="33">
        <v>0</v>
      </c>
      <c r="I13" s="23">
        <v>25.046206949285096</v>
      </c>
      <c r="J13" s="5">
        <v>1082.2641236466002</v>
      </c>
      <c r="K13" s="31"/>
      <c r="L13" s="23">
        <v>78041.033181721112</v>
      </c>
      <c r="M13" s="33">
        <v>0.53666087500096182</v>
      </c>
      <c r="N13" s="5">
        <v>3</v>
      </c>
      <c r="O13" s="5">
        <v>80</v>
      </c>
      <c r="P13" s="33">
        <v>0</v>
      </c>
      <c r="Q13" s="5">
        <v>21.05817272302702</v>
      </c>
      <c r="R13" s="5">
        <v>1013.892176716561</v>
      </c>
      <c r="S13" s="31"/>
      <c r="T13" s="23">
        <v>72090.85447259061</v>
      </c>
      <c r="U13" s="33">
        <v>0.6348270410016994</v>
      </c>
      <c r="V13" s="5">
        <v>3</v>
      </c>
      <c r="W13" s="5">
        <v>96.666666666666671</v>
      </c>
      <c r="X13" s="33">
        <v>66.670837253471177</v>
      </c>
      <c r="Y13" s="5">
        <v>58.396702493702378</v>
      </c>
      <c r="Z13" s="5">
        <v>1796.773693956241</v>
      </c>
      <c r="AA13" s="35"/>
    </row>
    <row r="14" spans="2:27" x14ac:dyDescent="0.2">
      <c r="B14" s="46" t="s">
        <v>3</v>
      </c>
      <c r="C14" s="47"/>
      <c r="D14" s="9">
        <f>MIN(D4:D13)</f>
        <v>59445.697516057509</v>
      </c>
      <c r="E14" s="22">
        <f>INDEX(E4:E13, MATCH($D$14, D4:D13, 0))</f>
        <v>0.97850691700296011</v>
      </c>
      <c r="F14" s="9">
        <f>INDEX(F4:F13, MATCH($D$14, D4:D13, 0))</f>
        <v>3</v>
      </c>
      <c r="G14" s="9">
        <f>INDEX(G4:G13, MATCH($D$14, D4:D13, 0))</f>
        <v>96.666666666666671</v>
      </c>
      <c r="H14" s="22">
        <f>INDEX(H4:H13, MATCH($D$14, D4:D13, 0))</f>
        <v>0</v>
      </c>
      <c r="I14" s="22">
        <f>INDEX(I4:I13, MATCH($D$14, D4:D13, 0))</f>
        <v>25.046206949285096</v>
      </c>
      <c r="J14" s="22">
        <f>INDEX(J4:J13, MATCH($D$14, D4:D13, 0))</f>
        <v>1082.2641236466002</v>
      </c>
      <c r="K14" s="32" t="e">
        <f>(D14-$D$15)/$D$15</f>
        <v>#DIV/0!</v>
      </c>
      <c r="L14" s="16">
        <f>MIN(L4:L13)</f>
        <v>78041.033181721112</v>
      </c>
      <c r="M14" s="21">
        <f>INDEX(M4:M13, MATCH($L$14, L4:L13, 0))</f>
        <v>0.89924408300066716</v>
      </c>
      <c r="N14" s="16">
        <f>INDEX(N4:N13, MATCH($L$14, L4:L13, 0))</f>
        <v>3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21.05817272302702</v>
      </c>
      <c r="R14" s="21">
        <f>INDEX(R4:R13, MATCH($L$14, L4:L13, 0))</f>
        <v>1013.892176716561</v>
      </c>
      <c r="S14" s="36" t="e">
        <f>(L14-$D$15)/$D$15</f>
        <v>#DIV/0!</v>
      </c>
      <c r="T14" s="38">
        <f>MIN(T4:T13)</f>
        <v>72090.85447259061</v>
      </c>
      <c r="U14" s="39">
        <f>INDEX(U4:U13, MATCH($T$14, T4:T13, 0))</f>
        <v>0.863935291999951</v>
      </c>
      <c r="V14" s="38">
        <f>INDEX(V4:V13, MATCH($T$14, T4:T13, 0))</f>
        <v>3</v>
      </c>
      <c r="W14" s="38">
        <f>INDEX(W4:W13, MATCH($T$14, T4:T13, 0))</f>
        <v>96.666666666666671</v>
      </c>
      <c r="X14" s="39">
        <f>INDEX(X4:X13, MATCH($T$14, T4:T13, 0))</f>
        <v>66.670837253471177</v>
      </c>
      <c r="Y14" s="39">
        <f>INDEX(Y4:Y13, MATCH($T$14, T4:T13, 0))</f>
        <v>58.396702493702378</v>
      </c>
      <c r="Z14" s="39">
        <f>INDEX(Z4:Z13, MATCH($T$14, T4:T13, 0))</f>
        <v>1796.773693956241</v>
      </c>
      <c r="AA14" s="40" t="e">
        <f>(T14-$D$15)/$D$15</f>
        <v>#DIV/0!</v>
      </c>
    </row>
    <row r="15" spans="2:27" x14ac:dyDescent="0.2">
      <c r="C15" s="1" t="s">
        <v>17</v>
      </c>
      <c r="D15" s="34"/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103" priority="5"/>
    <cfRule type="duplicateValues" dxfId="102" priority="6"/>
  </conditionalFormatting>
  <conditionalFormatting sqref="C15:C16 C28:C1048576 C1:C13">
    <cfRule type="duplicateValues" dxfId="101" priority="13"/>
    <cfRule type="duplicateValues" dxfId="100" priority="14"/>
  </conditionalFormatting>
  <conditionalFormatting sqref="C18:C27">
    <cfRule type="duplicateValues" dxfId="23" priority="3"/>
    <cfRule type="duplicateValues" dxfId="22" priority="4"/>
  </conditionalFormatting>
  <conditionalFormatting sqref="C17">
    <cfRule type="duplicateValues" dxfId="21" priority="1"/>
    <cfRule type="duplicateValues" dxfId="20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9B538-A36B-0449-BB54-5642418AD84B}">
  <dimension ref="B1:AA17"/>
  <sheetViews>
    <sheetView zoomScale="110" zoomScaleNormal="110" workbookViewId="0">
      <selection activeCell="A17" sqref="A17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11.835047894681303</v>
      </c>
      <c r="J2" s="28">
        <f>(S14-J14)/J14</f>
        <v>-0.99983483878189428</v>
      </c>
      <c r="K2" s="28"/>
      <c r="L2" s="1" t="s">
        <v>19</v>
      </c>
      <c r="P2" s="1">
        <f>(P14-H14)/H14</f>
        <v>-1</v>
      </c>
      <c r="R2" s="1">
        <f>(R14-J14)/J14</f>
        <v>1.9613283392517371E-2</v>
      </c>
      <c r="T2" s="1" t="s">
        <v>20</v>
      </c>
      <c r="X2" s="1" t="e">
        <f>(X14-P14)/P14</f>
        <v>#DIV/0!</v>
      </c>
      <c r="Z2" s="1">
        <f>(Z14-R14)/R14</f>
        <v>0.32398856409744442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16</v>
      </c>
      <c r="D4" s="23">
        <v>72423.467370351544</v>
      </c>
      <c r="E4" s="33">
        <v>1.3110477920017729</v>
      </c>
      <c r="F4" s="5">
        <v>3</v>
      </c>
      <c r="G4" s="23">
        <v>93.333333333333329</v>
      </c>
      <c r="H4" s="33">
        <v>1.4187637980341006</v>
      </c>
      <c r="I4" s="23">
        <v>21.891217074218162</v>
      </c>
      <c r="J4" s="5">
        <v>1338.5468569134343</v>
      </c>
      <c r="K4" s="31"/>
      <c r="L4" s="23">
        <v>88434.559970481831</v>
      </c>
      <c r="M4" s="33">
        <v>0.99259783399975277</v>
      </c>
      <c r="N4" s="5">
        <v>3</v>
      </c>
      <c r="O4" s="5">
        <v>80</v>
      </c>
      <c r="P4" s="33">
        <v>0</v>
      </c>
      <c r="Q4" s="5">
        <v>18.20990129900763</v>
      </c>
      <c r="R4" s="5">
        <v>1364.8001557522409</v>
      </c>
      <c r="S4" s="31"/>
      <c r="T4" s="23">
        <v>87311.918777623505</v>
      </c>
      <c r="U4" s="33">
        <v>1.1823316670015629</v>
      </c>
      <c r="V4" s="5">
        <v>3</v>
      </c>
      <c r="W4" s="5">
        <v>86.666666666666671</v>
      </c>
      <c r="X4" s="33">
        <v>38.128978109078389</v>
      </c>
      <c r="Y4" s="5">
        <v>39.99273064797174</v>
      </c>
      <c r="Z4" s="5">
        <v>1806.979798494378</v>
      </c>
      <c r="AA4" s="35"/>
    </row>
    <row r="5" spans="2:27" x14ac:dyDescent="0.2">
      <c r="B5" s="4">
        <v>2</v>
      </c>
      <c r="C5" s="4">
        <v>199</v>
      </c>
      <c r="D5" s="23">
        <v>72423.467370351544</v>
      </c>
      <c r="E5" s="33">
        <v>1.165567833999376</v>
      </c>
      <c r="F5" s="5">
        <v>3</v>
      </c>
      <c r="G5" s="23">
        <v>93.333333333333329</v>
      </c>
      <c r="H5" s="33">
        <v>1.4187637980341006</v>
      </c>
      <c r="I5" s="23">
        <v>21.891217074218162</v>
      </c>
      <c r="J5" s="5">
        <v>1338.5468569134343</v>
      </c>
      <c r="K5" s="31"/>
      <c r="L5" s="23">
        <v>89083.874230165995</v>
      </c>
      <c r="M5" s="33">
        <v>0.97708537499784143</v>
      </c>
      <c r="N5" s="5">
        <v>3</v>
      </c>
      <c r="O5" s="5">
        <v>76.666666666666671</v>
      </c>
      <c r="P5" s="33">
        <v>0</v>
      </c>
      <c r="Q5" s="5">
        <v>15.651182354545</v>
      </c>
      <c r="R5" s="5">
        <v>1225.450551293909</v>
      </c>
      <c r="S5" s="31"/>
      <c r="T5" s="23">
        <v>87311.918777623505</v>
      </c>
      <c r="U5" s="33">
        <v>2.1021999170006889</v>
      </c>
      <c r="V5" s="5">
        <v>3</v>
      </c>
      <c r="W5" s="5">
        <v>86.666666666666671</v>
      </c>
      <c r="X5" s="33">
        <v>38.128978109078389</v>
      </c>
      <c r="Y5" s="5">
        <v>39.99273064797174</v>
      </c>
      <c r="Z5" s="5">
        <v>1806.979798494378</v>
      </c>
      <c r="AA5" s="35"/>
    </row>
    <row r="6" spans="2:27" x14ac:dyDescent="0.2">
      <c r="B6" s="4">
        <v>3</v>
      </c>
      <c r="C6" s="4">
        <v>225</v>
      </c>
      <c r="D6" s="23">
        <v>72423.467370351544</v>
      </c>
      <c r="E6" s="33">
        <v>0.66074491600011243</v>
      </c>
      <c r="F6" s="5">
        <v>3</v>
      </c>
      <c r="G6" s="23">
        <v>93.333333333333329</v>
      </c>
      <c r="H6" s="33">
        <v>1.4187637980341006</v>
      </c>
      <c r="I6" s="23">
        <v>21.891217074218162</v>
      </c>
      <c r="J6" s="5">
        <v>1338.5468569134343</v>
      </c>
      <c r="K6" s="31"/>
      <c r="L6" s="23">
        <v>88434.559970481831</v>
      </c>
      <c r="M6" s="33">
        <v>0.79200787500303704</v>
      </c>
      <c r="N6" s="5">
        <v>3</v>
      </c>
      <c r="O6" s="5">
        <v>80</v>
      </c>
      <c r="P6" s="33">
        <v>0</v>
      </c>
      <c r="Q6" s="5">
        <v>18.20990129900763</v>
      </c>
      <c r="R6" s="5">
        <v>1364.8001557522409</v>
      </c>
      <c r="S6" s="31"/>
      <c r="T6" s="23">
        <v>87359.174640934216</v>
      </c>
      <c r="U6" s="33">
        <v>0.65151862499988056</v>
      </c>
      <c r="V6" s="5">
        <v>3</v>
      </c>
      <c r="W6" s="5">
        <v>86.666666666666671</v>
      </c>
      <c r="X6" s="33">
        <v>38.128978109078389</v>
      </c>
      <c r="Y6" s="5">
        <v>39.776382292833588</v>
      </c>
      <c r="Z6" s="5">
        <v>1809.232108743483</v>
      </c>
      <c r="AA6" s="35"/>
    </row>
    <row r="7" spans="2:27" x14ac:dyDescent="0.2">
      <c r="B7" s="4">
        <v>4</v>
      </c>
      <c r="C7" s="4">
        <v>238</v>
      </c>
      <c r="D7" s="23">
        <v>72423.467370351544</v>
      </c>
      <c r="E7" s="33">
        <v>0.76672608300214051</v>
      </c>
      <c r="F7" s="5">
        <v>3</v>
      </c>
      <c r="G7" s="23">
        <v>93.333333333333329</v>
      </c>
      <c r="H7" s="33">
        <v>1.4187637980341006</v>
      </c>
      <c r="I7" s="23">
        <v>21.891217074218162</v>
      </c>
      <c r="J7" s="5">
        <v>1338.5468569134343</v>
      </c>
      <c r="K7" s="31"/>
      <c r="L7" s="23">
        <v>88434.559970481831</v>
      </c>
      <c r="M7" s="33">
        <v>0.60627100000056089</v>
      </c>
      <c r="N7" s="5">
        <v>3</v>
      </c>
      <c r="O7" s="5">
        <v>80</v>
      </c>
      <c r="P7" s="33">
        <v>0</v>
      </c>
      <c r="Q7" s="5">
        <v>18.20990129900763</v>
      </c>
      <c r="R7" s="5">
        <v>1364.8001557522409</v>
      </c>
      <c r="S7" s="31"/>
      <c r="T7" s="23">
        <v>87359.174640934216</v>
      </c>
      <c r="U7" s="33">
        <v>0.80741137500081095</v>
      </c>
      <c r="V7" s="5">
        <v>3</v>
      </c>
      <c r="W7" s="5">
        <v>86.666666666666671</v>
      </c>
      <c r="X7" s="33">
        <v>38.128978109078389</v>
      </c>
      <c r="Y7" s="5">
        <v>39.776382292833588</v>
      </c>
      <c r="Z7" s="5">
        <v>1809.232108743483</v>
      </c>
      <c r="AA7" s="35"/>
    </row>
    <row r="8" spans="2:27" x14ac:dyDescent="0.2">
      <c r="B8" s="4">
        <v>5</v>
      </c>
      <c r="C8" s="4">
        <v>421</v>
      </c>
      <c r="D8" s="23">
        <v>72423.467370351544</v>
      </c>
      <c r="E8" s="33">
        <v>2.2798308329984138</v>
      </c>
      <c r="F8" s="5">
        <v>3</v>
      </c>
      <c r="G8" s="23">
        <v>93.333333333333329</v>
      </c>
      <c r="H8" s="33">
        <v>1.4187637980341006</v>
      </c>
      <c r="I8" s="23">
        <v>21.891217074218162</v>
      </c>
      <c r="J8" s="5">
        <v>1338.5468569134343</v>
      </c>
      <c r="K8" s="31"/>
      <c r="L8" s="23">
        <v>88434.559970481831</v>
      </c>
      <c r="M8" s="33">
        <v>1.059193790999416</v>
      </c>
      <c r="N8" s="5">
        <v>3</v>
      </c>
      <c r="O8" s="5">
        <v>80</v>
      </c>
      <c r="P8" s="33">
        <v>0</v>
      </c>
      <c r="Q8" s="5">
        <v>18.20990129900763</v>
      </c>
      <c r="R8" s="5">
        <v>1364.8001557522409</v>
      </c>
      <c r="S8" s="31"/>
      <c r="T8" s="23">
        <v>87359.174640934216</v>
      </c>
      <c r="U8" s="33">
        <v>1.2370957089988219</v>
      </c>
      <c r="V8" s="5">
        <v>3</v>
      </c>
      <c r="W8" s="5">
        <v>86.666666666666671</v>
      </c>
      <c r="X8" s="33">
        <v>38.128978109078389</v>
      </c>
      <c r="Y8" s="5">
        <v>39.776382292833588</v>
      </c>
      <c r="Z8" s="5">
        <v>1809.232108743483</v>
      </c>
      <c r="AA8" s="35"/>
    </row>
    <row r="9" spans="2:27" x14ac:dyDescent="0.2">
      <c r="B9" s="4">
        <v>6</v>
      </c>
      <c r="C9" s="4">
        <v>435</v>
      </c>
      <c r="D9" s="23">
        <v>72423.467370351544</v>
      </c>
      <c r="E9" s="33">
        <v>0.68309274999774061</v>
      </c>
      <c r="F9" s="5">
        <v>3</v>
      </c>
      <c r="G9" s="23">
        <v>93.333333333333329</v>
      </c>
      <c r="H9" s="33">
        <v>1.4187637980341006</v>
      </c>
      <c r="I9" s="23">
        <v>21.891217074218162</v>
      </c>
      <c r="J9" s="5">
        <v>1338.5468569134343</v>
      </c>
      <c r="K9" s="31"/>
      <c r="L9" s="23">
        <v>88434.559970481831</v>
      </c>
      <c r="M9" s="33">
        <v>1.0187753339996559</v>
      </c>
      <c r="N9" s="5">
        <v>3</v>
      </c>
      <c r="O9" s="5">
        <v>80</v>
      </c>
      <c r="P9" s="33">
        <v>0</v>
      </c>
      <c r="Q9" s="5">
        <v>18.20990129900763</v>
      </c>
      <c r="R9" s="5">
        <v>1364.8001557522409</v>
      </c>
      <c r="S9" s="31"/>
      <c r="T9" s="23">
        <v>87359.174640934216</v>
      </c>
      <c r="U9" s="33">
        <v>1.0191522079985591</v>
      </c>
      <c r="V9" s="5">
        <v>3</v>
      </c>
      <c r="W9" s="5">
        <v>86.666666666666671</v>
      </c>
      <c r="X9" s="33">
        <v>38.128978109078389</v>
      </c>
      <c r="Y9" s="5">
        <v>39.776382292833588</v>
      </c>
      <c r="Z9" s="5">
        <v>1809.232108743483</v>
      </c>
      <c r="AA9" s="35"/>
    </row>
    <row r="10" spans="2:27" x14ac:dyDescent="0.2">
      <c r="B10" s="4">
        <v>7</v>
      </c>
      <c r="C10" s="4">
        <v>601</v>
      </c>
      <c r="D10" s="23">
        <v>72423.467370351544</v>
      </c>
      <c r="E10" s="33">
        <v>1.2566349170010651</v>
      </c>
      <c r="F10" s="5">
        <v>3</v>
      </c>
      <c r="G10" s="23">
        <v>93.333333333333329</v>
      </c>
      <c r="H10" s="33">
        <v>1.4187637980341006</v>
      </c>
      <c r="I10" s="23">
        <v>21.891217074218162</v>
      </c>
      <c r="J10" s="5">
        <v>1338.5468569134343</v>
      </c>
      <c r="K10" s="31"/>
      <c r="L10" s="23">
        <v>88434.559970481831</v>
      </c>
      <c r="M10" s="33">
        <v>1.1712285419998809</v>
      </c>
      <c r="N10" s="5">
        <v>3</v>
      </c>
      <c r="O10" s="5">
        <v>80</v>
      </c>
      <c r="P10" s="33">
        <v>0</v>
      </c>
      <c r="Q10" s="5">
        <v>18.20990129900763</v>
      </c>
      <c r="R10" s="5">
        <v>1364.8001557522409</v>
      </c>
      <c r="S10" s="31"/>
      <c r="T10" s="23">
        <v>87423.920752979291</v>
      </c>
      <c r="U10" s="33">
        <v>1.512815541998862</v>
      </c>
      <c r="V10" s="5">
        <v>3</v>
      </c>
      <c r="W10" s="5">
        <v>86.666666666666671</v>
      </c>
      <c r="X10" s="33">
        <v>38.128978109078389</v>
      </c>
      <c r="Y10" s="5">
        <v>39.349525912295789</v>
      </c>
      <c r="Z10" s="5">
        <v>1799.2578148026471</v>
      </c>
      <c r="AA10" s="35"/>
    </row>
    <row r="11" spans="2:27" x14ac:dyDescent="0.2">
      <c r="B11" s="4">
        <v>8</v>
      </c>
      <c r="C11" s="4">
        <v>656</v>
      </c>
      <c r="D11" s="23">
        <v>72423.467370351544</v>
      </c>
      <c r="E11" s="33">
        <v>1.233790624999529</v>
      </c>
      <c r="F11" s="5">
        <v>3</v>
      </c>
      <c r="G11" s="23">
        <v>93.333333333333329</v>
      </c>
      <c r="H11" s="33">
        <v>1.4187637980341006</v>
      </c>
      <c r="I11" s="23">
        <v>21.891217074218162</v>
      </c>
      <c r="J11" s="5">
        <v>1338.5468569134343</v>
      </c>
      <c r="K11" s="31"/>
      <c r="L11" s="23">
        <v>92936.960967602034</v>
      </c>
      <c r="M11" s="33">
        <v>1.3869515000005781</v>
      </c>
      <c r="N11" s="5">
        <v>3</v>
      </c>
      <c r="O11" s="5">
        <v>73.333333333333329</v>
      </c>
      <c r="P11" s="33">
        <v>0</v>
      </c>
      <c r="Q11" s="5">
        <v>15.522376094755719</v>
      </c>
      <c r="R11" s="5">
        <v>1214.8352772865419</v>
      </c>
      <c r="S11" s="31"/>
      <c r="T11" s="23">
        <v>87795.648071179254</v>
      </c>
      <c r="U11" s="33">
        <v>2.5478063749978901</v>
      </c>
      <c r="V11" s="5">
        <v>3</v>
      </c>
      <c r="W11" s="5">
        <v>90</v>
      </c>
      <c r="X11" s="33">
        <v>62.616308530187787</v>
      </c>
      <c r="Y11" s="5">
        <v>42.182078573357217</v>
      </c>
      <c r="Z11" s="5">
        <v>1926.8884137926921</v>
      </c>
      <c r="AA11" s="35"/>
    </row>
    <row r="12" spans="2:27" x14ac:dyDescent="0.2">
      <c r="B12" s="4">
        <v>9</v>
      </c>
      <c r="C12" s="4">
        <v>743</v>
      </c>
      <c r="D12" s="23">
        <v>72423.467370351544</v>
      </c>
      <c r="E12" s="33">
        <v>0.68439758300155518</v>
      </c>
      <c r="F12" s="5">
        <v>3</v>
      </c>
      <c r="G12" s="23">
        <v>93.333333333333329</v>
      </c>
      <c r="H12" s="33">
        <v>1.4187637980341006</v>
      </c>
      <c r="I12" s="23">
        <v>21.891217074218162</v>
      </c>
      <c r="J12" s="5">
        <v>1338.5468569134343</v>
      </c>
      <c r="K12" s="31"/>
      <c r="L12" s="23">
        <v>88434.559970481831</v>
      </c>
      <c r="M12" s="33">
        <v>0.79546200000186218</v>
      </c>
      <c r="N12" s="5">
        <v>3</v>
      </c>
      <c r="O12" s="5">
        <v>80</v>
      </c>
      <c r="P12" s="33">
        <v>0</v>
      </c>
      <c r="Q12" s="5">
        <v>18.20990129900763</v>
      </c>
      <c r="R12" s="5">
        <v>1364.8001557522409</v>
      </c>
      <c r="S12" s="31"/>
      <c r="T12" s="23">
        <v>87795.648071179254</v>
      </c>
      <c r="U12" s="33">
        <v>0.80455058300140081</v>
      </c>
      <c r="V12" s="5">
        <v>3</v>
      </c>
      <c r="W12" s="5">
        <v>90</v>
      </c>
      <c r="X12" s="33">
        <v>62.616308530187787</v>
      </c>
      <c r="Y12" s="5">
        <v>42.182078573357217</v>
      </c>
      <c r="Z12" s="5">
        <v>1926.8884137926921</v>
      </c>
      <c r="AA12" s="35"/>
    </row>
    <row r="13" spans="2:27" x14ac:dyDescent="0.2">
      <c r="B13" s="4">
        <v>10</v>
      </c>
      <c r="C13" s="4">
        <v>815</v>
      </c>
      <c r="D13" s="23">
        <v>72423.467370351544</v>
      </c>
      <c r="E13" s="33">
        <v>0.41403683400130831</v>
      </c>
      <c r="F13" s="5">
        <v>3</v>
      </c>
      <c r="G13" s="23">
        <v>93.333333333333329</v>
      </c>
      <c r="H13" s="33">
        <v>1.4187637980341006</v>
      </c>
      <c r="I13" s="23">
        <v>21.891217074218162</v>
      </c>
      <c r="J13" s="5">
        <v>1338.5468569134343</v>
      </c>
      <c r="K13" s="31"/>
      <c r="L13" s="23">
        <v>88434.559970481831</v>
      </c>
      <c r="M13" s="33">
        <v>0.52459491699846694</v>
      </c>
      <c r="N13" s="5">
        <v>3</v>
      </c>
      <c r="O13" s="5">
        <v>80</v>
      </c>
      <c r="P13" s="33">
        <v>0</v>
      </c>
      <c r="Q13" s="5">
        <v>18.20990129900763</v>
      </c>
      <c r="R13" s="5">
        <v>1364.8001557522409</v>
      </c>
      <c r="S13" s="31"/>
      <c r="T13" s="23">
        <v>87311.918777623505</v>
      </c>
      <c r="U13" s="33">
        <v>0.98066649999964284</v>
      </c>
      <c r="V13" s="5">
        <v>3</v>
      </c>
      <c r="W13" s="5">
        <v>86.666666666666671</v>
      </c>
      <c r="X13" s="33">
        <v>38.128978109078389</v>
      </c>
      <c r="Y13" s="5">
        <v>39.99273064797174</v>
      </c>
      <c r="Z13" s="5">
        <v>1806.979798494378</v>
      </c>
      <c r="AA13" s="35"/>
    </row>
    <row r="14" spans="2:27" x14ac:dyDescent="0.2">
      <c r="B14" s="46" t="s">
        <v>3</v>
      </c>
      <c r="C14" s="47"/>
      <c r="D14" s="9">
        <f>MIN(D4:D13)</f>
        <v>72423.467370351544</v>
      </c>
      <c r="E14" s="22">
        <f>INDEX(E4:E13, MATCH($D$14, D4:D13, 0))</f>
        <v>1.3110477920017729</v>
      </c>
      <c r="F14" s="9">
        <f>INDEX(F4:F13, MATCH($D$14, D4:D13, 0))</f>
        <v>3</v>
      </c>
      <c r="G14" s="9">
        <f>INDEX(G4:G13, MATCH($D$14, D4:D13, 0))</f>
        <v>93.333333333333329</v>
      </c>
      <c r="H14" s="22">
        <f>INDEX(H4:H13, MATCH($D$14, D4:D13, 0))</f>
        <v>1.4187637980341006</v>
      </c>
      <c r="I14" s="22">
        <f>INDEX(I4:I13, MATCH($D$14, D4:D13, 0))</f>
        <v>21.891217074218162</v>
      </c>
      <c r="J14" s="22">
        <f>INDEX(J4:J13, MATCH($D$14, D4:D13, 0))</f>
        <v>1338.5468569134343</v>
      </c>
      <c r="K14" s="32">
        <f>(D14-$D$15)/$D$15</f>
        <v>0</v>
      </c>
      <c r="L14" s="16">
        <f>MIN(L4:L13)</f>
        <v>88434.559970481831</v>
      </c>
      <c r="M14" s="21">
        <f>INDEX(M4:M13, MATCH($L$14, L4:L13, 0))</f>
        <v>0.99259783399975277</v>
      </c>
      <c r="N14" s="16">
        <f>INDEX(N4:N13, MATCH($L$14, L4:L13, 0))</f>
        <v>3</v>
      </c>
      <c r="O14" s="16">
        <f>INDEX(O4:O13, MATCH($L$14, L4:L13, 0))</f>
        <v>80</v>
      </c>
      <c r="P14" s="21">
        <f>INDEX(P4:P13, MATCH($L$14, L4:L13, 0))</f>
        <v>0</v>
      </c>
      <c r="Q14" s="21">
        <f>INDEX(Q4:Q13, MATCH($L$14, L4:L13, 0))</f>
        <v>18.20990129900763</v>
      </c>
      <c r="R14" s="21">
        <f>INDEX(R4:R13, MATCH($L$14, L4:L13, 0))</f>
        <v>1364.8001557522409</v>
      </c>
      <c r="S14" s="36">
        <f>(L14-$D$15)/$D$15</f>
        <v>0.22107602937946119</v>
      </c>
      <c r="T14" s="38">
        <f>MIN(T4:T13)</f>
        <v>87311.918777623505</v>
      </c>
      <c r="U14" s="39">
        <f>INDEX(U4:U13, MATCH($T$14, T4:T13, 0))</f>
        <v>1.1823316670015629</v>
      </c>
      <c r="V14" s="38">
        <f>INDEX(V4:V13, MATCH($T$14, T4:T13, 0))</f>
        <v>3</v>
      </c>
      <c r="W14" s="38">
        <f>INDEX(W4:W13, MATCH($T$14, T4:T13, 0))</f>
        <v>86.666666666666671</v>
      </c>
      <c r="X14" s="39">
        <f>INDEX(X4:X13, MATCH($T$14, T4:T13, 0))</f>
        <v>38.128978109078389</v>
      </c>
      <c r="Y14" s="39">
        <f>INDEX(Y4:Y13, MATCH($T$14, T4:T13, 0))</f>
        <v>39.99273064797174</v>
      </c>
      <c r="Z14" s="39">
        <f>INDEX(Z4:Z13, MATCH($T$14, T4:T13, 0))</f>
        <v>1806.979798494378</v>
      </c>
      <c r="AA14" s="40">
        <f>(T14-$D$15)/$D$15</f>
        <v>0.20557495999379535</v>
      </c>
    </row>
    <row r="15" spans="2:27" x14ac:dyDescent="0.2">
      <c r="C15" s="1" t="s">
        <v>17</v>
      </c>
      <c r="D15" s="34">
        <v>72423.467370351544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97" priority="5"/>
    <cfRule type="duplicateValues" dxfId="96" priority="6"/>
  </conditionalFormatting>
  <conditionalFormatting sqref="C15:C16 C28:C1048576 C1:C13">
    <cfRule type="duplicateValues" dxfId="95" priority="13"/>
    <cfRule type="duplicateValues" dxfId="94" priority="14"/>
  </conditionalFormatting>
  <conditionalFormatting sqref="C18:C27">
    <cfRule type="duplicateValues" dxfId="19" priority="3"/>
    <cfRule type="duplicateValues" dxfId="18" priority="4"/>
  </conditionalFormatting>
  <conditionalFormatting sqref="C17">
    <cfRule type="duplicateValues" dxfId="17" priority="1"/>
    <cfRule type="duplicateValues" dxfId="16" priority="2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20053-7136-C841-85CF-D2BCC9FBB061}">
  <dimension ref="B1:AA17"/>
  <sheetViews>
    <sheetView zoomScale="110" zoomScaleNormal="110" workbookViewId="0">
      <selection activeCell="A17" sqref="A17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17.67405730925277</v>
      </c>
      <c r="J2" s="28">
        <f>(S14-J14)/J14</f>
        <v>-0.99980140027695852</v>
      </c>
      <c r="K2" s="28"/>
      <c r="L2" s="1" t="s">
        <v>19</v>
      </c>
      <c r="P2" s="1">
        <f>(P14-H14)/H14</f>
        <v>-1</v>
      </c>
      <c r="R2" s="1">
        <f>(R14-J14)/J14</f>
        <v>-0.17603284665810712</v>
      </c>
      <c r="T2" s="1" t="s">
        <v>20</v>
      </c>
      <c r="X2" s="1" t="e">
        <f>(X14-P14)/P14</f>
        <v>#DIV/0!</v>
      </c>
      <c r="Z2" s="1">
        <f>(Z14-R14)/R14</f>
        <v>0.51035070466576671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112</v>
      </c>
      <c r="D4" s="23">
        <v>73650.674144415345</v>
      </c>
      <c r="E4" s="33">
        <v>0.99181758399936371</v>
      </c>
      <c r="F4" s="5">
        <v>3</v>
      </c>
      <c r="G4" s="23">
        <v>96.666666666666671</v>
      </c>
      <c r="H4" s="33">
        <v>19.064117012949762</v>
      </c>
      <c r="I4" s="23">
        <v>23.914804460508538</v>
      </c>
      <c r="J4" s="5">
        <v>1454.5391899876499</v>
      </c>
      <c r="K4" s="31"/>
      <c r="L4" s="23">
        <v>92002.857233916613</v>
      </c>
      <c r="M4" s="33">
        <v>1.0726940830027161</v>
      </c>
      <c r="N4" s="5">
        <v>4</v>
      </c>
      <c r="O4" s="5">
        <v>83.333333333333329</v>
      </c>
      <c r="P4" s="33">
        <v>0</v>
      </c>
      <c r="Q4" s="5">
        <v>15.68470965564026</v>
      </c>
      <c r="R4" s="5">
        <v>1228.8703701449331</v>
      </c>
      <c r="S4" s="31"/>
      <c r="T4" s="23">
        <v>87586.314588304595</v>
      </c>
      <c r="U4" s="33">
        <v>1.763540416002797</v>
      </c>
      <c r="V4" s="5">
        <v>3</v>
      </c>
      <c r="W4" s="5">
        <v>90</v>
      </c>
      <c r="X4" s="33">
        <v>38.299041373565608</v>
      </c>
      <c r="Y4" s="5">
        <v>36.574214833969883</v>
      </c>
      <c r="Z4" s="5">
        <v>1800.8906195496761</v>
      </c>
      <c r="AA4" s="35"/>
    </row>
    <row r="5" spans="2:27" x14ac:dyDescent="0.2">
      <c r="B5" s="4">
        <v>2</v>
      </c>
      <c r="C5" s="4">
        <v>136</v>
      </c>
      <c r="D5" s="23">
        <v>69266.712503584946</v>
      </c>
      <c r="E5" s="33">
        <v>2.6423347919990192</v>
      </c>
      <c r="F5" s="5">
        <v>3</v>
      </c>
      <c r="G5" s="23">
        <v>100</v>
      </c>
      <c r="H5" s="33">
        <v>0.98448605249473065</v>
      </c>
      <c r="I5" s="23">
        <v>25.869465076292453</v>
      </c>
      <c r="J5" s="5">
        <v>1447.1036338498152</v>
      </c>
      <c r="K5" s="31"/>
      <c r="L5" s="23">
        <v>92125.209565550147</v>
      </c>
      <c r="M5" s="33">
        <v>1.69290241699855</v>
      </c>
      <c r="N5" s="5">
        <v>4</v>
      </c>
      <c r="O5" s="5">
        <v>83.333333333333329</v>
      </c>
      <c r="P5" s="33">
        <v>2.8090004633264112</v>
      </c>
      <c r="Q5" s="5">
        <v>15.779097330583321</v>
      </c>
      <c r="R5" s="5">
        <v>1232.575292725006</v>
      </c>
      <c r="S5" s="31"/>
      <c r="T5" s="23">
        <v>87586.314588304595</v>
      </c>
      <c r="U5" s="33">
        <v>2.752373833998718</v>
      </c>
      <c r="V5" s="5">
        <v>3</v>
      </c>
      <c r="W5" s="5">
        <v>90</v>
      </c>
      <c r="X5" s="33">
        <v>38.299041373565608</v>
      </c>
      <c r="Y5" s="5">
        <v>36.574214833969883</v>
      </c>
      <c r="Z5" s="5">
        <v>1800.8906195496761</v>
      </c>
      <c r="AA5" s="35"/>
    </row>
    <row r="6" spans="2:27" x14ac:dyDescent="0.2">
      <c r="B6" s="4">
        <v>3</v>
      </c>
      <c r="C6" s="4">
        <v>150</v>
      </c>
      <c r="D6" s="23">
        <v>69266.712503584946</v>
      </c>
      <c r="E6" s="33">
        <v>1.11364683300053</v>
      </c>
      <c r="F6" s="5">
        <v>3</v>
      </c>
      <c r="G6" s="23">
        <v>100</v>
      </c>
      <c r="H6" s="33">
        <v>0.98448605249473065</v>
      </c>
      <c r="I6" s="23">
        <v>25.869465076292453</v>
      </c>
      <c r="J6" s="5">
        <v>1447.1036338498152</v>
      </c>
      <c r="K6" s="31"/>
      <c r="L6" s="23">
        <v>97233.382063971265</v>
      </c>
      <c r="M6" s="33">
        <v>1.087118250001367</v>
      </c>
      <c r="N6" s="5">
        <v>3</v>
      </c>
      <c r="O6" s="5">
        <v>70</v>
      </c>
      <c r="P6" s="33">
        <v>0</v>
      </c>
      <c r="Q6" s="5">
        <v>16.08181890562134</v>
      </c>
      <c r="R6" s="5">
        <v>1194.8903639649379</v>
      </c>
      <c r="S6" s="31"/>
      <c r="T6" s="23">
        <v>87586.314588304595</v>
      </c>
      <c r="U6" s="33">
        <v>1.0725127500008971</v>
      </c>
      <c r="V6" s="5">
        <v>3</v>
      </c>
      <c r="W6" s="5">
        <v>90</v>
      </c>
      <c r="X6" s="33">
        <v>38.299041373565608</v>
      </c>
      <c r="Y6" s="5">
        <v>36.574214833969883</v>
      </c>
      <c r="Z6" s="5">
        <v>1800.8906195496761</v>
      </c>
      <c r="AA6" s="35"/>
    </row>
    <row r="7" spans="2:27" x14ac:dyDescent="0.2">
      <c r="B7" s="4">
        <v>4</v>
      </c>
      <c r="C7" s="4">
        <v>162</v>
      </c>
      <c r="D7" s="23">
        <v>69266.712503584946</v>
      </c>
      <c r="E7" s="33">
        <v>0.61360979199889698</v>
      </c>
      <c r="F7" s="5">
        <v>3</v>
      </c>
      <c r="G7" s="23">
        <v>100</v>
      </c>
      <c r="H7" s="33">
        <v>0.98448605249473065</v>
      </c>
      <c r="I7" s="23">
        <v>25.869465076292453</v>
      </c>
      <c r="J7" s="5">
        <v>1447.1036338498152</v>
      </c>
      <c r="K7" s="31"/>
      <c r="L7" s="23">
        <v>92389.303431745822</v>
      </c>
      <c r="M7" s="33">
        <v>1.0408106670001871</v>
      </c>
      <c r="N7" s="5">
        <v>3</v>
      </c>
      <c r="O7" s="5">
        <v>73.333333333333329</v>
      </c>
      <c r="P7" s="33">
        <v>0</v>
      </c>
      <c r="Q7" s="5">
        <v>16.900546668915162</v>
      </c>
      <c r="R7" s="5">
        <v>1132.3452530769521</v>
      </c>
      <c r="S7" s="31"/>
      <c r="T7" s="23">
        <v>90274.622115550679</v>
      </c>
      <c r="U7" s="33">
        <v>1.2292497500020541</v>
      </c>
      <c r="V7" s="5">
        <v>3</v>
      </c>
      <c r="W7" s="5">
        <v>90</v>
      </c>
      <c r="X7" s="33">
        <v>43.573666968369068</v>
      </c>
      <c r="Y7" s="5">
        <v>37.932552920433452</v>
      </c>
      <c r="Z7" s="5">
        <v>1900.360111035211</v>
      </c>
      <c r="AA7" s="35"/>
    </row>
    <row r="8" spans="2:27" x14ac:dyDescent="0.2">
      <c r="B8" s="4">
        <v>5</v>
      </c>
      <c r="C8" s="4">
        <v>542</v>
      </c>
      <c r="D8" s="23">
        <v>69266.712503584946</v>
      </c>
      <c r="E8" s="33">
        <v>1.0977037919983561</v>
      </c>
      <c r="F8" s="5">
        <v>3</v>
      </c>
      <c r="G8" s="23">
        <v>100</v>
      </c>
      <c r="H8" s="33">
        <v>0.98448605249473065</v>
      </c>
      <c r="I8" s="23">
        <v>25.869465076292453</v>
      </c>
      <c r="J8" s="5">
        <v>1447.1036338498152</v>
      </c>
      <c r="K8" s="31"/>
      <c r="L8" s="23">
        <v>91804.548582939926</v>
      </c>
      <c r="M8" s="33">
        <v>1.45387029199992</v>
      </c>
      <c r="N8" s="5">
        <v>3</v>
      </c>
      <c r="O8" s="5">
        <v>73.333333333333329</v>
      </c>
      <c r="P8" s="33">
        <v>0</v>
      </c>
      <c r="Q8" s="5">
        <v>16.78529988867971</v>
      </c>
      <c r="R8" s="5">
        <v>1127.9656910331571</v>
      </c>
      <c r="S8" s="31"/>
      <c r="T8" s="23">
        <v>87586.314588304595</v>
      </c>
      <c r="U8" s="33">
        <v>1.3739099170015829</v>
      </c>
      <c r="V8" s="5">
        <v>3</v>
      </c>
      <c r="W8" s="5">
        <v>90</v>
      </c>
      <c r="X8" s="33">
        <v>38.299041373565608</v>
      </c>
      <c r="Y8" s="5">
        <v>36.574214833969883</v>
      </c>
      <c r="Z8" s="5">
        <v>1800.8906195496761</v>
      </c>
      <c r="AA8" s="35"/>
    </row>
    <row r="9" spans="2:27" x14ac:dyDescent="0.2">
      <c r="B9" s="4">
        <v>6</v>
      </c>
      <c r="C9" s="4">
        <v>607</v>
      </c>
      <c r="D9" s="23">
        <v>71207.31667401435</v>
      </c>
      <c r="E9" s="33">
        <v>1.229504917002487</v>
      </c>
      <c r="F9" s="5">
        <v>3</v>
      </c>
      <c r="G9" s="23">
        <v>96.666666666666671</v>
      </c>
      <c r="H9" s="33">
        <v>1.0184338474083421</v>
      </c>
      <c r="I9" s="23">
        <v>24.095829104961439</v>
      </c>
      <c r="J9" s="5">
        <v>1391.092803615579</v>
      </c>
      <c r="K9" s="31"/>
      <c r="L9" s="23">
        <v>91642.949937532365</v>
      </c>
      <c r="M9" s="33">
        <v>1.0749271250024319</v>
      </c>
      <c r="N9" s="5">
        <v>3</v>
      </c>
      <c r="O9" s="5">
        <v>73.333333333333329</v>
      </c>
      <c r="P9" s="33">
        <v>0</v>
      </c>
      <c r="Q9" s="5">
        <v>17.00138760162119</v>
      </c>
      <c r="R9" s="5">
        <v>1136.1773698652739</v>
      </c>
      <c r="S9" s="31"/>
      <c r="T9" s="23">
        <v>87586.314588304595</v>
      </c>
      <c r="U9" s="33">
        <v>1.3212743330004739</v>
      </c>
      <c r="V9" s="5">
        <v>3</v>
      </c>
      <c r="W9" s="5">
        <v>90</v>
      </c>
      <c r="X9" s="33">
        <v>38.299041373565608</v>
      </c>
      <c r="Y9" s="5">
        <v>36.574214833969883</v>
      </c>
      <c r="Z9" s="5">
        <v>1800.8906195496761</v>
      </c>
      <c r="AA9" s="35"/>
    </row>
    <row r="10" spans="2:27" x14ac:dyDescent="0.2">
      <c r="B10" s="4">
        <v>7</v>
      </c>
      <c r="C10" s="4">
        <v>611</v>
      </c>
      <c r="D10" s="23">
        <v>69266.712503584946</v>
      </c>
      <c r="E10" s="33">
        <v>2.2141942920025031</v>
      </c>
      <c r="F10" s="5">
        <v>3</v>
      </c>
      <c r="G10" s="23">
        <v>100</v>
      </c>
      <c r="H10" s="33">
        <v>0.98448605249473065</v>
      </c>
      <c r="I10" s="23">
        <v>25.869465076292453</v>
      </c>
      <c r="J10" s="5">
        <v>1447.1036338498152</v>
      </c>
      <c r="K10" s="31"/>
      <c r="L10" s="23">
        <v>98428.967171467637</v>
      </c>
      <c r="M10" s="33">
        <v>0.94725087499682559</v>
      </c>
      <c r="N10" s="5">
        <v>4</v>
      </c>
      <c r="O10" s="5">
        <v>83.333333333333329</v>
      </c>
      <c r="P10" s="33">
        <v>31.92499753285416</v>
      </c>
      <c r="Q10" s="5">
        <v>16.866871572542731</v>
      </c>
      <c r="R10" s="5">
        <v>1483.409131660205</v>
      </c>
      <c r="S10" s="31"/>
      <c r="T10" s="23">
        <v>87586.314588304595</v>
      </c>
      <c r="U10" s="33">
        <v>1.4664117499996789</v>
      </c>
      <c r="V10" s="5">
        <v>3</v>
      </c>
      <c r="W10" s="5">
        <v>90</v>
      </c>
      <c r="X10" s="33">
        <v>38.299041373565608</v>
      </c>
      <c r="Y10" s="5">
        <v>36.574214833969883</v>
      </c>
      <c r="Z10" s="5">
        <v>1800.8906195496761</v>
      </c>
      <c r="AA10" s="35"/>
    </row>
    <row r="11" spans="2:27" x14ac:dyDescent="0.2">
      <c r="B11" s="4">
        <v>8</v>
      </c>
      <c r="C11" s="4">
        <v>672</v>
      </c>
      <c r="D11" s="23">
        <v>69266.712503584946</v>
      </c>
      <c r="E11" s="33">
        <v>1.0344646669982469</v>
      </c>
      <c r="F11" s="5">
        <v>3</v>
      </c>
      <c r="G11" s="23">
        <v>100</v>
      </c>
      <c r="H11" s="33">
        <v>0.98448605249473065</v>
      </c>
      <c r="I11" s="23">
        <v>25.869465076292453</v>
      </c>
      <c r="J11" s="5">
        <v>1447.1036338498152</v>
      </c>
      <c r="K11" s="31"/>
      <c r="L11" s="23">
        <v>89173.5764601868</v>
      </c>
      <c r="M11" s="33">
        <v>1.471171875000437</v>
      </c>
      <c r="N11" s="5">
        <v>3</v>
      </c>
      <c r="O11" s="5">
        <v>76.666666666666671</v>
      </c>
      <c r="P11" s="33">
        <v>0</v>
      </c>
      <c r="Q11" s="5">
        <v>18.38434896444663</v>
      </c>
      <c r="R11" s="5">
        <v>1192.3658617739411</v>
      </c>
      <c r="S11" s="31"/>
      <c r="T11" s="23">
        <v>87586.314588304595</v>
      </c>
      <c r="U11" s="33">
        <v>1.649075792000076</v>
      </c>
      <c r="V11" s="5">
        <v>3</v>
      </c>
      <c r="W11" s="5">
        <v>90</v>
      </c>
      <c r="X11" s="33">
        <v>38.299041373565608</v>
      </c>
      <c r="Y11" s="5">
        <v>36.574214833969883</v>
      </c>
      <c r="Z11" s="5">
        <v>1800.8906195496761</v>
      </c>
      <c r="AA11" s="35"/>
    </row>
    <row r="12" spans="2:27" x14ac:dyDescent="0.2">
      <c r="B12" s="4">
        <v>9</v>
      </c>
      <c r="C12" s="4">
        <v>748</v>
      </c>
      <c r="D12" s="23">
        <v>82556.422809813099</v>
      </c>
      <c r="E12" s="33">
        <v>0.98081020899917348</v>
      </c>
      <c r="F12" s="5">
        <v>3</v>
      </c>
      <c r="G12" s="23">
        <v>96.666666666666671</v>
      </c>
      <c r="H12" s="33">
        <v>57.961919326058066</v>
      </c>
      <c r="I12" s="23">
        <v>25.177997128226703</v>
      </c>
      <c r="J12" s="5">
        <v>1742.3152468533081</v>
      </c>
      <c r="K12" s="31"/>
      <c r="L12" s="23">
        <v>89173.5764601868</v>
      </c>
      <c r="M12" s="33">
        <v>1.528511415999674</v>
      </c>
      <c r="N12" s="5">
        <v>3</v>
      </c>
      <c r="O12" s="5">
        <v>76.666666666666671</v>
      </c>
      <c r="P12" s="33">
        <v>0</v>
      </c>
      <c r="Q12" s="5">
        <v>18.38434896444663</v>
      </c>
      <c r="R12" s="5">
        <v>1192.3658617739411</v>
      </c>
      <c r="S12" s="31"/>
      <c r="T12" s="23">
        <v>87586.314588304595</v>
      </c>
      <c r="U12" s="33">
        <v>1.277216667000175</v>
      </c>
      <c r="V12" s="5">
        <v>3</v>
      </c>
      <c r="W12" s="5">
        <v>90</v>
      </c>
      <c r="X12" s="33">
        <v>38.299041373565608</v>
      </c>
      <c r="Y12" s="5">
        <v>36.574214833969883</v>
      </c>
      <c r="Z12" s="5">
        <v>1800.8906195496761</v>
      </c>
      <c r="AA12" s="35"/>
    </row>
    <row r="13" spans="2:27" x14ac:dyDescent="0.2">
      <c r="B13" s="4">
        <v>10</v>
      </c>
      <c r="C13" s="4">
        <v>854</v>
      </c>
      <c r="D13" s="23">
        <v>69266.712503584946</v>
      </c>
      <c r="E13" s="33">
        <v>0.89740399999936926</v>
      </c>
      <c r="F13" s="5">
        <v>3</v>
      </c>
      <c r="G13" s="23">
        <v>100</v>
      </c>
      <c r="H13" s="33">
        <v>0.98448605249473065</v>
      </c>
      <c r="I13" s="23">
        <v>25.869465076292453</v>
      </c>
      <c r="J13" s="5">
        <v>1447.1036338498152</v>
      </c>
      <c r="K13" s="31"/>
      <c r="L13" s="23">
        <v>97470.106642490369</v>
      </c>
      <c r="M13" s="33">
        <v>0.62233650000052876</v>
      </c>
      <c r="N13" s="5">
        <v>4</v>
      </c>
      <c r="O13" s="5">
        <v>76.666666666666671</v>
      </c>
      <c r="P13" s="33">
        <v>0</v>
      </c>
      <c r="Q13" s="5">
        <v>13.036874597422131</v>
      </c>
      <c r="R13" s="5">
        <v>1116.5607742257839</v>
      </c>
      <c r="S13" s="31"/>
      <c r="T13" s="23">
        <v>87708.255750897457</v>
      </c>
      <c r="U13" s="33">
        <v>1.037489916001505</v>
      </c>
      <c r="V13" s="5">
        <v>3</v>
      </c>
      <c r="W13" s="5">
        <v>93.333333333333329</v>
      </c>
      <c r="X13" s="33">
        <v>79.910495208049696</v>
      </c>
      <c r="Y13" s="5">
        <v>39.18132187466216</v>
      </c>
      <c r="Z13" s="5">
        <v>1914.6363039155251</v>
      </c>
      <c r="AA13" s="35"/>
    </row>
    <row r="14" spans="2:27" x14ac:dyDescent="0.2">
      <c r="B14" s="46" t="s">
        <v>3</v>
      </c>
      <c r="C14" s="47"/>
      <c r="D14" s="9">
        <f>MIN(D4:D13)</f>
        <v>69266.712503584946</v>
      </c>
      <c r="E14" s="22">
        <f>INDEX(E4:E13, MATCH($D$14, D4:D13, 0))</f>
        <v>2.6423347919990192</v>
      </c>
      <c r="F14" s="9">
        <f>INDEX(F4:F13, MATCH($D$14, D4:D13, 0))</f>
        <v>3</v>
      </c>
      <c r="G14" s="9">
        <f>INDEX(G4:G13, MATCH($D$14, D4:D13, 0))</f>
        <v>100</v>
      </c>
      <c r="H14" s="22">
        <f>INDEX(H4:H13, MATCH($D$14, D4:D13, 0))</f>
        <v>0.98448605249473065</v>
      </c>
      <c r="I14" s="22">
        <f>INDEX(I4:I13, MATCH($D$14, D4:D13, 0))</f>
        <v>25.869465076292453</v>
      </c>
      <c r="J14" s="22">
        <f>INDEX(J4:J13, MATCH($D$14, D4:D13, 0))</f>
        <v>1447.1036338498152</v>
      </c>
      <c r="K14" s="32">
        <f>(D14-$D$15)/$D$15</f>
        <v>0</v>
      </c>
      <c r="L14" s="16">
        <f>MIN(L4:L13)</f>
        <v>89173.5764601868</v>
      </c>
      <c r="M14" s="21">
        <f>INDEX(M4:M13, MATCH($L$14, L4:L13, 0))</f>
        <v>1.471171875000437</v>
      </c>
      <c r="N14" s="16">
        <f>INDEX(N4:N13, MATCH($L$14, L4:L13, 0))</f>
        <v>3</v>
      </c>
      <c r="O14" s="16">
        <f>INDEX(O4:O13, MATCH($L$14, L4:L13, 0))</f>
        <v>76.666666666666671</v>
      </c>
      <c r="P14" s="21">
        <f>INDEX(P4:P13, MATCH($L$14, L4:L13, 0))</f>
        <v>0</v>
      </c>
      <c r="Q14" s="21">
        <f>INDEX(Q4:Q13, MATCH($L$14, L4:L13, 0))</f>
        <v>18.38434896444663</v>
      </c>
      <c r="R14" s="21">
        <f>INDEX(R4:R13, MATCH($L$14, L4:L13, 0))</f>
        <v>1192.3658617739411</v>
      </c>
      <c r="S14" s="36">
        <f>(L14-$D$15)/$D$15</f>
        <v>0.28739438089503033</v>
      </c>
      <c r="T14" s="38">
        <f>MIN(T4:T13)</f>
        <v>87586.314588304595</v>
      </c>
      <c r="U14" s="39">
        <f>INDEX(U4:U13, MATCH($T$14, T4:T13, 0))</f>
        <v>1.763540416002797</v>
      </c>
      <c r="V14" s="38">
        <f>INDEX(V4:V13, MATCH($T$14, T4:T13, 0))</f>
        <v>3</v>
      </c>
      <c r="W14" s="38">
        <f>INDEX(W4:W13, MATCH($T$14, T4:T13, 0))</f>
        <v>90</v>
      </c>
      <c r="X14" s="39">
        <f>INDEX(X4:X13, MATCH($T$14, T4:T13, 0))</f>
        <v>38.299041373565608</v>
      </c>
      <c r="Y14" s="39">
        <f>INDEX(Y4:Y13, MATCH($T$14, T4:T13, 0))</f>
        <v>36.574214833969883</v>
      </c>
      <c r="Z14" s="39">
        <f>INDEX(Z4:Z13, MATCH($T$14, T4:T13, 0))</f>
        <v>1800.8906195496761</v>
      </c>
      <c r="AA14" s="40">
        <f>(T14-$D$15)/$D$15</f>
        <v>0.26447916210505162</v>
      </c>
    </row>
    <row r="15" spans="2:27" x14ac:dyDescent="0.2">
      <c r="C15" s="1" t="s">
        <v>17</v>
      </c>
      <c r="D15" s="34">
        <v>69266.712503584946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28:C1048576">
    <cfRule type="duplicateValues" dxfId="91" priority="11"/>
    <cfRule type="duplicateValues" dxfId="90" priority="12"/>
  </conditionalFormatting>
  <conditionalFormatting sqref="C14">
    <cfRule type="duplicateValues" dxfId="89" priority="5"/>
    <cfRule type="duplicateValues" dxfId="88" priority="6"/>
  </conditionalFormatting>
  <conditionalFormatting sqref="C18:C27">
    <cfRule type="duplicateValues" dxfId="15" priority="3"/>
    <cfRule type="duplicateValues" dxfId="14" priority="4"/>
  </conditionalFormatting>
  <conditionalFormatting sqref="C17">
    <cfRule type="duplicateValues" dxfId="13" priority="1"/>
    <cfRule type="duplicateValues" dxfId="12" priority="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23BF3-EDB7-CB4F-B646-F11933E31240}">
  <dimension ref="B1:AA17"/>
  <sheetViews>
    <sheetView zoomScale="110" zoomScaleNormal="110" workbookViewId="0">
      <selection activeCell="A17" sqref="A17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 t="e">
        <f>(Q14-H14)/H14</f>
        <v>#DIV/0!</v>
      </c>
      <c r="J2" s="28">
        <f>(S14-J14)/J14</f>
        <v>-0.99964609393763615</v>
      </c>
      <c r="K2" s="28"/>
      <c r="L2" s="1" t="s">
        <v>19</v>
      </c>
      <c r="P2" s="1" t="e">
        <f>(P14-H14)/H14</f>
        <v>#DIV/0!</v>
      </c>
      <c r="R2" s="1">
        <f>(R14-J14)/J14</f>
        <v>-0.22784122309206734</v>
      </c>
      <c r="T2" s="1" t="s">
        <v>20</v>
      </c>
      <c r="X2" s="1" t="e">
        <f>(X14-P14)/P14</f>
        <v>#DIV/0!</v>
      </c>
      <c r="Z2" s="1">
        <f>(Z14-R14)/R14</f>
        <v>0.91588435014759328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107</v>
      </c>
      <c r="D4" s="23">
        <v>65657.689879698781</v>
      </c>
      <c r="E4" s="33">
        <v>1.4402544580007091</v>
      </c>
      <c r="F4" s="5">
        <v>3</v>
      </c>
      <c r="G4" s="23">
        <v>93.333333333333329</v>
      </c>
      <c r="H4" s="33">
        <v>0</v>
      </c>
      <c r="I4" s="23">
        <v>28.304043648103605</v>
      </c>
      <c r="J4" s="5">
        <v>1163.971996274907</v>
      </c>
      <c r="K4" s="31"/>
      <c r="L4" s="23">
        <v>92645.406827852639</v>
      </c>
      <c r="M4" s="33">
        <v>1.198776040997473</v>
      </c>
      <c r="N4" s="5">
        <v>3</v>
      </c>
      <c r="O4" s="5">
        <v>66.666666666666671</v>
      </c>
      <c r="P4" s="33">
        <v>0</v>
      </c>
      <c r="Q4" s="5">
        <v>18.304385776904269</v>
      </c>
      <c r="R4" s="5">
        <v>899.66662083924598</v>
      </c>
      <c r="S4" s="31"/>
      <c r="T4" s="23">
        <v>78658.096542854852</v>
      </c>
      <c r="U4" s="33">
        <v>1.7181248749984659</v>
      </c>
      <c r="V4" s="5">
        <v>3</v>
      </c>
      <c r="W4" s="5">
        <v>90</v>
      </c>
      <c r="X4" s="33">
        <v>42.977695405752307</v>
      </c>
      <c r="Y4" s="5">
        <v>52.877949090234146</v>
      </c>
      <c r="Z4" s="5">
        <v>1721.5005947461291</v>
      </c>
      <c r="AA4" s="35"/>
    </row>
    <row r="5" spans="2:27" x14ac:dyDescent="0.2">
      <c r="B5" s="4">
        <v>2</v>
      </c>
      <c r="C5" s="4">
        <v>275</v>
      </c>
      <c r="D5" s="23">
        <v>65633.207915105304</v>
      </c>
      <c r="E5" s="33">
        <v>0.87091391600188217</v>
      </c>
      <c r="F5" s="5">
        <v>3</v>
      </c>
      <c r="G5" s="23">
        <v>93.333333333333329</v>
      </c>
      <c r="H5" s="33">
        <v>0</v>
      </c>
      <c r="I5" s="23">
        <v>28.193538585188293</v>
      </c>
      <c r="J5" s="5">
        <v>1160.4580200418072</v>
      </c>
      <c r="K5" s="31"/>
      <c r="L5" s="23">
        <v>92807.411669419453</v>
      </c>
      <c r="M5" s="33">
        <v>0.92694649999975809</v>
      </c>
      <c r="N5" s="5">
        <v>3</v>
      </c>
      <c r="O5" s="5">
        <v>66.666666666666671</v>
      </c>
      <c r="P5" s="33">
        <v>0</v>
      </c>
      <c r="Q5" s="5">
        <v>17.615980714297422</v>
      </c>
      <c r="R5" s="5">
        <v>881.56800014959083</v>
      </c>
      <c r="S5" s="31"/>
      <c r="T5" s="23">
        <v>78477.063271796185</v>
      </c>
      <c r="U5" s="33">
        <v>0.90682087499953923</v>
      </c>
      <c r="V5" s="5">
        <v>3</v>
      </c>
      <c r="W5" s="5">
        <v>90</v>
      </c>
      <c r="X5" s="33">
        <v>26.203060054191791</v>
      </c>
      <c r="Y5" s="5">
        <v>53.232608473222861</v>
      </c>
      <c r="Z5" s="5">
        <v>1723.65719921608</v>
      </c>
      <c r="AA5" s="35"/>
    </row>
    <row r="6" spans="2:27" x14ac:dyDescent="0.2">
      <c r="B6" s="4">
        <v>3</v>
      </c>
      <c r="C6" s="4">
        <v>476</v>
      </c>
      <c r="D6" s="23">
        <v>65596.766920592912</v>
      </c>
      <c r="E6" s="33">
        <v>0.87754962499820977</v>
      </c>
      <c r="F6" s="5">
        <v>3</v>
      </c>
      <c r="G6" s="23">
        <v>93.333333333333329</v>
      </c>
      <c r="H6" s="33">
        <v>0</v>
      </c>
      <c r="I6" s="23">
        <v>28.501759696329113</v>
      </c>
      <c r="J6" s="5">
        <v>1165.1316383942581</v>
      </c>
      <c r="K6" s="31"/>
      <c r="L6" s="23">
        <v>95227.355494733871</v>
      </c>
      <c r="M6" s="33">
        <v>1.2555772920022721</v>
      </c>
      <c r="N6" s="5">
        <v>4</v>
      </c>
      <c r="O6" s="5">
        <v>80</v>
      </c>
      <c r="P6" s="33">
        <v>72.411645367791991</v>
      </c>
      <c r="Q6" s="5">
        <v>18.78010476660085</v>
      </c>
      <c r="R6" s="5">
        <v>1271.3898638814219</v>
      </c>
      <c r="S6" s="31"/>
      <c r="T6" s="23">
        <v>78477.063271796185</v>
      </c>
      <c r="U6" s="33">
        <v>2.2298538750001171</v>
      </c>
      <c r="V6" s="5">
        <v>3</v>
      </c>
      <c r="W6" s="5">
        <v>90</v>
      </c>
      <c r="X6" s="33">
        <v>26.203060054191791</v>
      </c>
      <c r="Y6" s="5">
        <v>53.232608473222861</v>
      </c>
      <c r="Z6" s="5">
        <v>1723.65719921608</v>
      </c>
      <c r="AA6" s="35"/>
    </row>
    <row r="7" spans="2:27" x14ac:dyDescent="0.2">
      <c r="B7" s="4">
        <v>4</v>
      </c>
      <c r="C7" s="4">
        <v>491</v>
      </c>
      <c r="D7" s="23">
        <v>65657.689879698781</v>
      </c>
      <c r="E7" s="33">
        <v>0.62614312499863445</v>
      </c>
      <c r="F7" s="5">
        <v>3</v>
      </c>
      <c r="G7" s="23">
        <v>93.333333333333329</v>
      </c>
      <c r="H7" s="33">
        <v>0</v>
      </c>
      <c r="I7" s="23">
        <v>28.304043648103605</v>
      </c>
      <c r="J7" s="5">
        <v>1163.971996274907</v>
      </c>
      <c r="K7" s="31"/>
      <c r="L7" s="23">
        <v>93366.237369882903</v>
      </c>
      <c r="M7" s="33">
        <v>1.481055084001127</v>
      </c>
      <c r="N7" s="5">
        <v>3</v>
      </c>
      <c r="O7" s="5">
        <v>66.666666666666671</v>
      </c>
      <c r="P7" s="33">
        <v>0</v>
      </c>
      <c r="Q7" s="5">
        <v>17.697677876286551</v>
      </c>
      <c r="R7" s="5">
        <v>897.2687300765981</v>
      </c>
      <c r="S7" s="31"/>
      <c r="T7" s="23">
        <v>78530.582746543776</v>
      </c>
      <c r="U7" s="33">
        <v>2.6012891669997771</v>
      </c>
      <c r="V7" s="5">
        <v>3</v>
      </c>
      <c r="W7" s="5">
        <v>90</v>
      </c>
      <c r="X7" s="33">
        <v>26.203060054191791</v>
      </c>
      <c r="Y7" s="5">
        <v>55.007446551195329</v>
      </c>
      <c r="Z7" s="5">
        <v>1750.6772841356931</v>
      </c>
      <c r="AA7" s="35"/>
    </row>
    <row r="8" spans="2:27" x14ac:dyDescent="0.2">
      <c r="B8" s="4">
        <v>5</v>
      </c>
      <c r="C8" s="4">
        <v>625</v>
      </c>
      <c r="D8" s="23">
        <v>65596.766920592912</v>
      </c>
      <c r="E8" s="33">
        <v>0.62388879200079828</v>
      </c>
      <c r="F8" s="5">
        <v>3</v>
      </c>
      <c r="G8" s="23">
        <v>93.333333333333329</v>
      </c>
      <c r="H8" s="33">
        <v>0</v>
      </c>
      <c r="I8" s="23">
        <v>28.501759696329113</v>
      </c>
      <c r="J8" s="5">
        <v>1165.1316383942581</v>
      </c>
      <c r="K8" s="31"/>
      <c r="L8" s="23">
        <v>95578.001704198905</v>
      </c>
      <c r="M8" s="33">
        <v>0.52499041600094642</v>
      </c>
      <c r="N8" s="5">
        <v>4</v>
      </c>
      <c r="O8" s="5">
        <v>80</v>
      </c>
      <c r="P8" s="33">
        <v>74.383197091929944</v>
      </c>
      <c r="Q8" s="5">
        <v>19.142587546147979</v>
      </c>
      <c r="R8" s="5">
        <v>1288.410953084184</v>
      </c>
      <c r="S8" s="31"/>
      <c r="T8" s="23">
        <v>78477.063271796185</v>
      </c>
      <c r="U8" s="33">
        <v>0.76406391699856613</v>
      </c>
      <c r="V8" s="5">
        <v>3</v>
      </c>
      <c r="W8" s="5">
        <v>90</v>
      </c>
      <c r="X8" s="33">
        <v>26.203060054191791</v>
      </c>
      <c r="Y8" s="5">
        <v>53.232608473222861</v>
      </c>
      <c r="Z8" s="5">
        <v>1723.65719921608</v>
      </c>
      <c r="AA8" s="35"/>
    </row>
    <row r="9" spans="2:27" x14ac:dyDescent="0.2">
      <c r="B9" s="4">
        <v>6</v>
      </c>
      <c r="C9" s="4">
        <v>678</v>
      </c>
      <c r="D9" s="23">
        <v>65598.976921362599</v>
      </c>
      <c r="E9" s="33">
        <v>1.0347004579998611</v>
      </c>
      <c r="F9" s="5">
        <v>3</v>
      </c>
      <c r="G9" s="23">
        <v>93.333333333333329</v>
      </c>
      <c r="H9" s="33">
        <v>0</v>
      </c>
      <c r="I9" s="23">
        <v>29.003083190353337</v>
      </c>
      <c r="J9" s="5">
        <v>1171.876163941703</v>
      </c>
      <c r="K9" s="31"/>
      <c r="L9" s="23">
        <v>95227.355494733871</v>
      </c>
      <c r="M9" s="33">
        <v>0.69467179099956411</v>
      </c>
      <c r="N9" s="5">
        <v>4</v>
      </c>
      <c r="O9" s="5">
        <v>80</v>
      </c>
      <c r="P9" s="33">
        <v>72.411645367791991</v>
      </c>
      <c r="Q9" s="5">
        <v>18.78010476660085</v>
      </c>
      <c r="R9" s="5">
        <v>1271.3898638814219</v>
      </c>
      <c r="S9" s="31"/>
      <c r="T9" s="23">
        <v>78477.063271796185</v>
      </c>
      <c r="U9" s="33">
        <v>1.1336569160012</v>
      </c>
      <c r="V9" s="5">
        <v>3</v>
      </c>
      <c r="W9" s="5">
        <v>90</v>
      </c>
      <c r="X9" s="33">
        <v>26.203060054191791</v>
      </c>
      <c r="Y9" s="5">
        <v>53.232608473222861</v>
      </c>
      <c r="Z9" s="5">
        <v>1723.65719921608</v>
      </c>
      <c r="AA9" s="35"/>
    </row>
    <row r="10" spans="2:27" x14ac:dyDescent="0.2">
      <c r="B10" s="4">
        <v>7</v>
      </c>
      <c r="C10" s="4">
        <v>723</v>
      </c>
      <c r="D10" s="23">
        <v>65657.689879698781</v>
      </c>
      <c r="E10" s="33">
        <v>0.86069866699835984</v>
      </c>
      <c r="F10" s="5">
        <v>3</v>
      </c>
      <c r="G10" s="23">
        <v>93.333333333333329</v>
      </c>
      <c r="H10" s="33">
        <v>0</v>
      </c>
      <c r="I10" s="23">
        <v>28.304043648103605</v>
      </c>
      <c r="J10" s="5">
        <v>1163.971996274907</v>
      </c>
      <c r="K10" s="31"/>
      <c r="L10" s="23">
        <v>96738.207985804445</v>
      </c>
      <c r="M10" s="33">
        <v>1.3894219169997091</v>
      </c>
      <c r="N10" s="5">
        <v>4</v>
      </c>
      <c r="O10" s="5">
        <v>80</v>
      </c>
      <c r="P10" s="33">
        <v>35.545503042129518</v>
      </c>
      <c r="Q10" s="5">
        <v>19.39519413021495</v>
      </c>
      <c r="R10" s="5">
        <v>1371.2579924391921</v>
      </c>
      <c r="S10" s="31"/>
      <c r="T10" s="23">
        <v>78477.063271796185</v>
      </c>
      <c r="U10" s="33">
        <v>0.8623972080022213</v>
      </c>
      <c r="V10" s="5">
        <v>3</v>
      </c>
      <c r="W10" s="5">
        <v>90</v>
      </c>
      <c r="X10" s="33">
        <v>26.203060054191791</v>
      </c>
      <c r="Y10" s="5">
        <v>53.232608473222861</v>
      </c>
      <c r="Z10" s="5">
        <v>1723.65719921608</v>
      </c>
      <c r="AA10" s="35"/>
    </row>
    <row r="11" spans="2:27" x14ac:dyDescent="0.2">
      <c r="B11" s="4">
        <v>8</v>
      </c>
      <c r="C11" s="4">
        <v>750</v>
      </c>
      <c r="D11" s="23">
        <v>65596.766920592912</v>
      </c>
      <c r="E11" s="33">
        <v>0.97739287500007777</v>
      </c>
      <c r="F11" s="5">
        <v>3</v>
      </c>
      <c r="G11" s="23">
        <v>93.333333333333329</v>
      </c>
      <c r="H11" s="33">
        <v>0</v>
      </c>
      <c r="I11" s="23">
        <v>28.501759696329113</v>
      </c>
      <c r="J11" s="5">
        <v>1165.1316383942581</v>
      </c>
      <c r="K11" s="31"/>
      <c r="L11" s="23">
        <v>93222.908734746248</v>
      </c>
      <c r="M11" s="33">
        <v>1.1551141669988281</v>
      </c>
      <c r="N11" s="5">
        <v>3</v>
      </c>
      <c r="O11" s="5">
        <v>66.666666666666671</v>
      </c>
      <c r="P11" s="33">
        <v>0</v>
      </c>
      <c r="Q11" s="5">
        <v>17.87083497792386</v>
      </c>
      <c r="R11" s="5">
        <v>901.82114386970147</v>
      </c>
      <c r="S11" s="31"/>
      <c r="T11" s="23">
        <v>78477.063271796185</v>
      </c>
      <c r="U11" s="33">
        <v>1.357753583000886</v>
      </c>
      <c r="V11" s="5">
        <v>3</v>
      </c>
      <c r="W11" s="5">
        <v>90</v>
      </c>
      <c r="X11" s="33">
        <v>26.203060054191791</v>
      </c>
      <c r="Y11" s="5">
        <v>53.232608473222861</v>
      </c>
      <c r="Z11" s="5">
        <v>1723.65719921608</v>
      </c>
      <c r="AA11" s="35"/>
    </row>
    <row r="12" spans="2:27" x14ac:dyDescent="0.2">
      <c r="B12" s="4">
        <v>9</v>
      </c>
      <c r="C12" s="4">
        <v>772</v>
      </c>
      <c r="D12" s="23">
        <v>65596.766920592912</v>
      </c>
      <c r="E12" s="33">
        <v>0.7356715419991815</v>
      </c>
      <c r="F12" s="5">
        <v>3</v>
      </c>
      <c r="G12" s="23">
        <v>93.333333333333329</v>
      </c>
      <c r="H12" s="33">
        <v>0</v>
      </c>
      <c r="I12" s="23">
        <v>28.501759696329113</v>
      </c>
      <c r="J12" s="5">
        <v>1165.1316383942581</v>
      </c>
      <c r="K12" s="31"/>
      <c r="L12" s="23">
        <v>93533.750442090444</v>
      </c>
      <c r="M12" s="33">
        <v>0.67156429199894774</v>
      </c>
      <c r="N12" s="5">
        <v>3</v>
      </c>
      <c r="O12" s="5">
        <v>66.666666666666671</v>
      </c>
      <c r="P12" s="33">
        <v>0</v>
      </c>
      <c r="Q12" s="5">
        <v>17.98948454680491</v>
      </c>
      <c r="R12" s="5">
        <v>904.53364386970156</v>
      </c>
      <c r="S12" s="31"/>
      <c r="T12" s="23">
        <v>78477.063271796185</v>
      </c>
      <c r="U12" s="33">
        <v>2.4883345410016768</v>
      </c>
      <c r="V12" s="5">
        <v>3</v>
      </c>
      <c r="W12" s="5">
        <v>90</v>
      </c>
      <c r="X12" s="33">
        <v>26.203060054191791</v>
      </c>
      <c r="Y12" s="5">
        <v>53.232608473222861</v>
      </c>
      <c r="Z12" s="5">
        <v>1723.65719921608</v>
      </c>
      <c r="AA12" s="35"/>
    </row>
    <row r="13" spans="2:27" x14ac:dyDescent="0.2">
      <c r="B13" s="4">
        <v>10</v>
      </c>
      <c r="C13" s="4">
        <v>802</v>
      </c>
      <c r="D13" s="23">
        <v>65596.766920592912</v>
      </c>
      <c r="E13" s="33">
        <v>0.86061179100215668</v>
      </c>
      <c r="F13" s="5">
        <v>3</v>
      </c>
      <c r="G13" s="23">
        <v>93.333333333333329</v>
      </c>
      <c r="H13" s="33">
        <v>0</v>
      </c>
      <c r="I13" s="23">
        <v>28.501759696329113</v>
      </c>
      <c r="J13" s="5">
        <v>1165.1316383942581</v>
      </c>
      <c r="K13" s="31"/>
      <c r="L13" s="23">
        <v>95364.837535293453</v>
      </c>
      <c r="M13" s="33">
        <v>1.1269597919999801</v>
      </c>
      <c r="N13" s="5">
        <v>4</v>
      </c>
      <c r="O13" s="5">
        <v>80</v>
      </c>
      <c r="P13" s="33">
        <v>72.411645367791991</v>
      </c>
      <c r="Q13" s="5">
        <v>18.81549775214264</v>
      </c>
      <c r="R13" s="5">
        <v>1276.574387690946</v>
      </c>
      <c r="S13" s="31"/>
      <c r="T13" s="23">
        <v>78477.063271796185</v>
      </c>
      <c r="U13" s="33">
        <v>1.545647459002794</v>
      </c>
      <c r="V13" s="5">
        <v>3</v>
      </c>
      <c r="W13" s="5">
        <v>90</v>
      </c>
      <c r="X13" s="33">
        <v>26.203060054191791</v>
      </c>
      <c r="Y13" s="5">
        <v>53.232608473222861</v>
      </c>
      <c r="Z13" s="5">
        <v>1723.65719921608</v>
      </c>
      <c r="AA13" s="35"/>
    </row>
    <row r="14" spans="2:27" x14ac:dyDescent="0.2">
      <c r="B14" s="46" t="s">
        <v>3</v>
      </c>
      <c r="C14" s="47"/>
      <c r="D14" s="9">
        <f>MIN(D4:D13)</f>
        <v>65596.766920592912</v>
      </c>
      <c r="E14" s="22">
        <f>INDEX(E4:E13, MATCH($D$14, D4:D13, 0))</f>
        <v>0.87754962499820977</v>
      </c>
      <c r="F14" s="9">
        <f>INDEX(F4:F13, MATCH($D$14, D4:D13, 0))</f>
        <v>3</v>
      </c>
      <c r="G14" s="9">
        <f>INDEX(G4:G13, MATCH($D$14, D4:D13, 0))</f>
        <v>93.333333333333329</v>
      </c>
      <c r="H14" s="22">
        <f>INDEX(H4:H13, MATCH($D$14, D4:D13, 0))</f>
        <v>0</v>
      </c>
      <c r="I14" s="22">
        <f>INDEX(I4:I13, MATCH($D$14, D4:D13, 0))</f>
        <v>28.501759696329113</v>
      </c>
      <c r="J14" s="22">
        <f>INDEX(J4:J13, MATCH($D$14, D4:D13, 0))</f>
        <v>1165.1316383942581</v>
      </c>
      <c r="K14" s="32">
        <f>(D14-$D$15)/$D$15</f>
        <v>0</v>
      </c>
      <c r="L14" s="16">
        <f>MIN(L4:L13)</f>
        <v>92645.406827852639</v>
      </c>
      <c r="M14" s="21">
        <f>INDEX(M4:M13, MATCH($L$14, L4:L13, 0))</f>
        <v>1.198776040997473</v>
      </c>
      <c r="N14" s="16">
        <f>INDEX(N4:N13, MATCH($L$14, L4:L13, 0))</f>
        <v>3</v>
      </c>
      <c r="O14" s="16">
        <f>INDEX(O4:O13, MATCH($L$14, L4:L13, 0))</f>
        <v>66.666666666666671</v>
      </c>
      <c r="P14" s="21">
        <f>INDEX(P4:P13, MATCH($L$14, L4:L13, 0))</f>
        <v>0</v>
      </c>
      <c r="Q14" s="21">
        <f>INDEX(Q4:Q13, MATCH($L$14, L4:L13, 0))</f>
        <v>18.304385776904269</v>
      </c>
      <c r="R14" s="21">
        <f>INDEX(R4:R13, MATCH($L$14, L4:L13, 0))</f>
        <v>899.66662083924598</v>
      </c>
      <c r="S14" s="36">
        <f>(L14-$D$15)/$D$15</f>
        <v>0.41234715027957114</v>
      </c>
      <c r="T14" s="38">
        <f>MIN(T4:T13)</f>
        <v>78477.063271796185</v>
      </c>
      <c r="U14" s="39">
        <f>INDEX(U4:U13, MATCH($T$14, T4:T13, 0))</f>
        <v>0.90682087499953923</v>
      </c>
      <c r="V14" s="38">
        <f>INDEX(V4:V13, MATCH($T$14, T4:T13, 0))</f>
        <v>3</v>
      </c>
      <c r="W14" s="38">
        <f>INDEX(W4:W13, MATCH($T$14, T4:T13, 0))</f>
        <v>90</v>
      </c>
      <c r="X14" s="39">
        <f>INDEX(X4:X13, MATCH($T$14, T4:T13, 0))</f>
        <v>26.203060054191791</v>
      </c>
      <c r="Y14" s="39">
        <f>INDEX(Y4:Y13, MATCH($T$14, T4:T13, 0))</f>
        <v>53.232608473222861</v>
      </c>
      <c r="Z14" s="39">
        <f>INDEX(Z4:Z13, MATCH($T$14, T4:T13, 0))</f>
        <v>1723.65719921608</v>
      </c>
      <c r="AA14" s="40">
        <f>(T14-$D$15)/$D$15</f>
        <v>0.19635565830241761</v>
      </c>
    </row>
    <row r="15" spans="2:27" x14ac:dyDescent="0.2">
      <c r="C15" s="1" t="s">
        <v>17</v>
      </c>
      <c r="D15" s="34">
        <v>65596.766920592912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4">
    <cfRule type="duplicateValues" dxfId="85" priority="5"/>
    <cfRule type="duplicateValues" dxfId="84" priority="6"/>
  </conditionalFormatting>
  <conditionalFormatting sqref="C15:C16 C28:C1048576 C1:C13">
    <cfRule type="duplicateValues" dxfId="83" priority="13"/>
    <cfRule type="duplicateValues" dxfId="82" priority="14"/>
  </conditionalFormatting>
  <conditionalFormatting sqref="C18:C27">
    <cfRule type="duplicateValues" dxfId="11" priority="3"/>
    <cfRule type="duplicateValues" dxfId="10" priority="4"/>
  </conditionalFormatting>
  <conditionalFormatting sqref="C17">
    <cfRule type="duplicateValues" dxfId="9" priority="1"/>
    <cfRule type="duplicateValues" dxfId="8" priority="2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B4DC-AADD-8F40-9C4E-4C928CC2748C}">
  <dimension ref="B1:AA17"/>
  <sheetViews>
    <sheetView zoomScale="110" zoomScaleNormal="110" workbookViewId="0">
      <selection activeCell="A17" sqref="A17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-0.72660902292090523</v>
      </c>
      <c r="J2" s="28">
        <f>(S14-J14)/J14</f>
        <v>-0.99994764679726866</v>
      </c>
      <c r="K2" s="28"/>
      <c r="L2" s="1" t="s">
        <v>19</v>
      </c>
      <c r="P2" s="1">
        <f>(P14-H14)/H14</f>
        <v>-0.91515985130889144</v>
      </c>
      <c r="R2" s="1">
        <f>(R14-J14)/J14</f>
        <v>-0.12817570343720122</v>
      </c>
      <c r="T2" s="1" t="s">
        <v>20</v>
      </c>
      <c r="X2" s="1">
        <f>(X14-P14)/P14</f>
        <v>14.04344142902656</v>
      </c>
      <c r="Z2" s="1">
        <f>(Z14-R14)/R14</f>
        <v>0.3418010288243758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139</v>
      </c>
      <c r="D4" s="23">
        <v>86285.36512106919</v>
      </c>
      <c r="E4" s="33">
        <v>0.83980387499832432</v>
      </c>
      <c r="F4" s="5">
        <v>3</v>
      </c>
      <c r="G4" s="23">
        <v>90</v>
      </c>
      <c r="H4" s="33">
        <v>66.808881280413544</v>
      </c>
      <c r="I4" s="23">
        <v>21.904398589771642</v>
      </c>
      <c r="J4" s="5">
        <v>1719.3605027239985</v>
      </c>
      <c r="K4" s="31"/>
      <c r="L4" s="23">
        <v>94052.258476526025</v>
      </c>
      <c r="M4" s="33">
        <v>0.88046404200213146</v>
      </c>
      <c r="N4" s="5">
        <v>3</v>
      </c>
      <c r="O4" s="5">
        <v>76.666666666666671</v>
      </c>
      <c r="P4" s="33">
        <v>5.6680754217169094</v>
      </c>
      <c r="Q4" s="5">
        <v>18.2649453308135</v>
      </c>
      <c r="R4" s="5">
        <v>1498.9802608252101</v>
      </c>
      <c r="S4" s="31"/>
      <c r="T4" s="23">
        <v>105481.7776111206</v>
      </c>
      <c r="U4" s="33">
        <v>0.55369754200000898</v>
      </c>
      <c r="V4" s="5">
        <v>2</v>
      </c>
      <c r="W4" s="5">
        <v>63.333333333333343</v>
      </c>
      <c r="X4" s="33">
        <v>73.878987888885263</v>
      </c>
      <c r="Y4" s="5">
        <v>29.13224063122254</v>
      </c>
      <c r="Z4" s="5">
        <v>1797.635984421252</v>
      </c>
      <c r="AA4" s="35"/>
    </row>
    <row r="5" spans="2:27" x14ac:dyDescent="0.2">
      <c r="B5" s="4">
        <v>2</v>
      </c>
      <c r="C5" s="4">
        <v>338</v>
      </c>
      <c r="D5" s="23">
        <v>86285.36512106919</v>
      </c>
      <c r="E5" s="33">
        <v>0.97317095899779815</v>
      </c>
      <c r="F5" s="5">
        <v>3</v>
      </c>
      <c r="G5" s="23">
        <v>90</v>
      </c>
      <c r="H5" s="33">
        <v>66.808881280413544</v>
      </c>
      <c r="I5" s="23">
        <v>21.904398589771642</v>
      </c>
      <c r="J5" s="5">
        <v>1719.3605027239985</v>
      </c>
      <c r="K5" s="31"/>
      <c r="L5" s="23">
        <v>94052.258476526025</v>
      </c>
      <c r="M5" s="33">
        <v>0.75550099999964004</v>
      </c>
      <c r="N5" s="5">
        <v>3</v>
      </c>
      <c r="O5" s="5">
        <v>76.666666666666671</v>
      </c>
      <c r="P5" s="33">
        <v>5.6680754217169094</v>
      </c>
      <c r="Q5" s="5">
        <v>18.2649453308135</v>
      </c>
      <c r="R5" s="5">
        <v>1498.9802608252101</v>
      </c>
      <c r="S5" s="31"/>
      <c r="T5" s="23">
        <v>98471.056119147222</v>
      </c>
      <c r="U5" s="33">
        <v>1.2275517079979179</v>
      </c>
      <c r="V5" s="5">
        <v>3</v>
      </c>
      <c r="W5" s="5">
        <v>86.666666666666671</v>
      </c>
      <c r="X5" s="33">
        <v>97.570098453808896</v>
      </c>
      <c r="Y5" s="5">
        <v>30.73380146798123</v>
      </c>
      <c r="Z5" s="5">
        <v>2134.1647869033209</v>
      </c>
      <c r="AA5" s="35"/>
    </row>
    <row r="6" spans="2:27" x14ac:dyDescent="0.2">
      <c r="B6" s="4">
        <v>3</v>
      </c>
      <c r="C6" s="4">
        <v>501</v>
      </c>
      <c r="D6" s="23">
        <v>86462.768965117415</v>
      </c>
      <c r="E6" s="33">
        <v>0.55763795800157823</v>
      </c>
      <c r="F6" s="5">
        <v>3</v>
      </c>
      <c r="G6" s="23">
        <v>90</v>
      </c>
      <c r="H6" s="33">
        <v>66.808881280413544</v>
      </c>
      <c r="I6" s="23">
        <v>21.331624227294409</v>
      </c>
      <c r="J6" s="5">
        <v>1707.0305927466572</v>
      </c>
      <c r="K6" s="31"/>
      <c r="L6" s="23">
        <v>94052.258476526025</v>
      </c>
      <c r="M6" s="33">
        <v>0.62126295899724937</v>
      </c>
      <c r="N6" s="5">
        <v>3</v>
      </c>
      <c r="O6" s="5">
        <v>76.666666666666671</v>
      </c>
      <c r="P6" s="33">
        <v>5.6680754217169094</v>
      </c>
      <c r="Q6" s="5">
        <v>18.2649453308135</v>
      </c>
      <c r="R6" s="5">
        <v>1498.9802608252101</v>
      </c>
      <c r="S6" s="31"/>
      <c r="T6" s="23">
        <v>98131.480821315956</v>
      </c>
      <c r="U6" s="33">
        <v>1.926965292001114</v>
      </c>
      <c r="V6" s="5">
        <v>3</v>
      </c>
      <c r="W6" s="5">
        <v>83.333333333333329</v>
      </c>
      <c r="X6" s="33">
        <v>85.267360621903336</v>
      </c>
      <c r="Y6" s="5">
        <v>29.191896766013421</v>
      </c>
      <c r="Z6" s="5">
        <v>2011.333256162698</v>
      </c>
      <c r="AA6" s="35"/>
    </row>
    <row r="7" spans="2:27" x14ac:dyDescent="0.2">
      <c r="B7" s="4">
        <v>4</v>
      </c>
      <c r="C7" s="4">
        <v>636</v>
      </c>
      <c r="D7" s="23">
        <v>86462.768965117415</v>
      </c>
      <c r="E7" s="33">
        <v>0.77228787499916507</v>
      </c>
      <c r="F7" s="5">
        <v>3</v>
      </c>
      <c r="G7" s="23">
        <v>90</v>
      </c>
      <c r="H7" s="33">
        <v>66.808881280413544</v>
      </c>
      <c r="I7" s="23">
        <v>21.331624227294409</v>
      </c>
      <c r="J7" s="5">
        <v>1707.0305927466572</v>
      </c>
      <c r="K7" s="31"/>
      <c r="L7" s="23">
        <v>94532.180092385825</v>
      </c>
      <c r="M7" s="33">
        <v>0.69927441700201598</v>
      </c>
      <c r="N7" s="5">
        <v>3</v>
      </c>
      <c r="O7" s="5">
        <v>76.666666666666671</v>
      </c>
      <c r="P7" s="33">
        <v>23.91209587539597</v>
      </c>
      <c r="Q7" s="5">
        <v>18.340602346775562</v>
      </c>
      <c r="R7" s="5">
        <v>1504.166095327314</v>
      </c>
      <c r="S7" s="31"/>
      <c r="T7" s="23">
        <v>98131.480821315956</v>
      </c>
      <c r="U7" s="33">
        <v>1.0081523329972699</v>
      </c>
      <c r="V7" s="5">
        <v>3</v>
      </c>
      <c r="W7" s="5">
        <v>83.333333333333329</v>
      </c>
      <c r="X7" s="33">
        <v>85.267360621903336</v>
      </c>
      <c r="Y7" s="5">
        <v>29.191896766013421</v>
      </c>
      <c r="Z7" s="5">
        <v>2011.333256162698</v>
      </c>
      <c r="AA7" s="35"/>
    </row>
    <row r="8" spans="2:27" x14ac:dyDescent="0.2">
      <c r="B8" s="4">
        <v>5</v>
      </c>
      <c r="C8" s="4">
        <v>693</v>
      </c>
      <c r="D8" s="23">
        <v>86285.36512106919</v>
      </c>
      <c r="E8" s="33">
        <v>1.6028342919998979</v>
      </c>
      <c r="F8" s="5">
        <v>3</v>
      </c>
      <c r="G8" s="23">
        <v>90</v>
      </c>
      <c r="H8" s="33">
        <v>66.808881280413544</v>
      </c>
      <c r="I8" s="23">
        <v>21.904398589771642</v>
      </c>
      <c r="J8" s="5">
        <v>1719.3605027239985</v>
      </c>
      <c r="K8" s="31"/>
      <c r="L8" s="23">
        <v>94265.898868356424</v>
      </c>
      <c r="M8" s="33">
        <v>0.54128383299757843</v>
      </c>
      <c r="N8" s="5">
        <v>3</v>
      </c>
      <c r="O8" s="5">
        <v>80</v>
      </c>
      <c r="P8" s="33">
        <v>56.1348265357937</v>
      </c>
      <c r="Q8" s="5">
        <v>19.37892966928942</v>
      </c>
      <c r="R8" s="5">
        <v>1599.9246136449569</v>
      </c>
      <c r="S8" s="31"/>
      <c r="T8" s="23">
        <v>98471.056119147222</v>
      </c>
      <c r="U8" s="33">
        <v>1.1345921249994719</v>
      </c>
      <c r="V8" s="5">
        <v>3</v>
      </c>
      <c r="W8" s="5">
        <v>86.666666666666671</v>
      </c>
      <c r="X8" s="33">
        <v>97.570098453808896</v>
      </c>
      <c r="Y8" s="5">
        <v>30.73380146798123</v>
      </c>
      <c r="Z8" s="5">
        <v>2134.1647869033209</v>
      </c>
      <c r="AA8" s="35"/>
    </row>
    <row r="9" spans="2:27" x14ac:dyDescent="0.2">
      <c r="B9" s="4">
        <v>6</v>
      </c>
      <c r="C9" s="4">
        <v>709</v>
      </c>
      <c r="D9" s="23">
        <v>86285.36512106919</v>
      </c>
      <c r="E9" s="33">
        <v>0.85233279200110701</v>
      </c>
      <c r="F9" s="5">
        <v>3</v>
      </c>
      <c r="G9" s="23">
        <v>90</v>
      </c>
      <c r="H9" s="33">
        <v>66.808881280413544</v>
      </c>
      <c r="I9" s="23">
        <v>21.904398589771642</v>
      </c>
      <c r="J9" s="5">
        <v>1719.3605027239985</v>
      </c>
      <c r="K9" s="31"/>
      <c r="L9" s="23">
        <v>94265.898868356424</v>
      </c>
      <c r="M9" s="33">
        <v>0.82453404099942418</v>
      </c>
      <c r="N9" s="5">
        <v>3</v>
      </c>
      <c r="O9" s="5">
        <v>80</v>
      </c>
      <c r="P9" s="33">
        <v>56.1348265357937</v>
      </c>
      <c r="Q9" s="5">
        <v>19.37892966928942</v>
      </c>
      <c r="R9" s="5">
        <v>1599.9246136449569</v>
      </c>
      <c r="S9" s="31"/>
      <c r="T9" s="23">
        <v>98131.480821315956</v>
      </c>
      <c r="U9" s="33">
        <v>1.0329989579986429</v>
      </c>
      <c r="V9" s="5">
        <v>3</v>
      </c>
      <c r="W9" s="5">
        <v>83.333333333333329</v>
      </c>
      <c r="X9" s="33">
        <v>85.267360621903336</v>
      </c>
      <c r="Y9" s="5">
        <v>29.191896766013421</v>
      </c>
      <c r="Z9" s="5">
        <v>2011.333256162698</v>
      </c>
      <c r="AA9" s="35"/>
    </row>
    <row r="10" spans="2:27" x14ac:dyDescent="0.2">
      <c r="B10" s="4">
        <v>7</v>
      </c>
      <c r="C10" s="4">
        <v>809</v>
      </c>
      <c r="D10" s="23">
        <v>86462.768965117415</v>
      </c>
      <c r="E10" s="33">
        <v>0.76325879200157942</v>
      </c>
      <c r="F10" s="5">
        <v>3</v>
      </c>
      <c r="G10" s="23">
        <v>90</v>
      </c>
      <c r="H10" s="33">
        <v>66.808881280413544</v>
      </c>
      <c r="I10" s="23">
        <v>21.331624227294409</v>
      </c>
      <c r="J10" s="5">
        <v>1707.0305927466572</v>
      </c>
      <c r="K10" s="31"/>
      <c r="L10" s="23">
        <v>94052.258476526025</v>
      </c>
      <c r="M10" s="33">
        <v>0.66423291600222001</v>
      </c>
      <c r="N10" s="5">
        <v>3</v>
      </c>
      <c r="O10" s="5">
        <v>76.666666666666671</v>
      </c>
      <c r="P10" s="33">
        <v>5.6680754217169094</v>
      </c>
      <c r="Q10" s="5">
        <v>18.2649453308135</v>
      </c>
      <c r="R10" s="5">
        <v>1498.9802608252101</v>
      </c>
      <c r="S10" s="31"/>
      <c r="T10" s="23">
        <v>98198.955406666675</v>
      </c>
      <c r="U10" s="33">
        <v>1.3514739170022949</v>
      </c>
      <c r="V10" s="5">
        <v>3</v>
      </c>
      <c r="W10" s="5">
        <v>80</v>
      </c>
      <c r="X10" s="33">
        <v>59.743090795251852</v>
      </c>
      <c r="Y10" s="5">
        <v>27.14042412630549</v>
      </c>
      <c r="Z10" s="5">
        <v>1890.194084924756</v>
      </c>
      <c r="AA10" s="35"/>
    </row>
    <row r="11" spans="2:27" x14ac:dyDescent="0.2">
      <c r="B11" s="4">
        <v>8</v>
      </c>
      <c r="C11" s="4">
        <v>811</v>
      </c>
      <c r="D11" s="23">
        <v>86285.36512106919</v>
      </c>
      <c r="E11" s="33">
        <v>1.4835555419995221</v>
      </c>
      <c r="F11" s="5">
        <v>3</v>
      </c>
      <c r="G11" s="23">
        <v>90</v>
      </c>
      <c r="H11" s="33">
        <v>66.808881280413544</v>
      </c>
      <c r="I11" s="23">
        <v>21.904398589771642</v>
      </c>
      <c r="J11" s="5">
        <v>1719.3605027239985</v>
      </c>
      <c r="K11" s="31"/>
      <c r="L11" s="23">
        <v>99611.457788392712</v>
      </c>
      <c r="M11" s="33">
        <v>0.94748479199915892</v>
      </c>
      <c r="N11" s="5">
        <v>3</v>
      </c>
      <c r="O11" s="5">
        <v>76.666666666666671</v>
      </c>
      <c r="P11" s="33">
        <v>91.783383482397042</v>
      </c>
      <c r="Q11" s="5">
        <v>19.118631940708781</v>
      </c>
      <c r="R11" s="5">
        <v>1677.463757302708</v>
      </c>
      <c r="S11" s="31"/>
      <c r="T11" s="23">
        <v>98131.480821315956</v>
      </c>
      <c r="U11" s="33">
        <v>0.8147099169982539</v>
      </c>
      <c r="V11" s="5">
        <v>3</v>
      </c>
      <c r="W11" s="5">
        <v>83.333333333333329</v>
      </c>
      <c r="X11" s="33">
        <v>85.267360621903336</v>
      </c>
      <c r="Y11" s="5">
        <v>29.191896766013421</v>
      </c>
      <c r="Z11" s="5">
        <v>2011.333256162698</v>
      </c>
      <c r="AA11" s="35"/>
    </row>
    <row r="12" spans="2:27" x14ac:dyDescent="0.2">
      <c r="B12" s="4">
        <v>9</v>
      </c>
      <c r="C12" s="4">
        <v>835</v>
      </c>
      <c r="D12" s="23">
        <v>86285.36512106919</v>
      </c>
      <c r="E12" s="33">
        <v>1.0413094579998869</v>
      </c>
      <c r="F12" s="5">
        <v>3</v>
      </c>
      <c r="G12" s="23">
        <v>90</v>
      </c>
      <c r="H12" s="33">
        <v>66.808881280413544</v>
      </c>
      <c r="I12" s="23">
        <v>21.904398589771642</v>
      </c>
      <c r="J12" s="5">
        <v>1719.3605027239985</v>
      </c>
      <c r="K12" s="31"/>
      <c r="L12" s="23">
        <v>96194.837002082175</v>
      </c>
      <c r="M12" s="33">
        <v>0.61809591700148303</v>
      </c>
      <c r="N12" s="5">
        <v>3</v>
      </c>
      <c r="O12" s="5">
        <v>76.666666666666671</v>
      </c>
      <c r="P12" s="33">
        <v>32.612980060365132</v>
      </c>
      <c r="Q12" s="5">
        <v>19.13369658306755</v>
      </c>
      <c r="R12" s="5">
        <v>1556.3714004371291</v>
      </c>
      <c r="S12" s="31"/>
      <c r="T12" s="23">
        <v>98198.955406666675</v>
      </c>
      <c r="U12" s="33">
        <v>1.6162132079989531</v>
      </c>
      <c r="V12" s="5">
        <v>3</v>
      </c>
      <c r="W12" s="5">
        <v>80</v>
      </c>
      <c r="X12" s="33">
        <v>59.743090795251852</v>
      </c>
      <c r="Y12" s="5">
        <v>27.14042412630549</v>
      </c>
      <c r="Z12" s="5">
        <v>1890.194084924756</v>
      </c>
      <c r="AA12" s="35"/>
    </row>
    <row r="13" spans="2:27" x14ac:dyDescent="0.2">
      <c r="B13" s="4">
        <v>10</v>
      </c>
      <c r="C13" s="4">
        <v>875</v>
      </c>
      <c r="D13" s="23">
        <v>86285.36512106919</v>
      </c>
      <c r="E13" s="33">
        <v>1.2460088750012801</v>
      </c>
      <c r="F13" s="5">
        <v>3</v>
      </c>
      <c r="G13" s="23">
        <v>90</v>
      </c>
      <c r="H13" s="33">
        <v>66.808881280413544</v>
      </c>
      <c r="I13" s="23">
        <v>21.904398589771642</v>
      </c>
      <c r="J13" s="5">
        <v>1719.3605027239985</v>
      </c>
      <c r="K13" s="31"/>
      <c r="L13" s="23">
        <v>94265.898868356424</v>
      </c>
      <c r="M13" s="33">
        <v>0.79275408299872652</v>
      </c>
      <c r="N13" s="5">
        <v>3</v>
      </c>
      <c r="O13" s="5">
        <v>80</v>
      </c>
      <c r="P13" s="33">
        <v>56.1348265357937</v>
      </c>
      <c r="Q13" s="5">
        <v>19.37892966928942</v>
      </c>
      <c r="R13" s="5">
        <v>1599.9246136449569</v>
      </c>
      <c r="S13" s="31"/>
      <c r="T13" s="23">
        <v>98198.955406666675</v>
      </c>
      <c r="U13" s="33">
        <v>0.85568987499937066</v>
      </c>
      <c r="V13" s="5">
        <v>3</v>
      </c>
      <c r="W13" s="5">
        <v>80</v>
      </c>
      <c r="X13" s="33">
        <v>59.743090795251852</v>
      </c>
      <c r="Y13" s="5">
        <v>27.14042412630549</v>
      </c>
      <c r="Z13" s="5">
        <v>1890.194084924756</v>
      </c>
      <c r="AA13" s="35"/>
    </row>
    <row r="14" spans="2:27" x14ac:dyDescent="0.2">
      <c r="B14" s="46" t="s">
        <v>3</v>
      </c>
      <c r="C14" s="47"/>
      <c r="D14" s="9">
        <f>MIN(D4:D13)</f>
        <v>86285.36512106919</v>
      </c>
      <c r="E14" s="22">
        <f>INDEX(E4:E13, MATCH($D$14, D4:D13, 0))</f>
        <v>0.83980387499832432</v>
      </c>
      <c r="F14" s="9">
        <f>INDEX(F4:F13, MATCH($D$14, D4:D13, 0))</f>
        <v>3</v>
      </c>
      <c r="G14" s="9">
        <f>INDEX(G4:G13, MATCH($D$14, D4:D13, 0))</f>
        <v>90</v>
      </c>
      <c r="H14" s="22">
        <f>INDEX(H4:H13, MATCH($D$14, D4:D13, 0))</f>
        <v>66.808881280413544</v>
      </c>
      <c r="I14" s="22">
        <f>INDEX(I4:I13, MATCH($D$14, D4:D13, 0))</f>
        <v>21.904398589771642</v>
      </c>
      <c r="J14" s="22">
        <f>INDEX(J4:J13, MATCH($D$14, D4:D13, 0))</f>
        <v>1719.3605027239985</v>
      </c>
      <c r="K14" s="32">
        <f>(D14-$D$15)/$D$15</f>
        <v>0</v>
      </c>
      <c r="L14" s="16">
        <f>MIN(L4:L13)</f>
        <v>94052.258476526025</v>
      </c>
      <c r="M14" s="21">
        <f>INDEX(M4:M13, MATCH($L$14, L4:L13, 0))</f>
        <v>0.88046404200213146</v>
      </c>
      <c r="N14" s="16">
        <f>INDEX(N4:N13, MATCH($L$14, L4:L13, 0))</f>
        <v>3</v>
      </c>
      <c r="O14" s="16">
        <f>INDEX(O4:O13, MATCH($L$14, L4:L13, 0))</f>
        <v>76.666666666666671</v>
      </c>
      <c r="P14" s="21">
        <f>INDEX(P4:P13, MATCH($L$14, L4:L13, 0))</f>
        <v>5.6680754217169094</v>
      </c>
      <c r="Q14" s="21">
        <f>INDEX(Q4:Q13, MATCH($L$14, L4:L13, 0))</f>
        <v>18.2649453308135</v>
      </c>
      <c r="R14" s="21">
        <f>INDEX(R4:R13, MATCH($L$14, L4:L13, 0))</f>
        <v>1498.9802608252101</v>
      </c>
      <c r="S14" s="36">
        <f>(L14-$D$15)/$D$15</f>
        <v>9.0014028967240395E-2</v>
      </c>
      <c r="T14" s="38">
        <f>MIN(T4:T13)</f>
        <v>98131.480821315956</v>
      </c>
      <c r="U14" s="39">
        <f>INDEX(U4:U13, MATCH($T$14, T4:T13, 0))</f>
        <v>1.926965292001114</v>
      </c>
      <c r="V14" s="38">
        <f>INDEX(V4:V13, MATCH($T$14, T4:T13, 0))</f>
        <v>3</v>
      </c>
      <c r="W14" s="38">
        <f>INDEX(W4:W13, MATCH($T$14, T4:T13, 0))</f>
        <v>83.333333333333329</v>
      </c>
      <c r="X14" s="39">
        <f>INDEX(X4:X13, MATCH($T$14, T4:T13, 0))</f>
        <v>85.267360621903336</v>
      </c>
      <c r="Y14" s="39">
        <f>INDEX(Y4:Y13, MATCH($T$14, T4:T13, 0))</f>
        <v>29.191896766013421</v>
      </c>
      <c r="Z14" s="39">
        <f>INDEX(Z4:Z13, MATCH($T$14, T4:T13, 0))</f>
        <v>2011.333256162698</v>
      </c>
      <c r="AA14" s="40">
        <f>(T14-$D$15)/$D$15</f>
        <v>0.13728997592610498</v>
      </c>
    </row>
    <row r="15" spans="2:27" x14ac:dyDescent="0.2">
      <c r="C15" s="1" t="s">
        <v>17</v>
      </c>
      <c r="D15" s="34">
        <v>86285.36512106919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28:C1048576">
    <cfRule type="duplicateValues" dxfId="79" priority="11"/>
    <cfRule type="duplicateValues" dxfId="78" priority="12"/>
  </conditionalFormatting>
  <conditionalFormatting sqref="C14">
    <cfRule type="duplicateValues" dxfId="77" priority="5"/>
    <cfRule type="duplicateValues" dxfId="76" priority="6"/>
  </conditionalFormatting>
  <conditionalFormatting sqref="C18:C27">
    <cfRule type="duplicateValues" dxfId="7" priority="3"/>
    <cfRule type="duplicateValues" dxfId="6" priority="4"/>
  </conditionalFormatting>
  <conditionalFormatting sqref="C17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F2B1E-7749-8A4E-B885-ADDAEA954813}">
  <dimension ref="B1:AA17"/>
  <sheetViews>
    <sheetView zoomScale="110" zoomScaleNormal="110" workbookViewId="0">
      <selection activeCell="A17" sqref="A17:XFD2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8.33203125" style="1" bestFit="1" customWidth="1"/>
    <col min="8" max="8" width="19.33203125" style="1" bestFit="1" customWidth="1"/>
    <col min="9" max="9" width="24.83203125" style="1" bestFit="1" customWidth="1"/>
    <col min="10" max="10" width="18.6640625" style="1" bestFit="1" customWidth="1"/>
    <col min="11" max="11" width="12.6640625" style="1" customWidth="1"/>
    <col min="12" max="12" width="12.6640625" style="1" bestFit="1" customWidth="1"/>
    <col min="13" max="14" width="10.83203125" style="1"/>
    <col min="15" max="15" width="18.33203125" style="1" bestFit="1" customWidth="1"/>
    <col min="16" max="16" width="19.33203125" style="1" bestFit="1" customWidth="1"/>
    <col min="17" max="17" width="24.83203125" style="1" bestFit="1" customWidth="1"/>
    <col min="18" max="18" width="18" style="1" bestFit="1" customWidth="1"/>
    <col min="19" max="19" width="10.83203125" style="1"/>
    <col min="20" max="20" width="12.6640625" style="1" bestFit="1" customWidth="1"/>
    <col min="21" max="22" width="10.83203125" style="1"/>
    <col min="23" max="23" width="18.33203125" style="1" bestFit="1" customWidth="1"/>
    <col min="24" max="24" width="19.33203125" style="1" bestFit="1" customWidth="1"/>
    <col min="25" max="25" width="24.83203125" style="1" bestFit="1" customWidth="1"/>
    <col min="26" max="26" width="18" style="1" bestFit="1" customWidth="1"/>
    <col min="27" max="16384" width="10.83203125" style="1"/>
  </cols>
  <sheetData>
    <row r="1" spans="2:27" x14ac:dyDescent="0.2">
      <c r="D1" s="1" t="s">
        <v>14</v>
      </c>
    </row>
    <row r="2" spans="2:27" x14ac:dyDescent="0.2">
      <c r="B2" s="1" t="s">
        <v>18</v>
      </c>
      <c r="D2" s="29">
        <v>30</v>
      </c>
      <c r="H2" s="28">
        <f>(Q14-H14)/H14</f>
        <v>-0.68878906354978453</v>
      </c>
      <c r="J2" s="28">
        <f>(S14-J14)/J14</f>
        <v>-0.99992005158534958</v>
      </c>
      <c r="K2" s="28"/>
      <c r="L2" s="1" t="s">
        <v>19</v>
      </c>
      <c r="P2" s="1">
        <f>(P14-H14)/H14</f>
        <v>-0.67616823233172785</v>
      </c>
      <c r="R2" s="1">
        <f>(R14-J14)/J14</f>
        <v>-0.13271135246830465</v>
      </c>
      <c r="T2" s="1" t="s">
        <v>20</v>
      </c>
      <c r="X2" s="1">
        <f>(X14-P14)/P14</f>
        <v>1.6660861325433325</v>
      </c>
      <c r="Z2" s="1">
        <f>(Z14-R14)/R14</f>
        <v>0.20170288474520121</v>
      </c>
    </row>
    <row r="3" spans="2:27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15</v>
      </c>
      <c r="H3" s="8" t="s">
        <v>11</v>
      </c>
      <c r="I3" s="8" t="s">
        <v>16</v>
      </c>
      <c r="J3" s="8" t="s">
        <v>10</v>
      </c>
      <c r="K3" s="8" t="s">
        <v>1</v>
      </c>
      <c r="L3" s="15" t="s">
        <v>0</v>
      </c>
      <c r="M3" s="15" t="s">
        <v>5</v>
      </c>
      <c r="N3" s="15" t="s">
        <v>12</v>
      </c>
      <c r="O3" s="15" t="s">
        <v>15</v>
      </c>
      <c r="P3" s="15" t="s">
        <v>11</v>
      </c>
      <c r="Q3" s="15" t="s">
        <v>16</v>
      </c>
      <c r="R3" s="15" t="s">
        <v>10</v>
      </c>
      <c r="S3" s="15" t="s">
        <v>1</v>
      </c>
      <c r="T3" s="37" t="s">
        <v>0</v>
      </c>
      <c r="U3" s="37" t="s">
        <v>5</v>
      </c>
      <c r="V3" s="37" t="s">
        <v>12</v>
      </c>
      <c r="W3" s="37" t="s">
        <v>15</v>
      </c>
      <c r="X3" s="37" t="s">
        <v>11</v>
      </c>
      <c r="Y3" s="37" t="s">
        <v>16</v>
      </c>
      <c r="Z3" s="37" t="s">
        <v>10</v>
      </c>
      <c r="AA3" s="37" t="s">
        <v>1</v>
      </c>
    </row>
    <row r="4" spans="2:27" x14ac:dyDescent="0.2">
      <c r="B4" s="4">
        <v>1</v>
      </c>
      <c r="C4" s="4">
        <v>37</v>
      </c>
      <c r="D4" s="23">
        <v>89915.36020448005</v>
      </c>
      <c r="E4" s="33">
        <v>1.7688140419995759</v>
      </c>
      <c r="F4" s="5">
        <v>3</v>
      </c>
      <c r="G4" s="23">
        <v>90</v>
      </c>
      <c r="H4" s="33">
        <v>68.619509659669333</v>
      </c>
      <c r="I4" s="23">
        <v>32.661006902526289</v>
      </c>
      <c r="J4" s="5">
        <v>1835.5146848313623</v>
      </c>
      <c r="K4" s="31"/>
      <c r="L4" s="23">
        <v>105467.89745913541</v>
      </c>
      <c r="M4" s="33">
        <v>0.66715100000146776</v>
      </c>
      <c r="N4" s="5">
        <v>4</v>
      </c>
      <c r="O4" s="5">
        <v>73.333333333333329</v>
      </c>
      <c r="P4" s="33">
        <v>10.54550337668438</v>
      </c>
      <c r="Q4" s="5">
        <v>18.13050104389179</v>
      </c>
      <c r="R4" s="5">
        <v>1369.1718580914369</v>
      </c>
      <c r="S4" s="31"/>
      <c r="T4" s="23">
        <v>103135.4492942736</v>
      </c>
      <c r="U4" s="33">
        <v>1.4175637910011569</v>
      </c>
      <c r="V4" s="5">
        <v>3</v>
      </c>
      <c r="W4" s="5">
        <v>73.333333333333329</v>
      </c>
      <c r="X4" s="33">
        <v>21.078788928797191</v>
      </c>
      <c r="Y4" s="5">
        <v>32.472759563944983</v>
      </c>
      <c r="Z4" s="5">
        <v>1743.8828260470141</v>
      </c>
      <c r="AA4" s="35"/>
    </row>
    <row r="5" spans="2:27" x14ac:dyDescent="0.2">
      <c r="B5" s="4">
        <v>2</v>
      </c>
      <c r="C5" s="4">
        <v>47</v>
      </c>
      <c r="D5" s="23">
        <v>89915.36020448005</v>
      </c>
      <c r="E5" s="33">
        <v>1.2679177079990041</v>
      </c>
      <c r="F5" s="5">
        <v>3</v>
      </c>
      <c r="G5" s="23">
        <v>90</v>
      </c>
      <c r="H5" s="33">
        <v>68.619509659669333</v>
      </c>
      <c r="I5" s="23">
        <v>32.661006902526289</v>
      </c>
      <c r="J5" s="5">
        <v>1835.5146848313623</v>
      </c>
      <c r="K5" s="31"/>
      <c r="L5" s="23">
        <v>103067.8657157494</v>
      </c>
      <c r="M5" s="33">
        <v>1.244899083001656</v>
      </c>
      <c r="N5" s="5">
        <v>4</v>
      </c>
      <c r="O5" s="5">
        <v>76.666666666666671</v>
      </c>
      <c r="P5" s="33">
        <v>20.214481443273201</v>
      </c>
      <c r="Q5" s="5">
        <v>19.372115163994991</v>
      </c>
      <c r="R5" s="5">
        <v>1428.471065886326</v>
      </c>
      <c r="S5" s="31"/>
      <c r="T5" s="23">
        <v>104154.5073075129</v>
      </c>
      <c r="U5" s="33">
        <v>1.8862953749994631</v>
      </c>
      <c r="V5" s="5">
        <v>3</v>
      </c>
      <c r="W5" s="5">
        <v>80</v>
      </c>
      <c r="X5" s="33">
        <v>109.5026488566925</v>
      </c>
      <c r="Y5" s="5">
        <v>41.933984958541807</v>
      </c>
      <c r="Z5" s="5">
        <v>2073.151336498338</v>
      </c>
      <c r="AA5" s="35"/>
    </row>
    <row r="6" spans="2:27" x14ac:dyDescent="0.2">
      <c r="B6" s="4">
        <v>3</v>
      </c>
      <c r="C6" s="4">
        <v>196</v>
      </c>
      <c r="D6" s="23">
        <v>90097.536992688561</v>
      </c>
      <c r="E6" s="33">
        <v>1.3276193749989029</v>
      </c>
      <c r="F6" s="5">
        <v>3</v>
      </c>
      <c r="G6" s="23">
        <v>90</v>
      </c>
      <c r="H6" s="33">
        <v>67.286447708212634</v>
      </c>
      <c r="I6" s="23">
        <v>32.563763935137693</v>
      </c>
      <c r="J6" s="5">
        <v>1829.515906049807</v>
      </c>
      <c r="K6" s="31"/>
      <c r="L6" s="23">
        <v>105673.7368603605</v>
      </c>
      <c r="M6" s="33">
        <v>1.773038540999551</v>
      </c>
      <c r="N6" s="5">
        <v>4</v>
      </c>
      <c r="O6" s="5">
        <v>73.333333333333329</v>
      </c>
      <c r="P6" s="33">
        <v>0</v>
      </c>
      <c r="Q6" s="5">
        <v>19.303103970074911</v>
      </c>
      <c r="R6" s="5">
        <v>1403.1403855957619</v>
      </c>
      <c r="S6" s="31"/>
      <c r="T6" s="23">
        <v>106598.31426168729</v>
      </c>
      <c r="U6" s="33">
        <v>1.2973738340006089</v>
      </c>
      <c r="V6" s="5">
        <v>3</v>
      </c>
      <c r="W6" s="5">
        <v>80</v>
      </c>
      <c r="X6" s="33">
        <v>182.4228533131276</v>
      </c>
      <c r="Y6" s="5">
        <v>42.224695625200347</v>
      </c>
      <c r="Z6" s="5">
        <v>2136.336121266123</v>
      </c>
      <c r="AA6" s="35"/>
    </row>
    <row r="7" spans="2:27" x14ac:dyDescent="0.2">
      <c r="B7" s="4">
        <v>4</v>
      </c>
      <c r="C7" s="4">
        <v>212</v>
      </c>
      <c r="D7" s="23">
        <v>90150.653003529544</v>
      </c>
      <c r="E7" s="33">
        <v>1.1606951670000849</v>
      </c>
      <c r="F7" s="5">
        <v>3</v>
      </c>
      <c r="G7" s="23">
        <v>90</v>
      </c>
      <c r="H7" s="33">
        <v>66.767156884340409</v>
      </c>
      <c r="I7" s="23">
        <v>32.877129607808435</v>
      </c>
      <c r="J7" s="5">
        <v>1826.6598065185101</v>
      </c>
      <c r="K7" s="31"/>
      <c r="L7" s="23">
        <v>107351.953978604</v>
      </c>
      <c r="M7" s="33">
        <v>0.86847591699915938</v>
      </c>
      <c r="N7" s="5">
        <v>4</v>
      </c>
      <c r="O7" s="5">
        <v>73.333333333333329</v>
      </c>
      <c r="P7" s="33">
        <v>14.65975099439637</v>
      </c>
      <c r="Q7" s="5">
        <v>20.139755239945409</v>
      </c>
      <c r="R7" s="5">
        <v>1493.5417599385501</v>
      </c>
      <c r="S7" s="31"/>
      <c r="T7" s="23">
        <v>103300.39323761511</v>
      </c>
      <c r="U7" s="33">
        <v>2.011122958996566</v>
      </c>
      <c r="V7" s="5">
        <v>3</v>
      </c>
      <c r="W7" s="5">
        <v>80</v>
      </c>
      <c r="X7" s="33">
        <v>69.38984003411926</v>
      </c>
      <c r="Y7" s="5">
        <v>40.852036971254009</v>
      </c>
      <c r="Z7" s="5">
        <v>2047.870575154529</v>
      </c>
      <c r="AA7" s="35"/>
    </row>
    <row r="8" spans="2:27" x14ac:dyDescent="0.2">
      <c r="B8" s="4">
        <v>5</v>
      </c>
      <c r="C8" s="4">
        <v>230</v>
      </c>
      <c r="D8" s="23">
        <v>89915.36020448005</v>
      </c>
      <c r="E8" s="33">
        <v>1.430222791001142</v>
      </c>
      <c r="F8" s="5">
        <v>3</v>
      </c>
      <c r="G8" s="23">
        <v>90</v>
      </c>
      <c r="H8" s="33">
        <v>68.619509659669333</v>
      </c>
      <c r="I8" s="23">
        <v>32.661006902526289</v>
      </c>
      <c r="J8" s="5">
        <v>1835.5146848313623</v>
      </c>
      <c r="K8" s="31"/>
      <c r="L8" s="23">
        <v>103395.8593328503</v>
      </c>
      <c r="M8" s="33">
        <v>0.92130079199705506</v>
      </c>
      <c r="N8" s="5">
        <v>3</v>
      </c>
      <c r="O8" s="5">
        <v>66.666666666666671</v>
      </c>
      <c r="P8" s="33">
        <v>16.125726093836011</v>
      </c>
      <c r="Q8" s="5">
        <v>19.83012378970253</v>
      </c>
      <c r="R8" s="5">
        <v>1341.482602795259</v>
      </c>
      <c r="S8" s="31"/>
      <c r="T8" s="23">
        <v>103300.39323761511</v>
      </c>
      <c r="U8" s="33">
        <v>1.740406417000486</v>
      </c>
      <c r="V8" s="5">
        <v>3</v>
      </c>
      <c r="W8" s="5">
        <v>80</v>
      </c>
      <c r="X8" s="33">
        <v>69.38984003411926</v>
      </c>
      <c r="Y8" s="5">
        <v>40.852036971254009</v>
      </c>
      <c r="Z8" s="5">
        <v>2047.870575154529</v>
      </c>
      <c r="AA8" s="35"/>
    </row>
    <row r="9" spans="2:27" x14ac:dyDescent="0.2">
      <c r="B9" s="4">
        <v>6</v>
      </c>
      <c r="C9" s="4">
        <v>393</v>
      </c>
      <c r="D9" s="23">
        <v>89915.36020448005</v>
      </c>
      <c r="E9" s="33">
        <v>1.5052377079991861</v>
      </c>
      <c r="F9" s="5">
        <v>3</v>
      </c>
      <c r="G9" s="23">
        <v>90</v>
      </c>
      <c r="H9" s="33">
        <v>68.619509659669333</v>
      </c>
      <c r="I9" s="23">
        <v>32.661006902526289</v>
      </c>
      <c r="J9" s="5">
        <v>1835.5146848313623</v>
      </c>
      <c r="K9" s="31"/>
      <c r="L9" s="23">
        <v>103051.7158705187</v>
      </c>
      <c r="M9" s="33">
        <v>1.471665583001595</v>
      </c>
      <c r="N9" s="5">
        <v>4</v>
      </c>
      <c r="O9" s="5">
        <v>80</v>
      </c>
      <c r="P9" s="33">
        <v>21.809095408595979</v>
      </c>
      <c r="Q9" s="5">
        <v>20.959120391776921</v>
      </c>
      <c r="R9" s="5">
        <v>1591.6540207295379</v>
      </c>
      <c r="S9" s="31"/>
      <c r="T9" s="23">
        <v>102910.8817070123</v>
      </c>
      <c r="U9" s="33">
        <v>2.2606427500031709</v>
      </c>
      <c r="V9" s="5">
        <v>3</v>
      </c>
      <c r="W9" s="5">
        <v>76.666666666666671</v>
      </c>
      <c r="X9" s="33">
        <v>58.144926832172203</v>
      </c>
      <c r="Y9" s="5">
        <v>38.689959566458157</v>
      </c>
      <c r="Z9" s="5">
        <v>1912.695228226984</v>
      </c>
      <c r="AA9" s="35"/>
    </row>
    <row r="10" spans="2:27" x14ac:dyDescent="0.2">
      <c r="B10" s="4">
        <v>7</v>
      </c>
      <c r="C10" s="4">
        <v>643</v>
      </c>
      <c r="D10" s="23">
        <v>89915.36020448005</v>
      </c>
      <c r="E10" s="33">
        <v>1.862881500001095</v>
      </c>
      <c r="F10" s="5">
        <v>3</v>
      </c>
      <c r="G10" s="23">
        <v>90</v>
      </c>
      <c r="H10" s="33">
        <v>68.619509659669333</v>
      </c>
      <c r="I10" s="23">
        <v>32.661006902526289</v>
      </c>
      <c r="J10" s="5">
        <v>1835.5146848313623</v>
      </c>
      <c r="K10" s="31"/>
      <c r="L10" s="23">
        <v>104400.09071616649</v>
      </c>
      <c r="M10" s="33">
        <v>0.94786995799950091</v>
      </c>
      <c r="N10" s="5">
        <v>3</v>
      </c>
      <c r="O10" s="5">
        <v>66.666666666666671</v>
      </c>
      <c r="P10" s="33">
        <v>16.125726093836011</v>
      </c>
      <c r="Q10" s="5">
        <v>22.462840865930751</v>
      </c>
      <c r="R10" s="5">
        <v>1423.56582149307</v>
      </c>
      <c r="S10" s="31"/>
      <c r="T10" s="23">
        <v>104467.353275385</v>
      </c>
      <c r="U10" s="33">
        <v>1.411054500000319</v>
      </c>
      <c r="V10" s="5">
        <v>3</v>
      </c>
      <c r="W10" s="5">
        <v>80</v>
      </c>
      <c r="X10" s="33">
        <v>90.312021406668237</v>
      </c>
      <c r="Y10" s="5">
        <v>42.43562495190082</v>
      </c>
      <c r="Z10" s="5">
        <v>2089.1343619192339</v>
      </c>
      <c r="AA10" s="35"/>
    </row>
    <row r="11" spans="2:27" x14ac:dyDescent="0.2">
      <c r="B11" s="4">
        <v>8</v>
      </c>
      <c r="C11" s="4">
        <v>723</v>
      </c>
      <c r="D11" s="23">
        <v>90097.536992688561</v>
      </c>
      <c r="E11" s="33">
        <v>1.3133788749983071</v>
      </c>
      <c r="F11" s="5">
        <v>3</v>
      </c>
      <c r="G11" s="23">
        <v>90</v>
      </c>
      <c r="H11" s="33">
        <v>67.286447708212634</v>
      </c>
      <c r="I11" s="23">
        <v>32.563763935137693</v>
      </c>
      <c r="J11" s="5">
        <v>1829.515906049807</v>
      </c>
      <c r="K11" s="31"/>
      <c r="L11" s="23">
        <v>103867.2955477026</v>
      </c>
      <c r="M11" s="33">
        <v>1.515488584002014</v>
      </c>
      <c r="N11" s="5">
        <v>4</v>
      </c>
      <c r="O11" s="5">
        <v>76.666666666666671</v>
      </c>
      <c r="P11" s="33">
        <v>40.176025253191931</v>
      </c>
      <c r="Q11" s="5">
        <v>19.710520690507309</v>
      </c>
      <c r="R11" s="5">
        <v>1457.692374897485</v>
      </c>
      <c r="S11" s="31"/>
      <c r="T11" s="23">
        <v>102910.8817070123</v>
      </c>
      <c r="U11" s="33">
        <v>1.938964791999751</v>
      </c>
      <c r="V11" s="5">
        <v>3</v>
      </c>
      <c r="W11" s="5">
        <v>76.666666666666671</v>
      </c>
      <c r="X11" s="33">
        <v>58.144926832172203</v>
      </c>
      <c r="Y11" s="5">
        <v>38.689959566458157</v>
      </c>
      <c r="Z11" s="5">
        <v>1912.695228226984</v>
      </c>
      <c r="AA11" s="35"/>
    </row>
    <row r="12" spans="2:27" x14ac:dyDescent="0.2">
      <c r="B12" s="4">
        <v>9</v>
      </c>
      <c r="C12" s="4">
        <v>865</v>
      </c>
      <c r="D12" s="23">
        <v>89866.355749144073</v>
      </c>
      <c r="E12" s="33">
        <v>1.884248542002751</v>
      </c>
      <c r="F12" s="5">
        <v>3</v>
      </c>
      <c r="G12" s="23">
        <v>90</v>
      </c>
      <c r="H12" s="33">
        <v>67.346991821188013</v>
      </c>
      <c r="I12" s="23">
        <v>32.64738230806234</v>
      </c>
      <c r="J12" s="5">
        <v>1835.2067967906503</v>
      </c>
      <c r="K12" s="31"/>
      <c r="L12" s="23">
        <v>104487.6257535</v>
      </c>
      <c r="M12" s="33">
        <v>1.3182247090007879</v>
      </c>
      <c r="N12" s="5">
        <v>4</v>
      </c>
      <c r="O12" s="5">
        <v>76.666666666666671</v>
      </c>
      <c r="P12" s="33">
        <v>8.734946431721017</v>
      </c>
      <c r="Q12" s="5">
        <v>20.138807891776921</v>
      </c>
      <c r="R12" s="5">
        <v>1511.0424957854459</v>
      </c>
      <c r="S12" s="31"/>
      <c r="T12" s="23">
        <v>103580.71831487759</v>
      </c>
      <c r="U12" s="33">
        <v>2.396412250000139</v>
      </c>
      <c r="V12" s="5">
        <v>3</v>
      </c>
      <c r="W12" s="5">
        <v>76.666666666666671</v>
      </c>
      <c r="X12" s="33">
        <v>85.124756426232054</v>
      </c>
      <c r="Y12" s="5">
        <v>39.729811031066902</v>
      </c>
      <c r="Z12" s="5">
        <v>1958.5690146347511</v>
      </c>
      <c r="AA12" s="35"/>
    </row>
    <row r="13" spans="2:27" x14ac:dyDescent="0.2">
      <c r="B13" s="4">
        <v>10</v>
      </c>
      <c r="C13" s="4">
        <v>982</v>
      </c>
      <c r="D13" s="23">
        <v>89866.355749144073</v>
      </c>
      <c r="E13" s="33">
        <v>1.3595201659991289</v>
      </c>
      <c r="F13" s="5">
        <v>3</v>
      </c>
      <c r="G13" s="23">
        <v>90</v>
      </c>
      <c r="H13" s="33">
        <v>67.346991821188013</v>
      </c>
      <c r="I13" s="23">
        <v>32.64738230806234</v>
      </c>
      <c r="J13" s="5">
        <v>1835.2067967906503</v>
      </c>
      <c r="K13" s="31"/>
      <c r="L13" s="23">
        <v>104745.1321497618</v>
      </c>
      <c r="M13" s="33">
        <v>1.2856916669989</v>
      </c>
      <c r="N13" s="5">
        <v>4</v>
      </c>
      <c r="O13" s="5">
        <v>76.666666666666671</v>
      </c>
      <c r="P13" s="33">
        <v>31.2993645004711</v>
      </c>
      <c r="Q13" s="5">
        <v>20.781165761455782</v>
      </c>
      <c r="R13" s="5">
        <v>1535.4604192639631</v>
      </c>
      <c r="S13" s="31"/>
      <c r="T13" s="23">
        <v>102910.8817070123</v>
      </c>
      <c r="U13" s="33">
        <v>1.962252708002779</v>
      </c>
      <c r="V13" s="5">
        <v>3</v>
      </c>
      <c r="W13" s="5">
        <v>76.666666666666671</v>
      </c>
      <c r="X13" s="33">
        <v>58.144926832172203</v>
      </c>
      <c r="Y13" s="5">
        <v>38.689959566458157</v>
      </c>
      <c r="Z13" s="5">
        <v>1912.695228226984</v>
      </c>
      <c r="AA13" s="35"/>
    </row>
    <row r="14" spans="2:27" x14ac:dyDescent="0.2">
      <c r="B14" s="46" t="s">
        <v>3</v>
      </c>
      <c r="C14" s="47"/>
      <c r="D14" s="9">
        <f>MIN(D4:D13)</f>
        <v>89866.355749144073</v>
      </c>
      <c r="E14" s="22">
        <f>INDEX(E4:E13, MATCH($D$14, D4:D13, 0))</f>
        <v>1.884248542002751</v>
      </c>
      <c r="F14" s="9">
        <f>INDEX(F4:F13, MATCH($D$14, D4:D13, 0))</f>
        <v>3</v>
      </c>
      <c r="G14" s="9">
        <f>INDEX(G4:G13, MATCH($D$14, D4:D13, 0))</f>
        <v>90</v>
      </c>
      <c r="H14" s="22">
        <f>INDEX(H4:H13, MATCH($D$14, D4:D13, 0))</f>
        <v>67.346991821188013</v>
      </c>
      <c r="I14" s="22">
        <f>INDEX(I4:I13, MATCH($D$14, D4:D13, 0))</f>
        <v>32.64738230806234</v>
      </c>
      <c r="J14" s="22">
        <f>INDEX(J4:J13, MATCH($D$14, D4:D13, 0))</f>
        <v>1835.2067967906503</v>
      </c>
      <c r="K14" s="32">
        <f>(D14-$D$15)/$D$15</f>
        <v>0</v>
      </c>
      <c r="L14" s="16">
        <f>MIN(L4:L13)</f>
        <v>103051.7158705187</v>
      </c>
      <c r="M14" s="21">
        <f>INDEX(M4:M13, MATCH($L$14, L4:L13, 0))</f>
        <v>1.471665583001595</v>
      </c>
      <c r="N14" s="16">
        <f>INDEX(N4:N13, MATCH($L$14, L4:L13, 0))</f>
        <v>4</v>
      </c>
      <c r="O14" s="16">
        <f>INDEX(O4:O13, MATCH($L$14, L4:L13, 0))</f>
        <v>80</v>
      </c>
      <c r="P14" s="21">
        <f>INDEX(P4:P13, MATCH($L$14, L4:L13, 0))</f>
        <v>21.809095408595979</v>
      </c>
      <c r="Q14" s="21">
        <f>INDEX(Q4:Q13, MATCH($L$14, L4:L13, 0))</f>
        <v>20.959120391776921</v>
      </c>
      <c r="R14" s="21">
        <f>INDEX(R4:R13, MATCH($L$14, L4:L13, 0))</f>
        <v>1591.6540207295379</v>
      </c>
      <c r="S14" s="36">
        <f>(L14-$D$15)/$D$15</f>
        <v>0.14672187395893388</v>
      </c>
      <c r="T14" s="38">
        <f>MIN(T4:T13)</f>
        <v>102910.8817070123</v>
      </c>
      <c r="U14" s="39">
        <f>INDEX(U4:U13, MATCH($T$14, T4:T13, 0))</f>
        <v>2.2606427500031709</v>
      </c>
      <c r="V14" s="38">
        <f>INDEX(V4:V13, MATCH($T$14, T4:T13, 0))</f>
        <v>3</v>
      </c>
      <c r="W14" s="38">
        <f>INDEX(W4:W13, MATCH($T$14, T4:T13, 0))</f>
        <v>76.666666666666671</v>
      </c>
      <c r="X14" s="39">
        <f>INDEX(X4:X13, MATCH($T$14, T4:T13, 0))</f>
        <v>58.144926832172203</v>
      </c>
      <c r="Y14" s="39">
        <f>INDEX(Y4:Y13, MATCH($T$14, T4:T13, 0))</f>
        <v>38.689959566458157</v>
      </c>
      <c r="Z14" s="39">
        <f>INDEX(Z4:Z13, MATCH($T$14, T4:T13, 0))</f>
        <v>1912.695228226984</v>
      </c>
      <c r="AA14" s="40">
        <f>(T14-$D$15)/$D$15</f>
        <v>0.14515472280061242</v>
      </c>
    </row>
    <row r="15" spans="2:27" x14ac:dyDescent="0.2">
      <c r="C15" s="1" t="s">
        <v>17</v>
      </c>
      <c r="D15" s="34">
        <v>89866.355749144073</v>
      </c>
      <c r="E15" s="3"/>
      <c r="F15" s="3"/>
      <c r="G15" s="3"/>
      <c r="H15" s="3"/>
      <c r="I15" s="3"/>
      <c r="J15" s="3"/>
      <c r="K15" s="3"/>
      <c r="L15" s="34"/>
      <c r="T15" s="34"/>
    </row>
    <row r="16" spans="2:27" x14ac:dyDescent="0.2">
      <c r="D16" s="2"/>
    </row>
    <row r="17" spans="4:4" x14ac:dyDescent="0.2">
      <c r="D17" s="2"/>
    </row>
  </sheetData>
  <mergeCells count="1">
    <mergeCell ref="B14:C14"/>
  </mergeCells>
  <conditionalFormatting sqref="C1:C13 C15:C16 C28:C1048576">
    <cfRule type="duplicateValues" dxfId="73" priority="11"/>
    <cfRule type="duplicateValues" dxfId="72" priority="12"/>
  </conditionalFormatting>
  <conditionalFormatting sqref="C14">
    <cfRule type="duplicateValues" dxfId="71" priority="5"/>
    <cfRule type="duplicateValues" dxfId="70" priority="6"/>
  </conditionalFormatting>
  <conditionalFormatting sqref="C18:C27">
    <cfRule type="duplicateValues" dxfId="3" priority="3"/>
    <cfRule type="duplicateValues" dxfId="2" priority="4"/>
  </conditionalFormatting>
  <conditionalFormatting sqref="C1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692B1-22D1-5B40-A372-3E21EF5CF739}">
  <dimension ref="B3:I14"/>
  <sheetViews>
    <sheetView zoomScale="125" workbookViewId="0">
      <selection activeCell="I4" sqref="I4"/>
    </sheetView>
  </sheetViews>
  <sheetFormatPr baseColWidth="10" defaultRowHeight="16" x14ac:dyDescent="0.2"/>
  <cols>
    <col min="4" max="6" width="16.6640625" customWidth="1"/>
  </cols>
  <sheetData>
    <row r="3" spans="2:9" x14ac:dyDescent="0.2">
      <c r="B3" s="8" t="s">
        <v>2</v>
      </c>
      <c r="C3" s="8" t="s">
        <v>4</v>
      </c>
      <c r="D3" s="8" t="s">
        <v>0</v>
      </c>
      <c r="E3" s="8" t="s">
        <v>5</v>
      </c>
      <c r="F3" s="8" t="s">
        <v>1</v>
      </c>
      <c r="G3" s="8" t="s">
        <v>6</v>
      </c>
    </row>
    <row r="4" spans="2:9" x14ac:dyDescent="0.2">
      <c r="B4" s="4">
        <v>1</v>
      </c>
      <c r="C4" s="4"/>
      <c r="D4" s="12" t="e" cm="1">
        <f t="array" aca="1" ref="D4" ca="1">INDIRECT("'[results" &amp; $C4 &amp; ".xlsx]Objective'!$A$2")</f>
        <v>#REF!</v>
      </c>
      <c r="E4" s="7" t="e" cm="1">
        <f t="array" aca="1" ref="E4" ca="1">INDIRECT("'[results" &amp; $C4 &amp; ".xlsx]Optimization_Time'!$A$2")</f>
        <v>#REF!</v>
      </c>
      <c r="F4" s="7" t="e" cm="1">
        <f t="array" aca="1" ref="F4" ca="1">INDIRECT("'[results" &amp; $C4 &amp; ".xlsx]Optimality_Gap'!$A$2")</f>
        <v>#REF!</v>
      </c>
      <c r="G4" s="7" t="e" cm="1">
        <f t="array" aca="1" ref="G4" ca="1">INDIRECT("'[results" &amp; $C4 &amp; ".xlsx]Optimality_Status'!$A$2")</f>
        <v>#REF!</v>
      </c>
      <c r="H4" s="1" t="e" cm="1">
        <f t="array" aca="1" ref="H4" ca="1">INDIRECT("'[Results SA - 15-2-3.xlsx]results" &amp; C4 &amp; "'!$D$15")</f>
        <v>#REF!</v>
      </c>
      <c r="I4" s="14" t="e" cm="1">
        <f t="array" aca="1" ref="I4" ca="1">INDIRECT("'[Results SA - 15-2-3.xlsx]results" &amp; C4 &amp; "'!$E$15")</f>
        <v>#REF!</v>
      </c>
    </row>
    <row r="5" spans="2:9" x14ac:dyDescent="0.2">
      <c r="B5" s="4">
        <v>2</v>
      </c>
      <c r="C5" s="4"/>
      <c r="D5" s="12" t="e" cm="1">
        <f t="array" aca="1" ref="D5" ca="1">INDIRECT("'[results" &amp; $C5 &amp; ".xlsx]Objective'!$A$2")</f>
        <v>#REF!</v>
      </c>
      <c r="E5" s="7" t="e" cm="1">
        <f t="array" aca="1" ref="E5" ca="1">INDIRECT("'[results" &amp; $C5 &amp; ".xlsx]Optimization_Time'!$A$2")</f>
        <v>#REF!</v>
      </c>
      <c r="F5" s="7" t="e" cm="1">
        <f t="array" aca="1" ref="F5" ca="1">INDIRECT("'[results" &amp; $C5 &amp; ".xlsx]Optimality_Gap'!$A$2")</f>
        <v>#REF!</v>
      </c>
      <c r="G5" s="7" t="e" cm="1">
        <f t="array" aca="1" ref="G5" ca="1">INDIRECT("'[results" &amp; $C5 &amp; ".xlsx]Optimality_Status'!$A$2")</f>
        <v>#REF!</v>
      </c>
    </row>
    <row r="6" spans="2:9" x14ac:dyDescent="0.2">
      <c r="B6" s="4">
        <v>3</v>
      </c>
      <c r="C6" s="4"/>
      <c r="D6" s="12" t="e" cm="1">
        <f t="array" aca="1" ref="D6" ca="1">INDIRECT("'[results" &amp; $C6 &amp; ".xlsx]Objective'!$A$2")</f>
        <v>#REF!</v>
      </c>
      <c r="E6" s="7" t="e" cm="1">
        <f t="array" aca="1" ref="E6" ca="1">INDIRECT("'[results" &amp; $C6 &amp; ".xlsx]Optimization_Time'!$A$2")</f>
        <v>#REF!</v>
      </c>
      <c r="F6" s="7" t="e" cm="1">
        <f t="array" aca="1" ref="F6" ca="1">INDIRECT("'[results" &amp; $C6 &amp; ".xlsx]Optimality_Gap'!$A$2")</f>
        <v>#REF!</v>
      </c>
      <c r="G6" s="7" t="e" cm="1">
        <f t="array" aca="1" ref="G6" ca="1">INDIRECT("'[results" &amp; $C6 &amp; ".xlsx]Optimality_Status'!$A$2")</f>
        <v>#REF!</v>
      </c>
    </row>
    <row r="7" spans="2:9" x14ac:dyDescent="0.2">
      <c r="B7" s="4">
        <v>4</v>
      </c>
      <c r="C7" s="4"/>
      <c r="D7" s="12" t="e" cm="1">
        <f t="array" aca="1" ref="D7" ca="1">INDIRECT("'[results" &amp; $C7 &amp; ".xlsx]Objective'!$A$2")</f>
        <v>#REF!</v>
      </c>
      <c r="E7" s="7" t="e" cm="1">
        <f t="array" aca="1" ref="E7" ca="1">INDIRECT("'[results" &amp; $C7 &amp; ".xlsx]Optimization_Time'!$A$2")</f>
        <v>#REF!</v>
      </c>
      <c r="F7" s="7" t="e" cm="1">
        <f t="array" aca="1" ref="F7" ca="1">INDIRECT("'[results" &amp; $C7 &amp; ".xlsx]Optimality_Gap'!$A$2")</f>
        <v>#REF!</v>
      </c>
      <c r="G7" s="7" t="e" cm="1">
        <f t="array" aca="1" ref="G7" ca="1">INDIRECT("'[results" &amp; $C7 &amp; ".xlsx]Optimality_Status'!$A$2")</f>
        <v>#REF!</v>
      </c>
    </row>
    <row r="8" spans="2:9" x14ac:dyDescent="0.2">
      <c r="B8" s="4">
        <v>5</v>
      </c>
      <c r="C8" s="4"/>
      <c r="D8" s="12" t="e" cm="1">
        <f t="array" aca="1" ref="D8" ca="1">INDIRECT("'[results" &amp; $C8 &amp; ".xlsx]Objective'!$A$2")</f>
        <v>#REF!</v>
      </c>
      <c r="E8" s="7" t="e" cm="1">
        <f t="array" aca="1" ref="E8" ca="1">INDIRECT("'[results" &amp; $C8 &amp; ".xlsx]Optimization_Time'!$A$2")</f>
        <v>#REF!</v>
      </c>
      <c r="F8" s="7" t="e" cm="1">
        <f t="array" aca="1" ref="F8" ca="1">INDIRECT("'[results" &amp; $C8 &amp; ".xlsx]Optimality_Gap'!$A$2")</f>
        <v>#REF!</v>
      </c>
      <c r="G8" s="7" t="e" cm="1">
        <f t="array" aca="1" ref="G8" ca="1">INDIRECT("'[results" &amp; $C8 &amp; ".xlsx]Optimality_Status'!$A$2")</f>
        <v>#REF!</v>
      </c>
    </row>
    <row r="9" spans="2:9" x14ac:dyDescent="0.2">
      <c r="B9" s="4">
        <v>6</v>
      </c>
      <c r="C9" s="4"/>
      <c r="D9" s="12" t="e" cm="1">
        <f t="array" aca="1" ref="D9" ca="1">INDIRECT("'[results" &amp; $C9 &amp; ".xlsx]Objective'!$A$2")</f>
        <v>#REF!</v>
      </c>
      <c r="E9" s="7" t="e" cm="1">
        <f t="array" aca="1" ref="E9" ca="1">INDIRECT("'[results" &amp; $C9 &amp; ".xlsx]Optimization_Time'!$A$2")</f>
        <v>#REF!</v>
      </c>
      <c r="F9" s="7" t="e" cm="1">
        <f t="array" aca="1" ref="F9" ca="1">INDIRECT("'[results" &amp; $C9 &amp; ".xlsx]Optimality_Gap'!$A$2")</f>
        <v>#REF!</v>
      </c>
      <c r="G9" s="7" t="e" cm="1">
        <f t="array" aca="1" ref="G9" ca="1">INDIRECT("'[results" &amp; $C9 &amp; ".xlsx]Optimality_Status'!$A$2")</f>
        <v>#REF!</v>
      </c>
    </row>
    <row r="10" spans="2:9" x14ac:dyDescent="0.2">
      <c r="B10" s="4">
        <v>7</v>
      </c>
      <c r="C10" s="4"/>
      <c r="D10" s="12" t="e" cm="1">
        <f t="array" aca="1" ref="D10" ca="1">INDIRECT("'[results" &amp; $C10 &amp; ".xlsx]Objective'!$A$2")</f>
        <v>#REF!</v>
      </c>
      <c r="E10" s="7" t="e" cm="1">
        <f t="array" aca="1" ref="E10" ca="1">INDIRECT("'[results" &amp; $C10 &amp; ".xlsx]Optimization_Time'!$A$2")</f>
        <v>#REF!</v>
      </c>
      <c r="F10" s="7" t="e" cm="1">
        <f t="array" aca="1" ref="F10" ca="1">INDIRECT("'[results" &amp; $C10 &amp; ".xlsx]Optimality_Gap'!$A$2")</f>
        <v>#REF!</v>
      </c>
      <c r="G10" s="7" t="e" cm="1">
        <f t="array" aca="1" ref="G10" ca="1">INDIRECT("'[results" &amp; $C10 &amp; ".xlsx]Optimality_Status'!$A$2")</f>
        <v>#REF!</v>
      </c>
    </row>
    <row r="11" spans="2:9" x14ac:dyDescent="0.2">
      <c r="B11" s="4">
        <v>8</v>
      </c>
      <c r="C11" s="4"/>
      <c r="D11" s="12" t="e" cm="1">
        <f t="array" aca="1" ref="D11" ca="1">INDIRECT("'[results" &amp; $C11 &amp; ".xlsx]Objective'!$A$2")</f>
        <v>#REF!</v>
      </c>
      <c r="E11" s="7" t="e" cm="1">
        <f t="array" aca="1" ref="E11" ca="1">INDIRECT("'[results" &amp; $C11 &amp; ".xlsx]Optimization_Time'!$A$2")</f>
        <v>#REF!</v>
      </c>
      <c r="F11" s="7" t="e" cm="1">
        <f t="array" aca="1" ref="F11" ca="1">INDIRECT("'[results" &amp; $C11 &amp; ".xlsx]Optimality_Gap'!$A$2")</f>
        <v>#REF!</v>
      </c>
      <c r="G11" s="7" t="e" cm="1">
        <f t="array" aca="1" ref="G11" ca="1">INDIRECT("'[results" &amp; $C11 &amp; ".xlsx]Optimality_Status'!$A$2")</f>
        <v>#REF!</v>
      </c>
    </row>
    <row r="12" spans="2:9" x14ac:dyDescent="0.2">
      <c r="B12" s="4">
        <v>9</v>
      </c>
      <c r="C12" s="4"/>
      <c r="D12" s="12" t="e" cm="1">
        <f t="array" aca="1" ref="D12" ca="1">INDIRECT("'[results" &amp; $C12 &amp; ".xlsx]Objective'!$A$2")</f>
        <v>#REF!</v>
      </c>
      <c r="E12" s="7" t="e" cm="1">
        <f t="array" aca="1" ref="E12" ca="1">INDIRECT("'[results" &amp; $C12 &amp; ".xlsx]Optimization_Time'!$A$2")</f>
        <v>#REF!</v>
      </c>
      <c r="F12" s="7" t="e" cm="1">
        <f t="array" aca="1" ref="F12" ca="1">INDIRECT("'[results" &amp; $C12 &amp; ".xlsx]Optimality_Gap'!$A$2")</f>
        <v>#REF!</v>
      </c>
      <c r="G12" s="7" t="e" cm="1">
        <f t="array" aca="1" ref="G12" ca="1">INDIRECT("'[results" &amp; $C12 &amp; ".xlsx]Optimality_Status'!$A$2")</f>
        <v>#REF!</v>
      </c>
    </row>
    <row r="13" spans="2:9" x14ac:dyDescent="0.2">
      <c r="B13" s="4">
        <v>10</v>
      </c>
      <c r="C13" s="4"/>
      <c r="D13" s="12" t="e" cm="1">
        <f t="array" aca="1" ref="D13" ca="1">INDIRECT("'[results" &amp; $C13 &amp; ".xlsx]Objective'!$A$2")</f>
        <v>#REF!</v>
      </c>
      <c r="E13" s="7" t="e" cm="1">
        <f t="array" aca="1" ref="E13" ca="1">INDIRECT("'[results" &amp; $C13 &amp; ".xlsx]Optimization_Time'!$A$2")</f>
        <v>#REF!</v>
      </c>
      <c r="F13" s="7" t="e" cm="1">
        <f t="array" aca="1" ref="F13" ca="1">INDIRECT("'[results" &amp; $C13 &amp; ".xlsx]Optimality_Gap'!$A$2")</f>
        <v>#REF!</v>
      </c>
      <c r="G13" s="7" t="e" cm="1">
        <f t="array" aca="1" ref="G13" ca="1">INDIRECT("'[results" &amp; $C13 &amp; ".xlsx]Optimality_Status'!$A$2")</f>
        <v>#REF!</v>
      </c>
    </row>
    <row r="14" spans="2:9" x14ac:dyDescent="0.2">
      <c r="B14" s="46" t="s">
        <v>3</v>
      </c>
      <c r="C14" s="47" t="s">
        <v>3</v>
      </c>
      <c r="D14" s="9" t="e">
        <f ca="1">AVERAGE(D4:D13)</f>
        <v>#REF!</v>
      </c>
      <c r="E14" s="10" t="e">
        <f ca="1">AVERAGE(E4:E13)</f>
        <v>#REF!</v>
      </c>
      <c r="F14" s="11" t="e">
        <f ca="1">AVERAGE(F4:F13)</f>
        <v>#REF!</v>
      </c>
    </row>
  </sheetData>
  <mergeCells count="1">
    <mergeCell ref="B14:C1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3F57-3A30-4A47-8A73-5AC3C4C1A3FE}">
  <dimension ref="B3:T17"/>
  <sheetViews>
    <sheetView zoomScale="118" zoomScaleNormal="120" workbookViewId="0">
      <selection activeCell="H16" sqref="H16"/>
    </sheetView>
  </sheetViews>
  <sheetFormatPr baseColWidth="10" defaultRowHeight="16" x14ac:dyDescent="0.2"/>
  <cols>
    <col min="1" max="1" width="4.3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5" style="1" bestFit="1" customWidth="1"/>
    <col min="13" max="13" width="12.6640625" style="1" bestFit="1" customWidth="1"/>
    <col min="14" max="14" width="10.83203125" style="1"/>
    <col min="15" max="16" width="13.33203125" style="1" bestFit="1" customWidth="1"/>
    <col min="17" max="17" width="19.33203125" style="1" bestFit="1" customWidth="1"/>
    <col min="18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5</v>
      </c>
      <c r="D4" s="12">
        <v>19241.290819999998</v>
      </c>
      <c r="E4" s="7">
        <v>9.0579987000000001E-3</v>
      </c>
      <c r="F4" s="19">
        <v>2</v>
      </c>
      <c r="G4" s="5">
        <v>1</v>
      </c>
      <c r="H4" s="7">
        <v>21469.399999999943</v>
      </c>
      <c r="I4" s="7">
        <v>0</v>
      </c>
      <c r="J4" s="7">
        <v>954.49813255853894</v>
      </c>
      <c r="K4" s="7">
        <v>0</v>
      </c>
      <c r="L4" s="4">
        <v>377</v>
      </c>
      <c r="M4" s="12">
        <v>17693.395359999999</v>
      </c>
      <c r="N4" s="7">
        <v>8.3689690000000004E-3</v>
      </c>
      <c r="O4" s="19">
        <v>2</v>
      </c>
      <c r="P4" s="5">
        <v>1</v>
      </c>
      <c r="Q4" s="7">
        <v>26785</v>
      </c>
      <c r="R4" s="7">
        <v>0</v>
      </c>
      <c r="S4" s="7">
        <v>1253.8423933873569</v>
      </c>
      <c r="T4" s="7">
        <v>0</v>
      </c>
    </row>
    <row r="5" spans="2:20" x14ac:dyDescent="0.2">
      <c r="B5" s="4">
        <v>2</v>
      </c>
      <c r="C5" s="4">
        <v>429</v>
      </c>
      <c r="D5" s="12">
        <v>28136.642790000002</v>
      </c>
      <c r="E5" s="7">
        <v>1.2848854099999999E-2</v>
      </c>
      <c r="F5" s="19">
        <v>2</v>
      </c>
      <c r="G5" s="5">
        <v>1</v>
      </c>
      <c r="H5" s="7">
        <v>24385</v>
      </c>
      <c r="I5" s="7">
        <v>0</v>
      </c>
      <c r="J5" s="7">
        <v>1139.2879741105539</v>
      </c>
      <c r="K5" s="7">
        <v>0</v>
      </c>
      <c r="L5" s="4">
        <v>133</v>
      </c>
      <c r="M5" s="12">
        <v>11388.14659</v>
      </c>
      <c r="N5" s="7">
        <v>6.8199634999999998E-3</v>
      </c>
      <c r="O5" s="19">
        <v>2</v>
      </c>
      <c r="P5" s="5">
        <v>5</v>
      </c>
      <c r="Q5" s="7">
        <v>37412</v>
      </c>
      <c r="R5" s="7">
        <v>0</v>
      </c>
      <c r="S5" s="7">
        <v>657.81330941668784</v>
      </c>
      <c r="T5" s="7">
        <v>0</v>
      </c>
    </row>
    <row r="6" spans="2:20" x14ac:dyDescent="0.2">
      <c r="B6" s="4">
        <v>3</v>
      </c>
      <c r="C6" s="4">
        <v>107</v>
      </c>
      <c r="D6" s="12">
        <v>26017.045989999999</v>
      </c>
      <c r="E6" s="7">
        <v>1.29659176E-2</v>
      </c>
      <c r="F6" s="19">
        <v>2</v>
      </c>
      <c r="G6" s="5">
        <v>2</v>
      </c>
      <c r="H6" s="7">
        <v>33990</v>
      </c>
      <c r="I6" s="7">
        <v>0</v>
      </c>
      <c r="J6" s="7">
        <v>601.89680959091652</v>
      </c>
      <c r="K6" s="7">
        <v>2.81E-3</v>
      </c>
      <c r="L6" s="4">
        <v>431</v>
      </c>
      <c r="M6" s="12">
        <v>13477.210440000001</v>
      </c>
      <c r="N6" s="7">
        <v>7.4539185000000001E-3</v>
      </c>
      <c r="O6" s="19">
        <v>2</v>
      </c>
      <c r="P6" s="5">
        <v>1</v>
      </c>
      <c r="Q6" s="7">
        <v>37611</v>
      </c>
      <c r="R6" s="7">
        <v>0</v>
      </c>
      <c r="S6" s="7">
        <v>879.39346722834466</v>
      </c>
      <c r="T6" s="7">
        <v>0</v>
      </c>
    </row>
    <row r="7" spans="2:20" x14ac:dyDescent="0.2">
      <c r="B7" s="4">
        <v>4</v>
      </c>
      <c r="C7" s="4">
        <v>185</v>
      </c>
      <c r="D7" s="12">
        <v>25202.35383</v>
      </c>
      <c r="E7" s="7">
        <v>3.1317949300000002E-2</v>
      </c>
      <c r="F7" s="19">
        <v>2</v>
      </c>
      <c r="G7" s="5">
        <v>2</v>
      </c>
      <c r="H7" s="7">
        <v>27452.400000000001</v>
      </c>
      <c r="I7" s="7">
        <v>0</v>
      </c>
      <c r="J7" s="7">
        <v>490.84403976283193</v>
      </c>
      <c r="K7" s="7">
        <v>0</v>
      </c>
      <c r="L7" s="4">
        <v>319</v>
      </c>
      <c r="M7" s="12">
        <v>20491.305629999999</v>
      </c>
      <c r="N7" s="7">
        <v>1.03929043E-2</v>
      </c>
      <c r="O7" s="19">
        <v>2</v>
      </c>
      <c r="P7" s="5">
        <v>2</v>
      </c>
      <c r="Q7" s="7">
        <v>38074</v>
      </c>
      <c r="R7" s="7">
        <v>0</v>
      </c>
      <c r="S7" s="7">
        <v>987.57108719398616</v>
      </c>
      <c r="T7" s="7">
        <v>0</v>
      </c>
    </row>
    <row r="8" spans="2:20" x14ac:dyDescent="0.2">
      <c r="B8" s="4">
        <v>5</v>
      </c>
      <c r="C8" s="4">
        <v>267</v>
      </c>
      <c r="D8" s="12">
        <v>26404.468250000002</v>
      </c>
      <c r="E8" s="7">
        <v>3.0615091300000001E-2</v>
      </c>
      <c r="F8" s="19">
        <v>2</v>
      </c>
      <c r="G8" s="5">
        <v>1</v>
      </c>
      <c r="H8" s="7">
        <v>28146.400000000001</v>
      </c>
      <c r="I8" s="7">
        <v>0</v>
      </c>
      <c r="J8" s="7">
        <v>1519.5001430868067</v>
      </c>
      <c r="K8" s="7">
        <v>0</v>
      </c>
      <c r="L8" s="4">
        <v>422</v>
      </c>
      <c r="M8" s="12">
        <v>16964.313419999999</v>
      </c>
      <c r="N8" s="7">
        <v>3.3550023999999998E-2</v>
      </c>
      <c r="O8" s="19">
        <v>2</v>
      </c>
      <c r="P8" s="5">
        <v>1</v>
      </c>
      <c r="Q8" s="7">
        <v>33765</v>
      </c>
      <c r="R8" s="7">
        <v>40.333830789278721</v>
      </c>
      <c r="S8" s="7">
        <v>1117.9240195059772</v>
      </c>
      <c r="T8" s="7">
        <v>0</v>
      </c>
    </row>
    <row r="9" spans="2:20" x14ac:dyDescent="0.2">
      <c r="B9" s="4">
        <v>6</v>
      </c>
      <c r="C9" s="4">
        <v>323</v>
      </c>
      <c r="D9" s="12">
        <v>28246.597099999999</v>
      </c>
      <c r="E9" s="7">
        <v>1.0510921499999999E-2</v>
      </c>
      <c r="F9" s="19">
        <v>2</v>
      </c>
      <c r="G9" s="5">
        <v>2</v>
      </c>
      <c r="H9" s="7">
        <v>30747.199999999961</v>
      </c>
      <c r="I9" s="7">
        <v>0</v>
      </c>
      <c r="J9" s="7">
        <v>368.04774446516222</v>
      </c>
      <c r="K9" s="7">
        <v>0</v>
      </c>
      <c r="L9" s="4">
        <v>919</v>
      </c>
      <c r="M9" s="12">
        <v>15330.535309999999</v>
      </c>
      <c r="N9" s="7">
        <v>3.0447006200000001E-2</v>
      </c>
      <c r="O9" s="19">
        <v>2</v>
      </c>
      <c r="P9" s="5">
        <v>0</v>
      </c>
      <c r="Q9" s="7">
        <v>20046</v>
      </c>
      <c r="R9" s="7">
        <v>0</v>
      </c>
      <c r="S9" s="7">
        <v>1494.6517187001261</v>
      </c>
      <c r="T9" s="7">
        <v>0</v>
      </c>
    </row>
    <row r="10" spans="2:20" x14ac:dyDescent="0.2">
      <c r="B10" s="4">
        <v>7</v>
      </c>
      <c r="C10" s="4">
        <v>326</v>
      </c>
      <c r="D10" s="12">
        <v>30678.150509999999</v>
      </c>
      <c r="E10" s="7">
        <v>3.0825853300000001E-2</v>
      </c>
      <c r="F10" s="19">
        <v>2</v>
      </c>
      <c r="G10" s="5">
        <v>2</v>
      </c>
      <c r="H10" s="7">
        <v>31285</v>
      </c>
      <c r="I10" s="7">
        <v>0</v>
      </c>
      <c r="J10" s="7">
        <v>535.60771272094746</v>
      </c>
      <c r="K10" s="7">
        <v>0</v>
      </c>
      <c r="L10" s="4">
        <v>416</v>
      </c>
      <c r="M10" s="12">
        <v>13650.364519999999</v>
      </c>
      <c r="N10" s="7">
        <v>2.1003007899999999E-2</v>
      </c>
      <c r="O10" s="19">
        <v>2</v>
      </c>
      <c r="P10" s="5">
        <v>1</v>
      </c>
      <c r="Q10" s="7">
        <v>38344</v>
      </c>
      <c r="R10" s="7">
        <v>0</v>
      </c>
      <c r="S10" s="7">
        <v>776.83258685503188</v>
      </c>
      <c r="T10" s="7">
        <v>0</v>
      </c>
    </row>
    <row r="11" spans="2:20" x14ac:dyDescent="0.2">
      <c r="B11" s="4">
        <v>8</v>
      </c>
      <c r="C11" s="4">
        <v>348</v>
      </c>
      <c r="D11" s="12">
        <v>29593.19486</v>
      </c>
      <c r="E11" s="7">
        <v>1.02541447E-2</v>
      </c>
      <c r="F11" s="19">
        <v>2</v>
      </c>
      <c r="G11" s="5">
        <v>1</v>
      </c>
      <c r="H11" s="7">
        <v>30135.599999999999</v>
      </c>
      <c r="I11" s="7">
        <v>0</v>
      </c>
      <c r="J11" s="7">
        <v>928.55983939500186</v>
      </c>
      <c r="K11" s="7">
        <v>2.48E-3</v>
      </c>
      <c r="L11" s="4">
        <v>800</v>
      </c>
      <c r="M11" s="12">
        <v>11733.15293</v>
      </c>
      <c r="N11" s="7">
        <v>1.47559643E-2</v>
      </c>
      <c r="O11" s="19">
        <v>2</v>
      </c>
      <c r="P11" s="5">
        <v>1</v>
      </c>
      <c r="Q11" s="7">
        <v>41776</v>
      </c>
      <c r="R11" s="7">
        <v>0</v>
      </c>
      <c r="S11" s="7">
        <v>608.96421461529985</v>
      </c>
      <c r="T11" s="7">
        <v>0</v>
      </c>
    </row>
    <row r="12" spans="2:20" x14ac:dyDescent="0.2">
      <c r="B12" s="4">
        <v>9</v>
      </c>
      <c r="C12" s="4">
        <v>690</v>
      </c>
      <c r="D12" s="12">
        <v>17130.002079999998</v>
      </c>
      <c r="E12" s="7">
        <v>9.1288089999999999E-3</v>
      </c>
      <c r="F12" s="19">
        <v>2</v>
      </c>
      <c r="G12" s="5">
        <v>1</v>
      </c>
      <c r="H12" s="7">
        <v>37386.400000000001</v>
      </c>
      <c r="I12" s="7">
        <v>0</v>
      </c>
      <c r="J12" s="7">
        <v>658.82757765364272</v>
      </c>
      <c r="K12" s="7">
        <v>0</v>
      </c>
      <c r="L12" s="4">
        <v>107</v>
      </c>
      <c r="M12" s="12">
        <v>16839.745989999999</v>
      </c>
      <c r="N12" s="7">
        <v>1.1364936799999999E-2</v>
      </c>
      <c r="O12" s="19">
        <v>2</v>
      </c>
      <c r="P12" s="5">
        <v>2</v>
      </c>
      <c r="Q12" s="7">
        <v>33990</v>
      </c>
      <c r="R12" s="7">
        <v>0</v>
      </c>
      <c r="S12" s="7">
        <v>601.89680959089958</v>
      </c>
      <c r="T12" s="7">
        <v>0</v>
      </c>
    </row>
    <row r="13" spans="2:20" x14ac:dyDescent="0.2">
      <c r="B13" s="4">
        <v>10</v>
      </c>
      <c r="C13" s="4">
        <v>953</v>
      </c>
      <c r="D13" s="12">
        <v>16079.40315</v>
      </c>
      <c r="E13" s="7">
        <v>7.3900223000000001E-3</v>
      </c>
      <c r="F13" s="19">
        <v>2</v>
      </c>
      <c r="G13" s="5">
        <v>1</v>
      </c>
      <c r="H13" s="7">
        <v>26858.6</v>
      </c>
      <c r="I13" s="7">
        <v>0</v>
      </c>
      <c r="J13" s="7">
        <v>502.93733710736433</v>
      </c>
      <c r="K13" s="7">
        <v>0</v>
      </c>
      <c r="L13" s="4">
        <v>562</v>
      </c>
      <c r="M13" s="12">
        <v>19084.65466</v>
      </c>
      <c r="N13" s="7">
        <v>1.21290684E-2</v>
      </c>
      <c r="O13" s="19">
        <v>2</v>
      </c>
      <c r="P13" s="5">
        <v>2</v>
      </c>
      <c r="Q13" s="7">
        <v>32306</v>
      </c>
      <c r="R13" s="7">
        <v>0</v>
      </c>
      <c r="S13" s="7">
        <v>861.74843252958794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24672.914937999998</v>
      </c>
      <c r="E14" s="22">
        <f>AVERAGE(E4:E13)</f>
        <v>1.6491556179999999E-2</v>
      </c>
      <c r="F14" s="20">
        <f t="shared" si="0"/>
        <v>2</v>
      </c>
      <c r="G14" s="11">
        <f t="shared" si="0"/>
        <v>1.4</v>
      </c>
      <c r="H14" s="9">
        <f t="shared" si="0"/>
        <v>29185.599999999988</v>
      </c>
      <c r="I14" s="13">
        <f t="shared" si="0"/>
        <v>0</v>
      </c>
      <c r="J14" s="13">
        <f t="shared" si="0"/>
        <v>770.00073104517674</v>
      </c>
      <c r="K14" s="11">
        <f t="shared" si="0"/>
        <v>5.2899999999999996E-4</v>
      </c>
      <c r="L14" s="16"/>
      <c r="M14" s="16">
        <f t="shared" ref="M14:T14" si="1">AVERAGE(M4:M13)</f>
        <v>15665.282485</v>
      </c>
      <c r="N14" s="21">
        <f t="shared" si="1"/>
        <v>1.5628576289999998E-2</v>
      </c>
      <c r="O14" s="18">
        <f t="shared" si="1"/>
        <v>2</v>
      </c>
      <c r="P14" s="18">
        <f t="shared" si="1"/>
        <v>1.6</v>
      </c>
      <c r="Q14" s="16">
        <f t="shared" si="1"/>
        <v>34010.9</v>
      </c>
      <c r="R14" s="17">
        <f t="shared" si="1"/>
        <v>4.033383078927872</v>
      </c>
      <c r="S14" s="17">
        <f t="shared" si="1"/>
        <v>924.06380390232994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67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6A87-BE04-CA4F-8898-08AC15FC33EF}">
  <dimension ref="B3:T17"/>
  <sheetViews>
    <sheetView zoomScaleNormal="120" workbookViewId="0">
      <selection activeCell="L4" sqref="L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3.33203125" style="1" bestFit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6</v>
      </c>
      <c r="D4" s="12">
        <v>33750.100319999998</v>
      </c>
      <c r="E4" s="7">
        <v>1.1272907299999999E-2</v>
      </c>
      <c r="F4" s="7">
        <v>2</v>
      </c>
      <c r="G4" s="5">
        <v>3</v>
      </c>
      <c r="H4" s="7">
        <v>32527</v>
      </c>
      <c r="I4" s="7">
        <v>0</v>
      </c>
      <c r="J4" s="7">
        <v>400.24682459016861</v>
      </c>
      <c r="K4" s="7">
        <v>0</v>
      </c>
      <c r="L4" s="23">
        <v>3</v>
      </c>
      <c r="M4" s="12">
        <v>24442.59748</v>
      </c>
      <c r="N4" s="7">
        <v>1.52242184E-2</v>
      </c>
      <c r="O4" s="7">
        <v>2</v>
      </c>
      <c r="P4" s="5">
        <v>3</v>
      </c>
      <c r="Q4" s="7">
        <v>37607</v>
      </c>
      <c r="R4" s="7">
        <v>13.281699584390001</v>
      </c>
      <c r="S4" s="7">
        <v>950.75826337513934</v>
      </c>
      <c r="T4" s="7">
        <v>0</v>
      </c>
    </row>
    <row r="5" spans="2:20" x14ac:dyDescent="0.2">
      <c r="B5" s="4">
        <v>2</v>
      </c>
      <c r="C5" s="4">
        <v>63</v>
      </c>
      <c r="D5" s="12">
        <v>34047.94472</v>
      </c>
      <c r="E5" s="7">
        <v>2.27048397E-2</v>
      </c>
      <c r="F5" s="7">
        <v>2</v>
      </c>
      <c r="G5" s="5">
        <v>3</v>
      </c>
      <c r="H5" s="7">
        <v>24572</v>
      </c>
      <c r="I5" s="7">
        <v>0</v>
      </c>
      <c r="J5" s="7">
        <v>1047.5775222221214</v>
      </c>
      <c r="K5" s="7">
        <v>0</v>
      </c>
      <c r="L5" s="23">
        <v>57</v>
      </c>
      <c r="M5" s="12">
        <v>22769.211070000001</v>
      </c>
      <c r="N5" s="7">
        <v>2.5321960399999999E-2</v>
      </c>
      <c r="O5" s="7">
        <v>2</v>
      </c>
      <c r="P5" s="5">
        <v>3</v>
      </c>
      <c r="Q5" s="7">
        <v>32233</v>
      </c>
      <c r="R5" s="7">
        <v>0</v>
      </c>
      <c r="S5" s="7">
        <v>729.77707694460992</v>
      </c>
      <c r="T5" s="7">
        <v>0</v>
      </c>
    </row>
    <row r="6" spans="2:20" x14ac:dyDescent="0.2">
      <c r="B6" s="4">
        <v>3</v>
      </c>
      <c r="C6" s="4">
        <v>67</v>
      </c>
      <c r="D6" s="12">
        <v>23629.436600000001</v>
      </c>
      <c r="E6" s="7">
        <v>7.4119568000000002E-3</v>
      </c>
      <c r="F6" s="7">
        <v>2</v>
      </c>
      <c r="G6" s="5">
        <v>2</v>
      </c>
      <c r="H6" s="7">
        <v>21945.599999999999</v>
      </c>
      <c r="I6" s="7">
        <v>0</v>
      </c>
      <c r="J6" s="7">
        <v>701.51479026252105</v>
      </c>
      <c r="K6" s="7">
        <v>0</v>
      </c>
      <c r="L6" s="23">
        <v>625</v>
      </c>
      <c r="M6" s="12">
        <v>19602.29594</v>
      </c>
      <c r="N6" s="7">
        <v>8.2261561999999993E-3</v>
      </c>
      <c r="O6" s="7">
        <v>2</v>
      </c>
      <c r="P6" s="5">
        <v>2</v>
      </c>
      <c r="Q6" s="7">
        <v>26831</v>
      </c>
      <c r="R6" s="7">
        <v>0</v>
      </c>
      <c r="S6" s="7">
        <v>973.55953372017029</v>
      </c>
      <c r="T6" s="7">
        <v>0</v>
      </c>
    </row>
    <row r="7" spans="2:20" x14ac:dyDescent="0.2">
      <c r="B7" s="4">
        <v>4</v>
      </c>
      <c r="C7" s="4">
        <v>318</v>
      </c>
      <c r="D7" s="12">
        <v>25479.329860000002</v>
      </c>
      <c r="E7" s="7">
        <v>1.9139051399999999E-2</v>
      </c>
      <c r="F7" s="7">
        <v>2</v>
      </c>
      <c r="G7" s="5">
        <v>3</v>
      </c>
      <c r="H7" s="7">
        <v>23768.799999999999</v>
      </c>
      <c r="I7" s="7">
        <v>0</v>
      </c>
      <c r="J7" s="7">
        <v>806.67570406287064</v>
      </c>
      <c r="K7" s="7">
        <v>0</v>
      </c>
      <c r="L7" s="23">
        <v>120</v>
      </c>
      <c r="M7" s="12">
        <v>24211.91302</v>
      </c>
      <c r="N7" s="7">
        <v>7.7509880000000003E-3</v>
      </c>
      <c r="O7" s="7">
        <v>2</v>
      </c>
      <c r="P7" s="5">
        <v>3</v>
      </c>
      <c r="Q7" s="7">
        <v>33891</v>
      </c>
      <c r="R7" s="7">
        <v>10.03950848876614</v>
      </c>
      <c r="S7" s="7">
        <v>899.59420429162242</v>
      </c>
      <c r="T7" s="7">
        <v>0</v>
      </c>
    </row>
    <row r="8" spans="2:20" x14ac:dyDescent="0.2">
      <c r="B8" s="4">
        <v>5</v>
      </c>
      <c r="C8" s="4">
        <v>486</v>
      </c>
      <c r="D8" s="12">
        <v>18291.444749999999</v>
      </c>
      <c r="E8" s="7">
        <v>1.3746023200000001E-2</v>
      </c>
      <c r="F8" s="7">
        <v>2</v>
      </c>
      <c r="G8" s="5">
        <v>1</v>
      </c>
      <c r="H8" s="7">
        <v>23556</v>
      </c>
      <c r="I8" s="7">
        <v>0</v>
      </c>
      <c r="J8" s="7">
        <v>402.20947041616375</v>
      </c>
      <c r="K8" s="7">
        <v>0</v>
      </c>
      <c r="L8" s="23">
        <v>633</v>
      </c>
      <c r="M8" s="12">
        <v>11163.393</v>
      </c>
      <c r="N8" s="7">
        <v>1.0210037200000001E-2</v>
      </c>
      <c r="O8" s="7">
        <v>2</v>
      </c>
      <c r="P8" s="5">
        <v>1</v>
      </c>
      <c r="Q8" s="7">
        <v>39606</v>
      </c>
      <c r="R8" s="7">
        <v>0</v>
      </c>
      <c r="S8" s="7">
        <v>605.48655417657835</v>
      </c>
      <c r="T8" s="7">
        <v>0</v>
      </c>
    </row>
    <row r="9" spans="2:20" x14ac:dyDescent="0.2">
      <c r="B9" s="4">
        <v>6</v>
      </c>
      <c r="C9" s="4">
        <v>681</v>
      </c>
      <c r="D9" s="12">
        <v>25524.589360000002</v>
      </c>
      <c r="E9" s="7">
        <v>9.0119838999999993E-3</v>
      </c>
      <c r="F9" s="7">
        <v>2</v>
      </c>
      <c r="G9" s="5">
        <v>2.0000000000000089</v>
      </c>
      <c r="H9" s="7">
        <v>19359</v>
      </c>
      <c r="I9" s="7">
        <v>0</v>
      </c>
      <c r="J9" s="7">
        <v>1045.9635878412466</v>
      </c>
      <c r="K9" s="7">
        <v>0</v>
      </c>
      <c r="L9" s="23">
        <v>925</v>
      </c>
      <c r="M9" s="12">
        <v>25498.662219999998</v>
      </c>
      <c r="N9" s="7">
        <v>1.2649059299999999E-2</v>
      </c>
      <c r="O9" s="7">
        <v>2</v>
      </c>
      <c r="P9" s="5">
        <v>4</v>
      </c>
      <c r="Q9" s="7">
        <v>35999</v>
      </c>
      <c r="R9" s="7">
        <v>0</v>
      </c>
      <c r="S9" s="7">
        <v>561.60020084802625</v>
      </c>
      <c r="T9" s="7">
        <v>0</v>
      </c>
    </row>
    <row r="10" spans="2:20" x14ac:dyDescent="0.2">
      <c r="B10" s="4">
        <v>7</v>
      </c>
      <c r="C10" s="4">
        <v>714</v>
      </c>
      <c r="D10" s="12">
        <v>24701.210439999999</v>
      </c>
      <c r="E10" s="7">
        <v>8.5670947999999993E-3</v>
      </c>
      <c r="F10" s="7">
        <v>2</v>
      </c>
      <c r="G10" s="5">
        <v>3</v>
      </c>
      <c r="H10" s="7">
        <v>24341.4</v>
      </c>
      <c r="I10" s="7">
        <v>0</v>
      </c>
      <c r="J10" s="7">
        <v>555.46573722561391</v>
      </c>
      <c r="K10" s="7">
        <v>0</v>
      </c>
      <c r="L10" s="23">
        <v>500</v>
      </c>
      <c r="M10" s="12">
        <v>19795.89026</v>
      </c>
      <c r="N10" s="7">
        <v>9.0489387999999997E-3</v>
      </c>
      <c r="O10" s="7">
        <v>2</v>
      </c>
      <c r="P10" s="5">
        <v>3</v>
      </c>
      <c r="Q10" s="7">
        <v>43243</v>
      </c>
      <c r="R10" s="7">
        <v>0</v>
      </c>
      <c r="S10" s="7">
        <v>507.18813656152406</v>
      </c>
      <c r="T10" s="7">
        <v>0</v>
      </c>
    </row>
    <row r="11" spans="2:20" x14ac:dyDescent="0.2">
      <c r="B11" s="4">
        <v>8</v>
      </c>
      <c r="C11" s="4">
        <v>719</v>
      </c>
      <c r="D11" s="12">
        <v>21530.824820000002</v>
      </c>
      <c r="E11" s="7">
        <v>9.1021061E-3</v>
      </c>
      <c r="F11" s="7">
        <v>2</v>
      </c>
      <c r="G11" s="5">
        <v>3.0000000000000586</v>
      </c>
      <c r="H11" s="7">
        <v>23886.000000000007</v>
      </c>
      <c r="I11" s="7">
        <v>0</v>
      </c>
      <c r="J11" s="7">
        <v>394.35238749642713</v>
      </c>
      <c r="K11" s="7">
        <v>0</v>
      </c>
      <c r="L11" s="23">
        <v>744</v>
      </c>
      <c r="M11" s="12">
        <v>22670.614560000002</v>
      </c>
      <c r="N11" s="7">
        <v>1.9110918000000001E-2</v>
      </c>
      <c r="O11" s="7">
        <v>2</v>
      </c>
      <c r="P11" s="5">
        <v>3</v>
      </c>
      <c r="Q11" s="7">
        <v>35944</v>
      </c>
      <c r="R11" s="7">
        <v>0</v>
      </c>
      <c r="S11" s="7">
        <v>761.58645567494239</v>
      </c>
      <c r="T11" s="7">
        <v>0</v>
      </c>
    </row>
    <row r="12" spans="2:20" x14ac:dyDescent="0.2">
      <c r="B12" s="4">
        <v>9</v>
      </c>
      <c r="C12" s="4">
        <v>749</v>
      </c>
      <c r="D12" s="12">
        <v>30528.872159999999</v>
      </c>
      <c r="E12" s="7">
        <v>1.18970871E-2</v>
      </c>
      <c r="F12" s="7">
        <v>2</v>
      </c>
      <c r="G12" s="5">
        <v>3.0000000000000018</v>
      </c>
      <c r="H12" s="7">
        <v>21483</v>
      </c>
      <c r="I12" s="7">
        <v>0</v>
      </c>
      <c r="J12" s="7">
        <v>895.78355649454056</v>
      </c>
      <c r="K12" s="7">
        <v>0</v>
      </c>
      <c r="L12" s="23">
        <v>769</v>
      </c>
      <c r="M12" s="12">
        <v>11725.780199999999</v>
      </c>
      <c r="N12" s="7">
        <v>4.3540000999999998E-3</v>
      </c>
      <c r="O12" s="7">
        <v>2</v>
      </c>
      <c r="P12" s="5">
        <v>1</v>
      </c>
      <c r="Q12" s="7">
        <v>33329</v>
      </c>
      <c r="R12" s="7">
        <v>0</v>
      </c>
      <c r="S12" s="7">
        <v>716.92280243813821</v>
      </c>
      <c r="T12" s="7">
        <v>0</v>
      </c>
    </row>
    <row r="13" spans="2:20" x14ac:dyDescent="0.2">
      <c r="B13" s="4">
        <v>10</v>
      </c>
      <c r="C13" s="4">
        <v>835</v>
      </c>
      <c r="D13" s="12">
        <v>28158.112529999999</v>
      </c>
      <c r="E13" s="7">
        <v>1.6036033599999999E-2</v>
      </c>
      <c r="F13" s="7">
        <v>2</v>
      </c>
      <c r="G13" s="5">
        <v>2</v>
      </c>
      <c r="H13" s="7">
        <v>38029.599999999999</v>
      </c>
      <c r="I13" s="7">
        <v>0</v>
      </c>
      <c r="J13" s="7">
        <v>425.10185997490879</v>
      </c>
      <c r="K13" s="7">
        <v>0</v>
      </c>
      <c r="L13" s="23">
        <v>808</v>
      </c>
      <c r="M13" s="12">
        <v>20426.925859999999</v>
      </c>
      <c r="N13" s="7">
        <v>1.5573978400000001E-2</v>
      </c>
      <c r="O13" s="7">
        <v>2</v>
      </c>
      <c r="P13" s="5">
        <v>3</v>
      </c>
      <c r="Q13" s="7">
        <v>39259</v>
      </c>
      <c r="R13" s="7">
        <v>0</v>
      </c>
      <c r="S13" s="7">
        <v>495.17866735534216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26564.186556000001</v>
      </c>
      <c r="E14" s="22">
        <f>AVERAGE(E4:E13)</f>
        <v>1.2888908389999999E-2</v>
      </c>
      <c r="F14" s="20">
        <f t="shared" si="0"/>
        <v>2</v>
      </c>
      <c r="G14" s="11">
        <f t="shared" si="0"/>
        <v>2.5000000000000062</v>
      </c>
      <c r="H14" s="9">
        <f t="shared" si="0"/>
        <v>25346.840000000004</v>
      </c>
      <c r="I14" s="13">
        <f t="shared" si="0"/>
        <v>0</v>
      </c>
      <c r="J14" s="13">
        <f t="shared" si="0"/>
        <v>667.48914405865833</v>
      </c>
      <c r="K14" s="11">
        <f t="shared" si="0"/>
        <v>0</v>
      </c>
      <c r="L14" s="16"/>
      <c r="M14" s="16">
        <f t="shared" ref="M14:T14" si="1">AVERAGE(M4:M13)</f>
        <v>20230.728360999998</v>
      </c>
      <c r="N14" s="21">
        <f t="shared" si="1"/>
        <v>1.2747025480000002E-2</v>
      </c>
      <c r="O14" s="18">
        <f t="shared" si="1"/>
        <v>2</v>
      </c>
      <c r="P14" s="18">
        <f t="shared" si="1"/>
        <v>2.6</v>
      </c>
      <c r="Q14" s="16">
        <f t="shared" si="1"/>
        <v>35794.199999999997</v>
      </c>
      <c r="R14" s="17">
        <f t="shared" si="1"/>
        <v>2.3321208073156141</v>
      </c>
      <c r="S14" s="17">
        <f t="shared" si="1"/>
        <v>720.16518953860941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1048576">
    <cfRule type="duplicateValues" dxfId="66" priority="1"/>
  </conditionalFormatting>
  <conditionalFormatting sqref="L14">
    <cfRule type="duplicateValues" dxfId="65" priority="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CC4A-89F5-1F45-AEA2-A51CB61851D4}">
  <dimension ref="B3:T16"/>
  <sheetViews>
    <sheetView zoomScale="118" zoomScaleNormal="120" workbookViewId="0">
      <selection activeCell="P14" sqref="P14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9" width="19.33203125" style="1" bestFit="1" customWidth="1"/>
    <col min="10" max="10" width="18.6640625" style="1" bestFit="1" customWidth="1"/>
    <col min="11" max="11" width="16.6640625" style="1" customWidth="1"/>
    <col min="12" max="12" width="10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79</v>
      </c>
      <c r="D4" s="12">
        <v>24262.421630000001</v>
      </c>
      <c r="E4" s="7">
        <v>3.9307117500000002E-2</v>
      </c>
      <c r="F4" s="7">
        <v>3</v>
      </c>
      <c r="G4" s="5">
        <v>1</v>
      </c>
      <c r="H4" s="7">
        <v>25718</v>
      </c>
      <c r="I4" s="7">
        <v>0</v>
      </c>
      <c r="J4" s="7">
        <v>642.8245098701525</v>
      </c>
      <c r="K4" s="7">
        <v>0</v>
      </c>
      <c r="L4" s="23">
        <v>64</v>
      </c>
      <c r="M4" s="12">
        <v>12410.44486</v>
      </c>
      <c r="N4" s="7">
        <v>4.7111988100000002E-2</v>
      </c>
      <c r="O4" s="7">
        <v>3</v>
      </c>
      <c r="P4" s="5">
        <v>1</v>
      </c>
      <c r="Q4" s="7">
        <v>39499</v>
      </c>
      <c r="R4" s="7">
        <v>0</v>
      </c>
      <c r="S4" s="7">
        <v>692.8326602250628</v>
      </c>
      <c r="T4" s="7">
        <v>0</v>
      </c>
    </row>
    <row r="5" spans="2:20" x14ac:dyDescent="0.2">
      <c r="B5" s="4">
        <v>2</v>
      </c>
      <c r="C5" s="4">
        <v>390</v>
      </c>
      <c r="D5" s="12">
        <v>16495.64357</v>
      </c>
      <c r="E5" s="7">
        <v>1.4003992099999999E-2</v>
      </c>
      <c r="F5" s="7">
        <v>3</v>
      </c>
      <c r="G5" s="5">
        <v>1</v>
      </c>
      <c r="H5" s="7">
        <v>21947</v>
      </c>
      <c r="I5" s="7">
        <v>0</v>
      </c>
      <c r="J5" s="7">
        <v>474.42208183670738</v>
      </c>
      <c r="K5" s="7">
        <v>0</v>
      </c>
      <c r="L5" s="23">
        <v>506</v>
      </c>
      <c r="M5" s="12">
        <v>16517.035209999998</v>
      </c>
      <c r="N5" s="7">
        <v>1.23169422E-2</v>
      </c>
      <c r="O5" s="7">
        <v>3</v>
      </c>
      <c r="P5" s="5">
        <v>1</v>
      </c>
      <c r="Q5" s="7">
        <v>56314</v>
      </c>
      <c r="R5" s="7">
        <v>0</v>
      </c>
      <c r="S5" s="7">
        <v>1124.5529651452202</v>
      </c>
      <c r="T5" s="7">
        <v>0</v>
      </c>
    </row>
    <row r="6" spans="2:20" x14ac:dyDescent="0.2">
      <c r="B6" s="4">
        <v>3</v>
      </c>
      <c r="C6" s="4">
        <v>437</v>
      </c>
      <c r="D6" s="12">
        <v>14103.57257</v>
      </c>
      <c r="E6" s="7">
        <v>2.1536827099999999E-2</v>
      </c>
      <c r="F6" s="7">
        <v>3</v>
      </c>
      <c r="G6" s="5">
        <v>1</v>
      </c>
      <c r="H6" s="7">
        <v>24113</v>
      </c>
      <c r="I6" s="7">
        <v>0</v>
      </c>
      <c r="J6" s="7">
        <v>500.88100104715079</v>
      </c>
      <c r="K6" s="7">
        <v>0</v>
      </c>
      <c r="L6" s="23">
        <v>258</v>
      </c>
      <c r="M6" s="12">
        <v>6958.7265600000001</v>
      </c>
      <c r="N6" s="7">
        <v>2.38091946E-2</v>
      </c>
      <c r="O6" s="7">
        <v>3</v>
      </c>
      <c r="P6" s="5">
        <v>0</v>
      </c>
      <c r="Q6" s="7">
        <v>49533</v>
      </c>
      <c r="R6" s="7">
        <v>0</v>
      </c>
      <c r="S6" s="7">
        <v>702.38220848912829</v>
      </c>
      <c r="T6" s="7">
        <v>0</v>
      </c>
    </row>
    <row r="7" spans="2:20" x14ac:dyDescent="0.2">
      <c r="B7" s="4">
        <v>4</v>
      </c>
      <c r="C7" s="4">
        <v>457</v>
      </c>
      <c r="D7" s="12">
        <v>21942.03542</v>
      </c>
      <c r="E7" s="7">
        <v>1.27429962E-2</v>
      </c>
      <c r="F7" s="7">
        <v>3</v>
      </c>
      <c r="G7" s="5">
        <v>1</v>
      </c>
      <c r="H7" s="7">
        <v>23945</v>
      </c>
      <c r="I7" s="7">
        <v>0</v>
      </c>
      <c r="J7" s="7">
        <v>863.84726393062761</v>
      </c>
      <c r="K7" s="7">
        <v>1.0000000000000001E-5</v>
      </c>
      <c r="L7" s="23">
        <v>178</v>
      </c>
      <c r="M7" s="12">
        <v>9270.8890900000006</v>
      </c>
      <c r="N7" s="7">
        <v>6.3279867200000006E-2</v>
      </c>
      <c r="O7" s="7">
        <v>3</v>
      </c>
      <c r="P7" s="5">
        <v>0</v>
      </c>
      <c r="Q7" s="7">
        <v>42816</v>
      </c>
      <c r="R7" s="7">
        <v>0</v>
      </c>
      <c r="S7" s="7">
        <v>831.8764229060331</v>
      </c>
      <c r="T7" s="7">
        <v>0</v>
      </c>
    </row>
    <row r="8" spans="2:20" x14ac:dyDescent="0.2">
      <c r="B8" s="4">
        <v>5</v>
      </c>
      <c r="C8" s="4">
        <v>458</v>
      </c>
      <c r="D8" s="12">
        <v>13022.96997</v>
      </c>
      <c r="E8" s="7">
        <v>3.7900924699999998E-2</v>
      </c>
      <c r="F8" s="7">
        <v>3</v>
      </c>
      <c r="G8" s="5">
        <v>1</v>
      </c>
      <c r="H8" s="7">
        <v>24509</v>
      </c>
      <c r="I8" s="7">
        <v>0</v>
      </c>
      <c r="J8" s="7">
        <v>443.47392717497439</v>
      </c>
      <c r="K8" s="7">
        <v>0</v>
      </c>
      <c r="L8" s="23">
        <v>479</v>
      </c>
      <c r="M8" s="12">
        <v>11418.39565</v>
      </c>
      <c r="N8" s="7">
        <v>0.136523962</v>
      </c>
      <c r="O8" s="7">
        <v>3</v>
      </c>
      <c r="P8" s="5">
        <v>0</v>
      </c>
      <c r="Q8" s="7">
        <v>40677</v>
      </c>
      <c r="R8" s="7">
        <v>0</v>
      </c>
      <c r="S8" s="7">
        <v>1080.3716792000384</v>
      </c>
      <c r="T8" s="7">
        <v>0</v>
      </c>
    </row>
    <row r="9" spans="2:20" x14ac:dyDescent="0.2">
      <c r="B9" s="4">
        <v>6</v>
      </c>
      <c r="C9" s="4">
        <v>682</v>
      </c>
      <c r="D9" s="12">
        <v>18161.912380000002</v>
      </c>
      <c r="E9" s="7">
        <v>1.0090112700000001E-2</v>
      </c>
      <c r="F9" s="7">
        <v>3</v>
      </c>
      <c r="G9" s="5">
        <v>2</v>
      </c>
      <c r="H9" s="7">
        <v>22711.599999999999</v>
      </c>
      <c r="I9" s="7">
        <v>0</v>
      </c>
      <c r="J9" s="7">
        <v>416.51317031203126</v>
      </c>
      <c r="K9" s="7">
        <v>0</v>
      </c>
      <c r="L9" s="23">
        <v>636</v>
      </c>
      <c r="M9" s="12">
        <v>8708.6589800000002</v>
      </c>
      <c r="N9" s="7">
        <v>4.4500827799999997E-2</v>
      </c>
      <c r="O9" s="7">
        <v>3</v>
      </c>
      <c r="P9" s="5">
        <v>1</v>
      </c>
      <c r="Q9" s="7">
        <v>57896</v>
      </c>
      <c r="R9" s="7">
        <v>0</v>
      </c>
      <c r="S9" s="7">
        <v>323.15696695038679</v>
      </c>
      <c r="T9" s="7">
        <v>0</v>
      </c>
    </row>
    <row r="10" spans="2:20" x14ac:dyDescent="0.2">
      <c r="B10" s="4">
        <v>7</v>
      </c>
      <c r="C10" s="4">
        <v>530</v>
      </c>
      <c r="D10" s="12">
        <v>21249.591789999999</v>
      </c>
      <c r="E10" s="7">
        <v>3.46291065E-2</v>
      </c>
      <c r="F10" s="7">
        <v>3</v>
      </c>
      <c r="G10" s="5">
        <v>0</v>
      </c>
      <c r="H10" s="7">
        <v>22847.599999999999</v>
      </c>
      <c r="I10" s="7">
        <v>0</v>
      </c>
      <c r="J10" s="7">
        <v>1263.1841130319647</v>
      </c>
      <c r="K10" s="7">
        <v>0</v>
      </c>
      <c r="L10" s="23">
        <v>369</v>
      </c>
      <c r="M10" s="12">
        <v>12163.663860000001</v>
      </c>
      <c r="N10" s="7">
        <v>3.38079929E-2</v>
      </c>
      <c r="O10" s="7">
        <v>3</v>
      </c>
      <c r="P10" s="5">
        <v>1</v>
      </c>
      <c r="Q10" s="7">
        <v>39900</v>
      </c>
      <c r="R10" s="7">
        <v>0</v>
      </c>
      <c r="S10" s="7">
        <v>705.14475328724268</v>
      </c>
      <c r="T10" s="7">
        <v>0</v>
      </c>
    </row>
    <row r="11" spans="2:20" x14ac:dyDescent="0.2">
      <c r="B11" s="4">
        <v>8</v>
      </c>
      <c r="C11" s="4">
        <v>803</v>
      </c>
      <c r="D11" s="12">
        <v>17174.574329999999</v>
      </c>
      <c r="E11" s="7">
        <v>1.02841854E-2</v>
      </c>
      <c r="F11" s="7">
        <v>3</v>
      </c>
      <c r="G11" s="5">
        <v>2</v>
      </c>
      <c r="H11" s="7">
        <v>9845</v>
      </c>
      <c r="I11" s="7">
        <v>0</v>
      </c>
      <c r="J11" s="7">
        <v>415.37776636016235</v>
      </c>
      <c r="K11" s="7">
        <v>0</v>
      </c>
      <c r="L11" s="23">
        <v>822</v>
      </c>
      <c r="M11" s="12">
        <v>11023.408069999999</v>
      </c>
      <c r="N11" s="7">
        <v>4.6463966400000001E-2</v>
      </c>
      <c r="O11" s="7">
        <v>3</v>
      </c>
      <c r="P11" s="5">
        <v>1</v>
      </c>
      <c r="Q11" s="7">
        <v>48790</v>
      </c>
      <c r="R11" s="7">
        <v>0</v>
      </c>
      <c r="S11" s="7">
        <v>550.39928790638885</v>
      </c>
      <c r="T11" s="7">
        <v>0</v>
      </c>
    </row>
    <row r="12" spans="2:20" x14ac:dyDescent="0.2">
      <c r="B12" s="4">
        <v>9</v>
      </c>
      <c r="C12" s="4">
        <v>816</v>
      </c>
      <c r="D12" s="12">
        <v>23733.505959999999</v>
      </c>
      <c r="E12" s="7">
        <v>1.1173009899999999E-2</v>
      </c>
      <c r="F12" s="7">
        <v>3</v>
      </c>
      <c r="G12" s="5">
        <v>1</v>
      </c>
      <c r="H12" s="7">
        <v>26237</v>
      </c>
      <c r="I12" s="7">
        <v>0</v>
      </c>
      <c r="J12" s="7">
        <v>614.66005805429631</v>
      </c>
      <c r="K12" s="7">
        <v>0</v>
      </c>
      <c r="L12" s="23">
        <v>315</v>
      </c>
      <c r="M12" s="12">
        <v>14881.68088</v>
      </c>
      <c r="N12" s="7">
        <v>6.5330028499999998E-2</v>
      </c>
      <c r="O12" s="7">
        <v>3</v>
      </c>
      <c r="P12" s="5">
        <v>2</v>
      </c>
      <c r="Q12" s="7">
        <v>50115</v>
      </c>
      <c r="R12" s="7">
        <v>0</v>
      </c>
      <c r="S12" s="7">
        <v>472.49941517642236</v>
      </c>
      <c r="T12" s="7">
        <v>0</v>
      </c>
    </row>
    <row r="13" spans="2:20" x14ac:dyDescent="0.2">
      <c r="B13" s="4">
        <v>10</v>
      </c>
      <c r="C13" s="4">
        <v>852</v>
      </c>
      <c r="D13" s="12">
        <v>21589.032319999998</v>
      </c>
      <c r="E13" s="7">
        <v>3.7446022000000002E-2</v>
      </c>
      <c r="F13" s="7">
        <v>3</v>
      </c>
      <c r="G13" s="5">
        <v>1</v>
      </c>
      <c r="H13" s="7">
        <v>28649</v>
      </c>
      <c r="I13" s="7">
        <v>0</v>
      </c>
      <c r="J13" s="7">
        <v>423.19378369786062</v>
      </c>
      <c r="K13" s="7">
        <v>0</v>
      </c>
      <c r="L13" s="23">
        <v>83</v>
      </c>
      <c r="M13" s="12">
        <v>17000.616610000001</v>
      </c>
      <c r="N13" s="7">
        <v>6.6112041499999996E-2</v>
      </c>
      <c r="O13" s="7">
        <v>3</v>
      </c>
      <c r="P13" s="5">
        <v>2</v>
      </c>
      <c r="Q13" s="7">
        <v>47039</v>
      </c>
      <c r="R13" s="7">
        <v>0</v>
      </c>
      <c r="S13" s="7">
        <v>699.78365313779898</v>
      </c>
      <c r="T13" s="7">
        <v>0</v>
      </c>
    </row>
    <row r="14" spans="2:20" x14ac:dyDescent="0.2">
      <c r="B14" s="46" t="s">
        <v>3</v>
      </c>
      <c r="C14" s="47"/>
      <c r="D14" s="9">
        <f>AVERAGE(D4:D13)</f>
        <v>19173.525994000003</v>
      </c>
      <c r="E14" s="22">
        <f>AVERAGE(E4:E13)</f>
        <v>2.2911429410000003E-2</v>
      </c>
      <c r="F14" s="20">
        <f t="shared" ref="F14:K14" si="0">AVERAGE(F4:F13)</f>
        <v>3</v>
      </c>
      <c r="G14" s="11">
        <f t="shared" si="0"/>
        <v>1.1000000000000001</v>
      </c>
      <c r="H14" s="9">
        <f t="shared" si="0"/>
        <v>23052.22</v>
      </c>
      <c r="I14" s="13">
        <f t="shared" si="0"/>
        <v>0</v>
      </c>
      <c r="J14" s="13">
        <f t="shared" si="0"/>
        <v>605.83776753159282</v>
      </c>
      <c r="K14" s="11">
        <f t="shared" si="0"/>
        <v>1.0000000000000002E-6</v>
      </c>
      <c r="L14" s="16"/>
      <c r="M14" s="16">
        <f t="shared" ref="M14:T14" si="1">AVERAGE(M4:M13)</f>
        <v>12035.351977</v>
      </c>
      <c r="N14" s="21">
        <f t="shared" si="1"/>
        <v>5.3925681119999999E-2</v>
      </c>
      <c r="O14" s="18">
        <f t="shared" si="1"/>
        <v>3</v>
      </c>
      <c r="P14" s="18">
        <f t="shared" si="1"/>
        <v>0.9</v>
      </c>
      <c r="Q14" s="16">
        <f t="shared" si="1"/>
        <v>47257.9</v>
      </c>
      <c r="R14" s="17">
        <f t="shared" si="1"/>
        <v>0</v>
      </c>
      <c r="S14" s="17">
        <f t="shared" si="1"/>
        <v>718.30000124237222</v>
      </c>
      <c r="T14" s="18">
        <f t="shared" si="1"/>
        <v>0</v>
      </c>
    </row>
    <row r="15" spans="2:20" x14ac:dyDescent="0.2">
      <c r="D15" s="2"/>
    </row>
    <row r="16" spans="2:20" x14ac:dyDescent="0.2">
      <c r="D16" s="2"/>
    </row>
  </sheetData>
  <mergeCells count="1">
    <mergeCell ref="B14:C14"/>
  </mergeCells>
  <conditionalFormatting sqref="L1:L1048576">
    <cfRule type="duplicateValues" dxfId="64" priority="1"/>
  </conditionalFormatting>
  <conditionalFormatting sqref="L14">
    <cfRule type="duplicateValues" dxfId="63" priority="2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FBB7-71AE-6048-B1AA-6217B1A80431}">
  <dimension ref="B3:T14"/>
  <sheetViews>
    <sheetView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5" width="16.6640625" style="1" customWidth="1"/>
    <col min="6" max="6" width="9.1640625" style="1" bestFit="1" customWidth="1"/>
    <col min="7" max="7" width="16.6640625" style="1" customWidth="1"/>
    <col min="8" max="8" width="19.33203125" style="1" bestFit="1" customWidth="1"/>
    <col min="9" max="9" width="12" style="1" bestFit="1" customWidth="1"/>
    <col min="10" max="10" width="18" style="1" bestFit="1" customWidth="1"/>
    <col min="11" max="11" width="6.6640625" style="1" bestFit="1" customWidth="1"/>
    <col min="12" max="12" width="13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23">
        <v>140</v>
      </c>
      <c r="M4" s="12">
        <v>14639.717280000001</v>
      </c>
      <c r="N4" s="7">
        <v>4.2852163300000003E-2</v>
      </c>
      <c r="O4" s="7">
        <v>3</v>
      </c>
      <c r="P4" s="5">
        <v>2</v>
      </c>
      <c r="Q4" s="7">
        <v>59230</v>
      </c>
      <c r="R4" s="7">
        <v>0</v>
      </c>
      <c r="S4" s="7">
        <v>491.6845019318136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23">
        <v>174</v>
      </c>
      <c r="M5" s="12">
        <v>15983.69074</v>
      </c>
      <c r="N5" s="7">
        <v>3.1943082800000001E-2</v>
      </c>
      <c r="O5" s="7">
        <v>3</v>
      </c>
      <c r="P5" s="5">
        <v>2</v>
      </c>
      <c r="Q5" s="7">
        <v>59683</v>
      </c>
      <c r="R5" s="7">
        <v>0</v>
      </c>
      <c r="S5" s="7">
        <v>609.87414612595558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23">
        <v>220</v>
      </c>
      <c r="M6" s="12">
        <v>17788.968130000001</v>
      </c>
      <c r="N6" s="7">
        <v>3.9661884299999998E-2</v>
      </c>
      <c r="O6" s="7">
        <v>3</v>
      </c>
      <c r="P6" s="5">
        <v>2.0000000000000062</v>
      </c>
      <c r="Q6" s="7">
        <v>52769</v>
      </c>
      <c r="R6" s="7">
        <v>0</v>
      </c>
      <c r="S6" s="7">
        <v>706.57974486349826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23">
        <v>386</v>
      </c>
      <c r="M7" s="12">
        <v>18101.47581</v>
      </c>
      <c r="N7" s="7">
        <v>3.7279129000000001E-2</v>
      </c>
      <c r="O7" s="7">
        <v>3</v>
      </c>
      <c r="P7" s="5">
        <v>3</v>
      </c>
      <c r="Q7" s="7">
        <v>52109</v>
      </c>
      <c r="R7" s="7">
        <v>0</v>
      </c>
      <c r="S7" s="7">
        <v>343.70253296529359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23">
        <v>97</v>
      </c>
      <c r="M8" s="12">
        <v>15456.072410000001</v>
      </c>
      <c r="N8" s="7">
        <v>3.8971900900000002E-2</v>
      </c>
      <c r="O8" s="7">
        <v>3</v>
      </c>
      <c r="P8" s="5">
        <v>1</v>
      </c>
      <c r="Q8" s="7">
        <v>35888</v>
      </c>
      <c r="R8" s="7">
        <v>57.575980286864251</v>
      </c>
      <c r="S8" s="7">
        <v>887.32111108378774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23">
        <v>336</v>
      </c>
      <c r="M9" s="12">
        <v>18152.119600000002</v>
      </c>
      <c r="N9" s="7">
        <v>4.1716098799999997E-2</v>
      </c>
      <c r="O9" s="7">
        <v>3</v>
      </c>
      <c r="P9" s="5">
        <v>2</v>
      </c>
      <c r="Q9" s="7">
        <v>44982</v>
      </c>
      <c r="R9" s="7">
        <v>0</v>
      </c>
      <c r="S9" s="7">
        <v>721.29398859178593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23">
        <v>614</v>
      </c>
      <c r="M10" s="12">
        <v>15743.695659999999</v>
      </c>
      <c r="N10" s="7">
        <v>4.8551082600000003E-2</v>
      </c>
      <c r="O10" s="7">
        <v>3</v>
      </c>
      <c r="P10" s="5">
        <v>2</v>
      </c>
      <c r="Q10" s="7">
        <v>56563</v>
      </c>
      <c r="R10" s="7">
        <v>0</v>
      </c>
      <c r="S10" s="7">
        <v>507.20015584342201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23">
        <v>281</v>
      </c>
      <c r="M11" s="12">
        <v>11564.113719999999</v>
      </c>
      <c r="N11" s="7">
        <v>1.40888691E-2</v>
      </c>
      <c r="O11" s="7">
        <v>3</v>
      </c>
      <c r="P11" s="5">
        <v>1</v>
      </c>
      <c r="Q11" s="7">
        <v>48646</v>
      </c>
      <c r="R11" s="7">
        <v>0</v>
      </c>
      <c r="S11" s="7">
        <v>629.81376904565025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23">
        <v>693</v>
      </c>
      <c r="M12" s="12">
        <v>16300.995919999999</v>
      </c>
      <c r="N12" s="7">
        <v>3.9834022500000003E-2</v>
      </c>
      <c r="O12" s="7">
        <v>3</v>
      </c>
      <c r="P12" s="5">
        <v>2</v>
      </c>
      <c r="Q12" s="7">
        <v>50399</v>
      </c>
      <c r="R12" s="7">
        <v>0</v>
      </c>
      <c r="S12" s="7">
        <v>597.66704355928812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23">
        <v>782</v>
      </c>
      <c r="M13" s="12">
        <v>8685.5654500000001</v>
      </c>
      <c r="N13" s="7">
        <v>4.2000055299999998E-2</v>
      </c>
      <c r="O13" s="7">
        <v>3</v>
      </c>
      <c r="P13" s="5">
        <v>0</v>
      </c>
      <c r="Q13" s="7">
        <v>52308</v>
      </c>
      <c r="R13" s="7">
        <v>0</v>
      </c>
      <c r="S13" s="7">
        <v>781.63728417641664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15241.641471999998</v>
      </c>
      <c r="N14" s="21">
        <f t="shared" si="1"/>
        <v>3.7689828860000003E-2</v>
      </c>
      <c r="O14" s="18">
        <f t="shared" si="1"/>
        <v>3</v>
      </c>
      <c r="P14" s="18">
        <f t="shared" si="1"/>
        <v>1.7000000000000006</v>
      </c>
      <c r="Q14" s="16">
        <f t="shared" si="1"/>
        <v>51257.7</v>
      </c>
      <c r="R14" s="17">
        <f t="shared" si="1"/>
        <v>5.7575980286864255</v>
      </c>
      <c r="S14" s="17">
        <f t="shared" si="1"/>
        <v>627.67742781869117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62" priority="1"/>
  </conditionalFormatting>
  <conditionalFormatting sqref="L14">
    <cfRule type="duplicateValues" dxfId="61" priority="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A43D-1732-7240-9A1A-4AF93EFEE897}">
  <dimension ref="B3:T14"/>
  <sheetViews>
    <sheetView zoomScale="117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3.332031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6">
        <v>69</v>
      </c>
      <c r="D4" s="12">
        <v>25285.501059999999</v>
      </c>
      <c r="E4" s="7">
        <v>2.03368664E-2</v>
      </c>
      <c r="F4" s="7">
        <v>2</v>
      </c>
      <c r="G4" s="5">
        <v>0</v>
      </c>
      <c r="H4" s="7">
        <v>26159.4</v>
      </c>
      <c r="I4" s="7">
        <v>0</v>
      </c>
      <c r="J4" s="7">
        <v>1024.6403885284221</v>
      </c>
      <c r="K4" s="7">
        <v>0</v>
      </c>
      <c r="L4" s="23">
        <v>188</v>
      </c>
      <c r="M4" s="12">
        <v>24592.933229999999</v>
      </c>
      <c r="N4" s="7">
        <v>9.3856811499999998E-2</v>
      </c>
      <c r="O4" s="7">
        <v>2</v>
      </c>
      <c r="P4" s="5">
        <v>2</v>
      </c>
      <c r="Q4" s="7">
        <v>35912</v>
      </c>
      <c r="R4" s="7">
        <v>0</v>
      </c>
      <c r="S4" s="7">
        <v>673.03680247944465</v>
      </c>
      <c r="T4" s="7">
        <v>0</v>
      </c>
    </row>
    <row r="5" spans="2:20" x14ac:dyDescent="0.2">
      <c r="B5" s="4">
        <v>2</v>
      </c>
      <c r="C5" s="24">
        <v>320</v>
      </c>
      <c r="D5" s="12">
        <v>37733.347710000002</v>
      </c>
      <c r="E5" s="7">
        <v>2.89981365E-2</v>
      </c>
      <c r="F5" s="7">
        <v>2</v>
      </c>
      <c r="G5" s="5">
        <v>2</v>
      </c>
      <c r="H5" s="7">
        <v>33861.800000000039</v>
      </c>
      <c r="I5" s="7">
        <v>11.876789089258819</v>
      </c>
      <c r="J5" s="7">
        <v>1128.8492192424135</v>
      </c>
      <c r="K5" s="7">
        <v>0</v>
      </c>
      <c r="L5" s="23">
        <v>241</v>
      </c>
      <c r="M5" s="12">
        <v>58957.035380000001</v>
      </c>
      <c r="N5" s="7">
        <v>0.2380030155</v>
      </c>
      <c r="O5" s="7">
        <v>4</v>
      </c>
      <c r="P5" s="5">
        <v>9.0000000000000071</v>
      </c>
      <c r="Q5" s="7">
        <v>53092</v>
      </c>
      <c r="R5" s="7">
        <v>0</v>
      </c>
      <c r="S5" s="7">
        <v>690.58573978839672</v>
      </c>
      <c r="T5" s="7">
        <v>0</v>
      </c>
    </row>
    <row r="6" spans="2:20" x14ac:dyDescent="0.2">
      <c r="B6" s="4">
        <v>3</v>
      </c>
      <c r="C6" s="24">
        <v>380</v>
      </c>
      <c r="D6" s="12">
        <v>28486.69169</v>
      </c>
      <c r="E6" s="7">
        <v>1.3865947700000001E-2</v>
      </c>
      <c r="F6" s="7">
        <v>2</v>
      </c>
      <c r="G6" s="5">
        <v>0</v>
      </c>
      <c r="H6" s="7">
        <v>31005.399999999172</v>
      </c>
      <c r="I6" s="7">
        <v>0</v>
      </c>
      <c r="J6" s="7">
        <v>1027.5751046144039</v>
      </c>
      <c r="K6" s="7">
        <v>0</v>
      </c>
      <c r="L6" s="23">
        <v>295</v>
      </c>
      <c r="M6" s="12">
        <v>44821.29494</v>
      </c>
      <c r="N6" s="7">
        <v>8.7707042700000001E-2</v>
      </c>
      <c r="O6" s="7">
        <v>2</v>
      </c>
      <c r="P6" s="5">
        <v>3</v>
      </c>
      <c r="Q6" s="7">
        <v>40281</v>
      </c>
      <c r="R6" s="7">
        <v>22.435554820339782</v>
      </c>
      <c r="S6" s="7">
        <v>1415.9253952168015</v>
      </c>
      <c r="T6" s="7">
        <v>0</v>
      </c>
    </row>
    <row r="7" spans="2:20" x14ac:dyDescent="0.2">
      <c r="B7" s="4">
        <v>4</v>
      </c>
      <c r="C7" s="24">
        <v>487</v>
      </c>
      <c r="D7" s="12">
        <v>55101.502780000003</v>
      </c>
      <c r="E7" s="7">
        <v>0.25891208650000003</v>
      </c>
      <c r="F7" s="7">
        <v>4</v>
      </c>
      <c r="G7" s="5">
        <v>5</v>
      </c>
      <c r="H7" s="7">
        <v>21543.8</v>
      </c>
      <c r="I7" s="7">
        <v>0</v>
      </c>
      <c r="J7" s="7">
        <v>1060.3322974897289</v>
      </c>
      <c r="K7" s="7">
        <v>0</v>
      </c>
      <c r="L7" s="23">
        <v>427</v>
      </c>
      <c r="M7" s="12">
        <v>38064.34489</v>
      </c>
      <c r="N7" s="7">
        <v>3.6217212700000001E-2</v>
      </c>
      <c r="O7" s="7">
        <v>2</v>
      </c>
      <c r="P7" s="5">
        <v>2</v>
      </c>
      <c r="Q7" s="7">
        <v>41707</v>
      </c>
      <c r="R7" s="7">
        <v>0</v>
      </c>
      <c r="S7" s="7">
        <v>1384.6892104989688</v>
      </c>
      <c r="T7" s="7">
        <v>0</v>
      </c>
    </row>
    <row r="8" spans="2:20" x14ac:dyDescent="0.2">
      <c r="B8" s="4">
        <v>5</v>
      </c>
      <c r="C8" s="24">
        <v>498</v>
      </c>
      <c r="D8" s="12">
        <v>47484.835160000002</v>
      </c>
      <c r="E8" s="7">
        <v>0.1366379261</v>
      </c>
      <c r="F8" s="7">
        <v>2</v>
      </c>
      <c r="G8" s="5">
        <v>3</v>
      </c>
      <c r="H8" s="7">
        <v>26611.8</v>
      </c>
      <c r="I8" s="7">
        <v>0</v>
      </c>
      <c r="J8" s="7">
        <v>874.22576713891942</v>
      </c>
      <c r="K8" s="7">
        <v>0</v>
      </c>
      <c r="L8" s="23">
        <v>467</v>
      </c>
      <c r="M8" s="12">
        <v>46976.147440000001</v>
      </c>
      <c r="N8" s="7">
        <v>1.1444878578</v>
      </c>
      <c r="O8" s="7">
        <v>4</v>
      </c>
      <c r="P8" s="5">
        <v>3</v>
      </c>
      <c r="Q8" s="7">
        <v>48725</v>
      </c>
      <c r="R8" s="7">
        <v>24.510757443342705</v>
      </c>
      <c r="S8" s="7">
        <v>1564.2272968902964</v>
      </c>
      <c r="T8" s="7">
        <v>0</v>
      </c>
    </row>
    <row r="9" spans="2:20" x14ac:dyDescent="0.2">
      <c r="B9" s="4">
        <v>6</v>
      </c>
      <c r="C9" s="24">
        <v>564</v>
      </c>
      <c r="D9" s="12">
        <v>32123.11089</v>
      </c>
      <c r="E9" s="7">
        <v>2.1203994800000001E-2</v>
      </c>
      <c r="F9" s="7">
        <v>2</v>
      </c>
      <c r="G9" s="5">
        <v>1</v>
      </c>
      <c r="H9" s="7">
        <v>28083.4</v>
      </c>
      <c r="I9" s="7">
        <v>0</v>
      </c>
      <c r="J9" s="7">
        <v>1213.6440215781074</v>
      </c>
      <c r="K9" s="7">
        <v>0</v>
      </c>
      <c r="L9" s="23">
        <v>549</v>
      </c>
      <c r="M9" s="12">
        <v>28270.248360000001</v>
      </c>
      <c r="N9" s="7">
        <v>8.5637092600000006E-2</v>
      </c>
      <c r="O9" s="7">
        <v>2</v>
      </c>
      <c r="P9" s="5">
        <v>3</v>
      </c>
      <c r="Q9" s="7">
        <v>37274</v>
      </c>
      <c r="R9" s="7">
        <v>0</v>
      </c>
      <c r="S9" s="7">
        <v>611.81011458632281</v>
      </c>
      <c r="T9" s="7">
        <v>0</v>
      </c>
    </row>
    <row r="10" spans="2:20" x14ac:dyDescent="0.2">
      <c r="B10" s="4">
        <v>7</v>
      </c>
      <c r="C10" s="24">
        <v>578</v>
      </c>
      <c r="D10" s="12">
        <v>57153.081059999997</v>
      </c>
      <c r="E10" s="7">
        <v>7.1797869204999998</v>
      </c>
      <c r="F10" s="7">
        <v>4</v>
      </c>
      <c r="G10" s="5">
        <v>4.0000000420099884</v>
      </c>
      <c r="H10" s="7">
        <v>25780</v>
      </c>
      <c r="I10" s="7">
        <v>17.943771925029075</v>
      </c>
      <c r="J10" s="7">
        <v>1546.3534099723388</v>
      </c>
      <c r="K10" s="7">
        <v>0</v>
      </c>
      <c r="L10" s="23">
        <v>859</v>
      </c>
      <c r="M10" s="12">
        <v>43198.752699999997</v>
      </c>
      <c r="N10" s="7">
        <v>0.3355309963</v>
      </c>
      <c r="O10" s="7">
        <v>2</v>
      </c>
      <c r="P10" s="5">
        <v>4</v>
      </c>
      <c r="Q10" s="7">
        <v>24609</v>
      </c>
      <c r="R10" s="7">
        <v>19.426987246839694</v>
      </c>
      <c r="S10" s="7">
        <v>1168.2179825068567</v>
      </c>
      <c r="T10" s="7">
        <v>0</v>
      </c>
    </row>
    <row r="11" spans="2:20" x14ac:dyDescent="0.2">
      <c r="B11" s="4">
        <v>8</v>
      </c>
      <c r="C11" s="24">
        <v>593</v>
      </c>
      <c r="D11" s="12">
        <v>40013.572390000001</v>
      </c>
      <c r="E11" s="7">
        <v>2.8548002199999999E-2</v>
      </c>
      <c r="F11" s="7">
        <v>2</v>
      </c>
      <c r="G11" s="5">
        <v>1</v>
      </c>
      <c r="H11" s="7">
        <v>46809</v>
      </c>
      <c r="I11" s="7">
        <v>7.5469404145732799</v>
      </c>
      <c r="J11" s="7">
        <v>1100.6532032017217</v>
      </c>
      <c r="K11" s="7">
        <v>0</v>
      </c>
      <c r="L11" s="23">
        <v>734</v>
      </c>
      <c r="M11" s="12">
        <v>42135.216200000003</v>
      </c>
      <c r="N11" s="7">
        <v>1.7675950526999999</v>
      </c>
      <c r="O11" s="7">
        <v>3</v>
      </c>
      <c r="P11" s="5">
        <v>3</v>
      </c>
      <c r="Q11" s="7">
        <v>29171.40000000002</v>
      </c>
      <c r="R11" s="7">
        <v>4.9700786118600835</v>
      </c>
      <c r="S11" s="7">
        <v>1292.6133085891206</v>
      </c>
      <c r="T11" s="7">
        <v>0</v>
      </c>
    </row>
    <row r="12" spans="2:20" x14ac:dyDescent="0.2">
      <c r="B12" s="4">
        <v>9</v>
      </c>
      <c r="C12" s="24">
        <v>795</v>
      </c>
      <c r="D12" s="12">
        <v>37750.003199999999</v>
      </c>
      <c r="E12" s="7">
        <v>8.6210012399999994E-2</v>
      </c>
      <c r="F12" s="7">
        <v>2</v>
      </c>
      <c r="G12" s="5">
        <v>1</v>
      </c>
      <c r="H12" s="7">
        <v>24867.800000000003</v>
      </c>
      <c r="I12" s="7">
        <v>0</v>
      </c>
      <c r="J12" s="7">
        <v>1084.6759004121714</v>
      </c>
      <c r="K12" s="7">
        <v>0</v>
      </c>
      <c r="L12" s="23">
        <v>547</v>
      </c>
      <c r="M12" s="12">
        <v>44156.988819999999</v>
      </c>
      <c r="N12" s="7">
        <v>3.1990890503</v>
      </c>
      <c r="O12" s="7">
        <v>3</v>
      </c>
      <c r="P12" s="5">
        <v>1</v>
      </c>
      <c r="Q12" s="7">
        <v>47007.6000000001</v>
      </c>
      <c r="R12" s="7">
        <v>16.721478778935968</v>
      </c>
      <c r="S12" s="7">
        <v>1842.5993945744594</v>
      </c>
      <c r="T12" s="7">
        <v>0</v>
      </c>
    </row>
    <row r="13" spans="2:20" x14ac:dyDescent="0.2">
      <c r="B13" s="4">
        <v>10</v>
      </c>
      <c r="C13" s="24">
        <v>722</v>
      </c>
      <c r="D13" s="12">
        <v>39699.685899999997</v>
      </c>
      <c r="E13" s="7">
        <v>2.7703046799999999E-2</v>
      </c>
      <c r="F13" s="7">
        <v>2</v>
      </c>
      <c r="G13" s="5">
        <v>2</v>
      </c>
      <c r="H13" s="7">
        <v>31519.999999999771</v>
      </c>
      <c r="I13" s="7">
        <v>3.0638041851198072</v>
      </c>
      <c r="J13" s="7">
        <v>936.45149967355667</v>
      </c>
      <c r="K13" s="7">
        <v>0</v>
      </c>
      <c r="L13" s="23">
        <v>682</v>
      </c>
      <c r="M13" s="12">
        <v>53095.402580000002</v>
      </c>
      <c r="N13" s="7">
        <v>1.1189670563</v>
      </c>
      <c r="O13" s="7">
        <v>2</v>
      </c>
      <c r="P13" s="5">
        <v>4</v>
      </c>
      <c r="Q13" s="7">
        <v>21862</v>
      </c>
      <c r="R13" s="7">
        <v>37.093316062213077</v>
      </c>
      <c r="S13" s="7">
        <v>1683.1510952002577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40083.133183999991</v>
      </c>
      <c r="E14" s="22">
        <f>AVERAGE(E4:E13)</f>
        <v>0.78022029399000004</v>
      </c>
      <c r="F14" s="20">
        <f t="shared" si="0"/>
        <v>2.4</v>
      </c>
      <c r="G14" s="11">
        <f t="shared" si="0"/>
        <v>1.9000000042009986</v>
      </c>
      <c r="H14" s="9">
        <f t="shared" si="0"/>
        <v>29624.239999999896</v>
      </c>
      <c r="I14" s="13">
        <f t="shared" si="0"/>
        <v>4.0431305613980983</v>
      </c>
      <c r="J14" s="13">
        <f t="shared" si="0"/>
        <v>1099.7400811851785</v>
      </c>
      <c r="K14" s="11">
        <f t="shared" si="0"/>
        <v>0</v>
      </c>
      <c r="L14" s="16"/>
      <c r="M14" s="16">
        <f t="shared" ref="M14:T14" si="1">AVERAGE(M4:M13)</f>
        <v>42426.836453999997</v>
      </c>
      <c r="N14" s="21">
        <f t="shared" si="1"/>
        <v>0.81070911883999996</v>
      </c>
      <c r="O14" s="18">
        <f t="shared" si="1"/>
        <v>2.6</v>
      </c>
      <c r="P14" s="18">
        <f t="shared" si="1"/>
        <v>3.4000000000000008</v>
      </c>
      <c r="Q14" s="16">
        <f t="shared" si="1"/>
        <v>37964.100000000013</v>
      </c>
      <c r="R14" s="17">
        <f t="shared" si="1"/>
        <v>12.515817296353131</v>
      </c>
      <c r="S14" s="17">
        <f t="shared" si="1"/>
        <v>1232.6856340330924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60" priority="1"/>
  </conditionalFormatting>
  <conditionalFormatting sqref="L14">
    <cfRule type="duplicateValues" dxfId="59" priority="2"/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B533B-FEFB-AA49-9042-D8B748AEDC22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23</v>
      </c>
      <c r="D4" s="12">
        <v>52142.065519999996</v>
      </c>
      <c r="E4" s="7">
        <v>0.1030950546</v>
      </c>
      <c r="F4" s="7">
        <v>2</v>
      </c>
      <c r="G4" s="5">
        <v>6</v>
      </c>
      <c r="H4" s="7">
        <v>26948</v>
      </c>
      <c r="I4" s="7">
        <v>0</v>
      </c>
      <c r="J4" s="7">
        <v>820.82073897384237</v>
      </c>
      <c r="K4" s="7">
        <v>0</v>
      </c>
      <c r="L4" s="23">
        <v>174</v>
      </c>
      <c r="M4" s="25">
        <v>46376.714399999997</v>
      </c>
      <c r="N4" s="26">
        <v>0.12319397930000001</v>
      </c>
      <c r="O4" s="26">
        <v>3</v>
      </c>
      <c r="P4" s="27">
        <v>7</v>
      </c>
      <c r="Q4" s="26">
        <v>37670</v>
      </c>
      <c r="R4" s="26">
        <v>0</v>
      </c>
      <c r="S4" s="26">
        <v>532.8009888212016</v>
      </c>
      <c r="T4" s="26">
        <v>0</v>
      </c>
    </row>
    <row r="5" spans="2:20" x14ac:dyDescent="0.2">
      <c r="B5" s="4">
        <v>2</v>
      </c>
      <c r="C5" s="4">
        <v>822</v>
      </c>
      <c r="D5" s="12">
        <v>44815.047059999997</v>
      </c>
      <c r="E5" s="7">
        <v>4.0691137299999999E-2</v>
      </c>
      <c r="F5" s="7">
        <v>2</v>
      </c>
      <c r="G5" s="5">
        <v>6</v>
      </c>
      <c r="H5" s="7">
        <v>26501.199999999997</v>
      </c>
      <c r="I5" s="7">
        <v>0</v>
      </c>
      <c r="J5" s="7">
        <v>481.73381898615389</v>
      </c>
      <c r="K5" s="7">
        <v>0</v>
      </c>
      <c r="L5" s="23">
        <v>321</v>
      </c>
      <c r="M5" s="25">
        <v>55309.047680000003</v>
      </c>
      <c r="N5" s="26">
        <v>0.55826282500000002</v>
      </c>
      <c r="O5" s="26">
        <v>3</v>
      </c>
      <c r="P5" s="27">
        <v>6</v>
      </c>
      <c r="Q5" s="26">
        <v>37067</v>
      </c>
      <c r="R5" s="26">
        <v>0</v>
      </c>
      <c r="S5" s="26">
        <v>1197.553391911581</v>
      </c>
      <c r="T5" s="26">
        <v>0</v>
      </c>
    </row>
    <row r="6" spans="2:20" x14ac:dyDescent="0.2">
      <c r="B6" s="4">
        <v>3</v>
      </c>
      <c r="C6" s="4">
        <v>295</v>
      </c>
      <c r="D6" s="12">
        <v>65679.023190000007</v>
      </c>
      <c r="E6" s="7">
        <v>6.7169904700000005E-2</v>
      </c>
      <c r="F6" s="7">
        <v>2</v>
      </c>
      <c r="G6" s="5">
        <v>7</v>
      </c>
      <c r="H6" s="7">
        <v>39433</v>
      </c>
      <c r="I6" s="7">
        <v>0</v>
      </c>
      <c r="J6" s="7">
        <v>723.67727947313438</v>
      </c>
      <c r="K6" s="7">
        <v>0</v>
      </c>
      <c r="L6" s="23">
        <v>570</v>
      </c>
      <c r="M6" s="25">
        <v>35444.092799999999</v>
      </c>
      <c r="N6" s="26">
        <v>8.6477041199999993E-2</v>
      </c>
      <c r="O6" s="26">
        <v>2</v>
      </c>
      <c r="P6" s="27">
        <v>5</v>
      </c>
      <c r="Q6" s="26">
        <v>42529</v>
      </c>
      <c r="R6" s="26">
        <v>0</v>
      </c>
      <c r="S6" s="26">
        <v>500.52157066627814</v>
      </c>
      <c r="T6" s="26">
        <v>0</v>
      </c>
    </row>
    <row r="7" spans="2:20" x14ac:dyDescent="0.2">
      <c r="B7" s="4">
        <v>4</v>
      </c>
      <c r="C7" s="4">
        <v>335</v>
      </c>
      <c r="D7" s="12">
        <v>60566.147680000002</v>
      </c>
      <c r="E7" s="7">
        <v>3.9829015699999998E-2</v>
      </c>
      <c r="F7" s="7">
        <v>2</v>
      </c>
      <c r="G7" s="5">
        <v>8</v>
      </c>
      <c r="H7" s="7">
        <v>31259</v>
      </c>
      <c r="I7" s="7">
        <v>0</v>
      </c>
      <c r="J7" s="7">
        <v>559.69421196765393</v>
      </c>
      <c r="K7" s="7">
        <v>0</v>
      </c>
      <c r="L7" s="23">
        <v>593</v>
      </c>
      <c r="M7" s="25">
        <v>51940.025970000002</v>
      </c>
      <c r="N7" s="26">
        <v>5.7708978700000003E-2</v>
      </c>
      <c r="O7" s="26">
        <v>2</v>
      </c>
      <c r="P7" s="27">
        <v>9</v>
      </c>
      <c r="Q7" s="26">
        <v>51307</v>
      </c>
      <c r="R7" s="26">
        <v>0</v>
      </c>
      <c r="S7" s="26">
        <v>335.3938861943135</v>
      </c>
      <c r="T7" s="26">
        <v>0</v>
      </c>
    </row>
    <row r="8" spans="2:20" x14ac:dyDescent="0.2">
      <c r="B8" s="4">
        <v>5</v>
      </c>
      <c r="C8" s="4">
        <v>434</v>
      </c>
      <c r="D8" s="12">
        <v>34595.617129999999</v>
      </c>
      <c r="E8" s="7">
        <v>2.5415897400000002E-2</v>
      </c>
      <c r="F8" s="7">
        <v>2</v>
      </c>
      <c r="G8" s="5">
        <v>4</v>
      </c>
      <c r="H8" s="7">
        <v>27133</v>
      </c>
      <c r="I8" s="7">
        <v>0</v>
      </c>
      <c r="J8" s="7">
        <v>601.76154304067143</v>
      </c>
      <c r="K8" s="7">
        <v>0</v>
      </c>
      <c r="L8" s="23">
        <v>853</v>
      </c>
      <c r="M8" s="25">
        <v>49075.273820000002</v>
      </c>
      <c r="N8" s="26">
        <v>3.3874988600000003E-2</v>
      </c>
      <c r="O8" s="26">
        <v>2</v>
      </c>
      <c r="P8" s="27">
        <v>5</v>
      </c>
      <c r="Q8" s="26">
        <v>27910</v>
      </c>
      <c r="R8" s="26">
        <v>0.65715112762227346</v>
      </c>
      <c r="S8" s="26">
        <v>1191.1100846764975</v>
      </c>
      <c r="T8" s="26">
        <v>0</v>
      </c>
    </row>
    <row r="9" spans="2:20" x14ac:dyDescent="0.2">
      <c r="B9" s="4">
        <v>6</v>
      </c>
      <c r="C9" s="4">
        <v>451</v>
      </c>
      <c r="D9" s="12">
        <v>47810.301240000001</v>
      </c>
      <c r="E9" s="7">
        <v>5.5293083200000002E-2</v>
      </c>
      <c r="F9" s="7">
        <v>2</v>
      </c>
      <c r="G9" s="5">
        <v>4</v>
      </c>
      <c r="H9" s="7">
        <v>19197</v>
      </c>
      <c r="I9" s="7">
        <v>0.50059439299595854</v>
      </c>
      <c r="J9" s="7">
        <v>1014.401182253735</v>
      </c>
      <c r="K9" s="7">
        <v>0</v>
      </c>
      <c r="L9" s="23">
        <v>741</v>
      </c>
      <c r="M9" s="25">
        <v>53437.990870000001</v>
      </c>
      <c r="N9" s="26">
        <v>0.66083407400000005</v>
      </c>
      <c r="O9" s="26">
        <v>3</v>
      </c>
      <c r="P9" s="27">
        <v>5</v>
      </c>
      <c r="Q9" s="26">
        <v>35080</v>
      </c>
      <c r="R9" s="26">
        <v>0</v>
      </c>
      <c r="S9" s="26">
        <v>1350.3932416445925</v>
      </c>
      <c r="T9" s="26">
        <v>0</v>
      </c>
    </row>
    <row r="10" spans="2:20" x14ac:dyDescent="0.2">
      <c r="B10" s="4">
        <v>7</v>
      </c>
      <c r="C10" s="4">
        <v>599</v>
      </c>
      <c r="D10" s="12">
        <v>50459.225639999997</v>
      </c>
      <c r="E10" s="7">
        <v>6.5841913200000005E-2</v>
      </c>
      <c r="F10" s="7">
        <v>2</v>
      </c>
      <c r="G10" s="5">
        <v>7</v>
      </c>
      <c r="H10" s="7">
        <v>25925.200000000001</v>
      </c>
      <c r="I10" s="7">
        <v>0</v>
      </c>
      <c r="J10" s="7">
        <v>556.35364595905639</v>
      </c>
      <c r="K10" s="7">
        <v>0</v>
      </c>
      <c r="L10" s="23">
        <v>686</v>
      </c>
      <c r="M10" s="25">
        <v>40518.737110000002</v>
      </c>
      <c r="N10" s="26">
        <v>8.0873012499999994E-2</v>
      </c>
      <c r="O10" s="26">
        <v>2</v>
      </c>
      <c r="P10" s="27">
        <v>4</v>
      </c>
      <c r="Q10" s="26">
        <v>29578</v>
      </c>
      <c r="R10" s="26">
        <v>4.8394634277506947</v>
      </c>
      <c r="S10" s="26">
        <v>961.87695342344011</v>
      </c>
      <c r="T10" s="26">
        <v>0</v>
      </c>
    </row>
    <row r="11" spans="2:20" x14ac:dyDescent="0.2">
      <c r="B11" s="4">
        <v>8</v>
      </c>
      <c r="C11" s="4">
        <v>657</v>
      </c>
      <c r="D11" s="12">
        <v>70422.664600000004</v>
      </c>
      <c r="E11" s="7">
        <v>0.14296388630000001</v>
      </c>
      <c r="F11" s="7">
        <v>2</v>
      </c>
      <c r="G11" s="5">
        <v>8</v>
      </c>
      <c r="H11" s="7">
        <v>31461</v>
      </c>
      <c r="I11" s="7">
        <v>14.636906567233833</v>
      </c>
      <c r="J11" s="7">
        <v>884.81314457847054</v>
      </c>
      <c r="K11" s="7">
        <v>0</v>
      </c>
      <c r="L11" s="23">
        <v>803</v>
      </c>
      <c r="M11" s="25">
        <v>46447.69225</v>
      </c>
      <c r="N11" s="26">
        <v>0.24909377099999999</v>
      </c>
      <c r="O11" s="26">
        <v>3</v>
      </c>
      <c r="P11" s="27">
        <v>5</v>
      </c>
      <c r="Q11" s="26">
        <v>28066</v>
      </c>
      <c r="R11" s="26">
        <v>11.489901341145636</v>
      </c>
      <c r="S11" s="26">
        <v>1015.6875447726965</v>
      </c>
      <c r="T11" s="26">
        <v>0</v>
      </c>
    </row>
    <row r="12" spans="2:20" x14ac:dyDescent="0.2">
      <c r="B12" s="4">
        <v>9</v>
      </c>
      <c r="C12" s="4">
        <v>499</v>
      </c>
      <c r="D12" s="12">
        <v>58636.261460000002</v>
      </c>
      <c r="E12" s="7">
        <v>5.3021907799999997E-2</v>
      </c>
      <c r="F12" s="7">
        <v>2</v>
      </c>
      <c r="G12" s="5">
        <v>7</v>
      </c>
      <c r="H12" s="7">
        <v>23998.2</v>
      </c>
      <c r="I12" s="7">
        <v>0</v>
      </c>
      <c r="J12" s="7">
        <v>692.94010706439963</v>
      </c>
      <c r="K12" s="7">
        <v>0</v>
      </c>
      <c r="L12" s="23">
        <v>930</v>
      </c>
      <c r="M12" s="25">
        <v>48120.658779999998</v>
      </c>
      <c r="N12" s="26">
        <v>6.8506002400000002E-2</v>
      </c>
      <c r="O12" s="26">
        <v>2</v>
      </c>
      <c r="P12" s="27">
        <v>5</v>
      </c>
      <c r="Q12" s="26">
        <v>28819</v>
      </c>
      <c r="R12" s="26">
        <v>13.830892170767148</v>
      </c>
      <c r="S12" s="26">
        <v>1062.7793576263819</v>
      </c>
      <c r="T12" s="26">
        <v>0</v>
      </c>
    </row>
    <row r="13" spans="2:20" x14ac:dyDescent="0.2">
      <c r="B13" s="4">
        <v>10</v>
      </c>
      <c r="C13" s="4">
        <v>184</v>
      </c>
      <c r="D13" s="12">
        <v>56051.600570000002</v>
      </c>
      <c r="E13" s="7">
        <v>1.7492055900000001E-2</v>
      </c>
      <c r="F13" s="7">
        <v>2</v>
      </c>
      <c r="G13" s="5">
        <v>6</v>
      </c>
      <c r="H13" s="7">
        <v>29688</v>
      </c>
      <c r="I13" s="7">
        <v>0</v>
      </c>
      <c r="J13" s="7">
        <v>640.68494075710566</v>
      </c>
      <c r="K13" s="7">
        <v>0</v>
      </c>
      <c r="L13" s="23">
        <v>955</v>
      </c>
      <c r="M13" s="25">
        <v>48854.910340000002</v>
      </c>
      <c r="N13" s="26">
        <v>0.31390714650000001</v>
      </c>
      <c r="O13" s="26">
        <v>3</v>
      </c>
      <c r="P13" s="27">
        <v>7</v>
      </c>
      <c r="Q13" s="26">
        <v>37048</v>
      </c>
      <c r="R13" s="26">
        <v>0</v>
      </c>
      <c r="S13" s="26">
        <v>688.84858107875812</v>
      </c>
      <c r="T13" s="26">
        <v>0</v>
      </c>
    </row>
    <row r="14" spans="2:20" x14ac:dyDescent="0.2">
      <c r="B14" s="46" t="s">
        <v>3</v>
      </c>
      <c r="C14" s="47"/>
      <c r="D14" s="9">
        <f t="shared" ref="D14:K14" si="0">AVERAGE(D4:D13)</f>
        <v>54117.795408999998</v>
      </c>
      <c r="E14" s="22">
        <f>AVERAGE(E4:E13)</f>
        <v>6.1081385610000004E-2</v>
      </c>
      <c r="F14" s="20">
        <f t="shared" si="0"/>
        <v>2</v>
      </c>
      <c r="G14" s="11">
        <f t="shared" si="0"/>
        <v>6.3</v>
      </c>
      <c r="H14" s="9">
        <f t="shared" si="0"/>
        <v>28154.360000000004</v>
      </c>
      <c r="I14" s="13">
        <f t="shared" si="0"/>
        <v>1.5137500960229793</v>
      </c>
      <c r="J14" s="13">
        <f t="shared" si="0"/>
        <v>697.68806130542214</v>
      </c>
      <c r="K14" s="11">
        <f t="shared" si="0"/>
        <v>0</v>
      </c>
      <c r="L14" s="16"/>
      <c r="M14" s="16">
        <f t="shared" ref="M14:T14" si="1">AVERAGE(M4:M13)</f>
        <v>47552.514402000001</v>
      </c>
      <c r="N14" s="21">
        <f t="shared" si="1"/>
        <v>0.22327318192000001</v>
      </c>
      <c r="O14" s="18">
        <f t="shared" si="1"/>
        <v>2.5</v>
      </c>
      <c r="P14" s="18">
        <f t="shared" si="1"/>
        <v>5.8</v>
      </c>
      <c r="Q14" s="16">
        <f t="shared" si="1"/>
        <v>35507.4</v>
      </c>
      <c r="R14" s="17">
        <f t="shared" si="1"/>
        <v>3.0817408067285754</v>
      </c>
      <c r="S14" s="17">
        <f t="shared" si="1"/>
        <v>883.69656008157403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8" priority="1"/>
  </conditionalFormatting>
  <conditionalFormatting sqref="L14">
    <cfRule type="duplicateValues" dxfId="57" priority="2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7743F-C517-DD43-98FD-27036BD8C585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7.6640625" style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18</v>
      </c>
      <c r="D4" s="12">
        <v>28059.453750000001</v>
      </c>
      <c r="E4" s="7">
        <v>0.16861200330000001</v>
      </c>
      <c r="F4" s="7">
        <v>3</v>
      </c>
      <c r="G4" s="5">
        <v>1</v>
      </c>
      <c r="H4" s="7">
        <v>27805.8</v>
      </c>
      <c r="I4" s="7">
        <v>0</v>
      </c>
      <c r="J4" s="7">
        <v>790.54560829015895</v>
      </c>
      <c r="K4" s="7">
        <v>0</v>
      </c>
      <c r="L4" s="23">
        <v>173</v>
      </c>
      <c r="M4" s="12">
        <v>24992.71243</v>
      </c>
      <c r="N4" s="7">
        <v>4.7358989716000002</v>
      </c>
      <c r="O4" s="7">
        <v>4</v>
      </c>
      <c r="P4" s="5">
        <v>1</v>
      </c>
      <c r="Q4" s="7">
        <v>54646.400000000023</v>
      </c>
      <c r="R4" s="7">
        <v>0</v>
      </c>
      <c r="S4" s="7">
        <v>963.19520894817765</v>
      </c>
      <c r="T4" s="7">
        <v>0</v>
      </c>
    </row>
    <row r="5" spans="2:20" x14ac:dyDescent="0.2">
      <c r="B5" s="4">
        <v>2</v>
      </c>
      <c r="C5" s="4">
        <v>267</v>
      </c>
      <c r="D5" s="12">
        <v>21092.676869999999</v>
      </c>
      <c r="E5" s="7">
        <v>0.32249593729999998</v>
      </c>
      <c r="F5" s="7">
        <v>3</v>
      </c>
      <c r="G5" s="5">
        <v>0</v>
      </c>
      <c r="H5" s="7">
        <v>15856.8</v>
      </c>
      <c r="I5" s="7">
        <v>0</v>
      </c>
      <c r="J5" s="7">
        <v>759.24820190108244</v>
      </c>
      <c r="K5" s="7">
        <v>0</v>
      </c>
      <c r="L5" s="23">
        <v>195</v>
      </c>
      <c r="M5" s="12">
        <v>29160.414629999999</v>
      </c>
      <c r="N5" s="7">
        <v>16.652752876299999</v>
      </c>
      <c r="O5" s="7">
        <v>4</v>
      </c>
      <c r="P5" s="5">
        <v>1.0000000000323972</v>
      </c>
      <c r="Q5" s="7">
        <v>45934</v>
      </c>
      <c r="R5" s="7">
        <v>0</v>
      </c>
      <c r="S5" s="7">
        <v>1179.224490484522</v>
      </c>
      <c r="T5" s="7">
        <v>0</v>
      </c>
    </row>
    <row r="6" spans="2:20" x14ac:dyDescent="0.2">
      <c r="B6" s="4">
        <v>3</v>
      </c>
      <c r="C6" s="4">
        <v>531</v>
      </c>
      <c r="D6" s="12">
        <v>37352.616349999997</v>
      </c>
      <c r="E6" s="7">
        <v>2.4240016900000001E-2</v>
      </c>
      <c r="F6" s="7">
        <v>3</v>
      </c>
      <c r="G6" s="5">
        <v>1</v>
      </c>
      <c r="H6" s="7">
        <v>25219.4</v>
      </c>
      <c r="I6" s="7">
        <v>7.2602753815578449</v>
      </c>
      <c r="J6" s="7">
        <v>1260.5607349174684</v>
      </c>
      <c r="K6" s="7">
        <v>3.5699999999999998E-3</v>
      </c>
      <c r="L6" s="23">
        <v>529</v>
      </c>
      <c r="M6" s="12">
        <v>23672.9866</v>
      </c>
      <c r="N6" s="7">
        <v>2.0231149196999998</v>
      </c>
      <c r="O6" s="7">
        <v>3</v>
      </c>
      <c r="P6" s="5">
        <v>0</v>
      </c>
      <c r="Q6" s="7">
        <v>44262.199999999961</v>
      </c>
      <c r="R6" s="7">
        <v>0</v>
      </c>
      <c r="S6" s="7">
        <v>1131.9283960202195</v>
      </c>
      <c r="T6" s="7">
        <v>0</v>
      </c>
    </row>
    <row r="7" spans="2:20" x14ac:dyDescent="0.2">
      <c r="B7" s="4">
        <v>4</v>
      </c>
      <c r="C7" s="4">
        <v>592</v>
      </c>
      <c r="D7" s="12">
        <v>42182.919719999998</v>
      </c>
      <c r="E7" s="7">
        <v>5.7106978893000004</v>
      </c>
      <c r="F7" s="7">
        <v>3</v>
      </c>
      <c r="G7" s="5">
        <v>3</v>
      </c>
      <c r="H7" s="7">
        <v>31192</v>
      </c>
      <c r="I7" s="7">
        <v>0</v>
      </c>
      <c r="J7" s="7">
        <v>865.9886385849062</v>
      </c>
      <c r="K7" s="7">
        <v>0</v>
      </c>
      <c r="L7" s="23">
        <v>251</v>
      </c>
      <c r="M7" s="12">
        <v>26957.236440000001</v>
      </c>
      <c r="N7" s="7">
        <v>0.1311349869</v>
      </c>
      <c r="O7" s="7">
        <v>3</v>
      </c>
      <c r="P7" s="5">
        <v>1</v>
      </c>
      <c r="Q7" s="7">
        <v>41297</v>
      </c>
      <c r="R7" s="7">
        <v>0</v>
      </c>
      <c r="S7" s="7">
        <v>1014.00576120863</v>
      </c>
      <c r="T7" s="7">
        <v>0</v>
      </c>
    </row>
    <row r="8" spans="2:20" x14ac:dyDescent="0.2">
      <c r="B8" s="4">
        <v>5</v>
      </c>
      <c r="C8" s="4">
        <v>227</v>
      </c>
      <c r="D8" s="12">
        <v>26328.817070000001</v>
      </c>
      <c r="E8" s="7">
        <v>0.20419287680000001</v>
      </c>
      <c r="F8" s="7">
        <v>3</v>
      </c>
      <c r="G8" s="5">
        <v>1</v>
      </c>
      <c r="H8" s="7">
        <v>19782</v>
      </c>
      <c r="I8" s="7">
        <v>0</v>
      </c>
      <c r="J8" s="7">
        <v>633.91387377054139</v>
      </c>
      <c r="K8" s="7">
        <v>0</v>
      </c>
      <c r="L8" s="23">
        <v>291</v>
      </c>
      <c r="M8" s="12">
        <v>32374.919180000001</v>
      </c>
      <c r="N8" s="7">
        <v>0.10121989250000001</v>
      </c>
      <c r="O8" s="7">
        <v>3</v>
      </c>
      <c r="P8" s="5">
        <v>1</v>
      </c>
      <c r="Q8" s="7">
        <v>45078</v>
      </c>
      <c r="R8" s="7">
        <v>6.4113845111222547</v>
      </c>
      <c r="S8" s="7">
        <v>1279.0033123146122</v>
      </c>
      <c r="T8" s="7">
        <v>0</v>
      </c>
    </row>
    <row r="9" spans="2:20" x14ac:dyDescent="0.2">
      <c r="B9" s="4">
        <v>6</v>
      </c>
      <c r="C9" s="4">
        <v>774</v>
      </c>
      <c r="D9" s="12">
        <v>36127.159659999998</v>
      </c>
      <c r="E9" s="7">
        <v>0.13639998440000001</v>
      </c>
      <c r="F9" s="7">
        <v>3</v>
      </c>
      <c r="G9" s="5">
        <v>0</v>
      </c>
      <c r="H9" s="7">
        <v>20351</v>
      </c>
      <c r="I9" s="7">
        <v>0</v>
      </c>
      <c r="J9" s="7">
        <v>1401.5523805533617</v>
      </c>
      <c r="K9" s="7">
        <v>0</v>
      </c>
      <c r="L9" s="23">
        <v>632</v>
      </c>
      <c r="M9" s="12">
        <v>24897.6351</v>
      </c>
      <c r="N9" s="7">
        <v>0.12747597690000001</v>
      </c>
      <c r="O9" s="7">
        <v>3</v>
      </c>
      <c r="P9" s="5">
        <v>2</v>
      </c>
      <c r="Q9" s="7">
        <v>49769</v>
      </c>
      <c r="R9" s="7">
        <v>0</v>
      </c>
      <c r="S9" s="7">
        <v>704.44179256975269</v>
      </c>
      <c r="T9" s="7">
        <v>0</v>
      </c>
    </row>
    <row r="10" spans="2:20" x14ac:dyDescent="0.2">
      <c r="B10" s="4">
        <v>7</v>
      </c>
      <c r="C10" s="4">
        <v>163</v>
      </c>
      <c r="D10" s="12">
        <v>49630.814230000004</v>
      </c>
      <c r="E10" s="7">
        <v>1.4427778721</v>
      </c>
      <c r="F10" s="7">
        <v>4</v>
      </c>
      <c r="G10" s="5">
        <v>3</v>
      </c>
      <c r="H10" s="7">
        <v>42420</v>
      </c>
      <c r="I10" s="7">
        <v>0</v>
      </c>
      <c r="J10" s="7">
        <v>1130.6839049303542</v>
      </c>
      <c r="K10" s="7">
        <v>0</v>
      </c>
      <c r="L10" s="23">
        <v>978</v>
      </c>
      <c r="M10" s="12">
        <v>25831.67253</v>
      </c>
      <c r="N10" s="7">
        <v>2.9589869975999998</v>
      </c>
      <c r="O10" s="7">
        <v>3</v>
      </c>
      <c r="P10" s="5">
        <v>0</v>
      </c>
      <c r="Q10" s="7">
        <v>38660</v>
      </c>
      <c r="R10" s="7">
        <v>3.7140788101714408</v>
      </c>
      <c r="S10" s="7">
        <v>1195.3435963208308</v>
      </c>
      <c r="T10" s="7">
        <v>0</v>
      </c>
    </row>
    <row r="11" spans="2:20" x14ac:dyDescent="0.2">
      <c r="B11" s="4">
        <v>8</v>
      </c>
      <c r="C11" s="4">
        <v>776</v>
      </c>
      <c r="D11" s="12">
        <v>19317.009740000001</v>
      </c>
      <c r="E11" s="7">
        <v>6.1023950600000001E-2</v>
      </c>
      <c r="F11" s="7">
        <v>3</v>
      </c>
      <c r="G11" s="5">
        <v>0</v>
      </c>
      <c r="H11" s="7">
        <v>17467.599999999977</v>
      </c>
      <c r="I11" s="7">
        <v>0</v>
      </c>
      <c r="J11" s="7">
        <v>603.75595118465242</v>
      </c>
      <c r="K11" s="7">
        <v>0</v>
      </c>
      <c r="L11" s="23">
        <v>623</v>
      </c>
      <c r="M11" s="12">
        <v>32949.11419</v>
      </c>
      <c r="N11" s="7">
        <v>0.33181500429999999</v>
      </c>
      <c r="O11" s="7">
        <v>3</v>
      </c>
      <c r="P11" s="5">
        <v>1</v>
      </c>
      <c r="Q11" s="7">
        <v>40703</v>
      </c>
      <c r="R11" s="7">
        <v>33.185906160520076</v>
      </c>
      <c r="S11" s="7">
        <v>1310.2492726679125</v>
      </c>
      <c r="T11" s="7">
        <v>0</v>
      </c>
    </row>
    <row r="12" spans="2:20" x14ac:dyDescent="0.2">
      <c r="B12" s="4">
        <v>9</v>
      </c>
      <c r="C12" s="4">
        <v>856</v>
      </c>
      <c r="D12" s="12">
        <v>58845.550600000002</v>
      </c>
      <c r="E12" s="7">
        <v>6.7942180633999998</v>
      </c>
      <c r="F12" s="7">
        <v>6</v>
      </c>
      <c r="G12" s="5">
        <v>3</v>
      </c>
      <c r="H12" s="7">
        <v>35981.400000000023</v>
      </c>
      <c r="I12" s="7">
        <v>13.157741781463756</v>
      </c>
      <c r="J12" s="7">
        <v>1305.4062997517517</v>
      </c>
      <c r="K12" s="7">
        <v>0</v>
      </c>
      <c r="L12" s="23">
        <v>275</v>
      </c>
      <c r="M12" s="12">
        <v>25753.2264</v>
      </c>
      <c r="N12" s="7">
        <v>1.2466590405</v>
      </c>
      <c r="O12" s="7">
        <v>3</v>
      </c>
      <c r="P12" s="5">
        <v>2</v>
      </c>
      <c r="Q12" s="7">
        <v>45243</v>
      </c>
      <c r="R12" s="7">
        <v>0</v>
      </c>
      <c r="S12" s="7">
        <v>750.77191543798392</v>
      </c>
      <c r="T12" s="7">
        <v>0</v>
      </c>
    </row>
    <row r="13" spans="2:20" x14ac:dyDescent="0.2">
      <c r="B13" s="4">
        <v>10</v>
      </c>
      <c r="C13" s="4">
        <v>977</v>
      </c>
      <c r="D13" s="12">
        <v>32779.698129999997</v>
      </c>
      <c r="E13" s="7">
        <v>0.94311881070000003</v>
      </c>
      <c r="F13" s="7">
        <v>3</v>
      </c>
      <c r="G13" s="5">
        <v>3</v>
      </c>
      <c r="H13" s="7">
        <v>22884.40000000002</v>
      </c>
      <c r="I13" s="7">
        <v>0</v>
      </c>
      <c r="J13" s="7">
        <v>664.74237374217296</v>
      </c>
      <c r="K13" s="7">
        <v>0</v>
      </c>
      <c r="L13" s="23">
        <v>139</v>
      </c>
      <c r="M13" s="12">
        <v>44193.566019999998</v>
      </c>
      <c r="N13" s="7">
        <v>4.4924261569999997</v>
      </c>
      <c r="O13" s="7">
        <v>6</v>
      </c>
      <c r="P13" s="5">
        <v>6</v>
      </c>
      <c r="Q13" s="7">
        <v>61647.599999999853</v>
      </c>
      <c r="R13" s="7">
        <v>0</v>
      </c>
      <c r="S13" s="7">
        <v>726.85347478175242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35171.671611999998</v>
      </c>
      <c r="E14" s="22">
        <f>AVERAGE(E4:E13)</f>
        <v>1.5807777404799999</v>
      </c>
      <c r="F14" s="20">
        <f t="shared" si="0"/>
        <v>3.4</v>
      </c>
      <c r="G14" s="11">
        <f t="shared" si="0"/>
        <v>1.5</v>
      </c>
      <c r="H14" s="9">
        <f t="shared" si="0"/>
        <v>25896.04</v>
      </c>
      <c r="I14" s="13">
        <f t="shared" si="0"/>
        <v>2.0418017163021602</v>
      </c>
      <c r="J14" s="13">
        <f t="shared" si="0"/>
        <v>941.63979676264501</v>
      </c>
      <c r="K14" s="10">
        <f t="shared" si="0"/>
        <v>3.57E-4</v>
      </c>
      <c r="L14" s="16"/>
      <c r="M14" s="16">
        <f t="shared" ref="M14:T14" si="1">AVERAGE(M4:M13)</f>
        <v>29078.348352000001</v>
      </c>
      <c r="N14" s="21">
        <f t="shared" si="1"/>
        <v>3.28014848233</v>
      </c>
      <c r="O14" s="18">
        <f t="shared" si="1"/>
        <v>3.5</v>
      </c>
      <c r="P14" s="18">
        <f t="shared" si="1"/>
        <v>1.5000000000032396</v>
      </c>
      <c r="Q14" s="16">
        <f t="shared" si="1"/>
        <v>46724.019999999982</v>
      </c>
      <c r="R14" s="17">
        <f t="shared" si="1"/>
        <v>4.3311369481813768</v>
      </c>
      <c r="S14" s="17">
        <f t="shared" si="1"/>
        <v>1025.5017220754394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6" priority="1"/>
    <cfRule type="duplicateValues" dxfId="55" priority="2"/>
  </conditionalFormatting>
  <conditionalFormatting sqref="L14">
    <cfRule type="duplicateValues" dxfId="54" priority="3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1C97C-F2E4-7647-B918-CB8686531C71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23">
        <v>436</v>
      </c>
      <c r="M4" s="12">
        <v>27650.335999999999</v>
      </c>
      <c r="N4" s="7">
        <v>0.14999103550000001</v>
      </c>
      <c r="O4" s="7">
        <v>3</v>
      </c>
      <c r="P4" s="5">
        <v>1</v>
      </c>
      <c r="Q4" s="7">
        <v>53334</v>
      </c>
      <c r="R4" s="7">
        <v>0</v>
      </c>
      <c r="S4" s="7">
        <v>1067.4838804872195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23">
        <v>132</v>
      </c>
      <c r="M5" s="12">
        <v>27334.507989999998</v>
      </c>
      <c r="N5" s="7">
        <v>1.3536918163</v>
      </c>
      <c r="O5" s="7">
        <v>4</v>
      </c>
      <c r="P5" s="5">
        <v>1</v>
      </c>
      <c r="Q5" s="7">
        <v>49716</v>
      </c>
      <c r="R5" s="7">
        <v>0</v>
      </c>
      <c r="S5" s="7">
        <v>1069.9311814935477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23">
        <v>287</v>
      </c>
      <c r="M6" s="12">
        <v>29311.563890000001</v>
      </c>
      <c r="N6" s="7">
        <v>0.32583093639999999</v>
      </c>
      <c r="O6" s="7">
        <v>4</v>
      </c>
      <c r="P6" s="5">
        <v>1</v>
      </c>
      <c r="Q6" s="7">
        <v>49787</v>
      </c>
      <c r="R6" s="7">
        <v>0</v>
      </c>
      <c r="S6" s="7">
        <v>1163.2675126340207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23">
        <v>497</v>
      </c>
      <c r="M7" s="12">
        <v>38003.36823</v>
      </c>
      <c r="N7" s="7">
        <v>7.1392149925000004</v>
      </c>
      <c r="O7" s="7">
        <v>6</v>
      </c>
      <c r="P7" s="5">
        <v>3</v>
      </c>
      <c r="Q7" s="7">
        <v>68565.800000000047</v>
      </c>
      <c r="R7" s="7">
        <v>0</v>
      </c>
      <c r="S7" s="7">
        <v>1095.1728238410974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23">
        <v>424</v>
      </c>
      <c r="M8" s="12">
        <v>39670.415670000002</v>
      </c>
      <c r="N8" s="7">
        <v>3.3269710540999999</v>
      </c>
      <c r="O8" s="7">
        <v>4</v>
      </c>
      <c r="P8" s="5">
        <v>3</v>
      </c>
      <c r="Q8" s="7">
        <v>47318</v>
      </c>
      <c r="R8" s="7">
        <v>0</v>
      </c>
      <c r="S8" s="7">
        <v>1316.851372602184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23">
        <v>844</v>
      </c>
      <c r="M9" s="12">
        <v>50495.398220000003</v>
      </c>
      <c r="N9" s="7">
        <v>9.3312025100000001E-2</v>
      </c>
      <c r="O9" s="7">
        <v>4</v>
      </c>
      <c r="P9" s="5">
        <v>7</v>
      </c>
      <c r="Q9" s="7">
        <v>60827</v>
      </c>
      <c r="R9" s="7">
        <v>0</v>
      </c>
      <c r="S9" s="7">
        <v>755.58180065369095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23">
        <v>486</v>
      </c>
      <c r="M10" s="12">
        <v>33718.823779999999</v>
      </c>
      <c r="N10" s="7">
        <v>10.032382011399999</v>
      </c>
      <c r="O10" s="7">
        <v>4</v>
      </c>
      <c r="P10" s="5">
        <v>2</v>
      </c>
      <c r="Q10" s="7">
        <v>50872.400000000023</v>
      </c>
      <c r="R10" s="7">
        <v>0</v>
      </c>
      <c r="S10" s="7">
        <v>1130.9755303883039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23">
        <v>332</v>
      </c>
      <c r="M11" s="12">
        <v>29401.372630000002</v>
      </c>
      <c r="N11" s="7">
        <v>6.9453001E-2</v>
      </c>
      <c r="O11" s="7">
        <v>3</v>
      </c>
      <c r="P11" s="5">
        <v>2</v>
      </c>
      <c r="Q11" s="7">
        <v>50018</v>
      </c>
      <c r="R11" s="7">
        <v>0</v>
      </c>
      <c r="S11" s="7">
        <v>922.61310237532348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23">
        <v>728</v>
      </c>
      <c r="M12" s="12">
        <v>31563.957399999999</v>
      </c>
      <c r="N12" s="7">
        <v>2.3995609283000001</v>
      </c>
      <c r="O12" s="7">
        <v>5</v>
      </c>
      <c r="P12" s="5">
        <v>2</v>
      </c>
      <c r="Q12" s="7">
        <v>52217</v>
      </c>
      <c r="R12" s="7">
        <v>5.6307527914690905</v>
      </c>
      <c r="S12" s="7">
        <v>981.56397055780076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23">
        <v>378</v>
      </c>
      <c r="M13" s="12">
        <v>34891.127350000002</v>
      </c>
      <c r="N13" s="7">
        <v>0.18665790560000001</v>
      </c>
      <c r="O13" s="7">
        <v>4</v>
      </c>
      <c r="P13" s="5">
        <v>2</v>
      </c>
      <c r="Q13" s="7">
        <v>48849</v>
      </c>
      <c r="R13" s="7">
        <v>10.07744551171046</v>
      </c>
      <c r="S13" s="7">
        <v>1150.6254724933751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34204.087116000002</v>
      </c>
      <c r="N14" s="21">
        <f t="shared" si="1"/>
        <v>2.5077065706199999</v>
      </c>
      <c r="O14" s="18">
        <f t="shared" si="1"/>
        <v>4.0999999999999996</v>
      </c>
      <c r="P14" s="18">
        <f t="shared" si="1"/>
        <v>2.4</v>
      </c>
      <c r="Q14" s="16">
        <f t="shared" si="1"/>
        <v>53150.420000000006</v>
      </c>
      <c r="R14" s="17">
        <f t="shared" si="1"/>
        <v>1.570819830317955</v>
      </c>
      <c r="S14" s="17">
        <f t="shared" si="1"/>
        <v>1065.4066647526565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3" priority="1"/>
  </conditionalFormatting>
  <conditionalFormatting sqref="L14">
    <cfRule type="duplicateValues" dxfId="52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41D59-D6E8-0046-90C4-1E887146BA8C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10</v>
      </c>
      <c r="D4" s="12">
        <v>70969.846810000003</v>
      </c>
      <c r="E4" s="7">
        <v>8.1142902399999994E-2</v>
      </c>
      <c r="F4" s="7">
        <v>2</v>
      </c>
      <c r="G4" s="5">
        <v>3</v>
      </c>
      <c r="H4" s="7">
        <v>30702.799999999999</v>
      </c>
      <c r="I4" s="7">
        <v>15.97403050551258</v>
      </c>
      <c r="J4" s="7">
        <v>1537.1732766384889</v>
      </c>
      <c r="K4" s="7">
        <v>0</v>
      </c>
      <c r="L4" s="23">
        <v>966</v>
      </c>
      <c r="M4" s="12">
        <v>72208.740390000006</v>
      </c>
      <c r="N4" s="7">
        <v>1.6617908478000001</v>
      </c>
      <c r="O4" s="7">
        <v>3</v>
      </c>
      <c r="P4" s="5">
        <v>7</v>
      </c>
      <c r="Q4" s="7">
        <v>46217</v>
      </c>
      <c r="R4" s="7">
        <v>5.4651461857918937</v>
      </c>
      <c r="S4" s="7">
        <v>1245.813656204004</v>
      </c>
      <c r="T4" s="7">
        <v>0</v>
      </c>
    </row>
    <row r="5" spans="2:20" x14ac:dyDescent="0.2">
      <c r="B5" s="4">
        <v>2</v>
      </c>
      <c r="C5" s="4">
        <v>327</v>
      </c>
      <c r="D5" s="12">
        <v>57211.72148</v>
      </c>
      <c r="E5" s="7">
        <v>9.3211889300000003E-2</v>
      </c>
      <c r="F5" s="7">
        <v>2</v>
      </c>
      <c r="G5" s="5">
        <v>1</v>
      </c>
      <c r="H5" s="7">
        <v>21218.799999999999</v>
      </c>
      <c r="I5" s="7">
        <v>19.218006713455789</v>
      </c>
      <c r="J5" s="7">
        <v>1590.629690499291</v>
      </c>
      <c r="K5" s="7">
        <v>0</v>
      </c>
      <c r="L5" s="23">
        <v>197</v>
      </c>
      <c r="M5" s="12">
        <v>80363.846829999995</v>
      </c>
      <c r="N5" s="7">
        <v>8.2378010750000001</v>
      </c>
      <c r="O5" s="7">
        <v>3</v>
      </c>
      <c r="P5" s="5">
        <v>7</v>
      </c>
      <c r="Q5" s="7">
        <v>40899.800000000047</v>
      </c>
      <c r="R5" s="7">
        <v>30.025042291585155</v>
      </c>
      <c r="S5" s="7">
        <v>1512.475646667624</v>
      </c>
      <c r="T5" s="7">
        <v>0</v>
      </c>
    </row>
    <row r="6" spans="2:20" x14ac:dyDescent="0.2">
      <c r="B6" s="4">
        <v>3</v>
      </c>
      <c r="C6" s="4">
        <v>413</v>
      </c>
      <c r="D6" s="12">
        <v>67863.406789999994</v>
      </c>
      <c r="E6" s="7">
        <v>9.9755048799999996E-2</v>
      </c>
      <c r="F6" s="7">
        <v>2</v>
      </c>
      <c r="G6" s="5">
        <v>1</v>
      </c>
      <c r="H6" s="7">
        <v>23715.400000000027</v>
      </c>
      <c r="I6" s="7">
        <v>13.549832234172149</v>
      </c>
      <c r="J6" s="7">
        <v>1703.4890786934511</v>
      </c>
      <c r="K6" s="7">
        <v>0</v>
      </c>
      <c r="L6" s="23">
        <v>232</v>
      </c>
      <c r="M6" s="12">
        <v>44026.609859999997</v>
      </c>
      <c r="N6" s="7">
        <v>1.0683369637</v>
      </c>
      <c r="O6" s="7">
        <v>2</v>
      </c>
      <c r="P6" s="5">
        <v>2</v>
      </c>
      <c r="Q6" s="7">
        <v>26779.59999999998</v>
      </c>
      <c r="R6" s="7">
        <v>13.621203985528606</v>
      </c>
      <c r="S6" s="7">
        <v>1122.0339817518759</v>
      </c>
      <c r="T6" s="7">
        <v>0</v>
      </c>
    </row>
    <row r="7" spans="2:20" x14ac:dyDescent="0.2">
      <c r="B7" s="4">
        <v>4</v>
      </c>
      <c r="C7" s="4">
        <v>637</v>
      </c>
      <c r="D7" s="12">
        <v>52957.131450000001</v>
      </c>
      <c r="E7" s="7">
        <v>2.6531934699999999E-2</v>
      </c>
      <c r="F7" s="7">
        <v>2</v>
      </c>
      <c r="G7" s="5">
        <v>3</v>
      </c>
      <c r="H7" s="7">
        <v>20173.2</v>
      </c>
      <c r="I7" s="7">
        <v>0</v>
      </c>
      <c r="J7" s="7">
        <v>907.72166205306632</v>
      </c>
      <c r="K7" s="7">
        <v>0</v>
      </c>
      <c r="L7" s="23">
        <v>167</v>
      </c>
      <c r="M7" s="12">
        <v>82765.826249999998</v>
      </c>
      <c r="N7" s="7">
        <v>8.0577239990000002</v>
      </c>
      <c r="O7" s="7">
        <v>3</v>
      </c>
      <c r="P7" s="5">
        <v>9</v>
      </c>
      <c r="Q7" s="7">
        <v>34761.400000000023</v>
      </c>
      <c r="R7" s="7">
        <v>11.5960783259008</v>
      </c>
      <c r="S7" s="7">
        <v>1188.9807636625205</v>
      </c>
      <c r="T7" s="7">
        <v>0</v>
      </c>
    </row>
    <row r="8" spans="2:20" x14ac:dyDescent="0.2">
      <c r="B8" s="4">
        <v>5</v>
      </c>
      <c r="C8" s="4">
        <v>478</v>
      </c>
      <c r="D8" s="12">
        <v>76474.674180000002</v>
      </c>
      <c r="E8" s="7">
        <v>9.3252220153999996</v>
      </c>
      <c r="F8" s="7">
        <v>2</v>
      </c>
      <c r="G8" s="5">
        <v>5.0000015197708905</v>
      </c>
      <c r="H8" s="7">
        <v>23276.2</v>
      </c>
      <c r="I8" s="7">
        <v>0</v>
      </c>
      <c r="J8" s="7">
        <v>1361.1121807684515</v>
      </c>
      <c r="K8" s="7">
        <v>0</v>
      </c>
      <c r="L8" s="23">
        <v>798</v>
      </c>
      <c r="M8" s="12">
        <v>66036.239939999999</v>
      </c>
      <c r="N8" s="7">
        <v>6.3038911819000001</v>
      </c>
      <c r="O8" s="7">
        <v>4</v>
      </c>
      <c r="P8" s="5">
        <v>5</v>
      </c>
      <c r="Q8" s="7">
        <v>46232</v>
      </c>
      <c r="R8" s="7">
        <v>6.6463089326340672</v>
      </c>
      <c r="S8" s="7">
        <v>1315.2175601311003</v>
      </c>
      <c r="T8" s="7">
        <v>0</v>
      </c>
    </row>
    <row r="9" spans="2:20" x14ac:dyDescent="0.2">
      <c r="B9" s="4">
        <v>6</v>
      </c>
      <c r="C9" s="4">
        <v>487</v>
      </c>
      <c r="D9" s="12">
        <v>36822.42452</v>
      </c>
      <c r="E9" s="7">
        <v>0.14999604229999999</v>
      </c>
      <c r="F9" s="7">
        <v>2</v>
      </c>
      <c r="G9" s="5">
        <v>0</v>
      </c>
      <c r="H9" s="7">
        <v>37313</v>
      </c>
      <c r="I9" s="7">
        <v>0</v>
      </c>
      <c r="J9" s="7">
        <v>838.22468124711088</v>
      </c>
      <c r="K9" s="7">
        <v>0</v>
      </c>
      <c r="L9" s="23">
        <v>342</v>
      </c>
      <c r="M9" s="12">
        <v>58649.729209999998</v>
      </c>
      <c r="N9" s="7">
        <v>1.1575858592999999</v>
      </c>
      <c r="O9" s="7">
        <v>3</v>
      </c>
      <c r="P9" s="5">
        <v>2</v>
      </c>
      <c r="Q9" s="7">
        <v>42048</v>
      </c>
      <c r="R9" s="7">
        <v>2.4959446343727296</v>
      </c>
      <c r="S9" s="7">
        <v>1602.3635134088981</v>
      </c>
      <c r="T9" s="7">
        <v>0</v>
      </c>
    </row>
    <row r="10" spans="2:20" x14ac:dyDescent="0.2">
      <c r="B10" s="4">
        <v>7</v>
      </c>
      <c r="C10" s="4">
        <v>501</v>
      </c>
      <c r="D10" s="12">
        <v>76393.016910000006</v>
      </c>
      <c r="E10" s="7">
        <v>0.2487630844</v>
      </c>
      <c r="F10" s="7">
        <v>2</v>
      </c>
      <c r="G10" s="5">
        <v>6</v>
      </c>
      <c r="H10" s="7">
        <v>26891.599999999999</v>
      </c>
      <c r="I10" s="7">
        <v>11.560297053077925</v>
      </c>
      <c r="J10" s="7">
        <v>1367.7720238781928</v>
      </c>
      <c r="K10" s="7">
        <v>0</v>
      </c>
      <c r="L10" s="23">
        <v>413</v>
      </c>
      <c r="M10" s="12">
        <v>57191.476790000001</v>
      </c>
      <c r="N10" s="7">
        <v>9.1896057099999998E-2</v>
      </c>
      <c r="O10" s="7">
        <v>2</v>
      </c>
      <c r="P10" s="5">
        <v>1</v>
      </c>
      <c r="Q10" s="7">
        <v>23716</v>
      </c>
      <c r="R10" s="7">
        <v>13.549832234168404</v>
      </c>
      <c r="S10" s="7">
        <v>1703.4890786934452</v>
      </c>
      <c r="T10" s="7">
        <v>0</v>
      </c>
    </row>
    <row r="11" spans="2:20" x14ac:dyDescent="0.2">
      <c r="B11" s="4">
        <v>8</v>
      </c>
      <c r="C11" s="4">
        <v>668</v>
      </c>
      <c r="D11" s="12">
        <v>53017.304219999998</v>
      </c>
      <c r="E11" s="7">
        <v>1.5701870918</v>
      </c>
      <c r="F11" s="7">
        <v>2</v>
      </c>
      <c r="G11" s="5">
        <v>1.9999999999937295</v>
      </c>
      <c r="H11" s="7">
        <v>25063.799996972069</v>
      </c>
      <c r="I11" s="7">
        <v>0</v>
      </c>
      <c r="J11" s="7">
        <v>1002.631257960473</v>
      </c>
      <c r="K11" s="7">
        <v>0</v>
      </c>
      <c r="L11" s="23">
        <v>927</v>
      </c>
      <c r="M11" s="12">
        <v>61677.178740000003</v>
      </c>
      <c r="N11" s="7">
        <v>19.9090530872</v>
      </c>
      <c r="O11" s="7">
        <v>2</v>
      </c>
      <c r="P11" s="5">
        <v>4</v>
      </c>
      <c r="Q11" s="7">
        <v>32083</v>
      </c>
      <c r="R11" s="7">
        <v>13.964982102450659</v>
      </c>
      <c r="S11" s="7">
        <v>1375.3591322538189</v>
      </c>
      <c r="T11" s="7">
        <v>0</v>
      </c>
    </row>
    <row r="12" spans="2:20" x14ac:dyDescent="0.2">
      <c r="B12" s="4">
        <v>9</v>
      </c>
      <c r="C12" s="4">
        <v>120</v>
      </c>
      <c r="D12" s="12">
        <v>43781.973940000003</v>
      </c>
      <c r="E12" s="7">
        <v>3.3185005199999999E-2</v>
      </c>
      <c r="F12" s="7">
        <v>2</v>
      </c>
      <c r="G12" s="5">
        <v>0</v>
      </c>
      <c r="H12" s="7">
        <v>26844</v>
      </c>
      <c r="I12" s="7">
        <v>0</v>
      </c>
      <c r="J12" s="7">
        <v>1003.5832268790034</v>
      </c>
      <c r="K12" s="7">
        <v>0</v>
      </c>
      <c r="L12" s="23">
        <v>87</v>
      </c>
      <c r="M12" s="12">
        <v>58863.384610000001</v>
      </c>
      <c r="N12" s="7">
        <v>0.1369268894</v>
      </c>
      <c r="O12" s="7">
        <v>2</v>
      </c>
      <c r="P12" s="5">
        <v>1</v>
      </c>
      <c r="Q12" s="7">
        <v>22038</v>
      </c>
      <c r="R12" s="7">
        <v>37.897244570099815</v>
      </c>
      <c r="S12" s="7">
        <v>1725.6429562934079</v>
      </c>
      <c r="T12" s="7">
        <v>0</v>
      </c>
    </row>
    <row r="13" spans="2:20" x14ac:dyDescent="0.2">
      <c r="B13" s="4">
        <v>10</v>
      </c>
      <c r="C13" s="4">
        <v>943</v>
      </c>
      <c r="D13" s="12">
        <v>77626.500650000002</v>
      </c>
      <c r="E13" s="7">
        <v>0.73777103420000001</v>
      </c>
      <c r="F13" s="7">
        <v>2</v>
      </c>
      <c r="G13" s="5">
        <v>7</v>
      </c>
      <c r="H13" s="7">
        <v>32528.400000000001</v>
      </c>
      <c r="I13" s="7">
        <v>2.2758432730813403</v>
      </c>
      <c r="J13" s="7">
        <v>1065.3006977080693</v>
      </c>
      <c r="K13" s="7">
        <v>0</v>
      </c>
      <c r="L13" s="23">
        <v>454</v>
      </c>
      <c r="M13" s="12">
        <v>52394.18593</v>
      </c>
      <c r="N13" s="7">
        <v>19.113831043200001</v>
      </c>
      <c r="O13" s="7">
        <v>3</v>
      </c>
      <c r="P13" s="5">
        <v>2</v>
      </c>
      <c r="Q13" s="7">
        <v>38423.199999999953</v>
      </c>
      <c r="R13" s="7">
        <v>0</v>
      </c>
      <c r="S13" s="7">
        <v>1393.3746105811404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61311.800094999999</v>
      </c>
      <c r="E14" s="22">
        <f>AVERAGE(E4:E13)</f>
        <v>1.23657660485</v>
      </c>
      <c r="F14" s="20">
        <f t="shared" si="0"/>
        <v>2</v>
      </c>
      <c r="G14" s="11">
        <f t="shared" si="0"/>
        <v>2.8000001519764619</v>
      </c>
      <c r="H14" s="9">
        <f t="shared" si="0"/>
        <v>26772.719999697212</v>
      </c>
      <c r="I14" s="13">
        <f t="shared" si="0"/>
        <v>6.2578009779299784</v>
      </c>
      <c r="J14" s="13">
        <f t="shared" si="0"/>
        <v>1237.7637776325598</v>
      </c>
      <c r="K14" s="11">
        <f t="shared" si="0"/>
        <v>0</v>
      </c>
      <c r="L14" s="16"/>
      <c r="M14" s="16">
        <f t="shared" ref="M14:T14" si="1">AVERAGE(M4:M13)</f>
        <v>63417.721854999996</v>
      </c>
      <c r="N14" s="21">
        <f t="shared" si="1"/>
        <v>6.5738837003599997</v>
      </c>
      <c r="O14" s="18">
        <f t="shared" si="1"/>
        <v>2.7</v>
      </c>
      <c r="P14" s="18">
        <f t="shared" si="1"/>
        <v>4</v>
      </c>
      <c r="Q14" s="16">
        <f t="shared" si="1"/>
        <v>35319.800000000003</v>
      </c>
      <c r="R14" s="17">
        <f t="shared" si="1"/>
        <v>13.526178326253213</v>
      </c>
      <c r="S14" s="17">
        <f t="shared" si="1"/>
        <v>1418.4750899647838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51" priority="1"/>
  </conditionalFormatting>
  <conditionalFormatting sqref="L14">
    <cfRule type="duplicateValues" dxfId="50" priority="2"/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65B3-17F5-9C49-B9A1-9B2D33584478}">
  <dimension ref="B3:T14"/>
  <sheetViews>
    <sheetView zoomScale="118" zoomScaleNormal="120" workbookViewId="0">
      <selection activeCell="C4" sqref="C4:C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33</v>
      </c>
      <c r="D4" s="12">
        <v>87062.434540000002</v>
      </c>
      <c r="E4" s="7">
        <v>6.8023920099999996E-2</v>
      </c>
      <c r="F4" s="7">
        <v>2</v>
      </c>
      <c r="G4" s="5">
        <v>10</v>
      </c>
      <c r="H4" s="7">
        <v>30634.799999999999</v>
      </c>
      <c r="I4" s="7">
        <v>1.1872388193966343</v>
      </c>
      <c r="J4" s="7">
        <v>873.56858911717927</v>
      </c>
      <c r="K4" s="7">
        <v>0</v>
      </c>
      <c r="L4" s="23">
        <v>30</v>
      </c>
      <c r="M4" s="12">
        <v>70870.885009999998</v>
      </c>
      <c r="N4" s="7">
        <v>0.3162939548</v>
      </c>
      <c r="O4" s="7">
        <v>2</v>
      </c>
      <c r="P4" s="5">
        <v>10</v>
      </c>
      <c r="Q4" s="7">
        <v>32894</v>
      </c>
      <c r="R4" s="7">
        <v>0</v>
      </c>
      <c r="S4" s="7">
        <v>705.86253755788448</v>
      </c>
      <c r="T4" s="7">
        <v>0</v>
      </c>
    </row>
    <row r="5" spans="2:20" x14ac:dyDescent="0.2">
      <c r="B5" s="4">
        <v>2</v>
      </c>
      <c r="C5" s="4">
        <v>290</v>
      </c>
      <c r="D5" s="12">
        <v>82306.333050000001</v>
      </c>
      <c r="E5" s="7">
        <v>0.1456110477</v>
      </c>
      <c r="F5" s="7">
        <v>2</v>
      </c>
      <c r="G5" s="5">
        <v>10</v>
      </c>
      <c r="H5" s="7">
        <v>30988.2</v>
      </c>
      <c r="I5" s="7">
        <v>0</v>
      </c>
      <c r="J5" s="7">
        <v>547.40420979444764</v>
      </c>
      <c r="K5" s="7">
        <v>0</v>
      </c>
      <c r="L5" s="23">
        <v>70</v>
      </c>
      <c r="M5" s="12">
        <v>73325.050080000001</v>
      </c>
      <c r="N5" s="7">
        <v>0.54987597470000005</v>
      </c>
      <c r="O5" s="7">
        <v>3</v>
      </c>
      <c r="P5" s="5">
        <v>11.00000000009797</v>
      </c>
      <c r="Q5" s="7">
        <v>36189</v>
      </c>
      <c r="R5" s="7">
        <v>0</v>
      </c>
      <c r="S5" s="7">
        <v>588.37756574620857</v>
      </c>
      <c r="T5" s="7">
        <v>0</v>
      </c>
    </row>
    <row r="6" spans="2:20" x14ac:dyDescent="0.2">
      <c r="B6" s="4">
        <v>3</v>
      </c>
      <c r="C6" s="4">
        <v>421</v>
      </c>
      <c r="D6" s="12">
        <v>68681.350869999995</v>
      </c>
      <c r="E6" s="7">
        <v>7.3747158100000001E-2</v>
      </c>
      <c r="F6" s="7">
        <v>2</v>
      </c>
      <c r="G6" s="5">
        <v>4</v>
      </c>
      <c r="H6" s="7">
        <v>34691</v>
      </c>
      <c r="I6" s="7">
        <v>0</v>
      </c>
      <c r="J6" s="7">
        <v>968.9744059622102</v>
      </c>
      <c r="K6" s="7">
        <v>0</v>
      </c>
      <c r="L6" s="23">
        <v>580</v>
      </c>
      <c r="M6" s="12">
        <v>63964.609389999998</v>
      </c>
      <c r="N6" s="7">
        <v>0.62905192379999997</v>
      </c>
      <c r="O6" s="7">
        <v>2</v>
      </c>
      <c r="P6" s="5">
        <v>6</v>
      </c>
      <c r="Q6" s="7">
        <v>23839</v>
      </c>
      <c r="R6" s="7">
        <v>0</v>
      </c>
      <c r="S6" s="7">
        <v>1128.7097899285204</v>
      </c>
      <c r="T6" s="7">
        <v>0</v>
      </c>
    </row>
    <row r="7" spans="2:20" x14ac:dyDescent="0.2">
      <c r="B7" s="4">
        <v>4</v>
      </c>
      <c r="C7" s="4">
        <v>190</v>
      </c>
      <c r="D7" s="12">
        <v>87063.524430000005</v>
      </c>
      <c r="E7" s="7">
        <v>7.7802896499999996E-2</v>
      </c>
      <c r="F7" s="7">
        <v>2</v>
      </c>
      <c r="G7" s="5">
        <v>11</v>
      </c>
      <c r="H7" s="7">
        <v>24345.999999999978</v>
      </c>
      <c r="I7" s="7">
        <v>1.7625055000112602</v>
      </c>
      <c r="J7" s="7">
        <v>720.86049545215724</v>
      </c>
      <c r="K7" s="7">
        <v>0</v>
      </c>
      <c r="L7" s="23">
        <v>595</v>
      </c>
      <c r="M7" s="12">
        <v>82355.12917</v>
      </c>
      <c r="N7" s="7">
        <v>5.0132489203999997</v>
      </c>
      <c r="O7" s="7">
        <v>3</v>
      </c>
      <c r="P7" s="5">
        <v>8</v>
      </c>
      <c r="Q7" s="7">
        <v>35353.800000000039</v>
      </c>
      <c r="R7" s="7">
        <v>19.218781377561495</v>
      </c>
      <c r="S7" s="7">
        <v>1373.4812119795401</v>
      </c>
      <c r="T7" s="7">
        <v>0</v>
      </c>
    </row>
    <row r="8" spans="2:20" x14ac:dyDescent="0.2">
      <c r="B8" s="4">
        <v>5</v>
      </c>
      <c r="C8" s="4">
        <v>860</v>
      </c>
      <c r="D8" s="12">
        <v>73509.079150000005</v>
      </c>
      <c r="E8" s="7">
        <v>0.13606786730000001</v>
      </c>
      <c r="F8" s="7">
        <v>2</v>
      </c>
      <c r="G8" s="5">
        <v>7</v>
      </c>
      <c r="H8" s="7">
        <v>31433</v>
      </c>
      <c r="I8" s="7">
        <v>6.2531997594899922</v>
      </c>
      <c r="J8" s="7">
        <v>1064.45362543073</v>
      </c>
      <c r="K8" s="7">
        <v>0</v>
      </c>
      <c r="L8" s="23">
        <v>994</v>
      </c>
      <c r="M8" s="12">
        <v>77251.042440000005</v>
      </c>
      <c r="N8" s="7">
        <v>0.15325903890000001</v>
      </c>
      <c r="O8" s="7">
        <v>2</v>
      </c>
      <c r="P8" s="5">
        <v>9</v>
      </c>
      <c r="Q8" s="7">
        <v>34740</v>
      </c>
      <c r="R8" s="7">
        <v>5.3793947498995749</v>
      </c>
      <c r="S8" s="7">
        <v>983.44682517507147</v>
      </c>
      <c r="T8" s="7">
        <v>0</v>
      </c>
    </row>
    <row r="9" spans="2:20" x14ac:dyDescent="0.2">
      <c r="B9" s="4">
        <v>6</v>
      </c>
      <c r="C9" s="4">
        <v>364</v>
      </c>
      <c r="D9" s="12">
        <v>64898.366379999999</v>
      </c>
      <c r="E9" s="7">
        <v>0.18719792369999999</v>
      </c>
      <c r="F9" s="7">
        <v>2</v>
      </c>
      <c r="G9" s="5">
        <v>6</v>
      </c>
      <c r="H9" s="7">
        <v>23117.599999999999</v>
      </c>
      <c r="I9" s="7">
        <v>26.645776716355375</v>
      </c>
      <c r="J9" s="7">
        <v>1025.9863848033337</v>
      </c>
      <c r="K9" s="7">
        <v>0</v>
      </c>
      <c r="L9" s="23">
        <v>238</v>
      </c>
      <c r="M9" s="12">
        <v>79036.745410000003</v>
      </c>
      <c r="N9" s="7">
        <v>2.9178891182000002</v>
      </c>
      <c r="O9" s="7">
        <v>3</v>
      </c>
      <c r="P9" s="5">
        <v>10</v>
      </c>
      <c r="Q9" s="7">
        <v>34000.599999999977</v>
      </c>
      <c r="R9" s="7">
        <v>0</v>
      </c>
      <c r="S9" s="7">
        <v>994.39420230844144</v>
      </c>
      <c r="T9" s="7">
        <v>0</v>
      </c>
    </row>
    <row r="10" spans="2:20" x14ac:dyDescent="0.2">
      <c r="B10" s="4">
        <v>7</v>
      </c>
      <c r="C10" s="4">
        <v>615</v>
      </c>
      <c r="D10" s="12">
        <v>74492.008300000001</v>
      </c>
      <c r="E10" s="7">
        <v>8.4846973399999998E-2</v>
      </c>
      <c r="F10" s="7">
        <v>2</v>
      </c>
      <c r="G10" s="5">
        <v>6</v>
      </c>
      <c r="H10" s="7">
        <v>23164.799999999999</v>
      </c>
      <c r="I10" s="7">
        <v>0</v>
      </c>
      <c r="J10" s="7">
        <v>1140.2296621754856</v>
      </c>
      <c r="K10" s="7">
        <v>0</v>
      </c>
      <c r="L10" s="23">
        <v>383</v>
      </c>
      <c r="M10" s="12">
        <v>76892.732669999998</v>
      </c>
      <c r="N10" s="7">
        <v>1.0800168513999999</v>
      </c>
      <c r="O10" s="7">
        <v>3</v>
      </c>
      <c r="P10" s="5">
        <v>11.000000001156618</v>
      </c>
      <c r="Q10" s="7">
        <v>32964</v>
      </c>
      <c r="R10" s="7">
        <v>0</v>
      </c>
      <c r="S10" s="7">
        <v>683.10859105350562</v>
      </c>
      <c r="T10" s="7">
        <v>0</v>
      </c>
    </row>
    <row r="11" spans="2:20" x14ac:dyDescent="0.2">
      <c r="B11" s="4">
        <v>8</v>
      </c>
      <c r="C11" s="4">
        <v>413</v>
      </c>
      <c r="D11" s="12">
        <v>93278.067800000004</v>
      </c>
      <c r="E11" s="7">
        <v>1.1842820644000001</v>
      </c>
      <c r="F11" s="7">
        <v>2</v>
      </c>
      <c r="G11" s="5">
        <v>14</v>
      </c>
      <c r="H11" s="7">
        <v>35075</v>
      </c>
      <c r="I11" s="7">
        <v>0</v>
      </c>
      <c r="J11" s="7">
        <v>458.46584026343152</v>
      </c>
      <c r="K11" s="7">
        <v>0</v>
      </c>
      <c r="L11" s="23">
        <v>858</v>
      </c>
      <c r="M11" s="12">
        <v>80711.833859999999</v>
      </c>
      <c r="N11" s="7">
        <v>0.25288295750000001</v>
      </c>
      <c r="O11" s="7">
        <v>2</v>
      </c>
      <c r="P11" s="5">
        <v>9</v>
      </c>
      <c r="Q11" s="7">
        <v>38859</v>
      </c>
      <c r="R11" s="7">
        <v>0</v>
      </c>
      <c r="S11" s="7">
        <v>1158.378507225988</v>
      </c>
      <c r="T11" s="7">
        <v>0</v>
      </c>
    </row>
    <row r="12" spans="2:20" x14ac:dyDescent="0.2">
      <c r="B12" s="4">
        <v>9</v>
      </c>
      <c r="C12" s="4">
        <v>813</v>
      </c>
      <c r="D12" s="12">
        <v>93741.361369999999</v>
      </c>
      <c r="E12" s="7">
        <v>0.46734905240000002</v>
      </c>
      <c r="F12" s="7">
        <v>2</v>
      </c>
      <c r="G12" s="5">
        <v>12</v>
      </c>
      <c r="H12" s="7">
        <v>27503</v>
      </c>
      <c r="I12" s="7">
        <v>2.2619642429636544</v>
      </c>
      <c r="J12" s="7">
        <v>726.20979265953872</v>
      </c>
      <c r="K12" s="7">
        <v>0</v>
      </c>
      <c r="L12" s="23">
        <v>939</v>
      </c>
      <c r="M12" s="12">
        <v>66278.818140000003</v>
      </c>
      <c r="N12" s="7">
        <v>10.112763166400001</v>
      </c>
      <c r="O12" s="7">
        <v>4</v>
      </c>
      <c r="P12" s="5">
        <v>9</v>
      </c>
      <c r="Q12" s="7">
        <v>54600.399999999907</v>
      </c>
      <c r="R12" s="7">
        <v>0</v>
      </c>
      <c r="S12" s="7">
        <v>725.46554957101682</v>
      </c>
      <c r="T12" s="7">
        <v>0</v>
      </c>
    </row>
    <row r="13" spans="2:20" x14ac:dyDescent="0.2">
      <c r="B13" s="4">
        <v>10</v>
      </c>
      <c r="C13" s="4">
        <v>951</v>
      </c>
      <c r="D13" s="12">
        <v>65897.5049</v>
      </c>
      <c r="E13" s="7">
        <v>3.0543088900000001E-2</v>
      </c>
      <c r="F13" s="7">
        <v>2</v>
      </c>
      <c r="G13" s="5">
        <v>6</v>
      </c>
      <c r="H13" s="7">
        <v>27298</v>
      </c>
      <c r="I13" s="7">
        <v>0</v>
      </c>
      <c r="J13" s="7">
        <v>963.15406248711224</v>
      </c>
      <c r="K13" s="7">
        <v>0</v>
      </c>
      <c r="L13" s="23">
        <v>596</v>
      </c>
      <c r="M13" s="12">
        <v>83778.816449999998</v>
      </c>
      <c r="N13" s="7">
        <v>5.5154099464000002</v>
      </c>
      <c r="O13" s="7">
        <v>3</v>
      </c>
      <c r="P13" s="5">
        <v>9</v>
      </c>
      <c r="Q13" s="7">
        <v>49536.6000000001</v>
      </c>
      <c r="R13" s="7">
        <v>17.590921157061917</v>
      </c>
      <c r="S13" s="7">
        <v>1227.9546590876491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79093.003079000002</v>
      </c>
      <c r="E14" s="22">
        <f>AVERAGE(E4:E13)</f>
        <v>0.24554719925000001</v>
      </c>
      <c r="F14" s="20">
        <f t="shared" si="0"/>
        <v>2</v>
      </c>
      <c r="G14" s="11">
        <f t="shared" si="0"/>
        <v>8.6</v>
      </c>
      <c r="H14" s="9">
        <f t="shared" si="0"/>
        <v>28825.139999999996</v>
      </c>
      <c r="I14" s="13">
        <f t="shared" si="0"/>
        <v>3.8110685038216916</v>
      </c>
      <c r="J14" s="13">
        <f t="shared" si="0"/>
        <v>848.93070681456265</v>
      </c>
      <c r="K14" s="11">
        <f t="shared" si="0"/>
        <v>0</v>
      </c>
      <c r="L14" s="16"/>
      <c r="M14" s="16">
        <f t="shared" ref="M14:T14" si="1">AVERAGE(M4:M13)</f>
        <v>75446.566261999993</v>
      </c>
      <c r="N14" s="21">
        <f t="shared" si="1"/>
        <v>2.6540691852499996</v>
      </c>
      <c r="O14" s="18">
        <f t="shared" si="1"/>
        <v>2.7</v>
      </c>
      <c r="P14" s="18">
        <f t="shared" si="1"/>
        <v>9.2000000001254598</v>
      </c>
      <c r="Q14" s="16">
        <f t="shared" si="1"/>
        <v>37297.64</v>
      </c>
      <c r="R14" s="17">
        <f t="shared" si="1"/>
        <v>4.2189097284522985</v>
      </c>
      <c r="S14" s="17">
        <f t="shared" si="1"/>
        <v>956.91794396338264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9" priority="1"/>
  </conditionalFormatting>
  <conditionalFormatting sqref="L14">
    <cfRule type="duplicateValues" dxfId="48" priority="2"/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F629-097C-4B46-BEBF-E68A4378C208}">
  <dimension ref="B3:T14"/>
  <sheetViews>
    <sheetView zoomScale="118" zoomScaleNormal="120" workbookViewId="0">
      <selection activeCell="M7" sqref="M7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23">
        <v>858</v>
      </c>
      <c r="M4" s="12">
        <v>58536.012260000003</v>
      </c>
      <c r="N4" s="7">
        <v>131.549626112</v>
      </c>
      <c r="O4" s="7">
        <v>4</v>
      </c>
      <c r="P4" s="5">
        <v>2</v>
      </c>
      <c r="Q4" s="7">
        <v>59395.599999999977</v>
      </c>
      <c r="R4" s="7">
        <v>16.50339386816545</v>
      </c>
      <c r="S4" s="7">
        <v>1541.7594961634611</v>
      </c>
      <c r="T4" s="7">
        <v>1.9400000000000001E-3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23">
        <v>968</v>
      </c>
      <c r="M5" s="12">
        <v>51277.585579999999</v>
      </c>
      <c r="N5" s="7">
        <v>245.45669698719999</v>
      </c>
      <c r="O5" s="7">
        <v>3</v>
      </c>
      <c r="P5" s="5">
        <v>1.9999999999929976</v>
      </c>
      <c r="Q5" s="7">
        <v>54717</v>
      </c>
      <c r="R5" s="7">
        <v>12.677432249584617</v>
      </c>
      <c r="S5" s="7">
        <v>1310.4561216315792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23">
        <v>454</v>
      </c>
      <c r="M6" s="12">
        <v>44935.861420000001</v>
      </c>
      <c r="N6" s="7">
        <v>99.544778823900003</v>
      </c>
      <c r="O6" s="7">
        <v>4</v>
      </c>
      <c r="P6" s="5">
        <v>2.1813661987835076E-12</v>
      </c>
      <c r="Q6" s="7">
        <v>46553</v>
      </c>
      <c r="R6" s="7">
        <v>3.7046458817754466</v>
      </c>
      <c r="S6" s="7">
        <v>1450.8120783685451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23">
        <v>627</v>
      </c>
      <c r="M7" s="12">
        <v>49739.054640000002</v>
      </c>
      <c r="N7" s="7">
        <v>51.732166051900002</v>
      </c>
      <c r="O7" s="7">
        <v>4</v>
      </c>
      <c r="P7" s="5">
        <v>2</v>
      </c>
      <c r="Q7" s="7">
        <v>57080</v>
      </c>
      <c r="R7" s="7">
        <v>3.6063448210773368</v>
      </c>
      <c r="S7" s="7">
        <v>1280.4113639848308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23">
        <v>188</v>
      </c>
      <c r="M8" s="12">
        <v>52092.231630000002</v>
      </c>
      <c r="N8" s="7">
        <v>6.1049590111000001</v>
      </c>
      <c r="O8" s="7">
        <v>4</v>
      </c>
      <c r="P8" s="5">
        <v>3</v>
      </c>
      <c r="Q8" s="7">
        <v>42040</v>
      </c>
      <c r="R8" s="7">
        <v>18.553042664577518</v>
      </c>
      <c r="S8" s="7">
        <v>1195.9428547585412</v>
      </c>
      <c r="T8" s="7">
        <v>5.8700000000000002E-3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23">
        <v>224</v>
      </c>
      <c r="M9" s="12">
        <v>38164.822639999999</v>
      </c>
      <c r="N9" s="7">
        <v>33.522799014999997</v>
      </c>
      <c r="O9" s="7">
        <v>3</v>
      </c>
      <c r="P9" s="5">
        <v>1.00000021632124</v>
      </c>
      <c r="Q9" s="7">
        <v>48832</v>
      </c>
      <c r="R9" s="7">
        <v>6.7966910464723096</v>
      </c>
      <c r="S9" s="7">
        <v>1012.0437250947599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23">
        <v>493</v>
      </c>
      <c r="M10" s="12">
        <v>53295.883029999997</v>
      </c>
      <c r="N10" s="7">
        <v>5.9271259307999999</v>
      </c>
      <c r="O10" s="7">
        <v>4</v>
      </c>
      <c r="P10" s="5">
        <v>1</v>
      </c>
      <c r="Q10" s="7">
        <v>47718</v>
      </c>
      <c r="R10" s="7">
        <v>25.972598588410779</v>
      </c>
      <c r="S10" s="7">
        <v>1563.5178336947183</v>
      </c>
      <c r="T10" s="7">
        <v>0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23">
        <v>935</v>
      </c>
      <c r="M11" s="12">
        <v>36635.736100000002</v>
      </c>
      <c r="N11" s="7">
        <v>12.5130469799</v>
      </c>
      <c r="O11" s="7">
        <v>3</v>
      </c>
      <c r="P11" s="5">
        <v>1</v>
      </c>
      <c r="Q11" s="7">
        <v>46752.800000000047</v>
      </c>
      <c r="R11" s="7">
        <v>0</v>
      </c>
      <c r="S11" s="7">
        <v>1025.8455384683216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23">
        <v>506</v>
      </c>
      <c r="M12" s="12">
        <v>57792.8001</v>
      </c>
      <c r="N12" s="7">
        <v>110.4749560356</v>
      </c>
      <c r="O12" s="7">
        <v>5</v>
      </c>
      <c r="P12" s="5">
        <v>5</v>
      </c>
      <c r="Q12" s="7">
        <v>61973.199999999939</v>
      </c>
      <c r="R12" s="7">
        <v>0</v>
      </c>
      <c r="S12" s="7">
        <v>1057.5314156238067</v>
      </c>
      <c r="T12" s="7">
        <v>8.9800000000000001E-3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23">
        <v>892</v>
      </c>
      <c r="M13" s="12">
        <v>58686.953500000003</v>
      </c>
      <c r="N13" s="7">
        <v>9.7203970000000001E-2</v>
      </c>
      <c r="O13" s="7">
        <v>3</v>
      </c>
      <c r="P13" s="5">
        <v>4</v>
      </c>
      <c r="Q13" s="7">
        <v>45199</v>
      </c>
      <c r="R13" s="7">
        <v>4.6238995816912531</v>
      </c>
      <c r="S13" s="7">
        <v>1232.2059071816018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50115.694089999997</v>
      </c>
      <c r="N14" s="21">
        <f t="shared" si="1"/>
        <v>69.692335891740015</v>
      </c>
      <c r="O14" s="18">
        <f t="shared" si="1"/>
        <v>3.7</v>
      </c>
      <c r="P14" s="18">
        <f t="shared" si="1"/>
        <v>2.1000000216316419</v>
      </c>
      <c r="Q14" s="16">
        <f t="shared" si="1"/>
        <v>51026.06</v>
      </c>
      <c r="R14" s="17">
        <f t="shared" si="1"/>
        <v>9.2438048701754703</v>
      </c>
      <c r="S14" s="17">
        <f t="shared" si="1"/>
        <v>1267.0526334970168</v>
      </c>
      <c r="T14" s="18">
        <f t="shared" si="1"/>
        <v>1.6789999999999999E-3</v>
      </c>
    </row>
  </sheetData>
  <mergeCells count="1">
    <mergeCell ref="B14:C14"/>
  </mergeCells>
  <conditionalFormatting sqref="L1:L1048576">
    <cfRule type="duplicateValues" dxfId="47" priority="1"/>
  </conditionalFormatting>
  <conditionalFormatting sqref="L14">
    <cfRule type="duplicateValues" dxfId="46" priority="2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1509-71FF-EA43-9AAA-277FB64A01E8}">
  <dimension ref="B3:T14"/>
  <sheetViews>
    <sheetView topLeftCell="G1" zoomScale="118" zoomScaleNormal="120" workbookViewId="0">
      <selection activeCell="Q15" sqref="Q15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23">
        <v>43</v>
      </c>
      <c r="M4" s="12">
        <v>44630.433420000001</v>
      </c>
      <c r="N4" s="7">
        <v>8.9286229610000003</v>
      </c>
      <c r="O4" s="7">
        <v>4</v>
      </c>
      <c r="P4" s="5">
        <v>2</v>
      </c>
      <c r="Q4" s="7">
        <v>48814</v>
      </c>
      <c r="R4" s="7">
        <v>27.915016240299519</v>
      </c>
      <c r="S4" s="7">
        <v>1165.0832421896298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23">
        <v>247</v>
      </c>
      <c r="M5" s="12">
        <v>48121.397219999999</v>
      </c>
      <c r="N5" s="7">
        <v>7.4699289798999997</v>
      </c>
      <c r="O5" s="7">
        <v>4</v>
      </c>
      <c r="P5" s="5">
        <v>3</v>
      </c>
      <c r="Q5" s="7">
        <v>46141.599999999969</v>
      </c>
      <c r="R5" s="7">
        <v>0.96641034274299864</v>
      </c>
      <c r="S5" s="7">
        <v>1041.9126905826829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23">
        <v>340</v>
      </c>
      <c r="M6" s="12">
        <v>38067.391649999998</v>
      </c>
      <c r="N6" s="7">
        <v>0.33957505230000001</v>
      </c>
      <c r="O6" s="7">
        <v>3</v>
      </c>
      <c r="P6" s="5">
        <v>0</v>
      </c>
      <c r="Q6" s="7">
        <v>40126</v>
      </c>
      <c r="R6" s="7">
        <v>0</v>
      </c>
      <c r="S6" s="7">
        <v>1220.3506135901637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23">
        <v>529</v>
      </c>
      <c r="M7" s="12">
        <v>49279.852010000002</v>
      </c>
      <c r="N7" s="7">
        <v>8.6055140495</v>
      </c>
      <c r="O7" s="7">
        <v>4</v>
      </c>
      <c r="P7" s="5">
        <v>3.0000000000023732</v>
      </c>
      <c r="Q7" s="7">
        <v>65675</v>
      </c>
      <c r="R7" s="7">
        <v>0</v>
      </c>
      <c r="S7" s="7">
        <v>1094.1990754515341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23">
        <v>393</v>
      </c>
      <c r="M8" s="12">
        <v>47295.118340000001</v>
      </c>
      <c r="N8" s="7">
        <v>2.7589468955999998</v>
      </c>
      <c r="O8" s="7">
        <v>3</v>
      </c>
      <c r="P8" s="5">
        <v>3</v>
      </c>
      <c r="Q8" s="7">
        <v>50570.199999999953</v>
      </c>
      <c r="R8" s="7">
        <v>0</v>
      </c>
      <c r="S8" s="7">
        <v>998.27381412992918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23">
        <v>830</v>
      </c>
      <c r="M9" s="12">
        <v>52304.328759999997</v>
      </c>
      <c r="N9" s="7">
        <v>7.7080278396999997</v>
      </c>
      <c r="O9" s="7">
        <v>5</v>
      </c>
      <c r="P9" s="5">
        <v>1</v>
      </c>
      <c r="Q9" s="7">
        <v>75134.800000000061</v>
      </c>
      <c r="R9" s="7">
        <v>19.051058491460729</v>
      </c>
      <c r="S9" s="7">
        <v>1475.9685291664671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23">
        <v>687</v>
      </c>
      <c r="M10" s="12">
        <v>68818.563959999999</v>
      </c>
      <c r="N10" s="7">
        <v>16.377377986900001</v>
      </c>
      <c r="O10" s="7">
        <v>6</v>
      </c>
      <c r="P10" s="5">
        <v>7</v>
      </c>
      <c r="Q10" s="7">
        <v>85241.399999999907</v>
      </c>
      <c r="R10" s="7">
        <v>2.7224073222519563</v>
      </c>
      <c r="S10" s="7">
        <v>1105.4324831802076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23">
        <v>730</v>
      </c>
      <c r="M11" s="12">
        <v>45928.55962</v>
      </c>
      <c r="N11" s="7">
        <v>20.407286882400001</v>
      </c>
      <c r="O11" s="7">
        <v>5</v>
      </c>
      <c r="P11" s="5">
        <v>1.0000000419978683</v>
      </c>
      <c r="Q11" s="7">
        <v>63070</v>
      </c>
      <c r="R11" s="7">
        <v>0</v>
      </c>
      <c r="S11" s="7">
        <v>1268.8008461310033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23">
        <v>41</v>
      </c>
      <c r="M12" s="12">
        <v>71442.88652</v>
      </c>
      <c r="N12" s="7">
        <v>19.407954931300001</v>
      </c>
      <c r="O12" s="7">
        <v>6</v>
      </c>
      <c r="P12" s="5">
        <v>7.0000000000412825</v>
      </c>
      <c r="Q12" s="7">
        <v>85023</v>
      </c>
      <c r="R12" s="7">
        <v>0</v>
      </c>
      <c r="S12" s="7">
        <v>1171.4519507273808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23">
        <v>814</v>
      </c>
      <c r="M13" s="12">
        <v>45511.153789999997</v>
      </c>
      <c r="N13" s="7">
        <v>7.0254921912999997</v>
      </c>
      <c r="O13" s="7">
        <v>4</v>
      </c>
      <c r="P13" s="5">
        <v>1</v>
      </c>
      <c r="Q13" s="7">
        <v>61442.400000000031</v>
      </c>
      <c r="R13" s="7">
        <v>0</v>
      </c>
      <c r="S13" s="7">
        <v>1374.9405754866207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51139.968529000005</v>
      </c>
      <c r="N14" s="21">
        <f t="shared" si="1"/>
        <v>9.9028727769899998</v>
      </c>
      <c r="O14" s="18">
        <f t="shared" si="1"/>
        <v>4.4000000000000004</v>
      </c>
      <c r="P14" s="18">
        <f t="shared" si="1"/>
        <v>2.8000000042041524</v>
      </c>
      <c r="Q14" s="16">
        <f t="shared" si="1"/>
        <v>62123.839999999989</v>
      </c>
      <c r="R14" s="17">
        <f t="shared" si="1"/>
        <v>5.0654892396755198</v>
      </c>
      <c r="S14" s="17">
        <f t="shared" si="1"/>
        <v>1191.6413820635619</v>
      </c>
      <c r="T14" s="18">
        <f t="shared" si="1"/>
        <v>0</v>
      </c>
    </row>
  </sheetData>
  <mergeCells count="1">
    <mergeCell ref="B14:C14"/>
  </mergeCells>
  <conditionalFormatting sqref="L1:L1048576">
    <cfRule type="duplicateValues" dxfId="45" priority="1"/>
  </conditionalFormatting>
  <conditionalFormatting sqref="L14">
    <cfRule type="duplicateValues" dxfId="44" priority="2"/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8D74-4DFA-4C42-BEED-19193AABC341}">
  <dimension ref="B3:T17"/>
  <sheetViews>
    <sheetView topLeftCell="C1" zoomScale="117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76</v>
      </c>
      <c r="D4" s="12">
        <v>77933.994040000005</v>
      </c>
      <c r="E4" s="7">
        <v>0.83094000820000002</v>
      </c>
      <c r="F4" s="7">
        <v>4</v>
      </c>
      <c r="G4" s="5">
        <v>3</v>
      </c>
      <c r="H4" s="7">
        <v>39699</v>
      </c>
      <c r="I4" s="7">
        <v>9.7799781605203737</v>
      </c>
      <c r="J4" s="7">
        <v>1608.3276765656285</v>
      </c>
      <c r="K4" s="7">
        <v>0</v>
      </c>
      <c r="L4" s="4">
        <v>76</v>
      </c>
      <c r="M4" s="12">
        <v>63958.883300000001</v>
      </c>
      <c r="N4" s="7">
        <v>1.0320968628</v>
      </c>
      <c r="O4" s="7">
        <v>4</v>
      </c>
      <c r="P4" s="5">
        <v>3</v>
      </c>
      <c r="Q4" s="7">
        <v>52659</v>
      </c>
      <c r="R4" s="7">
        <v>2.5273768134572339</v>
      </c>
      <c r="S4" s="7">
        <v>1537.8658458214791</v>
      </c>
      <c r="T4" s="7">
        <v>0</v>
      </c>
    </row>
    <row r="5" spans="2:20" x14ac:dyDescent="0.2">
      <c r="B5" s="4">
        <v>2</v>
      </c>
      <c r="C5" s="4">
        <v>166</v>
      </c>
      <c r="D5" s="12">
        <v>43341.042630000004</v>
      </c>
      <c r="E5" s="7">
        <v>73.768368959399993</v>
      </c>
      <c r="F5" s="7">
        <v>4</v>
      </c>
      <c r="G5" s="5">
        <v>0</v>
      </c>
      <c r="H5" s="7">
        <v>38747.79999999993</v>
      </c>
      <c r="I5" s="7">
        <v>0</v>
      </c>
      <c r="J5" s="7">
        <v>980.90606496510475</v>
      </c>
      <c r="K5" s="7">
        <v>0</v>
      </c>
      <c r="L5" s="4">
        <v>166</v>
      </c>
      <c r="M5" s="12">
        <v>30350.467079999999</v>
      </c>
      <c r="N5" s="7">
        <v>33.503880977599998</v>
      </c>
      <c r="O5" s="7">
        <v>4</v>
      </c>
      <c r="P5" s="5">
        <v>0</v>
      </c>
      <c r="Q5" s="7">
        <v>51189.399999999907</v>
      </c>
      <c r="R5" s="7">
        <v>0</v>
      </c>
      <c r="S5" s="7">
        <v>938.43859624080096</v>
      </c>
      <c r="T5" s="7">
        <v>0</v>
      </c>
    </row>
    <row r="6" spans="2:20" x14ac:dyDescent="0.2">
      <c r="B6" s="4">
        <v>3</v>
      </c>
      <c r="C6" s="4">
        <v>181</v>
      </c>
      <c r="D6" s="12">
        <v>41082.672290000002</v>
      </c>
      <c r="E6" s="7">
        <v>0.13927102089999999</v>
      </c>
      <c r="F6" s="7">
        <v>3</v>
      </c>
      <c r="G6" s="5">
        <v>0</v>
      </c>
      <c r="H6" s="7">
        <v>27157.8</v>
      </c>
      <c r="I6" s="7">
        <v>0</v>
      </c>
      <c r="J6" s="7">
        <v>939.56396617602013</v>
      </c>
      <c r="K6" s="7">
        <v>0</v>
      </c>
      <c r="L6" s="4">
        <v>181</v>
      </c>
      <c r="M6" s="12">
        <v>28826.82603</v>
      </c>
      <c r="N6" s="7">
        <v>0.12386202809999999</v>
      </c>
      <c r="O6" s="7">
        <v>3</v>
      </c>
      <c r="P6" s="5">
        <v>0</v>
      </c>
      <c r="Q6" s="7">
        <v>47126</v>
      </c>
      <c r="R6" s="7">
        <v>0</v>
      </c>
      <c r="S6" s="7">
        <v>889.29423836271383</v>
      </c>
      <c r="T6" s="7">
        <v>0</v>
      </c>
    </row>
    <row r="7" spans="2:20" x14ac:dyDescent="0.2">
      <c r="B7" s="4">
        <v>4</v>
      </c>
      <c r="C7" s="4">
        <v>4</v>
      </c>
      <c r="D7" s="12">
        <v>51679.789279999997</v>
      </c>
      <c r="E7" s="7">
        <v>50.693924903899998</v>
      </c>
      <c r="F7" s="7">
        <v>3</v>
      </c>
      <c r="G7" s="5">
        <v>2</v>
      </c>
      <c r="H7" s="7">
        <v>22176</v>
      </c>
      <c r="I7" s="7">
        <v>0</v>
      </c>
      <c r="J7" s="7">
        <v>1056.0146956119513</v>
      </c>
      <c r="K7" s="7">
        <v>0</v>
      </c>
      <c r="L7" s="4">
        <v>4</v>
      </c>
      <c r="M7" s="12">
        <v>37048.790840000001</v>
      </c>
      <c r="N7" s="7">
        <v>31.080931901900001</v>
      </c>
      <c r="O7" s="7">
        <v>3</v>
      </c>
      <c r="P7" s="5">
        <v>2</v>
      </c>
      <c r="Q7" s="7">
        <v>34936</v>
      </c>
      <c r="R7" s="7">
        <v>0</v>
      </c>
      <c r="S7" s="7">
        <v>890.47462291240129</v>
      </c>
      <c r="T7" s="7">
        <v>0</v>
      </c>
    </row>
    <row r="8" spans="2:20" x14ac:dyDescent="0.2">
      <c r="B8" s="4">
        <v>5</v>
      </c>
      <c r="C8" s="4">
        <v>122</v>
      </c>
      <c r="D8" s="12">
        <v>45500.06033</v>
      </c>
      <c r="E8" s="7">
        <v>0.74572205540000003</v>
      </c>
      <c r="F8" s="7">
        <v>3</v>
      </c>
      <c r="G8" s="5">
        <v>0</v>
      </c>
      <c r="H8" s="7">
        <v>32834.6</v>
      </c>
      <c r="I8" s="7">
        <v>0</v>
      </c>
      <c r="J8" s="7">
        <v>1002.4854351502082</v>
      </c>
      <c r="K8" s="7">
        <v>0</v>
      </c>
      <c r="L8" s="4">
        <v>122</v>
      </c>
      <c r="M8" s="12">
        <v>27724.134829999999</v>
      </c>
      <c r="N8" s="7">
        <v>2.0435779095000002</v>
      </c>
      <c r="O8" s="7">
        <v>3</v>
      </c>
      <c r="P8" s="5">
        <v>0</v>
      </c>
      <c r="Q8" s="7">
        <v>45506.599999999977</v>
      </c>
      <c r="R8" s="7">
        <v>0</v>
      </c>
      <c r="S8" s="7">
        <v>876.86277021574995</v>
      </c>
      <c r="T8" s="7">
        <v>0</v>
      </c>
    </row>
    <row r="9" spans="2:20" x14ac:dyDescent="0.2">
      <c r="B9" s="4">
        <v>6</v>
      </c>
      <c r="C9" s="4">
        <v>583</v>
      </c>
      <c r="D9" s="12">
        <v>57415.758690000002</v>
      </c>
      <c r="E9" s="7">
        <v>23.839729070699999</v>
      </c>
      <c r="F9" s="7">
        <v>3</v>
      </c>
      <c r="G9" s="5">
        <v>2</v>
      </c>
      <c r="H9" s="7">
        <v>21028</v>
      </c>
      <c r="I9" s="7">
        <v>0</v>
      </c>
      <c r="J9" s="7">
        <v>1185.5418450202017</v>
      </c>
      <c r="K9" s="7">
        <v>0</v>
      </c>
      <c r="L9" s="4">
        <v>583</v>
      </c>
      <c r="M9" s="12">
        <v>43218.333200000001</v>
      </c>
      <c r="N9" s="7">
        <v>53.933277130100002</v>
      </c>
      <c r="O9" s="7">
        <v>3</v>
      </c>
      <c r="P9" s="5">
        <v>2</v>
      </c>
      <c r="Q9" s="7">
        <v>39054.400000000023</v>
      </c>
      <c r="R9" s="7">
        <v>0</v>
      </c>
      <c r="S9" s="7">
        <v>1045.3255342642251</v>
      </c>
      <c r="T9" s="7">
        <v>0</v>
      </c>
    </row>
    <row r="10" spans="2:20" x14ac:dyDescent="0.2">
      <c r="B10" s="4">
        <v>7</v>
      </c>
      <c r="C10" s="4">
        <v>810</v>
      </c>
      <c r="D10" s="12">
        <v>57210.02708</v>
      </c>
      <c r="E10" s="7">
        <v>36.246574163399998</v>
      </c>
      <c r="F10" s="7">
        <v>5</v>
      </c>
      <c r="G10" s="5">
        <v>2</v>
      </c>
      <c r="H10" s="7">
        <v>29671.599999999973</v>
      </c>
      <c r="I10" s="7">
        <v>0</v>
      </c>
      <c r="J10" s="7">
        <v>1099.8381775800226</v>
      </c>
      <c r="K10" s="7">
        <v>0</v>
      </c>
      <c r="L10" s="4">
        <v>810</v>
      </c>
      <c r="M10" s="12">
        <v>41131.803269999997</v>
      </c>
      <c r="N10" s="7">
        <v>245.67706489560001</v>
      </c>
      <c r="O10" s="7">
        <v>5</v>
      </c>
      <c r="P10" s="5">
        <v>2</v>
      </c>
      <c r="Q10" s="7">
        <v>50414</v>
      </c>
      <c r="R10" s="7">
        <v>0</v>
      </c>
      <c r="S10" s="7">
        <v>1002.335720561398</v>
      </c>
      <c r="T10" s="7">
        <v>3.8500000000000001E-3</v>
      </c>
    </row>
    <row r="11" spans="2:20" x14ac:dyDescent="0.2">
      <c r="B11" s="4">
        <v>8</v>
      </c>
      <c r="C11" s="4">
        <v>468</v>
      </c>
      <c r="D11" s="12">
        <v>55717.144999999997</v>
      </c>
      <c r="E11" s="7">
        <v>0.2354941368</v>
      </c>
      <c r="F11" s="7">
        <v>3</v>
      </c>
      <c r="G11" s="5">
        <v>2</v>
      </c>
      <c r="H11" s="7">
        <v>47988.800000000003</v>
      </c>
      <c r="I11" s="7">
        <v>0</v>
      </c>
      <c r="J11" s="7">
        <v>1170.4987921253435</v>
      </c>
      <c r="K11" s="7">
        <v>0</v>
      </c>
      <c r="L11" s="4">
        <v>468</v>
      </c>
      <c r="M11" s="12">
        <v>46119.385000000002</v>
      </c>
      <c r="N11" s="7">
        <v>0.40817809100000002</v>
      </c>
      <c r="O11" s="7">
        <v>3</v>
      </c>
      <c r="P11" s="5">
        <v>2</v>
      </c>
      <c r="Q11" s="7">
        <v>47989</v>
      </c>
      <c r="R11" s="7">
        <v>0</v>
      </c>
      <c r="S11" s="7">
        <v>1170.498792125343</v>
      </c>
      <c r="T11" s="7">
        <v>0</v>
      </c>
    </row>
    <row r="12" spans="2:20" x14ac:dyDescent="0.2">
      <c r="B12" s="4">
        <v>9</v>
      </c>
      <c r="C12" s="4">
        <v>529</v>
      </c>
      <c r="D12" s="12">
        <v>63471.834029999998</v>
      </c>
      <c r="E12" s="7">
        <v>1.2460019588</v>
      </c>
      <c r="F12" s="7">
        <v>3</v>
      </c>
      <c r="G12" s="5">
        <v>0</v>
      </c>
      <c r="H12" s="7">
        <v>44285</v>
      </c>
      <c r="I12" s="7">
        <v>2.7934551416528239</v>
      </c>
      <c r="J12" s="7">
        <v>1399.9297170282446</v>
      </c>
      <c r="K12" s="7">
        <v>0</v>
      </c>
      <c r="L12" s="4">
        <v>529</v>
      </c>
      <c r="M12" s="12">
        <v>43543.584029999998</v>
      </c>
      <c r="N12" s="7">
        <v>1.3786280154999999</v>
      </c>
      <c r="O12" s="7">
        <v>3</v>
      </c>
      <c r="P12" s="5">
        <v>0</v>
      </c>
      <c r="Q12" s="7">
        <v>44285</v>
      </c>
      <c r="R12" s="7">
        <v>2.7934551417191265</v>
      </c>
      <c r="S12" s="7">
        <v>1399.9297170289708</v>
      </c>
      <c r="T12" s="7">
        <v>0</v>
      </c>
    </row>
    <row r="13" spans="2:20" x14ac:dyDescent="0.2">
      <c r="B13" s="4">
        <v>10</v>
      </c>
      <c r="C13" s="4">
        <v>5</v>
      </c>
      <c r="D13" s="12">
        <v>54636.396130000001</v>
      </c>
      <c r="E13" s="7">
        <v>6.8858029841999997</v>
      </c>
      <c r="F13" s="7">
        <v>3</v>
      </c>
      <c r="G13" s="5">
        <v>2</v>
      </c>
      <c r="H13" s="7">
        <v>24773.59999999998</v>
      </c>
      <c r="I13" s="7">
        <v>0</v>
      </c>
      <c r="J13" s="7">
        <v>1035.0589825029501</v>
      </c>
      <c r="K13" s="7">
        <v>0</v>
      </c>
      <c r="L13" s="4">
        <v>5</v>
      </c>
      <c r="M13" s="12">
        <v>36989.23646</v>
      </c>
      <c r="N13" s="7">
        <v>6.877974987</v>
      </c>
      <c r="O13" s="7">
        <v>3</v>
      </c>
      <c r="P13" s="5">
        <v>2</v>
      </c>
      <c r="Q13" s="7">
        <v>41808.79999999993</v>
      </c>
      <c r="R13" s="7">
        <v>0</v>
      </c>
      <c r="S13" s="7">
        <v>824.02420320631938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54798.871950000015</v>
      </c>
      <c r="E14" s="22">
        <f>AVERAGE(E4:E13)</f>
        <v>19.463182926169999</v>
      </c>
      <c r="F14" s="20">
        <f t="shared" si="0"/>
        <v>3.4</v>
      </c>
      <c r="G14" s="11">
        <f t="shared" si="0"/>
        <v>1.3</v>
      </c>
      <c r="H14" s="9">
        <f t="shared" si="0"/>
        <v>32836.219999999987</v>
      </c>
      <c r="I14" s="13">
        <f t="shared" si="0"/>
        <v>1.2573433302173198</v>
      </c>
      <c r="J14" s="13">
        <f t="shared" si="0"/>
        <v>1147.8165352725675</v>
      </c>
      <c r="K14" s="11">
        <f t="shared" si="0"/>
        <v>0</v>
      </c>
      <c r="L14" s="16"/>
      <c r="M14" s="16">
        <f t="shared" ref="M14:T14" si="1">AVERAGE(M4:M13)</f>
        <v>39891.144403999991</v>
      </c>
      <c r="N14" s="21">
        <f t="shared" si="1"/>
        <v>37.605947279910012</v>
      </c>
      <c r="O14" s="18">
        <f t="shared" si="1"/>
        <v>3.4</v>
      </c>
      <c r="P14" s="18">
        <f t="shared" si="1"/>
        <v>1.3</v>
      </c>
      <c r="Q14" s="16">
        <f t="shared" si="1"/>
        <v>45496.819999999985</v>
      </c>
      <c r="R14" s="17">
        <f t="shared" si="1"/>
        <v>0.53208319551763605</v>
      </c>
      <c r="S14" s="17">
        <f t="shared" si="1"/>
        <v>1057.5050040739402</v>
      </c>
      <c r="T14" s="18">
        <f t="shared" si="1"/>
        <v>3.8500000000000003E-4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43" priority="1"/>
  </conditionalFormatting>
  <conditionalFormatting sqref="L14">
    <cfRule type="duplicateValues" dxfId="42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6186B-A921-934E-86CB-CA4CA5CCE420}">
  <dimension ref="B3:T17"/>
  <sheetViews>
    <sheetView zoomScale="118" zoomScaleNormal="120" workbookViewId="0">
      <selection activeCell="J23" sqref="J2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25</v>
      </c>
      <c r="D4" s="12">
        <v>62785.887289999999</v>
      </c>
      <c r="E4" s="7">
        <v>20.7302150726</v>
      </c>
      <c r="F4" s="7">
        <v>5</v>
      </c>
      <c r="G4" s="5">
        <v>4</v>
      </c>
      <c r="H4" s="7">
        <v>31780</v>
      </c>
      <c r="I4" s="7">
        <v>0</v>
      </c>
      <c r="J4" s="7">
        <v>1044.3215655818944</v>
      </c>
      <c r="K4" s="7">
        <v>0</v>
      </c>
      <c r="L4" s="4">
        <v>25</v>
      </c>
      <c r="M4" s="12">
        <v>48200.753660000002</v>
      </c>
      <c r="N4" s="7">
        <v>17.6081221104</v>
      </c>
      <c r="O4" s="7">
        <v>5</v>
      </c>
      <c r="P4" s="5">
        <v>4</v>
      </c>
      <c r="Q4" s="7">
        <v>52857</v>
      </c>
      <c r="R4" s="7">
        <v>0</v>
      </c>
      <c r="S4" s="7">
        <v>936.07256907090346</v>
      </c>
      <c r="T4" s="7">
        <v>0</v>
      </c>
    </row>
    <row r="5" spans="2:20" x14ac:dyDescent="0.2">
      <c r="B5" s="4">
        <v>2</v>
      </c>
      <c r="C5" s="4">
        <v>376</v>
      </c>
      <c r="D5" s="12">
        <v>57564.83915</v>
      </c>
      <c r="E5" s="7">
        <v>11.0528678894</v>
      </c>
      <c r="F5" s="7">
        <v>4</v>
      </c>
      <c r="G5" s="5">
        <v>1</v>
      </c>
      <c r="H5" s="7">
        <v>42821.400000000023</v>
      </c>
      <c r="I5" s="7">
        <v>0</v>
      </c>
      <c r="J5" s="7">
        <v>1209.1743643131203</v>
      </c>
      <c r="K5" s="7">
        <v>0</v>
      </c>
      <c r="L5" s="4">
        <v>376</v>
      </c>
      <c r="M5" s="12">
        <v>41717.557180000003</v>
      </c>
      <c r="N5" s="7">
        <v>6.8947339057999999</v>
      </c>
      <c r="O5" s="7">
        <v>4</v>
      </c>
      <c r="P5" s="5">
        <v>1</v>
      </c>
      <c r="Q5" s="7">
        <v>56161.400000000023</v>
      </c>
      <c r="R5" s="7">
        <v>0</v>
      </c>
      <c r="S5" s="7">
        <v>1129.8986299708752</v>
      </c>
      <c r="T5" s="7">
        <v>0</v>
      </c>
    </row>
    <row r="6" spans="2:20" x14ac:dyDescent="0.2">
      <c r="B6" s="4">
        <v>3</v>
      </c>
      <c r="C6" s="4">
        <v>519</v>
      </c>
      <c r="D6" s="12">
        <v>39562.799509999997</v>
      </c>
      <c r="E6" s="7">
        <v>7.0716071128999998</v>
      </c>
      <c r="F6" s="7">
        <v>4</v>
      </c>
      <c r="G6" s="5">
        <v>0</v>
      </c>
      <c r="H6" s="7">
        <v>43303.4</v>
      </c>
      <c r="I6" s="7">
        <v>0</v>
      </c>
      <c r="J6" s="7">
        <v>955.01648459857165</v>
      </c>
      <c r="K6" s="7">
        <v>0</v>
      </c>
      <c r="L6" s="4">
        <v>519</v>
      </c>
      <c r="M6" s="12">
        <v>29603.017510000001</v>
      </c>
      <c r="N6" s="7">
        <v>4.4477651118999999</v>
      </c>
      <c r="O6" s="7">
        <v>4</v>
      </c>
      <c r="P6" s="5">
        <v>0</v>
      </c>
      <c r="Q6" s="7">
        <v>43303.400000000023</v>
      </c>
      <c r="R6" s="7">
        <v>0</v>
      </c>
      <c r="S6" s="7">
        <v>955.01648459857563</v>
      </c>
      <c r="T6" s="7">
        <v>0</v>
      </c>
    </row>
    <row r="7" spans="2:20" x14ac:dyDescent="0.2">
      <c r="B7" s="4">
        <v>4</v>
      </c>
      <c r="C7" s="4">
        <v>679</v>
      </c>
      <c r="D7" s="12">
        <v>63872.71243</v>
      </c>
      <c r="E7" s="7">
        <v>5.2907969952</v>
      </c>
      <c r="F7" s="7">
        <v>4</v>
      </c>
      <c r="G7" s="5">
        <v>4</v>
      </c>
      <c r="H7" s="7">
        <v>39440</v>
      </c>
      <c r="I7" s="7">
        <v>0.66445903289077257</v>
      </c>
      <c r="J7" s="7">
        <v>1122.8975522159249</v>
      </c>
      <c r="K7" s="7">
        <v>0</v>
      </c>
      <c r="L7" s="4">
        <v>679</v>
      </c>
      <c r="M7" s="12">
        <v>53693.893259999997</v>
      </c>
      <c r="N7" s="7">
        <v>3.5383698940000001</v>
      </c>
      <c r="O7" s="7">
        <v>4</v>
      </c>
      <c r="P7" s="5">
        <v>4</v>
      </c>
      <c r="Q7" s="7">
        <v>50341.599999999977</v>
      </c>
      <c r="R7" s="7">
        <v>0.66445903289077257</v>
      </c>
      <c r="S7" s="7">
        <v>1105.8928822650196</v>
      </c>
      <c r="T7" s="7">
        <v>0</v>
      </c>
    </row>
    <row r="8" spans="2:20" x14ac:dyDescent="0.2">
      <c r="B8" s="4">
        <v>5</v>
      </c>
      <c r="C8" s="4">
        <v>833</v>
      </c>
      <c r="D8" s="12">
        <v>81955.652499999997</v>
      </c>
      <c r="E8" s="7">
        <v>1.5340790749</v>
      </c>
      <c r="F8" s="7">
        <v>3</v>
      </c>
      <c r="G8" s="5">
        <v>4</v>
      </c>
      <c r="H8" s="7">
        <v>48529.2</v>
      </c>
      <c r="I8" s="7">
        <v>19.480488378143441</v>
      </c>
      <c r="J8" s="7">
        <v>1210.6447741059781</v>
      </c>
      <c r="K8" s="7">
        <v>0</v>
      </c>
      <c r="L8" s="4">
        <v>833</v>
      </c>
      <c r="M8" s="12">
        <v>58661.636500000001</v>
      </c>
      <c r="N8" s="7">
        <v>0.61424016950000004</v>
      </c>
      <c r="O8" s="7">
        <v>3</v>
      </c>
      <c r="P8" s="5">
        <v>4</v>
      </c>
      <c r="Q8" s="7">
        <v>48530</v>
      </c>
      <c r="R8" s="7">
        <v>19.480488378141832</v>
      </c>
      <c r="S8" s="7">
        <v>1210.6447741056784</v>
      </c>
      <c r="T8" s="7">
        <v>0</v>
      </c>
    </row>
    <row r="9" spans="2:20" x14ac:dyDescent="0.2">
      <c r="B9" s="4">
        <v>6</v>
      </c>
      <c r="C9" s="4">
        <v>818</v>
      </c>
      <c r="D9" s="12">
        <v>43898.282809999997</v>
      </c>
      <c r="E9" s="7">
        <v>3.8085639477000002</v>
      </c>
      <c r="F9" s="7">
        <v>4</v>
      </c>
      <c r="G9" s="5">
        <v>2</v>
      </c>
      <c r="H9" s="7">
        <v>34340.400000000001</v>
      </c>
      <c r="I9" s="7">
        <v>0</v>
      </c>
      <c r="J9" s="7">
        <v>857.77277604209451</v>
      </c>
      <c r="K9" s="7">
        <v>0</v>
      </c>
      <c r="L9" s="4">
        <v>818</v>
      </c>
      <c r="M9" s="12">
        <v>36510.18879</v>
      </c>
      <c r="N9" s="7">
        <v>3.1040670871999998</v>
      </c>
      <c r="O9" s="7">
        <v>4</v>
      </c>
      <c r="P9" s="5">
        <v>2</v>
      </c>
      <c r="Q9" s="7">
        <v>45184.800000000047</v>
      </c>
      <c r="R9" s="7">
        <v>0</v>
      </c>
      <c r="S9" s="7">
        <v>842.68275838259433</v>
      </c>
      <c r="T9" s="7">
        <v>0</v>
      </c>
    </row>
    <row r="10" spans="2:20" x14ac:dyDescent="0.2">
      <c r="B10" s="4">
        <v>7</v>
      </c>
      <c r="C10" s="4">
        <v>835</v>
      </c>
      <c r="D10" s="12">
        <v>47443.549449999999</v>
      </c>
      <c r="E10" s="7">
        <v>21.519612073899999</v>
      </c>
      <c r="F10" s="7">
        <v>5</v>
      </c>
      <c r="G10" s="5">
        <v>1</v>
      </c>
      <c r="H10" s="7">
        <v>31037</v>
      </c>
      <c r="I10" s="7">
        <v>0</v>
      </c>
      <c r="J10" s="7">
        <v>1091.3157357652692</v>
      </c>
      <c r="K10" s="7">
        <v>0</v>
      </c>
      <c r="L10" s="4">
        <v>835</v>
      </c>
      <c r="M10" s="12">
        <v>36728.06538</v>
      </c>
      <c r="N10" s="7">
        <v>33.332834959000003</v>
      </c>
      <c r="O10" s="7">
        <v>5</v>
      </c>
      <c r="P10" s="5">
        <v>1</v>
      </c>
      <c r="Q10" s="7">
        <v>49265</v>
      </c>
      <c r="R10" s="7">
        <v>0</v>
      </c>
      <c r="S10" s="7">
        <v>998.60502416164275</v>
      </c>
      <c r="T10" s="7">
        <v>0</v>
      </c>
    </row>
    <row r="11" spans="2:20" x14ac:dyDescent="0.2">
      <c r="B11" s="4">
        <v>8</v>
      </c>
      <c r="C11" s="4">
        <v>897</v>
      </c>
      <c r="D11" s="12">
        <v>63755.098669999999</v>
      </c>
      <c r="E11" s="7">
        <v>5.9802801608999996</v>
      </c>
      <c r="F11" s="7">
        <v>3</v>
      </c>
      <c r="G11" s="5">
        <v>1</v>
      </c>
      <c r="H11" s="7">
        <v>42055.400000000023</v>
      </c>
      <c r="I11" s="7">
        <v>5.3469631811184337</v>
      </c>
      <c r="J11" s="7">
        <v>1309.3016376620833</v>
      </c>
      <c r="K11" s="7">
        <v>0</v>
      </c>
      <c r="L11" s="4">
        <v>897</v>
      </c>
      <c r="M11" s="12">
        <v>48615.154670000004</v>
      </c>
      <c r="N11" s="7">
        <v>5.1200039387</v>
      </c>
      <c r="O11" s="7">
        <v>3</v>
      </c>
      <c r="P11" s="5">
        <v>1</v>
      </c>
      <c r="Q11" s="7">
        <v>42055.400000000023</v>
      </c>
      <c r="R11" s="7">
        <v>5.3469631811184337</v>
      </c>
      <c r="S11" s="7">
        <v>1309.3016376620833</v>
      </c>
      <c r="T11" s="7">
        <v>0</v>
      </c>
    </row>
    <row r="12" spans="2:20" x14ac:dyDescent="0.2">
      <c r="B12" s="4">
        <v>9</v>
      </c>
      <c r="C12" s="4">
        <v>916</v>
      </c>
      <c r="D12" s="12">
        <v>44011.184529999999</v>
      </c>
      <c r="E12" s="7">
        <v>1.0735650063</v>
      </c>
      <c r="F12" s="7">
        <v>3</v>
      </c>
      <c r="G12" s="5">
        <v>1.0000001109011016</v>
      </c>
      <c r="H12" s="7">
        <v>41689.600006653505</v>
      </c>
      <c r="I12" s="7">
        <v>0.20800838295106133</v>
      </c>
      <c r="J12" s="7">
        <v>1098.1709016981047</v>
      </c>
      <c r="K12" s="7">
        <v>0</v>
      </c>
      <c r="L12" s="4">
        <v>916</v>
      </c>
      <c r="M12" s="12">
        <v>39008.573989999997</v>
      </c>
      <c r="N12" s="7">
        <v>0.40965485569999999</v>
      </c>
      <c r="O12" s="7">
        <v>3</v>
      </c>
      <c r="P12" s="5">
        <v>1</v>
      </c>
      <c r="Q12" s="7">
        <v>41691</v>
      </c>
      <c r="R12" s="7">
        <v>0.20800850077173436</v>
      </c>
      <c r="S12" s="7">
        <v>1098.1746002868067</v>
      </c>
      <c r="T12" s="7">
        <v>0</v>
      </c>
    </row>
    <row r="13" spans="2:20" x14ac:dyDescent="0.2">
      <c r="B13" s="4">
        <v>10</v>
      </c>
      <c r="C13" s="4">
        <v>91</v>
      </c>
      <c r="D13" s="12">
        <v>56176.612079999999</v>
      </c>
      <c r="E13" s="7">
        <v>1.3052439689999999</v>
      </c>
      <c r="F13" s="7">
        <v>3</v>
      </c>
      <c r="G13" s="5">
        <v>1</v>
      </c>
      <c r="H13" s="7">
        <v>43802.600000000006</v>
      </c>
      <c r="I13" s="7">
        <v>0</v>
      </c>
      <c r="J13" s="7">
        <v>1078.7532740469517</v>
      </c>
      <c r="K13" s="7">
        <v>0</v>
      </c>
      <c r="L13" s="4">
        <v>91</v>
      </c>
      <c r="M13" s="12">
        <v>39093.598080000003</v>
      </c>
      <c r="N13" s="7">
        <v>1.1809020042</v>
      </c>
      <c r="O13" s="7">
        <v>3</v>
      </c>
      <c r="P13" s="5">
        <v>1</v>
      </c>
      <c r="Q13" s="7">
        <v>43804</v>
      </c>
      <c r="R13" s="7">
        <v>0</v>
      </c>
      <c r="S13" s="7">
        <v>1078.7532740469517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56102.661841999994</v>
      </c>
      <c r="E14" s="22">
        <f>AVERAGE(E4:E13)</f>
        <v>7.9366831302799996</v>
      </c>
      <c r="F14" s="20">
        <f t="shared" si="0"/>
        <v>3.8</v>
      </c>
      <c r="G14" s="11">
        <f t="shared" si="0"/>
        <v>1.9000000110901101</v>
      </c>
      <c r="H14" s="9">
        <f t="shared" si="0"/>
        <v>39879.900000665359</v>
      </c>
      <c r="I14" s="13">
        <f t="shared" si="0"/>
        <v>2.5699918975103708</v>
      </c>
      <c r="J14" s="13">
        <f t="shared" si="0"/>
        <v>1097.7369066029992</v>
      </c>
      <c r="K14" s="11">
        <f t="shared" si="0"/>
        <v>0</v>
      </c>
      <c r="L14" s="16"/>
      <c r="M14" s="16">
        <f t="shared" ref="M14:T14" si="1">AVERAGE(M4:M13)</f>
        <v>43183.243902000002</v>
      </c>
      <c r="N14" s="21">
        <f t="shared" si="1"/>
        <v>7.6250694036400004</v>
      </c>
      <c r="O14" s="18">
        <f t="shared" si="1"/>
        <v>3.8</v>
      </c>
      <c r="P14" s="18">
        <f t="shared" si="1"/>
        <v>1.9</v>
      </c>
      <c r="Q14" s="16">
        <f t="shared" si="1"/>
        <v>47319.360000000008</v>
      </c>
      <c r="R14" s="17">
        <f t="shared" si="1"/>
        <v>2.5699919092922769</v>
      </c>
      <c r="S14" s="17">
        <f t="shared" si="1"/>
        <v>1066.5042634551132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41" priority="1"/>
  </conditionalFormatting>
  <conditionalFormatting sqref="L14">
    <cfRule type="duplicateValues" dxfId="40" priority="2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DDAE1-6AB9-3E45-AC27-C66789B2525B}">
  <dimension ref="B3:T17"/>
  <sheetViews>
    <sheetView topLeftCell="C1" zoomScale="115" zoomScaleNormal="120" workbookViewId="0">
      <selection activeCell="M4" sqref="M4:T13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148</v>
      </c>
      <c r="D4" s="12">
        <v>30493.84793</v>
      </c>
      <c r="E4" s="7">
        <v>0.1512880325</v>
      </c>
      <c r="F4" s="7">
        <v>3</v>
      </c>
      <c r="G4" s="5">
        <v>1</v>
      </c>
      <c r="H4" s="7">
        <v>44961.8</v>
      </c>
      <c r="I4" s="7">
        <v>0</v>
      </c>
      <c r="J4" s="7">
        <v>681.97152197505034</v>
      </c>
      <c r="K4" s="7">
        <v>0</v>
      </c>
      <c r="L4" s="4">
        <v>148</v>
      </c>
      <c r="M4" s="12">
        <v>19253.397929999999</v>
      </c>
      <c r="N4" s="7">
        <v>0.1434669495</v>
      </c>
      <c r="O4" s="7">
        <v>3</v>
      </c>
      <c r="P4" s="5">
        <v>1</v>
      </c>
      <c r="Q4" s="7">
        <v>44962</v>
      </c>
      <c r="R4" s="7">
        <v>0</v>
      </c>
      <c r="S4" s="7">
        <v>681.97152197519631</v>
      </c>
      <c r="T4" s="7">
        <v>0</v>
      </c>
    </row>
    <row r="5" spans="2:20" x14ac:dyDescent="0.2">
      <c r="B5" s="4">
        <v>2</v>
      </c>
      <c r="C5" s="4">
        <v>300</v>
      </c>
      <c r="D5" s="12">
        <v>36778.820570000003</v>
      </c>
      <c r="E5" s="7">
        <v>0.16930913929999999</v>
      </c>
      <c r="F5" s="7">
        <v>4</v>
      </c>
      <c r="G5" s="5">
        <v>1</v>
      </c>
      <c r="H5" s="7">
        <v>44815.8</v>
      </c>
      <c r="I5" s="7">
        <v>0</v>
      </c>
      <c r="J5" s="7">
        <v>879.25284427361692</v>
      </c>
      <c r="K5" s="7">
        <v>0</v>
      </c>
      <c r="L5" s="4">
        <v>300</v>
      </c>
      <c r="M5" s="12">
        <v>23733.27405</v>
      </c>
      <c r="N5" s="7">
        <v>0.22176098820000001</v>
      </c>
      <c r="O5" s="7">
        <v>4</v>
      </c>
      <c r="P5" s="5">
        <v>1</v>
      </c>
      <c r="Q5" s="7">
        <v>56045</v>
      </c>
      <c r="R5" s="7">
        <v>0</v>
      </c>
      <c r="S5" s="7">
        <v>822.27461393620774</v>
      </c>
      <c r="T5" s="7">
        <v>0</v>
      </c>
    </row>
    <row r="6" spans="2:20" x14ac:dyDescent="0.2">
      <c r="B6" s="4">
        <v>3</v>
      </c>
      <c r="C6" s="4">
        <v>306</v>
      </c>
      <c r="D6" s="12">
        <v>62757.898630000003</v>
      </c>
      <c r="E6" s="7">
        <v>1.5223650931999999</v>
      </c>
      <c r="F6" s="7">
        <v>5</v>
      </c>
      <c r="G6" s="5">
        <v>5</v>
      </c>
      <c r="H6" s="7">
        <v>44208</v>
      </c>
      <c r="I6" s="7">
        <v>32.229733040161342</v>
      </c>
      <c r="J6" s="7">
        <v>957.67091710203135</v>
      </c>
      <c r="K6" s="7">
        <v>0</v>
      </c>
      <c r="L6" s="4">
        <v>306</v>
      </c>
      <c r="M6" s="12">
        <v>39617.320010000003</v>
      </c>
      <c r="N6" s="7">
        <v>3.3551828861000002</v>
      </c>
      <c r="O6" s="7">
        <v>5</v>
      </c>
      <c r="P6" s="5">
        <v>4</v>
      </c>
      <c r="Q6" s="7">
        <v>74825</v>
      </c>
      <c r="R6" s="7">
        <v>8.7034585513609244</v>
      </c>
      <c r="S6" s="7">
        <v>954.82523304380538</v>
      </c>
      <c r="T6" s="7">
        <v>0</v>
      </c>
    </row>
    <row r="7" spans="2:20" x14ac:dyDescent="0.2">
      <c r="B7" s="4">
        <v>4</v>
      </c>
      <c r="C7" s="4">
        <v>352</v>
      </c>
      <c r="D7" s="12">
        <v>37060.629379999998</v>
      </c>
      <c r="E7" s="7">
        <v>6.448102E-2</v>
      </c>
      <c r="F7" s="7">
        <v>3</v>
      </c>
      <c r="G7" s="5">
        <v>1</v>
      </c>
      <c r="H7" s="7">
        <v>42130.8</v>
      </c>
      <c r="I7" s="7">
        <v>0</v>
      </c>
      <c r="J7" s="7">
        <v>868.52542620237796</v>
      </c>
      <c r="K7" s="7">
        <v>0</v>
      </c>
      <c r="L7" s="4">
        <v>352</v>
      </c>
      <c r="M7" s="12">
        <v>22736.157380000001</v>
      </c>
      <c r="N7" s="7">
        <v>7.4630022000000004E-2</v>
      </c>
      <c r="O7" s="7">
        <v>3</v>
      </c>
      <c r="P7" s="5">
        <v>1</v>
      </c>
      <c r="Q7" s="7">
        <v>42132</v>
      </c>
      <c r="R7" s="7">
        <v>0</v>
      </c>
      <c r="S7" s="7">
        <v>868.52542620118606</v>
      </c>
      <c r="T7" s="7">
        <v>0</v>
      </c>
    </row>
    <row r="8" spans="2:20" x14ac:dyDescent="0.2">
      <c r="B8" s="4">
        <v>5</v>
      </c>
      <c r="C8" s="4">
        <v>370</v>
      </c>
      <c r="D8" s="12">
        <v>41601.984420000001</v>
      </c>
      <c r="E8" s="7">
        <v>0.17223191260000001</v>
      </c>
      <c r="F8" s="7">
        <v>3</v>
      </c>
      <c r="G8" s="5">
        <v>3</v>
      </c>
      <c r="H8" s="7">
        <v>36607.800000000003</v>
      </c>
      <c r="I8" s="7">
        <v>0</v>
      </c>
      <c r="J8" s="7">
        <v>682.24912160901079</v>
      </c>
      <c r="K8" s="7">
        <v>0</v>
      </c>
      <c r="L8" s="4">
        <v>370</v>
      </c>
      <c r="M8" s="12">
        <v>28789.254420000001</v>
      </c>
      <c r="N8" s="7">
        <v>0.17708301539999999</v>
      </c>
      <c r="O8" s="7">
        <v>3</v>
      </c>
      <c r="P8" s="5">
        <v>3</v>
      </c>
      <c r="Q8" s="7">
        <v>36608</v>
      </c>
      <c r="R8" s="7">
        <v>0</v>
      </c>
      <c r="S8" s="7">
        <v>682.24912160902124</v>
      </c>
      <c r="T8" s="7">
        <v>0</v>
      </c>
    </row>
    <row r="9" spans="2:20" x14ac:dyDescent="0.2">
      <c r="B9" s="4">
        <v>6</v>
      </c>
      <c r="C9" s="4">
        <v>471</v>
      </c>
      <c r="D9" s="12">
        <v>31235.897000000001</v>
      </c>
      <c r="E9" s="7">
        <v>8.7886810300000007E-2</v>
      </c>
      <c r="F9" s="7">
        <v>3</v>
      </c>
      <c r="G9" s="5">
        <v>2</v>
      </c>
      <c r="H9" s="7">
        <v>42987.8</v>
      </c>
      <c r="I9" s="7">
        <v>0</v>
      </c>
      <c r="J9" s="7">
        <v>665.68162686138123</v>
      </c>
      <c r="K9" s="7">
        <v>0</v>
      </c>
      <c r="L9" s="4">
        <v>471</v>
      </c>
      <c r="M9" s="12">
        <v>23927.971000000001</v>
      </c>
      <c r="N9" s="7">
        <v>7.7129125600000001E-2</v>
      </c>
      <c r="O9" s="7">
        <v>3</v>
      </c>
      <c r="P9" s="5">
        <v>2</v>
      </c>
      <c r="Q9" s="7">
        <v>42989</v>
      </c>
      <c r="R9" s="7">
        <v>0</v>
      </c>
      <c r="S9" s="7">
        <v>665.68162686229095</v>
      </c>
      <c r="T9" s="7">
        <v>0</v>
      </c>
    </row>
    <row r="10" spans="2:20" x14ac:dyDescent="0.2">
      <c r="B10" s="4">
        <v>7</v>
      </c>
      <c r="C10" s="4">
        <v>507</v>
      </c>
      <c r="D10" s="12">
        <v>37344.477709999999</v>
      </c>
      <c r="E10" s="7">
        <v>0.19474005699999999</v>
      </c>
      <c r="F10" s="7">
        <v>3</v>
      </c>
      <c r="G10" s="5">
        <v>2</v>
      </c>
      <c r="H10" s="7">
        <v>35962.199999999997</v>
      </c>
      <c r="I10" s="7">
        <v>0</v>
      </c>
      <c r="J10" s="7">
        <v>832.29890581431505</v>
      </c>
      <c r="K10" s="7">
        <v>0</v>
      </c>
      <c r="L10" s="4">
        <v>507</v>
      </c>
      <c r="M10" s="12">
        <v>27275.061710000002</v>
      </c>
      <c r="N10" s="7">
        <v>0.24453806880000001</v>
      </c>
      <c r="O10" s="7">
        <v>3</v>
      </c>
      <c r="P10" s="5">
        <v>2</v>
      </c>
      <c r="Q10" s="7">
        <v>35963</v>
      </c>
      <c r="R10" s="7">
        <v>0</v>
      </c>
      <c r="S10" s="7">
        <v>832.29890581511131</v>
      </c>
      <c r="T10" s="7">
        <v>0</v>
      </c>
    </row>
    <row r="11" spans="2:20" x14ac:dyDescent="0.2">
      <c r="B11" s="4">
        <v>8</v>
      </c>
      <c r="C11" s="4">
        <v>629</v>
      </c>
      <c r="D11" s="12">
        <v>51647.634599999998</v>
      </c>
      <c r="E11" s="7">
        <v>0.2330949306</v>
      </c>
      <c r="F11" s="7">
        <v>4</v>
      </c>
      <c r="G11" s="5">
        <v>3</v>
      </c>
      <c r="H11" s="7">
        <v>41103.199999999997</v>
      </c>
      <c r="I11" s="7">
        <v>0</v>
      </c>
      <c r="J11" s="7">
        <v>818.07394141500629</v>
      </c>
      <c r="K11" s="7">
        <v>0</v>
      </c>
      <c r="L11" s="4">
        <v>629</v>
      </c>
      <c r="M11" s="12">
        <v>30402.81525</v>
      </c>
      <c r="N11" s="7">
        <v>0.64262795449999999</v>
      </c>
      <c r="O11" s="7">
        <v>4</v>
      </c>
      <c r="P11" s="5">
        <v>3</v>
      </c>
      <c r="Q11" s="7">
        <v>50704</v>
      </c>
      <c r="R11" s="7">
        <v>0</v>
      </c>
      <c r="S11" s="7">
        <v>748.02682809622945</v>
      </c>
      <c r="T11" s="7">
        <v>0</v>
      </c>
    </row>
    <row r="12" spans="2:20" x14ac:dyDescent="0.2">
      <c r="B12" s="4">
        <v>9</v>
      </c>
      <c r="C12" s="4">
        <v>487</v>
      </c>
      <c r="D12" s="12">
        <v>32667.242689999999</v>
      </c>
      <c r="E12" s="7">
        <v>9.3132018999999996E-2</v>
      </c>
      <c r="F12" s="7">
        <v>3</v>
      </c>
      <c r="G12" s="5">
        <v>0</v>
      </c>
      <c r="H12" s="7">
        <v>36325</v>
      </c>
      <c r="I12" s="7">
        <v>0</v>
      </c>
      <c r="J12" s="7">
        <v>904.15364875567138</v>
      </c>
      <c r="K12" s="7">
        <v>0</v>
      </c>
      <c r="L12" s="4">
        <v>487</v>
      </c>
      <c r="M12" s="12">
        <v>18500.492689999999</v>
      </c>
      <c r="N12" s="7">
        <v>7.8726053200000007E-2</v>
      </c>
      <c r="O12" s="7">
        <v>3</v>
      </c>
      <c r="P12" s="5">
        <v>0</v>
      </c>
      <c r="Q12" s="7">
        <v>36326</v>
      </c>
      <c r="R12" s="7">
        <v>0</v>
      </c>
      <c r="S12" s="7">
        <v>904.15364875567138</v>
      </c>
      <c r="T12" s="7">
        <v>0</v>
      </c>
    </row>
    <row r="13" spans="2:20" x14ac:dyDescent="0.2">
      <c r="B13" s="4">
        <v>10</v>
      </c>
      <c r="C13" s="4">
        <v>977</v>
      </c>
      <c r="D13" s="12">
        <v>37024.451399999998</v>
      </c>
      <c r="E13" s="7">
        <v>8.1573963200000002E-2</v>
      </c>
      <c r="F13" s="7">
        <v>3</v>
      </c>
      <c r="G13" s="5">
        <v>1</v>
      </c>
      <c r="H13" s="7">
        <v>48010.6</v>
      </c>
      <c r="I13" s="7">
        <v>0</v>
      </c>
      <c r="J13" s="7">
        <v>857.21926149102694</v>
      </c>
      <c r="K13" s="7">
        <v>0</v>
      </c>
      <c r="L13" s="4">
        <v>977</v>
      </c>
      <c r="M13" s="12">
        <v>23101.377400000001</v>
      </c>
      <c r="N13" s="7">
        <v>9.9609851799999996E-2</v>
      </c>
      <c r="O13" s="7">
        <v>3</v>
      </c>
      <c r="P13" s="5">
        <v>1</v>
      </c>
      <c r="Q13" s="7">
        <v>48012</v>
      </c>
      <c r="R13" s="7">
        <v>0</v>
      </c>
      <c r="S13" s="7">
        <v>857.2192614902666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39861.288432999994</v>
      </c>
      <c r="E14" s="22">
        <f>AVERAGE(E4:E13)</f>
        <v>0.27701029777000002</v>
      </c>
      <c r="F14" s="20">
        <f t="shared" si="0"/>
        <v>3.4</v>
      </c>
      <c r="G14" s="11">
        <f t="shared" si="0"/>
        <v>1.9</v>
      </c>
      <c r="H14" s="9">
        <f t="shared" si="0"/>
        <v>41711.300000000003</v>
      </c>
      <c r="I14" s="13">
        <f t="shared" si="0"/>
        <v>3.2229733040161341</v>
      </c>
      <c r="J14" s="13">
        <f t="shared" si="0"/>
        <v>814.70972154994888</v>
      </c>
      <c r="K14" s="11">
        <f t="shared" si="0"/>
        <v>0</v>
      </c>
      <c r="L14" s="16"/>
      <c r="M14" s="16">
        <f t="shared" ref="M14:T14" si="1">AVERAGE(M4:M13)</f>
        <v>25733.712183999996</v>
      </c>
      <c r="N14" s="21">
        <f t="shared" si="1"/>
        <v>0.51147549150999994</v>
      </c>
      <c r="O14" s="18">
        <f t="shared" si="1"/>
        <v>3.4</v>
      </c>
      <c r="P14" s="18">
        <f t="shared" si="1"/>
        <v>1.8</v>
      </c>
      <c r="Q14" s="16">
        <f t="shared" si="1"/>
        <v>46856.6</v>
      </c>
      <c r="R14" s="17">
        <f t="shared" si="1"/>
        <v>0.87034585513609242</v>
      </c>
      <c r="S14" s="17">
        <f t="shared" si="1"/>
        <v>801.7226187784986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39" priority="1"/>
  </conditionalFormatting>
  <conditionalFormatting sqref="L14">
    <cfRule type="duplicateValues" dxfId="38" priority="2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89425-5AF0-3545-9A8B-CFCB90D9EC0B}">
  <dimension ref="B3:T17"/>
  <sheetViews>
    <sheetView zoomScale="118" zoomScaleNormal="120" workbookViewId="0">
      <selection activeCell="J20" sqref="J20"/>
    </sheetView>
  </sheetViews>
  <sheetFormatPr baseColWidth="10" defaultRowHeight="16" x14ac:dyDescent="0.2"/>
  <cols>
    <col min="1" max="1" width="3.83203125" style="1" customWidth="1"/>
    <col min="2" max="2" width="8.1640625" style="1" bestFit="1" customWidth="1"/>
    <col min="3" max="3" width="5.1640625" style="1" bestFit="1" customWidth="1"/>
    <col min="4" max="4" width="16.6640625" style="1" customWidth="1"/>
    <col min="5" max="5" width="9.5" style="1" bestFit="1" customWidth="1"/>
    <col min="6" max="6" width="9.1640625" style="1" bestFit="1" customWidth="1"/>
    <col min="7" max="7" width="13.33203125" style="1" bestFit="1" customWidth="1"/>
    <col min="8" max="8" width="19.33203125" style="1" bestFit="1" customWidth="1"/>
    <col min="9" max="9" width="12" style="1" bestFit="1" customWidth="1"/>
    <col min="10" max="10" width="18.6640625" style="1" bestFit="1" customWidth="1"/>
    <col min="11" max="11" width="6.6640625" style="1" bestFit="1" customWidth="1"/>
    <col min="12" max="12" width="8.6640625" style="1" bestFit="1" customWidth="1"/>
    <col min="13" max="13" width="12.6640625" style="1" bestFit="1" customWidth="1"/>
    <col min="14" max="15" width="10.83203125" style="1"/>
    <col min="16" max="16" width="13.33203125" style="1" bestFit="1" customWidth="1"/>
    <col min="17" max="17" width="19.33203125" style="1" bestFit="1" customWidth="1"/>
    <col min="18" max="18" width="12" style="1" bestFit="1" customWidth="1"/>
    <col min="19" max="19" width="18" style="1" bestFit="1" customWidth="1"/>
    <col min="20" max="16384" width="10.83203125" style="1"/>
  </cols>
  <sheetData>
    <row r="3" spans="2:20" x14ac:dyDescent="0.2">
      <c r="B3" s="8" t="s">
        <v>7</v>
      </c>
      <c r="C3" s="8" t="s">
        <v>4</v>
      </c>
      <c r="D3" s="8" t="s">
        <v>0</v>
      </c>
      <c r="E3" s="8" t="s">
        <v>5</v>
      </c>
      <c r="F3" s="8" t="s">
        <v>12</v>
      </c>
      <c r="G3" s="8" t="s">
        <v>8</v>
      </c>
      <c r="H3" s="8" t="s">
        <v>9</v>
      </c>
      <c r="I3" s="8" t="s">
        <v>11</v>
      </c>
      <c r="J3" s="8" t="s">
        <v>10</v>
      </c>
      <c r="K3" s="8" t="s">
        <v>1</v>
      </c>
      <c r="L3" s="15" t="s">
        <v>13</v>
      </c>
      <c r="M3" s="15" t="s">
        <v>0</v>
      </c>
      <c r="N3" s="15" t="s">
        <v>5</v>
      </c>
      <c r="O3" s="15" t="s">
        <v>12</v>
      </c>
      <c r="P3" s="15" t="s">
        <v>8</v>
      </c>
      <c r="Q3" s="15" t="s">
        <v>9</v>
      </c>
      <c r="R3" s="15" t="s">
        <v>11</v>
      </c>
      <c r="S3" s="15" t="s">
        <v>10</v>
      </c>
      <c r="T3" s="15" t="s">
        <v>1</v>
      </c>
    </row>
    <row r="4" spans="2:20" x14ac:dyDescent="0.2">
      <c r="B4" s="4">
        <v>1</v>
      </c>
      <c r="C4" s="4">
        <v>14</v>
      </c>
      <c r="D4" s="12">
        <v>37429.69713</v>
      </c>
      <c r="E4" s="7">
        <v>2.95398235E-2</v>
      </c>
      <c r="F4" s="7">
        <v>3</v>
      </c>
      <c r="G4" s="5">
        <v>4</v>
      </c>
      <c r="H4" s="7">
        <v>29867</v>
      </c>
      <c r="I4" s="7">
        <v>0</v>
      </c>
      <c r="J4" s="7">
        <v>270.46929319124166</v>
      </c>
      <c r="K4" s="7">
        <v>0</v>
      </c>
      <c r="L4" s="4">
        <v>14</v>
      </c>
      <c r="M4" s="12">
        <v>17933.650880000001</v>
      </c>
      <c r="N4" s="7">
        <v>4.4380903200000002E-2</v>
      </c>
      <c r="O4" s="7">
        <v>3</v>
      </c>
      <c r="P4" s="5">
        <v>3</v>
      </c>
      <c r="Q4" s="7">
        <v>46091</v>
      </c>
      <c r="R4" s="7">
        <v>0</v>
      </c>
      <c r="S4" s="7">
        <v>288.86680369222597</v>
      </c>
      <c r="T4" s="7">
        <v>0</v>
      </c>
    </row>
    <row r="5" spans="2:20" x14ac:dyDescent="0.2">
      <c r="B5" s="4">
        <v>2</v>
      </c>
      <c r="C5" s="4">
        <v>214</v>
      </c>
      <c r="D5" s="12">
        <v>26627.960419999999</v>
      </c>
      <c r="E5" s="7">
        <v>3.0606985100000001E-2</v>
      </c>
      <c r="F5" s="7">
        <v>3</v>
      </c>
      <c r="G5" s="5">
        <v>2</v>
      </c>
      <c r="H5" s="7">
        <v>40002.600000000006</v>
      </c>
      <c r="I5" s="7">
        <v>0</v>
      </c>
      <c r="J5" s="7">
        <v>474.81405991898521</v>
      </c>
      <c r="K5" s="7">
        <v>0</v>
      </c>
      <c r="L5" s="4">
        <v>214</v>
      </c>
      <c r="M5" s="12">
        <v>15427.23242</v>
      </c>
      <c r="N5" s="7">
        <v>2.7778148700000001E-2</v>
      </c>
      <c r="O5" s="7">
        <v>3</v>
      </c>
      <c r="P5" s="5">
        <v>2</v>
      </c>
      <c r="Q5" s="7">
        <v>40004</v>
      </c>
      <c r="R5" s="7">
        <v>0</v>
      </c>
      <c r="S5" s="7">
        <v>474.81405991966147</v>
      </c>
      <c r="T5" s="7">
        <v>0</v>
      </c>
    </row>
    <row r="6" spans="2:20" x14ac:dyDescent="0.2">
      <c r="B6" s="4">
        <v>3</v>
      </c>
      <c r="C6" s="4">
        <v>245</v>
      </c>
      <c r="D6" s="12">
        <v>23302.905729999999</v>
      </c>
      <c r="E6" s="7">
        <v>5.46078682E-2</v>
      </c>
      <c r="F6" s="7">
        <v>3</v>
      </c>
      <c r="G6" s="5">
        <v>1</v>
      </c>
      <c r="H6" s="7">
        <v>45324</v>
      </c>
      <c r="I6" s="7">
        <v>21.080101199281991</v>
      </c>
      <c r="J6" s="7">
        <v>936.7185999133826</v>
      </c>
      <c r="K6" s="7">
        <v>0</v>
      </c>
      <c r="L6" s="4">
        <v>245</v>
      </c>
      <c r="M6" s="12">
        <v>15597.82573</v>
      </c>
      <c r="N6" s="7">
        <v>4.7686100000000002E-2</v>
      </c>
      <c r="O6" s="7">
        <v>3</v>
      </c>
      <c r="P6" s="5">
        <v>1</v>
      </c>
      <c r="Q6" s="7">
        <v>45325</v>
      </c>
      <c r="R6" s="7">
        <v>21.080101199281991</v>
      </c>
      <c r="S6" s="7">
        <v>936.7185999133826</v>
      </c>
      <c r="T6" s="7">
        <v>0</v>
      </c>
    </row>
    <row r="7" spans="2:20" x14ac:dyDescent="0.2">
      <c r="B7" s="4">
        <v>4</v>
      </c>
      <c r="C7" s="4">
        <v>373</v>
      </c>
      <c r="D7" s="12">
        <v>16954.054530000001</v>
      </c>
      <c r="E7" s="7">
        <v>4.66098785E-2</v>
      </c>
      <c r="F7" s="7">
        <v>3</v>
      </c>
      <c r="G7" s="5">
        <v>1</v>
      </c>
      <c r="H7" s="7">
        <v>23648</v>
      </c>
      <c r="I7" s="7">
        <v>0</v>
      </c>
      <c r="J7" s="7">
        <v>803.14234596515234</v>
      </c>
      <c r="K7" s="7">
        <v>0</v>
      </c>
      <c r="L7" s="4">
        <v>373</v>
      </c>
      <c r="M7" s="12">
        <v>11828.748809999999</v>
      </c>
      <c r="N7" s="7">
        <v>5.3052902200000002E-2</v>
      </c>
      <c r="O7" s="7">
        <v>3</v>
      </c>
      <c r="P7" s="5">
        <v>1</v>
      </c>
      <c r="Q7" s="7">
        <v>47482</v>
      </c>
      <c r="R7" s="7">
        <v>0</v>
      </c>
      <c r="S7" s="7">
        <v>637.21601419463684</v>
      </c>
      <c r="T7" s="7">
        <v>0</v>
      </c>
    </row>
    <row r="8" spans="2:20" x14ac:dyDescent="0.2">
      <c r="B8" s="4">
        <v>5</v>
      </c>
      <c r="C8" s="4">
        <v>439</v>
      </c>
      <c r="D8" s="12">
        <v>16104.97156</v>
      </c>
      <c r="E8" s="7">
        <v>8.1970692000000005E-3</v>
      </c>
      <c r="F8" s="7">
        <v>3</v>
      </c>
      <c r="G8" s="5">
        <v>1</v>
      </c>
      <c r="H8" s="7">
        <v>23086.6</v>
      </c>
      <c r="I8" s="7">
        <v>0</v>
      </c>
      <c r="J8" s="7">
        <v>661.84605370603822</v>
      </c>
      <c r="K8" s="7">
        <v>0</v>
      </c>
      <c r="L8" s="4">
        <v>439</v>
      </c>
      <c r="M8" s="12">
        <v>11949.38356</v>
      </c>
      <c r="N8" s="7">
        <v>9.9089146000000006E-3</v>
      </c>
      <c r="O8" s="7">
        <v>3</v>
      </c>
      <c r="P8" s="5">
        <v>1</v>
      </c>
      <c r="Q8" s="7">
        <v>23087</v>
      </c>
      <c r="R8" s="7">
        <v>0</v>
      </c>
      <c r="S8" s="7">
        <v>661.84605370598808</v>
      </c>
      <c r="T8" s="7">
        <v>0</v>
      </c>
    </row>
    <row r="9" spans="2:20" x14ac:dyDescent="0.2">
      <c r="B9" s="4">
        <v>6</v>
      </c>
      <c r="C9" s="4">
        <v>452</v>
      </c>
      <c r="D9" s="12">
        <v>22743.965459999999</v>
      </c>
      <c r="E9" s="7">
        <v>2.8569221499999999E-2</v>
      </c>
      <c r="F9" s="7">
        <v>3</v>
      </c>
      <c r="G9" s="5">
        <v>1</v>
      </c>
      <c r="H9" s="7">
        <v>46236.2</v>
      </c>
      <c r="I9" s="7">
        <v>0</v>
      </c>
      <c r="J9" s="7">
        <v>482.8365171992715</v>
      </c>
      <c r="K9" s="7">
        <v>0</v>
      </c>
      <c r="L9" s="4">
        <v>452</v>
      </c>
      <c r="M9" s="12">
        <v>10260.19146</v>
      </c>
      <c r="N9" s="7">
        <v>3.7530183799999998E-2</v>
      </c>
      <c r="O9" s="7">
        <v>3</v>
      </c>
      <c r="P9" s="5">
        <v>1</v>
      </c>
      <c r="Q9" s="7">
        <v>46237</v>
      </c>
      <c r="R9" s="7">
        <v>0</v>
      </c>
      <c r="S9" s="7">
        <v>482.83651719949557</v>
      </c>
      <c r="T9" s="7">
        <v>0</v>
      </c>
    </row>
    <row r="10" spans="2:20" x14ac:dyDescent="0.2">
      <c r="B10" s="4">
        <v>7</v>
      </c>
      <c r="C10" s="4">
        <v>508</v>
      </c>
      <c r="D10" s="12">
        <v>19583.41043</v>
      </c>
      <c r="E10" s="7">
        <v>2.2717952699999999E-2</v>
      </c>
      <c r="F10" s="7">
        <v>3</v>
      </c>
      <c r="G10" s="5">
        <v>1</v>
      </c>
      <c r="H10" s="7">
        <v>35057.199999999997</v>
      </c>
      <c r="I10" s="7">
        <v>0</v>
      </c>
      <c r="J10" s="7">
        <v>644.91204232018731</v>
      </c>
      <c r="K10" s="7">
        <v>0</v>
      </c>
      <c r="L10" s="4">
        <v>508</v>
      </c>
      <c r="M10" s="12">
        <v>11520.254430000001</v>
      </c>
      <c r="N10" s="7">
        <v>2.6309967E-2</v>
      </c>
      <c r="O10" s="7">
        <v>3</v>
      </c>
      <c r="P10" s="5">
        <v>1</v>
      </c>
      <c r="Q10" s="7">
        <v>35059</v>
      </c>
      <c r="R10" s="7">
        <v>0</v>
      </c>
      <c r="S10" s="7">
        <v>644.91204232055509</v>
      </c>
      <c r="T10" s="7">
        <v>0</v>
      </c>
    </row>
    <row r="11" spans="2:20" x14ac:dyDescent="0.2">
      <c r="B11" s="4">
        <v>8</v>
      </c>
      <c r="C11" s="4">
        <v>581</v>
      </c>
      <c r="D11" s="12">
        <v>16874.20016</v>
      </c>
      <c r="E11" s="7">
        <v>2.67829895E-2</v>
      </c>
      <c r="F11" s="7">
        <v>3</v>
      </c>
      <c r="G11" s="5">
        <v>1</v>
      </c>
      <c r="H11" s="7">
        <v>49096.800000000003</v>
      </c>
      <c r="I11" s="7">
        <v>0</v>
      </c>
      <c r="J11" s="7">
        <v>377.35995410912545</v>
      </c>
      <c r="K11" s="7">
        <v>0</v>
      </c>
      <c r="L11" s="4">
        <v>581</v>
      </c>
      <c r="M11" s="12">
        <v>9018.7121599999991</v>
      </c>
      <c r="N11" s="7">
        <v>2.3182868999999998E-2</v>
      </c>
      <c r="O11" s="7">
        <v>3</v>
      </c>
      <c r="P11" s="5">
        <v>1</v>
      </c>
      <c r="Q11" s="7">
        <v>49097</v>
      </c>
      <c r="R11" s="7">
        <v>0</v>
      </c>
      <c r="S11" s="7">
        <v>377.35995410912545</v>
      </c>
      <c r="T11" s="7">
        <v>0</v>
      </c>
    </row>
    <row r="12" spans="2:20" x14ac:dyDescent="0.2">
      <c r="B12" s="4">
        <v>9</v>
      </c>
      <c r="C12" s="4">
        <v>584</v>
      </c>
      <c r="D12" s="12">
        <v>30543.181499999999</v>
      </c>
      <c r="E12" s="7">
        <v>4.9028158199999998E-2</v>
      </c>
      <c r="F12" s="7">
        <v>3</v>
      </c>
      <c r="G12" s="5">
        <v>2</v>
      </c>
      <c r="H12" s="7">
        <v>38102</v>
      </c>
      <c r="I12" s="7">
        <v>0</v>
      </c>
      <c r="J12" s="7">
        <v>476.89624902134926</v>
      </c>
      <c r="K12" s="7">
        <v>0</v>
      </c>
      <c r="L12" s="4">
        <v>584</v>
      </c>
      <c r="M12" s="12">
        <v>14540.3415</v>
      </c>
      <c r="N12" s="7">
        <v>4.5272111900000002E-2</v>
      </c>
      <c r="O12" s="7">
        <v>3</v>
      </c>
      <c r="P12" s="5">
        <v>2</v>
      </c>
      <c r="Q12" s="7">
        <v>38102</v>
      </c>
      <c r="R12" s="7">
        <v>0</v>
      </c>
      <c r="S12" s="7">
        <v>476.89624902201615</v>
      </c>
      <c r="T12" s="7">
        <v>0</v>
      </c>
    </row>
    <row r="13" spans="2:20" x14ac:dyDescent="0.2">
      <c r="B13" s="4">
        <v>10</v>
      </c>
      <c r="C13" s="4">
        <v>755</v>
      </c>
      <c r="D13" s="12">
        <v>23431.42324</v>
      </c>
      <c r="E13" s="7">
        <v>4.9354076400000002E-2</v>
      </c>
      <c r="F13" s="7">
        <v>3</v>
      </c>
      <c r="G13" s="5">
        <v>2</v>
      </c>
      <c r="H13" s="7">
        <v>34338</v>
      </c>
      <c r="I13" s="7">
        <v>0</v>
      </c>
      <c r="J13" s="7">
        <v>514.74594638697795</v>
      </c>
      <c r="K13" s="7">
        <v>0</v>
      </c>
      <c r="L13" s="4">
        <v>755</v>
      </c>
      <c r="M13" s="12">
        <v>15877.063239999999</v>
      </c>
      <c r="N13" s="7">
        <v>4.8622846599999998E-2</v>
      </c>
      <c r="O13" s="7">
        <v>3</v>
      </c>
      <c r="P13" s="5">
        <v>2</v>
      </c>
      <c r="Q13" s="7">
        <v>34338</v>
      </c>
      <c r="R13" s="7">
        <v>0</v>
      </c>
      <c r="S13" s="7">
        <v>514.74594638864176</v>
      </c>
      <c r="T13" s="7">
        <v>0</v>
      </c>
    </row>
    <row r="14" spans="2:20" x14ac:dyDescent="0.2">
      <c r="B14" s="46" t="s">
        <v>3</v>
      </c>
      <c r="C14" s="47"/>
      <c r="D14" s="9">
        <f t="shared" ref="D14:K14" si="0">AVERAGE(D4:D13)</f>
        <v>23359.577016000003</v>
      </c>
      <c r="E14" s="22">
        <f>AVERAGE(E4:E13)</f>
        <v>3.4601402279999999E-2</v>
      </c>
      <c r="F14" s="20">
        <f t="shared" si="0"/>
        <v>3</v>
      </c>
      <c r="G14" s="11">
        <f t="shared" si="0"/>
        <v>1.6</v>
      </c>
      <c r="H14" s="9">
        <f t="shared" si="0"/>
        <v>36475.840000000004</v>
      </c>
      <c r="I14" s="13">
        <f t="shared" si="0"/>
        <v>2.1080101199281991</v>
      </c>
      <c r="J14" s="13">
        <f t="shared" si="0"/>
        <v>564.37410617317107</v>
      </c>
      <c r="K14" s="11">
        <f t="shared" si="0"/>
        <v>0</v>
      </c>
      <c r="L14" s="16"/>
      <c r="M14" s="16">
        <f t="shared" ref="M14:T14" si="1">AVERAGE(M4:M13)</f>
        <v>13395.340418999996</v>
      </c>
      <c r="N14" s="21">
        <f t="shared" si="1"/>
        <v>3.6372494700000001E-2</v>
      </c>
      <c r="O14" s="18">
        <f t="shared" si="1"/>
        <v>3</v>
      </c>
      <c r="P14" s="18">
        <f t="shared" si="1"/>
        <v>1.5</v>
      </c>
      <c r="Q14" s="16">
        <f t="shared" si="1"/>
        <v>40482.199999999997</v>
      </c>
      <c r="R14" s="17">
        <f t="shared" si="1"/>
        <v>2.1080101199281991</v>
      </c>
      <c r="S14" s="17">
        <f t="shared" si="1"/>
        <v>549.62122404657293</v>
      </c>
      <c r="T14" s="18">
        <f t="shared" si="1"/>
        <v>0</v>
      </c>
    </row>
    <row r="15" spans="2:20" x14ac:dyDescent="0.2">
      <c r="D15" s="2"/>
      <c r="E15" s="3"/>
      <c r="F15" s="3"/>
      <c r="G15" s="3"/>
      <c r="H15" s="3"/>
      <c r="I15" s="3"/>
      <c r="J15" s="3"/>
    </row>
    <row r="16" spans="2:20" x14ac:dyDescent="0.2">
      <c r="D16" s="2"/>
    </row>
    <row r="17" spans="4:4" x14ac:dyDescent="0.2">
      <c r="D17" s="2"/>
    </row>
  </sheetData>
  <mergeCells count="1">
    <mergeCell ref="B14:C14"/>
  </mergeCells>
  <conditionalFormatting sqref="L1:L3 L14:L1048576">
    <cfRule type="duplicateValues" dxfId="37" priority="1"/>
  </conditionalFormatting>
  <conditionalFormatting sqref="L14">
    <cfRule type="duplicateValues" dxfId="36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Summary</vt:lpstr>
      <vt:lpstr>results118</vt:lpstr>
      <vt:lpstr>results287</vt:lpstr>
      <vt:lpstr>results503</vt:lpstr>
      <vt:lpstr>results579</vt:lpstr>
      <vt:lpstr>results685</vt:lpstr>
      <vt:lpstr>results759</vt:lpstr>
      <vt:lpstr>results782</vt:lpstr>
      <vt:lpstr>results818</vt:lpstr>
      <vt:lpstr>results872</vt:lpstr>
      <vt:lpstr>results982</vt:lpstr>
      <vt:lpstr>Sample1</vt:lpstr>
      <vt:lpstr>10-2-2_a</vt:lpstr>
      <vt:lpstr>10-2-3_a</vt:lpstr>
      <vt:lpstr>10-3-2_a</vt:lpstr>
      <vt:lpstr>10-3-3_a</vt:lpstr>
      <vt:lpstr>20-2-2_a</vt:lpstr>
      <vt:lpstr>20-2-3_a</vt:lpstr>
      <vt:lpstr>20-3-2_a</vt:lpstr>
      <vt:lpstr>20-3-3_a</vt:lpstr>
      <vt:lpstr>30-2-2_a</vt:lpstr>
      <vt:lpstr>30-2-3_a</vt:lpstr>
      <vt:lpstr>30-3-2_a</vt:lpstr>
      <vt:lpstr>30-3-3_a</vt:lpstr>
      <vt:lpstr>30-3-2b</vt:lpstr>
      <vt:lpstr>30-3-3b</vt:lpstr>
      <vt:lpstr>20-3-3b</vt:lpstr>
      <vt:lpstr>10-3-3b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2024-09-25T20:37:25Z</dcterms:created>
  <dcterms:modified xsi:type="dcterms:W3CDTF">2026-10-21T18:48:42Z</dcterms:modified>
</cp:coreProperties>
</file>