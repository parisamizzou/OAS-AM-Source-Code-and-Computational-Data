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arisa/Documents/Chapter 1/GitHub/Results/Uploaded/Large/SA-AOS/150-10-5/"/>
    </mc:Choice>
  </mc:AlternateContent>
  <xr:revisionPtr revIDLastSave="0" documentId="13_ncr:1_{722C06E3-EC2E-0A46-AB00-6232D57FC749}" xr6:coauthVersionLast="47" xr6:coauthVersionMax="47" xr10:uidLastSave="{00000000-0000-0000-0000-000000000000}"/>
  <bookViews>
    <workbookView xWindow="0" yWindow="760" windowWidth="34560" windowHeight="20520" tabRatio="831" xr2:uid="{41E620E7-D6DF-9342-B452-EA60AB3B07C5}"/>
  </bookViews>
  <sheets>
    <sheet name="Summary" sheetId="75" r:id="rId1"/>
    <sheet name="results112" sheetId="57" r:id="rId2"/>
    <sheet name="results127" sheetId="58" r:id="rId3"/>
    <sheet name="results179" sheetId="67" r:id="rId4"/>
    <sheet name="results212" sheetId="68" r:id="rId5"/>
    <sheet name="results313" sheetId="69" r:id="rId6"/>
    <sheet name="results450" sheetId="70" r:id="rId7"/>
    <sheet name="results613" sheetId="71" r:id="rId8"/>
    <sheet name="results661" sheetId="72" r:id="rId9"/>
    <sheet name="results819" sheetId="73" r:id="rId10"/>
    <sheet name="results919" sheetId="74" r:id="rId11"/>
    <sheet name="Sample1" sheetId="23" state="hidden" r:id="rId12"/>
    <sheet name="10-2-2_a" sheetId="25" state="hidden" r:id="rId13"/>
    <sheet name="10-2-3_a" sheetId="26" state="hidden" r:id="rId14"/>
    <sheet name="10-3-2_a" sheetId="27" state="hidden" r:id="rId15"/>
    <sheet name="10-3-3_a" sheetId="28" state="hidden" r:id="rId16"/>
    <sheet name="20-2-2_a" sheetId="29" state="hidden" r:id="rId17"/>
    <sheet name="20-2-3_a" sheetId="31" state="hidden" r:id="rId18"/>
    <sheet name="20-3-2_a" sheetId="32" state="hidden" r:id="rId19"/>
    <sheet name="20-3-3_a" sheetId="33" state="hidden" r:id="rId20"/>
    <sheet name="30-2-2_a" sheetId="34" state="hidden" r:id="rId21"/>
    <sheet name="30-2-3_a" sheetId="35" state="hidden" r:id="rId22"/>
    <sheet name="30-3-2_a" sheetId="36" state="hidden" r:id="rId23"/>
    <sheet name="30-3-3_a" sheetId="37" state="hidden" r:id="rId24"/>
    <sheet name="30-3-2b" sheetId="40" state="hidden" r:id="rId25"/>
    <sheet name="30-3-3b" sheetId="38" state="hidden" r:id="rId26"/>
    <sheet name="20-3-3b" sheetId="41" state="hidden" r:id="rId27"/>
    <sheet name="10-3-3b" sheetId="42" state="hidden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75" l="1" a="1"/>
  <c r="H11" i="75" a="1"/>
  <c r="L10" i="75" a="1"/>
  <c r="V9" i="75" a="1"/>
  <c r="H9" i="75" a="1"/>
  <c r="S8" i="75" a="1"/>
  <c r="E8" i="75" a="1"/>
  <c r="O7" i="75" a="1"/>
  <c r="H7" i="75" a="1"/>
  <c r="S6" i="75" a="1"/>
  <c r="E6" i="75" a="1"/>
  <c r="V5" i="75" a="1"/>
  <c r="H5" i="75" a="1"/>
  <c r="S4" i="75" a="1"/>
  <c r="L4" i="75" a="1"/>
  <c r="V3" i="75" a="1"/>
  <c r="H3" i="75" a="1"/>
  <c r="G5" i="75" a="1"/>
  <c r="U3" i="75" a="1"/>
  <c r="C10" i="75" a="1"/>
  <c r="T7" i="75" a="1"/>
  <c r="P6" i="75" a="1"/>
  <c r="F5" i="75" a="1"/>
  <c r="C4" i="75" a="1"/>
  <c r="H12" i="75" a="1"/>
  <c r="E11" i="75" a="1"/>
  <c r="S9" i="75" a="1"/>
  <c r="H8" i="75" a="1"/>
  <c r="V6" i="75" a="1"/>
  <c r="L5" i="75" a="1"/>
  <c r="Y3" i="75" a="1"/>
  <c r="N12" i="75" a="1"/>
  <c r="D11" i="75" a="1"/>
  <c r="Q9" i="75" a="1"/>
  <c r="X7" i="75" a="1"/>
  <c r="N6" i="75" a="1"/>
  <c r="D5" i="75" a="1"/>
  <c r="K3" i="75" a="1"/>
  <c r="Y12" i="75" a="1"/>
  <c r="E12" i="75" a="1"/>
  <c r="V11" i="75" a="1"/>
  <c r="O11" i="75" a="1"/>
  <c r="Y10" i="75" a="1"/>
  <c r="S10" i="75" a="1"/>
  <c r="E10" i="75" a="1"/>
  <c r="O9" i="75" a="1"/>
  <c r="Y8" i="75" a="1"/>
  <c r="L8" i="75" a="1"/>
  <c r="V7" i="75" a="1"/>
  <c r="Y6" i="75" a="1"/>
  <c r="L6" i="75" a="1"/>
  <c r="O5" i="75" a="1"/>
  <c r="Y4" i="75" a="1"/>
  <c r="E4" i="75" a="1"/>
  <c r="O3" i="75" a="1"/>
  <c r="D4" i="75" a="1"/>
  <c r="T9" i="75" a="1"/>
  <c r="M7" i="75" a="1"/>
  <c r="I6" i="75" a="1"/>
  <c r="W4" i="75" a="1"/>
  <c r="M3" i="75" a="1"/>
  <c r="O12" i="75" a="1"/>
  <c r="L11" i="75" a="1"/>
  <c r="Y9" i="75" a="1"/>
  <c r="O8" i="75" a="1"/>
  <c r="E7" i="75" a="1"/>
  <c r="S5" i="75" a="1"/>
  <c r="H4" i="75" a="1"/>
  <c r="K11" i="75" a="1"/>
  <c r="X9" i="75" a="1"/>
  <c r="U8" i="75" a="1"/>
  <c r="K7" i="75" a="1"/>
  <c r="X5" i="75" a="1"/>
  <c r="N4" i="75" a="1"/>
  <c r="U9" i="75" a="1"/>
  <c r="U7" i="75" a="1"/>
  <c r="X6" i="75" a="1"/>
  <c r="K6" i="75" a="1"/>
  <c r="U5" i="75" a="1"/>
  <c r="X4" i="75" a="1"/>
  <c r="K4" i="75" a="1"/>
  <c r="N3" i="75" a="1"/>
  <c r="M9" i="75" a="1"/>
  <c r="I8" i="75" a="1"/>
  <c r="W6" i="75" a="1"/>
  <c r="T5" i="75" a="1"/>
  <c r="P4" i="75" a="1"/>
  <c r="F3" i="75" a="1"/>
  <c r="Y11" i="75" a="1"/>
  <c r="H10" i="75" a="1"/>
  <c r="V8" i="75" a="1"/>
  <c r="L7" i="75" a="1"/>
  <c r="Y5" i="75" a="1"/>
  <c r="O4" i="75" a="1"/>
  <c r="L3" i="75" a="1"/>
  <c r="Q11" i="75" a="1"/>
  <c r="U10" i="75" a="1"/>
  <c r="K9" i="75" a="1"/>
  <c r="G8" i="75" a="1"/>
  <c r="U6" i="75" a="1"/>
  <c r="K5" i="75" a="1"/>
  <c r="X3" i="75" a="1"/>
  <c r="X12" i="75" a="1"/>
  <c r="Q12" i="75" a="1"/>
  <c r="K12" i="75" a="1"/>
  <c r="U11" i="75" a="1"/>
  <c r="N11" i="75" a="1"/>
  <c r="G11" i="75" a="1"/>
  <c r="X10" i="75" a="1"/>
  <c r="Q10" i="75" a="1"/>
  <c r="K10" i="75" a="1"/>
  <c r="D10" i="75" a="1"/>
  <c r="N9" i="75" a="1"/>
  <c r="G9" i="75" a="1"/>
  <c r="X8" i="75" a="1"/>
  <c r="Q8" i="75" a="1"/>
  <c r="K8" i="75" a="1"/>
  <c r="D8" i="75" a="1"/>
  <c r="N7" i="75" a="1"/>
  <c r="G7" i="75" a="1"/>
  <c r="Q6" i="75" a="1"/>
  <c r="D6" i="75" a="1"/>
  <c r="N5" i="75" a="1"/>
  <c r="Q4" i="75" a="1"/>
  <c r="G3" i="75" a="1"/>
  <c r="P8" i="75" a="1"/>
  <c r="C6" i="75" a="1"/>
  <c r="I4" i="75" a="1"/>
  <c r="V12" i="75" a="1"/>
  <c r="V10" i="75" a="1"/>
  <c r="L9" i="75" a="1"/>
  <c r="Y7" i="75" a="1"/>
  <c r="O6" i="75" a="1"/>
  <c r="V4" i="75" a="1"/>
  <c r="E3" i="75" a="1"/>
  <c r="G12" i="75" a="1"/>
  <c r="G10" i="75" a="1"/>
  <c r="N8" i="75" a="1"/>
  <c r="D7" i="75" a="1"/>
  <c r="Q5" i="75" a="1"/>
  <c r="G4" i="75" a="1"/>
  <c r="W12" i="75" a="1"/>
  <c r="P12" i="75" a="1"/>
  <c r="I12" i="75" a="1"/>
  <c r="C12" i="75" a="1"/>
  <c r="T11" i="75" a="1"/>
  <c r="M11" i="75" a="1"/>
  <c r="F11" i="75" a="1"/>
  <c r="W10" i="75" a="1"/>
  <c r="P10" i="75" a="1"/>
  <c r="I10" i="75" a="1"/>
  <c r="F9" i="75" a="1"/>
  <c r="W8" i="75" a="1"/>
  <c r="C8" i="75" a="1"/>
  <c r="F7" i="75" a="1"/>
  <c r="M5" i="75" a="1"/>
  <c r="T3" i="75" a="1"/>
  <c r="S11" i="75" a="1"/>
  <c r="O10" i="75" a="1"/>
  <c r="E9" i="75" a="1"/>
  <c r="S7" i="75" a="1"/>
  <c r="H6" i="75" a="1"/>
  <c r="E5" i="75" a="1"/>
  <c r="S3" i="75" a="1"/>
  <c r="X11" i="75" a="1"/>
  <c r="N10" i="75" a="1"/>
  <c r="D9" i="75" a="1"/>
  <c r="Q7" i="75" a="1"/>
  <c r="G6" i="75" a="1"/>
  <c r="U4" i="75" a="1"/>
  <c r="D3" i="75" a="1"/>
  <c r="U12" i="75" a="1"/>
  <c r="M12" i="75" a="1"/>
  <c r="F12" i="75" a="1"/>
  <c r="W11" i="75" a="1"/>
  <c r="P11" i="75" a="1"/>
  <c r="I11" i="75" a="1"/>
  <c r="C11" i="75" a="1"/>
  <c r="T10" i="75" a="1"/>
  <c r="M10" i="75" a="1"/>
  <c r="F10" i="75" a="1"/>
  <c r="W9" i="75" a="1"/>
  <c r="P9" i="75" a="1"/>
  <c r="I9" i="75" a="1"/>
  <c r="C9" i="75" a="1"/>
  <c r="T8" i="75" a="1"/>
  <c r="M8" i="75" a="1"/>
  <c r="F8" i="75" a="1"/>
  <c r="W7" i="75" a="1"/>
  <c r="P7" i="75" a="1"/>
  <c r="I7" i="75" a="1"/>
  <c r="C7" i="75" a="1"/>
  <c r="T6" i="75" a="1"/>
  <c r="M6" i="75" a="1"/>
  <c r="F6" i="75" a="1"/>
  <c r="W5" i="75" a="1"/>
  <c r="P5" i="75" a="1"/>
  <c r="I5" i="75" a="1"/>
  <c r="C5" i="75" a="1"/>
  <c r="T4" i="75" a="1"/>
  <c r="M4" i="75" a="1"/>
  <c r="F4" i="75" a="1"/>
  <c r="W3" i="75" a="1"/>
  <c r="P3" i="75" a="1"/>
  <c r="I3" i="75" a="1"/>
  <c r="C3" i="75" a="1"/>
  <c r="Q3" i="75" a="1"/>
  <c r="Q3" i="75" l="1"/>
  <c r="C3" i="75"/>
  <c r="I3" i="75"/>
  <c r="P3" i="75"/>
  <c r="W3" i="75"/>
  <c r="F4" i="75"/>
  <c r="M4" i="75"/>
  <c r="T4" i="75"/>
  <c r="C5" i="75"/>
  <c r="I5" i="75"/>
  <c r="P5" i="75"/>
  <c r="W5" i="75"/>
  <c r="F6" i="75"/>
  <c r="M6" i="75"/>
  <c r="T6" i="75"/>
  <c r="C7" i="75"/>
  <c r="I7" i="75"/>
  <c r="P7" i="75"/>
  <c r="W7" i="75"/>
  <c r="F8" i="75"/>
  <c r="M8" i="75"/>
  <c r="T8" i="75"/>
  <c r="C9" i="75"/>
  <c r="I9" i="75"/>
  <c r="P9" i="75"/>
  <c r="W9" i="75"/>
  <c r="F10" i="75"/>
  <c r="M10" i="75"/>
  <c r="T10" i="75"/>
  <c r="C11" i="75"/>
  <c r="I11" i="75"/>
  <c r="P11" i="75"/>
  <c r="W11" i="75"/>
  <c r="F12" i="75"/>
  <c r="M12" i="75"/>
  <c r="U12" i="75"/>
  <c r="D3" i="75"/>
  <c r="U4" i="75"/>
  <c r="G6" i="75"/>
  <c r="Q7" i="75"/>
  <c r="D9" i="75"/>
  <c r="N10" i="75"/>
  <c r="X11" i="75"/>
  <c r="S3" i="75"/>
  <c r="E5" i="75"/>
  <c r="H6" i="75"/>
  <c r="S7" i="75"/>
  <c r="E9" i="75"/>
  <c r="O10" i="75"/>
  <c r="S11" i="75"/>
  <c r="T3" i="75"/>
  <c r="M5" i="75"/>
  <c r="F7" i="75"/>
  <c r="C8" i="75"/>
  <c r="W8" i="75"/>
  <c r="F9" i="75"/>
  <c r="I10" i="75"/>
  <c r="P10" i="75"/>
  <c r="W10" i="75"/>
  <c r="F11" i="75"/>
  <c r="M11" i="75"/>
  <c r="T11" i="75"/>
  <c r="C12" i="75"/>
  <c r="I12" i="75"/>
  <c r="P12" i="75"/>
  <c r="W12" i="75"/>
  <c r="G4" i="75"/>
  <c r="Q5" i="75"/>
  <c r="D7" i="75"/>
  <c r="N8" i="75"/>
  <c r="G10" i="75"/>
  <c r="G12" i="75"/>
  <c r="E3" i="75"/>
  <c r="V4" i="75"/>
  <c r="O6" i="75"/>
  <c r="Y7" i="75"/>
  <c r="L9" i="75"/>
  <c r="V10" i="75"/>
  <c r="V12" i="75"/>
  <c r="I4" i="75"/>
  <c r="C6" i="75"/>
  <c r="P8" i="75"/>
  <c r="G3" i="75"/>
  <c r="Q4" i="75"/>
  <c r="N5" i="75"/>
  <c r="D6" i="75"/>
  <c r="Q6" i="75"/>
  <c r="G7" i="75"/>
  <c r="N7" i="75"/>
  <c r="D8" i="75"/>
  <c r="K8" i="75"/>
  <c r="Q8" i="75"/>
  <c r="X8" i="75"/>
  <c r="G9" i="75"/>
  <c r="N9" i="75"/>
  <c r="D10" i="75"/>
  <c r="K10" i="75"/>
  <c r="Q10" i="75"/>
  <c r="X10" i="75"/>
  <c r="G11" i="75"/>
  <c r="N11" i="75"/>
  <c r="U11" i="75"/>
  <c r="K12" i="75"/>
  <c r="Q12" i="75"/>
  <c r="X12" i="75"/>
  <c r="X3" i="75"/>
  <c r="K5" i="75"/>
  <c r="U6" i="75"/>
  <c r="G8" i="75"/>
  <c r="K9" i="75"/>
  <c r="U10" i="75"/>
  <c r="Q11" i="75"/>
  <c r="L3" i="75"/>
  <c r="O4" i="75"/>
  <c r="Y5" i="75"/>
  <c r="L7" i="75"/>
  <c r="V8" i="75"/>
  <c r="H10" i="75"/>
  <c r="Y11" i="75"/>
  <c r="F3" i="75"/>
  <c r="P4" i="75"/>
  <c r="T5" i="75"/>
  <c r="W6" i="75"/>
  <c r="I8" i="75"/>
  <c r="M9" i="75"/>
  <c r="N3" i="75"/>
  <c r="K4" i="75"/>
  <c r="X4" i="75"/>
  <c r="U5" i="75"/>
  <c r="K6" i="75"/>
  <c r="X6" i="75"/>
  <c r="U7" i="75"/>
  <c r="U9" i="75"/>
  <c r="N4" i="75"/>
  <c r="X5" i="75"/>
  <c r="K7" i="75"/>
  <c r="U8" i="75"/>
  <c r="X9" i="75"/>
  <c r="K11" i="75"/>
  <c r="H4" i="75"/>
  <c r="S5" i="75"/>
  <c r="E7" i="75"/>
  <c r="O8" i="75"/>
  <c r="Y9" i="75"/>
  <c r="L11" i="75"/>
  <c r="O12" i="75"/>
  <c r="M3" i="75"/>
  <c r="W4" i="75"/>
  <c r="I6" i="75"/>
  <c r="M7" i="75"/>
  <c r="T9" i="75"/>
  <c r="D4" i="75"/>
  <c r="O3" i="75"/>
  <c r="E4" i="75"/>
  <c r="Y4" i="75"/>
  <c r="O5" i="75"/>
  <c r="L6" i="75"/>
  <c r="Y6" i="75"/>
  <c r="V7" i="75"/>
  <c r="L8" i="75"/>
  <c r="Y8" i="75"/>
  <c r="O9" i="75"/>
  <c r="E10" i="75"/>
  <c r="S10" i="75"/>
  <c r="Y10" i="75"/>
  <c r="O11" i="75"/>
  <c r="V11" i="75"/>
  <c r="E12" i="75"/>
  <c r="Y12" i="75"/>
  <c r="K3" i="75"/>
  <c r="D5" i="75"/>
  <c r="N6" i="75"/>
  <c r="X7" i="75"/>
  <c r="Q9" i="75"/>
  <c r="D11" i="75"/>
  <c r="N12" i="75"/>
  <c r="Y3" i="75"/>
  <c r="L5" i="75"/>
  <c r="V6" i="75"/>
  <c r="H8" i="75"/>
  <c r="S9" i="75"/>
  <c r="E11" i="75"/>
  <c r="H12" i="75"/>
  <c r="C4" i="75"/>
  <c r="F5" i="75"/>
  <c r="P6" i="75"/>
  <c r="T7" i="75"/>
  <c r="C10" i="75"/>
  <c r="U3" i="75"/>
  <c r="G5" i="75"/>
  <c r="H3" i="75"/>
  <c r="V3" i="75"/>
  <c r="L4" i="75"/>
  <c r="S4" i="75"/>
  <c r="H5" i="75"/>
  <c r="V5" i="75"/>
  <c r="E6" i="75"/>
  <c r="S6" i="75"/>
  <c r="H7" i="75"/>
  <c r="O7" i="75"/>
  <c r="E8" i="75"/>
  <c r="S8" i="75"/>
  <c r="H9" i="75"/>
  <c r="V9" i="75"/>
  <c r="L10" i="75"/>
  <c r="H11" i="75"/>
  <c r="S12" i="75"/>
  <c r="AA14" i="57" l="1"/>
  <c r="T14" i="57"/>
  <c r="Z14" i="57" s="1"/>
  <c r="Z14" i="58"/>
  <c r="Y14" i="58"/>
  <c r="X14" i="58"/>
  <c r="W14" i="58"/>
  <c r="V14" i="58"/>
  <c r="U14" i="58"/>
  <c r="H14" i="34"/>
  <c r="J14" i="34"/>
  <c r="I14" i="34"/>
  <c r="F14" i="34"/>
  <c r="Q14" i="33"/>
  <c r="F14" i="33"/>
  <c r="O14" i="33"/>
  <c r="H14" i="33"/>
  <c r="R14" i="33"/>
  <c r="J14" i="33"/>
  <c r="I14" i="33"/>
  <c r="S14" i="33"/>
  <c r="F14" i="32"/>
  <c r="I14" i="32"/>
  <c r="Q14" i="32"/>
  <c r="R14" i="32"/>
  <c r="J14" i="32"/>
  <c r="O14" i="32"/>
  <c r="H14" i="32"/>
  <c r="S14" i="32"/>
  <c r="J14" i="31"/>
  <c r="H14" i="31"/>
  <c r="I14" i="31"/>
  <c r="F14" i="31"/>
  <c r="S14" i="31"/>
  <c r="O14" i="31"/>
  <c r="Q14" i="31"/>
  <c r="R14" i="31"/>
  <c r="F14" i="29"/>
  <c r="O14" i="29"/>
  <c r="Q14" i="29"/>
  <c r="I14" i="29"/>
  <c r="J14" i="29"/>
  <c r="H14" i="29"/>
  <c r="R14" i="29"/>
  <c r="S14" i="29"/>
  <c r="F14" i="28"/>
  <c r="O14" i="28"/>
  <c r="Q14" i="28"/>
  <c r="I14" i="28"/>
  <c r="S14" i="28"/>
  <c r="R14" i="28"/>
  <c r="J14" i="28"/>
  <c r="H14" i="28"/>
  <c r="J14" i="27"/>
  <c r="Q14" i="27"/>
  <c r="H14" i="27"/>
  <c r="R14" i="27"/>
  <c r="O14" i="27"/>
  <c r="I14" i="27"/>
  <c r="S14" i="27"/>
  <c r="F14" i="27"/>
  <c r="U14" i="57" l="1"/>
  <c r="V14" i="57"/>
  <c r="W14" i="57"/>
  <c r="X14" i="57"/>
  <c r="Y14" i="57"/>
  <c r="F14" i="42"/>
  <c r="O14" i="42"/>
  <c r="R14" i="42"/>
  <c r="J14" i="42"/>
  <c r="K14" i="42"/>
  <c r="I14" i="42"/>
  <c r="G14" i="42"/>
  <c r="H14" i="42"/>
  <c r="D14" i="42"/>
  <c r="Q14" i="42"/>
  <c r="S14" i="42"/>
  <c r="E14" i="42"/>
  <c r="F14" i="41"/>
  <c r="O14" i="41"/>
  <c r="H14" i="41"/>
  <c r="I14" i="41"/>
  <c r="Q14" i="41"/>
  <c r="D14" i="41"/>
  <c r="G14" i="41"/>
  <c r="R14" i="41"/>
  <c r="J14" i="41"/>
  <c r="E14" i="41"/>
  <c r="S14" i="41"/>
  <c r="K14" i="41"/>
  <c r="G14" i="40"/>
  <c r="J14" i="40"/>
  <c r="F14" i="40"/>
  <c r="H14" i="40"/>
  <c r="Q14" i="40"/>
  <c r="I14" i="40"/>
  <c r="O14" i="40"/>
  <c r="R14" i="40"/>
  <c r="S14" i="40"/>
  <c r="E14" i="40"/>
  <c r="K14" i="40"/>
  <c r="D14" i="40"/>
  <c r="F14" i="38"/>
  <c r="G14" i="38"/>
  <c r="Q14" i="38"/>
  <c r="R14" i="38"/>
  <c r="J14" i="38"/>
  <c r="O14" i="38"/>
  <c r="H14" i="38"/>
  <c r="K14" i="38"/>
  <c r="D14" i="38"/>
  <c r="S14" i="38"/>
  <c r="I14" i="38"/>
  <c r="E14" i="38"/>
  <c r="O14" i="37"/>
  <c r="S14" i="37"/>
  <c r="H14" i="37"/>
  <c r="I14" i="37"/>
  <c r="J14" i="37"/>
  <c r="F14" i="37"/>
  <c r="Q14" i="37"/>
  <c r="R14" i="37"/>
  <c r="R14" i="36"/>
  <c r="S14" i="36"/>
  <c r="H14" i="36"/>
  <c r="O14" i="36"/>
  <c r="Q14" i="36"/>
  <c r="F14" i="36"/>
  <c r="I14" i="36"/>
  <c r="J14" i="36"/>
  <c r="Q14" i="34"/>
  <c r="I14" i="35"/>
  <c r="S14" i="35"/>
  <c r="H14" i="35"/>
  <c r="R14" i="35"/>
  <c r="R14" i="34"/>
  <c r="S14" i="34"/>
  <c r="F14" i="35"/>
  <c r="J14" i="35"/>
  <c r="O14" i="34"/>
  <c r="O14" i="35"/>
  <c r="Q14" i="35"/>
  <c r="K14" i="34"/>
  <c r="D14" i="34"/>
  <c r="G14" i="34"/>
  <c r="E14" i="34"/>
  <c r="T14" i="33"/>
  <c r="M14" i="33"/>
  <c r="N14" i="33"/>
  <c r="P14" i="33"/>
  <c r="K14" i="33"/>
  <c r="G14" i="33"/>
  <c r="E14" i="33"/>
  <c r="D14" i="33"/>
  <c r="N14" i="32"/>
  <c r="T14" i="32"/>
  <c r="M14" i="32"/>
  <c r="P14" i="32"/>
  <c r="E14" i="32"/>
  <c r="K14" i="32"/>
  <c r="D14" i="32"/>
  <c r="G14" i="32"/>
  <c r="M14" i="31"/>
  <c r="T14" i="31"/>
  <c r="P14" i="31"/>
  <c r="N14" i="31"/>
  <c r="K14" i="31"/>
  <c r="G14" i="31"/>
  <c r="D14" i="31"/>
  <c r="E14" i="31"/>
  <c r="T14" i="29"/>
  <c r="P14" i="29"/>
  <c r="N14" i="29"/>
  <c r="M14" i="29"/>
  <c r="E14" i="29"/>
  <c r="G14" i="29"/>
  <c r="D14" i="29"/>
  <c r="K14" i="29"/>
  <c r="P14" i="28"/>
  <c r="T14" i="28"/>
  <c r="M14" i="28"/>
  <c r="N14" i="28"/>
  <c r="E14" i="28"/>
  <c r="G14" i="28"/>
  <c r="K14" i="28"/>
  <c r="D14" i="28"/>
  <c r="T14" i="27"/>
  <c r="P14" i="27"/>
  <c r="N14" i="27"/>
  <c r="M14" i="27"/>
  <c r="D14" i="27"/>
  <c r="K14" i="27"/>
  <c r="G14" i="27"/>
  <c r="E14" i="27"/>
  <c r="E14" i="25"/>
  <c r="K14" i="25"/>
  <c r="J14" i="25"/>
  <c r="I14" i="25"/>
  <c r="H14" i="25"/>
  <c r="G14" i="25"/>
  <c r="F14" i="25"/>
  <c r="K16" i="75" l="1"/>
  <c r="S16" i="75"/>
  <c r="V13" i="75"/>
  <c r="O13" i="75"/>
  <c r="U13" i="75"/>
  <c r="W13" i="75"/>
  <c r="X13" i="75"/>
  <c r="P13" i="75"/>
  <c r="Y13" i="75"/>
  <c r="Q13" i="75"/>
  <c r="K13" i="75"/>
  <c r="R13" i="75" s="1"/>
  <c r="N13" i="75"/>
  <c r="S13" i="75"/>
  <c r="Z13" i="75" s="1"/>
  <c r="M13" i="75"/>
  <c r="T14" i="74"/>
  <c r="T14" i="73"/>
  <c r="AA14" i="73" s="1"/>
  <c r="T14" i="72"/>
  <c r="T14" i="71"/>
  <c r="AA14" i="74"/>
  <c r="Z14" i="74"/>
  <c r="Y14" i="74"/>
  <c r="X14" i="74"/>
  <c r="W14" i="74"/>
  <c r="V14" i="74"/>
  <c r="U14" i="74"/>
  <c r="T14" i="70"/>
  <c r="T14" i="69"/>
  <c r="T14" i="68"/>
  <c r="T14" i="67"/>
  <c r="AA14" i="71"/>
  <c r="Z14" i="71"/>
  <c r="Y14" i="71"/>
  <c r="V14" i="71"/>
  <c r="U14" i="71"/>
  <c r="W14" i="71"/>
  <c r="X14" i="71"/>
  <c r="AA14" i="72"/>
  <c r="Z14" i="72"/>
  <c r="Y14" i="72"/>
  <c r="X14" i="72"/>
  <c r="W14" i="72"/>
  <c r="V14" i="72"/>
  <c r="U14" i="72"/>
  <c r="AA14" i="70"/>
  <c r="Z14" i="70"/>
  <c r="V14" i="70"/>
  <c r="U14" i="70"/>
  <c r="W14" i="70"/>
  <c r="X14" i="70"/>
  <c r="Y14" i="70"/>
  <c r="AA14" i="69"/>
  <c r="Z14" i="69"/>
  <c r="Y14" i="69"/>
  <c r="X14" i="69"/>
  <c r="W14" i="69"/>
  <c r="V14" i="69"/>
  <c r="U14" i="69"/>
  <c r="AA14" i="68"/>
  <c r="Z14" i="68"/>
  <c r="Y14" i="68"/>
  <c r="X14" i="68"/>
  <c r="W14" i="68"/>
  <c r="V14" i="68"/>
  <c r="U14" i="68"/>
  <c r="AA14" i="67"/>
  <c r="Z14" i="67"/>
  <c r="Y14" i="67"/>
  <c r="X14" i="67"/>
  <c r="W14" i="67"/>
  <c r="V14" i="67"/>
  <c r="U14" i="67"/>
  <c r="P14" i="42"/>
  <c r="T14" i="42"/>
  <c r="N14" i="42"/>
  <c r="M14" i="42"/>
  <c r="P14" i="41"/>
  <c r="M14" i="41"/>
  <c r="N14" i="41"/>
  <c r="T14" i="41"/>
  <c r="P14" i="40"/>
  <c r="N14" i="40"/>
  <c r="M14" i="40"/>
  <c r="T14" i="40"/>
  <c r="T14" i="38"/>
  <c r="P14" i="38"/>
  <c r="M14" i="38"/>
  <c r="N14" i="38"/>
  <c r="T14" i="37"/>
  <c r="P14" i="37"/>
  <c r="N14" i="37"/>
  <c r="M14" i="37"/>
  <c r="D14" i="37"/>
  <c r="K14" i="37"/>
  <c r="E14" i="37"/>
  <c r="G14" i="37"/>
  <c r="P14" i="36"/>
  <c r="N14" i="36"/>
  <c r="M14" i="36"/>
  <c r="T14" i="36"/>
  <c r="D14" i="36"/>
  <c r="G14" i="36"/>
  <c r="K14" i="36"/>
  <c r="E14" i="36"/>
  <c r="T14" i="35"/>
  <c r="P14" i="35"/>
  <c r="N14" i="35"/>
  <c r="M14" i="35"/>
  <c r="E14" i="35"/>
  <c r="G14" i="35"/>
  <c r="K14" i="35"/>
  <c r="D14" i="35"/>
  <c r="M14" i="34"/>
  <c r="P14" i="34"/>
  <c r="T14" i="34"/>
  <c r="N14" i="34"/>
  <c r="Q14" i="26"/>
  <c r="S14" i="26"/>
  <c r="R14" i="26"/>
  <c r="H14" i="26"/>
  <c r="O14" i="26"/>
  <c r="I14" i="26"/>
  <c r="J14" i="26"/>
  <c r="F14" i="26"/>
  <c r="N14" i="26"/>
  <c r="M14" i="26"/>
  <c r="T14" i="26"/>
  <c r="P14" i="26"/>
  <c r="S14" i="25"/>
  <c r="R14" i="25"/>
  <c r="Q14" i="25"/>
  <c r="O14" i="25"/>
  <c r="T12" i="75" a="1"/>
  <c r="T12" i="75" l="1"/>
  <c r="T13" i="75" s="1"/>
  <c r="D14" i="72"/>
  <c r="T15" i="72" s="1"/>
  <c r="D14" i="67"/>
  <c r="E14" i="67" s="1"/>
  <c r="D14" i="68"/>
  <c r="E14" i="68" s="1"/>
  <c r="T15" i="67"/>
  <c r="L15" i="67"/>
  <c r="L14" i="74"/>
  <c r="M14" i="74" s="1"/>
  <c r="L14" i="73"/>
  <c r="R14" i="73" s="1"/>
  <c r="Z2" i="73" s="1"/>
  <c r="L14" i="72"/>
  <c r="P14" i="72" s="1"/>
  <c r="X2" i="72" s="1"/>
  <c r="L14" i="71"/>
  <c r="O14" i="71" s="1"/>
  <c r="L14" i="70"/>
  <c r="R14" i="70" s="1"/>
  <c r="Z2" i="70" s="1"/>
  <c r="L14" i="69"/>
  <c r="R14" i="69" s="1"/>
  <c r="L14" i="68"/>
  <c r="O14" i="68" s="1"/>
  <c r="L14" i="67"/>
  <c r="M14" i="67" s="1"/>
  <c r="D14" i="74"/>
  <c r="N14" i="74"/>
  <c r="P14" i="74"/>
  <c r="X2" i="74" s="1"/>
  <c r="R14" i="74"/>
  <c r="Z2" i="74" s="1"/>
  <c r="N14" i="72"/>
  <c r="O14" i="72"/>
  <c r="O14" i="67"/>
  <c r="R14" i="72"/>
  <c r="Z2" i="72" s="1"/>
  <c r="S14" i="72"/>
  <c r="Q14" i="72"/>
  <c r="O14" i="74"/>
  <c r="Q14" i="74"/>
  <c r="M14" i="72"/>
  <c r="P14" i="71"/>
  <c r="X2" i="71" s="1"/>
  <c r="D14" i="70"/>
  <c r="N14" i="70"/>
  <c r="Q14" i="71"/>
  <c r="R14" i="71"/>
  <c r="Z2" i="71" s="1"/>
  <c r="S14" i="71"/>
  <c r="M14" i="71"/>
  <c r="N14" i="71"/>
  <c r="N14" i="67"/>
  <c r="D14" i="69"/>
  <c r="R14" i="67"/>
  <c r="Z2" i="67" s="1"/>
  <c r="D14" i="71"/>
  <c r="S14" i="74"/>
  <c r="S14" i="73"/>
  <c r="S14" i="68"/>
  <c r="O14" i="70"/>
  <c r="D14" i="73"/>
  <c r="Q14" i="67"/>
  <c r="R14" i="68"/>
  <c r="Z2" i="68" s="1"/>
  <c r="Q14" i="68"/>
  <c r="P14" i="67"/>
  <c r="X2" i="67" s="1"/>
  <c r="M14" i="69"/>
  <c r="S14" i="67"/>
  <c r="P14" i="70"/>
  <c r="X2" i="70" s="1"/>
  <c r="Q14" i="70"/>
  <c r="S14" i="69"/>
  <c r="P14" i="69"/>
  <c r="X2" i="69" s="1"/>
  <c r="Q14" i="69"/>
  <c r="M14" i="68"/>
  <c r="N14" i="73"/>
  <c r="O14" i="73"/>
  <c r="P14" i="73"/>
  <c r="N14" i="68"/>
  <c r="Q14" i="73"/>
  <c r="U14" i="73"/>
  <c r="Z14" i="73"/>
  <c r="V14" i="73"/>
  <c r="X14" i="73"/>
  <c r="W14" i="73"/>
  <c r="Y14" i="73"/>
  <c r="Z2" i="69"/>
  <c r="G14" i="68"/>
  <c r="F14" i="68"/>
  <c r="G14" i="67"/>
  <c r="F14" i="67"/>
  <c r="J14" i="67"/>
  <c r="K14" i="67"/>
  <c r="I14" i="67"/>
  <c r="H14" i="67"/>
  <c r="G14" i="26"/>
  <c r="E14" i="26"/>
  <c r="D14" i="26"/>
  <c r="K14" i="26"/>
  <c r="P14" i="25"/>
  <c r="N14" i="25"/>
  <c r="M14" i="25"/>
  <c r="T14" i="25"/>
  <c r="D14" i="25"/>
  <c r="L12" i="75" a="1"/>
  <c r="H4" i="23" a="1"/>
  <c r="I4" i="23" a="1"/>
  <c r="L12" i="75" l="1"/>
  <c r="L13" i="75" s="1"/>
  <c r="J14" i="72"/>
  <c r="R2" i="72" s="1"/>
  <c r="H14" i="72"/>
  <c r="X15" i="72" s="1"/>
  <c r="G14" i="72"/>
  <c r="W15" i="72" s="1"/>
  <c r="I14" i="72"/>
  <c r="Y15" i="72" s="1"/>
  <c r="K14" i="72"/>
  <c r="F14" i="72"/>
  <c r="N15" i="72" s="1"/>
  <c r="E14" i="72"/>
  <c r="U15" i="72" s="1"/>
  <c r="L15" i="72"/>
  <c r="J14" i="68"/>
  <c r="Z15" i="68" s="1"/>
  <c r="T15" i="68"/>
  <c r="K14" i="68"/>
  <c r="L15" i="68"/>
  <c r="I14" i="68"/>
  <c r="Y15" i="68" s="1"/>
  <c r="H14" i="68"/>
  <c r="H2" i="68" s="1"/>
  <c r="E14" i="74"/>
  <c r="T15" i="74"/>
  <c r="L15" i="74"/>
  <c r="E14" i="73"/>
  <c r="T15" i="73"/>
  <c r="L15" i="73"/>
  <c r="R15" i="72"/>
  <c r="K14" i="71"/>
  <c r="T15" i="71"/>
  <c r="L15" i="71"/>
  <c r="I14" i="70"/>
  <c r="T15" i="70"/>
  <c r="L15" i="70"/>
  <c r="K14" i="69"/>
  <c r="T15" i="69"/>
  <c r="L15" i="69"/>
  <c r="O15" i="68"/>
  <c r="W15" i="68"/>
  <c r="N15" i="68"/>
  <c r="V15" i="68"/>
  <c r="U15" i="68"/>
  <c r="M15" i="68"/>
  <c r="X15" i="68"/>
  <c r="Y15" i="67"/>
  <c r="Q15" i="67"/>
  <c r="W15" i="67"/>
  <c r="O15" i="67"/>
  <c r="X15" i="67"/>
  <c r="P15" i="67"/>
  <c r="Z15" i="67"/>
  <c r="R15" i="67"/>
  <c r="U15" i="67"/>
  <c r="M15" i="67"/>
  <c r="V15" i="67"/>
  <c r="N15" i="67"/>
  <c r="M14" i="73"/>
  <c r="M14" i="70"/>
  <c r="S14" i="70"/>
  <c r="O14" i="69"/>
  <c r="N14" i="69"/>
  <c r="P14" i="68"/>
  <c r="X2" i="68" s="1"/>
  <c r="G14" i="74"/>
  <c r="J14" i="74"/>
  <c r="F14" i="74"/>
  <c r="H14" i="74"/>
  <c r="I14" i="74"/>
  <c r="K14" i="74"/>
  <c r="E14" i="70"/>
  <c r="H14" i="70"/>
  <c r="J14" i="70"/>
  <c r="K14" i="70"/>
  <c r="F14" i="70"/>
  <c r="G14" i="70"/>
  <c r="H14" i="69"/>
  <c r="I14" i="69"/>
  <c r="R2" i="67"/>
  <c r="J2" i="68"/>
  <c r="X2" i="73"/>
  <c r="H14" i="73"/>
  <c r="I14" i="71"/>
  <c r="E14" i="71"/>
  <c r="F14" i="69"/>
  <c r="G14" i="69"/>
  <c r="J14" i="71"/>
  <c r="H14" i="71"/>
  <c r="J14" i="69"/>
  <c r="F14" i="71"/>
  <c r="G14" i="71"/>
  <c r="E14" i="69"/>
  <c r="H2" i="67"/>
  <c r="I14" i="73"/>
  <c r="F14" i="73"/>
  <c r="K14" i="73"/>
  <c r="G14" i="73"/>
  <c r="J14" i="73"/>
  <c r="J2" i="72"/>
  <c r="P2" i="72"/>
  <c r="J2" i="67"/>
  <c r="P2" i="67"/>
  <c r="H4" i="23"/>
  <c r="I4" i="23"/>
  <c r="D12" i="75" a="1"/>
  <c r="E12" i="23" a="1"/>
  <c r="F7" i="23" a="1"/>
  <c r="E4" i="23" a="1"/>
  <c r="E11" i="23" a="1"/>
  <c r="E5" i="23" a="1"/>
  <c r="G4" i="23" a="1"/>
  <c r="E8" i="23" a="1"/>
  <c r="E6" i="23" a="1"/>
  <c r="G7" i="23" a="1"/>
  <c r="D7" i="23" a="1"/>
  <c r="G10" i="23" a="1"/>
  <c r="G6" i="23" a="1"/>
  <c r="G13" i="23" a="1"/>
  <c r="F4" i="23" a="1"/>
  <c r="D12" i="23" a="1"/>
  <c r="G11" i="23" a="1"/>
  <c r="F12" i="23" a="1"/>
  <c r="F5" i="23" a="1"/>
  <c r="E10" i="23" a="1"/>
  <c r="E9" i="23" a="1"/>
  <c r="F11" i="23" a="1"/>
  <c r="G5" i="23" a="1"/>
  <c r="F6" i="23" a="1"/>
  <c r="D10" i="23" a="1"/>
  <c r="D4" i="23" a="1"/>
  <c r="D11" i="23" a="1"/>
  <c r="E7" i="23" a="1"/>
  <c r="F13" i="23" a="1"/>
  <c r="F10" i="23" a="1"/>
  <c r="D5" i="23" a="1"/>
  <c r="D8" i="23" a="1"/>
  <c r="F8" i="23" a="1"/>
  <c r="G9" i="23" a="1"/>
  <c r="D13" i="23" a="1"/>
  <c r="F9" i="23" a="1"/>
  <c r="G8" i="23" a="1"/>
  <c r="D6" i="23" a="1"/>
  <c r="D9" i="23" a="1"/>
  <c r="E13" i="23" a="1"/>
  <c r="G12" i="23" a="1"/>
  <c r="D12" i="75" l="1"/>
  <c r="C16" i="75"/>
  <c r="C13" i="75"/>
  <c r="J13" i="75" s="1"/>
  <c r="H2" i="72"/>
  <c r="Z15" i="72"/>
  <c r="O15" i="72"/>
  <c r="Q15" i="72"/>
  <c r="P15" i="72"/>
  <c r="M15" i="72"/>
  <c r="V15" i="72"/>
  <c r="D14" i="58"/>
  <c r="I14" i="58" s="1"/>
  <c r="Q15" i="68"/>
  <c r="P15" i="68"/>
  <c r="R2" i="68"/>
  <c r="R15" i="68"/>
  <c r="R2" i="74"/>
  <c r="Z15" i="74"/>
  <c r="R15" i="74"/>
  <c r="V15" i="74"/>
  <c r="N15" i="74"/>
  <c r="W15" i="74"/>
  <c r="O15" i="74"/>
  <c r="Y15" i="74"/>
  <c r="Q15" i="74"/>
  <c r="P2" i="74"/>
  <c r="X15" i="74"/>
  <c r="P15" i="74"/>
  <c r="U15" i="74"/>
  <c r="M15" i="74"/>
  <c r="P2" i="73"/>
  <c r="X15" i="73"/>
  <c r="P15" i="73"/>
  <c r="J2" i="73"/>
  <c r="Z15" i="73"/>
  <c r="R15" i="73"/>
  <c r="O15" i="73"/>
  <c r="W15" i="73"/>
  <c r="N15" i="73"/>
  <c r="V15" i="73"/>
  <c r="Y15" i="73"/>
  <c r="Q15" i="73"/>
  <c r="U15" i="73"/>
  <c r="M15" i="73"/>
  <c r="Y15" i="71"/>
  <c r="Q15" i="71"/>
  <c r="W15" i="71"/>
  <c r="O15" i="71"/>
  <c r="V15" i="71"/>
  <c r="N15" i="71"/>
  <c r="P2" i="71"/>
  <c r="X15" i="71"/>
  <c r="P15" i="71"/>
  <c r="J2" i="71"/>
  <c r="Z15" i="71"/>
  <c r="R15" i="71"/>
  <c r="U15" i="71"/>
  <c r="M15" i="71"/>
  <c r="O15" i="70"/>
  <c r="W15" i="70"/>
  <c r="V15" i="70"/>
  <c r="N15" i="70"/>
  <c r="R15" i="70"/>
  <c r="Z15" i="70"/>
  <c r="H2" i="70"/>
  <c r="P15" i="70"/>
  <c r="X15" i="70"/>
  <c r="U15" i="70"/>
  <c r="M15" i="70"/>
  <c r="Q15" i="70"/>
  <c r="Y15" i="70"/>
  <c r="R2" i="69"/>
  <c r="Z15" i="69"/>
  <c r="R15" i="69"/>
  <c r="W15" i="69"/>
  <c r="O15" i="69"/>
  <c r="V15" i="69"/>
  <c r="N15" i="69"/>
  <c r="Y15" i="69"/>
  <c r="Q15" i="69"/>
  <c r="H2" i="69"/>
  <c r="X15" i="69"/>
  <c r="P15" i="69"/>
  <c r="U15" i="69"/>
  <c r="M15" i="69"/>
  <c r="L15" i="58"/>
  <c r="T15" i="58"/>
  <c r="J2" i="70"/>
  <c r="L14" i="57"/>
  <c r="P2" i="68"/>
  <c r="H2" i="74"/>
  <c r="J2" i="74"/>
  <c r="L14" i="58"/>
  <c r="R14" i="58" s="1"/>
  <c r="P2" i="69"/>
  <c r="P2" i="70"/>
  <c r="R2" i="70"/>
  <c r="R2" i="73"/>
  <c r="R2" i="71"/>
  <c r="J2" i="69"/>
  <c r="H2" i="73"/>
  <c r="H2" i="71"/>
  <c r="D14" i="57"/>
  <c r="S14" i="57"/>
  <c r="R14" i="57"/>
  <c r="Q14" i="57"/>
  <c r="P14" i="57"/>
  <c r="O14" i="57"/>
  <c r="N14" i="57"/>
  <c r="M14" i="57"/>
  <c r="P14" i="58"/>
  <c r="Q14" i="58"/>
  <c r="N14" i="58"/>
  <c r="O14" i="58"/>
  <c r="S14" i="58"/>
  <c r="T14" i="58"/>
  <c r="AA14" i="58" s="1"/>
  <c r="G14" i="58"/>
  <c r="K14" i="58"/>
  <c r="E14" i="58"/>
  <c r="H14" i="58"/>
  <c r="G9" i="23"/>
  <c r="G7" i="23"/>
  <c r="G8" i="23"/>
  <c r="G13" i="23"/>
  <c r="G10" i="23"/>
  <c r="G6" i="23"/>
  <c r="G12" i="23"/>
  <c r="G11" i="23"/>
  <c r="G5" i="23"/>
  <c r="G4" i="23"/>
  <c r="F4" i="23"/>
  <c r="F14" i="23" s="1"/>
  <c r="F6" i="23"/>
  <c r="D11" i="23"/>
  <c r="E5" i="23"/>
  <c r="E13" i="23"/>
  <c r="F5" i="23"/>
  <c r="F9" i="23"/>
  <c r="F11" i="23"/>
  <c r="F13" i="23"/>
  <c r="F8" i="23"/>
  <c r="D9" i="23"/>
  <c r="E9" i="23"/>
  <c r="F7" i="23"/>
  <c r="D6" i="23"/>
  <c r="D10" i="23"/>
  <c r="D12" i="23"/>
  <c r="F12" i="23"/>
  <c r="D7" i="23"/>
  <c r="E11" i="23"/>
  <c r="D8" i="23"/>
  <c r="F10" i="23"/>
  <c r="D5" i="23"/>
  <c r="D13" i="23"/>
  <c r="E7" i="23"/>
  <c r="D4" i="23"/>
  <c r="D14" i="23" s="1"/>
  <c r="E4" i="23"/>
  <c r="E14" i="23" s="1"/>
  <c r="E6" i="23"/>
  <c r="E8" i="23"/>
  <c r="E10" i="23"/>
  <c r="E12" i="23"/>
  <c r="D13" i="75" l="1"/>
  <c r="K14" i="75"/>
  <c r="E13" i="75"/>
  <c r="M14" i="75" s="1"/>
  <c r="I13" i="75"/>
  <c r="Y14" i="75" s="1"/>
  <c r="S14" i="75"/>
  <c r="G13" i="75"/>
  <c r="W14" i="75" s="1"/>
  <c r="F13" i="75"/>
  <c r="N14" i="75" s="1"/>
  <c r="H13" i="75"/>
  <c r="X14" i="75" s="1"/>
  <c r="L14" i="75"/>
  <c r="J14" i="58"/>
  <c r="F14" i="58"/>
  <c r="V15" i="58" s="1"/>
  <c r="X15" i="58"/>
  <c r="P15" i="58"/>
  <c r="Y15" i="58"/>
  <c r="Q15" i="58"/>
  <c r="U15" i="58"/>
  <c r="W15" i="58"/>
  <c r="O15" i="58"/>
  <c r="Z15" i="58"/>
  <c r="R15" i="58"/>
  <c r="L15" i="57"/>
  <c r="T15" i="57"/>
  <c r="M14" i="58"/>
  <c r="M15" i="58" s="1"/>
  <c r="J2" i="58"/>
  <c r="F14" i="57"/>
  <c r="E14" i="57"/>
  <c r="K14" i="57"/>
  <c r="J14" i="57"/>
  <c r="I14" i="57"/>
  <c r="H14" i="57"/>
  <c r="G14" i="57"/>
  <c r="Z2" i="58"/>
  <c r="X2" i="58"/>
  <c r="R2" i="58"/>
  <c r="P2" i="58"/>
  <c r="H2" i="58"/>
  <c r="T14" i="75" l="1"/>
  <c r="U14" i="75"/>
  <c r="V14" i="75"/>
  <c r="P14" i="75"/>
  <c r="O14" i="75"/>
  <c r="Q14" i="75"/>
  <c r="N15" i="58"/>
  <c r="Y15" i="57"/>
  <c r="Q15" i="57"/>
  <c r="W15" i="57"/>
  <c r="O15" i="57"/>
  <c r="H2" i="57"/>
  <c r="X15" i="57"/>
  <c r="P15" i="57"/>
  <c r="J2" i="57"/>
  <c r="Z15" i="57"/>
  <c r="R15" i="57"/>
  <c r="V15" i="57"/>
  <c r="N15" i="57"/>
  <c r="M15" i="57"/>
  <c r="U15" i="57"/>
  <c r="P2" i="57"/>
  <c r="X2" i="57"/>
  <c r="Z2" i="57"/>
  <c r="R2" i="5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<sst xmlns="http://schemas.openxmlformats.org/spreadsheetml/2006/main" count="677" uniqueCount="22">
  <si>
    <t>Obj</t>
  </si>
  <si>
    <t>Gap%</t>
  </si>
  <si>
    <t>Run</t>
  </si>
  <si>
    <t>Average</t>
  </si>
  <si>
    <t>Seed</t>
  </si>
  <si>
    <t>Time (sec)</t>
  </si>
  <si>
    <t>Optimality</t>
  </si>
  <si>
    <t>Instance</t>
  </si>
  <si>
    <t>Total Rejection</t>
  </si>
  <si>
    <t>Total Unused Capacity</t>
  </si>
  <si>
    <t>Ave Completion time</t>
  </si>
  <si>
    <t>Ave Tardiness</t>
  </si>
  <si>
    <t># Batches</t>
  </si>
  <si>
    <t>seed</t>
  </si>
  <si>
    <t>N</t>
  </si>
  <si>
    <t>Acceptance Rate (%)</t>
  </si>
  <si>
    <t>Average Batch Utilization (%)</t>
  </si>
  <si>
    <t>MILP</t>
  </si>
  <si>
    <t>BVC</t>
  </si>
  <si>
    <t>TPA</t>
  </si>
  <si>
    <t>BBA</t>
  </si>
  <si>
    <t>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</si>
</sst>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0"/>
    <numFmt numFmtId="165" formatCode="0.0000"/>
    <numFmt numFmtId="166" formatCode="0.000000"/>
    <numFmt numFmtId="167" formatCode="0.000"/>
    <numFmt numFmtId="168" formatCode="0.0000000"/>
    <numFmt numFmtId="169" formatCode="0.0"/>
  </numFmts>
  <fonts count="5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 tint="4.9989318521683403E-2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0" xfId="0" applyNumberFormat="1"/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/>
    </xf>
    <xf numFmtId="166" fontId="0" fillId="0" borderId="1" xfId="0" quotePrefix="1" applyNumberFormat="1" applyBorder="1" applyAlignment="1">
      <alignment horizontal="center" vertical="center"/>
    </xf>
    <xf numFmtId="167" fontId="0" fillId="2" borderId="1" xfId="0" applyNumberFormat="1" applyFill="1" applyBorder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167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2" borderId="1" xfId="0" applyNumberForma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1" fontId="0" fillId="0" borderId="1" xfId="0" quotePrefix="1" applyNumberForma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66" fontId="2" fillId="0" borderId="1" xfId="0" quotePrefix="1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0" fillId="4" borderId="0" xfId="0" applyFill="1" applyAlignment="1">
      <alignment horizontal="center" vertical="center"/>
    </xf>
    <xf numFmtId="10" fontId="0" fillId="0" borderId="1" xfId="1" applyNumberFormat="1" applyFont="1" applyBorder="1" applyAlignment="1">
      <alignment horizontal="center" vertical="center"/>
    </xf>
    <xf numFmtId="10" fontId="0" fillId="2" borderId="1" xfId="1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0" fillId="3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10" fontId="0" fillId="6" borderId="1" xfId="0" applyNumberFormat="1" applyFill="1" applyBorder="1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10" fontId="0" fillId="3" borderId="1" xfId="1" applyNumberFormat="1" applyFont="1" applyFill="1" applyBorder="1" applyAlignment="1">
      <alignment horizontal="center" vertical="center"/>
    </xf>
    <xf numFmtId="165" fontId="0" fillId="6" borderId="1" xfId="0" applyNumberFormat="1" applyFill="1" applyBorder="1" applyAlignment="1">
      <alignment horizontal="center" vertical="center"/>
    </xf>
    <xf numFmtId="10" fontId="0" fillId="6" borderId="1" xfId="1" applyNumberFormat="1" applyFont="1" applyFill="1" applyBorder="1" applyAlignment="1">
      <alignment horizontal="center" vertical="center"/>
    </xf>
    <xf numFmtId="9" fontId="0" fillId="0" borderId="5" xfId="1" applyFont="1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1" fontId="0" fillId="2" borderId="3" xfId="0" applyNumberForma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3F280-E23D-44D5-8A7F-2408B0573C31}">
  <dimension ref="B2:Z16"/>
  <sheetViews>
    <sheetView tabSelected="1" zoomScale="85" zoomScaleNormal="85" workbookViewId="0">
      <selection activeCell="C3" sqref="C3:Y12"/>
    </sheetView>
  </sheetViews>
  <sheetFormatPr baseColWidth="10" defaultColWidth="11.5" defaultRowHeight="16" x14ac:dyDescent="0.2"/>
  <cols>
    <col min="1" max="1" width="3.5" customWidth="1"/>
    <col min="2" max="2" width="11.5" style="1"/>
    <col min="3" max="4" width="9.5" bestFit="1" customWidth="1"/>
    <col min="5" max="5" width="9.1640625" bestFit="1" customWidth="1"/>
    <col min="6" max="6" width="18.33203125" bestFit="1" customWidth="1"/>
    <col min="7" max="7" width="19.33203125" bestFit="1" customWidth="1"/>
    <col min="8" max="8" width="24.83203125" bestFit="1" customWidth="1"/>
    <col min="9" max="9" width="18" bestFit="1" customWidth="1"/>
    <col min="11" max="11" width="8" bestFit="1" customWidth="1"/>
    <col min="12" max="12" width="9.1640625" bestFit="1" customWidth="1"/>
    <col min="13" max="13" width="8.83203125" bestFit="1" customWidth="1"/>
    <col min="14" max="14" width="17.6640625" bestFit="1" customWidth="1"/>
    <col min="15" max="15" width="12.1640625" bestFit="1" customWidth="1"/>
    <col min="16" max="16" width="23.83203125" bestFit="1" customWidth="1"/>
    <col min="17" max="17" width="17.33203125" bestFit="1" customWidth="1"/>
    <col min="18" max="18" width="6.83203125" bestFit="1" customWidth="1"/>
    <col min="19" max="19" width="8" bestFit="1" customWidth="1"/>
    <col min="20" max="20" width="9.1640625" bestFit="1" customWidth="1"/>
    <col min="21" max="21" width="8.83203125" bestFit="1" customWidth="1"/>
    <col min="22" max="22" width="17.6640625" bestFit="1" customWidth="1"/>
    <col min="23" max="23" width="12.1640625" bestFit="1" customWidth="1"/>
    <col min="24" max="24" width="23.83203125" bestFit="1" customWidth="1"/>
    <col min="25" max="25" width="17.33203125" bestFit="1" customWidth="1"/>
    <col min="26" max="26" width="5.83203125" bestFit="1" customWidth="1"/>
  </cols>
  <sheetData>
    <row r="2" spans="2:26" x14ac:dyDescent="0.2">
      <c r="B2" s="41" t="s">
        <v>4</v>
      </c>
      <c r="C2" s="8" t="s">
        <v>0</v>
      </c>
      <c r="D2" s="8" t="s">
        <v>5</v>
      </c>
      <c r="E2" s="8" t="s">
        <v>12</v>
      </c>
      <c r="F2" s="8" t="s">
        <v>15</v>
      </c>
      <c r="G2" s="8" t="s">
        <v>11</v>
      </c>
      <c r="H2" s="8" t="s">
        <v>16</v>
      </c>
      <c r="I2" s="8" t="s">
        <v>10</v>
      </c>
      <c r="J2" s="8" t="s">
        <v>1</v>
      </c>
      <c r="K2" s="15" t="s">
        <v>0</v>
      </c>
      <c r="L2" s="15" t="s">
        <v>5</v>
      </c>
      <c r="M2" s="15" t="s">
        <v>12</v>
      </c>
      <c r="N2" s="15" t="s">
        <v>15</v>
      </c>
      <c r="O2" s="15" t="s">
        <v>11</v>
      </c>
      <c r="P2" s="15" t="s">
        <v>16</v>
      </c>
      <c r="Q2" s="15" t="s">
        <v>10</v>
      </c>
      <c r="R2" s="15" t="s">
        <v>1</v>
      </c>
      <c r="S2" s="36" t="s">
        <v>0</v>
      </c>
      <c r="T2" s="36" t="s">
        <v>5</v>
      </c>
      <c r="U2" s="36" t="s">
        <v>12</v>
      </c>
      <c r="V2" s="36" t="s">
        <v>15</v>
      </c>
      <c r="W2" s="36" t="s">
        <v>11</v>
      </c>
      <c r="X2" s="36" t="s">
        <v>16</v>
      </c>
      <c r="Y2" s="36" t="s">
        <v>10</v>
      </c>
      <c r="Z2" s="36" t="s">
        <v>1</v>
      </c>
    </row>
    <row r="3" spans="2:26" x14ac:dyDescent="0.2">
      <c r="B3" s="4">
        <v>112</v>
      </c>
      <c r="C3" s="5" cm="1">
        <f t="array" aca="1" ref="C3" ca="1">INDIRECT("'results" &amp; $B3 &amp; "'!D$14")</f>
        <v>1108152.2143071101</v>
      </c>
      <c r="D3" s="32" cm="1">
        <f t="array" aca="1" ref="D3" ca="1">INDIRECT("'results" &amp; $B3 &amp; "'!E$14")</f>
        <v>249.63215214286797</v>
      </c>
      <c r="E3" s="5" cm="1">
        <f t="array" aca="1" ref="E3" ca="1">INDIRECT("'results" &amp; $B3 &amp; "'!F$14")</f>
        <v>13</v>
      </c>
      <c r="F3" s="5" cm="1">
        <f t="array" aca="1" ref="F3" ca="1">INDIRECT("'results" &amp; $B3 &amp; "'!G$14")</f>
        <v>96.666666666666671</v>
      </c>
      <c r="G3" s="5" cm="1">
        <f t="array" aca="1" ref="G3" ca="1">INDIRECT("'results" &amp; $B3 &amp; "'!H$14")</f>
        <v>333.35980626067669</v>
      </c>
      <c r="H3" s="32" cm="1">
        <f t="array" aca="1" ref="H3" ca="1">INDIRECT("'results" &amp; $B3 &amp; "'!I$14")</f>
        <v>42.922698864761273</v>
      </c>
      <c r="I3" s="5" cm="1">
        <f t="array" aca="1" ref="I3" ca="1">INDIRECT("'results" &amp; $B3 &amp; "'!J$14")</f>
        <v>5465.7243512266095</v>
      </c>
      <c r="J3" s="5"/>
      <c r="K3" s="5" cm="1">
        <f t="array" aca="1" ref="K3" ca="1">INDIRECT("'results" &amp; $B3 &amp; "'!L$14")</f>
        <v>1505931.0254123979</v>
      </c>
      <c r="L3" s="5" cm="1">
        <f t="array" aca="1" ref="L3" ca="1">INDIRECT("'results" &amp; $B3 &amp; "'!M$14")</f>
        <v>287.01543371429256</v>
      </c>
      <c r="M3" s="5" cm="1">
        <f t="array" aca="1" ref="M3" ca="1">INDIRECT("'results" &amp; $B3 &amp; "'!N$14")</f>
        <v>24</v>
      </c>
      <c r="N3" s="5" cm="1">
        <f t="array" aca="1" ref="N3" ca="1">INDIRECT("'results" &amp; $B3 &amp; "'!O$14")</f>
        <v>84.666666666666671</v>
      </c>
      <c r="O3" s="5" cm="1">
        <f t="array" aca="1" ref="O3" ca="1">INDIRECT("'results" &amp; $B3 &amp; "'!P$14")</f>
        <v>336.63034139854909</v>
      </c>
      <c r="P3" s="5" cm="1">
        <f t="array" aca="1" ref="P3" ca="1">INDIRECT("'results" &amp; $B3 &amp; "'!Q$14")</f>
        <v>20.034000796359948</v>
      </c>
      <c r="Q3" s="5" cm="1">
        <f t="array" aca="1" ref="Q3" ca="1">INDIRECT("'results" &amp; $B3 &amp; "'!R$14")</f>
        <v>4775.2010719937534</v>
      </c>
      <c r="R3" s="5"/>
      <c r="S3" s="5" cm="1">
        <f t="array" aca="1" ref="S3" ca="1">INDIRECT("'results" &amp; $B3 &amp; "'!T$14")</f>
        <v>1535053.3632641551</v>
      </c>
      <c r="T3" s="5" cm="1">
        <f t="array" aca="1" ref="T3" ca="1">INDIRECT("'results" &amp; $B3 &amp; "'!U$14")</f>
        <v>258.90737928573174</v>
      </c>
      <c r="U3" s="5" cm="1">
        <f t="array" aca="1" ref="U3" ca="1">INDIRECT("'results" &amp; $B3 &amp; "'!V$14")</f>
        <v>14</v>
      </c>
      <c r="V3" s="5" cm="1">
        <f t="array" aca="1" ref="V3" ca="1">INDIRECT("'results" &amp; $B3 &amp; "'!W$14")</f>
        <v>83.333333333333329</v>
      </c>
      <c r="W3" s="5" cm="1">
        <f t="array" aca="1" ref="W3" ca="1">INDIRECT("'results" &amp; $B3 &amp; "'!X$14")</f>
        <v>969.44038342068791</v>
      </c>
      <c r="X3" s="5" cm="1">
        <f t="array" aca="1" ref="X3" ca="1">INDIRECT("'results" &amp; $B3 &amp; "'!Y$14")</f>
        <v>55.325246101268071</v>
      </c>
      <c r="Y3" s="5" cm="1">
        <f t="array" aca="1" ref="Y3" ca="1">INDIRECT("'results" &amp; $B3 &amp; "'!Z$14")</f>
        <v>6444.2968935809868</v>
      </c>
      <c r="Z3" s="5"/>
    </row>
    <row r="4" spans="2:26" x14ac:dyDescent="0.2">
      <c r="B4" s="4">
        <v>127</v>
      </c>
      <c r="C4" s="5" cm="1">
        <f t="array" aca="1" ref="C4" ca="1">INDIRECT("'results" &amp; $B4 &amp; "'!D$14")</f>
        <v>1300750.0876623159</v>
      </c>
      <c r="D4" s="32" cm="1">
        <f t="array" aca="1" ref="D4" ca="1">INDIRECT("'results" &amp; $B4 &amp; "'!E$14")</f>
        <v>408.33018342854604</v>
      </c>
      <c r="E4" s="5" cm="1">
        <f t="array" aca="1" ref="E4" ca="1">INDIRECT("'results" &amp; $B4 &amp; "'!F$14")</f>
        <v>14</v>
      </c>
      <c r="F4" s="5" cm="1">
        <f t="array" aca="1" ref="F4" ca="1">INDIRECT("'results" &amp; $B4 &amp; "'!G$14")</f>
        <v>92</v>
      </c>
      <c r="G4" s="5" cm="1">
        <f t="array" aca="1" ref="G4" ca="1">INDIRECT("'results" &amp; $B4 &amp; "'!H$14")</f>
        <v>766.57739451606892</v>
      </c>
      <c r="H4" s="32" cm="1">
        <f t="array" aca="1" ref="H4" ca="1">INDIRECT("'results" &amp; $B4 &amp; "'!I$14")</f>
        <v>40.954183341134787</v>
      </c>
      <c r="I4" s="5" cm="1">
        <f t="array" aca="1" ref="I4" ca="1">INDIRECT("'results" &amp; $B4 &amp; "'!J$14")</f>
        <v>5849.3537347334941</v>
      </c>
      <c r="J4" s="5"/>
      <c r="K4" s="5" cm="1">
        <f t="array" aca="1" ref="K4" ca="1">INDIRECT("'results" &amp; $B4 &amp; "'!L$14")</f>
        <v>1648788.650277039</v>
      </c>
      <c r="L4" s="5" cm="1">
        <f t="array" aca="1" ref="L4" ca="1">INDIRECT("'results" &amp; $B4 &amp; "'!M$14")</f>
        <v>456.52921702855798</v>
      </c>
      <c r="M4" s="5" cm="1">
        <f t="array" aca="1" ref="M4" ca="1">INDIRECT("'results" &amp; $B4 &amp; "'!N$14")</f>
        <v>26</v>
      </c>
      <c r="N4" s="5" cm="1">
        <f t="array" aca="1" ref="N4" ca="1">INDIRECT("'results" &amp; $B4 &amp; "'!O$14")</f>
        <v>81.333333333333329</v>
      </c>
      <c r="O4" s="5" cm="1">
        <f t="array" aca="1" ref="O4" ca="1">INDIRECT("'results" &amp; $B4 &amp; "'!P$14")</f>
        <v>570.23242380583963</v>
      </c>
      <c r="P4" s="5" cm="1">
        <f t="array" aca="1" ref="P4" ca="1">INDIRECT("'results" &amp; $B4 &amp; "'!Q$14")</f>
        <v>19.090803771224888</v>
      </c>
      <c r="Q4" s="5" cm="1">
        <f t="array" aca="1" ref="Q4" ca="1">INDIRECT("'results" &amp; $B4 &amp; "'!R$14")</f>
        <v>4975.9237448500562</v>
      </c>
      <c r="R4" s="5"/>
      <c r="S4" s="5" cm="1">
        <f t="array" aca="1" ref="S4" ca="1">INDIRECT("'results" &amp; $B4 &amp; "'!T$14")</f>
        <v>1755250.6770391611</v>
      </c>
      <c r="T4" s="5" cm="1">
        <f t="array" aca="1" ref="T4" ca="1">INDIRECT("'results" &amp; $B4 &amp; "'!U$14")</f>
        <v>250.38680617142069</v>
      </c>
      <c r="U4" s="5" cm="1">
        <f t="array" aca="1" ref="U4" ca="1">INDIRECT("'results" &amp; $B4 &amp; "'!V$14")</f>
        <v>15</v>
      </c>
      <c r="V4" s="5" cm="1">
        <f t="array" aca="1" ref="V4" ca="1">INDIRECT("'results" &amp; $B4 &amp; "'!W$14")</f>
        <v>72</v>
      </c>
      <c r="W4" s="5" cm="1">
        <f t="array" aca="1" ref="W4" ca="1">INDIRECT("'results" &amp; $B4 &amp; "'!X$14")</f>
        <v>1000.9383853702856</v>
      </c>
      <c r="X4" s="5" cm="1">
        <f t="array" aca="1" ref="X4" ca="1">INDIRECT("'results" &amp; $B4 &amp; "'!Y$14")</f>
        <v>51.286458209631732</v>
      </c>
      <c r="Y4" s="5" cm="1">
        <f t="array" aca="1" ref="Y4" ca="1">INDIRECT("'results" &amp; $B4 &amp; "'!Z$14")</f>
        <v>6314.7636112515302</v>
      </c>
      <c r="Z4" s="5"/>
    </row>
    <row r="5" spans="2:26" x14ac:dyDescent="0.2">
      <c r="B5" s="4">
        <v>179</v>
      </c>
      <c r="C5" s="5" cm="1">
        <f t="array" aca="1" ref="C5" ca="1">INDIRECT("'results" &amp; $B5 &amp; "'!D$14")</f>
        <v>1207145.9393800979</v>
      </c>
      <c r="D5" s="32" cm="1">
        <f t="array" aca="1" ref="D5" ca="1">INDIRECT("'results" &amp; $B5 &amp; "'!E$14")</f>
        <v>228.12995625713043</v>
      </c>
      <c r="E5" s="5" cm="1">
        <f t="array" aca="1" ref="E5" ca="1">INDIRECT("'results" &amp; $B5 &amp; "'!F$14")</f>
        <v>14</v>
      </c>
      <c r="F5" s="5" cm="1">
        <f t="array" aca="1" ref="F5" ca="1">INDIRECT("'results" &amp; $B5 &amp; "'!G$14")</f>
        <v>97.333333333333329</v>
      </c>
      <c r="G5" s="5" cm="1">
        <f t="array" aca="1" ref="G5" ca="1">INDIRECT("'results" &amp; $B5 &amp; "'!H$14")</f>
        <v>829.94356045699737</v>
      </c>
      <c r="H5" s="32" cm="1">
        <f t="array" aca="1" ref="H5" ca="1">INDIRECT("'results" &amp; $B5 &amp; "'!I$14")</f>
        <v>39.081926978121281</v>
      </c>
      <c r="I5" s="5" cm="1">
        <f t="array" aca="1" ref="I5" ca="1">INDIRECT("'results" &amp; $B5 &amp; "'!J$14")</f>
        <v>5933.950675015426</v>
      </c>
      <c r="J5" s="5"/>
      <c r="K5" s="5" cm="1">
        <f t="array" aca="1" ref="K5" ca="1">INDIRECT("'results" &amp; $B5 &amp; "'!L$14")</f>
        <v>1485188.9623539371</v>
      </c>
      <c r="L5" s="5" cm="1">
        <f t="array" aca="1" ref="L5" ca="1">INDIRECT("'results" &amp; $B5 &amp; "'!M$14")</f>
        <v>448.50363262855859</v>
      </c>
      <c r="M5" s="5" cm="1">
        <f t="array" aca="1" ref="M5" ca="1">INDIRECT("'results" &amp; $B5 &amp; "'!N$14")</f>
        <v>27</v>
      </c>
      <c r="N5" s="5" cm="1">
        <f t="array" aca="1" ref="N5" ca="1">INDIRECT("'results" &amp; $B5 &amp; "'!O$14")</f>
        <v>89.333333333333329</v>
      </c>
      <c r="O5" s="5" cm="1">
        <f t="array" aca="1" ref="O5" ca="1">INDIRECT("'results" &amp; $B5 &amp; "'!P$14")</f>
        <v>567.61017713490537</v>
      </c>
      <c r="P5" s="5" cm="1">
        <f t="array" aca="1" ref="P5" ca="1">INDIRECT("'results" &amp; $B5 &amp; "'!Q$14")</f>
        <v>18.494084874152367</v>
      </c>
      <c r="Q5" s="5" cm="1">
        <f t="array" aca="1" ref="Q5" ca="1">INDIRECT("'results" &amp; $B5 &amp; "'!R$14")</f>
        <v>5040.6360078319512</v>
      </c>
      <c r="R5" s="5"/>
      <c r="S5" s="5" cm="1">
        <f t="array" aca="1" ref="S5" ca="1">INDIRECT("'results" &amp; $B5 &amp; "'!T$14")</f>
        <v>1622241.286890368</v>
      </c>
      <c r="T5" s="5" cm="1">
        <f t="array" aca="1" ref="T5" ca="1">INDIRECT("'results" &amp; $B5 &amp; "'!U$14")</f>
        <v>238.10925765714742</v>
      </c>
      <c r="U5" s="5" cm="1">
        <f t="array" aca="1" ref="U5" ca="1">INDIRECT("'results" &amp; $B5 &amp; "'!V$14")</f>
        <v>15</v>
      </c>
      <c r="V5" s="5" cm="1">
        <f t="array" aca="1" ref="V5" ca="1">INDIRECT("'results" &amp; $B5 &amp; "'!W$14")</f>
        <v>81.333333333333329</v>
      </c>
      <c r="W5" s="5" cm="1">
        <f t="array" aca="1" ref="W5" ca="1">INDIRECT("'results" &amp; $B5 &amp; "'!X$14")</f>
        <v>1259.9018648257456</v>
      </c>
      <c r="X5" s="5" cm="1">
        <f t="array" aca="1" ref="X5" ca="1">INDIRECT("'results" &amp; $B5 &amp; "'!Y$14")</f>
        <v>48.068168357560189</v>
      </c>
      <c r="Y5" s="5" cm="1">
        <f t="array" aca="1" ref="Y5" ca="1">INDIRECT("'results" &amp; $B5 &amp; "'!Z$14")</f>
        <v>6519.5105428841116</v>
      </c>
      <c r="Z5" s="5"/>
    </row>
    <row r="6" spans="2:26" x14ac:dyDescent="0.2">
      <c r="B6" s="4">
        <v>212</v>
      </c>
      <c r="C6" s="5" cm="1">
        <f t="array" aca="1" ref="C6" ca="1">INDIRECT("'results" &amp; $B6 &amp; "'!D$14")</f>
        <v>1258084.5504710041</v>
      </c>
      <c r="D6" s="32" cm="1">
        <f t="array" aca="1" ref="D6" ca="1">INDIRECT("'results" &amp; $B6 &amp; "'!E$14")</f>
        <v>121.73425311428893</v>
      </c>
      <c r="E6" s="5" cm="1">
        <f t="array" aca="1" ref="E6" ca="1">INDIRECT("'results" &amp; $B6 &amp; "'!F$14")</f>
        <v>13</v>
      </c>
      <c r="F6" s="5" cm="1">
        <f t="array" aca="1" ref="F6" ca="1">INDIRECT("'results" &amp; $B6 &amp; "'!G$14")</f>
        <v>95.333333333333329</v>
      </c>
      <c r="G6" s="5" cm="1">
        <f t="array" aca="1" ref="G6" ca="1">INDIRECT("'results" &amp; $B6 &amp; "'!H$14")</f>
        <v>769.44344124245492</v>
      </c>
      <c r="H6" s="32" cm="1">
        <f t="array" aca="1" ref="H6" ca="1">INDIRECT("'results" &amp; $B6 &amp; "'!I$14")</f>
        <v>41.106681553383346</v>
      </c>
      <c r="I6" s="5" cm="1">
        <f t="array" aca="1" ref="I6" ca="1">INDIRECT("'results" &amp; $B6 &amp; "'!J$14")</f>
        <v>5988.7060560386544</v>
      </c>
      <c r="J6" s="5"/>
      <c r="K6" s="5" cm="1">
        <f t="array" aca="1" ref="K6" ca="1">INDIRECT("'results" &amp; $B6 &amp; "'!L$14")</f>
        <v>1482032.0385520661</v>
      </c>
      <c r="L6" s="5" cm="1">
        <f t="array" aca="1" ref="L6" ca="1">INDIRECT("'results" &amp; $B6 &amp; "'!M$14")</f>
        <v>720.37177371426628</v>
      </c>
      <c r="M6" s="5" cm="1">
        <f t="array" aca="1" ref="M6" ca="1">INDIRECT("'results" &amp; $B6 &amp; "'!N$14")</f>
        <v>23</v>
      </c>
      <c r="N6" s="5" cm="1">
        <f t="array" aca="1" ref="N6" ca="1">INDIRECT("'results" &amp; $B6 &amp; "'!O$14")</f>
        <v>89.333333333333329</v>
      </c>
      <c r="O6" s="5" cm="1">
        <f t="array" aca="1" ref="O6" ca="1">INDIRECT("'results" &amp; $B6 &amp; "'!P$14")</f>
        <v>645.20285081995826</v>
      </c>
      <c r="P6" s="5" cm="1">
        <f t="array" aca="1" ref="P6" ca="1">INDIRECT("'results" &amp; $B6 &amp; "'!Q$14")</f>
        <v>20.740917276058429</v>
      </c>
      <c r="Q6" s="5" cm="1">
        <f t="array" aca="1" ref="Q6" ca="1">INDIRECT("'results" &amp; $B6 &amp; "'!R$14")</f>
        <v>5310.7228110731321</v>
      </c>
      <c r="R6" s="5"/>
      <c r="S6" s="5" cm="1">
        <f t="array" aca="1" ref="S6" ca="1">INDIRECT("'results" &amp; $B6 &amp; "'!T$14")</f>
        <v>1668328.377839105</v>
      </c>
      <c r="T6" s="5" cm="1">
        <f t="array" aca="1" ref="T6" ca="1">INDIRECT("'results" &amp; $B6 &amp; "'!U$14")</f>
        <v>332.78660782859004</v>
      </c>
      <c r="U6" s="5" cm="1">
        <f t="array" aca="1" ref="U6" ca="1">INDIRECT("'results" &amp; $B6 &amp; "'!V$14")</f>
        <v>13</v>
      </c>
      <c r="V6" s="5" cm="1">
        <f t="array" aca="1" ref="V6" ca="1">INDIRECT("'results" &amp; $B6 &amp; "'!W$14")</f>
        <v>75.333333333333329</v>
      </c>
      <c r="W6" s="5" cm="1">
        <f t="array" aca="1" ref="W6" ca="1">INDIRECT("'results" &amp; $B6 &amp; "'!X$14")</f>
        <v>1017.9708117438576</v>
      </c>
      <c r="X6" s="5" cm="1">
        <f t="array" aca="1" ref="X6" ca="1">INDIRECT("'results" &amp; $B6 &amp; "'!Y$14")</f>
        <v>46.571478249413993</v>
      </c>
      <c r="Y6" s="5" cm="1">
        <f t="array" aca="1" ref="Y6" ca="1">INDIRECT("'results" &amp; $B6 &amp; "'!Z$14")</f>
        <v>6182.0234717650583</v>
      </c>
      <c r="Z6" s="5"/>
    </row>
    <row r="7" spans="2:26" x14ac:dyDescent="0.2">
      <c r="B7" s="4">
        <v>313</v>
      </c>
      <c r="C7" s="5" cm="1">
        <f t="array" aca="1" ref="C7" ca="1">INDIRECT("'results" &amp; $B7 &amp; "'!D$14")</f>
        <v>1150167.288371593</v>
      </c>
      <c r="D7" s="32" cm="1">
        <f t="array" aca="1" ref="D7" ca="1">INDIRECT("'results" &amp; $B7 &amp; "'!E$14")</f>
        <v>143.15194540001852</v>
      </c>
      <c r="E7" s="5" cm="1">
        <f t="array" aca="1" ref="E7" ca="1">INDIRECT("'results" &amp; $B7 &amp; "'!F$14")</f>
        <v>12</v>
      </c>
      <c r="F7" s="5" cm="1">
        <f t="array" aca="1" ref="F7" ca="1">INDIRECT("'results" &amp; $B7 &amp; "'!G$14")</f>
        <v>96</v>
      </c>
      <c r="G7" s="5" cm="1">
        <f t="array" aca="1" ref="G7" ca="1">INDIRECT("'results" &amp; $B7 &amp; "'!H$14")</f>
        <v>481.04001262456291</v>
      </c>
      <c r="H7" s="32" cm="1">
        <f t="array" aca="1" ref="H7" ca="1">INDIRECT("'results" &amp; $B7 &amp; "'!I$14")</f>
        <v>42.311204863467033</v>
      </c>
      <c r="I7" s="5" cm="1">
        <f t="array" aca="1" ref="I7" ca="1">INDIRECT("'results" &amp; $B7 &amp; "'!J$14")</f>
        <v>5644.8242490806406</v>
      </c>
      <c r="J7" s="5"/>
      <c r="K7" s="5" cm="1">
        <f t="array" aca="1" ref="K7" ca="1">INDIRECT("'results" &amp; $B7 &amp; "'!L$14")</f>
        <v>1462783.3257512399</v>
      </c>
      <c r="L7" s="5" cm="1">
        <f t="array" aca="1" ref="L7" ca="1">INDIRECT("'results" &amp; $B7 &amp; "'!M$14")</f>
        <v>529.17298968572027</v>
      </c>
      <c r="M7" s="5" cm="1">
        <f t="array" aca="1" ref="M7" ca="1">INDIRECT("'results" &amp; $B7 &amp; "'!N$14")</f>
        <v>26</v>
      </c>
      <c r="N7" s="5" cm="1">
        <f t="array" aca="1" ref="N7" ca="1">INDIRECT("'results" &amp; $B7 &amp; "'!O$14")</f>
        <v>94</v>
      </c>
      <c r="O7" s="5" cm="1">
        <f t="array" aca="1" ref="O7" ca="1">INDIRECT("'results" &amp; $B7 &amp; "'!P$14")</f>
        <v>738.24676788960085</v>
      </c>
      <c r="P7" s="5" cm="1">
        <f t="array" aca="1" ref="P7" ca="1">INDIRECT("'results" &amp; $B7 &amp; "'!Q$14")</f>
        <v>18.818058906560985</v>
      </c>
      <c r="Q7" s="5" cm="1">
        <f t="array" aca="1" ref="Q7" ca="1">INDIRECT("'results" &amp; $B7 &amp; "'!R$14")</f>
        <v>5407.022546132197</v>
      </c>
      <c r="R7" s="5"/>
      <c r="S7" s="5" cm="1">
        <f t="array" aca="1" ref="S7" ca="1">INDIRECT("'results" &amp; $B7 &amp; "'!T$14")</f>
        <v>1585967.1907543121</v>
      </c>
      <c r="T7" s="5" cm="1">
        <f t="array" aca="1" ref="T7" ca="1">INDIRECT("'results" &amp; $B7 &amp; "'!U$14")</f>
        <v>135.55752037142935</v>
      </c>
      <c r="U7" s="5" cm="1">
        <f t="array" aca="1" ref="U7" ca="1">INDIRECT("'results" &amp; $B7 &amp; "'!V$14")</f>
        <v>13</v>
      </c>
      <c r="V7" s="5" cm="1">
        <f t="array" aca="1" ref="V7" ca="1">INDIRECT("'results" &amp; $B7 &amp; "'!W$14")</f>
        <v>83.333333333333329</v>
      </c>
      <c r="W7" s="5" cm="1">
        <f t="array" aca="1" ref="W7" ca="1">INDIRECT("'results" &amp; $B7 &amp; "'!X$14")</f>
        <v>1086.2484658334397</v>
      </c>
      <c r="X7" s="5" cm="1">
        <f t="array" aca="1" ref="X7" ca="1">INDIRECT("'results" &amp; $B7 &amp; "'!Y$14")</f>
        <v>53.935564330493449</v>
      </c>
      <c r="Y7" s="5" cm="1">
        <f t="array" aca="1" ref="Y7" ca="1">INDIRECT("'results" &amp; $B7 &amp; "'!Z$14")</f>
        <v>6776.9656213510816</v>
      </c>
      <c r="Z7" s="5"/>
    </row>
    <row r="8" spans="2:26" x14ac:dyDescent="0.2">
      <c r="B8" s="4">
        <v>450</v>
      </c>
      <c r="C8" s="5" cm="1">
        <f t="array" aca="1" ref="C8" ca="1">INDIRECT("'results" &amp; $B8 &amp; "'!D$14")</f>
        <v>1163565.272881343</v>
      </c>
      <c r="D8" s="32" cm="1">
        <f t="array" aca="1" ref="D8" ca="1">INDIRECT("'results" &amp; $B8 &amp; "'!E$14")</f>
        <v>285.93802688573487</v>
      </c>
      <c r="E8" s="5" cm="1">
        <f t="array" aca="1" ref="E8" ca="1">INDIRECT("'results" &amp; $B8 &amp; "'!F$14")</f>
        <v>13</v>
      </c>
      <c r="F8" s="5" cm="1">
        <f t="array" aca="1" ref="F8" ca="1">INDIRECT("'results" &amp; $B8 &amp; "'!G$14")</f>
        <v>98.666666666666671</v>
      </c>
      <c r="G8" s="5" cm="1">
        <f t="array" aca="1" ref="G8" ca="1">INDIRECT("'results" &amp; $B8 &amp; "'!H$14")</f>
        <v>606.68786700762973</v>
      </c>
      <c r="H8" s="32" cm="1">
        <f t="array" aca="1" ref="H8" ca="1">INDIRECT("'results" &amp; $B8 &amp; "'!I$14")</f>
        <v>44.773708180158685</v>
      </c>
      <c r="I8" s="5" cm="1">
        <f t="array" aca="1" ref="I8" ca="1">INDIRECT("'results" &amp; $B8 &amp; "'!J$14")</f>
        <v>5917.2294946782149</v>
      </c>
      <c r="J8" s="5"/>
      <c r="K8" s="5" cm="1">
        <f t="array" aca="1" ref="K8" ca="1">INDIRECT("'results" &amp; $B8 &amp; "'!L$14")</f>
        <v>1587605.2295408801</v>
      </c>
      <c r="L8" s="5" cm="1">
        <f t="array" aca="1" ref="L8" ca="1">INDIRECT("'results" &amp; $B8 &amp; "'!M$14")</f>
        <v>404.74097814287859</v>
      </c>
      <c r="M8" s="5" cm="1">
        <f t="array" aca="1" ref="M8" ca="1">INDIRECT("'results" &amp; $B8 &amp; "'!N$14")</f>
        <v>19</v>
      </c>
      <c r="N8" s="5" cm="1">
        <f t="array" aca="1" ref="N8" ca="1">INDIRECT("'results" &amp; $B8 &amp; "'!O$14")</f>
        <v>75.333333333333329</v>
      </c>
      <c r="O8" s="5" cm="1">
        <f t="array" aca="1" ref="O8" ca="1">INDIRECT("'results" &amp; $B8 &amp; "'!P$14")</f>
        <v>226.3148839994671</v>
      </c>
      <c r="P8" s="5" cm="1">
        <f t="array" aca="1" ref="P8" ca="1">INDIRECT("'results" &amp; $B8 &amp; "'!Q$14")</f>
        <v>21.074192052172091</v>
      </c>
      <c r="Q8" s="5" cm="1">
        <f t="array" aca="1" ref="Q8" ca="1">INDIRECT("'results" &amp; $B8 &amp; "'!R$14")</f>
        <v>4530.5433116439544</v>
      </c>
      <c r="R8" s="5"/>
      <c r="S8" s="5" cm="1">
        <f t="array" aca="1" ref="S8" ca="1">INDIRECT("'results" &amp; $B8 &amp; "'!T$14")</f>
        <v>1616089.4314548711</v>
      </c>
      <c r="T8" s="5" cm="1">
        <f t="array" aca="1" ref="T8" ca="1">INDIRECT("'results" &amp; $B8 &amp; "'!U$14")</f>
        <v>431.41975722857745</v>
      </c>
      <c r="U8" s="5" cm="1">
        <f t="array" aca="1" ref="U8" ca="1">INDIRECT("'results" &amp; $B8 &amp; "'!V$14")</f>
        <v>13</v>
      </c>
      <c r="V8" s="5" cm="1">
        <f t="array" aca="1" ref="V8" ca="1">INDIRECT("'results" &amp; $B8 &amp; "'!W$14")</f>
        <v>79.333333333333329</v>
      </c>
      <c r="W8" s="5" cm="1">
        <f t="array" aca="1" ref="W8" ca="1">INDIRECT("'results" &amp; $B8 &amp; "'!X$14")</f>
        <v>927.33301869973786</v>
      </c>
      <c r="X8" s="5" cm="1">
        <f t="array" aca="1" ref="X8" ca="1">INDIRECT("'results" &amp; $B8 &amp; "'!Y$14")</f>
        <v>57.36563608373342</v>
      </c>
      <c r="Y8" s="5" cm="1">
        <f t="array" aca="1" ref="Y8" ca="1">INDIRECT("'results" &amp; $B8 &amp; "'!Z$14")</f>
        <v>6521.4483452948216</v>
      </c>
      <c r="Z8" s="5"/>
    </row>
    <row r="9" spans="2:26" x14ac:dyDescent="0.2">
      <c r="B9" s="4">
        <v>613</v>
      </c>
      <c r="C9" s="5" cm="1">
        <f t="array" aca="1" ref="C9" ca="1">INDIRECT("'results" &amp; $B9 &amp; "'!D$14")</f>
        <v>1103871.40421294</v>
      </c>
      <c r="D9" s="32" cm="1">
        <f t="array" aca="1" ref="D9" ca="1">INDIRECT("'results" &amp; $B9 &amp; "'!E$14")</f>
        <v>173.28067108569667</v>
      </c>
      <c r="E9" s="5" cm="1">
        <f t="array" aca="1" ref="E9" ca="1">INDIRECT("'results" &amp; $B9 &amp; "'!F$14")</f>
        <v>12</v>
      </c>
      <c r="F9" s="5" cm="1">
        <f t="array" aca="1" ref="F9" ca="1">INDIRECT("'results" &amp; $B9 &amp; "'!G$14")</f>
        <v>97.333333333333329</v>
      </c>
      <c r="G9" s="5" cm="1">
        <f t="array" aca="1" ref="G9" ca="1">INDIRECT("'results" &amp; $B9 &amp; "'!H$14")</f>
        <v>420.53132136540376</v>
      </c>
      <c r="H9" s="32" cm="1">
        <f t="array" aca="1" ref="H9" ca="1">INDIRECT("'results" &amp; $B9 &amp; "'!I$14")</f>
        <v>44.919165740790788</v>
      </c>
      <c r="I9" s="5" cm="1">
        <f t="array" aca="1" ref="I9" ca="1">INDIRECT("'results" &amp; $B9 &amp; "'!J$14")</f>
        <v>5505.3797019422382</v>
      </c>
      <c r="J9" s="5"/>
      <c r="K9" s="5" cm="1">
        <f t="array" aca="1" ref="K9" ca="1">INDIRECT("'results" &amp; $B9 &amp; "'!L$14")</f>
        <v>1420010.2639820089</v>
      </c>
      <c r="L9" s="5" cm="1">
        <f t="array" aca="1" ref="L9" ca="1">INDIRECT("'results" &amp; $B9 &amp; "'!M$14")</f>
        <v>416.02636271429117</v>
      </c>
      <c r="M9" s="5" cm="1">
        <f t="array" aca="1" ref="M9" ca="1">INDIRECT("'results" &amp; $B9 &amp; "'!N$14")</f>
        <v>28</v>
      </c>
      <c r="N9" s="5" cm="1">
        <f t="array" aca="1" ref="N9" ca="1">INDIRECT("'results" &amp; $B9 &amp; "'!O$14")</f>
        <v>92</v>
      </c>
      <c r="O9" s="5" cm="1">
        <f t="array" aca="1" ref="O9" ca="1">INDIRECT("'results" &amp; $B9 &amp; "'!P$14")</f>
        <v>318.34530089906463</v>
      </c>
      <c r="P9" s="5" cm="1">
        <f t="array" aca="1" ref="P9" ca="1">INDIRECT("'results" &amp; $B9 &amp; "'!Q$14")</f>
        <v>17.389799045502507</v>
      </c>
      <c r="Q9" s="5" cm="1">
        <f t="array" aca="1" ref="Q9" ca="1">INDIRECT("'results" &amp; $B9 &amp; "'!R$14")</f>
        <v>4767.7833643327158</v>
      </c>
      <c r="R9" s="5"/>
      <c r="S9" s="5" cm="1">
        <f t="array" aca="1" ref="S9" ca="1">INDIRECT("'results" &amp; $B9 &amp; "'!T$14")</f>
        <v>1551801.533883824</v>
      </c>
      <c r="T9" s="5" cm="1">
        <f t="array" aca="1" ref="T9" ca="1">INDIRECT("'results" &amp; $B9 &amp; "'!U$14")</f>
        <v>485.40592708571688</v>
      </c>
      <c r="U9" s="5" cm="1">
        <f t="array" aca="1" ref="U9" ca="1">INDIRECT("'results" &amp; $B9 &amp; "'!V$14")</f>
        <v>14</v>
      </c>
      <c r="V9" s="5" cm="1">
        <f t="array" aca="1" ref="V9" ca="1">INDIRECT("'results" &amp; $B9 &amp; "'!W$14")</f>
        <v>83.333333333333329</v>
      </c>
      <c r="W9" s="5" cm="1">
        <f t="array" aca="1" ref="W9" ca="1">INDIRECT("'results" &amp; $B9 &amp; "'!X$14")</f>
        <v>1018.9505832739097</v>
      </c>
      <c r="X9" s="5" cm="1">
        <f t="array" aca="1" ref="X9" ca="1">INDIRECT("'results" &amp; $B9 &amp; "'!Y$14")</f>
        <v>52.957038722086324</v>
      </c>
      <c r="Y9" s="5" cm="1">
        <f t="array" aca="1" ref="Y9" ca="1">INDIRECT("'results" &amp; $B9 &amp; "'!Z$14")</f>
        <v>6395.9601303384015</v>
      </c>
      <c r="Z9" s="5"/>
    </row>
    <row r="10" spans="2:26" x14ac:dyDescent="0.2">
      <c r="B10" s="4">
        <v>661</v>
      </c>
      <c r="C10" s="5" cm="1">
        <f t="array" aca="1" ref="C10" ca="1">INDIRECT("'results" &amp; $B10 &amp; "'!D$14")</f>
        <v>1024175.007898443</v>
      </c>
      <c r="D10" s="32" cm="1">
        <f t="array" aca="1" ref="D10" ca="1">INDIRECT("'results" &amp; $B10 &amp; "'!E$14")</f>
        <v>144.64367460000463</v>
      </c>
      <c r="E10" s="5" cm="1">
        <f t="array" aca="1" ref="E10" ca="1">INDIRECT("'results" &amp; $B10 &amp; "'!F$14")</f>
        <v>10</v>
      </c>
      <c r="F10" s="5" cm="1">
        <f t="array" aca="1" ref="F10" ca="1">INDIRECT("'results" &amp; $B10 &amp; "'!G$14")</f>
        <v>94.666666666666671</v>
      </c>
      <c r="G10" s="5" cm="1">
        <f t="array" aca="1" ref="G10" ca="1">INDIRECT("'results" &amp; $B10 &amp; "'!H$14")</f>
        <v>100.46421131975723</v>
      </c>
      <c r="H10" s="32" cm="1">
        <f t="array" aca="1" ref="H10" ca="1">INDIRECT("'results" &amp; $B10 &amp; "'!I$14")</f>
        <v>44.611476784556956</v>
      </c>
      <c r="I10" s="5" cm="1">
        <f t="array" aca="1" ref="I10" ca="1">INDIRECT("'results" &amp; $B10 &amp; "'!J$14")</f>
        <v>5001.047323829066</v>
      </c>
      <c r="J10" s="5"/>
      <c r="K10" s="5" cm="1">
        <f t="array" aca="1" ref="K10" ca="1">INDIRECT("'results" &amp; $B10 &amp; "'!L$14")</f>
        <v>1363035.637740362</v>
      </c>
      <c r="L10" s="5" cm="1">
        <f t="array" aca="1" ref="L10" ca="1">INDIRECT("'results" &amp; $B10 &amp; "'!M$14")</f>
        <v>411.19250408573345</v>
      </c>
      <c r="M10" s="5" cm="1">
        <f t="array" aca="1" ref="M10" ca="1">INDIRECT("'results" &amp; $B10 &amp; "'!N$14")</f>
        <v>24</v>
      </c>
      <c r="N10" s="5" cm="1">
        <f t="array" aca="1" ref="N10" ca="1">INDIRECT("'results" &amp; $B10 &amp; "'!O$14")</f>
        <v>88</v>
      </c>
      <c r="O10" s="5" cm="1">
        <f t="array" aca="1" ref="O10" ca="1">INDIRECT("'results" &amp; $B10 &amp; "'!P$14")</f>
        <v>175.15695330178701</v>
      </c>
      <c r="P10" s="5" cm="1">
        <f t="array" aca="1" ref="P10" ca="1">INDIRECT("'results" &amp; $B10 &amp; "'!Q$14")</f>
        <v>16.80780352791437</v>
      </c>
      <c r="Q10" s="5" cm="1">
        <f t="array" aca="1" ref="Q10" ca="1">INDIRECT("'results" &amp; $B10 &amp; "'!R$14")</f>
        <v>4347.1993514228216</v>
      </c>
      <c r="R10" s="5"/>
      <c r="S10" s="5" cm="1">
        <f t="array" aca="1" ref="S10" ca="1">INDIRECT("'results" &amp; $B10 &amp; "'!T$14")</f>
        <v>1400424.4278929071</v>
      </c>
      <c r="T10" s="5" cm="1">
        <f t="array" aca="1" ref="T10" ca="1">INDIRECT("'results" &amp; $B10 &amp; "'!U$14")</f>
        <v>197.54215062858671</v>
      </c>
      <c r="U10" s="5" cm="1">
        <f t="array" aca="1" ref="U10" ca="1">INDIRECT("'results" &amp; $B10 &amp; "'!V$14")</f>
        <v>14</v>
      </c>
      <c r="V10" s="5" cm="1">
        <f t="array" aca="1" ref="V10" ca="1">INDIRECT("'results" &amp; $B10 &amp; "'!W$14")</f>
        <v>87.333333333333329</v>
      </c>
      <c r="W10" s="5" cm="1">
        <f t="array" aca="1" ref="W10" ca="1">INDIRECT("'results" &amp; $B10 &amp; "'!X$14")</f>
        <v>773.55588439502253</v>
      </c>
      <c r="X10" s="5" cm="1">
        <f t="array" aca="1" ref="X10" ca="1">INDIRECT("'results" &amp; $B10 &amp; "'!Y$14")</f>
        <v>52.945035447759302</v>
      </c>
      <c r="Y10" s="5" cm="1">
        <f t="array" aca="1" ref="Y10" ca="1">INDIRECT("'results" &amp; $B10 &amp; "'!Z$14")</f>
        <v>6059.5917241125971</v>
      </c>
      <c r="Z10" s="5"/>
    </row>
    <row r="11" spans="2:26" x14ac:dyDescent="0.2">
      <c r="B11" s="4">
        <v>819</v>
      </c>
      <c r="C11" s="5" cm="1">
        <f t="array" aca="1" ref="C11" ca="1">INDIRECT("'results" &amp; $B11 &amp; "'!D$14")</f>
        <v>1366765.5833269211</v>
      </c>
      <c r="D11" s="32" cm="1">
        <f t="array" aca="1" ref="D11" ca="1">INDIRECT("'results" &amp; $B11 &amp; "'!E$14")</f>
        <v>387.66851831430432</v>
      </c>
      <c r="E11" s="5" cm="1">
        <f t="array" aca="1" ref="E11" ca="1">INDIRECT("'results" &amp; $B11 &amp; "'!F$14")</f>
        <v>16</v>
      </c>
      <c r="F11" s="5" cm="1">
        <f t="array" aca="1" ref="F11" ca="1">INDIRECT("'results" &amp; $B11 &amp; "'!G$14")</f>
        <v>95.333333333333329</v>
      </c>
      <c r="G11" s="5" cm="1">
        <f t="array" aca="1" ref="G11" ca="1">INDIRECT("'results" &amp; $B11 &amp; "'!H$14")</f>
        <v>925.93843698023841</v>
      </c>
      <c r="H11" s="32" cm="1">
        <f t="array" aca="1" ref="H11" ca="1">INDIRECT("'results" &amp; $B11 &amp; "'!I$14")</f>
        <v>31.992989476999206</v>
      </c>
      <c r="I11" s="5" cm="1">
        <f t="array" aca="1" ref="I11" ca="1">INDIRECT("'results" &amp; $B11 &amp; "'!J$14")</f>
        <v>6131.9056751458484</v>
      </c>
      <c r="J11" s="5"/>
      <c r="K11" s="5" cm="1">
        <f t="array" aca="1" ref="K11" ca="1">INDIRECT("'results" &amp; $B11 &amp; "'!L$14")</f>
        <v>1626240.147638899</v>
      </c>
      <c r="L11" s="5" cm="1">
        <f t="array" aca="1" ref="L11" ca="1">INDIRECT("'results" &amp; $B11 &amp; "'!M$14")</f>
        <v>227.42202279999452</v>
      </c>
      <c r="M11" s="5" cm="1">
        <f t="array" aca="1" ref="M11" ca="1">INDIRECT("'results" &amp; $B11 &amp; "'!N$14")</f>
        <v>24</v>
      </c>
      <c r="N11" s="5" cm="1">
        <f t="array" aca="1" ref="N11" ca="1">INDIRECT("'results" &amp; $B11 &amp; "'!O$14")</f>
        <v>83.333333333333329</v>
      </c>
      <c r="O11" s="5" cm="1">
        <f t="array" aca="1" ref="O11" ca="1">INDIRECT("'results" &amp; $B11 &amp; "'!P$14")</f>
        <v>699.85800479578586</v>
      </c>
      <c r="P11" s="5" cm="1">
        <f t="array" aca="1" ref="P11" ca="1">INDIRECT("'results" &amp; $B11 &amp; "'!Q$14")</f>
        <v>18.472556855364022</v>
      </c>
      <c r="Q11" s="5" cm="1">
        <f t="array" aca="1" ref="Q11" ca="1">INDIRECT("'results" &amp; $B11 &amp; "'!R$14")</f>
        <v>5201.3090675474114</v>
      </c>
      <c r="R11" s="5"/>
      <c r="S11" s="5" cm="1">
        <f t="array" aca="1" ref="S11" ca="1">INDIRECT("'results" &amp; $B11 &amp; "'!T$14")</f>
        <v>1773640.5656877749</v>
      </c>
      <c r="T11" s="5" cm="1">
        <f t="array" aca="1" ref="T11" ca="1">INDIRECT("'results" &amp; $B11 &amp; "'!U$14")</f>
        <v>307.24636042856486</v>
      </c>
      <c r="U11" s="5" cm="1">
        <f t="array" aca="1" ref="U11" ca="1">INDIRECT("'results" &amp; $B11 &amp; "'!V$14")</f>
        <v>13</v>
      </c>
      <c r="V11" s="5" cm="1">
        <f t="array" aca="1" ref="V11" ca="1">INDIRECT("'results" &amp; $B11 &amp; "'!W$14")</f>
        <v>72</v>
      </c>
      <c r="W11" s="5" cm="1">
        <f t="array" aca="1" ref="W11" ca="1">INDIRECT("'results" &amp; $B11 &amp; "'!X$14")</f>
        <v>937.95152845987786</v>
      </c>
      <c r="X11" s="5" cm="1">
        <f t="array" aca="1" ref="X11" ca="1">INDIRECT("'results" &amp; $B11 &amp; "'!Y$14")</f>
        <v>44.014740285429156</v>
      </c>
      <c r="Y11" s="5" cm="1">
        <f t="array" aca="1" ref="Y11" ca="1">INDIRECT("'results" &amp; $B11 &amp; "'!Z$14")</f>
        <v>6468.7589637787732</v>
      </c>
      <c r="Z11" s="5"/>
    </row>
    <row r="12" spans="2:26" x14ac:dyDescent="0.2">
      <c r="B12" s="4">
        <v>919</v>
      </c>
      <c r="C12" s="5" cm="1">
        <f t="array" aca="1" ref="C12" ca="1">INDIRECT("'results" &amp; $B12 &amp; "'!D$14")</f>
        <v>1382227.882921784</v>
      </c>
      <c r="D12" s="32" cm="1">
        <f t="array" aca="1" ref="D12" ca="1">INDIRECT("'results" &amp; $B12 &amp; "'!E$14")</f>
        <v>689.21452374287344</v>
      </c>
      <c r="E12" s="5" cm="1">
        <f t="array" aca="1" ref="E12" ca="1">INDIRECT("'results" &amp; $B12 &amp; "'!F$14")</f>
        <v>15</v>
      </c>
      <c r="F12" s="5" cm="1">
        <f t="array" aca="1" ref="F12" ca="1">INDIRECT("'results" &amp; $B12 &amp; "'!G$14")</f>
        <v>92.666666666666671</v>
      </c>
      <c r="G12" s="5" cm="1">
        <f t="array" aca="1" ref="G12" ca="1">INDIRECT("'results" &amp; $B12 &amp; "'!H$14")</f>
        <v>916.60266133963671</v>
      </c>
      <c r="H12" s="32" cm="1">
        <f t="array" aca="1" ref="H12" ca="1">INDIRECT("'results" &amp; $B12 &amp; "'!I$14")</f>
        <v>39.014863173724038</v>
      </c>
      <c r="I12" s="5" cm="1">
        <f t="array" aca="1" ref="I12" ca="1">INDIRECT("'results" &amp; $B12 &amp; "'!J$14")</f>
        <v>6055.6278308863575</v>
      </c>
      <c r="J12" s="5"/>
      <c r="K12" s="5" cm="1">
        <f t="array" aca="1" ref="K12" ca="1">INDIRECT("'results" &amp; $B12 &amp; "'!L$14")</f>
        <v>1676666.863173889</v>
      </c>
      <c r="L12" s="5" cm="1">
        <f t="array" aca="1" ref="L12" ca="1">INDIRECT("'results" &amp; $B12 &amp; "'!M$14")</f>
        <v>315.38950137142086</v>
      </c>
      <c r="M12" s="5" cm="1">
        <f t="array" aca="1" ref="M12" ca="1">INDIRECT("'results" &amp; $B12 &amp; "'!N$14")</f>
        <v>25</v>
      </c>
      <c r="N12" s="5" cm="1">
        <f t="array" aca="1" ref="N12" ca="1">INDIRECT("'results" &amp; $B12 &amp; "'!O$14")</f>
        <v>82</v>
      </c>
      <c r="O12" s="5" cm="1">
        <f t="array" aca="1" ref="O12" ca="1">INDIRECT("'results" &amp; $B12 &amp; "'!P$14")</f>
        <v>650.14111418030234</v>
      </c>
      <c r="P12" s="5" cm="1">
        <f t="array" aca="1" ref="P12" ca="1">INDIRECT("'results" &amp; $B12 &amp; "'!Q$14")</f>
        <v>20.010339675526552</v>
      </c>
      <c r="Q12" s="5" cm="1">
        <f t="array" aca="1" ref="Q12" ca="1">INDIRECT("'results" &amp; $B12 &amp; "'!R$14")</f>
        <v>5315.9439255863899</v>
      </c>
      <c r="R12" s="5"/>
      <c r="S12" s="5" cm="1">
        <f t="array" aca="1" ref="S12" ca="1">INDIRECT("'results" &amp; $B12 &amp; "'!T$14")</f>
        <v>1860268.08731585</v>
      </c>
      <c r="T12" s="5" cm="1">
        <f t="array" aca="1" ref="T12" ca="1">INDIRECT("'results" &amp; $B12 &amp; "'!U$14")</f>
        <v>136.05709591428084</v>
      </c>
      <c r="U12" s="5" cm="1">
        <f t="array" aca="1" ref="U12" ca="1">INDIRECT("'results" &amp; $B12 &amp; "'!V$14")</f>
        <v>13</v>
      </c>
      <c r="V12" s="5" cm="1">
        <f t="array" aca="1" ref="V12" ca="1">INDIRECT("'results" &amp; $B12 &amp; "'!W$14")</f>
        <v>68</v>
      </c>
      <c r="W12" s="5" cm="1">
        <f t="array" aca="1" ref="W12" ca="1">INDIRECT("'results" &amp; $B12 &amp; "'!X$14")</f>
        <v>1050.0913753399377</v>
      </c>
      <c r="X12" s="5" cm="1">
        <f t="array" aca="1" ref="X12" ca="1">INDIRECT("'results" &amp; $B12 &amp; "'!Y$14")</f>
        <v>54.258271996533558</v>
      </c>
      <c r="Y12" s="5" cm="1">
        <f t="array" aca="1" ref="Y12" ca="1">INDIRECT("'results" &amp; $B12 &amp; "'!Z$14")</f>
        <v>6593.892469234479</v>
      </c>
      <c r="Z12" s="5"/>
    </row>
    <row r="13" spans="2:26" x14ac:dyDescent="0.2">
      <c r="B13" s="8" t="s">
        <v>3</v>
      </c>
      <c r="C13" s="9">
        <f ca="1">AVERAGE(C3:C12)</f>
        <v>1206490.523143355</v>
      </c>
      <c r="D13" s="10">
        <f t="shared" ref="D13:I13" ca="1" si="0">AVERAGE(D3:D12)</f>
        <v>283.17239049714658</v>
      </c>
      <c r="E13" s="9">
        <f t="shared" ca="1" si="0"/>
        <v>13.2</v>
      </c>
      <c r="F13" s="9">
        <f t="shared" ca="1" si="0"/>
        <v>95.6</v>
      </c>
      <c r="G13" s="9">
        <f t="shared" ca="1" si="0"/>
        <v>615.05887131134273</v>
      </c>
      <c r="H13" s="10">
        <f t="shared" ca="1" si="0"/>
        <v>41.168889895709739</v>
      </c>
      <c r="I13" s="9">
        <f t="shared" ca="1" si="0"/>
        <v>5749.3749092576545</v>
      </c>
      <c r="J13" s="31" t="e">
        <f ca="1">(C13-$D$15)/$D$15</f>
        <v>#DIV/0!</v>
      </c>
      <c r="K13" s="16">
        <f ca="1">AVERAGE(K3:K12)</f>
        <v>1525828.214442272</v>
      </c>
      <c r="L13" s="42">
        <f t="shared" ref="L13:Q13" ca="1" si="1">AVERAGE(L3:L12)</f>
        <v>421.63644158857142</v>
      </c>
      <c r="M13" s="16">
        <f t="shared" ca="1" si="1"/>
        <v>24.6</v>
      </c>
      <c r="N13" s="16">
        <f ca="1">AVERAGE(N3:N12)</f>
        <v>85.933333333333337</v>
      </c>
      <c r="O13" s="16">
        <f t="shared" ca="1" si="1"/>
        <v>492.77388182252599</v>
      </c>
      <c r="P13" s="42">
        <f t="shared" ca="1" si="1"/>
        <v>19.093255678083615</v>
      </c>
      <c r="Q13" s="16">
        <f t="shared" ca="1" si="1"/>
        <v>4967.2285202414387</v>
      </c>
      <c r="R13" s="43" t="e">
        <f ca="1">(K13-$D$15)/$D$15</f>
        <v>#DIV/0!</v>
      </c>
      <c r="S13" s="37">
        <f ca="1">AVERAGE(S3:S12)</f>
        <v>1636906.4942022329</v>
      </c>
      <c r="T13" s="44">
        <f t="shared" ref="T13:Y13" ca="1" si="2">AVERAGE(T3:T12)</f>
        <v>277.34188626000457</v>
      </c>
      <c r="U13" s="37">
        <f t="shared" ca="1" si="2"/>
        <v>13.7</v>
      </c>
      <c r="V13" s="37">
        <f t="shared" ca="1" si="2"/>
        <v>78.533333333333331</v>
      </c>
      <c r="W13" s="37">
        <f t="shared" ca="1" si="2"/>
        <v>1004.2382301362502</v>
      </c>
      <c r="X13" s="44">
        <f t="shared" ca="1" si="2"/>
        <v>51.672763778390923</v>
      </c>
      <c r="Y13" s="37">
        <f t="shared" ca="1" si="2"/>
        <v>6427.7211773591853</v>
      </c>
      <c r="Z13" s="45" t="e">
        <f ca="1">(S13-$D$15)/$D$15</f>
        <v>#DIV/0!</v>
      </c>
    </row>
    <row r="14" spans="2:26" x14ac:dyDescent="0.2">
      <c r="K14" s="46">
        <f ca="1">(K13-C13)/C13</f>
        <v>0.26468313275012212</v>
      </c>
      <c r="L14" s="46">
        <f t="shared" ref="L14:Q14" ca="1" si="3">(L13-D13)/D13</f>
        <v>0.48897440477277071</v>
      </c>
      <c r="M14" s="46">
        <f t="shared" ca="1" si="3"/>
        <v>0.86363636363636387</v>
      </c>
      <c r="N14" s="46">
        <f t="shared" ca="1" si="3"/>
        <v>-0.10111576011157591</v>
      </c>
      <c r="O14" s="46">
        <f t="shared" ca="1" si="3"/>
        <v>-0.19881834925508471</v>
      </c>
      <c r="P14" s="46">
        <f t="shared" ca="1" si="3"/>
        <v>-0.53622126497820999</v>
      </c>
      <c r="Q14" s="46">
        <f t="shared" ca="1" si="3"/>
        <v>-0.13604024808971879</v>
      </c>
      <c r="S14" s="46">
        <f ca="1">(S13-C13)/C13</f>
        <v>0.35675039530147717</v>
      </c>
      <c r="T14" s="46">
        <f t="shared" ref="T14:Y14" ca="1" si="4">(T13-D13)/D13</f>
        <v>-2.0589946028656915E-2</v>
      </c>
      <c r="U14" s="46">
        <f t="shared" ca="1" si="4"/>
        <v>3.787878787878788E-2</v>
      </c>
      <c r="V14" s="46">
        <f ca="1">(V13-F13)/F13</f>
        <v>-0.17852161785216175</v>
      </c>
      <c r="W14" s="46">
        <f t="shared" ca="1" si="4"/>
        <v>0.63275139499273225</v>
      </c>
      <c r="X14" s="46">
        <f t="shared" ca="1" si="4"/>
        <v>0.25514105212187915</v>
      </c>
      <c r="Y14" s="46">
        <f t="shared" ca="1" si="4"/>
        <v>0.11798609045467817</v>
      </c>
    </row>
    <row r="16" spans="2:26" x14ac:dyDescent="0.2">
      <c r="B16" s="1" t="s">
        <v>21</v>
      </c>
      <c r="C16">
        <f ca="1">_xlfn.STDEV.S(C3:C12)</f>
        <v>118590.7485652649</v>
      </c>
      <c r="J16" s="1" t="s">
        <v>21</v>
      </c>
      <c r="K16">
        <f ca="1">_xlfn.STDEV.S(K3:K12)</f>
        <v>104035.0337774902</v>
      </c>
      <c r="R16" s="1" t="s">
        <v>21</v>
      </c>
      <c r="S16">
        <f ca="1">_xlfn.STDEV.S(S3:S12)</f>
        <v>133484.58140141473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730F0-1332-4C1A-86A9-8954F2AD8D71}">
  <dimension ref="B1:AA40"/>
  <sheetViews>
    <sheetView zoomScale="90" zoomScaleNormal="90" workbookViewId="0">
      <selection activeCell="U20" sqref="U20:U36"/>
    </sheetView>
  </sheetViews>
  <sheetFormatPr baseColWidth="10" defaultColWidth="10.83203125" defaultRowHeight="16" x14ac:dyDescent="0.2"/>
  <cols>
    <col min="1" max="1" width="3.83203125" style="1" customWidth="1"/>
    <col min="2" max="2" width="8.1640625" style="1" bestFit="1" customWidth="1"/>
    <col min="3" max="3" width="5.1640625" style="1" bestFit="1" customWidth="1"/>
    <col min="4" max="4" width="16.6640625" style="1" customWidth="1"/>
    <col min="5" max="5" width="10.6640625" style="1" bestFit="1" customWidth="1"/>
    <col min="6" max="6" width="9.1640625" style="1" bestFit="1" customWidth="1"/>
    <col min="7" max="7" width="18.33203125" style="1" bestFit="1" customWidth="1"/>
    <col min="8" max="8" width="19.33203125" style="1" bestFit="1" customWidth="1"/>
    <col min="9" max="9" width="24.83203125" style="1" bestFit="1" customWidth="1"/>
    <col min="10" max="10" width="18.6640625" style="1" bestFit="1" customWidth="1"/>
    <col min="11" max="11" width="12.6640625" style="1" customWidth="1"/>
    <col min="12" max="12" width="12.6640625" style="1" bestFit="1" customWidth="1"/>
    <col min="13" max="14" width="10.83203125" style="1"/>
    <col min="15" max="15" width="18.33203125" style="1" bestFit="1" customWidth="1"/>
    <col min="16" max="16" width="19.33203125" style="1" bestFit="1" customWidth="1"/>
    <col min="17" max="17" width="24.83203125" style="1" bestFit="1" customWidth="1"/>
    <col min="18" max="18" width="18" style="1" bestFit="1" customWidth="1"/>
    <col min="19" max="19" width="10.83203125" style="1"/>
    <col min="20" max="20" width="12.6640625" style="1" bestFit="1" customWidth="1"/>
    <col min="21" max="22" width="10.83203125" style="1"/>
    <col min="23" max="23" width="18.33203125" style="1" bestFit="1" customWidth="1"/>
    <col min="24" max="24" width="19.33203125" style="1" bestFit="1" customWidth="1"/>
    <col min="25" max="25" width="24.83203125" style="1" bestFit="1" customWidth="1"/>
    <col min="26" max="26" width="18" style="1" bestFit="1" customWidth="1"/>
    <col min="27" max="16384" width="10.83203125" style="1"/>
  </cols>
  <sheetData>
    <row r="1" spans="2:27" x14ac:dyDescent="0.2">
      <c r="D1" s="1" t="s">
        <v>14</v>
      </c>
    </row>
    <row r="2" spans="2:27" x14ac:dyDescent="0.2">
      <c r="B2" s="1" t="s">
        <v>18</v>
      </c>
      <c r="D2" s="29">
        <v>150</v>
      </c>
      <c r="H2" s="28">
        <f>(Q14-H14)/H14</f>
        <v>-0.93990277045969373</v>
      </c>
      <c r="J2" s="28" t="e">
        <f>(S14-J14)/J14</f>
        <v>#DIV/0!</v>
      </c>
      <c r="K2" s="28"/>
      <c r="L2" s="1" t="s">
        <v>19</v>
      </c>
      <c r="P2" s="1">
        <f>(P14-H14)/H14</f>
        <v>9.8108262497457379E-3</v>
      </c>
      <c r="R2" s="1">
        <f>(R14-J14)/J14</f>
        <v>-0.12633701131998906</v>
      </c>
      <c r="T2" s="1" t="s">
        <v>20</v>
      </c>
      <c r="X2" s="1">
        <f>(X14-P14)/P14</f>
        <v>1.8798366166076859</v>
      </c>
      <c r="Z2" s="1">
        <f>(Z14-R14)/R14</f>
        <v>0.34953414451516457</v>
      </c>
    </row>
    <row r="3" spans="2:27" x14ac:dyDescent="0.2">
      <c r="B3" s="8" t="s">
        <v>7</v>
      </c>
      <c r="C3" s="8" t="s">
        <v>4</v>
      </c>
      <c r="D3" s="8" t="s">
        <v>0</v>
      </c>
      <c r="E3" s="8" t="s">
        <v>5</v>
      </c>
      <c r="F3" s="8" t="s">
        <v>12</v>
      </c>
      <c r="G3" s="8" t="s">
        <v>15</v>
      </c>
      <c r="H3" s="8" t="s">
        <v>11</v>
      </c>
      <c r="I3" s="8" t="s">
        <v>16</v>
      </c>
      <c r="J3" s="8" t="s">
        <v>10</v>
      </c>
      <c r="K3" s="8" t="s">
        <v>1</v>
      </c>
      <c r="L3" s="15" t="s">
        <v>0</v>
      </c>
      <c r="M3" s="15" t="s">
        <v>5</v>
      </c>
      <c r="N3" s="15" t="s">
        <v>12</v>
      </c>
      <c r="O3" s="15" t="s">
        <v>15</v>
      </c>
      <c r="P3" s="15" t="s">
        <v>11</v>
      </c>
      <c r="Q3" s="15" t="s">
        <v>16</v>
      </c>
      <c r="R3" s="15" t="s">
        <v>10</v>
      </c>
      <c r="S3" s="15" t="s">
        <v>1</v>
      </c>
      <c r="T3" s="36" t="s">
        <v>0</v>
      </c>
      <c r="U3" s="36" t="s">
        <v>5</v>
      </c>
      <c r="V3" s="36" t="s">
        <v>12</v>
      </c>
      <c r="W3" s="36" t="s">
        <v>15</v>
      </c>
      <c r="X3" s="36" t="s">
        <v>11</v>
      </c>
      <c r="Y3" s="36" t="s">
        <v>16</v>
      </c>
      <c r="Z3" s="36" t="s">
        <v>10</v>
      </c>
      <c r="AA3" s="36" t="s">
        <v>1</v>
      </c>
    </row>
    <row r="4" spans="2:27" x14ac:dyDescent="0.2">
      <c r="B4" s="4">
        <v>1</v>
      </c>
      <c r="C4" s="4">
        <v>243</v>
      </c>
      <c r="D4" s="23">
        <v>1145983.447474296</v>
      </c>
      <c r="E4" s="32">
        <v>67.037601942861713</v>
      </c>
      <c r="F4" s="5">
        <v>11</v>
      </c>
      <c r="G4" s="23">
        <v>96.666666666666671</v>
      </c>
      <c r="H4" s="32">
        <v>498.8778913225583</v>
      </c>
      <c r="I4" s="23">
        <v>50.672964388036306</v>
      </c>
      <c r="J4" s="5">
        <v>5836.125146404549</v>
      </c>
      <c r="K4" s="30"/>
      <c r="L4" s="23">
        <v>1538906.55503944</v>
      </c>
      <c r="M4" s="32">
        <v>163.92362088573697</v>
      </c>
      <c r="N4" s="5">
        <v>25</v>
      </c>
      <c r="O4" s="5">
        <v>85.333333333333329</v>
      </c>
      <c r="P4" s="32">
        <v>439.07316734586135</v>
      </c>
      <c r="Q4" s="5">
        <v>19.248015919899629</v>
      </c>
      <c r="R4" s="5">
        <v>4920.5986287020451</v>
      </c>
      <c r="S4" s="34"/>
      <c r="T4" s="23">
        <v>1571365.897563427</v>
      </c>
      <c r="U4" s="32">
        <v>209.00596557141813</v>
      </c>
      <c r="V4" s="5">
        <v>15</v>
      </c>
      <c r="W4" s="5">
        <v>84</v>
      </c>
      <c r="X4" s="32">
        <v>1170.2767937888862</v>
      </c>
      <c r="Y4" s="5">
        <v>53.231120385869538</v>
      </c>
      <c r="Z4" s="5">
        <v>6577.9190113586774</v>
      </c>
      <c r="AA4" s="34"/>
    </row>
    <row r="5" spans="2:27" x14ac:dyDescent="0.2">
      <c r="B5" s="4">
        <v>2</v>
      </c>
      <c r="C5" s="4">
        <v>748</v>
      </c>
      <c r="D5" s="23">
        <v>1129023.547459397</v>
      </c>
      <c r="E5" s="32">
        <v>124.70940908570108</v>
      </c>
      <c r="F5" s="5">
        <v>13</v>
      </c>
      <c r="G5" s="23">
        <v>96.666666666666671</v>
      </c>
      <c r="H5" s="32">
        <v>362.50132651710283</v>
      </c>
      <c r="I5" s="23">
        <v>42.670886067446219</v>
      </c>
      <c r="J5" s="5">
        <v>5571.2612177250712</v>
      </c>
      <c r="K5" s="30"/>
      <c r="L5" s="23">
        <v>1520098.112225608</v>
      </c>
      <c r="M5" s="32">
        <v>254.81056771430718</v>
      </c>
      <c r="N5" s="5">
        <v>29</v>
      </c>
      <c r="O5" s="5">
        <v>88.666666666666671</v>
      </c>
      <c r="P5" s="32">
        <v>397.77030626498561</v>
      </c>
      <c r="Q5" s="5">
        <v>17.749763091198488</v>
      </c>
      <c r="R5" s="5">
        <v>4812.9563635113564</v>
      </c>
      <c r="S5" s="34"/>
      <c r="T5" s="23">
        <v>1621271.3602209741</v>
      </c>
      <c r="U5" s="32">
        <v>208.65142251428082</v>
      </c>
      <c r="V5" s="5">
        <v>13</v>
      </c>
      <c r="W5" s="5">
        <v>78</v>
      </c>
      <c r="X5" s="32">
        <v>896.58355751663419</v>
      </c>
      <c r="Y5" s="5">
        <v>52.654065846220618</v>
      </c>
      <c r="Z5" s="5">
        <v>6378.6195243731463</v>
      </c>
      <c r="AA5" s="34"/>
    </row>
    <row r="6" spans="2:27" x14ac:dyDescent="0.2">
      <c r="B6" s="4">
        <v>3</v>
      </c>
      <c r="C6" s="4">
        <v>675</v>
      </c>
      <c r="D6" s="23">
        <v>1130800.9084166221</v>
      </c>
      <c r="E6" s="32">
        <v>307.25499257142656</v>
      </c>
      <c r="F6" s="5">
        <v>12</v>
      </c>
      <c r="G6" s="23">
        <v>96.666666666666671</v>
      </c>
      <c r="H6" s="32">
        <v>411.33702352004292</v>
      </c>
      <c r="I6" s="23">
        <v>47.124733445286076</v>
      </c>
      <c r="J6" s="5">
        <v>5673.8617113342043</v>
      </c>
      <c r="K6" s="30"/>
      <c r="L6" s="23">
        <v>1515765.439898425</v>
      </c>
      <c r="M6" s="32">
        <v>513.80704094283283</v>
      </c>
      <c r="N6" s="5">
        <v>24</v>
      </c>
      <c r="O6" s="5">
        <v>84</v>
      </c>
      <c r="P6" s="32">
        <v>296.17779824837095</v>
      </c>
      <c r="Q6" s="5">
        <v>19.407062709947159</v>
      </c>
      <c r="R6" s="5">
        <v>4789.8953371384441</v>
      </c>
      <c r="S6" s="34"/>
      <c r="T6" s="23">
        <v>1545053.8326438169</v>
      </c>
      <c r="U6" s="32">
        <v>320.42918460001232</v>
      </c>
      <c r="V6" s="5">
        <v>14</v>
      </c>
      <c r="W6" s="5">
        <v>83.333333333333329</v>
      </c>
      <c r="X6" s="32">
        <v>969.90537308073692</v>
      </c>
      <c r="Y6" s="5">
        <v>53.270712728166053</v>
      </c>
      <c r="Z6" s="5">
        <v>6412.6094563230226</v>
      </c>
      <c r="AA6" s="34"/>
    </row>
    <row r="7" spans="2:27" x14ac:dyDescent="0.2">
      <c r="B7" s="4">
        <v>4</v>
      </c>
      <c r="C7" s="4">
        <v>391</v>
      </c>
      <c r="D7" s="23">
        <v>1120499.5584518691</v>
      </c>
      <c r="E7" s="32">
        <v>349.52698765715058</v>
      </c>
      <c r="F7" s="5">
        <v>12</v>
      </c>
      <c r="G7" s="23">
        <v>96.666666666666671</v>
      </c>
      <c r="H7" s="32">
        <v>374.28390635368697</v>
      </c>
      <c r="I7" s="23">
        <v>47.409806954551918</v>
      </c>
      <c r="J7" s="5">
        <v>5669.6551466040037</v>
      </c>
      <c r="K7" s="30"/>
      <c r="L7" s="23">
        <v>1554172.0184090079</v>
      </c>
      <c r="M7" s="32">
        <v>307.22218091430005</v>
      </c>
      <c r="N7" s="5">
        <v>26</v>
      </c>
      <c r="O7" s="5">
        <v>86</v>
      </c>
      <c r="P7" s="32">
        <v>432.57221497054314</v>
      </c>
      <c r="Q7" s="5">
        <v>18.338251120858132</v>
      </c>
      <c r="R7" s="5">
        <v>4975.8592240059934</v>
      </c>
      <c r="S7" s="34"/>
      <c r="T7" s="23">
        <v>1616285.6625681969</v>
      </c>
      <c r="U7" s="32">
        <v>327.0894869142877</v>
      </c>
      <c r="V7" s="5">
        <v>12</v>
      </c>
      <c r="W7" s="5">
        <v>76</v>
      </c>
      <c r="X7" s="32">
        <v>740.75472854055533</v>
      </c>
      <c r="Y7" s="5">
        <v>53.711126444260636</v>
      </c>
      <c r="Z7" s="5">
        <v>6127.3077469466234</v>
      </c>
      <c r="AA7" s="34"/>
    </row>
    <row r="8" spans="2:27" x14ac:dyDescent="0.2">
      <c r="B8" s="4">
        <v>5</v>
      </c>
      <c r="C8" s="4">
        <v>500</v>
      </c>
      <c r="D8" s="23">
        <v>1116674.2117060679</v>
      </c>
      <c r="E8" s="32">
        <v>260.3715369142592</v>
      </c>
      <c r="F8" s="5">
        <v>12</v>
      </c>
      <c r="G8" s="23">
        <v>96.666666666666671</v>
      </c>
      <c r="H8" s="32">
        <v>385.30273485536713</v>
      </c>
      <c r="I8" s="23">
        <v>47.136172914549398</v>
      </c>
      <c r="J8" s="5">
        <v>5615.027451680885</v>
      </c>
      <c r="K8" s="30"/>
      <c r="L8" s="23">
        <v>1551447.16000225</v>
      </c>
      <c r="M8" s="32">
        <v>574.80140708573174</v>
      </c>
      <c r="N8" s="5">
        <v>24</v>
      </c>
      <c r="O8" s="5">
        <v>84</v>
      </c>
      <c r="P8" s="32">
        <v>479.51490735086344</v>
      </c>
      <c r="Q8" s="5">
        <v>19.384261054791619</v>
      </c>
      <c r="R8" s="5">
        <v>4953.4970606572451</v>
      </c>
      <c r="S8" s="34"/>
      <c r="T8" s="23">
        <v>1616211.543678252</v>
      </c>
      <c r="U8" s="32">
        <v>139.02826462855694</v>
      </c>
      <c r="V8" s="5">
        <v>12</v>
      </c>
      <c r="W8" s="5">
        <v>78</v>
      </c>
      <c r="X8" s="32">
        <v>970.14026948621631</v>
      </c>
      <c r="Y8" s="5">
        <v>56.402200004711169</v>
      </c>
      <c r="Z8" s="5">
        <v>6435.1028835125771</v>
      </c>
      <c r="AA8" s="34"/>
    </row>
    <row r="9" spans="2:27" x14ac:dyDescent="0.2">
      <c r="B9" s="4">
        <v>6</v>
      </c>
      <c r="C9" s="4">
        <v>321</v>
      </c>
      <c r="D9" s="23">
        <v>1108152.2143071101</v>
      </c>
      <c r="E9" s="32">
        <v>249.63215214286797</v>
      </c>
      <c r="F9" s="5">
        <v>13</v>
      </c>
      <c r="G9" s="23">
        <v>96.666666666666671</v>
      </c>
      <c r="H9" s="32">
        <v>333.35980626067669</v>
      </c>
      <c r="I9" s="23">
        <v>42.922698864761273</v>
      </c>
      <c r="J9" s="5">
        <v>5465.7243512266095</v>
      </c>
      <c r="K9" s="30"/>
      <c r="L9" s="23">
        <v>1507545.7980604949</v>
      </c>
      <c r="M9" s="32">
        <v>713.99055891427486</v>
      </c>
      <c r="N9" s="5">
        <v>26</v>
      </c>
      <c r="O9" s="5">
        <v>86.666666666666671</v>
      </c>
      <c r="P9" s="32">
        <v>374.45603678620375</v>
      </c>
      <c r="Q9" s="5">
        <v>18.758319064870843</v>
      </c>
      <c r="R9" s="5">
        <v>4849.1776657774963</v>
      </c>
      <c r="S9" s="34"/>
      <c r="T9" s="23">
        <v>1632209.533648323</v>
      </c>
      <c r="U9" s="32">
        <v>189.01674097141117</v>
      </c>
      <c r="V9" s="5">
        <v>13</v>
      </c>
      <c r="W9" s="5">
        <v>78.666666666666671</v>
      </c>
      <c r="X9" s="32">
        <v>1043.2433813273462</v>
      </c>
      <c r="Y9" s="5">
        <v>50.737107889915748</v>
      </c>
      <c r="Z9" s="5">
        <v>6417.0215815627853</v>
      </c>
      <c r="AA9" s="34"/>
    </row>
    <row r="10" spans="2:27" x14ac:dyDescent="0.2">
      <c r="B10" s="4">
        <v>7</v>
      </c>
      <c r="C10" s="4">
        <v>410</v>
      </c>
      <c r="D10" s="23">
        <v>1132063.359916053</v>
      </c>
      <c r="E10" s="32">
        <v>236.77142805712563</v>
      </c>
      <c r="F10" s="5">
        <v>12</v>
      </c>
      <c r="G10" s="23">
        <v>96.666666666666671</v>
      </c>
      <c r="H10" s="32">
        <v>404.77442500662153</v>
      </c>
      <c r="I10" s="23">
        <v>47.152120792798605</v>
      </c>
      <c r="J10" s="5">
        <v>5696.5041042609619</v>
      </c>
      <c r="K10" s="30"/>
      <c r="L10" s="23">
        <v>1519829.989885642</v>
      </c>
      <c r="M10" s="32">
        <v>367.51390900000541</v>
      </c>
      <c r="N10" s="5">
        <v>28</v>
      </c>
      <c r="O10" s="5">
        <v>88.666666666666671</v>
      </c>
      <c r="P10" s="32">
        <v>479.38592944783585</v>
      </c>
      <c r="Q10" s="5">
        <v>18.077693393709229</v>
      </c>
      <c r="R10" s="5">
        <v>4874.9432857087359</v>
      </c>
      <c r="S10" s="34"/>
      <c r="T10" s="23">
        <v>1646222.800928649</v>
      </c>
      <c r="U10" s="32">
        <v>128.10752734285779</v>
      </c>
      <c r="V10" s="5">
        <v>11</v>
      </c>
      <c r="W10" s="5">
        <v>76</v>
      </c>
      <c r="X10" s="32">
        <v>885.18828983856406</v>
      </c>
      <c r="Y10" s="5">
        <v>57.16818860426438</v>
      </c>
      <c r="Z10" s="5">
        <v>6449.8017208982392</v>
      </c>
      <c r="AA10" s="34"/>
    </row>
    <row r="11" spans="2:27" x14ac:dyDescent="0.2">
      <c r="B11" s="4">
        <v>8</v>
      </c>
      <c r="C11" s="4">
        <v>908</v>
      </c>
      <c r="D11" s="23">
        <v>1122734.143844085</v>
      </c>
      <c r="E11" s="32">
        <v>186.66700779999206</v>
      </c>
      <c r="F11" s="5">
        <v>12</v>
      </c>
      <c r="G11" s="23">
        <v>96.666666666666671</v>
      </c>
      <c r="H11" s="32">
        <v>384.32714514225995</v>
      </c>
      <c r="I11" s="23">
        <v>47.531387762841938</v>
      </c>
      <c r="J11" s="5">
        <v>5671.2615596533051</v>
      </c>
      <c r="K11" s="30"/>
      <c r="L11" s="23">
        <v>1558096.9991647589</v>
      </c>
      <c r="M11" s="32">
        <v>899.35471682855859</v>
      </c>
      <c r="N11" s="5">
        <v>28</v>
      </c>
      <c r="O11" s="5">
        <v>88</v>
      </c>
      <c r="P11" s="32">
        <v>584.35341006844953</v>
      </c>
      <c r="Q11" s="5">
        <v>17.731653028359997</v>
      </c>
      <c r="R11" s="5">
        <v>5009.0369531815159</v>
      </c>
      <c r="S11" s="34"/>
      <c r="T11" s="23">
        <v>1663310.4340776571</v>
      </c>
      <c r="U11" s="32">
        <v>87.055554628571784</v>
      </c>
      <c r="V11" s="5">
        <v>13</v>
      </c>
      <c r="W11" s="5">
        <v>74.666666666666671</v>
      </c>
      <c r="X11" s="32">
        <v>819.04103687257316</v>
      </c>
      <c r="Y11" s="5">
        <v>52.075468780203849</v>
      </c>
      <c r="Z11" s="5">
        <v>6223.5645085567139</v>
      </c>
      <c r="AA11" s="34"/>
    </row>
    <row r="12" spans="2:27" x14ac:dyDescent="0.2">
      <c r="B12" s="4">
        <v>9</v>
      </c>
      <c r="C12" s="4">
        <v>436</v>
      </c>
      <c r="D12" s="23">
        <v>1119203.326240842</v>
      </c>
      <c r="E12" s="32">
        <v>413.33522420000685</v>
      </c>
      <c r="F12" s="5">
        <v>12</v>
      </c>
      <c r="G12" s="23">
        <v>96.666666666666671</v>
      </c>
      <c r="H12" s="32">
        <v>376.33042773295358</v>
      </c>
      <c r="I12" s="23">
        <v>47.343220280407451</v>
      </c>
      <c r="J12" s="5">
        <v>5649.6744048672717</v>
      </c>
      <c r="K12" s="30"/>
      <c r="L12" s="23">
        <v>1505931.0254123979</v>
      </c>
      <c r="M12" s="32">
        <v>287.01543371429256</v>
      </c>
      <c r="N12" s="5">
        <v>24</v>
      </c>
      <c r="O12" s="5">
        <v>84.666666666666671</v>
      </c>
      <c r="P12" s="32">
        <v>336.63034139854909</v>
      </c>
      <c r="Q12" s="5">
        <v>20.034000796359948</v>
      </c>
      <c r="R12" s="5">
        <v>4775.2010719937534</v>
      </c>
      <c r="S12" s="34"/>
      <c r="T12" s="23">
        <v>1587242.0602946761</v>
      </c>
      <c r="U12" s="32">
        <v>207.90037805713447</v>
      </c>
      <c r="V12" s="5">
        <v>12</v>
      </c>
      <c r="W12" s="5">
        <v>78</v>
      </c>
      <c r="X12" s="32">
        <v>737.14604044041369</v>
      </c>
      <c r="Y12" s="5">
        <v>55.164643198746347</v>
      </c>
      <c r="Z12" s="5">
        <v>6245.4409999816316</v>
      </c>
      <c r="AA12" s="34"/>
    </row>
    <row r="13" spans="2:27" x14ac:dyDescent="0.2">
      <c r="B13" s="4">
        <v>10</v>
      </c>
      <c r="C13" s="4">
        <v>797</v>
      </c>
      <c r="D13" s="23">
        <v>1112463.71071358</v>
      </c>
      <c r="E13" s="32">
        <v>380.52784037144318</v>
      </c>
      <c r="F13" s="5">
        <v>13</v>
      </c>
      <c r="G13" s="23">
        <v>96.666666666666671</v>
      </c>
      <c r="H13" s="32">
        <v>388.39526325480557</v>
      </c>
      <c r="I13" s="23">
        <v>42.873181797578894</v>
      </c>
      <c r="J13" s="5">
        <v>5463.4379291594187</v>
      </c>
      <c r="K13" s="30"/>
      <c r="L13" s="23">
        <v>1514877.0799053209</v>
      </c>
      <c r="M13" s="32">
        <v>219.95154500000976</v>
      </c>
      <c r="N13" s="5">
        <v>24</v>
      </c>
      <c r="O13" s="5">
        <v>83.333333333333329</v>
      </c>
      <c r="P13" s="32">
        <v>274.13284933270791</v>
      </c>
      <c r="Q13" s="5">
        <v>19.570624933534734</v>
      </c>
      <c r="R13" s="5">
        <v>4693.8252548999799</v>
      </c>
      <c r="S13" s="34"/>
      <c r="T13" s="23">
        <v>1535053.3632641551</v>
      </c>
      <c r="U13" s="32">
        <v>258.90737928573174</v>
      </c>
      <c r="V13" s="5">
        <v>14</v>
      </c>
      <c r="W13" s="5">
        <v>83.333333333333329</v>
      </c>
      <c r="X13" s="32">
        <v>969.44038342068791</v>
      </c>
      <c r="Y13" s="5">
        <v>55.325246101268071</v>
      </c>
      <c r="Z13" s="5">
        <v>6444.2968935809868</v>
      </c>
      <c r="AA13" s="34"/>
    </row>
    <row r="14" spans="2:27" x14ac:dyDescent="0.2">
      <c r="B14" s="47" t="s">
        <v>3</v>
      </c>
      <c r="C14" s="48"/>
      <c r="D14" s="9">
        <f>MIN(D4:D13)</f>
        <v>1108152.2143071101</v>
      </c>
      <c r="E14" s="22">
        <f>INDEX(E4:E13, MATCH($D$14, D4:D13, 0))</f>
        <v>249.63215214286797</v>
      </c>
      <c r="F14" s="9">
        <f>INDEX(F4:F13, MATCH($D$14, D4:D13, 0))</f>
        <v>13</v>
      </c>
      <c r="G14" s="9">
        <f>INDEX(G4:G13, MATCH($D$14, D4:D13, 0))</f>
        <v>96.666666666666671</v>
      </c>
      <c r="H14" s="22">
        <f>INDEX(H4:H13, MATCH($D$14, D4:D13, 0))</f>
        <v>333.35980626067669</v>
      </c>
      <c r="I14" s="22">
        <f>INDEX(I4:I13, MATCH($D$14, D4:D13, 0))</f>
        <v>42.922698864761273</v>
      </c>
      <c r="J14" s="22">
        <f>INDEX(J4:J13, MATCH($D$14, D4:D13, 0))</f>
        <v>5465.7243512266095</v>
      </c>
      <c r="K14" s="31" t="e">
        <f>(D14-$D$15)/$D$15</f>
        <v>#DIV/0!</v>
      </c>
      <c r="L14" s="16">
        <f>MIN(L4:L13)</f>
        <v>1505931.0254123979</v>
      </c>
      <c r="M14" s="21">
        <f>INDEX(M4:M13, MATCH($L$14, L4:L13, 0))</f>
        <v>287.01543371429256</v>
      </c>
      <c r="N14" s="16">
        <f>INDEX(N4:N13, MATCH($L$14, L4:L13, 0))</f>
        <v>24</v>
      </c>
      <c r="O14" s="16">
        <f>INDEX(O4:O13, MATCH($L$14, L4:L13, 0))</f>
        <v>84.666666666666671</v>
      </c>
      <c r="P14" s="21">
        <f>INDEX(P4:P13, MATCH($L$14, L4:L13, 0))</f>
        <v>336.63034139854909</v>
      </c>
      <c r="Q14" s="21">
        <f>INDEX(Q4:Q13, MATCH($L$14, L4:L13, 0))</f>
        <v>20.034000796359948</v>
      </c>
      <c r="R14" s="21">
        <f>INDEX(R4:R13, MATCH($L$14, L4:L13, 0))</f>
        <v>4775.2010719937534</v>
      </c>
      <c r="S14" s="35" t="e">
        <f>(L14-$D$15)/$D$15</f>
        <v>#DIV/0!</v>
      </c>
      <c r="T14" s="37">
        <f>MIN(T4:T13)</f>
        <v>1535053.3632641551</v>
      </c>
      <c r="U14" s="38">
        <f>INDEX(U4:U13, MATCH($T$14, T4:T13, 0))</f>
        <v>258.90737928573174</v>
      </c>
      <c r="V14" s="37">
        <f>INDEX(V4:V13, MATCH($T$14, T4:T13, 0))</f>
        <v>14</v>
      </c>
      <c r="W14" s="37">
        <f>INDEX(W4:W13, MATCH($T$14, T4:T13, 0))</f>
        <v>83.333333333333329</v>
      </c>
      <c r="X14" s="38">
        <f>INDEX(X4:X13, MATCH($T$14, T4:T13, 0))</f>
        <v>969.44038342068791</v>
      </c>
      <c r="Y14" s="38">
        <f>INDEX(Y4:Y13, MATCH($T$14, T4:T13, 0))</f>
        <v>55.325246101268071</v>
      </c>
      <c r="Z14" s="38">
        <f>INDEX(Z4:Z13, MATCH($T$14, T4:T13, 0))</f>
        <v>6444.2968935809868</v>
      </c>
      <c r="AA14" s="39" t="e">
        <f>(T14-$D$15)/$D$15</f>
        <v>#DIV/0!</v>
      </c>
    </row>
    <row r="15" spans="2:27" x14ac:dyDescent="0.2">
      <c r="C15" s="1" t="s">
        <v>17</v>
      </c>
      <c r="D15" s="33"/>
      <c r="E15" s="3"/>
      <c r="F15" s="3"/>
      <c r="G15" s="3"/>
      <c r="H15" s="3"/>
      <c r="I15" s="3"/>
      <c r="J15" s="3"/>
      <c r="K15" s="3"/>
      <c r="L15" s="40">
        <f>(L14-D14)/D14</f>
        <v>0.35895683460237043</v>
      </c>
      <c r="M15" s="40">
        <f t="shared" ref="M15:R15" si="0">(M14-E14)/E14</f>
        <v>0.14975347226117577</v>
      </c>
      <c r="N15" s="40">
        <f t="shared" si="0"/>
        <v>0.84615384615384615</v>
      </c>
      <c r="O15" s="40">
        <f t="shared" si="0"/>
        <v>-0.12413793103448276</v>
      </c>
      <c r="P15" s="40">
        <f t="shared" si="0"/>
        <v>9.8108262497457379E-3</v>
      </c>
      <c r="Q15" s="40">
        <f t="shared" si="0"/>
        <v>-0.53325393495217788</v>
      </c>
      <c r="R15" s="40">
        <f t="shared" si="0"/>
        <v>-0.12633701131998906</v>
      </c>
      <c r="T15" s="40">
        <f>(T14-D14)/D14</f>
        <v>0.38523692273084692</v>
      </c>
      <c r="U15" s="40">
        <f t="shared" ref="U15:Z15" si="1">(U14-E14)/E14</f>
        <v>3.7155578971876296E-2</v>
      </c>
      <c r="V15" s="40">
        <f t="shared" si="1"/>
        <v>7.6923076923076927E-2</v>
      </c>
      <c r="W15" s="40">
        <f t="shared" si="1"/>
        <v>-0.1379310344827587</v>
      </c>
      <c r="X15" s="40">
        <f t="shared" si="1"/>
        <v>1.9080901932808798</v>
      </c>
      <c r="Y15" s="40">
        <f t="shared" si="1"/>
        <v>0.28895077813219838</v>
      </c>
      <c r="Z15" s="40">
        <f t="shared" si="1"/>
        <v>0.17903803402284044</v>
      </c>
    </row>
    <row r="16" spans="2:27" x14ac:dyDescent="0.2">
      <c r="D16" s="2"/>
    </row>
    <row r="17" spans="4:21" x14ac:dyDescent="0.2">
      <c r="D17" s="2"/>
    </row>
    <row r="20" spans="4:21" x14ac:dyDescent="0.2">
      <c r="E20"/>
      <c r="M20"/>
      <c r="U20"/>
    </row>
    <row r="21" spans="4:21" x14ac:dyDescent="0.2">
      <c r="E21"/>
      <c r="M21"/>
      <c r="U21"/>
    </row>
    <row r="22" spans="4:21" x14ac:dyDescent="0.2">
      <c r="E22"/>
      <c r="M22"/>
      <c r="U22"/>
    </row>
    <row r="23" spans="4:21" x14ac:dyDescent="0.2">
      <c r="E23"/>
      <c r="M23"/>
      <c r="U23"/>
    </row>
    <row r="24" spans="4:21" x14ac:dyDescent="0.2">
      <c r="E24"/>
      <c r="M24"/>
      <c r="U24"/>
    </row>
    <row r="25" spans="4:21" x14ac:dyDescent="0.2">
      <c r="E25"/>
      <c r="M25"/>
      <c r="U25"/>
    </row>
    <row r="26" spans="4:21" x14ac:dyDescent="0.2">
      <c r="E26"/>
      <c r="M26"/>
      <c r="U26"/>
    </row>
    <row r="27" spans="4:21" x14ac:dyDescent="0.2">
      <c r="E27"/>
      <c r="M27"/>
      <c r="U27"/>
    </row>
    <row r="28" spans="4:21" x14ac:dyDescent="0.2">
      <c r="E28"/>
      <c r="M28"/>
      <c r="U28"/>
    </row>
    <row r="29" spans="4:21" x14ac:dyDescent="0.2">
      <c r="E29"/>
      <c r="M29"/>
      <c r="U29"/>
    </row>
    <row r="33" s="1" customFormat="1" x14ac:dyDescent="0.2"/>
    <row r="34" s="1" customFormat="1" x14ac:dyDescent="0.2"/>
    <row r="35" s="1" customFormat="1" x14ac:dyDescent="0.2"/>
    <row r="36" s="1" customFormat="1" x14ac:dyDescent="0.2"/>
    <row r="37" s="1" customFormat="1" x14ac:dyDescent="0.2"/>
    <row r="38" s="1" customFormat="1" x14ac:dyDescent="0.2"/>
    <row r="39" s="1" customFormat="1" x14ac:dyDescent="0.2"/>
    <row r="40" s="1" customFormat="1" x14ac:dyDescent="0.2"/>
  </sheetData>
  <mergeCells count="1">
    <mergeCell ref="B14:C14"/>
  </mergeCells>
  <conditionalFormatting sqref="C1:C13 C16:C1048576">
    <cfRule type="duplicateValues" dxfId="127" priority="5"/>
    <cfRule type="duplicateValues" dxfId="126" priority="6"/>
  </conditionalFormatting>
  <conditionalFormatting sqref="C14">
    <cfRule type="duplicateValues" dxfId="125" priority="3"/>
    <cfRule type="duplicateValues" dxfId="124" priority="4"/>
  </conditionalFormatting>
  <conditionalFormatting sqref="C15">
    <cfRule type="duplicateValues" dxfId="123" priority="1"/>
    <cfRule type="duplicateValues" dxfId="122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9A21E-3A5A-4B5C-BBBC-65FEC5B83D4E}">
  <dimension ref="B1:AA40"/>
  <sheetViews>
    <sheetView zoomScale="90" zoomScaleNormal="90" workbookViewId="0">
      <selection activeCell="U20" sqref="U20:U34"/>
    </sheetView>
  </sheetViews>
  <sheetFormatPr baseColWidth="10" defaultColWidth="10.83203125" defaultRowHeight="16" x14ac:dyDescent="0.2"/>
  <cols>
    <col min="1" max="1" width="3.83203125" style="1" customWidth="1"/>
    <col min="2" max="2" width="8.1640625" style="1" bestFit="1" customWidth="1"/>
    <col min="3" max="3" width="5.1640625" style="1" bestFit="1" customWidth="1"/>
    <col min="4" max="4" width="16.6640625" style="1" customWidth="1"/>
    <col min="5" max="5" width="9.5" style="1" bestFit="1" customWidth="1"/>
    <col min="6" max="6" width="9.1640625" style="1" bestFit="1" customWidth="1"/>
    <col min="7" max="7" width="18.33203125" style="1" bestFit="1" customWidth="1"/>
    <col min="8" max="8" width="19.33203125" style="1" bestFit="1" customWidth="1"/>
    <col min="9" max="9" width="24.83203125" style="1" bestFit="1" customWidth="1"/>
    <col min="10" max="10" width="18.6640625" style="1" bestFit="1" customWidth="1"/>
    <col min="11" max="11" width="12.6640625" style="1" customWidth="1"/>
    <col min="12" max="12" width="12.6640625" style="1" bestFit="1" customWidth="1"/>
    <col min="13" max="14" width="10.83203125" style="1"/>
    <col min="15" max="15" width="18.33203125" style="1" bestFit="1" customWidth="1"/>
    <col min="16" max="16" width="19.33203125" style="1" bestFit="1" customWidth="1"/>
    <col min="17" max="17" width="24.83203125" style="1" bestFit="1" customWidth="1"/>
    <col min="18" max="18" width="18" style="1" bestFit="1" customWidth="1"/>
    <col min="19" max="19" width="10.83203125" style="1"/>
    <col min="20" max="20" width="12.6640625" style="1" bestFit="1" customWidth="1"/>
    <col min="21" max="22" width="10.83203125" style="1"/>
    <col min="23" max="23" width="18.33203125" style="1" bestFit="1" customWidth="1"/>
    <col min="24" max="24" width="19.33203125" style="1" bestFit="1" customWidth="1"/>
    <col min="25" max="25" width="24.83203125" style="1" bestFit="1" customWidth="1"/>
    <col min="26" max="26" width="18" style="1" bestFit="1" customWidth="1"/>
    <col min="27" max="16384" width="10.83203125" style="1"/>
  </cols>
  <sheetData>
    <row r="1" spans="2:27" x14ac:dyDescent="0.2">
      <c r="D1" s="1" t="s">
        <v>14</v>
      </c>
    </row>
    <row r="2" spans="2:27" x14ac:dyDescent="0.2">
      <c r="B2" s="1" t="s">
        <v>18</v>
      </c>
      <c r="D2" s="29">
        <v>150</v>
      </c>
      <c r="H2" s="28">
        <f>(Q14-H14)/H14</f>
        <v>-0.97509605173881153</v>
      </c>
      <c r="J2" s="28" t="e">
        <f>(S14-J14)/J14</f>
        <v>#DIV/0!</v>
      </c>
      <c r="K2" s="28"/>
      <c r="L2" s="1" t="s">
        <v>19</v>
      </c>
      <c r="P2" s="1">
        <f>(P14-H14)/H14</f>
        <v>-0.25613196021020096</v>
      </c>
      <c r="R2" s="1">
        <f>(R14-J14)/J14</f>
        <v>-0.14932076764258689</v>
      </c>
      <c r="T2" s="1" t="s">
        <v>20</v>
      </c>
      <c r="X2" s="1">
        <f>(X14-P14)/P14</f>
        <v>0.75531650531169814</v>
      </c>
      <c r="Z2" s="1">
        <f>(Z14-R14)/R14</f>
        <v>0.26906358197051078</v>
      </c>
    </row>
    <row r="3" spans="2:27" x14ac:dyDescent="0.2">
      <c r="B3" s="8" t="s">
        <v>7</v>
      </c>
      <c r="C3" s="8" t="s">
        <v>4</v>
      </c>
      <c r="D3" s="8" t="s">
        <v>0</v>
      </c>
      <c r="E3" s="8" t="s">
        <v>5</v>
      </c>
      <c r="F3" s="8" t="s">
        <v>12</v>
      </c>
      <c r="G3" s="8" t="s">
        <v>15</v>
      </c>
      <c r="H3" s="8" t="s">
        <v>11</v>
      </c>
      <c r="I3" s="8" t="s">
        <v>16</v>
      </c>
      <c r="J3" s="8" t="s">
        <v>10</v>
      </c>
      <c r="K3" s="8" t="s">
        <v>1</v>
      </c>
      <c r="L3" s="15" t="s">
        <v>0</v>
      </c>
      <c r="M3" s="15" t="s">
        <v>5</v>
      </c>
      <c r="N3" s="15" t="s">
        <v>12</v>
      </c>
      <c r="O3" s="15" t="s">
        <v>15</v>
      </c>
      <c r="P3" s="15" t="s">
        <v>11</v>
      </c>
      <c r="Q3" s="15" t="s">
        <v>16</v>
      </c>
      <c r="R3" s="15" t="s">
        <v>10</v>
      </c>
      <c r="S3" s="15" t="s">
        <v>1</v>
      </c>
      <c r="T3" s="36" t="s">
        <v>0</v>
      </c>
      <c r="U3" s="36" t="s">
        <v>5</v>
      </c>
      <c r="V3" s="36" t="s">
        <v>12</v>
      </c>
      <c r="W3" s="36" t="s">
        <v>15</v>
      </c>
      <c r="X3" s="36" t="s">
        <v>11</v>
      </c>
      <c r="Y3" s="36" t="s">
        <v>16</v>
      </c>
      <c r="Z3" s="36" t="s">
        <v>10</v>
      </c>
      <c r="AA3" s="36" t="s">
        <v>1</v>
      </c>
    </row>
    <row r="4" spans="2:27" x14ac:dyDescent="0.2">
      <c r="B4" s="4">
        <v>1</v>
      </c>
      <c r="C4" s="4">
        <v>159</v>
      </c>
      <c r="D4" s="23">
        <v>1318516.338089993</v>
      </c>
      <c r="E4" s="32">
        <v>255.76763145715398</v>
      </c>
      <c r="F4" s="5">
        <v>15</v>
      </c>
      <c r="G4" s="23">
        <v>91.333333333333329</v>
      </c>
      <c r="H4" s="32">
        <v>774.58450591574956</v>
      </c>
      <c r="I4" s="23">
        <v>37.682746230119783</v>
      </c>
      <c r="J4" s="5">
        <v>5724.8201421818667</v>
      </c>
      <c r="K4" s="30"/>
      <c r="L4" s="23">
        <v>1687717.377947232</v>
      </c>
      <c r="M4" s="32">
        <v>189.74649817143967</v>
      </c>
      <c r="N4" s="5">
        <v>24</v>
      </c>
      <c r="O4" s="5">
        <v>77.333333333333329</v>
      </c>
      <c r="P4" s="32">
        <v>544.95015230532783</v>
      </c>
      <c r="Q4" s="5">
        <v>19.534064223441263</v>
      </c>
      <c r="R4" s="5">
        <v>4889.1779698196997</v>
      </c>
      <c r="S4" s="34"/>
      <c r="T4" s="23">
        <v>1764332.2721320819</v>
      </c>
      <c r="U4" s="32">
        <v>312.75911251428943</v>
      </c>
      <c r="V4" s="5">
        <v>13</v>
      </c>
      <c r="W4" s="5">
        <v>68</v>
      </c>
      <c r="X4" s="32">
        <v>750.74815349128244</v>
      </c>
      <c r="Y4" s="5">
        <v>56.948441661755638</v>
      </c>
      <c r="Z4" s="5">
        <v>6101.8762443385149</v>
      </c>
      <c r="AA4" s="34"/>
    </row>
    <row r="5" spans="2:27" x14ac:dyDescent="0.2">
      <c r="B5" s="4">
        <v>2</v>
      </c>
      <c r="C5" s="4">
        <v>237</v>
      </c>
      <c r="D5" s="23">
        <v>1358922.284235368</v>
      </c>
      <c r="E5" s="32">
        <v>363.01528577140658</v>
      </c>
      <c r="F5" s="5">
        <v>14</v>
      </c>
      <c r="G5" s="23">
        <v>90.666666666666671</v>
      </c>
      <c r="H5" s="32">
        <v>774.36004649135668</v>
      </c>
      <c r="I5" s="23">
        <v>41.186339306570517</v>
      </c>
      <c r="J5" s="5">
        <v>6062.4784394699809</v>
      </c>
      <c r="K5" s="30"/>
      <c r="L5" s="23">
        <v>1707015.890765578</v>
      </c>
      <c r="M5" s="32">
        <v>274.81695420002296</v>
      </c>
      <c r="N5" s="5">
        <v>20</v>
      </c>
      <c r="O5" s="5">
        <v>71.333333333333329</v>
      </c>
      <c r="P5" s="32">
        <v>349.83586329583102</v>
      </c>
      <c r="Q5" s="5">
        <v>20.316369864773176</v>
      </c>
      <c r="R5" s="5">
        <v>4577.6600343003765</v>
      </c>
      <c r="S5" s="34"/>
      <c r="T5" s="23">
        <v>1755266.5577682499</v>
      </c>
      <c r="U5" s="32">
        <v>252.5891279428532</v>
      </c>
      <c r="V5" s="5">
        <v>13</v>
      </c>
      <c r="W5" s="5">
        <v>70</v>
      </c>
      <c r="X5" s="32">
        <v>856.84689669069598</v>
      </c>
      <c r="Y5" s="5">
        <v>56.041323049952936</v>
      </c>
      <c r="Z5" s="5">
        <v>6290.6947837444977</v>
      </c>
      <c r="AA5" s="34"/>
    </row>
    <row r="6" spans="2:27" x14ac:dyDescent="0.2">
      <c r="B6" s="4">
        <v>3</v>
      </c>
      <c r="C6" s="4">
        <v>267</v>
      </c>
      <c r="D6" s="23">
        <v>1351536.834827177</v>
      </c>
      <c r="E6" s="32">
        <v>214.89225722859348</v>
      </c>
      <c r="F6" s="5">
        <v>14</v>
      </c>
      <c r="G6" s="23">
        <v>92</v>
      </c>
      <c r="H6" s="32">
        <v>855.77999280321137</v>
      </c>
      <c r="I6" s="23">
        <v>39.993179579828094</v>
      </c>
      <c r="J6" s="5">
        <v>6126.9639955133425</v>
      </c>
      <c r="K6" s="30"/>
      <c r="L6" s="23">
        <v>1650593.694876431</v>
      </c>
      <c r="M6" s="32">
        <v>579.94565348569972</v>
      </c>
      <c r="N6" s="5">
        <v>29</v>
      </c>
      <c r="O6" s="5">
        <v>84</v>
      </c>
      <c r="P6" s="32">
        <v>601.95026696043305</v>
      </c>
      <c r="Q6" s="5">
        <v>17.842603952677461</v>
      </c>
      <c r="R6" s="5">
        <v>4993.1534553862848</v>
      </c>
      <c r="S6" s="34"/>
      <c r="T6" s="23">
        <v>1761013.709591669</v>
      </c>
      <c r="U6" s="32">
        <v>294.70129408570943</v>
      </c>
      <c r="V6" s="5">
        <v>15</v>
      </c>
      <c r="W6" s="5">
        <v>71.333333333333329</v>
      </c>
      <c r="X6" s="32">
        <v>937.789795233159</v>
      </c>
      <c r="Y6" s="5">
        <v>51.876829251370054</v>
      </c>
      <c r="Z6" s="5">
        <v>6226.6564824714696</v>
      </c>
      <c r="AA6" s="34"/>
    </row>
    <row r="7" spans="2:27" x14ac:dyDescent="0.2">
      <c r="B7" s="4">
        <v>4</v>
      </c>
      <c r="C7" s="4">
        <v>353</v>
      </c>
      <c r="D7" s="23">
        <v>1339090.219286853</v>
      </c>
      <c r="E7" s="32">
        <v>323.85777608571317</v>
      </c>
      <c r="F7" s="5">
        <v>14</v>
      </c>
      <c r="G7" s="23">
        <v>90.666666666666671</v>
      </c>
      <c r="H7" s="32">
        <v>763.90106675742004</v>
      </c>
      <c r="I7" s="23">
        <v>41.294687904540005</v>
      </c>
      <c r="J7" s="5">
        <v>5923.9146450727631</v>
      </c>
      <c r="K7" s="30"/>
      <c r="L7" s="23">
        <v>1648788.650277039</v>
      </c>
      <c r="M7" s="32">
        <v>456.52921702855798</v>
      </c>
      <c r="N7" s="5">
        <v>26</v>
      </c>
      <c r="O7" s="5">
        <v>81.333333333333329</v>
      </c>
      <c r="P7" s="32">
        <v>570.23242380583963</v>
      </c>
      <c r="Q7" s="5">
        <v>19.090803771224888</v>
      </c>
      <c r="R7" s="5">
        <v>4975.9237448500562</v>
      </c>
      <c r="S7" s="34"/>
      <c r="T7" s="23">
        <v>1833489.698262543</v>
      </c>
      <c r="U7" s="32">
        <v>484.746294685706</v>
      </c>
      <c r="V7" s="5">
        <v>13</v>
      </c>
      <c r="W7" s="5">
        <v>64.666666666666671</v>
      </c>
      <c r="X7" s="32">
        <v>667.62868311215391</v>
      </c>
      <c r="Y7" s="5">
        <v>52.757702394217858</v>
      </c>
      <c r="Z7" s="5">
        <v>6072.6241058692267</v>
      </c>
      <c r="AA7" s="34"/>
    </row>
    <row r="8" spans="2:27" x14ac:dyDescent="0.2">
      <c r="B8" s="4">
        <v>5</v>
      </c>
      <c r="C8" s="4">
        <v>511</v>
      </c>
      <c r="D8" s="23">
        <v>1305683.5764946409</v>
      </c>
      <c r="E8" s="32">
        <v>94.437785142833121</v>
      </c>
      <c r="F8" s="5">
        <v>15</v>
      </c>
      <c r="G8" s="23">
        <v>92</v>
      </c>
      <c r="H8" s="32">
        <v>784.5922160537051</v>
      </c>
      <c r="I8" s="23">
        <v>38.611321916300859</v>
      </c>
      <c r="J8" s="5">
        <v>5730.0969804236092</v>
      </c>
      <c r="K8" s="30"/>
      <c r="L8" s="23">
        <v>1671350.429322436</v>
      </c>
      <c r="M8" s="32">
        <v>431.49658854285798</v>
      </c>
      <c r="N8" s="5">
        <v>26</v>
      </c>
      <c r="O8" s="5">
        <v>80.666666666666671</v>
      </c>
      <c r="P8" s="32">
        <v>559.26934333995359</v>
      </c>
      <c r="Q8" s="5">
        <v>18.93725727385641</v>
      </c>
      <c r="R8" s="5">
        <v>5032.5063385068843</v>
      </c>
      <c r="S8" s="34"/>
      <c r="T8" s="23">
        <v>1769323.417002948</v>
      </c>
      <c r="U8" s="32">
        <v>576.69975902855253</v>
      </c>
      <c r="V8" s="5">
        <v>13</v>
      </c>
      <c r="W8" s="5">
        <v>68</v>
      </c>
      <c r="X8" s="32">
        <v>756.38583528525919</v>
      </c>
      <c r="Y8" s="5">
        <v>56.172572054723908</v>
      </c>
      <c r="Z8" s="5">
        <v>6103.3889720181387</v>
      </c>
      <c r="AA8" s="34"/>
    </row>
    <row r="9" spans="2:27" x14ac:dyDescent="0.2">
      <c r="B9" s="4">
        <v>6</v>
      </c>
      <c r="C9" s="4">
        <v>519</v>
      </c>
      <c r="D9" s="23">
        <v>1311451.351340262</v>
      </c>
      <c r="E9" s="32">
        <v>75.839119028566145</v>
      </c>
      <c r="F9" s="5">
        <v>16</v>
      </c>
      <c r="G9" s="23">
        <v>93.333333333333329</v>
      </c>
      <c r="H9" s="32">
        <v>822.94108513523634</v>
      </c>
      <c r="I9" s="23">
        <v>36.62580623753167</v>
      </c>
      <c r="J9" s="5">
        <v>5794.2489277706873</v>
      </c>
      <c r="K9" s="30"/>
      <c r="L9" s="23">
        <v>1668876.43892266</v>
      </c>
      <c r="M9" s="32">
        <v>245.01304031429547</v>
      </c>
      <c r="N9" s="5">
        <v>28</v>
      </c>
      <c r="O9" s="5">
        <v>82</v>
      </c>
      <c r="P9" s="32">
        <v>616.45380327508224</v>
      </c>
      <c r="Q9" s="5">
        <v>17.731501943136944</v>
      </c>
      <c r="R9" s="5">
        <v>4872.7586773217872</v>
      </c>
      <c r="S9" s="34"/>
      <c r="T9" s="23">
        <v>1755250.6770391611</v>
      </c>
      <c r="U9" s="32">
        <v>250.38680617142069</v>
      </c>
      <c r="V9" s="5">
        <v>15</v>
      </c>
      <c r="W9" s="5">
        <v>72</v>
      </c>
      <c r="X9" s="32">
        <v>1000.9383853702856</v>
      </c>
      <c r="Y9" s="5">
        <v>51.286458209631732</v>
      </c>
      <c r="Z9" s="5">
        <v>6314.7636112515302</v>
      </c>
      <c r="AA9" s="34"/>
    </row>
    <row r="10" spans="2:27" x14ac:dyDescent="0.2">
      <c r="B10" s="4">
        <v>7</v>
      </c>
      <c r="C10" s="4">
        <v>819</v>
      </c>
      <c r="D10" s="23">
        <v>1300750.0876623159</v>
      </c>
      <c r="E10" s="32">
        <v>408.33018342854604</v>
      </c>
      <c r="F10" s="5">
        <v>14</v>
      </c>
      <c r="G10" s="23">
        <v>92</v>
      </c>
      <c r="H10" s="32">
        <v>766.57739451606892</v>
      </c>
      <c r="I10" s="23">
        <v>40.954183341134787</v>
      </c>
      <c r="J10" s="5">
        <v>5849.3537347334941</v>
      </c>
      <c r="K10" s="30"/>
      <c r="L10" s="23">
        <v>1690923.770429394</v>
      </c>
      <c r="M10" s="32">
        <v>342.83000674285</v>
      </c>
      <c r="N10" s="5">
        <v>25</v>
      </c>
      <c r="O10" s="5">
        <v>78.666666666666671</v>
      </c>
      <c r="P10" s="32">
        <v>562.70634627083598</v>
      </c>
      <c r="Q10" s="5">
        <v>18.616422441300923</v>
      </c>
      <c r="R10" s="5">
        <v>4949.1890703315667</v>
      </c>
      <c r="S10" s="34"/>
      <c r="T10" s="23">
        <v>1793590.0701966409</v>
      </c>
      <c r="U10" s="32">
        <v>327.45688971428052</v>
      </c>
      <c r="V10" s="5">
        <v>12</v>
      </c>
      <c r="W10" s="5">
        <v>66</v>
      </c>
      <c r="X10" s="32">
        <v>682.93517527077086</v>
      </c>
      <c r="Y10" s="5">
        <v>56.810471593897283</v>
      </c>
      <c r="Z10" s="5">
        <v>6081.1322911451034</v>
      </c>
      <c r="AA10" s="34"/>
    </row>
    <row r="11" spans="2:27" x14ac:dyDescent="0.2">
      <c r="B11" s="4">
        <v>8</v>
      </c>
      <c r="C11" s="4">
        <v>824</v>
      </c>
      <c r="D11" s="23">
        <v>1307806.1973890909</v>
      </c>
      <c r="E11" s="32">
        <v>160.22857751431209</v>
      </c>
      <c r="F11" s="5">
        <v>15</v>
      </c>
      <c r="G11" s="23">
        <v>91.333333333333329</v>
      </c>
      <c r="H11" s="32">
        <v>740.99301754742066</v>
      </c>
      <c r="I11" s="23">
        <v>38.133835501892136</v>
      </c>
      <c r="J11" s="5">
        <v>5675.159317787462</v>
      </c>
      <c r="K11" s="30"/>
      <c r="L11" s="23">
        <v>1681378.5857028109</v>
      </c>
      <c r="M11" s="32">
        <v>200.0500235714218</v>
      </c>
      <c r="N11" s="5">
        <v>27</v>
      </c>
      <c r="O11" s="5">
        <v>80.666666666666671</v>
      </c>
      <c r="P11" s="32">
        <v>647.27988101989899</v>
      </c>
      <c r="Q11" s="5">
        <v>17.725774247031616</v>
      </c>
      <c r="R11" s="5">
        <v>4878.7900886516636</v>
      </c>
      <c r="S11" s="34"/>
      <c r="T11" s="23">
        <v>1780219.3430340961</v>
      </c>
      <c r="U11" s="32">
        <v>225.54364208571081</v>
      </c>
      <c r="V11" s="5">
        <v>13</v>
      </c>
      <c r="W11" s="5">
        <v>67.333333333333329</v>
      </c>
      <c r="X11" s="32">
        <v>696.60691605999421</v>
      </c>
      <c r="Y11" s="5">
        <v>55.21795358441323</v>
      </c>
      <c r="Z11" s="5">
        <v>6090.2149194837039</v>
      </c>
      <c r="AA11" s="34"/>
    </row>
    <row r="12" spans="2:27" x14ac:dyDescent="0.2">
      <c r="B12" s="4">
        <v>9</v>
      </c>
      <c r="C12" s="4">
        <v>850</v>
      </c>
      <c r="D12" s="23">
        <v>1337570.9785320151</v>
      </c>
      <c r="E12" s="32">
        <v>230.86396902856151</v>
      </c>
      <c r="F12" s="5">
        <v>14</v>
      </c>
      <c r="G12" s="23">
        <v>92.666666666666671</v>
      </c>
      <c r="H12" s="32">
        <v>829.87060187330781</v>
      </c>
      <c r="I12" s="23">
        <v>41.054702134419607</v>
      </c>
      <c r="J12" s="5">
        <v>6136.9332229938918</v>
      </c>
      <c r="K12" s="30"/>
      <c r="L12" s="23">
        <v>1693499.6713290049</v>
      </c>
      <c r="M12" s="32">
        <v>455.20404708568401</v>
      </c>
      <c r="N12" s="5">
        <v>24</v>
      </c>
      <c r="O12" s="5">
        <v>77.333333333333329</v>
      </c>
      <c r="P12" s="32">
        <v>449.16384402493901</v>
      </c>
      <c r="Q12" s="5">
        <v>19.694413673697515</v>
      </c>
      <c r="R12" s="5">
        <v>4951.0750571535964</v>
      </c>
      <c r="S12" s="34"/>
      <c r="T12" s="23">
        <v>1772365.139379133</v>
      </c>
      <c r="U12" s="32">
        <v>124.99782177143997</v>
      </c>
      <c r="V12" s="5">
        <v>13</v>
      </c>
      <c r="W12" s="5">
        <v>70</v>
      </c>
      <c r="X12" s="32">
        <v>898.91524241449395</v>
      </c>
      <c r="Y12" s="5">
        <v>57.286103492960528</v>
      </c>
      <c r="Z12" s="5">
        <v>6441.3708053419514</v>
      </c>
      <c r="AA12" s="34"/>
    </row>
    <row r="13" spans="2:27" x14ac:dyDescent="0.2">
      <c r="B13" s="4">
        <v>10</v>
      </c>
      <c r="C13" s="4">
        <v>898</v>
      </c>
      <c r="D13" s="23">
        <v>1312749.864632057</v>
      </c>
      <c r="E13" s="32">
        <v>333.19772088570915</v>
      </c>
      <c r="F13" s="5">
        <v>15</v>
      </c>
      <c r="G13" s="23">
        <v>92</v>
      </c>
      <c r="H13" s="32">
        <v>766.24524394137597</v>
      </c>
      <c r="I13" s="23">
        <v>38.226350850490419</v>
      </c>
      <c r="J13" s="5">
        <v>5801.5473297795988</v>
      </c>
      <c r="K13" s="30"/>
      <c r="L13" s="23">
        <v>1686134.277308173</v>
      </c>
      <c r="M13" s="32">
        <v>239.08144391427882</v>
      </c>
      <c r="N13" s="5">
        <v>31</v>
      </c>
      <c r="O13" s="5">
        <v>86</v>
      </c>
      <c r="P13" s="32">
        <v>749.85836939266483</v>
      </c>
      <c r="Q13" s="5">
        <v>16.838566606589232</v>
      </c>
      <c r="R13" s="5">
        <v>5149.3233966824937</v>
      </c>
      <c r="S13" s="34"/>
      <c r="T13" s="23">
        <v>1874878.0675177949</v>
      </c>
      <c r="U13" s="32">
        <v>88.798202914285611</v>
      </c>
      <c r="V13" s="5">
        <v>12</v>
      </c>
      <c r="W13" s="5">
        <v>62.666666666666657</v>
      </c>
      <c r="X13" s="32">
        <v>699.18674405896684</v>
      </c>
      <c r="Y13" s="5">
        <v>53.173154203506662</v>
      </c>
      <c r="Z13" s="5">
        <v>6129.4104623034336</v>
      </c>
      <c r="AA13" s="34"/>
    </row>
    <row r="14" spans="2:27" x14ac:dyDescent="0.2">
      <c r="B14" s="47" t="s">
        <v>3</v>
      </c>
      <c r="C14" s="48"/>
      <c r="D14" s="9">
        <f>MIN(D4:D13)</f>
        <v>1300750.0876623159</v>
      </c>
      <c r="E14" s="22">
        <f>INDEX(E4:E13, MATCH($D$14, D4:D13, 0))</f>
        <v>408.33018342854604</v>
      </c>
      <c r="F14" s="9">
        <f>INDEX(F4:F13, MATCH($D$14, D4:D13, 0))</f>
        <v>14</v>
      </c>
      <c r="G14" s="9">
        <f>INDEX(G4:G13, MATCH($D$14, D4:D13, 0))</f>
        <v>92</v>
      </c>
      <c r="H14" s="22">
        <f>INDEX(H4:H13, MATCH($D$14, D4:D13, 0))</f>
        <v>766.57739451606892</v>
      </c>
      <c r="I14" s="22">
        <f>INDEX(I4:I13, MATCH($D$14, D4:D13, 0))</f>
        <v>40.954183341134787</v>
      </c>
      <c r="J14" s="22">
        <f>INDEX(J4:J13, MATCH($D$14, D4:D13, 0))</f>
        <v>5849.3537347334941</v>
      </c>
      <c r="K14" s="31" t="e">
        <f>(D14-$D$15)/$D$15</f>
        <v>#DIV/0!</v>
      </c>
      <c r="L14" s="16">
        <f>MIN(L4:L13)</f>
        <v>1648788.650277039</v>
      </c>
      <c r="M14" s="21">
        <f>INDEX(M4:M13, MATCH($L$14, L4:L13, 0))</f>
        <v>456.52921702855798</v>
      </c>
      <c r="N14" s="16">
        <f>INDEX(N4:N13, MATCH($L$14, L4:L13, 0))</f>
        <v>26</v>
      </c>
      <c r="O14" s="16">
        <f>INDEX(O4:O13, MATCH($L$14, L4:L13, 0))</f>
        <v>81.333333333333329</v>
      </c>
      <c r="P14" s="21">
        <f>INDEX(P4:P13, MATCH($L$14, L4:L13, 0))</f>
        <v>570.23242380583963</v>
      </c>
      <c r="Q14" s="21">
        <f>INDEX(Q4:Q13, MATCH($L$14, L4:L13, 0))</f>
        <v>19.090803771224888</v>
      </c>
      <c r="R14" s="21">
        <f>INDEX(R4:R13, MATCH($L$14, L4:L13, 0))</f>
        <v>4975.9237448500562</v>
      </c>
      <c r="S14" s="35" t="e">
        <f>(L14-$D$15)/$D$15</f>
        <v>#DIV/0!</v>
      </c>
      <c r="T14" s="37">
        <f>MIN(T4:T13)</f>
        <v>1755250.6770391611</v>
      </c>
      <c r="U14" s="38">
        <f>INDEX(U4:U13, MATCH($T$14, T4:T13, 0))</f>
        <v>250.38680617142069</v>
      </c>
      <c r="V14" s="37">
        <f>INDEX(V4:V13, MATCH($T$14, T4:T13, 0))</f>
        <v>15</v>
      </c>
      <c r="W14" s="37">
        <f>INDEX(W4:W13, MATCH($T$14, T4:T13, 0))</f>
        <v>72</v>
      </c>
      <c r="X14" s="38">
        <f>INDEX(X4:X13, MATCH($T$14, T4:T13, 0))</f>
        <v>1000.9383853702856</v>
      </c>
      <c r="Y14" s="38">
        <f>INDEX(Y4:Y13, MATCH($T$14, T4:T13, 0))</f>
        <v>51.286458209631732</v>
      </c>
      <c r="Z14" s="38">
        <f>INDEX(Z4:Z13, MATCH($T$14, T4:T13, 0))</f>
        <v>6314.7636112515302</v>
      </c>
      <c r="AA14" s="39" t="e">
        <f>(T14-$D$15)/$D$15</f>
        <v>#DIV/0!</v>
      </c>
    </row>
    <row r="15" spans="2:27" x14ac:dyDescent="0.2">
      <c r="C15" s="1" t="s">
        <v>17</v>
      </c>
      <c r="D15" s="33"/>
      <c r="E15" s="3"/>
      <c r="F15" s="3"/>
      <c r="G15" s="3"/>
      <c r="H15" s="3"/>
      <c r="I15" s="3"/>
      <c r="J15" s="3"/>
      <c r="K15" s="3"/>
      <c r="L15" s="40">
        <f>(L14-D14)/D14</f>
        <v>0.26756758728358926</v>
      </c>
      <c r="M15" s="40">
        <f t="shared" ref="M15:R15" si="0">(M14-E14)/E14</f>
        <v>0.11803936019450868</v>
      </c>
      <c r="N15" s="40">
        <f t="shared" si="0"/>
        <v>0.8571428571428571</v>
      </c>
      <c r="O15" s="40">
        <f t="shared" si="0"/>
        <v>-0.1159420289855073</v>
      </c>
      <c r="P15" s="40">
        <f t="shared" si="0"/>
        <v>-0.25613196021020096</v>
      </c>
      <c r="Q15" s="40">
        <f t="shared" si="0"/>
        <v>-0.53384972635872596</v>
      </c>
      <c r="R15" s="40">
        <f t="shared" si="0"/>
        <v>-0.14932076764258689</v>
      </c>
      <c r="T15" s="40">
        <f>(T14-D14)/D14</f>
        <v>0.3494142292880143</v>
      </c>
      <c r="U15" s="40">
        <f t="shared" ref="U15:Z15" si="1">(U14-E14)/E14</f>
        <v>-0.38680309138783997</v>
      </c>
      <c r="V15" s="40">
        <f t="shared" si="1"/>
        <v>7.1428571428571425E-2</v>
      </c>
      <c r="W15" s="40">
        <f t="shared" si="1"/>
        <v>-0.21739130434782608</v>
      </c>
      <c r="X15" s="40">
        <f t="shared" si="1"/>
        <v>0.30572384801689323</v>
      </c>
      <c r="Y15" s="40">
        <f t="shared" si="1"/>
        <v>0.25228863147953695</v>
      </c>
      <c r="Z15" s="40">
        <f t="shared" si="1"/>
        <v>7.9566033723423107E-2</v>
      </c>
    </row>
    <row r="16" spans="2:27" x14ac:dyDescent="0.2">
      <c r="D16" s="2"/>
    </row>
    <row r="17" spans="4:21" x14ac:dyDescent="0.2">
      <c r="D17" s="2"/>
    </row>
    <row r="20" spans="4:21" x14ac:dyDescent="0.2">
      <c r="E20"/>
      <c r="M20"/>
      <c r="U20"/>
    </row>
    <row r="21" spans="4:21" x14ac:dyDescent="0.2">
      <c r="E21"/>
      <c r="M21"/>
      <c r="U21"/>
    </row>
    <row r="22" spans="4:21" x14ac:dyDescent="0.2">
      <c r="E22"/>
      <c r="M22"/>
      <c r="U22"/>
    </row>
    <row r="23" spans="4:21" x14ac:dyDescent="0.2">
      <c r="E23"/>
      <c r="M23"/>
      <c r="U23"/>
    </row>
    <row r="24" spans="4:21" x14ac:dyDescent="0.2">
      <c r="E24"/>
      <c r="M24"/>
      <c r="U24"/>
    </row>
    <row r="25" spans="4:21" x14ac:dyDescent="0.2">
      <c r="E25"/>
      <c r="M25"/>
      <c r="U25"/>
    </row>
    <row r="26" spans="4:21" x14ac:dyDescent="0.2">
      <c r="E26"/>
      <c r="M26"/>
      <c r="U26"/>
    </row>
    <row r="27" spans="4:21" x14ac:dyDescent="0.2">
      <c r="E27"/>
      <c r="M27"/>
      <c r="U27"/>
    </row>
    <row r="28" spans="4:21" x14ac:dyDescent="0.2">
      <c r="E28"/>
      <c r="M28"/>
      <c r="U28"/>
    </row>
    <row r="29" spans="4:21" x14ac:dyDescent="0.2">
      <c r="E29"/>
      <c r="M29"/>
      <c r="U29"/>
    </row>
    <row r="33" s="1" customFormat="1" x14ac:dyDescent="0.2"/>
    <row r="34" s="1" customFormat="1" x14ac:dyDescent="0.2"/>
    <row r="35" s="1" customFormat="1" x14ac:dyDescent="0.2"/>
    <row r="36" s="1" customFormat="1" x14ac:dyDescent="0.2"/>
    <row r="37" s="1" customFormat="1" x14ac:dyDescent="0.2"/>
    <row r="38" s="1" customFormat="1" x14ac:dyDescent="0.2"/>
    <row r="39" s="1" customFormat="1" x14ac:dyDescent="0.2"/>
    <row r="40" s="1" customFormat="1" x14ac:dyDescent="0.2"/>
  </sheetData>
  <mergeCells count="1">
    <mergeCell ref="B14:C14"/>
  </mergeCells>
  <conditionalFormatting sqref="C1:C13 C16 C41:C1048576">
    <cfRule type="duplicateValues" dxfId="121" priority="9"/>
    <cfRule type="duplicateValues" dxfId="120" priority="10"/>
  </conditionalFormatting>
  <conditionalFormatting sqref="C14">
    <cfRule type="duplicateValues" dxfId="119" priority="7"/>
    <cfRule type="duplicateValues" dxfId="118" priority="8"/>
  </conditionalFormatting>
  <conditionalFormatting sqref="C15">
    <cfRule type="duplicateValues" dxfId="117" priority="5"/>
    <cfRule type="duplicateValues" dxfId="116" priority="6"/>
  </conditionalFormatting>
  <conditionalFormatting sqref="C17:C19 C30:C40">
    <cfRule type="duplicateValues" dxfId="115" priority="3"/>
    <cfRule type="duplicateValues" dxfId="114" priority="4"/>
  </conditionalFormatting>
  <conditionalFormatting sqref="C20:C29">
    <cfRule type="duplicateValues" dxfId="17" priority="1"/>
    <cfRule type="duplicateValues" dxfId="16" priority="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B6CB6-1152-477C-9A4C-B7A136B25B78}">
  <dimension ref="B1:AA29"/>
  <sheetViews>
    <sheetView zoomScale="85" zoomScaleNormal="85" workbookViewId="0">
      <selection activeCell="U20" sqref="U20:U32"/>
    </sheetView>
  </sheetViews>
  <sheetFormatPr baseColWidth="10" defaultColWidth="10.83203125" defaultRowHeight="16" x14ac:dyDescent="0.2"/>
  <cols>
    <col min="1" max="1" width="3.83203125" style="1" customWidth="1"/>
    <col min="2" max="2" width="8.1640625" style="1" bestFit="1" customWidth="1"/>
    <col min="3" max="3" width="5.1640625" style="1" bestFit="1" customWidth="1"/>
    <col min="4" max="4" width="16.6640625" style="1" customWidth="1"/>
    <col min="5" max="5" width="9.5" style="1" bestFit="1" customWidth="1"/>
    <col min="6" max="6" width="9.1640625" style="1" bestFit="1" customWidth="1"/>
    <col min="7" max="7" width="18.33203125" style="1" bestFit="1" customWidth="1"/>
    <col min="8" max="8" width="19.33203125" style="1" bestFit="1" customWidth="1"/>
    <col min="9" max="9" width="24.83203125" style="1" bestFit="1" customWidth="1"/>
    <col min="10" max="10" width="18.6640625" style="1" bestFit="1" customWidth="1"/>
    <col min="11" max="11" width="12.6640625" style="1" customWidth="1"/>
    <col min="12" max="12" width="12.6640625" style="1" bestFit="1" customWidth="1"/>
    <col min="13" max="14" width="10.83203125" style="1"/>
    <col min="15" max="15" width="18.33203125" style="1" bestFit="1" customWidth="1"/>
    <col min="16" max="16" width="19.33203125" style="1" bestFit="1" customWidth="1"/>
    <col min="17" max="17" width="24.83203125" style="1" bestFit="1" customWidth="1"/>
    <col min="18" max="18" width="18" style="1" bestFit="1" customWidth="1"/>
    <col min="19" max="19" width="10.83203125" style="1"/>
    <col min="20" max="20" width="12.6640625" style="1" bestFit="1" customWidth="1"/>
    <col min="21" max="22" width="10.83203125" style="1"/>
    <col min="23" max="23" width="18.33203125" style="1" bestFit="1" customWidth="1"/>
    <col min="24" max="24" width="19.33203125" style="1" bestFit="1" customWidth="1"/>
    <col min="25" max="25" width="24.83203125" style="1" bestFit="1" customWidth="1"/>
    <col min="26" max="26" width="18" style="1" bestFit="1" customWidth="1"/>
    <col min="27" max="16384" width="10.83203125" style="1"/>
  </cols>
  <sheetData>
    <row r="1" spans="2:27" x14ac:dyDescent="0.2">
      <c r="D1" s="1" t="s">
        <v>14</v>
      </c>
    </row>
    <row r="2" spans="2:27" x14ac:dyDescent="0.2">
      <c r="B2" s="1" t="s">
        <v>18</v>
      </c>
      <c r="D2" s="29">
        <v>150</v>
      </c>
      <c r="H2" s="28">
        <f>(Q14-H14)/H14</f>
        <v>-0.97771645476233493</v>
      </c>
      <c r="J2" s="28" t="e">
        <f>(S14-J14)/J14</f>
        <v>#DIV/0!</v>
      </c>
      <c r="K2" s="28"/>
      <c r="L2" s="1" t="s">
        <v>19</v>
      </c>
      <c r="P2" s="1">
        <f>(P14-H14)/H14</f>
        <v>-0.31608581091663823</v>
      </c>
      <c r="R2" s="1">
        <f>(R14-J14)/J14</f>
        <v>-0.15054298832390486</v>
      </c>
      <c r="T2" s="1" t="s">
        <v>20</v>
      </c>
      <c r="X2" s="1">
        <f>(X14-P14)/P14</f>
        <v>1.2196604563809672</v>
      </c>
      <c r="Z2" s="1">
        <f>(Z14-R14)/R14</f>
        <v>0.29339046357529897</v>
      </c>
    </row>
    <row r="3" spans="2:27" x14ac:dyDescent="0.2">
      <c r="B3" s="8" t="s">
        <v>7</v>
      </c>
      <c r="C3" s="8" t="s">
        <v>4</v>
      </c>
      <c r="D3" s="8" t="s">
        <v>0</v>
      </c>
      <c r="E3" s="8" t="s">
        <v>5</v>
      </c>
      <c r="F3" s="8" t="s">
        <v>12</v>
      </c>
      <c r="G3" s="8" t="s">
        <v>15</v>
      </c>
      <c r="H3" s="8" t="s">
        <v>11</v>
      </c>
      <c r="I3" s="8" t="s">
        <v>16</v>
      </c>
      <c r="J3" s="8" t="s">
        <v>10</v>
      </c>
      <c r="K3" s="8" t="s">
        <v>1</v>
      </c>
      <c r="L3" s="15" t="s">
        <v>0</v>
      </c>
      <c r="M3" s="15" t="s">
        <v>5</v>
      </c>
      <c r="N3" s="15" t="s">
        <v>12</v>
      </c>
      <c r="O3" s="15" t="s">
        <v>15</v>
      </c>
      <c r="P3" s="15" t="s">
        <v>11</v>
      </c>
      <c r="Q3" s="15" t="s">
        <v>16</v>
      </c>
      <c r="R3" s="15" t="s">
        <v>10</v>
      </c>
      <c r="S3" s="15" t="s">
        <v>1</v>
      </c>
      <c r="T3" s="36" t="s">
        <v>0</v>
      </c>
      <c r="U3" s="36" t="s">
        <v>5</v>
      </c>
      <c r="V3" s="36" t="s">
        <v>12</v>
      </c>
      <c r="W3" s="36" t="s">
        <v>15</v>
      </c>
      <c r="X3" s="36" t="s">
        <v>11</v>
      </c>
      <c r="Y3" s="36" t="s">
        <v>16</v>
      </c>
      <c r="Z3" s="36" t="s">
        <v>10</v>
      </c>
      <c r="AA3" s="36" t="s">
        <v>1</v>
      </c>
    </row>
    <row r="4" spans="2:27" x14ac:dyDescent="0.2">
      <c r="B4" s="4">
        <v>1</v>
      </c>
      <c r="C4" s="4">
        <v>996</v>
      </c>
      <c r="D4" s="23">
        <v>1209484.162761878</v>
      </c>
      <c r="E4" s="32">
        <v>163.17447485714885</v>
      </c>
      <c r="F4" s="5">
        <v>13</v>
      </c>
      <c r="G4" s="23">
        <v>97.333333333333329</v>
      </c>
      <c r="H4" s="32">
        <v>911.7800889044529</v>
      </c>
      <c r="I4" s="23">
        <v>41.652566380468215</v>
      </c>
      <c r="J4" s="5">
        <v>6031.6722967452142</v>
      </c>
      <c r="K4" s="30"/>
      <c r="L4" s="23">
        <v>1519898.948631722</v>
      </c>
      <c r="M4" s="32">
        <v>207.9244238857313</v>
      </c>
      <c r="N4" s="5">
        <v>28</v>
      </c>
      <c r="O4" s="5">
        <v>89.333333333333329</v>
      </c>
      <c r="P4" s="32">
        <v>588.53369569883773</v>
      </c>
      <c r="Q4" s="5">
        <v>17.886785217415397</v>
      </c>
      <c r="R4" s="5">
        <v>5148.6035772115611</v>
      </c>
      <c r="S4" s="34"/>
      <c r="T4" s="23">
        <v>1653583.0562133261</v>
      </c>
      <c r="U4" s="32">
        <v>112.59175422857514</v>
      </c>
      <c r="V4" s="5">
        <v>12</v>
      </c>
      <c r="W4" s="5">
        <v>76.666666666666671</v>
      </c>
      <c r="X4" s="32">
        <v>1076.3305585844964</v>
      </c>
      <c r="Y4" s="5">
        <v>52.095184083344634</v>
      </c>
      <c r="Z4" s="5">
        <v>6565.3586323984073</v>
      </c>
      <c r="AA4" s="34"/>
    </row>
    <row r="5" spans="2:27" x14ac:dyDescent="0.2">
      <c r="B5" s="4">
        <v>2</v>
      </c>
      <c r="C5" s="4">
        <v>325</v>
      </c>
      <c r="D5" s="23">
        <v>1235019.1616887541</v>
      </c>
      <c r="E5" s="32">
        <v>144.16114782857974</v>
      </c>
      <c r="F5" s="5">
        <v>13</v>
      </c>
      <c r="G5" s="23">
        <v>96.666666666666671</v>
      </c>
      <c r="H5" s="32">
        <v>747.78504583032793</v>
      </c>
      <c r="I5" s="23">
        <v>42.321270603316528</v>
      </c>
      <c r="J5" s="5">
        <v>6193.8474610295589</v>
      </c>
      <c r="K5" s="30"/>
      <c r="L5" s="23">
        <v>1491632.922811179</v>
      </c>
      <c r="M5" s="32">
        <v>480.9657939428663</v>
      </c>
      <c r="N5" s="5">
        <v>26</v>
      </c>
      <c r="O5" s="5">
        <v>88.666666666666671</v>
      </c>
      <c r="P5" s="32">
        <v>582.02483906737268</v>
      </c>
      <c r="Q5" s="5">
        <v>18.891097655433637</v>
      </c>
      <c r="R5" s="5">
        <v>5102.7398561882637</v>
      </c>
      <c r="S5" s="34"/>
      <c r="T5" s="23">
        <v>1698621.1909294641</v>
      </c>
      <c r="U5" s="32">
        <v>130.32955622855974</v>
      </c>
      <c r="V5" s="5">
        <v>12</v>
      </c>
      <c r="W5" s="5">
        <v>76</v>
      </c>
      <c r="X5" s="32">
        <v>1185.8238184093948</v>
      </c>
      <c r="Y5" s="5">
        <v>51.068376349901776</v>
      </c>
      <c r="Z5" s="5">
        <v>6753.863136463804</v>
      </c>
      <c r="AA5" s="34"/>
    </row>
    <row r="6" spans="2:27" x14ac:dyDescent="0.2">
      <c r="B6" s="4">
        <v>3</v>
      </c>
      <c r="C6" s="4">
        <v>161</v>
      </c>
      <c r="D6" s="23">
        <v>1229013.9627242051</v>
      </c>
      <c r="E6" s="32">
        <v>129.94973465713807</v>
      </c>
      <c r="F6" s="5">
        <v>13</v>
      </c>
      <c r="G6" s="23">
        <v>96.666666666666671</v>
      </c>
      <c r="H6" s="32">
        <v>766.2312728441384</v>
      </c>
      <c r="I6" s="23">
        <v>42.37086417302401</v>
      </c>
      <c r="J6" s="5">
        <v>6175.3614609737042</v>
      </c>
      <c r="K6" s="30"/>
      <c r="L6" s="23">
        <v>1518871.520668888</v>
      </c>
      <c r="M6" s="32">
        <v>409.16654028573885</v>
      </c>
      <c r="N6" s="5">
        <v>26</v>
      </c>
      <c r="O6" s="5">
        <v>88</v>
      </c>
      <c r="P6" s="32">
        <v>572.47254246995374</v>
      </c>
      <c r="Q6" s="5">
        <v>18.901180409879707</v>
      </c>
      <c r="R6" s="5">
        <v>5231.8562038358241</v>
      </c>
      <c r="S6" s="34"/>
      <c r="T6" s="23">
        <v>1709891.9421345941</v>
      </c>
      <c r="U6" s="32">
        <v>134.06516019999978</v>
      </c>
      <c r="V6" s="5">
        <v>12</v>
      </c>
      <c r="W6" s="5">
        <v>73.333333333333329</v>
      </c>
      <c r="X6" s="32">
        <v>938.29331022998088</v>
      </c>
      <c r="Y6" s="5">
        <v>50.657779877594123</v>
      </c>
      <c r="Z6" s="5">
        <v>6512.2001586424212</v>
      </c>
      <c r="AA6" s="34"/>
    </row>
    <row r="7" spans="2:27" x14ac:dyDescent="0.2">
      <c r="B7" s="4">
        <v>4</v>
      </c>
      <c r="C7" s="4">
        <v>27</v>
      </c>
      <c r="D7" s="23">
        <v>1211101.3860881149</v>
      </c>
      <c r="E7" s="32">
        <v>106.95473651428308</v>
      </c>
      <c r="F7" s="5">
        <v>14</v>
      </c>
      <c r="G7" s="23">
        <v>97.333333333333329</v>
      </c>
      <c r="H7" s="32">
        <v>894.69032196001956</v>
      </c>
      <c r="I7" s="23">
        <v>38.784458599466234</v>
      </c>
      <c r="J7" s="5">
        <v>5930.8969783480316</v>
      </c>
      <c r="K7" s="30"/>
      <c r="L7" s="23">
        <v>1512077.0490259519</v>
      </c>
      <c r="M7" s="32">
        <v>367.72625565711803</v>
      </c>
      <c r="N7" s="5">
        <v>25</v>
      </c>
      <c r="O7" s="5">
        <v>86</v>
      </c>
      <c r="P7" s="32">
        <v>532.55370573510379</v>
      </c>
      <c r="Q7" s="5">
        <v>19.449478648784961</v>
      </c>
      <c r="R7" s="5">
        <v>5001.1517899497521</v>
      </c>
      <c r="S7" s="34"/>
      <c r="T7" s="23">
        <v>1745343.4016869441</v>
      </c>
      <c r="U7" s="32">
        <v>201.87707374284841</v>
      </c>
      <c r="V7" s="5">
        <v>13</v>
      </c>
      <c r="W7" s="5">
        <v>74</v>
      </c>
      <c r="X7" s="32">
        <v>1080.47600142837</v>
      </c>
      <c r="Y7" s="5">
        <v>47.242888289023171</v>
      </c>
      <c r="Z7" s="5">
        <v>6696.9752668809815</v>
      </c>
      <c r="AA7" s="34"/>
    </row>
    <row r="8" spans="2:27" x14ac:dyDescent="0.2">
      <c r="B8" s="4">
        <v>5</v>
      </c>
      <c r="C8" s="4">
        <v>863</v>
      </c>
      <c r="D8" s="23">
        <v>1212532.9792594591</v>
      </c>
      <c r="E8" s="32">
        <v>256.35948637144509</v>
      </c>
      <c r="F8" s="5">
        <v>15</v>
      </c>
      <c r="G8" s="23">
        <v>97.333333333333329</v>
      </c>
      <c r="H8" s="32">
        <v>795.70602672541133</v>
      </c>
      <c r="I8" s="23">
        <v>36.51094584406917</v>
      </c>
      <c r="J8" s="5">
        <v>5862.1629245165077</v>
      </c>
      <c r="K8" s="30"/>
      <c r="L8" s="23">
        <v>1490438.7467685959</v>
      </c>
      <c r="M8" s="32">
        <v>603.94150651429266</v>
      </c>
      <c r="N8" s="5">
        <v>28</v>
      </c>
      <c r="O8" s="5">
        <v>90.666666666666671</v>
      </c>
      <c r="P8" s="32">
        <v>619.4825524242998</v>
      </c>
      <c r="Q8" s="5">
        <v>18.195072011322576</v>
      </c>
      <c r="R8" s="5">
        <v>5122.541111539831</v>
      </c>
      <c r="S8" s="34"/>
      <c r="T8" s="23">
        <v>1710442.492579259</v>
      </c>
      <c r="U8" s="32">
        <v>209.97056334286131</v>
      </c>
      <c r="V8" s="5">
        <v>14</v>
      </c>
      <c r="W8" s="5">
        <v>79.333333333333329</v>
      </c>
      <c r="X8" s="32">
        <v>1423.7000802917653</v>
      </c>
      <c r="Y8" s="5">
        <v>47.633804913730579</v>
      </c>
      <c r="Z8" s="5">
        <v>6978.7357584451538</v>
      </c>
      <c r="AA8" s="34"/>
    </row>
    <row r="9" spans="2:27" x14ac:dyDescent="0.2">
      <c r="B9" s="4">
        <v>6</v>
      </c>
      <c r="C9" s="4">
        <v>39</v>
      </c>
      <c r="D9" s="23">
        <v>1229116.1567236041</v>
      </c>
      <c r="E9" s="32">
        <v>184.64808879998913</v>
      </c>
      <c r="F9" s="5">
        <v>14</v>
      </c>
      <c r="G9" s="23">
        <v>96.666666666666671</v>
      </c>
      <c r="H9" s="32">
        <v>738.64679415833348</v>
      </c>
      <c r="I9" s="23">
        <v>39.219656702448496</v>
      </c>
      <c r="J9" s="5">
        <v>6074.7964711177337</v>
      </c>
      <c r="K9" s="30"/>
      <c r="L9" s="23">
        <v>1501713.7399675299</v>
      </c>
      <c r="M9" s="32">
        <v>380.77636380001371</v>
      </c>
      <c r="N9" s="5">
        <v>29</v>
      </c>
      <c r="O9" s="5">
        <v>91.333333333333329</v>
      </c>
      <c r="P9" s="32">
        <v>636.02291515321281</v>
      </c>
      <c r="Q9" s="5">
        <v>18.096428195601561</v>
      </c>
      <c r="R9" s="5">
        <v>5145.4148217670263</v>
      </c>
      <c r="S9" s="34"/>
      <c r="T9" s="23">
        <v>1650657.23621275</v>
      </c>
      <c r="U9" s="32">
        <v>84.533715085691924</v>
      </c>
      <c r="V9" s="5">
        <v>13</v>
      </c>
      <c r="W9" s="5">
        <v>76.666666666666671</v>
      </c>
      <c r="X9" s="32">
        <v>1036.6241150333792</v>
      </c>
      <c r="Y9" s="5">
        <v>49.411287404834134</v>
      </c>
      <c r="Z9" s="5">
        <v>6374.788293513704</v>
      </c>
      <c r="AA9" s="34"/>
    </row>
    <row r="10" spans="2:27" x14ac:dyDescent="0.2">
      <c r="B10" s="4">
        <v>7</v>
      </c>
      <c r="C10" s="4">
        <v>50</v>
      </c>
      <c r="D10" s="23">
        <v>1207145.9393800979</v>
      </c>
      <c r="E10" s="32">
        <v>228.12995625713043</v>
      </c>
      <c r="F10" s="5">
        <v>14</v>
      </c>
      <c r="G10" s="23">
        <v>97.333333333333329</v>
      </c>
      <c r="H10" s="32">
        <v>829.94356045699737</v>
      </c>
      <c r="I10" s="23">
        <v>39.081926978121281</v>
      </c>
      <c r="J10" s="5">
        <v>5933.950675015426</v>
      </c>
      <c r="K10" s="30"/>
      <c r="L10" s="23">
        <v>1513000.4849981549</v>
      </c>
      <c r="M10" s="32">
        <v>175.74662042858213</v>
      </c>
      <c r="N10" s="5">
        <v>25</v>
      </c>
      <c r="O10" s="5">
        <v>86</v>
      </c>
      <c r="P10" s="32">
        <v>529.5375048686351</v>
      </c>
      <c r="Q10" s="5">
        <v>18.993041785573801</v>
      </c>
      <c r="R10" s="5">
        <v>5059.3301777546039</v>
      </c>
      <c r="S10" s="34"/>
      <c r="T10" s="23">
        <v>1657717.4645218209</v>
      </c>
      <c r="U10" s="32">
        <v>162.72662245715037</v>
      </c>
      <c r="V10" s="5">
        <v>14</v>
      </c>
      <c r="W10" s="5">
        <v>78</v>
      </c>
      <c r="X10" s="32">
        <v>1143.8051484074695</v>
      </c>
      <c r="Y10" s="5">
        <v>45.992072479226977</v>
      </c>
      <c r="Z10" s="5">
        <v>6443.4127664890102</v>
      </c>
      <c r="AA10" s="34"/>
    </row>
    <row r="11" spans="2:27" x14ac:dyDescent="0.2">
      <c r="B11" s="4">
        <v>8</v>
      </c>
      <c r="C11" s="4">
        <v>565</v>
      </c>
      <c r="D11" s="23">
        <v>1242154.621124248</v>
      </c>
      <c r="E11" s="32">
        <v>65.245396571433432</v>
      </c>
      <c r="F11" s="5">
        <v>13</v>
      </c>
      <c r="G11" s="23">
        <v>96.666666666666671</v>
      </c>
      <c r="H11" s="32">
        <v>800.36750178477428</v>
      </c>
      <c r="I11" s="23">
        <v>41.219904665594797</v>
      </c>
      <c r="J11" s="5">
        <v>6200.1319670713219</v>
      </c>
      <c r="K11" s="30"/>
      <c r="L11" s="23">
        <v>1520098.4157505541</v>
      </c>
      <c r="M11" s="32">
        <v>326.13508611428546</v>
      </c>
      <c r="N11" s="5">
        <v>26</v>
      </c>
      <c r="O11" s="5">
        <v>88</v>
      </c>
      <c r="P11" s="32">
        <v>532.33754038098118</v>
      </c>
      <c r="Q11" s="5">
        <v>18.616234952523083</v>
      </c>
      <c r="R11" s="5">
        <v>5210.6413332381289</v>
      </c>
      <c r="S11" s="34"/>
      <c r="T11" s="23">
        <v>1622241.286890368</v>
      </c>
      <c r="U11" s="32">
        <v>238.10925765714742</v>
      </c>
      <c r="V11" s="5">
        <v>15</v>
      </c>
      <c r="W11" s="5">
        <v>81.333333333333329</v>
      </c>
      <c r="X11" s="32">
        <v>1259.9018648257456</v>
      </c>
      <c r="Y11" s="5">
        <v>48.068168357560189</v>
      </c>
      <c r="Z11" s="5">
        <v>6519.5105428841116</v>
      </c>
      <c r="AA11" s="34"/>
    </row>
    <row r="12" spans="2:27" x14ac:dyDescent="0.2">
      <c r="B12" s="4">
        <v>9</v>
      </c>
      <c r="C12" s="4">
        <v>900</v>
      </c>
      <c r="D12" s="23">
        <v>1221981.4390555681</v>
      </c>
      <c r="E12" s="32">
        <v>200.61558880001706</v>
      </c>
      <c r="F12" s="5">
        <v>14</v>
      </c>
      <c r="G12" s="23">
        <v>97.333333333333329</v>
      </c>
      <c r="H12" s="32">
        <v>844.12319355372529</v>
      </c>
      <c r="I12" s="23">
        <v>39.991241420791553</v>
      </c>
      <c r="J12" s="5">
        <v>6047.0974882890232</v>
      </c>
      <c r="K12" s="30"/>
      <c r="L12" s="23">
        <v>1503291.8839176679</v>
      </c>
      <c r="M12" s="32">
        <v>213.07033545713472</v>
      </c>
      <c r="N12" s="5">
        <v>26</v>
      </c>
      <c r="O12" s="5">
        <v>87.333333333333329</v>
      </c>
      <c r="P12" s="32">
        <v>592.28257512881305</v>
      </c>
      <c r="Q12" s="5">
        <v>18.996964096688536</v>
      </c>
      <c r="R12" s="5">
        <v>5019.5645412407448</v>
      </c>
      <c r="S12" s="34"/>
      <c r="T12" s="23">
        <v>1705101.42431918</v>
      </c>
      <c r="U12" s="32">
        <v>244.05253422855665</v>
      </c>
      <c r="V12" s="5">
        <v>13</v>
      </c>
      <c r="W12" s="5">
        <v>76</v>
      </c>
      <c r="X12" s="32">
        <v>1080.2302119706371</v>
      </c>
      <c r="Y12" s="5">
        <v>48.084434415293202</v>
      </c>
      <c r="Z12" s="5">
        <v>6634.2286760935121</v>
      </c>
      <c r="AA12" s="34"/>
    </row>
    <row r="13" spans="2:27" x14ac:dyDescent="0.2">
      <c r="B13" s="4">
        <v>10</v>
      </c>
      <c r="C13" s="4">
        <v>835</v>
      </c>
      <c r="D13" s="23">
        <v>1218550.5602827431</v>
      </c>
      <c r="E13" s="32">
        <v>361.95812085716597</v>
      </c>
      <c r="F13" s="5">
        <v>12</v>
      </c>
      <c r="G13" s="23">
        <v>96.666666666666671</v>
      </c>
      <c r="H13" s="32">
        <v>712.16296497969881</v>
      </c>
      <c r="I13" s="23">
        <v>46.468067963169766</v>
      </c>
      <c r="J13" s="5">
        <v>6247.3559514773078</v>
      </c>
      <c r="K13" s="30"/>
      <c r="L13" s="23">
        <v>1485188.9623539371</v>
      </c>
      <c r="M13" s="32">
        <v>448.50363262855859</v>
      </c>
      <c r="N13" s="5">
        <v>27</v>
      </c>
      <c r="O13" s="5">
        <v>89.333333333333329</v>
      </c>
      <c r="P13" s="32">
        <v>567.61017713490537</v>
      </c>
      <c r="Q13" s="5">
        <v>18.494084874152367</v>
      </c>
      <c r="R13" s="5">
        <v>5040.6360078319512</v>
      </c>
      <c r="S13" s="34"/>
      <c r="T13" s="23">
        <v>1636531.8875903019</v>
      </c>
      <c r="U13" s="32">
        <v>375.61082251429832</v>
      </c>
      <c r="V13" s="5">
        <v>13</v>
      </c>
      <c r="W13" s="5">
        <v>77.333333333333329</v>
      </c>
      <c r="X13" s="32">
        <v>1056.9763693170821</v>
      </c>
      <c r="Y13" s="5">
        <v>49.678064005229238</v>
      </c>
      <c r="Z13" s="5">
        <v>6453.1076479028688</v>
      </c>
      <c r="AA13" s="34"/>
    </row>
    <row r="14" spans="2:27" x14ac:dyDescent="0.2">
      <c r="B14" s="47" t="s">
        <v>3</v>
      </c>
      <c r="C14" s="48"/>
      <c r="D14" s="9">
        <f>MIN(D4:D13)</f>
        <v>1207145.9393800979</v>
      </c>
      <c r="E14" s="22">
        <f>INDEX(E4:E13, MATCH($D$14, D4:D13, 0))</f>
        <v>228.12995625713043</v>
      </c>
      <c r="F14" s="9">
        <f>INDEX(F4:F13, MATCH($D$14, D4:D13, 0))</f>
        <v>14</v>
      </c>
      <c r="G14" s="9">
        <f>INDEX(G4:G13, MATCH($D$14, D4:D13, 0))</f>
        <v>97.333333333333329</v>
      </c>
      <c r="H14" s="22">
        <f>INDEX(H4:H13, MATCH($D$14, D4:D13, 0))</f>
        <v>829.94356045699737</v>
      </c>
      <c r="I14" s="22">
        <f>INDEX(I4:I13, MATCH($D$14, D4:D13, 0))</f>
        <v>39.081926978121281</v>
      </c>
      <c r="J14" s="22">
        <f>INDEX(J4:J13, MATCH($D$14, D4:D13, 0))</f>
        <v>5933.950675015426</v>
      </c>
      <c r="K14" s="31" t="e">
        <f>(D14-$D$15)/$D$15</f>
        <v>#DIV/0!</v>
      </c>
      <c r="L14" s="16">
        <f>MIN(L4:L13)</f>
        <v>1485188.9623539371</v>
      </c>
      <c r="M14" s="21">
        <f>INDEX(M4:M13, MATCH($L$14, L4:L13, 0))</f>
        <v>448.50363262855859</v>
      </c>
      <c r="N14" s="16">
        <f>INDEX(N4:N13, MATCH($L$14, L4:L13, 0))</f>
        <v>27</v>
      </c>
      <c r="O14" s="16">
        <f>INDEX(O4:O13, MATCH($L$14, L4:L13, 0))</f>
        <v>89.333333333333329</v>
      </c>
      <c r="P14" s="21">
        <f>INDEX(P4:P13, MATCH($L$14, L4:L13, 0))</f>
        <v>567.61017713490537</v>
      </c>
      <c r="Q14" s="21">
        <f>INDEX(Q4:Q13, MATCH($L$14, L4:L13, 0))</f>
        <v>18.494084874152367</v>
      </c>
      <c r="R14" s="21">
        <f>INDEX(R4:R13, MATCH($L$14, L4:L13, 0))</f>
        <v>5040.6360078319512</v>
      </c>
      <c r="S14" s="35" t="e">
        <f>(L14-$D$15)/$D$15</f>
        <v>#DIV/0!</v>
      </c>
      <c r="T14" s="37">
        <f>MIN(T4:T13)</f>
        <v>1622241.286890368</v>
      </c>
      <c r="U14" s="38">
        <f>INDEX(U4:U13, MATCH($T$14, T4:T13, 0))</f>
        <v>238.10925765714742</v>
      </c>
      <c r="V14" s="37">
        <f>INDEX(V4:V13, MATCH($T$14, T4:T13, 0))</f>
        <v>15</v>
      </c>
      <c r="W14" s="37">
        <f>INDEX(W4:W13, MATCH($T$14, T4:T13, 0))</f>
        <v>81.333333333333329</v>
      </c>
      <c r="X14" s="38">
        <f>INDEX(X4:X13, MATCH($T$14, T4:T13, 0))</f>
        <v>1259.9018648257456</v>
      </c>
      <c r="Y14" s="38">
        <f>INDEX(Y4:Y13, MATCH($T$14, T4:T13, 0))</f>
        <v>48.068168357560189</v>
      </c>
      <c r="Z14" s="38">
        <f>INDEX(Z4:Z13, MATCH($T$14, T4:T13, 0))</f>
        <v>6519.5105428841116</v>
      </c>
      <c r="AA14" s="39" t="e">
        <f>(T14-$D$15)/$D$15</f>
        <v>#DIV/0!</v>
      </c>
    </row>
    <row r="15" spans="2:27" x14ac:dyDescent="0.2">
      <c r="C15" s="1" t="s">
        <v>17</v>
      </c>
      <c r="D15" s="33"/>
      <c r="E15" s="3"/>
      <c r="F15" s="3"/>
      <c r="G15" s="3"/>
      <c r="H15" s="3"/>
      <c r="I15" s="3"/>
      <c r="J15" s="3"/>
      <c r="K15" s="3"/>
      <c r="L15" s="40">
        <f>(L14-D14)/D14</f>
        <v>0.23033091021009588</v>
      </c>
      <c r="M15" s="40">
        <f t="shared" ref="M15:R15" si="0">(M14-E14)/E14</f>
        <v>0.96600060766697382</v>
      </c>
      <c r="N15" s="40">
        <f t="shared" si="0"/>
        <v>0.9285714285714286</v>
      </c>
      <c r="O15" s="40">
        <f t="shared" si="0"/>
        <v>-8.2191780821917818E-2</v>
      </c>
      <c r="P15" s="40">
        <f t="shared" si="0"/>
        <v>-0.31608581091663823</v>
      </c>
      <c r="Q15" s="40">
        <f t="shared" si="0"/>
        <v>-0.52678677065985857</v>
      </c>
      <c r="R15" s="40">
        <f t="shared" si="0"/>
        <v>-0.15054298832390486</v>
      </c>
      <c r="T15" s="40">
        <f>(T14-D14)/D14</f>
        <v>0.34386509034974905</v>
      </c>
      <c r="U15" s="40">
        <f t="shared" ref="U15:Z15" si="1">(U14-E14)/E14</f>
        <v>4.3743932466147044E-2</v>
      </c>
      <c r="V15" s="40">
        <f t="shared" si="1"/>
        <v>7.1428571428571425E-2</v>
      </c>
      <c r="W15" s="40">
        <f t="shared" si="1"/>
        <v>-0.16438356164383564</v>
      </c>
      <c r="X15" s="40">
        <f t="shared" si="1"/>
        <v>0.51805728106619375</v>
      </c>
      <c r="Y15" s="40">
        <f t="shared" si="1"/>
        <v>0.22993342637556119</v>
      </c>
      <c r="Z15" s="40">
        <f t="shared" si="1"/>
        <v>9.8679598119032791E-2</v>
      </c>
    </row>
    <row r="16" spans="2:27" x14ac:dyDescent="0.2">
      <c r="D16" s="2"/>
    </row>
    <row r="17" spans="4:21" x14ac:dyDescent="0.2">
      <c r="D17" s="2"/>
    </row>
    <row r="20" spans="4:21" x14ac:dyDescent="0.2">
      <c r="E20"/>
      <c r="M20"/>
      <c r="U20"/>
    </row>
    <row r="21" spans="4:21" x14ac:dyDescent="0.2">
      <c r="E21"/>
      <c r="M21"/>
      <c r="U21"/>
    </row>
    <row r="22" spans="4:21" x14ac:dyDescent="0.2">
      <c r="E22"/>
      <c r="M22"/>
      <c r="U22"/>
    </row>
    <row r="23" spans="4:21" x14ac:dyDescent="0.2">
      <c r="E23"/>
      <c r="M23"/>
      <c r="U23"/>
    </row>
    <row r="24" spans="4:21" x14ac:dyDescent="0.2">
      <c r="E24"/>
      <c r="M24"/>
      <c r="U24"/>
    </row>
    <row r="25" spans="4:21" x14ac:dyDescent="0.2">
      <c r="E25"/>
      <c r="M25"/>
      <c r="U25"/>
    </row>
    <row r="26" spans="4:21" x14ac:dyDescent="0.2">
      <c r="E26"/>
      <c r="M26"/>
      <c r="U26"/>
    </row>
    <row r="27" spans="4:21" x14ac:dyDescent="0.2">
      <c r="E27"/>
      <c r="M27"/>
      <c r="U27"/>
    </row>
    <row r="28" spans="4:21" x14ac:dyDescent="0.2">
      <c r="E28"/>
      <c r="M28"/>
      <c r="U28"/>
    </row>
    <row r="29" spans="4:21" x14ac:dyDescent="0.2">
      <c r="E29"/>
      <c r="M29"/>
      <c r="U29"/>
    </row>
  </sheetData>
  <mergeCells count="1">
    <mergeCell ref="B14:C14"/>
  </mergeCells>
  <conditionalFormatting sqref="C1:C13 C16 C41:C1048576">
    <cfRule type="duplicateValues" dxfId="113" priority="9"/>
    <cfRule type="duplicateValues" dxfId="112" priority="10"/>
  </conditionalFormatting>
  <conditionalFormatting sqref="C14">
    <cfRule type="duplicateValues" dxfId="111" priority="7"/>
    <cfRule type="duplicateValues" dxfId="110" priority="8"/>
  </conditionalFormatting>
  <conditionalFormatting sqref="C15">
    <cfRule type="duplicateValues" dxfId="109" priority="5"/>
    <cfRule type="duplicateValues" dxfId="108" priority="6"/>
  </conditionalFormatting>
  <conditionalFormatting sqref="C17:C19 C30:C40">
    <cfRule type="duplicateValues" dxfId="107" priority="3"/>
    <cfRule type="duplicateValues" dxfId="106" priority="4"/>
  </conditionalFormatting>
  <conditionalFormatting sqref="C20:C29">
    <cfRule type="duplicateValues" dxfId="15" priority="1"/>
    <cfRule type="duplicateValues" dxfId="14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95BE0-9DFB-422D-832C-36528B9688F9}">
  <dimension ref="B1:AA29"/>
  <sheetViews>
    <sheetView zoomScale="80" zoomScaleNormal="80" workbookViewId="0">
      <selection activeCell="U20" sqref="U20:U33"/>
    </sheetView>
  </sheetViews>
  <sheetFormatPr baseColWidth="10" defaultColWidth="10.83203125" defaultRowHeight="16" x14ac:dyDescent="0.2"/>
  <cols>
    <col min="1" max="1" width="3.83203125" style="1" customWidth="1"/>
    <col min="2" max="2" width="8.1640625" style="1" bestFit="1" customWidth="1"/>
    <col min="3" max="3" width="5.1640625" style="1" bestFit="1" customWidth="1"/>
    <col min="4" max="4" width="16.6640625" style="1" customWidth="1"/>
    <col min="5" max="5" width="9.5" style="1" bestFit="1" customWidth="1"/>
    <col min="6" max="6" width="9.1640625" style="1" bestFit="1" customWidth="1"/>
    <col min="7" max="7" width="18.33203125" style="1" bestFit="1" customWidth="1"/>
    <col min="8" max="8" width="19.33203125" style="1" bestFit="1" customWidth="1"/>
    <col min="9" max="9" width="24.83203125" style="1" bestFit="1" customWidth="1"/>
    <col min="10" max="10" width="18.6640625" style="1" bestFit="1" customWidth="1"/>
    <col min="11" max="11" width="12.6640625" style="1" customWidth="1"/>
    <col min="12" max="12" width="12.6640625" style="1" bestFit="1" customWidth="1"/>
    <col min="13" max="14" width="10.83203125" style="1"/>
    <col min="15" max="15" width="18.33203125" style="1" bestFit="1" customWidth="1"/>
    <col min="16" max="16" width="19.33203125" style="1" bestFit="1" customWidth="1"/>
    <col min="17" max="17" width="24.83203125" style="1" bestFit="1" customWidth="1"/>
    <col min="18" max="18" width="18" style="1" bestFit="1" customWidth="1"/>
    <col min="19" max="19" width="10.83203125" style="1"/>
    <col min="20" max="20" width="12.6640625" style="1" bestFit="1" customWidth="1"/>
    <col min="21" max="22" width="10.83203125" style="1"/>
    <col min="23" max="23" width="18.33203125" style="1" bestFit="1" customWidth="1"/>
    <col min="24" max="24" width="19.33203125" style="1" bestFit="1" customWidth="1"/>
    <col min="25" max="25" width="24.83203125" style="1" bestFit="1" customWidth="1"/>
    <col min="26" max="26" width="18" style="1" bestFit="1" customWidth="1"/>
    <col min="27" max="16384" width="10.83203125" style="1"/>
  </cols>
  <sheetData>
    <row r="1" spans="2:27" x14ac:dyDescent="0.2">
      <c r="D1" s="1" t="s">
        <v>14</v>
      </c>
    </row>
    <row r="2" spans="2:27" x14ac:dyDescent="0.2">
      <c r="B2" s="1" t="s">
        <v>18</v>
      </c>
      <c r="D2" s="29">
        <v>150</v>
      </c>
      <c r="H2" s="28">
        <f>(Q14-H14)/H14</f>
        <v>-0.97304426009198652</v>
      </c>
      <c r="J2" s="28" t="e">
        <f>(S14-J14)/J14</f>
        <v>#DIV/0!</v>
      </c>
      <c r="K2" s="28"/>
      <c r="L2" s="1" t="s">
        <v>19</v>
      </c>
      <c r="P2" s="1">
        <f>(P14-H14)/H14</f>
        <v>-0.16146812587274745</v>
      </c>
      <c r="R2" s="1">
        <f>(R14-J14)/J14</f>
        <v>-0.1132103059694981</v>
      </c>
      <c r="T2" s="1" t="s">
        <v>20</v>
      </c>
      <c r="X2" s="1">
        <f>(X14-P14)/P14</f>
        <v>0.5777531212860666</v>
      </c>
      <c r="Z2" s="1">
        <f>(Z14-R14)/R14</f>
        <v>0.16406442054840806</v>
      </c>
    </row>
    <row r="3" spans="2:27" x14ac:dyDescent="0.2">
      <c r="B3" s="8" t="s">
        <v>7</v>
      </c>
      <c r="C3" s="8" t="s">
        <v>4</v>
      </c>
      <c r="D3" s="8" t="s">
        <v>0</v>
      </c>
      <c r="E3" s="8" t="s">
        <v>5</v>
      </c>
      <c r="F3" s="8" t="s">
        <v>12</v>
      </c>
      <c r="G3" s="8" t="s">
        <v>15</v>
      </c>
      <c r="H3" s="8" t="s">
        <v>11</v>
      </c>
      <c r="I3" s="8" t="s">
        <v>16</v>
      </c>
      <c r="J3" s="8" t="s">
        <v>10</v>
      </c>
      <c r="K3" s="8" t="s">
        <v>1</v>
      </c>
      <c r="L3" s="15" t="s">
        <v>0</v>
      </c>
      <c r="M3" s="15" t="s">
        <v>5</v>
      </c>
      <c r="N3" s="15" t="s">
        <v>12</v>
      </c>
      <c r="O3" s="15" t="s">
        <v>15</v>
      </c>
      <c r="P3" s="15" t="s">
        <v>11</v>
      </c>
      <c r="Q3" s="15" t="s">
        <v>16</v>
      </c>
      <c r="R3" s="15" t="s">
        <v>10</v>
      </c>
      <c r="S3" s="15" t="s">
        <v>1</v>
      </c>
      <c r="T3" s="36" t="s">
        <v>0</v>
      </c>
      <c r="U3" s="36" t="s">
        <v>5</v>
      </c>
      <c r="V3" s="36" t="s">
        <v>12</v>
      </c>
      <c r="W3" s="36" t="s">
        <v>15</v>
      </c>
      <c r="X3" s="36" t="s">
        <v>11</v>
      </c>
      <c r="Y3" s="36" t="s">
        <v>16</v>
      </c>
      <c r="Z3" s="36" t="s">
        <v>10</v>
      </c>
      <c r="AA3" s="36" t="s">
        <v>1</v>
      </c>
    </row>
    <row r="4" spans="2:27" x14ac:dyDescent="0.2">
      <c r="B4" s="4">
        <v>1</v>
      </c>
      <c r="C4" s="4">
        <v>344</v>
      </c>
      <c r="D4" s="23">
        <v>1273740.5335445311</v>
      </c>
      <c r="E4" s="32">
        <v>123.70844825716424</v>
      </c>
      <c r="F4" s="5">
        <v>12</v>
      </c>
      <c r="G4" s="23">
        <v>95.333333333333329</v>
      </c>
      <c r="H4" s="32">
        <v>777.40846275098193</v>
      </c>
      <c r="I4" s="23">
        <v>44.167061466810075</v>
      </c>
      <c r="J4" s="5">
        <v>6202.5060096236402</v>
      </c>
      <c r="K4" s="30"/>
      <c r="L4" s="23">
        <v>1505133.42761985</v>
      </c>
      <c r="M4" s="32">
        <v>222.7048790857329</v>
      </c>
      <c r="N4" s="5">
        <v>22</v>
      </c>
      <c r="O4" s="5">
        <v>88</v>
      </c>
      <c r="P4" s="32">
        <v>664.74964526161875</v>
      </c>
      <c r="Q4" s="5">
        <v>21.566009637205514</v>
      </c>
      <c r="R4" s="5">
        <v>5438.0206610761097</v>
      </c>
      <c r="S4" s="34"/>
      <c r="T4" s="23">
        <v>1760868.840639621</v>
      </c>
      <c r="U4" s="32">
        <v>149.88518762857919</v>
      </c>
      <c r="V4" s="5">
        <v>11</v>
      </c>
      <c r="W4" s="5">
        <v>69.333333333333329</v>
      </c>
      <c r="X4" s="32">
        <v>787.35438504287401</v>
      </c>
      <c r="Y4" s="5">
        <v>48.281222997794131</v>
      </c>
      <c r="Z4" s="5">
        <v>6278.813748564271</v>
      </c>
      <c r="AA4" s="34"/>
    </row>
    <row r="5" spans="2:27" x14ac:dyDescent="0.2">
      <c r="B5" s="4">
        <v>2</v>
      </c>
      <c r="C5" s="4">
        <v>627</v>
      </c>
      <c r="D5" s="23">
        <v>1288457.6947554371</v>
      </c>
      <c r="E5" s="32">
        <v>482.03510897144281</v>
      </c>
      <c r="F5" s="5">
        <v>13</v>
      </c>
      <c r="G5" s="23">
        <v>95.333333333333329</v>
      </c>
      <c r="H5" s="32">
        <v>791.5626031729638</v>
      </c>
      <c r="I5" s="23">
        <v>40.193038204584582</v>
      </c>
      <c r="J5" s="5">
        <v>6116.2560990689663</v>
      </c>
      <c r="K5" s="30"/>
      <c r="L5" s="23">
        <v>1501071.608741333</v>
      </c>
      <c r="M5" s="32">
        <v>654.59000051430678</v>
      </c>
      <c r="N5" s="5">
        <v>23</v>
      </c>
      <c r="O5" s="5">
        <v>90</v>
      </c>
      <c r="P5" s="32">
        <v>787.40397104117426</v>
      </c>
      <c r="Q5" s="5">
        <v>21.117540357164714</v>
      </c>
      <c r="R5" s="5">
        <v>5454.4034712237171</v>
      </c>
      <c r="S5" s="34"/>
      <c r="T5" s="23">
        <v>1701879.806082716</v>
      </c>
      <c r="U5" s="32">
        <v>163.92715560002918</v>
      </c>
      <c r="V5" s="5">
        <v>12</v>
      </c>
      <c r="W5" s="5">
        <v>75.333333333333329</v>
      </c>
      <c r="X5" s="32">
        <v>1041.3595943033242</v>
      </c>
      <c r="Y5" s="5">
        <v>49.871137262624181</v>
      </c>
      <c r="Z5" s="5">
        <v>6565.4335971935625</v>
      </c>
      <c r="AA5" s="34"/>
    </row>
    <row r="6" spans="2:27" x14ac:dyDescent="0.2">
      <c r="B6" s="4">
        <v>3</v>
      </c>
      <c r="C6" s="4">
        <v>549</v>
      </c>
      <c r="D6" s="23">
        <v>1285867.0679856441</v>
      </c>
      <c r="E6" s="32">
        <v>420.9810995428623</v>
      </c>
      <c r="F6" s="5">
        <v>12</v>
      </c>
      <c r="G6" s="23">
        <v>95.333333333333329</v>
      </c>
      <c r="H6" s="32">
        <v>800.14857304347731</v>
      </c>
      <c r="I6" s="23">
        <v>43.977591141887217</v>
      </c>
      <c r="J6" s="5">
        <v>6227.8923005719107</v>
      </c>
      <c r="K6" s="30"/>
      <c r="L6" s="23">
        <v>1532897.9734370559</v>
      </c>
      <c r="M6" s="32">
        <v>166.81447834285376</v>
      </c>
      <c r="N6" s="5">
        <v>21</v>
      </c>
      <c r="O6" s="5">
        <v>86.666666666666671</v>
      </c>
      <c r="P6" s="32">
        <v>723.36621652010547</v>
      </c>
      <c r="Q6" s="5">
        <v>21.873982099536015</v>
      </c>
      <c r="R6" s="5">
        <v>5512.7983608020195</v>
      </c>
      <c r="S6" s="34"/>
      <c r="T6" s="23">
        <v>1741431.4042628801</v>
      </c>
      <c r="U6" s="32">
        <v>222.78729097142681</v>
      </c>
      <c r="V6" s="5">
        <v>12</v>
      </c>
      <c r="W6" s="5">
        <v>73.333333333333329</v>
      </c>
      <c r="X6" s="32">
        <v>1021.2118007561095</v>
      </c>
      <c r="Y6" s="5">
        <v>48.957970016821427</v>
      </c>
      <c r="Z6" s="5">
        <v>6552.6182013184252</v>
      </c>
      <c r="AA6" s="34"/>
    </row>
    <row r="7" spans="2:27" x14ac:dyDescent="0.2">
      <c r="B7" s="4">
        <v>4</v>
      </c>
      <c r="C7" s="4">
        <v>392</v>
      </c>
      <c r="D7" s="23">
        <v>1258084.5504710041</v>
      </c>
      <c r="E7" s="32">
        <v>121.73425311428893</v>
      </c>
      <c r="F7" s="5">
        <v>13</v>
      </c>
      <c r="G7" s="23">
        <v>95.333333333333329</v>
      </c>
      <c r="H7" s="32">
        <v>769.44344124245492</v>
      </c>
      <c r="I7" s="23">
        <v>41.106681553383346</v>
      </c>
      <c r="J7" s="5">
        <v>5988.7060560386544</v>
      </c>
      <c r="K7" s="30"/>
      <c r="L7" s="23">
        <v>1555564.69794172</v>
      </c>
      <c r="M7" s="32">
        <v>483.53170317141996</v>
      </c>
      <c r="N7" s="5">
        <v>19</v>
      </c>
      <c r="O7" s="5">
        <v>82.666666666666671</v>
      </c>
      <c r="P7" s="32">
        <v>644.68814568439427</v>
      </c>
      <c r="Q7" s="5">
        <v>22.793994583755122</v>
      </c>
      <c r="R7" s="5">
        <v>5397.2797917554872</v>
      </c>
      <c r="S7" s="34"/>
      <c r="T7" s="23">
        <v>1739021.9246788351</v>
      </c>
      <c r="U7" s="32">
        <v>113.19935019999477</v>
      </c>
      <c r="V7" s="5">
        <v>11</v>
      </c>
      <c r="W7" s="5">
        <v>70</v>
      </c>
      <c r="X7" s="32">
        <v>861.89039284718956</v>
      </c>
      <c r="Y7" s="5">
        <v>49.829504415172501</v>
      </c>
      <c r="Z7" s="5">
        <v>6127.6798995440695</v>
      </c>
      <c r="AA7" s="34"/>
    </row>
    <row r="8" spans="2:27" x14ac:dyDescent="0.2">
      <c r="B8" s="4">
        <v>5</v>
      </c>
      <c r="C8" s="4">
        <v>422</v>
      </c>
      <c r="D8" s="23">
        <v>1267720.397480642</v>
      </c>
      <c r="E8" s="32">
        <v>88.459909485719564</v>
      </c>
      <c r="F8" s="5">
        <v>12</v>
      </c>
      <c r="G8" s="23">
        <v>95.333333333333329</v>
      </c>
      <c r="H8" s="32">
        <v>812.22999416172468</v>
      </c>
      <c r="I8" s="23">
        <v>43.70157106075704</v>
      </c>
      <c r="J8" s="5">
        <v>6137.3926162065372</v>
      </c>
      <c r="K8" s="30"/>
      <c r="L8" s="23">
        <v>1487731.7557623221</v>
      </c>
      <c r="M8" s="32">
        <v>420.95289128569738</v>
      </c>
      <c r="N8" s="5">
        <v>21</v>
      </c>
      <c r="O8" s="5">
        <v>87.333333333333329</v>
      </c>
      <c r="P8" s="32">
        <v>684.13652517344769</v>
      </c>
      <c r="Q8" s="5">
        <v>22.193461723666033</v>
      </c>
      <c r="R8" s="5">
        <v>5295.3386882141385</v>
      </c>
      <c r="S8" s="34"/>
      <c r="T8" s="23">
        <v>1697335.3472785719</v>
      </c>
      <c r="U8" s="32">
        <v>279.93771391428476</v>
      </c>
      <c r="V8" s="5">
        <v>14</v>
      </c>
      <c r="W8" s="5">
        <v>78.666666666666671</v>
      </c>
      <c r="X8" s="32">
        <v>1175.8868015895609</v>
      </c>
      <c r="Y8" s="5">
        <v>45.855447417124573</v>
      </c>
      <c r="Z8" s="5">
        <v>6668.8510581213659</v>
      </c>
      <c r="AA8" s="34"/>
    </row>
    <row r="9" spans="2:27" x14ac:dyDescent="0.2">
      <c r="B9" s="4">
        <v>6</v>
      </c>
      <c r="C9" s="4">
        <v>165</v>
      </c>
      <c r="D9" s="23">
        <v>1275059.399103218</v>
      </c>
      <c r="E9" s="32">
        <v>97.749536485710564</v>
      </c>
      <c r="F9" s="5">
        <v>12</v>
      </c>
      <c r="G9" s="23">
        <v>95.333333333333329</v>
      </c>
      <c r="H9" s="32">
        <v>787.31305483455901</v>
      </c>
      <c r="I9" s="23">
        <v>44.144904176157347</v>
      </c>
      <c r="J9" s="5">
        <v>6200.5989786046775</v>
      </c>
      <c r="K9" s="30"/>
      <c r="L9" s="23">
        <v>1519049.8483440559</v>
      </c>
      <c r="M9" s="32">
        <v>306.24105060000772</v>
      </c>
      <c r="N9" s="5">
        <v>22</v>
      </c>
      <c r="O9" s="5">
        <v>88</v>
      </c>
      <c r="P9" s="32">
        <v>687.9859702128831</v>
      </c>
      <c r="Q9" s="5">
        <v>21.829302545305055</v>
      </c>
      <c r="R9" s="5">
        <v>5534.9701781354042</v>
      </c>
      <c r="S9" s="34"/>
      <c r="T9" s="23">
        <v>1703104.8189004411</v>
      </c>
      <c r="U9" s="32">
        <v>177.05993899999052</v>
      </c>
      <c r="V9" s="5">
        <v>12</v>
      </c>
      <c r="W9" s="5">
        <v>75.333333333333329</v>
      </c>
      <c r="X9" s="32">
        <v>1019.954364936506</v>
      </c>
      <c r="Y9" s="5">
        <v>50.262229971544997</v>
      </c>
      <c r="Z9" s="5">
        <v>6585.0847403537573</v>
      </c>
      <c r="AA9" s="34"/>
    </row>
    <row r="10" spans="2:27" x14ac:dyDescent="0.2">
      <c r="B10" s="4">
        <v>7</v>
      </c>
      <c r="C10" s="4">
        <v>361</v>
      </c>
      <c r="D10" s="23">
        <v>1262119.620464907</v>
      </c>
      <c r="E10" s="32">
        <v>151.47340311429329</v>
      </c>
      <c r="F10" s="5">
        <v>12</v>
      </c>
      <c r="G10" s="23">
        <v>95.333333333333329</v>
      </c>
      <c r="H10" s="32">
        <v>751.60472934800862</v>
      </c>
      <c r="I10" s="23">
        <v>43.323862598734387</v>
      </c>
      <c r="J10" s="5">
        <v>6138.775184418947</v>
      </c>
      <c r="K10" s="30"/>
      <c r="L10" s="23">
        <v>1529930.437096461</v>
      </c>
      <c r="M10" s="32">
        <v>289.44513397144942</v>
      </c>
      <c r="N10" s="5">
        <v>22</v>
      </c>
      <c r="O10" s="5">
        <v>86.666666666666671</v>
      </c>
      <c r="P10" s="32">
        <v>679.74166140966531</v>
      </c>
      <c r="Q10" s="5">
        <v>20.978291675444652</v>
      </c>
      <c r="R10" s="5">
        <v>5386.7787395139576</v>
      </c>
      <c r="S10" s="34"/>
      <c r="T10" s="23">
        <v>1740068.123696791</v>
      </c>
      <c r="U10" s="32">
        <v>402.03463939999767</v>
      </c>
      <c r="V10" s="5">
        <v>12</v>
      </c>
      <c r="W10" s="5">
        <v>72.666666666666671</v>
      </c>
      <c r="X10" s="32">
        <v>982.59802087879643</v>
      </c>
      <c r="Y10" s="5">
        <v>47.717739748685261</v>
      </c>
      <c r="Z10" s="5">
        <v>6420.6929306254151</v>
      </c>
      <c r="AA10" s="34"/>
    </row>
    <row r="11" spans="2:27" x14ac:dyDescent="0.2">
      <c r="B11" s="4">
        <v>8</v>
      </c>
      <c r="C11" s="4">
        <v>654</v>
      </c>
      <c r="D11" s="23">
        <v>1269332.7404604489</v>
      </c>
      <c r="E11" s="32">
        <v>207.58689728572168</v>
      </c>
      <c r="F11" s="5">
        <v>12</v>
      </c>
      <c r="G11" s="23">
        <v>95.333333333333329</v>
      </c>
      <c r="H11" s="32">
        <v>811.76529499730191</v>
      </c>
      <c r="I11" s="23">
        <v>43.252741504663469</v>
      </c>
      <c r="J11" s="5">
        <v>6092.0099429989768</v>
      </c>
      <c r="K11" s="30"/>
      <c r="L11" s="23">
        <v>1522122.967239266</v>
      </c>
      <c r="M11" s="32">
        <v>168.85462928573335</v>
      </c>
      <c r="N11" s="5">
        <v>20</v>
      </c>
      <c r="O11" s="5">
        <v>84.666666666666671</v>
      </c>
      <c r="P11" s="32">
        <v>572.09252272999538</v>
      </c>
      <c r="Q11" s="5">
        <v>22.006892868257644</v>
      </c>
      <c r="R11" s="5">
        <v>5361.4050429789422</v>
      </c>
      <c r="S11" s="34"/>
      <c r="T11" s="23">
        <v>1725063.236701567</v>
      </c>
      <c r="U11" s="32">
        <v>168.87771865715538</v>
      </c>
      <c r="V11" s="5">
        <v>12</v>
      </c>
      <c r="W11" s="5">
        <v>74.666666666666671</v>
      </c>
      <c r="X11" s="32">
        <v>1007.9491475502412</v>
      </c>
      <c r="Y11" s="5">
        <v>47.785510717507584</v>
      </c>
      <c r="Z11" s="5">
        <v>6567.9825182754894</v>
      </c>
      <c r="AA11" s="34"/>
    </row>
    <row r="12" spans="2:27" x14ac:dyDescent="0.2">
      <c r="B12" s="4">
        <v>9</v>
      </c>
      <c r="C12" s="4">
        <v>519</v>
      </c>
      <c r="D12" s="23">
        <v>1286510.3361789819</v>
      </c>
      <c r="E12" s="32">
        <v>140.87104042858948</v>
      </c>
      <c r="F12" s="5">
        <v>13</v>
      </c>
      <c r="G12" s="23">
        <v>94.666666666666671</v>
      </c>
      <c r="H12" s="32">
        <v>837.39537197600328</v>
      </c>
      <c r="I12" s="23">
        <v>40.012240809238172</v>
      </c>
      <c r="J12" s="5">
        <v>6009.7865209510137</v>
      </c>
      <c r="K12" s="30"/>
      <c r="L12" s="23">
        <v>1488565.9017883169</v>
      </c>
      <c r="M12" s="32">
        <v>357.46938508572714</v>
      </c>
      <c r="N12" s="5">
        <v>22</v>
      </c>
      <c r="O12" s="5">
        <v>88</v>
      </c>
      <c r="P12" s="32">
        <v>608.05556258330728</v>
      </c>
      <c r="Q12" s="5">
        <v>21.359074168729222</v>
      </c>
      <c r="R12" s="5">
        <v>5330.2430253736311</v>
      </c>
      <c r="S12" s="34"/>
      <c r="T12" s="23">
        <v>1669712.469618845</v>
      </c>
      <c r="U12" s="32">
        <v>175.58300968568906</v>
      </c>
      <c r="V12" s="5">
        <v>13</v>
      </c>
      <c r="W12" s="5">
        <v>75.333333333333329</v>
      </c>
      <c r="X12" s="32">
        <v>984.48113053558313</v>
      </c>
      <c r="Y12" s="5">
        <v>48.190211817897804</v>
      </c>
      <c r="Z12" s="5">
        <v>6280.1536981816616</v>
      </c>
      <c r="AA12" s="34"/>
    </row>
    <row r="13" spans="2:27" x14ac:dyDescent="0.2">
      <c r="B13" s="4">
        <v>10</v>
      </c>
      <c r="C13" s="4">
        <v>971</v>
      </c>
      <c r="D13" s="23">
        <v>1263297.0335849361</v>
      </c>
      <c r="E13" s="32">
        <v>171.61923091429551</v>
      </c>
      <c r="F13" s="5">
        <v>12</v>
      </c>
      <c r="G13" s="23">
        <v>95.333333333333329</v>
      </c>
      <c r="H13" s="32">
        <v>771.58104742978264</v>
      </c>
      <c r="I13" s="23">
        <v>43.21616873391708</v>
      </c>
      <c r="J13" s="5">
        <v>6138.4295149879053</v>
      </c>
      <c r="K13" s="30"/>
      <c r="L13" s="23">
        <v>1482032.0385520661</v>
      </c>
      <c r="M13" s="32">
        <v>720.37177371426628</v>
      </c>
      <c r="N13" s="5">
        <v>23</v>
      </c>
      <c r="O13" s="5">
        <v>89.333333333333329</v>
      </c>
      <c r="P13" s="32">
        <v>645.20285081995826</v>
      </c>
      <c r="Q13" s="5">
        <v>20.740917276058429</v>
      </c>
      <c r="R13" s="5">
        <v>5310.7228110731321</v>
      </c>
      <c r="S13" s="34"/>
      <c r="T13" s="23">
        <v>1668328.377839105</v>
      </c>
      <c r="U13" s="32">
        <v>332.78660782859004</v>
      </c>
      <c r="V13" s="5">
        <v>13</v>
      </c>
      <c r="W13" s="5">
        <v>75.333333333333329</v>
      </c>
      <c r="X13" s="32">
        <v>1017.9708117438576</v>
      </c>
      <c r="Y13" s="5">
        <v>46.571478249413993</v>
      </c>
      <c r="Z13" s="5">
        <v>6182.0234717650583</v>
      </c>
      <c r="AA13" s="34"/>
    </row>
    <row r="14" spans="2:27" x14ac:dyDescent="0.2">
      <c r="B14" s="47" t="s">
        <v>3</v>
      </c>
      <c r="C14" s="48"/>
      <c r="D14" s="9">
        <f>MIN(D4:D13)</f>
        <v>1258084.5504710041</v>
      </c>
      <c r="E14" s="22">
        <f>INDEX(E4:E13, MATCH($D$14, D4:D13, 0))</f>
        <v>121.73425311428893</v>
      </c>
      <c r="F14" s="9">
        <f>INDEX(F4:F13, MATCH($D$14, D4:D13, 0))</f>
        <v>13</v>
      </c>
      <c r="G14" s="9">
        <f>INDEX(G4:G13, MATCH($D$14, D4:D13, 0))</f>
        <v>95.333333333333329</v>
      </c>
      <c r="H14" s="22">
        <f>INDEX(H4:H13, MATCH($D$14, D4:D13, 0))</f>
        <v>769.44344124245492</v>
      </c>
      <c r="I14" s="22">
        <f>INDEX(I4:I13, MATCH($D$14, D4:D13, 0))</f>
        <v>41.106681553383346</v>
      </c>
      <c r="J14" s="22">
        <f>INDEX(J4:J13, MATCH($D$14, D4:D13, 0))</f>
        <v>5988.7060560386544</v>
      </c>
      <c r="K14" s="31" t="e">
        <f>(D14-$D$15)/$D$15</f>
        <v>#DIV/0!</v>
      </c>
      <c r="L14" s="16">
        <f>MIN(L4:L13)</f>
        <v>1482032.0385520661</v>
      </c>
      <c r="M14" s="21">
        <f>INDEX(M4:M13, MATCH($L$14, L4:L13, 0))</f>
        <v>720.37177371426628</v>
      </c>
      <c r="N14" s="16">
        <f>INDEX(N4:N13, MATCH($L$14, L4:L13, 0))</f>
        <v>23</v>
      </c>
      <c r="O14" s="16">
        <f>INDEX(O4:O13, MATCH($L$14, L4:L13, 0))</f>
        <v>89.333333333333329</v>
      </c>
      <c r="P14" s="21">
        <f>INDEX(P4:P13, MATCH($L$14, L4:L13, 0))</f>
        <v>645.20285081995826</v>
      </c>
      <c r="Q14" s="21">
        <f>INDEX(Q4:Q13, MATCH($L$14, L4:L13, 0))</f>
        <v>20.740917276058429</v>
      </c>
      <c r="R14" s="21">
        <f>INDEX(R4:R13, MATCH($L$14, L4:L13, 0))</f>
        <v>5310.7228110731321</v>
      </c>
      <c r="S14" s="35" t="e">
        <f>(L14-$D$15)/$D$15</f>
        <v>#DIV/0!</v>
      </c>
      <c r="T14" s="37">
        <f>MIN(T4:T13)</f>
        <v>1668328.377839105</v>
      </c>
      <c r="U14" s="38">
        <f>INDEX(U4:U13, MATCH($T$14, T4:T13, 0))</f>
        <v>332.78660782859004</v>
      </c>
      <c r="V14" s="37">
        <f>INDEX(V4:V13, MATCH($T$14, T4:T13, 0))</f>
        <v>13</v>
      </c>
      <c r="W14" s="37">
        <f>INDEX(W4:W13, MATCH($T$14, T4:T13, 0))</f>
        <v>75.333333333333329</v>
      </c>
      <c r="X14" s="38">
        <f>INDEX(X4:X13, MATCH($T$14, T4:T13, 0))</f>
        <v>1017.9708117438576</v>
      </c>
      <c r="Y14" s="38">
        <f>INDEX(Y4:Y13, MATCH($T$14, T4:T13, 0))</f>
        <v>46.571478249413993</v>
      </c>
      <c r="Z14" s="38">
        <f>INDEX(Z4:Z13, MATCH($T$14, T4:T13, 0))</f>
        <v>6182.0234717650583</v>
      </c>
      <c r="AA14" s="39" t="e">
        <f>(T14-$D$15)/$D$15</f>
        <v>#DIV/0!</v>
      </c>
    </row>
    <row r="15" spans="2:27" x14ac:dyDescent="0.2">
      <c r="C15" s="1" t="s">
        <v>17</v>
      </c>
      <c r="D15" s="33"/>
      <c r="E15" s="3"/>
      <c r="F15" s="3"/>
      <c r="G15" s="3"/>
      <c r="H15" s="3"/>
      <c r="I15" s="3"/>
      <c r="J15" s="3"/>
      <c r="K15" s="3"/>
      <c r="L15" s="40">
        <f>(L14-D14)/D14</f>
        <v>0.17800670709867639</v>
      </c>
      <c r="M15" s="40">
        <f t="shared" ref="M15:R15" si="0">(M14-E14)/E14</f>
        <v>4.9175766498353823</v>
      </c>
      <c r="N15" s="40">
        <f t="shared" si="0"/>
        <v>0.76923076923076927</v>
      </c>
      <c r="O15" s="40">
        <f t="shared" si="0"/>
        <v>-6.2937062937062943E-2</v>
      </c>
      <c r="P15" s="40">
        <f t="shared" si="0"/>
        <v>-0.16146812587274745</v>
      </c>
      <c r="Q15" s="40">
        <f t="shared" si="0"/>
        <v>-0.49543683673119759</v>
      </c>
      <c r="R15" s="40">
        <f t="shared" si="0"/>
        <v>-0.1132103059694981</v>
      </c>
      <c r="T15" s="40">
        <f>(T14-D14)/D14</f>
        <v>0.32608605456168505</v>
      </c>
      <c r="U15" s="40">
        <f t="shared" ref="U15:Z15" si="1">(U14-E14)/E14</f>
        <v>1.733713801292696</v>
      </c>
      <c r="V15" s="40">
        <f t="shared" si="1"/>
        <v>0</v>
      </c>
      <c r="W15" s="40">
        <f t="shared" si="1"/>
        <v>-0.20979020979020979</v>
      </c>
      <c r="X15" s="40">
        <f t="shared" si="1"/>
        <v>0.32299628170212785</v>
      </c>
      <c r="Y15" s="40">
        <f t="shared" si="1"/>
        <v>0.13294181114896778</v>
      </c>
      <c r="Z15" s="40">
        <f t="shared" si="1"/>
        <v>3.2280331329916263E-2</v>
      </c>
    </row>
    <row r="16" spans="2:27" x14ac:dyDescent="0.2">
      <c r="D16" s="2"/>
    </row>
    <row r="17" spans="4:21" x14ac:dyDescent="0.2">
      <c r="D17" s="2"/>
    </row>
    <row r="20" spans="4:21" x14ac:dyDescent="0.2">
      <c r="E20"/>
      <c r="M20"/>
      <c r="U20"/>
    </row>
    <row r="21" spans="4:21" x14ac:dyDescent="0.2">
      <c r="E21"/>
      <c r="M21"/>
      <c r="U21"/>
    </row>
    <row r="22" spans="4:21" x14ac:dyDescent="0.2">
      <c r="E22"/>
      <c r="M22"/>
      <c r="U22"/>
    </row>
    <row r="23" spans="4:21" x14ac:dyDescent="0.2">
      <c r="E23"/>
      <c r="M23"/>
      <c r="U23"/>
    </row>
    <row r="24" spans="4:21" x14ac:dyDescent="0.2">
      <c r="E24"/>
      <c r="M24"/>
      <c r="U24"/>
    </row>
    <row r="25" spans="4:21" x14ac:dyDescent="0.2">
      <c r="E25"/>
      <c r="M25"/>
      <c r="U25"/>
    </row>
    <row r="26" spans="4:21" x14ac:dyDescent="0.2">
      <c r="E26"/>
      <c r="M26"/>
      <c r="U26"/>
    </row>
    <row r="27" spans="4:21" x14ac:dyDescent="0.2">
      <c r="E27"/>
      <c r="M27"/>
      <c r="U27"/>
    </row>
    <row r="28" spans="4:21" x14ac:dyDescent="0.2">
      <c r="E28"/>
      <c r="M28"/>
      <c r="U28"/>
    </row>
    <row r="29" spans="4:21" x14ac:dyDescent="0.2">
      <c r="E29"/>
      <c r="M29"/>
      <c r="U29"/>
    </row>
  </sheetData>
  <mergeCells count="1">
    <mergeCell ref="B14:C14"/>
  </mergeCells>
  <conditionalFormatting sqref="C1:C13 C16 C41:C1048576">
    <cfRule type="duplicateValues" dxfId="105" priority="9"/>
    <cfRule type="duplicateValues" dxfId="104" priority="10"/>
  </conditionalFormatting>
  <conditionalFormatting sqref="C14">
    <cfRule type="duplicateValues" dxfId="103" priority="7"/>
    <cfRule type="duplicateValues" dxfId="102" priority="8"/>
  </conditionalFormatting>
  <conditionalFormatting sqref="C15">
    <cfRule type="duplicateValues" dxfId="101" priority="5"/>
    <cfRule type="duplicateValues" dxfId="100" priority="6"/>
  </conditionalFormatting>
  <conditionalFormatting sqref="C17:C19 C30:C40">
    <cfRule type="duplicateValues" dxfId="99" priority="3"/>
    <cfRule type="duplicateValues" dxfId="98" priority="4"/>
  </conditionalFormatting>
  <conditionalFormatting sqref="C20:C29">
    <cfRule type="duplicateValues" dxfId="13" priority="1"/>
    <cfRule type="duplicateValues" dxfId="12" priority="2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C02B8-E419-4E75-89F4-0AE2E00A1EEB}">
  <dimension ref="B1:AA29"/>
  <sheetViews>
    <sheetView zoomScale="80" zoomScaleNormal="80" workbookViewId="0">
      <selection activeCell="U20" sqref="U20:U31"/>
    </sheetView>
  </sheetViews>
  <sheetFormatPr baseColWidth="10" defaultColWidth="10.83203125" defaultRowHeight="16" x14ac:dyDescent="0.2"/>
  <cols>
    <col min="1" max="1" width="3.83203125" style="1" customWidth="1"/>
    <col min="2" max="2" width="8.1640625" style="1" bestFit="1" customWidth="1"/>
    <col min="3" max="3" width="5.1640625" style="1" bestFit="1" customWidth="1"/>
    <col min="4" max="4" width="16.6640625" style="1" customWidth="1"/>
    <col min="5" max="5" width="9.5" style="1" bestFit="1" customWidth="1"/>
    <col min="6" max="6" width="9.1640625" style="1" bestFit="1" customWidth="1"/>
    <col min="7" max="7" width="18.33203125" style="1" bestFit="1" customWidth="1"/>
    <col min="8" max="8" width="19.33203125" style="1" bestFit="1" customWidth="1"/>
    <col min="9" max="9" width="24.83203125" style="1" bestFit="1" customWidth="1"/>
    <col min="10" max="10" width="18.6640625" style="1" bestFit="1" customWidth="1"/>
    <col min="11" max="11" width="12.6640625" style="1" customWidth="1"/>
    <col min="12" max="12" width="12.6640625" style="1" bestFit="1" customWidth="1"/>
    <col min="13" max="13" width="11.33203125" style="1" bestFit="1" customWidth="1"/>
    <col min="14" max="14" width="10.83203125" style="1"/>
    <col min="15" max="15" width="18.33203125" style="1" bestFit="1" customWidth="1"/>
    <col min="16" max="16" width="19.33203125" style="1" bestFit="1" customWidth="1"/>
    <col min="17" max="17" width="24.83203125" style="1" bestFit="1" customWidth="1"/>
    <col min="18" max="18" width="18" style="1" bestFit="1" customWidth="1"/>
    <col min="19" max="19" width="10.83203125" style="1"/>
    <col min="20" max="20" width="12.6640625" style="1" bestFit="1" customWidth="1"/>
    <col min="21" max="22" width="10.83203125" style="1"/>
    <col min="23" max="23" width="18.33203125" style="1" bestFit="1" customWidth="1"/>
    <col min="24" max="24" width="19.33203125" style="1" bestFit="1" customWidth="1"/>
    <col min="25" max="25" width="24.83203125" style="1" bestFit="1" customWidth="1"/>
    <col min="26" max="26" width="18" style="1" bestFit="1" customWidth="1"/>
    <col min="27" max="16384" width="10.83203125" style="1"/>
  </cols>
  <sheetData>
    <row r="1" spans="2:27" x14ac:dyDescent="0.2">
      <c r="D1" s="1" t="s">
        <v>14</v>
      </c>
    </row>
    <row r="2" spans="2:27" x14ac:dyDescent="0.2">
      <c r="B2" s="1" t="s">
        <v>18</v>
      </c>
      <c r="D2" s="29">
        <v>150</v>
      </c>
      <c r="H2" s="28">
        <f>(Q14-H14)/H14</f>
        <v>-0.96088047062054294</v>
      </c>
      <c r="J2" s="28" t="e">
        <f>(S14-J14)/J14</f>
        <v>#DIV/0!</v>
      </c>
      <c r="K2" s="28"/>
      <c r="L2" s="1" t="s">
        <v>19</v>
      </c>
      <c r="P2" s="1">
        <f>(P14-H14)/H14</f>
        <v>0.53468890012228565</v>
      </c>
      <c r="R2" s="1">
        <f>(R14-J14)/J14</f>
        <v>-4.2127388286211702E-2</v>
      </c>
      <c r="T2" s="1" t="s">
        <v>20</v>
      </c>
      <c r="X2" s="1">
        <f>(X14-P14)/P14</f>
        <v>0.47138939590437845</v>
      </c>
      <c r="Z2" s="1">
        <f>(Z14-R14)/R14</f>
        <v>0.25336366984429265</v>
      </c>
    </row>
    <row r="3" spans="2:27" x14ac:dyDescent="0.2">
      <c r="B3" s="8" t="s">
        <v>7</v>
      </c>
      <c r="C3" s="8" t="s">
        <v>4</v>
      </c>
      <c r="D3" s="8" t="s">
        <v>0</v>
      </c>
      <c r="E3" s="8" t="s">
        <v>5</v>
      </c>
      <c r="F3" s="8" t="s">
        <v>12</v>
      </c>
      <c r="G3" s="8" t="s">
        <v>15</v>
      </c>
      <c r="H3" s="8" t="s">
        <v>11</v>
      </c>
      <c r="I3" s="8" t="s">
        <v>16</v>
      </c>
      <c r="J3" s="8" t="s">
        <v>10</v>
      </c>
      <c r="K3" s="8" t="s">
        <v>1</v>
      </c>
      <c r="L3" s="15" t="s">
        <v>0</v>
      </c>
      <c r="M3" s="15" t="s">
        <v>5</v>
      </c>
      <c r="N3" s="15" t="s">
        <v>12</v>
      </c>
      <c r="O3" s="15" t="s">
        <v>15</v>
      </c>
      <c r="P3" s="15" t="s">
        <v>11</v>
      </c>
      <c r="Q3" s="15" t="s">
        <v>16</v>
      </c>
      <c r="R3" s="15" t="s">
        <v>10</v>
      </c>
      <c r="S3" s="15" t="s">
        <v>1</v>
      </c>
      <c r="T3" s="36" t="s">
        <v>0</v>
      </c>
      <c r="U3" s="36" t="s">
        <v>5</v>
      </c>
      <c r="V3" s="36" t="s">
        <v>12</v>
      </c>
      <c r="W3" s="36" t="s">
        <v>15</v>
      </c>
      <c r="X3" s="36" t="s">
        <v>11</v>
      </c>
      <c r="Y3" s="36" t="s">
        <v>16</v>
      </c>
      <c r="Z3" s="36" t="s">
        <v>10</v>
      </c>
      <c r="AA3" s="36" t="s">
        <v>1</v>
      </c>
    </row>
    <row r="4" spans="2:27" x14ac:dyDescent="0.2">
      <c r="B4" s="4">
        <v>1</v>
      </c>
      <c r="C4" s="4">
        <v>481</v>
      </c>
      <c r="D4" s="23">
        <v>1200676.002279639</v>
      </c>
      <c r="E4" s="32">
        <v>117.80982451426928</v>
      </c>
      <c r="F4" s="5">
        <v>13</v>
      </c>
      <c r="G4" s="23">
        <v>97.333333333333329</v>
      </c>
      <c r="H4" s="32">
        <v>618.32136968456189</v>
      </c>
      <c r="I4" s="23">
        <v>39.381719722526313</v>
      </c>
      <c r="J4" s="5">
        <v>5915.7579663425686</v>
      </c>
      <c r="K4" s="30"/>
      <c r="L4" s="23">
        <v>1505238.2764197539</v>
      </c>
      <c r="M4" s="32">
        <v>205.68958000000566</v>
      </c>
      <c r="N4" s="5">
        <v>22</v>
      </c>
      <c r="O4" s="5">
        <v>86.666666666666671</v>
      </c>
      <c r="P4" s="32">
        <v>596.27545028822976</v>
      </c>
      <c r="Q4" s="5">
        <v>19.676709292203579</v>
      </c>
      <c r="R4" s="5">
        <v>5221.3882919779744</v>
      </c>
      <c r="S4" s="34"/>
      <c r="T4" s="23">
        <v>1741171.16941228</v>
      </c>
      <c r="U4" s="32">
        <v>74.986564085719024</v>
      </c>
      <c r="V4" s="5">
        <v>10</v>
      </c>
      <c r="W4" s="5">
        <v>71.333333333333329</v>
      </c>
      <c r="X4" s="32">
        <v>783.01104522675337</v>
      </c>
      <c r="Y4" s="5">
        <v>53.271680920660664</v>
      </c>
      <c r="Z4" s="5">
        <v>6445.813789711422</v>
      </c>
      <c r="AA4" s="34"/>
    </row>
    <row r="5" spans="2:27" x14ac:dyDescent="0.2">
      <c r="B5" s="4">
        <v>2</v>
      </c>
      <c r="C5" s="4">
        <v>600</v>
      </c>
      <c r="D5" s="23">
        <v>1151508.0934307701</v>
      </c>
      <c r="E5" s="32">
        <v>74.394656885714653</v>
      </c>
      <c r="F5" s="5">
        <v>13</v>
      </c>
      <c r="G5" s="23">
        <v>97.333333333333329</v>
      </c>
      <c r="H5" s="32">
        <v>519.3856636260831</v>
      </c>
      <c r="I5" s="23">
        <v>39.90648304892531</v>
      </c>
      <c r="J5" s="5">
        <v>5666.5973526069783</v>
      </c>
      <c r="K5" s="30"/>
      <c r="L5" s="23">
        <v>1475504.262939349</v>
      </c>
      <c r="M5" s="32">
        <v>258.64468334285942</v>
      </c>
      <c r="N5" s="5">
        <v>25</v>
      </c>
      <c r="O5" s="5">
        <v>90.666666666666671</v>
      </c>
      <c r="P5" s="32">
        <v>522.64092485756294</v>
      </c>
      <c r="Q5" s="5">
        <v>18.528073583924712</v>
      </c>
      <c r="R5" s="5">
        <v>5258.9260985913488</v>
      </c>
      <c r="S5" s="34"/>
      <c r="T5" s="23">
        <v>1653782.277983631</v>
      </c>
      <c r="U5" s="32">
        <v>81.12819820000523</v>
      </c>
      <c r="V5" s="5">
        <v>11</v>
      </c>
      <c r="W5" s="5">
        <v>77.333333333333329</v>
      </c>
      <c r="X5" s="32">
        <v>846.56223640978317</v>
      </c>
      <c r="Y5" s="5">
        <v>54.445603090201438</v>
      </c>
      <c r="Z5" s="5">
        <v>6617.5996893692036</v>
      </c>
      <c r="AA5" s="34"/>
    </row>
    <row r="6" spans="2:27" x14ac:dyDescent="0.2">
      <c r="B6" s="4">
        <v>3</v>
      </c>
      <c r="C6" s="4">
        <v>673</v>
      </c>
      <c r="D6" s="23">
        <v>1150167.288371593</v>
      </c>
      <c r="E6" s="32">
        <v>143.15194540001852</v>
      </c>
      <c r="F6" s="5">
        <v>12</v>
      </c>
      <c r="G6" s="23">
        <v>96</v>
      </c>
      <c r="H6" s="32">
        <v>481.04001262456291</v>
      </c>
      <c r="I6" s="23">
        <v>42.311204863467033</v>
      </c>
      <c r="J6" s="5">
        <v>5644.8242490806406</v>
      </c>
      <c r="K6" s="30"/>
      <c r="L6" s="23">
        <v>1462783.3257512399</v>
      </c>
      <c r="M6" s="32">
        <v>529.17298968572027</v>
      </c>
      <c r="N6" s="5">
        <v>26</v>
      </c>
      <c r="O6" s="5">
        <v>94</v>
      </c>
      <c r="P6" s="32">
        <v>738.24676788960085</v>
      </c>
      <c r="Q6" s="5">
        <v>18.818058906560985</v>
      </c>
      <c r="R6" s="5">
        <v>5407.022546132197</v>
      </c>
      <c r="S6" s="34"/>
      <c r="T6" s="23">
        <v>1651326.0358814751</v>
      </c>
      <c r="U6" s="32">
        <v>87.831288057146594</v>
      </c>
      <c r="V6" s="5">
        <v>11</v>
      </c>
      <c r="W6" s="5">
        <v>78</v>
      </c>
      <c r="X6" s="32">
        <v>917.59889318355761</v>
      </c>
      <c r="Y6" s="5">
        <v>55.457787938735002</v>
      </c>
      <c r="Z6" s="5">
        <v>6691.0339221419936</v>
      </c>
      <c r="AA6" s="34"/>
    </row>
    <row r="7" spans="2:27" x14ac:dyDescent="0.2">
      <c r="B7" s="4">
        <v>4</v>
      </c>
      <c r="C7" s="4">
        <v>696</v>
      </c>
      <c r="D7" s="23">
        <v>1201660.1909738709</v>
      </c>
      <c r="E7" s="32">
        <v>118.73418554284477</v>
      </c>
      <c r="F7" s="5">
        <v>13</v>
      </c>
      <c r="G7" s="23">
        <v>97.333333333333329</v>
      </c>
      <c r="H7" s="32">
        <v>569.55010924155306</v>
      </c>
      <c r="I7" s="23">
        <v>38.795084995258435</v>
      </c>
      <c r="J7" s="5">
        <v>5933.7854874570239</v>
      </c>
      <c r="K7" s="30"/>
      <c r="L7" s="23">
        <v>1481303.004742228</v>
      </c>
      <c r="M7" s="32">
        <v>264.52672502857502</v>
      </c>
      <c r="N7" s="5">
        <v>23</v>
      </c>
      <c r="O7" s="5">
        <v>87.333333333333329</v>
      </c>
      <c r="P7" s="32">
        <v>468.65133594754917</v>
      </c>
      <c r="Q7" s="5">
        <v>19.561481283396756</v>
      </c>
      <c r="R7" s="5">
        <v>5072.0556863185839</v>
      </c>
      <c r="S7" s="34"/>
      <c r="T7" s="23">
        <v>1611660.6448330339</v>
      </c>
      <c r="U7" s="32">
        <v>135.33773108571768</v>
      </c>
      <c r="V7" s="5">
        <v>12</v>
      </c>
      <c r="W7" s="5">
        <v>81.333333333333329</v>
      </c>
      <c r="X7" s="32">
        <v>1036.2078828093383</v>
      </c>
      <c r="Y7" s="5">
        <v>54.77855052161221</v>
      </c>
      <c r="Z7" s="5">
        <v>6724.2440165416356</v>
      </c>
      <c r="AA7" s="34"/>
    </row>
    <row r="8" spans="2:27" x14ac:dyDescent="0.2">
      <c r="B8" s="4">
        <v>5</v>
      </c>
      <c r="C8" s="4">
        <v>350</v>
      </c>
      <c r="D8" s="23">
        <v>1150836.3560554951</v>
      </c>
      <c r="E8" s="32">
        <v>166.56961985714068</v>
      </c>
      <c r="F8" s="5">
        <v>13</v>
      </c>
      <c r="G8" s="23">
        <v>97.333333333333329</v>
      </c>
      <c r="H8" s="32">
        <v>540.3426338404729</v>
      </c>
      <c r="I8" s="23">
        <v>40.456221446456389</v>
      </c>
      <c r="J8" s="5">
        <v>5649.798557128147</v>
      </c>
      <c r="K8" s="30"/>
      <c r="L8" s="23">
        <v>1532312.14717871</v>
      </c>
      <c r="M8" s="32">
        <v>549.94757994287659</v>
      </c>
      <c r="N8" s="5">
        <v>22</v>
      </c>
      <c r="O8" s="5">
        <v>86.666666666666671</v>
      </c>
      <c r="P8" s="32">
        <v>541.65571106490768</v>
      </c>
      <c r="Q8" s="5">
        <v>20.051640612671687</v>
      </c>
      <c r="R8" s="5">
        <v>5358.7962103359432</v>
      </c>
      <c r="S8" s="34"/>
      <c r="T8" s="23">
        <v>1585967.1907543121</v>
      </c>
      <c r="U8" s="32">
        <v>135.55752037142935</v>
      </c>
      <c r="V8" s="5">
        <v>13</v>
      </c>
      <c r="W8" s="5">
        <v>83.333333333333329</v>
      </c>
      <c r="X8" s="32">
        <v>1086.2484658334397</v>
      </c>
      <c r="Y8" s="5">
        <v>53.935564330493449</v>
      </c>
      <c r="Z8" s="5">
        <v>6776.9656213510816</v>
      </c>
      <c r="AA8" s="34"/>
    </row>
    <row r="9" spans="2:27" x14ac:dyDescent="0.2">
      <c r="B9" s="4">
        <v>6</v>
      </c>
      <c r="C9" s="4">
        <v>564</v>
      </c>
      <c r="D9" s="23">
        <v>1155387.27893771</v>
      </c>
      <c r="E9" s="32">
        <v>172.88128042856366</v>
      </c>
      <c r="F9" s="5">
        <v>12</v>
      </c>
      <c r="G9" s="23">
        <v>96.666666666666671</v>
      </c>
      <c r="H9" s="32">
        <v>569.32780977764162</v>
      </c>
      <c r="I9" s="23">
        <v>43.327129007430415</v>
      </c>
      <c r="J9" s="5">
        <v>5723.7244748002922</v>
      </c>
      <c r="K9" s="30"/>
      <c r="L9" s="23">
        <v>1492062.6073820509</v>
      </c>
      <c r="M9" s="32">
        <v>638.99137031426653</v>
      </c>
      <c r="N9" s="5">
        <v>23</v>
      </c>
      <c r="O9" s="5">
        <v>88</v>
      </c>
      <c r="P9" s="32">
        <v>592.26987099039809</v>
      </c>
      <c r="Q9" s="5">
        <v>19.532560314009608</v>
      </c>
      <c r="R9" s="5">
        <v>5227.0195104481236</v>
      </c>
      <c r="S9" s="34"/>
      <c r="T9" s="23">
        <v>1651727.7712936399</v>
      </c>
      <c r="U9" s="32">
        <v>130.3676464571285</v>
      </c>
      <c r="V9" s="5">
        <v>11</v>
      </c>
      <c r="W9" s="5">
        <v>77.333333333333329</v>
      </c>
      <c r="X9" s="32">
        <v>873.16240806700011</v>
      </c>
      <c r="Y9" s="5">
        <v>54.499204987414622</v>
      </c>
      <c r="Z9" s="5">
        <v>6591.1377881724775</v>
      </c>
      <c r="AA9" s="34"/>
    </row>
    <row r="10" spans="2:27" x14ac:dyDescent="0.2">
      <c r="B10" s="4">
        <v>7</v>
      </c>
      <c r="C10" s="4">
        <v>30</v>
      </c>
      <c r="D10" s="23">
        <v>1151788.506683423</v>
      </c>
      <c r="E10" s="32">
        <v>113.28178828572189</v>
      </c>
      <c r="F10" s="5">
        <v>12</v>
      </c>
      <c r="G10" s="23">
        <v>96.666666666666671</v>
      </c>
      <c r="H10" s="32">
        <v>539.64425081686807</v>
      </c>
      <c r="I10" s="23">
        <v>42.716082177862404</v>
      </c>
      <c r="J10" s="5">
        <v>5712.4576326922779</v>
      </c>
      <c r="K10" s="30"/>
      <c r="L10" s="23">
        <v>1480787.7114889689</v>
      </c>
      <c r="M10" s="32">
        <v>253.65465368573288</v>
      </c>
      <c r="N10" s="5">
        <v>23</v>
      </c>
      <c r="O10" s="5">
        <v>88.666666666666671</v>
      </c>
      <c r="P10" s="32">
        <v>502.62914437566008</v>
      </c>
      <c r="Q10" s="5">
        <v>19.858357585312277</v>
      </c>
      <c r="R10" s="5">
        <v>5263.0287803100591</v>
      </c>
      <c r="S10" s="34"/>
      <c r="T10" s="23">
        <v>1632902.7952356711</v>
      </c>
      <c r="U10" s="32">
        <v>122.71399171430883</v>
      </c>
      <c r="V10" s="5">
        <v>12</v>
      </c>
      <c r="W10" s="5">
        <v>78.666666666666671</v>
      </c>
      <c r="X10" s="32">
        <v>906.80309632080161</v>
      </c>
      <c r="Y10" s="5">
        <v>51.853578022843891</v>
      </c>
      <c r="Z10" s="5">
        <v>6559.3516138669183</v>
      </c>
      <c r="AA10" s="34"/>
    </row>
    <row r="11" spans="2:27" x14ac:dyDescent="0.2">
      <c r="B11" s="4">
        <v>8</v>
      </c>
      <c r="C11" s="4">
        <v>557</v>
      </c>
      <c r="D11" s="23">
        <v>1150245.798447402</v>
      </c>
      <c r="E11" s="32">
        <v>157.09815974287423</v>
      </c>
      <c r="F11" s="5">
        <v>12</v>
      </c>
      <c r="G11" s="23">
        <v>96.666666666666671</v>
      </c>
      <c r="H11" s="32">
        <v>512.90580715568979</v>
      </c>
      <c r="I11" s="23">
        <v>42.96650511981715</v>
      </c>
      <c r="J11" s="5">
        <v>5701.6749548552589</v>
      </c>
      <c r="K11" s="30"/>
      <c r="L11" s="23">
        <v>1490720.3576783659</v>
      </c>
      <c r="M11" s="32">
        <v>770.25692237141936</v>
      </c>
      <c r="N11" s="5">
        <v>21</v>
      </c>
      <c r="O11" s="5">
        <v>84.666666666666671</v>
      </c>
      <c r="P11" s="32">
        <v>389.07391187299595</v>
      </c>
      <c r="Q11" s="5">
        <v>20.170189207696669</v>
      </c>
      <c r="R11" s="5">
        <v>5003.4584859840043</v>
      </c>
      <c r="S11" s="34"/>
      <c r="T11" s="23">
        <v>1640601.524971172</v>
      </c>
      <c r="U11" s="32">
        <v>189.14109754286306</v>
      </c>
      <c r="V11" s="5">
        <v>13</v>
      </c>
      <c r="W11" s="5">
        <v>80.666666666666671</v>
      </c>
      <c r="X11" s="32">
        <v>1193.6279543528015</v>
      </c>
      <c r="Y11" s="5">
        <v>52.366909891756222</v>
      </c>
      <c r="Z11" s="5">
        <v>6682.1332151176775</v>
      </c>
      <c r="AA11" s="34"/>
    </row>
    <row r="12" spans="2:27" x14ac:dyDescent="0.2">
      <c r="B12" s="4">
        <v>9</v>
      </c>
      <c r="C12" s="4">
        <v>189</v>
      </c>
      <c r="D12" s="23">
        <v>1223895.276048844</v>
      </c>
      <c r="E12" s="32">
        <v>197.52301534285237</v>
      </c>
      <c r="F12" s="5">
        <v>13</v>
      </c>
      <c r="G12" s="23">
        <v>97.333333333333329</v>
      </c>
      <c r="H12" s="32">
        <v>589.13737470900787</v>
      </c>
      <c r="I12" s="23">
        <v>38.913566265767138</v>
      </c>
      <c r="J12" s="5">
        <v>6068.4443002165799</v>
      </c>
      <c r="K12" s="30"/>
      <c r="L12" s="23">
        <v>1466549.257123261</v>
      </c>
      <c r="M12" s="32">
        <v>603.40368305712138</v>
      </c>
      <c r="N12" s="5">
        <v>24</v>
      </c>
      <c r="O12" s="5">
        <v>89.333333333333329</v>
      </c>
      <c r="P12" s="32">
        <v>516.8025535572225</v>
      </c>
      <c r="Q12" s="5">
        <v>19.288522648215434</v>
      </c>
      <c r="R12" s="5">
        <v>5096.6523263401623</v>
      </c>
      <c r="S12" s="34"/>
      <c r="T12" s="23">
        <v>1631824.776709721</v>
      </c>
      <c r="U12" s="32">
        <v>181.99776334285602</v>
      </c>
      <c r="V12" s="5">
        <v>12</v>
      </c>
      <c r="W12" s="5">
        <v>79.333333333333329</v>
      </c>
      <c r="X12" s="32">
        <v>979.99233736347799</v>
      </c>
      <c r="Y12" s="5">
        <v>52.907568289658805</v>
      </c>
      <c r="Z12" s="5">
        <v>6624.9566670768618</v>
      </c>
      <c r="AA12" s="34"/>
    </row>
    <row r="13" spans="2:27" x14ac:dyDescent="0.2">
      <c r="B13" s="4">
        <v>10</v>
      </c>
      <c r="C13" s="4">
        <v>245</v>
      </c>
      <c r="D13" s="23">
        <v>1193941.6428655731</v>
      </c>
      <c r="E13" s="32">
        <v>135.13048874287466</v>
      </c>
      <c r="F13" s="5">
        <v>13</v>
      </c>
      <c r="G13" s="23">
        <v>97.333333333333329</v>
      </c>
      <c r="H13" s="32">
        <v>552.56441404505597</v>
      </c>
      <c r="I13" s="23">
        <v>39.283598739647864</v>
      </c>
      <c r="J13" s="5">
        <v>5895.5897497683436</v>
      </c>
      <c r="K13" s="30"/>
      <c r="L13" s="23">
        <v>1508188.033755779</v>
      </c>
      <c r="M13" s="32">
        <v>447.14512159998003</v>
      </c>
      <c r="N13" s="5">
        <v>20</v>
      </c>
      <c r="O13" s="5">
        <v>82.666666666666671</v>
      </c>
      <c r="P13" s="32">
        <v>397.5594924514545</v>
      </c>
      <c r="Q13" s="5">
        <v>20.215337861843068</v>
      </c>
      <c r="R13" s="5">
        <v>4951.7388766068707</v>
      </c>
      <c r="S13" s="34"/>
      <c r="T13" s="23">
        <v>1612915.7814133719</v>
      </c>
      <c r="U13" s="32">
        <v>184.11117300002039</v>
      </c>
      <c r="V13" s="5">
        <v>12</v>
      </c>
      <c r="W13" s="5">
        <v>81.333333333333329</v>
      </c>
      <c r="X13" s="32">
        <v>1044.3861358397448</v>
      </c>
      <c r="Y13" s="5">
        <v>55.341248425850864</v>
      </c>
      <c r="Z13" s="5">
        <v>6770.1945303600232</v>
      </c>
      <c r="AA13" s="34"/>
    </row>
    <row r="14" spans="2:27" x14ac:dyDescent="0.2">
      <c r="B14" s="47" t="s">
        <v>3</v>
      </c>
      <c r="C14" s="48"/>
      <c r="D14" s="9">
        <f>MIN(D4:D13)</f>
        <v>1150167.288371593</v>
      </c>
      <c r="E14" s="22">
        <f>INDEX(E4:E13, MATCH($D$14, D4:D13, 0))</f>
        <v>143.15194540001852</v>
      </c>
      <c r="F14" s="9">
        <f>INDEX(F4:F13, MATCH($D$14, D4:D13, 0))</f>
        <v>12</v>
      </c>
      <c r="G14" s="9">
        <f>INDEX(G4:G13, MATCH($D$14, D4:D13, 0))</f>
        <v>96</v>
      </c>
      <c r="H14" s="22">
        <f>INDEX(H4:H13, MATCH($D$14, D4:D13, 0))</f>
        <v>481.04001262456291</v>
      </c>
      <c r="I14" s="22">
        <f>INDEX(I4:I13, MATCH($D$14, D4:D13, 0))</f>
        <v>42.311204863467033</v>
      </c>
      <c r="J14" s="22">
        <f>INDEX(J4:J13, MATCH($D$14, D4:D13, 0))</f>
        <v>5644.8242490806406</v>
      </c>
      <c r="K14" s="31" t="e">
        <f>(D14-$D$15)/$D$15</f>
        <v>#DIV/0!</v>
      </c>
      <c r="L14" s="16">
        <f>MIN(L4:L13)</f>
        <v>1462783.3257512399</v>
      </c>
      <c r="M14" s="21">
        <f>INDEX(M4:M13, MATCH($L$14, L4:L13, 0))</f>
        <v>529.17298968572027</v>
      </c>
      <c r="N14" s="16">
        <f>INDEX(N4:N13, MATCH($L$14, L4:L13, 0))</f>
        <v>26</v>
      </c>
      <c r="O14" s="16">
        <f>INDEX(O4:O13, MATCH($L$14, L4:L13, 0))</f>
        <v>94</v>
      </c>
      <c r="P14" s="21">
        <f>INDEX(P4:P13, MATCH($L$14, L4:L13, 0))</f>
        <v>738.24676788960085</v>
      </c>
      <c r="Q14" s="21">
        <f>INDEX(Q4:Q13, MATCH($L$14, L4:L13, 0))</f>
        <v>18.818058906560985</v>
      </c>
      <c r="R14" s="21">
        <f>INDEX(R4:R13, MATCH($L$14, L4:L13, 0))</f>
        <v>5407.022546132197</v>
      </c>
      <c r="S14" s="35" t="e">
        <f>(L14-$D$15)/$D$15</f>
        <v>#DIV/0!</v>
      </c>
      <c r="T14" s="37">
        <f>MIN(T4:T13)</f>
        <v>1585967.1907543121</v>
      </c>
      <c r="U14" s="38">
        <f>INDEX(U4:U13, MATCH($T$14, T4:T13, 0))</f>
        <v>135.55752037142935</v>
      </c>
      <c r="V14" s="37">
        <f>INDEX(V4:V13, MATCH($T$14, T4:T13, 0))</f>
        <v>13</v>
      </c>
      <c r="W14" s="37">
        <f>INDEX(W4:W13, MATCH($T$14, T4:T13, 0))</f>
        <v>83.333333333333329</v>
      </c>
      <c r="X14" s="38">
        <f>INDEX(X4:X13, MATCH($T$14, T4:T13, 0))</f>
        <v>1086.2484658334397</v>
      </c>
      <c r="Y14" s="38">
        <f>INDEX(Y4:Y13, MATCH($T$14, T4:T13, 0))</f>
        <v>53.935564330493449</v>
      </c>
      <c r="Z14" s="38">
        <f>INDEX(Z4:Z13, MATCH($T$14, T4:T13, 0))</f>
        <v>6776.9656213510816</v>
      </c>
      <c r="AA14" s="39" t="e">
        <f>(T14-$D$15)/$D$15</f>
        <v>#DIV/0!</v>
      </c>
    </row>
    <row r="15" spans="2:27" x14ac:dyDescent="0.2">
      <c r="C15" s="1" t="s">
        <v>17</v>
      </c>
      <c r="D15" s="33"/>
      <c r="E15" s="3"/>
      <c r="F15" s="3"/>
      <c r="G15" s="3"/>
      <c r="H15" s="3"/>
      <c r="I15" s="3"/>
      <c r="J15" s="3"/>
      <c r="K15" s="3"/>
      <c r="L15" s="40">
        <f>(L14-D14)/D14</f>
        <v>0.27180049418919638</v>
      </c>
      <c r="M15" s="40">
        <f t="shared" ref="M15:R15" si="0">(M14-E14)/E14</f>
        <v>2.6965825941590857</v>
      </c>
      <c r="N15" s="40">
        <f t="shared" si="0"/>
        <v>1.1666666666666667</v>
      </c>
      <c r="O15" s="40">
        <f t="shared" si="0"/>
        <v>-2.0833333333333332E-2</v>
      </c>
      <c r="P15" s="40">
        <f t="shared" si="0"/>
        <v>0.53468890012228565</v>
      </c>
      <c r="Q15" s="40">
        <f t="shared" si="0"/>
        <v>-0.55524644199368678</v>
      </c>
      <c r="R15" s="40">
        <f t="shared" si="0"/>
        <v>-4.2127388286211702E-2</v>
      </c>
      <c r="T15" s="40">
        <f>(T14-D14)/D14</f>
        <v>0.37890131878096156</v>
      </c>
      <c r="U15" s="40">
        <f t="shared" ref="U15:Z15" si="1">(U14-E14)/E14</f>
        <v>-5.3051497186207212E-2</v>
      </c>
      <c r="V15" s="40">
        <f t="shared" si="1"/>
        <v>8.3333333333333329E-2</v>
      </c>
      <c r="W15" s="40">
        <f t="shared" si="1"/>
        <v>-0.1319444444444445</v>
      </c>
      <c r="X15" s="40">
        <f t="shared" si="1"/>
        <v>1.258124973652085</v>
      </c>
      <c r="Y15" s="40">
        <f t="shared" si="1"/>
        <v>0.27473477780972605</v>
      </c>
      <c r="Z15" s="40">
        <f t="shared" si="1"/>
        <v>0.20056273186093088</v>
      </c>
    </row>
    <row r="16" spans="2:27" x14ac:dyDescent="0.2">
      <c r="D16" s="2"/>
    </row>
    <row r="17" spans="4:21" x14ac:dyDescent="0.2">
      <c r="D17" s="2"/>
    </row>
    <row r="20" spans="4:21" x14ac:dyDescent="0.2">
      <c r="E20"/>
      <c r="M20"/>
      <c r="U20"/>
    </row>
    <row r="21" spans="4:21" x14ac:dyDescent="0.2">
      <c r="E21"/>
      <c r="M21"/>
      <c r="U21"/>
    </row>
    <row r="22" spans="4:21" x14ac:dyDescent="0.2">
      <c r="E22"/>
      <c r="M22"/>
      <c r="U22"/>
    </row>
    <row r="23" spans="4:21" x14ac:dyDescent="0.2">
      <c r="E23"/>
      <c r="M23"/>
      <c r="U23"/>
    </row>
    <row r="24" spans="4:21" x14ac:dyDescent="0.2">
      <c r="E24"/>
      <c r="M24"/>
      <c r="U24"/>
    </row>
    <row r="25" spans="4:21" x14ac:dyDescent="0.2">
      <c r="E25"/>
      <c r="M25"/>
      <c r="U25"/>
    </row>
    <row r="26" spans="4:21" x14ac:dyDescent="0.2">
      <c r="E26"/>
      <c r="M26"/>
      <c r="U26"/>
    </row>
    <row r="27" spans="4:21" x14ac:dyDescent="0.2">
      <c r="E27"/>
      <c r="M27"/>
      <c r="U27"/>
    </row>
    <row r="28" spans="4:21" x14ac:dyDescent="0.2">
      <c r="E28"/>
      <c r="M28"/>
      <c r="U28"/>
    </row>
    <row r="29" spans="4:21" x14ac:dyDescent="0.2">
      <c r="E29"/>
      <c r="M29"/>
      <c r="U29"/>
    </row>
  </sheetData>
  <mergeCells count="1">
    <mergeCell ref="B14:C14"/>
  </mergeCells>
  <conditionalFormatting sqref="C1:C13 C16 C41:C1048576">
    <cfRule type="duplicateValues" dxfId="97" priority="9"/>
    <cfRule type="duplicateValues" dxfId="96" priority="10"/>
  </conditionalFormatting>
  <conditionalFormatting sqref="C14">
    <cfRule type="duplicateValues" dxfId="95" priority="7"/>
    <cfRule type="duplicateValues" dxfId="94" priority="8"/>
  </conditionalFormatting>
  <conditionalFormatting sqref="C15">
    <cfRule type="duplicateValues" dxfId="93" priority="5"/>
    <cfRule type="duplicateValues" dxfId="92" priority="6"/>
  </conditionalFormatting>
  <conditionalFormatting sqref="C17:C19 C30:C40">
    <cfRule type="duplicateValues" dxfId="91" priority="3"/>
    <cfRule type="duplicateValues" dxfId="90" priority="4"/>
  </conditionalFormatting>
  <conditionalFormatting sqref="C20:C29">
    <cfRule type="duplicateValues" dxfId="11" priority="1"/>
    <cfRule type="duplicateValues" dxfId="10" priority="2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57CF-CEED-4329-8AC8-79FEE2EED7CF}">
  <dimension ref="B1:AA29"/>
  <sheetViews>
    <sheetView zoomScale="80" zoomScaleNormal="80" workbookViewId="0">
      <selection activeCell="U20" sqref="U20:U32"/>
    </sheetView>
  </sheetViews>
  <sheetFormatPr baseColWidth="10" defaultColWidth="10.83203125" defaultRowHeight="16" x14ac:dyDescent="0.2"/>
  <cols>
    <col min="1" max="1" width="3.83203125" style="1" customWidth="1"/>
    <col min="2" max="2" width="8.1640625" style="1" bestFit="1" customWidth="1"/>
    <col min="3" max="3" width="5.1640625" style="1" bestFit="1" customWidth="1"/>
    <col min="4" max="4" width="16.6640625" style="1" customWidth="1"/>
    <col min="5" max="5" width="9.5" style="1" bestFit="1" customWidth="1"/>
    <col min="6" max="6" width="9.1640625" style="1" bestFit="1" customWidth="1"/>
    <col min="7" max="7" width="18.33203125" style="1" bestFit="1" customWidth="1"/>
    <col min="8" max="8" width="19.33203125" style="1" bestFit="1" customWidth="1"/>
    <col min="9" max="9" width="24.83203125" style="1" bestFit="1" customWidth="1"/>
    <col min="10" max="10" width="18.6640625" style="1" bestFit="1" customWidth="1"/>
    <col min="11" max="11" width="12.6640625" style="1" customWidth="1"/>
    <col min="12" max="12" width="12.6640625" style="1" bestFit="1" customWidth="1"/>
    <col min="13" max="13" width="11.33203125" style="1" bestFit="1" customWidth="1"/>
    <col min="14" max="14" width="10.83203125" style="1"/>
    <col min="15" max="15" width="18.33203125" style="1" bestFit="1" customWidth="1"/>
    <col min="16" max="16" width="19.33203125" style="1" bestFit="1" customWidth="1"/>
    <col min="17" max="17" width="24.83203125" style="1" bestFit="1" customWidth="1"/>
    <col min="18" max="18" width="18" style="1" bestFit="1" customWidth="1"/>
    <col min="19" max="19" width="10.83203125" style="1"/>
    <col min="20" max="20" width="12.6640625" style="1" bestFit="1" customWidth="1"/>
    <col min="21" max="21" width="11.33203125" style="1" bestFit="1" customWidth="1"/>
    <col min="22" max="22" width="10.83203125" style="1"/>
    <col min="23" max="23" width="18.33203125" style="1" bestFit="1" customWidth="1"/>
    <col min="24" max="24" width="19.33203125" style="1" bestFit="1" customWidth="1"/>
    <col min="25" max="25" width="24.83203125" style="1" bestFit="1" customWidth="1"/>
    <col min="26" max="26" width="18" style="1" bestFit="1" customWidth="1"/>
    <col min="27" max="16384" width="10.83203125" style="1"/>
  </cols>
  <sheetData>
    <row r="1" spans="2:27" x14ac:dyDescent="0.2">
      <c r="D1" s="1" t="s">
        <v>14</v>
      </c>
    </row>
    <row r="2" spans="2:27" x14ac:dyDescent="0.2">
      <c r="B2" s="1" t="s">
        <v>18</v>
      </c>
      <c r="D2" s="29">
        <v>150</v>
      </c>
      <c r="H2" s="28">
        <f>(Q14-H14)/H14</f>
        <v>-0.96526353468033499</v>
      </c>
      <c r="J2" s="28" t="e">
        <f>(S14-J14)/J14</f>
        <v>#DIV/0!</v>
      </c>
      <c r="K2" s="28"/>
      <c r="L2" s="1" t="s">
        <v>19</v>
      </c>
      <c r="P2" s="1">
        <f>(P14-H14)/H14</f>
        <v>-0.62696652379794349</v>
      </c>
      <c r="R2" s="1">
        <f>(R14-J14)/J14</f>
        <v>-0.23434720324459377</v>
      </c>
      <c r="T2" s="1" t="s">
        <v>20</v>
      </c>
      <c r="X2" s="1">
        <f>(X14-P14)/P14</f>
        <v>3.0975343835623357</v>
      </c>
      <c r="Z2" s="1">
        <f>(Z14-R14)/R14</f>
        <v>0.43944068000278019</v>
      </c>
    </row>
    <row r="3" spans="2:27" x14ac:dyDescent="0.2">
      <c r="B3" s="8" t="s">
        <v>7</v>
      </c>
      <c r="C3" s="8" t="s">
        <v>4</v>
      </c>
      <c r="D3" s="8" t="s">
        <v>0</v>
      </c>
      <c r="E3" s="8" t="s">
        <v>5</v>
      </c>
      <c r="F3" s="8" t="s">
        <v>12</v>
      </c>
      <c r="G3" s="8" t="s">
        <v>15</v>
      </c>
      <c r="H3" s="8" t="s">
        <v>11</v>
      </c>
      <c r="I3" s="8" t="s">
        <v>16</v>
      </c>
      <c r="J3" s="8" t="s">
        <v>10</v>
      </c>
      <c r="K3" s="8" t="s">
        <v>1</v>
      </c>
      <c r="L3" s="15" t="s">
        <v>0</v>
      </c>
      <c r="M3" s="15" t="s">
        <v>5</v>
      </c>
      <c r="N3" s="15" t="s">
        <v>12</v>
      </c>
      <c r="O3" s="15" t="s">
        <v>15</v>
      </c>
      <c r="P3" s="15" t="s">
        <v>11</v>
      </c>
      <c r="Q3" s="15" t="s">
        <v>16</v>
      </c>
      <c r="R3" s="15" t="s">
        <v>10</v>
      </c>
      <c r="S3" s="15" t="s">
        <v>1</v>
      </c>
      <c r="T3" s="36" t="s">
        <v>0</v>
      </c>
      <c r="U3" s="36" t="s">
        <v>5</v>
      </c>
      <c r="V3" s="36" t="s">
        <v>12</v>
      </c>
      <c r="W3" s="36" t="s">
        <v>15</v>
      </c>
      <c r="X3" s="36" t="s">
        <v>11</v>
      </c>
      <c r="Y3" s="36" t="s">
        <v>16</v>
      </c>
      <c r="Z3" s="36" t="s">
        <v>10</v>
      </c>
      <c r="AA3" s="36" t="s">
        <v>1</v>
      </c>
    </row>
    <row r="4" spans="2:27" x14ac:dyDescent="0.2">
      <c r="B4" s="4">
        <v>1</v>
      </c>
      <c r="C4" s="4">
        <v>612</v>
      </c>
      <c r="D4" s="23">
        <v>1199696.2255883759</v>
      </c>
      <c r="E4" s="32">
        <v>63.67532037142</v>
      </c>
      <c r="F4" s="5">
        <v>11</v>
      </c>
      <c r="G4" s="23">
        <v>96</v>
      </c>
      <c r="H4" s="32">
        <v>576.38844173293012</v>
      </c>
      <c r="I4" s="23">
        <v>50.159300065539689</v>
      </c>
      <c r="J4" s="5">
        <v>6067.535552706986</v>
      </c>
      <c r="K4" s="30"/>
      <c r="L4" s="23">
        <v>1750824.328797257</v>
      </c>
      <c r="M4" s="32">
        <v>549.25075008570479</v>
      </c>
      <c r="N4" s="5">
        <v>12</v>
      </c>
      <c r="O4" s="5">
        <v>60.666666666666657</v>
      </c>
      <c r="P4" s="32">
        <v>12.387832478891202</v>
      </c>
      <c r="Q4" s="5">
        <v>24.710554782268165</v>
      </c>
      <c r="R4" s="5">
        <v>4113.8147286351877</v>
      </c>
      <c r="S4" s="34"/>
      <c r="T4" s="23">
        <v>1688457.191164084</v>
      </c>
      <c r="U4" s="32">
        <v>108.51182945714596</v>
      </c>
      <c r="V4" s="5">
        <v>11</v>
      </c>
      <c r="W4" s="5">
        <v>72.666666666666671</v>
      </c>
      <c r="X4" s="32">
        <v>756.98198872436092</v>
      </c>
      <c r="Y4" s="5">
        <v>60.099278977607234</v>
      </c>
      <c r="Z4" s="5">
        <v>6377.7388407258914</v>
      </c>
      <c r="AA4" s="34"/>
    </row>
    <row r="5" spans="2:27" x14ac:dyDescent="0.2">
      <c r="B5" s="4">
        <v>2</v>
      </c>
      <c r="C5" s="4">
        <v>675</v>
      </c>
      <c r="D5" s="23">
        <v>1169661.7895714</v>
      </c>
      <c r="E5" s="32">
        <v>163.09297931430461</v>
      </c>
      <c r="F5" s="5">
        <v>13</v>
      </c>
      <c r="G5" s="23">
        <v>98.666666666666671</v>
      </c>
      <c r="H5" s="32">
        <v>595.47201227981463</v>
      </c>
      <c r="I5" s="23">
        <v>44.06554766128118</v>
      </c>
      <c r="J5" s="5">
        <v>5966.6441197221229</v>
      </c>
      <c r="K5" s="30"/>
      <c r="L5" s="23">
        <v>1587605.2295408801</v>
      </c>
      <c r="M5" s="32">
        <v>404.74097814287859</v>
      </c>
      <c r="N5" s="5">
        <v>19</v>
      </c>
      <c r="O5" s="5">
        <v>75.333333333333329</v>
      </c>
      <c r="P5" s="32">
        <v>226.3148839994671</v>
      </c>
      <c r="Q5" s="5">
        <v>21.074192052172091</v>
      </c>
      <c r="R5" s="5">
        <v>4530.5433116439544</v>
      </c>
      <c r="S5" s="34"/>
      <c r="T5" s="23">
        <v>1643150.8746089949</v>
      </c>
      <c r="U5" s="32">
        <v>251.57191582855634</v>
      </c>
      <c r="V5" s="5">
        <v>12</v>
      </c>
      <c r="W5" s="5">
        <v>76.666666666666671</v>
      </c>
      <c r="X5" s="32">
        <v>867.7542393692371</v>
      </c>
      <c r="Y5" s="5">
        <v>60.241564814466052</v>
      </c>
      <c r="Z5" s="5">
        <v>6526.0107768939306</v>
      </c>
      <c r="AA5" s="34"/>
    </row>
    <row r="6" spans="2:27" x14ac:dyDescent="0.2">
      <c r="B6" s="4">
        <v>3</v>
      </c>
      <c r="C6" s="4">
        <v>524</v>
      </c>
      <c r="D6" s="23">
        <v>1165342.4120050741</v>
      </c>
      <c r="E6" s="32">
        <v>312.19660900001026</v>
      </c>
      <c r="F6" s="5">
        <v>14</v>
      </c>
      <c r="G6" s="23">
        <v>98</v>
      </c>
      <c r="H6" s="32">
        <v>598.40115310198792</v>
      </c>
      <c r="I6" s="23">
        <v>41.635049644822004</v>
      </c>
      <c r="J6" s="5">
        <v>5746.7387272565684</v>
      </c>
      <c r="K6" s="30"/>
      <c r="L6" s="23">
        <v>1618500.046279765</v>
      </c>
      <c r="M6" s="32">
        <v>168.19428474286437</v>
      </c>
      <c r="N6" s="5">
        <v>21</v>
      </c>
      <c r="O6" s="5">
        <v>78</v>
      </c>
      <c r="P6" s="32">
        <v>361.50218031103327</v>
      </c>
      <c r="Q6" s="5">
        <v>20.109358162126995</v>
      </c>
      <c r="R6" s="5">
        <v>4868.1645033654422</v>
      </c>
      <c r="S6" s="34"/>
      <c r="T6" s="23">
        <v>1623658.457049598</v>
      </c>
      <c r="U6" s="32">
        <v>270.08399560003141</v>
      </c>
      <c r="V6" s="5">
        <v>12</v>
      </c>
      <c r="W6" s="5">
        <v>78</v>
      </c>
      <c r="X6" s="32">
        <v>883.64531694963841</v>
      </c>
      <c r="Y6" s="5">
        <v>59.311298198936619</v>
      </c>
      <c r="Z6" s="5">
        <v>6499.797776282343</v>
      </c>
      <c r="AA6" s="34"/>
    </row>
    <row r="7" spans="2:27" x14ac:dyDescent="0.2">
      <c r="B7" s="4">
        <v>4</v>
      </c>
      <c r="C7" s="4">
        <v>925</v>
      </c>
      <c r="D7" s="23">
        <v>1174891.122542317</v>
      </c>
      <c r="E7" s="32">
        <v>184.85130537141646</v>
      </c>
      <c r="F7" s="5">
        <v>13</v>
      </c>
      <c r="G7" s="23">
        <v>96.666666666666671</v>
      </c>
      <c r="H7" s="32">
        <v>546.88362560639143</v>
      </c>
      <c r="I7" s="23">
        <v>42.262892006995671</v>
      </c>
      <c r="J7" s="5">
        <v>5758.5918381048295</v>
      </c>
      <c r="K7" s="30"/>
      <c r="L7" s="23">
        <v>1599548.841071724</v>
      </c>
      <c r="M7" s="32">
        <v>271.85781842856005</v>
      </c>
      <c r="N7" s="5">
        <v>20</v>
      </c>
      <c r="O7" s="5">
        <v>76</v>
      </c>
      <c r="P7" s="32">
        <v>265.73502431687535</v>
      </c>
      <c r="Q7" s="5">
        <v>20.48536271162958</v>
      </c>
      <c r="R7" s="5">
        <v>4611.0061526019344</v>
      </c>
      <c r="S7" s="34"/>
      <c r="T7" s="23">
        <v>1631128.6413231499</v>
      </c>
      <c r="U7" s="32">
        <v>160.93112888573003</v>
      </c>
      <c r="V7" s="5">
        <v>13</v>
      </c>
      <c r="W7" s="5">
        <v>77.333333333333329</v>
      </c>
      <c r="X7" s="32">
        <v>852.21748881120152</v>
      </c>
      <c r="Y7" s="5">
        <v>58.60597436956494</v>
      </c>
      <c r="Z7" s="5">
        <v>6414.666413204588</v>
      </c>
      <c r="AA7" s="34"/>
    </row>
    <row r="8" spans="2:27" x14ac:dyDescent="0.2">
      <c r="B8" s="4">
        <v>5</v>
      </c>
      <c r="C8" s="4">
        <v>622</v>
      </c>
      <c r="D8" s="23">
        <v>1179782.7823270571</v>
      </c>
      <c r="E8" s="32">
        <v>152.7981931142775</v>
      </c>
      <c r="F8" s="5">
        <v>12</v>
      </c>
      <c r="G8" s="23">
        <v>96.666666666666671</v>
      </c>
      <c r="H8" s="32">
        <v>530.17377565555705</v>
      </c>
      <c r="I8" s="23">
        <v>47.199420436583715</v>
      </c>
      <c r="J8" s="5">
        <v>5958.6598063742313</v>
      </c>
      <c r="K8" s="30"/>
      <c r="L8" s="23">
        <v>1606975.894859418</v>
      </c>
      <c r="M8" s="32">
        <v>567.99321494288085</v>
      </c>
      <c r="N8" s="5">
        <v>20</v>
      </c>
      <c r="O8" s="5">
        <v>76</v>
      </c>
      <c r="P8" s="32">
        <v>272.60652943925891</v>
      </c>
      <c r="Q8" s="5">
        <v>20.320615259080142</v>
      </c>
      <c r="R8" s="5">
        <v>4611.5718530152417</v>
      </c>
      <c r="S8" s="34"/>
      <c r="T8" s="23">
        <v>1648186.228434094</v>
      </c>
      <c r="U8" s="32">
        <v>358.11112388572656</v>
      </c>
      <c r="V8" s="5">
        <v>12</v>
      </c>
      <c r="W8" s="5">
        <v>76</v>
      </c>
      <c r="X8" s="32">
        <v>791.6802166957458</v>
      </c>
      <c r="Y8" s="5">
        <v>58.881116071439727</v>
      </c>
      <c r="Z8" s="5">
        <v>6380.2940136663283</v>
      </c>
      <c r="AA8" s="34"/>
    </row>
    <row r="9" spans="2:27" x14ac:dyDescent="0.2">
      <c r="B9" s="4">
        <v>6</v>
      </c>
      <c r="C9" s="4">
        <v>244</v>
      </c>
      <c r="D9" s="23">
        <v>1163565.272881343</v>
      </c>
      <c r="E9" s="32">
        <v>285.93802688573487</v>
      </c>
      <c r="F9" s="5">
        <v>13</v>
      </c>
      <c r="G9" s="23">
        <v>98.666666666666671</v>
      </c>
      <c r="H9" s="32">
        <v>606.68786700762973</v>
      </c>
      <c r="I9" s="23">
        <v>44.773708180158685</v>
      </c>
      <c r="J9" s="5">
        <v>5917.2294946782149</v>
      </c>
      <c r="K9" s="30"/>
      <c r="L9" s="23">
        <v>1641154.5984100101</v>
      </c>
      <c r="M9" s="32">
        <v>131.8827952857329</v>
      </c>
      <c r="N9" s="5">
        <v>20</v>
      </c>
      <c r="O9" s="5">
        <v>75.333333333333329</v>
      </c>
      <c r="P9" s="32">
        <v>251.4135971363639</v>
      </c>
      <c r="Q9" s="5">
        <v>20.100887542001509</v>
      </c>
      <c r="R9" s="5">
        <v>4766.8843750203214</v>
      </c>
      <c r="S9" s="34"/>
      <c r="T9" s="23">
        <v>1702434.487224265</v>
      </c>
      <c r="U9" s="32">
        <v>158.52103468572855</v>
      </c>
      <c r="V9" s="5">
        <v>12</v>
      </c>
      <c r="W9" s="5">
        <v>72</v>
      </c>
      <c r="X9" s="32">
        <v>670.6094713807596</v>
      </c>
      <c r="Y9" s="5">
        <v>53.73574908757876</v>
      </c>
      <c r="Z9" s="5">
        <v>6239.2334431759027</v>
      </c>
      <c r="AA9" s="34"/>
    </row>
    <row r="10" spans="2:27" x14ac:dyDescent="0.2">
      <c r="B10" s="4">
        <v>7</v>
      </c>
      <c r="C10" s="4">
        <v>57</v>
      </c>
      <c r="D10" s="23">
        <v>1207011.180226434</v>
      </c>
      <c r="E10" s="32">
        <v>182.95887222856149</v>
      </c>
      <c r="F10" s="5">
        <v>12</v>
      </c>
      <c r="G10" s="23">
        <v>96</v>
      </c>
      <c r="H10" s="32">
        <v>545.15612345640966</v>
      </c>
      <c r="I10" s="23">
        <v>45.997940819529184</v>
      </c>
      <c r="J10" s="5">
        <v>6006.6325684214435</v>
      </c>
      <c r="K10" s="30"/>
      <c r="L10" s="23">
        <v>1631211.86190681</v>
      </c>
      <c r="M10" s="32">
        <v>264.64368091430515</v>
      </c>
      <c r="N10" s="5">
        <v>21</v>
      </c>
      <c r="O10" s="5">
        <v>76.666666666666671</v>
      </c>
      <c r="P10" s="32">
        <v>274.39531959810552</v>
      </c>
      <c r="Q10" s="5">
        <v>19.941453209389447</v>
      </c>
      <c r="R10" s="5">
        <v>4835.3713028875136</v>
      </c>
      <c r="S10" s="34"/>
      <c r="T10" s="23">
        <v>1696389.7431220659</v>
      </c>
      <c r="U10" s="32">
        <v>268.27263831427052</v>
      </c>
      <c r="V10" s="5">
        <v>11</v>
      </c>
      <c r="W10" s="5">
        <v>70.666666666666671</v>
      </c>
      <c r="X10" s="32">
        <v>615.27838255223355</v>
      </c>
      <c r="Y10" s="5">
        <v>59.843897516204919</v>
      </c>
      <c r="Z10" s="5">
        <v>6207.3564150744733</v>
      </c>
      <c r="AA10" s="34"/>
    </row>
    <row r="11" spans="2:27" x14ac:dyDescent="0.2">
      <c r="B11" s="4">
        <v>8</v>
      </c>
      <c r="C11" s="4">
        <v>690</v>
      </c>
      <c r="D11" s="23">
        <v>1179823.872645064</v>
      </c>
      <c r="E11" s="32">
        <v>222.06323708570562</v>
      </c>
      <c r="F11" s="5">
        <v>12</v>
      </c>
      <c r="G11" s="23">
        <v>98</v>
      </c>
      <c r="H11" s="32">
        <v>587.56197914744291</v>
      </c>
      <c r="I11" s="23">
        <v>47.503350025982201</v>
      </c>
      <c r="J11" s="5">
        <v>6061.0299677251023</v>
      </c>
      <c r="K11" s="30"/>
      <c r="L11" s="23">
        <v>1592811.812038786</v>
      </c>
      <c r="M11" s="32">
        <v>154.8529944285817</v>
      </c>
      <c r="N11" s="5">
        <v>20</v>
      </c>
      <c r="O11" s="5">
        <v>76.666666666666671</v>
      </c>
      <c r="P11" s="32">
        <v>273.69830560434019</v>
      </c>
      <c r="Q11" s="5">
        <v>20.729074670239061</v>
      </c>
      <c r="R11" s="5">
        <v>4641.2336892288431</v>
      </c>
      <c r="S11" s="34"/>
      <c r="T11" s="23">
        <v>1634635.797402035</v>
      </c>
      <c r="U11" s="32">
        <v>619.9867224856946</v>
      </c>
      <c r="V11" s="5">
        <v>13</v>
      </c>
      <c r="W11" s="5">
        <v>77.333333333333329</v>
      </c>
      <c r="X11" s="32">
        <v>837.00784406946207</v>
      </c>
      <c r="Y11" s="5">
        <v>55.283441487278239</v>
      </c>
      <c r="Z11" s="5">
        <v>6356.5762347003838</v>
      </c>
      <c r="AA11" s="34"/>
    </row>
    <row r="12" spans="2:27" x14ac:dyDescent="0.2">
      <c r="B12" s="4">
        <v>9</v>
      </c>
      <c r="C12" s="4">
        <v>476</v>
      </c>
      <c r="D12" s="23">
        <v>1183397.242123584</v>
      </c>
      <c r="E12" s="32">
        <v>234.64678094283278</v>
      </c>
      <c r="F12" s="5">
        <v>13</v>
      </c>
      <c r="G12" s="23">
        <v>97.333333333333329</v>
      </c>
      <c r="H12" s="32">
        <v>584.74292106693485</v>
      </c>
      <c r="I12" s="23">
        <v>43.780482848755007</v>
      </c>
      <c r="J12" s="5">
        <v>5889.9837993887686</v>
      </c>
      <c r="K12" s="30"/>
      <c r="L12" s="23">
        <v>1656984.6210300131</v>
      </c>
      <c r="M12" s="32">
        <v>584.54558477141632</v>
      </c>
      <c r="N12" s="5">
        <v>18</v>
      </c>
      <c r="O12" s="5">
        <v>73.333333333333329</v>
      </c>
      <c r="P12" s="32">
        <v>346.85878490989586</v>
      </c>
      <c r="Q12" s="5">
        <v>20.70543166217324</v>
      </c>
      <c r="R12" s="5">
        <v>4837.5647456498427</v>
      </c>
      <c r="S12" s="34"/>
      <c r="T12" s="23">
        <v>1675521.374401503</v>
      </c>
      <c r="U12" s="32">
        <v>374.55600797142171</v>
      </c>
      <c r="V12" s="5">
        <v>13</v>
      </c>
      <c r="W12" s="5">
        <v>75.333333333333329</v>
      </c>
      <c r="X12" s="32">
        <v>846.0029855581846</v>
      </c>
      <c r="Y12" s="5">
        <v>54.272451846907764</v>
      </c>
      <c r="Z12" s="5">
        <v>6355.0226054027708</v>
      </c>
      <c r="AA12" s="34"/>
    </row>
    <row r="13" spans="2:27" x14ac:dyDescent="0.2">
      <c r="B13" s="4">
        <v>10</v>
      </c>
      <c r="C13" s="4">
        <v>860</v>
      </c>
      <c r="D13" s="23">
        <v>1172684.3408785439</v>
      </c>
      <c r="E13" s="32">
        <v>188.95649354286226</v>
      </c>
      <c r="F13" s="5">
        <v>14</v>
      </c>
      <c r="G13" s="23">
        <v>98.666666666666671</v>
      </c>
      <c r="H13" s="32">
        <v>646.52369996738094</v>
      </c>
      <c r="I13" s="23">
        <v>42.606839561885145</v>
      </c>
      <c r="J13" s="5">
        <v>5877.54676001808</v>
      </c>
      <c r="K13" s="30"/>
      <c r="L13" s="23">
        <v>1622701.716022749</v>
      </c>
      <c r="M13" s="32">
        <v>422.83415588570227</v>
      </c>
      <c r="N13" s="5">
        <v>19</v>
      </c>
      <c r="O13" s="5">
        <v>75.333333333333329</v>
      </c>
      <c r="P13" s="32">
        <v>260.52789182533252</v>
      </c>
      <c r="Q13" s="5">
        <v>21.294826132386035</v>
      </c>
      <c r="R13" s="5">
        <v>4781.9514611850755</v>
      </c>
      <c r="S13" s="34"/>
      <c r="T13" s="23">
        <v>1616089.4314548711</v>
      </c>
      <c r="U13" s="32">
        <v>431.41975722857745</v>
      </c>
      <c r="V13" s="5">
        <v>13</v>
      </c>
      <c r="W13" s="5">
        <v>79.333333333333329</v>
      </c>
      <c r="X13" s="32">
        <v>927.33301869973786</v>
      </c>
      <c r="Y13" s="5">
        <v>57.36563608373342</v>
      </c>
      <c r="Z13" s="5">
        <v>6521.4483452948216</v>
      </c>
      <c r="AA13" s="34"/>
    </row>
    <row r="14" spans="2:27" x14ac:dyDescent="0.2">
      <c r="B14" s="47" t="s">
        <v>3</v>
      </c>
      <c r="C14" s="48"/>
      <c r="D14" s="9">
        <f>MIN(D4:D13)</f>
        <v>1163565.272881343</v>
      </c>
      <c r="E14" s="22">
        <f>INDEX(E4:E13, MATCH($D$14, D4:D13, 0))</f>
        <v>285.93802688573487</v>
      </c>
      <c r="F14" s="9">
        <f>INDEX(F4:F13, MATCH($D$14, D4:D13, 0))</f>
        <v>13</v>
      </c>
      <c r="G14" s="9">
        <f>INDEX(G4:G13, MATCH($D$14, D4:D13, 0))</f>
        <v>98.666666666666671</v>
      </c>
      <c r="H14" s="22">
        <f>INDEX(H4:H13, MATCH($D$14, D4:D13, 0))</f>
        <v>606.68786700762973</v>
      </c>
      <c r="I14" s="22">
        <f>INDEX(I4:I13, MATCH($D$14, D4:D13, 0))</f>
        <v>44.773708180158685</v>
      </c>
      <c r="J14" s="22">
        <f>INDEX(J4:J13, MATCH($D$14, D4:D13, 0))</f>
        <v>5917.2294946782149</v>
      </c>
      <c r="K14" s="31" t="e">
        <f>(D14-$D$15)/$D$15</f>
        <v>#DIV/0!</v>
      </c>
      <c r="L14" s="16">
        <f>MIN(L4:L13)</f>
        <v>1587605.2295408801</v>
      </c>
      <c r="M14" s="21">
        <f>INDEX(M4:M13, MATCH($L$14, L4:L13, 0))</f>
        <v>404.74097814287859</v>
      </c>
      <c r="N14" s="16">
        <f>INDEX(N4:N13, MATCH($L$14, L4:L13, 0))</f>
        <v>19</v>
      </c>
      <c r="O14" s="16">
        <f>INDEX(O4:O13, MATCH($L$14, L4:L13, 0))</f>
        <v>75.333333333333329</v>
      </c>
      <c r="P14" s="21">
        <f>INDEX(P4:P13, MATCH($L$14, L4:L13, 0))</f>
        <v>226.3148839994671</v>
      </c>
      <c r="Q14" s="21">
        <f>INDEX(Q4:Q13, MATCH($L$14, L4:L13, 0))</f>
        <v>21.074192052172091</v>
      </c>
      <c r="R14" s="21">
        <f>INDEX(R4:R13, MATCH($L$14, L4:L13, 0))</f>
        <v>4530.5433116439544</v>
      </c>
      <c r="S14" s="35" t="e">
        <f>(L14-$D$15)/$D$15</f>
        <v>#DIV/0!</v>
      </c>
      <c r="T14" s="37">
        <f>MIN(T4:T13)</f>
        <v>1616089.4314548711</v>
      </c>
      <c r="U14" s="38">
        <f>INDEX(U4:U13, MATCH($T$14, T4:T13, 0))</f>
        <v>431.41975722857745</v>
      </c>
      <c r="V14" s="37">
        <f>INDEX(V4:V13, MATCH($T$14, T4:T13, 0))</f>
        <v>13</v>
      </c>
      <c r="W14" s="37">
        <f>INDEX(W4:W13, MATCH($T$14, T4:T13, 0))</f>
        <v>79.333333333333329</v>
      </c>
      <c r="X14" s="38">
        <f>INDEX(X4:X13, MATCH($T$14, T4:T13, 0))</f>
        <v>927.33301869973786</v>
      </c>
      <c r="Y14" s="38">
        <f>INDEX(Y4:Y13, MATCH($T$14, T4:T13, 0))</f>
        <v>57.36563608373342</v>
      </c>
      <c r="Z14" s="38">
        <f>INDEX(Z4:Z13, MATCH($T$14, T4:T13, 0))</f>
        <v>6521.4483452948216</v>
      </c>
      <c r="AA14" s="39" t="e">
        <f>(T14-$D$15)/$D$15</f>
        <v>#DIV/0!</v>
      </c>
    </row>
    <row r="15" spans="2:27" x14ac:dyDescent="0.2">
      <c r="C15" s="1" t="s">
        <v>17</v>
      </c>
      <c r="D15" s="33"/>
      <c r="E15" s="3"/>
      <c r="F15" s="3"/>
      <c r="G15" s="3"/>
      <c r="H15" s="3"/>
      <c r="I15" s="3"/>
      <c r="J15" s="3"/>
      <c r="K15" s="3"/>
      <c r="L15" s="40">
        <f>(L14-D14)/D14</f>
        <v>0.36443160219923426</v>
      </c>
      <c r="M15" s="40">
        <f t="shared" ref="M15:R15" si="0">(M14-E14)/E14</f>
        <v>0.41548496557479275</v>
      </c>
      <c r="N15" s="40">
        <f t="shared" si="0"/>
        <v>0.46153846153846156</v>
      </c>
      <c r="O15" s="40">
        <f t="shared" si="0"/>
        <v>-0.23648648648648657</v>
      </c>
      <c r="P15" s="40">
        <f t="shared" si="0"/>
        <v>-0.62696652379794349</v>
      </c>
      <c r="Q15" s="40">
        <f t="shared" si="0"/>
        <v>-0.52931769762346714</v>
      </c>
      <c r="R15" s="40">
        <f t="shared" si="0"/>
        <v>-0.23434720324459377</v>
      </c>
      <c r="T15" s="40">
        <f>(T14-D14)/D14</f>
        <v>0.38891170879734149</v>
      </c>
      <c r="U15" s="40">
        <f t="shared" ref="U15:Z15" si="1">(U14-E14)/E14</f>
        <v>0.5087876276105775</v>
      </c>
      <c r="V15" s="40">
        <f t="shared" si="1"/>
        <v>0</v>
      </c>
      <c r="W15" s="40">
        <f t="shared" si="1"/>
        <v>-0.19594594594594603</v>
      </c>
      <c r="X15" s="40">
        <f t="shared" si="1"/>
        <v>0.52851749495770894</v>
      </c>
      <c r="Y15" s="40">
        <f t="shared" si="1"/>
        <v>0.28123486785833846</v>
      </c>
      <c r="Z15" s="40">
        <f t="shared" si="1"/>
        <v>0.10211178240763243</v>
      </c>
    </row>
    <row r="16" spans="2:27" x14ac:dyDescent="0.2">
      <c r="D16" s="2"/>
    </row>
    <row r="17" spans="4:21" x14ac:dyDescent="0.2">
      <c r="D17" s="2"/>
    </row>
    <row r="20" spans="4:21" x14ac:dyDescent="0.2">
      <c r="E20"/>
      <c r="M20"/>
      <c r="U20"/>
    </row>
    <row r="21" spans="4:21" x14ac:dyDescent="0.2">
      <c r="E21"/>
      <c r="M21"/>
      <c r="U21"/>
    </row>
    <row r="22" spans="4:21" x14ac:dyDescent="0.2">
      <c r="E22"/>
      <c r="M22"/>
      <c r="U22"/>
    </row>
    <row r="23" spans="4:21" x14ac:dyDescent="0.2">
      <c r="E23"/>
      <c r="M23"/>
      <c r="U23"/>
    </row>
    <row r="24" spans="4:21" x14ac:dyDescent="0.2">
      <c r="E24"/>
      <c r="M24"/>
      <c r="U24"/>
    </row>
    <row r="25" spans="4:21" x14ac:dyDescent="0.2">
      <c r="E25"/>
      <c r="M25"/>
      <c r="U25"/>
    </row>
    <row r="26" spans="4:21" x14ac:dyDescent="0.2">
      <c r="E26"/>
      <c r="M26"/>
      <c r="U26"/>
    </row>
    <row r="27" spans="4:21" x14ac:dyDescent="0.2">
      <c r="E27"/>
      <c r="M27"/>
      <c r="U27"/>
    </row>
    <row r="28" spans="4:21" x14ac:dyDescent="0.2">
      <c r="E28"/>
      <c r="M28"/>
      <c r="U28"/>
    </row>
    <row r="29" spans="4:21" x14ac:dyDescent="0.2">
      <c r="E29"/>
      <c r="M29"/>
      <c r="U29"/>
    </row>
  </sheetData>
  <mergeCells count="1">
    <mergeCell ref="B14:C14"/>
  </mergeCells>
  <conditionalFormatting sqref="C1:C13 C16 C41:C1048576">
    <cfRule type="duplicateValues" dxfId="89" priority="9"/>
    <cfRule type="duplicateValues" dxfId="88" priority="10"/>
  </conditionalFormatting>
  <conditionalFormatting sqref="C14">
    <cfRule type="duplicateValues" dxfId="87" priority="7"/>
    <cfRule type="duplicateValues" dxfId="86" priority="8"/>
  </conditionalFormatting>
  <conditionalFormatting sqref="C15">
    <cfRule type="duplicateValues" dxfId="85" priority="5"/>
    <cfRule type="duplicateValues" dxfId="84" priority="6"/>
  </conditionalFormatting>
  <conditionalFormatting sqref="C17:C19 C30:C40">
    <cfRule type="duplicateValues" dxfId="83" priority="3"/>
    <cfRule type="duplicateValues" dxfId="82" priority="4"/>
  </conditionalFormatting>
  <conditionalFormatting sqref="C20:C29">
    <cfRule type="duplicateValues" dxfId="9" priority="1"/>
    <cfRule type="duplicateValues" dxfId="8" priority="2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A1137-75B9-472C-AC41-D4A46B10DB2F}">
  <dimension ref="B1:AA29"/>
  <sheetViews>
    <sheetView zoomScale="90" zoomScaleNormal="90" workbookViewId="0">
      <selection activeCell="U20" sqref="U20:U32"/>
    </sheetView>
  </sheetViews>
  <sheetFormatPr baseColWidth="10" defaultColWidth="10.83203125" defaultRowHeight="16" x14ac:dyDescent="0.2"/>
  <cols>
    <col min="1" max="1" width="3.83203125" style="1" customWidth="1"/>
    <col min="2" max="2" width="8.1640625" style="1" bestFit="1" customWidth="1"/>
    <col min="3" max="3" width="5.1640625" style="1" bestFit="1" customWidth="1"/>
    <col min="4" max="4" width="16.6640625" style="1" customWidth="1"/>
    <col min="5" max="5" width="9.5" style="1" bestFit="1" customWidth="1"/>
    <col min="6" max="6" width="9.1640625" style="1" bestFit="1" customWidth="1"/>
    <col min="7" max="7" width="18.33203125" style="1" bestFit="1" customWidth="1"/>
    <col min="8" max="8" width="19.33203125" style="1" bestFit="1" customWidth="1"/>
    <col min="9" max="9" width="24.83203125" style="1" bestFit="1" customWidth="1"/>
    <col min="10" max="10" width="18.6640625" style="1" bestFit="1" customWidth="1"/>
    <col min="11" max="11" width="12.6640625" style="1" customWidth="1"/>
    <col min="12" max="12" width="12.6640625" style="1" bestFit="1" customWidth="1"/>
    <col min="13" max="14" width="10.83203125" style="1"/>
    <col min="15" max="15" width="18.33203125" style="1" bestFit="1" customWidth="1"/>
    <col min="16" max="16" width="19.33203125" style="1" bestFit="1" customWidth="1"/>
    <col min="17" max="17" width="24.83203125" style="1" bestFit="1" customWidth="1"/>
    <col min="18" max="18" width="18" style="1" bestFit="1" customWidth="1"/>
    <col min="19" max="19" width="10.83203125" style="1"/>
    <col min="20" max="20" width="12.6640625" style="1" bestFit="1" customWidth="1"/>
    <col min="21" max="22" width="10.83203125" style="1"/>
    <col min="23" max="23" width="18.33203125" style="1" bestFit="1" customWidth="1"/>
    <col min="24" max="24" width="19.33203125" style="1" bestFit="1" customWidth="1"/>
    <col min="25" max="25" width="24.83203125" style="1" bestFit="1" customWidth="1"/>
    <col min="26" max="26" width="18" style="1" bestFit="1" customWidth="1"/>
    <col min="27" max="16384" width="10.83203125" style="1"/>
  </cols>
  <sheetData>
    <row r="1" spans="2:27" x14ac:dyDescent="0.2">
      <c r="D1" s="1" t="s">
        <v>14</v>
      </c>
    </row>
    <row r="2" spans="2:27" x14ac:dyDescent="0.2">
      <c r="B2" s="1" t="s">
        <v>18</v>
      </c>
      <c r="D2" s="29">
        <v>150</v>
      </c>
      <c r="H2" s="28">
        <f>(Q14-H14)/H14</f>
        <v>-0.95864802890533729</v>
      </c>
      <c r="J2" s="28" t="e">
        <f>(S14-J14)/J14</f>
        <v>#DIV/0!</v>
      </c>
      <c r="K2" s="28"/>
      <c r="L2" s="1" t="s">
        <v>19</v>
      </c>
      <c r="P2" s="1">
        <f>(P14-H14)/H14</f>
        <v>-0.24299265066524903</v>
      </c>
      <c r="R2" s="1">
        <f>(R14-J14)/J14</f>
        <v>-0.13397737804520665</v>
      </c>
      <c r="T2" s="1" t="s">
        <v>20</v>
      </c>
      <c r="X2" s="1">
        <f>(X14-P14)/P14</f>
        <v>2.2007715533925243</v>
      </c>
      <c r="Z2" s="1">
        <f>(Z14-R14)/R14</f>
        <v>0.34149554239102059</v>
      </c>
    </row>
    <row r="3" spans="2:27" x14ac:dyDescent="0.2">
      <c r="B3" s="8" t="s">
        <v>7</v>
      </c>
      <c r="C3" s="8" t="s">
        <v>4</v>
      </c>
      <c r="D3" s="8" t="s">
        <v>0</v>
      </c>
      <c r="E3" s="8" t="s">
        <v>5</v>
      </c>
      <c r="F3" s="8" t="s">
        <v>12</v>
      </c>
      <c r="G3" s="8" t="s">
        <v>15</v>
      </c>
      <c r="H3" s="8" t="s">
        <v>11</v>
      </c>
      <c r="I3" s="8" t="s">
        <v>16</v>
      </c>
      <c r="J3" s="8" t="s">
        <v>10</v>
      </c>
      <c r="K3" s="8" t="s">
        <v>1</v>
      </c>
      <c r="L3" s="15" t="s">
        <v>0</v>
      </c>
      <c r="M3" s="15" t="s">
        <v>5</v>
      </c>
      <c r="N3" s="15" t="s">
        <v>12</v>
      </c>
      <c r="O3" s="15" t="s">
        <v>15</v>
      </c>
      <c r="P3" s="15" t="s">
        <v>11</v>
      </c>
      <c r="Q3" s="15" t="s">
        <v>16</v>
      </c>
      <c r="R3" s="15" t="s">
        <v>10</v>
      </c>
      <c r="S3" s="15" t="s">
        <v>1</v>
      </c>
      <c r="T3" s="36" t="s">
        <v>0</v>
      </c>
      <c r="U3" s="36" t="s">
        <v>5</v>
      </c>
      <c r="V3" s="36" t="s">
        <v>12</v>
      </c>
      <c r="W3" s="36" t="s">
        <v>15</v>
      </c>
      <c r="X3" s="36" t="s">
        <v>11</v>
      </c>
      <c r="Y3" s="36" t="s">
        <v>16</v>
      </c>
      <c r="Z3" s="36" t="s">
        <v>10</v>
      </c>
      <c r="AA3" s="36" t="s">
        <v>1</v>
      </c>
    </row>
    <row r="4" spans="2:27" x14ac:dyDescent="0.2">
      <c r="B4" s="4">
        <v>1</v>
      </c>
      <c r="C4" s="4">
        <v>695</v>
      </c>
      <c r="D4" s="23">
        <v>1113961.965147218</v>
      </c>
      <c r="E4" s="32">
        <v>125.18929811427368</v>
      </c>
      <c r="F4" s="5">
        <v>12</v>
      </c>
      <c r="G4" s="23">
        <v>97.333333333333329</v>
      </c>
      <c r="H4" s="32">
        <v>387.13337520677135</v>
      </c>
      <c r="I4" s="23">
        <v>43.888685513419183</v>
      </c>
      <c r="J4" s="5">
        <v>5566.0336283807028</v>
      </c>
      <c r="K4" s="30"/>
      <c r="L4" s="23">
        <v>1420995.6088333661</v>
      </c>
      <c r="M4" s="32">
        <v>231.16597485715258</v>
      </c>
      <c r="N4" s="5">
        <v>25</v>
      </c>
      <c r="O4" s="5">
        <v>89.333333333333329</v>
      </c>
      <c r="P4" s="32">
        <v>334.32133676382665</v>
      </c>
      <c r="Q4" s="5">
        <v>18.282517543318562</v>
      </c>
      <c r="R4" s="5">
        <v>4737.1325177346389</v>
      </c>
      <c r="S4" s="34"/>
      <c r="T4" s="23">
        <v>1614033.1485079911</v>
      </c>
      <c r="U4" s="32">
        <v>241.03738617141997</v>
      </c>
      <c r="V4" s="5">
        <v>12</v>
      </c>
      <c r="W4" s="5">
        <v>76.666666666666671</v>
      </c>
      <c r="X4" s="32">
        <v>765.20017995260775</v>
      </c>
      <c r="Y4" s="5">
        <v>52.655642233769662</v>
      </c>
      <c r="Z4" s="5">
        <v>6147.9171691383017</v>
      </c>
      <c r="AA4" s="34"/>
    </row>
    <row r="5" spans="2:27" x14ac:dyDescent="0.2">
      <c r="B5" s="4">
        <v>2</v>
      </c>
      <c r="C5" s="4">
        <v>91</v>
      </c>
      <c r="D5" s="23">
        <v>1146823.1314442391</v>
      </c>
      <c r="E5" s="32">
        <v>119.49519588568781</v>
      </c>
      <c r="F5" s="5">
        <v>13</v>
      </c>
      <c r="G5" s="23">
        <v>97.333333333333329</v>
      </c>
      <c r="H5" s="32">
        <v>446.77034431144881</v>
      </c>
      <c r="I5" s="23">
        <v>40.514144663178513</v>
      </c>
      <c r="J5" s="5">
        <v>5628.0147551633399</v>
      </c>
      <c r="K5" s="30"/>
      <c r="L5" s="23">
        <v>1455206.338067061</v>
      </c>
      <c r="M5" s="32">
        <v>159.87609437141302</v>
      </c>
      <c r="N5" s="5">
        <v>27</v>
      </c>
      <c r="O5" s="5">
        <v>90.666666666666671</v>
      </c>
      <c r="P5" s="32">
        <v>419.95544780812548</v>
      </c>
      <c r="Q5" s="5">
        <v>17.573534432564298</v>
      </c>
      <c r="R5" s="5">
        <v>4893.7714055963716</v>
      </c>
      <c r="S5" s="34"/>
      <c r="T5" s="23">
        <v>1671251.2294140239</v>
      </c>
      <c r="U5" s="32">
        <v>243.48896042859582</v>
      </c>
      <c r="V5" s="5">
        <v>10</v>
      </c>
      <c r="W5" s="5">
        <v>72.666666666666671</v>
      </c>
      <c r="X5" s="32">
        <v>713.35910918506329</v>
      </c>
      <c r="Y5" s="5">
        <v>56.456737029987629</v>
      </c>
      <c r="Z5" s="5">
        <v>6224.8296301273431</v>
      </c>
      <c r="AA5" s="34"/>
    </row>
    <row r="6" spans="2:27" x14ac:dyDescent="0.2">
      <c r="B6" s="4">
        <v>3</v>
      </c>
      <c r="C6" s="4">
        <v>386</v>
      </c>
      <c r="D6" s="23">
        <v>1105267.2258186559</v>
      </c>
      <c r="E6" s="32">
        <v>174.4455726857164</v>
      </c>
      <c r="F6" s="5">
        <v>12</v>
      </c>
      <c r="G6" s="23">
        <v>97.333333333333329</v>
      </c>
      <c r="H6" s="32">
        <v>424.45649397086817</v>
      </c>
      <c r="I6" s="23">
        <v>44.578549835074192</v>
      </c>
      <c r="J6" s="5">
        <v>5517.2366609967421</v>
      </c>
      <c r="K6" s="30"/>
      <c r="L6" s="23">
        <v>1471923.378224306</v>
      </c>
      <c r="M6" s="32">
        <v>173.65950008571548</v>
      </c>
      <c r="N6" s="5">
        <v>23</v>
      </c>
      <c r="O6" s="5">
        <v>85.333333333333329</v>
      </c>
      <c r="P6" s="32">
        <v>283.88626824540006</v>
      </c>
      <c r="Q6" s="5">
        <v>18.578019742431501</v>
      </c>
      <c r="R6" s="5">
        <v>4759.9969436308511</v>
      </c>
      <c r="S6" s="34"/>
      <c r="T6" s="23">
        <v>1616611.708101813</v>
      </c>
      <c r="U6" s="32">
        <v>260.0620786856993</v>
      </c>
      <c r="V6" s="5">
        <v>12</v>
      </c>
      <c r="W6" s="5">
        <v>78</v>
      </c>
      <c r="X6" s="32">
        <v>819.3008151080694</v>
      </c>
      <c r="Y6" s="5">
        <v>54.398063915048652</v>
      </c>
      <c r="Z6" s="5">
        <v>6342.1946792859753</v>
      </c>
      <c r="AA6" s="34"/>
    </row>
    <row r="7" spans="2:27" x14ac:dyDescent="0.2">
      <c r="B7" s="4">
        <v>4</v>
      </c>
      <c r="C7" s="4">
        <v>123</v>
      </c>
      <c r="D7" s="23">
        <v>1153879.356367029</v>
      </c>
      <c r="E7" s="32">
        <v>400.87846131429887</v>
      </c>
      <c r="F7" s="5">
        <v>13</v>
      </c>
      <c r="G7" s="23">
        <v>97.333333333333329</v>
      </c>
      <c r="H7" s="32">
        <v>449.32724337652388</v>
      </c>
      <c r="I7" s="23">
        <v>38.866617851173523</v>
      </c>
      <c r="J7" s="5">
        <v>5649.0737875519389</v>
      </c>
      <c r="K7" s="30"/>
      <c r="L7" s="23">
        <v>1454076.6447243011</v>
      </c>
      <c r="M7" s="32">
        <v>307.60758768570889</v>
      </c>
      <c r="N7" s="5">
        <v>22</v>
      </c>
      <c r="O7" s="5">
        <v>84.666666666666671</v>
      </c>
      <c r="P7" s="32">
        <v>242.34458859147179</v>
      </c>
      <c r="Q7" s="5">
        <v>19.853921606373163</v>
      </c>
      <c r="R7" s="5">
        <v>4696.9514310093391</v>
      </c>
      <c r="S7" s="34"/>
      <c r="T7" s="23">
        <v>1551824.6762481681</v>
      </c>
      <c r="U7" s="32">
        <v>149.49722728572254</v>
      </c>
      <c r="V7" s="5">
        <v>13</v>
      </c>
      <c r="W7" s="5">
        <v>84.666666666666671</v>
      </c>
      <c r="X7" s="32">
        <v>1174.375430995932</v>
      </c>
      <c r="Y7" s="5">
        <v>59.22650735936994</v>
      </c>
      <c r="Z7" s="5">
        <v>6645.8406816055913</v>
      </c>
      <c r="AA7" s="34"/>
    </row>
    <row r="8" spans="2:27" x14ac:dyDescent="0.2">
      <c r="B8" s="4">
        <v>5</v>
      </c>
      <c r="C8" s="4">
        <v>224</v>
      </c>
      <c r="D8" s="23">
        <v>1104429.7339266031</v>
      </c>
      <c r="E8" s="32">
        <v>372.64677565714481</v>
      </c>
      <c r="F8" s="5">
        <v>12</v>
      </c>
      <c r="G8" s="23">
        <v>97.333333333333329</v>
      </c>
      <c r="H8" s="32">
        <v>406.04628079325568</v>
      </c>
      <c r="I8" s="23">
        <v>44.782398271627066</v>
      </c>
      <c r="J8" s="5">
        <v>5507.8476416026906</v>
      </c>
      <c r="K8" s="30"/>
      <c r="L8" s="23">
        <v>1429924.0807350101</v>
      </c>
      <c r="M8" s="32">
        <v>338.13718577141742</v>
      </c>
      <c r="N8" s="5">
        <v>24</v>
      </c>
      <c r="O8" s="5">
        <v>88</v>
      </c>
      <c r="P8" s="32">
        <v>322.95883552342286</v>
      </c>
      <c r="Q8" s="5">
        <v>18.858361492680505</v>
      </c>
      <c r="R8" s="5">
        <v>4769.6423752999626</v>
      </c>
      <c r="S8" s="34"/>
      <c r="T8" s="23">
        <v>1601554.4862650479</v>
      </c>
      <c r="U8" s="32">
        <v>420.86541814287199</v>
      </c>
      <c r="V8" s="5">
        <v>13</v>
      </c>
      <c r="W8" s="5">
        <v>80.666666666666671</v>
      </c>
      <c r="X8" s="32">
        <v>1010.8371601152353</v>
      </c>
      <c r="Y8" s="5">
        <v>53.732780246056976</v>
      </c>
      <c r="Z8" s="5">
        <v>6450.9737091748311</v>
      </c>
      <c r="AA8" s="34"/>
    </row>
    <row r="9" spans="2:27" x14ac:dyDescent="0.2">
      <c r="B9" s="4">
        <v>6</v>
      </c>
      <c r="C9" s="4">
        <v>551</v>
      </c>
      <c r="D9" s="23">
        <v>1103871.40421294</v>
      </c>
      <c r="E9" s="32">
        <v>173.28067108569667</v>
      </c>
      <c r="F9" s="5">
        <v>12</v>
      </c>
      <c r="G9" s="23">
        <v>97.333333333333329</v>
      </c>
      <c r="H9" s="32">
        <v>420.53132136540376</v>
      </c>
      <c r="I9" s="23">
        <v>44.919165740790788</v>
      </c>
      <c r="J9" s="5">
        <v>5505.3797019422382</v>
      </c>
      <c r="K9" s="30"/>
      <c r="L9" s="23">
        <v>1441560.851075056</v>
      </c>
      <c r="M9" s="32">
        <v>546.15927157145256</v>
      </c>
      <c r="N9" s="5">
        <v>29</v>
      </c>
      <c r="O9" s="5">
        <v>93.333333333333329</v>
      </c>
      <c r="P9" s="32">
        <v>444.72889697173588</v>
      </c>
      <c r="Q9" s="5">
        <v>16.900188557230486</v>
      </c>
      <c r="R9" s="5">
        <v>4913.5167935582249</v>
      </c>
      <c r="S9" s="34"/>
      <c r="T9" s="23">
        <v>1646448.3335220569</v>
      </c>
      <c r="U9" s="32">
        <v>508.12311302857199</v>
      </c>
      <c r="V9" s="5">
        <v>12</v>
      </c>
      <c r="W9" s="5">
        <v>76</v>
      </c>
      <c r="X9" s="32">
        <v>882.53470592684687</v>
      </c>
      <c r="Y9" s="5">
        <v>53.027038904281987</v>
      </c>
      <c r="Z9" s="5">
        <v>6246.9293946106263</v>
      </c>
      <c r="AA9" s="34"/>
    </row>
    <row r="10" spans="2:27" x14ac:dyDescent="0.2">
      <c r="B10" s="4">
        <v>7</v>
      </c>
      <c r="C10" s="4">
        <v>419</v>
      </c>
      <c r="D10" s="23">
        <v>1144446.8994687509</v>
      </c>
      <c r="E10" s="32">
        <v>129.83595508573177</v>
      </c>
      <c r="F10" s="5">
        <v>13</v>
      </c>
      <c r="G10" s="23">
        <v>97.333333333333329</v>
      </c>
      <c r="H10" s="32">
        <v>481.27531583508744</v>
      </c>
      <c r="I10" s="23">
        <v>41.131720527764614</v>
      </c>
      <c r="J10" s="5">
        <v>5616.1213444227897</v>
      </c>
      <c r="K10" s="30"/>
      <c r="L10" s="23">
        <v>1420010.2639820089</v>
      </c>
      <c r="M10" s="32">
        <v>416.02636271429117</v>
      </c>
      <c r="N10" s="5">
        <v>28</v>
      </c>
      <c r="O10" s="5">
        <v>92</v>
      </c>
      <c r="P10" s="32">
        <v>318.34530089906463</v>
      </c>
      <c r="Q10" s="5">
        <v>17.389799045502507</v>
      </c>
      <c r="R10" s="5">
        <v>4767.7833643327158</v>
      </c>
      <c r="S10" s="34"/>
      <c r="T10" s="23">
        <v>1643727.364543824</v>
      </c>
      <c r="U10" s="32">
        <v>261.01649485714734</v>
      </c>
      <c r="V10" s="5">
        <v>12</v>
      </c>
      <c r="W10" s="5">
        <v>76.666666666666671</v>
      </c>
      <c r="X10" s="32">
        <v>814.0358599632491</v>
      </c>
      <c r="Y10" s="5">
        <v>49.749873212040349</v>
      </c>
      <c r="Z10" s="5">
        <v>6297.9831574348027</v>
      </c>
      <c r="AA10" s="34"/>
    </row>
    <row r="11" spans="2:27" x14ac:dyDescent="0.2">
      <c r="B11" s="4">
        <v>8</v>
      </c>
      <c r="C11" s="4">
        <v>865</v>
      </c>
      <c r="D11" s="23">
        <v>1130358.3089885891</v>
      </c>
      <c r="E11" s="32">
        <v>431.65756039999968</v>
      </c>
      <c r="F11" s="5">
        <v>13</v>
      </c>
      <c r="G11" s="23">
        <v>97.333333333333329</v>
      </c>
      <c r="H11" s="32">
        <v>359.29197427225313</v>
      </c>
      <c r="I11" s="23">
        <v>40.716663795167051</v>
      </c>
      <c r="J11" s="5">
        <v>5583.4525315343026</v>
      </c>
      <c r="K11" s="30"/>
      <c r="L11" s="23">
        <v>1434713.5453543901</v>
      </c>
      <c r="M11" s="32">
        <v>235.41677997141545</v>
      </c>
      <c r="N11" s="5">
        <v>23</v>
      </c>
      <c r="O11" s="5">
        <v>86</v>
      </c>
      <c r="P11" s="32">
        <v>240.65480528412959</v>
      </c>
      <c r="Q11" s="5">
        <v>19.064017865477503</v>
      </c>
      <c r="R11" s="5">
        <v>4610.4932368344107</v>
      </c>
      <c r="S11" s="34"/>
      <c r="T11" s="23">
        <v>1671923.3436721</v>
      </c>
      <c r="U11" s="32">
        <v>127.03200282858286</v>
      </c>
      <c r="V11" s="5">
        <v>10</v>
      </c>
      <c r="W11" s="5">
        <v>72.666666666666671</v>
      </c>
      <c r="X11" s="32">
        <v>655.11564376926083</v>
      </c>
      <c r="Y11" s="5">
        <v>55.979865570371373</v>
      </c>
      <c r="Z11" s="5">
        <v>6223.6300078750146</v>
      </c>
      <c r="AA11" s="34"/>
    </row>
    <row r="12" spans="2:27" x14ac:dyDescent="0.2">
      <c r="B12" s="4">
        <v>9</v>
      </c>
      <c r="C12" s="4">
        <v>987</v>
      </c>
      <c r="D12" s="23">
        <v>1110824.7087799211</v>
      </c>
      <c r="E12" s="32">
        <v>396.46757117143289</v>
      </c>
      <c r="F12" s="5">
        <v>12</v>
      </c>
      <c r="G12" s="23">
        <v>97.333333333333329</v>
      </c>
      <c r="H12" s="32">
        <v>355.75722259092066</v>
      </c>
      <c r="I12" s="23">
        <v>43.196030114472229</v>
      </c>
      <c r="J12" s="5">
        <v>5552.5888205708088</v>
      </c>
      <c r="K12" s="30"/>
      <c r="L12" s="23">
        <v>1441229.9797634401</v>
      </c>
      <c r="M12" s="32">
        <v>305.26231288573973</v>
      </c>
      <c r="N12" s="5">
        <v>29</v>
      </c>
      <c r="O12" s="5">
        <v>93.333333333333329</v>
      </c>
      <c r="P12" s="32">
        <v>420.48258294180431</v>
      </c>
      <c r="Q12" s="5">
        <v>16.818196423538655</v>
      </c>
      <c r="R12" s="5">
        <v>4894.8565765420744</v>
      </c>
      <c r="S12" s="34"/>
      <c r="T12" s="23">
        <v>1636908.5609983189</v>
      </c>
      <c r="U12" s="32">
        <v>132.27904111426324</v>
      </c>
      <c r="V12" s="5">
        <v>12</v>
      </c>
      <c r="W12" s="5">
        <v>76</v>
      </c>
      <c r="X12" s="32">
        <v>850.89735877754083</v>
      </c>
      <c r="Y12" s="5">
        <v>53.370433315774669</v>
      </c>
      <c r="Z12" s="5">
        <v>6244.2542736962678</v>
      </c>
      <c r="AA12" s="34"/>
    </row>
    <row r="13" spans="2:27" x14ac:dyDescent="0.2">
      <c r="B13" s="4">
        <v>10</v>
      </c>
      <c r="C13" s="4">
        <v>549</v>
      </c>
      <c r="D13" s="23">
        <v>1112621.773027976</v>
      </c>
      <c r="E13" s="32">
        <v>328.49633654286828</v>
      </c>
      <c r="F13" s="5">
        <v>12</v>
      </c>
      <c r="G13" s="23">
        <v>97.333333333333329</v>
      </c>
      <c r="H13" s="32">
        <v>393.43292954173324</v>
      </c>
      <c r="I13" s="23">
        <v>43.964622777234837</v>
      </c>
      <c r="J13" s="5">
        <v>5564.4744257532038</v>
      </c>
      <c r="K13" s="30"/>
      <c r="L13" s="23">
        <v>1434530.051847005</v>
      </c>
      <c r="M13" s="32">
        <v>319.187994085718</v>
      </c>
      <c r="N13" s="5">
        <v>26</v>
      </c>
      <c r="O13" s="5">
        <v>90.666666666666671</v>
      </c>
      <c r="P13" s="32">
        <v>414.04586643799223</v>
      </c>
      <c r="Q13" s="5">
        <v>17.9625781724211</v>
      </c>
      <c r="R13" s="5">
        <v>4849.2471463004322</v>
      </c>
      <c r="S13" s="34"/>
      <c r="T13" s="23">
        <v>1551801.533883824</v>
      </c>
      <c r="U13" s="32">
        <v>485.40592708571688</v>
      </c>
      <c r="V13" s="5">
        <v>14</v>
      </c>
      <c r="W13" s="5">
        <v>83.333333333333329</v>
      </c>
      <c r="X13" s="32">
        <v>1018.9505832739097</v>
      </c>
      <c r="Y13" s="5">
        <v>52.957038722086324</v>
      </c>
      <c r="Z13" s="5">
        <v>6395.9601303384015</v>
      </c>
      <c r="AA13" s="34"/>
    </row>
    <row r="14" spans="2:27" x14ac:dyDescent="0.2">
      <c r="B14" s="47" t="s">
        <v>3</v>
      </c>
      <c r="C14" s="48"/>
      <c r="D14" s="9">
        <f>MIN(D4:D13)</f>
        <v>1103871.40421294</v>
      </c>
      <c r="E14" s="22">
        <f>INDEX(E4:E13, MATCH($D$14, D4:D13, 0))</f>
        <v>173.28067108569667</v>
      </c>
      <c r="F14" s="9">
        <f>INDEX(F4:F13, MATCH($D$14, D4:D13, 0))</f>
        <v>12</v>
      </c>
      <c r="G14" s="9">
        <f>INDEX(G4:G13, MATCH($D$14, D4:D13, 0))</f>
        <v>97.333333333333329</v>
      </c>
      <c r="H14" s="22">
        <f>INDEX(H4:H13, MATCH($D$14, D4:D13, 0))</f>
        <v>420.53132136540376</v>
      </c>
      <c r="I14" s="22">
        <f>INDEX(I4:I13, MATCH($D$14, D4:D13, 0))</f>
        <v>44.919165740790788</v>
      </c>
      <c r="J14" s="22">
        <f>INDEX(J4:J13, MATCH($D$14, D4:D13, 0))</f>
        <v>5505.3797019422382</v>
      </c>
      <c r="K14" s="31" t="e">
        <f>(D14-$D$15)/$D$15</f>
        <v>#DIV/0!</v>
      </c>
      <c r="L14" s="16">
        <f>MIN(L4:L13)</f>
        <v>1420010.2639820089</v>
      </c>
      <c r="M14" s="21">
        <f>INDEX(M4:M13, MATCH($L$14, L4:L13, 0))</f>
        <v>416.02636271429117</v>
      </c>
      <c r="N14" s="16">
        <f>INDEX(N4:N13, MATCH($L$14, L4:L13, 0))</f>
        <v>28</v>
      </c>
      <c r="O14" s="16">
        <f>INDEX(O4:O13, MATCH($L$14, L4:L13, 0))</f>
        <v>92</v>
      </c>
      <c r="P14" s="21">
        <f>INDEX(P4:P13, MATCH($L$14, L4:L13, 0))</f>
        <v>318.34530089906463</v>
      </c>
      <c r="Q14" s="21">
        <f>INDEX(Q4:Q13, MATCH($L$14, L4:L13, 0))</f>
        <v>17.389799045502507</v>
      </c>
      <c r="R14" s="21">
        <f>INDEX(R4:R13, MATCH($L$14, L4:L13, 0))</f>
        <v>4767.7833643327158</v>
      </c>
      <c r="S14" s="35" t="e">
        <f>(L14-$D$15)/$D$15</f>
        <v>#DIV/0!</v>
      </c>
      <c r="T14" s="37">
        <f>MIN(T4:T13)</f>
        <v>1551801.533883824</v>
      </c>
      <c r="U14" s="38">
        <f>INDEX(U4:U13, MATCH($T$14, T4:T13, 0))</f>
        <v>485.40592708571688</v>
      </c>
      <c r="V14" s="37">
        <f>INDEX(V4:V13, MATCH($T$14, T4:T13, 0))</f>
        <v>14</v>
      </c>
      <c r="W14" s="37">
        <f>INDEX(W4:W13, MATCH($T$14, T4:T13, 0))</f>
        <v>83.333333333333329</v>
      </c>
      <c r="X14" s="38">
        <f>INDEX(X4:X13, MATCH($T$14, T4:T13, 0))</f>
        <v>1018.9505832739097</v>
      </c>
      <c r="Y14" s="38">
        <f>INDEX(Y4:Y13, MATCH($T$14, T4:T13, 0))</f>
        <v>52.957038722086324</v>
      </c>
      <c r="Z14" s="38">
        <f>INDEX(Z4:Z13, MATCH($T$14, T4:T13, 0))</f>
        <v>6395.9601303384015</v>
      </c>
      <c r="AA14" s="39" t="e">
        <f>(T14-$D$15)/$D$15</f>
        <v>#DIV/0!</v>
      </c>
    </row>
    <row r="15" spans="2:27" x14ac:dyDescent="0.2">
      <c r="C15" s="1" t="s">
        <v>17</v>
      </c>
      <c r="D15" s="33"/>
      <c r="E15" s="3"/>
      <c r="F15" s="3"/>
      <c r="G15" s="3"/>
      <c r="H15" s="3"/>
      <c r="I15" s="3"/>
      <c r="J15" s="3"/>
      <c r="K15" s="3"/>
      <c r="L15" s="40">
        <f>(L14-D14)/D14</f>
        <v>0.28639102214489903</v>
      </c>
      <c r="M15" s="40">
        <f t="shared" ref="M15:R15" si="0">(M14-E14)/E14</f>
        <v>1.400881529992134</v>
      </c>
      <c r="N15" s="40">
        <f t="shared" si="0"/>
        <v>1.3333333333333333</v>
      </c>
      <c r="O15" s="40">
        <f t="shared" si="0"/>
        <v>-5.4794520547945161E-2</v>
      </c>
      <c r="P15" s="40">
        <f t="shared" si="0"/>
        <v>-0.24299265066524903</v>
      </c>
      <c r="Q15" s="40">
        <f t="shared" si="0"/>
        <v>-0.61286460336659931</v>
      </c>
      <c r="R15" s="40">
        <f t="shared" si="0"/>
        <v>-0.13397737804520665</v>
      </c>
      <c r="T15" s="40">
        <f>(T14-D14)/D14</f>
        <v>0.40578107917403483</v>
      </c>
      <c r="U15" s="40">
        <f t="shared" ref="U15:Z15" si="1">(U14-E14)/E14</f>
        <v>1.8012698937763081</v>
      </c>
      <c r="V15" s="40">
        <f t="shared" si="1"/>
        <v>0.16666666666666666</v>
      </c>
      <c r="W15" s="40">
        <f t="shared" si="1"/>
        <v>-0.14383561643835618</v>
      </c>
      <c r="X15" s="40">
        <f t="shared" si="1"/>
        <v>1.4230075894597483</v>
      </c>
      <c r="Y15" s="40">
        <f t="shared" si="1"/>
        <v>0.17894083402346891</v>
      </c>
      <c r="Z15" s="40">
        <f t="shared" si="1"/>
        <v>0.16176548696213927</v>
      </c>
    </row>
    <row r="16" spans="2:27" x14ac:dyDescent="0.2">
      <c r="D16" s="2"/>
    </row>
    <row r="17" spans="4:21" x14ac:dyDescent="0.2">
      <c r="D17" s="2"/>
    </row>
    <row r="20" spans="4:21" x14ac:dyDescent="0.2">
      <c r="E20"/>
      <c r="M20"/>
      <c r="U20"/>
    </row>
    <row r="21" spans="4:21" x14ac:dyDescent="0.2">
      <c r="E21"/>
      <c r="M21"/>
      <c r="U21"/>
    </row>
    <row r="22" spans="4:21" x14ac:dyDescent="0.2">
      <c r="E22"/>
      <c r="M22"/>
      <c r="U22"/>
    </row>
    <row r="23" spans="4:21" x14ac:dyDescent="0.2">
      <c r="E23"/>
      <c r="M23"/>
      <c r="U23"/>
    </row>
    <row r="24" spans="4:21" x14ac:dyDescent="0.2">
      <c r="E24"/>
      <c r="M24"/>
      <c r="U24"/>
    </row>
    <row r="25" spans="4:21" x14ac:dyDescent="0.2">
      <c r="E25"/>
      <c r="M25"/>
      <c r="U25"/>
    </row>
    <row r="26" spans="4:21" x14ac:dyDescent="0.2">
      <c r="E26"/>
      <c r="M26"/>
      <c r="U26"/>
    </row>
    <row r="27" spans="4:21" x14ac:dyDescent="0.2">
      <c r="E27"/>
      <c r="M27"/>
      <c r="U27"/>
    </row>
    <row r="28" spans="4:21" x14ac:dyDescent="0.2">
      <c r="E28"/>
      <c r="M28"/>
      <c r="U28"/>
    </row>
    <row r="29" spans="4:21" x14ac:dyDescent="0.2">
      <c r="E29"/>
      <c r="M29"/>
      <c r="U29"/>
    </row>
  </sheetData>
  <mergeCells count="1">
    <mergeCell ref="B14:C14"/>
  </mergeCells>
  <conditionalFormatting sqref="C1:C13 C16 C41:C1048576">
    <cfRule type="duplicateValues" dxfId="81" priority="9"/>
    <cfRule type="duplicateValues" dxfId="80" priority="10"/>
  </conditionalFormatting>
  <conditionalFormatting sqref="C14">
    <cfRule type="duplicateValues" dxfId="79" priority="7"/>
    <cfRule type="duplicateValues" dxfId="78" priority="8"/>
  </conditionalFormatting>
  <conditionalFormatting sqref="C15">
    <cfRule type="duplicateValues" dxfId="77" priority="5"/>
    <cfRule type="duplicateValues" dxfId="76" priority="6"/>
  </conditionalFormatting>
  <conditionalFormatting sqref="C17:C19 C30:C40">
    <cfRule type="duplicateValues" dxfId="75" priority="3"/>
    <cfRule type="duplicateValues" dxfId="74" priority="4"/>
  </conditionalFormatting>
  <conditionalFormatting sqref="C20:C29">
    <cfRule type="duplicateValues" dxfId="7" priority="1"/>
    <cfRule type="duplicateValues" dxfId="6" priority="2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15D5A-74F1-4061-9D71-C8B5CC369AA4}">
  <dimension ref="B1:AA29"/>
  <sheetViews>
    <sheetView zoomScale="80" zoomScaleNormal="80" workbookViewId="0">
      <selection activeCell="U19" sqref="U19:U38"/>
    </sheetView>
  </sheetViews>
  <sheetFormatPr baseColWidth="10" defaultColWidth="10.83203125" defaultRowHeight="16" x14ac:dyDescent="0.2"/>
  <cols>
    <col min="1" max="1" width="3.83203125" style="1" customWidth="1"/>
    <col min="2" max="2" width="8.1640625" style="1" bestFit="1" customWidth="1"/>
    <col min="3" max="3" width="5.1640625" style="1" bestFit="1" customWidth="1"/>
    <col min="4" max="4" width="16.6640625" style="1" customWidth="1"/>
    <col min="5" max="5" width="9.5" style="1" bestFit="1" customWidth="1"/>
    <col min="6" max="6" width="9.1640625" style="1" bestFit="1" customWidth="1"/>
    <col min="7" max="7" width="18.33203125" style="1" bestFit="1" customWidth="1"/>
    <col min="8" max="8" width="19.33203125" style="1" bestFit="1" customWidth="1"/>
    <col min="9" max="9" width="24.83203125" style="1" bestFit="1" customWidth="1"/>
    <col min="10" max="10" width="18.6640625" style="1" bestFit="1" customWidth="1"/>
    <col min="11" max="11" width="12.6640625" style="1" customWidth="1"/>
    <col min="12" max="12" width="12.6640625" style="1" bestFit="1" customWidth="1"/>
    <col min="13" max="13" width="11.33203125" style="1" bestFit="1" customWidth="1"/>
    <col min="14" max="14" width="10.83203125" style="1"/>
    <col min="15" max="15" width="18.33203125" style="1" bestFit="1" customWidth="1"/>
    <col min="16" max="16" width="19.33203125" style="1" bestFit="1" customWidth="1"/>
    <col min="17" max="17" width="24.83203125" style="1" bestFit="1" customWidth="1"/>
    <col min="18" max="18" width="18" style="1" bestFit="1" customWidth="1"/>
    <col min="19" max="19" width="10.83203125" style="1"/>
    <col min="20" max="20" width="12.6640625" style="1" bestFit="1" customWidth="1"/>
    <col min="21" max="22" width="10.83203125" style="1"/>
    <col min="23" max="23" width="18.33203125" style="1" bestFit="1" customWidth="1"/>
    <col min="24" max="24" width="19.33203125" style="1" bestFit="1" customWidth="1"/>
    <col min="25" max="25" width="24.83203125" style="1" bestFit="1" customWidth="1"/>
    <col min="26" max="26" width="18" style="1" bestFit="1" customWidth="1"/>
    <col min="27" max="16384" width="10.83203125" style="1"/>
  </cols>
  <sheetData>
    <row r="1" spans="2:27" x14ac:dyDescent="0.2">
      <c r="D1" s="1" t="s">
        <v>14</v>
      </c>
    </row>
    <row r="2" spans="2:27" x14ac:dyDescent="0.2">
      <c r="B2" s="1" t="s">
        <v>18</v>
      </c>
      <c r="D2" s="29">
        <v>150</v>
      </c>
      <c r="H2" s="28">
        <f>(Q14-H14)/H14</f>
        <v>-0.83269859677274982</v>
      </c>
      <c r="J2" s="28" t="e">
        <f>(S14-J14)/J14</f>
        <v>#DIV/0!</v>
      </c>
      <c r="K2" s="28"/>
      <c r="L2" s="1" t="s">
        <v>19</v>
      </c>
      <c r="P2" s="1">
        <f>(P14-H14)/H14</f>
        <v>0.74347611951382298</v>
      </c>
      <c r="R2" s="1">
        <f>(R14-J14)/J14</f>
        <v>-0.1307422085951436</v>
      </c>
      <c r="T2" s="1" t="s">
        <v>20</v>
      </c>
      <c r="X2" s="1">
        <f>(X14-P14)/P14</f>
        <v>3.4163584134865772</v>
      </c>
      <c r="Z2" s="1">
        <f>(Z14-R14)/R14</f>
        <v>0.39390702709074432</v>
      </c>
    </row>
    <row r="3" spans="2:27" x14ac:dyDescent="0.2">
      <c r="B3" s="8" t="s">
        <v>7</v>
      </c>
      <c r="C3" s="8" t="s">
        <v>4</v>
      </c>
      <c r="D3" s="8" t="s">
        <v>0</v>
      </c>
      <c r="E3" s="8" t="s">
        <v>5</v>
      </c>
      <c r="F3" s="8" t="s">
        <v>12</v>
      </c>
      <c r="G3" s="8" t="s">
        <v>15</v>
      </c>
      <c r="H3" s="8" t="s">
        <v>11</v>
      </c>
      <c r="I3" s="8" t="s">
        <v>16</v>
      </c>
      <c r="J3" s="8" t="s">
        <v>10</v>
      </c>
      <c r="K3" s="8" t="s">
        <v>1</v>
      </c>
      <c r="L3" s="15" t="s">
        <v>0</v>
      </c>
      <c r="M3" s="15" t="s">
        <v>5</v>
      </c>
      <c r="N3" s="15" t="s">
        <v>12</v>
      </c>
      <c r="O3" s="15" t="s">
        <v>15</v>
      </c>
      <c r="P3" s="15" t="s">
        <v>11</v>
      </c>
      <c r="Q3" s="15" t="s">
        <v>16</v>
      </c>
      <c r="R3" s="15" t="s">
        <v>10</v>
      </c>
      <c r="S3" s="15" t="s">
        <v>1</v>
      </c>
      <c r="T3" s="36" t="s">
        <v>0</v>
      </c>
      <c r="U3" s="36" t="s">
        <v>5</v>
      </c>
      <c r="V3" s="36" t="s">
        <v>12</v>
      </c>
      <c r="W3" s="36" t="s">
        <v>15</v>
      </c>
      <c r="X3" s="36" t="s">
        <v>11</v>
      </c>
      <c r="Y3" s="36" t="s">
        <v>16</v>
      </c>
      <c r="Z3" s="36" t="s">
        <v>10</v>
      </c>
      <c r="AA3" s="36" t="s">
        <v>1</v>
      </c>
    </row>
    <row r="4" spans="2:27" x14ac:dyDescent="0.2">
      <c r="B4" s="4">
        <v>1</v>
      </c>
      <c r="C4" s="4">
        <v>241</v>
      </c>
      <c r="D4" s="23">
        <v>1026170.957109555</v>
      </c>
      <c r="E4" s="32">
        <v>63.485110028580372</v>
      </c>
      <c r="F4" s="5">
        <v>10</v>
      </c>
      <c r="G4" s="23">
        <v>94.666666666666671</v>
      </c>
      <c r="H4" s="32">
        <v>95.312927589863449</v>
      </c>
      <c r="I4" s="23">
        <v>44.88222777102694</v>
      </c>
      <c r="J4" s="5">
        <v>5022.9051804854416</v>
      </c>
      <c r="K4" s="30"/>
      <c r="L4" s="23">
        <v>1394182.1743734761</v>
      </c>
      <c r="M4" s="32">
        <v>382.13640337144682</v>
      </c>
      <c r="N4" s="5">
        <v>23</v>
      </c>
      <c r="O4" s="5">
        <v>86</v>
      </c>
      <c r="P4" s="32">
        <v>213.66499301433336</v>
      </c>
      <c r="Q4" s="5">
        <v>17.186170702332436</v>
      </c>
      <c r="R4" s="5">
        <v>4344.6752592199482</v>
      </c>
      <c r="S4" s="34"/>
      <c r="T4" s="23">
        <v>1453648.657025554</v>
      </c>
      <c r="U4" s="32">
        <v>83.712785200016313</v>
      </c>
      <c r="V4" s="5">
        <v>12</v>
      </c>
      <c r="W4" s="5">
        <v>84.666666666666671</v>
      </c>
      <c r="X4" s="32">
        <v>739.39564732211045</v>
      </c>
      <c r="Y4" s="5">
        <v>55.423558320528223</v>
      </c>
      <c r="Z4" s="5">
        <v>6232.0123158548004</v>
      </c>
      <c r="AA4" s="34"/>
    </row>
    <row r="5" spans="2:27" x14ac:dyDescent="0.2">
      <c r="B5" s="4">
        <v>2</v>
      </c>
      <c r="C5" s="4">
        <v>642</v>
      </c>
      <c r="D5" s="23">
        <v>1025338.417553267</v>
      </c>
      <c r="E5" s="32">
        <v>63.048735942857888</v>
      </c>
      <c r="F5" s="5">
        <v>10</v>
      </c>
      <c r="G5" s="23">
        <v>94.666666666666671</v>
      </c>
      <c r="H5" s="32">
        <v>115.38196080028182</v>
      </c>
      <c r="I5" s="23">
        <v>44.728206790188416</v>
      </c>
      <c r="J5" s="5">
        <v>5000.8325810834858</v>
      </c>
      <c r="K5" s="30"/>
      <c r="L5" s="23">
        <v>1392159.4936784159</v>
      </c>
      <c r="M5" s="32">
        <v>401.32811814283826</v>
      </c>
      <c r="N5" s="5">
        <v>23</v>
      </c>
      <c r="O5" s="5">
        <v>86.666666666666671</v>
      </c>
      <c r="P5" s="32">
        <v>214.50434494721671</v>
      </c>
      <c r="Q5" s="5">
        <v>17.265370323495961</v>
      </c>
      <c r="R5" s="5">
        <v>4420.9729578531933</v>
      </c>
      <c r="S5" s="34"/>
      <c r="T5" s="23">
        <v>1447184.9643461469</v>
      </c>
      <c r="U5" s="32">
        <v>105.523361771434</v>
      </c>
      <c r="V5" s="5">
        <v>12</v>
      </c>
      <c r="W5" s="5">
        <v>82</v>
      </c>
      <c r="X5" s="32">
        <v>472.45007534385064</v>
      </c>
      <c r="Y5" s="5">
        <v>52.393326182536121</v>
      </c>
      <c r="Z5" s="5">
        <v>5874.5055766542182</v>
      </c>
      <c r="AA5" s="34"/>
    </row>
    <row r="6" spans="2:27" x14ac:dyDescent="0.2">
      <c r="B6" s="4">
        <v>3</v>
      </c>
      <c r="C6" s="4">
        <v>372</v>
      </c>
      <c r="D6" s="23">
        <v>1024175.007898443</v>
      </c>
      <c r="E6" s="32">
        <v>144.64367460000463</v>
      </c>
      <c r="F6" s="5">
        <v>10</v>
      </c>
      <c r="G6" s="23">
        <v>94.666666666666671</v>
      </c>
      <c r="H6" s="32">
        <v>100.46421131975723</v>
      </c>
      <c r="I6" s="23">
        <v>44.611476784556956</v>
      </c>
      <c r="J6" s="5">
        <v>5001.047323829066</v>
      </c>
      <c r="K6" s="30"/>
      <c r="L6" s="23">
        <v>1379455.6482397059</v>
      </c>
      <c r="M6" s="32">
        <v>580.21297977142979</v>
      </c>
      <c r="N6" s="5">
        <v>22</v>
      </c>
      <c r="O6" s="5">
        <v>85.333333333333329</v>
      </c>
      <c r="P6" s="32">
        <v>157.62075587265014</v>
      </c>
      <c r="Q6" s="5">
        <v>17.595026941370715</v>
      </c>
      <c r="R6" s="5">
        <v>4278.3661593335746</v>
      </c>
      <c r="S6" s="34"/>
      <c r="T6" s="23">
        <v>1511644.4338612049</v>
      </c>
      <c r="U6" s="32">
        <v>58.608705685740055</v>
      </c>
      <c r="V6" s="5">
        <v>10</v>
      </c>
      <c r="W6" s="5">
        <v>78.666666666666671</v>
      </c>
      <c r="X6" s="32">
        <v>466.22946101016913</v>
      </c>
      <c r="Y6" s="5">
        <v>58.816111449052265</v>
      </c>
      <c r="Z6" s="5">
        <v>6083.110229530701</v>
      </c>
      <c r="AA6" s="34"/>
    </row>
    <row r="7" spans="2:27" x14ac:dyDescent="0.2">
      <c r="B7" s="4">
        <v>4</v>
      </c>
      <c r="C7" s="4">
        <v>366</v>
      </c>
      <c r="D7" s="23">
        <v>1025314.449158033</v>
      </c>
      <c r="E7" s="32">
        <v>169.05462191430186</v>
      </c>
      <c r="F7" s="5">
        <v>10</v>
      </c>
      <c r="G7" s="23">
        <v>94.666666666666671</v>
      </c>
      <c r="H7" s="32">
        <v>110.59700676534779</v>
      </c>
      <c r="I7" s="23">
        <v>44.793285702455101</v>
      </c>
      <c r="J7" s="5">
        <v>5000.218249330037</v>
      </c>
      <c r="K7" s="30"/>
      <c r="L7" s="23">
        <v>1439549.566029696</v>
      </c>
      <c r="M7" s="32">
        <v>190.32300374284387</v>
      </c>
      <c r="N7" s="5">
        <v>19</v>
      </c>
      <c r="O7" s="5">
        <v>79.333333333333329</v>
      </c>
      <c r="P7" s="32">
        <v>96.173177103604175</v>
      </c>
      <c r="Q7" s="5">
        <v>18.749152371540887</v>
      </c>
      <c r="R7" s="5">
        <v>4124.9344113346233</v>
      </c>
      <c r="S7" s="34"/>
      <c r="T7" s="23">
        <v>1476111.544065909</v>
      </c>
      <c r="U7" s="32">
        <v>178.44734211429022</v>
      </c>
      <c r="V7" s="5">
        <v>13</v>
      </c>
      <c r="W7" s="5">
        <v>83.333333333333329</v>
      </c>
      <c r="X7" s="32">
        <v>646.9595939168446</v>
      </c>
      <c r="Y7" s="5">
        <v>49.325485377231104</v>
      </c>
      <c r="Z7" s="5">
        <v>6113.2310150917319</v>
      </c>
      <c r="AA7" s="34"/>
    </row>
    <row r="8" spans="2:27" x14ac:dyDescent="0.2">
      <c r="B8" s="4">
        <v>5</v>
      </c>
      <c r="C8" s="4">
        <v>561</v>
      </c>
      <c r="D8" s="23">
        <v>1026191.285432921</v>
      </c>
      <c r="E8" s="32">
        <v>128.67833340001692</v>
      </c>
      <c r="F8" s="5">
        <v>10</v>
      </c>
      <c r="G8" s="23">
        <v>94.666666666666671</v>
      </c>
      <c r="H8" s="32">
        <v>105.00930812701343</v>
      </c>
      <c r="I8" s="23">
        <v>44.446143655993886</v>
      </c>
      <c r="J8" s="5">
        <v>5008.380455215055</v>
      </c>
      <c r="K8" s="30"/>
      <c r="L8" s="23">
        <v>1385329.5706828921</v>
      </c>
      <c r="M8" s="32">
        <v>294.48942080000427</v>
      </c>
      <c r="N8" s="5">
        <v>25</v>
      </c>
      <c r="O8" s="5">
        <v>88.666666666666671</v>
      </c>
      <c r="P8" s="32">
        <v>228.44713417061541</v>
      </c>
      <c r="Q8" s="5">
        <v>16.342355034152853</v>
      </c>
      <c r="R8" s="5">
        <v>4437.3857779792052</v>
      </c>
      <c r="S8" s="34"/>
      <c r="T8" s="23">
        <v>1454216.2792237049</v>
      </c>
      <c r="U8" s="32">
        <v>205.09990614286758</v>
      </c>
      <c r="V8" s="5">
        <v>12</v>
      </c>
      <c r="W8" s="5">
        <v>83.333333333333329</v>
      </c>
      <c r="X8" s="32">
        <v>648.52779905272109</v>
      </c>
      <c r="Y8" s="5">
        <v>52.541247487497742</v>
      </c>
      <c r="Z8" s="5">
        <v>6035.942696482357</v>
      </c>
      <c r="AA8" s="34"/>
    </row>
    <row r="9" spans="2:27" x14ac:dyDescent="0.2">
      <c r="B9" s="4">
        <v>6</v>
      </c>
      <c r="C9" s="4">
        <v>537</v>
      </c>
      <c r="D9" s="23">
        <v>1025434.032608858</v>
      </c>
      <c r="E9" s="32">
        <v>307.01053280000826</v>
      </c>
      <c r="F9" s="5">
        <v>11</v>
      </c>
      <c r="G9" s="23">
        <v>94.666666666666671</v>
      </c>
      <c r="H9" s="32">
        <v>162.75790106475918</v>
      </c>
      <c r="I9" s="23">
        <v>40.629818937791988</v>
      </c>
      <c r="J9" s="5">
        <v>4866.1073759358651</v>
      </c>
      <c r="K9" s="30"/>
      <c r="L9" s="23">
        <v>1389877.1215719311</v>
      </c>
      <c r="M9" s="32">
        <v>263.99316239998944</v>
      </c>
      <c r="N9" s="5">
        <v>22</v>
      </c>
      <c r="O9" s="5">
        <v>86</v>
      </c>
      <c r="P9" s="32">
        <v>218.26826059892659</v>
      </c>
      <c r="Q9" s="5">
        <v>17.948943056815121</v>
      </c>
      <c r="R9" s="5">
        <v>4451.763123438338</v>
      </c>
      <c r="S9" s="34"/>
      <c r="T9" s="23">
        <v>1400424.4278929071</v>
      </c>
      <c r="U9" s="32">
        <v>197.54215062858671</v>
      </c>
      <c r="V9" s="5">
        <v>14</v>
      </c>
      <c r="W9" s="5">
        <v>87.333333333333329</v>
      </c>
      <c r="X9" s="32">
        <v>773.55588439502253</v>
      </c>
      <c r="Y9" s="5">
        <v>52.945035447759302</v>
      </c>
      <c r="Z9" s="5">
        <v>6059.5917241125971</v>
      </c>
      <c r="AA9" s="34"/>
    </row>
    <row r="10" spans="2:27" x14ac:dyDescent="0.2">
      <c r="B10" s="4">
        <v>7</v>
      </c>
      <c r="C10" s="4">
        <v>115</v>
      </c>
      <c r="D10" s="23">
        <v>1024952.478899398</v>
      </c>
      <c r="E10" s="32">
        <v>240.02226685715974</v>
      </c>
      <c r="F10" s="5">
        <v>11</v>
      </c>
      <c r="G10" s="23">
        <v>94.666666666666671</v>
      </c>
      <c r="H10" s="32">
        <v>167.63232022868695</v>
      </c>
      <c r="I10" s="23">
        <v>40.38133804942791</v>
      </c>
      <c r="J10" s="5">
        <v>4845.4549620840608</v>
      </c>
      <c r="K10" s="30"/>
      <c r="L10" s="23">
        <v>1375148.679240186</v>
      </c>
      <c r="M10" s="32">
        <v>235.90348765713028</v>
      </c>
      <c r="N10" s="5">
        <v>25</v>
      </c>
      <c r="O10" s="5">
        <v>88.666666666666671</v>
      </c>
      <c r="P10" s="32">
        <v>197.26089099907296</v>
      </c>
      <c r="Q10" s="5">
        <v>16.284619976551031</v>
      </c>
      <c r="R10" s="5">
        <v>4368.885519414629</v>
      </c>
      <c r="S10" s="34"/>
      <c r="T10" s="23">
        <v>1528669.296240398</v>
      </c>
      <c r="U10" s="32">
        <v>369.95690400000404</v>
      </c>
      <c r="V10" s="5">
        <v>13</v>
      </c>
      <c r="W10" s="5">
        <v>80.666666666666671</v>
      </c>
      <c r="X10" s="32">
        <v>713.5019814112062</v>
      </c>
      <c r="Y10" s="5">
        <v>46.856854440038774</v>
      </c>
      <c r="Z10" s="5">
        <v>5987.0438082397095</v>
      </c>
      <c r="AA10" s="34"/>
    </row>
    <row r="11" spans="2:27" x14ac:dyDescent="0.2">
      <c r="B11" s="4">
        <v>8</v>
      </c>
      <c r="C11" s="4">
        <v>530</v>
      </c>
      <c r="D11" s="23">
        <v>1026040.588010138</v>
      </c>
      <c r="E11" s="32">
        <v>160.9236907999896</v>
      </c>
      <c r="F11" s="5">
        <v>10</v>
      </c>
      <c r="G11" s="23">
        <v>94.666666666666671</v>
      </c>
      <c r="H11" s="32">
        <v>116.20179203547131</v>
      </c>
      <c r="I11" s="23">
        <v>44.728504962803427</v>
      </c>
      <c r="J11" s="5">
        <v>5022.8830005535337</v>
      </c>
      <c r="K11" s="30"/>
      <c r="L11" s="23">
        <v>1395258.4018992111</v>
      </c>
      <c r="M11" s="32">
        <v>290.479372571422</v>
      </c>
      <c r="N11" s="5">
        <v>26</v>
      </c>
      <c r="O11" s="5">
        <v>89.333333333333329</v>
      </c>
      <c r="P11" s="32">
        <v>212.70312508699385</v>
      </c>
      <c r="Q11" s="5">
        <v>15.518737170158646</v>
      </c>
      <c r="R11" s="5">
        <v>4463.4310105619625</v>
      </c>
      <c r="S11" s="34"/>
      <c r="T11" s="23">
        <v>1460272.2059348989</v>
      </c>
      <c r="U11" s="32">
        <v>295.78017274286998</v>
      </c>
      <c r="V11" s="5">
        <v>15</v>
      </c>
      <c r="W11" s="5">
        <v>88</v>
      </c>
      <c r="X11" s="32">
        <v>885.47394075402883</v>
      </c>
      <c r="Y11" s="5">
        <v>48.62380443013511</v>
      </c>
      <c r="Z11" s="5">
        <v>6286.4625014799403</v>
      </c>
      <c r="AA11" s="34"/>
    </row>
    <row r="12" spans="2:27" x14ac:dyDescent="0.2">
      <c r="B12" s="4">
        <v>9</v>
      </c>
      <c r="C12" s="4">
        <v>587</v>
      </c>
      <c r="D12" s="23">
        <v>1025698.463462887</v>
      </c>
      <c r="E12" s="32">
        <v>89.246158571414909</v>
      </c>
      <c r="F12" s="5">
        <v>10</v>
      </c>
      <c r="G12" s="23">
        <v>94.666666666666671</v>
      </c>
      <c r="H12" s="32">
        <v>110.71686708664478</v>
      </c>
      <c r="I12" s="23">
        <v>44.676624788766162</v>
      </c>
      <c r="J12" s="5">
        <v>5019.3344552605749</v>
      </c>
      <c r="K12" s="30"/>
      <c r="L12" s="23">
        <v>1414896.023795096</v>
      </c>
      <c r="M12" s="32">
        <v>591.75297231426737</v>
      </c>
      <c r="N12" s="5">
        <v>26</v>
      </c>
      <c r="O12" s="5">
        <v>89.333333333333329</v>
      </c>
      <c r="P12" s="32">
        <v>254.80653166040798</v>
      </c>
      <c r="Q12" s="5">
        <v>15.841070709395042</v>
      </c>
      <c r="R12" s="5">
        <v>4557.8752027160617</v>
      </c>
      <c r="S12" s="34"/>
      <c r="T12" s="23">
        <v>1407023.6629857239</v>
      </c>
      <c r="U12" s="32">
        <v>330.13525477141542</v>
      </c>
      <c r="V12" s="5">
        <v>14</v>
      </c>
      <c r="W12" s="5">
        <v>88</v>
      </c>
      <c r="X12" s="32">
        <v>787.25163080945754</v>
      </c>
      <c r="Y12" s="5">
        <v>52.756466960540401</v>
      </c>
      <c r="Z12" s="5">
        <v>6168.8502478871887</v>
      </c>
      <c r="AA12" s="34"/>
    </row>
    <row r="13" spans="2:27" x14ac:dyDescent="0.2">
      <c r="B13" s="4">
        <v>10</v>
      </c>
      <c r="C13" s="4">
        <v>541</v>
      </c>
      <c r="D13" s="23">
        <v>1078651.2634840989</v>
      </c>
      <c r="E13" s="32">
        <v>141.38222008571029</v>
      </c>
      <c r="F13" s="5">
        <v>10</v>
      </c>
      <c r="G13" s="23">
        <v>94.666666666666671</v>
      </c>
      <c r="H13" s="32">
        <v>167.81726309054946</v>
      </c>
      <c r="I13" s="23">
        <v>43.307269053599988</v>
      </c>
      <c r="J13" s="5">
        <v>5319.5784479549711</v>
      </c>
      <c r="K13" s="30"/>
      <c r="L13" s="23">
        <v>1363035.637740362</v>
      </c>
      <c r="M13" s="32">
        <v>411.19250408573345</v>
      </c>
      <c r="N13" s="5">
        <v>24</v>
      </c>
      <c r="O13" s="5">
        <v>88</v>
      </c>
      <c r="P13" s="32">
        <v>175.15695330178701</v>
      </c>
      <c r="Q13" s="5">
        <v>16.80780352791437</v>
      </c>
      <c r="R13" s="5">
        <v>4347.1993514228216</v>
      </c>
      <c r="S13" s="34"/>
      <c r="T13" s="23">
        <v>1413212.4108401579</v>
      </c>
      <c r="U13" s="32">
        <v>183.17032940000561</v>
      </c>
      <c r="V13" s="5">
        <v>14</v>
      </c>
      <c r="W13" s="5">
        <v>88</v>
      </c>
      <c r="X13" s="32">
        <v>814.32631431535935</v>
      </c>
      <c r="Y13" s="5">
        <v>52.722258739582905</v>
      </c>
      <c r="Z13" s="5">
        <v>6190.7817745416723</v>
      </c>
      <c r="AA13" s="34"/>
    </row>
    <row r="14" spans="2:27" x14ac:dyDescent="0.2">
      <c r="B14" s="47" t="s">
        <v>3</v>
      </c>
      <c r="C14" s="48"/>
      <c r="D14" s="9">
        <f>MIN(D4:D13)</f>
        <v>1024175.007898443</v>
      </c>
      <c r="E14" s="22">
        <f>INDEX(E4:E13, MATCH($D$14, D4:D13, 0))</f>
        <v>144.64367460000463</v>
      </c>
      <c r="F14" s="9">
        <f>INDEX(F4:F13, MATCH($D$14, D4:D13, 0))</f>
        <v>10</v>
      </c>
      <c r="G14" s="9">
        <f>INDEX(G4:G13, MATCH($D$14, D4:D13, 0))</f>
        <v>94.666666666666671</v>
      </c>
      <c r="H14" s="22">
        <f>INDEX(H4:H13, MATCH($D$14, D4:D13, 0))</f>
        <v>100.46421131975723</v>
      </c>
      <c r="I14" s="22">
        <f>INDEX(I4:I13, MATCH($D$14, D4:D13, 0))</f>
        <v>44.611476784556956</v>
      </c>
      <c r="J14" s="22">
        <f>INDEX(J4:J13, MATCH($D$14, D4:D13, 0))</f>
        <v>5001.047323829066</v>
      </c>
      <c r="K14" s="31" t="e">
        <f>(D14-$D$15)/$D$15</f>
        <v>#DIV/0!</v>
      </c>
      <c r="L14" s="16">
        <f>MIN(L4:L13)</f>
        <v>1363035.637740362</v>
      </c>
      <c r="M14" s="21">
        <f>INDEX(M4:M13, MATCH($L$14, L4:L13, 0))</f>
        <v>411.19250408573345</v>
      </c>
      <c r="N14" s="16">
        <f>INDEX(N4:N13, MATCH($L$14, L4:L13, 0))</f>
        <v>24</v>
      </c>
      <c r="O14" s="16">
        <f>INDEX(O4:O13, MATCH($L$14, L4:L13, 0))</f>
        <v>88</v>
      </c>
      <c r="P14" s="21">
        <f>INDEX(P4:P13, MATCH($L$14, L4:L13, 0))</f>
        <v>175.15695330178701</v>
      </c>
      <c r="Q14" s="21">
        <f>INDEX(Q4:Q13, MATCH($L$14, L4:L13, 0))</f>
        <v>16.80780352791437</v>
      </c>
      <c r="R14" s="21">
        <f>INDEX(R4:R13, MATCH($L$14, L4:L13, 0))</f>
        <v>4347.1993514228216</v>
      </c>
      <c r="S14" s="35" t="e">
        <f>(L14-$D$15)/$D$15</f>
        <v>#DIV/0!</v>
      </c>
      <c r="T14" s="37">
        <f>MIN(T4:T13)</f>
        <v>1400424.4278929071</v>
      </c>
      <c r="U14" s="38">
        <f>INDEX(U4:U13, MATCH($T$14, T4:T13, 0))</f>
        <v>197.54215062858671</v>
      </c>
      <c r="V14" s="37">
        <f>INDEX(V4:V13, MATCH($T$14, T4:T13, 0))</f>
        <v>14</v>
      </c>
      <c r="W14" s="37">
        <f>INDEX(W4:W13, MATCH($T$14, T4:T13, 0))</f>
        <v>87.333333333333329</v>
      </c>
      <c r="X14" s="38">
        <f>INDEX(X4:X13, MATCH($T$14, T4:T13, 0))</f>
        <v>773.55588439502253</v>
      </c>
      <c r="Y14" s="38">
        <f>INDEX(Y4:Y13, MATCH($T$14, T4:T13, 0))</f>
        <v>52.945035447759302</v>
      </c>
      <c r="Z14" s="38">
        <f>INDEX(Z4:Z13, MATCH($T$14, T4:T13, 0))</f>
        <v>6059.5917241125971</v>
      </c>
      <c r="AA14" s="39" t="e">
        <f>(T14-$D$15)/$D$15</f>
        <v>#DIV/0!</v>
      </c>
    </row>
    <row r="15" spans="2:27" x14ac:dyDescent="0.2">
      <c r="C15" s="1" t="s">
        <v>17</v>
      </c>
      <c r="D15" s="33"/>
      <c r="E15" s="3"/>
      <c r="F15" s="3"/>
      <c r="G15" s="3"/>
      <c r="H15" s="3"/>
      <c r="I15" s="3"/>
      <c r="J15" s="3"/>
      <c r="K15" s="3"/>
      <c r="L15" s="40">
        <f>(L14-D14)/D14</f>
        <v>0.33086203747272097</v>
      </c>
      <c r="M15" s="40">
        <f t="shared" ref="M15:R15" si="0">(M14-E14)/E14</f>
        <v>1.8427963077047012</v>
      </c>
      <c r="N15" s="40">
        <f t="shared" si="0"/>
        <v>1.4</v>
      </c>
      <c r="O15" s="40">
        <f t="shared" si="0"/>
        <v>-7.0422535211267651E-2</v>
      </c>
      <c r="P15" s="40">
        <f t="shared" si="0"/>
        <v>0.74347611951382298</v>
      </c>
      <c r="Q15" s="40">
        <f t="shared" si="0"/>
        <v>-0.62324036908518832</v>
      </c>
      <c r="R15" s="40">
        <f t="shared" si="0"/>
        <v>-0.1307422085951436</v>
      </c>
      <c r="T15" s="40">
        <f>(T14-D14)/D14</f>
        <v>0.36736828871318528</v>
      </c>
      <c r="U15" s="40">
        <f t="shared" ref="U15:Z15" si="1">(U14-E14)/E14</f>
        <v>0.36571579209990829</v>
      </c>
      <c r="V15" s="40">
        <f t="shared" si="1"/>
        <v>0.4</v>
      </c>
      <c r="W15" s="40">
        <f t="shared" si="1"/>
        <v>-7.7464788732394457E-2</v>
      </c>
      <c r="X15" s="40">
        <f t="shared" si="1"/>
        <v>6.6998154291278009</v>
      </c>
      <c r="Y15" s="40">
        <f t="shared" si="1"/>
        <v>0.18680302164054685</v>
      </c>
      <c r="Z15" s="40">
        <f t="shared" si="1"/>
        <v>0.21166454379260974</v>
      </c>
    </row>
    <row r="16" spans="2:27" x14ac:dyDescent="0.2">
      <c r="D16" s="2"/>
    </row>
    <row r="17" spans="4:21" x14ac:dyDescent="0.2">
      <c r="D17" s="2"/>
    </row>
    <row r="20" spans="4:21" x14ac:dyDescent="0.2">
      <c r="E20"/>
      <c r="M20"/>
      <c r="U20"/>
    </row>
    <row r="21" spans="4:21" x14ac:dyDescent="0.2">
      <c r="E21"/>
      <c r="M21"/>
      <c r="U21"/>
    </row>
    <row r="22" spans="4:21" x14ac:dyDescent="0.2">
      <c r="E22"/>
      <c r="M22"/>
      <c r="U22"/>
    </row>
    <row r="23" spans="4:21" x14ac:dyDescent="0.2">
      <c r="E23"/>
      <c r="M23"/>
      <c r="U23"/>
    </row>
    <row r="24" spans="4:21" x14ac:dyDescent="0.2">
      <c r="E24"/>
      <c r="M24"/>
      <c r="U24"/>
    </row>
    <row r="25" spans="4:21" x14ac:dyDescent="0.2">
      <c r="E25"/>
      <c r="M25"/>
      <c r="U25"/>
    </row>
    <row r="26" spans="4:21" x14ac:dyDescent="0.2">
      <c r="E26"/>
      <c r="M26"/>
      <c r="U26"/>
    </row>
    <row r="27" spans="4:21" x14ac:dyDescent="0.2">
      <c r="E27"/>
      <c r="M27"/>
      <c r="U27"/>
    </row>
    <row r="28" spans="4:21" x14ac:dyDescent="0.2">
      <c r="E28"/>
      <c r="M28"/>
      <c r="U28"/>
    </row>
    <row r="29" spans="4:21" x14ac:dyDescent="0.2">
      <c r="E29"/>
      <c r="M29"/>
      <c r="U29"/>
    </row>
  </sheetData>
  <mergeCells count="1">
    <mergeCell ref="B14:C14"/>
  </mergeCells>
  <conditionalFormatting sqref="C1:C13 C16 C41:C1048576">
    <cfRule type="duplicateValues" dxfId="73" priority="9"/>
    <cfRule type="duplicateValues" dxfId="72" priority="10"/>
  </conditionalFormatting>
  <conditionalFormatting sqref="C14">
    <cfRule type="duplicateValues" dxfId="71" priority="7"/>
    <cfRule type="duplicateValues" dxfId="70" priority="8"/>
  </conditionalFormatting>
  <conditionalFormatting sqref="C15">
    <cfRule type="duplicateValues" dxfId="69" priority="5"/>
    <cfRule type="duplicateValues" dxfId="68" priority="6"/>
  </conditionalFormatting>
  <conditionalFormatting sqref="C17:C19 C30:C40">
    <cfRule type="duplicateValues" dxfId="67" priority="3"/>
    <cfRule type="duplicateValues" dxfId="66" priority="4"/>
  </conditionalFormatting>
  <conditionalFormatting sqref="C20:C29">
    <cfRule type="duplicateValues" dxfId="5" priority="1"/>
    <cfRule type="duplicateValues" dxfId="4" priority="2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1F79A-4416-4143-8DAD-CAE087B3D156}">
  <dimension ref="B1:AA29"/>
  <sheetViews>
    <sheetView zoomScale="85" zoomScaleNormal="85" workbookViewId="0">
      <selection activeCell="U20" sqref="U20:U33"/>
    </sheetView>
  </sheetViews>
  <sheetFormatPr baseColWidth="10" defaultColWidth="10.83203125" defaultRowHeight="16" x14ac:dyDescent="0.2"/>
  <cols>
    <col min="1" max="1" width="3.83203125" style="1" customWidth="1"/>
    <col min="2" max="2" width="8.1640625" style="1" bestFit="1" customWidth="1"/>
    <col min="3" max="3" width="5.1640625" style="1" bestFit="1" customWidth="1"/>
    <col min="4" max="4" width="16.6640625" style="1" customWidth="1"/>
    <col min="5" max="5" width="9.5" style="1" bestFit="1" customWidth="1"/>
    <col min="6" max="6" width="9.1640625" style="1" bestFit="1" customWidth="1"/>
    <col min="7" max="7" width="18.33203125" style="1" bestFit="1" customWidth="1"/>
    <col min="8" max="8" width="19.33203125" style="1" bestFit="1" customWidth="1"/>
    <col min="9" max="9" width="24.83203125" style="1" bestFit="1" customWidth="1"/>
    <col min="10" max="10" width="18.6640625" style="1" bestFit="1" customWidth="1"/>
    <col min="11" max="11" width="12.6640625" style="1" customWidth="1"/>
    <col min="12" max="12" width="12.6640625" style="1" bestFit="1" customWidth="1"/>
    <col min="13" max="14" width="10.83203125" style="1"/>
    <col min="15" max="15" width="18.33203125" style="1" bestFit="1" customWidth="1"/>
    <col min="16" max="16" width="19.33203125" style="1" bestFit="1" customWidth="1"/>
    <col min="17" max="17" width="24.83203125" style="1" bestFit="1" customWidth="1"/>
    <col min="18" max="18" width="18" style="1" bestFit="1" customWidth="1"/>
    <col min="19" max="19" width="10.83203125" style="1"/>
    <col min="20" max="20" width="12.6640625" style="1" bestFit="1" customWidth="1"/>
    <col min="21" max="22" width="10.83203125" style="1"/>
    <col min="23" max="23" width="18.33203125" style="1" bestFit="1" customWidth="1"/>
    <col min="24" max="24" width="19.33203125" style="1" bestFit="1" customWidth="1"/>
    <col min="25" max="25" width="24.83203125" style="1" bestFit="1" customWidth="1"/>
    <col min="26" max="26" width="18" style="1" bestFit="1" customWidth="1"/>
    <col min="27" max="16384" width="10.83203125" style="1"/>
  </cols>
  <sheetData>
    <row r="1" spans="2:27" x14ac:dyDescent="0.2">
      <c r="D1" s="1" t="s">
        <v>14</v>
      </c>
    </row>
    <row r="2" spans="2:27" x14ac:dyDescent="0.2">
      <c r="B2" s="1" t="s">
        <v>18</v>
      </c>
      <c r="D2" s="29">
        <v>150</v>
      </c>
      <c r="H2" s="28">
        <f>(Q14-H14)/H14</f>
        <v>-0.98004990816062398</v>
      </c>
      <c r="J2" s="28" t="e">
        <f>(S14-J14)/J14</f>
        <v>#DIV/0!</v>
      </c>
      <c r="K2" s="28"/>
      <c r="L2" s="1" t="s">
        <v>19</v>
      </c>
      <c r="P2" s="1">
        <f>(P14-H14)/H14</f>
        <v>-0.24416356763606045</v>
      </c>
      <c r="R2" s="1">
        <f>(R14-J14)/J14</f>
        <v>-0.15176303369609523</v>
      </c>
      <c r="T2" s="1" t="s">
        <v>20</v>
      </c>
      <c r="X2" s="1">
        <f>(X14-P14)/P14</f>
        <v>0.34020261543420682</v>
      </c>
      <c r="Z2" s="1">
        <f>(Z14-R14)/R14</f>
        <v>0.24367901998736757</v>
      </c>
    </row>
    <row r="3" spans="2:27" x14ac:dyDescent="0.2">
      <c r="B3" s="8" t="s">
        <v>7</v>
      </c>
      <c r="C3" s="8" t="s">
        <v>4</v>
      </c>
      <c r="D3" s="8" t="s">
        <v>0</v>
      </c>
      <c r="E3" s="8" t="s">
        <v>5</v>
      </c>
      <c r="F3" s="8" t="s">
        <v>12</v>
      </c>
      <c r="G3" s="8" t="s">
        <v>15</v>
      </c>
      <c r="H3" s="8" t="s">
        <v>11</v>
      </c>
      <c r="I3" s="8" t="s">
        <v>16</v>
      </c>
      <c r="J3" s="8" t="s">
        <v>10</v>
      </c>
      <c r="K3" s="8" t="s">
        <v>1</v>
      </c>
      <c r="L3" s="15" t="s">
        <v>0</v>
      </c>
      <c r="M3" s="15" t="s">
        <v>5</v>
      </c>
      <c r="N3" s="15" t="s">
        <v>12</v>
      </c>
      <c r="O3" s="15" t="s">
        <v>15</v>
      </c>
      <c r="P3" s="15" t="s">
        <v>11</v>
      </c>
      <c r="Q3" s="15" t="s">
        <v>16</v>
      </c>
      <c r="R3" s="15" t="s">
        <v>10</v>
      </c>
      <c r="S3" s="15" t="s">
        <v>1</v>
      </c>
      <c r="T3" s="36" t="s">
        <v>0</v>
      </c>
      <c r="U3" s="36" t="s">
        <v>5</v>
      </c>
      <c r="V3" s="36" t="s">
        <v>12</v>
      </c>
      <c r="W3" s="36" t="s">
        <v>15</v>
      </c>
      <c r="X3" s="36" t="s">
        <v>11</v>
      </c>
      <c r="Y3" s="36" t="s">
        <v>16</v>
      </c>
      <c r="Z3" s="36" t="s">
        <v>10</v>
      </c>
      <c r="AA3" s="36" t="s">
        <v>1</v>
      </c>
    </row>
    <row r="4" spans="2:27" x14ac:dyDescent="0.2">
      <c r="B4" s="4">
        <v>1</v>
      </c>
      <c r="C4" s="4">
        <v>248</v>
      </c>
      <c r="D4" s="23">
        <v>1366765.5833269211</v>
      </c>
      <c r="E4" s="32">
        <v>387.66851831430432</v>
      </c>
      <c r="F4" s="5">
        <v>16</v>
      </c>
      <c r="G4" s="23">
        <v>95.333333333333329</v>
      </c>
      <c r="H4" s="32">
        <v>925.93843698023841</v>
      </c>
      <c r="I4" s="23">
        <v>31.992989476999206</v>
      </c>
      <c r="J4" s="5">
        <v>6131.9056751458484</v>
      </c>
      <c r="K4" s="30"/>
      <c r="L4" s="23">
        <v>1689573.6297656849</v>
      </c>
      <c r="M4" s="32">
        <v>173.40597042857138</v>
      </c>
      <c r="N4" s="5">
        <v>20</v>
      </c>
      <c r="O4" s="5">
        <v>76.666666666666671</v>
      </c>
      <c r="P4" s="32">
        <v>519.23719633344649</v>
      </c>
      <c r="Q4" s="5">
        <v>19.754245223670083</v>
      </c>
      <c r="R4" s="5">
        <v>5270.4642818042112</v>
      </c>
      <c r="S4" s="34"/>
      <c r="T4" s="23">
        <v>1801363.171544025</v>
      </c>
      <c r="U4" s="32">
        <v>70.905333800008506</v>
      </c>
      <c r="V4" s="5">
        <v>13</v>
      </c>
      <c r="W4" s="5">
        <v>68</v>
      </c>
      <c r="X4" s="32">
        <v>794.04129666515757</v>
      </c>
      <c r="Y4" s="5">
        <v>39.787388653360829</v>
      </c>
      <c r="Z4" s="5">
        <v>6039.8472869979905</v>
      </c>
      <c r="AA4" s="34"/>
    </row>
    <row r="5" spans="2:27" x14ac:dyDescent="0.2">
      <c r="B5" s="4">
        <v>2</v>
      </c>
      <c r="C5" s="4">
        <v>334</v>
      </c>
      <c r="D5" s="23">
        <v>1423232.8225450569</v>
      </c>
      <c r="E5" s="32">
        <v>312.98033317141915</v>
      </c>
      <c r="F5" s="5">
        <v>14</v>
      </c>
      <c r="G5" s="23">
        <v>90.666666666666671</v>
      </c>
      <c r="H5" s="32">
        <v>864.59172470536419</v>
      </c>
      <c r="I5" s="23">
        <v>34.482888190689174</v>
      </c>
      <c r="J5" s="5">
        <v>6184.0329132449997</v>
      </c>
      <c r="K5" s="30"/>
      <c r="L5" s="23">
        <v>1646454.683629642</v>
      </c>
      <c r="M5" s="32">
        <v>386.81640345716318</v>
      </c>
      <c r="N5" s="5">
        <v>23</v>
      </c>
      <c r="O5" s="5">
        <v>83.333333333333329</v>
      </c>
      <c r="P5" s="32">
        <v>704.61751215187246</v>
      </c>
      <c r="Q5" s="5">
        <v>19.050311455799644</v>
      </c>
      <c r="R5" s="5">
        <v>5487.3103126124797</v>
      </c>
      <c r="S5" s="34"/>
      <c r="T5" s="23">
        <v>1858759.109997876</v>
      </c>
      <c r="U5" s="32">
        <v>109.07571114287046</v>
      </c>
      <c r="V5" s="5">
        <v>10</v>
      </c>
      <c r="W5" s="5">
        <v>63.333333333333343</v>
      </c>
      <c r="X5" s="32">
        <v>673.02964659778968</v>
      </c>
      <c r="Y5" s="5">
        <v>45.917602161436854</v>
      </c>
      <c r="Z5" s="5">
        <v>6150.3140280274392</v>
      </c>
      <c r="AA5" s="34"/>
    </row>
    <row r="6" spans="2:27" x14ac:dyDescent="0.2">
      <c r="B6" s="4">
        <v>3</v>
      </c>
      <c r="C6" s="4">
        <v>429</v>
      </c>
      <c r="D6" s="23">
        <v>1427086.1211184219</v>
      </c>
      <c r="E6" s="32">
        <v>364.43980777143889</v>
      </c>
      <c r="F6" s="5">
        <v>14</v>
      </c>
      <c r="G6" s="23">
        <v>92</v>
      </c>
      <c r="H6" s="32">
        <v>978.67944235590846</v>
      </c>
      <c r="I6" s="23">
        <v>34.483065056101964</v>
      </c>
      <c r="J6" s="5">
        <v>6316.6522235713364</v>
      </c>
      <c r="K6" s="30"/>
      <c r="L6" s="23">
        <v>1626240.147638899</v>
      </c>
      <c r="M6" s="32">
        <v>227.42202279999452</v>
      </c>
      <c r="N6" s="5">
        <v>24</v>
      </c>
      <c r="O6" s="5">
        <v>83.333333333333329</v>
      </c>
      <c r="P6" s="32">
        <v>699.85800479578586</v>
      </c>
      <c r="Q6" s="5">
        <v>18.472556855364022</v>
      </c>
      <c r="R6" s="5">
        <v>5201.3090675474114</v>
      </c>
      <c r="S6" s="34"/>
      <c r="T6" s="23">
        <v>1836650.711493619</v>
      </c>
      <c r="U6" s="32">
        <v>146.60969097140645</v>
      </c>
      <c r="V6" s="5">
        <v>11</v>
      </c>
      <c r="W6" s="5">
        <v>63.333333333333343</v>
      </c>
      <c r="X6" s="32">
        <v>630.33445736730766</v>
      </c>
      <c r="Y6" s="5">
        <v>43.404195667237374</v>
      </c>
      <c r="Z6" s="5">
        <v>5828.5860191520242</v>
      </c>
      <c r="AA6" s="34"/>
    </row>
    <row r="7" spans="2:27" x14ac:dyDescent="0.2">
      <c r="B7" s="4">
        <v>4</v>
      </c>
      <c r="C7" s="4">
        <v>163</v>
      </c>
      <c r="D7" s="23">
        <v>1372477.1837843461</v>
      </c>
      <c r="E7" s="32">
        <v>338.19985397143427</v>
      </c>
      <c r="F7" s="5">
        <v>15</v>
      </c>
      <c r="G7" s="23">
        <v>94.666666666666671</v>
      </c>
      <c r="H7" s="32">
        <v>887.44748055973525</v>
      </c>
      <c r="I7" s="23">
        <v>33.83138261757599</v>
      </c>
      <c r="J7" s="5">
        <v>6219.7341957604767</v>
      </c>
      <c r="K7" s="30"/>
      <c r="L7" s="23">
        <v>1643796.6389132959</v>
      </c>
      <c r="M7" s="32">
        <v>361.50124902856942</v>
      </c>
      <c r="N7" s="5">
        <v>24</v>
      </c>
      <c r="O7" s="5">
        <v>82.666666666666671</v>
      </c>
      <c r="P7" s="32">
        <v>603.03145273788971</v>
      </c>
      <c r="Q7" s="5">
        <v>17.919644208570542</v>
      </c>
      <c r="R7" s="5">
        <v>5317.189306504627</v>
      </c>
      <c r="S7" s="34"/>
      <c r="T7" s="23">
        <v>1828174.782352041</v>
      </c>
      <c r="U7" s="32">
        <v>169.80480977141164</v>
      </c>
      <c r="V7" s="5">
        <v>13</v>
      </c>
      <c r="W7" s="5">
        <v>68</v>
      </c>
      <c r="X7" s="32">
        <v>855.57409086254393</v>
      </c>
      <c r="Y7" s="5">
        <v>39.602386487102564</v>
      </c>
      <c r="Z7" s="5">
        <v>6240.5409394231465</v>
      </c>
      <c r="AA7" s="34"/>
    </row>
    <row r="8" spans="2:27" x14ac:dyDescent="0.2">
      <c r="B8" s="4">
        <v>5</v>
      </c>
      <c r="C8" s="4">
        <v>743</v>
      </c>
      <c r="D8" s="23">
        <v>1367793.735908062</v>
      </c>
      <c r="E8" s="32">
        <v>363.57037791426825</v>
      </c>
      <c r="F8" s="5">
        <v>14</v>
      </c>
      <c r="G8" s="23">
        <v>94</v>
      </c>
      <c r="H8" s="32">
        <v>900.03813330276193</v>
      </c>
      <c r="I8" s="23">
        <v>36.096652441730612</v>
      </c>
      <c r="J8" s="5">
        <v>6228.3367883506444</v>
      </c>
      <c r="K8" s="30"/>
      <c r="L8" s="23">
        <v>1662163.238481797</v>
      </c>
      <c r="M8" s="32">
        <v>112.26791471429169</v>
      </c>
      <c r="N8" s="5">
        <v>24</v>
      </c>
      <c r="O8" s="5">
        <v>82</v>
      </c>
      <c r="P8" s="32">
        <v>685.98876624370121</v>
      </c>
      <c r="Q8" s="5">
        <v>17.605622729402331</v>
      </c>
      <c r="R8" s="5">
        <v>5312.1866248239166</v>
      </c>
      <c r="S8" s="34"/>
      <c r="T8" s="23">
        <v>1840349.6021238021</v>
      </c>
      <c r="U8" s="32">
        <v>63.27795802858391</v>
      </c>
      <c r="V8" s="5">
        <v>10</v>
      </c>
      <c r="W8" s="5">
        <v>64.666666666666671</v>
      </c>
      <c r="X8" s="32">
        <v>708.48733426913543</v>
      </c>
      <c r="Y8" s="5">
        <v>46.880473565933912</v>
      </c>
      <c r="Z8" s="5">
        <v>6255.2891729204284</v>
      </c>
      <c r="AA8" s="34"/>
    </row>
    <row r="9" spans="2:27" x14ac:dyDescent="0.2">
      <c r="B9" s="4">
        <v>6</v>
      </c>
      <c r="C9" s="4">
        <v>833</v>
      </c>
      <c r="D9" s="23">
        <v>1419231.8930463879</v>
      </c>
      <c r="E9" s="32">
        <v>268.4040205142727</v>
      </c>
      <c r="F9" s="5">
        <v>15</v>
      </c>
      <c r="G9" s="23">
        <v>93.333333333333329</v>
      </c>
      <c r="H9" s="32">
        <v>1008.4650282950781</v>
      </c>
      <c r="I9" s="23">
        <v>33.588247875652975</v>
      </c>
      <c r="J9" s="5">
        <v>6305.745349453362</v>
      </c>
      <c r="K9" s="30"/>
      <c r="L9" s="23">
        <v>1664245.1191999901</v>
      </c>
      <c r="M9" s="32">
        <v>242.10834945715033</v>
      </c>
      <c r="N9" s="5">
        <v>26</v>
      </c>
      <c r="O9" s="5">
        <v>86</v>
      </c>
      <c r="P9" s="32">
        <v>795.44361873790399</v>
      </c>
      <c r="Q9" s="5">
        <v>17.308999510782243</v>
      </c>
      <c r="R9" s="5">
        <v>5571.9757218829327</v>
      </c>
      <c r="S9" s="34"/>
      <c r="T9" s="23">
        <v>1827846.518714668</v>
      </c>
      <c r="U9" s="32">
        <v>231.56530377142397</v>
      </c>
      <c r="V9" s="5">
        <v>12</v>
      </c>
      <c r="W9" s="5">
        <v>67.333333333333329</v>
      </c>
      <c r="X9" s="32">
        <v>816.02453217192237</v>
      </c>
      <c r="Y9" s="5">
        <v>42.730618701835226</v>
      </c>
      <c r="Z9" s="5">
        <v>6332.6528890678637</v>
      </c>
      <c r="AA9" s="34"/>
    </row>
    <row r="10" spans="2:27" x14ac:dyDescent="0.2">
      <c r="B10" s="4">
        <v>7</v>
      </c>
      <c r="C10" s="4">
        <v>898</v>
      </c>
      <c r="D10" s="23">
        <v>1369021.411406674</v>
      </c>
      <c r="E10" s="32">
        <v>469.47604842859857</v>
      </c>
      <c r="F10" s="5">
        <v>12</v>
      </c>
      <c r="G10" s="23">
        <v>91.333333333333329</v>
      </c>
      <c r="H10" s="32">
        <v>839.73059499979843</v>
      </c>
      <c r="I10" s="23">
        <v>40.312028224686067</v>
      </c>
      <c r="J10" s="5">
        <v>6208.4429319457977</v>
      </c>
      <c r="K10" s="30"/>
      <c r="L10" s="23">
        <v>1670438.7431847691</v>
      </c>
      <c r="M10" s="32">
        <v>274.21061208571439</v>
      </c>
      <c r="N10" s="5">
        <v>21</v>
      </c>
      <c r="O10" s="5">
        <v>78.666666666666671</v>
      </c>
      <c r="P10" s="32">
        <v>604.81347109039609</v>
      </c>
      <c r="Q10" s="5">
        <v>19.189408332744033</v>
      </c>
      <c r="R10" s="5">
        <v>5265.6500494848824</v>
      </c>
      <c r="S10" s="34"/>
      <c r="T10" s="23">
        <v>1821220.285086486</v>
      </c>
      <c r="U10" s="32">
        <v>210.50417397144651</v>
      </c>
      <c r="V10" s="5">
        <v>12</v>
      </c>
      <c r="W10" s="5">
        <v>66.666666666666671</v>
      </c>
      <c r="X10" s="32">
        <v>677.23415084558496</v>
      </c>
      <c r="Y10" s="5">
        <v>41.49651527636874</v>
      </c>
      <c r="Z10" s="5">
        <v>6138.9955924918086</v>
      </c>
      <c r="AA10" s="34"/>
    </row>
    <row r="11" spans="2:27" x14ac:dyDescent="0.2">
      <c r="B11" s="4">
        <v>8</v>
      </c>
      <c r="C11" s="4">
        <v>383</v>
      </c>
      <c r="D11" s="23">
        <v>1382767.4902628399</v>
      </c>
      <c r="E11" s="32">
        <v>152.29898985714786</v>
      </c>
      <c r="F11" s="5">
        <v>14</v>
      </c>
      <c r="G11" s="23">
        <v>94</v>
      </c>
      <c r="H11" s="32">
        <v>980.45906466572296</v>
      </c>
      <c r="I11" s="23">
        <v>36.120049128158477</v>
      </c>
      <c r="J11" s="5">
        <v>6306.6839905707866</v>
      </c>
      <c r="K11" s="30"/>
      <c r="L11" s="23">
        <v>1636803.6026931319</v>
      </c>
      <c r="M11" s="32">
        <v>616.44535442857455</v>
      </c>
      <c r="N11" s="5">
        <v>25</v>
      </c>
      <c r="O11" s="5">
        <v>84</v>
      </c>
      <c r="P11" s="32">
        <v>645.49343854703943</v>
      </c>
      <c r="Q11" s="5">
        <v>17.4916830958623</v>
      </c>
      <c r="R11" s="5">
        <v>5288.1207250406651</v>
      </c>
      <c r="S11" s="34"/>
      <c r="T11" s="23">
        <v>1812853.04856796</v>
      </c>
      <c r="U11" s="32">
        <v>133.37011525713439</v>
      </c>
      <c r="V11" s="5">
        <v>12</v>
      </c>
      <c r="W11" s="5">
        <v>68.666666666666671</v>
      </c>
      <c r="X11" s="32">
        <v>887.17523961749066</v>
      </c>
      <c r="Y11" s="5">
        <v>43.430984823683417</v>
      </c>
      <c r="Z11" s="5">
        <v>6358.9987699034455</v>
      </c>
      <c r="AA11" s="34"/>
    </row>
    <row r="12" spans="2:27" x14ac:dyDescent="0.2">
      <c r="B12" s="4">
        <v>9</v>
      </c>
      <c r="C12" s="4">
        <v>155</v>
      </c>
      <c r="D12" s="23">
        <v>1415572.458577361</v>
      </c>
      <c r="E12" s="32">
        <v>177.82379919999013</v>
      </c>
      <c r="F12" s="5">
        <v>11</v>
      </c>
      <c r="G12" s="23">
        <v>88</v>
      </c>
      <c r="H12" s="32">
        <v>758.59726343636999</v>
      </c>
      <c r="I12" s="23">
        <v>41.43509646254892</v>
      </c>
      <c r="J12" s="5">
        <v>6207.9480692861371</v>
      </c>
      <c r="K12" s="30"/>
      <c r="L12" s="23">
        <v>1675323.499566406</v>
      </c>
      <c r="M12" s="32">
        <v>372.04642977143112</v>
      </c>
      <c r="N12" s="5">
        <v>19</v>
      </c>
      <c r="O12" s="5">
        <v>74.666666666666671</v>
      </c>
      <c r="P12" s="32">
        <v>450.30379105315399</v>
      </c>
      <c r="Q12" s="5">
        <v>19.297683725619954</v>
      </c>
      <c r="R12" s="5">
        <v>4997.4360839203373</v>
      </c>
      <c r="S12" s="34"/>
      <c r="T12" s="23">
        <v>1773640.5656877749</v>
      </c>
      <c r="U12" s="32">
        <v>307.24636042856486</v>
      </c>
      <c r="V12" s="5">
        <v>13</v>
      </c>
      <c r="W12" s="5">
        <v>72</v>
      </c>
      <c r="X12" s="32">
        <v>937.95152845987786</v>
      </c>
      <c r="Y12" s="5">
        <v>44.014740285429156</v>
      </c>
      <c r="Z12" s="5">
        <v>6468.7589637787732</v>
      </c>
      <c r="AA12" s="34"/>
    </row>
    <row r="13" spans="2:27" x14ac:dyDescent="0.2">
      <c r="B13" s="4">
        <v>10</v>
      </c>
      <c r="C13" s="4">
        <v>464</v>
      </c>
      <c r="D13" s="23">
        <v>1382938.0386478431</v>
      </c>
      <c r="E13" s="32">
        <v>172.68419497140817</v>
      </c>
      <c r="F13" s="5">
        <v>13</v>
      </c>
      <c r="G13" s="23">
        <v>92.666666666666671</v>
      </c>
      <c r="H13" s="32">
        <v>922.12183095290277</v>
      </c>
      <c r="I13" s="23">
        <v>37.647588116116303</v>
      </c>
      <c r="J13" s="5">
        <v>6291.1575163090019</v>
      </c>
      <c r="K13" s="30"/>
      <c r="L13" s="23">
        <v>1657796.4885966431</v>
      </c>
      <c r="M13" s="32">
        <v>404.59730745712289</v>
      </c>
      <c r="N13" s="5">
        <v>21</v>
      </c>
      <c r="O13" s="5">
        <v>79.333333333333329</v>
      </c>
      <c r="P13" s="32">
        <v>602.98568518977027</v>
      </c>
      <c r="Q13" s="5">
        <v>19.63365738912443</v>
      </c>
      <c r="R13" s="5">
        <v>5268.5050469027083</v>
      </c>
      <c r="S13" s="34"/>
      <c r="T13" s="23">
        <v>1905054.053574288</v>
      </c>
      <c r="U13" s="32">
        <v>295.50618337144681</v>
      </c>
      <c r="V13" s="5">
        <v>12</v>
      </c>
      <c r="W13" s="5">
        <v>64</v>
      </c>
      <c r="X13" s="32">
        <v>916.14568397743608</v>
      </c>
      <c r="Y13" s="5">
        <v>38.968066947053245</v>
      </c>
      <c r="Z13" s="5">
        <v>6265.5424648632261</v>
      </c>
      <c r="AA13" s="34"/>
    </row>
    <row r="14" spans="2:27" x14ac:dyDescent="0.2">
      <c r="B14" s="47" t="s">
        <v>3</v>
      </c>
      <c r="C14" s="48"/>
      <c r="D14" s="9">
        <f>MIN(D4:D13)</f>
        <v>1366765.5833269211</v>
      </c>
      <c r="E14" s="22">
        <f>INDEX(E4:E13, MATCH($D$14, D4:D13, 0))</f>
        <v>387.66851831430432</v>
      </c>
      <c r="F14" s="9">
        <f>INDEX(F4:F13, MATCH($D$14, D4:D13, 0))</f>
        <v>16</v>
      </c>
      <c r="G14" s="9">
        <f>INDEX(G4:G13, MATCH($D$14, D4:D13, 0))</f>
        <v>95.333333333333329</v>
      </c>
      <c r="H14" s="22">
        <f>INDEX(H4:H13, MATCH($D$14, D4:D13, 0))</f>
        <v>925.93843698023841</v>
      </c>
      <c r="I14" s="22">
        <f>INDEX(I4:I13, MATCH($D$14, D4:D13, 0))</f>
        <v>31.992989476999206</v>
      </c>
      <c r="J14" s="22">
        <f>INDEX(J4:J13, MATCH($D$14, D4:D13, 0))</f>
        <v>6131.9056751458484</v>
      </c>
      <c r="K14" s="31" t="e">
        <f>(D14-$D$15)/$D$15</f>
        <v>#DIV/0!</v>
      </c>
      <c r="L14" s="16">
        <f>MIN(L4:L13)</f>
        <v>1626240.147638899</v>
      </c>
      <c r="M14" s="21">
        <f>INDEX(M4:M13, MATCH($L$14, L4:L13, 0))</f>
        <v>227.42202279999452</v>
      </c>
      <c r="N14" s="16">
        <f>INDEX(N4:N13, MATCH($L$14, L4:L13, 0))</f>
        <v>24</v>
      </c>
      <c r="O14" s="16">
        <f>INDEX(O4:O13, MATCH($L$14, L4:L13, 0))</f>
        <v>83.333333333333329</v>
      </c>
      <c r="P14" s="21">
        <f>INDEX(P4:P13, MATCH($L$14, L4:L13, 0))</f>
        <v>699.85800479578586</v>
      </c>
      <c r="Q14" s="21">
        <f>INDEX(Q4:Q13, MATCH($L$14, L4:L13, 0))</f>
        <v>18.472556855364022</v>
      </c>
      <c r="R14" s="21">
        <f>INDEX(R4:R13, MATCH($L$14, L4:L13, 0))</f>
        <v>5201.3090675474114</v>
      </c>
      <c r="S14" s="35" t="e">
        <f>(L14-$D$15)/$D$15</f>
        <v>#DIV/0!</v>
      </c>
      <c r="T14" s="37">
        <f>MIN(T4:T13)</f>
        <v>1773640.5656877749</v>
      </c>
      <c r="U14" s="38">
        <f>INDEX(U4:U13, MATCH($T$14, T4:T13, 0))</f>
        <v>307.24636042856486</v>
      </c>
      <c r="V14" s="37">
        <f>INDEX(V4:V13, MATCH($T$14, T4:T13, 0))</f>
        <v>13</v>
      </c>
      <c r="W14" s="37">
        <f>INDEX(W4:W13, MATCH($T$14, T4:T13, 0))</f>
        <v>72</v>
      </c>
      <c r="X14" s="38">
        <f>INDEX(X4:X13, MATCH($T$14, T4:T13, 0))</f>
        <v>937.95152845987786</v>
      </c>
      <c r="Y14" s="38">
        <f>INDEX(Y4:Y13, MATCH($T$14, T4:T13, 0))</f>
        <v>44.014740285429156</v>
      </c>
      <c r="Z14" s="38">
        <f>INDEX(Z4:Z13, MATCH($T$14, T4:T13, 0))</f>
        <v>6468.7589637787732</v>
      </c>
      <c r="AA14" s="39" t="e">
        <f>(T14-$D$15)/$D$15</f>
        <v>#DIV/0!</v>
      </c>
    </row>
    <row r="15" spans="2:27" x14ac:dyDescent="0.2">
      <c r="C15" s="1" t="s">
        <v>17</v>
      </c>
      <c r="D15" s="33"/>
      <c r="E15" s="3"/>
      <c r="F15" s="3"/>
      <c r="G15" s="3"/>
      <c r="H15" s="3"/>
      <c r="I15" s="3"/>
      <c r="J15" s="3"/>
      <c r="K15" s="3"/>
      <c r="L15" s="40">
        <f>(L14-D14)/D14</f>
        <v>0.18984569664124573</v>
      </c>
      <c r="M15" s="40">
        <f t="shared" ref="M15:R15" si="0">(M14-E14)/E14</f>
        <v>-0.41335957898027997</v>
      </c>
      <c r="N15" s="40">
        <f t="shared" si="0"/>
        <v>0.5</v>
      </c>
      <c r="O15" s="40">
        <f t="shared" si="0"/>
        <v>-0.12587412587412589</v>
      </c>
      <c r="P15" s="40">
        <f t="shared" si="0"/>
        <v>-0.24416356763606045</v>
      </c>
      <c r="Q15" s="40">
        <f t="shared" si="0"/>
        <v>-0.42260610348262262</v>
      </c>
      <c r="R15" s="40">
        <f t="shared" si="0"/>
        <v>-0.15176303369609523</v>
      </c>
      <c r="T15" s="40">
        <f>(T14-D14)/D14</f>
        <v>0.29769185537322096</v>
      </c>
      <c r="U15" s="40">
        <f t="shared" ref="U15:Z15" si="1">(U14-E14)/E14</f>
        <v>-0.2074508351501908</v>
      </c>
      <c r="V15" s="40">
        <f t="shared" si="1"/>
        <v>-0.1875</v>
      </c>
      <c r="W15" s="40">
        <f t="shared" si="1"/>
        <v>-0.24475524475524471</v>
      </c>
      <c r="X15" s="40">
        <f t="shared" si="1"/>
        <v>1.297396349461173E-2</v>
      </c>
      <c r="Y15" s="40">
        <f t="shared" si="1"/>
        <v>0.37576203427543947</v>
      </c>
      <c r="Z15" s="40">
        <f t="shared" si="1"/>
        <v>5.4934518969898011E-2</v>
      </c>
    </row>
    <row r="16" spans="2:27" x14ac:dyDescent="0.2">
      <c r="D16" s="2"/>
    </row>
    <row r="17" spans="4:21" x14ac:dyDescent="0.2">
      <c r="D17" s="2"/>
    </row>
    <row r="20" spans="4:21" x14ac:dyDescent="0.2">
      <c r="E20"/>
      <c r="M20"/>
      <c r="U20"/>
    </row>
    <row r="21" spans="4:21" x14ac:dyDescent="0.2">
      <c r="E21"/>
      <c r="M21"/>
      <c r="U21"/>
    </row>
    <row r="22" spans="4:21" x14ac:dyDescent="0.2">
      <c r="E22"/>
      <c r="M22"/>
      <c r="U22"/>
    </row>
    <row r="23" spans="4:21" x14ac:dyDescent="0.2">
      <c r="E23"/>
      <c r="M23"/>
      <c r="U23"/>
    </row>
    <row r="24" spans="4:21" x14ac:dyDescent="0.2">
      <c r="E24"/>
      <c r="M24"/>
      <c r="U24"/>
    </row>
    <row r="25" spans="4:21" x14ac:dyDescent="0.2">
      <c r="E25"/>
      <c r="M25"/>
      <c r="U25"/>
    </row>
    <row r="26" spans="4:21" x14ac:dyDescent="0.2">
      <c r="E26"/>
      <c r="M26"/>
      <c r="U26"/>
    </row>
    <row r="27" spans="4:21" x14ac:dyDescent="0.2">
      <c r="E27"/>
      <c r="M27"/>
      <c r="U27"/>
    </row>
    <row r="28" spans="4:21" x14ac:dyDescent="0.2">
      <c r="E28"/>
      <c r="M28"/>
      <c r="U28"/>
    </row>
    <row r="29" spans="4:21" x14ac:dyDescent="0.2">
      <c r="E29"/>
      <c r="M29"/>
      <c r="U29"/>
    </row>
  </sheetData>
  <mergeCells count="1">
    <mergeCell ref="B14:C14"/>
  </mergeCells>
  <conditionalFormatting sqref="C1:C13 C16 C41:C1048576">
    <cfRule type="duplicateValues" dxfId="65" priority="9"/>
    <cfRule type="duplicateValues" dxfId="64" priority="10"/>
  </conditionalFormatting>
  <conditionalFormatting sqref="C14">
    <cfRule type="duplicateValues" dxfId="63" priority="7"/>
    <cfRule type="duplicateValues" dxfId="62" priority="8"/>
  </conditionalFormatting>
  <conditionalFormatting sqref="C15">
    <cfRule type="duplicateValues" dxfId="61" priority="5"/>
    <cfRule type="duplicateValues" dxfId="60" priority="6"/>
  </conditionalFormatting>
  <conditionalFormatting sqref="C17:C19 C30:C40">
    <cfRule type="duplicateValues" dxfId="59" priority="3"/>
    <cfRule type="duplicateValues" dxfId="58" priority="4"/>
  </conditionalFormatting>
  <conditionalFormatting sqref="C20:C29">
    <cfRule type="duplicateValues" dxfId="3" priority="1"/>
    <cfRule type="duplicateValues" dxfId="2" priority="2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C2233-BCA1-419D-ADE3-C6911360C64B}">
  <dimension ref="B1:AA29"/>
  <sheetViews>
    <sheetView zoomScale="85" zoomScaleNormal="85" workbookViewId="0">
      <selection activeCell="U20" sqref="U20:U30"/>
    </sheetView>
  </sheetViews>
  <sheetFormatPr baseColWidth="10" defaultColWidth="10.83203125" defaultRowHeight="16" x14ac:dyDescent="0.2"/>
  <cols>
    <col min="1" max="1" width="3.83203125" style="1" customWidth="1"/>
    <col min="2" max="2" width="8.1640625" style="1" bestFit="1" customWidth="1"/>
    <col min="3" max="3" width="5.1640625" style="1" bestFit="1" customWidth="1"/>
    <col min="4" max="4" width="16.6640625" style="1" customWidth="1"/>
    <col min="5" max="5" width="9.5" style="1" bestFit="1" customWidth="1"/>
    <col min="6" max="6" width="9.1640625" style="1" bestFit="1" customWidth="1"/>
    <col min="7" max="7" width="18.33203125" style="1" bestFit="1" customWidth="1"/>
    <col min="8" max="8" width="19.33203125" style="1" bestFit="1" customWidth="1"/>
    <col min="9" max="9" width="24.83203125" style="1" bestFit="1" customWidth="1"/>
    <col min="10" max="10" width="18.6640625" style="1" bestFit="1" customWidth="1"/>
    <col min="11" max="11" width="12.6640625" style="1" customWidth="1"/>
    <col min="12" max="12" width="12.6640625" style="1" bestFit="1" customWidth="1"/>
    <col min="13" max="14" width="10.83203125" style="1"/>
    <col min="15" max="15" width="18.33203125" style="1" bestFit="1" customWidth="1"/>
    <col min="16" max="16" width="19.33203125" style="1" bestFit="1" customWidth="1"/>
    <col min="17" max="17" width="24.83203125" style="1" bestFit="1" customWidth="1"/>
    <col min="18" max="18" width="18" style="1" bestFit="1" customWidth="1"/>
    <col min="19" max="19" width="10.83203125" style="1"/>
    <col min="20" max="20" width="12.6640625" style="1" bestFit="1" customWidth="1"/>
    <col min="21" max="22" width="10.83203125" style="1"/>
    <col min="23" max="23" width="18.33203125" style="1" bestFit="1" customWidth="1"/>
    <col min="24" max="24" width="19.33203125" style="1" bestFit="1" customWidth="1"/>
    <col min="25" max="25" width="24.83203125" style="1" bestFit="1" customWidth="1"/>
    <col min="26" max="26" width="18" style="1" bestFit="1" customWidth="1"/>
    <col min="27" max="16384" width="10.83203125" style="1"/>
  </cols>
  <sheetData>
    <row r="1" spans="2:27" x14ac:dyDescent="0.2">
      <c r="D1" s="1" t="s">
        <v>14</v>
      </c>
    </row>
    <row r="2" spans="2:27" x14ac:dyDescent="0.2">
      <c r="B2" s="1" t="s">
        <v>18</v>
      </c>
      <c r="D2" s="29">
        <v>150</v>
      </c>
      <c r="H2" s="28">
        <f>(Q14-H14)/H14</f>
        <v>-0.97816901420918745</v>
      </c>
      <c r="J2" s="28" t="e">
        <f>(S14-J14)/J14</f>
        <v>#DIV/0!</v>
      </c>
      <c r="K2" s="28"/>
      <c r="L2" s="1" t="s">
        <v>19</v>
      </c>
      <c r="P2" s="1">
        <f>(P14-H14)/H14</f>
        <v>-0.29070562240119885</v>
      </c>
      <c r="R2" s="1">
        <f>(R14-J14)/J14</f>
        <v>-0.12214817785321207</v>
      </c>
      <c r="T2" s="1" t="s">
        <v>20</v>
      </c>
      <c r="X2" s="1">
        <f>(X14-P14)/P14</f>
        <v>0.61517454047478981</v>
      </c>
      <c r="Z2" s="1">
        <f>(Z14-R14)/R14</f>
        <v>0.24039917680416867</v>
      </c>
    </row>
    <row r="3" spans="2:27" x14ac:dyDescent="0.2">
      <c r="B3" s="8" t="s">
        <v>7</v>
      </c>
      <c r="C3" s="8" t="s">
        <v>4</v>
      </c>
      <c r="D3" s="8" t="s">
        <v>0</v>
      </c>
      <c r="E3" s="8" t="s">
        <v>5</v>
      </c>
      <c r="F3" s="8" t="s">
        <v>12</v>
      </c>
      <c r="G3" s="8" t="s">
        <v>15</v>
      </c>
      <c r="H3" s="8" t="s">
        <v>11</v>
      </c>
      <c r="I3" s="8" t="s">
        <v>16</v>
      </c>
      <c r="J3" s="8" t="s">
        <v>10</v>
      </c>
      <c r="K3" s="8" t="s">
        <v>1</v>
      </c>
      <c r="L3" s="15" t="s">
        <v>0</v>
      </c>
      <c r="M3" s="15" t="s">
        <v>5</v>
      </c>
      <c r="N3" s="15" t="s">
        <v>12</v>
      </c>
      <c r="O3" s="15" t="s">
        <v>15</v>
      </c>
      <c r="P3" s="15" t="s">
        <v>11</v>
      </c>
      <c r="Q3" s="15" t="s">
        <v>16</v>
      </c>
      <c r="R3" s="15" t="s">
        <v>10</v>
      </c>
      <c r="S3" s="15" t="s">
        <v>1</v>
      </c>
      <c r="T3" s="36" t="s">
        <v>0</v>
      </c>
      <c r="U3" s="36" t="s">
        <v>5</v>
      </c>
      <c r="V3" s="36" t="s">
        <v>12</v>
      </c>
      <c r="W3" s="36" t="s">
        <v>15</v>
      </c>
      <c r="X3" s="36" t="s">
        <v>11</v>
      </c>
      <c r="Y3" s="36" t="s">
        <v>16</v>
      </c>
      <c r="Z3" s="36" t="s">
        <v>10</v>
      </c>
      <c r="AA3" s="36" t="s">
        <v>1</v>
      </c>
    </row>
    <row r="4" spans="2:27" x14ac:dyDescent="0.2">
      <c r="B4" s="4">
        <v>1</v>
      </c>
      <c r="C4" s="4">
        <v>528</v>
      </c>
      <c r="D4" s="23">
        <v>1419117.1540148209</v>
      </c>
      <c r="E4" s="32">
        <v>278.96427334286273</v>
      </c>
      <c r="F4" s="5">
        <v>13</v>
      </c>
      <c r="G4" s="23">
        <v>89.333333333333329</v>
      </c>
      <c r="H4" s="32">
        <v>819.443181907552</v>
      </c>
      <c r="I4" s="23">
        <v>42.352634421146099</v>
      </c>
      <c r="J4" s="5">
        <v>6222.1634322607233</v>
      </c>
      <c r="K4" s="30"/>
      <c r="L4" s="23">
        <v>1676666.863173889</v>
      </c>
      <c r="M4" s="32">
        <v>315.38950137142086</v>
      </c>
      <c r="N4" s="5">
        <v>25</v>
      </c>
      <c r="O4" s="5">
        <v>82</v>
      </c>
      <c r="P4" s="32">
        <v>650.14111418030234</v>
      </c>
      <c r="Q4" s="5">
        <v>20.010339675526552</v>
      </c>
      <c r="R4" s="5">
        <v>5315.9439255863899</v>
      </c>
      <c r="S4" s="34"/>
      <c r="T4" s="23">
        <v>1860268.08731585</v>
      </c>
      <c r="U4" s="32">
        <v>136.05709591428084</v>
      </c>
      <c r="V4" s="5">
        <v>13</v>
      </c>
      <c r="W4" s="5">
        <v>68</v>
      </c>
      <c r="X4" s="32">
        <v>1050.0913753399377</v>
      </c>
      <c r="Y4" s="5">
        <v>54.258271996533558</v>
      </c>
      <c r="Z4" s="5">
        <v>6593.892469234479</v>
      </c>
      <c r="AA4" s="34"/>
    </row>
    <row r="5" spans="2:27" x14ac:dyDescent="0.2">
      <c r="B5" s="4">
        <v>2</v>
      </c>
      <c r="C5" s="4">
        <v>273</v>
      </c>
      <c r="D5" s="23">
        <v>1441804.1846571499</v>
      </c>
      <c r="E5" s="32">
        <v>177.55241060000844</v>
      </c>
      <c r="F5" s="5">
        <v>12</v>
      </c>
      <c r="G5" s="23">
        <v>88</v>
      </c>
      <c r="H5" s="32">
        <v>856.21238020867429</v>
      </c>
      <c r="I5" s="23">
        <v>45.893320307430507</v>
      </c>
      <c r="J5" s="5">
        <v>6291.6459770685997</v>
      </c>
      <c r="K5" s="30"/>
      <c r="L5" s="23">
        <v>1702852.1545798469</v>
      </c>
      <c r="M5" s="32">
        <v>360.71870099999285</v>
      </c>
      <c r="N5" s="5">
        <v>23</v>
      </c>
      <c r="O5" s="5">
        <v>79.333333333333329</v>
      </c>
      <c r="P5" s="32">
        <v>630.05468569096843</v>
      </c>
      <c r="Q5" s="5">
        <v>20.596260786116318</v>
      </c>
      <c r="R5" s="5">
        <v>5388.1413844475755</v>
      </c>
      <c r="S5" s="34"/>
      <c r="T5" s="23">
        <v>1869785.860447451</v>
      </c>
      <c r="U5" s="32">
        <v>194.41317917143792</v>
      </c>
      <c r="V5" s="5">
        <v>13</v>
      </c>
      <c r="W5" s="5">
        <v>65.333333333333329</v>
      </c>
      <c r="X5" s="32">
        <v>839.0783802463327</v>
      </c>
      <c r="Y5" s="5">
        <v>50.790397886316548</v>
      </c>
      <c r="Z5" s="5">
        <v>6325.1591686301545</v>
      </c>
      <c r="AA5" s="34"/>
    </row>
    <row r="6" spans="2:27" x14ac:dyDescent="0.2">
      <c r="B6" s="4">
        <v>3</v>
      </c>
      <c r="C6" s="4">
        <v>782</v>
      </c>
      <c r="D6" s="23">
        <v>1382227.882921784</v>
      </c>
      <c r="E6" s="32">
        <v>689.21452374287344</v>
      </c>
      <c r="F6" s="5">
        <v>15</v>
      </c>
      <c r="G6" s="23">
        <v>92.666666666666671</v>
      </c>
      <c r="H6" s="32">
        <v>916.60266133963671</v>
      </c>
      <c r="I6" s="23">
        <v>39.014863173724038</v>
      </c>
      <c r="J6" s="5">
        <v>6055.6278308863575</v>
      </c>
      <c r="K6" s="30"/>
      <c r="L6" s="23">
        <v>1717310.4844799931</v>
      </c>
      <c r="M6" s="32">
        <v>369.91566657141914</v>
      </c>
      <c r="N6" s="5">
        <v>18</v>
      </c>
      <c r="O6" s="5">
        <v>71.333333333333329</v>
      </c>
      <c r="P6" s="32">
        <v>395.19732568807188</v>
      </c>
      <c r="Q6" s="5">
        <v>23.53958148980886</v>
      </c>
      <c r="R6" s="5">
        <v>4970.8782210606769</v>
      </c>
      <c r="S6" s="34"/>
      <c r="T6" s="23">
        <v>1870785.999031557</v>
      </c>
      <c r="U6" s="32">
        <v>210.78468168570129</v>
      </c>
      <c r="V6" s="5">
        <v>12</v>
      </c>
      <c r="W6" s="5">
        <v>66.666666666666671</v>
      </c>
      <c r="X6" s="32">
        <v>992.20045177270731</v>
      </c>
      <c r="Y6" s="5">
        <v>56.677490926037898</v>
      </c>
      <c r="Z6" s="5">
        <v>6632.3614645750022</v>
      </c>
      <c r="AA6" s="34"/>
    </row>
    <row r="7" spans="2:27" x14ac:dyDescent="0.2">
      <c r="B7" s="4">
        <v>4</v>
      </c>
      <c r="C7" s="4">
        <v>932</v>
      </c>
      <c r="D7" s="23">
        <v>1463868.205857598</v>
      </c>
      <c r="E7" s="32">
        <v>132.6631945428505</v>
      </c>
      <c r="F7" s="5">
        <v>11</v>
      </c>
      <c r="G7" s="23">
        <v>83.333333333333329</v>
      </c>
      <c r="H7" s="32">
        <v>659.92080320389584</v>
      </c>
      <c r="I7" s="23">
        <v>45.423757740236795</v>
      </c>
      <c r="J7" s="5">
        <v>5948.7067029222135</v>
      </c>
      <c r="K7" s="30"/>
      <c r="L7" s="23">
        <v>1686806.059974564</v>
      </c>
      <c r="M7" s="32">
        <v>289.07023374287286</v>
      </c>
      <c r="N7" s="5">
        <v>21</v>
      </c>
      <c r="O7" s="5">
        <v>76.666666666666671</v>
      </c>
      <c r="P7" s="32">
        <v>454.96206497113445</v>
      </c>
      <c r="Q7" s="5">
        <v>21.661808785812603</v>
      </c>
      <c r="R7" s="5">
        <v>5156.8833902785518</v>
      </c>
      <c r="S7" s="34"/>
      <c r="T7" s="23">
        <v>1885757.7325899261</v>
      </c>
      <c r="U7" s="32">
        <v>253.42733700001347</v>
      </c>
      <c r="V7" s="5">
        <v>12</v>
      </c>
      <c r="W7" s="5">
        <v>64.666666666666671</v>
      </c>
      <c r="X7" s="32">
        <v>899.26777439717671</v>
      </c>
      <c r="Y7" s="5">
        <v>52.101634182023325</v>
      </c>
      <c r="Z7" s="5">
        <v>6412.1655480419022</v>
      </c>
      <c r="AA7" s="34"/>
    </row>
    <row r="8" spans="2:27" x14ac:dyDescent="0.2">
      <c r="B8" s="4">
        <v>5</v>
      </c>
      <c r="C8" s="4">
        <v>583</v>
      </c>
      <c r="D8" s="23">
        <v>1415047.0167758821</v>
      </c>
      <c r="E8" s="32">
        <v>521.91568471428138</v>
      </c>
      <c r="F8" s="5">
        <v>14</v>
      </c>
      <c r="G8" s="23">
        <v>88.666666666666671</v>
      </c>
      <c r="H8" s="32">
        <v>813.29406154855974</v>
      </c>
      <c r="I8" s="23">
        <v>39.852782566690827</v>
      </c>
      <c r="J8" s="5">
        <v>6014.1667998286493</v>
      </c>
      <c r="K8" s="30"/>
      <c r="L8" s="23">
        <v>1699227.804177542</v>
      </c>
      <c r="M8" s="32">
        <v>498.18217368570282</v>
      </c>
      <c r="N8" s="5">
        <v>21</v>
      </c>
      <c r="O8" s="5">
        <v>76</v>
      </c>
      <c r="P8" s="32">
        <v>473.59707729773754</v>
      </c>
      <c r="Q8" s="5">
        <v>21.484786714252095</v>
      </c>
      <c r="R8" s="5">
        <v>5138.2547335342279</v>
      </c>
      <c r="S8" s="34"/>
      <c r="T8" s="23">
        <v>1941838.1981083299</v>
      </c>
      <c r="U8" s="32">
        <v>104.42219362856954</v>
      </c>
      <c r="V8" s="5">
        <v>11</v>
      </c>
      <c r="W8" s="5">
        <v>60.666666666666657</v>
      </c>
      <c r="X8" s="32">
        <v>855.4145682185158</v>
      </c>
      <c r="Y8" s="5">
        <v>55.217221160854962</v>
      </c>
      <c r="Z8" s="5">
        <v>6360.7013179783753</v>
      </c>
      <c r="AA8" s="34"/>
    </row>
    <row r="9" spans="2:27" x14ac:dyDescent="0.2">
      <c r="B9" s="4">
        <v>6</v>
      </c>
      <c r="C9" s="4">
        <v>599</v>
      </c>
      <c r="D9" s="23">
        <v>1408756.947952172</v>
      </c>
      <c r="E9" s="32">
        <v>258.39728397140942</v>
      </c>
      <c r="F9" s="5">
        <v>12</v>
      </c>
      <c r="G9" s="23">
        <v>87.333333333333329</v>
      </c>
      <c r="H9" s="32">
        <v>708.77017348230095</v>
      </c>
      <c r="I9" s="23">
        <v>44.414854449043467</v>
      </c>
      <c r="J9" s="5">
        <v>5994.228824384174</v>
      </c>
      <c r="K9" s="30"/>
      <c r="L9" s="23">
        <v>1710664.293679043</v>
      </c>
      <c r="M9" s="32">
        <v>347.06446468570658</v>
      </c>
      <c r="N9" s="5">
        <v>20</v>
      </c>
      <c r="O9" s="5">
        <v>74</v>
      </c>
      <c r="P9" s="32">
        <v>412.01072133298163</v>
      </c>
      <c r="Q9" s="5">
        <v>22.119645649293009</v>
      </c>
      <c r="R9" s="5">
        <v>5115.3089896226647</v>
      </c>
      <c r="S9" s="34"/>
      <c r="T9" s="23">
        <v>1970152.721261807</v>
      </c>
      <c r="U9" s="32">
        <v>464.91251148572854</v>
      </c>
      <c r="V9" s="5">
        <v>11</v>
      </c>
      <c r="W9" s="5">
        <v>60</v>
      </c>
      <c r="X9" s="32">
        <v>869.14062043492549</v>
      </c>
      <c r="Y9" s="5">
        <v>54.336720405413161</v>
      </c>
      <c r="Z9" s="5">
        <v>6430.0597697744588</v>
      </c>
      <c r="AA9" s="34"/>
    </row>
    <row r="10" spans="2:27" x14ac:dyDescent="0.2">
      <c r="B10" s="4">
        <v>7</v>
      </c>
      <c r="C10" s="4">
        <v>158</v>
      </c>
      <c r="D10" s="23">
        <v>1433524.7354286029</v>
      </c>
      <c r="E10" s="32">
        <v>332.61269802856259</v>
      </c>
      <c r="F10" s="5">
        <v>14</v>
      </c>
      <c r="G10" s="23">
        <v>88.666666666666671</v>
      </c>
      <c r="H10" s="32">
        <v>873.97840687743883</v>
      </c>
      <c r="I10" s="23">
        <v>40.334533108749042</v>
      </c>
      <c r="J10" s="5">
        <v>6037.8391963100794</v>
      </c>
      <c r="K10" s="30"/>
      <c r="L10" s="23">
        <v>1739575.3605742999</v>
      </c>
      <c r="M10" s="32">
        <v>236.14286654286221</v>
      </c>
      <c r="N10" s="5">
        <v>22</v>
      </c>
      <c r="O10" s="5">
        <v>77.333333333333329</v>
      </c>
      <c r="P10" s="32">
        <v>772.37021467858642</v>
      </c>
      <c r="Q10" s="5">
        <v>20.498989429813893</v>
      </c>
      <c r="R10" s="5">
        <v>5357.7007976366413</v>
      </c>
      <c r="S10" s="34"/>
      <c r="T10" s="23">
        <v>1952855.6781894921</v>
      </c>
      <c r="U10" s="32">
        <v>328.6041547999983</v>
      </c>
      <c r="V10" s="5">
        <v>11</v>
      </c>
      <c r="W10" s="5">
        <v>61.333333333333343</v>
      </c>
      <c r="X10" s="32">
        <v>930.19299018829577</v>
      </c>
      <c r="Y10" s="5">
        <v>53.287119361312847</v>
      </c>
      <c r="Z10" s="5">
        <v>6484.5084146970776</v>
      </c>
      <c r="AA10" s="34"/>
    </row>
    <row r="11" spans="2:27" x14ac:dyDescent="0.2">
      <c r="B11" s="4">
        <v>8</v>
      </c>
      <c r="C11" s="4">
        <v>572</v>
      </c>
      <c r="D11" s="23">
        <v>1506607.2237403961</v>
      </c>
      <c r="E11" s="32">
        <v>244.58115400001407</v>
      </c>
      <c r="F11" s="5">
        <v>12</v>
      </c>
      <c r="G11" s="23">
        <v>84.666666666666671</v>
      </c>
      <c r="H11" s="32">
        <v>817.64496735847706</v>
      </c>
      <c r="I11" s="23">
        <v>42.988005122279993</v>
      </c>
      <c r="J11" s="5">
        <v>6287.4927647015411</v>
      </c>
      <c r="K11" s="30"/>
      <c r="L11" s="23">
        <v>1763266.20872656</v>
      </c>
      <c r="M11" s="32">
        <v>279.61426991427186</v>
      </c>
      <c r="N11" s="5">
        <v>18</v>
      </c>
      <c r="O11" s="5">
        <v>70</v>
      </c>
      <c r="P11" s="32">
        <v>500.30768138078122</v>
      </c>
      <c r="Q11" s="5">
        <v>23.076371487317303</v>
      </c>
      <c r="R11" s="5">
        <v>5082.5486904675881</v>
      </c>
      <c r="S11" s="34"/>
      <c r="T11" s="23">
        <v>1882369.300763747</v>
      </c>
      <c r="U11" s="32">
        <v>365.85170982857915</v>
      </c>
      <c r="V11" s="5">
        <v>12</v>
      </c>
      <c r="W11" s="5">
        <v>65.333333333333329</v>
      </c>
      <c r="X11" s="32">
        <v>932.05773793920105</v>
      </c>
      <c r="Y11" s="5">
        <v>55.642744564796942</v>
      </c>
      <c r="Z11" s="5">
        <v>6567.6238459415044</v>
      </c>
      <c r="AA11" s="34"/>
    </row>
    <row r="12" spans="2:27" x14ac:dyDescent="0.2">
      <c r="B12" s="4">
        <v>9</v>
      </c>
      <c r="C12" s="4">
        <v>704</v>
      </c>
      <c r="D12" s="23">
        <v>1427003.9327854139</v>
      </c>
      <c r="E12" s="32">
        <v>149.22352062857576</v>
      </c>
      <c r="F12" s="5">
        <v>14</v>
      </c>
      <c r="G12" s="23">
        <v>90</v>
      </c>
      <c r="H12" s="32">
        <v>892.67988526251827</v>
      </c>
      <c r="I12" s="23">
        <v>39.45674500283139</v>
      </c>
      <c r="J12" s="5">
        <v>6148.4353668740578</v>
      </c>
      <c r="K12" s="30"/>
      <c r="L12" s="23">
        <v>1704276.152006868</v>
      </c>
      <c r="M12" s="32">
        <v>699.97028274285344</v>
      </c>
      <c r="N12" s="5">
        <v>20</v>
      </c>
      <c r="O12" s="5">
        <v>74.666666666666671</v>
      </c>
      <c r="P12" s="32">
        <v>462.95256718945939</v>
      </c>
      <c r="Q12" s="5">
        <v>22.488057650487143</v>
      </c>
      <c r="R12" s="5">
        <v>5141.8561592298738</v>
      </c>
      <c r="S12" s="34"/>
      <c r="T12" s="23">
        <v>1881569.5178614601</v>
      </c>
      <c r="U12" s="32">
        <v>207.2324718571534</v>
      </c>
      <c r="V12" s="5">
        <v>12</v>
      </c>
      <c r="W12" s="5">
        <v>65.333333333333329</v>
      </c>
      <c r="X12" s="32">
        <v>928.48934629915607</v>
      </c>
      <c r="Y12" s="5">
        <v>55.767125731482565</v>
      </c>
      <c r="Z12" s="5">
        <v>6565.1188676113261</v>
      </c>
      <c r="AA12" s="34"/>
    </row>
    <row r="13" spans="2:27" x14ac:dyDescent="0.2">
      <c r="B13" s="4">
        <v>10</v>
      </c>
      <c r="C13" s="4">
        <v>858</v>
      </c>
      <c r="D13" s="23">
        <v>1443406.7060414669</v>
      </c>
      <c r="E13" s="32">
        <v>368.86394111429598</v>
      </c>
      <c r="F13" s="5">
        <v>15</v>
      </c>
      <c r="G13" s="23">
        <v>92</v>
      </c>
      <c r="H13" s="32">
        <v>951.99092310744584</v>
      </c>
      <c r="I13" s="23">
        <v>38.241424238083567</v>
      </c>
      <c r="J13" s="5">
        <v>6396.6054396851187</v>
      </c>
      <c r="K13" s="30"/>
      <c r="L13" s="23">
        <v>1721906.3522249609</v>
      </c>
      <c r="M13" s="32">
        <v>305.61437977141975</v>
      </c>
      <c r="N13" s="5">
        <v>26</v>
      </c>
      <c r="O13" s="5">
        <v>81.333333333333329</v>
      </c>
      <c r="P13" s="32">
        <v>720.07791342435269</v>
      </c>
      <c r="Q13" s="5">
        <v>19.363606086749741</v>
      </c>
      <c r="R13" s="5">
        <v>5346.3641953422657</v>
      </c>
      <c r="S13" s="34"/>
      <c r="T13" s="23">
        <v>1881899.556602193</v>
      </c>
      <c r="U13" s="32">
        <v>435.71801737143795</v>
      </c>
      <c r="V13" s="5">
        <v>13</v>
      </c>
      <c r="W13" s="5">
        <v>66</v>
      </c>
      <c r="X13" s="32">
        <v>1016.4184312953174</v>
      </c>
      <c r="Y13" s="5">
        <v>53.5405162513295</v>
      </c>
      <c r="Z13" s="5">
        <v>6440.3291673516196</v>
      </c>
      <c r="AA13" s="34"/>
    </row>
    <row r="14" spans="2:27" x14ac:dyDescent="0.2">
      <c r="B14" s="47" t="s">
        <v>3</v>
      </c>
      <c r="C14" s="48"/>
      <c r="D14" s="9">
        <f>MIN(D4:D13)</f>
        <v>1382227.882921784</v>
      </c>
      <c r="E14" s="22">
        <f>INDEX(E4:E13, MATCH($D$14, D4:D13, 0))</f>
        <v>689.21452374287344</v>
      </c>
      <c r="F14" s="9">
        <f>INDEX(F4:F13, MATCH($D$14, D4:D13, 0))</f>
        <v>15</v>
      </c>
      <c r="G14" s="9">
        <f>INDEX(G4:G13, MATCH($D$14, D4:D13, 0))</f>
        <v>92.666666666666671</v>
      </c>
      <c r="H14" s="22">
        <f>INDEX(H4:H13, MATCH($D$14, D4:D13, 0))</f>
        <v>916.60266133963671</v>
      </c>
      <c r="I14" s="22">
        <f>INDEX(I4:I13, MATCH($D$14, D4:D13, 0))</f>
        <v>39.014863173724038</v>
      </c>
      <c r="J14" s="22">
        <f>INDEX(J4:J13, MATCH($D$14, D4:D13, 0))</f>
        <v>6055.6278308863575</v>
      </c>
      <c r="K14" s="31" t="e">
        <f>(D14-$D$15)/$D$15</f>
        <v>#DIV/0!</v>
      </c>
      <c r="L14" s="16">
        <f>MIN(L4:L13)</f>
        <v>1676666.863173889</v>
      </c>
      <c r="M14" s="21">
        <f>INDEX(M4:M13, MATCH($L$14, L4:L13, 0))</f>
        <v>315.38950137142086</v>
      </c>
      <c r="N14" s="16">
        <f>INDEX(N4:N13, MATCH($L$14, L4:L13, 0))</f>
        <v>25</v>
      </c>
      <c r="O14" s="16">
        <f>INDEX(O4:O13, MATCH($L$14, L4:L13, 0))</f>
        <v>82</v>
      </c>
      <c r="P14" s="21">
        <f>INDEX(P4:P13, MATCH($L$14, L4:L13, 0))</f>
        <v>650.14111418030234</v>
      </c>
      <c r="Q14" s="21">
        <f>INDEX(Q4:Q13, MATCH($L$14, L4:L13, 0))</f>
        <v>20.010339675526552</v>
      </c>
      <c r="R14" s="21">
        <f>INDEX(R4:R13, MATCH($L$14, L4:L13, 0))</f>
        <v>5315.9439255863899</v>
      </c>
      <c r="S14" s="35" t="e">
        <f>(L14-$D$15)/$D$15</f>
        <v>#DIV/0!</v>
      </c>
      <c r="T14" s="37">
        <f>MIN(T4:T13)</f>
        <v>1860268.08731585</v>
      </c>
      <c r="U14" s="38">
        <f>INDEX(U4:U13, MATCH($T$14, T4:T13, 0))</f>
        <v>136.05709591428084</v>
      </c>
      <c r="V14" s="37">
        <f>INDEX(V4:V13, MATCH($T$14, T4:T13, 0))</f>
        <v>13</v>
      </c>
      <c r="W14" s="37">
        <f>INDEX(W4:W13, MATCH($T$14, T4:T13, 0))</f>
        <v>68</v>
      </c>
      <c r="X14" s="38">
        <f>INDEX(X4:X13, MATCH($T$14, T4:T13, 0))</f>
        <v>1050.0913753399377</v>
      </c>
      <c r="Y14" s="38">
        <f>INDEX(Y4:Y13, MATCH($T$14, T4:T13, 0))</f>
        <v>54.258271996533558</v>
      </c>
      <c r="Z14" s="38">
        <f>INDEX(Z4:Z13, MATCH($T$14, T4:T13, 0))</f>
        <v>6593.892469234479</v>
      </c>
      <c r="AA14" s="39" t="e">
        <f>(T14-$D$15)/$D$15</f>
        <v>#DIV/0!</v>
      </c>
    </row>
    <row r="15" spans="2:27" x14ac:dyDescent="0.2">
      <c r="C15" s="1" t="s">
        <v>17</v>
      </c>
      <c r="D15" s="33"/>
      <c r="E15" s="3"/>
      <c r="F15" s="3"/>
      <c r="G15" s="3"/>
      <c r="H15" s="3"/>
      <c r="I15" s="3"/>
      <c r="J15" s="3"/>
      <c r="K15" s="3"/>
      <c r="L15" s="40">
        <f>(L14-D14)/D14</f>
        <v>0.21301768246037217</v>
      </c>
      <c r="M15" s="40">
        <f t="shared" ref="M15:R15" si="0">(M14-E14)/E14</f>
        <v>-0.5423928392300047</v>
      </c>
      <c r="N15" s="40">
        <f t="shared" si="0"/>
        <v>0.66666666666666663</v>
      </c>
      <c r="O15" s="40">
        <f t="shared" si="0"/>
        <v>-0.1151079136690648</v>
      </c>
      <c r="P15" s="40">
        <f t="shared" si="0"/>
        <v>-0.29070562240119885</v>
      </c>
      <c r="Q15" s="40">
        <f t="shared" si="0"/>
        <v>-0.48710983333645946</v>
      </c>
      <c r="R15" s="40">
        <f t="shared" si="0"/>
        <v>-0.12214817785321207</v>
      </c>
      <c r="T15" s="40">
        <f>(T14-D14)/D14</f>
        <v>0.34584760610064819</v>
      </c>
      <c r="U15" s="40">
        <f t="shared" ref="U15:Z15" si="1">(U14-E14)/E14</f>
        <v>-0.80259107835481436</v>
      </c>
      <c r="V15" s="40">
        <f t="shared" si="1"/>
        <v>-0.13333333333333333</v>
      </c>
      <c r="W15" s="40">
        <f t="shared" si="1"/>
        <v>-0.26618705035971224</v>
      </c>
      <c r="X15" s="40">
        <f t="shared" si="1"/>
        <v>0.14563422039949572</v>
      </c>
      <c r="Y15" s="40">
        <f t="shared" si="1"/>
        <v>0.39070773502227074</v>
      </c>
      <c r="Z15" s="40">
        <f t="shared" si="1"/>
        <v>8.8886677546915246E-2</v>
      </c>
    </row>
    <row r="16" spans="2:27" x14ac:dyDescent="0.2">
      <c r="D16" s="2"/>
    </row>
    <row r="17" spans="4:21" x14ac:dyDescent="0.2">
      <c r="D17" s="2"/>
    </row>
    <row r="20" spans="4:21" x14ac:dyDescent="0.2">
      <c r="E20"/>
      <c r="M20"/>
      <c r="U20"/>
    </row>
    <row r="21" spans="4:21" x14ac:dyDescent="0.2">
      <c r="E21"/>
      <c r="M21"/>
      <c r="U21"/>
    </row>
    <row r="22" spans="4:21" x14ac:dyDescent="0.2">
      <c r="E22"/>
      <c r="M22"/>
      <c r="U22"/>
    </row>
    <row r="23" spans="4:21" x14ac:dyDescent="0.2">
      <c r="E23"/>
      <c r="M23"/>
      <c r="U23"/>
    </row>
    <row r="24" spans="4:21" x14ac:dyDescent="0.2">
      <c r="E24"/>
      <c r="M24"/>
      <c r="U24"/>
    </row>
    <row r="25" spans="4:21" x14ac:dyDescent="0.2">
      <c r="E25"/>
      <c r="M25"/>
      <c r="U25"/>
    </row>
    <row r="26" spans="4:21" x14ac:dyDescent="0.2">
      <c r="E26"/>
      <c r="M26"/>
      <c r="U26"/>
    </row>
    <row r="27" spans="4:21" x14ac:dyDescent="0.2">
      <c r="E27"/>
      <c r="M27"/>
      <c r="U27"/>
    </row>
    <row r="28" spans="4:21" x14ac:dyDescent="0.2">
      <c r="E28"/>
      <c r="M28"/>
      <c r="U28"/>
    </row>
    <row r="29" spans="4:21" x14ac:dyDescent="0.2">
      <c r="E29"/>
      <c r="M29"/>
      <c r="U29"/>
    </row>
  </sheetData>
  <mergeCells count="1">
    <mergeCell ref="B14:C14"/>
  </mergeCells>
  <conditionalFormatting sqref="C1:C13 C16 C41:C1048576">
    <cfRule type="duplicateValues" dxfId="57" priority="9"/>
    <cfRule type="duplicateValues" dxfId="56" priority="10"/>
  </conditionalFormatting>
  <conditionalFormatting sqref="C14">
    <cfRule type="duplicateValues" dxfId="55" priority="7"/>
    <cfRule type="duplicateValues" dxfId="54" priority="8"/>
  </conditionalFormatting>
  <conditionalFormatting sqref="C15">
    <cfRule type="duplicateValues" dxfId="53" priority="5"/>
    <cfRule type="duplicateValues" dxfId="52" priority="6"/>
  </conditionalFormatting>
  <conditionalFormatting sqref="C17:C19 C30:C40">
    <cfRule type="duplicateValues" dxfId="51" priority="3"/>
    <cfRule type="duplicateValues" dxfId="50" priority="4"/>
  </conditionalFormatting>
  <conditionalFormatting sqref="C20:C2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692B1-22D1-5B40-A372-3E21EF5CF739}">
  <dimension ref="B3:I14"/>
  <sheetViews>
    <sheetView zoomScale="125" workbookViewId="0">
      <selection activeCell="I4" sqref="I4"/>
    </sheetView>
  </sheetViews>
  <sheetFormatPr baseColWidth="10" defaultColWidth="11" defaultRowHeight="16" x14ac:dyDescent="0.2"/>
  <cols>
    <col min="4" max="6" width="16.6640625" customWidth="1"/>
  </cols>
  <sheetData>
    <row r="3" spans="2:9" x14ac:dyDescent="0.2">
      <c r="B3" s="8" t="s">
        <v>2</v>
      </c>
      <c r="C3" s="8" t="s">
        <v>4</v>
      </c>
      <c r="D3" s="8" t="s">
        <v>0</v>
      </c>
      <c r="E3" s="8" t="s">
        <v>5</v>
      </c>
      <c r="F3" s="8" t="s">
        <v>1</v>
      </c>
      <c r="G3" s="8" t="s">
        <v>6</v>
      </c>
    </row>
    <row r="4" spans="2:9" x14ac:dyDescent="0.2">
      <c r="B4" s="4">
        <v>1</v>
      </c>
      <c r="C4" s="4"/>
      <c r="D4" s="12" t="e" cm="1">
        <f t="array" aca="1" ref="D4" ca="1">INDIRECT("'[results" &amp; $C4 &amp; ".xlsx]Objective'!$A$2")</f>
        <v>#REF!</v>
      </c>
      <c r="E4" s="7" t="e" cm="1">
        <f t="array" aca="1" ref="E4" ca="1">INDIRECT("'[results" &amp; $C4 &amp; ".xlsx]Optimization_Time'!$A$2")</f>
        <v>#REF!</v>
      </c>
      <c r="F4" s="7" t="e" cm="1">
        <f t="array" aca="1" ref="F4" ca="1">INDIRECT("'[results" &amp; $C4 &amp; ".xlsx]Optimality_Gap'!$A$2")</f>
        <v>#REF!</v>
      </c>
      <c r="G4" s="7" t="e" cm="1">
        <f t="array" aca="1" ref="G4" ca="1">INDIRECT("'[results" &amp; $C4 &amp; ".xlsx]Optimality_Status'!$A$2")</f>
        <v>#REF!</v>
      </c>
      <c r="H4" s="1" t="e" cm="1">
        <f t="array" aca="1" ref="H4" ca="1">INDIRECT("'[Results SA - 15-2-3.xlsx]results" &amp; C4 &amp; "'!$D$15")</f>
        <v>#REF!</v>
      </c>
      <c r="I4" s="14" t="e" cm="1">
        <f t="array" aca="1" ref="I4" ca="1">INDIRECT("'[Results SA - 15-2-3.xlsx]results" &amp; C4 &amp; "'!$E$15")</f>
        <v>#REF!</v>
      </c>
    </row>
    <row r="5" spans="2:9" x14ac:dyDescent="0.2">
      <c r="B5" s="4">
        <v>2</v>
      </c>
      <c r="C5" s="4"/>
      <c r="D5" s="12" t="e" cm="1">
        <f t="array" aca="1" ref="D5" ca="1">INDIRECT("'[results" &amp; $C5 &amp; ".xlsx]Objective'!$A$2")</f>
        <v>#REF!</v>
      </c>
      <c r="E5" s="7" t="e" cm="1">
        <f t="array" aca="1" ref="E5" ca="1">INDIRECT("'[results" &amp; $C5 &amp; ".xlsx]Optimization_Time'!$A$2")</f>
        <v>#REF!</v>
      </c>
      <c r="F5" s="7" t="e" cm="1">
        <f t="array" aca="1" ref="F5" ca="1">INDIRECT("'[results" &amp; $C5 &amp; ".xlsx]Optimality_Gap'!$A$2")</f>
        <v>#REF!</v>
      </c>
      <c r="G5" s="7" t="e" cm="1">
        <f t="array" aca="1" ref="G5" ca="1">INDIRECT("'[results" &amp; $C5 &amp; ".xlsx]Optimality_Status'!$A$2")</f>
        <v>#REF!</v>
      </c>
    </row>
    <row r="6" spans="2:9" x14ac:dyDescent="0.2">
      <c r="B6" s="4">
        <v>3</v>
      </c>
      <c r="C6" s="4"/>
      <c r="D6" s="12" t="e" cm="1">
        <f t="array" aca="1" ref="D6" ca="1">INDIRECT("'[results" &amp; $C6 &amp; ".xlsx]Objective'!$A$2")</f>
        <v>#REF!</v>
      </c>
      <c r="E6" s="7" t="e" cm="1">
        <f t="array" aca="1" ref="E6" ca="1">INDIRECT("'[results" &amp; $C6 &amp; ".xlsx]Optimization_Time'!$A$2")</f>
        <v>#REF!</v>
      </c>
      <c r="F6" s="7" t="e" cm="1">
        <f t="array" aca="1" ref="F6" ca="1">INDIRECT("'[results" &amp; $C6 &amp; ".xlsx]Optimality_Gap'!$A$2")</f>
        <v>#REF!</v>
      </c>
      <c r="G6" s="7" t="e" cm="1">
        <f t="array" aca="1" ref="G6" ca="1">INDIRECT("'[results" &amp; $C6 &amp; ".xlsx]Optimality_Status'!$A$2")</f>
        <v>#REF!</v>
      </c>
    </row>
    <row r="7" spans="2:9" x14ac:dyDescent="0.2">
      <c r="B7" s="4">
        <v>4</v>
      </c>
      <c r="C7" s="4"/>
      <c r="D7" s="12" t="e" cm="1">
        <f t="array" aca="1" ref="D7" ca="1">INDIRECT("'[results" &amp; $C7 &amp; ".xlsx]Objective'!$A$2")</f>
        <v>#REF!</v>
      </c>
      <c r="E7" s="7" t="e" cm="1">
        <f t="array" aca="1" ref="E7" ca="1">INDIRECT("'[results" &amp; $C7 &amp; ".xlsx]Optimization_Time'!$A$2")</f>
        <v>#REF!</v>
      </c>
      <c r="F7" s="7" t="e" cm="1">
        <f t="array" aca="1" ref="F7" ca="1">INDIRECT("'[results" &amp; $C7 &amp; ".xlsx]Optimality_Gap'!$A$2")</f>
        <v>#REF!</v>
      </c>
      <c r="G7" s="7" t="e" cm="1">
        <f t="array" aca="1" ref="G7" ca="1">INDIRECT("'[results" &amp; $C7 &amp; ".xlsx]Optimality_Status'!$A$2")</f>
        <v>#REF!</v>
      </c>
    </row>
    <row r="8" spans="2:9" x14ac:dyDescent="0.2">
      <c r="B8" s="4">
        <v>5</v>
      </c>
      <c r="C8" s="4"/>
      <c r="D8" s="12" t="e" cm="1">
        <f t="array" aca="1" ref="D8" ca="1">INDIRECT("'[results" &amp; $C8 &amp; ".xlsx]Objective'!$A$2")</f>
        <v>#REF!</v>
      </c>
      <c r="E8" s="7" t="e" cm="1">
        <f t="array" aca="1" ref="E8" ca="1">INDIRECT("'[results" &amp; $C8 &amp; ".xlsx]Optimization_Time'!$A$2")</f>
        <v>#REF!</v>
      </c>
      <c r="F8" s="7" t="e" cm="1">
        <f t="array" aca="1" ref="F8" ca="1">INDIRECT("'[results" &amp; $C8 &amp; ".xlsx]Optimality_Gap'!$A$2")</f>
        <v>#REF!</v>
      </c>
      <c r="G8" s="7" t="e" cm="1">
        <f t="array" aca="1" ref="G8" ca="1">INDIRECT("'[results" &amp; $C8 &amp; ".xlsx]Optimality_Status'!$A$2")</f>
        <v>#REF!</v>
      </c>
    </row>
    <row r="9" spans="2:9" x14ac:dyDescent="0.2">
      <c r="B9" s="4">
        <v>6</v>
      </c>
      <c r="C9" s="4"/>
      <c r="D9" s="12" t="e" cm="1">
        <f t="array" aca="1" ref="D9" ca="1">INDIRECT("'[results" &amp; $C9 &amp; ".xlsx]Objective'!$A$2")</f>
        <v>#REF!</v>
      </c>
      <c r="E9" s="7" t="e" cm="1">
        <f t="array" aca="1" ref="E9" ca="1">INDIRECT("'[results" &amp; $C9 &amp; ".xlsx]Optimization_Time'!$A$2")</f>
        <v>#REF!</v>
      </c>
      <c r="F9" s="7" t="e" cm="1">
        <f t="array" aca="1" ref="F9" ca="1">INDIRECT("'[results" &amp; $C9 &amp; ".xlsx]Optimality_Gap'!$A$2")</f>
        <v>#REF!</v>
      </c>
      <c r="G9" s="7" t="e" cm="1">
        <f t="array" aca="1" ref="G9" ca="1">INDIRECT("'[results" &amp; $C9 &amp; ".xlsx]Optimality_Status'!$A$2")</f>
        <v>#REF!</v>
      </c>
    </row>
    <row r="10" spans="2:9" x14ac:dyDescent="0.2">
      <c r="B10" s="4">
        <v>7</v>
      </c>
      <c r="C10" s="4"/>
      <c r="D10" s="12" t="e" cm="1">
        <f t="array" aca="1" ref="D10" ca="1">INDIRECT("'[results" &amp; $C10 &amp; ".xlsx]Objective'!$A$2")</f>
        <v>#REF!</v>
      </c>
      <c r="E10" s="7" t="e" cm="1">
        <f t="array" aca="1" ref="E10" ca="1">INDIRECT("'[results" &amp; $C10 &amp; ".xlsx]Optimization_Time'!$A$2")</f>
        <v>#REF!</v>
      </c>
      <c r="F10" s="7" t="e" cm="1">
        <f t="array" aca="1" ref="F10" ca="1">INDIRECT("'[results" &amp; $C10 &amp; ".xlsx]Optimality_Gap'!$A$2")</f>
        <v>#REF!</v>
      </c>
      <c r="G10" s="7" t="e" cm="1">
        <f t="array" aca="1" ref="G10" ca="1">INDIRECT("'[results" &amp; $C10 &amp; ".xlsx]Optimality_Status'!$A$2")</f>
        <v>#REF!</v>
      </c>
    </row>
    <row r="11" spans="2:9" x14ac:dyDescent="0.2">
      <c r="B11" s="4">
        <v>8</v>
      </c>
      <c r="C11" s="4"/>
      <c r="D11" s="12" t="e" cm="1">
        <f t="array" aca="1" ref="D11" ca="1">INDIRECT("'[results" &amp; $C11 &amp; ".xlsx]Objective'!$A$2")</f>
        <v>#REF!</v>
      </c>
      <c r="E11" s="7" t="e" cm="1">
        <f t="array" aca="1" ref="E11" ca="1">INDIRECT("'[results" &amp; $C11 &amp; ".xlsx]Optimization_Time'!$A$2")</f>
        <v>#REF!</v>
      </c>
      <c r="F11" s="7" t="e" cm="1">
        <f t="array" aca="1" ref="F11" ca="1">INDIRECT("'[results" &amp; $C11 &amp; ".xlsx]Optimality_Gap'!$A$2")</f>
        <v>#REF!</v>
      </c>
      <c r="G11" s="7" t="e" cm="1">
        <f t="array" aca="1" ref="G11" ca="1">INDIRECT("'[results" &amp; $C11 &amp; ".xlsx]Optimality_Status'!$A$2")</f>
        <v>#REF!</v>
      </c>
    </row>
    <row r="12" spans="2:9" x14ac:dyDescent="0.2">
      <c r="B12" s="4">
        <v>9</v>
      </c>
      <c r="C12" s="4"/>
      <c r="D12" s="12" t="e" cm="1">
        <f t="array" aca="1" ref="D12" ca="1">INDIRECT("'[results" &amp; $C12 &amp; ".xlsx]Objective'!$A$2")</f>
        <v>#REF!</v>
      </c>
      <c r="E12" s="7" t="e" cm="1">
        <f t="array" aca="1" ref="E12" ca="1">INDIRECT("'[results" &amp; $C12 &amp; ".xlsx]Optimization_Time'!$A$2")</f>
        <v>#REF!</v>
      </c>
      <c r="F12" s="7" t="e" cm="1">
        <f t="array" aca="1" ref="F12" ca="1">INDIRECT("'[results" &amp; $C12 &amp; ".xlsx]Optimality_Gap'!$A$2")</f>
        <v>#REF!</v>
      </c>
      <c r="G12" s="7" t="e" cm="1">
        <f t="array" aca="1" ref="G12" ca="1">INDIRECT("'[results" &amp; $C12 &amp; ".xlsx]Optimality_Status'!$A$2")</f>
        <v>#REF!</v>
      </c>
    </row>
    <row r="13" spans="2:9" x14ac:dyDescent="0.2">
      <c r="B13" s="4">
        <v>10</v>
      </c>
      <c r="C13" s="4"/>
      <c r="D13" s="12" t="e" cm="1">
        <f t="array" aca="1" ref="D13" ca="1">INDIRECT("'[results" &amp; $C13 &amp; ".xlsx]Objective'!$A$2")</f>
        <v>#REF!</v>
      </c>
      <c r="E13" s="7" t="e" cm="1">
        <f t="array" aca="1" ref="E13" ca="1">INDIRECT("'[results" &amp; $C13 &amp; ".xlsx]Optimization_Time'!$A$2")</f>
        <v>#REF!</v>
      </c>
      <c r="F13" s="7" t="e" cm="1">
        <f t="array" aca="1" ref="F13" ca="1">INDIRECT("'[results" &amp; $C13 &amp; ".xlsx]Optimality_Gap'!$A$2")</f>
        <v>#REF!</v>
      </c>
      <c r="G13" s="7" t="e" cm="1">
        <f t="array" aca="1" ref="G13" ca="1">INDIRECT("'[results" &amp; $C13 &amp; ".xlsx]Optimality_Status'!$A$2")</f>
        <v>#REF!</v>
      </c>
    </row>
    <row r="14" spans="2:9" x14ac:dyDescent="0.2">
      <c r="B14" s="47" t="s">
        <v>3</v>
      </c>
      <c r="C14" s="48" t="s">
        <v>3</v>
      </c>
      <c r="D14" s="9" t="e">
        <f ca="1">AVERAGE(D4:D13)</f>
        <v>#REF!</v>
      </c>
      <c r="E14" s="10" t="e">
        <f ca="1">AVERAGE(E4:E13)</f>
        <v>#REF!</v>
      </c>
      <c r="F14" s="11" t="e">
        <f ca="1">AVERAGE(F4:F13)</f>
        <v>#REF!</v>
      </c>
    </row>
  </sheetData>
  <mergeCells count="1">
    <mergeCell ref="B14:C1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13F57-3A30-4A47-8A73-5AC3C4C1A3FE}">
  <dimension ref="B3:T17"/>
  <sheetViews>
    <sheetView zoomScale="118" zoomScaleNormal="120" workbookViewId="0">
      <selection activeCell="H16" sqref="H16"/>
    </sheetView>
  </sheetViews>
  <sheetFormatPr baseColWidth="10" defaultColWidth="10.83203125" defaultRowHeight="16" x14ac:dyDescent="0.2"/>
  <cols>
    <col min="1" max="1" width="4.33203125" style="1" customWidth="1"/>
    <col min="2" max="2" width="8.1640625" style="1" bestFit="1" customWidth="1"/>
    <col min="3" max="3" width="5.1640625" style="1" bestFit="1" customWidth="1"/>
    <col min="4" max="5" width="16.6640625" style="1" customWidth="1"/>
    <col min="6" max="6" width="9.1640625" style="1" bestFit="1" customWidth="1"/>
    <col min="7" max="7" width="13.33203125" style="1" bestFit="1" customWidth="1"/>
    <col min="8" max="8" width="19.33203125" style="1" bestFit="1" customWidth="1"/>
    <col min="9" max="9" width="12" style="1" bestFit="1" customWidth="1"/>
    <col min="10" max="10" width="18" style="1" bestFit="1" customWidth="1"/>
    <col min="11" max="11" width="6.6640625" style="1" bestFit="1" customWidth="1"/>
    <col min="12" max="12" width="5" style="1" bestFit="1" customWidth="1"/>
    <col min="13" max="13" width="12.6640625" style="1" bestFit="1" customWidth="1"/>
    <col min="14" max="14" width="10.83203125" style="1"/>
    <col min="15" max="16" width="13.33203125" style="1" bestFit="1" customWidth="1"/>
    <col min="17" max="17" width="19.33203125" style="1" bestFit="1" customWidth="1"/>
    <col min="18" max="19" width="18" style="1" bestFit="1" customWidth="1"/>
    <col min="20" max="16384" width="10.83203125" style="1"/>
  </cols>
  <sheetData>
    <row r="3" spans="2:20" x14ac:dyDescent="0.2">
      <c r="B3" s="8" t="s">
        <v>7</v>
      </c>
      <c r="C3" s="8" t="s">
        <v>4</v>
      </c>
      <c r="D3" s="8" t="s">
        <v>0</v>
      </c>
      <c r="E3" s="8" t="s">
        <v>5</v>
      </c>
      <c r="F3" s="8" t="s">
        <v>12</v>
      </c>
      <c r="G3" s="8" t="s">
        <v>8</v>
      </c>
      <c r="H3" s="8" t="s">
        <v>9</v>
      </c>
      <c r="I3" s="8" t="s">
        <v>11</v>
      </c>
      <c r="J3" s="8" t="s">
        <v>10</v>
      </c>
      <c r="K3" s="8" t="s">
        <v>1</v>
      </c>
      <c r="L3" s="15" t="s">
        <v>13</v>
      </c>
      <c r="M3" s="15" t="s">
        <v>0</v>
      </c>
      <c r="N3" s="15" t="s">
        <v>5</v>
      </c>
      <c r="O3" s="15" t="s">
        <v>12</v>
      </c>
      <c r="P3" s="15" t="s">
        <v>8</v>
      </c>
      <c r="Q3" s="15" t="s">
        <v>9</v>
      </c>
      <c r="R3" s="15" t="s">
        <v>11</v>
      </c>
      <c r="S3" s="15" t="s">
        <v>10</v>
      </c>
      <c r="T3" s="15" t="s">
        <v>1</v>
      </c>
    </row>
    <row r="4" spans="2:20" x14ac:dyDescent="0.2">
      <c r="B4" s="4">
        <v>1</v>
      </c>
      <c r="C4" s="4">
        <v>5</v>
      </c>
      <c r="D4" s="12">
        <v>19241.290819999998</v>
      </c>
      <c r="E4" s="7">
        <v>9.0579987000000001E-3</v>
      </c>
      <c r="F4" s="19">
        <v>2</v>
      </c>
      <c r="G4" s="5">
        <v>1</v>
      </c>
      <c r="H4" s="7">
        <v>21469.399999999943</v>
      </c>
      <c r="I4" s="7">
        <v>0</v>
      </c>
      <c r="J4" s="7">
        <v>954.49813255853894</v>
      </c>
      <c r="K4" s="7">
        <v>0</v>
      </c>
      <c r="L4" s="4">
        <v>377</v>
      </c>
      <c r="M4" s="12">
        <v>17693.395359999999</v>
      </c>
      <c r="N4" s="7">
        <v>8.3689690000000004E-3</v>
      </c>
      <c r="O4" s="19">
        <v>2</v>
      </c>
      <c r="P4" s="5">
        <v>1</v>
      </c>
      <c r="Q4" s="7">
        <v>26785</v>
      </c>
      <c r="R4" s="7">
        <v>0</v>
      </c>
      <c r="S4" s="7">
        <v>1253.8423933873569</v>
      </c>
      <c r="T4" s="7">
        <v>0</v>
      </c>
    </row>
    <row r="5" spans="2:20" x14ac:dyDescent="0.2">
      <c r="B5" s="4">
        <v>2</v>
      </c>
      <c r="C5" s="4">
        <v>429</v>
      </c>
      <c r="D5" s="12">
        <v>28136.642790000002</v>
      </c>
      <c r="E5" s="7">
        <v>1.2848854099999999E-2</v>
      </c>
      <c r="F5" s="19">
        <v>2</v>
      </c>
      <c r="G5" s="5">
        <v>1</v>
      </c>
      <c r="H5" s="7">
        <v>24385</v>
      </c>
      <c r="I5" s="7">
        <v>0</v>
      </c>
      <c r="J5" s="7">
        <v>1139.2879741105539</v>
      </c>
      <c r="K5" s="7">
        <v>0</v>
      </c>
      <c r="L5" s="4">
        <v>133</v>
      </c>
      <c r="M5" s="12">
        <v>11388.14659</v>
      </c>
      <c r="N5" s="7">
        <v>6.8199634999999998E-3</v>
      </c>
      <c r="O5" s="19">
        <v>2</v>
      </c>
      <c r="P5" s="5">
        <v>5</v>
      </c>
      <c r="Q5" s="7">
        <v>37412</v>
      </c>
      <c r="R5" s="7">
        <v>0</v>
      </c>
      <c r="S5" s="7">
        <v>657.81330941668784</v>
      </c>
      <c r="T5" s="7">
        <v>0</v>
      </c>
    </row>
    <row r="6" spans="2:20" x14ac:dyDescent="0.2">
      <c r="B6" s="4">
        <v>3</v>
      </c>
      <c r="C6" s="4">
        <v>107</v>
      </c>
      <c r="D6" s="12">
        <v>26017.045989999999</v>
      </c>
      <c r="E6" s="7">
        <v>1.29659176E-2</v>
      </c>
      <c r="F6" s="19">
        <v>2</v>
      </c>
      <c r="G6" s="5">
        <v>2</v>
      </c>
      <c r="H6" s="7">
        <v>33990</v>
      </c>
      <c r="I6" s="7">
        <v>0</v>
      </c>
      <c r="J6" s="7">
        <v>601.89680959091652</v>
      </c>
      <c r="K6" s="7">
        <v>2.81E-3</v>
      </c>
      <c r="L6" s="4">
        <v>431</v>
      </c>
      <c r="M6" s="12">
        <v>13477.210440000001</v>
      </c>
      <c r="N6" s="7">
        <v>7.4539185000000001E-3</v>
      </c>
      <c r="O6" s="19">
        <v>2</v>
      </c>
      <c r="P6" s="5">
        <v>1</v>
      </c>
      <c r="Q6" s="7">
        <v>37611</v>
      </c>
      <c r="R6" s="7">
        <v>0</v>
      </c>
      <c r="S6" s="7">
        <v>879.39346722834466</v>
      </c>
      <c r="T6" s="7">
        <v>0</v>
      </c>
    </row>
    <row r="7" spans="2:20" x14ac:dyDescent="0.2">
      <c r="B7" s="4">
        <v>4</v>
      </c>
      <c r="C7" s="4">
        <v>185</v>
      </c>
      <c r="D7" s="12">
        <v>25202.35383</v>
      </c>
      <c r="E7" s="7">
        <v>3.1317949300000002E-2</v>
      </c>
      <c r="F7" s="19">
        <v>2</v>
      </c>
      <c r="G7" s="5">
        <v>2</v>
      </c>
      <c r="H7" s="7">
        <v>27452.400000000001</v>
      </c>
      <c r="I7" s="7">
        <v>0</v>
      </c>
      <c r="J7" s="7">
        <v>490.84403976283193</v>
      </c>
      <c r="K7" s="7">
        <v>0</v>
      </c>
      <c r="L7" s="4">
        <v>319</v>
      </c>
      <c r="M7" s="12">
        <v>20491.305629999999</v>
      </c>
      <c r="N7" s="7">
        <v>1.03929043E-2</v>
      </c>
      <c r="O7" s="19">
        <v>2</v>
      </c>
      <c r="P7" s="5">
        <v>2</v>
      </c>
      <c r="Q7" s="7">
        <v>38074</v>
      </c>
      <c r="R7" s="7">
        <v>0</v>
      </c>
      <c r="S7" s="7">
        <v>987.57108719398616</v>
      </c>
      <c r="T7" s="7">
        <v>0</v>
      </c>
    </row>
    <row r="8" spans="2:20" x14ac:dyDescent="0.2">
      <c r="B8" s="4">
        <v>5</v>
      </c>
      <c r="C8" s="4">
        <v>267</v>
      </c>
      <c r="D8" s="12">
        <v>26404.468250000002</v>
      </c>
      <c r="E8" s="7">
        <v>3.0615091300000001E-2</v>
      </c>
      <c r="F8" s="19">
        <v>2</v>
      </c>
      <c r="G8" s="5">
        <v>1</v>
      </c>
      <c r="H8" s="7">
        <v>28146.400000000001</v>
      </c>
      <c r="I8" s="7">
        <v>0</v>
      </c>
      <c r="J8" s="7">
        <v>1519.5001430868067</v>
      </c>
      <c r="K8" s="7">
        <v>0</v>
      </c>
      <c r="L8" s="4">
        <v>422</v>
      </c>
      <c r="M8" s="12">
        <v>16964.313419999999</v>
      </c>
      <c r="N8" s="7">
        <v>3.3550023999999998E-2</v>
      </c>
      <c r="O8" s="19">
        <v>2</v>
      </c>
      <c r="P8" s="5">
        <v>1</v>
      </c>
      <c r="Q8" s="7">
        <v>33765</v>
      </c>
      <c r="R8" s="7">
        <v>40.333830789278721</v>
      </c>
      <c r="S8" s="7">
        <v>1117.9240195059772</v>
      </c>
      <c r="T8" s="7">
        <v>0</v>
      </c>
    </row>
    <row r="9" spans="2:20" x14ac:dyDescent="0.2">
      <c r="B9" s="4">
        <v>6</v>
      </c>
      <c r="C9" s="4">
        <v>323</v>
      </c>
      <c r="D9" s="12">
        <v>28246.597099999999</v>
      </c>
      <c r="E9" s="7">
        <v>1.0510921499999999E-2</v>
      </c>
      <c r="F9" s="19">
        <v>2</v>
      </c>
      <c r="G9" s="5">
        <v>2</v>
      </c>
      <c r="H9" s="7">
        <v>30747.199999999961</v>
      </c>
      <c r="I9" s="7">
        <v>0</v>
      </c>
      <c r="J9" s="7">
        <v>368.04774446516222</v>
      </c>
      <c r="K9" s="7">
        <v>0</v>
      </c>
      <c r="L9" s="4">
        <v>919</v>
      </c>
      <c r="M9" s="12">
        <v>15330.535309999999</v>
      </c>
      <c r="N9" s="7">
        <v>3.0447006200000001E-2</v>
      </c>
      <c r="O9" s="19">
        <v>2</v>
      </c>
      <c r="P9" s="5">
        <v>0</v>
      </c>
      <c r="Q9" s="7">
        <v>20046</v>
      </c>
      <c r="R9" s="7">
        <v>0</v>
      </c>
      <c r="S9" s="7">
        <v>1494.6517187001261</v>
      </c>
      <c r="T9" s="7">
        <v>0</v>
      </c>
    </row>
    <row r="10" spans="2:20" x14ac:dyDescent="0.2">
      <c r="B10" s="4">
        <v>7</v>
      </c>
      <c r="C10" s="4">
        <v>326</v>
      </c>
      <c r="D10" s="12">
        <v>30678.150509999999</v>
      </c>
      <c r="E10" s="7">
        <v>3.0825853300000001E-2</v>
      </c>
      <c r="F10" s="19">
        <v>2</v>
      </c>
      <c r="G10" s="5">
        <v>2</v>
      </c>
      <c r="H10" s="7">
        <v>31285</v>
      </c>
      <c r="I10" s="7">
        <v>0</v>
      </c>
      <c r="J10" s="7">
        <v>535.60771272094746</v>
      </c>
      <c r="K10" s="7">
        <v>0</v>
      </c>
      <c r="L10" s="4">
        <v>416</v>
      </c>
      <c r="M10" s="12">
        <v>13650.364519999999</v>
      </c>
      <c r="N10" s="7">
        <v>2.1003007899999999E-2</v>
      </c>
      <c r="O10" s="19">
        <v>2</v>
      </c>
      <c r="P10" s="5">
        <v>1</v>
      </c>
      <c r="Q10" s="7">
        <v>38344</v>
      </c>
      <c r="R10" s="7">
        <v>0</v>
      </c>
      <c r="S10" s="7">
        <v>776.83258685503188</v>
      </c>
      <c r="T10" s="7">
        <v>0</v>
      </c>
    </row>
    <row r="11" spans="2:20" x14ac:dyDescent="0.2">
      <c r="B11" s="4">
        <v>8</v>
      </c>
      <c r="C11" s="4">
        <v>348</v>
      </c>
      <c r="D11" s="12">
        <v>29593.19486</v>
      </c>
      <c r="E11" s="7">
        <v>1.02541447E-2</v>
      </c>
      <c r="F11" s="19">
        <v>2</v>
      </c>
      <c r="G11" s="5">
        <v>1</v>
      </c>
      <c r="H11" s="7">
        <v>30135.599999999999</v>
      </c>
      <c r="I11" s="7">
        <v>0</v>
      </c>
      <c r="J11" s="7">
        <v>928.55983939500186</v>
      </c>
      <c r="K11" s="7">
        <v>2.48E-3</v>
      </c>
      <c r="L11" s="4">
        <v>800</v>
      </c>
      <c r="M11" s="12">
        <v>11733.15293</v>
      </c>
      <c r="N11" s="7">
        <v>1.47559643E-2</v>
      </c>
      <c r="O11" s="19">
        <v>2</v>
      </c>
      <c r="P11" s="5">
        <v>1</v>
      </c>
      <c r="Q11" s="7">
        <v>41776</v>
      </c>
      <c r="R11" s="7">
        <v>0</v>
      </c>
      <c r="S11" s="7">
        <v>608.96421461529985</v>
      </c>
      <c r="T11" s="7">
        <v>0</v>
      </c>
    </row>
    <row r="12" spans="2:20" x14ac:dyDescent="0.2">
      <c r="B12" s="4">
        <v>9</v>
      </c>
      <c r="C12" s="4">
        <v>690</v>
      </c>
      <c r="D12" s="12">
        <v>17130.002079999998</v>
      </c>
      <c r="E12" s="7">
        <v>9.1288089999999999E-3</v>
      </c>
      <c r="F12" s="19">
        <v>2</v>
      </c>
      <c r="G12" s="5">
        <v>1</v>
      </c>
      <c r="H12" s="7">
        <v>37386.400000000001</v>
      </c>
      <c r="I12" s="7">
        <v>0</v>
      </c>
      <c r="J12" s="7">
        <v>658.82757765364272</v>
      </c>
      <c r="K12" s="7">
        <v>0</v>
      </c>
      <c r="L12" s="4">
        <v>107</v>
      </c>
      <c r="M12" s="12">
        <v>16839.745989999999</v>
      </c>
      <c r="N12" s="7">
        <v>1.1364936799999999E-2</v>
      </c>
      <c r="O12" s="19">
        <v>2</v>
      </c>
      <c r="P12" s="5">
        <v>2</v>
      </c>
      <c r="Q12" s="7">
        <v>33990</v>
      </c>
      <c r="R12" s="7">
        <v>0</v>
      </c>
      <c r="S12" s="7">
        <v>601.89680959089958</v>
      </c>
      <c r="T12" s="7">
        <v>0</v>
      </c>
    </row>
    <row r="13" spans="2:20" x14ac:dyDescent="0.2">
      <c r="B13" s="4">
        <v>10</v>
      </c>
      <c r="C13" s="4">
        <v>953</v>
      </c>
      <c r="D13" s="12">
        <v>16079.40315</v>
      </c>
      <c r="E13" s="7">
        <v>7.3900223000000001E-3</v>
      </c>
      <c r="F13" s="19">
        <v>2</v>
      </c>
      <c r="G13" s="5">
        <v>1</v>
      </c>
      <c r="H13" s="7">
        <v>26858.6</v>
      </c>
      <c r="I13" s="7">
        <v>0</v>
      </c>
      <c r="J13" s="7">
        <v>502.93733710736433</v>
      </c>
      <c r="K13" s="7">
        <v>0</v>
      </c>
      <c r="L13" s="4">
        <v>562</v>
      </c>
      <c r="M13" s="12">
        <v>19084.65466</v>
      </c>
      <c r="N13" s="7">
        <v>1.21290684E-2</v>
      </c>
      <c r="O13" s="19">
        <v>2</v>
      </c>
      <c r="P13" s="5">
        <v>2</v>
      </c>
      <c r="Q13" s="7">
        <v>32306</v>
      </c>
      <c r="R13" s="7">
        <v>0</v>
      </c>
      <c r="S13" s="7">
        <v>861.74843252958794</v>
      </c>
      <c r="T13" s="7">
        <v>0</v>
      </c>
    </row>
    <row r="14" spans="2:20" x14ac:dyDescent="0.2">
      <c r="B14" s="47" t="s">
        <v>3</v>
      </c>
      <c r="C14" s="48"/>
      <c r="D14" s="9">
        <f t="shared" ref="D14:K14" si="0">AVERAGE(D4:D13)</f>
        <v>24672.914937999998</v>
      </c>
      <c r="E14" s="22">
        <f>AVERAGE(E4:E13)</f>
        <v>1.6491556179999999E-2</v>
      </c>
      <c r="F14" s="20">
        <f t="shared" si="0"/>
        <v>2</v>
      </c>
      <c r="G14" s="11">
        <f t="shared" si="0"/>
        <v>1.4</v>
      </c>
      <c r="H14" s="9">
        <f t="shared" si="0"/>
        <v>29185.599999999988</v>
      </c>
      <c r="I14" s="13">
        <f t="shared" si="0"/>
        <v>0</v>
      </c>
      <c r="J14" s="13">
        <f t="shared" si="0"/>
        <v>770.00073104517674</v>
      </c>
      <c r="K14" s="11">
        <f t="shared" si="0"/>
        <v>5.2899999999999996E-4</v>
      </c>
      <c r="L14" s="16"/>
      <c r="M14" s="16">
        <f t="shared" ref="M14:T14" si="1">AVERAGE(M4:M13)</f>
        <v>15665.282485</v>
      </c>
      <c r="N14" s="21">
        <f t="shared" si="1"/>
        <v>1.5628576289999998E-2</v>
      </c>
      <c r="O14" s="18">
        <f t="shared" si="1"/>
        <v>2</v>
      </c>
      <c r="P14" s="18">
        <f t="shared" si="1"/>
        <v>1.6</v>
      </c>
      <c r="Q14" s="16">
        <f t="shared" si="1"/>
        <v>34010.9</v>
      </c>
      <c r="R14" s="17">
        <f t="shared" si="1"/>
        <v>4.033383078927872</v>
      </c>
      <c r="S14" s="17">
        <f t="shared" si="1"/>
        <v>924.06380390232994</v>
      </c>
      <c r="T14" s="18">
        <f t="shared" si="1"/>
        <v>0</v>
      </c>
    </row>
    <row r="15" spans="2:20" x14ac:dyDescent="0.2">
      <c r="D15" s="2"/>
      <c r="E15" s="3"/>
      <c r="F15" s="3"/>
      <c r="G15" s="3"/>
      <c r="H15" s="3"/>
      <c r="I15" s="3"/>
      <c r="J15" s="3"/>
    </row>
    <row r="16" spans="2:20" x14ac:dyDescent="0.2">
      <c r="D16" s="2"/>
    </row>
    <row r="17" spans="4:4" x14ac:dyDescent="0.2">
      <c r="D17" s="2"/>
    </row>
  </sheetData>
  <mergeCells count="1">
    <mergeCell ref="B14:C14"/>
  </mergeCells>
  <conditionalFormatting sqref="L1:L1048576">
    <cfRule type="duplicateValues" dxfId="49" priority="1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36A87-BE04-CA4F-8898-08AC15FC33EF}">
  <dimension ref="B3:T17"/>
  <sheetViews>
    <sheetView zoomScaleNormal="120" workbookViewId="0">
      <selection activeCell="L4" sqref="L4:T13"/>
    </sheetView>
  </sheetViews>
  <sheetFormatPr baseColWidth="10" defaultColWidth="10.83203125" defaultRowHeight="16" x14ac:dyDescent="0.2"/>
  <cols>
    <col min="1" max="1" width="3.83203125" style="1" customWidth="1"/>
    <col min="2" max="2" width="8.1640625" style="1" bestFit="1" customWidth="1"/>
    <col min="3" max="3" width="5.1640625" style="1" bestFit="1" customWidth="1"/>
    <col min="4" max="5" width="16.6640625" style="1" customWidth="1"/>
    <col min="6" max="6" width="9.1640625" style="1" bestFit="1" customWidth="1"/>
    <col min="7" max="7" width="13.33203125" style="1" bestFit="1" customWidth="1"/>
    <col min="8" max="9" width="19.33203125" style="1" bestFit="1" customWidth="1"/>
    <col min="10" max="10" width="18.6640625" style="1" bestFit="1" customWidth="1"/>
    <col min="11" max="11" width="16.6640625" style="1" customWidth="1"/>
    <col min="12" max="12" width="10.6640625" style="1" bestFit="1" customWidth="1"/>
    <col min="13" max="13" width="12.6640625" style="1" bestFit="1" customWidth="1"/>
    <col min="14" max="15" width="10.83203125" style="1"/>
    <col min="16" max="16" width="13.33203125" style="1" bestFit="1" customWidth="1"/>
    <col min="17" max="17" width="19.33203125" style="1" bestFit="1" customWidth="1"/>
    <col min="18" max="18" width="12" style="1" bestFit="1" customWidth="1"/>
    <col min="19" max="19" width="18" style="1" bestFit="1" customWidth="1"/>
    <col min="20" max="16384" width="10.83203125" style="1"/>
  </cols>
  <sheetData>
    <row r="3" spans="2:20" x14ac:dyDescent="0.2">
      <c r="B3" s="8" t="s">
        <v>7</v>
      </c>
      <c r="C3" s="8" t="s">
        <v>4</v>
      </c>
      <c r="D3" s="8" t="s">
        <v>0</v>
      </c>
      <c r="E3" s="8" t="s">
        <v>5</v>
      </c>
      <c r="F3" s="8" t="s">
        <v>12</v>
      </c>
      <c r="G3" s="8" t="s">
        <v>8</v>
      </c>
      <c r="H3" s="8" t="s">
        <v>9</v>
      </c>
      <c r="I3" s="8" t="s">
        <v>11</v>
      </c>
      <c r="J3" s="8" t="s">
        <v>10</v>
      </c>
      <c r="K3" s="8" t="s">
        <v>1</v>
      </c>
      <c r="L3" s="15" t="s">
        <v>13</v>
      </c>
      <c r="M3" s="15" t="s">
        <v>0</v>
      </c>
      <c r="N3" s="15" t="s">
        <v>5</v>
      </c>
      <c r="O3" s="15" t="s">
        <v>12</v>
      </c>
      <c r="P3" s="15" t="s">
        <v>8</v>
      </c>
      <c r="Q3" s="15" t="s">
        <v>9</v>
      </c>
      <c r="R3" s="15" t="s">
        <v>11</v>
      </c>
      <c r="S3" s="15" t="s">
        <v>10</v>
      </c>
      <c r="T3" s="15" t="s">
        <v>1</v>
      </c>
    </row>
    <row r="4" spans="2:20" x14ac:dyDescent="0.2">
      <c r="B4" s="4">
        <v>1</v>
      </c>
      <c r="C4" s="4">
        <v>6</v>
      </c>
      <c r="D4" s="12">
        <v>33750.100319999998</v>
      </c>
      <c r="E4" s="7">
        <v>1.1272907299999999E-2</v>
      </c>
      <c r="F4" s="7">
        <v>2</v>
      </c>
      <c r="G4" s="5">
        <v>3</v>
      </c>
      <c r="H4" s="7">
        <v>32527</v>
      </c>
      <c r="I4" s="7">
        <v>0</v>
      </c>
      <c r="J4" s="7">
        <v>400.24682459016861</v>
      </c>
      <c r="K4" s="7">
        <v>0</v>
      </c>
      <c r="L4" s="23">
        <v>3</v>
      </c>
      <c r="M4" s="12">
        <v>24442.59748</v>
      </c>
      <c r="N4" s="7">
        <v>1.52242184E-2</v>
      </c>
      <c r="O4" s="7">
        <v>2</v>
      </c>
      <c r="P4" s="5">
        <v>3</v>
      </c>
      <c r="Q4" s="7">
        <v>37607</v>
      </c>
      <c r="R4" s="7">
        <v>13.281699584390001</v>
      </c>
      <c r="S4" s="7">
        <v>950.75826337513934</v>
      </c>
      <c r="T4" s="7">
        <v>0</v>
      </c>
    </row>
    <row r="5" spans="2:20" x14ac:dyDescent="0.2">
      <c r="B5" s="4">
        <v>2</v>
      </c>
      <c r="C5" s="4">
        <v>63</v>
      </c>
      <c r="D5" s="12">
        <v>34047.94472</v>
      </c>
      <c r="E5" s="7">
        <v>2.27048397E-2</v>
      </c>
      <c r="F5" s="7">
        <v>2</v>
      </c>
      <c r="G5" s="5">
        <v>3</v>
      </c>
      <c r="H5" s="7">
        <v>24572</v>
      </c>
      <c r="I5" s="7">
        <v>0</v>
      </c>
      <c r="J5" s="7">
        <v>1047.5775222221214</v>
      </c>
      <c r="K5" s="7">
        <v>0</v>
      </c>
      <c r="L5" s="23">
        <v>57</v>
      </c>
      <c r="M5" s="12">
        <v>22769.211070000001</v>
      </c>
      <c r="N5" s="7">
        <v>2.5321960399999999E-2</v>
      </c>
      <c r="O5" s="7">
        <v>2</v>
      </c>
      <c r="P5" s="5">
        <v>3</v>
      </c>
      <c r="Q5" s="7">
        <v>32233</v>
      </c>
      <c r="R5" s="7">
        <v>0</v>
      </c>
      <c r="S5" s="7">
        <v>729.77707694460992</v>
      </c>
      <c r="T5" s="7">
        <v>0</v>
      </c>
    </row>
    <row r="6" spans="2:20" x14ac:dyDescent="0.2">
      <c r="B6" s="4">
        <v>3</v>
      </c>
      <c r="C6" s="4">
        <v>67</v>
      </c>
      <c r="D6" s="12">
        <v>23629.436600000001</v>
      </c>
      <c r="E6" s="7">
        <v>7.4119568000000002E-3</v>
      </c>
      <c r="F6" s="7">
        <v>2</v>
      </c>
      <c r="G6" s="5">
        <v>2</v>
      </c>
      <c r="H6" s="7">
        <v>21945.599999999999</v>
      </c>
      <c r="I6" s="7">
        <v>0</v>
      </c>
      <c r="J6" s="7">
        <v>701.51479026252105</v>
      </c>
      <c r="K6" s="7">
        <v>0</v>
      </c>
      <c r="L6" s="23">
        <v>625</v>
      </c>
      <c r="M6" s="12">
        <v>19602.29594</v>
      </c>
      <c r="N6" s="7">
        <v>8.2261561999999993E-3</v>
      </c>
      <c r="O6" s="7">
        <v>2</v>
      </c>
      <c r="P6" s="5">
        <v>2</v>
      </c>
      <c r="Q6" s="7">
        <v>26831</v>
      </c>
      <c r="R6" s="7">
        <v>0</v>
      </c>
      <c r="S6" s="7">
        <v>973.55953372017029</v>
      </c>
      <c r="T6" s="7">
        <v>0</v>
      </c>
    </row>
    <row r="7" spans="2:20" x14ac:dyDescent="0.2">
      <c r="B7" s="4">
        <v>4</v>
      </c>
      <c r="C7" s="4">
        <v>318</v>
      </c>
      <c r="D7" s="12">
        <v>25479.329860000002</v>
      </c>
      <c r="E7" s="7">
        <v>1.9139051399999999E-2</v>
      </c>
      <c r="F7" s="7">
        <v>2</v>
      </c>
      <c r="G7" s="5">
        <v>3</v>
      </c>
      <c r="H7" s="7">
        <v>23768.799999999999</v>
      </c>
      <c r="I7" s="7">
        <v>0</v>
      </c>
      <c r="J7" s="7">
        <v>806.67570406287064</v>
      </c>
      <c r="K7" s="7">
        <v>0</v>
      </c>
      <c r="L7" s="23">
        <v>120</v>
      </c>
      <c r="M7" s="12">
        <v>24211.91302</v>
      </c>
      <c r="N7" s="7">
        <v>7.7509880000000003E-3</v>
      </c>
      <c r="O7" s="7">
        <v>2</v>
      </c>
      <c r="P7" s="5">
        <v>3</v>
      </c>
      <c r="Q7" s="7">
        <v>33891</v>
      </c>
      <c r="R7" s="7">
        <v>10.03950848876614</v>
      </c>
      <c r="S7" s="7">
        <v>899.59420429162242</v>
      </c>
      <c r="T7" s="7">
        <v>0</v>
      </c>
    </row>
    <row r="8" spans="2:20" x14ac:dyDescent="0.2">
      <c r="B8" s="4">
        <v>5</v>
      </c>
      <c r="C8" s="4">
        <v>486</v>
      </c>
      <c r="D8" s="12">
        <v>18291.444749999999</v>
      </c>
      <c r="E8" s="7">
        <v>1.3746023200000001E-2</v>
      </c>
      <c r="F8" s="7">
        <v>2</v>
      </c>
      <c r="G8" s="5">
        <v>1</v>
      </c>
      <c r="H8" s="7">
        <v>23556</v>
      </c>
      <c r="I8" s="7">
        <v>0</v>
      </c>
      <c r="J8" s="7">
        <v>402.20947041616375</v>
      </c>
      <c r="K8" s="7">
        <v>0</v>
      </c>
      <c r="L8" s="23">
        <v>633</v>
      </c>
      <c r="M8" s="12">
        <v>11163.393</v>
      </c>
      <c r="N8" s="7">
        <v>1.0210037200000001E-2</v>
      </c>
      <c r="O8" s="7">
        <v>2</v>
      </c>
      <c r="P8" s="5">
        <v>1</v>
      </c>
      <c r="Q8" s="7">
        <v>39606</v>
      </c>
      <c r="R8" s="7">
        <v>0</v>
      </c>
      <c r="S8" s="7">
        <v>605.48655417657835</v>
      </c>
      <c r="T8" s="7">
        <v>0</v>
      </c>
    </row>
    <row r="9" spans="2:20" x14ac:dyDescent="0.2">
      <c r="B9" s="4">
        <v>6</v>
      </c>
      <c r="C9" s="4">
        <v>681</v>
      </c>
      <c r="D9" s="12">
        <v>25524.589360000002</v>
      </c>
      <c r="E9" s="7">
        <v>9.0119838999999993E-3</v>
      </c>
      <c r="F9" s="7">
        <v>2</v>
      </c>
      <c r="G9" s="5">
        <v>2.0000000000000089</v>
      </c>
      <c r="H9" s="7">
        <v>19359</v>
      </c>
      <c r="I9" s="7">
        <v>0</v>
      </c>
      <c r="J9" s="7">
        <v>1045.9635878412466</v>
      </c>
      <c r="K9" s="7">
        <v>0</v>
      </c>
      <c r="L9" s="23">
        <v>925</v>
      </c>
      <c r="M9" s="12">
        <v>25498.662219999998</v>
      </c>
      <c r="N9" s="7">
        <v>1.2649059299999999E-2</v>
      </c>
      <c r="O9" s="7">
        <v>2</v>
      </c>
      <c r="P9" s="5">
        <v>4</v>
      </c>
      <c r="Q9" s="7">
        <v>35999</v>
      </c>
      <c r="R9" s="7">
        <v>0</v>
      </c>
      <c r="S9" s="7">
        <v>561.60020084802625</v>
      </c>
      <c r="T9" s="7">
        <v>0</v>
      </c>
    </row>
    <row r="10" spans="2:20" x14ac:dyDescent="0.2">
      <c r="B10" s="4">
        <v>7</v>
      </c>
      <c r="C10" s="4">
        <v>714</v>
      </c>
      <c r="D10" s="12">
        <v>24701.210439999999</v>
      </c>
      <c r="E10" s="7">
        <v>8.5670947999999993E-3</v>
      </c>
      <c r="F10" s="7">
        <v>2</v>
      </c>
      <c r="G10" s="5">
        <v>3</v>
      </c>
      <c r="H10" s="7">
        <v>24341.4</v>
      </c>
      <c r="I10" s="7">
        <v>0</v>
      </c>
      <c r="J10" s="7">
        <v>555.46573722561391</v>
      </c>
      <c r="K10" s="7">
        <v>0</v>
      </c>
      <c r="L10" s="23">
        <v>500</v>
      </c>
      <c r="M10" s="12">
        <v>19795.89026</v>
      </c>
      <c r="N10" s="7">
        <v>9.0489387999999997E-3</v>
      </c>
      <c r="O10" s="7">
        <v>2</v>
      </c>
      <c r="P10" s="5">
        <v>3</v>
      </c>
      <c r="Q10" s="7">
        <v>43243</v>
      </c>
      <c r="R10" s="7">
        <v>0</v>
      </c>
      <c r="S10" s="7">
        <v>507.18813656152406</v>
      </c>
      <c r="T10" s="7">
        <v>0</v>
      </c>
    </row>
    <row r="11" spans="2:20" x14ac:dyDescent="0.2">
      <c r="B11" s="4">
        <v>8</v>
      </c>
      <c r="C11" s="4">
        <v>719</v>
      </c>
      <c r="D11" s="12">
        <v>21530.824820000002</v>
      </c>
      <c r="E11" s="7">
        <v>9.1021061E-3</v>
      </c>
      <c r="F11" s="7">
        <v>2</v>
      </c>
      <c r="G11" s="5">
        <v>3.0000000000000586</v>
      </c>
      <c r="H11" s="7">
        <v>23886.000000000007</v>
      </c>
      <c r="I11" s="7">
        <v>0</v>
      </c>
      <c r="J11" s="7">
        <v>394.35238749642713</v>
      </c>
      <c r="K11" s="7">
        <v>0</v>
      </c>
      <c r="L11" s="23">
        <v>744</v>
      </c>
      <c r="M11" s="12">
        <v>22670.614560000002</v>
      </c>
      <c r="N11" s="7">
        <v>1.9110918000000001E-2</v>
      </c>
      <c r="O11" s="7">
        <v>2</v>
      </c>
      <c r="P11" s="5">
        <v>3</v>
      </c>
      <c r="Q11" s="7">
        <v>35944</v>
      </c>
      <c r="R11" s="7">
        <v>0</v>
      </c>
      <c r="S11" s="7">
        <v>761.58645567494239</v>
      </c>
      <c r="T11" s="7">
        <v>0</v>
      </c>
    </row>
    <row r="12" spans="2:20" x14ac:dyDescent="0.2">
      <c r="B12" s="4">
        <v>9</v>
      </c>
      <c r="C12" s="4">
        <v>749</v>
      </c>
      <c r="D12" s="12">
        <v>30528.872159999999</v>
      </c>
      <c r="E12" s="7">
        <v>1.18970871E-2</v>
      </c>
      <c r="F12" s="7">
        <v>2</v>
      </c>
      <c r="G12" s="5">
        <v>3.0000000000000018</v>
      </c>
      <c r="H12" s="7">
        <v>21483</v>
      </c>
      <c r="I12" s="7">
        <v>0</v>
      </c>
      <c r="J12" s="7">
        <v>895.78355649454056</v>
      </c>
      <c r="K12" s="7">
        <v>0</v>
      </c>
      <c r="L12" s="23">
        <v>769</v>
      </c>
      <c r="M12" s="12">
        <v>11725.780199999999</v>
      </c>
      <c r="N12" s="7">
        <v>4.3540000999999998E-3</v>
      </c>
      <c r="O12" s="7">
        <v>2</v>
      </c>
      <c r="P12" s="5">
        <v>1</v>
      </c>
      <c r="Q12" s="7">
        <v>33329</v>
      </c>
      <c r="R12" s="7">
        <v>0</v>
      </c>
      <c r="S12" s="7">
        <v>716.92280243813821</v>
      </c>
      <c r="T12" s="7">
        <v>0</v>
      </c>
    </row>
    <row r="13" spans="2:20" x14ac:dyDescent="0.2">
      <c r="B13" s="4">
        <v>10</v>
      </c>
      <c r="C13" s="4">
        <v>835</v>
      </c>
      <c r="D13" s="12">
        <v>28158.112529999999</v>
      </c>
      <c r="E13" s="7">
        <v>1.6036033599999999E-2</v>
      </c>
      <c r="F13" s="7">
        <v>2</v>
      </c>
      <c r="G13" s="5">
        <v>2</v>
      </c>
      <c r="H13" s="7">
        <v>38029.599999999999</v>
      </c>
      <c r="I13" s="7">
        <v>0</v>
      </c>
      <c r="J13" s="7">
        <v>425.10185997490879</v>
      </c>
      <c r="K13" s="7">
        <v>0</v>
      </c>
      <c r="L13" s="23">
        <v>808</v>
      </c>
      <c r="M13" s="12">
        <v>20426.925859999999</v>
      </c>
      <c r="N13" s="7">
        <v>1.5573978400000001E-2</v>
      </c>
      <c r="O13" s="7">
        <v>2</v>
      </c>
      <c r="P13" s="5">
        <v>3</v>
      </c>
      <c r="Q13" s="7">
        <v>39259</v>
      </c>
      <c r="R13" s="7">
        <v>0</v>
      </c>
      <c r="S13" s="7">
        <v>495.17866735534216</v>
      </c>
      <c r="T13" s="7">
        <v>0</v>
      </c>
    </row>
    <row r="14" spans="2:20" x14ac:dyDescent="0.2">
      <c r="B14" s="47" t="s">
        <v>3</v>
      </c>
      <c r="C14" s="48"/>
      <c r="D14" s="9">
        <f t="shared" ref="D14:K14" si="0">AVERAGE(D4:D13)</f>
        <v>26564.186556000001</v>
      </c>
      <c r="E14" s="22">
        <f>AVERAGE(E4:E13)</f>
        <v>1.2888908389999999E-2</v>
      </c>
      <c r="F14" s="20">
        <f t="shared" si="0"/>
        <v>2</v>
      </c>
      <c r="G14" s="11">
        <f t="shared" si="0"/>
        <v>2.5000000000000062</v>
      </c>
      <c r="H14" s="9">
        <f t="shared" si="0"/>
        <v>25346.840000000004</v>
      </c>
      <c r="I14" s="13">
        <f t="shared" si="0"/>
        <v>0</v>
      </c>
      <c r="J14" s="13">
        <f t="shared" si="0"/>
        <v>667.48914405865833</v>
      </c>
      <c r="K14" s="11">
        <f t="shared" si="0"/>
        <v>0</v>
      </c>
      <c r="L14" s="16"/>
      <c r="M14" s="16">
        <f t="shared" ref="M14:T14" si="1">AVERAGE(M4:M13)</f>
        <v>20230.728360999998</v>
      </c>
      <c r="N14" s="21">
        <f t="shared" si="1"/>
        <v>1.2747025480000002E-2</v>
      </c>
      <c r="O14" s="18">
        <f t="shared" si="1"/>
        <v>2</v>
      </c>
      <c r="P14" s="18">
        <f t="shared" si="1"/>
        <v>2.6</v>
      </c>
      <c r="Q14" s="16">
        <f t="shared" si="1"/>
        <v>35794.199999999997</v>
      </c>
      <c r="R14" s="17">
        <f t="shared" si="1"/>
        <v>2.3321208073156141</v>
      </c>
      <c r="S14" s="17">
        <f t="shared" si="1"/>
        <v>720.16518953860941</v>
      </c>
      <c r="T14" s="18">
        <f t="shared" si="1"/>
        <v>0</v>
      </c>
    </row>
    <row r="15" spans="2:20" x14ac:dyDescent="0.2">
      <c r="D15" s="2"/>
      <c r="E15" s="3"/>
      <c r="F15" s="3"/>
      <c r="G15" s="3"/>
      <c r="H15" s="3"/>
      <c r="I15" s="3"/>
      <c r="J15" s="3"/>
    </row>
    <row r="16" spans="2:20" x14ac:dyDescent="0.2">
      <c r="D16" s="2"/>
    </row>
    <row r="17" spans="4:4" x14ac:dyDescent="0.2">
      <c r="D17" s="2"/>
    </row>
  </sheetData>
  <mergeCells count="1">
    <mergeCell ref="B14:C14"/>
  </mergeCells>
  <conditionalFormatting sqref="L1:L1048576">
    <cfRule type="duplicateValues" dxfId="48" priority="1"/>
  </conditionalFormatting>
  <conditionalFormatting sqref="L14">
    <cfRule type="duplicateValues" dxfId="47" priority="2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ACC4A-89F5-1F45-AEA2-A51CB61851D4}">
  <dimension ref="B3:T16"/>
  <sheetViews>
    <sheetView zoomScale="118" zoomScaleNormal="120" workbookViewId="0">
      <selection activeCell="P14" sqref="P14"/>
    </sheetView>
  </sheetViews>
  <sheetFormatPr baseColWidth="10" defaultColWidth="10.83203125" defaultRowHeight="16" x14ac:dyDescent="0.2"/>
  <cols>
    <col min="1" max="1" width="3.83203125" style="1" customWidth="1"/>
    <col min="2" max="2" width="8.1640625" style="1" bestFit="1" customWidth="1"/>
    <col min="3" max="3" width="5.1640625" style="1" bestFit="1" customWidth="1"/>
    <col min="4" max="5" width="16.6640625" style="1" customWidth="1"/>
    <col min="6" max="6" width="9.1640625" style="1" bestFit="1" customWidth="1"/>
    <col min="7" max="7" width="16.6640625" style="1" customWidth="1"/>
    <col min="8" max="9" width="19.33203125" style="1" bestFit="1" customWidth="1"/>
    <col min="10" max="10" width="18.6640625" style="1" bestFit="1" customWidth="1"/>
    <col min="11" max="11" width="16.6640625" style="1" customWidth="1"/>
    <col min="12" max="12" width="10.6640625" style="1" bestFit="1" customWidth="1"/>
    <col min="13" max="13" width="12.6640625" style="1" bestFit="1" customWidth="1"/>
    <col min="14" max="15" width="10.83203125" style="1"/>
    <col min="16" max="16" width="13.33203125" style="1" bestFit="1" customWidth="1"/>
    <col min="17" max="17" width="19.33203125" style="1" bestFit="1" customWidth="1"/>
    <col min="18" max="18" width="12" style="1" bestFit="1" customWidth="1"/>
    <col min="19" max="19" width="18" style="1" bestFit="1" customWidth="1"/>
    <col min="20" max="16384" width="10.83203125" style="1"/>
  </cols>
  <sheetData>
    <row r="3" spans="2:20" x14ac:dyDescent="0.2">
      <c r="B3" s="8" t="s">
        <v>7</v>
      </c>
      <c r="C3" s="8" t="s">
        <v>4</v>
      </c>
      <c r="D3" s="8" t="s">
        <v>0</v>
      </c>
      <c r="E3" s="8" t="s">
        <v>5</v>
      </c>
      <c r="F3" s="8" t="s">
        <v>12</v>
      </c>
      <c r="G3" s="8" t="s">
        <v>8</v>
      </c>
      <c r="H3" s="8" t="s">
        <v>9</v>
      </c>
      <c r="I3" s="8" t="s">
        <v>11</v>
      </c>
      <c r="J3" s="8" t="s">
        <v>10</v>
      </c>
      <c r="K3" s="8" t="s">
        <v>1</v>
      </c>
      <c r="L3" s="15" t="s">
        <v>13</v>
      </c>
      <c r="M3" s="15" t="s">
        <v>0</v>
      </c>
      <c r="N3" s="15" t="s">
        <v>5</v>
      </c>
      <c r="O3" s="15" t="s">
        <v>12</v>
      </c>
      <c r="P3" s="15" t="s">
        <v>8</v>
      </c>
      <c r="Q3" s="15" t="s">
        <v>9</v>
      </c>
      <c r="R3" s="15" t="s">
        <v>11</v>
      </c>
      <c r="S3" s="15" t="s">
        <v>10</v>
      </c>
      <c r="T3" s="15" t="s">
        <v>1</v>
      </c>
    </row>
    <row r="4" spans="2:20" x14ac:dyDescent="0.2">
      <c r="B4" s="4">
        <v>1</v>
      </c>
      <c r="C4" s="4">
        <v>79</v>
      </c>
      <c r="D4" s="12">
        <v>24262.421630000001</v>
      </c>
      <c r="E4" s="7">
        <v>3.9307117500000002E-2</v>
      </c>
      <c r="F4" s="7">
        <v>3</v>
      </c>
      <c r="G4" s="5">
        <v>1</v>
      </c>
      <c r="H4" s="7">
        <v>25718</v>
      </c>
      <c r="I4" s="7">
        <v>0</v>
      </c>
      <c r="J4" s="7">
        <v>642.8245098701525</v>
      </c>
      <c r="K4" s="7">
        <v>0</v>
      </c>
      <c r="L4" s="23">
        <v>64</v>
      </c>
      <c r="M4" s="12">
        <v>12410.44486</v>
      </c>
      <c r="N4" s="7">
        <v>4.7111988100000002E-2</v>
      </c>
      <c r="O4" s="7">
        <v>3</v>
      </c>
      <c r="P4" s="5">
        <v>1</v>
      </c>
      <c r="Q4" s="7">
        <v>39499</v>
      </c>
      <c r="R4" s="7">
        <v>0</v>
      </c>
      <c r="S4" s="7">
        <v>692.8326602250628</v>
      </c>
      <c r="T4" s="7">
        <v>0</v>
      </c>
    </row>
    <row r="5" spans="2:20" x14ac:dyDescent="0.2">
      <c r="B5" s="4">
        <v>2</v>
      </c>
      <c r="C5" s="4">
        <v>390</v>
      </c>
      <c r="D5" s="12">
        <v>16495.64357</v>
      </c>
      <c r="E5" s="7">
        <v>1.4003992099999999E-2</v>
      </c>
      <c r="F5" s="7">
        <v>3</v>
      </c>
      <c r="G5" s="5">
        <v>1</v>
      </c>
      <c r="H5" s="7">
        <v>21947</v>
      </c>
      <c r="I5" s="7">
        <v>0</v>
      </c>
      <c r="J5" s="7">
        <v>474.42208183670738</v>
      </c>
      <c r="K5" s="7">
        <v>0</v>
      </c>
      <c r="L5" s="23">
        <v>506</v>
      </c>
      <c r="M5" s="12">
        <v>16517.035209999998</v>
      </c>
      <c r="N5" s="7">
        <v>1.23169422E-2</v>
      </c>
      <c r="O5" s="7">
        <v>3</v>
      </c>
      <c r="P5" s="5">
        <v>1</v>
      </c>
      <c r="Q5" s="7">
        <v>56314</v>
      </c>
      <c r="R5" s="7">
        <v>0</v>
      </c>
      <c r="S5" s="7">
        <v>1124.5529651452202</v>
      </c>
      <c r="T5" s="7">
        <v>0</v>
      </c>
    </row>
    <row r="6" spans="2:20" x14ac:dyDescent="0.2">
      <c r="B6" s="4">
        <v>3</v>
      </c>
      <c r="C6" s="4">
        <v>437</v>
      </c>
      <c r="D6" s="12">
        <v>14103.57257</v>
      </c>
      <c r="E6" s="7">
        <v>2.1536827099999999E-2</v>
      </c>
      <c r="F6" s="7">
        <v>3</v>
      </c>
      <c r="G6" s="5">
        <v>1</v>
      </c>
      <c r="H6" s="7">
        <v>24113</v>
      </c>
      <c r="I6" s="7">
        <v>0</v>
      </c>
      <c r="J6" s="7">
        <v>500.88100104715079</v>
      </c>
      <c r="K6" s="7">
        <v>0</v>
      </c>
      <c r="L6" s="23">
        <v>258</v>
      </c>
      <c r="M6" s="12">
        <v>6958.7265600000001</v>
      </c>
      <c r="N6" s="7">
        <v>2.38091946E-2</v>
      </c>
      <c r="O6" s="7">
        <v>3</v>
      </c>
      <c r="P6" s="5">
        <v>0</v>
      </c>
      <c r="Q6" s="7">
        <v>49533</v>
      </c>
      <c r="R6" s="7">
        <v>0</v>
      </c>
      <c r="S6" s="7">
        <v>702.38220848912829</v>
      </c>
      <c r="T6" s="7">
        <v>0</v>
      </c>
    </row>
    <row r="7" spans="2:20" x14ac:dyDescent="0.2">
      <c r="B7" s="4">
        <v>4</v>
      </c>
      <c r="C7" s="4">
        <v>457</v>
      </c>
      <c r="D7" s="12">
        <v>21942.03542</v>
      </c>
      <c r="E7" s="7">
        <v>1.27429962E-2</v>
      </c>
      <c r="F7" s="7">
        <v>3</v>
      </c>
      <c r="G7" s="5">
        <v>1</v>
      </c>
      <c r="H7" s="7">
        <v>23945</v>
      </c>
      <c r="I7" s="7">
        <v>0</v>
      </c>
      <c r="J7" s="7">
        <v>863.84726393062761</v>
      </c>
      <c r="K7" s="7">
        <v>1.0000000000000001E-5</v>
      </c>
      <c r="L7" s="23">
        <v>178</v>
      </c>
      <c r="M7" s="12">
        <v>9270.8890900000006</v>
      </c>
      <c r="N7" s="7">
        <v>6.3279867200000006E-2</v>
      </c>
      <c r="O7" s="7">
        <v>3</v>
      </c>
      <c r="P7" s="5">
        <v>0</v>
      </c>
      <c r="Q7" s="7">
        <v>42816</v>
      </c>
      <c r="R7" s="7">
        <v>0</v>
      </c>
      <c r="S7" s="7">
        <v>831.8764229060331</v>
      </c>
      <c r="T7" s="7">
        <v>0</v>
      </c>
    </row>
    <row r="8" spans="2:20" x14ac:dyDescent="0.2">
      <c r="B8" s="4">
        <v>5</v>
      </c>
      <c r="C8" s="4">
        <v>458</v>
      </c>
      <c r="D8" s="12">
        <v>13022.96997</v>
      </c>
      <c r="E8" s="7">
        <v>3.7900924699999998E-2</v>
      </c>
      <c r="F8" s="7">
        <v>3</v>
      </c>
      <c r="G8" s="5">
        <v>1</v>
      </c>
      <c r="H8" s="7">
        <v>24509</v>
      </c>
      <c r="I8" s="7">
        <v>0</v>
      </c>
      <c r="J8" s="7">
        <v>443.47392717497439</v>
      </c>
      <c r="K8" s="7">
        <v>0</v>
      </c>
      <c r="L8" s="23">
        <v>479</v>
      </c>
      <c r="M8" s="12">
        <v>11418.39565</v>
      </c>
      <c r="N8" s="7">
        <v>0.136523962</v>
      </c>
      <c r="O8" s="7">
        <v>3</v>
      </c>
      <c r="P8" s="5">
        <v>0</v>
      </c>
      <c r="Q8" s="7">
        <v>40677</v>
      </c>
      <c r="R8" s="7">
        <v>0</v>
      </c>
      <c r="S8" s="7">
        <v>1080.3716792000384</v>
      </c>
      <c r="T8" s="7">
        <v>0</v>
      </c>
    </row>
    <row r="9" spans="2:20" x14ac:dyDescent="0.2">
      <c r="B9" s="4">
        <v>6</v>
      </c>
      <c r="C9" s="4">
        <v>682</v>
      </c>
      <c r="D9" s="12">
        <v>18161.912380000002</v>
      </c>
      <c r="E9" s="7">
        <v>1.0090112700000001E-2</v>
      </c>
      <c r="F9" s="7">
        <v>3</v>
      </c>
      <c r="G9" s="5">
        <v>2</v>
      </c>
      <c r="H9" s="7">
        <v>22711.599999999999</v>
      </c>
      <c r="I9" s="7">
        <v>0</v>
      </c>
      <c r="J9" s="7">
        <v>416.51317031203126</v>
      </c>
      <c r="K9" s="7">
        <v>0</v>
      </c>
      <c r="L9" s="23">
        <v>636</v>
      </c>
      <c r="M9" s="12">
        <v>8708.6589800000002</v>
      </c>
      <c r="N9" s="7">
        <v>4.4500827799999997E-2</v>
      </c>
      <c r="O9" s="7">
        <v>3</v>
      </c>
      <c r="P9" s="5">
        <v>1</v>
      </c>
      <c r="Q9" s="7">
        <v>57896</v>
      </c>
      <c r="R9" s="7">
        <v>0</v>
      </c>
      <c r="S9" s="7">
        <v>323.15696695038679</v>
      </c>
      <c r="T9" s="7">
        <v>0</v>
      </c>
    </row>
    <row r="10" spans="2:20" x14ac:dyDescent="0.2">
      <c r="B10" s="4">
        <v>7</v>
      </c>
      <c r="C10" s="4">
        <v>530</v>
      </c>
      <c r="D10" s="12">
        <v>21249.591789999999</v>
      </c>
      <c r="E10" s="7">
        <v>3.46291065E-2</v>
      </c>
      <c r="F10" s="7">
        <v>3</v>
      </c>
      <c r="G10" s="5">
        <v>0</v>
      </c>
      <c r="H10" s="7">
        <v>22847.599999999999</v>
      </c>
      <c r="I10" s="7">
        <v>0</v>
      </c>
      <c r="J10" s="7">
        <v>1263.1841130319647</v>
      </c>
      <c r="K10" s="7">
        <v>0</v>
      </c>
      <c r="L10" s="23">
        <v>369</v>
      </c>
      <c r="M10" s="12">
        <v>12163.663860000001</v>
      </c>
      <c r="N10" s="7">
        <v>3.38079929E-2</v>
      </c>
      <c r="O10" s="7">
        <v>3</v>
      </c>
      <c r="P10" s="5">
        <v>1</v>
      </c>
      <c r="Q10" s="7">
        <v>39900</v>
      </c>
      <c r="R10" s="7">
        <v>0</v>
      </c>
      <c r="S10" s="7">
        <v>705.14475328724268</v>
      </c>
      <c r="T10" s="7">
        <v>0</v>
      </c>
    </row>
    <row r="11" spans="2:20" x14ac:dyDescent="0.2">
      <c r="B11" s="4">
        <v>8</v>
      </c>
      <c r="C11" s="4">
        <v>803</v>
      </c>
      <c r="D11" s="12">
        <v>17174.574329999999</v>
      </c>
      <c r="E11" s="7">
        <v>1.02841854E-2</v>
      </c>
      <c r="F11" s="7">
        <v>3</v>
      </c>
      <c r="G11" s="5">
        <v>2</v>
      </c>
      <c r="H11" s="7">
        <v>9845</v>
      </c>
      <c r="I11" s="7">
        <v>0</v>
      </c>
      <c r="J11" s="7">
        <v>415.37776636016235</v>
      </c>
      <c r="K11" s="7">
        <v>0</v>
      </c>
      <c r="L11" s="23">
        <v>822</v>
      </c>
      <c r="M11" s="12">
        <v>11023.408069999999</v>
      </c>
      <c r="N11" s="7">
        <v>4.6463966400000001E-2</v>
      </c>
      <c r="O11" s="7">
        <v>3</v>
      </c>
      <c r="P11" s="5">
        <v>1</v>
      </c>
      <c r="Q11" s="7">
        <v>48790</v>
      </c>
      <c r="R11" s="7">
        <v>0</v>
      </c>
      <c r="S11" s="7">
        <v>550.39928790638885</v>
      </c>
      <c r="T11" s="7">
        <v>0</v>
      </c>
    </row>
    <row r="12" spans="2:20" x14ac:dyDescent="0.2">
      <c r="B12" s="4">
        <v>9</v>
      </c>
      <c r="C12" s="4">
        <v>816</v>
      </c>
      <c r="D12" s="12">
        <v>23733.505959999999</v>
      </c>
      <c r="E12" s="7">
        <v>1.1173009899999999E-2</v>
      </c>
      <c r="F12" s="7">
        <v>3</v>
      </c>
      <c r="G12" s="5">
        <v>1</v>
      </c>
      <c r="H12" s="7">
        <v>26237</v>
      </c>
      <c r="I12" s="7">
        <v>0</v>
      </c>
      <c r="J12" s="7">
        <v>614.66005805429631</v>
      </c>
      <c r="K12" s="7">
        <v>0</v>
      </c>
      <c r="L12" s="23">
        <v>315</v>
      </c>
      <c r="M12" s="12">
        <v>14881.68088</v>
      </c>
      <c r="N12" s="7">
        <v>6.5330028499999998E-2</v>
      </c>
      <c r="O12" s="7">
        <v>3</v>
      </c>
      <c r="P12" s="5">
        <v>2</v>
      </c>
      <c r="Q12" s="7">
        <v>50115</v>
      </c>
      <c r="R12" s="7">
        <v>0</v>
      </c>
      <c r="S12" s="7">
        <v>472.49941517642236</v>
      </c>
      <c r="T12" s="7">
        <v>0</v>
      </c>
    </row>
    <row r="13" spans="2:20" x14ac:dyDescent="0.2">
      <c r="B13" s="4">
        <v>10</v>
      </c>
      <c r="C13" s="4">
        <v>852</v>
      </c>
      <c r="D13" s="12">
        <v>21589.032319999998</v>
      </c>
      <c r="E13" s="7">
        <v>3.7446022000000002E-2</v>
      </c>
      <c r="F13" s="7">
        <v>3</v>
      </c>
      <c r="G13" s="5">
        <v>1</v>
      </c>
      <c r="H13" s="7">
        <v>28649</v>
      </c>
      <c r="I13" s="7">
        <v>0</v>
      </c>
      <c r="J13" s="7">
        <v>423.19378369786062</v>
      </c>
      <c r="K13" s="7">
        <v>0</v>
      </c>
      <c r="L13" s="23">
        <v>83</v>
      </c>
      <c r="M13" s="12">
        <v>17000.616610000001</v>
      </c>
      <c r="N13" s="7">
        <v>6.6112041499999996E-2</v>
      </c>
      <c r="O13" s="7">
        <v>3</v>
      </c>
      <c r="P13" s="5">
        <v>2</v>
      </c>
      <c r="Q13" s="7">
        <v>47039</v>
      </c>
      <c r="R13" s="7">
        <v>0</v>
      </c>
      <c r="S13" s="7">
        <v>699.78365313779898</v>
      </c>
      <c r="T13" s="7">
        <v>0</v>
      </c>
    </row>
    <row r="14" spans="2:20" x14ac:dyDescent="0.2">
      <c r="B14" s="47" t="s">
        <v>3</v>
      </c>
      <c r="C14" s="48"/>
      <c r="D14" s="9">
        <f>AVERAGE(D4:D13)</f>
        <v>19173.525994000003</v>
      </c>
      <c r="E14" s="22">
        <f>AVERAGE(E4:E13)</f>
        <v>2.2911429410000003E-2</v>
      </c>
      <c r="F14" s="20">
        <f t="shared" ref="F14:K14" si="0">AVERAGE(F4:F13)</f>
        <v>3</v>
      </c>
      <c r="G14" s="11">
        <f t="shared" si="0"/>
        <v>1.1000000000000001</v>
      </c>
      <c r="H14" s="9">
        <f t="shared" si="0"/>
        <v>23052.22</v>
      </c>
      <c r="I14" s="13">
        <f t="shared" si="0"/>
        <v>0</v>
      </c>
      <c r="J14" s="13">
        <f t="shared" si="0"/>
        <v>605.83776753159282</v>
      </c>
      <c r="K14" s="11">
        <f t="shared" si="0"/>
        <v>1.0000000000000002E-6</v>
      </c>
      <c r="L14" s="16"/>
      <c r="M14" s="16">
        <f t="shared" ref="M14:T14" si="1">AVERAGE(M4:M13)</f>
        <v>12035.351977</v>
      </c>
      <c r="N14" s="21">
        <f t="shared" si="1"/>
        <v>5.3925681119999999E-2</v>
      </c>
      <c r="O14" s="18">
        <f t="shared" si="1"/>
        <v>3</v>
      </c>
      <c r="P14" s="18">
        <f t="shared" si="1"/>
        <v>0.9</v>
      </c>
      <c r="Q14" s="16">
        <f t="shared" si="1"/>
        <v>47257.9</v>
      </c>
      <c r="R14" s="17">
        <f t="shared" si="1"/>
        <v>0</v>
      </c>
      <c r="S14" s="17">
        <f t="shared" si="1"/>
        <v>718.30000124237222</v>
      </c>
      <c r="T14" s="18">
        <f t="shared" si="1"/>
        <v>0</v>
      </c>
    </row>
    <row r="15" spans="2:20" x14ac:dyDescent="0.2">
      <c r="D15" s="2"/>
    </row>
    <row r="16" spans="2:20" x14ac:dyDescent="0.2">
      <c r="D16" s="2"/>
    </row>
  </sheetData>
  <mergeCells count="1">
    <mergeCell ref="B14:C14"/>
  </mergeCells>
  <conditionalFormatting sqref="L1:L1048576">
    <cfRule type="duplicateValues" dxfId="46" priority="1"/>
  </conditionalFormatting>
  <conditionalFormatting sqref="L14">
    <cfRule type="duplicateValues" dxfId="45" priority="2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FBB7-71AE-6048-B1AA-6217B1A80431}">
  <dimension ref="B3:T14"/>
  <sheetViews>
    <sheetView zoomScaleNormal="120" workbookViewId="0">
      <selection activeCell="C4" sqref="C4:C13"/>
    </sheetView>
  </sheetViews>
  <sheetFormatPr baseColWidth="10" defaultColWidth="10.83203125" defaultRowHeight="16" x14ac:dyDescent="0.2"/>
  <cols>
    <col min="1" max="1" width="3.83203125" style="1" customWidth="1"/>
    <col min="2" max="2" width="8.1640625" style="1" bestFit="1" customWidth="1"/>
    <col min="3" max="3" width="5.1640625" style="1" bestFit="1" customWidth="1"/>
    <col min="4" max="5" width="16.6640625" style="1" customWidth="1"/>
    <col min="6" max="6" width="9.1640625" style="1" bestFit="1" customWidth="1"/>
    <col min="7" max="7" width="16.6640625" style="1" customWidth="1"/>
    <col min="8" max="8" width="19.33203125" style="1" bestFit="1" customWidth="1"/>
    <col min="9" max="9" width="12" style="1" bestFit="1" customWidth="1"/>
    <col min="10" max="10" width="18" style="1" bestFit="1" customWidth="1"/>
    <col min="11" max="11" width="6.6640625" style="1" bestFit="1" customWidth="1"/>
    <col min="12" max="12" width="13.6640625" style="1" bestFit="1" customWidth="1"/>
    <col min="13" max="13" width="12.6640625" style="1" bestFit="1" customWidth="1"/>
    <col min="14" max="15" width="10.83203125" style="1"/>
    <col min="16" max="16" width="13.33203125" style="1" bestFit="1" customWidth="1"/>
    <col min="17" max="17" width="19.33203125" style="1" bestFit="1" customWidth="1"/>
    <col min="18" max="18" width="12" style="1" bestFit="1" customWidth="1"/>
    <col min="19" max="19" width="18" style="1" bestFit="1" customWidth="1"/>
    <col min="20" max="16384" width="10.83203125" style="1"/>
  </cols>
  <sheetData>
    <row r="3" spans="2:20" x14ac:dyDescent="0.2">
      <c r="B3" s="8" t="s">
        <v>7</v>
      </c>
      <c r="C3" s="8" t="s">
        <v>4</v>
      </c>
      <c r="D3" s="8" t="s">
        <v>0</v>
      </c>
      <c r="E3" s="8" t="s">
        <v>5</v>
      </c>
      <c r="F3" s="8" t="s">
        <v>12</v>
      </c>
      <c r="G3" s="8" t="s">
        <v>8</v>
      </c>
      <c r="H3" s="8" t="s">
        <v>9</v>
      </c>
      <c r="I3" s="8" t="s">
        <v>11</v>
      </c>
      <c r="J3" s="8" t="s">
        <v>10</v>
      </c>
      <c r="K3" s="8" t="s">
        <v>1</v>
      </c>
      <c r="L3" s="15" t="s">
        <v>13</v>
      </c>
      <c r="M3" s="15" t="s">
        <v>0</v>
      </c>
      <c r="N3" s="15" t="s">
        <v>5</v>
      </c>
      <c r="O3" s="15" t="s">
        <v>12</v>
      </c>
      <c r="P3" s="15" t="s">
        <v>8</v>
      </c>
      <c r="Q3" s="15" t="s">
        <v>9</v>
      </c>
      <c r="R3" s="15" t="s">
        <v>11</v>
      </c>
      <c r="S3" s="15" t="s">
        <v>10</v>
      </c>
      <c r="T3" s="15" t="s">
        <v>1</v>
      </c>
    </row>
    <row r="4" spans="2:20" x14ac:dyDescent="0.2">
      <c r="B4" s="4">
        <v>1</v>
      </c>
      <c r="C4" s="4">
        <v>14</v>
      </c>
      <c r="D4" s="12">
        <v>37429.69713</v>
      </c>
      <c r="E4" s="7">
        <v>2.95398235E-2</v>
      </c>
      <c r="F4" s="7">
        <v>3</v>
      </c>
      <c r="G4" s="5">
        <v>4</v>
      </c>
      <c r="H4" s="7">
        <v>29867</v>
      </c>
      <c r="I4" s="7">
        <v>0</v>
      </c>
      <c r="J4" s="7">
        <v>270.46929319124166</v>
      </c>
      <c r="K4" s="7">
        <v>0</v>
      </c>
      <c r="L4" s="23">
        <v>140</v>
      </c>
      <c r="M4" s="12">
        <v>14639.717280000001</v>
      </c>
      <c r="N4" s="7">
        <v>4.2852163300000003E-2</v>
      </c>
      <c r="O4" s="7">
        <v>3</v>
      </c>
      <c r="P4" s="5">
        <v>2</v>
      </c>
      <c r="Q4" s="7">
        <v>59230</v>
      </c>
      <c r="R4" s="7">
        <v>0</v>
      </c>
      <c r="S4" s="7">
        <v>491.6845019318136</v>
      </c>
      <c r="T4" s="7">
        <v>0</v>
      </c>
    </row>
    <row r="5" spans="2:20" x14ac:dyDescent="0.2">
      <c r="B5" s="4">
        <v>2</v>
      </c>
      <c r="C5" s="4">
        <v>214</v>
      </c>
      <c r="D5" s="12">
        <v>26627.960419999999</v>
      </c>
      <c r="E5" s="7">
        <v>3.0606985100000001E-2</v>
      </c>
      <c r="F5" s="7">
        <v>3</v>
      </c>
      <c r="G5" s="5">
        <v>2</v>
      </c>
      <c r="H5" s="7">
        <v>40002.600000000006</v>
      </c>
      <c r="I5" s="7">
        <v>0</v>
      </c>
      <c r="J5" s="7">
        <v>474.81405991898521</v>
      </c>
      <c r="K5" s="7">
        <v>0</v>
      </c>
      <c r="L5" s="23">
        <v>174</v>
      </c>
      <c r="M5" s="12">
        <v>15983.69074</v>
      </c>
      <c r="N5" s="7">
        <v>3.1943082800000001E-2</v>
      </c>
      <c r="O5" s="7">
        <v>3</v>
      </c>
      <c r="P5" s="5">
        <v>2</v>
      </c>
      <c r="Q5" s="7">
        <v>59683</v>
      </c>
      <c r="R5" s="7">
        <v>0</v>
      </c>
      <c r="S5" s="7">
        <v>609.87414612595558</v>
      </c>
      <c r="T5" s="7">
        <v>0</v>
      </c>
    </row>
    <row r="6" spans="2:20" x14ac:dyDescent="0.2">
      <c r="B6" s="4">
        <v>3</v>
      </c>
      <c r="C6" s="4">
        <v>245</v>
      </c>
      <c r="D6" s="12">
        <v>23302.905729999999</v>
      </c>
      <c r="E6" s="7">
        <v>5.46078682E-2</v>
      </c>
      <c r="F6" s="7">
        <v>3</v>
      </c>
      <c r="G6" s="5">
        <v>1</v>
      </c>
      <c r="H6" s="7">
        <v>45324</v>
      </c>
      <c r="I6" s="7">
        <v>21.080101199281991</v>
      </c>
      <c r="J6" s="7">
        <v>936.7185999133826</v>
      </c>
      <c r="K6" s="7">
        <v>0</v>
      </c>
      <c r="L6" s="23">
        <v>220</v>
      </c>
      <c r="M6" s="12">
        <v>17788.968130000001</v>
      </c>
      <c r="N6" s="7">
        <v>3.9661884299999998E-2</v>
      </c>
      <c r="O6" s="7">
        <v>3</v>
      </c>
      <c r="P6" s="5">
        <v>2.0000000000000062</v>
      </c>
      <c r="Q6" s="7">
        <v>52769</v>
      </c>
      <c r="R6" s="7">
        <v>0</v>
      </c>
      <c r="S6" s="7">
        <v>706.57974486349826</v>
      </c>
      <c r="T6" s="7">
        <v>0</v>
      </c>
    </row>
    <row r="7" spans="2:20" x14ac:dyDescent="0.2">
      <c r="B7" s="4">
        <v>4</v>
      </c>
      <c r="C7" s="4">
        <v>373</v>
      </c>
      <c r="D7" s="12">
        <v>16954.054530000001</v>
      </c>
      <c r="E7" s="7">
        <v>4.66098785E-2</v>
      </c>
      <c r="F7" s="7">
        <v>3</v>
      </c>
      <c r="G7" s="5">
        <v>1</v>
      </c>
      <c r="H7" s="7">
        <v>23648</v>
      </c>
      <c r="I7" s="7">
        <v>0</v>
      </c>
      <c r="J7" s="7">
        <v>803.14234596515234</v>
      </c>
      <c r="K7" s="7">
        <v>0</v>
      </c>
      <c r="L7" s="23">
        <v>386</v>
      </c>
      <c r="M7" s="12">
        <v>18101.47581</v>
      </c>
      <c r="N7" s="7">
        <v>3.7279129000000001E-2</v>
      </c>
      <c r="O7" s="7">
        <v>3</v>
      </c>
      <c r="P7" s="5">
        <v>3</v>
      </c>
      <c r="Q7" s="7">
        <v>52109</v>
      </c>
      <c r="R7" s="7">
        <v>0</v>
      </c>
      <c r="S7" s="7">
        <v>343.70253296529359</v>
      </c>
      <c r="T7" s="7">
        <v>0</v>
      </c>
    </row>
    <row r="8" spans="2:20" x14ac:dyDescent="0.2">
      <c r="B8" s="4">
        <v>5</v>
      </c>
      <c r="C8" s="4">
        <v>439</v>
      </c>
      <c r="D8" s="12">
        <v>16104.97156</v>
      </c>
      <c r="E8" s="7">
        <v>8.1970692000000005E-3</v>
      </c>
      <c r="F8" s="7">
        <v>3</v>
      </c>
      <c r="G8" s="5">
        <v>1</v>
      </c>
      <c r="H8" s="7">
        <v>23086.6</v>
      </c>
      <c r="I8" s="7">
        <v>0</v>
      </c>
      <c r="J8" s="7">
        <v>661.84605370603822</v>
      </c>
      <c r="K8" s="7">
        <v>0</v>
      </c>
      <c r="L8" s="23">
        <v>97</v>
      </c>
      <c r="M8" s="12">
        <v>15456.072410000001</v>
      </c>
      <c r="N8" s="7">
        <v>3.8971900900000002E-2</v>
      </c>
      <c r="O8" s="7">
        <v>3</v>
      </c>
      <c r="P8" s="5">
        <v>1</v>
      </c>
      <c r="Q8" s="7">
        <v>35888</v>
      </c>
      <c r="R8" s="7">
        <v>57.575980286864251</v>
      </c>
      <c r="S8" s="7">
        <v>887.32111108378774</v>
      </c>
      <c r="T8" s="7">
        <v>0</v>
      </c>
    </row>
    <row r="9" spans="2:20" x14ac:dyDescent="0.2">
      <c r="B9" s="4">
        <v>6</v>
      </c>
      <c r="C9" s="4">
        <v>452</v>
      </c>
      <c r="D9" s="12">
        <v>22743.965459999999</v>
      </c>
      <c r="E9" s="7">
        <v>2.8569221499999999E-2</v>
      </c>
      <c r="F9" s="7">
        <v>3</v>
      </c>
      <c r="G9" s="5">
        <v>1</v>
      </c>
      <c r="H9" s="7">
        <v>46236.2</v>
      </c>
      <c r="I9" s="7">
        <v>0</v>
      </c>
      <c r="J9" s="7">
        <v>482.8365171992715</v>
      </c>
      <c r="K9" s="7">
        <v>0</v>
      </c>
      <c r="L9" s="23">
        <v>336</v>
      </c>
      <c r="M9" s="12">
        <v>18152.119600000002</v>
      </c>
      <c r="N9" s="7">
        <v>4.1716098799999997E-2</v>
      </c>
      <c r="O9" s="7">
        <v>3</v>
      </c>
      <c r="P9" s="5">
        <v>2</v>
      </c>
      <c r="Q9" s="7">
        <v>44982</v>
      </c>
      <c r="R9" s="7">
        <v>0</v>
      </c>
      <c r="S9" s="7">
        <v>721.29398859178593</v>
      </c>
      <c r="T9" s="7">
        <v>0</v>
      </c>
    </row>
    <row r="10" spans="2:20" x14ac:dyDescent="0.2">
      <c r="B10" s="4">
        <v>7</v>
      </c>
      <c r="C10" s="4">
        <v>508</v>
      </c>
      <c r="D10" s="12">
        <v>19583.41043</v>
      </c>
      <c r="E10" s="7">
        <v>2.2717952699999999E-2</v>
      </c>
      <c r="F10" s="7">
        <v>3</v>
      </c>
      <c r="G10" s="5">
        <v>1</v>
      </c>
      <c r="H10" s="7">
        <v>35057.199999999997</v>
      </c>
      <c r="I10" s="7">
        <v>0</v>
      </c>
      <c r="J10" s="7">
        <v>644.91204232018731</v>
      </c>
      <c r="K10" s="7">
        <v>0</v>
      </c>
      <c r="L10" s="23">
        <v>614</v>
      </c>
      <c r="M10" s="12">
        <v>15743.695659999999</v>
      </c>
      <c r="N10" s="7">
        <v>4.8551082600000003E-2</v>
      </c>
      <c r="O10" s="7">
        <v>3</v>
      </c>
      <c r="P10" s="5">
        <v>2</v>
      </c>
      <c r="Q10" s="7">
        <v>56563</v>
      </c>
      <c r="R10" s="7">
        <v>0</v>
      </c>
      <c r="S10" s="7">
        <v>507.20015584342201</v>
      </c>
      <c r="T10" s="7">
        <v>0</v>
      </c>
    </row>
    <row r="11" spans="2:20" x14ac:dyDescent="0.2">
      <c r="B11" s="4">
        <v>8</v>
      </c>
      <c r="C11" s="4">
        <v>581</v>
      </c>
      <c r="D11" s="12">
        <v>16874.20016</v>
      </c>
      <c r="E11" s="7">
        <v>2.67829895E-2</v>
      </c>
      <c r="F11" s="7">
        <v>3</v>
      </c>
      <c r="G11" s="5">
        <v>1</v>
      </c>
      <c r="H11" s="7">
        <v>49096.800000000003</v>
      </c>
      <c r="I11" s="7">
        <v>0</v>
      </c>
      <c r="J11" s="7">
        <v>377.35995410912545</v>
      </c>
      <c r="K11" s="7">
        <v>0</v>
      </c>
      <c r="L11" s="23">
        <v>281</v>
      </c>
      <c r="M11" s="12">
        <v>11564.113719999999</v>
      </c>
      <c r="N11" s="7">
        <v>1.40888691E-2</v>
      </c>
      <c r="O11" s="7">
        <v>3</v>
      </c>
      <c r="P11" s="5">
        <v>1</v>
      </c>
      <c r="Q11" s="7">
        <v>48646</v>
      </c>
      <c r="R11" s="7">
        <v>0</v>
      </c>
      <c r="S11" s="7">
        <v>629.81376904565025</v>
      </c>
      <c r="T11" s="7">
        <v>0</v>
      </c>
    </row>
    <row r="12" spans="2:20" x14ac:dyDescent="0.2">
      <c r="B12" s="4">
        <v>9</v>
      </c>
      <c r="C12" s="4">
        <v>584</v>
      </c>
      <c r="D12" s="12">
        <v>30543.181499999999</v>
      </c>
      <c r="E12" s="7">
        <v>4.9028158199999998E-2</v>
      </c>
      <c r="F12" s="7">
        <v>3</v>
      </c>
      <c r="G12" s="5">
        <v>2</v>
      </c>
      <c r="H12" s="7">
        <v>38102</v>
      </c>
      <c r="I12" s="7">
        <v>0</v>
      </c>
      <c r="J12" s="7">
        <v>476.89624902134926</v>
      </c>
      <c r="K12" s="7">
        <v>0</v>
      </c>
      <c r="L12" s="23">
        <v>693</v>
      </c>
      <c r="M12" s="12">
        <v>16300.995919999999</v>
      </c>
      <c r="N12" s="7">
        <v>3.9834022500000003E-2</v>
      </c>
      <c r="O12" s="7">
        <v>3</v>
      </c>
      <c r="P12" s="5">
        <v>2</v>
      </c>
      <c r="Q12" s="7">
        <v>50399</v>
      </c>
      <c r="R12" s="7">
        <v>0</v>
      </c>
      <c r="S12" s="7">
        <v>597.66704355928812</v>
      </c>
      <c r="T12" s="7">
        <v>0</v>
      </c>
    </row>
    <row r="13" spans="2:20" x14ac:dyDescent="0.2">
      <c r="B13" s="4">
        <v>10</v>
      </c>
      <c r="C13" s="4">
        <v>755</v>
      </c>
      <c r="D13" s="12">
        <v>23431.42324</v>
      </c>
      <c r="E13" s="7">
        <v>4.9354076400000002E-2</v>
      </c>
      <c r="F13" s="7">
        <v>3</v>
      </c>
      <c r="G13" s="5">
        <v>2</v>
      </c>
      <c r="H13" s="7">
        <v>34338</v>
      </c>
      <c r="I13" s="7">
        <v>0</v>
      </c>
      <c r="J13" s="7">
        <v>514.74594638697795</v>
      </c>
      <c r="K13" s="7">
        <v>0</v>
      </c>
      <c r="L13" s="23">
        <v>782</v>
      </c>
      <c r="M13" s="12">
        <v>8685.5654500000001</v>
      </c>
      <c r="N13" s="7">
        <v>4.2000055299999998E-2</v>
      </c>
      <c r="O13" s="7">
        <v>3</v>
      </c>
      <c r="P13" s="5">
        <v>0</v>
      </c>
      <c r="Q13" s="7">
        <v>52308</v>
      </c>
      <c r="R13" s="7">
        <v>0</v>
      </c>
      <c r="S13" s="7">
        <v>781.63728417641664</v>
      </c>
      <c r="T13" s="7">
        <v>0</v>
      </c>
    </row>
    <row r="14" spans="2:20" x14ac:dyDescent="0.2">
      <c r="B14" s="47" t="s">
        <v>3</v>
      </c>
      <c r="C14" s="48"/>
      <c r="D14" s="9">
        <f t="shared" ref="D14:K14" si="0">AVERAGE(D4:D13)</f>
        <v>23359.577016000003</v>
      </c>
      <c r="E14" s="22">
        <f>AVERAGE(E4:E13)</f>
        <v>3.4601402279999999E-2</v>
      </c>
      <c r="F14" s="20">
        <f t="shared" si="0"/>
        <v>3</v>
      </c>
      <c r="G14" s="11">
        <f t="shared" si="0"/>
        <v>1.6</v>
      </c>
      <c r="H14" s="9">
        <f t="shared" si="0"/>
        <v>36475.840000000004</v>
      </c>
      <c r="I14" s="13">
        <f t="shared" si="0"/>
        <v>2.1080101199281991</v>
      </c>
      <c r="J14" s="13">
        <f t="shared" si="0"/>
        <v>564.37410617317107</v>
      </c>
      <c r="K14" s="11">
        <f t="shared" si="0"/>
        <v>0</v>
      </c>
      <c r="L14" s="16"/>
      <c r="M14" s="16">
        <f t="shared" ref="M14:T14" si="1">AVERAGE(M4:M13)</f>
        <v>15241.641471999998</v>
      </c>
      <c r="N14" s="21">
        <f t="shared" si="1"/>
        <v>3.7689828860000003E-2</v>
      </c>
      <c r="O14" s="18">
        <f t="shared" si="1"/>
        <v>3</v>
      </c>
      <c r="P14" s="18">
        <f t="shared" si="1"/>
        <v>1.7000000000000006</v>
      </c>
      <c r="Q14" s="16">
        <f t="shared" si="1"/>
        <v>51257.7</v>
      </c>
      <c r="R14" s="17">
        <f t="shared" si="1"/>
        <v>5.7575980286864255</v>
      </c>
      <c r="S14" s="17">
        <f t="shared" si="1"/>
        <v>627.67742781869117</v>
      </c>
      <c r="T14" s="18">
        <f t="shared" si="1"/>
        <v>0</v>
      </c>
    </row>
  </sheetData>
  <mergeCells count="1">
    <mergeCell ref="B14:C14"/>
  </mergeCells>
  <conditionalFormatting sqref="L1:L1048576">
    <cfRule type="duplicateValues" dxfId="44" priority="1"/>
  </conditionalFormatting>
  <conditionalFormatting sqref="L14">
    <cfRule type="duplicateValues" dxfId="43" priority="2"/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9A43D-1732-7240-9A1A-4AF93EFEE897}">
  <dimension ref="B3:T14"/>
  <sheetViews>
    <sheetView zoomScale="117" zoomScaleNormal="120" workbookViewId="0">
      <selection activeCell="C4" sqref="C4:C13"/>
    </sheetView>
  </sheetViews>
  <sheetFormatPr baseColWidth="10" defaultColWidth="10.83203125" defaultRowHeight="16" x14ac:dyDescent="0.2"/>
  <cols>
    <col min="1" max="1" width="3.83203125" style="1" customWidth="1"/>
    <col min="2" max="2" width="8.1640625" style="1" bestFit="1" customWidth="1"/>
    <col min="3" max="3" width="5.1640625" style="1" bestFit="1" customWidth="1"/>
    <col min="4" max="4" width="16.6640625" style="1" customWidth="1"/>
    <col min="5" max="5" width="9.5" style="1" bestFit="1" customWidth="1"/>
    <col min="6" max="6" width="9.1640625" style="1" bestFit="1" customWidth="1"/>
    <col min="7" max="7" width="13.33203125" style="1" bestFit="1" customWidth="1"/>
    <col min="8" max="8" width="19.33203125" style="1" bestFit="1" customWidth="1"/>
    <col min="9" max="9" width="12" style="1" bestFit="1" customWidth="1"/>
    <col min="10" max="10" width="18.6640625" style="1" bestFit="1" customWidth="1"/>
    <col min="11" max="11" width="6.6640625" style="1" bestFit="1" customWidth="1"/>
    <col min="12" max="12" width="8.6640625" style="1" bestFit="1" customWidth="1"/>
    <col min="13" max="13" width="13.33203125" style="1" bestFit="1" customWidth="1"/>
    <col min="14" max="15" width="10.83203125" style="1"/>
    <col min="16" max="16" width="13.33203125" style="1" bestFit="1" customWidth="1"/>
    <col min="17" max="17" width="19.33203125" style="1" bestFit="1" customWidth="1"/>
    <col min="18" max="18" width="12" style="1" bestFit="1" customWidth="1"/>
    <col min="19" max="19" width="18" style="1" bestFit="1" customWidth="1"/>
    <col min="20" max="16384" width="10.83203125" style="1"/>
  </cols>
  <sheetData>
    <row r="3" spans="2:20" x14ac:dyDescent="0.2">
      <c r="B3" s="8" t="s">
        <v>7</v>
      </c>
      <c r="C3" s="8" t="s">
        <v>4</v>
      </c>
      <c r="D3" s="8" t="s">
        <v>0</v>
      </c>
      <c r="E3" s="8" t="s">
        <v>5</v>
      </c>
      <c r="F3" s="8" t="s">
        <v>12</v>
      </c>
      <c r="G3" s="8" t="s">
        <v>8</v>
      </c>
      <c r="H3" s="8" t="s">
        <v>9</v>
      </c>
      <c r="I3" s="8" t="s">
        <v>11</v>
      </c>
      <c r="J3" s="8" t="s">
        <v>10</v>
      </c>
      <c r="K3" s="8" t="s">
        <v>1</v>
      </c>
      <c r="L3" s="15" t="s">
        <v>13</v>
      </c>
      <c r="M3" s="15" t="s">
        <v>0</v>
      </c>
      <c r="N3" s="15" t="s">
        <v>5</v>
      </c>
      <c r="O3" s="15" t="s">
        <v>12</v>
      </c>
      <c r="P3" s="15" t="s">
        <v>8</v>
      </c>
      <c r="Q3" s="15" t="s">
        <v>9</v>
      </c>
      <c r="R3" s="15" t="s">
        <v>11</v>
      </c>
      <c r="S3" s="15" t="s">
        <v>10</v>
      </c>
      <c r="T3" s="15" t="s">
        <v>1</v>
      </c>
    </row>
    <row r="4" spans="2:20" x14ac:dyDescent="0.2">
      <c r="B4" s="4">
        <v>1</v>
      </c>
      <c r="C4" s="6">
        <v>69</v>
      </c>
      <c r="D4" s="12">
        <v>25285.501059999999</v>
      </c>
      <c r="E4" s="7">
        <v>2.03368664E-2</v>
      </c>
      <c r="F4" s="7">
        <v>2</v>
      </c>
      <c r="G4" s="5">
        <v>0</v>
      </c>
      <c r="H4" s="7">
        <v>26159.4</v>
      </c>
      <c r="I4" s="7">
        <v>0</v>
      </c>
      <c r="J4" s="7">
        <v>1024.6403885284221</v>
      </c>
      <c r="K4" s="7">
        <v>0</v>
      </c>
      <c r="L4" s="23">
        <v>188</v>
      </c>
      <c r="M4" s="12">
        <v>24592.933229999999</v>
      </c>
      <c r="N4" s="7">
        <v>9.3856811499999998E-2</v>
      </c>
      <c r="O4" s="7">
        <v>2</v>
      </c>
      <c r="P4" s="5">
        <v>2</v>
      </c>
      <c r="Q4" s="7">
        <v>35912</v>
      </c>
      <c r="R4" s="7">
        <v>0</v>
      </c>
      <c r="S4" s="7">
        <v>673.03680247944465</v>
      </c>
      <c r="T4" s="7">
        <v>0</v>
      </c>
    </row>
    <row r="5" spans="2:20" x14ac:dyDescent="0.2">
      <c r="B5" s="4">
        <v>2</v>
      </c>
      <c r="C5" s="24">
        <v>320</v>
      </c>
      <c r="D5" s="12">
        <v>37733.347710000002</v>
      </c>
      <c r="E5" s="7">
        <v>2.89981365E-2</v>
      </c>
      <c r="F5" s="7">
        <v>2</v>
      </c>
      <c r="G5" s="5">
        <v>2</v>
      </c>
      <c r="H5" s="7">
        <v>33861.800000000039</v>
      </c>
      <c r="I5" s="7">
        <v>11.876789089258819</v>
      </c>
      <c r="J5" s="7">
        <v>1128.8492192424135</v>
      </c>
      <c r="K5" s="7">
        <v>0</v>
      </c>
      <c r="L5" s="23">
        <v>241</v>
      </c>
      <c r="M5" s="12">
        <v>58957.035380000001</v>
      </c>
      <c r="N5" s="7">
        <v>0.2380030155</v>
      </c>
      <c r="O5" s="7">
        <v>4</v>
      </c>
      <c r="P5" s="5">
        <v>9.0000000000000071</v>
      </c>
      <c r="Q5" s="7">
        <v>53092</v>
      </c>
      <c r="R5" s="7">
        <v>0</v>
      </c>
      <c r="S5" s="7">
        <v>690.58573978839672</v>
      </c>
      <c r="T5" s="7">
        <v>0</v>
      </c>
    </row>
    <row r="6" spans="2:20" x14ac:dyDescent="0.2">
      <c r="B6" s="4">
        <v>3</v>
      </c>
      <c r="C6" s="24">
        <v>380</v>
      </c>
      <c r="D6" s="12">
        <v>28486.69169</v>
      </c>
      <c r="E6" s="7">
        <v>1.3865947700000001E-2</v>
      </c>
      <c r="F6" s="7">
        <v>2</v>
      </c>
      <c r="G6" s="5">
        <v>0</v>
      </c>
      <c r="H6" s="7">
        <v>31005.399999999172</v>
      </c>
      <c r="I6" s="7">
        <v>0</v>
      </c>
      <c r="J6" s="7">
        <v>1027.5751046144039</v>
      </c>
      <c r="K6" s="7">
        <v>0</v>
      </c>
      <c r="L6" s="23">
        <v>295</v>
      </c>
      <c r="M6" s="12">
        <v>44821.29494</v>
      </c>
      <c r="N6" s="7">
        <v>8.7707042700000001E-2</v>
      </c>
      <c r="O6" s="7">
        <v>2</v>
      </c>
      <c r="P6" s="5">
        <v>3</v>
      </c>
      <c r="Q6" s="7">
        <v>40281</v>
      </c>
      <c r="R6" s="7">
        <v>22.435554820339782</v>
      </c>
      <c r="S6" s="7">
        <v>1415.9253952168015</v>
      </c>
      <c r="T6" s="7">
        <v>0</v>
      </c>
    </row>
    <row r="7" spans="2:20" x14ac:dyDescent="0.2">
      <c r="B7" s="4">
        <v>4</v>
      </c>
      <c r="C7" s="24">
        <v>487</v>
      </c>
      <c r="D7" s="12">
        <v>55101.502780000003</v>
      </c>
      <c r="E7" s="7">
        <v>0.25891208650000003</v>
      </c>
      <c r="F7" s="7">
        <v>4</v>
      </c>
      <c r="G7" s="5">
        <v>5</v>
      </c>
      <c r="H7" s="7">
        <v>21543.8</v>
      </c>
      <c r="I7" s="7">
        <v>0</v>
      </c>
      <c r="J7" s="7">
        <v>1060.3322974897289</v>
      </c>
      <c r="K7" s="7">
        <v>0</v>
      </c>
      <c r="L7" s="23">
        <v>427</v>
      </c>
      <c r="M7" s="12">
        <v>38064.34489</v>
      </c>
      <c r="N7" s="7">
        <v>3.6217212700000001E-2</v>
      </c>
      <c r="O7" s="7">
        <v>2</v>
      </c>
      <c r="P7" s="5">
        <v>2</v>
      </c>
      <c r="Q7" s="7">
        <v>41707</v>
      </c>
      <c r="R7" s="7">
        <v>0</v>
      </c>
      <c r="S7" s="7">
        <v>1384.6892104989688</v>
      </c>
      <c r="T7" s="7">
        <v>0</v>
      </c>
    </row>
    <row r="8" spans="2:20" x14ac:dyDescent="0.2">
      <c r="B8" s="4">
        <v>5</v>
      </c>
      <c r="C8" s="24">
        <v>498</v>
      </c>
      <c r="D8" s="12">
        <v>47484.835160000002</v>
      </c>
      <c r="E8" s="7">
        <v>0.1366379261</v>
      </c>
      <c r="F8" s="7">
        <v>2</v>
      </c>
      <c r="G8" s="5">
        <v>3</v>
      </c>
      <c r="H8" s="7">
        <v>26611.8</v>
      </c>
      <c r="I8" s="7">
        <v>0</v>
      </c>
      <c r="J8" s="7">
        <v>874.22576713891942</v>
      </c>
      <c r="K8" s="7">
        <v>0</v>
      </c>
      <c r="L8" s="23">
        <v>467</v>
      </c>
      <c r="M8" s="12">
        <v>46976.147440000001</v>
      </c>
      <c r="N8" s="7">
        <v>1.1444878578</v>
      </c>
      <c r="O8" s="7">
        <v>4</v>
      </c>
      <c r="P8" s="5">
        <v>3</v>
      </c>
      <c r="Q8" s="7">
        <v>48725</v>
      </c>
      <c r="R8" s="7">
        <v>24.510757443342705</v>
      </c>
      <c r="S8" s="7">
        <v>1564.2272968902964</v>
      </c>
      <c r="T8" s="7">
        <v>0</v>
      </c>
    </row>
    <row r="9" spans="2:20" x14ac:dyDescent="0.2">
      <c r="B9" s="4">
        <v>6</v>
      </c>
      <c r="C9" s="24">
        <v>564</v>
      </c>
      <c r="D9" s="12">
        <v>32123.11089</v>
      </c>
      <c r="E9" s="7">
        <v>2.1203994800000001E-2</v>
      </c>
      <c r="F9" s="7">
        <v>2</v>
      </c>
      <c r="G9" s="5">
        <v>1</v>
      </c>
      <c r="H9" s="7">
        <v>28083.4</v>
      </c>
      <c r="I9" s="7">
        <v>0</v>
      </c>
      <c r="J9" s="7">
        <v>1213.6440215781074</v>
      </c>
      <c r="K9" s="7">
        <v>0</v>
      </c>
      <c r="L9" s="23">
        <v>549</v>
      </c>
      <c r="M9" s="12">
        <v>28270.248360000001</v>
      </c>
      <c r="N9" s="7">
        <v>8.5637092600000006E-2</v>
      </c>
      <c r="O9" s="7">
        <v>2</v>
      </c>
      <c r="P9" s="5">
        <v>3</v>
      </c>
      <c r="Q9" s="7">
        <v>37274</v>
      </c>
      <c r="R9" s="7">
        <v>0</v>
      </c>
      <c r="S9" s="7">
        <v>611.81011458632281</v>
      </c>
      <c r="T9" s="7">
        <v>0</v>
      </c>
    </row>
    <row r="10" spans="2:20" x14ac:dyDescent="0.2">
      <c r="B10" s="4">
        <v>7</v>
      </c>
      <c r="C10" s="24">
        <v>578</v>
      </c>
      <c r="D10" s="12">
        <v>57153.081059999997</v>
      </c>
      <c r="E10" s="7">
        <v>7.1797869204999998</v>
      </c>
      <c r="F10" s="7">
        <v>4</v>
      </c>
      <c r="G10" s="5">
        <v>4.0000000420099884</v>
      </c>
      <c r="H10" s="7">
        <v>25780</v>
      </c>
      <c r="I10" s="7">
        <v>17.943771925029075</v>
      </c>
      <c r="J10" s="7">
        <v>1546.3534099723388</v>
      </c>
      <c r="K10" s="7">
        <v>0</v>
      </c>
      <c r="L10" s="23">
        <v>859</v>
      </c>
      <c r="M10" s="12">
        <v>43198.752699999997</v>
      </c>
      <c r="N10" s="7">
        <v>0.3355309963</v>
      </c>
      <c r="O10" s="7">
        <v>2</v>
      </c>
      <c r="P10" s="5">
        <v>4</v>
      </c>
      <c r="Q10" s="7">
        <v>24609</v>
      </c>
      <c r="R10" s="7">
        <v>19.426987246839694</v>
      </c>
      <c r="S10" s="7">
        <v>1168.2179825068567</v>
      </c>
      <c r="T10" s="7">
        <v>0</v>
      </c>
    </row>
    <row r="11" spans="2:20" x14ac:dyDescent="0.2">
      <c r="B11" s="4">
        <v>8</v>
      </c>
      <c r="C11" s="24">
        <v>593</v>
      </c>
      <c r="D11" s="12">
        <v>40013.572390000001</v>
      </c>
      <c r="E11" s="7">
        <v>2.8548002199999999E-2</v>
      </c>
      <c r="F11" s="7">
        <v>2</v>
      </c>
      <c r="G11" s="5">
        <v>1</v>
      </c>
      <c r="H11" s="7">
        <v>46809</v>
      </c>
      <c r="I11" s="7">
        <v>7.5469404145732799</v>
      </c>
      <c r="J11" s="7">
        <v>1100.6532032017217</v>
      </c>
      <c r="K11" s="7">
        <v>0</v>
      </c>
      <c r="L11" s="23">
        <v>734</v>
      </c>
      <c r="M11" s="12">
        <v>42135.216200000003</v>
      </c>
      <c r="N11" s="7">
        <v>1.7675950526999999</v>
      </c>
      <c r="O11" s="7">
        <v>3</v>
      </c>
      <c r="P11" s="5">
        <v>3</v>
      </c>
      <c r="Q11" s="7">
        <v>29171.40000000002</v>
      </c>
      <c r="R11" s="7">
        <v>4.9700786118600835</v>
      </c>
      <c r="S11" s="7">
        <v>1292.6133085891206</v>
      </c>
      <c r="T11" s="7">
        <v>0</v>
      </c>
    </row>
    <row r="12" spans="2:20" x14ac:dyDescent="0.2">
      <c r="B12" s="4">
        <v>9</v>
      </c>
      <c r="C12" s="24">
        <v>795</v>
      </c>
      <c r="D12" s="12">
        <v>37750.003199999999</v>
      </c>
      <c r="E12" s="7">
        <v>8.6210012399999994E-2</v>
      </c>
      <c r="F12" s="7">
        <v>2</v>
      </c>
      <c r="G12" s="5">
        <v>1</v>
      </c>
      <c r="H12" s="7">
        <v>24867.800000000003</v>
      </c>
      <c r="I12" s="7">
        <v>0</v>
      </c>
      <c r="J12" s="7">
        <v>1084.6759004121714</v>
      </c>
      <c r="K12" s="7">
        <v>0</v>
      </c>
      <c r="L12" s="23">
        <v>547</v>
      </c>
      <c r="M12" s="12">
        <v>44156.988819999999</v>
      </c>
      <c r="N12" s="7">
        <v>3.1990890503</v>
      </c>
      <c r="O12" s="7">
        <v>3</v>
      </c>
      <c r="P12" s="5">
        <v>1</v>
      </c>
      <c r="Q12" s="7">
        <v>47007.6000000001</v>
      </c>
      <c r="R12" s="7">
        <v>16.721478778935968</v>
      </c>
      <c r="S12" s="7">
        <v>1842.5993945744594</v>
      </c>
      <c r="T12" s="7">
        <v>0</v>
      </c>
    </row>
    <row r="13" spans="2:20" x14ac:dyDescent="0.2">
      <c r="B13" s="4">
        <v>10</v>
      </c>
      <c r="C13" s="24">
        <v>722</v>
      </c>
      <c r="D13" s="12">
        <v>39699.685899999997</v>
      </c>
      <c r="E13" s="7">
        <v>2.7703046799999999E-2</v>
      </c>
      <c r="F13" s="7">
        <v>2</v>
      </c>
      <c r="G13" s="5">
        <v>2</v>
      </c>
      <c r="H13" s="7">
        <v>31519.999999999771</v>
      </c>
      <c r="I13" s="7">
        <v>3.0638041851198072</v>
      </c>
      <c r="J13" s="7">
        <v>936.45149967355667</v>
      </c>
      <c r="K13" s="7">
        <v>0</v>
      </c>
      <c r="L13" s="23">
        <v>682</v>
      </c>
      <c r="M13" s="12">
        <v>53095.402580000002</v>
      </c>
      <c r="N13" s="7">
        <v>1.1189670563</v>
      </c>
      <c r="O13" s="7">
        <v>2</v>
      </c>
      <c r="P13" s="5">
        <v>4</v>
      </c>
      <c r="Q13" s="7">
        <v>21862</v>
      </c>
      <c r="R13" s="7">
        <v>37.093316062213077</v>
      </c>
      <c r="S13" s="7">
        <v>1683.1510952002577</v>
      </c>
      <c r="T13" s="7">
        <v>0</v>
      </c>
    </row>
    <row r="14" spans="2:20" x14ac:dyDescent="0.2">
      <c r="B14" s="47" t="s">
        <v>3</v>
      </c>
      <c r="C14" s="48"/>
      <c r="D14" s="9">
        <f t="shared" ref="D14:K14" si="0">AVERAGE(D4:D13)</f>
        <v>40083.133183999991</v>
      </c>
      <c r="E14" s="22">
        <f>AVERAGE(E4:E13)</f>
        <v>0.78022029399000004</v>
      </c>
      <c r="F14" s="20">
        <f t="shared" si="0"/>
        <v>2.4</v>
      </c>
      <c r="G14" s="11">
        <f t="shared" si="0"/>
        <v>1.9000000042009986</v>
      </c>
      <c r="H14" s="9">
        <f t="shared" si="0"/>
        <v>29624.239999999896</v>
      </c>
      <c r="I14" s="13">
        <f t="shared" si="0"/>
        <v>4.0431305613980983</v>
      </c>
      <c r="J14" s="13">
        <f t="shared" si="0"/>
        <v>1099.7400811851785</v>
      </c>
      <c r="K14" s="11">
        <f t="shared" si="0"/>
        <v>0</v>
      </c>
      <c r="L14" s="16"/>
      <c r="M14" s="16">
        <f t="shared" ref="M14:T14" si="1">AVERAGE(M4:M13)</f>
        <v>42426.836453999997</v>
      </c>
      <c r="N14" s="21">
        <f t="shared" si="1"/>
        <v>0.81070911883999996</v>
      </c>
      <c r="O14" s="18">
        <f t="shared" si="1"/>
        <v>2.6</v>
      </c>
      <c r="P14" s="18">
        <f t="shared" si="1"/>
        <v>3.4000000000000008</v>
      </c>
      <c r="Q14" s="16">
        <f t="shared" si="1"/>
        <v>37964.100000000013</v>
      </c>
      <c r="R14" s="17">
        <f t="shared" si="1"/>
        <v>12.515817296353131</v>
      </c>
      <c r="S14" s="17">
        <f t="shared" si="1"/>
        <v>1232.6856340330924</v>
      </c>
      <c r="T14" s="18">
        <f t="shared" si="1"/>
        <v>0</v>
      </c>
    </row>
  </sheetData>
  <mergeCells count="1">
    <mergeCell ref="B14:C14"/>
  </mergeCells>
  <conditionalFormatting sqref="L1:L1048576">
    <cfRule type="duplicateValues" dxfId="42" priority="1"/>
  </conditionalFormatting>
  <conditionalFormatting sqref="L14">
    <cfRule type="duplicateValues" dxfId="41" priority="2"/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B533B-FEFB-AA49-9042-D8B748AEDC22}">
  <dimension ref="B3:T14"/>
  <sheetViews>
    <sheetView zoomScale="118" zoomScaleNormal="120" workbookViewId="0">
      <selection activeCell="C4" sqref="C4:C13"/>
    </sheetView>
  </sheetViews>
  <sheetFormatPr baseColWidth="10" defaultColWidth="10.83203125" defaultRowHeight="16" x14ac:dyDescent="0.2"/>
  <cols>
    <col min="1" max="1" width="3.83203125" style="1" customWidth="1"/>
    <col min="2" max="2" width="8.1640625" style="1" bestFit="1" customWidth="1"/>
    <col min="3" max="3" width="5.1640625" style="1" bestFit="1" customWidth="1"/>
    <col min="4" max="4" width="16.6640625" style="1" customWidth="1"/>
    <col min="5" max="5" width="9.5" style="1" bestFit="1" customWidth="1"/>
    <col min="6" max="6" width="9.1640625" style="1" bestFit="1" customWidth="1"/>
    <col min="7" max="7" width="13.33203125" style="1" bestFit="1" customWidth="1"/>
    <col min="8" max="8" width="19.33203125" style="1" bestFit="1" customWidth="1"/>
    <col min="9" max="9" width="12" style="1" bestFit="1" customWidth="1"/>
    <col min="10" max="10" width="18.6640625" style="1" bestFit="1" customWidth="1"/>
    <col min="11" max="11" width="6.6640625" style="1" bestFit="1" customWidth="1"/>
    <col min="12" max="12" width="8.6640625" style="1" bestFit="1" customWidth="1"/>
    <col min="13" max="13" width="12.6640625" style="1" bestFit="1" customWidth="1"/>
    <col min="14" max="15" width="10.83203125" style="1"/>
    <col min="16" max="16" width="13.33203125" style="1" bestFit="1" customWidth="1"/>
    <col min="17" max="17" width="19.33203125" style="1" bestFit="1" customWidth="1"/>
    <col min="18" max="18" width="12" style="1" bestFit="1" customWidth="1"/>
    <col min="19" max="19" width="18" style="1" bestFit="1" customWidth="1"/>
    <col min="20" max="16384" width="10.83203125" style="1"/>
  </cols>
  <sheetData>
    <row r="3" spans="2:20" x14ac:dyDescent="0.2">
      <c r="B3" s="8" t="s">
        <v>7</v>
      </c>
      <c r="C3" s="8" t="s">
        <v>4</v>
      </c>
      <c r="D3" s="8" t="s">
        <v>0</v>
      </c>
      <c r="E3" s="8" t="s">
        <v>5</v>
      </c>
      <c r="F3" s="8" t="s">
        <v>12</v>
      </c>
      <c r="G3" s="8" t="s">
        <v>8</v>
      </c>
      <c r="H3" s="8" t="s">
        <v>9</v>
      </c>
      <c r="I3" s="8" t="s">
        <v>11</v>
      </c>
      <c r="J3" s="8" t="s">
        <v>10</v>
      </c>
      <c r="K3" s="8" t="s">
        <v>1</v>
      </c>
      <c r="L3" s="15" t="s">
        <v>13</v>
      </c>
      <c r="M3" s="15" t="s">
        <v>0</v>
      </c>
      <c r="N3" s="15" t="s">
        <v>5</v>
      </c>
      <c r="O3" s="15" t="s">
        <v>12</v>
      </c>
      <c r="P3" s="15" t="s">
        <v>8</v>
      </c>
      <c r="Q3" s="15" t="s">
        <v>9</v>
      </c>
      <c r="R3" s="15" t="s">
        <v>11</v>
      </c>
      <c r="S3" s="15" t="s">
        <v>10</v>
      </c>
      <c r="T3" s="15" t="s">
        <v>1</v>
      </c>
    </row>
    <row r="4" spans="2:20" x14ac:dyDescent="0.2">
      <c r="B4" s="4">
        <v>1</v>
      </c>
      <c r="C4" s="4">
        <v>23</v>
      </c>
      <c r="D4" s="12">
        <v>52142.065519999996</v>
      </c>
      <c r="E4" s="7">
        <v>0.1030950546</v>
      </c>
      <c r="F4" s="7">
        <v>2</v>
      </c>
      <c r="G4" s="5">
        <v>6</v>
      </c>
      <c r="H4" s="7">
        <v>26948</v>
      </c>
      <c r="I4" s="7">
        <v>0</v>
      </c>
      <c r="J4" s="7">
        <v>820.82073897384237</v>
      </c>
      <c r="K4" s="7">
        <v>0</v>
      </c>
      <c r="L4" s="23">
        <v>174</v>
      </c>
      <c r="M4" s="25">
        <v>46376.714399999997</v>
      </c>
      <c r="N4" s="26">
        <v>0.12319397930000001</v>
      </c>
      <c r="O4" s="26">
        <v>3</v>
      </c>
      <c r="P4" s="27">
        <v>7</v>
      </c>
      <c r="Q4" s="26">
        <v>37670</v>
      </c>
      <c r="R4" s="26">
        <v>0</v>
      </c>
      <c r="S4" s="26">
        <v>532.8009888212016</v>
      </c>
      <c r="T4" s="26">
        <v>0</v>
      </c>
    </row>
    <row r="5" spans="2:20" x14ac:dyDescent="0.2">
      <c r="B5" s="4">
        <v>2</v>
      </c>
      <c r="C5" s="4">
        <v>822</v>
      </c>
      <c r="D5" s="12">
        <v>44815.047059999997</v>
      </c>
      <c r="E5" s="7">
        <v>4.0691137299999999E-2</v>
      </c>
      <c r="F5" s="7">
        <v>2</v>
      </c>
      <c r="G5" s="5">
        <v>6</v>
      </c>
      <c r="H5" s="7">
        <v>26501.199999999997</v>
      </c>
      <c r="I5" s="7">
        <v>0</v>
      </c>
      <c r="J5" s="7">
        <v>481.73381898615389</v>
      </c>
      <c r="K5" s="7">
        <v>0</v>
      </c>
      <c r="L5" s="23">
        <v>321</v>
      </c>
      <c r="M5" s="25">
        <v>55309.047680000003</v>
      </c>
      <c r="N5" s="26">
        <v>0.55826282500000002</v>
      </c>
      <c r="O5" s="26">
        <v>3</v>
      </c>
      <c r="P5" s="27">
        <v>6</v>
      </c>
      <c r="Q5" s="26">
        <v>37067</v>
      </c>
      <c r="R5" s="26">
        <v>0</v>
      </c>
      <c r="S5" s="26">
        <v>1197.553391911581</v>
      </c>
      <c r="T5" s="26">
        <v>0</v>
      </c>
    </row>
    <row r="6" spans="2:20" x14ac:dyDescent="0.2">
      <c r="B6" s="4">
        <v>3</v>
      </c>
      <c r="C6" s="4">
        <v>295</v>
      </c>
      <c r="D6" s="12">
        <v>65679.023190000007</v>
      </c>
      <c r="E6" s="7">
        <v>6.7169904700000005E-2</v>
      </c>
      <c r="F6" s="7">
        <v>2</v>
      </c>
      <c r="G6" s="5">
        <v>7</v>
      </c>
      <c r="H6" s="7">
        <v>39433</v>
      </c>
      <c r="I6" s="7">
        <v>0</v>
      </c>
      <c r="J6" s="7">
        <v>723.67727947313438</v>
      </c>
      <c r="K6" s="7">
        <v>0</v>
      </c>
      <c r="L6" s="23">
        <v>570</v>
      </c>
      <c r="M6" s="25">
        <v>35444.092799999999</v>
      </c>
      <c r="N6" s="26">
        <v>8.6477041199999993E-2</v>
      </c>
      <c r="O6" s="26">
        <v>2</v>
      </c>
      <c r="P6" s="27">
        <v>5</v>
      </c>
      <c r="Q6" s="26">
        <v>42529</v>
      </c>
      <c r="R6" s="26">
        <v>0</v>
      </c>
      <c r="S6" s="26">
        <v>500.52157066627814</v>
      </c>
      <c r="T6" s="26">
        <v>0</v>
      </c>
    </row>
    <row r="7" spans="2:20" x14ac:dyDescent="0.2">
      <c r="B7" s="4">
        <v>4</v>
      </c>
      <c r="C7" s="4">
        <v>335</v>
      </c>
      <c r="D7" s="12">
        <v>60566.147680000002</v>
      </c>
      <c r="E7" s="7">
        <v>3.9829015699999998E-2</v>
      </c>
      <c r="F7" s="7">
        <v>2</v>
      </c>
      <c r="G7" s="5">
        <v>8</v>
      </c>
      <c r="H7" s="7">
        <v>31259</v>
      </c>
      <c r="I7" s="7">
        <v>0</v>
      </c>
      <c r="J7" s="7">
        <v>559.69421196765393</v>
      </c>
      <c r="K7" s="7">
        <v>0</v>
      </c>
      <c r="L7" s="23">
        <v>593</v>
      </c>
      <c r="M7" s="25">
        <v>51940.025970000002</v>
      </c>
      <c r="N7" s="26">
        <v>5.7708978700000003E-2</v>
      </c>
      <c r="O7" s="26">
        <v>2</v>
      </c>
      <c r="P7" s="27">
        <v>9</v>
      </c>
      <c r="Q7" s="26">
        <v>51307</v>
      </c>
      <c r="R7" s="26">
        <v>0</v>
      </c>
      <c r="S7" s="26">
        <v>335.3938861943135</v>
      </c>
      <c r="T7" s="26">
        <v>0</v>
      </c>
    </row>
    <row r="8" spans="2:20" x14ac:dyDescent="0.2">
      <c r="B8" s="4">
        <v>5</v>
      </c>
      <c r="C8" s="4">
        <v>434</v>
      </c>
      <c r="D8" s="12">
        <v>34595.617129999999</v>
      </c>
      <c r="E8" s="7">
        <v>2.5415897400000002E-2</v>
      </c>
      <c r="F8" s="7">
        <v>2</v>
      </c>
      <c r="G8" s="5">
        <v>4</v>
      </c>
      <c r="H8" s="7">
        <v>27133</v>
      </c>
      <c r="I8" s="7">
        <v>0</v>
      </c>
      <c r="J8" s="7">
        <v>601.76154304067143</v>
      </c>
      <c r="K8" s="7">
        <v>0</v>
      </c>
      <c r="L8" s="23">
        <v>853</v>
      </c>
      <c r="M8" s="25">
        <v>49075.273820000002</v>
      </c>
      <c r="N8" s="26">
        <v>3.3874988600000003E-2</v>
      </c>
      <c r="O8" s="26">
        <v>2</v>
      </c>
      <c r="P8" s="27">
        <v>5</v>
      </c>
      <c r="Q8" s="26">
        <v>27910</v>
      </c>
      <c r="R8" s="26">
        <v>0.65715112762227346</v>
      </c>
      <c r="S8" s="26">
        <v>1191.1100846764975</v>
      </c>
      <c r="T8" s="26">
        <v>0</v>
      </c>
    </row>
    <row r="9" spans="2:20" x14ac:dyDescent="0.2">
      <c r="B9" s="4">
        <v>6</v>
      </c>
      <c r="C9" s="4">
        <v>451</v>
      </c>
      <c r="D9" s="12">
        <v>47810.301240000001</v>
      </c>
      <c r="E9" s="7">
        <v>5.5293083200000002E-2</v>
      </c>
      <c r="F9" s="7">
        <v>2</v>
      </c>
      <c r="G9" s="5">
        <v>4</v>
      </c>
      <c r="H9" s="7">
        <v>19197</v>
      </c>
      <c r="I9" s="7">
        <v>0.50059439299595854</v>
      </c>
      <c r="J9" s="7">
        <v>1014.401182253735</v>
      </c>
      <c r="K9" s="7">
        <v>0</v>
      </c>
      <c r="L9" s="23">
        <v>741</v>
      </c>
      <c r="M9" s="25">
        <v>53437.990870000001</v>
      </c>
      <c r="N9" s="26">
        <v>0.66083407400000005</v>
      </c>
      <c r="O9" s="26">
        <v>3</v>
      </c>
      <c r="P9" s="27">
        <v>5</v>
      </c>
      <c r="Q9" s="26">
        <v>35080</v>
      </c>
      <c r="R9" s="26">
        <v>0</v>
      </c>
      <c r="S9" s="26">
        <v>1350.3932416445925</v>
      </c>
      <c r="T9" s="26">
        <v>0</v>
      </c>
    </row>
    <row r="10" spans="2:20" x14ac:dyDescent="0.2">
      <c r="B10" s="4">
        <v>7</v>
      </c>
      <c r="C10" s="4">
        <v>599</v>
      </c>
      <c r="D10" s="12">
        <v>50459.225639999997</v>
      </c>
      <c r="E10" s="7">
        <v>6.5841913200000005E-2</v>
      </c>
      <c r="F10" s="7">
        <v>2</v>
      </c>
      <c r="G10" s="5">
        <v>7</v>
      </c>
      <c r="H10" s="7">
        <v>25925.200000000001</v>
      </c>
      <c r="I10" s="7">
        <v>0</v>
      </c>
      <c r="J10" s="7">
        <v>556.35364595905639</v>
      </c>
      <c r="K10" s="7">
        <v>0</v>
      </c>
      <c r="L10" s="23">
        <v>686</v>
      </c>
      <c r="M10" s="25">
        <v>40518.737110000002</v>
      </c>
      <c r="N10" s="26">
        <v>8.0873012499999994E-2</v>
      </c>
      <c r="O10" s="26">
        <v>2</v>
      </c>
      <c r="P10" s="27">
        <v>4</v>
      </c>
      <c r="Q10" s="26">
        <v>29578</v>
      </c>
      <c r="R10" s="26">
        <v>4.8394634277506947</v>
      </c>
      <c r="S10" s="26">
        <v>961.87695342344011</v>
      </c>
      <c r="T10" s="26">
        <v>0</v>
      </c>
    </row>
    <row r="11" spans="2:20" x14ac:dyDescent="0.2">
      <c r="B11" s="4">
        <v>8</v>
      </c>
      <c r="C11" s="4">
        <v>657</v>
      </c>
      <c r="D11" s="12">
        <v>70422.664600000004</v>
      </c>
      <c r="E11" s="7">
        <v>0.14296388630000001</v>
      </c>
      <c r="F11" s="7">
        <v>2</v>
      </c>
      <c r="G11" s="5">
        <v>8</v>
      </c>
      <c r="H11" s="7">
        <v>31461</v>
      </c>
      <c r="I11" s="7">
        <v>14.636906567233833</v>
      </c>
      <c r="J11" s="7">
        <v>884.81314457847054</v>
      </c>
      <c r="K11" s="7">
        <v>0</v>
      </c>
      <c r="L11" s="23">
        <v>803</v>
      </c>
      <c r="M11" s="25">
        <v>46447.69225</v>
      </c>
      <c r="N11" s="26">
        <v>0.24909377099999999</v>
      </c>
      <c r="O11" s="26">
        <v>3</v>
      </c>
      <c r="P11" s="27">
        <v>5</v>
      </c>
      <c r="Q11" s="26">
        <v>28066</v>
      </c>
      <c r="R11" s="26">
        <v>11.489901341145636</v>
      </c>
      <c r="S11" s="26">
        <v>1015.6875447726965</v>
      </c>
      <c r="T11" s="26">
        <v>0</v>
      </c>
    </row>
    <row r="12" spans="2:20" x14ac:dyDescent="0.2">
      <c r="B12" s="4">
        <v>9</v>
      </c>
      <c r="C12" s="4">
        <v>499</v>
      </c>
      <c r="D12" s="12">
        <v>58636.261460000002</v>
      </c>
      <c r="E12" s="7">
        <v>5.3021907799999997E-2</v>
      </c>
      <c r="F12" s="7">
        <v>2</v>
      </c>
      <c r="G12" s="5">
        <v>7</v>
      </c>
      <c r="H12" s="7">
        <v>23998.2</v>
      </c>
      <c r="I12" s="7">
        <v>0</v>
      </c>
      <c r="J12" s="7">
        <v>692.94010706439963</v>
      </c>
      <c r="K12" s="7">
        <v>0</v>
      </c>
      <c r="L12" s="23">
        <v>930</v>
      </c>
      <c r="M12" s="25">
        <v>48120.658779999998</v>
      </c>
      <c r="N12" s="26">
        <v>6.8506002400000002E-2</v>
      </c>
      <c r="O12" s="26">
        <v>2</v>
      </c>
      <c r="P12" s="27">
        <v>5</v>
      </c>
      <c r="Q12" s="26">
        <v>28819</v>
      </c>
      <c r="R12" s="26">
        <v>13.830892170767148</v>
      </c>
      <c r="S12" s="26">
        <v>1062.7793576263819</v>
      </c>
      <c r="T12" s="26">
        <v>0</v>
      </c>
    </row>
    <row r="13" spans="2:20" x14ac:dyDescent="0.2">
      <c r="B13" s="4">
        <v>10</v>
      </c>
      <c r="C13" s="4">
        <v>184</v>
      </c>
      <c r="D13" s="12">
        <v>56051.600570000002</v>
      </c>
      <c r="E13" s="7">
        <v>1.7492055900000001E-2</v>
      </c>
      <c r="F13" s="7">
        <v>2</v>
      </c>
      <c r="G13" s="5">
        <v>6</v>
      </c>
      <c r="H13" s="7">
        <v>29688</v>
      </c>
      <c r="I13" s="7">
        <v>0</v>
      </c>
      <c r="J13" s="7">
        <v>640.68494075710566</v>
      </c>
      <c r="K13" s="7">
        <v>0</v>
      </c>
      <c r="L13" s="23">
        <v>955</v>
      </c>
      <c r="M13" s="25">
        <v>48854.910340000002</v>
      </c>
      <c r="N13" s="26">
        <v>0.31390714650000001</v>
      </c>
      <c r="O13" s="26">
        <v>3</v>
      </c>
      <c r="P13" s="27">
        <v>7</v>
      </c>
      <c r="Q13" s="26">
        <v>37048</v>
      </c>
      <c r="R13" s="26">
        <v>0</v>
      </c>
      <c r="S13" s="26">
        <v>688.84858107875812</v>
      </c>
      <c r="T13" s="26">
        <v>0</v>
      </c>
    </row>
    <row r="14" spans="2:20" x14ac:dyDescent="0.2">
      <c r="B14" s="47" t="s">
        <v>3</v>
      </c>
      <c r="C14" s="48"/>
      <c r="D14" s="9">
        <f t="shared" ref="D14:K14" si="0">AVERAGE(D4:D13)</f>
        <v>54117.795408999998</v>
      </c>
      <c r="E14" s="22">
        <f>AVERAGE(E4:E13)</f>
        <v>6.1081385610000004E-2</v>
      </c>
      <c r="F14" s="20">
        <f t="shared" si="0"/>
        <v>2</v>
      </c>
      <c r="G14" s="11">
        <f t="shared" si="0"/>
        <v>6.3</v>
      </c>
      <c r="H14" s="9">
        <f t="shared" si="0"/>
        <v>28154.360000000004</v>
      </c>
      <c r="I14" s="13">
        <f t="shared" si="0"/>
        <v>1.5137500960229793</v>
      </c>
      <c r="J14" s="13">
        <f t="shared" si="0"/>
        <v>697.68806130542214</v>
      </c>
      <c r="K14" s="11">
        <f t="shared" si="0"/>
        <v>0</v>
      </c>
      <c r="L14" s="16"/>
      <c r="M14" s="16">
        <f t="shared" ref="M14:T14" si="1">AVERAGE(M4:M13)</f>
        <v>47552.514402000001</v>
      </c>
      <c r="N14" s="21">
        <f t="shared" si="1"/>
        <v>0.22327318192000001</v>
      </c>
      <c r="O14" s="18">
        <f t="shared" si="1"/>
        <v>2.5</v>
      </c>
      <c r="P14" s="18">
        <f t="shared" si="1"/>
        <v>5.8</v>
      </c>
      <c r="Q14" s="16">
        <f t="shared" si="1"/>
        <v>35507.4</v>
      </c>
      <c r="R14" s="17">
        <f t="shared" si="1"/>
        <v>3.0817408067285754</v>
      </c>
      <c r="S14" s="17">
        <f t="shared" si="1"/>
        <v>883.69656008157403</v>
      </c>
      <c r="T14" s="18">
        <f t="shared" si="1"/>
        <v>0</v>
      </c>
    </row>
  </sheetData>
  <mergeCells count="1">
    <mergeCell ref="B14:C14"/>
  </mergeCells>
  <conditionalFormatting sqref="L1:L1048576">
    <cfRule type="duplicateValues" dxfId="40" priority="1"/>
  </conditionalFormatting>
  <conditionalFormatting sqref="L14">
    <cfRule type="duplicateValues" dxfId="39" priority="2"/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743F-C517-DD43-98FD-27036BD8C585}">
  <dimension ref="B3:T14"/>
  <sheetViews>
    <sheetView zoomScale="118" zoomScaleNormal="120" workbookViewId="0">
      <selection activeCell="C4" sqref="C4:C13"/>
    </sheetView>
  </sheetViews>
  <sheetFormatPr baseColWidth="10" defaultColWidth="10.83203125" defaultRowHeight="16" x14ac:dyDescent="0.2"/>
  <cols>
    <col min="1" max="1" width="3.83203125" style="1" customWidth="1"/>
    <col min="2" max="2" width="8.1640625" style="1" bestFit="1" customWidth="1"/>
    <col min="3" max="3" width="5.1640625" style="1" bestFit="1" customWidth="1"/>
    <col min="4" max="4" width="16.6640625" style="1" customWidth="1"/>
    <col min="5" max="5" width="9.5" style="1" bestFit="1" customWidth="1"/>
    <col min="6" max="6" width="9.1640625" style="1" bestFit="1" customWidth="1"/>
    <col min="7" max="7" width="13.33203125" style="1" bestFit="1" customWidth="1"/>
    <col min="8" max="8" width="19.33203125" style="1" bestFit="1" customWidth="1"/>
    <col min="9" max="9" width="12" style="1" bestFit="1" customWidth="1"/>
    <col min="10" max="10" width="18.6640625" style="1" bestFit="1" customWidth="1"/>
    <col min="11" max="11" width="7.6640625" style="1" customWidth="1"/>
    <col min="12" max="12" width="8.6640625" style="1" bestFit="1" customWidth="1"/>
    <col min="13" max="13" width="12.6640625" style="1" bestFit="1" customWidth="1"/>
    <col min="14" max="15" width="10.83203125" style="1"/>
    <col min="16" max="16" width="13.33203125" style="1" bestFit="1" customWidth="1"/>
    <col min="17" max="17" width="19.33203125" style="1" bestFit="1" customWidth="1"/>
    <col min="18" max="18" width="12" style="1" bestFit="1" customWidth="1"/>
    <col min="19" max="19" width="18" style="1" bestFit="1" customWidth="1"/>
    <col min="20" max="16384" width="10.83203125" style="1"/>
  </cols>
  <sheetData>
    <row r="3" spans="2:20" x14ac:dyDescent="0.2">
      <c r="B3" s="8" t="s">
        <v>7</v>
      </c>
      <c r="C3" s="8" t="s">
        <v>4</v>
      </c>
      <c r="D3" s="8" t="s">
        <v>0</v>
      </c>
      <c r="E3" s="8" t="s">
        <v>5</v>
      </c>
      <c r="F3" s="8" t="s">
        <v>12</v>
      </c>
      <c r="G3" s="8" t="s">
        <v>8</v>
      </c>
      <c r="H3" s="8" t="s">
        <v>9</v>
      </c>
      <c r="I3" s="8" t="s">
        <v>11</v>
      </c>
      <c r="J3" s="8" t="s">
        <v>10</v>
      </c>
      <c r="K3" s="8" t="s">
        <v>1</v>
      </c>
      <c r="L3" s="15" t="s">
        <v>13</v>
      </c>
      <c r="M3" s="15" t="s">
        <v>0</v>
      </c>
      <c r="N3" s="15" t="s">
        <v>5</v>
      </c>
      <c r="O3" s="15" t="s">
        <v>12</v>
      </c>
      <c r="P3" s="15" t="s">
        <v>8</v>
      </c>
      <c r="Q3" s="15" t="s">
        <v>9</v>
      </c>
      <c r="R3" s="15" t="s">
        <v>11</v>
      </c>
      <c r="S3" s="15" t="s">
        <v>10</v>
      </c>
      <c r="T3" s="15" t="s">
        <v>1</v>
      </c>
    </row>
    <row r="4" spans="2:20" x14ac:dyDescent="0.2">
      <c r="B4" s="4">
        <v>1</v>
      </c>
      <c r="C4" s="4">
        <v>18</v>
      </c>
      <c r="D4" s="12">
        <v>28059.453750000001</v>
      </c>
      <c r="E4" s="7">
        <v>0.16861200330000001</v>
      </c>
      <c r="F4" s="7">
        <v>3</v>
      </c>
      <c r="G4" s="5">
        <v>1</v>
      </c>
      <c r="H4" s="7">
        <v>27805.8</v>
      </c>
      <c r="I4" s="7">
        <v>0</v>
      </c>
      <c r="J4" s="7">
        <v>790.54560829015895</v>
      </c>
      <c r="K4" s="7">
        <v>0</v>
      </c>
      <c r="L4" s="23">
        <v>173</v>
      </c>
      <c r="M4" s="12">
        <v>24992.71243</v>
      </c>
      <c r="N4" s="7">
        <v>4.7358989716000002</v>
      </c>
      <c r="O4" s="7">
        <v>4</v>
      </c>
      <c r="P4" s="5">
        <v>1</v>
      </c>
      <c r="Q4" s="7">
        <v>54646.400000000023</v>
      </c>
      <c r="R4" s="7">
        <v>0</v>
      </c>
      <c r="S4" s="7">
        <v>963.19520894817765</v>
      </c>
      <c r="T4" s="7">
        <v>0</v>
      </c>
    </row>
    <row r="5" spans="2:20" x14ac:dyDescent="0.2">
      <c r="B5" s="4">
        <v>2</v>
      </c>
      <c r="C5" s="4">
        <v>267</v>
      </c>
      <c r="D5" s="12">
        <v>21092.676869999999</v>
      </c>
      <c r="E5" s="7">
        <v>0.32249593729999998</v>
      </c>
      <c r="F5" s="7">
        <v>3</v>
      </c>
      <c r="G5" s="5">
        <v>0</v>
      </c>
      <c r="H5" s="7">
        <v>15856.8</v>
      </c>
      <c r="I5" s="7">
        <v>0</v>
      </c>
      <c r="J5" s="7">
        <v>759.24820190108244</v>
      </c>
      <c r="K5" s="7">
        <v>0</v>
      </c>
      <c r="L5" s="23">
        <v>195</v>
      </c>
      <c r="M5" s="12">
        <v>29160.414629999999</v>
      </c>
      <c r="N5" s="7">
        <v>16.652752876299999</v>
      </c>
      <c r="O5" s="7">
        <v>4</v>
      </c>
      <c r="P5" s="5">
        <v>1.0000000000323972</v>
      </c>
      <c r="Q5" s="7">
        <v>45934</v>
      </c>
      <c r="R5" s="7">
        <v>0</v>
      </c>
      <c r="S5" s="7">
        <v>1179.224490484522</v>
      </c>
      <c r="T5" s="7">
        <v>0</v>
      </c>
    </row>
    <row r="6" spans="2:20" x14ac:dyDescent="0.2">
      <c r="B6" s="4">
        <v>3</v>
      </c>
      <c r="C6" s="4">
        <v>531</v>
      </c>
      <c r="D6" s="12">
        <v>37352.616349999997</v>
      </c>
      <c r="E6" s="7">
        <v>2.4240016900000001E-2</v>
      </c>
      <c r="F6" s="7">
        <v>3</v>
      </c>
      <c r="G6" s="5">
        <v>1</v>
      </c>
      <c r="H6" s="7">
        <v>25219.4</v>
      </c>
      <c r="I6" s="7">
        <v>7.2602753815578449</v>
      </c>
      <c r="J6" s="7">
        <v>1260.5607349174684</v>
      </c>
      <c r="K6" s="7">
        <v>3.5699999999999998E-3</v>
      </c>
      <c r="L6" s="23">
        <v>529</v>
      </c>
      <c r="M6" s="12">
        <v>23672.9866</v>
      </c>
      <c r="N6" s="7">
        <v>2.0231149196999998</v>
      </c>
      <c r="O6" s="7">
        <v>3</v>
      </c>
      <c r="P6" s="5">
        <v>0</v>
      </c>
      <c r="Q6" s="7">
        <v>44262.199999999961</v>
      </c>
      <c r="R6" s="7">
        <v>0</v>
      </c>
      <c r="S6" s="7">
        <v>1131.9283960202195</v>
      </c>
      <c r="T6" s="7">
        <v>0</v>
      </c>
    </row>
    <row r="7" spans="2:20" x14ac:dyDescent="0.2">
      <c r="B7" s="4">
        <v>4</v>
      </c>
      <c r="C7" s="4">
        <v>592</v>
      </c>
      <c r="D7" s="12">
        <v>42182.919719999998</v>
      </c>
      <c r="E7" s="7">
        <v>5.7106978893000004</v>
      </c>
      <c r="F7" s="7">
        <v>3</v>
      </c>
      <c r="G7" s="5">
        <v>3</v>
      </c>
      <c r="H7" s="7">
        <v>31192</v>
      </c>
      <c r="I7" s="7">
        <v>0</v>
      </c>
      <c r="J7" s="7">
        <v>865.9886385849062</v>
      </c>
      <c r="K7" s="7">
        <v>0</v>
      </c>
      <c r="L7" s="23">
        <v>251</v>
      </c>
      <c r="M7" s="12">
        <v>26957.236440000001</v>
      </c>
      <c r="N7" s="7">
        <v>0.1311349869</v>
      </c>
      <c r="O7" s="7">
        <v>3</v>
      </c>
      <c r="P7" s="5">
        <v>1</v>
      </c>
      <c r="Q7" s="7">
        <v>41297</v>
      </c>
      <c r="R7" s="7">
        <v>0</v>
      </c>
      <c r="S7" s="7">
        <v>1014.00576120863</v>
      </c>
      <c r="T7" s="7">
        <v>0</v>
      </c>
    </row>
    <row r="8" spans="2:20" x14ac:dyDescent="0.2">
      <c r="B8" s="4">
        <v>5</v>
      </c>
      <c r="C8" s="4">
        <v>227</v>
      </c>
      <c r="D8" s="12">
        <v>26328.817070000001</v>
      </c>
      <c r="E8" s="7">
        <v>0.20419287680000001</v>
      </c>
      <c r="F8" s="7">
        <v>3</v>
      </c>
      <c r="G8" s="5">
        <v>1</v>
      </c>
      <c r="H8" s="7">
        <v>19782</v>
      </c>
      <c r="I8" s="7">
        <v>0</v>
      </c>
      <c r="J8" s="7">
        <v>633.91387377054139</v>
      </c>
      <c r="K8" s="7">
        <v>0</v>
      </c>
      <c r="L8" s="23">
        <v>291</v>
      </c>
      <c r="M8" s="12">
        <v>32374.919180000001</v>
      </c>
      <c r="N8" s="7">
        <v>0.10121989250000001</v>
      </c>
      <c r="O8" s="7">
        <v>3</v>
      </c>
      <c r="P8" s="5">
        <v>1</v>
      </c>
      <c r="Q8" s="7">
        <v>45078</v>
      </c>
      <c r="R8" s="7">
        <v>6.4113845111222547</v>
      </c>
      <c r="S8" s="7">
        <v>1279.0033123146122</v>
      </c>
      <c r="T8" s="7">
        <v>0</v>
      </c>
    </row>
    <row r="9" spans="2:20" x14ac:dyDescent="0.2">
      <c r="B9" s="4">
        <v>6</v>
      </c>
      <c r="C9" s="4">
        <v>774</v>
      </c>
      <c r="D9" s="12">
        <v>36127.159659999998</v>
      </c>
      <c r="E9" s="7">
        <v>0.13639998440000001</v>
      </c>
      <c r="F9" s="7">
        <v>3</v>
      </c>
      <c r="G9" s="5">
        <v>0</v>
      </c>
      <c r="H9" s="7">
        <v>20351</v>
      </c>
      <c r="I9" s="7">
        <v>0</v>
      </c>
      <c r="J9" s="7">
        <v>1401.5523805533617</v>
      </c>
      <c r="K9" s="7">
        <v>0</v>
      </c>
      <c r="L9" s="23">
        <v>632</v>
      </c>
      <c r="M9" s="12">
        <v>24897.6351</v>
      </c>
      <c r="N9" s="7">
        <v>0.12747597690000001</v>
      </c>
      <c r="O9" s="7">
        <v>3</v>
      </c>
      <c r="P9" s="5">
        <v>2</v>
      </c>
      <c r="Q9" s="7">
        <v>49769</v>
      </c>
      <c r="R9" s="7">
        <v>0</v>
      </c>
      <c r="S9" s="7">
        <v>704.44179256975269</v>
      </c>
      <c r="T9" s="7">
        <v>0</v>
      </c>
    </row>
    <row r="10" spans="2:20" x14ac:dyDescent="0.2">
      <c r="B10" s="4">
        <v>7</v>
      </c>
      <c r="C10" s="4">
        <v>163</v>
      </c>
      <c r="D10" s="12">
        <v>49630.814230000004</v>
      </c>
      <c r="E10" s="7">
        <v>1.4427778721</v>
      </c>
      <c r="F10" s="7">
        <v>4</v>
      </c>
      <c r="G10" s="5">
        <v>3</v>
      </c>
      <c r="H10" s="7">
        <v>42420</v>
      </c>
      <c r="I10" s="7">
        <v>0</v>
      </c>
      <c r="J10" s="7">
        <v>1130.6839049303542</v>
      </c>
      <c r="K10" s="7">
        <v>0</v>
      </c>
      <c r="L10" s="23">
        <v>978</v>
      </c>
      <c r="M10" s="12">
        <v>25831.67253</v>
      </c>
      <c r="N10" s="7">
        <v>2.9589869975999998</v>
      </c>
      <c r="O10" s="7">
        <v>3</v>
      </c>
      <c r="P10" s="5">
        <v>0</v>
      </c>
      <c r="Q10" s="7">
        <v>38660</v>
      </c>
      <c r="R10" s="7">
        <v>3.7140788101714408</v>
      </c>
      <c r="S10" s="7">
        <v>1195.3435963208308</v>
      </c>
      <c r="T10" s="7">
        <v>0</v>
      </c>
    </row>
    <row r="11" spans="2:20" x14ac:dyDescent="0.2">
      <c r="B11" s="4">
        <v>8</v>
      </c>
      <c r="C11" s="4">
        <v>776</v>
      </c>
      <c r="D11" s="12">
        <v>19317.009740000001</v>
      </c>
      <c r="E11" s="7">
        <v>6.1023950600000001E-2</v>
      </c>
      <c r="F11" s="7">
        <v>3</v>
      </c>
      <c r="G11" s="5">
        <v>0</v>
      </c>
      <c r="H11" s="7">
        <v>17467.599999999977</v>
      </c>
      <c r="I11" s="7">
        <v>0</v>
      </c>
      <c r="J11" s="7">
        <v>603.75595118465242</v>
      </c>
      <c r="K11" s="7">
        <v>0</v>
      </c>
      <c r="L11" s="23">
        <v>623</v>
      </c>
      <c r="M11" s="12">
        <v>32949.11419</v>
      </c>
      <c r="N11" s="7">
        <v>0.33181500429999999</v>
      </c>
      <c r="O11" s="7">
        <v>3</v>
      </c>
      <c r="P11" s="5">
        <v>1</v>
      </c>
      <c r="Q11" s="7">
        <v>40703</v>
      </c>
      <c r="R11" s="7">
        <v>33.185906160520076</v>
      </c>
      <c r="S11" s="7">
        <v>1310.2492726679125</v>
      </c>
      <c r="T11" s="7">
        <v>0</v>
      </c>
    </row>
    <row r="12" spans="2:20" x14ac:dyDescent="0.2">
      <c r="B12" s="4">
        <v>9</v>
      </c>
      <c r="C12" s="4">
        <v>856</v>
      </c>
      <c r="D12" s="12">
        <v>58845.550600000002</v>
      </c>
      <c r="E12" s="7">
        <v>6.7942180633999998</v>
      </c>
      <c r="F12" s="7">
        <v>6</v>
      </c>
      <c r="G12" s="5">
        <v>3</v>
      </c>
      <c r="H12" s="7">
        <v>35981.400000000023</v>
      </c>
      <c r="I12" s="7">
        <v>13.157741781463756</v>
      </c>
      <c r="J12" s="7">
        <v>1305.4062997517517</v>
      </c>
      <c r="K12" s="7">
        <v>0</v>
      </c>
      <c r="L12" s="23">
        <v>275</v>
      </c>
      <c r="M12" s="12">
        <v>25753.2264</v>
      </c>
      <c r="N12" s="7">
        <v>1.2466590405</v>
      </c>
      <c r="O12" s="7">
        <v>3</v>
      </c>
      <c r="P12" s="5">
        <v>2</v>
      </c>
      <c r="Q12" s="7">
        <v>45243</v>
      </c>
      <c r="R12" s="7">
        <v>0</v>
      </c>
      <c r="S12" s="7">
        <v>750.77191543798392</v>
      </c>
      <c r="T12" s="7">
        <v>0</v>
      </c>
    </row>
    <row r="13" spans="2:20" x14ac:dyDescent="0.2">
      <c r="B13" s="4">
        <v>10</v>
      </c>
      <c r="C13" s="4">
        <v>977</v>
      </c>
      <c r="D13" s="12">
        <v>32779.698129999997</v>
      </c>
      <c r="E13" s="7">
        <v>0.94311881070000003</v>
      </c>
      <c r="F13" s="7">
        <v>3</v>
      </c>
      <c r="G13" s="5">
        <v>3</v>
      </c>
      <c r="H13" s="7">
        <v>22884.40000000002</v>
      </c>
      <c r="I13" s="7">
        <v>0</v>
      </c>
      <c r="J13" s="7">
        <v>664.74237374217296</v>
      </c>
      <c r="K13" s="7">
        <v>0</v>
      </c>
      <c r="L13" s="23">
        <v>139</v>
      </c>
      <c r="M13" s="12">
        <v>44193.566019999998</v>
      </c>
      <c r="N13" s="7">
        <v>4.4924261569999997</v>
      </c>
      <c r="O13" s="7">
        <v>6</v>
      </c>
      <c r="P13" s="5">
        <v>6</v>
      </c>
      <c r="Q13" s="7">
        <v>61647.599999999853</v>
      </c>
      <c r="R13" s="7">
        <v>0</v>
      </c>
      <c r="S13" s="7">
        <v>726.85347478175242</v>
      </c>
      <c r="T13" s="7">
        <v>0</v>
      </c>
    </row>
    <row r="14" spans="2:20" x14ac:dyDescent="0.2">
      <c r="B14" s="47" t="s">
        <v>3</v>
      </c>
      <c r="C14" s="48"/>
      <c r="D14" s="9">
        <f t="shared" ref="D14:K14" si="0">AVERAGE(D4:D13)</f>
        <v>35171.671611999998</v>
      </c>
      <c r="E14" s="22">
        <f>AVERAGE(E4:E13)</f>
        <v>1.5807777404799999</v>
      </c>
      <c r="F14" s="20">
        <f t="shared" si="0"/>
        <v>3.4</v>
      </c>
      <c r="G14" s="11">
        <f t="shared" si="0"/>
        <v>1.5</v>
      </c>
      <c r="H14" s="9">
        <f t="shared" si="0"/>
        <v>25896.04</v>
      </c>
      <c r="I14" s="13">
        <f t="shared" si="0"/>
        <v>2.0418017163021602</v>
      </c>
      <c r="J14" s="13">
        <f t="shared" si="0"/>
        <v>941.63979676264501</v>
      </c>
      <c r="K14" s="10">
        <f t="shared" si="0"/>
        <v>3.57E-4</v>
      </c>
      <c r="L14" s="16"/>
      <c r="M14" s="16">
        <f t="shared" ref="M14:T14" si="1">AVERAGE(M4:M13)</f>
        <v>29078.348352000001</v>
      </c>
      <c r="N14" s="21">
        <f t="shared" si="1"/>
        <v>3.28014848233</v>
      </c>
      <c r="O14" s="18">
        <f t="shared" si="1"/>
        <v>3.5</v>
      </c>
      <c r="P14" s="18">
        <f t="shared" si="1"/>
        <v>1.5000000000032396</v>
      </c>
      <c r="Q14" s="16">
        <f t="shared" si="1"/>
        <v>46724.019999999982</v>
      </c>
      <c r="R14" s="17">
        <f t="shared" si="1"/>
        <v>4.3311369481813768</v>
      </c>
      <c r="S14" s="17">
        <f t="shared" si="1"/>
        <v>1025.5017220754394</v>
      </c>
      <c r="T14" s="18">
        <f t="shared" si="1"/>
        <v>0</v>
      </c>
    </row>
  </sheetData>
  <mergeCells count="1">
    <mergeCell ref="B14:C14"/>
  </mergeCells>
  <conditionalFormatting sqref="L1:L1048576">
    <cfRule type="duplicateValues" dxfId="38" priority="1"/>
    <cfRule type="duplicateValues" dxfId="37" priority="2"/>
  </conditionalFormatting>
  <conditionalFormatting sqref="L14">
    <cfRule type="duplicateValues" dxfId="36" priority="3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1C97C-F2E4-7647-B918-CB8686531C71}">
  <dimension ref="B3:T14"/>
  <sheetViews>
    <sheetView zoomScale="118" zoomScaleNormal="120" workbookViewId="0">
      <selection activeCell="C4" sqref="C4:C13"/>
    </sheetView>
  </sheetViews>
  <sheetFormatPr baseColWidth="10" defaultColWidth="10.83203125" defaultRowHeight="16" x14ac:dyDescent="0.2"/>
  <cols>
    <col min="1" max="1" width="3.83203125" style="1" customWidth="1"/>
    <col min="2" max="2" width="8.1640625" style="1" bestFit="1" customWidth="1"/>
    <col min="3" max="3" width="5.1640625" style="1" bestFit="1" customWidth="1"/>
    <col min="4" max="4" width="16.6640625" style="1" customWidth="1"/>
    <col min="5" max="5" width="9.5" style="1" bestFit="1" customWidth="1"/>
    <col min="6" max="6" width="9.1640625" style="1" bestFit="1" customWidth="1"/>
    <col min="7" max="7" width="13.33203125" style="1" bestFit="1" customWidth="1"/>
    <col min="8" max="8" width="19.33203125" style="1" bestFit="1" customWidth="1"/>
    <col min="9" max="9" width="12" style="1" bestFit="1" customWidth="1"/>
    <col min="10" max="10" width="18.6640625" style="1" bestFit="1" customWidth="1"/>
    <col min="11" max="11" width="6.6640625" style="1" bestFit="1" customWidth="1"/>
    <col min="12" max="12" width="8.6640625" style="1" bestFit="1" customWidth="1"/>
    <col min="13" max="13" width="12.6640625" style="1" bestFit="1" customWidth="1"/>
    <col min="14" max="15" width="10.83203125" style="1"/>
    <col min="16" max="16" width="13.33203125" style="1" bestFit="1" customWidth="1"/>
    <col min="17" max="17" width="19.33203125" style="1" bestFit="1" customWidth="1"/>
    <col min="18" max="18" width="12" style="1" bestFit="1" customWidth="1"/>
    <col min="19" max="19" width="18" style="1" bestFit="1" customWidth="1"/>
    <col min="20" max="16384" width="10.83203125" style="1"/>
  </cols>
  <sheetData>
    <row r="3" spans="2:20" x14ac:dyDescent="0.2">
      <c r="B3" s="8" t="s">
        <v>7</v>
      </c>
      <c r="C3" s="8" t="s">
        <v>4</v>
      </c>
      <c r="D3" s="8" t="s">
        <v>0</v>
      </c>
      <c r="E3" s="8" t="s">
        <v>5</v>
      </c>
      <c r="F3" s="8" t="s">
        <v>12</v>
      </c>
      <c r="G3" s="8" t="s">
        <v>8</v>
      </c>
      <c r="H3" s="8" t="s">
        <v>9</v>
      </c>
      <c r="I3" s="8" t="s">
        <v>11</v>
      </c>
      <c r="J3" s="8" t="s">
        <v>10</v>
      </c>
      <c r="K3" s="8" t="s">
        <v>1</v>
      </c>
      <c r="L3" s="15" t="s">
        <v>13</v>
      </c>
      <c r="M3" s="15" t="s">
        <v>0</v>
      </c>
      <c r="N3" s="15" t="s">
        <v>5</v>
      </c>
      <c r="O3" s="15" t="s">
        <v>12</v>
      </c>
      <c r="P3" s="15" t="s">
        <v>8</v>
      </c>
      <c r="Q3" s="15" t="s">
        <v>9</v>
      </c>
      <c r="R3" s="15" t="s">
        <v>11</v>
      </c>
      <c r="S3" s="15" t="s">
        <v>10</v>
      </c>
      <c r="T3" s="15" t="s">
        <v>1</v>
      </c>
    </row>
    <row r="4" spans="2:20" x14ac:dyDescent="0.2">
      <c r="B4" s="4">
        <v>1</v>
      </c>
      <c r="C4" s="4">
        <v>148</v>
      </c>
      <c r="D4" s="12">
        <v>30493.84793</v>
      </c>
      <c r="E4" s="7">
        <v>0.1512880325</v>
      </c>
      <c r="F4" s="7">
        <v>3</v>
      </c>
      <c r="G4" s="5">
        <v>1</v>
      </c>
      <c r="H4" s="7">
        <v>44961.8</v>
      </c>
      <c r="I4" s="7">
        <v>0</v>
      </c>
      <c r="J4" s="7">
        <v>681.97152197505034</v>
      </c>
      <c r="K4" s="7">
        <v>0</v>
      </c>
      <c r="L4" s="23">
        <v>436</v>
      </c>
      <c r="M4" s="12">
        <v>27650.335999999999</v>
      </c>
      <c r="N4" s="7">
        <v>0.14999103550000001</v>
      </c>
      <c r="O4" s="7">
        <v>3</v>
      </c>
      <c r="P4" s="5">
        <v>1</v>
      </c>
      <c r="Q4" s="7">
        <v>53334</v>
      </c>
      <c r="R4" s="7">
        <v>0</v>
      </c>
      <c r="S4" s="7">
        <v>1067.4838804872195</v>
      </c>
      <c r="T4" s="7">
        <v>0</v>
      </c>
    </row>
    <row r="5" spans="2:20" x14ac:dyDescent="0.2">
      <c r="B5" s="4">
        <v>2</v>
      </c>
      <c r="C5" s="4">
        <v>300</v>
      </c>
      <c r="D5" s="12">
        <v>36778.820570000003</v>
      </c>
      <c r="E5" s="7">
        <v>0.16930913929999999</v>
      </c>
      <c r="F5" s="7">
        <v>4</v>
      </c>
      <c r="G5" s="5">
        <v>1</v>
      </c>
      <c r="H5" s="7">
        <v>44815.8</v>
      </c>
      <c r="I5" s="7">
        <v>0</v>
      </c>
      <c r="J5" s="7">
        <v>879.25284427361692</v>
      </c>
      <c r="K5" s="7">
        <v>0</v>
      </c>
      <c r="L5" s="23">
        <v>132</v>
      </c>
      <c r="M5" s="12">
        <v>27334.507989999998</v>
      </c>
      <c r="N5" s="7">
        <v>1.3536918163</v>
      </c>
      <c r="O5" s="7">
        <v>4</v>
      </c>
      <c r="P5" s="5">
        <v>1</v>
      </c>
      <c r="Q5" s="7">
        <v>49716</v>
      </c>
      <c r="R5" s="7">
        <v>0</v>
      </c>
      <c r="S5" s="7">
        <v>1069.9311814935477</v>
      </c>
      <c r="T5" s="7">
        <v>0</v>
      </c>
    </row>
    <row r="6" spans="2:20" x14ac:dyDescent="0.2">
      <c r="B6" s="4">
        <v>3</v>
      </c>
      <c r="C6" s="4">
        <v>306</v>
      </c>
      <c r="D6" s="12">
        <v>62757.898630000003</v>
      </c>
      <c r="E6" s="7">
        <v>1.5223650931999999</v>
      </c>
      <c r="F6" s="7">
        <v>5</v>
      </c>
      <c r="G6" s="5">
        <v>5</v>
      </c>
      <c r="H6" s="7">
        <v>44208</v>
      </c>
      <c r="I6" s="7">
        <v>32.229733040161342</v>
      </c>
      <c r="J6" s="7">
        <v>957.67091710203135</v>
      </c>
      <c r="K6" s="7">
        <v>0</v>
      </c>
      <c r="L6" s="23">
        <v>287</v>
      </c>
      <c r="M6" s="12">
        <v>29311.563890000001</v>
      </c>
      <c r="N6" s="7">
        <v>0.32583093639999999</v>
      </c>
      <c r="O6" s="7">
        <v>4</v>
      </c>
      <c r="P6" s="5">
        <v>1</v>
      </c>
      <c r="Q6" s="7">
        <v>49787</v>
      </c>
      <c r="R6" s="7">
        <v>0</v>
      </c>
      <c r="S6" s="7">
        <v>1163.2675126340207</v>
      </c>
      <c r="T6" s="7">
        <v>0</v>
      </c>
    </row>
    <row r="7" spans="2:20" x14ac:dyDescent="0.2">
      <c r="B7" s="4">
        <v>4</v>
      </c>
      <c r="C7" s="4">
        <v>352</v>
      </c>
      <c r="D7" s="12">
        <v>37060.629379999998</v>
      </c>
      <c r="E7" s="7">
        <v>6.448102E-2</v>
      </c>
      <c r="F7" s="7">
        <v>3</v>
      </c>
      <c r="G7" s="5">
        <v>1</v>
      </c>
      <c r="H7" s="7">
        <v>42130.8</v>
      </c>
      <c r="I7" s="7">
        <v>0</v>
      </c>
      <c r="J7" s="7">
        <v>868.52542620237796</v>
      </c>
      <c r="K7" s="7">
        <v>0</v>
      </c>
      <c r="L7" s="23">
        <v>497</v>
      </c>
      <c r="M7" s="12">
        <v>38003.36823</v>
      </c>
      <c r="N7" s="7">
        <v>7.1392149925000004</v>
      </c>
      <c r="O7" s="7">
        <v>6</v>
      </c>
      <c r="P7" s="5">
        <v>3</v>
      </c>
      <c r="Q7" s="7">
        <v>68565.800000000047</v>
      </c>
      <c r="R7" s="7">
        <v>0</v>
      </c>
      <c r="S7" s="7">
        <v>1095.1728238410974</v>
      </c>
      <c r="T7" s="7">
        <v>0</v>
      </c>
    </row>
    <row r="8" spans="2:20" x14ac:dyDescent="0.2">
      <c r="B8" s="4">
        <v>5</v>
      </c>
      <c r="C8" s="4">
        <v>370</v>
      </c>
      <c r="D8" s="12">
        <v>41601.984420000001</v>
      </c>
      <c r="E8" s="7">
        <v>0.17223191260000001</v>
      </c>
      <c r="F8" s="7">
        <v>3</v>
      </c>
      <c r="G8" s="5">
        <v>3</v>
      </c>
      <c r="H8" s="7">
        <v>36607.800000000003</v>
      </c>
      <c r="I8" s="7">
        <v>0</v>
      </c>
      <c r="J8" s="7">
        <v>682.24912160901079</v>
      </c>
      <c r="K8" s="7">
        <v>0</v>
      </c>
      <c r="L8" s="23">
        <v>424</v>
      </c>
      <c r="M8" s="12">
        <v>39670.415670000002</v>
      </c>
      <c r="N8" s="7">
        <v>3.3269710540999999</v>
      </c>
      <c r="O8" s="7">
        <v>4</v>
      </c>
      <c r="P8" s="5">
        <v>3</v>
      </c>
      <c r="Q8" s="7">
        <v>47318</v>
      </c>
      <c r="R8" s="7">
        <v>0</v>
      </c>
      <c r="S8" s="7">
        <v>1316.851372602184</v>
      </c>
      <c r="T8" s="7">
        <v>0</v>
      </c>
    </row>
    <row r="9" spans="2:20" x14ac:dyDescent="0.2">
      <c r="B9" s="4">
        <v>6</v>
      </c>
      <c r="C9" s="4">
        <v>471</v>
      </c>
      <c r="D9" s="12">
        <v>31235.897000000001</v>
      </c>
      <c r="E9" s="7">
        <v>8.7886810300000007E-2</v>
      </c>
      <c r="F9" s="7">
        <v>3</v>
      </c>
      <c r="G9" s="5">
        <v>2</v>
      </c>
      <c r="H9" s="7">
        <v>42987.8</v>
      </c>
      <c r="I9" s="7">
        <v>0</v>
      </c>
      <c r="J9" s="7">
        <v>665.68162686138123</v>
      </c>
      <c r="K9" s="7">
        <v>0</v>
      </c>
      <c r="L9" s="23">
        <v>844</v>
      </c>
      <c r="M9" s="12">
        <v>50495.398220000003</v>
      </c>
      <c r="N9" s="7">
        <v>9.3312025100000001E-2</v>
      </c>
      <c r="O9" s="7">
        <v>4</v>
      </c>
      <c r="P9" s="5">
        <v>7</v>
      </c>
      <c r="Q9" s="7">
        <v>60827</v>
      </c>
      <c r="R9" s="7">
        <v>0</v>
      </c>
      <c r="S9" s="7">
        <v>755.58180065369095</v>
      </c>
      <c r="T9" s="7">
        <v>0</v>
      </c>
    </row>
    <row r="10" spans="2:20" x14ac:dyDescent="0.2">
      <c r="B10" s="4">
        <v>7</v>
      </c>
      <c r="C10" s="4">
        <v>507</v>
      </c>
      <c r="D10" s="12">
        <v>37344.477709999999</v>
      </c>
      <c r="E10" s="7">
        <v>0.19474005699999999</v>
      </c>
      <c r="F10" s="7">
        <v>3</v>
      </c>
      <c r="G10" s="5">
        <v>2</v>
      </c>
      <c r="H10" s="7">
        <v>35962.199999999997</v>
      </c>
      <c r="I10" s="7">
        <v>0</v>
      </c>
      <c r="J10" s="7">
        <v>832.29890581431505</v>
      </c>
      <c r="K10" s="7">
        <v>0</v>
      </c>
      <c r="L10" s="23">
        <v>486</v>
      </c>
      <c r="M10" s="12">
        <v>33718.823779999999</v>
      </c>
      <c r="N10" s="7">
        <v>10.032382011399999</v>
      </c>
      <c r="O10" s="7">
        <v>4</v>
      </c>
      <c r="P10" s="5">
        <v>2</v>
      </c>
      <c r="Q10" s="7">
        <v>50872.400000000023</v>
      </c>
      <c r="R10" s="7">
        <v>0</v>
      </c>
      <c r="S10" s="7">
        <v>1130.9755303883039</v>
      </c>
      <c r="T10" s="7">
        <v>0</v>
      </c>
    </row>
    <row r="11" spans="2:20" x14ac:dyDescent="0.2">
      <c r="B11" s="4">
        <v>8</v>
      </c>
      <c r="C11" s="4">
        <v>629</v>
      </c>
      <c r="D11" s="12">
        <v>51647.634599999998</v>
      </c>
      <c r="E11" s="7">
        <v>0.2330949306</v>
      </c>
      <c r="F11" s="7">
        <v>4</v>
      </c>
      <c r="G11" s="5">
        <v>3</v>
      </c>
      <c r="H11" s="7">
        <v>41103.199999999997</v>
      </c>
      <c r="I11" s="7">
        <v>0</v>
      </c>
      <c r="J11" s="7">
        <v>818.07394141500629</v>
      </c>
      <c r="K11" s="7">
        <v>0</v>
      </c>
      <c r="L11" s="23">
        <v>332</v>
      </c>
      <c r="M11" s="12">
        <v>29401.372630000002</v>
      </c>
      <c r="N11" s="7">
        <v>6.9453001E-2</v>
      </c>
      <c r="O11" s="7">
        <v>3</v>
      </c>
      <c r="P11" s="5">
        <v>2</v>
      </c>
      <c r="Q11" s="7">
        <v>50018</v>
      </c>
      <c r="R11" s="7">
        <v>0</v>
      </c>
      <c r="S11" s="7">
        <v>922.61310237532348</v>
      </c>
      <c r="T11" s="7">
        <v>0</v>
      </c>
    </row>
    <row r="12" spans="2:20" x14ac:dyDescent="0.2">
      <c r="B12" s="4">
        <v>9</v>
      </c>
      <c r="C12" s="4">
        <v>487</v>
      </c>
      <c r="D12" s="12">
        <v>32667.242689999999</v>
      </c>
      <c r="E12" s="7">
        <v>9.3132018999999996E-2</v>
      </c>
      <c r="F12" s="7">
        <v>3</v>
      </c>
      <c r="G12" s="5">
        <v>0</v>
      </c>
      <c r="H12" s="7">
        <v>36325</v>
      </c>
      <c r="I12" s="7">
        <v>0</v>
      </c>
      <c r="J12" s="7">
        <v>904.15364875567138</v>
      </c>
      <c r="K12" s="7">
        <v>0</v>
      </c>
      <c r="L12" s="23">
        <v>728</v>
      </c>
      <c r="M12" s="12">
        <v>31563.957399999999</v>
      </c>
      <c r="N12" s="7">
        <v>2.3995609283000001</v>
      </c>
      <c r="O12" s="7">
        <v>5</v>
      </c>
      <c r="P12" s="5">
        <v>2</v>
      </c>
      <c r="Q12" s="7">
        <v>52217</v>
      </c>
      <c r="R12" s="7">
        <v>5.6307527914690905</v>
      </c>
      <c r="S12" s="7">
        <v>981.56397055780076</v>
      </c>
      <c r="T12" s="7">
        <v>0</v>
      </c>
    </row>
    <row r="13" spans="2:20" x14ac:dyDescent="0.2">
      <c r="B13" s="4">
        <v>10</v>
      </c>
      <c r="C13" s="4">
        <v>977</v>
      </c>
      <c r="D13" s="12">
        <v>37024.451399999998</v>
      </c>
      <c r="E13" s="7">
        <v>8.1573963200000002E-2</v>
      </c>
      <c r="F13" s="7">
        <v>3</v>
      </c>
      <c r="G13" s="5">
        <v>1</v>
      </c>
      <c r="H13" s="7">
        <v>48010.6</v>
      </c>
      <c r="I13" s="7">
        <v>0</v>
      </c>
      <c r="J13" s="7">
        <v>857.21926149102694</v>
      </c>
      <c r="K13" s="7">
        <v>0</v>
      </c>
      <c r="L13" s="23">
        <v>378</v>
      </c>
      <c r="M13" s="12">
        <v>34891.127350000002</v>
      </c>
      <c r="N13" s="7">
        <v>0.18665790560000001</v>
      </c>
      <c r="O13" s="7">
        <v>4</v>
      </c>
      <c r="P13" s="5">
        <v>2</v>
      </c>
      <c r="Q13" s="7">
        <v>48849</v>
      </c>
      <c r="R13" s="7">
        <v>10.07744551171046</v>
      </c>
      <c r="S13" s="7">
        <v>1150.6254724933751</v>
      </c>
      <c r="T13" s="7">
        <v>0</v>
      </c>
    </row>
    <row r="14" spans="2:20" x14ac:dyDescent="0.2">
      <c r="B14" s="47" t="s">
        <v>3</v>
      </c>
      <c r="C14" s="48"/>
      <c r="D14" s="9">
        <f t="shared" ref="D14:K14" si="0">AVERAGE(D4:D13)</f>
        <v>39861.288432999994</v>
      </c>
      <c r="E14" s="22">
        <f>AVERAGE(E4:E13)</f>
        <v>0.27701029777000002</v>
      </c>
      <c r="F14" s="20">
        <f t="shared" si="0"/>
        <v>3.4</v>
      </c>
      <c r="G14" s="11">
        <f t="shared" si="0"/>
        <v>1.9</v>
      </c>
      <c r="H14" s="9">
        <f t="shared" si="0"/>
        <v>41711.300000000003</v>
      </c>
      <c r="I14" s="13">
        <f t="shared" si="0"/>
        <v>3.2229733040161341</v>
      </c>
      <c r="J14" s="13">
        <f t="shared" si="0"/>
        <v>814.70972154994888</v>
      </c>
      <c r="K14" s="11">
        <f t="shared" si="0"/>
        <v>0</v>
      </c>
      <c r="L14" s="16"/>
      <c r="M14" s="16">
        <f t="shared" ref="M14:T14" si="1">AVERAGE(M4:M13)</f>
        <v>34204.087116000002</v>
      </c>
      <c r="N14" s="21">
        <f t="shared" si="1"/>
        <v>2.5077065706199999</v>
      </c>
      <c r="O14" s="18">
        <f t="shared" si="1"/>
        <v>4.0999999999999996</v>
      </c>
      <c r="P14" s="18">
        <f t="shared" si="1"/>
        <v>2.4</v>
      </c>
      <c r="Q14" s="16">
        <f t="shared" si="1"/>
        <v>53150.420000000006</v>
      </c>
      <c r="R14" s="17">
        <f t="shared" si="1"/>
        <v>1.570819830317955</v>
      </c>
      <c r="S14" s="17">
        <f t="shared" si="1"/>
        <v>1065.4066647526565</v>
      </c>
      <c r="T14" s="18">
        <f t="shared" si="1"/>
        <v>0</v>
      </c>
    </row>
  </sheetData>
  <mergeCells count="1">
    <mergeCell ref="B14:C14"/>
  </mergeCells>
  <conditionalFormatting sqref="L1:L1048576">
    <cfRule type="duplicateValues" dxfId="35" priority="1"/>
  </conditionalFormatting>
  <conditionalFormatting sqref="L14">
    <cfRule type="duplicateValues" dxfId="34" priority="2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41D59-D6E8-0046-90C4-1E887146BA8C}">
  <dimension ref="B3:T14"/>
  <sheetViews>
    <sheetView zoomScale="118" zoomScaleNormal="120" workbookViewId="0">
      <selection activeCell="C4" sqref="C4:C13"/>
    </sheetView>
  </sheetViews>
  <sheetFormatPr baseColWidth="10" defaultColWidth="10.83203125" defaultRowHeight="16" x14ac:dyDescent="0.2"/>
  <cols>
    <col min="1" max="1" width="3.83203125" style="1" customWidth="1"/>
    <col min="2" max="2" width="8.1640625" style="1" bestFit="1" customWidth="1"/>
    <col min="3" max="3" width="5.1640625" style="1" bestFit="1" customWidth="1"/>
    <col min="4" max="4" width="16.6640625" style="1" customWidth="1"/>
    <col min="5" max="5" width="9.5" style="1" bestFit="1" customWidth="1"/>
    <col min="6" max="6" width="9.1640625" style="1" bestFit="1" customWidth="1"/>
    <col min="7" max="7" width="13.33203125" style="1" bestFit="1" customWidth="1"/>
    <col min="8" max="8" width="19.33203125" style="1" bestFit="1" customWidth="1"/>
    <col min="9" max="9" width="12" style="1" bestFit="1" customWidth="1"/>
    <col min="10" max="10" width="18.6640625" style="1" bestFit="1" customWidth="1"/>
    <col min="11" max="11" width="6.6640625" style="1" bestFit="1" customWidth="1"/>
    <col min="12" max="12" width="8.6640625" style="1" bestFit="1" customWidth="1"/>
    <col min="13" max="13" width="12.6640625" style="1" bestFit="1" customWidth="1"/>
    <col min="14" max="15" width="10.83203125" style="1"/>
    <col min="16" max="16" width="13.33203125" style="1" bestFit="1" customWidth="1"/>
    <col min="17" max="17" width="19.33203125" style="1" bestFit="1" customWidth="1"/>
    <col min="18" max="18" width="12" style="1" bestFit="1" customWidth="1"/>
    <col min="19" max="19" width="18" style="1" bestFit="1" customWidth="1"/>
    <col min="20" max="16384" width="10.83203125" style="1"/>
  </cols>
  <sheetData>
    <row r="3" spans="2:20" x14ac:dyDescent="0.2">
      <c r="B3" s="8" t="s">
        <v>7</v>
      </c>
      <c r="C3" s="8" t="s">
        <v>4</v>
      </c>
      <c r="D3" s="8" t="s">
        <v>0</v>
      </c>
      <c r="E3" s="8" t="s">
        <v>5</v>
      </c>
      <c r="F3" s="8" t="s">
        <v>12</v>
      </c>
      <c r="G3" s="8" t="s">
        <v>8</v>
      </c>
      <c r="H3" s="8" t="s">
        <v>9</v>
      </c>
      <c r="I3" s="8" t="s">
        <v>11</v>
      </c>
      <c r="J3" s="8" t="s">
        <v>10</v>
      </c>
      <c r="K3" s="8" t="s">
        <v>1</v>
      </c>
      <c r="L3" s="15" t="s">
        <v>13</v>
      </c>
      <c r="M3" s="15" t="s">
        <v>0</v>
      </c>
      <c r="N3" s="15" t="s">
        <v>5</v>
      </c>
      <c r="O3" s="15" t="s">
        <v>12</v>
      </c>
      <c r="P3" s="15" t="s">
        <v>8</v>
      </c>
      <c r="Q3" s="15" t="s">
        <v>9</v>
      </c>
      <c r="R3" s="15" t="s">
        <v>11</v>
      </c>
      <c r="S3" s="15" t="s">
        <v>10</v>
      </c>
      <c r="T3" s="15" t="s">
        <v>1</v>
      </c>
    </row>
    <row r="4" spans="2:20" x14ac:dyDescent="0.2">
      <c r="B4" s="4">
        <v>1</v>
      </c>
      <c r="C4" s="4">
        <v>10</v>
      </c>
      <c r="D4" s="12">
        <v>70969.846810000003</v>
      </c>
      <c r="E4" s="7">
        <v>8.1142902399999994E-2</v>
      </c>
      <c r="F4" s="7">
        <v>2</v>
      </c>
      <c r="G4" s="5">
        <v>3</v>
      </c>
      <c r="H4" s="7">
        <v>30702.799999999999</v>
      </c>
      <c r="I4" s="7">
        <v>15.97403050551258</v>
      </c>
      <c r="J4" s="7">
        <v>1537.1732766384889</v>
      </c>
      <c r="K4" s="7">
        <v>0</v>
      </c>
      <c r="L4" s="23">
        <v>966</v>
      </c>
      <c r="M4" s="12">
        <v>72208.740390000006</v>
      </c>
      <c r="N4" s="7">
        <v>1.6617908478000001</v>
      </c>
      <c r="O4" s="7">
        <v>3</v>
      </c>
      <c r="P4" s="5">
        <v>7</v>
      </c>
      <c r="Q4" s="7">
        <v>46217</v>
      </c>
      <c r="R4" s="7">
        <v>5.4651461857918937</v>
      </c>
      <c r="S4" s="7">
        <v>1245.813656204004</v>
      </c>
      <c r="T4" s="7">
        <v>0</v>
      </c>
    </row>
    <row r="5" spans="2:20" x14ac:dyDescent="0.2">
      <c r="B5" s="4">
        <v>2</v>
      </c>
      <c r="C5" s="4">
        <v>327</v>
      </c>
      <c r="D5" s="12">
        <v>57211.72148</v>
      </c>
      <c r="E5" s="7">
        <v>9.3211889300000003E-2</v>
      </c>
      <c r="F5" s="7">
        <v>2</v>
      </c>
      <c r="G5" s="5">
        <v>1</v>
      </c>
      <c r="H5" s="7">
        <v>21218.799999999999</v>
      </c>
      <c r="I5" s="7">
        <v>19.218006713455789</v>
      </c>
      <c r="J5" s="7">
        <v>1590.629690499291</v>
      </c>
      <c r="K5" s="7">
        <v>0</v>
      </c>
      <c r="L5" s="23">
        <v>197</v>
      </c>
      <c r="M5" s="12">
        <v>80363.846829999995</v>
      </c>
      <c r="N5" s="7">
        <v>8.2378010750000001</v>
      </c>
      <c r="O5" s="7">
        <v>3</v>
      </c>
      <c r="P5" s="5">
        <v>7</v>
      </c>
      <c r="Q5" s="7">
        <v>40899.800000000047</v>
      </c>
      <c r="R5" s="7">
        <v>30.025042291585155</v>
      </c>
      <c r="S5" s="7">
        <v>1512.475646667624</v>
      </c>
      <c r="T5" s="7">
        <v>0</v>
      </c>
    </row>
    <row r="6" spans="2:20" x14ac:dyDescent="0.2">
      <c r="B6" s="4">
        <v>3</v>
      </c>
      <c r="C6" s="4">
        <v>413</v>
      </c>
      <c r="D6" s="12">
        <v>67863.406789999994</v>
      </c>
      <c r="E6" s="7">
        <v>9.9755048799999996E-2</v>
      </c>
      <c r="F6" s="7">
        <v>2</v>
      </c>
      <c r="G6" s="5">
        <v>1</v>
      </c>
      <c r="H6" s="7">
        <v>23715.400000000027</v>
      </c>
      <c r="I6" s="7">
        <v>13.549832234172149</v>
      </c>
      <c r="J6" s="7">
        <v>1703.4890786934511</v>
      </c>
      <c r="K6" s="7">
        <v>0</v>
      </c>
      <c r="L6" s="23">
        <v>232</v>
      </c>
      <c r="M6" s="12">
        <v>44026.609859999997</v>
      </c>
      <c r="N6" s="7">
        <v>1.0683369637</v>
      </c>
      <c r="O6" s="7">
        <v>2</v>
      </c>
      <c r="P6" s="5">
        <v>2</v>
      </c>
      <c r="Q6" s="7">
        <v>26779.59999999998</v>
      </c>
      <c r="R6" s="7">
        <v>13.621203985528606</v>
      </c>
      <c r="S6" s="7">
        <v>1122.0339817518759</v>
      </c>
      <c r="T6" s="7">
        <v>0</v>
      </c>
    </row>
    <row r="7" spans="2:20" x14ac:dyDescent="0.2">
      <c r="B7" s="4">
        <v>4</v>
      </c>
      <c r="C7" s="4">
        <v>637</v>
      </c>
      <c r="D7" s="12">
        <v>52957.131450000001</v>
      </c>
      <c r="E7" s="7">
        <v>2.6531934699999999E-2</v>
      </c>
      <c r="F7" s="7">
        <v>2</v>
      </c>
      <c r="G7" s="5">
        <v>3</v>
      </c>
      <c r="H7" s="7">
        <v>20173.2</v>
      </c>
      <c r="I7" s="7">
        <v>0</v>
      </c>
      <c r="J7" s="7">
        <v>907.72166205306632</v>
      </c>
      <c r="K7" s="7">
        <v>0</v>
      </c>
      <c r="L7" s="23">
        <v>167</v>
      </c>
      <c r="M7" s="12">
        <v>82765.826249999998</v>
      </c>
      <c r="N7" s="7">
        <v>8.0577239990000002</v>
      </c>
      <c r="O7" s="7">
        <v>3</v>
      </c>
      <c r="P7" s="5">
        <v>9</v>
      </c>
      <c r="Q7" s="7">
        <v>34761.400000000023</v>
      </c>
      <c r="R7" s="7">
        <v>11.5960783259008</v>
      </c>
      <c r="S7" s="7">
        <v>1188.9807636625205</v>
      </c>
      <c r="T7" s="7">
        <v>0</v>
      </c>
    </row>
    <row r="8" spans="2:20" x14ac:dyDescent="0.2">
      <c r="B8" s="4">
        <v>5</v>
      </c>
      <c r="C8" s="4">
        <v>478</v>
      </c>
      <c r="D8" s="12">
        <v>76474.674180000002</v>
      </c>
      <c r="E8" s="7">
        <v>9.3252220153999996</v>
      </c>
      <c r="F8" s="7">
        <v>2</v>
      </c>
      <c r="G8" s="5">
        <v>5.0000015197708905</v>
      </c>
      <c r="H8" s="7">
        <v>23276.2</v>
      </c>
      <c r="I8" s="7">
        <v>0</v>
      </c>
      <c r="J8" s="7">
        <v>1361.1121807684515</v>
      </c>
      <c r="K8" s="7">
        <v>0</v>
      </c>
      <c r="L8" s="23">
        <v>798</v>
      </c>
      <c r="M8" s="12">
        <v>66036.239939999999</v>
      </c>
      <c r="N8" s="7">
        <v>6.3038911819000001</v>
      </c>
      <c r="O8" s="7">
        <v>4</v>
      </c>
      <c r="P8" s="5">
        <v>5</v>
      </c>
      <c r="Q8" s="7">
        <v>46232</v>
      </c>
      <c r="R8" s="7">
        <v>6.6463089326340672</v>
      </c>
      <c r="S8" s="7">
        <v>1315.2175601311003</v>
      </c>
      <c r="T8" s="7">
        <v>0</v>
      </c>
    </row>
    <row r="9" spans="2:20" x14ac:dyDescent="0.2">
      <c r="B9" s="4">
        <v>6</v>
      </c>
      <c r="C9" s="4">
        <v>487</v>
      </c>
      <c r="D9" s="12">
        <v>36822.42452</v>
      </c>
      <c r="E9" s="7">
        <v>0.14999604229999999</v>
      </c>
      <c r="F9" s="7">
        <v>2</v>
      </c>
      <c r="G9" s="5">
        <v>0</v>
      </c>
      <c r="H9" s="7">
        <v>37313</v>
      </c>
      <c r="I9" s="7">
        <v>0</v>
      </c>
      <c r="J9" s="7">
        <v>838.22468124711088</v>
      </c>
      <c r="K9" s="7">
        <v>0</v>
      </c>
      <c r="L9" s="23">
        <v>342</v>
      </c>
      <c r="M9" s="12">
        <v>58649.729209999998</v>
      </c>
      <c r="N9" s="7">
        <v>1.1575858592999999</v>
      </c>
      <c r="O9" s="7">
        <v>3</v>
      </c>
      <c r="P9" s="5">
        <v>2</v>
      </c>
      <c r="Q9" s="7">
        <v>42048</v>
      </c>
      <c r="R9" s="7">
        <v>2.4959446343727296</v>
      </c>
      <c r="S9" s="7">
        <v>1602.3635134088981</v>
      </c>
      <c r="T9" s="7">
        <v>0</v>
      </c>
    </row>
    <row r="10" spans="2:20" x14ac:dyDescent="0.2">
      <c r="B10" s="4">
        <v>7</v>
      </c>
      <c r="C10" s="4">
        <v>501</v>
      </c>
      <c r="D10" s="12">
        <v>76393.016910000006</v>
      </c>
      <c r="E10" s="7">
        <v>0.2487630844</v>
      </c>
      <c r="F10" s="7">
        <v>2</v>
      </c>
      <c r="G10" s="5">
        <v>6</v>
      </c>
      <c r="H10" s="7">
        <v>26891.599999999999</v>
      </c>
      <c r="I10" s="7">
        <v>11.560297053077925</v>
      </c>
      <c r="J10" s="7">
        <v>1367.7720238781928</v>
      </c>
      <c r="K10" s="7">
        <v>0</v>
      </c>
      <c r="L10" s="23">
        <v>413</v>
      </c>
      <c r="M10" s="12">
        <v>57191.476790000001</v>
      </c>
      <c r="N10" s="7">
        <v>9.1896057099999998E-2</v>
      </c>
      <c r="O10" s="7">
        <v>2</v>
      </c>
      <c r="P10" s="5">
        <v>1</v>
      </c>
      <c r="Q10" s="7">
        <v>23716</v>
      </c>
      <c r="R10" s="7">
        <v>13.549832234168404</v>
      </c>
      <c r="S10" s="7">
        <v>1703.4890786934452</v>
      </c>
      <c r="T10" s="7">
        <v>0</v>
      </c>
    </row>
    <row r="11" spans="2:20" x14ac:dyDescent="0.2">
      <c r="B11" s="4">
        <v>8</v>
      </c>
      <c r="C11" s="4">
        <v>668</v>
      </c>
      <c r="D11" s="12">
        <v>53017.304219999998</v>
      </c>
      <c r="E11" s="7">
        <v>1.5701870918</v>
      </c>
      <c r="F11" s="7">
        <v>2</v>
      </c>
      <c r="G11" s="5">
        <v>1.9999999999937295</v>
      </c>
      <c r="H11" s="7">
        <v>25063.799996972069</v>
      </c>
      <c r="I11" s="7">
        <v>0</v>
      </c>
      <c r="J11" s="7">
        <v>1002.631257960473</v>
      </c>
      <c r="K11" s="7">
        <v>0</v>
      </c>
      <c r="L11" s="23">
        <v>927</v>
      </c>
      <c r="M11" s="12">
        <v>61677.178740000003</v>
      </c>
      <c r="N11" s="7">
        <v>19.9090530872</v>
      </c>
      <c r="O11" s="7">
        <v>2</v>
      </c>
      <c r="P11" s="5">
        <v>4</v>
      </c>
      <c r="Q11" s="7">
        <v>32083</v>
      </c>
      <c r="R11" s="7">
        <v>13.964982102450659</v>
      </c>
      <c r="S11" s="7">
        <v>1375.3591322538189</v>
      </c>
      <c r="T11" s="7">
        <v>0</v>
      </c>
    </row>
    <row r="12" spans="2:20" x14ac:dyDescent="0.2">
      <c r="B12" s="4">
        <v>9</v>
      </c>
      <c r="C12" s="4">
        <v>120</v>
      </c>
      <c r="D12" s="12">
        <v>43781.973940000003</v>
      </c>
      <c r="E12" s="7">
        <v>3.3185005199999999E-2</v>
      </c>
      <c r="F12" s="7">
        <v>2</v>
      </c>
      <c r="G12" s="5">
        <v>0</v>
      </c>
      <c r="H12" s="7">
        <v>26844</v>
      </c>
      <c r="I12" s="7">
        <v>0</v>
      </c>
      <c r="J12" s="7">
        <v>1003.5832268790034</v>
      </c>
      <c r="K12" s="7">
        <v>0</v>
      </c>
      <c r="L12" s="23">
        <v>87</v>
      </c>
      <c r="M12" s="12">
        <v>58863.384610000001</v>
      </c>
      <c r="N12" s="7">
        <v>0.1369268894</v>
      </c>
      <c r="O12" s="7">
        <v>2</v>
      </c>
      <c r="P12" s="5">
        <v>1</v>
      </c>
      <c r="Q12" s="7">
        <v>22038</v>
      </c>
      <c r="R12" s="7">
        <v>37.897244570099815</v>
      </c>
      <c r="S12" s="7">
        <v>1725.6429562934079</v>
      </c>
      <c r="T12" s="7">
        <v>0</v>
      </c>
    </row>
    <row r="13" spans="2:20" x14ac:dyDescent="0.2">
      <c r="B13" s="4">
        <v>10</v>
      </c>
      <c r="C13" s="4">
        <v>943</v>
      </c>
      <c r="D13" s="12">
        <v>77626.500650000002</v>
      </c>
      <c r="E13" s="7">
        <v>0.73777103420000001</v>
      </c>
      <c r="F13" s="7">
        <v>2</v>
      </c>
      <c r="G13" s="5">
        <v>7</v>
      </c>
      <c r="H13" s="7">
        <v>32528.400000000001</v>
      </c>
      <c r="I13" s="7">
        <v>2.2758432730813403</v>
      </c>
      <c r="J13" s="7">
        <v>1065.3006977080693</v>
      </c>
      <c r="K13" s="7">
        <v>0</v>
      </c>
      <c r="L13" s="23">
        <v>454</v>
      </c>
      <c r="M13" s="12">
        <v>52394.18593</v>
      </c>
      <c r="N13" s="7">
        <v>19.113831043200001</v>
      </c>
      <c r="O13" s="7">
        <v>3</v>
      </c>
      <c r="P13" s="5">
        <v>2</v>
      </c>
      <c r="Q13" s="7">
        <v>38423.199999999953</v>
      </c>
      <c r="R13" s="7">
        <v>0</v>
      </c>
      <c r="S13" s="7">
        <v>1393.3746105811404</v>
      </c>
      <c r="T13" s="7">
        <v>0</v>
      </c>
    </row>
    <row r="14" spans="2:20" x14ac:dyDescent="0.2">
      <c r="B14" s="47" t="s">
        <v>3</v>
      </c>
      <c r="C14" s="48"/>
      <c r="D14" s="9">
        <f t="shared" ref="D14:K14" si="0">AVERAGE(D4:D13)</f>
        <v>61311.800094999999</v>
      </c>
      <c r="E14" s="22">
        <f>AVERAGE(E4:E13)</f>
        <v>1.23657660485</v>
      </c>
      <c r="F14" s="20">
        <f t="shared" si="0"/>
        <v>2</v>
      </c>
      <c r="G14" s="11">
        <f t="shared" si="0"/>
        <v>2.8000001519764619</v>
      </c>
      <c r="H14" s="9">
        <f t="shared" si="0"/>
        <v>26772.719999697212</v>
      </c>
      <c r="I14" s="13">
        <f t="shared" si="0"/>
        <v>6.2578009779299784</v>
      </c>
      <c r="J14" s="13">
        <f t="shared" si="0"/>
        <v>1237.7637776325598</v>
      </c>
      <c r="K14" s="11">
        <f t="shared" si="0"/>
        <v>0</v>
      </c>
      <c r="L14" s="16"/>
      <c r="M14" s="16">
        <f t="shared" ref="M14:T14" si="1">AVERAGE(M4:M13)</f>
        <v>63417.721854999996</v>
      </c>
      <c r="N14" s="21">
        <f t="shared" si="1"/>
        <v>6.5738837003599997</v>
      </c>
      <c r="O14" s="18">
        <f t="shared" si="1"/>
        <v>2.7</v>
      </c>
      <c r="P14" s="18">
        <f t="shared" si="1"/>
        <v>4</v>
      </c>
      <c r="Q14" s="16">
        <f t="shared" si="1"/>
        <v>35319.800000000003</v>
      </c>
      <c r="R14" s="17">
        <f t="shared" si="1"/>
        <v>13.526178326253213</v>
      </c>
      <c r="S14" s="17">
        <f t="shared" si="1"/>
        <v>1418.4750899647838</v>
      </c>
      <c r="T14" s="18">
        <f t="shared" si="1"/>
        <v>0</v>
      </c>
    </row>
  </sheetData>
  <mergeCells count="1">
    <mergeCell ref="B14:C14"/>
  </mergeCells>
  <conditionalFormatting sqref="L1:L1048576">
    <cfRule type="duplicateValues" dxfId="33" priority="1"/>
  </conditionalFormatting>
  <conditionalFormatting sqref="L14">
    <cfRule type="duplicateValues" dxfId="32" priority="2"/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165B3-17F5-9C49-B9A1-9B2D33584478}">
  <dimension ref="B3:T14"/>
  <sheetViews>
    <sheetView zoomScale="118" zoomScaleNormal="120" workbookViewId="0">
      <selection activeCell="C4" sqref="C4:C13"/>
    </sheetView>
  </sheetViews>
  <sheetFormatPr baseColWidth="10" defaultColWidth="10.83203125" defaultRowHeight="16" x14ac:dyDescent="0.2"/>
  <cols>
    <col min="1" max="1" width="3.83203125" style="1" customWidth="1"/>
    <col min="2" max="2" width="8.1640625" style="1" bestFit="1" customWidth="1"/>
    <col min="3" max="3" width="5.1640625" style="1" bestFit="1" customWidth="1"/>
    <col min="4" max="4" width="16.6640625" style="1" customWidth="1"/>
    <col min="5" max="5" width="9.5" style="1" bestFit="1" customWidth="1"/>
    <col min="6" max="6" width="9.1640625" style="1" bestFit="1" customWidth="1"/>
    <col min="7" max="7" width="13.33203125" style="1" bestFit="1" customWidth="1"/>
    <col min="8" max="8" width="19.33203125" style="1" bestFit="1" customWidth="1"/>
    <col min="9" max="9" width="12" style="1" bestFit="1" customWidth="1"/>
    <col min="10" max="10" width="18.6640625" style="1" bestFit="1" customWidth="1"/>
    <col min="11" max="11" width="6.6640625" style="1" bestFit="1" customWidth="1"/>
    <col min="12" max="12" width="8.6640625" style="1" bestFit="1" customWidth="1"/>
    <col min="13" max="13" width="12.6640625" style="1" bestFit="1" customWidth="1"/>
    <col min="14" max="15" width="10.83203125" style="1"/>
    <col min="16" max="16" width="13.33203125" style="1" bestFit="1" customWidth="1"/>
    <col min="17" max="17" width="19.33203125" style="1" bestFit="1" customWidth="1"/>
    <col min="18" max="18" width="12" style="1" bestFit="1" customWidth="1"/>
    <col min="19" max="19" width="18" style="1" bestFit="1" customWidth="1"/>
    <col min="20" max="16384" width="10.83203125" style="1"/>
  </cols>
  <sheetData>
    <row r="3" spans="2:20" x14ac:dyDescent="0.2">
      <c r="B3" s="8" t="s">
        <v>7</v>
      </c>
      <c r="C3" s="8" t="s">
        <v>4</v>
      </c>
      <c r="D3" s="8" t="s">
        <v>0</v>
      </c>
      <c r="E3" s="8" t="s">
        <v>5</v>
      </c>
      <c r="F3" s="8" t="s">
        <v>12</v>
      </c>
      <c r="G3" s="8" t="s">
        <v>8</v>
      </c>
      <c r="H3" s="8" t="s">
        <v>9</v>
      </c>
      <c r="I3" s="8" t="s">
        <v>11</v>
      </c>
      <c r="J3" s="8" t="s">
        <v>10</v>
      </c>
      <c r="K3" s="8" t="s">
        <v>1</v>
      </c>
      <c r="L3" s="15" t="s">
        <v>13</v>
      </c>
      <c r="M3" s="15" t="s">
        <v>0</v>
      </c>
      <c r="N3" s="15" t="s">
        <v>5</v>
      </c>
      <c r="O3" s="15" t="s">
        <v>12</v>
      </c>
      <c r="P3" s="15" t="s">
        <v>8</v>
      </c>
      <c r="Q3" s="15" t="s">
        <v>9</v>
      </c>
      <c r="R3" s="15" t="s">
        <v>11</v>
      </c>
      <c r="S3" s="15" t="s">
        <v>10</v>
      </c>
      <c r="T3" s="15" t="s">
        <v>1</v>
      </c>
    </row>
    <row r="4" spans="2:20" x14ac:dyDescent="0.2">
      <c r="B4" s="4">
        <v>1</v>
      </c>
      <c r="C4" s="4">
        <v>33</v>
      </c>
      <c r="D4" s="12">
        <v>87062.434540000002</v>
      </c>
      <c r="E4" s="7">
        <v>6.8023920099999996E-2</v>
      </c>
      <c r="F4" s="7">
        <v>2</v>
      </c>
      <c r="G4" s="5">
        <v>10</v>
      </c>
      <c r="H4" s="7">
        <v>30634.799999999999</v>
      </c>
      <c r="I4" s="7">
        <v>1.1872388193966343</v>
      </c>
      <c r="J4" s="7">
        <v>873.56858911717927</v>
      </c>
      <c r="K4" s="7">
        <v>0</v>
      </c>
      <c r="L4" s="23">
        <v>30</v>
      </c>
      <c r="M4" s="12">
        <v>70870.885009999998</v>
      </c>
      <c r="N4" s="7">
        <v>0.3162939548</v>
      </c>
      <c r="O4" s="7">
        <v>2</v>
      </c>
      <c r="P4" s="5">
        <v>10</v>
      </c>
      <c r="Q4" s="7">
        <v>32894</v>
      </c>
      <c r="R4" s="7">
        <v>0</v>
      </c>
      <c r="S4" s="7">
        <v>705.86253755788448</v>
      </c>
      <c r="T4" s="7">
        <v>0</v>
      </c>
    </row>
    <row r="5" spans="2:20" x14ac:dyDescent="0.2">
      <c r="B5" s="4">
        <v>2</v>
      </c>
      <c r="C5" s="4">
        <v>290</v>
      </c>
      <c r="D5" s="12">
        <v>82306.333050000001</v>
      </c>
      <c r="E5" s="7">
        <v>0.1456110477</v>
      </c>
      <c r="F5" s="7">
        <v>2</v>
      </c>
      <c r="G5" s="5">
        <v>10</v>
      </c>
      <c r="H5" s="7">
        <v>30988.2</v>
      </c>
      <c r="I5" s="7">
        <v>0</v>
      </c>
      <c r="J5" s="7">
        <v>547.40420979444764</v>
      </c>
      <c r="K5" s="7">
        <v>0</v>
      </c>
      <c r="L5" s="23">
        <v>70</v>
      </c>
      <c r="M5" s="12">
        <v>73325.050080000001</v>
      </c>
      <c r="N5" s="7">
        <v>0.54987597470000005</v>
      </c>
      <c r="O5" s="7">
        <v>3</v>
      </c>
      <c r="P5" s="5">
        <v>11.00000000009797</v>
      </c>
      <c r="Q5" s="7">
        <v>36189</v>
      </c>
      <c r="R5" s="7">
        <v>0</v>
      </c>
      <c r="S5" s="7">
        <v>588.37756574620857</v>
      </c>
      <c r="T5" s="7">
        <v>0</v>
      </c>
    </row>
    <row r="6" spans="2:20" x14ac:dyDescent="0.2">
      <c r="B6" s="4">
        <v>3</v>
      </c>
      <c r="C6" s="4">
        <v>421</v>
      </c>
      <c r="D6" s="12">
        <v>68681.350869999995</v>
      </c>
      <c r="E6" s="7">
        <v>7.3747158100000001E-2</v>
      </c>
      <c r="F6" s="7">
        <v>2</v>
      </c>
      <c r="G6" s="5">
        <v>4</v>
      </c>
      <c r="H6" s="7">
        <v>34691</v>
      </c>
      <c r="I6" s="7">
        <v>0</v>
      </c>
      <c r="J6" s="7">
        <v>968.9744059622102</v>
      </c>
      <c r="K6" s="7">
        <v>0</v>
      </c>
      <c r="L6" s="23">
        <v>580</v>
      </c>
      <c r="M6" s="12">
        <v>63964.609389999998</v>
      </c>
      <c r="N6" s="7">
        <v>0.62905192379999997</v>
      </c>
      <c r="O6" s="7">
        <v>2</v>
      </c>
      <c r="P6" s="5">
        <v>6</v>
      </c>
      <c r="Q6" s="7">
        <v>23839</v>
      </c>
      <c r="R6" s="7">
        <v>0</v>
      </c>
      <c r="S6" s="7">
        <v>1128.7097899285204</v>
      </c>
      <c r="T6" s="7">
        <v>0</v>
      </c>
    </row>
    <row r="7" spans="2:20" x14ac:dyDescent="0.2">
      <c r="B7" s="4">
        <v>4</v>
      </c>
      <c r="C7" s="4">
        <v>190</v>
      </c>
      <c r="D7" s="12">
        <v>87063.524430000005</v>
      </c>
      <c r="E7" s="7">
        <v>7.7802896499999996E-2</v>
      </c>
      <c r="F7" s="7">
        <v>2</v>
      </c>
      <c r="G7" s="5">
        <v>11</v>
      </c>
      <c r="H7" s="7">
        <v>24345.999999999978</v>
      </c>
      <c r="I7" s="7">
        <v>1.7625055000112602</v>
      </c>
      <c r="J7" s="7">
        <v>720.86049545215724</v>
      </c>
      <c r="K7" s="7">
        <v>0</v>
      </c>
      <c r="L7" s="23">
        <v>595</v>
      </c>
      <c r="M7" s="12">
        <v>82355.12917</v>
      </c>
      <c r="N7" s="7">
        <v>5.0132489203999997</v>
      </c>
      <c r="O7" s="7">
        <v>3</v>
      </c>
      <c r="P7" s="5">
        <v>8</v>
      </c>
      <c r="Q7" s="7">
        <v>35353.800000000039</v>
      </c>
      <c r="R7" s="7">
        <v>19.218781377561495</v>
      </c>
      <c r="S7" s="7">
        <v>1373.4812119795401</v>
      </c>
      <c r="T7" s="7">
        <v>0</v>
      </c>
    </row>
    <row r="8" spans="2:20" x14ac:dyDescent="0.2">
      <c r="B8" s="4">
        <v>5</v>
      </c>
      <c r="C8" s="4">
        <v>860</v>
      </c>
      <c r="D8" s="12">
        <v>73509.079150000005</v>
      </c>
      <c r="E8" s="7">
        <v>0.13606786730000001</v>
      </c>
      <c r="F8" s="7">
        <v>2</v>
      </c>
      <c r="G8" s="5">
        <v>7</v>
      </c>
      <c r="H8" s="7">
        <v>31433</v>
      </c>
      <c r="I8" s="7">
        <v>6.2531997594899922</v>
      </c>
      <c r="J8" s="7">
        <v>1064.45362543073</v>
      </c>
      <c r="K8" s="7">
        <v>0</v>
      </c>
      <c r="L8" s="23">
        <v>994</v>
      </c>
      <c r="M8" s="12">
        <v>77251.042440000005</v>
      </c>
      <c r="N8" s="7">
        <v>0.15325903890000001</v>
      </c>
      <c r="O8" s="7">
        <v>2</v>
      </c>
      <c r="P8" s="5">
        <v>9</v>
      </c>
      <c r="Q8" s="7">
        <v>34740</v>
      </c>
      <c r="R8" s="7">
        <v>5.3793947498995749</v>
      </c>
      <c r="S8" s="7">
        <v>983.44682517507147</v>
      </c>
      <c r="T8" s="7">
        <v>0</v>
      </c>
    </row>
    <row r="9" spans="2:20" x14ac:dyDescent="0.2">
      <c r="B9" s="4">
        <v>6</v>
      </c>
      <c r="C9" s="4">
        <v>364</v>
      </c>
      <c r="D9" s="12">
        <v>64898.366379999999</v>
      </c>
      <c r="E9" s="7">
        <v>0.18719792369999999</v>
      </c>
      <c r="F9" s="7">
        <v>2</v>
      </c>
      <c r="G9" s="5">
        <v>6</v>
      </c>
      <c r="H9" s="7">
        <v>23117.599999999999</v>
      </c>
      <c r="I9" s="7">
        <v>26.645776716355375</v>
      </c>
      <c r="J9" s="7">
        <v>1025.9863848033337</v>
      </c>
      <c r="K9" s="7">
        <v>0</v>
      </c>
      <c r="L9" s="23">
        <v>238</v>
      </c>
      <c r="M9" s="12">
        <v>79036.745410000003</v>
      </c>
      <c r="N9" s="7">
        <v>2.9178891182000002</v>
      </c>
      <c r="O9" s="7">
        <v>3</v>
      </c>
      <c r="P9" s="5">
        <v>10</v>
      </c>
      <c r="Q9" s="7">
        <v>34000.599999999977</v>
      </c>
      <c r="R9" s="7">
        <v>0</v>
      </c>
      <c r="S9" s="7">
        <v>994.39420230844144</v>
      </c>
      <c r="T9" s="7">
        <v>0</v>
      </c>
    </row>
    <row r="10" spans="2:20" x14ac:dyDescent="0.2">
      <c r="B10" s="4">
        <v>7</v>
      </c>
      <c r="C10" s="4">
        <v>615</v>
      </c>
      <c r="D10" s="12">
        <v>74492.008300000001</v>
      </c>
      <c r="E10" s="7">
        <v>8.4846973399999998E-2</v>
      </c>
      <c r="F10" s="7">
        <v>2</v>
      </c>
      <c r="G10" s="5">
        <v>6</v>
      </c>
      <c r="H10" s="7">
        <v>23164.799999999999</v>
      </c>
      <c r="I10" s="7">
        <v>0</v>
      </c>
      <c r="J10" s="7">
        <v>1140.2296621754856</v>
      </c>
      <c r="K10" s="7">
        <v>0</v>
      </c>
      <c r="L10" s="23">
        <v>383</v>
      </c>
      <c r="M10" s="12">
        <v>76892.732669999998</v>
      </c>
      <c r="N10" s="7">
        <v>1.0800168513999999</v>
      </c>
      <c r="O10" s="7">
        <v>3</v>
      </c>
      <c r="P10" s="5">
        <v>11.000000001156618</v>
      </c>
      <c r="Q10" s="7">
        <v>32964</v>
      </c>
      <c r="R10" s="7">
        <v>0</v>
      </c>
      <c r="S10" s="7">
        <v>683.10859105350562</v>
      </c>
      <c r="T10" s="7">
        <v>0</v>
      </c>
    </row>
    <row r="11" spans="2:20" x14ac:dyDescent="0.2">
      <c r="B11" s="4">
        <v>8</v>
      </c>
      <c r="C11" s="4">
        <v>413</v>
      </c>
      <c r="D11" s="12">
        <v>93278.067800000004</v>
      </c>
      <c r="E11" s="7">
        <v>1.1842820644000001</v>
      </c>
      <c r="F11" s="7">
        <v>2</v>
      </c>
      <c r="G11" s="5">
        <v>14</v>
      </c>
      <c r="H11" s="7">
        <v>35075</v>
      </c>
      <c r="I11" s="7">
        <v>0</v>
      </c>
      <c r="J11" s="7">
        <v>458.46584026343152</v>
      </c>
      <c r="K11" s="7">
        <v>0</v>
      </c>
      <c r="L11" s="23">
        <v>858</v>
      </c>
      <c r="M11" s="12">
        <v>80711.833859999999</v>
      </c>
      <c r="N11" s="7">
        <v>0.25288295750000001</v>
      </c>
      <c r="O11" s="7">
        <v>2</v>
      </c>
      <c r="P11" s="5">
        <v>9</v>
      </c>
      <c r="Q11" s="7">
        <v>38859</v>
      </c>
      <c r="R11" s="7">
        <v>0</v>
      </c>
      <c r="S11" s="7">
        <v>1158.378507225988</v>
      </c>
      <c r="T11" s="7">
        <v>0</v>
      </c>
    </row>
    <row r="12" spans="2:20" x14ac:dyDescent="0.2">
      <c r="B12" s="4">
        <v>9</v>
      </c>
      <c r="C12" s="4">
        <v>813</v>
      </c>
      <c r="D12" s="12">
        <v>93741.361369999999</v>
      </c>
      <c r="E12" s="7">
        <v>0.46734905240000002</v>
      </c>
      <c r="F12" s="7">
        <v>2</v>
      </c>
      <c r="G12" s="5">
        <v>12</v>
      </c>
      <c r="H12" s="7">
        <v>27503</v>
      </c>
      <c r="I12" s="7">
        <v>2.2619642429636544</v>
      </c>
      <c r="J12" s="7">
        <v>726.20979265953872</v>
      </c>
      <c r="K12" s="7">
        <v>0</v>
      </c>
      <c r="L12" s="23">
        <v>939</v>
      </c>
      <c r="M12" s="12">
        <v>66278.818140000003</v>
      </c>
      <c r="N12" s="7">
        <v>10.112763166400001</v>
      </c>
      <c r="O12" s="7">
        <v>4</v>
      </c>
      <c r="P12" s="5">
        <v>9</v>
      </c>
      <c r="Q12" s="7">
        <v>54600.399999999907</v>
      </c>
      <c r="R12" s="7">
        <v>0</v>
      </c>
      <c r="S12" s="7">
        <v>725.46554957101682</v>
      </c>
      <c r="T12" s="7">
        <v>0</v>
      </c>
    </row>
    <row r="13" spans="2:20" x14ac:dyDescent="0.2">
      <c r="B13" s="4">
        <v>10</v>
      </c>
      <c r="C13" s="4">
        <v>951</v>
      </c>
      <c r="D13" s="12">
        <v>65897.5049</v>
      </c>
      <c r="E13" s="7">
        <v>3.0543088900000001E-2</v>
      </c>
      <c r="F13" s="7">
        <v>2</v>
      </c>
      <c r="G13" s="5">
        <v>6</v>
      </c>
      <c r="H13" s="7">
        <v>27298</v>
      </c>
      <c r="I13" s="7">
        <v>0</v>
      </c>
      <c r="J13" s="7">
        <v>963.15406248711224</v>
      </c>
      <c r="K13" s="7">
        <v>0</v>
      </c>
      <c r="L13" s="23">
        <v>596</v>
      </c>
      <c r="M13" s="12">
        <v>83778.816449999998</v>
      </c>
      <c r="N13" s="7">
        <v>5.5154099464000002</v>
      </c>
      <c r="O13" s="7">
        <v>3</v>
      </c>
      <c r="P13" s="5">
        <v>9</v>
      </c>
      <c r="Q13" s="7">
        <v>49536.6000000001</v>
      </c>
      <c r="R13" s="7">
        <v>17.590921157061917</v>
      </c>
      <c r="S13" s="7">
        <v>1227.9546590876491</v>
      </c>
      <c r="T13" s="7">
        <v>0</v>
      </c>
    </row>
    <row r="14" spans="2:20" x14ac:dyDescent="0.2">
      <c r="B14" s="47" t="s">
        <v>3</v>
      </c>
      <c r="C14" s="48"/>
      <c r="D14" s="9">
        <f t="shared" ref="D14:K14" si="0">AVERAGE(D4:D13)</f>
        <v>79093.003079000002</v>
      </c>
      <c r="E14" s="22">
        <f>AVERAGE(E4:E13)</f>
        <v>0.24554719925000001</v>
      </c>
      <c r="F14" s="20">
        <f t="shared" si="0"/>
        <v>2</v>
      </c>
      <c r="G14" s="11">
        <f t="shared" si="0"/>
        <v>8.6</v>
      </c>
      <c r="H14" s="9">
        <f t="shared" si="0"/>
        <v>28825.139999999996</v>
      </c>
      <c r="I14" s="13">
        <f t="shared" si="0"/>
        <v>3.8110685038216916</v>
      </c>
      <c r="J14" s="13">
        <f t="shared" si="0"/>
        <v>848.93070681456265</v>
      </c>
      <c r="K14" s="11">
        <f t="shared" si="0"/>
        <v>0</v>
      </c>
      <c r="L14" s="16"/>
      <c r="M14" s="16">
        <f t="shared" ref="M14:T14" si="1">AVERAGE(M4:M13)</f>
        <v>75446.566261999993</v>
      </c>
      <c r="N14" s="21">
        <f t="shared" si="1"/>
        <v>2.6540691852499996</v>
      </c>
      <c r="O14" s="18">
        <f t="shared" si="1"/>
        <v>2.7</v>
      </c>
      <c r="P14" s="18">
        <f t="shared" si="1"/>
        <v>9.2000000001254598</v>
      </c>
      <c r="Q14" s="16">
        <f t="shared" si="1"/>
        <v>37297.64</v>
      </c>
      <c r="R14" s="17">
        <f t="shared" si="1"/>
        <v>4.2189097284522985</v>
      </c>
      <c r="S14" s="17">
        <f t="shared" si="1"/>
        <v>956.91794396338264</v>
      </c>
      <c r="T14" s="18">
        <f t="shared" si="1"/>
        <v>0</v>
      </c>
    </row>
  </sheetData>
  <mergeCells count="1">
    <mergeCell ref="B14:C14"/>
  </mergeCells>
  <conditionalFormatting sqref="L1:L1048576">
    <cfRule type="duplicateValues" dxfId="31" priority="1"/>
  </conditionalFormatting>
  <conditionalFormatting sqref="L14">
    <cfRule type="duplicateValues" dxfId="30" priority="2"/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0F629-097C-4B46-BEBF-E68A4378C208}">
  <dimension ref="B3:T14"/>
  <sheetViews>
    <sheetView zoomScale="118" zoomScaleNormal="120" workbookViewId="0">
      <selection activeCell="M7" sqref="M7"/>
    </sheetView>
  </sheetViews>
  <sheetFormatPr baseColWidth="10" defaultColWidth="10.83203125" defaultRowHeight="16" x14ac:dyDescent="0.2"/>
  <cols>
    <col min="1" max="1" width="3.83203125" style="1" customWidth="1"/>
    <col min="2" max="2" width="8.1640625" style="1" bestFit="1" customWidth="1"/>
    <col min="3" max="3" width="5.1640625" style="1" bestFit="1" customWidth="1"/>
    <col min="4" max="4" width="16.6640625" style="1" customWidth="1"/>
    <col min="5" max="5" width="9.5" style="1" bestFit="1" customWidth="1"/>
    <col min="6" max="6" width="9.1640625" style="1" bestFit="1" customWidth="1"/>
    <col min="7" max="7" width="13.33203125" style="1" bestFit="1" customWidth="1"/>
    <col min="8" max="8" width="19.33203125" style="1" bestFit="1" customWidth="1"/>
    <col min="9" max="9" width="12" style="1" bestFit="1" customWidth="1"/>
    <col min="10" max="10" width="18.6640625" style="1" bestFit="1" customWidth="1"/>
    <col min="11" max="11" width="6.6640625" style="1" bestFit="1" customWidth="1"/>
    <col min="12" max="12" width="8.6640625" style="1" bestFit="1" customWidth="1"/>
    <col min="13" max="13" width="12.6640625" style="1" bestFit="1" customWidth="1"/>
    <col min="14" max="15" width="10.83203125" style="1"/>
    <col min="16" max="16" width="13.33203125" style="1" bestFit="1" customWidth="1"/>
    <col min="17" max="17" width="19.33203125" style="1" bestFit="1" customWidth="1"/>
    <col min="18" max="18" width="12" style="1" bestFit="1" customWidth="1"/>
    <col min="19" max="19" width="18" style="1" bestFit="1" customWidth="1"/>
    <col min="20" max="16384" width="10.83203125" style="1"/>
  </cols>
  <sheetData>
    <row r="3" spans="2:20" x14ac:dyDescent="0.2">
      <c r="B3" s="8" t="s">
        <v>7</v>
      </c>
      <c r="C3" s="8" t="s">
        <v>4</v>
      </c>
      <c r="D3" s="8" t="s">
        <v>0</v>
      </c>
      <c r="E3" s="8" t="s">
        <v>5</v>
      </c>
      <c r="F3" s="8" t="s">
        <v>12</v>
      </c>
      <c r="G3" s="8" t="s">
        <v>8</v>
      </c>
      <c r="H3" s="8" t="s">
        <v>9</v>
      </c>
      <c r="I3" s="8" t="s">
        <v>11</v>
      </c>
      <c r="J3" s="8" t="s">
        <v>10</v>
      </c>
      <c r="K3" s="8" t="s">
        <v>1</v>
      </c>
      <c r="L3" s="15" t="s">
        <v>13</v>
      </c>
      <c r="M3" s="15" t="s">
        <v>0</v>
      </c>
      <c r="N3" s="15" t="s">
        <v>5</v>
      </c>
      <c r="O3" s="15" t="s">
        <v>12</v>
      </c>
      <c r="P3" s="15" t="s">
        <v>8</v>
      </c>
      <c r="Q3" s="15" t="s">
        <v>9</v>
      </c>
      <c r="R3" s="15" t="s">
        <v>11</v>
      </c>
      <c r="S3" s="15" t="s">
        <v>10</v>
      </c>
      <c r="T3" s="15" t="s">
        <v>1</v>
      </c>
    </row>
    <row r="4" spans="2:20" x14ac:dyDescent="0.2">
      <c r="B4" s="4">
        <v>1</v>
      </c>
      <c r="C4" s="4">
        <v>76</v>
      </c>
      <c r="D4" s="12">
        <v>77933.994040000005</v>
      </c>
      <c r="E4" s="7">
        <v>0.83094000820000002</v>
      </c>
      <c r="F4" s="7">
        <v>4</v>
      </c>
      <c r="G4" s="5">
        <v>3</v>
      </c>
      <c r="H4" s="7">
        <v>39699</v>
      </c>
      <c r="I4" s="7">
        <v>9.7799781605203737</v>
      </c>
      <c r="J4" s="7">
        <v>1608.3276765656285</v>
      </c>
      <c r="K4" s="7">
        <v>0</v>
      </c>
      <c r="L4" s="23">
        <v>858</v>
      </c>
      <c r="M4" s="12">
        <v>58536.012260000003</v>
      </c>
      <c r="N4" s="7">
        <v>131.549626112</v>
      </c>
      <c r="O4" s="7">
        <v>4</v>
      </c>
      <c r="P4" s="5">
        <v>2</v>
      </c>
      <c r="Q4" s="7">
        <v>59395.599999999977</v>
      </c>
      <c r="R4" s="7">
        <v>16.50339386816545</v>
      </c>
      <c r="S4" s="7">
        <v>1541.7594961634611</v>
      </c>
      <c r="T4" s="7">
        <v>1.9400000000000001E-3</v>
      </c>
    </row>
    <row r="5" spans="2:20" x14ac:dyDescent="0.2">
      <c r="B5" s="4">
        <v>2</v>
      </c>
      <c r="C5" s="4">
        <v>166</v>
      </c>
      <c r="D5" s="12">
        <v>43341.042630000004</v>
      </c>
      <c r="E5" s="7">
        <v>73.768368959399993</v>
      </c>
      <c r="F5" s="7">
        <v>4</v>
      </c>
      <c r="G5" s="5">
        <v>0</v>
      </c>
      <c r="H5" s="7">
        <v>38747.79999999993</v>
      </c>
      <c r="I5" s="7">
        <v>0</v>
      </c>
      <c r="J5" s="7">
        <v>980.90606496510475</v>
      </c>
      <c r="K5" s="7">
        <v>0</v>
      </c>
      <c r="L5" s="23">
        <v>968</v>
      </c>
      <c r="M5" s="12">
        <v>51277.585579999999</v>
      </c>
      <c r="N5" s="7">
        <v>245.45669698719999</v>
      </c>
      <c r="O5" s="7">
        <v>3</v>
      </c>
      <c r="P5" s="5">
        <v>1.9999999999929976</v>
      </c>
      <c r="Q5" s="7">
        <v>54717</v>
      </c>
      <c r="R5" s="7">
        <v>12.677432249584617</v>
      </c>
      <c r="S5" s="7">
        <v>1310.4561216315792</v>
      </c>
      <c r="T5" s="7">
        <v>0</v>
      </c>
    </row>
    <row r="6" spans="2:20" x14ac:dyDescent="0.2">
      <c r="B6" s="4">
        <v>3</v>
      </c>
      <c r="C6" s="4">
        <v>181</v>
      </c>
      <c r="D6" s="12">
        <v>41082.672290000002</v>
      </c>
      <c r="E6" s="7">
        <v>0.13927102089999999</v>
      </c>
      <c r="F6" s="7">
        <v>3</v>
      </c>
      <c r="G6" s="5">
        <v>0</v>
      </c>
      <c r="H6" s="7">
        <v>27157.8</v>
      </c>
      <c r="I6" s="7">
        <v>0</v>
      </c>
      <c r="J6" s="7">
        <v>939.56396617602013</v>
      </c>
      <c r="K6" s="7">
        <v>0</v>
      </c>
      <c r="L6" s="23">
        <v>454</v>
      </c>
      <c r="M6" s="12">
        <v>44935.861420000001</v>
      </c>
      <c r="N6" s="7">
        <v>99.544778823900003</v>
      </c>
      <c r="O6" s="7">
        <v>4</v>
      </c>
      <c r="P6" s="5">
        <v>2.1813661987835076E-12</v>
      </c>
      <c r="Q6" s="7">
        <v>46553</v>
      </c>
      <c r="R6" s="7">
        <v>3.7046458817754466</v>
      </c>
      <c r="S6" s="7">
        <v>1450.8120783685451</v>
      </c>
      <c r="T6" s="7">
        <v>0</v>
      </c>
    </row>
    <row r="7" spans="2:20" x14ac:dyDescent="0.2">
      <c r="B7" s="4">
        <v>4</v>
      </c>
      <c r="C7" s="4">
        <v>4</v>
      </c>
      <c r="D7" s="12">
        <v>51679.789279999997</v>
      </c>
      <c r="E7" s="7">
        <v>50.693924903899998</v>
      </c>
      <c r="F7" s="7">
        <v>3</v>
      </c>
      <c r="G7" s="5">
        <v>2</v>
      </c>
      <c r="H7" s="7">
        <v>22176</v>
      </c>
      <c r="I7" s="7">
        <v>0</v>
      </c>
      <c r="J7" s="7">
        <v>1056.0146956119513</v>
      </c>
      <c r="K7" s="7">
        <v>0</v>
      </c>
      <c r="L7" s="23">
        <v>627</v>
      </c>
      <c r="M7" s="12">
        <v>49739.054640000002</v>
      </c>
      <c r="N7" s="7">
        <v>51.732166051900002</v>
      </c>
      <c r="O7" s="7">
        <v>4</v>
      </c>
      <c r="P7" s="5">
        <v>2</v>
      </c>
      <c r="Q7" s="7">
        <v>57080</v>
      </c>
      <c r="R7" s="7">
        <v>3.6063448210773368</v>
      </c>
      <c r="S7" s="7">
        <v>1280.4113639848308</v>
      </c>
      <c r="T7" s="7">
        <v>0</v>
      </c>
    </row>
    <row r="8" spans="2:20" x14ac:dyDescent="0.2">
      <c r="B8" s="4">
        <v>5</v>
      </c>
      <c r="C8" s="4">
        <v>122</v>
      </c>
      <c r="D8" s="12">
        <v>45500.06033</v>
      </c>
      <c r="E8" s="7">
        <v>0.74572205540000003</v>
      </c>
      <c r="F8" s="7">
        <v>3</v>
      </c>
      <c r="G8" s="5">
        <v>0</v>
      </c>
      <c r="H8" s="7">
        <v>32834.6</v>
      </c>
      <c r="I8" s="7">
        <v>0</v>
      </c>
      <c r="J8" s="7">
        <v>1002.4854351502082</v>
      </c>
      <c r="K8" s="7">
        <v>0</v>
      </c>
      <c r="L8" s="23">
        <v>188</v>
      </c>
      <c r="M8" s="12">
        <v>52092.231630000002</v>
      </c>
      <c r="N8" s="7">
        <v>6.1049590111000001</v>
      </c>
      <c r="O8" s="7">
        <v>4</v>
      </c>
      <c r="P8" s="5">
        <v>3</v>
      </c>
      <c r="Q8" s="7">
        <v>42040</v>
      </c>
      <c r="R8" s="7">
        <v>18.553042664577518</v>
      </c>
      <c r="S8" s="7">
        <v>1195.9428547585412</v>
      </c>
      <c r="T8" s="7">
        <v>5.8700000000000002E-3</v>
      </c>
    </row>
    <row r="9" spans="2:20" x14ac:dyDescent="0.2">
      <c r="B9" s="4">
        <v>6</v>
      </c>
      <c r="C9" s="4">
        <v>583</v>
      </c>
      <c r="D9" s="12">
        <v>57415.758690000002</v>
      </c>
      <c r="E9" s="7">
        <v>23.839729070699999</v>
      </c>
      <c r="F9" s="7">
        <v>3</v>
      </c>
      <c r="G9" s="5">
        <v>2</v>
      </c>
      <c r="H9" s="7">
        <v>21028</v>
      </c>
      <c r="I9" s="7">
        <v>0</v>
      </c>
      <c r="J9" s="7">
        <v>1185.5418450202017</v>
      </c>
      <c r="K9" s="7">
        <v>0</v>
      </c>
      <c r="L9" s="23">
        <v>224</v>
      </c>
      <c r="M9" s="12">
        <v>38164.822639999999</v>
      </c>
      <c r="N9" s="7">
        <v>33.522799014999997</v>
      </c>
      <c r="O9" s="7">
        <v>3</v>
      </c>
      <c r="P9" s="5">
        <v>1.00000021632124</v>
      </c>
      <c r="Q9" s="7">
        <v>48832</v>
      </c>
      <c r="R9" s="7">
        <v>6.7966910464723096</v>
      </c>
      <c r="S9" s="7">
        <v>1012.0437250947599</v>
      </c>
      <c r="T9" s="7">
        <v>0</v>
      </c>
    </row>
    <row r="10" spans="2:20" x14ac:dyDescent="0.2">
      <c r="B10" s="4">
        <v>7</v>
      </c>
      <c r="C10" s="4">
        <v>810</v>
      </c>
      <c r="D10" s="12">
        <v>57210.02708</v>
      </c>
      <c r="E10" s="7">
        <v>36.246574163399998</v>
      </c>
      <c r="F10" s="7">
        <v>5</v>
      </c>
      <c r="G10" s="5">
        <v>2</v>
      </c>
      <c r="H10" s="7">
        <v>29671.599999999973</v>
      </c>
      <c r="I10" s="7">
        <v>0</v>
      </c>
      <c r="J10" s="7">
        <v>1099.8381775800226</v>
      </c>
      <c r="K10" s="7">
        <v>0</v>
      </c>
      <c r="L10" s="23">
        <v>493</v>
      </c>
      <c r="M10" s="12">
        <v>53295.883029999997</v>
      </c>
      <c r="N10" s="7">
        <v>5.9271259307999999</v>
      </c>
      <c r="O10" s="7">
        <v>4</v>
      </c>
      <c r="P10" s="5">
        <v>1</v>
      </c>
      <c r="Q10" s="7">
        <v>47718</v>
      </c>
      <c r="R10" s="7">
        <v>25.972598588410779</v>
      </c>
      <c r="S10" s="7">
        <v>1563.5178336947183</v>
      </c>
      <c r="T10" s="7">
        <v>0</v>
      </c>
    </row>
    <row r="11" spans="2:20" x14ac:dyDescent="0.2">
      <c r="B11" s="4">
        <v>8</v>
      </c>
      <c r="C11" s="4">
        <v>468</v>
      </c>
      <c r="D11" s="12">
        <v>55717.144999999997</v>
      </c>
      <c r="E11" s="7">
        <v>0.2354941368</v>
      </c>
      <c r="F11" s="7">
        <v>3</v>
      </c>
      <c r="G11" s="5">
        <v>2</v>
      </c>
      <c r="H11" s="7">
        <v>47988.800000000003</v>
      </c>
      <c r="I11" s="7">
        <v>0</v>
      </c>
      <c r="J11" s="7">
        <v>1170.4987921253435</v>
      </c>
      <c r="K11" s="7">
        <v>0</v>
      </c>
      <c r="L11" s="23">
        <v>935</v>
      </c>
      <c r="M11" s="12">
        <v>36635.736100000002</v>
      </c>
      <c r="N11" s="7">
        <v>12.5130469799</v>
      </c>
      <c r="O11" s="7">
        <v>3</v>
      </c>
      <c r="P11" s="5">
        <v>1</v>
      </c>
      <c r="Q11" s="7">
        <v>46752.800000000047</v>
      </c>
      <c r="R11" s="7">
        <v>0</v>
      </c>
      <c r="S11" s="7">
        <v>1025.8455384683216</v>
      </c>
      <c r="T11" s="7">
        <v>0</v>
      </c>
    </row>
    <row r="12" spans="2:20" x14ac:dyDescent="0.2">
      <c r="B12" s="4">
        <v>9</v>
      </c>
      <c r="C12" s="4">
        <v>529</v>
      </c>
      <c r="D12" s="12">
        <v>63471.834029999998</v>
      </c>
      <c r="E12" s="7">
        <v>1.2460019588</v>
      </c>
      <c r="F12" s="7">
        <v>3</v>
      </c>
      <c r="G12" s="5">
        <v>0</v>
      </c>
      <c r="H12" s="7">
        <v>44285</v>
      </c>
      <c r="I12" s="7">
        <v>2.7934551416528239</v>
      </c>
      <c r="J12" s="7">
        <v>1399.9297170282446</v>
      </c>
      <c r="K12" s="7">
        <v>0</v>
      </c>
      <c r="L12" s="23">
        <v>506</v>
      </c>
      <c r="M12" s="12">
        <v>57792.8001</v>
      </c>
      <c r="N12" s="7">
        <v>110.4749560356</v>
      </c>
      <c r="O12" s="7">
        <v>5</v>
      </c>
      <c r="P12" s="5">
        <v>5</v>
      </c>
      <c r="Q12" s="7">
        <v>61973.199999999939</v>
      </c>
      <c r="R12" s="7">
        <v>0</v>
      </c>
      <c r="S12" s="7">
        <v>1057.5314156238067</v>
      </c>
      <c r="T12" s="7">
        <v>8.9800000000000001E-3</v>
      </c>
    </row>
    <row r="13" spans="2:20" x14ac:dyDescent="0.2">
      <c r="B13" s="4">
        <v>10</v>
      </c>
      <c r="C13" s="4">
        <v>5</v>
      </c>
      <c r="D13" s="12">
        <v>54636.396130000001</v>
      </c>
      <c r="E13" s="7">
        <v>6.8858029841999997</v>
      </c>
      <c r="F13" s="7">
        <v>3</v>
      </c>
      <c r="G13" s="5">
        <v>2</v>
      </c>
      <c r="H13" s="7">
        <v>24773.59999999998</v>
      </c>
      <c r="I13" s="7">
        <v>0</v>
      </c>
      <c r="J13" s="7">
        <v>1035.0589825029501</v>
      </c>
      <c r="K13" s="7">
        <v>0</v>
      </c>
      <c r="L13" s="23">
        <v>892</v>
      </c>
      <c r="M13" s="12">
        <v>58686.953500000003</v>
      </c>
      <c r="N13" s="7">
        <v>9.7203970000000001E-2</v>
      </c>
      <c r="O13" s="7">
        <v>3</v>
      </c>
      <c r="P13" s="5">
        <v>4</v>
      </c>
      <c r="Q13" s="7">
        <v>45199</v>
      </c>
      <c r="R13" s="7">
        <v>4.6238995816912531</v>
      </c>
      <c r="S13" s="7">
        <v>1232.2059071816018</v>
      </c>
      <c r="T13" s="7">
        <v>0</v>
      </c>
    </row>
    <row r="14" spans="2:20" x14ac:dyDescent="0.2">
      <c r="B14" s="47" t="s">
        <v>3</v>
      </c>
      <c r="C14" s="48"/>
      <c r="D14" s="9">
        <f t="shared" ref="D14:K14" si="0">AVERAGE(D4:D13)</f>
        <v>54798.871950000015</v>
      </c>
      <c r="E14" s="22">
        <f>AVERAGE(E4:E13)</f>
        <v>19.463182926169999</v>
      </c>
      <c r="F14" s="20">
        <f t="shared" si="0"/>
        <v>3.4</v>
      </c>
      <c r="G14" s="11">
        <f t="shared" si="0"/>
        <v>1.3</v>
      </c>
      <c r="H14" s="9">
        <f t="shared" si="0"/>
        <v>32836.219999999987</v>
      </c>
      <c r="I14" s="13">
        <f t="shared" si="0"/>
        <v>1.2573433302173198</v>
      </c>
      <c r="J14" s="13">
        <f t="shared" si="0"/>
        <v>1147.8165352725675</v>
      </c>
      <c r="K14" s="11">
        <f t="shared" si="0"/>
        <v>0</v>
      </c>
      <c r="L14" s="16"/>
      <c r="M14" s="16">
        <f t="shared" ref="M14:T14" si="1">AVERAGE(M4:M13)</f>
        <v>50115.694089999997</v>
      </c>
      <c r="N14" s="21">
        <f t="shared" si="1"/>
        <v>69.692335891740015</v>
      </c>
      <c r="O14" s="18">
        <f t="shared" si="1"/>
        <v>3.7</v>
      </c>
      <c r="P14" s="18">
        <f t="shared" si="1"/>
        <v>2.1000000216316419</v>
      </c>
      <c r="Q14" s="16">
        <f t="shared" si="1"/>
        <v>51026.06</v>
      </c>
      <c r="R14" s="17">
        <f t="shared" si="1"/>
        <v>9.2438048701754703</v>
      </c>
      <c r="S14" s="17">
        <f t="shared" si="1"/>
        <v>1267.0526334970168</v>
      </c>
      <c r="T14" s="18">
        <f t="shared" si="1"/>
        <v>1.6789999999999999E-3</v>
      </c>
    </row>
  </sheetData>
  <mergeCells count="1">
    <mergeCell ref="B14:C14"/>
  </mergeCells>
  <conditionalFormatting sqref="L1:L1048576">
    <cfRule type="duplicateValues" dxfId="29" priority="1"/>
  </conditionalFormatting>
  <conditionalFormatting sqref="L14">
    <cfRule type="duplicateValues" dxfId="28" priority="2"/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31509-71FF-EA43-9AAA-277FB64A01E8}">
  <dimension ref="B3:T14"/>
  <sheetViews>
    <sheetView topLeftCell="G1" zoomScale="118" zoomScaleNormal="120" workbookViewId="0">
      <selection activeCell="Q15" sqref="Q15"/>
    </sheetView>
  </sheetViews>
  <sheetFormatPr baseColWidth="10" defaultColWidth="10.83203125" defaultRowHeight="16" x14ac:dyDescent="0.2"/>
  <cols>
    <col min="1" max="1" width="3.83203125" style="1" customWidth="1"/>
    <col min="2" max="2" width="8.1640625" style="1" bestFit="1" customWidth="1"/>
    <col min="3" max="3" width="5.1640625" style="1" bestFit="1" customWidth="1"/>
    <col min="4" max="4" width="16.6640625" style="1" customWidth="1"/>
    <col min="5" max="5" width="9.5" style="1" bestFit="1" customWidth="1"/>
    <col min="6" max="6" width="9.1640625" style="1" bestFit="1" customWidth="1"/>
    <col min="7" max="7" width="13.33203125" style="1" bestFit="1" customWidth="1"/>
    <col min="8" max="8" width="19.33203125" style="1" bestFit="1" customWidth="1"/>
    <col min="9" max="9" width="12" style="1" bestFit="1" customWidth="1"/>
    <col min="10" max="10" width="18.6640625" style="1" bestFit="1" customWidth="1"/>
    <col min="11" max="11" width="6.6640625" style="1" bestFit="1" customWidth="1"/>
    <col min="12" max="12" width="8.6640625" style="1" bestFit="1" customWidth="1"/>
    <col min="13" max="13" width="12.6640625" style="1" bestFit="1" customWidth="1"/>
    <col min="14" max="15" width="10.83203125" style="1"/>
    <col min="16" max="16" width="13.33203125" style="1" bestFit="1" customWidth="1"/>
    <col min="17" max="17" width="19.33203125" style="1" bestFit="1" customWidth="1"/>
    <col min="18" max="18" width="12" style="1" bestFit="1" customWidth="1"/>
    <col min="19" max="19" width="18" style="1" bestFit="1" customWidth="1"/>
    <col min="20" max="16384" width="10.83203125" style="1"/>
  </cols>
  <sheetData>
    <row r="3" spans="2:20" x14ac:dyDescent="0.2">
      <c r="B3" s="8" t="s">
        <v>7</v>
      </c>
      <c r="C3" s="8" t="s">
        <v>4</v>
      </c>
      <c r="D3" s="8" t="s">
        <v>0</v>
      </c>
      <c r="E3" s="8" t="s">
        <v>5</v>
      </c>
      <c r="F3" s="8" t="s">
        <v>12</v>
      </c>
      <c r="G3" s="8" t="s">
        <v>8</v>
      </c>
      <c r="H3" s="8" t="s">
        <v>9</v>
      </c>
      <c r="I3" s="8" t="s">
        <v>11</v>
      </c>
      <c r="J3" s="8" t="s">
        <v>10</v>
      </c>
      <c r="K3" s="8" t="s">
        <v>1</v>
      </c>
      <c r="L3" s="15" t="s">
        <v>13</v>
      </c>
      <c r="M3" s="15" t="s">
        <v>0</v>
      </c>
      <c r="N3" s="15" t="s">
        <v>5</v>
      </c>
      <c r="O3" s="15" t="s">
        <v>12</v>
      </c>
      <c r="P3" s="15" t="s">
        <v>8</v>
      </c>
      <c r="Q3" s="15" t="s">
        <v>9</v>
      </c>
      <c r="R3" s="15" t="s">
        <v>11</v>
      </c>
      <c r="S3" s="15" t="s">
        <v>10</v>
      </c>
      <c r="T3" s="15" t="s">
        <v>1</v>
      </c>
    </row>
    <row r="4" spans="2:20" x14ac:dyDescent="0.2">
      <c r="B4" s="4">
        <v>1</v>
      </c>
      <c r="C4" s="4">
        <v>25</v>
      </c>
      <c r="D4" s="12">
        <v>62785.887289999999</v>
      </c>
      <c r="E4" s="7">
        <v>20.7302150726</v>
      </c>
      <c r="F4" s="7">
        <v>5</v>
      </c>
      <c r="G4" s="5">
        <v>4</v>
      </c>
      <c r="H4" s="7">
        <v>31780</v>
      </c>
      <c r="I4" s="7">
        <v>0</v>
      </c>
      <c r="J4" s="7">
        <v>1044.3215655818944</v>
      </c>
      <c r="K4" s="7">
        <v>0</v>
      </c>
      <c r="L4" s="23">
        <v>43</v>
      </c>
      <c r="M4" s="12">
        <v>44630.433420000001</v>
      </c>
      <c r="N4" s="7">
        <v>8.9286229610000003</v>
      </c>
      <c r="O4" s="7">
        <v>4</v>
      </c>
      <c r="P4" s="5">
        <v>2</v>
      </c>
      <c r="Q4" s="7">
        <v>48814</v>
      </c>
      <c r="R4" s="7">
        <v>27.915016240299519</v>
      </c>
      <c r="S4" s="7">
        <v>1165.0832421896298</v>
      </c>
      <c r="T4" s="7">
        <v>0</v>
      </c>
    </row>
    <row r="5" spans="2:20" x14ac:dyDescent="0.2">
      <c r="B5" s="4">
        <v>2</v>
      </c>
      <c r="C5" s="4">
        <v>376</v>
      </c>
      <c r="D5" s="12">
        <v>57564.83915</v>
      </c>
      <c r="E5" s="7">
        <v>11.0528678894</v>
      </c>
      <c r="F5" s="7">
        <v>4</v>
      </c>
      <c r="G5" s="5">
        <v>1</v>
      </c>
      <c r="H5" s="7">
        <v>42821.400000000023</v>
      </c>
      <c r="I5" s="7">
        <v>0</v>
      </c>
      <c r="J5" s="7">
        <v>1209.1743643131203</v>
      </c>
      <c r="K5" s="7">
        <v>0</v>
      </c>
      <c r="L5" s="23">
        <v>247</v>
      </c>
      <c r="M5" s="12">
        <v>48121.397219999999</v>
      </c>
      <c r="N5" s="7">
        <v>7.4699289798999997</v>
      </c>
      <c r="O5" s="7">
        <v>4</v>
      </c>
      <c r="P5" s="5">
        <v>3</v>
      </c>
      <c r="Q5" s="7">
        <v>46141.599999999969</v>
      </c>
      <c r="R5" s="7">
        <v>0.96641034274299864</v>
      </c>
      <c r="S5" s="7">
        <v>1041.9126905826829</v>
      </c>
      <c r="T5" s="7">
        <v>0</v>
      </c>
    </row>
    <row r="6" spans="2:20" x14ac:dyDescent="0.2">
      <c r="B6" s="4">
        <v>3</v>
      </c>
      <c r="C6" s="4">
        <v>519</v>
      </c>
      <c r="D6" s="12">
        <v>39562.799509999997</v>
      </c>
      <c r="E6" s="7">
        <v>7.0716071128999998</v>
      </c>
      <c r="F6" s="7">
        <v>4</v>
      </c>
      <c r="G6" s="5">
        <v>0</v>
      </c>
      <c r="H6" s="7">
        <v>43303.4</v>
      </c>
      <c r="I6" s="7">
        <v>0</v>
      </c>
      <c r="J6" s="7">
        <v>955.01648459857165</v>
      </c>
      <c r="K6" s="7">
        <v>0</v>
      </c>
      <c r="L6" s="23">
        <v>340</v>
      </c>
      <c r="M6" s="12">
        <v>38067.391649999998</v>
      </c>
      <c r="N6" s="7">
        <v>0.33957505230000001</v>
      </c>
      <c r="O6" s="7">
        <v>3</v>
      </c>
      <c r="P6" s="5">
        <v>0</v>
      </c>
      <c r="Q6" s="7">
        <v>40126</v>
      </c>
      <c r="R6" s="7">
        <v>0</v>
      </c>
      <c r="S6" s="7">
        <v>1220.3506135901637</v>
      </c>
      <c r="T6" s="7">
        <v>0</v>
      </c>
    </row>
    <row r="7" spans="2:20" x14ac:dyDescent="0.2">
      <c r="B7" s="4">
        <v>4</v>
      </c>
      <c r="C7" s="4">
        <v>679</v>
      </c>
      <c r="D7" s="12">
        <v>63872.71243</v>
      </c>
      <c r="E7" s="7">
        <v>5.2907969952</v>
      </c>
      <c r="F7" s="7">
        <v>4</v>
      </c>
      <c r="G7" s="5">
        <v>4</v>
      </c>
      <c r="H7" s="7">
        <v>39440</v>
      </c>
      <c r="I7" s="7">
        <v>0.66445903289077257</v>
      </c>
      <c r="J7" s="7">
        <v>1122.8975522159249</v>
      </c>
      <c r="K7" s="7">
        <v>0</v>
      </c>
      <c r="L7" s="23">
        <v>529</v>
      </c>
      <c r="M7" s="12">
        <v>49279.852010000002</v>
      </c>
      <c r="N7" s="7">
        <v>8.6055140495</v>
      </c>
      <c r="O7" s="7">
        <v>4</v>
      </c>
      <c r="P7" s="5">
        <v>3.0000000000023732</v>
      </c>
      <c r="Q7" s="7">
        <v>65675</v>
      </c>
      <c r="R7" s="7">
        <v>0</v>
      </c>
      <c r="S7" s="7">
        <v>1094.1990754515341</v>
      </c>
      <c r="T7" s="7">
        <v>0</v>
      </c>
    </row>
    <row r="8" spans="2:20" x14ac:dyDescent="0.2">
      <c r="B8" s="4">
        <v>5</v>
      </c>
      <c r="C8" s="4">
        <v>833</v>
      </c>
      <c r="D8" s="12">
        <v>81955.652499999997</v>
      </c>
      <c r="E8" s="7">
        <v>1.5340790749</v>
      </c>
      <c r="F8" s="7">
        <v>3</v>
      </c>
      <c r="G8" s="5">
        <v>4</v>
      </c>
      <c r="H8" s="7">
        <v>48529.2</v>
      </c>
      <c r="I8" s="7">
        <v>19.480488378143441</v>
      </c>
      <c r="J8" s="7">
        <v>1210.6447741059781</v>
      </c>
      <c r="K8" s="7">
        <v>0</v>
      </c>
      <c r="L8" s="23">
        <v>393</v>
      </c>
      <c r="M8" s="12">
        <v>47295.118340000001</v>
      </c>
      <c r="N8" s="7">
        <v>2.7589468955999998</v>
      </c>
      <c r="O8" s="7">
        <v>3</v>
      </c>
      <c r="P8" s="5">
        <v>3</v>
      </c>
      <c r="Q8" s="7">
        <v>50570.199999999953</v>
      </c>
      <c r="R8" s="7">
        <v>0</v>
      </c>
      <c r="S8" s="7">
        <v>998.27381412992918</v>
      </c>
      <c r="T8" s="7">
        <v>0</v>
      </c>
    </row>
    <row r="9" spans="2:20" x14ac:dyDescent="0.2">
      <c r="B9" s="4">
        <v>6</v>
      </c>
      <c r="C9" s="4">
        <v>818</v>
      </c>
      <c r="D9" s="12">
        <v>43898.282809999997</v>
      </c>
      <c r="E9" s="7">
        <v>3.8085639477000002</v>
      </c>
      <c r="F9" s="7">
        <v>4</v>
      </c>
      <c r="G9" s="5">
        <v>2</v>
      </c>
      <c r="H9" s="7">
        <v>34340.400000000001</v>
      </c>
      <c r="I9" s="7">
        <v>0</v>
      </c>
      <c r="J9" s="7">
        <v>857.77277604209451</v>
      </c>
      <c r="K9" s="7">
        <v>0</v>
      </c>
      <c r="L9" s="23">
        <v>830</v>
      </c>
      <c r="M9" s="12">
        <v>52304.328759999997</v>
      </c>
      <c r="N9" s="7">
        <v>7.7080278396999997</v>
      </c>
      <c r="O9" s="7">
        <v>5</v>
      </c>
      <c r="P9" s="5">
        <v>1</v>
      </c>
      <c r="Q9" s="7">
        <v>75134.800000000061</v>
      </c>
      <c r="R9" s="7">
        <v>19.051058491460729</v>
      </c>
      <c r="S9" s="7">
        <v>1475.9685291664671</v>
      </c>
      <c r="T9" s="7">
        <v>0</v>
      </c>
    </row>
    <row r="10" spans="2:20" x14ac:dyDescent="0.2">
      <c r="B10" s="4">
        <v>7</v>
      </c>
      <c r="C10" s="4">
        <v>835</v>
      </c>
      <c r="D10" s="12">
        <v>47443.549449999999</v>
      </c>
      <c r="E10" s="7">
        <v>21.519612073899999</v>
      </c>
      <c r="F10" s="7">
        <v>5</v>
      </c>
      <c r="G10" s="5">
        <v>1</v>
      </c>
      <c r="H10" s="7">
        <v>31037</v>
      </c>
      <c r="I10" s="7">
        <v>0</v>
      </c>
      <c r="J10" s="7">
        <v>1091.3157357652692</v>
      </c>
      <c r="K10" s="7">
        <v>0</v>
      </c>
      <c r="L10" s="23">
        <v>687</v>
      </c>
      <c r="M10" s="12">
        <v>68818.563959999999</v>
      </c>
      <c r="N10" s="7">
        <v>16.377377986900001</v>
      </c>
      <c r="O10" s="7">
        <v>6</v>
      </c>
      <c r="P10" s="5">
        <v>7</v>
      </c>
      <c r="Q10" s="7">
        <v>85241.399999999907</v>
      </c>
      <c r="R10" s="7">
        <v>2.7224073222519563</v>
      </c>
      <c r="S10" s="7">
        <v>1105.4324831802076</v>
      </c>
      <c r="T10" s="7">
        <v>0</v>
      </c>
    </row>
    <row r="11" spans="2:20" x14ac:dyDescent="0.2">
      <c r="B11" s="4">
        <v>8</v>
      </c>
      <c r="C11" s="4">
        <v>897</v>
      </c>
      <c r="D11" s="12">
        <v>63755.098669999999</v>
      </c>
      <c r="E11" s="7">
        <v>5.9802801608999996</v>
      </c>
      <c r="F11" s="7">
        <v>3</v>
      </c>
      <c r="G11" s="5">
        <v>1</v>
      </c>
      <c r="H11" s="7">
        <v>42055.400000000023</v>
      </c>
      <c r="I11" s="7">
        <v>5.3469631811184337</v>
      </c>
      <c r="J11" s="7">
        <v>1309.3016376620833</v>
      </c>
      <c r="K11" s="7">
        <v>0</v>
      </c>
      <c r="L11" s="23">
        <v>730</v>
      </c>
      <c r="M11" s="12">
        <v>45928.55962</v>
      </c>
      <c r="N11" s="7">
        <v>20.407286882400001</v>
      </c>
      <c r="O11" s="7">
        <v>5</v>
      </c>
      <c r="P11" s="5">
        <v>1.0000000419978683</v>
      </c>
      <c r="Q11" s="7">
        <v>63070</v>
      </c>
      <c r="R11" s="7">
        <v>0</v>
      </c>
      <c r="S11" s="7">
        <v>1268.8008461310033</v>
      </c>
      <c r="T11" s="7">
        <v>0</v>
      </c>
    </row>
    <row r="12" spans="2:20" x14ac:dyDescent="0.2">
      <c r="B12" s="4">
        <v>9</v>
      </c>
      <c r="C12" s="4">
        <v>916</v>
      </c>
      <c r="D12" s="12">
        <v>44011.184529999999</v>
      </c>
      <c r="E12" s="7">
        <v>1.0735650063</v>
      </c>
      <c r="F12" s="7">
        <v>3</v>
      </c>
      <c r="G12" s="5">
        <v>1.0000001109011016</v>
      </c>
      <c r="H12" s="7">
        <v>41689.600006653505</v>
      </c>
      <c r="I12" s="7">
        <v>0.20800838295106133</v>
      </c>
      <c r="J12" s="7">
        <v>1098.1709016981047</v>
      </c>
      <c r="K12" s="7">
        <v>0</v>
      </c>
      <c r="L12" s="23">
        <v>41</v>
      </c>
      <c r="M12" s="12">
        <v>71442.88652</v>
      </c>
      <c r="N12" s="7">
        <v>19.407954931300001</v>
      </c>
      <c r="O12" s="7">
        <v>6</v>
      </c>
      <c r="P12" s="5">
        <v>7.0000000000412825</v>
      </c>
      <c r="Q12" s="7">
        <v>85023</v>
      </c>
      <c r="R12" s="7">
        <v>0</v>
      </c>
      <c r="S12" s="7">
        <v>1171.4519507273808</v>
      </c>
      <c r="T12" s="7">
        <v>0</v>
      </c>
    </row>
    <row r="13" spans="2:20" x14ac:dyDescent="0.2">
      <c r="B13" s="4">
        <v>10</v>
      </c>
      <c r="C13" s="4">
        <v>91</v>
      </c>
      <c r="D13" s="12">
        <v>56176.612079999999</v>
      </c>
      <c r="E13" s="7">
        <v>1.3052439689999999</v>
      </c>
      <c r="F13" s="7">
        <v>3</v>
      </c>
      <c r="G13" s="5">
        <v>1</v>
      </c>
      <c r="H13" s="7">
        <v>43802.600000000006</v>
      </c>
      <c r="I13" s="7">
        <v>0</v>
      </c>
      <c r="J13" s="7">
        <v>1078.7532740469517</v>
      </c>
      <c r="K13" s="7">
        <v>0</v>
      </c>
      <c r="L13" s="23">
        <v>814</v>
      </c>
      <c r="M13" s="12">
        <v>45511.153789999997</v>
      </c>
      <c r="N13" s="7">
        <v>7.0254921912999997</v>
      </c>
      <c r="O13" s="7">
        <v>4</v>
      </c>
      <c r="P13" s="5">
        <v>1</v>
      </c>
      <c r="Q13" s="7">
        <v>61442.400000000031</v>
      </c>
      <c r="R13" s="7">
        <v>0</v>
      </c>
      <c r="S13" s="7">
        <v>1374.9405754866207</v>
      </c>
      <c r="T13" s="7">
        <v>0</v>
      </c>
    </row>
    <row r="14" spans="2:20" x14ac:dyDescent="0.2">
      <c r="B14" s="47" t="s">
        <v>3</v>
      </c>
      <c r="C14" s="48"/>
      <c r="D14" s="9">
        <f t="shared" ref="D14:K14" si="0">AVERAGE(D4:D13)</f>
        <v>56102.661841999994</v>
      </c>
      <c r="E14" s="22">
        <f>AVERAGE(E4:E13)</f>
        <v>7.9366831302799996</v>
      </c>
      <c r="F14" s="20">
        <f t="shared" si="0"/>
        <v>3.8</v>
      </c>
      <c r="G14" s="11">
        <f t="shared" si="0"/>
        <v>1.9000000110901101</v>
      </c>
      <c r="H14" s="9">
        <f t="shared" si="0"/>
        <v>39879.900000665359</v>
      </c>
      <c r="I14" s="13">
        <f t="shared" si="0"/>
        <v>2.5699918975103708</v>
      </c>
      <c r="J14" s="13">
        <f t="shared" si="0"/>
        <v>1097.7369066029992</v>
      </c>
      <c r="K14" s="11">
        <f t="shared" si="0"/>
        <v>0</v>
      </c>
      <c r="L14" s="16"/>
      <c r="M14" s="16">
        <f t="shared" ref="M14:T14" si="1">AVERAGE(M4:M13)</f>
        <v>51139.968529000005</v>
      </c>
      <c r="N14" s="21">
        <f t="shared" si="1"/>
        <v>9.9028727769899998</v>
      </c>
      <c r="O14" s="18">
        <f t="shared" si="1"/>
        <v>4.4000000000000004</v>
      </c>
      <c r="P14" s="18">
        <f t="shared" si="1"/>
        <v>2.8000000042041524</v>
      </c>
      <c r="Q14" s="16">
        <f t="shared" si="1"/>
        <v>62123.839999999989</v>
      </c>
      <c r="R14" s="17">
        <f t="shared" si="1"/>
        <v>5.0654892396755198</v>
      </c>
      <c r="S14" s="17">
        <f t="shared" si="1"/>
        <v>1191.6413820635619</v>
      </c>
      <c r="T14" s="18">
        <f t="shared" si="1"/>
        <v>0</v>
      </c>
    </row>
  </sheetData>
  <mergeCells count="1">
    <mergeCell ref="B14:C14"/>
  </mergeCells>
  <conditionalFormatting sqref="L1:L1048576">
    <cfRule type="duplicateValues" dxfId="27" priority="1"/>
  </conditionalFormatting>
  <conditionalFormatting sqref="L14">
    <cfRule type="duplicateValues" dxfId="26" priority="2"/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B8D74-4DFA-4C42-BEED-19193AABC341}">
  <dimension ref="B3:T17"/>
  <sheetViews>
    <sheetView topLeftCell="C1" zoomScale="117" zoomScaleNormal="120" workbookViewId="0">
      <selection activeCell="M4" sqref="M4:T13"/>
    </sheetView>
  </sheetViews>
  <sheetFormatPr baseColWidth="10" defaultColWidth="10.83203125" defaultRowHeight="16" x14ac:dyDescent="0.2"/>
  <cols>
    <col min="1" max="1" width="3.83203125" style="1" customWidth="1"/>
    <col min="2" max="2" width="8.1640625" style="1" bestFit="1" customWidth="1"/>
    <col min="3" max="3" width="5.1640625" style="1" bestFit="1" customWidth="1"/>
    <col min="4" max="4" width="16.6640625" style="1" customWidth="1"/>
    <col min="5" max="5" width="9.5" style="1" bestFit="1" customWidth="1"/>
    <col min="6" max="6" width="9.1640625" style="1" bestFit="1" customWidth="1"/>
    <col min="7" max="7" width="13.33203125" style="1" bestFit="1" customWidth="1"/>
    <col min="8" max="8" width="19.33203125" style="1" bestFit="1" customWidth="1"/>
    <col min="9" max="9" width="12" style="1" bestFit="1" customWidth="1"/>
    <col min="10" max="10" width="18.6640625" style="1" bestFit="1" customWidth="1"/>
    <col min="11" max="11" width="6.6640625" style="1" bestFit="1" customWidth="1"/>
    <col min="12" max="12" width="8.6640625" style="1" bestFit="1" customWidth="1"/>
    <col min="13" max="13" width="12.6640625" style="1" bestFit="1" customWidth="1"/>
    <col min="14" max="15" width="10.83203125" style="1"/>
    <col min="16" max="16" width="13.33203125" style="1" bestFit="1" customWidth="1"/>
    <col min="17" max="17" width="19.33203125" style="1" bestFit="1" customWidth="1"/>
    <col min="18" max="18" width="12" style="1" bestFit="1" customWidth="1"/>
    <col min="19" max="19" width="18" style="1" bestFit="1" customWidth="1"/>
    <col min="20" max="16384" width="10.83203125" style="1"/>
  </cols>
  <sheetData>
    <row r="3" spans="2:20" x14ac:dyDescent="0.2">
      <c r="B3" s="8" t="s">
        <v>7</v>
      </c>
      <c r="C3" s="8" t="s">
        <v>4</v>
      </c>
      <c r="D3" s="8" t="s">
        <v>0</v>
      </c>
      <c r="E3" s="8" t="s">
        <v>5</v>
      </c>
      <c r="F3" s="8" t="s">
        <v>12</v>
      </c>
      <c r="G3" s="8" t="s">
        <v>8</v>
      </c>
      <c r="H3" s="8" t="s">
        <v>9</v>
      </c>
      <c r="I3" s="8" t="s">
        <v>11</v>
      </c>
      <c r="J3" s="8" t="s">
        <v>10</v>
      </c>
      <c r="K3" s="8" t="s">
        <v>1</v>
      </c>
      <c r="L3" s="15" t="s">
        <v>13</v>
      </c>
      <c r="M3" s="15" t="s">
        <v>0</v>
      </c>
      <c r="N3" s="15" t="s">
        <v>5</v>
      </c>
      <c r="O3" s="15" t="s">
        <v>12</v>
      </c>
      <c r="P3" s="15" t="s">
        <v>8</v>
      </c>
      <c r="Q3" s="15" t="s">
        <v>9</v>
      </c>
      <c r="R3" s="15" t="s">
        <v>11</v>
      </c>
      <c r="S3" s="15" t="s">
        <v>10</v>
      </c>
      <c r="T3" s="15" t="s">
        <v>1</v>
      </c>
    </row>
    <row r="4" spans="2:20" x14ac:dyDescent="0.2">
      <c r="B4" s="4">
        <v>1</v>
      </c>
      <c r="C4" s="4">
        <v>76</v>
      </c>
      <c r="D4" s="12">
        <v>77933.994040000005</v>
      </c>
      <c r="E4" s="7">
        <v>0.83094000820000002</v>
      </c>
      <c r="F4" s="7">
        <v>4</v>
      </c>
      <c r="G4" s="5">
        <v>3</v>
      </c>
      <c r="H4" s="7">
        <v>39699</v>
      </c>
      <c r="I4" s="7">
        <v>9.7799781605203737</v>
      </c>
      <c r="J4" s="7">
        <v>1608.3276765656285</v>
      </c>
      <c r="K4" s="7">
        <v>0</v>
      </c>
      <c r="L4" s="4">
        <v>76</v>
      </c>
      <c r="M4" s="12">
        <v>63958.883300000001</v>
      </c>
      <c r="N4" s="7">
        <v>1.0320968628</v>
      </c>
      <c r="O4" s="7">
        <v>4</v>
      </c>
      <c r="P4" s="5">
        <v>3</v>
      </c>
      <c r="Q4" s="7">
        <v>52659</v>
      </c>
      <c r="R4" s="7">
        <v>2.5273768134572339</v>
      </c>
      <c r="S4" s="7">
        <v>1537.8658458214791</v>
      </c>
      <c r="T4" s="7">
        <v>0</v>
      </c>
    </row>
    <row r="5" spans="2:20" x14ac:dyDescent="0.2">
      <c r="B5" s="4">
        <v>2</v>
      </c>
      <c r="C5" s="4">
        <v>166</v>
      </c>
      <c r="D5" s="12">
        <v>43341.042630000004</v>
      </c>
      <c r="E5" s="7">
        <v>73.768368959399993</v>
      </c>
      <c r="F5" s="7">
        <v>4</v>
      </c>
      <c r="G5" s="5">
        <v>0</v>
      </c>
      <c r="H5" s="7">
        <v>38747.79999999993</v>
      </c>
      <c r="I5" s="7">
        <v>0</v>
      </c>
      <c r="J5" s="7">
        <v>980.90606496510475</v>
      </c>
      <c r="K5" s="7">
        <v>0</v>
      </c>
      <c r="L5" s="4">
        <v>166</v>
      </c>
      <c r="M5" s="12">
        <v>30350.467079999999</v>
      </c>
      <c r="N5" s="7">
        <v>33.503880977599998</v>
      </c>
      <c r="O5" s="7">
        <v>4</v>
      </c>
      <c r="P5" s="5">
        <v>0</v>
      </c>
      <c r="Q5" s="7">
        <v>51189.399999999907</v>
      </c>
      <c r="R5" s="7">
        <v>0</v>
      </c>
      <c r="S5" s="7">
        <v>938.43859624080096</v>
      </c>
      <c r="T5" s="7">
        <v>0</v>
      </c>
    </row>
    <row r="6" spans="2:20" x14ac:dyDescent="0.2">
      <c r="B6" s="4">
        <v>3</v>
      </c>
      <c r="C6" s="4">
        <v>181</v>
      </c>
      <c r="D6" s="12">
        <v>41082.672290000002</v>
      </c>
      <c r="E6" s="7">
        <v>0.13927102089999999</v>
      </c>
      <c r="F6" s="7">
        <v>3</v>
      </c>
      <c r="G6" s="5">
        <v>0</v>
      </c>
      <c r="H6" s="7">
        <v>27157.8</v>
      </c>
      <c r="I6" s="7">
        <v>0</v>
      </c>
      <c r="J6" s="7">
        <v>939.56396617602013</v>
      </c>
      <c r="K6" s="7">
        <v>0</v>
      </c>
      <c r="L6" s="4">
        <v>181</v>
      </c>
      <c r="M6" s="12">
        <v>28826.82603</v>
      </c>
      <c r="N6" s="7">
        <v>0.12386202809999999</v>
      </c>
      <c r="O6" s="7">
        <v>3</v>
      </c>
      <c r="P6" s="5">
        <v>0</v>
      </c>
      <c r="Q6" s="7">
        <v>47126</v>
      </c>
      <c r="R6" s="7">
        <v>0</v>
      </c>
      <c r="S6" s="7">
        <v>889.29423836271383</v>
      </c>
      <c r="T6" s="7">
        <v>0</v>
      </c>
    </row>
    <row r="7" spans="2:20" x14ac:dyDescent="0.2">
      <c r="B7" s="4">
        <v>4</v>
      </c>
      <c r="C7" s="4">
        <v>4</v>
      </c>
      <c r="D7" s="12">
        <v>51679.789279999997</v>
      </c>
      <c r="E7" s="7">
        <v>50.693924903899998</v>
      </c>
      <c r="F7" s="7">
        <v>3</v>
      </c>
      <c r="G7" s="5">
        <v>2</v>
      </c>
      <c r="H7" s="7">
        <v>22176</v>
      </c>
      <c r="I7" s="7">
        <v>0</v>
      </c>
      <c r="J7" s="7">
        <v>1056.0146956119513</v>
      </c>
      <c r="K7" s="7">
        <v>0</v>
      </c>
      <c r="L7" s="4">
        <v>4</v>
      </c>
      <c r="M7" s="12">
        <v>37048.790840000001</v>
      </c>
      <c r="N7" s="7">
        <v>31.080931901900001</v>
      </c>
      <c r="O7" s="7">
        <v>3</v>
      </c>
      <c r="P7" s="5">
        <v>2</v>
      </c>
      <c r="Q7" s="7">
        <v>34936</v>
      </c>
      <c r="R7" s="7">
        <v>0</v>
      </c>
      <c r="S7" s="7">
        <v>890.47462291240129</v>
      </c>
      <c r="T7" s="7">
        <v>0</v>
      </c>
    </row>
    <row r="8" spans="2:20" x14ac:dyDescent="0.2">
      <c r="B8" s="4">
        <v>5</v>
      </c>
      <c r="C8" s="4">
        <v>122</v>
      </c>
      <c r="D8" s="12">
        <v>45500.06033</v>
      </c>
      <c r="E8" s="7">
        <v>0.74572205540000003</v>
      </c>
      <c r="F8" s="7">
        <v>3</v>
      </c>
      <c r="G8" s="5">
        <v>0</v>
      </c>
      <c r="H8" s="7">
        <v>32834.6</v>
      </c>
      <c r="I8" s="7">
        <v>0</v>
      </c>
      <c r="J8" s="7">
        <v>1002.4854351502082</v>
      </c>
      <c r="K8" s="7">
        <v>0</v>
      </c>
      <c r="L8" s="4">
        <v>122</v>
      </c>
      <c r="M8" s="12">
        <v>27724.134829999999</v>
      </c>
      <c r="N8" s="7">
        <v>2.0435779095000002</v>
      </c>
      <c r="O8" s="7">
        <v>3</v>
      </c>
      <c r="P8" s="5">
        <v>0</v>
      </c>
      <c r="Q8" s="7">
        <v>45506.599999999977</v>
      </c>
      <c r="R8" s="7">
        <v>0</v>
      </c>
      <c r="S8" s="7">
        <v>876.86277021574995</v>
      </c>
      <c r="T8" s="7">
        <v>0</v>
      </c>
    </row>
    <row r="9" spans="2:20" x14ac:dyDescent="0.2">
      <c r="B9" s="4">
        <v>6</v>
      </c>
      <c r="C9" s="4">
        <v>583</v>
      </c>
      <c r="D9" s="12">
        <v>57415.758690000002</v>
      </c>
      <c r="E9" s="7">
        <v>23.839729070699999</v>
      </c>
      <c r="F9" s="7">
        <v>3</v>
      </c>
      <c r="G9" s="5">
        <v>2</v>
      </c>
      <c r="H9" s="7">
        <v>21028</v>
      </c>
      <c r="I9" s="7">
        <v>0</v>
      </c>
      <c r="J9" s="7">
        <v>1185.5418450202017</v>
      </c>
      <c r="K9" s="7">
        <v>0</v>
      </c>
      <c r="L9" s="4">
        <v>583</v>
      </c>
      <c r="M9" s="12">
        <v>43218.333200000001</v>
      </c>
      <c r="N9" s="7">
        <v>53.933277130100002</v>
      </c>
      <c r="O9" s="7">
        <v>3</v>
      </c>
      <c r="P9" s="5">
        <v>2</v>
      </c>
      <c r="Q9" s="7">
        <v>39054.400000000023</v>
      </c>
      <c r="R9" s="7">
        <v>0</v>
      </c>
      <c r="S9" s="7">
        <v>1045.3255342642251</v>
      </c>
      <c r="T9" s="7">
        <v>0</v>
      </c>
    </row>
    <row r="10" spans="2:20" x14ac:dyDescent="0.2">
      <c r="B10" s="4">
        <v>7</v>
      </c>
      <c r="C10" s="4">
        <v>810</v>
      </c>
      <c r="D10" s="12">
        <v>57210.02708</v>
      </c>
      <c r="E10" s="7">
        <v>36.246574163399998</v>
      </c>
      <c r="F10" s="7">
        <v>5</v>
      </c>
      <c r="G10" s="5">
        <v>2</v>
      </c>
      <c r="H10" s="7">
        <v>29671.599999999973</v>
      </c>
      <c r="I10" s="7">
        <v>0</v>
      </c>
      <c r="J10" s="7">
        <v>1099.8381775800226</v>
      </c>
      <c r="K10" s="7">
        <v>0</v>
      </c>
      <c r="L10" s="4">
        <v>810</v>
      </c>
      <c r="M10" s="12">
        <v>41131.803269999997</v>
      </c>
      <c r="N10" s="7">
        <v>245.67706489560001</v>
      </c>
      <c r="O10" s="7">
        <v>5</v>
      </c>
      <c r="P10" s="5">
        <v>2</v>
      </c>
      <c r="Q10" s="7">
        <v>50414</v>
      </c>
      <c r="R10" s="7">
        <v>0</v>
      </c>
      <c r="S10" s="7">
        <v>1002.335720561398</v>
      </c>
      <c r="T10" s="7">
        <v>3.8500000000000001E-3</v>
      </c>
    </row>
    <row r="11" spans="2:20" x14ac:dyDescent="0.2">
      <c r="B11" s="4">
        <v>8</v>
      </c>
      <c r="C11" s="4">
        <v>468</v>
      </c>
      <c r="D11" s="12">
        <v>55717.144999999997</v>
      </c>
      <c r="E11" s="7">
        <v>0.2354941368</v>
      </c>
      <c r="F11" s="7">
        <v>3</v>
      </c>
      <c r="G11" s="5">
        <v>2</v>
      </c>
      <c r="H11" s="7">
        <v>47988.800000000003</v>
      </c>
      <c r="I11" s="7">
        <v>0</v>
      </c>
      <c r="J11" s="7">
        <v>1170.4987921253435</v>
      </c>
      <c r="K11" s="7">
        <v>0</v>
      </c>
      <c r="L11" s="4">
        <v>468</v>
      </c>
      <c r="M11" s="12">
        <v>46119.385000000002</v>
      </c>
      <c r="N11" s="7">
        <v>0.40817809100000002</v>
      </c>
      <c r="O11" s="7">
        <v>3</v>
      </c>
      <c r="P11" s="5">
        <v>2</v>
      </c>
      <c r="Q11" s="7">
        <v>47989</v>
      </c>
      <c r="R11" s="7">
        <v>0</v>
      </c>
      <c r="S11" s="7">
        <v>1170.498792125343</v>
      </c>
      <c r="T11" s="7">
        <v>0</v>
      </c>
    </row>
    <row r="12" spans="2:20" x14ac:dyDescent="0.2">
      <c r="B12" s="4">
        <v>9</v>
      </c>
      <c r="C12" s="4">
        <v>529</v>
      </c>
      <c r="D12" s="12">
        <v>63471.834029999998</v>
      </c>
      <c r="E12" s="7">
        <v>1.2460019588</v>
      </c>
      <c r="F12" s="7">
        <v>3</v>
      </c>
      <c r="G12" s="5">
        <v>0</v>
      </c>
      <c r="H12" s="7">
        <v>44285</v>
      </c>
      <c r="I12" s="7">
        <v>2.7934551416528239</v>
      </c>
      <c r="J12" s="7">
        <v>1399.9297170282446</v>
      </c>
      <c r="K12" s="7">
        <v>0</v>
      </c>
      <c r="L12" s="4">
        <v>529</v>
      </c>
      <c r="M12" s="12">
        <v>43543.584029999998</v>
      </c>
      <c r="N12" s="7">
        <v>1.3786280154999999</v>
      </c>
      <c r="O12" s="7">
        <v>3</v>
      </c>
      <c r="P12" s="5">
        <v>0</v>
      </c>
      <c r="Q12" s="7">
        <v>44285</v>
      </c>
      <c r="R12" s="7">
        <v>2.7934551417191265</v>
      </c>
      <c r="S12" s="7">
        <v>1399.9297170289708</v>
      </c>
      <c r="T12" s="7">
        <v>0</v>
      </c>
    </row>
    <row r="13" spans="2:20" x14ac:dyDescent="0.2">
      <c r="B13" s="4">
        <v>10</v>
      </c>
      <c r="C13" s="4">
        <v>5</v>
      </c>
      <c r="D13" s="12">
        <v>54636.396130000001</v>
      </c>
      <c r="E13" s="7">
        <v>6.8858029841999997</v>
      </c>
      <c r="F13" s="7">
        <v>3</v>
      </c>
      <c r="G13" s="5">
        <v>2</v>
      </c>
      <c r="H13" s="7">
        <v>24773.59999999998</v>
      </c>
      <c r="I13" s="7">
        <v>0</v>
      </c>
      <c r="J13" s="7">
        <v>1035.0589825029501</v>
      </c>
      <c r="K13" s="7">
        <v>0</v>
      </c>
      <c r="L13" s="4">
        <v>5</v>
      </c>
      <c r="M13" s="12">
        <v>36989.23646</v>
      </c>
      <c r="N13" s="7">
        <v>6.877974987</v>
      </c>
      <c r="O13" s="7">
        <v>3</v>
      </c>
      <c r="P13" s="5">
        <v>2</v>
      </c>
      <c r="Q13" s="7">
        <v>41808.79999999993</v>
      </c>
      <c r="R13" s="7">
        <v>0</v>
      </c>
      <c r="S13" s="7">
        <v>824.02420320631938</v>
      </c>
      <c r="T13" s="7">
        <v>0</v>
      </c>
    </row>
    <row r="14" spans="2:20" x14ac:dyDescent="0.2">
      <c r="B14" s="47" t="s">
        <v>3</v>
      </c>
      <c r="C14" s="48"/>
      <c r="D14" s="9">
        <f t="shared" ref="D14:K14" si="0">AVERAGE(D4:D13)</f>
        <v>54798.871950000015</v>
      </c>
      <c r="E14" s="22">
        <f>AVERAGE(E4:E13)</f>
        <v>19.463182926169999</v>
      </c>
      <c r="F14" s="20">
        <f t="shared" si="0"/>
        <v>3.4</v>
      </c>
      <c r="G14" s="11">
        <f t="shared" si="0"/>
        <v>1.3</v>
      </c>
      <c r="H14" s="9">
        <f t="shared" si="0"/>
        <v>32836.219999999987</v>
      </c>
      <c r="I14" s="13">
        <f t="shared" si="0"/>
        <v>1.2573433302173198</v>
      </c>
      <c r="J14" s="13">
        <f t="shared" si="0"/>
        <v>1147.8165352725675</v>
      </c>
      <c r="K14" s="11">
        <f t="shared" si="0"/>
        <v>0</v>
      </c>
      <c r="L14" s="16"/>
      <c r="M14" s="16">
        <f t="shared" ref="M14:T14" si="1">AVERAGE(M4:M13)</f>
        <v>39891.144403999991</v>
      </c>
      <c r="N14" s="21">
        <f t="shared" si="1"/>
        <v>37.605947279910012</v>
      </c>
      <c r="O14" s="18">
        <f t="shared" si="1"/>
        <v>3.4</v>
      </c>
      <c r="P14" s="18">
        <f t="shared" si="1"/>
        <v>1.3</v>
      </c>
      <c r="Q14" s="16">
        <f t="shared" si="1"/>
        <v>45496.819999999985</v>
      </c>
      <c r="R14" s="17">
        <f t="shared" si="1"/>
        <v>0.53208319551763605</v>
      </c>
      <c r="S14" s="17">
        <f t="shared" si="1"/>
        <v>1057.5050040739402</v>
      </c>
      <c r="T14" s="18">
        <f t="shared" si="1"/>
        <v>3.8500000000000003E-4</v>
      </c>
    </row>
    <row r="15" spans="2:20" x14ac:dyDescent="0.2">
      <c r="D15" s="2"/>
      <c r="E15" s="3"/>
      <c r="F15" s="3"/>
      <c r="G15" s="3"/>
      <c r="H15" s="3"/>
      <c r="I15" s="3"/>
      <c r="J15" s="3"/>
    </row>
    <row r="16" spans="2:20" x14ac:dyDescent="0.2">
      <c r="D16" s="2"/>
    </row>
    <row r="17" spans="4:4" x14ac:dyDescent="0.2">
      <c r="D17" s="2"/>
    </row>
  </sheetData>
  <mergeCells count="1">
    <mergeCell ref="B14:C14"/>
  </mergeCells>
  <conditionalFormatting sqref="L1:L3 L14:L1048576">
    <cfRule type="duplicateValues" dxfId="25" priority="1"/>
  </conditionalFormatting>
  <conditionalFormatting sqref="L14">
    <cfRule type="duplicateValues" dxfId="24" priority="2"/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6186B-A921-934E-86CB-CA4CA5CCE420}">
  <dimension ref="B3:T17"/>
  <sheetViews>
    <sheetView zoomScale="118" zoomScaleNormal="120" workbookViewId="0">
      <selection activeCell="J23" sqref="J23"/>
    </sheetView>
  </sheetViews>
  <sheetFormatPr baseColWidth="10" defaultColWidth="10.83203125" defaultRowHeight="16" x14ac:dyDescent="0.2"/>
  <cols>
    <col min="1" max="1" width="3.83203125" style="1" customWidth="1"/>
    <col min="2" max="2" width="8.1640625" style="1" bestFit="1" customWidth="1"/>
    <col min="3" max="3" width="5.1640625" style="1" bestFit="1" customWidth="1"/>
    <col min="4" max="4" width="16.6640625" style="1" customWidth="1"/>
    <col min="5" max="5" width="9.5" style="1" bestFit="1" customWidth="1"/>
    <col min="6" max="6" width="9.1640625" style="1" bestFit="1" customWidth="1"/>
    <col min="7" max="7" width="13.33203125" style="1" bestFit="1" customWidth="1"/>
    <col min="8" max="8" width="19.33203125" style="1" bestFit="1" customWidth="1"/>
    <col min="9" max="9" width="12" style="1" bestFit="1" customWidth="1"/>
    <col min="10" max="10" width="18.6640625" style="1" bestFit="1" customWidth="1"/>
    <col min="11" max="11" width="6.6640625" style="1" bestFit="1" customWidth="1"/>
    <col min="12" max="12" width="8.6640625" style="1" bestFit="1" customWidth="1"/>
    <col min="13" max="13" width="12.6640625" style="1" bestFit="1" customWidth="1"/>
    <col min="14" max="15" width="10.83203125" style="1"/>
    <col min="16" max="16" width="13.33203125" style="1" bestFit="1" customWidth="1"/>
    <col min="17" max="17" width="19.33203125" style="1" bestFit="1" customWidth="1"/>
    <col min="18" max="18" width="12" style="1" bestFit="1" customWidth="1"/>
    <col min="19" max="19" width="18" style="1" bestFit="1" customWidth="1"/>
    <col min="20" max="16384" width="10.83203125" style="1"/>
  </cols>
  <sheetData>
    <row r="3" spans="2:20" x14ac:dyDescent="0.2">
      <c r="B3" s="8" t="s">
        <v>7</v>
      </c>
      <c r="C3" s="8" t="s">
        <v>4</v>
      </c>
      <c r="D3" s="8" t="s">
        <v>0</v>
      </c>
      <c r="E3" s="8" t="s">
        <v>5</v>
      </c>
      <c r="F3" s="8" t="s">
        <v>12</v>
      </c>
      <c r="G3" s="8" t="s">
        <v>8</v>
      </c>
      <c r="H3" s="8" t="s">
        <v>9</v>
      </c>
      <c r="I3" s="8" t="s">
        <v>11</v>
      </c>
      <c r="J3" s="8" t="s">
        <v>10</v>
      </c>
      <c r="K3" s="8" t="s">
        <v>1</v>
      </c>
      <c r="L3" s="15" t="s">
        <v>13</v>
      </c>
      <c r="M3" s="15" t="s">
        <v>0</v>
      </c>
      <c r="N3" s="15" t="s">
        <v>5</v>
      </c>
      <c r="O3" s="15" t="s">
        <v>12</v>
      </c>
      <c r="P3" s="15" t="s">
        <v>8</v>
      </c>
      <c r="Q3" s="15" t="s">
        <v>9</v>
      </c>
      <c r="R3" s="15" t="s">
        <v>11</v>
      </c>
      <c r="S3" s="15" t="s">
        <v>10</v>
      </c>
      <c r="T3" s="15" t="s">
        <v>1</v>
      </c>
    </row>
    <row r="4" spans="2:20" x14ac:dyDescent="0.2">
      <c r="B4" s="4">
        <v>1</v>
      </c>
      <c r="C4" s="4">
        <v>25</v>
      </c>
      <c r="D4" s="12">
        <v>62785.887289999999</v>
      </c>
      <c r="E4" s="7">
        <v>20.7302150726</v>
      </c>
      <c r="F4" s="7">
        <v>5</v>
      </c>
      <c r="G4" s="5">
        <v>4</v>
      </c>
      <c r="H4" s="7">
        <v>31780</v>
      </c>
      <c r="I4" s="7">
        <v>0</v>
      </c>
      <c r="J4" s="7">
        <v>1044.3215655818944</v>
      </c>
      <c r="K4" s="7">
        <v>0</v>
      </c>
      <c r="L4" s="4">
        <v>25</v>
      </c>
      <c r="M4" s="12">
        <v>48200.753660000002</v>
      </c>
      <c r="N4" s="7">
        <v>17.6081221104</v>
      </c>
      <c r="O4" s="7">
        <v>5</v>
      </c>
      <c r="P4" s="5">
        <v>4</v>
      </c>
      <c r="Q4" s="7">
        <v>52857</v>
      </c>
      <c r="R4" s="7">
        <v>0</v>
      </c>
      <c r="S4" s="7">
        <v>936.07256907090346</v>
      </c>
      <c r="T4" s="7">
        <v>0</v>
      </c>
    </row>
    <row r="5" spans="2:20" x14ac:dyDescent="0.2">
      <c r="B5" s="4">
        <v>2</v>
      </c>
      <c r="C5" s="4">
        <v>376</v>
      </c>
      <c r="D5" s="12">
        <v>57564.83915</v>
      </c>
      <c r="E5" s="7">
        <v>11.0528678894</v>
      </c>
      <c r="F5" s="7">
        <v>4</v>
      </c>
      <c r="G5" s="5">
        <v>1</v>
      </c>
      <c r="H5" s="7">
        <v>42821.400000000023</v>
      </c>
      <c r="I5" s="7">
        <v>0</v>
      </c>
      <c r="J5" s="7">
        <v>1209.1743643131203</v>
      </c>
      <c r="K5" s="7">
        <v>0</v>
      </c>
      <c r="L5" s="4">
        <v>376</v>
      </c>
      <c r="M5" s="12">
        <v>41717.557180000003</v>
      </c>
      <c r="N5" s="7">
        <v>6.8947339057999999</v>
      </c>
      <c r="O5" s="7">
        <v>4</v>
      </c>
      <c r="P5" s="5">
        <v>1</v>
      </c>
      <c r="Q5" s="7">
        <v>56161.400000000023</v>
      </c>
      <c r="R5" s="7">
        <v>0</v>
      </c>
      <c r="S5" s="7">
        <v>1129.8986299708752</v>
      </c>
      <c r="T5" s="7">
        <v>0</v>
      </c>
    </row>
    <row r="6" spans="2:20" x14ac:dyDescent="0.2">
      <c r="B6" s="4">
        <v>3</v>
      </c>
      <c r="C6" s="4">
        <v>519</v>
      </c>
      <c r="D6" s="12">
        <v>39562.799509999997</v>
      </c>
      <c r="E6" s="7">
        <v>7.0716071128999998</v>
      </c>
      <c r="F6" s="7">
        <v>4</v>
      </c>
      <c r="G6" s="5">
        <v>0</v>
      </c>
      <c r="H6" s="7">
        <v>43303.4</v>
      </c>
      <c r="I6" s="7">
        <v>0</v>
      </c>
      <c r="J6" s="7">
        <v>955.01648459857165</v>
      </c>
      <c r="K6" s="7">
        <v>0</v>
      </c>
      <c r="L6" s="4">
        <v>519</v>
      </c>
      <c r="M6" s="12">
        <v>29603.017510000001</v>
      </c>
      <c r="N6" s="7">
        <v>4.4477651118999999</v>
      </c>
      <c r="O6" s="7">
        <v>4</v>
      </c>
      <c r="P6" s="5">
        <v>0</v>
      </c>
      <c r="Q6" s="7">
        <v>43303.400000000023</v>
      </c>
      <c r="R6" s="7">
        <v>0</v>
      </c>
      <c r="S6" s="7">
        <v>955.01648459857563</v>
      </c>
      <c r="T6" s="7">
        <v>0</v>
      </c>
    </row>
    <row r="7" spans="2:20" x14ac:dyDescent="0.2">
      <c r="B7" s="4">
        <v>4</v>
      </c>
      <c r="C7" s="4">
        <v>679</v>
      </c>
      <c r="D7" s="12">
        <v>63872.71243</v>
      </c>
      <c r="E7" s="7">
        <v>5.2907969952</v>
      </c>
      <c r="F7" s="7">
        <v>4</v>
      </c>
      <c r="G7" s="5">
        <v>4</v>
      </c>
      <c r="H7" s="7">
        <v>39440</v>
      </c>
      <c r="I7" s="7">
        <v>0.66445903289077257</v>
      </c>
      <c r="J7" s="7">
        <v>1122.8975522159249</v>
      </c>
      <c r="K7" s="7">
        <v>0</v>
      </c>
      <c r="L7" s="4">
        <v>679</v>
      </c>
      <c r="M7" s="12">
        <v>53693.893259999997</v>
      </c>
      <c r="N7" s="7">
        <v>3.5383698940000001</v>
      </c>
      <c r="O7" s="7">
        <v>4</v>
      </c>
      <c r="P7" s="5">
        <v>4</v>
      </c>
      <c r="Q7" s="7">
        <v>50341.599999999977</v>
      </c>
      <c r="R7" s="7">
        <v>0.66445903289077257</v>
      </c>
      <c r="S7" s="7">
        <v>1105.8928822650196</v>
      </c>
      <c r="T7" s="7">
        <v>0</v>
      </c>
    </row>
    <row r="8" spans="2:20" x14ac:dyDescent="0.2">
      <c r="B8" s="4">
        <v>5</v>
      </c>
      <c r="C8" s="4">
        <v>833</v>
      </c>
      <c r="D8" s="12">
        <v>81955.652499999997</v>
      </c>
      <c r="E8" s="7">
        <v>1.5340790749</v>
      </c>
      <c r="F8" s="7">
        <v>3</v>
      </c>
      <c r="G8" s="5">
        <v>4</v>
      </c>
      <c r="H8" s="7">
        <v>48529.2</v>
      </c>
      <c r="I8" s="7">
        <v>19.480488378143441</v>
      </c>
      <c r="J8" s="7">
        <v>1210.6447741059781</v>
      </c>
      <c r="K8" s="7">
        <v>0</v>
      </c>
      <c r="L8" s="4">
        <v>833</v>
      </c>
      <c r="M8" s="12">
        <v>58661.636500000001</v>
      </c>
      <c r="N8" s="7">
        <v>0.61424016950000004</v>
      </c>
      <c r="O8" s="7">
        <v>3</v>
      </c>
      <c r="P8" s="5">
        <v>4</v>
      </c>
      <c r="Q8" s="7">
        <v>48530</v>
      </c>
      <c r="R8" s="7">
        <v>19.480488378141832</v>
      </c>
      <c r="S8" s="7">
        <v>1210.6447741056784</v>
      </c>
      <c r="T8" s="7">
        <v>0</v>
      </c>
    </row>
    <row r="9" spans="2:20" x14ac:dyDescent="0.2">
      <c r="B9" s="4">
        <v>6</v>
      </c>
      <c r="C9" s="4">
        <v>818</v>
      </c>
      <c r="D9" s="12">
        <v>43898.282809999997</v>
      </c>
      <c r="E9" s="7">
        <v>3.8085639477000002</v>
      </c>
      <c r="F9" s="7">
        <v>4</v>
      </c>
      <c r="G9" s="5">
        <v>2</v>
      </c>
      <c r="H9" s="7">
        <v>34340.400000000001</v>
      </c>
      <c r="I9" s="7">
        <v>0</v>
      </c>
      <c r="J9" s="7">
        <v>857.77277604209451</v>
      </c>
      <c r="K9" s="7">
        <v>0</v>
      </c>
      <c r="L9" s="4">
        <v>818</v>
      </c>
      <c r="M9" s="12">
        <v>36510.18879</v>
      </c>
      <c r="N9" s="7">
        <v>3.1040670871999998</v>
      </c>
      <c r="O9" s="7">
        <v>4</v>
      </c>
      <c r="P9" s="5">
        <v>2</v>
      </c>
      <c r="Q9" s="7">
        <v>45184.800000000047</v>
      </c>
      <c r="R9" s="7">
        <v>0</v>
      </c>
      <c r="S9" s="7">
        <v>842.68275838259433</v>
      </c>
      <c r="T9" s="7">
        <v>0</v>
      </c>
    </row>
    <row r="10" spans="2:20" x14ac:dyDescent="0.2">
      <c r="B10" s="4">
        <v>7</v>
      </c>
      <c r="C10" s="4">
        <v>835</v>
      </c>
      <c r="D10" s="12">
        <v>47443.549449999999</v>
      </c>
      <c r="E10" s="7">
        <v>21.519612073899999</v>
      </c>
      <c r="F10" s="7">
        <v>5</v>
      </c>
      <c r="G10" s="5">
        <v>1</v>
      </c>
      <c r="H10" s="7">
        <v>31037</v>
      </c>
      <c r="I10" s="7">
        <v>0</v>
      </c>
      <c r="J10" s="7">
        <v>1091.3157357652692</v>
      </c>
      <c r="K10" s="7">
        <v>0</v>
      </c>
      <c r="L10" s="4">
        <v>835</v>
      </c>
      <c r="M10" s="12">
        <v>36728.06538</v>
      </c>
      <c r="N10" s="7">
        <v>33.332834959000003</v>
      </c>
      <c r="O10" s="7">
        <v>5</v>
      </c>
      <c r="P10" s="5">
        <v>1</v>
      </c>
      <c r="Q10" s="7">
        <v>49265</v>
      </c>
      <c r="R10" s="7">
        <v>0</v>
      </c>
      <c r="S10" s="7">
        <v>998.60502416164275</v>
      </c>
      <c r="T10" s="7">
        <v>0</v>
      </c>
    </row>
    <row r="11" spans="2:20" x14ac:dyDescent="0.2">
      <c r="B11" s="4">
        <v>8</v>
      </c>
      <c r="C11" s="4">
        <v>897</v>
      </c>
      <c r="D11" s="12">
        <v>63755.098669999999</v>
      </c>
      <c r="E11" s="7">
        <v>5.9802801608999996</v>
      </c>
      <c r="F11" s="7">
        <v>3</v>
      </c>
      <c r="G11" s="5">
        <v>1</v>
      </c>
      <c r="H11" s="7">
        <v>42055.400000000023</v>
      </c>
      <c r="I11" s="7">
        <v>5.3469631811184337</v>
      </c>
      <c r="J11" s="7">
        <v>1309.3016376620833</v>
      </c>
      <c r="K11" s="7">
        <v>0</v>
      </c>
      <c r="L11" s="4">
        <v>897</v>
      </c>
      <c r="M11" s="12">
        <v>48615.154670000004</v>
      </c>
      <c r="N11" s="7">
        <v>5.1200039387</v>
      </c>
      <c r="O11" s="7">
        <v>3</v>
      </c>
      <c r="P11" s="5">
        <v>1</v>
      </c>
      <c r="Q11" s="7">
        <v>42055.400000000023</v>
      </c>
      <c r="R11" s="7">
        <v>5.3469631811184337</v>
      </c>
      <c r="S11" s="7">
        <v>1309.3016376620833</v>
      </c>
      <c r="T11" s="7">
        <v>0</v>
      </c>
    </row>
    <row r="12" spans="2:20" x14ac:dyDescent="0.2">
      <c r="B12" s="4">
        <v>9</v>
      </c>
      <c r="C12" s="4">
        <v>916</v>
      </c>
      <c r="D12" s="12">
        <v>44011.184529999999</v>
      </c>
      <c r="E12" s="7">
        <v>1.0735650063</v>
      </c>
      <c r="F12" s="7">
        <v>3</v>
      </c>
      <c r="G12" s="5">
        <v>1.0000001109011016</v>
      </c>
      <c r="H12" s="7">
        <v>41689.600006653505</v>
      </c>
      <c r="I12" s="7">
        <v>0.20800838295106133</v>
      </c>
      <c r="J12" s="7">
        <v>1098.1709016981047</v>
      </c>
      <c r="K12" s="7">
        <v>0</v>
      </c>
      <c r="L12" s="4">
        <v>916</v>
      </c>
      <c r="M12" s="12">
        <v>39008.573989999997</v>
      </c>
      <c r="N12" s="7">
        <v>0.40965485569999999</v>
      </c>
      <c r="O12" s="7">
        <v>3</v>
      </c>
      <c r="P12" s="5">
        <v>1</v>
      </c>
      <c r="Q12" s="7">
        <v>41691</v>
      </c>
      <c r="R12" s="7">
        <v>0.20800850077173436</v>
      </c>
      <c r="S12" s="7">
        <v>1098.1746002868067</v>
      </c>
      <c r="T12" s="7">
        <v>0</v>
      </c>
    </row>
    <row r="13" spans="2:20" x14ac:dyDescent="0.2">
      <c r="B13" s="4">
        <v>10</v>
      </c>
      <c r="C13" s="4">
        <v>91</v>
      </c>
      <c r="D13" s="12">
        <v>56176.612079999999</v>
      </c>
      <c r="E13" s="7">
        <v>1.3052439689999999</v>
      </c>
      <c r="F13" s="7">
        <v>3</v>
      </c>
      <c r="G13" s="5">
        <v>1</v>
      </c>
      <c r="H13" s="7">
        <v>43802.600000000006</v>
      </c>
      <c r="I13" s="7">
        <v>0</v>
      </c>
      <c r="J13" s="7">
        <v>1078.7532740469517</v>
      </c>
      <c r="K13" s="7">
        <v>0</v>
      </c>
      <c r="L13" s="4">
        <v>91</v>
      </c>
      <c r="M13" s="12">
        <v>39093.598080000003</v>
      </c>
      <c r="N13" s="7">
        <v>1.1809020042</v>
      </c>
      <c r="O13" s="7">
        <v>3</v>
      </c>
      <c r="P13" s="5">
        <v>1</v>
      </c>
      <c r="Q13" s="7">
        <v>43804</v>
      </c>
      <c r="R13" s="7">
        <v>0</v>
      </c>
      <c r="S13" s="7">
        <v>1078.7532740469517</v>
      </c>
      <c r="T13" s="7">
        <v>0</v>
      </c>
    </row>
    <row r="14" spans="2:20" x14ac:dyDescent="0.2">
      <c r="B14" s="47" t="s">
        <v>3</v>
      </c>
      <c r="C14" s="48"/>
      <c r="D14" s="9">
        <f t="shared" ref="D14:K14" si="0">AVERAGE(D4:D13)</f>
        <v>56102.661841999994</v>
      </c>
      <c r="E14" s="22">
        <f>AVERAGE(E4:E13)</f>
        <v>7.9366831302799996</v>
      </c>
      <c r="F14" s="20">
        <f t="shared" si="0"/>
        <v>3.8</v>
      </c>
      <c r="G14" s="11">
        <f t="shared" si="0"/>
        <v>1.9000000110901101</v>
      </c>
      <c r="H14" s="9">
        <f t="shared" si="0"/>
        <v>39879.900000665359</v>
      </c>
      <c r="I14" s="13">
        <f t="shared" si="0"/>
        <v>2.5699918975103708</v>
      </c>
      <c r="J14" s="13">
        <f t="shared" si="0"/>
        <v>1097.7369066029992</v>
      </c>
      <c r="K14" s="11">
        <f t="shared" si="0"/>
        <v>0</v>
      </c>
      <c r="L14" s="16"/>
      <c r="M14" s="16">
        <f t="shared" ref="M14:T14" si="1">AVERAGE(M4:M13)</f>
        <v>43183.243902000002</v>
      </c>
      <c r="N14" s="21">
        <f t="shared" si="1"/>
        <v>7.6250694036400004</v>
      </c>
      <c r="O14" s="18">
        <f t="shared" si="1"/>
        <v>3.8</v>
      </c>
      <c r="P14" s="18">
        <f t="shared" si="1"/>
        <v>1.9</v>
      </c>
      <c r="Q14" s="16">
        <f t="shared" si="1"/>
        <v>47319.360000000008</v>
      </c>
      <c r="R14" s="17">
        <f t="shared" si="1"/>
        <v>2.5699919092922769</v>
      </c>
      <c r="S14" s="17">
        <f t="shared" si="1"/>
        <v>1066.5042634551132</v>
      </c>
      <c r="T14" s="18">
        <f t="shared" si="1"/>
        <v>0</v>
      </c>
    </row>
    <row r="15" spans="2:20" x14ac:dyDescent="0.2">
      <c r="D15" s="2"/>
      <c r="E15" s="3"/>
      <c r="F15" s="3"/>
      <c r="G15" s="3"/>
      <c r="H15" s="3"/>
      <c r="I15" s="3"/>
      <c r="J15" s="3"/>
    </row>
    <row r="16" spans="2:20" x14ac:dyDescent="0.2">
      <c r="D16" s="2"/>
    </row>
    <row r="17" spans="4:4" x14ac:dyDescent="0.2">
      <c r="D17" s="2"/>
    </row>
  </sheetData>
  <mergeCells count="1">
    <mergeCell ref="B14:C14"/>
  </mergeCells>
  <conditionalFormatting sqref="L1:L3 L14:L1048576">
    <cfRule type="duplicateValues" dxfId="23" priority="1"/>
  </conditionalFormatting>
  <conditionalFormatting sqref="L14">
    <cfRule type="duplicateValues" dxfId="22" priority="2"/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DDAE1-6AB9-3E45-AC27-C66789B2525B}">
  <dimension ref="B3:T17"/>
  <sheetViews>
    <sheetView topLeftCell="C1" zoomScale="115" zoomScaleNormal="120" workbookViewId="0">
      <selection activeCell="M4" sqref="M4:T13"/>
    </sheetView>
  </sheetViews>
  <sheetFormatPr baseColWidth="10" defaultColWidth="10.83203125" defaultRowHeight="16" x14ac:dyDescent="0.2"/>
  <cols>
    <col min="1" max="1" width="3.83203125" style="1" customWidth="1"/>
    <col min="2" max="2" width="8.1640625" style="1" bestFit="1" customWidth="1"/>
    <col min="3" max="3" width="5.1640625" style="1" bestFit="1" customWidth="1"/>
    <col min="4" max="4" width="16.6640625" style="1" customWidth="1"/>
    <col min="5" max="5" width="9.5" style="1" bestFit="1" customWidth="1"/>
    <col min="6" max="6" width="9.1640625" style="1" bestFit="1" customWidth="1"/>
    <col min="7" max="7" width="13.33203125" style="1" bestFit="1" customWidth="1"/>
    <col min="8" max="8" width="19.33203125" style="1" bestFit="1" customWidth="1"/>
    <col min="9" max="9" width="12" style="1" bestFit="1" customWidth="1"/>
    <col min="10" max="10" width="18.6640625" style="1" bestFit="1" customWidth="1"/>
    <col min="11" max="11" width="6.6640625" style="1" bestFit="1" customWidth="1"/>
    <col min="12" max="12" width="8.6640625" style="1" bestFit="1" customWidth="1"/>
    <col min="13" max="13" width="12.6640625" style="1" bestFit="1" customWidth="1"/>
    <col min="14" max="15" width="10.83203125" style="1"/>
    <col min="16" max="16" width="13.33203125" style="1" bestFit="1" customWidth="1"/>
    <col min="17" max="17" width="19.33203125" style="1" bestFit="1" customWidth="1"/>
    <col min="18" max="18" width="12" style="1" bestFit="1" customWidth="1"/>
    <col min="19" max="19" width="18" style="1" bestFit="1" customWidth="1"/>
    <col min="20" max="16384" width="10.83203125" style="1"/>
  </cols>
  <sheetData>
    <row r="3" spans="2:20" x14ac:dyDescent="0.2">
      <c r="B3" s="8" t="s">
        <v>7</v>
      </c>
      <c r="C3" s="8" t="s">
        <v>4</v>
      </c>
      <c r="D3" s="8" t="s">
        <v>0</v>
      </c>
      <c r="E3" s="8" t="s">
        <v>5</v>
      </c>
      <c r="F3" s="8" t="s">
        <v>12</v>
      </c>
      <c r="G3" s="8" t="s">
        <v>8</v>
      </c>
      <c r="H3" s="8" t="s">
        <v>9</v>
      </c>
      <c r="I3" s="8" t="s">
        <v>11</v>
      </c>
      <c r="J3" s="8" t="s">
        <v>10</v>
      </c>
      <c r="K3" s="8" t="s">
        <v>1</v>
      </c>
      <c r="L3" s="15" t="s">
        <v>13</v>
      </c>
      <c r="M3" s="15" t="s">
        <v>0</v>
      </c>
      <c r="N3" s="15" t="s">
        <v>5</v>
      </c>
      <c r="O3" s="15" t="s">
        <v>12</v>
      </c>
      <c r="P3" s="15" t="s">
        <v>8</v>
      </c>
      <c r="Q3" s="15" t="s">
        <v>9</v>
      </c>
      <c r="R3" s="15" t="s">
        <v>11</v>
      </c>
      <c r="S3" s="15" t="s">
        <v>10</v>
      </c>
      <c r="T3" s="15" t="s">
        <v>1</v>
      </c>
    </row>
    <row r="4" spans="2:20" x14ac:dyDescent="0.2">
      <c r="B4" s="4">
        <v>1</v>
      </c>
      <c r="C4" s="4">
        <v>148</v>
      </c>
      <c r="D4" s="12">
        <v>30493.84793</v>
      </c>
      <c r="E4" s="7">
        <v>0.1512880325</v>
      </c>
      <c r="F4" s="7">
        <v>3</v>
      </c>
      <c r="G4" s="5">
        <v>1</v>
      </c>
      <c r="H4" s="7">
        <v>44961.8</v>
      </c>
      <c r="I4" s="7">
        <v>0</v>
      </c>
      <c r="J4" s="7">
        <v>681.97152197505034</v>
      </c>
      <c r="K4" s="7">
        <v>0</v>
      </c>
      <c r="L4" s="4">
        <v>148</v>
      </c>
      <c r="M4" s="12">
        <v>19253.397929999999</v>
      </c>
      <c r="N4" s="7">
        <v>0.1434669495</v>
      </c>
      <c r="O4" s="7">
        <v>3</v>
      </c>
      <c r="P4" s="5">
        <v>1</v>
      </c>
      <c r="Q4" s="7">
        <v>44962</v>
      </c>
      <c r="R4" s="7">
        <v>0</v>
      </c>
      <c r="S4" s="7">
        <v>681.97152197519631</v>
      </c>
      <c r="T4" s="7">
        <v>0</v>
      </c>
    </row>
    <row r="5" spans="2:20" x14ac:dyDescent="0.2">
      <c r="B5" s="4">
        <v>2</v>
      </c>
      <c r="C5" s="4">
        <v>300</v>
      </c>
      <c r="D5" s="12">
        <v>36778.820570000003</v>
      </c>
      <c r="E5" s="7">
        <v>0.16930913929999999</v>
      </c>
      <c r="F5" s="7">
        <v>4</v>
      </c>
      <c r="G5" s="5">
        <v>1</v>
      </c>
      <c r="H5" s="7">
        <v>44815.8</v>
      </c>
      <c r="I5" s="7">
        <v>0</v>
      </c>
      <c r="J5" s="7">
        <v>879.25284427361692</v>
      </c>
      <c r="K5" s="7">
        <v>0</v>
      </c>
      <c r="L5" s="4">
        <v>300</v>
      </c>
      <c r="M5" s="12">
        <v>23733.27405</v>
      </c>
      <c r="N5" s="7">
        <v>0.22176098820000001</v>
      </c>
      <c r="O5" s="7">
        <v>4</v>
      </c>
      <c r="P5" s="5">
        <v>1</v>
      </c>
      <c r="Q5" s="7">
        <v>56045</v>
      </c>
      <c r="R5" s="7">
        <v>0</v>
      </c>
      <c r="S5" s="7">
        <v>822.27461393620774</v>
      </c>
      <c r="T5" s="7">
        <v>0</v>
      </c>
    </row>
    <row r="6" spans="2:20" x14ac:dyDescent="0.2">
      <c r="B6" s="4">
        <v>3</v>
      </c>
      <c r="C6" s="4">
        <v>306</v>
      </c>
      <c r="D6" s="12">
        <v>62757.898630000003</v>
      </c>
      <c r="E6" s="7">
        <v>1.5223650931999999</v>
      </c>
      <c r="F6" s="7">
        <v>5</v>
      </c>
      <c r="G6" s="5">
        <v>5</v>
      </c>
      <c r="H6" s="7">
        <v>44208</v>
      </c>
      <c r="I6" s="7">
        <v>32.229733040161342</v>
      </c>
      <c r="J6" s="7">
        <v>957.67091710203135</v>
      </c>
      <c r="K6" s="7">
        <v>0</v>
      </c>
      <c r="L6" s="4">
        <v>306</v>
      </c>
      <c r="M6" s="12">
        <v>39617.320010000003</v>
      </c>
      <c r="N6" s="7">
        <v>3.3551828861000002</v>
      </c>
      <c r="O6" s="7">
        <v>5</v>
      </c>
      <c r="P6" s="5">
        <v>4</v>
      </c>
      <c r="Q6" s="7">
        <v>74825</v>
      </c>
      <c r="R6" s="7">
        <v>8.7034585513609244</v>
      </c>
      <c r="S6" s="7">
        <v>954.82523304380538</v>
      </c>
      <c r="T6" s="7">
        <v>0</v>
      </c>
    </row>
    <row r="7" spans="2:20" x14ac:dyDescent="0.2">
      <c r="B7" s="4">
        <v>4</v>
      </c>
      <c r="C7" s="4">
        <v>352</v>
      </c>
      <c r="D7" s="12">
        <v>37060.629379999998</v>
      </c>
      <c r="E7" s="7">
        <v>6.448102E-2</v>
      </c>
      <c r="F7" s="7">
        <v>3</v>
      </c>
      <c r="G7" s="5">
        <v>1</v>
      </c>
      <c r="H7" s="7">
        <v>42130.8</v>
      </c>
      <c r="I7" s="7">
        <v>0</v>
      </c>
      <c r="J7" s="7">
        <v>868.52542620237796</v>
      </c>
      <c r="K7" s="7">
        <v>0</v>
      </c>
      <c r="L7" s="4">
        <v>352</v>
      </c>
      <c r="M7" s="12">
        <v>22736.157380000001</v>
      </c>
      <c r="N7" s="7">
        <v>7.4630022000000004E-2</v>
      </c>
      <c r="O7" s="7">
        <v>3</v>
      </c>
      <c r="P7" s="5">
        <v>1</v>
      </c>
      <c r="Q7" s="7">
        <v>42132</v>
      </c>
      <c r="R7" s="7">
        <v>0</v>
      </c>
      <c r="S7" s="7">
        <v>868.52542620118606</v>
      </c>
      <c r="T7" s="7">
        <v>0</v>
      </c>
    </row>
    <row r="8" spans="2:20" x14ac:dyDescent="0.2">
      <c r="B8" s="4">
        <v>5</v>
      </c>
      <c r="C8" s="4">
        <v>370</v>
      </c>
      <c r="D8" s="12">
        <v>41601.984420000001</v>
      </c>
      <c r="E8" s="7">
        <v>0.17223191260000001</v>
      </c>
      <c r="F8" s="7">
        <v>3</v>
      </c>
      <c r="G8" s="5">
        <v>3</v>
      </c>
      <c r="H8" s="7">
        <v>36607.800000000003</v>
      </c>
      <c r="I8" s="7">
        <v>0</v>
      </c>
      <c r="J8" s="7">
        <v>682.24912160901079</v>
      </c>
      <c r="K8" s="7">
        <v>0</v>
      </c>
      <c r="L8" s="4">
        <v>370</v>
      </c>
      <c r="M8" s="12">
        <v>28789.254420000001</v>
      </c>
      <c r="N8" s="7">
        <v>0.17708301539999999</v>
      </c>
      <c r="O8" s="7">
        <v>3</v>
      </c>
      <c r="P8" s="5">
        <v>3</v>
      </c>
      <c r="Q8" s="7">
        <v>36608</v>
      </c>
      <c r="R8" s="7">
        <v>0</v>
      </c>
      <c r="S8" s="7">
        <v>682.24912160902124</v>
      </c>
      <c r="T8" s="7">
        <v>0</v>
      </c>
    </row>
    <row r="9" spans="2:20" x14ac:dyDescent="0.2">
      <c r="B9" s="4">
        <v>6</v>
      </c>
      <c r="C9" s="4">
        <v>471</v>
      </c>
      <c r="D9" s="12">
        <v>31235.897000000001</v>
      </c>
      <c r="E9" s="7">
        <v>8.7886810300000007E-2</v>
      </c>
      <c r="F9" s="7">
        <v>3</v>
      </c>
      <c r="G9" s="5">
        <v>2</v>
      </c>
      <c r="H9" s="7">
        <v>42987.8</v>
      </c>
      <c r="I9" s="7">
        <v>0</v>
      </c>
      <c r="J9" s="7">
        <v>665.68162686138123</v>
      </c>
      <c r="K9" s="7">
        <v>0</v>
      </c>
      <c r="L9" s="4">
        <v>471</v>
      </c>
      <c r="M9" s="12">
        <v>23927.971000000001</v>
      </c>
      <c r="N9" s="7">
        <v>7.7129125600000001E-2</v>
      </c>
      <c r="O9" s="7">
        <v>3</v>
      </c>
      <c r="P9" s="5">
        <v>2</v>
      </c>
      <c r="Q9" s="7">
        <v>42989</v>
      </c>
      <c r="R9" s="7">
        <v>0</v>
      </c>
      <c r="S9" s="7">
        <v>665.68162686229095</v>
      </c>
      <c r="T9" s="7">
        <v>0</v>
      </c>
    </row>
    <row r="10" spans="2:20" x14ac:dyDescent="0.2">
      <c r="B10" s="4">
        <v>7</v>
      </c>
      <c r="C10" s="4">
        <v>507</v>
      </c>
      <c r="D10" s="12">
        <v>37344.477709999999</v>
      </c>
      <c r="E10" s="7">
        <v>0.19474005699999999</v>
      </c>
      <c r="F10" s="7">
        <v>3</v>
      </c>
      <c r="G10" s="5">
        <v>2</v>
      </c>
      <c r="H10" s="7">
        <v>35962.199999999997</v>
      </c>
      <c r="I10" s="7">
        <v>0</v>
      </c>
      <c r="J10" s="7">
        <v>832.29890581431505</v>
      </c>
      <c r="K10" s="7">
        <v>0</v>
      </c>
      <c r="L10" s="4">
        <v>507</v>
      </c>
      <c r="M10" s="12">
        <v>27275.061710000002</v>
      </c>
      <c r="N10" s="7">
        <v>0.24453806880000001</v>
      </c>
      <c r="O10" s="7">
        <v>3</v>
      </c>
      <c r="P10" s="5">
        <v>2</v>
      </c>
      <c r="Q10" s="7">
        <v>35963</v>
      </c>
      <c r="R10" s="7">
        <v>0</v>
      </c>
      <c r="S10" s="7">
        <v>832.29890581511131</v>
      </c>
      <c r="T10" s="7">
        <v>0</v>
      </c>
    </row>
    <row r="11" spans="2:20" x14ac:dyDescent="0.2">
      <c r="B11" s="4">
        <v>8</v>
      </c>
      <c r="C11" s="4">
        <v>629</v>
      </c>
      <c r="D11" s="12">
        <v>51647.634599999998</v>
      </c>
      <c r="E11" s="7">
        <v>0.2330949306</v>
      </c>
      <c r="F11" s="7">
        <v>4</v>
      </c>
      <c r="G11" s="5">
        <v>3</v>
      </c>
      <c r="H11" s="7">
        <v>41103.199999999997</v>
      </c>
      <c r="I11" s="7">
        <v>0</v>
      </c>
      <c r="J11" s="7">
        <v>818.07394141500629</v>
      </c>
      <c r="K11" s="7">
        <v>0</v>
      </c>
      <c r="L11" s="4">
        <v>629</v>
      </c>
      <c r="M11" s="12">
        <v>30402.81525</v>
      </c>
      <c r="N11" s="7">
        <v>0.64262795449999999</v>
      </c>
      <c r="O11" s="7">
        <v>4</v>
      </c>
      <c r="P11" s="5">
        <v>3</v>
      </c>
      <c r="Q11" s="7">
        <v>50704</v>
      </c>
      <c r="R11" s="7">
        <v>0</v>
      </c>
      <c r="S11" s="7">
        <v>748.02682809622945</v>
      </c>
      <c r="T11" s="7">
        <v>0</v>
      </c>
    </row>
    <row r="12" spans="2:20" x14ac:dyDescent="0.2">
      <c r="B12" s="4">
        <v>9</v>
      </c>
      <c r="C12" s="4">
        <v>487</v>
      </c>
      <c r="D12" s="12">
        <v>32667.242689999999</v>
      </c>
      <c r="E12" s="7">
        <v>9.3132018999999996E-2</v>
      </c>
      <c r="F12" s="7">
        <v>3</v>
      </c>
      <c r="G12" s="5">
        <v>0</v>
      </c>
      <c r="H12" s="7">
        <v>36325</v>
      </c>
      <c r="I12" s="7">
        <v>0</v>
      </c>
      <c r="J12" s="7">
        <v>904.15364875567138</v>
      </c>
      <c r="K12" s="7">
        <v>0</v>
      </c>
      <c r="L12" s="4">
        <v>487</v>
      </c>
      <c r="M12" s="12">
        <v>18500.492689999999</v>
      </c>
      <c r="N12" s="7">
        <v>7.8726053200000007E-2</v>
      </c>
      <c r="O12" s="7">
        <v>3</v>
      </c>
      <c r="P12" s="5">
        <v>0</v>
      </c>
      <c r="Q12" s="7">
        <v>36326</v>
      </c>
      <c r="R12" s="7">
        <v>0</v>
      </c>
      <c r="S12" s="7">
        <v>904.15364875567138</v>
      </c>
      <c r="T12" s="7">
        <v>0</v>
      </c>
    </row>
    <row r="13" spans="2:20" x14ac:dyDescent="0.2">
      <c r="B13" s="4">
        <v>10</v>
      </c>
      <c r="C13" s="4">
        <v>977</v>
      </c>
      <c r="D13" s="12">
        <v>37024.451399999998</v>
      </c>
      <c r="E13" s="7">
        <v>8.1573963200000002E-2</v>
      </c>
      <c r="F13" s="7">
        <v>3</v>
      </c>
      <c r="G13" s="5">
        <v>1</v>
      </c>
      <c r="H13" s="7">
        <v>48010.6</v>
      </c>
      <c r="I13" s="7">
        <v>0</v>
      </c>
      <c r="J13" s="7">
        <v>857.21926149102694</v>
      </c>
      <c r="K13" s="7">
        <v>0</v>
      </c>
      <c r="L13" s="4">
        <v>977</v>
      </c>
      <c r="M13" s="12">
        <v>23101.377400000001</v>
      </c>
      <c r="N13" s="7">
        <v>9.9609851799999996E-2</v>
      </c>
      <c r="O13" s="7">
        <v>3</v>
      </c>
      <c r="P13" s="5">
        <v>1</v>
      </c>
      <c r="Q13" s="7">
        <v>48012</v>
      </c>
      <c r="R13" s="7">
        <v>0</v>
      </c>
      <c r="S13" s="7">
        <v>857.2192614902666</v>
      </c>
      <c r="T13" s="7">
        <v>0</v>
      </c>
    </row>
    <row r="14" spans="2:20" x14ac:dyDescent="0.2">
      <c r="B14" s="47" t="s">
        <v>3</v>
      </c>
      <c r="C14" s="48"/>
      <c r="D14" s="9">
        <f t="shared" ref="D14:K14" si="0">AVERAGE(D4:D13)</f>
        <v>39861.288432999994</v>
      </c>
      <c r="E14" s="22">
        <f>AVERAGE(E4:E13)</f>
        <v>0.27701029777000002</v>
      </c>
      <c r="F14" s="20">
        <f t="shared" si="0"/>
        <v>3.4</v>
      </c>
      <c r="G14" s="11">
        <f t="shared" si="0"/>
        <v>1.9</v>
      </c>
      <c r="H14" s="9">
        <f t="shared" si="0"/>
        <v>41711.300000000003</v>
      </c>
      <c r="I14" s="13">
        <f t="shared" si="0"/>
        <v>3.2229733040161341</v>
      </c>
      <c r="J14" s="13">
        <f t="shared" si="0"/>
        <v>814.70972154994888</v>
      </c>
      <c r="K14" s="11">
        <f t="shared" si="0"/>
        <v>0</v>
      </c>
      <c r="L14" s="16"/>
      <c r="M14" s="16">
        <f t="shared" ref="M14:T14" si="1">AVERAGE(M4:M13)</f>
        <v>25733.712183999996</v>
      </c>
      <c r="N14" s="21">
        <f t="shared" si="1"/>
        <v>0.51147549150999994</v>
      </c>
      <c r="O14" s="18">
        <f t="shared" si="1"/>
        <v>3.4</v>
      </c>
      <c r="P14" s="18">
        <f t="shared" si="1"/>
        <v>1.8</v>
      </c>
      <c r="Q14" s="16">
        <f t="shared" si="1"/>
        <v>46856.6</v>
      </c>
      <c r="R14" s="17">
        <f t="shared" si="1"/>
        <v>0.87034585513609242</v>
      </c>
      <c r="S14" s="17">
        <f t="shared" si="1"/>
        <v>801.7226187784986</v>
      </c>
      <c r="T14" s="18">
        <f t="shared" si="1"/>
        <v>0</v>
      </c>
    </row>
    <row r="15" spans="2:20" x14ac:dyDescent="0.2">
      <c r="D15" s="2"/>
      <c r="E15" s="3"/>
      <c r="F15" s="3"/>
      <c r="G15" s="3"/>
      <c r="H15" s="3"/>
      <c r="I15" s="3"/>
      <c r="J15" s="3"/>
    </row>
    <row r="16" spans="2:20" x14ac:dyDescent="0.2">
      <c r="D16" s="2"/>
    </row>
    <row r="17" spans="4:4" x14ac:dyDescent="0.2">
      <c r="D17" s="2"/>
    </row>
  </sheetData>
  <mergeCells count="1">
    <mergeCell ref="B14:C14"/>
  </mergeCells>
  <conditionalFormatting sqref="L1:L3 L14:L1048576">
    <cfRule type="duplicateValues" dxfId="21" priority="1"/>
  </conditionalFormatting>
  <conditionalFormatting sqref="L14">
    <cfRule type="duplicateValues" dxfId="20" priority="2"/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89425-5AF0-3545-9A8B-CFCB90D9EC0B}">
  <dimension ref="B3:T17"/>
  <sheetViews>
    <sheetView zoomScale="118" zoomScaleNormal="120" workbookViewId="0">
      <selection activeCell="J20" sqref="J20"/>
    </sheetView>
  </sheetViews>
  <sheetFormatPr baseColWidth="10" defaultColWidth="10.83203125" defaultRowHeight="16" x14ac:dyDescent="0.2"/>
  <cols>
    <col min="1" max="1" width="3.83203125" style="1" customWidth="1"/>
    <col min="2" max="2" width="8.1640625" style="1" bestFit="1" customWidth="1"/>
    <col min="3" max="3" width="5.1640625" style="1" bestFit="1" customWidth="1"/>
    <col min="4" max="4" width="16.6640625" style="1" customWidth="1"/>
    <col min="5" max="5" width="9.5" style="1" bestFit="1" customWidth="1"/>
    <col min="6" max="6" width="9.1640625" style="1" bestFit="1" customWidth="1"/>
    <col min="7" max="7" width="13.33203125" style="1" bestFit="1" customWidth="1"/>
    <col min="8" max="8" width="19.33203125" style="1" bestFit="1" customWidth="1"/>
    <col min="9" max="9" width="12" style="1" bestFit="1" customWidth="1"/>
    <col min="10" max="10" width="18.6640625" style="1" bestFit="1" customWidth="1"/>
    <col min="11" max="11" width="6.6640625" style="1" bestFit="1" customWidth="1"/>
    <col min="12" max="12" width="8.6640625" style="1" bestFit="1" customWidth="1"/>
    <col min="13" max="13" width="12.6640625" style="1" bestFit="1" customWidth="1"/>
    <col min="14" max="15" width="10.83203125" style="1"/>
    <col min="16" max="16" width="13.33203125" style="1" bestFit="1" customWidth="1"/>
    <col min="17" max="17" width="19.33203125" style="1" bestFit="1" customWidth="1"/>
    <col min="18" max="18" width="12" style="1" bestFit="1" customWidth="1"/>
    <col min="19" max="19" width="18" style="1" bestFit="1" customWidth="1"/>
    <col min="20" max="16384" width="10.83203125" style="1"/>
  </cols>
  <sheetData>
    <row r="3" spans="2:20" x14ac:dyDescent="0.2">
      <c r="B3" s="8" t="s">
        <v>7</v>
      </c>
      <c r="C3" s="8" t="s">
        <v>4</v>
      </c>
      <c r="D3" s="8" t="s">
        <v>0</v>
      </c>
      <c r="E3" s="8" t="s">
        <v>5</v>
      </c>
      <c r="F3" s="8" t="s">
        <v>12</v>
      </c>
      <c r="G3" s="8" t="s">
        <v>8</v>
      </c>
      <c r="H3" s="8" t="s">
        <v>9</v>
      </c>
      <c r="I3" s="8" t="s">
        <v>11</v>
      </c>
      <c r="J3" s="8" t="s">
        <v>10</v>
      </c>
      <c r="K3" s="8" t="s">
        <v>1</v>
      </c>
      <c r="L3" s="15" t="s">
        <v>13</v>
      </c>
      <c r="M3" s="15" t="s">
        <v>0</v>
      </c>
      <c r="N3" s="15" t="s">
        <v>5</v>
      </c>
      <c r="O3" s="15" t="s">
        <v>12</v>
      </c>
      <c r="P3" s="15" t="s">
        <v>8</v>
      </c>
      <c r="Q3" s="15" t="s">
        <v>9</v>
      </c>
      <c r="R3" s="15" t="s">
        <v>11</v>
      </c>
      <c r="S3" s="15" t="s">
        <v>10</v>
      </c>
      <c r="T3" s="15" t="s">
        <v>1</v>
      </c>
    </row>
    <row r="4" spans="2:20" x14ac:dyDescent="0.2">
      <c r="B4" s="4">
        <v>1</v>
      </c>
      <c r="C4" s="4">
        <v>14</v>
      </c>
      <c r="D4" s="12">
        <v>37429.69713</v>
      </c>
      <c r="E4" s="7">
        <v>2.95398235E-2</v>
      </c>
      <c r="F4" s="7">
        <v>3</v>
      </c>
      <c r="G4" s="5">
        <v>4</v>
      </c>
      <c r="H4" s="7">
        <v>29867</v>
      </c>
      <c r="I4" s="7">
        <v>0</v>
      </c>
      <c r="J4" s="7">
        <v>270.46929319124166</v>
      </c>
      <c r="K4" s="7">
        <v>0</v>
      </c>
      <c r="L4" s="4">
        <v>14</v>
      </c>
      <c r="M4" s="12">
        <v>17933.650880000001</v>
      </c>
      <c r="N4" s="7">
        <v>4.4380903200000002E-2</v>
      </c>
      <c r="O4" s="7">
        <v>3</v>
      </c>
      <c r="P4" s="5">
        <v>3</v>
      </c>
      <c r="Q4" s="7">
        <v>46091</v>
      </c>
      <c r="R4" s="7">
        <v>0</v>
      </c>
      <c r="S4" s="7">
        <v>288.86680369222597</v>
      </c>
      <c r="T4" s="7">
        <v>0</v>
      </c>
    </row>
    <row r="5" spans="2:20" x14ac:dyDescent="0.2">
      <c r="B5" s="4">
        <v>2</v>
      </c>
      <c r="C5" s="4">
        <v>214</v>
      </c>
      <c r="D5" s="12">
        <v>26627.960419999999</v>
      </c>
      <c r="E5" s="7">
        <v>3.0606985100000001E-2</v>
      </c>
      <c r="F5" s="7">
        <v>3</v>
      </c>
      <c r="G5" s="5">
        <v>2</v>
      </c>
      <c r="H5" s="7">
        <v>40002.600000000006</v>
      </c>
      <c r="I5" s="7">
        <v>0</v>
      </c>
      <c r="J5" s="7">
        <v>474.81405991898521</v>
      </c>
      <c r="K5" s="7">
        <v>0</v>
      </c>
      <c r="L5" s="4">
        <v>214</v>
      </c>
      <c r="M5" s="12">
        <v>15427.23242</v>
      </c>
      <c r="N5" s="7">
        <v>2.7778148700000001E-2</v>
      </c>
      <c r="O5" s="7">
        <v>3</v>
      </c>
      <c r="P5" s="5">
        <v>2</v>
      </c>
      <c r="Q5" s="7">
        <v>40004</v>
      </c>
      <c r="R5" s="7">
        <v>0</v>
      </c>
      <c r="S5" s="7">
        <v>474.81405991966147</v>
      </c>
      <c r="T5" s="7">
        <v>0</v>
      </c>
    </row>
    <row r="6" spans="2:20" x14ac:dyDescent="0.2">
      <c r="B6" s="4">
        <v>3</v>
      </c>
      <c r="C6" s="4">
        <v>245</v>
      </c>
      <c r="D6" s="12">
        <v>23302.905729999999</v>
      </c>
      <c r="E6" s="7">
        <v>5.46078682E-2</v>
      </c>
      <c r="F6" s="7">
        <v>3</v>
      </c>
      <c r="G6" s="5">
        <v>1</v>
      </c>
      <c r="H6" s="7">
        <v>45324</v>
      </c>
      <c r="I6" s="7">
        <v>21.080101199281991</v>
      </c>
      <c r="J6" s="7">
        <v>936.7185999133826</v>
      </c>
      <c r="K6" s="7">
        <v>0</v>
      </c>
      <c r="L6" s="4">
        <v>245</v>
      </c>
      <c r="M6" s="12">
        <v>15597.82573</v>
      </c>
      <c r="N6" s="7">
        <v>4.7686100000000002E-2</v>
      </c>
      <c r="O6" s="7">
        <v>3</v>
      </c>
      <c r="P6" s="5">
        <v>1</v>
      </c>
      <c r="Q6" s="7">
        <v>45325</v>
      </c>
      <c r="R6" s="7">
        <v>21.080101199281991</v>
      </c>
      <c r="S6" s="7">
        <v>936.7185999133826</v>
      </c>
      <c r="T6" s="7">
        <v>0</v>
      </c>
    </row>
    <row r="7" spans="2:20" x14ac:dyDescent="0.2">
      <c r="B7" s="4">
        <v>4</v>
      </c>
      <c r="C7" s="4">
        <v>373</v>
      </c>
      <c r="D7" s="12">
        <v>16954.054530000001</v>
      </c>
      <c r="E7" s="7">
        <v>4.66098785E-2</v>
      </c>
      <c r="F7" s="7">
        <v>3</v>
      </c>
      <c r="G7" s="5">
        <v>1</v>
      </c>
      <c r="H7" s="7">
        <v>23648</v>
      </c>
      <c r="I7" s="7">
        <v>0</v>
      </c>
      <c r="J7" s="7">
        <v>803.14234596515234</v>
      </c>
      <c r="K7" s="7">
        <v>0</v>
      </c>
      <c r="L7" s="4">
        <v>373</v>
      </c>
      <c r="M7" s="12">
        <v>11828.748809999999</v>
      </c>
      <c r="N7" s="7">
        <v>5.3052902200000002E-2</v>
      </c>
      <c r="O7" s="7">
        <v>3</v>
      </c>
      <c r="P7" s="5">
        <v>1</v>
      </c>
      <c r="Q7" s="7">
        <v>47482</v>
      </c>
      <c r="R7" s="7">
        <v>0</v>
      </c>
      <c r="S7" s="7">
        <v>637.21601419463684</v>
      </c>
      <c r="T7" s="7">
        <v>0</v>
      </c>
    </row>
    <row r="8" spans="2:20" x14ac:dyDescent="0.2">
      <c r="B8" s="4">
        <v>5</v>
      </c>
      <c r="C8" s="4">
        <v>439</v>
      </c>
      <c r="D8" s="12">
        <v>16104.97156</v>
      </c>
      <c r="E8" s="7">
        <v>8.1970692000000005E-3</v>
      </c>
      <c r="F8" s="7">
        <v>3</v>
      </c>
      <c r="G8" s="5">
        <v>1</v>
      </c>
      <c r="H8" s="7">
        <v>23086.6</v>
      </c>
      <c r="I8" s="7">
        <v>0</v>
      </c>
      <c r="J8" s="7">
        <v>661.84605370603822</v>
      </c>
      <c r="K8" s="7">
        <v>0</v>
      </c>
      <c r="L8" s="4">
        <v>439</v>
      </c>
      <c r="M8" s="12">
        <v>11949.38356</v>
      </c>
      <c r="N8" s="7">
        <v>9.9089146000000006E-3</v>
      </c>
      <c r="O8" s="7">
        <v>3</v>
      </c>
      <c r="P8" s="5">
        <v>1</v>
      </c>
      <c r="Q8" s="7">
        <v>23087</v>
      </c>
      <c r="R8" s="7">
        <v>0</v>
      </c>
      <c r="S8" s="7">
        <v>661.84605370598808</v>
      </c>
      <c r="T8" s="7">
        <v>0</v>
      </c>
    </row>
    <row r="9" spans="2:20" x14ac:dyDescent="0.2">
      <c r="B9" s="4">
        <v>6</v>
      </c>
      <c r="C9" s="4">
        <v>452</v>
      </c>
      <c r="D9" s="12">
        <v>22743.965459999999</v>
      </c>
      <c r="E9" s="7">
        <v>2.8569221499999999E-2</v>
      </c>
      <c r="F9" s="7">
        <v>3</v>
      </c>
      <c r="G9" s="5">
        <v>1</v>
      </c>
      <c r="H9" s="7">
        <v>46236.2</v>
      </c>
      <c r="I9" s="7">
        <v>0</v>
      </c>
      <c r="J9" s="7">
        <v>482.8365171992715</v>
      </c>
      <c r="K9" s="7">
        <v>0</v>
      </c>
      <c r="L9" s="4">
        <v>452</v>
      </c>
      <c r="M9" s="12">
        <v>10260.19146</v>
      </c>
      <c r="N9" s="7">
        <v>3.7530183799999998E-2</v>
      </c>
      <c r="O9" s="7">
        <v>3</v>
      </c>
      <c r="P9" s="5">
        <v>1</v>
      </c>
      <c r="Q9" s="7">
        <v>46237</v>
      </c>
      <c r="R9" s="7">
        <v>0</v>
      </c>
      <c r="S9" s="7">
        <v>482.83651719949557</v>
      </c>
      <c r="T9" s="7">
        <v>0</v>
      </c>
    </row>
    <row r="10" spans="2:20" x14ac:dyDescent="0.2">
      <c r="B10" s="4">
        <v>7</v>
      </c>
      <c r="C10" s="4">
        <v>508</v>
      </c>
      <c r="D10" s="12">
        <v>19583.41043</v>
      </c>
      <c r="E10" s="7">
        <v>2.2717952699999999E-2</v>
      </c>
      <c r="F10" s="7">
        <v>3</v>
      </c>
      <c r="G10" s="5">
        <v>1</v>
      </c>
      <c r="H10" s="7">
        <v>35057.199999999997</v>
      </c>
      <c r="I10" s="7">
        <v>0</v>
      </c>
      <c r="J10" s="7">
        <v>644.91204232018731</v>
      </c>
      <c r="K10" s="7">
        <v>0</v>
      </c>
      <c r="L10" s="4">
        <v>508</v>
      </c>
      <c r="M10" s="12">
        <v>11520.254430000001</v>
      </c>
      <c r="N10" s="7">
        <v>2.6309967E-2</v>
      </c>
      <c r="O10" s="7">
        <v>3</v>
      </c>
      <c r="P10" s="5">
        <v>1</v>
      </c>
      <c r="Q10" s="7">
        <v>35059</v>
      </c>
      <c r="R10" s="7">
        <v>0</v>
      </c>
      <c r="S10" s="7">
        <v>644.91204232055509</v>
      </c>
      <c r="T10" s="7">
        <v>0</v>
      </c>
    </row>
    <row r="11" spans="2:20" x14ac:dyDescent="0.2">
      <c r="B11" s="4">
        <v>8</v>
      </c>
      <c r="C11" s="4">
        <v>581</v>
      </c>
      <c r="D11" s="12">
        <v>16874.20016</v>
      </c>
      <c r="E11" s="7">
        <v>2.67829895E-2</v>
      </c>
      <c r="F11" s="7">
        <v>3</v>
      </c>
      <c r="G11" s="5">
        <v>1</v>
      </c>
      <c r="H11" s="7">
        <v>49096.800000000003</v>
      </c>
      <c r="I11" s="7">
        <v>0</v>
      </c>
      <c r="J11" s="7">
        <v>377.35995410912545</v>
      </c>
      <c r="K11" s="7">
        <v>0</v>
      </c>
      <c r="L11" s="4">
        <v>581</v>
      </c>
      <c r="M11" s="12">
        <v>9018.7121599999991</v>
      </c>
      <c r="N11" s="7">
        <v>2.3182868999999998E-2</v>
      </c>
      <c r="O11" s="7">
        <v>3</v>
      </c>
      <c r="P11" s="5">
        <v>1</v>
      </c>
      <c r="Q11" s="7">
        <v>49097</v>
      </c>
      <c r="R11" s="7">
        <v>0</v>
      </c>
      <c r="S11" s="7">
        <v>377.35995410912545</v>
      </c>
      <c r="T11" s="7">
        <v>0</v>
      </c>
    </row>
    <row r="12" spans="2:20" x14ac:dyDescent="0.2">
      <c r="B12" s="4">
        <v>9</v>
      </c>
      <c r="C12" s="4">
        <v>584</v>
      </c>
      <c r="D12" s="12">
        <v>30543.181499999999</v>
      </c>
      <c r="E12" s="7">
        <v>4.9028158199999998E-2</v>
      </c>
      <c r="F12" s="7">
        <v>3</v>
      </c>
      <c r="G12" s="5">
        <v>2</v>
      </c>
      <c r="H12" s="7">
        <v>38102</v>
      </c>
      <c r="I12" s="7">
        <v>0</v>
      </c>
      <c r="J12" s="7">
        <v>476.89624902134926</v>
      </c>
      <c r="K12" s="7">
        <v>0</v>
      </c>
      <c r="L12" s="4">
        <v>584</v>
      </c>
      <c r="M12" s="12">
        <v>14540.3415</v>
      </c>
      <c r="N12" s="7">
        <v>4.5272111900000002E-2</v>
      </c>
      <c r="O12" s="7">
        <v>3</v>
      </c>
      <c r="P12" s="5">
        <v>2</v>
      </c>
      <c r="Q12" s="7">
        <v>38102</v>
      </c>
      <c r="R12" s="7">
        <v>0</v>
      </c>
      <c r="S12" s="7">
        <v>476.89624902201615</v>
      </c>
      <c r="T12" s="7">
        <v>0</v>
      </c>
    </row>
    <row r="13" spans="2:20" x14ac:dyDescent="0.2">
      <c r="B13" s="4">
        <v>10</v>
      </c>
      <c r="C13" s="4">
        <v>755</v>
      </c>
      <c r="D13" s="12">
        <v>23431.42324</v>
      </c>
      <c r="E13" s="7">
        <v>4.9354076400000002E-2</v>
      </c>
      <c r="F13" s="7">
        <v>3</v>
      </c>
      <c r="G13" s="5">
        <v>2</v>
      </c>
      <c r="H13" s="7">
        <v>34338</v>
      </c>
      <c r="I13" s="7">
        <v>0</v>
      </c>
      <c r="J13" s="7">
        <v>514.74594638697795</v>
      </c>
      <c r="K13" s="7">
        <v>0</v>
      </c>
      <c r="L13" s="4">
        <v>755</v>
      </c>
      <c r="M13" s="12">
        <v>15877.063239999999</v>
      </c>
      <c r="N13" s="7">
        <v>4.8622846599999998E-2</v>
      </c>
      <c r="O13" s="7">
        <v>3</v>
      </c>
      <c r="P13" s="5">
        <v>2</v>
      </c>
      <c r="Q13" s="7">
        <v>34338</v>
      </c>
      <c r="R13" s="7">
        <v>0</v>
      </c>
      <c r="S13" s="7">
        <v>514.74594638864176</v>
      </c>
      <c r="T13" s="7">
        <v>0</v>
      </c>
    </row>
    <row r="14" spans="2:20" x14ac:dyDescent="0.2">
      <c r="B14" s="47" t="s">
        <v>3</v>
      </c>
      <c r="C14" s="48"/>
      <c r="D14" s="9">
        <f t="shared" ref="D14:K14" si="0">AVERAGE(D4:D13)</f>
        <v>23359.577016000003</v>
      </c>
      <c r="E14" s="22">
        <f>AVERAGE(E4:E13)</f>
        <v>3.4601402279999999E-2</v>
      </c>
      <c r="F14" s="20">
        <f t="shared" si="0"/>
        <v>3</v>
      </c>
      <c r="G14" s="11">
        <f t="shared" si="0"/>
        <v>1.6</v>
      </c>
      <c r="H14" s="9">
        <f t="shared" si="0"/>
        <v>36475.840000000004</v>
      </c>
      <c r="I14" s="13">
        <f t="shared" si="0"/>
        <v>2.1080101199281991</v>
      </c>
      <c r="J14" s="13">
        <f t="shared" si="0"/>
        <v>564.37410617317107</v>
      </c>
      <c r="K14" s="11">
        <f t="shared" si="0"/>
        <v>0</v>
      </c>
      <c r="L14" s="16"/>
      <c r="M14" s="16">
        <f t="shared" ref="M14:T14" si="1">AVERAGE(M4:M13)</f>
        <v>13395.340418999996</v>
      </c>
      <c r="N14" s="21">
        <f t="shared" si="1"/>
        <v>3.6372494700000001E-2</v>
      </c>
      <c r="O14" s="18">
        <f t="shared" si="1"/>
        <v>3</v>
      </c>
      <c r="P14" s="18">
        <f t="shared" si="1"/>
        <v>1.5</v>
      </c>
      <c r="Q14" s="16">
        <f t="shared" si="1"/>
        <v>40482.199999999997</v>
      </c>
      <c r="R14" s="17">
        <f t="shared" si="1"/>
        <v>2.1080101199281991</v>
      </c>
      <c r="S14" s="17">
        <f t="shared" si="1"/>
        <v>549.62122404657293</v>
      </c>
      <c r="T14" s="18">
        <f t="shared" si="1"/>
        <v>0</v>
      </c>
    </row>
    <row r="15" spans="2:20" x14ac:dyDescent="0.2">
      <c r="D15" s="2"/>
      <c r="E15" s="3"/>
      <c r="F15" s="3"/>
      <c r="G15" s="3"/>
      <c r="H15" s="3"/>
      <c r="I15" s="3"/>
      <c r="J15" s="3"/>
    </row>
    <row r="16" spans="2:20" x14ac:dyDescent="0.2">
      <c r="D16" s="2"/>
    </row>
    <row r="17" spans="4:4" x14ac:dyDescent="0.2">
      <c r="D17" s="2"/>
    </row>
  </sheetData>
  <mergeCells count="1">
    <mergeCell ref="B14:C14"/>
  </mergeCells>
  <conditionalFormatting sqref="L1:L3 L14:L1048576">
    <cfRule type="duplicateValues" dxfId="19" priority="1"/>
  </conditionalFormatting>
  <conditionalFormatting sqref="L14">
    <cfRule type="duplicateValues" dxfId="18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Summary</vt:lpstr>
      <vt:lpstr>results112</vt:lpstr>
      <vt:lpstr>results127</vt:lpstr>
      <vt:lpstr>results179</vt:lpstr>
      <vt:lpstr>results212</vt:lpstr>
      <vt:lpstr>results313</vt:lpstr>
      <vt:lpstr>results450</vt:lpstr>
      <vt:lpstr>results613</vt:lpstr>
      <vt:lpstr>results661</vt:lpstr>
      <vt:lpstr>results819</vt:lpstr>
      <vt:lpstr>results919</vt:lpstr>
      <vt:lpstr>Sample1</vt:lpstr>
      <vt:lpstr>10-2-2_a</vt:lpstr>
      <vt:lpstr>10-2-3_a</vt:lpstr>
      <vt:lpstr>10-3-2_a</vt:lpstr>
      <vt:lpstr>10-3-3_a</vt:lpstr>
      <vt:lpstr>20-2-2_a</vt:lpstr>
      <vt:lpstr>20-2-3_a</vt:lpstr>
      <vt:lpstr>20-3-2_a</vt:lpstr>
      <vt:lpstr>20-3-3_a</vt:lpstr>
      <vt:lpstr>30-2-2_a</vt:lpstr>
      <vt:lpstr>30-2-3_a</vt:lpstr>
      <vt:lpstr>30-3-2_a</vt:lpstr>
      <vt:lpstr>30-3-3_a</vt:lpstr>
      <vt:lpstr>30-3-2b</vt:lpstr>
      <vt:lpstr>30-3-3b</vt:lpstr>
      <vt:lpstr>20-3-3b</vt:lpstr>
      <vt:lpstr>10-3-3b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Pourdehghan Golneshini, Fatemeh (MU-Student)</dc:creator>
  <cp:lastModifiedBy>Pourdehghan Golneshini, Fatemeh (MU-Student)</cp:lastModifiedBy>
  <dcterms:created xsi:type="dcterms:W3CDTF">2024-09-25T20:37:25Z</dcterms:created>
  <dcterms:modified xsi:type="dcterms:W3CDTF">2026-10-16T21:32:16Z</dcterms:modified>
</cp:coreProperties>
</file>