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Small/SA-AOS/20-2-3/"/>
    </mc:Choice>
  </mc:AlternateContent>
  <xr:revisionPtr revIDLastSave="0" documentId="13_ncr:1_{D9E52EDE-41B5-5B4E-9C55-3D2D3B62249F}" xr6:coauthVersionLast="47" xr6:coauthVersionMax="47" xr10:uidLastSave="{00000000-0000-0000-0000-000000000000}"/>
  <bookViews>
    <workbookView xWindow="0" yWindow="760" windowWidth="34560" windowHeight="20500" activeTab="10" xr2:uid="{41E620E7-D6DF-9342-B452-EA60AB3B07C5}"/>
  </bookViews>
  <sheets>
    <sheet name="Summary" sheetId="67" r:id="rId1"/>
    <sheet name="results56" sheetId="57" r:id="rId2"/>
    <sheet name="results166" sheetId="58" r:id="rId3"/>
    <sheet name="results214" sheetId="59" r:id="rId4"/>
    <sheet name="results249" sheetId="60" r:id="rId5"/>
    <sheet name="results372" sheetId="61" r:id="rId6"/>
    <sheet name="results509" sheetId="62" r:id="rId7"/>
    <sheet name="results562" sheetId="63" r:id="rId8"/>
    <sheet name="results664" sheetId="64" r:id="rId9"/>
    <sheet name="results798" sheetId="65" r:id="rId10"/>
    <sheet name="results952" sheetId="66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34" l="1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F9" i="67" a="1"/>
  <c r="G7" i="67" a="1"/>
  <c r="H9" i="67" a="1"/>
  <c r="F12" i="67" a="1"/>
  <c r="H5" i="67" a="1"/>
  <c r="C11" i="67" a="1"/>
  <c r="G11" i="67" a="1"/>
  <c r="I3" i="67" a="1"/>
  <c r="E3" i="67" a="1"/>
  <c r="E11" i="67" a="1"/>
  <c r="C5" i="67" a="1"/>
  <c r="G10" i="67" a="1"/>
  <c r="D3" i="67" a="1"/>
  <c r="C6" i="67" a="1"/>
  <c r="F7" i="67" a="1"/>
  <c r="E7" i="67" a="1"/>
  <c r="E9" i="67" a="1"/>
  <c r="D8" i="67" a="1"/>
  <c r="C12" i="67" a="1"/>
  <c r="D5" i="67" a="1"/>
  <c r="I11" i="67" a="1"/>
  <c r="F10" i="67" a="1"/>
  <c r="H10" i="67" a="1"/>
  <c r="E5" i="67" a="1"/>
  <c r="F5" i="67" a="1"/>
  <c r="H4" i="67" a="1"/>
  <c r="D12" i="67" a="1"/>
  <c r="C9" i="67" a="1"/>
  <c r="C4" i="67" a="1"/>
  <c r="G9" i="67" a="1"/>
  <c r="C10" i="67" a="1"/>
  <c r="H11" i="67" a="1"/>
  <c r="I4" i="67" a="1"/>
  <c r="H6" i="67" a="1"/>
  <c r="G3" i="67" a="1"/>
  <c r="C7" i="67" a="1"/>
  <c r="C8" i="67" a="1"/>
  <c r="G6" i="67" a="1"/>
  <c r="I6" i="67" a="1"/>
  <c r="H8" i="67" a="1"/>
  <c r="F11" i="67" a="1"/>
  <c r="E12" i="67" a="1"/>
  <c r="G12" i="67" a="1"/>
  <c r="E10" i="67" a="1"/>
  <c r="D11" i="67" a="1"/>
  <c r="D9" i="67" a="1"/>
  <c r="I12" i="67" a="1"/>
  <c r="I10" i="67" a="1"/>
  <c r="E8" i="67" a="1"/>
  <c r="I5" i="67" a="1"/>
  <c r="D4" i="67" a="1"/>
  <c r="I9" i="67" a="1"/>
  <c r="G8" i="67" a="1"/>
  <c r="E6" i="67" a="1"/>
  <c r="D10" i="67" a="1"/>
  <c r="F6" i="67" a="1"/>
  <c r="D7" i="67" a="1"/>
  <c r="G4" i="67" a="1"/>
  <c r="H3" i="67" a="1"/>
  <c r="F8" i="67" a="1"/>
  <c r="D6" i="67" a="1"/>
  <c r="I7" i="67" a="1"/>
  <c r="C3" i="67" a="1"/>
  <c r="H12" i="67" a="1"/>
  <c r="G5" i="67" a="1"/>
  <c r="E4" i="67" a="1"/>
  <c r="H7" i="67" a="1"/>
  <c r="F3" i="67" a="1"/>
  <c r="F4" i="67" a="1"/>
  <c r="I8" i="67" a="1"/>
  <c r="E7" i="67" l="1"/>
  <c r="G4" i="67"/>
  <c r="C10" i="67"/>
  <c r="F3" i="67"/>
  <c r="C6" i="67"/>
  <c r="E11" i="67"/>
  <c r="F5" i="67"/>
  <c r="F7" i="67"/>
  <c r="H4" i="67"/>
  <c r="I4" i="67"/>
  <c r="G10" i="67"/>
  <c r="G8" i="67"/>
  <c r="H10" i="67"/>
  <c r="I8" i="67"/>
  <c r="C4" i="67"/>
  <c r="I6" i="67"/>
  <c r="C12" i="67"/>
  <c r="G12" i="67"/>
  <c r="H12" i="67"/>
  <c r="H8" i="67"/>
  <c r="I12" i="67"/>
  <c r="D7" i="67"/>
  <c r="E9" i="67"/>
  <c r="F11" i="67"/>
  <c r="D3" i="67"/>
  <c r="F9" i="67"/>
  <c r="E3" i="67"/>
  <c r="C8" i="67"/>
  <c r="D5" i="67"/>
  <c r="G6" i="67"/>
  <c r="D11" i="67"/>
  <c r="E5" i="67"/>
  <c r="H6" i="67"/>
  <c r="D9" i="67"/>
  <c r="I10" i="67"/>
  <c r="G5" i="67"/>
  <c r="D6" i="67"/>
  <c r="G11" i="67"/>
  <c r="D12" i="67"/>
  <c r="H3" i="67"/>
  <c r="E4" i="67"/>
  <c r="H9" i="67"/>
  <c r="H11" i="67"/>
  <c r="E12" i="67"/>
  <c r="G7" i="67"/>
  <c r="D8" i="67"/>
  <c r="H5" i="67"/>
  <c r="E6" i="67"/>
  <c r="E10" i="67"/>
  <c r="C3" i="67"/>
  <c r="C5" i="67"/>
  <c r="F6" i="67"/>
  <c r="I7" i="67"/>
  <c r="F8" i="67"/>
  <c r="C9" i="67"/>
  <c r="I9" i="67"/>
  <c r="F10" i="67"/>
  <c r="C11" i="67"/>
  <c r="I11" i="67"/>
  <c r="F12" i="67"/>
  <c r="G3" i="67"/>
  <c r="D4" i="67"/>
  <c r="G9" i="67"/>
  <c r="D10" i="67"/>
  <c r="H7" i="67"/>
  <c r="E8" i="67"/>
  <c r="I3" i="67"/>
  <c r="F4" i="67"/>
  <c r="I5" i="67"/>
  <c r="C7" i="67"/>
  <c r="K11" i="66"/>
  <c r="K5" i="66"/>
  <c r="K8" i="66"/>
  <c r="K10" i="66"/>
  <c r="K12" i="66"/>
  <c r="K6" i="66"/>
  <c r="K9" i="66"/>
  <c r="K13" i="66"/>
  <c r="K7" i="66"/>
  <c r="K8" i="65"/>
  <c r="K9" i="65"/>
  <c r="K11" i="65"/>
  <c r="K12" i="65"/>
  <c r="K13" i="65"/>
  <c r="K5" i="65"/>
  <c r="K10" i="65"/>
  <c r="K6" i="65"/>
  <c r="K7" i="65"/>
  <c r="K8" i="64"/>
  <c r="K9" i="64"/>
  <c r="K10" i="64"/>
  <c r="K12" i="64"/>
  <c r="K13" i="64"/>
  <c r="K6" i="64"/>
  <c r="K11" i="64"/>
  <c r="K5" i="64"/>
  <c r="K7" i="64"/>
  <c r="K9" i="63"/>
  <c r="K13" i="63"/>
  <c r="K10" i="63"/>
  <c r="K11" i="63"/>
  <c r="K5" i="63"/>
  <c r="K8" i="63"/>
  <c r="K12" i="63"/>
  <c r="K6" i="63"/>
  <c r="K7" i="63"/>
  <c r="K10" i="62"/>
  <c r="K8" i="62"/>
  <c r="K13" i="62"/>
  <c r="K5" i="62"/>
  <c r="K9" i="62"/>
  <c r="K12" i="62"/>
  <c r="K6" i="62"/>
  <c r="K11" i="62"/>
  <c r="K7" i="62"/>
  <c r="K8" i="61"/>
  <c r="K10" i="61"/>
  <c r="K5" i="61"/>
  <c r="K9" i="61"/>
  <c r="K11" i="61"/>
  <c r="K13" i="61"/>
  <c r="K6" i="61"/>
  <c r="K12" i="61"/>
  <c r="K7" i="61"/>
  <c r="K8" i="60"/>
  <c r="K9" i="60"/>
  <c r="K11" i="60"/>
  <c r="K12" i="60"/>
  <c r="K5" i="60"/>
  <c r="K13" i="60"/>
  <c r="K6" i="60"/>
  <c r="K10" i="60"/>
  <c r="K7" i="60"/>
  <c r="K8" i="59"/>
  <c r="K9" i="59"/>
  <c r="K11" i="59"/>
  <c r="K10" i="59"/>
  <c r="K12" i="59"/>
  <c r="K5" i="59"/>
  <c r="K6" i="59"/>
  <c r="K13" i="59"/>
  <c r="K7" i="59"/>
  <c r="K8" i="57"/>
  <c r="K9" i="57"/>
  <c r="K10" i="57"/>
  <c r="K12" i="57"/>
  <c r="K13" i="57"/>
  <c r="K5" i="57"/>
  <c r="K6" i="57"/>
  <c r="K11" i="57"/>
  <c r="K7" i="57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C16" i="67" l="1"/>
  <c r="T14" i="66"/>
  <c r="T14" i="65"/>
  <c r="T14" i="64"/>
  <c r="T14" i="63"/>
  <c r="X14" i="63" s="1"/>
  <c r="T14" i="62"/>
  <c r="T14" i="61"/>
  <c r="AA14" i="61" s="1"/>
  <c r="T14" i="60"/>
  <c r="T14" i="59"/>
  <c r="T14" i="58"/>
  <c r="T14" i="57"/>
  <c r="L14" i="66"/>
  <c r="L14" i="65"/>
  <c r="P14" i="65" s="1"/>
  <c r="L14" i="64"/>
  <c r="R14" i="64" s="1"/>
  <c r="L14" i="63"/>
  <c r="L14" i="62"/>
  <c r="L14" i="61"/>
  <c r="N14" i="61" s="1"/>
  <c r="L14" i="60"/>
  <c r="L14" i="59"/>
  <c r="Q14" i="59" s="1"/>
  <c r="L14" i="58"/>
  <c r="Q14" i="58" s="1"/>
  <c r="L14" i="57"/>
  <c r="Q14" i="66"/>
  <c r="O14" i="66"/>
  <c r="N14" i="66"/>
  <c r="M14" i="66"/>
  <c r="P14" i="66"/>
  <c r="S14" i="66"/>
  <c r="R14" i="66"/>
  <c r="AA14" i="66"/>
  <c r="Z14" i="66"/>
  <c r="Y14" i="66"/>
  <c r="V14" i="66"/>
  <c r="U14" i="66"/>
  <c r="X14" i="66"/>
  <c r="W14" i="66"/>
  <c r="AA14" i="65"/>
  <c r="Z14" i="65"/>
  <c r="Y14" i="65"/>
  <c r="X14" i="65"/>
  <c r="W14" i="65"/>
  <c r="V14" i="65"/>
  <c r="U14" i="65"/>
  <c r="N14" i="65"/>
  <c r="Q14" i="64"/>
  <c r="M14" i="64"/>
  <c r="P14" i="64"/>
  <c r="O14" i="64"/>
  <c r="N14" i="64"/>
  <c r="Z14" i="64"/>
  <c r="Y14" i="64"/>
  <c r="X14" i="64"/>
  <c r="W14" i="64"/>
  <c r="V14" i="64"/>
  <c r="U14" i="64"/>
  <c r="W14" i="63"/>
  <c r="Z14" i="63"/>
  <c r="Y14" i="63"/>
  <c r="V14" i="63"/>
  <c r="U14" i="63"/>
  <c r="Q14" i="63"/>
  <c r="P14" i="63"/>
  <c r="O14" i="63"/>
  <c r="N14" i="63"/>
  <c r="M14" i="63"/>
  <c r="R14" i="63"/>
  <c r="S14" i="63"/>
  <c r="AA14" i="62"/>
  <c r="Z14" i="62"/>
  <c r="Y14" i="62"/>
  <c r="X14" i="62"/>
  <c r="W14" i="62"/>
  <c r="V14" i="62"/>
  <c r="U14" i="62"/>
  <c r="Q14" i="62"/>
  <c r="O14" i="62"/>
  <c r="P14" i="62"/>
  <c r="N14" i="62"/>
  <c r="M14" i="62"/>
  <c r="S14" i="62"/>
  <c r="R14" i="62"/>
  <c r="S14" i="61"/>
  <c r="R14" i="61"/>
  <c r="Q14" i="61"/>
  <c r="P14" i="61"/>
  <c r="O14" i="61"/>
  <c r="O14" i="60"/>
  <c r="N14" i="60"/>
  <c r="M14" i="60"/>
  <c r="S14" i="60"/>
  <c r="R14" i="60"/>
  <c r="Q14" i="60"/>
  <c r="P14" i="60"/>
  <c r="AA14" i="60"/>
  <c r="Z14" i="60"/>
  <c r="Y14" i="60"/>
  <c r="X14" i="60"/>
  <c r="W14" i="60"/>
  <c r="V14" i="60"/>
  <c r="U14" i="60"/>
  <c r="AA14" i="59"/>
  <c r="Z14" i="59"/>
  <c r="Y14" i="59"/>
  <c r="X14" i="59"/>
  <c r="W14" i="59"/>
  <c r="V14" i="59"/>
  <c r="U14" i="59"/>
  <c r="V14" i="58"/>
  <c r="AA14" i="58"/>
  <c r="Z14" i="58"/>
  <c r="Y14" i="58"/>
  <c r="X14" i="58"/>
  <c r="W14" i="58"/>
  <c r="U14" i="58"/>
  <c r="AA14" i="57"/>
  <c r="Z14" i="57"/>
  <c r="Y14" i="57"/>
  <c r="X14" i="57"/>
  <c r="W14" i="57"/>
  <c r="V14" i="57"/>
  <c r="U14" i="57"/>
  <c r="Q14" i="57"/>
  <c r="P14" i="57"/>
  <c r="O14" i="57"/>
  <c r="N14" i="57"/>
  <c r="M14" i="57"/>
  <c r="S14" i="57"/>
  <c r="R14" i="57"/>
  <c r="D13" i="67"/>
  <c r="H13" i="67"/>
  <c r="I13" i="67"/>
  <c r="E13" i="67"/>
  <c r="C13" i="67"/>
  <c r="J13" i="67" s="1"/>
  <c r="F13" i="67"/>
  <c r="G13" i="67"/>
  <c r="K4" i="66"/>
  <c r="D14" i="66"/>
  <c r="D14" i="65"/>
  <c r="K4" i="65"/>
  <c r="D14" i="64"/>
  <c r="K4" i="64"/>
  <c r="K4" i="63"/>
  <c r="D14" i="63"/>
  <c r="D14" i="62"/>
  <c r="K4" i="62"/>
  <c r="D14" i="61"/>
  <c r="K4" i="61"/>
  <c r="K4" i="60"/>
  <c r="D14" i="60"/>
  <c r="K4" i="59"/>
  <c r="D14" i="59"/>
  <c r="D14" i="58"/>
  <c r="D14" i="57"/>
  <c r="K4" i="57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K12" i="67" a="1"/>
  <c r="P4" i="67" a="1"/>
  <c r="Y3" i="67" a="1"/>
  <c r="V8" i="67" a="1"/>
  <c r="L3" i="67" a="1"/>
  <c r="N6" i="67" a="1"/>
  <c r="O10" i="67" a="1"/>
  <c r="X5" i="67" a="1"/>
  <c r="V12" i="67" a="1"/>
  <c r="Q12" i="67" a="1"/>
  <c r="U3" i="67" a="1"/>
  <c r="P6" i="67" a="1"/>
  <c r="U11" i="67" a="1"/>
  <c r="Q3" i="67" a="1"/>
  <c r="P8" i="67" a="1"/>
  <c r="N7" i="67" a="1"/>
  <c r="V6" i="67" a="1"/>
  <c r="W6" i="67" a="1"/>
  <c r="P9" i="67" a="1"/>
  <c r="T12" i="67" a="1"/>
  <c r="X4" i="67" a="1"/>
  <c r="S12" i="67" a="1"/>
  <c r="X12" i="67" a="1"/>
  <c r="U4" i="67" a="1"/>
  <c r="S10" i="67" a="1"/>
  <c r="L10" i="67" a="1"/>
  <c r="X9" i="67" a="1"/>
  <c r="W12" i="67" a="1"/>
  <c r="V3" i="67" a="1"/>
  <c r="M8" i="67" a="1"/>
  <c r="X3" i="67" a="1"/>
  <c r="U10" i="67" a="1"/>
  <c r="O6" i="67" a="1"/>
  <c r="T6" i="67" a="1"/>
  <c r="M11" i="67" a="1"/>
  <c r="P7" i="67" a="1"/>
  <c r="O3" i="67" a="1"/>
  <c r="U5" i="67" a="1"/>
  <c r="K4" i="67" a="1"/>
  <c r="S4" i="67" a="1"/>
  <c r="P5" i="67" a="1"/>
  <c r="X8" i="67" a="1"/>
  <c r="U8" i="67" a="1"/>
  <c r="S8" i="67" a="1"/>
  <c r="M6" i="67" a="1"/>
  <c r="T4" i="67" a="1"/>
  <c r="M7" i="67" a="1"/>
  <c r="K11" i="67" a="1"/>
  <c r="Y11" i="67" a="1"/>
  <c r="V11" i="67" a="1"/>
  <c r="S3" i="67" a="1"/>
  <c r="Y4" i="67" a="1"/>
  <c r="W8" i="67" a="1"/>
  <c r="V9" i="67" a="1"/>
  <c r="Q8" i="67" a="1"/>
  <c r="W3" i="67" a="1"/>
  <c r="L8" i="67" a="1"/>
  <c r="M9" i="67" a="1"/>
  <c r="M3" i="67" a="1"/>
  <c r="M10" i="67" a="1"/>
  <c r="T10" i="67" a="1"/>
  <c r="L9" i="67" a="1"/>
  <c r="S7" i="67" a="1"/>
  <c r="U6" i="67" a="1"/>
  <c r="U12" i="67" a="1"/>
  <c r="P10" i="67" a="1"/>
  <c r="W5" i="67" a="1"/>
  <c r="K5" i="67" a="1"/>
  <c r="Y10" i="67" a="1"/>
  <c r="T11" i="67" a="1"/>
  <c r="S11" i="67" a="1"/>
  <c r="Y5" i="67" a="1"/>
  <c r="W10" i="67" a="1"/>
  <c r="K6" i="67" a="1"/>
  <c r="V4" i="67" a="1"/>
  <c r="N10" i="67" a="1"/>
  <c r="S9" i="67" a="1"/>
  <c r="K3" i="67" a="1"/>
  <c r="X6" i="67" a="1"/>
  <c r="Q10" i="67" a="1"/>
  <c r="Y8" i="67" a="1"/>
  <c r="O7" i="67" a="1"/>
  <c r="W11" i="67" a="1"/>
  <c r="T3" i="67" a="1"/>
  <c r="K7" i="67" a="1"/>
  <c r="X10" i="67" a="1"/>
  <c r="Y6" i="67" a="1"/>
  <c r="K9" i="67" a="1"/>
  <c r="Y9" i="67" a="1"/>
  <c r="W4" i="67" a="1"/>
  <c r="Q9" i="67" a="1"/>
  <c r="O11" i="67" a="1"/>
  <c r="L6" i="67" a="1"/>
  <c r="T5" i="67" a="1"/>
  <c r="N8" i="67" a="1"/>
  <c r="Q6" i="67" a="1"/>
  <c r="V5" i="67" a="1"/>
  <c r="O12" i="67" a="1"/>
  <c r="U9" i="67" a="1"/>
  <c r="S5" i="67" a="1"/>
  <c r="M12" i="67" a="1"/>
  <c r="Y12" i="67" a="1"/>
  <c r="O8" i="67" a="1"/>
  <c r="O9" i="67" a="1"/>
  <c r="N9" i="67" a="1"/>
  <c r="P3" i="67" a="1"/>
  <c r="X11" i="67" a="1"/>
  <c r="K8" i="67" a="1"/>
  <c r="V10" i="67" a="1"/>
  <c r="S6" i="67" a="1"/>
  <c r="Q7" i="67" a="1"/>
  <c r="K10" i="67" a="1"/>
  <c r="T9" i="67" a="1"/>
  <c r="N3" i="67" a="1"/>
  <c r="N12" i="67" a="1"/>
  <c r="L12" i="67" a="1"/>
  <c r="P12" i="67" a="1"/>
  <c r="W9" i="67" a="1"/>
  <c r="T8" i="67" a="1"/>
  <c r="S12" i="67" l="1"/>
  <c r="S11" i="67"/>
  <c r="AA14" i="64"/>
  <c r="S10" i="67"/>
  <c r="AA14" i="63"/>
  <c r="S9" i="67"/>
  <c r="S8" i="67"/>
  <c r="S7" i="67"/>
  <c r="V14" i="61"/>
  <c r="U14" i="61"/>
  <c r="W14" i="61"/>
  <c r="X14" i="61"/>
  <c r="Y14" i="61"/>
  <c r="Z14" i="61"/>
  <c r="S6" i="67"/>
  <c r="S5" i="67"/>
  <c r="S4" i="67"/>
  <c r="S3" i="67"/>
  <c r="K12" i="67"/>
  <c r="M14" i="65"/>
  <c r="Q14" i="65"/>
  <c r="O14" i="65"/>
  <c r="R14" i="65"/>
  <c r="S14" i="65"/>
  <c r="K11" i="67"/>
  <c r="S14" i="64"/>
  <c r="K10" i="67"/>
  <c r="K9" i="67"/>
  <c r="K8" i="67"/>
  <c r="M14" i="61"/>
  <c r="K7" i="67"/>
  <c r="K6" i="67"/>
  <c r="K5" i="67"/>
  <c r="R14" i="59"/>
  <c r="S14" i="59"/>
  <c r="M14" i="59"/>
  <c r="N14" i="59"/>
  <c r="O14" i="59"/>
  <c r="P14" i="59"/>
  <c r="R14" i="58"/>
  <c r="O14" i="58"/>
  <c r="M14" i="58"/>
  <c r="P14" i="58"/>
  <c r="S14" i="58"/>
  <c r="N14" i="58"/>
  <c r="K4" i="67"/>
  <c r="K3" i="67"/>
  <c r="V12" i="67"/>
  <c r="T12" i="67"/>
  <c r="U12" i="67"/>
  <c r="Y12" i="67"/>
  <c r="O12" i="67"/>
  <c r="W12" i="67"/>
  <c r="X12" i="67"/>
  <c r="L12" i="67"/>
  <c r="N12" i="67"/>
  <c r="Q12" i="67"/>
  <c r="M12" i="67"/>
  <c r="P12" i="67"/>
  <c r="Z2" i="66"/>
  <c r="P2" i="66"/>
  <c r="X2" i="66"/>
  <c r="R2" i="66"/>
  <c r="O11" i="67"/>
  <c r="M11" i="67"/>
  <c r="T11" i="67"/>
  <c r="U11" i="67"/>
  <c r="V11" i="67"/>
  <c r="W11" i="67"/>
  <c r="X11" i="67"/>
  <c r="Y11" i="67"/>
  <c r="R2" i="65"/>
  <c r="P2" i="65"/>
  <c r="X2" i="65"/>
  <c r="Z2" i="65"/>
  <c r="U10" i="67"/>
  <c r="V10" i="67"/>
  <c r="T10" i="67"/>
  <c r="W10" i="67"/>
  <c r="X10" i="67"/>
  <c r="Y10" i="67"/>
  <c r="Q10" i="67"/>
  <c r="N10" i="67"/>
  <c r="M10" i="67"/>
  <c r="O10" i="67"/>
  <c r="L10" i="67"/>
  <c r="P10" i="67"/>
  <c r="X2" i="64"/>
  <c r="Z2" i="64"/>
  <c r="R2" i="64"/>
  <c r="P2" i="64"/>
  <c r="Q9" i="67"/>
  <c r="L9" i="67"/>
  <c r="M9" i="67"/>
  <c r="N9" i="67"/>
  <c r="O9" i="67"/>
  <c r="P9" i="67"/>
  <c r="T9" i="67"/>
  <c r="U9" i="67"/>
  <c r="X9" i="67"/>
  <c r="Y9" i="67"/>
  <c r="V9" i="67"/>
  <c r="W9" i="67"/>
  <c r="R2" i="63"/>
  <c r="P2" i="63"/>
  <c r="Z2" i="63"/>
  <c r="X2" i="63"/>
  <c r="Q8" i="67"/>
  <c r="L8" i="67"/>
  <c r="M8" i="67"/>
  <c r="O8" i="67"/>
  <c r="P8" i="67"/>
  <c r="W8" i="67"/>
  <c r="T8" i="67"/>
  <c r="Y8" i="67"/>
  <c r="N8" i="67"/>
  <c r="U8" i="67"/>
  <c r="V8" i="67"/>
  <c r="X8" i="67"/>
  <c r="R2" i="62"/>
  <c r="P2" i="62"/>
  <c r="X2" i="62"/>
  <c r="Z2" i="62"/>
  <c r="O7" i="67"/>
  <c r="P7" i="67"/>
  <c r="M7" i="67"/>
  <c r="Q7" i="67"/>
  <c r="N7" i="67"/>
  <c r="X2" i="61"/>
  <c r="P2" i="61"/>
  <c r="R2" i="61"/>
  <c r="L6" i="67"/>
  <c r="M6" i="67"/>
  <c r="N6" i="67"/>
  <c r="T6" i="67"/>
  <c r="U6" i="67"/>
  <c r="V6" i="67"/>
  <c r="W6" i="67"/>
  <c r="X6" i="67"/>
  <c r="Y6" i="67"/>
  <c r="O6" i="67"/>
  <c r="P6" i="67"/>
  <c r="Q6" i="67"/>
  <c r="X2" i="60"/>
  <c r="Z2" i="60"/>
  <c r="P2" i="60"/>
  <c r="R2" i="60"/>
  <c r="T5" i="67"/>
  <c r="U5" i="67"/>
  <c r="W5" i="67"/>
  <c r="X5" i="67"/>
  <c r="Y5" i="67"/>
  <c r="V5" i="67"/>
  <c r="P5" i="67"/>
  <c r="P4" i="67"/>
  <c r="W4" i="67"/>
  <c r="T4" i="67"/>
  <c r="V4" i="67"/>
  <c r="X4" i="67"/>
  <c r="Y4" i="67"/>
  <c r="U4" i="67"/>
  <c r="R2" i="58"/>
  <c r="X2" i="58"/>
  <c r="P2" i="58"/>
  <c r="Z2" i="58"/>
  <c r="L3" i="67"/>
  <c r="N3" i="67"/>
  <c r="P3" i="67"/>
  <c r="V3" i="67"/>
  <c r="W3" i="67"/>
  <c r="O3" i="67"/>
  <c r="U3" i="67"/>
  <c r="X3" i="67"/>
  <c r="Y3" i="67"/>
  <c r="T3" i="67"/>
  <c r="Q3" i="67"/>
  <c r="M3" i="67"/>
  <c r="X2" i="57"/>
  <c r="P2" i="57"/>
  <c r="Z2" i="57"/>
  <c r="R2" i="57"/>
  <c r="I14" i="66"/>
  <c r="E14" i="66"/>
  <c r="H14" i="66"/>
  <c r="F14" i="66"/>
  <c r="K14" i="66"/>
  <c r="G14" i="66"/>
  <c r="J14" i="66"/>
  <c r="I14" i="65"/>
  <c r="H14" i="65"/>
  <c r="G14" i="65"/>
  <c r="F14" i="65"/>
  <c r="E14" i="65"/>
  <c r="J14" i="65"/>
  <c r="K14" i="65"/>
  <c r="I14" i="64"/>
  <c r="E14" i="64"/>
  <c r="H14" i="64"/>
  <c r="G14" i="64"/>
  <c r="F14" i="64"/>
  <c r="K14" i="64"/>
  <c r="J14" i="64"/>
  <c r="I14" i="63"/>
  <c r="H14" i="63"/>
  <c r="G14" i="63"/>
  <c r="J14" i="63"/>
  <c r="F14" i="63"/>
  <c r="E14" i="63"/>
  <c r="K14" i="63"/>
  <c r="I14" i="62"/>
  <c r="H14" i="62"/>
  <c r="G14" i="62"/>
  <c r="F14" i="62"/>
  <c r="E14" i="62"/>
  <c r="J14" i="62"/>
  <c r="K14" i="62"/>
  <c r="I14" i="61"/>
  <c r="H14" i="61"/>
  <c r="G14" i="61"/>
  <c r="F14" i="61"/>
  <c r="E14" i="61"/>
  <c r="K14" i="61"/>
  <c r="J14" i="61"/>
  <c r="I14" i="60"/>
  <c r="H14" i="60"/>
  <c r="G14" i="60"/>
  <c r="F14" i="60"/>
  <c r="E14" i="60"/>
  <c r="K14" i="60"/>
  <c r="J14" i="60"/>
  <c r="I14" i="59"/>
  <c r="H14" i="59"/>
  <c r="G14" i="59"/>
  <c r="F14" i="59"/>
  <c r="E14" i="59"/>
  <c r="K14" i="59"/>
  <c r="J14" i="59"/>
  <c r="I14" i="58"/>
  <c r="H14" i="58"/>
  <c r="G14" i="58"/>
  <c r="F14" i="58"/>
  <c r="E14" i="58"/>
  <c r="J14" i="58"/>
  <c r="I14" i="57"/>
  <c r="H14" i="57"/>
  <c r="G14" i="57"/>
  <c r="K14" i="57"/>
  <c r="F14" i="57"/>
  <c r="E14" i="57"/>
  <c r="J14" i="57"/>
  <c r="G14" i="26"/>
  <c r="E14" i="26"/>
  <c r="D14" i="26"/>
  <c r="K14" i="26"/>
  <c r="P14" i="25"/>
  <c r="N14" i="25"/>
  <c r="M14" i="25"/>
  <c r="T14" i="25"/>
  <c r="D14" i="25"/>
  <c r="Q11" i="67" a="1"/>
  <c r="L11" i="67" a="1"/>
  <c r="T7" i="67" a="1"/>
  <c r="P11" i="67" a="1"/>
  <c r="O5" i="67" a="1"/>
  <c r="N5" i="67" a="1"/>
  <c r="L5" i="67" a="1"/>
  <c r="O4" i="67" a="1"/>
  <c r="V7" i="67" a="1"/>
  <c r="Q4" i="67" a="1"/>
  <c r="U7" i="67" a="1"/>
  <c r="X7" i="67" a="1"/>
  <c r="L7" i="67" a="1"/>
  <c r="M5" i="67" a="1"/>
  <c r="W7" i="67" a="1"/>
  <c r="M4" i="67" a="1"/>
  <c r="L4" i="67" a="1"/>
  <c r="N11" i="67" a="1"/>
  <c r="Q5" i="67" a="1"/>
  <c r="H4" i="23" a="1"/>
  <c r="Y7" i="67" a="1"/>
  <c r="I4" i="23" a="1"/>
  <c r="N4" i="67" a="1"/>
  <c r="K16" i="67" l="1"/>
  <c r="S16" i="67"/>
  <c r="Y7" i="67"/>
  <c r="Y13" i="67" s="1"/>
  <c r="X7" i="67"/>
  <c r="X13" i="67" s="1"/>
  <c r="W7" i="67"/>
  <c r="W13" i="67" s="1"/>
  <c r="V7" i="67"/>
  <c r="V13" i="67" s="1"/>
  <c r="T7" i="67"/>
  <c r="T13" i="67" s="1"/>
  <c r="U7" i="67"/>
  <c r="U13" i="67" s="1"/>
  <c r="Z2" i="61"/>
  <c r="S13" i="67"/>
  <c r="Z13" i="67" s="1"/>
  <c r="Q11" i="67"/>
  <c r="N11" i="67"/>
  <c r="P11" i="67"/>
  <c r="P13" i="67" s="1"/>
  <c r="L11" i="67"/>
  <c r="L7" i="67"/>
  <c r="P2" i="59"/>
  <c r="R2" i="59"/>
  <c r="Z2" i="59"/>
  <c r="X2" i="59"/>
  <c r="O5" i="67"/>
  <c r="M5" i="67"/>
  <c r="L5" i="67"/>
  <c r="N5" i="67"/>
  <c r="Q5" i="67"/>
  <c r="M4" i="67"/>
  <c r="O4" i="67"/>
  <c r="L4" i="67"/>
  <c r="N4" i="67"/>
  <c r="Q4" i="67"/>
  <c r="K13" i="67"/>
  <c r="J2" i="66"/>
  <c r="H2" i="66"/>
  <c r="J2" i="65"/>
  <c r="H2" i="65"/>
  <c r="J2" i="64"/>
  <c r="H2" i="64"/>
  <c r="J2" i="63"/>
  <c r="H2" i="63"/>
  <c r="J2" i="62"/>
  <c r="H2" i="62"/>
  <c r="J2" i="61"/>
  <c r="H2" i="61"/>
  <c r="J2" i="60"/>
  <c r="H2" i="60"/>
  <c r="H2" i="59"/>
  <c r="J2" i="59"/>
  <c r="J2" i="58"/>
  <c r="H2" i="58"/>
  <c r="J2" i="57"/>
  <c r="H2" i="57"/>
  <c r="H4" i="23"/>
  <c r="I4" i="23"/>
  <c r="D9" i="23" a="1"/>
  <c r="E7" i="23" a="1"/>
  <c r="F9" i="23" a="1"/>
  <c r="F12" i="23" a="1"/>
  <c r="G5" i="23" a="1"/>
  <c r="G13" i="23" a="1"/>
  <c r="F8" i="23" a="1"/>
  <c r="E6" i="23" a="1"/>
  <c r="D12" i="23" a="1"/>
  <c r="G6" i="23" a="1"/>
  <c r="E13" i="23" a="1"/>
  <c r="G10" i="23" a="1"/>
  <c r="F5" i="23" a="1"/>
  <c r="E9" i="23" a="1"/>
  <c r="D13" i="23" a="1"/>
  <c r="E5" i="23" a="1"/>
  <c r="F7" i="23" a="1"/>
  <c r="G11" i="23" a="1"/>
  <c r="D4" i="23" a="1"/>
  <c r="E12" i="23" a="1"/>
  <c r="E4" i="23" a="1"/>
  <c r="F6" i="23" a="1"/>
  <c r="F10" i="23" a="1"/>
  <c r="F13" i="23" a="1"/>
  <c r="E10" i="23" a="1"/>
  <c r="D5" i="23" a="1"/>
  <c r="G4" i="23" a="1"/>
  <c r="G8" i="23" a="1"/>
  <c r="D6" i="23" a="1"/>
  <c r="D10" i="23" a="1"/>
  <c r="F4" i="23" a="1"/>
  <c r="E11" i="23" a="1"/>
  <c r="G12" i="23" a="1"/>
  <c r="D7" i="23" a="1"/>
  <c r="G9" i="23" a="1"/>
  <c r="D11" i="23" a="1"/>
  <c r="G7" i="23" a="1"/>
  <c r="D8" i="23" a="1"/>
  <c r="E8" i="23" a="1"/>
  <c r="F11" i="23" a="1"/>
  <c r="N13" i="67" l="1"/>
  <c r="O13" i="67"/>
  <c r="Q13" i="67"/>
  <c r="L13" i="67"/>
  <c r="M13" i="67"/>
  <c r="R13" i="67"/>
  <c r="G9" i="23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<sst xmlns="http://schemas.openxmlformats.org/spreadsheetml/2006/main" count="666" uniqueCount="21">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</sst>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2D52B-EC19-8F46-AD2D-4DBA82BC1446}">
  <dimension ref="B2:Z16"/>
  <sheetViews>
    <sheetView zoomScale="85" zoomScaleNormal="85" workbookViewId="0">
      <selection activeCell="H14" sqref="A14:XFD14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5" t="s">
        <v>0</v>
      </c>
      <c r="T2" s="35" t="s">
        <v>5</v>
      </c>
      <c r="U2" s="35" t="s">
        <v>12</v>
      </c>
      <c r="V2" s="35" t="s">
        <v>15</v>
      </c>
      <c r="W2" s="35" t="s">
        <v>11</v>
      </c>
      <c r="X2" s="35" t="s">
        <v>16</v>
      </c>
      <c r="Y2" s="35" t="s">
        <v>10</v>
      </c>
      <c r="Z2" s="35" t="s">
        <v>1</v>
      </c>
    </row>
    <row r="3" spans="2:26" x14ac:dyDescent="0.2">
      <c r="B3" s="4">
        <v>56</v>
      </c>
      <c r="C3" s="5" cm="1">
        <f t="array" aca="1" ref="C3" ca="1">INDIRECT("'results" &amp; $B3 &amp; "'!D$14")</f>
        <v>63117.291813631658</v>
      </c>
      <c r="D3" s="33" cm="1">
        <f t="array" aca="1" ref="D3" ca="1">INDIRECT("'results" &amp; $B3 &amp; "'!E$14")</f>
        <v>3.423591875000056</v>
      </c>
      <c r="E3" s="5" cm="1">
        <f t="array" aca="1" ref="E3" ca="1">INDIRECT("'results" &amp; $B3 &amp; "'!F$14")</f>
        <v>2</v>
      </c>
      <c r="F3" s="5" cm="1">
        <f t="array" aca="1" ref="F3" ca="1">INDIRECT("'results" &amp; $B3 &amp; "'!G$14")</f>
        <v>70</v>
      </c>
      <c r="G3" s="5" cm="1">
        <f t="array" aca="1" ref="G3" ca="1">INDIRECT("'results" &amp; $B3 &amp; "'!H$14")</f>
        <v>0</v>
      </c>
      <c r="H3" s="33" cm="1">
        <f t="array" aca="1" ref="H3" ca="1">INDIRECT("'results" &amp; $B3 &amp; "'!I$14")</f>
        <v>14.722070658493845</v>
      </c>
      <c r="I3" s="5" cm="1">
        <f t="array" aca="1" ref="I3" ca="1">INDIRECT("'results" &amp; $B3 &amp; "'!J$14")</f>
        <v>1110.1603289776635</v>
      </c>
      <c r="J3" s="5"/>
      <c r="K3" s="5" cm="1">
        <f t="array" aca="1" ref="K3" ca="1">INDIRECT("'results" &amp; $B3 &amp; "'!L$14")</f>
        <v>74832.360485152079</v>
      </c>
      <c r="L3" s="5" cm="1">
        <f t="array" aca="1" ref="L3" ca="1">INDIRECT("'results" &amp; $B3 &amp; "'!M$14")</f>
        <v>3.750063999999838</v>
      </c>
      <c r="M3" s="5" cm="1">
        <f t="array" aca="1" ref="M3" ca="1">INDIRECT("'results" &amp; $B3 &amp; "'!N$14")</f>
        <v>2</v>
      </c>
      <c r="N3" s="5" cm="1">
        <f t="array" aca="1" ref="N3" ca="1">INDIRECT("'results" &amp; $B3 &amp; "'!O$14")</f>
        <v>55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11.701966899669095</v>
      </c>
      <c r="Q3" s="5" cm="1">
        <f t="array" aca="1" ref="Q3" ca="1">INDIRECT("'results" &amp; $B3 &amp; "'!R$14")</f>
        <v>1117.5662079656763</v>
      </c>
      <c r="R3" s="5"/>
      <c r="S3" s="5" cm="1">
        <f t="array" aca="1" ref="S3" ca="1">INDIRECT("'results" &amp; $B3 &amp; "'!T$14")</f>
        <v>66753.405020239501</v>
      </c>
      <c r="T3" s="5" cm="1">
        <f t="array" aca="1" ref="T3" ca="1">INDIRECT("'results" &amp; $B3 &amp; "'!U$14")</f>
        <v>3.3384350419983089</v>
      </c>
      <c r="U3" s="5" cm="1">
        <f t="array" aca="1" ref="U3" ca="1">INDIRECT("'results" &amp; $B3 &amp; "'!V$14")</f>
        <v>2</v>
      </c>
      <c r="V3" s="5" cm="1">
        <f t="array" aca="1" ref="V3" ca="1">INDIRECT("'results" &amp; $B3 &amp; "'!W$14")</f>
        <v>70</v>
      </c>
      <c r="W3" s="5" cm="1">
        <f t="array" aca="1" ref="W3" ca="1">INDIRECT("'results" &amp; $B3 &amp; "'!X$14")</f>
        <v>0</v>
      </c>
      <c r="X3" s="5" cm="1">
        <f t="array" aca="1" ref="X3" ca="1">INDIRECT("'results" &amp; $B3 &amp; "'!Y$14")</f>
        <v>32.305363786712455</v>
      </c>
      <c r="Y3" s="5" cm="1">
        <f t="array" aca="1" ref="Y3" ca="1">INDIRECT("'results" &amp; $B3 &amp; "'!Z$14")</f>
        <v>1605.517176164193</v>
      </c>
      <c r="Z3" s="5"/>
    </row>
    <row r="4" spans="2:26" x14ac:dyDescent="0.2">
      <c r="B4" s="4">
        <v>166</v>
      </c>
      <c r="C4" s="5" cm="1">
        <f t="array" aca="1" ref="C4" ca="1">INDIRECT("'results" &amp; $B4 &amp; "'!D$14")</f>
        <v>72698.774572539711</v>
      </c>
      <c r="D4" s="33" cm="1">
        <f t="array" aca="1" ref="D4" ca="1">INDIRECT("'results" &amp; $B4 &amp; "'!E$14")</f>
        <v>3.9950412080015671</v>
      </c>
      <c r="E4" s="5" cm="1">
        <f t="array" aca="1" ref="E4" ca="1">INDIRECT("'results" &amp; $B4 &amp; "'!F$14")</f>
        <v>2</v>
      </c>
      <c r="F4" s="5" cm="1">
        <f t="array" aca="1" ref="F4" ca="1">INDIRECT("'results" &amp; $B4 &amp; "'!G$14")</f>
        <v>60</v>
      </c>
      <c r="G4" s="5" cm="1">
        <f t="array" aca="1" ref="G4" ca="1">INDIRECT("'results" &amp; $B4 &amp; "'!H$14")</f>
        <v>0</v>
      </c>
      <c r="H4" s="33" cm="1">
        <f t="array" aca="1" ref="H4" ca="1">INDIRECT("'results" &amp; $B4 &amp; "'!I$14")</f>
        <v>17.077609607078294</v>
      </c>
      <c r="I4" s="5" cm="1">
        <f t="array" aca="1" ref="I4" ca="1">INDIRECT("'results" &amp; $B4 &amp; "'!J$14")</f>
        <v>1232.4933189026024</v>
      </c>
      <c r="J4" s="5"/>
      <c r="K4" s="5" cm="1">
        <f t="array" aca="1" ref="K4" ca="1">INDIRECT("'results" &amp; $B4 &amp; "'!L$14")</f>
        <v>72743.494792635742</v>
      </c>
      <c r="L4" s="5" cm="1">
        <f t="array" aca="1" ref="L4" ca="1">INDIRECT("'results" &amp; $B4 &amp; "'!M$14")</f>
        <v>4.0131647919988609</v>
      </c>
      <c r="M4" s="5" cm="1">
        <f t="array" aca="1" ref="M4" ca="1">INDIRECT("'results" &amp; $B4 &amp; "'!N$14")</f>
        <v>2</v>
      </c>
      <c r="N4" s="5" cm="1">
        <f t="array" aca="1" ref="N4" ca="1">INDIRECT("'results" &amp; $B4 &amp; "'!O$14")</f>
        <v>60</v>
      </c>
      <c r="O4" s="5" cm="1">
        <f t="array" aca="1" ref="O4" ca="1">INDIRECT("'results" &amp; $B4 &amp; "'!P$14")</f>
        <v>0</v>
      </c>
      <c r="P4" s="5" cm="1">
        <f t="array" aca="1" ref="P4" ca="1">INDIRECT("'results" &amp; $B4 &amp; "'!Q$14")</f>
        <v>16.102892323423639</v>
      </c>
      <c r="Q4" s="5" cm="1">
        <f t="array" aca="1" ref="Q4" ca="1">INDIRECT("'results" &amp; $B4 &amp; "'!R$14")</f>
        <v>1221.7994676237142</v>
      </c>
      <c r="R4" s="5"/>
      <c r="S4" s="5" cm="1">
        <f t="array" aca="1" ref="S4" ca="1">INDIRECT("'results" &amp; $B4 &amp; "'!T$14")</f>
        <v>76801.539290145956</v>
      </c>
      <c r="T4" s="5" cm="1">
        <f t="array" aca="1" ref="T4" ca="1">INDIRECT("'results" &amp; $B4 &amp; "'!U$14")</f>
        <v>3.9021529159999768</v>
      </c>
      <c r="U4" s="5" cm="1">
        <f t="array" aca="1" ref="U4" ca="1">INDIRECT("'results" &amp; $B4 &amp; "'!V$14")</f>
        <v>2</v>
      </c>
      <c r="V4" s="5" cm="1">
        <f t="array" aca="1" ref="V4" ca="1">INDIRECT("'results" &amp; $B4 &amp; "'!W$14")</f>
        <v>60</v>
      </c>
      <c r="W4" s="5" cm="1">
        <f t="array" aca="1" ref="W4" ca="1">INDIRECT("'results" &amp; $B4 &amp; "'!X$14")</f>
        <v>7.4603308290832233</v>
      </c>
      <c r="X4" s="5" cm="1">
        <f t="array" aca="1" ref="X4" ca="1">INDIRECT("'results" &amp; $B4 &amp; "'!Y$14")</f>
        <v>24.478722701702189</v>
      </c>
      <c r="Y4" s="5" cm="1">
        <f t="array" aca="1" ref="Y4" ca="1">INDIRECT("'results" &amp; $B4 &amp; "'!Z$14")</f>
        <v>1651.7934714342482</v>
      </c>
      <c r="Z4" s="5"/>
    </row>
    <row r="5" spans="2:26" x14ac:dyDescent="0.2">
      <c r="B5" s="4">
        <v>214</v>
      </c>
      <c r="C5" s="5" cm="1">
        <f t="array" aca="1" ref="C5" ca="1">INDIRECT("'results" &amp; $B5 &amp; "'!D$14")</f>
        <v>71687.551290012023</v>
      </c>
      <c r="D5" s="33" cm="1">
        <f t="array" aca="1" ref="D5" ca="1">INDIRECT("'results" &amp; $B5 &amp; "'!E$14")</f>
        <v>3.5374271249984299</v>
      </c>
      <c r="E5" s="5" cm="1">
        <f t="array" aca="1" ref="E5" ca="1">INDIRECT("'results" &amp; $B5 &amp; "'!F$14")</f>
        <v>2</v>
      </c>
      <c r="F5" s="5" cm="1">
        <f t="array" aca="1" ref="F5" ca="1">INDIRECT("'results" &amp; $B5 &amp; "'!G$14")</f>
        <v>70</v>
      </c>
      <c r="G5" s="5" cm="1">
        <f t="array" aca="1" ref="G5" ca="1">INDIRECT("'results" &amp; $B5 &amp; "'!H$14")</f>
        <v>28.603211455475908</v>
      </c>
      <c r="H5" s="33" cm="1">
        <f t="array" aca="1" ref="H5" ca="1">INDIRECT("'results" &amp; $B5 &amp; "'!I$14")</f>
        <v>23.678991903960458</v>
      </c>
      <c r="I5" s="5" cm="1">
        <f t="array" aca="1" ref="I5" ca="1">INDIRECT("'results" &amp; $B5 &amp; "'!J$14")</f>
        <v>1774.1349728913185</v>
      </c>
      <c r="J5" s="5"/>
      <c r="K5" s="5" cm="1">
        <f t="array" aca="1" ref="K5" ca="1">INDIRECT("'results" &amp; $B5 &amp; "'!L$14")</f>
        <v>77603.34987005638</v>
      </c>
      <c r="L5" s="5" cm="1">
        <f t="array" aca="1" ref="L5" ca="1">INDIRECT("'results" &amp; $B5 &amp; "'!M$14")</f>
        <v>3.951487416999953</v>
      </c>
      <c r="M5" s="5" cm="1">
        <f t="array" aca="1" ref="M5" ca="1">INDIRECT("'results" &amp; $B5 &amp; "'!N$14")</f>
        <v>2</v>
      </c>
      <c r="N5" s="5" cm="1">
        <f t="array" aca="1" ref="N5" ca="1">INDIRECT("'results" &amp; $B5 &amp; "'!O$14")</f>
        <v>55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16.814304074226289</v>
      </c>
      <c r="Q5" s="5" cm="1">
        <f t="array" aca="1" ref="Q5" ca="1">INDIRECT("'results" &amp; $B5 &amp; "'!R$14")</f>
        <v>1397.9530043443938</v>
      </c>
      <c r="R5" s="5"/>
      <c r="S5" s="5" cm="1">
        <f t="array" aca="1" ref="S5" ca="1">INDIRECT("'results" &amp; $B5 &amp; "'!T$14")</f>
        <v>82869.316712105589</v>
      </c>
      <c r="T5" s="5" cm="1">
        <f t="array" aca="1" ref="T5" ca="1">INDIRECT("'results" &amp; $B5 &amp; "'!U$14")</f>
        <v>3.9314157500011788</v>
      </c>
      <c r="U5" s="5" cm="1">
        <f t="array" aca="1" ref="U5" ca="1">INDIRECT("'results" &amp; $B5 &amp; "'!V$14")</f>
        <v>2</v>
      </c>
      <c r="V5" s="5" cm="1">
        <f t="array" aca="1" ref="V5" ca="1">INDIRECT("'results" &amp; $B5 &amp; "'!W$14")</f>
        <v>55</v>
      </c>
      <c r="W5" s="5" cm="1">
        <f t="array" aca="1" ref="W5" ca="1">INDIRECT("'results" &amp; $B5 &amp; "'!X$14")</f>
        <v>57.341723203252144</v>
      </c>
      <c r="X5" s="5" cm="1">
        <f t="array" aca="1" ref="X5" ca="1">INDIRECT("'results" &amp; $B5 &amp; "'!Y$14")</f>
        <v>31.51417881279977</v>
      </c>
      <c r="Y5" s="5" cm="1">
        <f t="array" aca="1" ref="Y5" ca="1">INDIRECT("'results" &amp; $B5 &amp; "'!Z$14")</f>
        <v>2171.1972386504258</v>
      </c>
      <c r="Z5" s="5"/>
    </row>
    <row r="6" spans="2:26" x14ac:dyDescent="0.2">
      <c r="B6" s="4">
        <v>249</v>
      </c>
      <c r="C6" s="5" cm="1">
        <f t="array" aca="1" ref="C6" ca="1">INDIRECT("'results" &amp; $B6 &amp; "'!D$14")</f>
        <v>60912.600004953623</v>
      </c>
      <c r="D6" s="33" cm="1">
        <f t="array" aca="1" ref="D6" ca="1">INDIRECT("'results" &amp; $B6 &amp; "'!E$14")</f>
        <v>3.9280678750001239</v>
      </c>
      <c r="E6" s="5" cm="1">
        <f t="array" aca="1" ref="E6" ca="1">INDIRECT("'results" &amp; $B6 &amp; "'!F$14")</f>
        <v>2</v>
      </c>
      <c r="F6" s="5" cm="1">
        <f t="array" aca="1" ref="F6" ca="1">INDIRECT("'results" &amp; $B6 &amp; "'!G$14")</f>
        <v>75</v>
      </c>
      <c r="G6" s="5" cm="1">
        <f t="array" aca="1" ref="G6" ca="1">INDIRECT("'results" &amp; $B6 &amp; "'!H$14")</f>
        <v>0</v>
      </c>
      <c r="H6" s="33" cm="1">
        <f t="array" aca="1" ref="H6" ca="1">INDIRECT("'results" &amp; $B6 &amp; "'!I$14")</f>
        <v>20.577523404769373</v>
      </c>
      <c r="I6" s="5" cm="1">
        <f t="array" aca="1" ref="I6" ca="1">INDIRECT("'results" &amp; $B6 &amp; "'!J$14")</f>
        <v>1311.7441981965794</v>
      </c>
      <c r="J6" s="5"/>
      <c r="K6" s="5" cm="1">
        <f t="array" aca="1" ref="K6" ca="1">INDIRECT("'results" &amp; $B6 &amp; "'!L$14")</f>
        <v>70912.67907824181</v>
      </c>
      <c r="L6" s="5" cm="1">
        <f t="array" aca="1" ref="L6" ca="1">INDIRECT("'results" &amp; $B6 &amp; "'!M$14")</f>
        <v>4.0963792090005882</v>
      </c>
      <c r="M6" s="5" cm="1">
        <f t="array" aca="1" ref="M6" ca="1">INDIRECT("'results" &amp; $B6 &amp; "'!N$14")</f>
        <v>2</v>
      </c>
      <c r="N6" s="5" cm="1">
        <f t="array" aca="1" ref="N6" ca="1">INDIRECT("'results" &amp; $B6 &amp; "'!O$14")</f>
        <v>60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15.993742630796506</v>
      </c>
      <c r="Q6" s="5" cm="1">
        <f t="array" aca="1" ref="Q6" ca="1">INDIRECT("'results" &amp; $B6 &amp; "'!R$14")</f>
        <v>1155.0901862620888</v>
      </c>
      <c r="R6" s="5"/>
      <c r="S6" s="5" cm="1">
        <f t="array" aca="1" ref="S6" ca="1">INDIRECT("'results" &amp; $B6 &amp; "'!T$14")</f>
        <v>70215.835960381432</v>
      </c>
      <c r="T6" s="5" cm="1">
        <f t="array" aca="1" ref="T6" ca="1">INDIRECT("'results" &amp; $B6 &amp; "'!U$14")</f>
        <v>4.1156608750006853</v>
      </c>
      <c r="U6" s="5" cm="1">
        <f t="array" aca="1" ref="U6" ca="1">INDIRECT("'results" &amp; $B6 &amp; "'!V$14")</f>
        <v>2</v>
      </c>
      <c r="V6" s="5" cm="1">
        <f t="array" aca="1" ref="V6" ca="1">INDIRECT("'results" &amp; $B6 &amp; "'!W$14")</f>
        <v>75</v>
      </c>
      <c r="W6" s="5" cm="1">
        <f t="array" aca="1" ref="W6" ca="1">INDIRECT("'results" &amp; $B6 &amp; "'!X$14")</f>
        <v>35.286626130565615</v>
      </c>
      <c r="X6" s="5" cm="1">
        <f t="array" aca="1" ref="X6" ca="1">INDIRECT("'results" &amp; $B6 &amp; "'!Y$14")</f>
        <v>44.901229923012956</v>
      </c>
      <c r="Y6" s="5" cm="1">
        <f t="array" aca="1" ref="Y6" ca="1">INDIRECT("'results" &amp; $B6 &amp; "'!Z$14")</f>
        <v>2220.0166875407817</v>
      </c>
      <c r="Z6" s="5"/>
    </row>
    <row r="7" spans="2:26" x14ac:dyDescent="0.2">
      <c r="B7" s="4">
        <v>372</v>
      </c>
      <c r="C7" s="5" cm="1">
        <f t="array" aca="1" ref="C7" ca="1">INDIRECT("'results" &amp; $B7 &amp; "'!D$14")</f>
        <v>59867.515672296598</v>
      </c>
      <c r="D7" s="33" cm="1">
        <f t="array" aca="1" ref="D7" ca="1">INDIRECT("'results" &amp; $B7 &amp; "'!E$14")</f>
        <v>3.466120666000279</v>
      </c>
      <c r="E7" s="5" cm="1">
        <f t="array" aca="1" ref="E7" ca="1">INDIRECT("'results" &amp; $B7 &amp; "'!F$14")</f>
        <v>2</v>
      </c>
      <c r="F7" s="5" cm="1">
        <f t="array" aca="1" ref="F7" ca="1">INDIRECT("'results" &amp; $B7 &amp; "'!G$14")</f>
        <v>75</v>
      </c>
      <c r="G7" s="5" cm="1">
        <f t="array" aca="1" ref="G7" ca="1">INDIRECT("'results" &amp; $B7 &amp; "'!H$14")</f>
        <v>0</v>
      </c>
      <c r="H7" s="33" cm="1">
        <f t="array" aca="1" ref="H7" ca="1">INDIRECT("'results" &amp; $B7 &amp; "'!I$14")</f>
        <v>23.562470568847523</v>
      </c>
      <c r="I7" s="5" cm="1">
        <f t="array" aca="1" ref="I7" ca="1">INDIRECT("'results" &amp; $B7 &amp; "'!J$14")</f>
        <v>1246.7799146577815</v>
      </c>
      <c r="J7" s="5"/>
      <c r="K7" s="5" cm="1">
        <f t="array" aca="1" ref="K7" ca="1">INDIRECT("'results" &amp; $B7 &amp; "'!L$14")</f>
        <v>69832.72249080347</v>
      </c>
      <c r="L7" s="5" cm="1">
        <f t="array" aca="1" ref="L7" ca="1">INDIRECT("'results" &amp; $B7 &amp; "'!M$14")</f>
        <v>4.096723208000185</v>
      </c>
      <c r="M7" s="5" cm="1">
        <f t="array" aca="1" ref="M7" ca="1">INDIRECT("'results" &amp; $B7 &amp; "'!N$14")</f>
        <v>2</v>
      </c>
      <c r="N7" s="5" cm="1">
        <f t="array" aca="1" ref="N7" ca="1">INDIRECT("'results" &amp; $B7 &amp; "'!O$14")</f>
        <v>60</v>
      </c>
      <c r="O7" s="5" cm="1">
        <f t="array" aca="1" ref="O7" ca="1">INDIRECT("'results" &amp; $B7 &amp; "'!P$14")</f>
        <v>0</v>
      </c>
      <c r="P7" s="5" cm="1">
        <f t="array" aca="1" ref="P7" ca="1">INDIRECT("'results" &amp; $B7 &amp; "'!Q$14")</f>
        <v>16.821207206017249</v>
      </c>
      <c r="Q7" s="5" cm="1">
        <f t="array" aca="1" ref="Q7" ca="1">INDIRECT("'results" &amp; $B7 &amp; "'!R$14")</f>
        <v>1077.2380509948207</v>
      </c>
      <c r="R7" s="5"/>
      <c r="S7" s="5" cm="1">
        <f t="array" aca="1" ref="S7" ca="1">INDIRECT("'results" &amp; $B7 &amp; "'!T$14")</f>
        <v>64120.815489137691</v>
      </c>
      <c r="T7" s="5" cm="1">
        <f t="array" aca="1" ref="T7" ca="1">INDIRECT("'results" &amp; $B7 &amp; "'!U$14")</f>
        <v>3.853210625000429</v>
      </c>
      <c r="U7" s="5" cm="1">
        <f t="array" aca="1" ref="U7" ca="1">INDIRECT("'results" &amp; $B7 &amp; "'!V$14")</f>
        <v>2</v>
      </c>
      <c r="V7" s="5" cm="1">
        <f t="array" aca="1" ref="V7" ca="1">INDIRECT("'results" &amp; $B7 &amp; "'!W$14")</f>
        <v>70</v>
      </c>
      <c r="W7" s="5" cm="1">
        <f t="array" aca="1" ref="W7" ca="1">INDIRECT("'results" &amp; $B7 &amp; "'!X$14")</f>
        <v>0</v>
      </c>
      <c r="X7" s="5" cm="1">
        <f t="array" aca="1" ref="X7" ca="1">INDIRECT("'results" &amp; $B7 &amp; "'!Y$14")</f>
        <v>48.943023642632909</v>
      </c>
      <c r="Y7" s="5" cm="1">
        <f t="array" aca="1" ref="Y7" ca="1">INDIRECT("'results" &amp; $B7 &amp; "'!Z$14")</f>
        <v>1650.4812662462821</v>
      </c>
      <c r="Z7" s="5"/>
    </row>
    <row r="8" spans="2:26" x14ac:dyDescent="0.2">
      <c r="B8" s="4">
        <v>509</v>
      </c>
      <c r="C8" s="5" cm="1">
        <f t="array" aca="1" ref="C8" ca="1">INDIRECT("'results" &amp; $B8 &amp; "'!D$14")</f>
        <v>68868.623064251209</v>
      </c>
      <c r="D8" s="33" cm="1">
        <f t="array" aca="1" ref="D8" ca="1">INDIRECT("'results" &amp; $B8 &amp; "'!E$14")</f>
        <v>4.0122715830002562</v>
      </c>
      <c r="E8" s="5" cm="1">
        <f t="array" aca="1" ref="E8" ca="1">INDIRECT("'results" &amp; $B8 &amp; "'!F$14")</f>
        <v>2</v>
      </c>
      <c r="F8" s="5" cm="1">
        <f t="array" aca="1" ref="F8" ca="1">INDIRECT("'results" &amp; $B8 &amp; "'!G$14")</f>
        <v>70</v>
      </c>
      <c r="G8" s="5" cm="1">
        <f t="array" aca="1" ref="G8" ca="1">INDIRECT("'results" &amp; $B8 &amp; "'!H$14")</f>
        <v>0</v>
      </c>
      <c r="H8" s="33" cm="1">
        <f t="array" aca="1" ref="H8" ca="1">INDIRECT("'results" &amp; $B8 &amp; "'!I$14")</f>
        <v>15.560215097153289</v>
      </c>
      <c r="I8" s="5" cm="1">
        <f t="array" aca="1" ref="I8" ca="1">INDIRECT("'results" &amp; $B8 &amp; "'!J$14")</f>
        <v>1482.4543960877656</v>
      </c>
      <c r="J8" s="5"/>
      <c r="K8" s="5" cm="1">
        <f t="array" aca="1" ref="K8" ca="1">INDIRECT("'results" &amp; $B8 &amp; "'!L$14")</f>
        <v>72468.840557568969</v>
      </c>
      <c r="L8" s="5" cm="1">
        <f t="array" aca="1" ref="L8" ca="1">INDIRECT("'results" &amp; $B8 &amp; "'!M$14")</f>
        <v>3.723992582999927</v>
      </c>
      <c r="M8" s="5" cm="1">
        <f t="array" aca="1" ref="M8" ca="1">INDIRECT("'results" &amp; $B8 &amp; "'!N$14")</f>
        <v>2</v>
      </c>
      <c r="N8" s="5" cm="1">
        <f t="array" aca="1" ref="N8" ca="1">INDIRECT("'results" &amp; $B8 &amp; "'!O$14")</f>
        <v>65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13.23385950685754</v>
      </c>
      <c r="Q8" s="5" cm="1">
        <f t="array" aca="1" ref="Q8" ca="1">INDIRECT("'results" &amp; $B8 &amp; "'!R$14")</f>
        <v>1472.1574319598669</v>
      </c>
      <c r="R8" s="5"/>
      <c r="S8" s="5" cm="1">
        <f t="array" aca="1" ref="S8" ca="1">INDIRECT("'results" &amp; $B8 &amp; "'!T$14")</f>
        <v>80130.703609273245</v>
      </c>
      <c r="T8" s="5" cm="1">
        <f t="array" aca="1" ref="T8" ca="1">INDIRECT("'results" &amp; $B8 &amp; "'!U$14")</f>
        <v>3.9981931250003981</v>
      </c>
      <c r="U8" s="5" cm="1">
        <f t="array" aca="1" ref="U8" ca="1">INDIRECT("'results" &amp; $B8 &amp; "'!V$14")</f>
        <v>2</v>
      </c>
      <c r="V8" s="5" cm="1">
        <f t="array" aca="1" ref="V8" ca="1">INDIRECT("'results" &amp; $B8 &amp; "'!W$14")</f>
        <v>55</v>
      </c>
      <c r="W8" s="5" cm="1">
        <f t="array" aca="1" ref="W8" ca="1">INDIRECT("'results" &amp; $B8 &amp; "'!X$14")</f>
        <v>26.792804307904092</v>
      </c>
      <c r="X8" s="5" cm="1">
        <f t="array" aca="1" ref="X8" ca="1">INDIRECT("'results" &amp; $B8 &amp; "'!Y$14")</f>
        <v>21.10811414251835</v>
      </c>
      <c r="Y8" s="5" cm="1">
        <f t="array" aca="1" ref="Y8" ca="1">INDIRECT("'results" &amp; $B8 &amp; "'!Z$14")</f>
        <v>1627.8203966866954</v>
      </c>
      <c r="Z8" s="5"/>
    </row>
    <row r="9" spans="2:26" x14ac:dyDescent="0.2">
      <c r="B9" s="4">
        <v>562</v>
      </c>
      <c r="C9" s="5" cm="1">
        <f t="array" aca="1" ref="C9" ca="1">INDIRECT("'results" &amp; $B9 &amp; "'!D$14")</f>
        <v>66400.20287079268</v>
      </c>
      <c r="D9" s="33" cm="1">
        <f t="array" aca="1" ref="D9" ca="1">INDIRECT("'results" &amp; $B9 &amp; "'!E$14")</f>
        <v>4.1143428750001476</v>
      </c>
      <c r="E9" s="5" cm="1">
        <f t="array" aca="1" ref="E9" ca="1">INDIRECT("'results" &amp; $B9 &amp; "'!F$14")</f>
        <v>2</v>
      </c>
      <c r="F9" s="5" cm="1">
        <f t="array" aca="1" ref="F9" ca="1">INDIRECT("'results" &amp; $B9 &amp; "'!G$14")</f>
        <v>65</v>
      </c>
      <c r="G9" s="5" cm="1">
        <f t="array" aca="1" ref="G9" ca="1">INDIRECT("'results" &amp; $B9 &amp; "'!H$14")</f>
        <v>0</v>
      </c>
      <c r="H9" s="33" cm="1">
        <f t="array" aca="1" ref="H9" ca="1">INDIRECT("'results" &amp; $B9 &amp; "'!I$14")</f>
        <v>12.206981233039025</v>
      </c>
      <c r="I9" s="5" cm="1">
        <f t="array" aca="1" ref="I9" ca="1">INDIRECT("'results" &amp; $B9 &amp; "'!J$14")</f>
        <v>1061.3515947624612</v>
      </c>
      <c r="J9" s="5"/>
      <c r="K9" s="5" cm="1">
        <f t="array" aca="1" ref="K9" ca="1">INDIRECT("'results" &amp; $B9 &amp; "'!L$14")</f>
        <v>75716.452164878487</v>
      </c>
      <c r="L9" s="5" cm="1">
        <f t="array" aca="1" ref="L9" ca="1">INDIRECT("'results" &amp; $B9 &amp; "'!M$14")</f>
        <v>3.74033266600054</v>
      </c>
      <c r="M9" s="5" cm="1">
        <f t="array" aca="1" ref="M9" ca="1">INDIRECT("'results" &amp; $B9 &amp; "'!N$14")</f>
        <v>2</v>
      </c>
      <c r="N9" s="5" cm="1">
        <f t="array" aca="1" ref="N9" ca="1">INDIRECT("'results" &amp; $B9 &amp; "'!O$14")</f>
        <v>50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6.9040102639496332</v>
      </c>
      <c r="Q9" s="5" cm="1">
        <f t="array" aca="1" ref="Q9" ca="1">INDIRECT("'results" &amp; $B9 &amp; "'!R$14")</f>
        <v>710.67122795275714</v>
      </c>
      <c r="R9" s="5"/>
      <c r="S9" s="5" cm="1">
        <f t="array" aca="1" ref="S9" ca="1">INDIRECT("'results" &amp; $B9 &amp; "'!T$14")</f>
        <v>73882.96834962054</v>
      </c>
      <c r="T9" s="5" cm="1">
        <f t="array" aca="1" ref="T9" ca="1">INDIRECT("'results" &amp; $B9 &amp; "'!U$14")</f>
        <v>4.0734531670004799</v>
      </c>
      <c r="U9" s="5" cm="1">
        <f t="array" aca="1" ref="U9" ca="1">INDIRECT("'results" &amp; $B9 &amp; "'!V$14")</f>
        <v>2</v>
      </c>
      <c r="V9" s="5" cm="1">
        <f t="array" aca="1" ref="V9" ca="1">INDIRECT("'results" &amp; $B9 &amp; "'!W$14")</f>
        <v>55</v>
      </c>
      <c r="W9" s="5" cm="1">
        <f t="array" aca="1" ref="W9" ca="1">INDIRECT("'results" &amp; $B9 &amp; "'!X$14")</f>
        <v>0</v>
      </c>
      <c r="X9" s="5" cm="1">
        <f t="array" aca="1" ref="X9" ca="1">INDIRECT("'results" &amp; $B9 &amp; "'!Y$14")</f>
        <v>14.021212846923614</v>
      </c>
      <c r="Y9" s="5" cm="1">
        <f t="array" aca="1" ref="Y9" ca="1">INDIRECT("'results" &amp; $B9 &amp; "'!Z$14")</f>
        <v>1088.9544697008757</v>
      </c>
      <c r="Z9" s="5"/>
    </row>
    <row r="10" spans="2:26" x14ac:dyDescent="0.2">
      <c r="B10" s="4">
        <v>664</v>
      </c>
      <c r="C10" s="5" cm="1">
        <f t="array" aca="1" ref="C10" ca="1">INDIRECT("'results" &amp; $B10 &amp; "'!D$14")</f>
        <v>68028.438306888798</v>
      </c>
      <c r="D10" s="33" cm="1">
        <f t="array" aca="1" ref="D10" ca="1">INDIRECT("'results" &amp; $B10 &amp; "'!E$14")</f>
        <v>2.411017624999658</v>
      </c>
      <c r="E10" s="5" cm="1">
        <f t="array" aca="1" ref="E10" ca="1">INDIRECT("'results" &amp; $B10 &amp; "'!F$14")</f>
        <v>2</v>
      </c>
      <c r="F10" s="5" cm="1">
        <f t="array" aca="1" ref="F10" ca="1">INDIRECT("'results" &amp; $B10 &amp; "'!G$14")</f>
        <v>70</v>
      </c>
      <c r="G10" s="5" cm="1">
        <f t="array" aca="1" ref="G10" ca="1">INDIRECT("'results" &amp; $B10 &amp; "'!H$14")</f>
        <v>0</v>
      </c>
      <c r="H10" s="33" cm="1">
        <f t="array" aca="1" ref="H10" ca="1">INDIRECT("'results" &amp; $B10 &amp; "'!I$14")</f>
        <v>29.901657555050477</v>
      </c>
      <c r="I10" s="5" cm="1">
        <f t="array" aca="1" ref="I10" ca="1">INDIRECT("'results" &amp; $B10 &amp; "'!J$14")</f>
        <v>1642.8084009046945</v>
      </c>
      <c r="J10" s="5"/>
      <c r="K10" s="5" cm="1">
        <f t="array" aca="1" ref="K10" ca="1">INDIRECT("'results" &amp; $B10 &amp; "'!L$14")</f>
        <v>75284.543286086846</v>
      </c>
      <c r="L10" s="5" cm="1">
        <f t="array" aca="1" ref="L10" ca="1">INDIRECT("'results" &amp; $B10 &amp; "'!M$14")</f>
        <v>2.9565285829994541</v>
      </c>
      <c r="M10" s="5" cm="1">
        <f t="array" aca="1" ref="M10" ca="1">INDIRECT("'results" &amp; $B10 &amp; "'!N$14")</f>
        <v>2</v>
      </c>
      <c r="N10" s="5" cm="1">
        <f t="array" aca="1" ref="N10" ca="1">INDIRECT("'results" &amp; $B10 &amp; "'!O$14")</f>
        <v>55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23.317303040992595</v>
      </c>
      <c r="Q10" s="5" cm="1">
        <f t="array" aca="1" ref="Q10" ca="1">INDIRECT("'results" &amp; $B10 &amp; "'!R$14")</f>
        <v>1359.1259766463204</v>
      </c>
      <c r="R10" s="5"/>
      <c r="S10" s="5" cm="1">
        <f t="array" aca="1" ref="S10" ca="1">INDIRECT("'results" &amp; $B10 &amp; "'!T$14")</f>
        <v>75108.258527052909</v>
      </c>
      <c r="T10" s="5" cm="1">
        <f t="array" aca="1" ref="T10" ca="1">INDIRECT("'results" &amp; $B10 &amp; "'!U$14")</f>
        <v>2.7578323750003619</v>
      </c>
      <c r="U10" s="5" cm="1">
        <f t="array" aca="1" ref="U10" ca="1">INDIRECT("'results" &amp; $B10 &amp; "'!V$14")</f>
        <v>2</v>
      </c>
      <c r="V10" s="5" cm="1">
        <f t="array" aca="1" ref="V10" ca="1">INDIRECT("'results" &amp; $B10 &amp; "'!W$14")</f>
        <v>60</v>
      </c>
      <c r="W10" s="5" cm="1">
        <f t="array" aca="1" ref="W10" ca="1">INDIRECT("'results" &amp; $B10 &amp; "'!X$14")</f>
        <v>13.409332495369577</v>
      </c>
      <c r="X10" s="5" cm="1">
        <f t="array" aca="1" ref="X10" ca="1">INDIRECT("'results" &amp; $B10 &amp; "'!Y$14")</f>
        <v>43.129682581367213</v>
      </c>
      <c r="Y10" s="5" cm="1">
        <f t="array" aca="1" ref="Y10" ca="1">INDIRECT("'results" &amp; $B10 &amp; "'!Z$14")</f>
        <v>1885.2058302622809</v>
      </c>
      <c r="Z10" s="5"/>
    </row>
    <row r="11" spans="2:26" x14ac:dyDescent="0.2">
      <c r="B11" s="4">
        <v>798</v>
      </c>
      <c r="C11" s="5" cm="1">
        <f t="array" aca="1" ref="C11" ca="1">INDIRECT("'results" &amp; $B11 &amp; "'!D$14")</f>
        <v>53521.884483271533</v>
      </c>
      <c r="D11" s="33" cm="1">
        <f t="array" aca="1" ref="D11" ca="1">INDIRECT("'results" &amp; $B11 &amp; "'!E$14")</f>
        <v>3.7393147920010961</v>
      </c>
      <c r="E11" s="5" cm="1">
        <f t="array" aca="1" ref="E11" ca="1">INDIRECT("'results" &amp; $B11 &amp; "'!F$14")</f>
        <v>2</v>
      </c>
      <c r="F11" s="5" cm="1">
        <f t="array" aca="1" ref="F11" ca="1">INDIRECT("'results" &amp; $B11 &amp; "'!G$14")</f>
        <v>85</v>
      </c>
      <c r="G11" s="5" cm="1">
        <f t="array" aca="1" ref="G11" ca="1">INDIRECT("'results" &amp; $B11 &amp; "'!H$14")</f>
        <v>0</v>
      </c>
      <c r="H11" s="33" cm="1">
        <f t="array" aca="1" ref="H11" ca="1">INDIRECT("'results" &amp; $B11 &amp; "'!I$14")</f>
        <v>16.624060347641265</v>
      </c>
      <c r="I11" s="5" cm="1">
        <f t="array" aca="1" ref="I11" ca="1">INDIRECT("'results" &amp; $B11 &amp; "'!J$14")</f>
        <v>1218.1829827883225</v>
      </c>
      <c r="J11" s="5"/>
      <c r="K11" s="5" cm="1">
        <f t="array" aca="1" ref="K11" ca="1">INDIRECT("'results" &amp; $B11 &amp; "'!L$14")</f>
        <v>62585.354536479223</v>
      </c>
      <c r="L11" s="5" cm="1">
        <f t="array" aca="1" ref="L11" ca="1">INDIRECT("'results" &amp; $B11 &amp; "'!M$14")</f>
        <v>4.4683170829994197</v>
      </c>
      <c r="M11" s="5" cm="1">
        <f t="array" aca="1" ref="M11" ca="1">INDIRECT("'results" &amp; $B11 &amp; "'!N$14")</f>
        <v>2</v>
      </c>
      <c r="N11" s="5" cm="1">
        <f t="array" aca="1" ref="N11" ca="1">INDIRECT("'results" &amp; $B11 &amp; "'!O$14")</f>
        <v>70</v>
      </c>
      <c r="O11" s="5" cm="1">
        <f t="array" aca="1" ref="O11" ca="1">INDIRECT("'results" &amp; $B11 &amp; "'!P$14")</f>
        <v>0</v>
      </c>
      <c r="P11" s="5" cm="1">
        <f t="array" aca="1" ref="P11" ca="1">INDIRECT("'results" &amp; $B11 &amp; "'!Q$14")</f>
        <v>11.747673902924401</v>
      </c>
      <c r="Q11" s="5" cm="1">
        <f t="array" aca="1" ref="Q11" ca="1">INDIRECT("'results" &amp; $B11 &amp; "'!R$14")</f>
        <v>1014.1782113580306</v>
      </c>
      <c r="R11" s="5"/>
      <c r="S11" s="5" cm="1">
        <f t="array" aca="1" ref="S11" ca="1">INDIRECT("'results" &amp; $B11 &amp; "'!T$14")</f>
        <v>65690.925001396419</v>
      </c>
      <c r="T11" s="5" cm="1">
        <f t="array" aca="1" ref="T11" ca="1">INDIRECT("'results" &amp; $B11 &amp; "'!U$14")</f>
        <v>4.4639895839991368</v>
      </c>
      <c r="U11" s="5" cm="1">
        <f t="array" aca="1" ref="U11" ca="1">INDIRECT("'results" &amp; $B11 &amp; "'!V$14")</f>
        <v>2</v>
      </c>
      <c r="V11" s="5" cm="1">
        <f t="array" aca="1" ref="V11" ca="1">INDIRECT("'results" &amp; $B11 &amp; "'!W$14")</f>
        <v>80</v>
      </c>
      <c r="W11" s="5" cm="1">
        <f t="array" aca="1" ref="W11" ca="1">INDIRECT("'results" &amp; $B11 &amp; "'!X$14")</f>
        <v>1.5833191707067582</v>
      </c>
      <c r="X11" s="5" cm="1">
        <f t="array" aca="1" ref="X11" ca="1">INDIRECT("'results" &amp; $B11 &amp; "'!Y$14")</f>
        <v>34.18294281293425</v>
      </c>
      <c r="Y11" s="5" cm="1">
        <f t="array" aca="1" ref="Y11" ca="1">INDIRECT("'results" &amp; $B11 &amp; "'!Z$14")</f>
        <v>1929.1071743618509</v>
      </c>
      <c r="Z11" s="5"/>
    </row>
    <row r="12" spans="2:26" x14ac:dyDescent="0.2">
      <c r="B12" s="4">
        <v>952</v>
      </c>
      <c r="C12" s="5" cm="1">
        <f t="array" aca="1" ref="C12" ca="1">INDIRECT("'results" &amp; $B12 &amp; "'!D$14")</f>
        <v>71569.70094351552</v>
      </c>
      <c r="D12" s="33" cm="1">
        <f t="array" aca="1" ref="D12" ca="1">INDIRECT("'results" &amp; $B12 &amp; "'!E$14")</f>
        <v>4.5041143750004267</v>
      </c>
      <c r="E12" s="5" cm="1">
        <f t="array" aca="1" ref="E12" ca="1">INDIRECT("'results" &amp; $B12 &amp; "'!F$14")</f>
        <v>2</v>
      </c>
      <c r="F12" s="5" cm="1">
        <f t="array" aca="1" ref="F12" ca="1">INDIRECT("'results" &amp; $B12 &amp; "'!G$14")</f>
        <v>70</v>
      </c>
      <c r="G12" s="5" cm="1">
        <f t="array" aca="1" ref="G12" ca="1">INDIRECT("'results" &amp; $B12 &amp; "'!H$14")</f>
        <v>5.5510950253763962</v>
      </c>
      <c r="H12" s="33" cm="1">
        <f t="array" aca="1" ref="H12" ca="1">INDIRECT("'results" &amp; $B12 &amp; "'!I$14")</f>
        <v>15.755358605336655</v>
      </c>
      <c r="I12" s="5" cm="1">
        <f t="array" aca="1" ref="I12" ca="1">INDIRECT("'results" &amp; $B12 &amp; "'!J$14")</f>
        <v>1677.0606124063793</v>
      </c>
      <c r="J12" s="5"/>
      <c r="K12" s="5" cm="1">
        <f t="array" aca="1" ref="K12" ca="1">INDIRECT("'results" &amp; $B12 &amp; "'!L$14")</f>
        <v>72713.241687785339</v>
      </c>
      <c r="L12" s="5" cm="1">
        <f t="array" aca="1" ref="L12" ca="1">INDIRECT("'results" &amp; $B12 &amp; "'!M$14")</f>
        <v>4.4153991249986566</v>
      </c>
      <c r="M12" s="5" cm="1">
        <f t="array" aca="1" ref="M12" ca="1">INDIRECT("'results" &amp; $B12 &amp; "'!N$14")</f>
        <v>2</v>
      </c>
      <c r="N12" s="5" cm="1">
        <f t="array" aca="1" ref="N12" ca="1">INDIRECT("'results" &amp; $B12 &amp; "'!O$14")</f>
        <v>65</v>
      </c>
      <c r="O12" s="5" cm="1">
        <f t="array" aca="1" ref="O12" ca="1">INDIRECT("'results" &amp; $B12 &amp; "'!P$14")</f>
        <v>0</v>
      </c>
      <c r="P12" s="5" cm="1">
        <f t="array" aca="1" ref="P12" ca="1">INDIRECT("'results" &amp; $B12 &amp; "'!Q$14")</f>
        <v>12.08847385060187</v>
      </c>
      <c r="Q12" s="5" cm="1">
        <f t="array" aca="1" ref="Q12" ca="1">INDIRECT("'results" &amp; $B12 &amp; "'!R$14")</f>
        <v>1442.4636947493227</v>
      </c>
      <c r="R12" s="5"/>
      <c r="S12" s="5" cm="1">
        <f t="array" aca="1" ref="S12" ca="1">INDIRECT("'results" &amp; $B12 &amp; "'!T$14")</f>
        <v>79841.721753771591</v>
      </c>
      <c r="T12" s="5" cm="1">
        <f t="array" aca="1" ref="T12" ca="1">INDIRECT("'results" &amp; $B12 &amp; "'!U$14")</f>
        <v>4.2383435419997113</v>
      </c>
      <c r="U12" s="5" cm="1">
        <f t="array" aca="1" ref="U12" ca="1">INDIRECT("'results" &amp; $B12 &amp; "'!V$14")</f>
        <v>2</v>
      </c>
      <c r="V12" s="5" cm="1">
        <f t="array" aca="1" ref="V12" ca="1">INDIRECT("'results" &amp; $B12 &amp; "'!W$14")</f>
        <v>65</v>
      </c>
      <c r="W12" s="5" cm="1">
        <f t="array" aca="1" ref="W12" ca="1">INDIRECT("'results" &amp; $B12 &amp; "'!X$14")</f>
        <v>36.16828129458645</v>
      </c>
      <c r="X12" s="5" cm="1">
        <f t="array" aca="1" ref="X12" ca="1">INDIRECT("'results" &amp; $B12 &amp; "'!Y$14")</f>
        <v>18.792873411974334</v>
      </c>
      <c r="Y12" s="5" cm="1">
        <f t="array" aca="1" ref="Y12" ca="1">INDIRECT("'results" &amp; $B12 &amp; "'!Z$14")</f>
        <v>1969.8092916061732</v>
      </c>
      <c r="Z12" s="5"/>
    </row>
    <row r="13" spans="2:26" x14ac:dyDescent="0.2">
      <c r="B13" s="8" t="s">
        <v>3</v>
      </c>
      <c r="C13" s="9">
        <f ca="1">AVERAGE(C3:C12)</f>
        <v>65667.258302215341</v>
      </c>
      <c r="D13" s="10">
        <f t="shared" ref="D13:I13" ca="1" si="0">AVERAGE(D3:D12)</f>
        <v>3.713130999900204</v>
      </c>
      <c r="E13" s="9">
        <f t="shared" ca="1" si="0"/>
        <v>2</v>
      </c>
      <c r="F13" s="9">
        <f t="shared" ca="1" si="0"/>
        <v>71</v>
      </c>
      <c r="G13" s="9">
        <f t="shared" ca="1" si="0"/>
        <v>3.4154306480852306</v>
      </c>
      <c r="H13" s="10">
        <f t="shared" ca="1" si="0"/>
        <v>18.96669389813702</v>
      </c>
      <c r="I13" s="9">
        <f t="shared" ca="1" si="0"/>
        <v>1375.7170720575571</v>
      </c>
      <c r="J13" s="32" t="e">
        <f ca="1">(C13-$D$15)/$D$15</f>
        <v>#DIV/0!</v>
      </c>
      <c r="K13" s="16">
        <f ca="1">AVERAGE(K3:K12)</f>
        <v>72469.303894968849</v>
      </c>
      <c r="L13" s="36">
        <f t="shared" ref="L13:Q13" ca="1" si="1">AVERAGE(L3:L12)</f>
        <v>3.9212388665997424</v>
      </c>
      <c r="M13" s="16">
        <f t="shared" ca="1" si="1"/>
        <v>2</v>
      </c>
      <c r="N13" s="16">
        <f ca="1">AVERAGE(N3:N12)</f>
        <v>59.5</v>
      </c>
      <c r="O13" s="16">
        <f t="shared" ca="1" si="1"/>
        <v>0</v>
      </c>
      <c r="P13" s="36">
        <f t="shared" ca="1" si="1"/>
        <v>14.472543369945882</v>
      </c>
      <c r="Q13" s="16">
        <f t="shared" ca="1" si="1"/>
        <v>1196.8243459856992</v>
      </c>
      <c r="R13" s="37" t="e">
        <f ca="1">(K13-$D$15)/$D$15</f>
        <v>#DIV/0!</v>
      </c>
      <c r="S13" s="38">
        <f ca="1">AVERAGE(S3:S12)</f>
        <v>73541.548971312499</v>
      </c>
      <c r="T13" s="39">
        <f t="shared" ref="T13:Y13" ca="1" si="2">AVERAGE(T3:T12)</f>
        <v>3.867268700100067</v>
      </c>
      <c r="U13" s="38">
        <f t="shared" ca="1" si="2"/>
        <v>2</v>
      </c>
      <c r="V13" s="38">
        <f t="shared" ca="1" si="2"/>
        <v>64.5</v>
      </c>
      <c r="W13" s="38">
        <f t="shared" ca="1" si="2"/>
        <v>17.804241743146783</v>
      </c>
      <c r="X13" s="39">
        <f t="shared" ca="1" si="2"/>
        <v>31.337734466257803</v>
      </c>
      <c r="Y13" s="38">
        <f t="shared" ca="1" si="2"/>
        <v>1779.9903002653805</v>
      </c>
      <c r="Z13" s="40" t="e">
        <f ca="1">(S13-$D$15)/$D$15</f>
        <v>#DIV/0!</v>
      </c>
    </row>
    <row r="14" spans="2:26" x14ac:dyDescent="0.2">
      <c r="K14" s="41"/>
      <c r="L14" s="41"/>
      <c r="M14" s="41"/>
      <c r="N14" s="41"/>
      <c r="O14" s="41"/>
      <c r="P14" s="41"/>
      <c r="Q14" s="41"/>
      <c r="S14" s="41"/>
      <c r="T14" s="41"/>
      <c r="U14" s="41"/>
      <c r="V14" s="41"/>
      <c r="W14" s="41"/>
      <c r="X14" s="41"/>
      <c r="Y14" s="41"/>
    </row>
    <row r="16" spans="2:26" x14ac:dyDescent="0.2">
      <c r="B16" s="1" t="s">
        <v>20</v>
      </c>
      <c r="C16">
        <f ca="1">_xlfn.STDEV.S(C3:C12)</f>
        <v>6210.5852053755998</v>
      </c>
      <c r="J16" s="1" t="s">
        <v>20</v>
      </c>
      <c r="K16">
        <f ca="1">_xlfn.STDEV.S(K3:K12)</f>
        <v>4184.8110668973422</v>
      </c>
      <c r="R16" s="1" t="s">
        <v>20</v>
      </c>
      <c r="S16">
        <f ca="1">_xlfn.STDEV.S(S3:S12)</f>
        <v>6589.8647031428673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2BA2-E51C-AE4D-884C-6B7628E7AB9D}">
  <dimension ref="B1:AA17"/>
  <sheetViews>
    <sheetView zoomScale="118" zoomScaleNormal="120" workbookViewId="0">
      <selection activeCell="A15" sqref="A15:XFD28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6.6709994896257726E-3</v>
      </c>
      <c r="T2" s="1" t="s">
        <v>19</v>
      </c>
      <c r="X2" s="1" t="e">
        <f>(X14-P14)/P14</f>
        <v>#DIV/0!</v>
      </c>
      <c r="Z2" s="1">
        <f>(Z14-R14)/R14</f>
        <v>0.43661929353316936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5</v>
      </c>
      <c r="D4" s="23">
        <v>63117.291813631658</v>
      </c>
      <c r="E4" s="33">
        <v>3.423591875000056</v>
      </c>
      <c r="F4" s="5">
        <v>2</v>
      </c>
      <c r="G4" s="23">
        <v>70</v>
      </c>
      <c r="H4" s="33">
        <v>0</v>
      </c>
      <c r="I4" s="23">
        <v>14.722070658493845</v>
      </c>
      <c r="J4" s="5">
        <v>1110.1603289776635</v>
      </c>
      <c r="K4" s="31" t="e">
        <f>(D4-$D$15)/$D$15</f>
        <v>#DIV/0!</v>
      </c>
      <c r="L4" s="23">
        <v>77063.103945538576</v>
      </c>
      <c r="M4" s="33">
        <v>3.4826020419986889</v>
      </c>
      <c r="N4" s="5">
        <v>2</v>
      </c>
      <c r="O4" s="5">
        <v>50</v>
      </c>
      <c r="P4" s="33">
        <v>0</v>
      </c>
      <c r="Q4" s="5">
        <v>10.347268806424887</v>
      </c>
      <c r="R4" s="5">
        <v>918.85240720522359</v>
      </c>
      <c r="S4" s="42"/>
      <c r="T4" s="23">
        <v>66753.405020239501</v>
      </c>
      <c r="U4" s="33">
        <v>3.3384350419983089</v>
      </c>
      <c r="V4" s="5">
        <v>2</v>
      </c>
      <c r="W4" s="5">
        <v>70</v>
      </c>
      <c r="X4" s="33">
        <v>0</v>
      </c>
      <c r="Y4" s="5">
        <v>32.305363786712455</v>
      </c>
      <c r="Z4" s="5">
        <v>1605.517176164193</v>
      </c>
      <c r="AA4" s="42"/>
    </row>
    <row r="5" spans="2:27" x14ac:dyDescent="0.2">
      <c r="B5" s="4">
        <v>2</v>
      </c>
      <c r="C5" s="4">
        <v>17</v>
      </c>
      <c r="D5" s="23">
        <v>65481.659064502986</v>
      </c>
      <c r="E5" s="33">
        <v>3.857311124998887</v>
      </c>
      <c r="F5" s="5">
        <v>2</v>
      </c>
      <c r="G5" s="23">
        <v>65</v>
      </c>
      <c r="H5" s="33">
        <v>0</v>
      </c>
      <c r="I5" s="23">
        <v>16.952783107491641</v>
      </c>
      <c r="J5" s="5">
        <v>1005.0436530907381</v>
      </c>
      <c r="K5" s="31" t="e">
        <f>(D5-$D$15)/$D$15</f>
        <v>#DIV/0!</v>
      </c>
      <c r="L5" s="23">
        <v>81386.16385836227</v>
      </c>
      <c r="M5" s="33">
        <v>3.388126499999998</v>
      </c>
      <c r="N5" s="5">
        <v>2</v>
      </c>
      <c r="O5" s="5">
        <v>45</v>
      </c>
      <c r="P5" s="33">
        <v>0</v>
      </c>
      <c r="Q5" s="5">
        <v>11.003928748121211</v>
      </c>
      <c r="R5" s="5">
        <v>894.60972635488997</v>
      </c>
      <c r="S5" s="42"/>
      <c r="T5" s="23">
        <v>67956.908587012804</v>
      </c>
      <c r="U5" s="33">
        <v>3.8713097079998988</v>
      </c>
      <c r="V5" s="5">
        <v>2</v>
      </c>
      <c r="W5" s="5">
        <v>65</v>
      </c>
      <c r="X5" s="33">
        <v>1.2955912273657584</v>
      </c>
      <c r="Y5" s="5">
        <v>36.846371319925368</v>
      </c>
      <c r="Z5" s="5">
        <v>1474.4603902060235</v>
      </c>
      <c r="AA5" s="42"/>
    </row>
    <row r="6" spans="2:27" x14ac:dyDescent="0.2">
      <c r="B6" s="4">
        <v>3</v>
      </c>
      <c r="C6" s="4">
        <v>71</v>
      </c>
      <c r="D6" s="23">
        <v>63117.291813631658</v>
      </c>
      <c r="E6" s="33">
        <v>3.4823275420003479</v>
      </c>
      <c r="F6" s="5">
        <v>2</v>
      </c>
      <c r="G6" s="23">
        <v>70</v>
      </c>
      <c r="H6" s="33">
        <v>0</v>
      </c>
      <c r="I6" s="23">
        <v>14.722070658493845</v>
      </c>
      <c r="J6" s="5">
        <v>1110.1603289776635</v>
      </c>
      <c r="K6" s="31" t="e">
        <f t="shared" ref="K6:K13" si="0">(D6-$D$15)/$D$15</f>
        <v>#DIV/0!</v>
      </c>
      <c r="L6" s="23">
        <v>77063.103945538576</v>
      </c>
      <c r="M6" s="33">
        <v>3.522042000000511</v>
      </c>
      <c r="N6" s="5">
        <v>2</v>
      </c>
      <c r="O6" s="5">
        <v>50</v>
      </c>
      <c r="P6" s="33">
        <v>0</v>
      </c>
      <c r="Q6" s="5">
        <v>10.347268806424887</v>
      </c>
      <c r="R6" s="5">
        <v>918.85240720522359</v>
      </c>
      <c r="S6" s="42"/>
      <c r="T6" s="23">
        <v>66753.405020239501</v>
      </c>
      <c r="U6" s="33">
        <v>3.4318104169997241</v>
      </c>
      <c r="V6" s="5">
        <v>2</v>
      </c>
      <c r="W6" s="5">
        <v>70</v>
      </c>
      <c r="X6" s="33">
        <v>0</v>
      </c>
      <c r="Y6" s="5">
        <v>32.305363786712455</v>
      </c>
      <c r="Z6" s="5">
        <v>1605.517176164193</v>
      </c>
      <c r="AA6" s="42"/>
    </row>
    <row r="7" spans="2:27" x14ac:dyDescent="0.2">
      <c r="B7" s="4">
        <v>4</v>
      </c>
      <c r="C7" s="4">
        <v>132</v>
      </c>
      <c r="D7" s="23">
        <v>63117.291813631658</v>
      </c>
      <c r="E7" s="33">
        <v>3.822763582998959</v>
      </c>
      <c r="F7" s="5">
        <v>2</v>
      </c>
      <c r="G7" s="23">
        <v>70</v>
      </c>
      <c r="H7" s="33">
        <v>0</v>
      </c>
      <c r="I7" s="23">
        <v>14.722070658493845</v>
      </c>
      <c r="J7" s="5">
        <v>1110.1603289776635</v>
      </c>
      <c r="K7" s="31" t="e">
        <f t="shared" si="0"/>
        <v>#DIV/0!</v>
      </c>
      <c r="L7" s="23">
        <v>74832.360485152079</v>
      </c>
      <c r="M7" s="33">
        <v>3.750063999999838</v>
      </c>
      <c r="N7" s="5">
        <v>2</v>
      </c>
      <c r="O7" s="5">
        <v>55</v>
      </c>
      <c r="P7" s="33">
        <v>0</v>
      </c>
      <c r="Q7" s="5">
        <v>11.701966899669095</v>
      </c>
      <c r="R7" s="5">
        <v>1117.5662079656763</v>
      </c>
      <c r="S7" s="42"/>
      <c r="T7" s="23">
        <v>66753.405020239501</v>
      </c>
      <c r="U7" s="33">
        <v>3.7458676250007561</v>
      </c>
      <c r="V7" s="5">
        <v>2</v>
      </c>
      <c r="W7" s="5">
        <v>70</v>
      </c>
      <c r="X7" s="33">
        <v>0</v>
      </c>
      <c r="Y7" s="5">
        <v>32.305363786712455</v>
      </c>
      <c r="Z7" s="5">
        <v>1605.517176164193</v>
      </c>
      <c r="AA7" s="42"/>
    </row>
    <row r="8" spans="2:27" x14ac:dyDescent="0.2">
      <c r="B8" s="4">
        <v>5</v>
      </c>
      <c r="C8" s="4">
        <v>190</v>
      </c>
      <c r="D8" s="23">
        <v>63117.291813631658</v>
      </c>
      <c r="E8" s="33">
        <v>3.6059028750005382</v>
      </c>
      <c r="F8" s="5">
        <v>2</v>
      </c>
      <c r="G8" s="23">
        <v>70</v>
      </c>
      <c r="H8" s="33">
        <v>0</v>
      </c>
      <c r="I8" s="23">
        <v>14.722070658493845</v>
      </c>
      <c r="J8" s="5">
        <v>1110.1603289776635</v>
      </c>
      <c r="K8" s="31" t="e">
        <f t="shared" si="0"/>
        <v>#DIV/0!</v>
      </c>
      <c r="L8" s="23">
        <v>77063.103945538576</v>
      </c>
      <c r="M8" s="33">
        <v>3.533220167000763</v>
      </c>
      <c r="N8" s="5">
        <v>2</v>
      </c>
      <c r="O8" s="5">
        <v>50</v>
      </c>
      <c r="P8" s="33">
        <v>0</v>
      </c>
      <c r="Q8" s="5">
        <v>10.347268806424887</v>
      </c>
      <c r="R8" s="5">
        <v>918.85240720522359</v>
      </c>
      <c r="S8" s="42"/>
      <c r="T8" s="23">
        <v>66753.405020239501</v>
      </c>
      <c r="U8" s="33">
        <v>3.4518552909994469</v>
      </c>
      <c r="V8" s="5">
        <v>2</v>
      </c>
      <c r="W8" s="5">
        <v>70</v>
      </c>
      <c r="X8" s="33">
        <v>0</v>
      </c>
      <c r="Y8" s="5">
        <v>32.305363786712455</v>
      </c>
      <c r="Z8" s="5">
        <v>1605.517176164193</v>
      </c>
      <c r="AA8" s="42"/>
    </row>
    <row r="9" spans="2:27" x14ac:dyDescent="0.2">
      <c r="B9" s="4">
        <v>6</v>
      </c>
      <c r="C9" s="4">
        <v>255</v>
      </c>
      <c r="D9" s="23">
        <v>65481.659064502986</v>
      </c>
      <c r="E9" s="33">
        <v>3.9731572919990872</v>
      </c>
      <c r="F9" s="5">
        <v>2</v>
      </c>
      <c r="G9" s="23">
        <v>65</v>
      </c>
      <c r="H9" s="33">
        <v>0</v>
      </c>
      <c r="I9" s="23">
        <v>16.952783107491641</v>
      </c>
      <c r="J9" s="5">
        <v>1005.0436530907381</v>
      </c>
      <c r="K9" s="31" t="e">
        <f t="shared" si="0"/>
        <v>#DIV/0!</v>
      </c>
      <c r="L9" s="23">
        <v>81386.16385836227</v>
      </c>
      <c r="M9" s="33">
        <v>3.489088500000435</v>
      </c>
      <c r="N9" s="5">
        <v>2</v>
      </c>
      <c r="O9" s="5">
        <v>45</v>
      </c>
      <c r="P9" s="33">
        <v>0</v>
      </c>
      <c r="Q9" s="5">
        <v>11.003928748121211</v>
      </c>
      <c r="R9" s="5">
        <v>894.60972635488997</v>
      </c>
      <c r="S9" s="42"/>
      <c r="T9" s="23">
        <v>67956.908587012804</v>
      </c>
      <c r="U9" s="33">
        <v>3.9217567919986318</v>
      </c>
      <c r="V9" s="5">
        <v>2</v>
      </c>
      <c r="W9" s="5">
        <v>65</v>
      </c>
      <c r="X9" s="33">
        <v>1.2955912273657584</v>
      </c>
      <c r="Y9" s="5">
        <v>36.846371319925368</v>
      </c>
      <c r="Z9" s="5">
        <v>1474.4603902060235</v>
      </c>
      <c r="AA9" s="42"/>
    </row>
    <row r="10" spans="2:27" x14ac:dyDescent="0.2">
      <c r="B10" s="4">
        <v>7</v>
      </c>
      <c r="C10" s="4">
        <v>568</v>
      </c>
      <c r="D10" s="23">
        <v>63117.291813631658</v>
      </c>
      <c r="E10" s="33">
        <v>3.8256744170012098</v>
      </c>
      <c r="F10" s="5">
        <v>2</v>
      </c>
      <c r="G10" s="23">
        <v>70</v>
      </c>
      <c r="H10" s="33">
        <v>0</v>
      </c>
      <c r="I10" s="23">
        <v>14.722070658493845</v>
      </c>
      <c r="J10" s="5">
        <v>1110.1603289776635</v>
      </c>
      <c r="K10" s="31" t="e">
        <f t="shared" si="0"/>
        <v>#DIV/0!</v>
      </c>
      <c r="L10" s="23">
        <v>74832.360485152079</v>
      </c>
      <c r="M10" s="33">
        <v>3.824736832999406</v>
      </c>
      <c r="N10" s="5">
        <v>2</v>
      </c>
      <c r="O10" s="5">
        <v>55</v>
      </c>
      <c r="P10" s="33">
        <v>0</v>
      </c>
      <c r="Q10" s="5">
        <v>11.701966899669095</v>
      </c>
      <c r="R10" s="5">
        <v>1117.5662079656763</v>
      </c>
      <c r="S10" s="42"/>
      <c r="T10" s="23">
        <v>66753.405020239501</v>
      </c>
      <c r="U10" s="33">
        <v>3.7953417080007061</v>
      </c>
      <c r="V10" s="5">
        <v>2</v>
      </c>
      <c r="W10" s="5">
        <v>70</v>
      </c>
      <c r="X10" s="33">
        <v>0</v>
      </c>
      <c r="Y10" s="5">
        <v>32.305363786712455</v>
      </c>
      <c r="Z10" s="5">
        <v>1605.517176164193</v>
      </c>
      <c r="AA10" s="42"/>
    </row>
    <row r="11" spans="2:27" x14ac:dyDescent="0.2">
      <c r="B11" s="4">
        <v>8</v>
      </c>
      <c r="C11" s="4">
        <v>716</v>
      </c>
      <c r="D11" s="23">
        <v>63117.291813631658</v>
      </c>
      <c r="E11" s="33">
        <v>3.3141851250002219</v>
      </c>
      <c r="F11" s="5">
        <v>2</v>
      </c>
      <c r="G11" s="23">
        <v>70</v>
      </c>
      <c r="H11" s="33">
        <v>0</v>
      </c>
      <c r="I11" s="23">
        <v>14.722070658493845</v>
      </c>
      <c r="J11" s="5">
        <v>1110.1603289776635</v>
      </c>
      <c r="K11" s="31" t="e">
        <f t="shared" si="0"/>
        <v>#DIV/0!</v>
      </c>
      <c r="L11" s="23">
        <v>77063.103945538576</v>
      </c>
      <c r="M11" s="33">
        <v>3.6458724160002021</v>
      </c>
      <c r="N11" s="5">
        <v>2</v>
      </c>
      <c r="O11" s="5">
        <v>50</v>
      </c>
      <c r="P11" s="33">
        <v>0</v>
      </c>
      <c r="Q11" s="5">
        <v>10.347268806424887</v>
      </c>
      <c r="R11" s="5">
        <v>918.85240720522359</v>
      </c>
      <c r="S11" s="42"/>
      <c r="T11" s="23">
        <v>66753.405020239501</v>
      </c>
      <c r="U11" s="33">
        <v>3.461618249999447</v>
      </c>
      <c r="V11" s="5">
        <v>2</v>
      </c>
      <c r="W11" s="5">
        <v>70</v>
      </c>
      <c r="X11" s="33">
        <v>0</v>
      </c>
      <c r="Y11" s="5">
        <v>32.305363786712455</v>
      </c>
      <c r="Z11" s="5">
        <v>1605.517176164193</v>
      </c>
      <c r="AA11" s="42"/>
    </row>
    <row r="12" spans="2:27" x14ac:dyDescent="0.2">
      <c r="B12" s="4">
        <v>9</v>
      </c>
      <c r="C12" s="4">
        <v>868</v>
      </c>
      <c r="D12" s="23">
        <v>65481.659064502986</v>
      </c>
      <c r="E12" s="33">
        <v>3.970145916000547</v>
      </c>
      <c r="F12" s="5">
        <v>2</v>
      </c>
      <c r="G12" s="23">
        <v>65</v>
      </c>
      <c r="H12" s="33">
        <v>0</v>
      </c>
      <c r="I12" s="23">
        <v>16.952783107491641</v>
      </c>
      <c r="J12" s="5">
        <v>1005.0436530907381</v>
      </c>
      <c r="K12" s="31" t="e">
        <f t="shared" si="0"/>
        <v>#DIV/0!</v>
      </c>
      <c r="L12" s="23">
        <v>81386.16385836227</v>
      </c>
      <c r="M12" s="33">
        <v>3.5203201670010462</v>
      </c>
      <c r="N12" s="5">
        <v>2</v>
      </c>
      <c r="O12" s="5">
        <v>45</v>
      </c>
      <c r="P12" s="33">
        <v>0</v>
      </c>
      <c r="Q12" s="5">
        <v>11.003928748121211</v>
      </c>
      <c r="R12" s="5">
        <v>894.60972635488997</v>
      </c>
      <c r="S12" s="42"/>
      <c r="T12" s="23">
        <v>67956.908587012804</v>
      </c>
      <c r="U12" s="33">
        <v>4.0080438750010217</v>
      </c>
      <c r="V12" s="5">
        <v>2</v>
      </c>
      <c r="W12" s="5">
        <v>65</v>
      </c>
      <c r="X12" s="33">
        <v>1.2955912273657584</v>
      </c>
      <c r="Y12" s="5">
        <v>36.846371319925368</v>
      </c>
      <c r="Z12" s="5">
        <v>1474.4603902060235</v>
      </c>
      <c r="AA12" s="42"/>
    </row>
    <row r="13" spans="2:27" x14ac:dyDescent="0.2">
      <c r="B13" s="4">
        <v>10</v>
      </c>
      <c r="C13" s="4">
        <v>931</v>
      </c>
      <c r="D13" s="23">
        <v>63117.291813631658</v>
      </c>
      <c r="E13" s="33">
        <v>3.4703057079987052</v>
      </c>
      <c r="F13" s="5">
        <v>2</v>
      </c>
      <c r="G13" s="23">
        <v>70</v>
      </c>
      <c r="H13" s="33">
        <v>0</v>
      </c>
      <c r="I13" s="23">
        <v>14.722070658493845</v>
      </c>
      <c r="J13" s="5">
        <v>1110.1603289776635</v>
      </c>
      <c r="K13" s="31" t="e">
        <f t="shared" si="0"/>
        <v>#DIV/0!</v>
      </c>
      <c r="L13" s="23">
        <v>77063.103945538576</v>
      </c>
      <c r="M13" s="33">
        <v>3.6215537919997591</v>
      </c>
      <c r="N13" s="5">
        <v>2</v>
      </c>
      <c r="O13" s="5">
        <v>50</v>
      </c>
      <c r="P13" s="33">
        <v>0</v>
      </c>
      <c r="Q13" s="5">
        <v>10.347268806424887</v>
      </c>
      <c r="R13" s="5">
        <v>918.85240720522359</v>
      </c>
      <c r="S13" s="42"/>
      <c r="T13" s="23">
        <v>66753.405020239501</v>
      </c>
      <c r="U13" s="33">
        <v>3.4856128749997879</v>
      </c>
      <c r="V13" s="5">
        <v>2</v>
      </c>
      <c r="W13" s="5">
        <v>70</v>
      </c>
      <c r="X13" s="33">
        <v>0</v>
      </c>
      <c r="Y13" s="5">
        <v>32.305363786712455</v>
      </c>
      <c r="Z13" s="5">
        <v>1605.517176164193</v>
      </c>
      <c r="AA13" s="42"/>
    </row>
    <row r="14" spans="2:27" x14ac:dyDescent="0.2">
      <c r="B14" s="46" t="s">
        <v>3</v>
      </c>
      <c r="C14" s="47"/>
      <c r="D14" s="9">
        <f>MIN(D4:D13)</f>
        <v>63117.291813631658</v>
      </c>
      <c r="E14" s="22">
        <f>INDEX(E4:E13, MATCH($D$14, D4:D13, 0))</f>
        <v>3.423591875000056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14.722070658493845</v>
      </c>
      <c r="J14" s="22">
        <f>INDEX(J4:J13, MATCH($D$14, D4:D13, 0))</f>
        <v>1110.1603289776635</v>
      </c>
      <c r="K14" s="32" t="e">
        <f>(D14-$D$15)/$D$15</f>
        <v>#DIV/0!</v>
      </c>
      <c r="L14" s="16">
        <f>MIN(L4:L13)</f>
        <v>74832.360485152079</v>
      </c>
      <c r="M14" s="21">
        <f>INDEX(M4:M13, MATCH($L$14, L4:L13, 0))</f>
        <v>3.750063999999838</v>
      </c>
      <c r="N14" s="16">
        <f>INDEX(N4:N13, MATCH($L$14, L4:L13, 0))</f>
        <v>2</v>
      </c>
      <c r="O14" s="16">
        <f>INDEX(O4:O13, MATCH($L$14, L4:L13, 0))</f>
        <v>55</v>
      </c>
      <c r="P14" s="21">
        <f>INDEX(P4:P13, MATCH($L$14, L4:L13, 0))</f>
        <v>0</v>
      </c>
      <c r="Q14" s="21">
        <f>INDEX(Q4:Q13, MATCH($L$14, L4:L13, 0))</f>
        <v>11.701966899669095</v>
      </c>
      <c r="R14" s="21">
        <f>INDEX(R4:R13, MATCH($L$14, L4:L13, 0))</f>
        <v>1117.5662079656763</v>
      </c>
      <c r="S14" s="43" t="e">
        <f>(L14-$D$15)/$D$15</f>
        <v>#DIV/0!</v>
      </c>
      <c r="T14" s="38">
        <f>MIN(T4:T13)</f>
        <v>66753.405020239501</v>
      </c>
      <c r="U14" s="44">
        <f>INDEX(U4:U13, MATCH($T$14, T4:T13, 0))</f>
        <v>3.3384350419983089</v>
      </c>
      <c r="V14" s="38">
        <f>INDEX(V4:V13, MATCH($T$14, T4:T13, 0))</f>
        <v>2</v>
      </c>
      <c r="W14" s="38">
        <f>INDEX(W4:W13, MATCH($T$14, T4:T13, 0))</f>
        <v>70</v>
      </c>
      <c r="X14" s="44">
        <f>INDEX(X4:X13, MATCH($T$14, T4:T13, 0))</f>
        <v>0</v>
      </c>
      <c r="Y14" s="44">
        <f>INDEX(Y4:Y13, MATCH($T$14, T4:T13, 0))</f>
        <v>32.305363786712455</v>
      </c>
      <c r="Z14" s="44">
        <f>INDEX(Z4:Z13, MATCH($T$14, T4:T13, 0))</f>
        <v>1605.517176164193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75" priority="3"/>
    <cfRule type="duplicateValues" dxfId="74" priority="4"/>
  </conditionalFormatting>
  <conditionalFormatting sqref="C14">
    <cfRule type="duplicateValues" dxfId="73" priority="1"/>
    <cfRule type="duplicateValues" dxfId="72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01B3-6878-EC47-969B-11F53B7F5F84}">
  <dimension ref="B1:AA17"/>
  <sheetViews>
    <sheetView zoomScale="118" zoomScaleNormal="120" workbookViewId="0">
      <selection activeCell="A15" sqref="A15:XFD2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-8.6765997956157782E-3</v>
      </c>
      <c r="T2" s="1" t="s">
        <v>19</v>
      </c>
      <c r="X2" s="1" t="e">
        <f>(X14-P14)/P14</f>
        <v>#DIV/0!</v>
      </c>
      <c r="Z2" s="1">
        <f>(Z14-R14)/R14</f>
        <v>0.35193500668880806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1</v>
      </c>
      <c r="D4" s="23">
        <v>73203.56159759502</v>
      </c>
      <c r="E4" s="33">
        <v>4.025203084000168</v>
      </c>
      <c r="F4" s="5">
        <v>2</v>
      </c>
      <c r="G4" s="23">
        <v>65</v>
      </c>
      <c r="H4" s="33">
        <v>0</v>
      </c>
      <c r="I4" s="23">
        <v>16.896738327767636</v>
      </c>
      <c r="J4" s="5">
        <v>1556.0402072205407</v>
      </c>
      <c r="K4" s="31"/>
      <c r="L4" s="23">
        <v>75328.01772318859</v>
      </c>
      <c r="M4" s="33">
        <v>3.9157351670000931</v>
      </c>
      <c r="N4" s="5">
        <v>2</v>
      </c>
      <c r="O4" s="5">
        <v>60</v>
      </c>
      <c r="P4" s="33">
        <v>0</v>
      </c>
      <c r="Q4" s="5">
        <v>13.989151616185186</v>
      </c>
      <c r="R4" s="5">
        <v>1410.9239697135552</v>
      </c>
      <c r="S4" s="42"/>
      <c r="T4" s="23">
        <v>83879.352134464934</v>
      </c>
      <c r="U4" s="33">
        <v>3.846715458999824</v>
      </c>
      <c r="V4" s="5">
        <v>2</v>
      </c>
      <c r="W4" s="5">
        <v>60</v>
      </c>
      <c r="X4" s="33">
        <v>32.916220707462379</v>
      </c>
      <c r="Y4" s="5">
        <v>27.656663360252509</v>
      </c>
      <c r="Z4" s="5">
        <v>2308.1964970461922</v>
      </c>
      <c r="AA4" s="42"/>
    </row>
    <row r="5" spans="2:27" x14ac:dyDescent="0.2">
      <c r="B5" s="4">
        <v>2</v>
      </c>
      <c r="C5" s="4">
        <v>50</v>
      </c>
      <c r="D5" s="23">
        <v>72928.43706201858</v>
      </c>
      <c r="E5" s="33">
        <v>3.285329084001205</v>
      </c>
      <c r="F5" s="5">
        <v>2</v>
      </c>
      <c r="G5" s="23">
        <v>65</v>
      </c>
      <c r="H5" s="33">
        <v>0</v>
      </c>
      <c r="I5" s="23">
        <v>20.258827149040137</v>
      </c>
      <c r="J5" s="5">
        <v>1579.4404019624469</v>
      </c>
      <c r="K5" s="31"/>
      <c r="L5" s="23">
        <v>74935.2297724167</v>
      </c>
      <c r="M5" s="33">
        <v>3.8945953749989708</v>
      </c>
      <c r="N5" s="5">
        <v>2</v>
      </c>
      <c r="O5" s="5">
        <v>60</v>
      </c>
      <c r="P5" s="33">
        <v>0</v>
      </c>
      <c r="Q5" s="5">
        <v>18.529023821873722</v>
      </c>
      <c r="R5" s="5">
        <v>1444.3475321869109</v>
      </c>
      <c r="S5" s="42"/>
      <c r="T5" s="23">
        <v>81305.396452071102</v>
      </c>
      <c r="U5" s="33">
        <v>3.904351332999795</v>
      </c>
      <c r="V5" s="5">
        <v>2</v>
      </c>
      <c r="W5" s="5">
        <v>60</v>
      </c>
      <c r="X5" s="33">
        <v>40.376551536545605</v>
      </c>
      <c r="Y5" s="5">
        <v>30.608898874899559</v>
      </c>
      <c r="Z5" s="5">
        <v>2146.7593092192733</v>
      </c>
      <c r="AA5" s="42"/>
    </row>
    <row r="6" spans="2:27" x14ac:dyDescent="0.2">
      <c r="B6" s="4">
        <v>3</v>
      </c>
      <c r="C6" s="4">
        <v>99</v>
      </c>
      <c r="D6" s="23">
        <v>72698.774572539711</v>
      </c>
      <c r="E6" s="33">
        <v>3.9950412080015671</v>
      </c>
      <c r="F6" s="5">
        <v>2</v>
      </c>
      <c r="G6" s="23">
        <v>60</v>
      </c>
      <c r="H6" s="33">
        <v>0</v>
      </c>
      <c r="I6" s="23">
        <v>17.077609607078294</v>
      </c>
      <c r="J6" s="5">
        <v>1232.4933189026024</v>
      </c>
      <c r="K6" s="31"/>
      <c r="L6" s="23">
        <v>72743.494792635742</v>
      </c>
      <c r="M6" s="33">
        <v>4.0131647919988609</v>
      </c>
      <c r="N6" s="5">
        <v>2</v>
      </c>
      <c r="O6" s="5">
        <v>60</v>
      </c>
      <c r="P6" s="33">
        <v>0</v>
      </c>
      <c r="Q6" s="5">
        <v>16.102892323423639</v>
      </c>
      <c r="R6" s="5">
        <v>1221.7994676237142</v>
      </c>
      <c r="S6" s="42"/>
      <c r="T6" s="23">
        <v>76801.539290145956</v>
      </c>
      <c r="U6" s="33">
        <v>3.9021529159999768</v>
      </c>
      <c r="V6" s="5">
        <v>2</v>
      </c>
      <c r="W6" s="5">
        <v>60</v>
      </c>
      <c r="X6" s="33">
        <v>7.4603308290832233</v>
      </c>
      <c r="Y6" s="5">
        <v>24.478722701702189</v>
      </c>
      <c r="Z6" s="5">
        <v>1651.7934714342482</v>
      </c>
      <c r="AA6" s="42"/>
    </row>
    <row r="7" spans="2:27" x14ac:dyDescent="0.2">
      <c r="B7" s="4">
        <v>4</v>
      </c>
      <c r="C7" s="4">
        <v>247</v>
      </c>
      <c r="D7" s="23">
        <v>73203.56159759502</v>
      </c>
      <c r="E7" s="33">
        <v>3.609164749999763</v>
      </c>
      <c r="F7" s="5">
        <v>2</v>
      </c>
      <c r="G7" s="23">
        <v>65</v>
      </c>
      <c r="H7" s="33">
        <v>0</v>
      </c>
      <c r="I7" s="23">
        <v>16.896738327767636</v>
      </c>
      <c r="J7" s="5">
        <v>1556.0402072205407</v>
      </c>
      <c r="K7" s="31"/>
      <c r="L7" s="23">
        <v>75328.01772318859</v>
      </c>
      <c r="M7" s="33">
        <v>3.955653249999159</v>
      </c>
      <c r="N7" s="5">
        <v>2</v>
      </c>
      <c r="O7" s="5">
        <v>60</v>
      </c>
      <c r="P7" s="33">
        <v>0</v>
      </c>
      <c r="Q7" s="5">
        <v>13.989151616185186</v>
      </c>
      <c r="R7" s="5">
        <v>1410.9239697135552</v>
      </c>
      <c r="S7" s="42"/>
      <c r="T7" s="23">
        <v>83879.352134464934</v>
      </c>
      <c r="U7" s="33">
        <v>3.9670723750004981</v>
      </c>
      <c r="V7" s="5">
        <v>2</v>
      </c>
      <c r="W7" s="5">
        <v>60</v>
      </c>
      <c r="X7" s="33">
        <v>32.916220707462379</v>
      </c>
      <c r="Y7" s="5">
        <v>27.656663360252509</v>
      </c>
      <c r="Z7" s="5">
        <v>2308.1964970461922</v>
      </c>
      <c r="AA7" s="42"/>
    </row>
    <row r="8" spans="2:27" x14ac:dyDescent="0.2">
      <c r="B8" s="4">
        <v>5</v>
      </c>
      <c r="C8" s="4">
        <v>423</v>
      </c>
      <c r="D8" s="23">
        <v>72698.774572539711</v>
      </c>
      <c r="E8" s="33">
        <v>3.998509208000542</v>
      </c>
      <c r="F8" s="5">
        <v>2</v>
      </c>
      <c r="G8" s="23">
        <v>60</v>
      </c>
      <c r="H8" s="33">
        <v>0</v>
      </c>
      <c r="I8" s="23">
        <v>17.077609607078294</v>
      </c>
      <c r="J8" s="5">
        <v>1232.4933189026024</v>
      </c>
      <c r="K8" s="31"/>
      <c r="L8" s="23">
        <v>72743.494792635742</v>
      </c>
      <c r="M8" s="33">
        <v>3.6271796660003019</v>
      </c>
      <c r="N8" s="5">
        <v>2</v>
      </c>
      <c r="O8" s="5">
        <v>60</v>
      </c>
      <c r="P8" s="33">
        <v>0</v>
      </c>
      <c r="Q8" s="5">
        <v>16.102892323423639</v>
      </c>
      <c r="R8" s="5">
        <v>1221.7994676237142</v>
      </c>
      <c r="S8" s="42"/>
      <c r="T8" s="23">
        <v>76801.539290145956</v>
      </c>
      <c r="U8" s="33">
        <v>3.9069733340002131</v>
      </c>
      <c r="V8" s="5">
        <v>2</v>
      </c>
      <c r="W8" s="5">
        <v>60</v>
      </c>
      <c r="X8" s="33">
        <v>7.4603308290832233</v>
      </c>
      <c r="Y8" s="5">
        <v>24.478722701702189</v>
      </c>
      <c r="Z8" s="5">
        <v>1651.7934714342482</v>
      </c>
      <c r="AA8" s="42"/>
    </row>
    <row r="9" spans="2:27" x14ac:dyDescent="0.2">
      <c r="B9" s="4">
        <v>6</v>
      </c>
      <c r="C9" s="4">
        <v>574</v>
      </c>
      <c r="D9" s="23">
        <v>72698.774572539711</v>
      </c>
      <c r="E9" s="33">
        <v>4.0130233340005361</v>
      </c>
      <c r="F9" s="5">
        <v>2</v>
      </c>
      <c r="G9" s="23">
        <v>60</v>
      </c>
      <c r="H9" s="33">
        <v>0</v>
      </c>
      <c r="I9" s="23">
        <v>17.077609607078294</v>
      </c>
      <c r="J9" s="5">
        <v>1232.4933189026024</v>
      </c>
      <c r="K9" s="31"/>
      <c r="L9" s="23">
        <v>72743.494792635742</v>
      </c>
      <c r="M9" s="33">
        <v>3.9715955000010581</v>
      </c>
      <c r="N9" s="5">
        <v>2</v>
      </c>
      <c r="O9" s="5">
        <v>60</v>
      </c>
      <c r="P9" s="33">
        <v>0</v>
      </c>
      <c r="Q9" s="5">
        <v>16.102892323423639</v>
      </c>
      <c r="R9" s="5">
        <v>1221.7994676237142</v>
      </c>
      <c r="S9" s="42"/>
      <c r="T9" s="23">
        <v>76801.539290145956</v>
      </c>
      <c r="U9" s="33">
        <v>3.89670387499973</v>
      </c>
      <c r="V9" s="5">
        <v>2</v>
      </c>
      <c r="W9" s="5">
        <v>60</v>
      </c>
      <c r="X9" s="33">
        <v>7.4603308290832233</v>
      </c>
      <c r="Y9" s="5">
        <v>24.478722701702189</v>
      </c>
      <c r="Z9" s="5">
        <v>1651.7934714342482</v>
      </c>
      <c r="AA9" s="42"/>
    </row>
    <row r="10" spans="2:27" x14ac:dyDescent="0.2">
      <c r="B10" s="4">
        <v>7</v>
      </c>
      <c r="C10" s="4">
        <v>738</v>
      </c>
      <c r="D10" s="23">
        <v>73203.56159759502</v>
      </c>
      <c r="E10" s="33">
        <v>4.0063985409997258</v>
      </c>
      <c r="F10" s="5">
        <v>2</v>
      </c>
      <c r="G10" s="23">
        <v>65</v>
      </c>
      <c r="H10" s="33">
        <v>0</v>
      </c>
      <c r="I10" s="23">
        <v>16.896738327767636</v>
      </c>
      <c r="J10" s="5">
        <v>1556.0402072205407</v>
      </c>
      <c r="K10" s="31"/>
      <c r="L10" s="23">
        <v>75328.01772318859</v>
      </c>
      <c r="M10" s="33">
        <v>3.9659869999995858</v>
      </c>
      <c r="N10" s="5">
        <v>2</v>
      </c>
      <c r="O10" s="5">
        <v>60</v>
      </c>
      <c r="P10" s="33">
        <v>0</v>
      </c>
      <c r="Q10" s="5">
        <v>13.989151616185186</v>
      </c>
      <c r="R10" s="5">
        <v>1410.9239697135552</v>
      </c>
      <c r="S10" s="42"/>
      <c r="T10" s="23">
        <v>83879.352134464934</v>
      </c>
      <c r="U10" s="33">
        <v>3.9214459999984679</v>
      </c>
      <c r="V10" s="5">
        <v>2</v>
      </c>
      <c r="W10" s="5">
        <v>60</v>
      </c>
      <c r="X10" s="33">
        <v>32.916220707462379</v>
      </c>
      <c r="Y10" s="5">
        <v>27.656663360252509</v>
      </c>
      <c r="Z10" s="5">
        <v>2308.1964970461922</v>
      </c>
      <c r="AA10" s="42"/>
    </row>
    <row r="11" spans="2:27" x14ac:dyDescent="0.2">
      <c r="B11" s="4">
        <v>8</v>
      </c>
      <c r="C11" s="4">
        <v>854</v>
      </c>
      <c r="D11" s="23">
        <v>72698.774572539711</v>
      </c>
      <c r="E11" s="33">
        <v>4.039817791999667</v>
      </c>
      <c r="F11" s="5">
        <v>2</v>
      </c>
      <c r="G11" s="23">
        <v>60</v>
      </c>
      <c r="H11" s="33">
        <v>0</v>
      </c>
      <c r="I11" s="23">
        <v>17.077609607078294</v>
      </c>
      <c r="J11" s="5">
        <v>1232.4933189026024</v>
      </c>
      <c r="K11" s="31"/>
      <c r="L11" s="23">
        <v>72743.494792635742</v>
      </c>
      <c r="M11" s="33">
        <v>4.0086382919998869</v>
      </c>
      <c r="N11" s="5">
        <v>2</v>
      </c>
      <c r="O11" s="5">
        <v>60</v>
      </c>
      <c r="P11" s="33">
        <v>0</v>
      </c>
      <c r="Q11" s="5">
        <v>16.102892323423639</v>
      </c>
      <c r="R11" s="5">
        <v>1221.7994676237142</v>
      </c>
      <c r="S11" s="42"/>
      <c r="T11" s="23">
        <v>76801.539290145956</v>
      </c>
      <c r="U11" s="33">
        <v>3.9395512080009212</v>
      </c>
      <c r="V11" s="5">
        <v>2</v>
      </c>
      <c r="W11" s="5">
        <v>60</v>
      </c>
      <c r="X11" s="33">
        <v>7.4603308290832233</v>
      </c>
      <c r="Y11" s="5">
        <v>24.478722701702189</v>
      </c>
      <c r="Z11" s="5">
        <v>1651.7934714342482</v>
      </c>
      <c r="AA11" s="42"/>
    </row>
    <row r="12" spans="2:27" x14ac:dyDescent="0.2">
      <c r="B12" s="4">
        <v>9</v>
      </c>
      <c r="C12" s="4">
        <v>894</v>
      </c>
      <c r="D12" s="23">
        <v>72698.774572539711</v>
      </c>
      <c r="E12" s="33">
        <v>3.951921374999074</v>
      </c>
      <c r="F12" s="5">
        <v>2</v>
      </c>
      <c r="G12" s="23">
        <v>60</v>
      </c>
      <c r="H12" s="33">
        <v>0</v>
      </c>
      <c r="I12" s="23">
        <v>17.077609607078294</v>
      </c>
      <c r="J12" s="5">
        <v>1232.4933189026024</v>
      </c>
      <c r="K12" s="31"/>
      <c r="L12" s="23">
        <v>72743.494792635742</v>
      </c>
      <c r="M12" s="33">
        <v>4.019565042000977</v>
      </c>
      <c r="N12" s="5">
        <v>2</v>
      </c>
      <c r="O12" s="5">
        <v>60</v>
      </c>
      <c r="P12" s="33">
        <v>0</v>
      </c>
      <c r="Q12" s="5">
        <v>16.102892323423639</v>
      </c>
      <c r="R12" s="5">
        <v>1221.7994676237142</v>
      </c>
      <c r="S12" s="42"/>
      <c r="T12" s="23">
        <v>76801.539290145956</v>
      </c>
      <c r="U12" s="33">
        <v>3.925014082999041</v>
      </c>
      <c r="V12" s="5">
        <v>2</v>
      </c>
      <c r="W12" s="5">
        <v>60</v>
      </c>
      <c r="X12" s="33">
        <v>7.4603308290832233</v>
      </c>
      <c r="Y12" s="5">
        <v>24.478722701702189</v>
      </c>
      <c r="Z12" s="5">
        <v>1651.7934714342482</v>
      </c>
      <c r="AA12" s="42"/>
    </row>
    <row r="13" spans="2:27" x14ac:dyDescent="0.2">
      <c r="B13" s="4">
        <v>10</v>
      </c>
      <c r="C13" s="4">
        <v>931</v>
      </c>
      <c r="D13" s="23">
        <v>72698.774572539711</v>
      </c>
      <c r="E13" s="33">
        <v>4.0178186250013823</v>
      </c>
      <c r="F13" s="5">
        <v>2</v>
      </c>
      <c r="G13" s="23">
        <v>60</v>
      </c>
      <c r="H13" s="33">
        <v>0</v>
      </c>
      <c r="I13" s="23">
        <v>17.077609607078294</v>
      </c>
      <c r="J13" s="5">
        <v>1232.4933189026024</v>
      </c>
      <c r="K13" s="31"/>
      <c r="L13" s="23">
        <v>72743.494792635742</v>
      </c>
      <c r="M13" s="33">
        <v>4.0325195830009761</v>
      </c>
      <c r="N13" s="5">
        <v>2</v>
      </c>
      <c r="O13" s="5">
        <v>60</v>
      </c>
      <c r="P13" s="33">
        <v>0</v>
      </c>
      <c r="Q13" s="5">
        <v>16.102892323423639</v>
      </c>
      <c r="R13" s="5">
        <v>1221.7994676237142</v>
      </c>
      <c r="S13" s="42"/>
      <c r="T13" s="23">
        <v>76801.539290145956</v>
      </c>
      <c r="U13" s="33">
        <v>3.9508817500009168</v>
      </c>
      <c r="V13" s="5">
        <v>2</v>
      </c>
      <c r="W13" s="5">
        <v>60</v>
      </c>
      <c r="X13" s="33">
        <v>7.4603308290832233</v>
      </c>
      <c r="Y13" s="5">
        <v>24.478722701702189</v>
      </c>
      <c r="Z13" s="5">
        <v>1651.7934714342482</v>
      </c>
      <c r="AA13" s="42"/>
    </row>
    <row r="14" spans="2:27" x14ac:dyDescent="0.2">
      <c r="B14" s="46" t="s">
        <v>3</v>
      </c>
      <c r="C14" s="47"/>
      <c r="D14" s="9">
        <f>MIN(D4:D13)</f>
        <v>72698.774572539711</v>
      </c>
      <c r="E14" s="22">
        <f>INDEX(E4:E13, MATCH($D$14, D4:D13, 0))</f>
        <v>3.9950412080015671</v>
      </c>
      <c r="F14" s="9">
        <f>INDEX(F4:F13, MATCH($D$14, D4:D13, 0))</f>
        <v>2</v>
      </c>
      <c r="G14" s="9">
        <f>INDEX(G4:G13, MATCH($D$14, D4:D13, 0))</f>
        <v>60</v>
      </c>
      <c r="H14" s="22">
        <f>INDEX(H4:H13, MATCH($D$14, D4:D13, 0))</f>
        <v>0</v>
      </c>
      <c r="I14" s="22">
        <f>INDEX(I4:I13, MATCH($D$14, D4:D13, 0))</f>
        <v>17.077609607078294</v>
      </c>
      <c r="J14" s="22">
        <f>INDEX(J4:J13, MATCH($D$14, D4:D13, 0))</f>
        <v>1232.4933189026024</v>
      </c>
      <c r="K14" s="32"/>
      <c r="L14" s="16">
        <f>MIN(L4:L13)</f>
        <v>72743.494792635742</v>
      </c>
      <c r="M14" s="21">
        <f>INDEX(M4:M13, MATCH($L$14, L4:L13, 0))</f>
        <v>4.0131647919988609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16.102892323423639</v>
      </c>
      <c r="R14" s="21">
        <f>INDEX(R4:R13, MATCH($L$14, L4:L13, 0))</f>
        <v>1221.7994676237142</v>
      </c>
      <c r="S14" s="43" t="e">
        <f>(L14-$D$15)/$D$15</f>
        <v>#DIV/0!</v>
      </c>
      <c r="T14" s="38">
        <f>MIN(T4:T13)</f>
        <v>76801.539290145956</v>
      </c>
      <c r="U14" s="44">
        <f>INDEX(U4:U13, MATCH($T$14, T4:T13, 0))</f>
        <v>3.9021529159999768</v>
      </c>
      <c r="V14" s="38">
        <f>INDEX(V4:V13, MATCH($T$14, T4:T13, 0))</f>
        <v>2</v>
      </c>
      <c r="W14" s="38">
        <f>INDEX(W4:W13, MATCH($T$14, T4:T13, 0))</f>
        <v>60</v>
      </c>
      <c r="X14" s="44">
        <f>INDEX(X4:X13, MATCH($T$14, T4:T13, 0))</f>
        <v>7.4603308290832233</v>
      </c>
      <c r="Y14" s="44">
        <f>INDEX(Y4:Y13, MATCH($T$14, T4:T13, 0))</f>
        <v>24.478722701702189</v>
      </c>
      <c r="Z14" s="44">
        <f>INDEX(Z4:Z13, MATCH($T$14, T4:T13, 0))</f>
        <v>1651.7934714342482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29:C1048576">
    <cfRule type="duplicateValues" dxfId="71" priority="5"/>
    <cfRule type="duplicateValues" dxfId="70" priority="6"/>
  </conditionalFormatting>
  <conditionalFormatting sqref="C14">
    <cfRule type="duplicateValues" dxfId="69" priority="3"/>
    <cfRule type="duplicateValues" dxfId="68" priority="4"/>
  </conditionalFormatting>
  <conditionalFormatting sqref="C15:C28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BDF8-4629-5745-A728-AD0D053FD56F}">
  <dimension ref="B1:AA17"/>
  <sheetViews>
    <sheetView zoomScale="118" zoomScaleNormal="120" workbookViewId="0">
      <selection activeCell="A15" sqref="A15:XFD2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>
        <f>(Q14-H14)/H14</f>
        <v>-0.41215327864846119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-0.21203683727279143</v>
      </c>
      <c r="T2" s="1" t="s">
        <v>19</v>
      </c>
      <c r="X2" s="1" t="e">
        <f>(X14-P14)/P14</f>
        <v>#DIV/0!</v>
      </c>
      <c r="Z2" s="1">
        <f>(Z14-R14)/R14</f>
        <v>0.55312605781670388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706</v>
      </c>
      <c r="D4" s="23">
        <v>71687.551290012023</v>
      </c>
      <c r="E4" s="33">
        <v>3.5374271249984299</v>
      </c>
      <c r="F4" s="5">
        <v>2</v>
      </c>
      <c r="G4" s="23">
        <v>70</v>
      </c>
      <c r="H4" s="33">
        <v>28.603211455475908</v>
      </c>
      <c r="I4" s="23">
        <v>23.678991903960458</v>
      </c>
      <c r="J4" s="5">
        <v>1774.1349728913185</v>
      </c>
      <c r="K4" s="31" t="e">
        <f>(D4-$D$15)/$D$15</f>
        <v>#DIV/0!</v>
      </c>
      <c r="L4" s="23">
        <v>77603.34987005638</v>
      </c>
      <c r="M4" s="33">
        <v>3.951487416999953</v>
      </c>
      <c r="N4" s="5">
        <v>2</v>
      </c>
      <c r="O4" s="5">
        <v>55</v>
      </c>
      <c r="P4" s="33">
        <v>0</v>
      </c>
      <c r="Q4" s="5">
        <v>16.814304074226289</v>
      </c>
      <c r="R4" s="5">
        <v>1397.9530043443938</v>
      </c>
      <c r="S4" s="42"/>
      <c r="T4" s="23">
        <v>82869.316712105589</v>
      </c>
      <c r="U4" s="33">
        <v>3.9314157500011788</v>
      </c>
      <c r="V4" s="5">
        <v>2</v>
      </c>
      <c r="W4" s="5">
        <v>55</v>
      </c>
      <c r="X4" s="33">
        <v>57.341723203252144</v>
      </c>
      <c r="Y4" s="5">
        <v>31.51417881279977</v>
      </c>
      <c r="Z4" s="5">
        <v>2171.1972386504258</v>
      </c>
      <c r="AA4" s="42"/>
    </row>
    <row r="5" spans="2:27" x14ac:dyDescent="0.2">
      <c r="B5" s="4">
        <v>2</v>
      </c>
      <c r="C5" s="4">
        <v>903</v>
      </c>
      <c r="D5" s="23">
        <v>71687.551290012023</v>
      </c>
      <c r="E5" s="33">
        <v>3.6812130420003091</v>
      </c>
      <c r="F5" s="5">
        <v>2</v>
      </c>
      <c r="G5" s="23">
        <v>70</v>
      </c>
      <c r="H5" s="33">
        <v>28.603211455475908</v>
      </c>
      <c r="I5" s="23">
        <v>23.678991903960458</v>
      </c>
      <c r="J5" s="5">
        <v>1774.1349728913185</v>
      </c>
      <c r="K5" s="31" t="e">
        <f>(D5-$D$15)/$D$15</f>
        <v>#DIV/0!</v>
      </c>
      <c r="L5" s="23">
        <v>77603.34987005638</v>
      </c>
      <c r="M5" s="33">
        <v>3.964521707999666</v>
      </c>
      <c r="N5" s="5">
        <v>2</v>
      </c>
      <c r="O5" s="5">
        <v>55</v>
      </c>
      <c r="P5" s="33">
        <v>0</v>
      </c>
      <c r="Q5" s="5">
        <v>16.814304074226289</v>
      </c>
      <c r="R5" s="5">
        <v>1397.9530043443938</v>
      </c>
      <c r="S5" s="42"/>
      <c r="T5" s="23">
        <v>82869.316712105589</v>
      </c>
      <c r="U5" s="33">
        <v>3.8855993340002901</v>
      </c>
      <c r="V5" s="5">
        <v>2</v>
      </c>
      <c r="W5" s="5">
        <v>55</v>
      </c>
      <c r="X5" s="33">
        <v>57.341723203252144</v>
      </c>
      <c r="Y5" s="5">
        <v>31.51417881279977</v>
      </c>
      <c r="Z5" s="5">
        <v>2171.1972386504258</v>
      </c>
      <c r="AA5" s="42"/>
    </row>
    <row r="6" spans="2:27" x14ac:dyDescent="0.2">
      <c r="B6" s="4">
        <v>3</v>
      </c>
      <c r="C6" s="4">
        <v>323</v>
      </c>
      <c r="D6" s="23">
        <v>71687.551290012023</v>
      </c>
      <c r="E6" s="33">
        <v>3.587007083000572</v>
      </c>
      <c r="F6" s="5">
        <v>2</v>
      </c>
      <c r="G6" s="23">
        <v>70</v>
      </c>
      <c r="H6" s="33">
        <v>28.603211455475908</v>
      </c>
      <c r="I6" s="23">
        <v>23.678991903960458</v>
      </c>
      <c r="J6" s="5">
        <v>1774.1349728913185</v>
      </c>
      <c r="K6" s="31" t="e">
        <f t="shared" ref="K6:K13" si="0">(D6-$D$15)/$D$15</f>
        <v>#DIV/0!</v>
      </c>
      <c r="L6" s="23">
        <v>77603.34987005638</v>
      </c>
      <c r="M6" s="33">
        <v>4.0016843339999468</v>
      </c>
      <c r="N6" s="5">
        <v>2</v>
      </c>
      <c r="O6" s="5">
        <v>55</v>
      </c>
      <c r="P6" s="33">
        <v>0</v>
      </c>
      <c r="Q6" s="5">
        <v>16.814304074226289</v>
      </c>
      <c r="R6" s="5">
        <v>1397.9530043443938</v>
      </c>
      <c r="S6" s="42"/>
      <c r="T6" s="23">
        <v>82869.316712105589</v>
      </c>
      <c r="U6" s="33">
        <v>3.9821878330003528</v>
      </c>
      <c r="V6" s="5">
        <v>2</v>
      </c>
      <c r="W6" s="5">
        <v>55</v>
      </c>
      <c r="X6" s="33">
        <v>57.341723203252144</v>
      </c>
      <c r="Y6" s="5">
        <v>31.51417881279977</v>
      </c>
      <c r="Z6" s="5">
        <v>2171.1972386504258</v>
      </c>
      <c r="AA6" s="42"/>
    </row>
    <row r="7" spans="2:27" x14ac:dyDescent="0.2">
      <c r="B7" s="4">
        <v>4</v>
      </c>
      <c r="C7" s="4">
        <v>383</v>
      </c>
      <c r="D7" s="23">
        <v>71687.551290012023</v>
      </c>
      <c r="E7" s="33">
        <v>3.9497079170014331</v>
      </c>
      <c r="F7" s="5">
        <v>2</v>
      </c>
      <c r="G7" s="23">
        <v>70</v>
      </c>
      <c r="H7" s="33">
        <v>28.603211455475908</v>
      </c>
      <c r="I7" s="23">
        <v>23.678991903960458</v>
      </c>
      <c r="J7" s="5">
        <v>1774.1349728913185</v>
      </c>
      <c r="K7" s="31" t="e">
        <f t="shared" si="0"/>
        <v>#DIV/0!</v>
      </c>
      <c r="L7" s="23">
        <v>77603.34987005638</v>
      </c>
      <c r="M7" s="33">
        <v>3.9867675410005181</v>
      </c>
      <c r="N7" s="5">
        <v>2</v>
      </c>
      <c r="O7" s="5">
        <v>55</v>
      </c>
      <c r="P7" s="33">
        <v>0</v>
      </c>
      <c r="Q7" s="5">
        <v>16.814304074226289</v>
      </c>
      <c r="R7" s="5">
        <v>1397.9530043443938</v>
      </c>
      <c r="S7" s="42"/>
      <c r="T7" s="23">
        <v>82869.316712105589</v>
      </c>
      <c r="U7" s="33">
        <v>3.9429618750000368</v>
      </c>
      <c r="V7" s="5">
        <v>2</v>
      </c>
      <c r="W7" s="5">
        <v>55</v>
      </c>
      <c r="X7" s="33">
        <v>57.341723203252144</v>
      </c>
      <c r="Y7" s="5">
        <v>31.51417881279977</v>
      </c>
      <c r="Z7" s="5">
        <v>2171.1972386504258</v>
      </c>
      <c r="AA7" s="42"/>
    </row>
    <row r="8" spans="2:27" x14ac:dyDescent="0.2">
      <c r="B8" s="4">
        <v>5</v>
      </c>
      <c r="C8" s="4">
        <v>561</v>
      </c>
      <c r="D8" s="23">
        <v>71687.551290012023</v>
      </c>
      <c r="E8" s="33">
        <v>3.9240932499997139</v>
      </c>
      <c r="F8" s="5">
        <v>2</v>
      </c>
      <c r="G8" s="23">
        <v>70</v>
      </c>
      <c r="H8" s="33">
        <v>28.603211455475908</v>
      </c>
      <c r="I8" s="23">
        <v>23.678991903960458</v>
      </c>
      <c r="J8" s="5">
        <v>1774.1349728913185</v>
      </c>
      <c r="K8" s="31" t="e">
        <f t="shared" si="0"/>
        <v>#DIV/0!</v>
      </c>
      <c r="L8" s="23">
        <v>77603.34987005638</v>
      </c>
      <c r="M8" s="33">
        <v>3.9874108750009332</v>
      </c>
      <c r="N8" s="5">
        <v>2</v>
      </c>
      <c r="O8" s="5">
        <v>55</v>
      </c>
      <c r="P8" s="33">
        <v>0</v>
      </c>
      <c r="Q8" s="5">
        <v>16.814304074226289</v>
      </c>
      <c r="R8" s="5">
        <v>1397.9530043443938</v>
      </c>
      <c r="S8" s="42"/>
      <c r="T8" s="23">
        <v>82869.316712105589</v>
      </c>
      <c r="U8" s="33">
        <v>3.9292023750003859</v>
      </c>
      <c r="V8" s="5">
        <v>2</v>
      </c>
      <c r="W8" s="5">
        <v>55</v>
      </c>
      <c r="X8" s="33">
        <v>57.341723203252144</v>
      </c>
      <c r="Y8" s="5">
        <v>31.51417881279977</v>
      </c>
      <c r="Z8" s="5">
        <v>2171.1972386504258</v>
      </c>
      <c r="AA8" s="42"/>
    </row>
    <row r="9" spans="2:27" x14ac:dyDescent="0.2">
      <c r="B9" s="4">
        <v>6</v>
      </c>
      <c r="C9" s="4">
        <v>632</v>
      </c>
      <c r="D9" s="23">
        <v>71687.551290012023</v>
      </c>
      <c r="E9" s="33">
        <v>3.8555500829988891</v>
      </c>
      <c r="F9" s="5">
        <v>2</v>
      </c>
      <c r="G9" s="23">
        <v>70</v>
      </c>
      <c r="H9" s="33">
        <v>28.603211455475908</v>
      </c>
      <c r="I9" s="23">
        <v>23.678991903960458</v>
      </c>
      <c r="J9" s="5">
        <v>1774.1349728913185</v>
      </c>
      <c r="K9" s="31" t="e">
        <f t="shared" si="0"/>
        <v>#DIV/0!</v>
      </c>
      <c r="L9" s="23">
        <v>77603.34987005638</v>
      </c>
      <c r="M9" s="33">
        <v>3.9821156250000058</v>
      </c>
      <c r="N9" s="5">
        <v>2</v>
      </c>
      <c r="O9" s="5">
        <v>55</v>
      </c>
      <c r="P9" s="33">
        <v>0</v>
      </c>
      <c r="Q9" s="5">
        <v>16.814304074226289</v>
      </c>
      <c r="R9" s="5">
        <v>1397.9530043443938</v>
      </c>
      <c r="S9" s="42"/>
      <c r="T9" s="23">
        <v>82869.316712105589</v>
      </c>
      <c r="U9" s="33">
        <v>3.912725250000221</v>
      </c>
      <c r="V9" s="5">
        <v>2</v>
      </c>
      <c r="W9" s="5">
        <v>55</v>
      </c>
      <c r="X9" s="33">
        <v>57.341723203252144</v>
      </c>
      <c r="Y9" s="5">
        <v>31.51417881279977</v>
      </c>
      <c r="Z9" s="5">
        <v>2171.1972386504258</v>
      </c>
      <c r="AA9" s="42"/>
    </row>
    <row r="10" spans="2:27" x14ac:dyDescent="0.2">
      <c r="B10" s="4">
        <v>7</v>
      </c>
      <c r="C10" s="4">
        <v>178</v>
      </c>
      <c r="D10" s="23">
        <v>71687.551290012023</v>
      </c>
      <c r="E10" s="33">
        <v>3.9417720420005939</v>
      </c>
      <c r="F10" s="5">
        <v>2</v>
      </c>
      <c r="G10" s="23">
        <v>70</v>
      </c>
      <c r="H10" s="33">
        <v>28.603211455475908</v>
      </c>
      <c r="I10" s="23">
        <v>23.678991903960458</v>
      </c>
      <c r="J10" s="5">
        <v>1774.1349728913185</v>
      </c>
      <c r="K10" s="31" t="e">
        <f t="shared" si="0"/>
        <v>#DIV/0!</v>
      </c>
      <c r="L10" s="23">
        <v>77603.34987005638</v>
      </c>
      <c r="M10" s="33">
        <v>4.0112778750008147</v>
      </c>
      <c r="N10" s="5">
        <v>2</v>
      </c>
      <c r="O10" s="5">
        <v>55</v>
      </c>
      <c r="P10" s="33">
        <v>0</v>
      </c>
      <c r="Q10" s="5">
        <v>16.814304074226289</v>
      </c>
      <c r="R10" s="5">
        <v>1397.9530043443938</v>
      </c>
      <c r="S10" s="42"/>
      <c r="T10" s="23">
        <v>82869.316712105589</v>
      </c>
      <c r="U10" s="33">
        <v>3.9581902910013009</v>
      </c>
      <c r="V10" s="5">
        <v>2</v>
      </c>
      <c r="W10" s="5">
        <v>55</v>
      </c>
      <c r="X10" s="33">
        <v>57.341723203252144</v>
      </c>
      <c r="Y10" s="5">
        <v>31.51417881279977</v>
      </c>
      <c r="Z10" s="5">
        <v>2171.1972386504258</v>
      </c>
      <c r="AA10" s="42"/>
    </row>
    <row r="11" spans="2:27" x14ac:dyDescent="0.2">
      <c r="B11" s="4">
        <v>8</v>
      </c>
      <c r="C11" s="4">
        <v>482</v>
      </c>
      <c r="D11" s="23">
        <v>71687.551290012023</v>
      </c>
      <c r="E11" s="33">
        <v>3.6012601250004082</v>
      </c>
      <c r="F11" s="5">
        <v>2</v>
      </c>
      <c r="G11" s="23">
        <v>70</v>
      </c>
      <c r="H11" s="33">
        <v>28.603211455475908</v>
      </c>
      <c r="I11" s="23">
        <v>23.678991903960458</v>
      </c>
      <c r="J11" s="5">
        <v>1774.1349728913185</v>
      </c>
      <c r="K11" s="31" t="e">
        <f t="shared" si="0"/>
        <v>#DIV/0!</v>
      </c>
      <c r="L11" s="23">
        <v>77603.34987005638</v>
      </c>
      <c r="M11" s="33">
        <v>3.6396079999994981</v>
      </c>
      <c r="N11" s="5">
        <v>2</v>
      </c>
      <c r="O11" s="5">
        <v>55</v>
      </c>
      <c r="P11" s="33">
        <v>0</v>
      </c>
      <c r="Q11" s="5">
        <v>16.814304074226289</v>
      </c>
      <c r="R11" s="5">
        <v>1397.9530043443938</v>
      </c>
      <c r="S11" s="42"/>
      <c r="T11" s="23">
        <v>82869.316712105589</v>
      </c>
      <c r="U11" s="33">
        <v>3.928259542000887</v>
      </c>
      <c r="V11" s="5">
        <v>2</v>
      </c>
      <c r="W11" s="5">
        <v>55</v>
      </c>
      <c r="X11" s="33">
        <v>57.341723203252144</v>
      </c>
      <c r="Y11" s="5">
        <v>31.51417881279977</v>
      </c>
      <c r="Z11" s="5">
        <v>2171.1972386504258</v>
      </c>
      <c r="AA11" s="42"/>
    </row>
    <row r="12" spans="2:27" x14ac:dyDescent="0.2">
      <c r="B12" s="4">
        <v>9</v>
      </c>
      <c r="C12" s="4">
        <v>795</v>
      </c>
      <c r="D12" s="23">
        <v>71687.551290012023</v>
      </c>
      <c r="E12" s="33">
        <v>3.6800723329997709</v>
      </c>
      <c r="F12" s="5">
        <v>2</v>
      </c>
      <c r="G12" s="23">
        <v>70</v>
      </c>
      <c r="H12" s="33">
        <v>28.603211455475908</v>
      </c>
      <c r="I12" s="23">
        <v>23.678991903960458</v>
      </c>
      <c r="J12" s="5">
        <v>1774.1349728913185</v>
      </c>
      <c r="K12" s="31" t="e">
        <f t="shared" si="0"/>
        <v>#DIV/0!</v>
      </c>
      <c r="L12" s="23">
        <v>77603.34987005638</v>
      </c>
      <c r="M12" s="33">
        <v>3.9758226249996369</v>
      </c>
      <c r="N12" s="5">
        <v>2</v>
      </c>
      <c r="O12" s="5">
        <v>55</v>
      </c>
      <c r="P12" s="33">
        <v>0</v>
      </c>
      <c r="Q12" s="5">
        <v>16.814304074226289</v>
      </c>
      <c r="R12" s="5">
        <v>1397.9530043443938</v>
      </c>
      <c r="S12" s="42"/>
      <c r="T12" s="23">
        <v>82869.316712105589</v>
      </c>
      <c r="U12" s="33">
        <v>3.9685447910014768</v>
      </c>
      <c r="V12" s="5">
        <v>2</v>
      </c>
      <c r="W12" s="5">
        <v>55</v>
      </c>
      <c r="X12" s="33">
        <v>57.341723203252144</v>
      </c>
      <c r="Y12" s="5">
        <v>31.51417881279977</v>
      </c>
      <c r="Z12" s="5">
        <v>2171.1972386504258</v>
      </c>
      <c r="AA12" s="42"/>
    </row>
    <row r="13" spans="2:27" x14ac:dyDescent="0.2">
      <c r="B13" s="4">
        <v>10</v>
      </c>
      <c r="C13" s="4">
        <v>882</v>
      </c>
      <c r="D13" s="23">
        <v>71687.551290012023</v>
      </c>
      <c r="E13" s="33">
        <v>3.5075811669994441</v>
      </c>
      <c r="F13" s="5">
        <v>2</v>
      </c>
      <c r="G13" s="23">
        <v>70</v>
      </c>
      <c r="H13" s="33">
        <v>28.603211455475908</v>
      </c>
      <c r="I13" s="23">
        <v>23.678991903960458</v>
      </c>
      <c r="J13" s="5">
        <v>1774.1349728913185</v>
      </c>
      <c r="K13" s="31" t="e">
        <f t="shared" si="0"/>
        <v>#DIV/0!</v>
      </c>
      <c r="L13" s="23">
        <v>77603.34987005638</v>
      </c>
      <c r="M13" s="33">
        <v>3.9995077499988838</v>
      </c>
      <c r="N13" s="5">
        <v>2</v>
      </c>
      <c r="O13" s="5">
        <v>55</v>
      </c>
      <c r="P13" s="33">
        <v>0</v>
      </c>
      <c r="Q13" s="5">
        <v>16.814304074226289</v>
      </c>
      <c r="R13" s="5">
        <v>1397.9530043443938</v>
      </c>
      <c r="S13" s="42"/>
      <c r="T13" s="23">
        <v>82869.316712105589</v>
      </c>
      <c r="U13" s="33">
        <v>3.9831470839999379</v>
      </c>
      <c r="V13" s="5">
        <v>2</v>
      </c>
      <c r="W13" s="5">
        <v>55</v>
      </c>
      <c r="X13" s="33">
        <v>57.341723203252144</v>
      </c>
      <c r="Y13" s="5">
        <v>31.51417881279977</v>
      </c>
      <c r="Z13" s="5">
        <v>2171.1972386504258</v>
      </c>
      <c r="AA13" s="42"/>
    </row>
    <row r="14" spans="2:27" x14ac:dyDescent="0.2">
      <c r="B14" s="46" t="s">
        <v>3</v>
      </c>
      <c r="C14" s="47"/>
      <c r="D14" s="9">
        <f>MIN(D4:D13)</f>
        <v>71687.551290012023</v>
      </c>
      <c r="E14" s="22">
        <f>INDEX(E4:E13, MATCH($D$14, D4:D13, 0))</f>
        <v>3.5374271249984299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28.603211455475908</v>
      </c>
      <c r="I14" s="22">
        <f>INDEX(I4:I13, MATCH($D$14, D4:D13, 0))</f>
        <v>23.678991903960458</v>
      </c>
      <c r="J14" s="22">
        <f>INDEX(J4:J13, MATCH($D$14, D4:D13, 0))</f>
        <v>1774.1349728913185</v>
      </c>
      <c r="K14" s="32" t="e">
        <f>(D14-$D$15)/$D$15</f>
        <v>#DIV/0!</v>
      </c>
      <c r="L14" s="16">
        <f>MIN(L4:L13)</f>
        <v>77603.34987005638</v>
      </c>
      <c r="M14" s="21">
        <f>INDEX(M4:M13, MATCH($L$14, L4:L13, 0))</f>
        <v>3.951487416999953</v>
      </c>
      <c r="N14" s="16">
        <f>INDEX(N4:N13, MATCH($L$14, L4:L13, 0))</f>
        <v>2</v>
      </c>
      <c r="O14" s="16">
        <f>INDEX(O4:O13, MATCH($L$14, L4:L13, 0))</f>
        <v>55</v>
      </c>
      <c r="P14" s="21">
        <f>INDEX(P4:P13, MATCH($L$14, L4:L13, 0))</f>
        <v>0</v>
      </c>
      <c r="Q14" s="21">
        <f>INDEX(Q4:Q13, MATCH($L$14, L4:L13, 0))</f>
        <v>16.814304074226289</v>
      </c>
      <c r="R14" s="21">
        <f>INDEX(R4:R13, MATCH($L$14, L4:L13, 0))</f>
        <v>1397.9530043443938</v>
      </c>
      <c r="S14" s="43" t="e">
        <f>(L14-$D$15)/$D$15</f>
        <v>#DIV/0!</v>
      </c>
      <c r="T14" s="38">
        <f>MIN(T4:T13)</f>
        <v>82869.316712105589</v>
      </c>
      <c r="U14" s="44">
        <f>INDEX(U4:U13, MATCH($T$14, T4:T13, 0))</f>
        <v>3.9314157500011788</v>
      </c>
      <c r="V14" s="38">
        <f>INDEX(V4:V13, MATCH($T$14, T4:T13, 0))</f>
        <v>2</v>
      </c>
      <c r="W14" s="38">
        <f>INDEX(W4:W13, MATCH($T$14, T4:T13, 0))</f>
        <v>55</v>
      </c>
      <c r="X14" s="44">
        <f>INDEX(X4:X13, MATCH($T$14, T4:T13, 0))</f>
        <v>57.341723203252144</v>
      </c>
      <c r="Y14" s="44">
        <f>INDEX(Y4:Y13, MATCH($T$14, T4:T13, 0))</f>
        <v>31.51417881279977</v>
      </c>
      <c r="Z14" s="44">
        <f>INDEX(Z4:Z13, MATCH($T$14, T4:T13, 0))</f>
        <v>2171.1972386504258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67" priority="3"/>
    <cfRule type="duplicateValues" dxfId="66" priority="4"/>
  </conditionalFormatting>
  <conditionalFormatting sqref="C28:C1048576 C1:C13">
    <cfRule type="duplicateValues" dxfId="65" priority="5"/>
    <cfRule type="duplicateValues" dxfId="64" priority="6"/>
  </conditionalFormatting>
  <conditionalFormatting sqref="C15:C2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9FE9C-1F29-1844-A87B-DA067B09C319}">
  <dimension ref="B1:AA17"/>
  <sheetViews>
    <sheetView topLeftCell="H1" zoomScale="118" zoomScaleNormal="120" workbookViewId="0">
      <selection activeCell="H15" sqref="A15:XFD2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-0.11942420797428548</v>
      </c>
      <c r="T2" s="1" t="s">
        <v>19</v>
      </c>
      <c r="X2" s="1" t="e">
        <f>(X14-P14)/P14</f>
        <v>#DIV/0!</v>
      </c>
      <c r="Z2" s="1">
        <f>(Z14-R14)/R14</f>
        <v>0.92194229848392306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789</v>
      </c>
      <c r="D4" s="23">
        <v>60912.600004953623</v>
      </c>
      <c r="E4" s="33">
        <v>3.9280678750001239</v>
      </c>
      <c r="F4" s="5">
        <v>2</v>
      </c>
      <c r="G4" s="23">
        <v>75</v>
      </c>
      <c r="H4" s="33">
        <v>0</v>
      </c>
      <c r="I4" s="23">
        <v>20.577523404769373</v>
      </c>
      <c r="J4" s="5">
        <v>1311.7441981965794</v>
      </c>
      <c r="K4" s="31" t="e">
        <f>(D4-$D$15)/$D$15</f>
        <v>#DIV/0!</v>
      </c>
      <c r="L4" s="23">
        <v>70912.67907824181</v>
      </c>
      <c r="M4" s="33">
        <v>4.0963792090005882</v>
      </c>
      <c r="N4" s="5">
        <v>2</v>
      </c>
      <c r="O4" s="5">
        <v>60</v>
      </c>
      <c r="P4" s="33">
        <v>0</v>
      </c>
      <c r="Q4" s="5">
        <v>15.993742630796506</v>
      </c>
      <c r="R4" s="5">
        <v>1155.0901862620888</v>
      </c>
      <c r="S4" s="42"/>
      <c r="T4" s="23">
        <v>70215.835960381432</v>
      </c>
      <c r="U4" s="33">
        <v>4.1156608750006853</v>
      </c>
      <c r="V4" s="5">
        <v>2</v>
      </c>
      <c r="W4" s="5">
        <v>75</v>
      </c>
      <c r="X4" s="33">
        <v>35.286626130565615</v>
      </c>
      <c r="Y4" s="5">
        <v>44.901229923012956</v>
      </c>
      <c r="Z4" s="5">
        <v>2220.0166875407817</v>
      </c>
      <c r="AA4" s="42"/>
    </row>
    <row r="5" spans="2:27" x14ac:dyDescent="0.2">
      <c r="B5" s="4">
        <v>2</v>
      </c>
      <c r="C5" s="4">
        <v>34</v>
      </c>
      <c r="D5" s="23">
        <v>60912.600004953623</v>
      </c>
      <c r="E5" s="33">
        <v>4.3634958750008082</v>
      </c>
      <c r="F5" s="5">
        <v>2</v>
      </c>
      <c r="G5" s="23">
        <v>75</v>
      </c>
      <c r="H5" s="33">
        <v>0</v>
      </c>
      <c r="I5" s="23">
        <v>20.577523404769373</v>
      </c>
      <c r="J5" s="5">
        <v>1311.7441981965794</v>
      </c>
      <c r="K5" s="31" t="e">
        <f>(D5-$D$15)/$D$15</f>
        <v>#DIV/0!</v>
      </c>
      <c r="L5" s="23">
        <v>70912.67907824181</v>
      </c>
      <c r="M5" s="33">
        <v>4.1050525840000773</v>
      </c>
      <c r="N5" s="5">
        <v>2</v>
      </c>
      <c r="O5" s="5">
        <v>60</v>
      </c>
      <c r="P5" s="33">
        <v>0</v>
      </c>
      <c r="Q5" s="5">
        <v>15.993742630796506</v>
      </c>
      <c r="R5" s="5">
        <v>1155.0901862620888</v>
      </c>
      <c r="S5" s="42"/>
      <c r="T5" s="23">
        <v>70215.835960381432</v>
      </c>
      <c r="U5" s="33">
        <v>4.0286165840007024</v>
      </c>
      <c r="V5" s="5">
        <v>2</v>
      </c>
      <c r="W5" s="5">
        <v>75</v>
      </c>
      <c r="X5" s="33">
        <v>35.286626130565615</v>
      </c>
      <c r="Y5" s="5">
        <v>44.901229923012956</v>
      </c>
      <c r="Z5" s="5">
        <v>2220.0166875407817</v>
      </c>
      <c r="AA5" s="42"/>
    </row>
    <row r="6" spans="2:27" x14ac:dyDescent="0.2">
      <c r="B6" s="4">
        <v>3</v>
      </c>
      <c r="C6" s="4">
        <v>888</v>
      </c>
      <c r="D6" s="23">
        <v>60912.600004953623</v>
      </c>
      <c r="E6" s="33">
        <v>4.2407458340003359</v>
      </c>
      <c r="F6" s="5">
        <v>2</v>
      </c>
      <c r="G6" s="23">
        <v>75</v>
      </c>
      <c r="H6" s="33">
        <v>0</v>
      </c>
      <c r="I6" s="23">
        <v>20.577523404769373</v>
      </c>
      <c r="J6" s="5">
        <v>1311.7441981965794</v>
      </c>
      <c r="K6" s="31" t="e">
        <f t="shared" ref="K6:K13" si="0">(D6-$D$15)/$D$15</f>
        <v>#DIV/0!</v>
      </c>
      <c r="L6" s="23">
        <v>80803.977185401222</v>
      </c>
      <c r="M6" s="33">
        <v>2.9030490840013949</v>
      </c>
      <c r="N6" s="5">
        <v>2</v>
      </c>
      <c r="O6" s="5">
        <v>45</v>
      </c>
      <c r="P6" s="33">
        <v>0</v>
      </c>
      <c r="Q6" s="5">
        <v>16.567606266039164</v>
      </c>
      <c r="R6" s="5">
        <v>1015.392275281951</v>
      </c>
      <c r="S6" s="42"/>
      <c r="T6" s="23">
        <v>70215.835960381432</v>
      </c>
      <c r="U6" s="33">
        <v>3.765242292000039</v>
      </c>
      <c r="V6" s="5">
        <v>2</v>
      </c>
      <c r="W6" s="5">
        <v>75</v>
      </c>
      <c r="X6" s="33">
        <v>35.286626130565615</v>
      </c>
      <c r="Y6" s="5">
        <v>44.901229923012956</v>
      </c>
      <c r="Z6" s="5">
        <v>2220.0166875407817</v>
      </c>
      <c r="AA6" s="42"/>
    </row>
    <row r="7" spans="2:27" x14ac:dyDescent="0.2">
      <c r="B7" s="4">
        <v>4</v>
      </c>
      <c r="C7" s="4">
        <v>927</v>
      </c>
      <c r="D7" s="23">
        <v>60912.600004953623</v>
      </c>
      <c r="E7" s="33">
        <v>4.3720523330011929</v>
      </c>
      <c r="F7" s="5">
        <v>2</v>
      </c>
      <c r="G7" s="23">
        <v>75</v>
      </c>
      <c r="H7" s="33">
        <v>0</v>
      </c>
      <c r="I7" s="23">
        <v>20.577523404769373</v>
      </c>
      <c r="J7" s="5">
        <v>1311.7441981965794</v>
      </c>
      <c r="K7" s="31" t="e">
        <f t="shared" si="0"/>
        <v>#DIV/0!</v>
      </c>
      <c r="L7" s="23">
        <v>70912.67907824181</v>
      </c>
      <c r="M7" s="33">
        <v>4.084148792000633</v>
      </c>
      <c r="N7" s="5">
        <v>2</v>
      </c>
      <c r="O7" s="5">
        <v>60</v>
      </c>
      <c r="P7" s="33">
        <v>0</v>
      </c>
      <c r="Q7" s="5">
        <v>15.993742630796506</v>
      </c>
      <c r="R7" s="5">
        <v>1155.0901862620888</v>
      </c>
      <c r="S7" s="42"/>
      <c r="T7" s="23">
        <v>70215.835960381432</v>
      </c>
      <c r="U7" s="33">
        <v>4.1593251249996683</v>
      </c>
      <c r="V7" s="5">
        <v>2</v>
      </c>
      <c r="W7" s="5">
        <v>75</v>
      </c>
      <c r="X7" s="33">
        <v>35.286626130565615</v>
      </c>
      <c r="Y7" s="5">
        <v>44.901229923012956</v>
      </c>
      <c r="Z7" s="5">
        <v>2220.0166875407817</v>
      </c>
      <c r="AA7" s="42"/>
    </row>
    <row r="8" spans="2:27" x14ac:dyDescent="0.2">
      <c r="B8" s="4">
        <v>5</v>
      </c>
      <c r="C8" s="4">
        <v>11</v>
      </c>
      <c r="D8" s="23">
        <v>60912.600004953623</v>
      </c>
      <c r="E8" s="33">
        <v>4.3628850829991279</v>
      </c>
      <c r="F8" s="5">
        <v>2</v>
      </c>
      <c r="G8" s="23">
        <v>75</v>
      </c>
      <c r="H8" s="33">
        <v>0</v>
      </c>
      <c r="I8" s="23">
        <v>20.577523404769373</v>
      </c>
      <c r="J8" s="5">
        <v>1311.7441981965794</v>
      </c>
      <c r="K8" s="31" t="e">
        <f t="shared" si="0"/>
        <v>#DIV/0!</v>
      </c>
      <c r="L8" s="23">
        <v>70912.67907824181</v>
      </c>
      <c r="M8" s="33">
        <v>4.1376862080014689</v>
      </c>
      <c r="N8" s="5">
        <v>2</v>
      </c>
      <c r="O8" s="5">
        <v>60</v>
      </c>
      <c r="P8" s="33">
        <v>0</v>
      </c>
      <c r="Q8" s="5">
        <v>15.993742630796506</v>
      </c>
      <c r="R8" s="5">
        <v>1155.0901862620888</v>
      </c>
      <c r="S8" s="42"/>
      <c r="T8" s="23">
        <v>70215.835960381432</v>
      </c>
      <c r="U8" s="33">
        <v>4.146844749999218</v>
      </c>
      <c r="V8" s="5">
        <v>2</v>
      </c>
      <c r="W8" s="5">
        <v>75</v>
      </c>
      <c r="X8" s="33">
        <v>35.286626130565615</v>
      </c>
      <c r="Y8" s="5">
        <v>44.901229923012956</v>
      </c>
      <c r="Z8" s="5">
        <v>2220.0166875407817</v>
      </c>
      <c r="AA8" s="42"/>
    </row>
    <row r="9" spans="2:27" x14ac:dyDescent="0.2">
      <c r="B9" s="4">
        <v>6</v>
      </c>
      <c r="C9" s="4">
        <v>237</v>
      </c>
      <c r="D9" s="23">
        <v>60912.600004953623</v>
      </c>
      <c r="E9" s="33">
        <v>4.0664152500012278</v>
      </c>
      <c r="F9" s="5">
        <v>2</v>
      </c>
      <c r="G9" s="23">
        <v>75</v>
      </c>
      <c r="H9" s="33">
        <v>0</v>
      </c>
      <c r="I9" s="23">
        <v>20.577523404769373</v>
      </c>
      <c r="J9" s="5">
        <v>1311.7441981965794</v>
      </c>
      <c r="K9" s="31" t="e">
        <f t="shared" si="0"/>
        <v>#DIV/0!</v>
      </c>
      <c r="L9" s="23">
        <v>70912.67907824181</v>
      </c>
      <c r="M9" s="33">
        <v>4.0881305000002612</v>
      </c>
      <c r="N9" s="5">
        <v>2</v>
      </c>
      <c r="O9" s="5">
        <v>60</v>
      </c>
      <c r="P9" s="33">
        <v>0</v>
      </c>
      <c r="Q9" s="5">
        <v>15.993742630796506</v>
      </c>
      <c r="R9" s="5">
        <v>1155.0901862620888</v>
      </c>
      <c r="S9" s="42"/>
      <c r="T9" s="23">
        <v>70215.835960381432</v>
      </c>
      <c r="U9" s="33">
        <v>4.1534460420007244</v>
      </c>
      <c r="V9" s="5">
        <v>2</v>
      </c>
      <c r="W9" s="5">
        <v>75</v>
      </c>
      <c r="X9" s="33">
        <v>35.286626130565615</v>
      </c>
      <c r="Y9" s="5">
        <v>44.901229923012956</v>
      </c>
      <c r="Z9" s="5">
        <v>2220.0166875407817</v>
      </c>
      <c r="AA9" s="42"/>
    </row>
    <row r="10" spans="2:27" x14ac:dyDescent="0.2">
      <c r="B10" s="4">
        <v>7</v>
      </c>
      <c r="C10" s="4">
        <v>263</v>
      </c>
      <c r="D10" s="23">
        <v>65943.668134315347</v>
      </c>
      <c r="E10" s="33">
        <v>4.2167676669996581</v>
      </c>
      <c r="F10" s="5">
        <v>2</v>
      </c>
      <c r="G10" s="23">
        <v>65</v>
      </c>
      <c r="H10" s="33">
        <v>0</v>
      </c>
      <c r="I10" s="23">
        <v>21.380146102296145</v>
      </c>
      <c r="J10" s="5">
        <v>1166.1998873353225</v>
      </c>
      <c r="K10" s="31" t="e">
        <f t="shared" si="0"/>
        <v>#DIV/0!</v>
      </c>
      <c r="L10" s="23">
        <v>75943.747207603548</v>
      </c>
      <c r="M10" s="33">
        <v>3.6217726670001871</v>
      </c>
      <c r="N10" s="5">
        <v>2</v>
      </c>
      <c r="O10" s="5">
        <v>50</v>
      </c>
      <c r="P10" s="33">
        <v>0</v>
      </c>
      <c r="Q10" s="5">
        <v>16.796365328323276</v>
      </c>
      <c r="R10" s="5">
        <v>934.55177975555648</v>
      </c>
      <c r="S10" s="42"/>
      <c r="T10" s="23">
        <v>72729.053220195012</v>
      </c>
      <c r="U10" s="33">
        <v>3.781223584001054</v>
      </c>
      <c r="V10" s="5">
        <v>2</v>
      </c>
      <c r="W10" s="5">
        <v>65</v>
      </c>
      <c r="X10" s="33">
        <v>40.715337842960324</v>
      </c>
      <c r="Y10" s="5">
        <v>43.510275771910891</v>
      </c>
      <c r="Z10" s="5">
        <v>1993.4889619215685</v>
      </c>
      <c r="AA10" s="42"/>
    </row>
    <row r="11" spans="2:27" x14ac:dyDescent="0.2">
      <c r="B11" s="4">
        <v>8</v>
      </c>
      <c r="C11" s="4">
        <v>987</v>
      </c>
      <c r="D11" s="23">
        <v>60912.600004953623</v>
      </c>
      <c r="E11" s="33">
        <v>4.378581832999771</v>
      </c>
      <c r="F11" s="5">
        <v>2</v>
      </c>
      <c r="G11" s="23">
        <v>75</v>
      </c>
      <c r="H11" s="33">
        <v>0</v>
      </c>
      <c r="I11" s="23">
        <v>20.577523404769373</v>
      </c>
      <c r="J11" s="5">
        <v>1311.7441981965794</v>
      </c>
      <c r="K11" s="31" t="e">
        <f t="shared" si="0"/>
        <v>#DIV/0!</v>
      </c>
      <c r="L11" s="23">
        <v>70912.67907824181</v>
      </c>
      <c r="M11" s="33">
        <v>4.108474374999787</v>
      </c>
      <c r="N11" s="5">
        <v>2</v>
      </c>
      <c r="O11" s="5">
        <v>60</v>
      </c>
      <c r="P11" s="33">
        <v>0</v>
      </c>
      <c r="Q11" s="5">
        <v>15.993742630796506</v>
      </c>
      <c r="R11" s="5">
        <v>1155.0901862620888</v>
      </c>
      <c r="S11" s="42"/>
      <c r="T11" s="23">
        <v>70215.835960381432</v>
      </c>
      <c r="U11" s="33">
        <v>4.0347728329998063</v>
      </c>
      <c r="V11" s="5">
        <v>2</v>
      </c>
      <c r="W11" s="5">
        <v>75</v>
      </c>
      <c r="X11" s="33">
        <v>35.286626130565615</v>
      </c>
      <c r="Y11" s="5">
        <v>44.901229923012956</v>
      </c>
      <c r="Z11" s="5">
        <v>2220.0166875407817</v>
      </c>
      <c r="AA11" s="42"/>
    </row>
    <row r="12" spans="2:27" x14ac:dyDescent="0.2">
      <c r="B12" s="4">
        <v>9</v>
      </c>
      <c r="C12" s="4">
        <v>595</v>
      </c>
      <c r="D12" s="23">
        <v>60912.600004953623</v>
      </c>
      <c r="E12" s="33">
        <v>4.4157088339998154</v>
      </c>
      <c r="F12" s="5">
        <v>2</v>
      </c>
      <c r="G12" s="23">
        <v>75</v>
      </c>
      <c r="H12" s="33">
        <v>0</v>
      </c>
      <c r="I12" s="23">
        <v>20.577523404769373</v>
      </c>
      <c r="J12" s="5">
        <v>1311.7441981965794</v>
      </c>
      <c r="K12" s="31" t="e">
        <f t="shared" si="0"/>
        <v>#DIV/0!</v>
      </c>
      <c r="L12" s="23">
        <v>70912.67907824181</v>
      </c>
      <c r="M12" s="33">
        <v>4.0305446670008678</v>
      </c>
      <c r="N12" s="5">
        <v>2</v>
      </c>
      <c r="O12" s="5">
        <v>60</v>
      </c>
      <c r="P12" s="33">
        <v>0</v>
      </c>
      <c r="Q12" s="5">
        <v>15.993742630796506</v>
      </c>
      <c r="R12" s="5">
        <v>1155.0901862620888</v>
      </c>
      <c r="S12" s="42"/>
      <c r="T12" s="23">
        <v>70215.835960381432</v>
      </c>
      <c r="U12" s="33">
        <v>3.730507292000766</v>
      </c>
      <c r="V12" s="5">
        <v>2</v>
      </c>
      <c r="W12" s="5">
        <v>75</v>
      </c>
      <c r="X12" s="33">
        <v>35.286626130565615</v>
      </c>
      <c r="Y12" s="5">
        <v>44.901229923012956</v>
      </c>
      <c r="Z12" s="5">
        <v>2220.0166875407817</v>
      </c>
      <c r="AA12" s="42"/>
    </row>
    <row r="13" spans="2:27" x14ac:dyDescent="0.2">
      <c r="B13" s="4">
        <v>10</v>
      </c>
      <c r="C13" s="4">
        <v>445</v>
      </c>
      <c r="D13" s="23">
        <v>60912.600004953623</v>
      </c>
      <c r="E13" s="33">
        <v>4.3137152919989603</v>
      </c>
      <c r="F13" s="5">
        <v>2</v>
      </c>
      <c r="G13" s="23">
        <v>75</v>
      </c>
      <c r="H13" s="33">
        <v>0</v>
      </c>
      <c r="I13" s="23">
        <v>20.577523404769373</v>
      </c>
      <c r="J13" s="5">
        <v>1311.7441981965794</v>
      </c>
      <c r="K13" s="31" t="e">
        <f t="shared" si="0"/>
        <v>#DIV/0!</v>
      </c>
      <c r="L13" s="23">
        <v>70912.67907824181</v>
      </c>
      <c r="M13" s="33">
        <v>4.1184028749994468</v>
      </c>
      <c r="N13" s="5">
        <v>2</v>
      </c>
      <c r="O13" s="5">
        <v>60</v>
      </c>
      <c r="P13" s="33">
        <v>0</v>
      </c>
      <c r="Q13" s="5">
        <v>15.993742630796506</v>
      </c>
      <c r="R13" s="5">
        <v>1155.0901862620888</v>
      </c>
      <c r="S13" s="42"/>
      <c r="T13" s="23">
        <v>70215.835960381432</v>
      </c>
      <c r="U13" s="33">
        <v>3.721943083000951</v>
      </c>
      <c r="V13" s="5">
        <v>2</v>
      </c>
      <c r="W13" s="5">
        <v>75</v>
      </c>
      <c r="X13" s="33">
        <v>35.286626130565615</v>
      </c>
      <c r="Y13" s="5">
        <v>44.901229923012956</v>
      </c>
      <c r="Z13" s="5">
        <v>2220.0166875407817</v>
      </c>
      <c r="AA13" s="42"/>
    </row>
    <row r="14" spans="2:27" x14ac:dyDescent="0.2">
      <c r="B14" s="46" t="s">
        <v>3</v>
      </c>
      <c r="C14" s="47"/>
      <c r="D14" s="9">
        <f>MIN(D4:D13)</f>
        <v>60912.600004953623</v>
      </c>
      <c r="E14" s="22">
        <f>INDEX(E4:E13, MATCH($D$14, D4:D13, 0))</f>
        <v>3.9280678750001239</v>
      </c>
      <c r="F14" s="9">
        <f>INDEX(F4:F13, MATCH($D$14, D4:D13, 0))</f>
        <v>2</v>
      </c>
      <c r="G14" s="9">
        <f>INDEX(G4:G13, MATCH($D$14, D4:D13, 0))</f>
        <v>75</v>
      </c>
      <c r="H14" s="22">
        <f>INDEX(H4:H13, MATCH($D$14, D4:D13, 0))</f>
        <v>0</v>
      </c>
      <c r="I14" s="22">
        <f>INDEX(I4:I13, MATCH($D$14, D4:D13, 0))</f>
        <v>20.577523404769373</v>
      </c>
      <c r="J14" s="22">
        <f>INDEX(J4:J13, MATCH($D$14, D4:D13, 0))</f>
        <v>1311.7441981965794</v>
      </c>
      <c r="K14" s="32" t="e">
        <f>(D14-$D$15)/$D$15</f>
        <v>#DIV/0!</v>
      </c>
      <c r="L14" s="16">
        <f>MIN(L4:L13)</f>
        <v>70912.67907824181</v>
      </c>
      <c r="M14" s="21">
        <f>INDEX(M4:M13, MATCH($L$14, L4:L13, 0))</f>
        <v>4.0963792090005882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15.993742630796506</v>
      </c>
      <c r="R14" s="21">
        <f>INDEX(R4:R13, MATCH($L$14, L4:L13, 0))</f>
        <v>1155.0901862620888</v>
      </c>
      <c r="S14" s="43" t="e">
        <f>(L14-$D$15)/$D$15</f>
        <v>#DIV/0!</v>
      </c>
      <c r="T14" s="38">
        <f>MIN(T4:T13)</f>
        <v>70215.835960381432</v>
      </c>
      <c r="U14" s="44">
        <f>INDEX(U4:U13, MATCH($T$14, T4:T13, 0))</f>
        <v>4.1156608750006853</v>
      </c>
      <c r="V14" s="38">
        <f>INDEX(V4:V13, MATCH($T$14, T4:T13, 0))</f>
        <v>2</v>
      </c>
      <c r="W14" s="38">
        <f>INDEX(W4:W13, MATCH($T$14, T4:T13, 0))</f>
        <v>75</v>
      </c>
      <c r="X14" s="44">
        <f>INDEX(X4:X13, MATCH($T$14, T4:T13, 0))</f>
        <v>35.286626130565615</v>
      </c>
      <c r="Y14" s="44">
        <f>INDEX(Y4:Y13, MATCH($T$14, T4:T13, 0))</f>
        <v>44.901229923012956</v>
      </c>
      <c r="Z14" s="44">
        <f>INDEX(Z4:Z13, MATCH($T$14, T4:T13, 0))</f>
        <v>2220.0166875407817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63" priority="1"/>
    <cfRule type="duplicateValues" dxfId="62" priority="2"/>
  </conditionalFormatting>
  <conditionalFormatting sqref="C15:C1048576 C1:C13">
    <cfRule type="duplicateValues" dxfId="61" priority="3"/>
    <cfRule type="duplicateValues" dxfId="60" priority="4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2A7EE-5891-DA49-94C9-614256D6267B}">
  <dimension ref="B1:AA17"/>
  <sheetViews>
    <sheetView topLeftCell="E1" zoomScale="118" zoomScaleNormal="120" workbookViewId="0">
      <selection activeCell="E15" sqref="A15:XFD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-0.1359837944690479</v>
      </c>
      <c r="T2" s="1" t="s">
        <v>19</v>
      </c>
      <c r="X2" s="1" t="e">
        <f>(X14-P14)/P14</f>
        <v>#DIV/0!</v>
      </c>
      <c r="Z2" s="1">
        <f>(Z14-R14)/R14</f>
        <v>0.53214163268933534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66</v>
      </c>
      <c r="D4" s="23">
        <v>59867.515672296598</v>
      </c>
      <c r="E4" s="33">
        <v>3.466120666000279</v>
      </c>
      <c r="F4" s="5">
        <v>2</v>
      </c>
      <c r="G4" s="23">
        <v>75</v>
      </c>
      <c r="H4" s="33">
        <v>0</v>
      </c>
      <c r="I4" s="23">
        <v>23.562470568847523</v>
      </c>
      <c r="J4" s="5">
        <v>1246.7799146577815</v>
      </c>
      <c r="K4" s="31" t="e">
        <f>(D4-$D$15)/$D$15</f>
        <v>#DIV/0!</v>
      </c>
      <c r="L4" s="23">
        <v>69832.72249080347</v>
      </c>
      <c r="M4" s="33">
        <v>4.096723208000185</v>
      </c>
      <c r="N4" s="5">
        <v>2</v>
      </c>
      <c r="O4" s="5">
        <v>60</v>
      </c>
      <c r="P4" s="33">
        <v>0</v>
      </c>
      <c r="Q4" s="5">
        <v>16.821207206017249</v>
      </c>
      <c r="R4" s="5">
        <v>1077.2380509948207</v>
      </c>
      <c r="S4" s="42"/>
      <c r="T4" s="23">
        <v>64120.815489137691</v>
      </c>
      <c r="U4" s="33">
        <v>3.853210625000429</v>
      </c>
      <c r="V4" s="5">
        <v>2</v>
      </c>
      <c r="W4" s="5">
        <v>70</v>
      </c>
      <c r="X4" s="33">
        <v>0</v>
      </c>
      <c r="Y4" s="5">
        <v>48.943023642632909</v>
      </c>
      <c r="Z4" s="5">
        <v>1650.4812662462821</v>
      </c>
      <c r="AA4" s="42"/>
    </row>
    <row r="5" spans="2:27" x14ac:dyDescent="0.2">
      <c r="B5" s="4">
        <v>2</v>
      </c>
      <c r="C5" s="4">
        <v>248</v>
      </c>
      <c r="D5" s="23">
        <v>59867.515672296598</v>
      </c>
      <c r="E5" s="33">
        <v>3.4807956659988122</v>
      </c>
      <c r="F5" s="5">
        <v>2</v>
      </c>
      <c r="G5" s="23">
        <v>75</v>
      </c>
      <c r="H5" s="33">
        <v>0</v>
      </c>
      <c r="I5" s="23">
        <v>23.562470568847523</v>
      </c>
      <c r="J5" s="5">
        <v>1246.7799146577815</v>
      </c>
      <c r="K5" s="31" t="e">
        <f>(D5-$D$15)/$D$15</f>
        <v>#DIV/0!</v>
      </c>
      <c r="L5" s="23">
        <v>69832.72249080347</v>
      </c>
      <c r="M5" s="33">
        <v>4.106015583000044</v>
      </c>
      <c r="N5" s="5">
        <v>2</v>
      </c>
      <c r="O5" s="5">
        <v>60</v>
      </c>
      <c r="P5" s="33">
        <v>0</v>
      </c>
      <c r="Q5" s="5">
        <v>16.821207206017249</v>
      </c>
      <c r="R5" s="5">
        <v>1077.2380509948207</v>
      </c>
      <c r="S5" s="42"/>
      <c r="T5" s="23">
        <v>64120.815489137691</v>
      </c>
      <c r="U5" s="33">
        <v>3.7468901669999468</v>
      </c>
      <c r="V5" s="5">
        <v>2</v>
      </c>
      <c r="W5" s="5">
        <v>70</v>
      </c>
      <c r="X5" s="33">
        <v>0</v>
      </c>
      <c r="Y5" s="5">
        <v>48.943023642632909</v>
      </c>
      <c r="Z5" s="5">
        <v>1650.4812662462821</v>
      </c>
      <c r="AA5" s="42"/>
    </row>
    <row r="6" spans="2:27" x14ac:dyDescent="0.2">
      <c r="B6" s="4">
        <v>3</v>
      </c>
      <c r="C6" s="4">
        <v>671</v>
      </c>
      <c r="D6" s="23">
        <v>65181.166460015178</v>
      </c>
      <c r="E6" s="33">
        <v>3.103786292000223</v>
      </c>
      <c r="F6" s="5">
        <v>2</v>
      </c>
      <c r="G6" s="23">
        <v>65</v>
      </c>
      <c r="H6" s="33">
        <v>0</v>
      </c>
      <c r="I6" s="23">
        <v>22.430158968216162</v>
      </c>
      <c r="J6" s="5">
        <v>1100.205825848542</v>
      </c>
      <c r="K6" s="31" t="e">
        <f t="shared" ref="K6:K13" si="0">(D6-$D$15)/$D$15</f>
        <v>#DIV/0!</v>
      </c>
      <c r="L6" s="23">
        <v>79813.600134884036</v>
      </c>
      <c r="M6" s="33">
        <v>3.4901572500002662</v>
      </c>
      <c r="N6" s="5">
        <v>2</v>
      </c>
      <c r="O6" s="5">
        <v>45</v>
      </c>
      <c r="P6" s="33">
        <v>0</v>
      </c>
      <c r="Q6" s="5">
        <v>14.375319985526643</v>
      </c>
      <c r="R6" s="5">
        <v>862.53329177682713</v>
      </c>
      <c r="S6" s="42"/>
      <c r="T6" s="23">
        <v>68963.01387898589</v>
      </c>
      <c r="U6" s="33">
        <v>3.4687265419997861</v>
      </c>
      <c r="V6" s="5">
        <v>2</v>
      </c>
      <c r="W6" s="5">
        <v>60</v>
      </c>
      <c r="X6" s="33">
        <v>0</v>
      </c>
      <c r="Y6" s="5">
        <v>47.350693231465669</v>
      </c>
      <c r="Z6" s="5">
        <v>1495.2336268871452</v>
      </c>
      <c r="AA6" s="42"/>
    </row>
    <row r="7" spans="2:27" x14ac:dyDescent="0.2">
      <c r="B7" s="4">
        <v>4</v>
      </c>
      <c r="C7" s="4">
        <v>743</v>
      </c>
      <c r="D7" s="23">
        <v>59867.515672296598</v>
      </c>
      <c r="E7" s="33">
        <v>3.5380317500002998</v>
      </c>
      <c r="F7" s="5">
        <v>2</v>
      </c>
      <c r="G7" s="23">
        <v>75</v>
      </c>
      <c r="H7" s="33">
        <v>0</v>
      </c>
      <c r="I7" s="23">
        <v>23.562470568847523</v>
      </c>
      <c r="J7" s="5">
        <v>1246.7799146577815</v>
      </c>
      <c r="K7" s="31" t="e">
        <f t="shared" si="0"/>
        <v>#DIV/0!</v>
      </c>
      <c r="L7" s="23">
        <v>69832.72249080347</v>
      </c>
      <c r="M7" s="33">
        <v>4.0993894160001219</v>
      </c>
      <c r="N7" s="5">
        <v>2</v>
      </c>
      <c r="O7" s="5">
        <v>60</v>
      </c>
      <c r="P7" s="33">
        <v>0</v>
      </c>
      <c r="Q7" s="5">
        <v>16.821207206017249</v>
      </c>
      <c r="R7" s="5">
        <v>1077.2380509948207</v>
      </c>
      <c r="S7" s="42"/>
      <c r="T7" s="23">
        <v>64120.815489137691</v>
      </c>
      <c r="U7" s="33">
        <v>3.8536764159998711</v>
      </c>
      <c r="V7" s="5">
        <v>2</v>
      </c>
      <c r="W7" s="5">
        <v>70</v>
      </c>
      <c r="X7" s="33">
        <v>0</v>
      </c>
      <c r="Y7" s="5">
        <v>48.943023642632909</v>
      </c>
      <c r="Z7" s="5">
        <v>1650.4812662462821</v>
      </c>
      <c r="AA7" s="42"/>
    </row>
    <row r="8" spans="2:27" x14ac:dyDescent="0.2">
      <c r="B8" s="4">
        <v>5</v>
      </c>
      <c r="C8" s="4">
        <v>495</v>
      </c>
      <c r="D8" s="23">
        <v>59867.515672296598</v>
      </c>
      <c r="E8" s="33">
        <v>3.5698784169999271</v>
      </c>
      <c r="F8" s="5">
        <v>2</v>
      </c>
      <c r="G8" s="23">
        <v>75</v>
      </c>
      <c r="H8" s="33">
        <v>0</v>
      </c>
      <c r="I8" s="23">
        <v>23.562470568847523</v>
      </c>
      <c r="J8" s="5">
        <v>1246.7799146577815</v>
      </c>
      <c r="K8" s="31" t="e">
        <f t="shared" si="0"/>
        <v>#DIV/0!</v>
      </c>
      <c r="L8" s="23">
        <v>69832.72249080347</v>
      </c>
      <c r="M8" s="33">
        <v>4.1578714589995798</v>
      </c>
      <c r="N8" s="5">
        <v>2</v>
      </c>
      <c r="O8" s="5">
        <v>60</v>
      </c>
      <c r="P8" s="33">
        <v>0</v>
      </c>
      <c r="Q8" s="5">
        <v>16.821207206017249</v>
      </c>
      <c r="R8" s="5">
        <v>1077.2380509948207</v>
      </c>
      <c r="S8" s="42"/>
      <c r="T8" s="23">
        <v>64120.815489137691</v>
      </c>
      <c r="U8" s="33">
        <v>3.8210859999999229</v>
      </c>
      <c r="V8" s="5">
        <v>2</v>
      </c>
      <c r="W8" s="5">
        <v>70</v>
      </c>
      <c r="X8" s="33">
        <v>0</v>
      </c>
      <c r="Y8" s="5">
        <v>48.943023642632909</v>
      </c>
      <c r="Z8" s="5">
        <v>1650.4812662462821</v>
      </c>
      <c r="AA8" s="42"/>
    </row>
    <row r="9" spans="2:27" x14ac:dyDescent="0.2">
      <c r="B9" s="4">
        <v>6</v>
      </c>
      <c r="C9" s="4">
        <v>523</v>
      </c>
      <c r="D9" s="23">
        <v>59867.515672296598</v>
      </c>
      <c r="E9" s="33">
        <v>3.5187191670011089</v>
      </c>
      <c r="F9" s="5">
        <v>2</v>
      </c>
      <c r="G9" s="23">
        <v>75</v>
      </c>
      <c r="H9" s="33">
        <v>0</v>
      </c>
      <c r="I9" s="23">
        <v>23.562470568847523</v>
      </c>
      <c r="J9" s="5">
        <v>1246.7799146577815</v>
      </c>
      <c r="K9" s="31" t="e">
        <f t="shared" si="0"/>
        <v>#DIV/0!</v>
      </c>
      <c r="L9" s="23">
        <v>69832.72249080347</v>
      </c>
      <c r="M9" s="33">
        <v>4.1456737499993324</v>
      </c>
      <c r="N9" s="5">
        <v>2</v>
      </c>
      <c r="O9" s="5">
        <v>60</v>
      </c>
      <c r="P9" s="33">
        <v>0</v>
      </c>
      <c r="Q9" s="5">
        <v>16.821207206017249</v>
      </c>
      <c r="R9" s="5">
        <v>1077.2380509948207</v>
      </c>
      <c r="S9" s="42"/>
      <c r="T9" s="23">
        <v>64120.815489137691</v>
      </c>
      <c r="U9" s="33">
        <v>3.8404019999998131</v>
      </c>
      <c r="V9" s="5">
        <v>2</v>
      </c>
      <c r="W9" s="5">
        <v>70</v>
      </c>
      <c r="X9" s="33">
        <v>0</v>
      </c>
      <c r="Y9" s="5">
        <v>48.943023642632909</v>
      </c>
      <c r="Z9" s="5">
        <v>1650.4812662462821</v>
      </c>
      <c r="AA9" s="42"/>
    </row>
    <row r="10" spans="2:27" x14ac:dyDescent="0.2">
      <c r="B10" s="4">
        <v>7</v>
      </c>
      <c r="C10" s="4">
        <v>532</v>
      </c>
      <c r="D10" s="23">
        <v>65181.166460015178</v>
      </c>
      <c r="E10" s="33">
        <v>3.1969090829989</v>
      </c>
      <c r="F10" s="5">
        <v>2</v>
      </c>
      <c r="G10" s="23">
        <v>65</v>
      </c>
      <c r="H10" s="33">
        <v>0</v>
      </c>
      <c r="I10" s="23">
        <v>22.430158968216162</v>
      </c>
      <c r="J10" s="5">
        <v>1100.205825848542</v>
      </c>
      <c r="K10" s="31" t="e">
        <f t="shared" si="0"/>
        <v>#DIV/0!</v>
      </c>
      <c r="L10" s="23">
        <v>79813.600134884036</v>
      </c>
      <c r="M10" s="33">
        <v>3.4856424169993261</v>
      </c>
      <c r="N10" s="5">
        <v>2</v>
      </c>
      <c r="O10" s="5">
        <v>45</v>
      </c>
      <c r="P10" s="33">
        <v>0</v>
      </c>
      <c r="Q10" s="5">
        <v>14.375319985526643</v>
      </c>
      <c r="R10" s="5">
        <v>862.53329177682713</v>
      </c>
      <c r="S10" s="42"/>
      <c r="T10" s="23">
        <v>68963.01387898589</v>
      </c>
      <c r="U10" s="33">
        <v>3.4439177089989239</v>
      </c>
      <c r="V10" s="5">
        <v>2</v>
      </c>
      <c r="W10" s="5">
        <v>60</v>
      </c>
      <c r="X10" s="33">
        <v>0</v>
      </c>
      <c r="Y10" s="5">
        <v>47.350693231465669</v>
      </c>
      <c r="Z10" s="5">
        <v>1495.2336268871452</v>
      </c>
      <c r="AA10" s="42"/>
    </row>
    <row r="11" spans="2:27" x14ac:dyDescent="0.2">
      <c r="B11" s="4">
        <v>8</v>
      </c>
      <c r="C11" s="4">
        <v>765</v>
      </c>
      <c r="D11" s="23">
        <v>59867.515672296598</v>
      </c>
      <c r="E11" s="33">
        <v>3.3738171659988438</v>
      </c>
      <c r="F11" s="5">
        <v>2</v>
      </c>
      <c r="G11" s="23">
        <v>75</v>
      </c>
      <c r="H11" s="33">
        <v>0</v>
      </c>
      <c r="I11" s="23">
        <v>23.562470568847523</v>
      </c>
      <c r="J11" s="5">
        <v>1246.7799146577815</v>
      </c>
      <c r="K11" s="31" t="e">
        <f t="shared" si="0"/>
        <v>#DIV/0!</v>
      </c>
      <c r="L11" s="23">
        <v>69832.72249080347</v>
      </c>
      <c r="M11" s="33">
        <v>4.1109125410002889</v>
      </c>
      <c r="N11" s="5">
        <v>2</v>
      </c>
      <c r="O11" s="5">
        <v>60</v>
      </c>
      <c r="P11" s="33">
        <v>0</v>
      </c>
      <c r="Q11" s="5">
        <v>16.821207206017249</v>
      </c>
      <c r="R11" s="5">
        <v>1077.2380509948207</v>
      </c>
      <c r="S11" s="42"/>
      <c r="T11" s="23">
        <v>64120.815489137691</v>
      </c>
      <c r="U11" s="33">
        <v>3.8306277090014191</v>
      </c>
      <c r="V11" s="5">
        <v>2</v>
      </c>
      <c r="W11" s="5">
        <v>70</v>
      </c>
      <c r="X11" s="33">
        <v>0</v>
      </c>
      <c r="Y11" s="5">
        <v>48.943023642632909</v>
      </c>
      <c r="Z11" s="5">
        <v>1650.4812662462821</v>
      </c>
      <c r="AA11" s="42"/>
    </row>
    <row r="12" spans="2:27" x14ac:dyDescent="0.2">
      <c r="B12" s="4">
        <v>9</v>
      </c>
      <c r="C12" s="4">
        <v>872</v>
      </c>
      <c r="D12" s="23">
        <v>59867.515672296598</v>
      </c>
      <c r="E12" s="33">
        <v>3.5258153750000929</v>
      </c>
      <c r="F12" s="5">
        <v>2</v>
      </c>
      <c r="G12" s="23">
        <v>75</v>
      </c>
      <c r="H12" s="33">
        <v>0</v>
      </c>
      <c r="I12" s="23">
        <v>23.562470568847523</v>
      </c>
      <c r="J12" s="5">
        <v>1246.7799146577815</v>
      </c>
      <c r="K12" s="31" t="e">
        <f t="shared" si="0"/>
        <v>#DIV/0!</v>
      </c>
      <c r="L12" s="23">
        <v>69832.72249080347</v>
      </c>
      <c r="M12" s="33">
        <v>4.1247674580008606</v>
      </c>
      <c r="N12" s="5">
        <v>2</v>
      </c>
      <c r="O12" s="5">
        <v>60</v>
      </c>
      <c r="P12" s="33">
        <v>0</v>
      </c>
      <c r="Q12" s="5">
        <v>16.821207206017249</v>
      </c>
      <c r="R12" s="5">
        <v>1077.2380509948207</v>
      </c>
      <c r="S12" s="42"/>
      <c r="T12" s="23">
        <v>64120.815489137691</v>
      </c>
      <c r="U12" s="33">
        <v>3.817532167000536</v>
      </c>
      <c r="V12" s="5">
        <v>2</v>
      </c>
      <c r="W12" s="5">
        <v>70</v>
      </c>
      <c r="X12" s="33">
        <v>0</v>
      </c>
      <c r="Y12" s="5">
        <v>48.943023642632909</v>
      </c>
      <c r="Z12" s="5">
        <v>1650.4812662462821</v>
      </c>
      <c r="AA12" s="42"/>
    </row>
    <row r="13" spans="2:27" x14ac:dyDescent="0.2">
      <c r="B13" s="4">
        <v>10</v>
      </c>
      <c r="C13" s="4">
        <v>180</v>
      </c>
      <c r="D13" s="23">
        <v>59867.515672296598</v>
      </c>
      <c r="E13" s="33">
        <v>3.348415624999689</v>
      </c>
      <c r="F13" s="5">
        <v>2</v>
      </c>
      <c r="G13" s="23">
        <v>75</v>
      </c>
      <c r="H13" s="33">
        <v>0</v>
      </c>
      <c r="I13" s="23">
        <v>23.562470568847523</v>
      </c>
      <c r="J13" s="5">
        <v>1246.7799146577815</v>
      </c>
      <c r="K13" s="31" t="e">
        <f t="shared" si="0"/>
        <v>#DIV/0!</v>
      </c>
      <c r="L13" s="23">
        <v>69832.72249080347</v>
      </c>
      <c r="M13" s="33">
        <v>4.1478491660000154</v>
      </c>
      <c r="N13" s="5">
        <v>2</v>
      </c>
      <c r="O13" s="5">
        <v>60</v>
      </c>
      <c r="P13" s="33">
        <v>0</v>
      </c>
      <c r="Q13" s="5">
        <v>16.821207206017249</v>
      </c>
      <c r="R13" s="5">
        <v>1077.2380509948207</v>
      </c>
      <c r="S13" s="42"/>
      <c r="T13" s="23">
        <v>64120.815489137691</v>
      </c>
      <c r="U13" s="33">
        <v>3.794039209000402</v>
      </c>
      <c r="V13" s="5">
        <v>2</v>
      </c>
      <c r="W13" s="5">
        <v>70</v>
      </c>
      <c r="X13" s="33">
        <v>0</v>
      </c>
      <c r="Y13" s="5">
        <v>48.943023642632909</v>
      </c>
      <c r="Z13" s="5">
        <v>1650.4812662462821</v>
      </c>
      <c r="AA13" s="42"/>
    </row>
    <row r="14" spans="2:27" x14ac:dyDescent="0.2">
      <c r="B14" s="46" t="s">
        <v>3</v>
      </c>
      <c r="C14" s="47"/>
      <c r="D14" s="9">
        <f>MIN(D4:D13)</f>
        <v>59867.515672296598</v>
      </c>
      <c r="E14" s="22">
        <f>INDEX(E4:E13, MATCH($D$14, D4:D13, 0))</f>
        <v>3.466120666000279</v>
      </c>
      <c r="F14" s="9">
        <f>INDEX(F4:F13, MATCH($D$14, D4:D13, 0))</f>
        <v>2</v>
      </c>
      <c r="G14" s="9">
        <f>INDEX(G4:G13, MATCH($D$14, D4:D13, 0))</f>
        <v>75</v>
      </c>
      <c r="H14" s="22">
        <f>INDEX(H4:H13, MATCH($D$14, D4:D13, 0))</f>
        <v>0</v>
      </c>
      <c r="I14" s="22">
        <f>INDEX(I4:I13, MATCH($D$14, D4:D13, 0))</f>
        <v>23.562470568847523</v>
      </c>
      <c r="J14" s="22">
        <f>INDEX(J4:J13, MATCH($D$14, D4:D13, 0))</f>
        <v>1246.7799146577815</v>
      </c>
      <c r="K14" s="32" t="e">
        <f>(D14-$D$15)/$D$15</f>
        <v>#DIV/0!</v>
      </c>
      <c r="L14" s="16">
        <f>MIN(L4:L13)</f>
        <v>69832.72249080347</v>
      </c>
      <c r="M14" s="21">
        <f>INDEX(M4:M13, MATCH($L$14, L4:L13, 0))</f>
        <v>4.096723208000185</v>
      </c>
      <c r="N14" s="16">
        <f>INDEX(N4:N13, MATCH($L$14, L4:L13, 0))</f>
        <v>2</v>
      </c>
      <c r="O14" s="16">
        <f>INDEX(O4:O13, MATCH($L$14, L4:L13, 0))</f>
        <v>60</v>
      </c>
      <c r="P14" s="21">
        <f>INDEX(P4:P13, MATCH($L$14, L4:L13, 0))</f>
        <v>0</v>
      </c>
      <c r="Q14" s="21">
        <f>INDEX(Q4:Q13, MATCH($L$14, L4:L13, 0))</f>
        <v>16.821207206017249</v>
      </c>
      <c r="R14" s="21">
        <f>INDEX(R4:R13, MATCH($L$14, L4:L13, 0))</f>
        <v>1077.2380509948207</v>
      </c>
      <c r="S14" s="43" t="e">
        <f>(L14-$D$15)/$D$15</f>
        <v>#DIV/0!</v>
      </c>
      <c r="T14" s="38">
        <f>MIN(T4:T13)</f>
        <v>64120.815489137691</v>
      </c>
      <c r="U14" s="44">
        <f>INDEX(U4:U13, MATCH($T$14, T4:T13, 0))</f>
        <v>3.853210625000429</v>
      </c>
      <c r="V14" s="38">
        <f>INDEX(V4:V13, MATCH($T$14, T4:T13, 0))</f>
        <v>2</v>
      </c>
      <c r="W14" s="38">
        <f>INDEX(W4:W13, MATCH($T$14, T4:T13, 0))</f>
        <v>70</v>
      </c>
      <c r="X14" s="44">
        <f>INDEX(X4:X13, MATCH($T$14, T4:T13, 0))</f>
        <v>0</v>
      </c>
      <c r="Y14" s="44">
        <f>INDEX(Y4:Y13, MATCH($T$14, T4:T13, 0))</f>
        <v>48.943023642632909</v>
      </c>
      <c r="Z14" s="44">
        <f>INDEX(Z4:Z13, MATCH($T$14, T4:T13, 0))</f>
        <v>1650.4812662462821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59" priority="1"/>
    <cfRule type="duplicateValues" dxfId="58" priority="2"/>
  </conditionalFormatting>
  <conditionalFormatting sqref="C15:C1048576 C1:C13">
    <cfRule type="duplicateValues" dxfId="57" priority="3"/>
    <cfRule type="duplicateValues" dxfId="56" priority="4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701E-F575-674C-8F87-73A21279858B}">
  <dimension ref="B1:AA17"/>
  <sheetViews>
    <sheetView topLeftCell="J1" zoomScale="118" zoomScaleNormal="120" workbookViewId="0">
      <selection activeCell="J15" sqref="A15:XFD3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-6.9458893002527873E-3</v>
      </c>
      <c r="T2" s="1" t="s">
        <v>19</v>
      </c>
      <c r="X2" s="1" t="e">
        <f>(X14-P14)/P14</f>
        <v>#DIV/0!</v>
      </c>
      <c r="Z2" s="1">
        <f>(Z14-R14)/R14</f>
        <v>0.10573798789956594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499</v>
      </c>
      <c r="D4" s="23">
        <v>68868.623064251209</v>
      </c>
      <c r="E4" s="33">
        <v>4.0122715830002562</v>
      </c>
      <c r="F4" s="5">
        <v>2</v>
      </c>
      <c r="G4" s="23">
        <v>70</v>
      </c>
      <c r="H4" s="33">
        <v>0</v>
      </c>
      <c r="I4" s="23">
        <v>15.560215097153289</v>
      </c>
      <c r="J4" s="5">
        <v>1482.4543960877656</v>
      </c>
      <c r="K4" s="31" t="e">
        <f>(D4-$D$15)/$D$15</f>
        <v>#DIV/0!</v>
      </c>
      <c r="L4" s="23">
        <v>75362.905317244309</v>
      </c>
      <c r="M4" s="33">
        <v>3.6079561249989638</v>
      </c>
      <c r="N4" s="5">
        <v>2</v>
      </c>
      <c r="O4" s="5">
        <v>60</v>
      </c>
      <c r="P4" s="33">
        <v>0</v>
      </c>
      <c r="Q4" s="5">
        <v>12.558346503312872</v>
      </c>
      <c r="R4" s="5">
        <v>1371.1723794855727</v>
      </c>
      <c r="S4" s="42"/>
      <c r="T4" s="23">
        <v>80130.703609273245</v>
      </c>
      <c r="U4" s="33">
        <v>3.9981931250003981</v>
      </c>
      <c r="V4" s="5">
        <v>2</v>
      </c>
      <c r="W4" s="5">
        <v>55</v>
      </c>
      <c r="X4" s="33">
        <v>26.792804307904092</v>
      </c>
      <c r="Y4" s="5">
        <v>21.10811414251835</v>
      </c>
      <c r="Z4" s="5">
        <v>1627.8203966866954</v>
      </c>
      <c r="AA4" s="42"/>
    </row>
    <row r="5" spans="2:27" x14ac:dyDescent="0.2">
      <c r="B5" s="4">
        <v>2</v>
      </c>
      <c r="C5" s="4">
        <v>813</v>
      </c>
      <c r="D5" s="23">
        <v>68868.623064251209</v>
      </c>
      <c r="E5" s="33">
        <v>4.3879112909999094</v>
      </c>
      <c r="F5" s="5">
        <v>2</v>
      </c>
      <c r="G5" s="23">
        <v>70</v>
      </c>
      <c r="H5" s="33">
        <v>0</v>
      </c>
      <c r="I5" s="23">
        <v>15.560215097153289</v>
      </c>
      <c r="J5" s="5">
        <v>1482.4543960877656</v>
      </c>
      <c r="K5" s="31" t="e">
        <f>(D5-$D$15)/$D$15</f>
        <v>#DIV/0!</v>
      </c>
      <c r="L5" s="23">
        <v>75362.905317244309</v>
      </c>
      <c r="M5" s="33">
        <v>3.6241991250008141</v>
      </c>
      <c r="N5" s="5">
        <v>2</v>
      </c>
      <c r="O5" s="5">
        <v>60</v>
      </c>
      <c r="P5" s="33">
        <v>0</v>
      </c>
      <c r="Q5" s="5">
        <v>12.558346503312872</v>
      </c>
      <c r="R5" s="5">
        <v>1371.1723794855727</v>
      </c>
      <c r="S5" s="42"/>
      <c r="T5" s="23">
        <v>80130.703609273245</v>
      </c>
      <c r="U5" s="33">
        <v>3.9693512920002831</v>
      </c>
      <c r="V5" s="5">
        <v>2</v>
      </c>
      <c r="W5" s="5">
        <v>55</v>
      </c>
      <c r="X5" s="33">
        <v>26.792804307904092</v>
      </c>
      <c r="Y5" s="5">
        <v>21.10811414251835</v>
      </c>
      <c r="Z5" s="5">
        <v>1627.8203966866954</v>
      </c>
      <c r="AA5" s="42"/>
    </row>
    <row r="6" spans="2:27" x14ac:dyDescent="0.2">
      <c r="B6" s="4">
        <v>3</v>
      </c>
      <c r="C6" s="4">
        <v>102</v>
      </c>
      <c r="D6" s="23">
        <v>68868.623064251209</v>
      </c>
      <c r="E6" s="33">
        <v>4.378158125000482</v>
      </c>
      <c r="F6" s="5">
        <v>2</v>
      </c>
      <c r="G6" s="23">
        <v>70</v>
      </c>
      <c r="H6" s="33">
        <v>0</v>
      </c>
      <c r="I6" s="23">
        <v>15.560215097153289</v>
      </c>
      <c r="J6" s="5">
        <v>1482.4543960877656</v>
      </c>
      <c r="K6" s="31" t="e">
        <f t="shared" ref="K6:K13" si="0">(D6-$D$15)/$D$15</f>
        <v>#DIV/0!</v>
      </c>
      <c r="L6" s="23">
        <v>75362.905317244309</v>
      </c>
      <c r="M6" s="33">
        <v>3.6503580830012652</v>
      </c>
      <c r="N6" s="5">
        <v>2</v>
      </c>
      <c r="O6" s="5">
        <v>60</v>
      </c>
      <c r="P6" s="33">
        <v>0</v>
      </c>
      <c r="Q6" s="5">
        <v>12.558346503312872</v>
      </c>
      <c r="R6" s="5">
        <v>1371.1723794855727</v>
      </c>
      <c r="S6" s="42"/>
      <c r="T6" s="23">
        <v>80130.703609273245</v>
      </c>
      <c r="U6" s="33">
        <v>3.9712732499992849</v>
      </c>
      <c r="V6" s="5">
        <v>2</v>
      </c>
      <c r="W6" s="5">
        <v>55</v>
      </c>
      <c r="X6" s="33">
        <v>26.792804307904092</v>
      </c>
      <c r="Y6" s="5">
        <v>21.10811414251835</v>
      </c>
      <c r="Z6" s="5">
        <v>1627.8203966866954</v>
      </c>
      <c r="AA6" s="42"/>
    </row>
    <row r="7" spans="2:27" x14ac:dyDescent="0.2">
      <c r="B7" s="4">
        <v>4</v>
      </c>
      <c r="C7" s="4">
        <v>417</v>
      </c>
      <c r="D7" s="23">
        <v>70389.300083450275</v>
      </c>
      <c r="E7" s="33">
        <v>3.8556945830005129</v>
      </c>
      <c r="F7" s="5">
        <v>2</v>
      </c>
      <c r="G7" s="23">
        <v>70</v>
      </c>
      <c r="H7" s="33">
        <v>0</v>
      </c>
      <c r="I7" s="23">
        <v>14.32200714672932</v>
      </c>
      <c r="J7" s="5">
        <v>1595.3544811087525</v>
      </c>
      <c r="K7" s="31" t="e">
        <f t="shared" si="0"/>
        <v>#DIV/0!</v>
      </c>
      <c r="L7" s="23">
        <v>72468.840557568969</v>
      </c>
      <c r="M7" s="33">
        <v>3.723992582999927</v>
      </c>
      <c r="N7" s="5">
        <v>2</v>
      </c>
      <c r="O7" s="5">
        <v>65</v>
      </c>
      <c r="P7" s="33">
        <v>0</v>
      </c>
      <c r="Q7" s="5">
        <v>13.23385950685754</v>
      </c>
      <c r="R7" s="5">
        <v>1472.1574319598669</v>
      </c>
      <c r="S7" s="42"/>
      <c r="T7" s="23">
        <v>84736.001770138173</v>
      </c>
      <c r="U7" s="33">
        <v>3.9632969169997518</v>
      </c>
      <c r="V7" s="5">
        <v>2</v>
      </c>
      <c r="W7" s="5">
        <v>55</v>
      </c>
      <c r="X7" s="33">
        <v>63.56684671039995</v>
      </c>
      <c r="Y7" s="5">
        <v>23.800233839064283</v>
      </c>
      <c r="Z7" s="5">
        <v>2117.8849885725558</v>
      </c>
      <c r="AA7" s="42"/>
    </row>
    <row r="8" spans="2:27" x14ac:dyDescent="0.2">
      <c r="B8" s="4">
        <v>5</v>
      </c>
      <c r="C8" s="4">
        <v>934</v>
      </c>
      <c r="D8" s="23">
        <v>68868.623064251209</v>
      </c>
      <c r="E8" s="33">
        <v>4.3128560000004654</v>
      </c>
      <c r="F8" s="5">
        <v>2</v>
      </c>
      <c r="G8" s="23">
        <v>70</v>
      </c>
      <c r="H8" s="33">
        <v>0</v>
      </c>
      <c r="I8" s="23">
        <v>15.560215097153289</v>
      </c>
      <c r="J8" s="5">
        <v>1482.4543960877656</v>
      </c>
      <c r="K8" s="31" t="e">
        <f t="shared" si="0"/>
        <v>#DIV/0!</v>
      </c>
      <c r="L8" s="23">
        <v>75362.905317244309</v>
      </c>
      <c r="M8" s="33">
        <v>3.6577378750007479</v>
      </c>
      <c r="N8" s="5">
        <v>2</v>
      </c>
      <c r="O8" s="5">
        <v>60</v>
      </c>
      <c r="P8" s="33">
        <v>0</v>
      </c>
      <c r="Q8" s="5">
        <v>12.558346503312872</v>
      </c>
      <c r="R8" s="5">
        <v>1371.1723794855727</v>
      </c>
      <c r="S8" s="42"/>
      <c r="T8" s="23">
        <v>80130.703609273245</v>
      </c>
      <c r="U8" s="33">
        <v>4.0060358330010786</v>
      </c>
      <c r="V8" s="5">
        <v>2</v>
      </c>
      <c r="W8" s="5">
        <v>55</v>
      </c>
      <c r="X8" s="33">
        <v>26.792804307904092</v>
      </c>
      <c r="Y8" s="5">
        <v>21.10811414251835</v>
      </c>
      <c r="Z8" s="5">
        <v>1627.8203966866954</v>
      </c>
      <c r="AA8" s="42"/>
    </row>
    <row r="9" spans="2:27" x14ac:dyDescent="0.2">
      <c r="B9" s="4">
        <v>6</v>
      </c>
      <c r="C9" s="4">
        <v>992</v>
      </c>
      <c r="D9" s="23">
        <v>68868.623064251209</v>
      </c>
      <c r="E9" s="33">
        <v>4.0413754999990488</v>
      </c>
      <c r="F9" s="5">
        <v>2</v>
      </c>
      <c r="G9" s="23">
        <v>70</v>
      </c>
      <c r="H9" s="33">
        <v>0</v>
      </c>
      <c r="I9" s="23">
        <v>15.560215097153289</v>
      </c>
      <c r="J9" s="5">
        <v>1482.4543960877656</v>
      </c>
      <c r="K9" s="31" t="e">
        <f t="shared" si="0"/>
        <v>#DIV/0!</v>
      </c>
      <c r="L9" s="23">
        <v>75362.905317244309</v>
      </c>
      <c r="M9" s="33">
        <v>3.629841833000683</v>
      </c>
      <c r="N9" s="5">
        <v>2</v>
      </c>
      <c r="O9" s="5">
        <v>60</v>
      </c>
      <c r="P9" s="33">
        <v>0</v>
      </c>
      <c r="Q9" s="5">
        <v>12.558346503312872</v>
      </c>
      <c r="R9" s="5">
        <v>1371.1723794855727</v>
      </c>
      <c r="S9" s="42"/>
      <c r="T9" s="23">
        <v>80130.703609273245</v>
      </c>
      <c r="U9" s="33">
        <v>3.964497082999515</v>
      </c>
      <c r="V9" s="5">
        <v>2</v>
      </c>
      <c r="W9" s="5">
        <v>55</v>
      </c>
      <c r="X9" s="33">
        <v>26.792804307904092</v>
      </c>
      <c r="Y9" s="5">
        <v>21.10811414251835</v>
      </c>
      <c r="Z9" s="5">
        <v>1627.8203966866954</v>
      </c>
      <c r="AA9" s="42"/>
    </row>
    <row r="10" spans="2:27" x14ac:dyDescent="0.2">
      <c r="B10" s="4">
        <v>7</v>
      </c>
      <c r="C10" s="4">
        <v>730</v>
      </c>
      <c r="D10" s="23">
        <v>70389.300083450275</v>
      </c>
      <c r="E10" s="33">
        <v>3.5054560839998889</v>
      </c>
      <c r="F10" s="5">
        <v>2</v>
      </c>
      <c r="G10" s="23">
        <v>70</v>
      </c>
      <c r="H10" s="33">
        <v>0</v>
      </c>
      <c r="I10" s="23">
        <v>14.32200714672932</v>
      </c>
      <c r="J10" s="5">
        <v>1595.3544811087525</v>
      </c>
      <c r="K10" s="31" t="e">
        <f t="shared" si="0"/>
        <v>#DIV/0!</v>
      </c>
      <c r="L10" s="23">
        <v>72468.840557568969</v>
      </c>
      <c r="M10" s="33">
        <v>3.3835004579996171</v>
      </c>
      <c r="N10" s="5">
        <v>2</v>
      </c>
      <c r="O10" s="5">
        <v>65</v>
      </c>
      <c r="P10" s="33">
        <v>0</v>
      </c>
      <c r="Q10" s="5">
        <v>13.23385950685754</v>
      </c>
      <c r="R10" s="5">
        <v>1472.1574319598669</v>
      </c>
      <c r="S10" s="42"/>
      <c r="T10" s="23">
        <v>84736.001770138173</v>
      </c>
      <c r="U10" s="33">
        <v>3.9409623749997991</v>
      </c>
      <c r="V10" s="5">
        <v>2</v>
      </c>
      <c r="W10" s="5">
        <v>55</v>
      </c>
      <c r="X10" s="33">
        <v>63.56684671039995</v>
      </c>
      <c r="Y10" s="5">
        <v>23.800233839064283</v>
      </c>
      <c r="Z10" s="5">
        <v>2117.8849885725558</v>
      </c>
      <c r="AA10" s="42"/>
    </row>
    <row r="11" spans="2:27" x14ac:dyDescent="0.2">
      <c r="B11" s="4">
        <v>8</v>
      </c>
      <c r="C11" s="4">
        <v>277</v>
      </c>
      <c r="D11" s="23">
        <v>68868.623064251209</v>
      </c>
      <c r="E11" s="33">
        <v>4.3008381250001548</v>
      </c>
      <c r="F11" s="5">
        <v>2</v>
      </c>
      <c r="G11" s="23">
        <v>70</v>
      </c>
      <c r="H11" s="33">
        <v>0</v>
      </c>
      <c r="I11" s="23">
        <v>15.560215097153289</v>
      </c>
      <c r="J11" s="5">
        <v>1482.4543960877656</v>
      </c>
      <c r="K11" s="31" t="e">
        <f t="shared" si="0"/>
        <v>#DIV/0!</v>
      </c>
      <c r="L11" s="23">
        <v>77034.747496583717</v>
      </c>
      <c r="M11" s="33">
        <v>3.8020557500003629</v>
      </c>
      <c r="N11" s="5">
        <v>2</v>
      </c>
      <c r="O11" s="5">
        <v>55</v>
      </c>
      <c r="P11" s="33">
        <v>0</v>
      </c>
      <c r="Q11" s="5">
        <v>12.093408791924858</v>
      </c>
      <c r="R11" s="5">
        <v>1272.9864935041333</v>
      </c>
      <c r="S11" s="42"/>
      <c r="T11" s="23">
        <v>80130.703609273245</v>
      </c>
      <c r="U11" s="33">
        <v>4.059262333001243</v>
      </c>
      <c r="V11" s="5">
        <v>2</v>
      </c>
      <c r="W11" s="5">
        <v>55</v>
      </c>
      <c r="X11" s="33">
        <v>26.792804307904092</v>
      </c>
      <c r="Y11" s="5">
        <v>21.10811414251835</v>
      </c>
      <c r="Z11" s="5">
        <v>1627.8203966866954</v>
      </c>
      <c r="AA11" s="42"/>
    </row>
    <row r="12" spans="2:27" x14ac:dyDescent="0.2">
      <c r="B12" s="4">
        <v>9</v>
      </c>
      <c r="C12" s="4">
        <v>342</v>
      </c>
      <c r="D12" s="23">
        <v>68868.623064251209</v>
      </c>
      <c r="E12" s="33">
        <v>4.314442417000464</v>
      </c>
      <c r="F12" s="5">
        <v>2</v>
      </c>
      <c r="G12" s="23">
        <v>70</v>
      </c>
      <c r="H12" s="33">
        <v>0</v>
      </c>
      <c r="I12" s="23">
        <v>15.560215097153289</v>
      </c>
      <c r="J12" s="5">
        <v>1482.4543960877656</v>
      </c>
      <c r="K12" s="31" t="e">
        <f t="shared" si="0"/>
        <v>#DIV/0!</v>
      </c>
      <c r="L12" s="23">
        <v>75362.905317244309</v>
      </c>
      <c r="M12" s="33">
        <v>3.6548191249985389</v>
      </c>
      <c r="N12" s="5">
        <v>2</v>
      </c>
      <c r="O12" s="5">
        <v>60</v>
      </c>
      <c r="P12" s="33">
        <v>0</v>
      </c>
      <c r="Q12" s="5">
        <v>12.558346503312872</v>
      </c>
      <c r="R12" s="5">
        <v>1371.1723794855727</v>
      </c>
      <c r="S12" s="42"/>
      <c r="T12" s="23">
        <v>80130.703609273245</v>
      </c>
      <c r="U12" s="33">
        <v>3.993406583000251</v>
      </c>
      <c r="V12" s="5">
        <v>2</v>
      </c>
      <c r="W12" s="5">
        <v>55</v>
      </c>
      <c r="X12" s="33">
        <v>26.792804307904092</v>
      </c>
      <c r="Y12" s="5">
        <v>21.10811414251835</v>
      </c>
      <c r="Z12" s="5">
        <v>1627.8203966866954</v>
      </c>
      <c r="AA12" s="42"/>
    </row>
    <row r="13" spans="2:27" x14ac:dyDescent="0.2">
      <c r="B13" s="4">
        <v>10</v>
      </c>
      <c r="C13" s="4">
        <v>551</v>
      </c>
      <c r="D13" s="23">
        <v>68868.623064251209</v>
      </c>
      <c r="E13" s="33">
        <v>4.225484749998941</v>
      </c>
      <c r="F13" s="5">
        <v>2</v>
      </c>
      <c r="G13" s="23">
        <v>70</v>
      </c>
      <c r="H13" s="33">
        <v>0</v>
      </c>
      <c r="I13" s="23">
        <v>15.560215097153289</v>
      </c>
      <c r="J13" s="5">
        <v>1482.4543960877656</v>
      </c>
      <c r="K13" s="31" t="e">
        <f t="shared" si="0"/>
        <v>#DIV/0!</v>
      </c>
      <c r="L13" s="23">
        <v>75362.905317244309</v>
      </c>
      <c r="M13" s="33">
        <v>3.685119290999864</v>
      </c>
      <c r="N13" s="5">
        <v>2</v>
      </c>
      <c r="O13" s="5">
        <v>60</v>
      </c>
      <c r="P13" s="33">
        <v>0</v>
      </c>
      <c r="Q13" s="5">
        <v>12.558346503312872</v>
      </c>
      <c r="R13" s="5">
        <v>1371.1723794855727</v>
      </c>
      <c r="S13" s="42"/>
      <c r="T13" s="23">
        <v>80130.703609273245</v>
      </c>
      <c r="U13" s="33">
        <v>4.0367689169997902</v>
      </c>
      <c r="V13" s="5">
        <v>2</v>
      </c>
      <c r="W13" s="5">
        <v>55</v>
      </c>
      <c r="X13" s="33">
        <v>26.792804307904092</v>
      </c>
      <c r="Y13" s="5">
        <v>21.10811414251835</v>
      </c>
      <c r="Z13" s="5">
        <v>1627.8203966866954</v>
      </c>
      <c r="AA13" s="42"/>
    </row>
    <row r="14" spans="2:27" x14ac:dyDescent="0.2">
      <c r="B14" s="46" t="s">
        <v>3</v>
      </c>
      <c r="C14" s="47"/>
      <c r="D14" s="9">
        <f>MIN(D4:D13)</f>
        <v>68868.623064251209</v>
      </c>
      <c r="E14" s="22">
        <f>INDEX(E4:E13, MATCH($D$14, D4:D13, 0))</f>
        <v>4.0122715830002562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15.560215097153289</v>
      </c>
      <c r="J14" s="22">
        <f>INDEX(J4:J13, MATCH($D$14, D4:D13, 0))</f>
        <v>1482.4543960877656</v>
      </c>
      <c r="K14" s="32" t="e">
        <f>(D14-$D$15)/$D$15</f>
        <v>#DIV/0!</v>
      </c>
      <c r="L14" s="16">
        <f>MIN(L4:L13)</f>
        <v>72468.840557568969</v>
      </c>
      <c r="M14" s="21">
        <f>INDEX(M4:M13, MATCH($L$14, L4:L13, 0))</f>
        <v>3.723992582999927</v>
      </c>
      <c r="N14" s="16">
        <f>INDEX(N4:N13, MATCH($L$14, L4:L13, 0))</f>
        <v>2</v>
      </c>
      <c r="O14" s="16">
        <f>INDEX(O4:O13, MATCH($L$14, L4:L13, 0))</f>
        <v>65</v>
      </c>
      <c r="P14" s="21">
        <f>INDEX(P4:P13, MATCH($L$14, L4:L13, 0))</f>
        <v>0</v>
      </c>
      <c r="Q14" s="21">
        <f>INDEX(Q4:Q13, MATCH($L$14, L4:L13, 0))</f>
        <v>13.23385950685754</v>
      </c>
      <c r="R14" s="21">
        <f>INDEX(R4:R13, MATCH($L$14, L4:L13, 0))</f>
        <v>1472.1574319598669</v>
      </c>
      <c r="S14" s="43" t="e">
        <f>(L14-$D$15)/$D$15</f>
        <v>#DIV/0!</v>
      </c>
      <c r="T14" s="38">
        <f>MIN(T4:T13)</f>
        <v>80130.703609273245</v>
      </c>
      <c r="U14" s="44">
        <f>INDEX(U4:U13, MATCH($T$14, T4:T13, 0))</f>
        <v>3.9981931250003981</v>
      </c>
      <c r="V14" s="38">
        <f>INDEX(V4:V13, MATCH($T$14, T4:T13, 0))</f>
        <v>2</v>
      </c>
      <c r="W14" s="38">
        <f>INDEX(W4:W13, MATCH($T$14, T4:T13, 0))</f>
        <v>55</v>
      </c>
      <c r="X14" s="44">
        <f>INDEX(X4:X13, MATCH($T$14, T4:T13, 0))</f>
        <v>26.792804307904092</v>
      </c>
      <c r="Y14" s="44">
        <f>INDEX(Y4:Y13, MATCH($T$14, T4:T13, 0))</f>
        <v>21.10811414251835</v>
      </c>
      <c r="Z14" s="44">
        <f>INDEX(Z4:Z13, MATCH($T$14, T4:T13, 0))</f>
        <v>1627.8203966866954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55" priority="1"/>
    <cfRule type="duplicateValues" dxfId="54" priority="2"/>
  </conditionalFormatting>
  <conditionalFormatting sqref="C15:C1048576 C1:C13">
    <cfRule type="duplicateValues" dxfId="53" priority="3"/>
    <cfRule type="duplicateValues" dxfId="52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16ECA-5CAF-7847-A47D-04D44D85F4F7}">
  <dimension ref="B1:AA17"/>
  <sheetViews>
    <sheetView topLeftCell="I1" zoomScale="118" zoomScaleNormal="120" workbookViewId="0">
      <selection activeCell="I15" sqref="A15:XFD32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-0.33040923341542544</v>
      </c>
      <c r="T2" s="1" t="s">
        <v>19</v>
      </c>
      <c r="X2" s="1" t="e">
        <f>(X14-P14)/P14</f>
        <v>#DIV/0!</v>
      </c>
      <c r="Z2" s="1">
        <f>(Z14-R14)/R14</f>
        <v>0.53229007573283316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47</v>
      </c>
      <c r="D4" s="23">
        <v>66400.20287079268</v>
      </c>
      <c r="E4" s="33">
        <v>4.1143428750001476</v>
      </c>
      <c r="F4" s="5">
        <v>2</v>
      </c>
      <c r="G4" s="23">
        <v>65</v>
      </c>
      <c r="H4" s="33">
        <v>0</v>
      </c>
      <c r="I4" s="23">
        <v>12.206981233039025</v>
      </c>
      <c r="J4" s="5">
        <v>1061.3515947624612</v>
      </c>
      <c r="K4" s="31" t="e">
        <f>(D4-$D$15)/$D$15</f>
        <v>#DIV/0!</v>
      </c>
      <c r="L4" s="23">
        <v>75716.452164878487</v>
      </c>
      <c r="M4" s="33">
        <v>3.74033266600054</v>
      </c>
      <c r="N4" s="5">
        <v>2</v>
      </c>
      <c r="O4" s="5">
        <v>50</v>
      </c>
      <c r="P4" s="33">
        <v>0</v>
      </c>
      <c r="Q4" s="5">
        <v>6.9040102639496332</v>
      </c>
      <c r="R4" s="5">
        <v>710.67122795275714</v>
      </c>
      <c r="S4" s="42"/>
      <c r="T4" s="23">
        <v>73882.96834962054</v>
      </c>
      <c r="U4" s="33">
        <v>4.0734531670004799</v>
      </c>
      <c r="V4" s="5">
        <v>2</v>
      </c>
      <c r="W4" s="5">
        <v>55</v>
      </c>
      <c r="X4" s="33">
        <v>0</v>
      </c>
      <c r="Y4" s="5">
        <v>14.021212846923614</v>
      </c>
      <c r="Z4" s="5">
        <v>1088.9544697008757</v>
      </c>
      <c r="AA4" s="42"/>
    </row>
    <row r="5" spans="2:27" x14ac:dyDescent="0.2">
      <c r="B5" s="4">
        <v>2</v>
      </c>
      <c r="C5" s="4">
        <v>161</v>
      </c>
      <c r="D5" s="23">
        <v>66400.20287079268</v>
      </c>
      <c r="E5" s="33">
        <v>4.1360162919991126</v>
      </c>
      <c r="F5" s="5">
        <v>2</v>
      </c>
      <c r="G5" s="23">
        <v>65</v>
      </c>
      <c r="H5" s="33">
        <v>0</v>
      </c>
      <c r="I5" s="23">
        <v>12.206981233039025</v>
      </c>
      <c r="J5" s="5">
        <v>1061.3515947624612</v>
      </c>
      <c r="K5" s="31" t="e">
        <f>(D5-$D$15)/$D$15</f>
        <v>#DIV/0!</v>
      </c>
      <c r="L5" s="23">
        <v>75716.452164878487</v>
      </c>
      <c r="M5" s="33">
        <v>3.7199251250003731</v>
      </c>
      <c r="N5" s="5">
        <v>2</v>
      </c>
      <c r="O5" s="5">
        <v>50</v>
      </c>
      <c r="P5" s="33">
        <v>0</v>
      </c>
      <c r="Q5" s="5">
        <v>6.9040102639496332</v>
      </c>
      <c r="R5" s="5">
        <v>710.67122795275714</v>
      </c>
      <c r="S5" s="42"/>
      <c r="T5" s="23">
        <v>73882.96834962054</v>
      </c>
      <c r="U5" s="33">
        <v>4.0775042500008567</v>
      </c>
      <c r="V5" s="5">
        <v>2</v>
      </c>
      <c r="W5" s="5">
        <v>55</v>
      </c>
      <c r="X5" s="33">
        <v>0</v>
      </c>
      <c r="Y5" s="5">
        <v>14.021212846923614</v>
      </c>
      <c r="Z5" s="5">
        <v>1088.9544697008757</v>
      </c>
      <c r="AA5" s="42"/>
    </row>
    <row r="6" spans="2:27" x14ac:dyDescent="0.2">
      <c r="B6" s="4">
        <v>3</v>
      </c>
      <c r="C6" s="4">
        <v>196</v>
      </c>
      <c r="D6" s="23">
        <v>66400.20287079268</v>
      </c>
      <c r="E6" s="33">
        <v>4.1361805000015011</v>
      </c>
      <c r="F6" s="5">
        <v>2</v>
      </c>
      <c r="G6" s="23">
        <v>65</v>
      </c>
      <c r="H6" s="33">
        <v>0</v>
      </c>
      <c r="I6" s="23">
        <v>12.206981233039025</v>
      </c>
      <c r="J6" s="5">
        <v>1061.3515947624612</v>
      </c>
      <c r="K6" s="31" t="e">
        <f t="shared" ref="K6:K13" si="0">(D6-$D$15)/$D$15</f>
        <v>#DIV/0!</v>
      </c>
      <c r="L6" s="23">
        <v>89172.329501318833</v>
      </c>
      <c r="M6" s="33">
        <v>2.8702685000007482</v>
      </c>
      <c r="N6" s="5">
        <v>2</v>
      </c>
      <c r="O6" s="5">
        <v>35</v>
      </c>
      <c r="P6" s="33">
        <v>0</v>
      </c>
      <c r="Q6" s="5">
        <v>6.3161695599292358</v>
      </c>
      <c r="R6" s="5">
        <v>815.4522071362378</v>
      </c>
      <c r="S6" s="42"/>
      <c r="T6" s="23">
        <v>73882.96834962054</v>
      </c>
      <c r="U6" s="33">
        <v>4.0499478750007256</v>
      </c>
      <c r="V6" s="5">
        <v>2</v>
      </c>
      <c r="W6" s="5">
        <v>55</v>
      </c>
      <c r="X6" s="33">
        <v>0</v>
      </c>
      <c r="Y6" s="5">
        <v>14.021212846923614</v>
      </c>
      <c r="Z6" s="5">
        <v>1088.9544697008757</v>
      </c>
      <c r="AA6" s="42"/>
    </row>
    <row r="7" spans="2:27" x14ac:dyDescent="0.2">
      <c r="B7" s="4">
        <v>4</v>
      </c>
      <c r="C7" s="4">
        <v>237</v>
      </c>
      <c r="D7" s="23">
        <v>69117.260695521865</v>
      </c>
      <c r="E7" s="33">
        <v>3.33573641699877</v>
      </c>
      <c r="F7" s="5">
        <v>2</v>
      </c>
      <c r="G7" s="23">
        <v>70</v>
      </c>
      <c r="H7" s="33">
        <v>13.427117986565772</v>
      </c>
      <c r="I7" s="23">
        <v>13.586031852285721</v>
      </c>
      <c r="J7" s="5">
        <v>1461.8481942549408</v>
      </c>
      <c r="K7" s="31" t="e">
        <f t="shared" si="0"/>
        <v>#DIV/0!</v>
      </c>
      <c r="L7" s="23">
        <v>80024.0498118947</v>
      </c>
      <c r="M7" s="33">
        <v>3.6693634579987702</v>
      </c>
      <c r="N7" s="5">
        <v>2</v>
      </c>
      <c r="O7" s="5">
        <v>50</v>
      </c>
      <c r="P7" s="33">
        <v>0</v>
      </c>
      <c r="Q7" s="5">
        <v>6.7329813919403678</v>
      </c>
      <c r="R7" s="5">
        <v>1070.4685264021475</v>
      </c>
      <c r="S7" s="42"/>
      <c r="T7" s="23">
        <v>79351.493608625227</v>
      </c>
      <c r="U7" s="33">
        <v>4.0084427080000751</v>
      </c>
      <c r="V7" s="5">
        <v>2</v>
      </c>
      <c r="W7" s="5">
        <v>55</v>
      </c>
      <c r="X7" s="33">
        <v>18.269703277633383</v>
      </c>
      <c r="Y7" s="5">
        <v>14.083787692946895</v>
      </c>
      <c r="Z7" s="5">
        <v>1502.0713208493071</v>
      </c>
      <c r="AA7" s="42"/>
    </row>
    <row r="8" spans="2:27" x14ac:dyDescent="0.2">
      <c r="B8" s="4">
        <v>5</v>
      </c>
      <c r="C8" s="4">
        <v>240</v>
      </c>
      <c r="D8" s="23">
        <v>66400.20287079268</v>
      </c>
      <c r="E8" s="33">
        <v>4.090762583000469</v>
      </c>
      <c r="F8" s="5">
        <v>2</v>
      </c>
      <c r="G8" s="23">
        <v>65</v>
      </c>
      <c r="H8" s="33">
        <v>0</v>
      </c>
      <c r="I8" s="23">
        <v>12.206981233039025</v>
      </c>
      <c r="J8" s="5">
        <v>1061.3515947624612</v>
      </c>
      <c r="K8" s="31" t="e">
        <f t="shared" si="0"/>
        <v>#DIV/0!</v>
      </c>
      <c r="L8" s="23">
        <v>75716.452164878487</v>
      </c>
      <c r="M8" s="33">
        <v>3.723874792000061</v>
      </c>
      <c r="N8" s="5">
        <v>2</v>
      </c>
      <c r="O8" s="5">
        <v>50</v>
      </c>
      <c r="P8" s="33">
        <v>0</v>
      </c>
      <c r="Q8" s="5">
        <v>6.9040102639496332</v>
      </c>
      <c r="R8" s="5">
        <v>710.67122795275714</v>
      </c>
      <c r="S8" s="42"/>
      <c r="T8" s="23">
        <v>73882.96834962054</v>
      </c>
      <c r="U8" s="33">
        <v>4.1347397499994258</v>
      </c>
      <c r="V8" s="5">
        <v>2</v>
      </c>
      <c r="W8" s="5">
        <v>55</v>
      </c>
      <c r="X8" s="33">
        <v>0</v>
      </c>
      <c r="Y8" s="5">
        <v>14.021212846923614</v>
      </c>
      <c r="Z8" s="5">
        <v>1088.9544697008757</v>
      </c>
      <c r="AA8" s="42"/>
    </row>
    <row r="9" spans="2:27" x14ac:dyDescent="0.2">
      <c r="B9" s="4">
        <v>6</v>
      </c>
      <c r="C9" s="4">
        <v>290</v>
      </c>
      <c r="D9" s="23">
        <v>66400.20287079268</v>
      </c>
      <c r="E9" s="33">
        <v>4.1676500409994333</v>
      </c>
      <c r="F9" s="5">
        <v>2</v>
      </c>
      <c r="G9" s="23">
        <v>65</v>
      </c>
      <c r="H9" s="33">
        <v>0</v>
      </c>
      <c r="I9" s="23">
        <v>12.206981233039025</v>
      </c>
      <c r="J9" s="5">
        <v>1061.3515947624612</v>
      </c>
      <c r="K9" s="31" t="e">
        <f t="shared" si="0"/>
        <v>#DIV/0!</v>
      </c>
      <c r="L9" s="23">
        <v>75716.452164878487</v>
      </c>
      <c r="M9" s="33">
        <v>3.723843583000416</v>
      </c>
      <c r="N9" s="5">
        <v>2</v>
      </c>
      <c r="O9" s="5">
        <v>50</v>
      </c>
      <c r="P9" s="33">
        <v>0</v>
      </c>
      <c r="Q9" s="5">
        <v>6.9040102639496332</v>
      </c>
      <c r="R9" s="5">
        <v>710.67122795275714</v>
      </c>
      <c r="S9" s="42"/>
      <c r="T9" s="23">
        <v>73882.96834962054</v>
      </c>
      <c r="U9" s="33">
        <v>4.1357344589996501</v>
      </c>
      <c r="V9" s="5">
        <v>2</v>
      </c>
      <c r="W9" s="5">
        <v>55</v>
      </c>
      <c r="X9" s="33">
        <v>0</v>
      </c>
      <c r="Y9" s="5">
        <v>14.021212846923614</v>
      </c>
      <c r="Z9" s="5">
        <v>1088.9544697008757</v>
      </c>
      <c r="AA9" s="42"/>
    </row>
    <row r="10" spans="2:27" x14ac:dyDescent="0.2">
      <c r="B10" s="4">
        <v>7</v>
      </c>
      <c r="C10" s="4">
        <v>426</v>
      </c>
      <c r="D10" s="23">
        <v>69117.260695521865</v>
      </c>
      <c r="E10" s="33">
        <v>3.3012184999988681</v>
      </c>
      <c r="F10" s="5">
        <v>2</v>
      </c>
      <c r="G10" s="23">
        <v>70</v>
      </c>
      <c r="H10" s="33">
        <v>13.427117986565772</v>
      </c>
      <c r="I10" s="23">
        <v>13.586031852285721</v>
      </c>
      <c r="J10" s="5">
        <v>1461.8481942549408</v>
      </c>
      <c r="K10" s="31" t="e">
        <f t="shared" si="0"/>
        <v>#DIV/0!</v>
      </c>
      <c r="L10" s="23">
        <v>89172.329501318833</v>
      </c>
      <c r="M10" s="33">
        <v>2.85102279199964</v>
      </c>
      <c r="N10" s="5">
        <v>2</v>
      </c>
      <c r="O10" s="5">
        <v>35</v>
      </c>
      <c r="P10" s="33">
        <v>0</v>
      </c>
      <c r="Q10" s="5">
        <v>6.3161695599292358</v>
      </c>
      <c r="R10" s="5">
        <v>815.4522071362378</v>
      </c>
      <c r="S10" s="42"/>
      <c r="T10" s="23">
        <v>79351.493608625227</v>
      </c>
      <c r="U10" s="33">
        <v>3.9973562919985852</v>
      </c>
      <c r="V10" s="5">
        <v>2</v>
      </c>
      <c r="W10" s="5">
        <v>55</v>
      </c>
      <c r="X10" s="33">
        <v>18.269703277633383</v>
      </c>
      <c r="Y10" s="5">
        <v>14.083787692946895</v>
      </c>
      <c r="Z10" s="5">
        <v>1502.0713208493071</v>
      </c>
      <c r="AA10" s="42"/>
    </row>
    <row r="11" spans="2:27" x14ac:dyDescent="0.2">
      <c r="B11" s="4">
        <v>8</v>
      </c>
      <c r="C11" s="4">
        <v>636</v>
      </c>
      <c r="D11" s="23">
        <v>66400.20287079268</v>
      </c>
      <c r="E11" s="33">
        <v>4.1253504579999571</v>
      </c>
      <c r="F11" s="5">
        <v>2</v>
      </c>
      <c r="G11" s="23">
        <v>65</v>
      </c>
      <c r="H11" s="33">
        <v>0</v>
      </c>
      <c r="I11" s="23">
        <v>12.206981233039025</v>
      </c>
      <c r="J11" s="5">
        <v>1061.3515947624612</v>
      </c>
      <c r="K11" s="31" t="e">
        <f t="shared" si="0"/>
        <v>#DIV/0!</v>
      </c>
      <c r="L11" s="23">
        <v>75716.452164878487</v>
      </c>
      <c r="M11" s="33">
        <v>3.8152306660012978</v>
      </c>
      <c r="N11" s="5">
        <v>2</v>
      </c>
      <c r="O11" s="5">
        <v>50</v>
      </c>
      <c r="P11" s="33">
        <v>0</v>
      </c>
      <c r="Q11" s="5">
        <v>6.9040102639496332</v>
      </c>
      <c r="R11" s="5">
        <v>710.67122795275714</v>
      </c>
      <c r="S11" s="42"/>
      <c r="T11" s="23">
        <v>73882.96834962054</v>
      </c>
      <c r="U11" s="33">
        <v>4.1175063329992554</v>
      </c>
      <c r="V11" s="5">
        <v>2</v>
      </c>
      <c r="W11" s="5">
        <v>55</v>
      </c>
      <c r="X11" s="33">
        <v>0</v>
      </c>
      <c r="Y11" s="5">
        <v>14.021212846923614</v>
      </c>
      <c r="Z11" s="5">
        <v>1088.9544697008757</v>
      </c>
      <c r="AA11" s="42"/>
    </row>
    <row r="12" spans="2:27" x14ac:dyDescent="0.2">
      <c r="B12" s="4">
        <v>9</v>
      </c>
      <c r="C12" s="4">
        <v>753</v>
      </c>
      <c r="D12" s="23">
        <v>66400.20287079268</v>
      </c>
      <c r="E12" s="33">
        <v>4.0952756249989761</v>
      </c>
      <c r="F12" s="5">
        <v>2</v>
      </c>
      <c r="G12" s="23">
        <v>65</v>
      </c>
      <c r="H12" s="33">
        <v>0</v>
      </c>
      <c r="I12" s="23">
        <v>12.206981233039025</v>
      </c>
      <c r="J12" s="5">
        <v>1061.3515947624612</v>
      </c>
      <c r="K12" s="31" t="e">
        <f t="shared" si="0"/>
        <v>#DIV/0!</v>
      </c>
      <c r="L12" s="23">
        <v>75716.452164878487</v>
      </c>
      <c r="M12" s="33">
        <v>3.7606356670003152</v>
      </c>
      <c r="N12" s="5">
        <v>2</v>
      </c>
      <c r="O12" s="5">
        <v>50</v>
      </c>
      <c r="P12" s="33">
        <v>0</v>
      </c>
      <c r="Q12" s="5">
        <v>6.9040102639496332</v>
      </c>
      <c r="R12" s="5">
        <v>710.67122795275714</v>
      </c>
      <c r="S12" s="42"/>
      <c r="T12" s="23">
        <v>73882.96834962054</v>
      </c>
      <c r="U12" s="33">
        <v>4.1374116249990038</v>
      </c>
      <c r="V12" s="5">
        <v>2</v>
      </c>
      <c r="W12" s="5">
        <v>55</v>
      </c>
      <c r="X12" s="33">
        <v>0</v>
      </c>
      <c r="Y12" s="5">
        <v>14.021212846923614</v>
      </c>
      <c r="Z12" s="5">
        <v>1088.9544697008757</v>
      </c>
      <c r="AA12" s="42"/>
    </row>
    <row r="13" spans="2:27" x14ac:dyDescent="0.2">
      <c r="B13" s="4">
        <v>10</v>
      </c>
      <c r="C13" s="4">
        <v>962</v>
      </c>
      <c r="D13" s="23">
        <v>66400.20287079268</v>
      </c>
      <c r="E13" s="33">
        <v>4.1071765830001823</v>
      </c>
      <c r="F13" s="5">
        <v>2</v>
      </c>
      <c r="G13" s="23">
        <v>65</v>
      </c>
      <c r="H13" s="33">
        <v>0</v>
      </c>
      <c r="I13" s="23">
        <v>12.206981233039025</v>
      </c>
      <c r="J13" s="5">
        <v>1061.3515947624612</v>
      </c>
      <c r="K13" s="31" t="e">
        <f t="shared" si="0"/>
        <v>#DIV/0!</v>
      </c>
      <c r="L13" s="23">
        <v>89172.329501318833</v>
      </c>
      <c r="M13" s="33">
        <v>2.8845757499984761</v>
      </c>
      <c r="N13" s="5">
        <v>2</v>
      </c>
      <c r="O13" s="5">
        <v>35</v>
      </c>
      <c r="P13" s="33">
        <v>0</v>
      </c>
      <c r="Q13" s="5">
        <v>6.3161695599292358</v>
      </c>
      <c r="R13" s="5">
        <v>815.4522071362378</v>
      </c>
      <c r="S13" s="42"/>
      <c r="T13" s="23">
        <v>73882.96834962054</v>
      </c>
      <c r="U13" s="33">
        <v>4.1396394160001364</v>
      </c>
      <c r="V13" s="5">
        <v>2</v>
      </c>
      <c r="W13" s="5">
        <v>55</v>
      </c>
      <c r="X13" s="33">
        <v>0</v>
      </c>
      <c r="Y13" s="5">
        <v>14.021212846923614</v>
      </c>
      <c r="Z13" s="5">
        <v>1088.9544697008757</v>
      </c>
      <c r="AA13" s="42"/>
    </row>
    <row r="14" spans="2:27" x14ac:dyDescent="0.2">
      <c r="B14" s="46" t="s">
        <v>3</v>
      </c>
      <c r="C14" s="47"/>
      <c r="D14" s="9">
        <f>MIN(D4:D13)</f>
        <v>66400.20287079268</v>
      </c>
      <c r="E14" s="22">
        <f>INDEX(E4:E13, MATCH($D$14, D4:D13, 0))</f>
        <v>4.1143428750001476</v>
      </c>
      <c r="F14" s="9">
        <f>INDEX(F4:F13, MATCH($D$14, D4:D13, 0))</f>
        <v>2</v>
      </c>
      <c r="G14" s="9">
        <f>INDEX(G4:G13, MATCH($D$14, D4:D13, 0))</f>
        <v>65</v>
      </c>
      <c r="H14" s="22">
        <f>INDEX(H4:H13, MATCH($D$14, D4:D13, 0))</f>
        <v>0</v>
      </c>
      <c r="I14" s="22">
        <f>INDEX(I4:I13, MATCH($D$14, D4:D13, 0))</f>
        <v>12.206981233039025</v>
      </c>
      <c r="J14" s="22">
        <f>INDEX(J4:J13, MATCH($D$14, D4:D13, 0))</f>
        <v>1061.3515947624612</v>
      </c>
      <c r="K14" s="32" t="e">
        <f>(D14-$D$15)/$D$15</f>
        <v>#DIV/0!</v>
      </c>
      <c r="L14" s="16">
        <f>MIN(L4:L13)</f>
        <v>75716.452164878487</v>
      </c>
      <c r="M14" s="21">
        <f>INDEX(M4:M13, MATCH($L$14, L4:L13, 0))</f>
        <v>3.74033266600054</v>
      </c>
      <c r="N14" s="16">
        <f>INDEX(N4:N13, MATCH($L$14, L4:L13, 0))</f>
        <v>2</v>
      </c>
      <c r="O14" s="16">
        <f>INDEX(O4:O13, MATCH($L$14, L4:L13, 0))</f>
        <v>50</v>
      </c>
      <c r="P14" s="21">
        <f>INDEX(P4:P13, MATCH($L$14, L4:L13, 0))</f>
        <v>0</v>
      </c>
      <c r="Q14" s="21">
        <f>INDEX(Q4:Q13, MATCH($L$14, L4:L13, 0))</f>
        <v>6.9040102639496332</v>
      </c>
      <c r="R14" s="21">
        <f>INDEX(R4:R13, MATCH($L$14, L4:L13, 0))</f>
        <v>710.67122795275714</v>
      </c>
      <c r="S14" s="43" t="e">
        <f>(L14-$D$15)/$D$15</f>
        <v>#DIV/0!</v>
      </c>
      <c r="T14" s="38">
        <f>MIN(T4:T13)</f>
        <v>73882.96834962054</v>
      </c>
      <c r="U14" s="44">
        <f>INDEX(U4:U13, MATCH($T$14, T4:T13, 0))</f>
        <v>4.0734531670004799</v>
      </c>
      <c r="V14" s="38">
        <f>INDEX(V4:V13, MATCH($T$14, T4:T13, 0))</f>
        <v>2</v>
      </c>
      <c r="W14" s="38">
        <f>INDEX(W4:W13, MATCH($T$14, T4:T13, 0))</f>
        <v>55</v>
      </c>
      <c r="X14" s="44">
        <f>INDEX(X4:X13, MATCH($T$14, T4:T13, 0))</f>
        <v>0</v>
      </c>
      <c r="Y14" s="44">
        <f>INDEX(Y4:Y13, MATCH($T$14, T4:T13, 0))</f>
        <v>14.021212846923614</v>
      </c>
      <c r="Z14" s="44">
        <f>INDEX(Z4:Z13, MATCH($T$14, T4:T13, 0))</f>
        <v>1088.9544697008757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51" priority="3"/>
    <cfRule type="duplicateValues" dxfId="50" priority="4"/>
  </conditionalFormatting>
  <conditionalFormatting sqref="C14">
    <cfRule type="duplicateValues" dxfId="49" priority="1"/>
    <cfRule type="duplicateValues" dxfId="48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C4FA-EA4A-CA42-9424-8756E9821252}">
  <dimension ref="B1:AA17"/>
  <sheetViews>
    <sheetView topLeftCell="H1" zoomScale="118" zoomScaleNormal="120" workbookViewId="0">
      <selection activeCell="H15" sqref="A15:XFD28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-0.17268138153064608</v>
      </c>
      <c r="T2" s="1" t="s">
        <v>19</v>
      </c>
      <c r="X2" s="1" t="e">
        <f>(X14-P14)/P14</f>
        <v>#DIV/0!</v>
      </c>
      <c r="Z2" s="1">
        <f>(Z14-R14)/R14</f>
        <v>0.38707217922070519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53</v>
      </c>
      <c r="D4" s="23">
        <v>68028.438306888798</v>
      </c>
      <c r="E4" s="33">
        <v>2.411017624999658</v>
      </c>
      <c r="F4" s="5">
        <v>2</v>
      </c>
      <c r="G4" s="23">
        <v>70</v>
      </c>
      <c r="H4" s="33">
        <v>0</v>
      </c>
      <c r="I4" s="23">
        <v>29.901657555050477</v>
      </c>
      <c r="J4" s="5">
        <v>1642.8084009046945</v>
      </c>
      <c r="K4" s="31" t="e">
        <f>(D4-$D$15)/$D$15</f>
        <v>#DIV/0!</v>
      </c>
      <c r="L4" s="23">
        <v>75284.543286086846</v>
      </c>
      <c r="M4" s="33">
        <v>2.9565285829994541</v>
      </c>
      <c r="N4" s="5">
        <v>2</v>
      </c>
      <c r="O4" s="5">
        <v>55</v>
      </c>
      <c r="P4" s="33">
        <v>0</v>
      </c>
      <c r="Q4" s="5">
        <v>23.317303040992595</v>
      </c>
      <c r="R4" s="5">
        <v>1359.1259766463204</v>
      </c>
      <c r="S4" s="42"/>
      <c r="T4" s="23">
        <v>75108.258527052909</v>
      </c>
      <c r="U4" s="33">
        <v>2.7578323750003619</v>
      </c>
      <c r="V4" s="5">
        <v>2</v>
      </c>
      <c r="W4" s="5">
        <v>60</v>
      </c>
      <c r="X4" s="33">
        <v>13.409332495369577</v>
      </c>
      <c r="Y4" s="5">
        <v>43.129682581367213</v>
      </c>
      <c r="Z4" s="5">
        <v>1885.2058302622809</v>
      </c>
      <c r="AA4" s="42"/>
    </row>
    <row r="5" spans="2:27" x14ac:dyDescent="0.2">
      <c r="B5" s="4">
        <v>2</v>
      </c>
      <c r="C5" s="4">
        <v>82</v>
      </c>
      <c r="D5" s="23">
        <v>68028.438306888798</v>
      </c>
      <c r="E5" s="33">
        <v>2.3651417080000101</v>
      </c>
      <c r="F5" s="5">
        <v>2</v>
      </c>
      <c r="G5" s="23">
        <v>70</v>
      </c>
      <c r="H5" s="33">
        <v>0</v>
      </c>
      <c r="I5" s="23">
        <v>29.901657555050477</v>
      </c>
      <c r="J5" s="5">
        <v>1642.8084009046945</v>
      </c>
      <c r="K5" s="31" t="e">
        <f>(D5-$D$15)/$D$15</f>
        <v>#DIV/0!</v>
      </c>
      <c r="L5" s="23">
        <v>78839.609437737017</v>
      </c>
      <c r="M5" s="33">
        <v>2.7374976250011969</v>
      </c>
      <c r="N5" s="5">
        <v>2</v>
      </c>
      <c r="O5" s="5">
        <v>55</v>
      </c>
      <c r="P5" s="33">
        <v>0</v>
      </c>
      <c r="Q5" s="5">
        <v>23.44200789954548</v>
      </c>
      <c r="R5" s="5">
        <v>1640.2927204590424</v>
      </c>
      <c r="S5" s="42"/>
      <c r="T5" s="23">
        <v>75108.258527052909</v>
      </c>
      <c r="U5" s="33">
        <v>2.7858675839997891</v>
      </c>
      <c r="V5" s="5">
        <v>2</v>
      </c>
      <c r="W5" s="5">
        <v>60</v>
      </c>
      <c r="X5" s="33">
        <v>13.409332495369577</v>
      </c>
      <c r="Y5" s="5">
        <v>43.129682581367213</v>
      </c>
      <c r="Z5" s="5">
        <v>1885.2058302622809</v>
      </c>
      <c r="AA5" s="42"/>
    </row>
    <row r="6" spans="2:27" x14ac:dyDescent="0.2">
      <c r="B6" s="4">
        <v>3</v>
      </c>
      <c r="C6" s="4">
        <v>816</v>
      </c>
      <c r="D6" s="23">
        <v>68028.438306888798</v>
      </c>
      <c r="E6" s="33">
        <v>2.3560254160001932</v>
      </c>
      <c r="F6" s="5">
        <v>2</v>
      </c>
      <c r="G6" s="23">
        <v>70</v>
      </c>
      <c r="H6" s="33">
        <v>0</v>
      </c>
      <c r="I6" s="23">
        <v>29.901657555050477</v>
      </c>
      <c r="J6" s="5">
        <v>1642.8084009046945</v>
      </c>
      <c r="K6" s="31" t="e">
        <f t="shared" ref="K6:K13" si="0">(D6-$D$15)/$D$15</f>
        <v>#DIV/0!</v>
      </c>
      <c r="L6" s="23">
        <v>78839.609437737017</v>
      </c>
      <c r="M6" s="33">
        <v>2.741750957999102</v>
      </c>
      <c r="N6" s="5">
        <v>2</v>
      </c>
      <c r="O6" s="5">
        <v>55</v>
      </c>
      <c r="P6" s="33">
        <v>0</v>
      </c>
      <c r="Q6" s="5">
        <v>23.44200789954548</v>
      </c>
      <c r="R6" s="5">
        <v>1640.2927204590424</v>
      </c>
      <c r="S6" s="42"/>
      <c r="T6" s="23">
        <v>75108.258527052909</v>
      </c>
      <c r="U6" s="33">
        <v>2.7676706669990381</v>
      </c>
      <c r="V6" s="5">
        <v>2</v>
      </c>
      <c r="W6" s="5">
        <v>60</v>
      </c>
      <c r="X6" s="33">
        <v>13.409332495369577</v>
      </c>
      <c r="Y6" s="5">
        <v>43.129682581367213</v>
      </c>
      <c r="Z6" s="5">
        <v>1885.2058302622809</v>
      </c>
      <c r="AA6" s="42"/>
    </row>
    <row r="7" spans="2:27" x14ac:dyDescent="0.2">
      <c r="B7" s="4">
        <v>4</v>
      </c>
      <c r="C7" s="4">
        <v>844</v>
      </c>
      <c r="D7" s="23">
        <v>68028.438306888798</v>
      </c>
      <c r="E7" s="33">
        <v>2.4187485420006851</v>
      </c>
      <c r="F7" s="5">
        <v>2</v>
      </c>
      <c r="G7" s="23">
        <v>70</v>
      </c>
      <c r="H7" s="33">
        <v>0</v>
      </c>
      <c r="I7" s="23">
        <v>29.901657555050477</v>
      </c>
      <c r="J7" s="5">
        <v>1642.8084009046945</v>
      </c>
      <c r="K7" s="31" t="e">
        <f t="shared" si="0"/>
        <v>#DIV/0!</v>
      </c>
      <c r="L7" s="23">
        <v>75284.543286086846</v>
      </c>
      <c r="M7" s="33">
        <v>2.7815069170010251</v>
      </c>
      <c r="N7" s="5">
        <v>2</v>
      </c>
      <c r="O7" s="5">
        <v>55</v>
      </c>
      <c r="P7" s="33">
        <v>0</v>
      </c>
      <c r="Q7" s="5">
        <v>23.317303040992595</v>
      </c>
      <c r="R7" s="5">
        <v>1359.1259766463204</v>
      </c>
      <c r="S7" s="42"/>
      <c r="T7" s="23">
        <v>75108.258527052909</v>
      </c>
      <c r="U7" s="33">
        <v>2.7379501659997909</v>
      </c>
      <c r="V7" s="5">
        <v>2</v>
      </c>
      <c r="W7" s="5">
        <v>60</v>
      </c>
      <c r="X7" s="33">
        <v>13.409332495369577</v>
      </c>
      <c r="Y7" s="5">
        <v>43.129682581367213</v>
      </c>
      <c r="Z7" s="5">
        <v>1885.2058302622809</v>
      </c>
      <c r="AA7" s="42"/>
    </row>
    <row r="8" spans="2:27" x14ac:dyDescent="0.2">
      <c r="B8" s="4">
        <v>5</v>
      </c>
      <c r="C8" s="4">
        <v>114</v>
      </c>
      <c r="D8" s="23">
        <v>68028.438306888798</v>
      </c>
      <c r="E8" s="33">
        <v>2.4167894160000292</v>
      </c>
      <c r="F8" s="5">
        <v>2</v>
      </c>
      <c r="G8" s="23">
        <v>70</v>
      </c>
      <c r="H8" s="33">
        <v>0</v>
      </c>
      <c r="I8" s="23">
        <v>29.901657555050477</v>
      </c>
      <c r="J8" s="5">
        <v>1642.8084009046945</v>
      </c>
      <c r="K8" s="31" t="e">
        <f t="shared" si="0"/>
        <v>#DIV/0!</v>
      </c>
      <c r="L8" s="23">
        <v>75284.543286086846</v>
      </c>
      <c r="M8" s="33">
        <v>2.7619438340007041</v>
      </c>
      <c r="N8" s="5">
        <v>2</v>
      </c>
      <c r="O8" s="5">
        <v>55</v>
      </c>
      <c r="P8" s="33">
        <v>0</v>
      </c>
      <c r="Q8" s="5">
        <v>23.317303040992595</v>
      </c>
      <c r="R8" s="5">
        <v>1359.1259766463204</v>
      </c>
      <c r="S8" s="42"/>
      <c r="T8" s="23">
        <v>75108.258527052909</v>
      </c>
      <c r="U8" s="33">
        <v>2.807415124998442</v>
      </c>
      <c r="V8" s="5">
        <v>2</v>
      </c>
      <c r="W8" s="5">
        <v>60</v>
      </c>
      <c r="X8" s="33">
        <v>13.409332495369577</v>
      </c>
      <c r="Y8" s="5">
        <v>43.129682581367213</v>
      </c>
      <c r="Z8" s="5">
        <v>1885.2058302622809</v>
      </c>
      <c r="AA8" s="42"/>
    </row>
    <row r="9" spans="2:27" x14ac:dyDescent="0.2">
      <c r="B9" s="4">
        <v>6</v>
      </c>
      <c r="C9" s="4">
        <v>148</v>
      </c>
      <c r="D9" s="23">
        <v>68028.438306888798</v>
      </c>
      <c r="E9" s="33">
        <v>2.529595666999739</v>
      </c>
      <c r="F9" s="5">
        <v>2</v>
      </c>
      <c r="G9" s="23">
        <v>70</v>
      </c>
      <c r="H9" s="33">
        <v>0</v>
      </c>
      <c r="I9" s="23">
        <v>29.901657555050477</v>
      </c>
      <c r="J9" s="5">
        <v>1642.8084009046945</v>
      </c>
      <c r="K9" s="31" t="e">
        <f t="shared" si="0"/>
        <v>#DIV/0!</v>
      </c>
      <c r="L9" s="23">
        <v>75284.543286086846</v>
      </c>
      <c r="M9" s="33">
        <v>2.8138215830003901</v>
      </c>
      <c r="N9" s="5">
        <v>2</v>
      </c>
      <c r="O9" s="5">
        <v>55</v>
      </c>
      <c r="P9" s="33">
        <v>0</v>
      </c>
      <c r="Q9" s="5">
        <v>23.317303040992595</v>
      </c>
      <c r="R9" s="5">
        <v>1359.1259766463204</v>
      </c>
      <c r="S9" s="42"/>
      <c r="T9" s="23">
        <v>75108.258527052909</v>
      </c>
      <c r="U9" s="33">
        <v>2.7349868750006858</v>
      </c>
      <c r="V9" s="5">
        <v>2</v>
      </c>
      <c r="W9" s="5">
        <v>60</v>
      </c>
      <c r="X9" s="33">
        <v>13.409332495369577</v>
      </c>
      <c r="Y9" s="5">
        <v>43.129682581367213</v>
      </c>
      <c r="Z9" s="5">
        <v>1885.2058302622809</v>
      </c>
      <c r="AA9" s="42"/>
    </row>
    <row r="10" spans="2:27" x14ac:dyDescent="0.2">
      <c r="B10" s="4">
        <v>7</v>
      </c>
      <c r="C10" s="4">
        <v>658</v>
      </c>
      <c r="D10" s="23">
        <v>68028.438306888798</v>
      </c>
      <c r="E10" s="33">
        <v>2.4512009590016528</v>
      </c>
      <c r="F10" s="5">
        <v>2</v>
      </c>
      <c r="G10" s="23">
        <v>70</v>
      </c>
      <c r="H10" s="33">
        <v>0</v>
      </c>
      <c r="I10" s="23">
        <v>29.901657555050477</v>
      </c>
      <c r="J10" s="5">
        <v>1642.8084009046945</v>
      </c>
      <c r="K10" s="31" t="e">
        <f t="shared" si="0"/>
        <v>#DIV/0!</v>
      </c>
      <c r="L10" s="23">
        <v>75284.543286086846</v>
      </c>
      <c r="M10" s="33">
        <v>2.6911997910010541</v>
      </c>
      <c r="N10" s="5">
        <v>2</v>
      </c>
      <c r="O10" s="5">
        <v>55</v>
      </c>
      <c r="P10" s="33">
        <v>0</v>
      </c>
      <c r="Q10" s="5">
        <v>23.317303040992595</v>
      </c>
      <c r="R10" s="5">
        <v>1359.1259766463204</v>
      </c>
      <c r="S10" s="42"/>
      <c r="T10" s="23">
        <v>75108.258527052909</v>
      </c>
      <c r="U10" s="33">
        <v>2.7715881249987429</v>
      </c>
      <c r="V10" s="5">
        <v>2</v>
      </c>
      <c r="W10" s="5">
        <v>60</v>
      </c>
      <c r="X10" s="33">
        <v>13.409332495369577</v>
      </c>
      <c r="Y10" s="5">
        <v>43.129682581367213</v>
      </c>
      <c r="Z10" s="5">
        <v>1885.2058302622809</v>
      </c>
      <c r="AA10" s="42"/>
    </row>
    <row r="11" spans="2:27" x14ac:dyDescent="0.2">
      <c r="B11" s="4">
        <v>8</v>
      </c>
      <c r="C11" s="4">
        <v>878</v>
      </c>
      <c r="D11" s="23">
        <v>68028.438306888798</v>
      </c>
      <c r="E11" s="33">
        <v>2.5099738339995379</v>
      </c>
      <c r="F11" s="5">
        <v>2</v>
      </c>
      <c r="G11" s="23">
        <v>70</v>
      </c>
      <c r="H11" s="33">
        <v>0</v>
      </c>
      <c r="I11" s="23">
        <v>29.901657555050477</v>
      </c>
      <c r="J11" s="5">
        <v>1642.8084009046945</v>
      </c>
      <c r="K11" s="31" t="e">
        <f t="shared" si="0"/>
        <v>#DIV/0!</v>
      </c>
      <c r="L11" s="23">
        <v>75284.543286086846</v>
      </c>
      <c r="M11" s="33">
        <v>2.7511595420000958</v>
      </c>
      <c r="N11" s="5">
        <v>2</v>
      </c>
      <c r="O11" s="5">
        <v>55</v>
      </c>
      <c r="P11" s="33">
        <v>0</v>
      </c>
      <c r="Q11" s="5">
        <v>23.317303040992595</v>
      </c>
      <c r="R11" s="5">
        <v>1359.1259766463204</v>
      </c>
      <c r="S11" s="42"/>
      <c r="T11" s="23">
        <v>75108.258527052909</v>
      </c>
      <c r="U11" s="33">
        <v>2.7982292500000772</v>
      </c>
      <c r="V11" s="5">
        <v>2</v>
      </c>
      <c r="W11" s="5">
        <v>60</v>
      </c>
      <c r="X11" s="33">
        <v>13.409332495369577</v>
      </c>
      <c r="Y11" s="5">
        <v>43.129682581367213</v>
      </c>
      <c r="Z11" s="5">
        <v>1885.2058302622809</v>
      </c>
      <c r="AA11" s="42"/>
    </row>
    <row r="12" spans="2:27" x14ac:dyDescent="0.2">
      <c r="B12" s="4">
        <v>9</v>
      </c>
      <c r="C12" s="4">
        <v>361</v>
      </c>
      <c r="D12" s="23">
        <v>68028.438306888798</v>
      </c>
      <c r="E12" s="33">
        <v>2.3706984589989588</v>
      </c>
      <c r="F12" s="5">
        <v>2</v>
      </c>
      <c r="G12" s="23">
        <v>70</v>
      </c>
      <c r="H12" s="33">
        <v>0</v>
      </c>
      <c r="I12" s="23">
        <v>29.901657555050477</v>
      </c>
      <c r="J12" s="5">
        <v>1642.8084009046945</v>
      </c>
      <c r="K12" s="31" t="e">
        <f t="shared" si="0"/>
        <v>#DIV/0!</v>
      </c>
      <c r="L12" s="23">
        <v>75284.543286086846</v>
      </c>
      <c r="M12" s="33">
        <v>2.7820845000005652</v>
      </c>
      <c r="N12" s="5">
        <v>2</v>
      </c>
      <c r="O12" s="5">
        <v>55</v>
      </c>
      <c r="P12" s="33">
        <v>0</v>
      </c>
      <c r="Q12" s="5">
        <v>23.317303040992595</v>
      </c>
      <c r="R12" s="5">
        <v>1359.1259766463204</v>
      </c>
      <c r="S12" s="42"/>
      <c r="T12" s="23">
        <v>75108.258527052909</v>
      </c>
      <c r="U12" s="33">
        <v>2.746347750000496</v>
      </c>
      <c r="V12" s="5">
        <v>2</v>
      </c>
      <c r="W12" s="5">
        <v>60</v>
      </c>
      <c r="X12" s="33">
        <v>13.409332495369577</v>
      </c>
      <c r="Y12" s="5">
        <v>43.129682581367213</v>
      </c>
      <c r="Z12" s="5">
        <v>1885.2058302622809</v>
      </c>
      <c r="AA12" s="42"/>
    </row>
    <row r="13" spans="2:27" x14ac:dyDescent="0.2">
      <c r="B13" s="4">
        <v>10</v>
      </c>
      <c r="C13" s="4">
        <v>330</v>
      </c>
      <c r="D13" s="23">
        <v>68028.438306888798</v>
      </c>
      <c r="E13" s="33">
        <v>2.3403535829984321</v>
      </c>
      <c r="F13" s="5">
        <v>2</v>
      </c>
      <c r="G13" s="23">
        <v>70</v>
      </c>
      <c r="H13" s="33">
        <v>0</v>
      </c>
      <c r="I13" s="23">
        <v>29.901657555050477</v>
      </c>
      <c r="J13" s="5">
        <v>1642.8084009046945</v>
      </c>
      <c r="K13" s="31" t="e">
        <f t="shared" si="0"/>
        <v>#DIV/0!</v>
      </c>
      <c r="L13" s="23">
        <v>75284.543286086846</v>
      </c>
      <c r="M13" s="33">
        <v>2.7847322079996961</v>
      </c>
      <c r="N13" s="5">
        <v>2</v>
      </c>
      <c r="O13" s="5">
        <v>55</v>
      </c>
      <c r="P13" s="33">
        <v>0</v>
      </c>
      <c r="Q13" s="5">
        <v>23.317303040992595</v>
      </c>
      <c r="R13" s="5">
        <v>1359.1259766463204</v>
      </c>
      <c r="S13" s="42"/>
      <c r="T13" s="23">
        <v>75108.258527052909</v>
      </c>
      <c r="U13" s="33">
        <v>2.7802523749996908</v>
      </c>
      <c r="V13" s="5">
        <v>2</v>
      </c>
      <c r="W13" s="5">
        <v>60</v>
      </c>
      <c r="X13" s="33">
        <v>13.409332495369577</v>
      </c>
      <c r="Y13" s="5">
        <v>43.129682581367213</v>
      </c>
      <c r="Z13" s="5">
        <v>1885.2058302622809</v>
      </c>
      <c r="AA13" s="42"/>
    </row>
    <row r="14" spans="2:27" x14ac:dyDescent="0.2">
      <c r="B14" s="46" t="s">
        <v>3</v>
      </c>
      <c r="C14" s="47"/>
      <c r="D14" s="9">
        <f>MIN(D4:D13)</f>
        <v>68028.438306888798</v>
      </c>
      <c r="E14" s="22">
        <f>INDEX(E4:E13, MATCH($D$14, D4:D13, 0))</f>
        <v>2.411017624999658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0</v>
      </c>
      <c r="I14" s="22">
        <f>INDEX(I4:I13, MATCH($D$14, D4:D13, 0))</f>
        <v>29.901657555050477</v>
      </c>
      <c r="J14" s="22">
        <f>INDEX(J4:J13, MATCH($D$14, D4:D13, 0))</f>
        <v>1642.8084009046945</v>
      </c>
      <c r="K14" s="32" t="e">
        <f>(D14-$D$15)/$D$15</f>
        <v>#DIV/0!</v>
      </c>
      <c r="L14" s="16">
        <f>MIN(L4:L13)</f>
        <v>75284.543286086846</v>
      </c>
      <c r="M14" s="21">
        <f>INDEX(M4:M13, MATCH($L$14, L4:L13, 0))</f>
        <v>2.9565285829994541</v>
      </c>
      <c r="N14" s="16">
        <f>INDEX(N4:N13, MATCH($L$14, L4:L13, 0))</f>
        <v>2</v>
      </c>
      <c r="O14" s="16">
        <f>INDEX(O4:O13, MATCH($L$14, L4:L13, 0))</f>
        <v>55</v>
      </c>
      <c r="P14" s="21">
        <f>INDEX(P4:P13, MATCH($L$14, L4:L13, 0))</f>
        <v>0</v>
      </c>
      <c r="Q14" s="21">
        <f>INDEX(Q4:Q13, MATCH($L$14, L4:L13, 0))</f>
        <v>23.317303040992595</v>
      </c>
      <c r="R14" s="21">
        <f>INDEX(R4:R13, MATCH($L$14, L4:L13, 0))</f>
        <v>1359.1259766463204</v>
      </c>
      <c r="S14" s="43" t="e">
        <f>(L14-$D$15)/$D$15</f>
        <v>#DIV/0!</v>
      </c>
      <c r="T14" s="38">
        <f>MIN(T4:T13)</f>
        <v>75108.258527052909</v>
      </c>
      <c r="U14" s="44">
        <f>INDEX(U4:U13, MATCH($T$14, T4:T13, 0))</f>
        <v>2.7578323750003619</v>
      </c>
      <c r="V14" s="38">
        <f>INDEX(V4:V13, MATCH($T$14, T4:T13, 0))</f>
        <v>2</v>
      </c>
      <c r="W14" s="38">
        <f>INDEX(W4:W13, MATCH($T$14, T4:T13, 0))</f>
        <v>60</v>
      </c>
      <c r="X14" s="44">
        <f>INDEX(X4:X13, MATCH($T$14, T4:T13, 0))</f>
        <v>13.409332495369577</v>
      </c>
      <c r="Y14" s="44">
        <f>INDEX(Y4:Y13, MATCH($T$14, T4:T13, 0))</f>
        <v>43.129682581367213</v>
      </c>
      <c r="Z14" s="44">
        <f>INDEX(Z4:Z13, MATCH($T$14, T4:T13, 0))</f>
        <v>1885.2058302622809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47" priority="1"/>
    <cfRule type="duplicateValues" dxfId="46" priority="2"/>
  </conditionalFormatting>
  <conditionalFormatting sqref="C15:C1048576 C1:C13">
    <cfRule type="duplicateValues" dxfId="45" priority="3"/>
    <cfRule type="duplicateValues" dxfId="44" priority="4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6B12-E29C-714F-A920-DDD1D442E39E}">
  <dimension ref="B1:AA17"/>
  <sheetViews>
    <sheetView topLeftCell="J1" zoomScale="118" zoomScaleNormal="120" workbookViewId="0">
      <selection activeCell="J15" sqref="A15:XFD31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 t="e">
        <f>(Q14-H14)/H14</f>
        <v>#DIV/0!</v>
      </c>
      <c r="J2" s="28" t="e">
        <f>(S14-J14)/J14</f>
        <v>#DIV/0!</v>
      </c>
      <c r="K2" s="28"/>
      <c r="L2" s="1" t="s">
        <v>18</v>
      </c>
      <c r="P2" s="1" t="e">
        <f>(P14-H14)/H14</f>
        <v>#DIV/0!</v>
      </c>
      <c r="R2" s="1">
        <f>(R14-J14)/J14</f>
        <v>-0.16746644331161276</v>
      </c>
      <c r="T2" s="1" t="s">
        <v>19</v>
      </c>
      <c r="X2" s="1" t="e">
        <f>(X14-P14)/P14</f>
        <v>#DIV/0!</v>
      </c>
      <c r="Z2" s="1">
        <f>(Z14-R14)/R14</f>
        <v>0.90213825613418464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68</v>
      </c>
      <c r="D4" s="23">
        <v>53521.884483271533</v>
      </c>
      <c r="E4" s="33">
        <v>3.7393147920010961</v>
      </c>
      <c r="F4" s="5">
        <v>2</v>
      </c>
      <c r="G4" s="23">
        <v>85</v>
      </c>
      <c r="H4" s="33">
        <v>0</v>
      </c>
      <c r="I4" s="23">
        <v>16.624060347641265</v>
      </c>
      <c r="J4" s="5">
        <v>1218.1829827883225</v>
      </c>
      <c r="K4" s="31" t="e">
        <f>(D4-$D$15)/$D$15</f>
        <v>#DIV/0!</v>
      </c>
      <c r="L4" s="23">
        <v>62585.354536479223</v>
      </c>
      <c r="M4" s="33">
        <v>4.4683170829994197</v>
      </c>
      <c r="N4" s="5">
        <v>2</v>
      </c>
      <c r="O4" s="5">
        <v>70</v>
      </c>
      <c r="P4" s="33">
        <v>0</v>
      </c>
      <c r="Q4" s="5">
        <v>11.747673902924401</v>
      </c>
      <c r="R4" s="5">
        <v>1014.1782113580306</v>
      </c>
      <c r="S4" s="42"/>
      <c r="T4" s="23">
        <v>65690.925001396419</v>
      </c>
      <c r="U4" s="33">
        <v>4.4639895839991368</v>
      </c>
      <c r="V4" s="5">
        <v>2</v>
      </c>
      <c r="W4" s="5">
        <v>80</v>
      </c>
      <c r="X4" s="33">
        <v>1.5833191707067582</v>
      </c>
      <c r="Y4" s="5">
        <v>34.18294281293425</v>
      </c>
      <c r="Z4" s="5">
        <v>1929.1071743618509</v>
      </c>
      <c r="AA4" s="42"/>
    </row>
    <row r="5" spans="2:27" x14ac:dyDescent="0.2">
      <c r="B5" s="4">
        <v>2</v>
      </c>
      <c r="C5" s="4">
        <v>251</v>
      </c>
      <c r="D5" s="23">
        <v>53521.884483271533</v>
      </c>
      <c r="E5" s="33">
        <v>4.0226860830007354</v>
      </c>
      <c r="F5" s="5">
        <v>2</v>
      </c>
      <c r="G5" s="23">
        <v>85</v>
      </c>
      <c r="H5" s="33">
        <v>0</v>
      </c>
      <c r="I5" s="23">
        <v>16.624060347641265</v>
      </c>
      <c r="J5" s="5">
        <v>1218.1829827883225</v>
      </c>
      <c r="K5" s="31" t="e">
        <f>(D5-$D$15)/$D$15</f>
        <v>#DIV/0!</v>
      </c>
      <c r="L5" s="23">
        <v>62585.354536479223</v>
      </c>
      <c r="M5" s="33">
        <v>4.4782888749996346</v>
      </c>
      <c r="N5" s="5">
        <v>2</v>
      </c>
      <c r="O5" s="5">
        <v>70</v>
      </c>
      <c r="P5" s="33">
        <v>0</v>
      </c>
      <c r="Q5" s="5">
        <v>11.747673902924401</v>
      </c>
      <c r="R5" s="5">
        <v>1014.1782113580306</v>
      </c>
      <c r="S5" s="42"/>
      <c r="T5" s="23">
        <v>65690.925001396419</v>
      </c>
      <c r="U5" s="33">
        <v>4.4000337500001478</v>
      </c>
      <c r="V5" s="5">
        <v>2</v>
      </c>
      <c r="W5" s="5">
        <v>80</v>
      </c>
      <c r="X5" s="33">
        <v>1.5833191707067582</v>
      </c>
      <c r="Y5" s="5">
        <v>34.18294281293425</v>
      </c>
      <c r="Z5" s="5">
        <v>1929.1071743618509</v>
      </c>
      <c r="AA5" s="42"/>
    </row>
    <row r="6" spans="2:27" x14ac:dyDescent="0.2">
      <c r="B6" s="4">
        <v>3</v>
      </c>
      <c r="C6" s="4">
        <v>384</v>
      </c>
      <c r="D6" s="23">
        <v>53521.884483271533</v>
      </c>
      <c r="E6" s="33">
        <v>3.7672698749993292</v>
      </c>
      <c r="F6" s="5">
        <v>2</v>
      </c>
      <c r="G6" s="23">
        <v>85</v>
      </c>
      <c r="H6" s="33">
        <v>0</v>
      </c>
      <c r="I6" s="23">
        <v>16.624060347641265</v>
      </c>
      <c r="J6" s="5">
        <v>1218.1829827883225</v>
      </c>
      <c r="K6" s="31" t="e">
        <f t="shared" ref="K6:K13" si="0">(D6-$D$15)/$D$15</f>
        <v>#DIV/0!</v>
      </c>
      <c r="L6" s="23">
        <v>62585.354536479223</v>
      </c>
      <c r="M6" s="33">
        <v>4.4043488340012118</v>
      </c>
      <c r="N6" s="5">
        <v>2</v>
      </c>
      <c r="O6" s="5">
        <v>70</v>
      </c>
      <c r="P6" s="33">
        <v>0</v>
      </c>
      <c r="Q6" s="5">
        <v>11.747673902924401</v>
      </c>
      <c r="R6" s="5">
        <v>1014.1782113580306</v>
      </c>
      <c r="S6" s="42"/>
      <c r="T6" s="23">
        <v>65690.925001396419</v>
      </c>
      <c r="U6" s="33">
        <v>4.3996969170002558</v>
      </c>
      <c r="V6" s="5">
        <v>2</v>
      </c>
      <c r="W6" s="5">
        <v>80</v>
      </c>
      <c r="X6" s="33">
        <v>1.5833191707067582</v>
      </c>
      <c r="Y6" s="5">
        <v>34.18294281293425</v>
      </c>
      <c r="Z6" s="5">
        <v>1929.1071743618509</v>
      </c>
      <c r="AA6" s="42"/>
    </row>
    <row r="7" spans="2:27" x14ac:dyDescent="0.2">
      <c r="B7" s="4">
        <v>4</v>
      </c>
      <c r="C7" s="4">
        <v>299</v>
      </c>
      <c r="D7" s="23">
        <v>53521.884483271533</v>
      </c>
      <c r="E7" s="33">
        <v>3.544597292000617</v>
      </c>
      <c r="F7" s="5">
        <v>2</v>
      </c>
      <c r="G7" s="23">
        <v>85</v>
      </c>
      <c r="H7" s="33">
        <v>0</v>
      </c>
      <c r="I7" s="23">
        <v>16.624060347641265</v>
      </c>
      <c r="J7" s="5">
        <v>1218.1829827883225</v>
      </c>
      <c r="K7" s="31" t="e">
        <f t="shared" si="0"/>
        <v>#DIV/0!</v>
      </c>
      <c r="L7" s="23">
        <v>62585.354536479223</v>
      </c>
      <c r="M7" s="33">
        <v>4.3539902920001623</v>
      </c>
      <c r="N7" s="5">
        <v>2</v>
      </c>
      <c r="O7" s="5">
        <v>70</v>
      </c>
      <c r="P7" s="33">
        <v>0</v>
      </c>
      <c r="Q7" s="5">
        <v>11.747673902924401</v>
      </c>
      <c r="R7" s="5">
        <v>1014.1782113580306</v>
      </c>
      <c r="S7" s="42"/>
      <c r="T7" s="23">
        <v>65690.925001396419</v>
      </c>
      <c r="U7" s="33">
        <v>4.3328725829996984</v>
      </c>
      <c r="V7" s="5">
        <v>2</v>
      </c>
      <c r="W7" s="5">
        <v>80</v>
      </c>
      <c r="X7" s="33">
        <v>1.5833191707067582</v>
      </c>
      <c r="Y7" s="5">
        <v>34.18294281293425</v>
      </c>
      <c r="Z7" s="5">
        <v>1929.1071743618509</v>
      </c>
      <c r="AA7" s="42"/>
    </row>
    <row r="8" spans="2:27" x14ac:dyDescent="0.2">
      <c r="B8" s="4">
        <v>5</v>
      </c>
      <c r="C8" s="4">
        <v>466</v>
      </c>
      <c r="D8" s="23">
        <v>53521.884483271533</v>
      </c>
      <c r="E8" s="33">
        <v>3.7886607920008828</v>
      </c>
      <c r="F8" s="5">
        <v>2</v>
      </c>
      <c r="G8" s="23">
        <v>85</v>
      </c>
      <c r="H8" s="33">
        <v>0</v>
      </c>
      <c r="I8" s="23">
        <v>16.624060347641265</v>
      </c>
      <c r="J8" s="5">
        <v>1218.1829827883225</v>
      </c>
      <c r="K8" s="31" t="e">
        <f t="shared" si="0"/>
        <v>#DIV/0!</v>
      </c>
      <c r="L8" s="23">
        <v>62585.354536479223</v>
      </c>
      <c r="M8" s="33">
        <v>4.0491700830007176</v>
      </c>
      <c r="N8" s="5">
        <v>2</v>
      </c>
      <c r="O8" s="5">
        <v>70</v>
      </c>
      <c r="P8" s="33">
        <v>0</v>
      </c>
      <c r="Q8" s="5">
        <v>11.747673902924401</v>
      </c>
      <c r="R8" s="5">
        <v>1014.1782113580306</v>
      </c>
      <c r="S8" s="42"/>
      <c r="T8" s="23">
        <v>65690.925001396419</v>
      </c>
      <c r="U8" s="33">
        <v>4.3514337910000904</v>
      </c>
      <c r="V8" s="5">
        <v>2</v>
      </c>
      <c r="W8" s="5">
        <v>80</v>
      </c>
      <c r="X8" s="33">
        <v>1.5833191707067582</v>
      </c>
      <c r="Y8" s="5">
        <v>34.18294281293425</v>
      </c>
      <c r="Z8" s="5">
        <v>1929.1071743618509</v>
      </c>
      <c r="AA8" s="42"/>
    </row>
    <row r="9" spans="2:27" x14ac:dyDescent="0.2">
      <c r="B9" s="4">
        <v>6</v>
      </c>
      <c r="C9" s="4">
        <v>713</v>
      </c>
      <c r="D9" s="23">
        <v>53521.884483271533</v>
      </c>
      <c r="E9" s="33">
        <v>4.1246551670010376</v>
      </c>
      <c r="F9" s="5">
        <v>2</v>
      </c>
      <c r="G9" s="23">
        <v>85</v>
      </c>
      <c r="H9" s="33">
        <v>0</v>
      </c>
      <c r="I9" s="23">
        <v>16.624060347641265</v>
      </c>
      <c r="J9" s="5">
        <v>1218.1829827883225</v>
      </c>
      <c r="K9" s="31" t="e">
        <f t="shared" si="0"/>
        <v>#DIV/0!</v>
      </c>
      <c r="L9" s="23">
        <v>62585.354536479223</v>
      </c>
      <c r="M9" s="33">
        <v>4.4078299169996171</v>
      </c>
      <c r="N9" s="5">
        <v>2</v>
      </c>
      <c r="O9" s="5">
        <v>70</v>
      </c>
      <c r="P9" s="33">
        <v>0</v>
      </c>
      <c r="Q9" s="5">
        <v>11.747673902924401</v>
      </c>
      <c r="R9" s="5">
        <v>1014.1782113580306</v>
      </c>
      <c r="S9" s="42"/>
      <c r="T9" s="23">
        <v>65690.925001396419</v>
      </c>
      <c r="U9" s="33">
        <v>4.3687255839995487</v>
      </c>
      <c r="V9" s="5">
        <v>2</v>
      </c>
      <c r="W9" s="5">
        <v>80</v>
      </c>
      <c r="X9" s="33">
        <v>1.5833191707067582</v>
      </c>
      <c r="Y9" s="5">
        <v>34.18294281293425</v>
      </c>
      <c r="Z9" s="5">
        <v>1929.1071743618509</v>
      </c>
      <c r="AA9" s="42"/>
    </row>
    <row r="10" spans="2:27" x14ac:dyDescent="0.2">
      <c r="B10" s="4">
        <v>7</v>
      </c>
      <c r="C10" s="4">
        <v>848</v>
      </c>
      <c r="D10" s="23">
        <v>53521.884483271533</v>
      </c>
      <c r="E10" s="33">
        <v>3.685140249999677</v>
      </c>
      <c r="F10" s="5">
        <v>2</v>
      </c>
      <c r="G10" s="23">
        <v>85</v>
      </c>
      <c r="H10" s="33">
        <v>0</v>
      </c>
      <c r="I10" s="23">
        <v>16.624060347641265</v>
      </c>
      <c r="J10" s="5">
        <v>1218.1829827883225</v>
      </c>
      <c r="K10" s="31" t="e">
        <f t="shared" si="0"/>
        <v>#DIV/0!</v>
      </c>
      <c r="L10" s="23">
        <v>62585.354536479223</v>
      </c>
      <c r="M10" s="33">
        <v>4.429737541000577</v>
      </c>
      <c r="N10" s="5">
        <v>2</v>
      </c>
      <c r="O10" s="5">
        <v>70</v>
      </c>
      <c r="P10" s="33">
        <v>0</v>
      </c>
      <c r="Q10" s="5">
        <v>11.747673902924401</v>
      </c>
      <c r="R10" s="5">
        <v>1014.1782113580306</v>
      </c>
      <c r="S10" s="42"/>
      <c r="T10" s="23">
        <v>65690.925001396419</v>
      </c>
      <c r="U10" s="33">
        <v>4.3137439170004646</v>
      </c>
      <c r="V10" s="5">
        <v>2</v>
      </c>
      <c r="W10" s="5">
        <v>80</v>
      </c>
      <c r="X10" s="33">
        <v>1.5833191707067582</v>
      </c>
      <c r="Y10" s="5">
        <v>34.18294281293425</v>
      </c>
      <c r="Z10" s="5">
        <v>1929.1071743618509</v>
      </c>
      <c r="AA10" s="42"/>
    </row>
    <row r="11" spans="2:27" x14ac:dyDescent="0.2">
      <c r="B11" s="4">
        <v>8</v>
      </c>
      <c r="C11" s="4">
        <v>401</v>
      </c>
      <c r="D11" s="23">
        <v>53521.884483271533</v>
      </c>
      <c r="E11" s="33">
        <v>3.716692917001637</v>
      </c>
      <c r="F11" s="5">
        <v>2</v>
      </c>
      <c r="G11" s="23">
        <v>85</v>
      </c>
      <c r="H11" s="33">
        <v>0</v>
      </c>
      <c r="I11" s="23">
        <v>16.624060347641265</v>
      </c>
      <c r="J11" s="5">
        <v>1218.1829827883225</v>
      </c>
      <c r="K11" s="31" t="e">
        <f t="shared" si="0"/>
        <v>#DIV/0!</v>
      </c>
      <c r="L11" s="23">
        <v>62585.354536479223</v>
      </c>
      <c r="M11" s="33">
        <v>4.4402572079998208</v>
      </c>
      <c r="N11" s="5">
        <v>2</v>
      </c>
      <c r="O11" s="5">
        <v>70</v>
      </c>
      <c r="P11" s="33">
        <v>0</v>
      </c>
      <c r="Q11" s="5">
        <v>11.747673902924401</v>
      </c>
      <c r="R11" s="5">
        <v>1014.1782113580306</v>
      </c>
      <c r="S11" s="42"/>
      <c r="T11" s="23">
        <v>65690.925001396419</v>
      </c>
      <c r="U11" s="33">
        <v>4.5648049160008668</v>
      </c>
      <c r="V11" s="5">
        <v>2</v>
      </c>
      <c r="W11" s="5">
        <v>80</v>
      </c>
      <c r="X11" s="33">
        <v>1.5833191707067582</v>
      </c>
      <c r="Y11" s="5">
        <v>34.18294281293425</v>
      </c>
      <c r="Z11" s="5">
        <v>1929.1071743618509</v>
      </c>
      <c r="AA11" s="42"/>
    </row>
    <row r="12" spans="2:27" x14ac:dyDescent="0.2">
      <c r="B12" s="4">
        <v>9</v>
      </c>
      <c r="C12" s="4">
        <v>575</v>
      </c>
      <c r="D12" s="23">
        <v>53521.884483271533</v>
      </c>
      <c r="E12" s="33">
        <v>3.9120336670002871</v>
      </c>
      <c r="F12" s="5">
        <v>2</v>
      </c>
      <c r="G12" s="23">
        <v>85</v>
      </c>
      <c r="H12" s="33">
        <v>0</v>
      </c>
      <c r="I12" s="23">
        <v>16.624060347641265</v>
      </c>
      <c r="J12" s="5">
        <v>1218.1829827883225</v>
      </c>
      <c r="K12" s="31" t="e">
        <f t="shared" si="0"/>
        <v>#DIV/0!</v>
      </c>
      <c r="L12" s="23">
        <v>62585.354536479223</v>
      </c>
      <c r="M12" s="33">
        <v>4.4454178329997376</v>
      </c>
      <c r="N12" s="5">
        <v>2</v>
      </c>
      <c r="O12" s="5">
        <v>70</v>
      </c>
      <c r="P12" s="33">
        <v>0</v>
      </c>
      <c r="Q12" s="5">
        <v>11.747673902924401</v>
      </c>
      <c r="R12" s="5">
        <v>1014.1782113580306</v>
      </c>
      <c r="S12" s="42"/>
      <c r="T12" s="23">
        <v>65690.925001396419</v>
      </c>
      <c r="U12" s="33">
        <v>4.5228443749983853</v>
      </c>
      <c r="V12" s="5">
        <v>2</v>
      </c>
      <c r="W12" s="5">
        <v>80</v>
      </c>
      <c r="X12" s="33">
        <v>1.5833191707067582</v>
      </c>
      <c r="Y12" s="5">
        <v>34.18294281293425</v>
      </c>
      <c r="Z12" s="5">
        <v>1929.1071743618509</v>
      </c>
      <c r="AA12" s="42"/>
    </row>
    <row r="13" spans="2:27" x14ac:dyDescent="0.2">
      <c r="B13" s="4">
        <v>10</v>
      </c>
      <c r="C13" s="4">
        <v>604</v>
      </c>
      <c r="D13" s="23">
        <v>53521.884483271533</v>
      </c>
      <c r="E13" s="33">
        <v>3.7115956249999731</v>
      </c>
      <c r="F13" s="5">
        <v>2</v>
      </c>
      <c r="G13" s="23">
        <v>85</v>
      </c>
      <c r="H13" s="33">
        <v>0</v>
      </c>
      <c r="I13" s="23">
        <v>16.624060347641265</v>
      </c>
      <c r="J13" s="5">
        <v>1218.1829827883225</v>
      </c>
      <c r="K13" s="31" t="e">
        <f t="shared" si="0"/>
        <v>#DIV/0!</v>
      </c>
      <c r="L13" s="23">
        <v>62585.354536479223</v>
      </c>
      <c r="M13" s="33">
        <v>4.4327297910003836</v>
      </c>
      <c r="N13" s="5">
        <v>2</v>
      </c>
      <c r="O13" s="5">
        <v>70</v>
      </c>
      <c r="P13" s="33">
        <v>0</v>
      </c>
      <c r="Q13" s="5">
        <v>11.747673902924401</v>
      </c>
      <c r="R13" s="5">
        <v>1014.1782113580306</v>
      </c>
      <c r="S13" s="42"/>
      <c r="T13" s="23">
        <v>65690.925001396419</v>
      </c>
      <c r="U13" s="33">
        <v>4.4725899580007544</v>
      </c>
      <c r="V13" s="5">
        <v>2</v>
      </c>
      <c r="W13" s="5">
        <v>80</v>
      </c>
      <c r="X13" s="33">
        <v>1.5833191707067582</v>
      </c>
      <c r="Y13" s="5">
        <v>34.18294281293425</v>
      </c>
      <c r="Z13" s="5">
        <v>1929.1071743618509</v>
      </c>
      <c r="AA13" s="42"/>
    </row>
    <row r="14" spans="2:27" x14ac:dyDescent="0.2">
      <c r="B14" s="46">
        <v>713</v>
      </c>
      <c r="C14" s="47"/>
      <c r="D14" s="9">
        <f>MIN(D4:D13)</f>
        <v>53521.884483271533</v>
      </c>
      <c r="E14" s="22">
        <f>INDEX(E4:E13, MATCH($D$14, D4:D13, 0))</f>
        <v>3.7393147920010961</v>
      </c>
      <c r="F14" s="9">
        <f>INDEX(F4:F13, MATCH($D$14, D4:D13, 0))</f>
        <v>2</v>
      </c>
      <c r="G14" s="9">
        <f>INDEX(G4:G13, MATCH($D$14, D4:D13, 0))</f>
        <v>85</v>
      </c>
      <c r="H14" s="22">
        <f>INDEX(H4:H13, MATCH($D$14, D4:D13, 0))</f>
        <v>0</v>
      </c>
      <c r="I14" s="22">
        <f>INDEX(I4:I13, MATCH($D$14, D4:D13, 0))</f>
        <v>16.624060347641265</v>
      </c>
      <c r="J14" s="22">
        <f>INDEX(J4:J13, MATCH($D$14, D4:D13, 0))</f>
        <v>1218.1829827883225</v>
      </c>
      <c r="K14" s="32" t="e">
        <f>(D14-$D$15)/$D$15</f>
        <v>#DIV/0!</v>
      </c>
      <c r="L14" s="16">
        <f>MIN(L4:L13)</f>
        <v>62585.354536479223</v>
      </c>
      <c r="M14" s="21">
        <f>INDEX(M4:M13, MATCH($L$14, L4:L13, 0))</f>
        <v>4.4683170829994197</v>
      </c>
      <c r="N14" s="16">
        <f>INDEX(N4:N13, MATCH($L$14, L4:L13, 0))</f>
        <v>2</v>
      </c>
      <c r="O14" s="16">
        <f>INDEX(O4:O13, MATCH($L$14, L4:L13, 0))</f>
        <v>70</v>
      </c>
      <c r="P14" s="21">
        <f>INDEX(P4:P13, MATCH($L$14, L4:L13, 0))</f>
        <v>0</v>
      </c>
      <c r="Q14" s="21">
        <f>INDEX(Q4:Q13, MATCH($L$14, L4:L13, 0))</f>
        <v>11.747673902924401</v>
      </c>
      <c r="R14" s="21">
        <f>INDEX(R4:R13, MATCH($L$14, L4:L13, 0))</f>
        <v>1014.1782113580306</v>
      </c>
      <c r="S14" s="43" t="e">
        <f>(L14-$D$15)/$D$15</f>
        <v>#DIV/0!</v>
      </c>
      <c r="T14" s="38">
        <f>MIN(T4:T13)</f>
        <v>65690.925001396419</v>
      </c>
      <c r="U14" s="44">
        <f>INDEX(U4:U13, MATCH($T$14, T4:T13, 0))</f>
        <v>4.4639895839991368</v>
      </c>
      <c r="V14" s="38">
        <f>INDEX(V4:V13, MATCH($T$14, T4:T13, 0))</f>
        <v>2</v>
      </c>
      <c r="W14" s="38">
        <f>INDEX(W4:W13, MATCH($T$14, T4:T13, 0))</f>
        <v>80</v>
      </c>
      <c r="X14" s="44">
        <f>INDEX(X4:X13, MATCH($T$14, T4:T13, 0))</f>
        <v>1.5833191707067582</v>
      </c>
      <c r="Y14" s="44">
        <f>INDEX(Y4:Y13, MATCH($T$14, T4:T13, 0))</f>
        <v>34.18294281293425</v>
      </c>
      <c r="Z14" s="44">
        <f>INDEX(Z4:Z13, MATCH($T$14, T4:T13, 0))</f>
        <v>1929.1071743618509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43" priority="3"/>
    <cfRule type="duplicateValues" dxfId="42" priority="4"/>
  </conditionalFormatting>
  <conditionalFormatting sqref="C14">
    <cfRule type="duplicateValues" dxfId="41" priority="1"/>
    <cfRule type="duplicateValues" dxfId="40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EDFA5-0163-E748-920F-C42975C2D273}">
  <dimension ref="B1:AA17"/>
  <sheetViews>
    <sheetView tabSelected="1" zoomScale="118" zoomScaleNormal="120" workbookViewId="0">
      <selection activeCell="L15" sqref="A15:XFD2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3.33203125" style="1" bestFit="1" customWidth="1"/>
    <col min="16" max="16" width="19.33203125" style="1" bestFit="1" customWidth="1"/>
    <col min="17" max="17" width="12" style="1" bestFit="1" customWidth="1"/>
    <col min="18" max="18" width="18" style="1" bestFit="1" customWidth="1"/>
    <col min="19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17</v>
      </c>
      <c r="D2" s="29">
        <v>20</v>
      </c>
      <c r="H2" s="28">
        <f>(Q14-H14)/H14</f>
        <v>1.177673737405027</v>
      </c>
      <c r="J2" s="28" t="e">
        <f>(S14-J14)/J14</f>
        <v>#DIV/0!</v>
      </c>
      <c r="K2" s="28"/>
      <c r="L2" s="1" t="s">
        <v>18</v>
      </c>
      <c r="P2" s="1">
        <f>(P14-H14)/H14</f>
        <v>-1</v>
      </c>
      <c r="R2" s="1">
        <f>(R14-J14)/J14</f>
        <v>-0.13988577152285411</v>
      </c>
      <c r="T2" s="1" t="s">
        <v>19</v>
      </c>
      <c r="X2" s="1" t="e">
        <f>(X14-P14)/P14</f>
        <v>#DIV/0!</v>
      </c>
      <c r="Z2" s="1">
        <f>(Z14-R14)/R14</f>
        <v>0.36558673800694502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5" t="s">
        <v>0</v>
      </c>
      <c r="U3" s="35" t="s">
        <v>5</v>
      </c>
      <c r="V3" s="35" t="s">
        <v>12</v>
      </c>
      <c r="W3" s="35" t="s">
        <v>15</v>
      </c>
      <c r="X3" s="35" t="s">
        <v>11</v>
      </c>
      <c r="Y3" s="35" t="s">
        <v>16</v>
      </c>
      <c r="Z3" s="35" t="s">
        <v>10</v>
      </c>
      <c r="AA3" s="35" t="s">
        <v>1</v>
      </c>
    </row>
    <row r="4" spans="2:27" x14ac:dyDescent="0.2">
      <c r="B4" s="4">
        <v>1</v>
      </c>
      <c r="C4" s="4">
        <v>125</v>
      </c>
      <c r="D4" s="23">
        <v>71569.70094351552</v>
      </c>
      <c r="E4" s="33">
        <v>4.5041143750004267</v>
      </c>
      <c r="F4" s="5">
        <v>2</v>
      </c>
      <c r="G4" s="23">
        <v>70</v>
      </c>
      <c r="H4" s="33">
        <v>5.5510950253763962</v>
      </c>
      <c r="I4" s="23">
        <v>15.755358605336655</v>
      </c>
      <c r="J4" s="5">
        <v>1677.0606124063793</v>
      </c>
      <c r="K4" s="31" t="e">
        <f>(D4-$D$15)/$D$15</f>
        <v>#DIV/0!</v>
      </c>
      <c r="L4" s="23">
        <v>72713.241687785339</v>
      </c>
      <c r="M4" s="33">
        <v>4.4153991249986566</v>
      </c>
      <c r="N4" s="5">
        <v>2</v>
      </c>
      <c r="O4" s="5">
        <v>65</v>
      </c>
      <c r="P4" s="33">
        <v>0</v>
      </c>
      <c r="Q4" s="5">
        <v>12.08847385060187</v>
      </c>
      <c r="R4" s="5">
        <v>1442.4636947493227</v>
      </c>
      <c r="S4" s="42"/>
      <c r="T4" s="23">
        <v>79841.721753771591</v>
      </c>
      <c r="U4" s="33">
        <v>4.2383435419997113</v>
      </c>
      <c r="V4" s="5">
        <v>2</v>
      </c>
      <c r="W4" s="5">
        <v>65</v>
      </c>
      <c r="X4" s="33">
        <v>36.16828129458645</v>
      </c>
      <c r="Y4" s="5">
        <v>18.792873411974334</v>
      </c>
      <c r="Z4" s="5">
        <v>1969.8092916061732</v>
      </c>
      <c r="AA4" s="42"/>
    </row>
    <row r="5" spans="2:27" x14ac:dyDescent="0.2">
      <c r="B5" s="4">
        <v>2</v>
      </c>
      <c r="C5" s="4">
        <v>271</v>
      </c>
      <c r="D5" s="23">
        <v>71569.70094351552</v>
      </c>
      <c r="E5" s="33">
        <v>4.4956066249997093</v>
      </c>
      <c r="F5" s="5">
        <v>2</v>
      </c>
      <c r="G5" s="23">
        <v>70</v>
      </c>
      <c r="H5" s="33">
        <v>5.5510950253763962</v>
      </c>
      <c r="I5" s="23">
        <v>15.755358605336655</v>
      </c>
      <c r="J5" s="5">
        <v>1677.0606124063793</v>
      </c>
      <c r="K5" s="31" t="e">
        <f>(D5-$D$15)/$D$15</f>
        <v>#DIV/0!</v>
      </c>
      <c r="L5" s="23">
        <v>72713.241687785339</v>
      </c>
      <c r="M5" s="33">
        <v>4.3858054579995951</v>
      </c>
      <c r="N5" s="5">
        <v>2</v>
      </c>
      <c r="O5" s="5">
        <v>65</v>
      </c>
      <c r="P5" s="33">
        <v>0</v>
      </c>
      <c r="Q5" s="5">
        <v>12.08847385060187</v>
      </c>
      <c r="R5" s="5">
        <v>1442.4636947493227</v>
      </c>
      <c r="S5" s="42"/>
      <c r="T5" s="23">
        <v>79841.721753771591</v>
      </c>
      <c r="U5" s="33">
        <v>4.1824507920009637</v>
      </c>
      <c r="V5" s="5">
        <v>2</v>
      </c>
      <c r="W5" s="5">
        <v>65</v>
      </c>
      <c r="X5" s="33">
        <v>36.16828129458645</v>
      </c>
      <c r="Y5" s="5">
        <v>18.792873411974334</v>
      </c>
      <c r="Z5" s="5">
        <v>1969.8092916061732</v>
      </c>
      <c r="AA5" s="42"/>
    </row>
    <row r="6" spans="2:27" x14ac:dyDescent="0.2">
      <c r="B6" s="4">
        <v>3</v>
      </c>
      <c r="C6" s="4">
        <v>421</v>
      </c>
      <c r="D6" s="23">
        <v>71569.70094351552</v>
      </c>
      <c r="E6" s="33">
        <v>4.5570155000004888</v>
      </c>
      <c r="F6" s="5">
        <v>2</v>
      </c>
      <c r="G6" s="23">
        <v>70</v>
      </c>
      <c r="H6" s="33">
        <v>5.5510950253763962</v>
      </c>
      <c r="I6" s="23">
        <v>15.755358605336655</v>
      </c>
      <c r="J6" s="5">
        <v>1677.0606124063793</v>
      </c>
      <c r="K6" s="31" t="e">
        <f t="shared" ref="K6:K13" si="0">(D6-$D$15)/$D$15</f>
        <v>#DIV/0!</v>
      </c>
      <c r="L6" s="23">
        <v>72713.241687785339</v>
      </c>
      <c r="M6" s="33">
        <v>4.4120300410013442</v>
      </c>
      <c r="N6" s="5">
        <v>2</v>
      </c>
      <c r="O6" s="5">
        <v>65</v>
      </c>
      <c r="P6" s="33">
        <v>0</v>
      </c>
      <c r="Q6" s="5">
        <v>12.08847385060187</v>
      </c>
      <c r="R6" s="5">
        <v>1442.4636947493227</v>
      </c>
      <c r="S6" s="42"/>
      <c r="T6" s="23">
        <v>79841.721753771591</v>
      </c>
      <c r="U6" s="33">
        <v>4.3309155000006294</v>
      </c>
      <c r="V6" s="5">
        <v>2</v>
      </c>
      <c r="W6" s="5">
        <v>65</v>
      </c>
      <c r="X6" s="33">
        <v>36.16828129458645</v>
      </c>
      <c r="Y6" s="5">
        <v>18.792873411974334</v>
      </c>
      <c r="Z6" s="5">
        <v>1969.8092916061732</v>
      </c>
      <c r="AA6" s="42"/>
    </row>
    <row r="7" spans="2:27" x14ac:dyDescent="0.2">
      <c r="B7" s="4">
        <v>4</v>
      </c>
      <c r="C7" s="4">
        <v>494</v>
      </c>
      <c r="D7" s="23">
        <v>71569.70094351552</v>
      </c>
      <c r="E7" s="33">
        <v>4.6129835000010644</v>
      </c>
      <c r="F7" s="5">
        <v>2</v>
      </c>
      <c r="G7" s="23">
        <v>70</v>
      </c>
      <c r="H7" s="33">
        <v>5.5510950253763962</v>
      </c>
      <c r="I7" s="23">
        <v>15.755358605336655</v>
      </c>
      <c r="J7" s="5">
        <v>1677.0606124063793</v>
      </c>
      <c r="K7" s="31" t="e">
        <f t="shared" si="0"/>
        <v>#DIV/0!</v>
      </c>
      <c r="L7" s="23">
        <v>72713.241687785339</v>
      </c>
      <c r="M7" s="33">
        <v>4.4144290000003821</v>
      </c>
      <c r="N7" s="5">
        <v>2</v>
      </c>
      <c r="O7" s="5">
        <v>65</v>
      </c>
      <c r="P7" s="33">
        <v>0</v>
      </c>
      <c r="Q7" s="5">
        <v>12.08847385060187</v>
      </c>
      <c r="R7" s="5">
        <v>1442.4636947493227</v>
      </c>
      <c r="S7" s="42"/>
      <c r="T7" s="23">
        <v>79841.721753771591</v>
      </c>
      <c r="U7" s="33">
        <v>4.3536922919993231</v>
      </c>
      <c r="V7" s="5">
        <v>2</v>
      </c>
      <c r="W7" s="5">
        <v>65</v>
      </c>
      <c r="X7" s="33">
        <v>36.16828129458645</v>
      </c>
      <c r="Y7" s="5">
        <v>18.792873411974334</v>
      </c>
      <c r="Z7" s="5">
        <v>1969.8092916061732</v>
      </c>
      <c r="AA7" s="42"/>
    </row>
    <row r="8" spans="2:27" x14ac:dyDescent="0.2">
      <c r="B8" s="4">
        <v>5</v>
      </c>
      <c r="C8" s="4">
        <v>631</v>
      </c>
      <c r="D8" s="23">
        <v>71569.70094351552</v>
      </c>
      <c r="E8" s="33">
        <v>4.7064707079989603</v>
      </c>
      <c r="F8" s="5">
        <v>2</v>
      </c>
      <c r="G8" s="23">
        <v>70</v>
      </c>
      <c r="H8" s="33">
        <v>5.5510950253763962</v>
      </c>
      <c r="I8" s="23">
        <v>15.755358605336655</v>
      </c>
      <c r="J8" s="5">
        <v>1677.0606124063793</v>
      </c>
      <c r="K8" s="31" t="e">
        <f t="shared" si="0"/>
        <v>#DIV/0!</v>
      </c>
      <c r="L8" s="23">
        <v>72713.241687785339</v>
      </c>
      <c r="M8" s="33">
        <v>4.4384829589998844</v>
      </c>
      <c r="N8" s="5">
        <v>2</v>
      </c>
      <c r="O8" s="5">
        <v>65</v>
      </c>
      <c r="P8" s="33">
        <v>0</v>
      </c>
      <c r="Q8" s="5">
        <v>12.08847385060187</v>
      </c>
      <c r="R8" s="5">
        <v>1442.4636947493227</v>
      </c>
      <c r="S8" s="42"/>
      <c r="T8" s="23">
        <v>79841.721753771591</v>
      </c>
      <c r="U8" s="33">
        <v>4.2736018750001676</v>
      </c>
      <c r="V8" s="5">
        <v>2</v>
      </c>
      <c r="W8" s="5">
        <v>65</v>
      </c>
      <c r="X8" s="33">
        <v>36.16828129458645</v>
      </c>
      <c r="Y8" s="5">
        <v>18.792873411974334</v>
      </c>
      <c r="Z8" s="5">
        <v>1969.8092916061732</v>
      </c>
      <c r="AA8" s="42"/>
    </row>
    <row r="9" spans="2:27" x14ac:dyDescent="0.2">
      <c r="B9" s="4">
        <v>6</v>
      </c>
      <c r="C9" s="4">
        <v>752</v>
      </c>
      <c r="D9" s="23">
        <v>77939.157737124886</v>
      </c>
      <c r="E9" s="33">
        <v>2.512403541999447</v>
      </c>
      <c r="F9" s="5">
        <v>2</v>
      </c>
      <c r="G9" s="23">
        <v>60</v>
      </c>
      <c r="H9" s="33">
        <v>0</v>
      </c>
      <c r="I9" s="23">
        <v>17.961977412460509</v>
      </c>
      <c r="J9" s="5">
        <v>1671.6045388200166</v>
      </c>
      <c r="K9" s="31" t="e">
        <f t="shared" si="0"/>
        <v>#DIV/0!</v>
      </c>
      <c r="L9" s="23">
        <v>72713.241687785339</v>
      </c>
      <c r="M9" s="33">
        <v>4.3503510840000672</v>
      </c>
      <c r="N9" s="5">
        <v>2</v>
      </c>
      <c r="O9" s="5">
        <v>65</v>
      </c>
      <c r="P9" s="33">
        <v>0</v>
      </c>
      <c r="Q9" s="5">
        <v>12.08847385060187</v>
      </c>
      <c r="R9" s="5">
        <v>1442.4636947493227</v>
      </c>
      <c r="S9" s="42"/>
      <c r="T9" s="23">
        <v>84090.566998579758</v>
      </c>
      <c r="U9" s="33">
        <v>3.1752489999998939</v>
      </c>
      <c r="V9" s="5">
        <v>2</v>
      </c>
      <c r="W9" s="5">
        <v>55</v>
      </c>
      <c r="X9" s="33">
        <v>27.161404338026959</v>
      </c>
      <c r="Y9" s="5">
        <v>21.991360278195636</v>
      </c>
      <c r="Z9" s="5">
        <v>1995.9022521207794</v>
      </c>
      <c r="AA9" s="42"/>
    </row>
    <row r="10" spans="2:27" x14ac:dyDescent="0.2">
      <c r="B10" s="4">
        <v>7</v>
      </c>
      <c r="C10" s="4">
        <v>778</v>
      </c>
      <c r="D10" s="23">
        <v>71569.70094351552</v>
      </c>
      <c r="E10" s="33">
        <v>4.6045826250010577</v>
      </c>
      <c r="F10" s="5">
        <v>2</v>
      </c>
      <c r="G10" s="23">
        <v>70</v>
      </c>
      <c r="H10" s="33">
        <v>5.5510950253763962</v>
      </c>
      <c r="I10" s="23">
        <v>15.755358605336655</v>
      </c>
      <c r="J10" s="5">
        <v>1677.0606124063793</v>
      </c>
      <c r="K10" s="31" t="e">
        <f t="shared" si="0"/>
        <v>#DIV/0!</v>
      </c>
      <c r="L10" s="23">
        <v>72713.241687785339</v>
      </c>
      <c r="M10" s="33">
        <v>4.3720600420001574</v>
      </c>
      <c r="N10" s="5">
        <v>2</v>
      </c>
      <c r="O10" s="5">
        <v>65</v>
      </c>
      <c r="P10" s="33">
        <v>0</v>
      </c>
      <c r="Q10" s="5">
        <v>12.08847385060187</v>
      </c>
      <c r="R10" s="5">
        <v>1442.4636947493227</v>
      </c>
      <c r="S10" s="42"/>
      <c r="T10" s="23">
        <v>79841.721753771591</v>
      </c>
      <c r="U10" s="33">
        <v>4.4358370419995481</v>
      </c>
      <c r="V10" s="5">
        <v>2</v>
      </c>
      <c r="W10" s="5">
        <v>65</v>
      </c>
      <c r="X10" s="33">
        <v>36.16828129458645</v>
      </c>
      <c r="Y10" s="5">
        <v>18.792873411974334</v>
      </c>
      <c r="Z10" s="5">
        <v>1969.8092916061732</v>
      </c>
      <c r="AA10" s="42"/>
    </row>
    <row r="11" spans="2:27" x14ac:dyDescent="0.2">
      <c r="B11" s="4">
        <v>8</v>
      </c>
      <c r="C11" s="4">
        <v>866</v>
      </c>
      <c r="D11" s="23">
        <v>71569.70094351552</v>
      </c>
      <c r="E11" s="33">
        <v>4.6752905409994128</v>
      </c>
      <c r="F11" s="5">
        <v>2</v>
      </c>
      <c r="G11" s="23">
        <v>70</v>
      </c>
      <c r="H11" s="33">
        <v>5.5510950253763962</v>
      </c>
      <c r="I11" s="23">
        <v>15.755358605336655</v>
      </c>
      <c r="J11" s="5">
        <v>1677.0606124063793</v>
      </c>
      <c r="K11" s="31" t="e">
        <f t="shared" si="0"/>
        <v>#DIV/0!</v>
      </c>
      <c r="L11" s="23">
        <v>72713.241687785339</v>
      </c>
      <c r="M11" s="33">
        <v>4.296542624999347</v>
      </c>
      <c r="N11" s="5">
        <v>2</v>
      </c>
      <c r="O11" s="5">
        <v>65</v>
      </c>
      <c r="P11" s="33">
        <v>0</v>
      </c>
      <c r="Q11" s="5">
        <v>12.08847385060187</v>
      </c>
      <c r="R11" s="5">
        <v>1442.4636947493227</v>
      </c>
      <c r="S11" s="42"/>
      <c r="T11" s="23">
        <v>79841.721753771591</v>
      </c>
      <c r="U11" s="33">
        <v>4.1913492919993587</v>
      </c>
      <c r="V11" s="5">
        <v>2</v>
      </c>
      <c r="W11" s="5">
        <v>65</v>
      </c>
      <c r="X11" s="33">
        <v>36.16828129458645</v>
      </c>
      <c r="Y11" s="5">
        <v>18.792873411974334</v>
      </c>
      <c r="Z11" s="5">
        <v>1969.8092916061732</v>
      </c>
      <c r="AA11" s="42"/>
    </row>
    <row r="12" spans="2:27" x14ac:dyDescent="0.2">
      <c r="B12" s="4">
        <v>9</v>
      </c>
      <c r="C12" s="4">
        <v>913</v>
      </c>
      <c r="D12" s="23">
        <v>71569.70094351552</v>
      </c>
      <c r="E12" s="33">
        <v>4.5806875840007706</v>
      </c>
      <c r="F12" s="5">
        <v>2</v>
      </c>
      <c r="G12" s="23">
        <v>70</v>
      </c>
      <c r="H12" s="33">
        <v>5.5510950253763962</v>
      </c>
      <c r="I12" s="23">
        <v>15.755358605336655</v>
      </c>
      <c r="J12" s="5">
        <v>1677.0606124063793</v>
      </c>
      <c r="K12" s="31" t="e">
        <f t="shared" si="0"/>
        <v>#DIV/0!</v>
      </c>
      <c r="L12" s="23">
        <v>72713.241687785339</v>
      </c>
      <c r="M12" s="33">
        <v>4.321503125000163</v>
      </c>
      <c r="N12" s="5">
        <v>2</v>
      </c>
      <c r="O12" s="5">
        <v>65</v>
      </c>
      <c r="P12" s="33">
        <v>0</v>
      </c>
      <c r="Q12" s="5">
        <v>12.08847385060187</v>
      </c>
      <c r="R12" s="5">
        <v>1442.4636947493227</v>
      </c>
      <c r="S12" s="42"/>
      <c r="T12" s="23">
        <v>79841.721753771591</v>
      </c>
      <c r="U12" s="33">
        <v>4.1112539579989971</v>
      </c>
      <c r="V12" s="5">
        <v>2</v>
      </c>
      <c r="W12" s="5">
        <v>65</v>
      </c>
      <c r="X12" s="33">
        <v>36.16828129458645</v>
      </c>
      <c r="Y12" s="5">
        <v>18.792873411974334</v>
      </c>
      <c r="Z12" s="5">
        <v>1969.8092916061732</v>
      </c>
      <c r="AA12" s="42"/>
    </row>
    <row r="13" spans="2:27" x14ac:dyDescent="0.2">
      <c r="B13" s="4">
        <v>10</v>
      </c>
      <c r="C13" s="4">
        <v>34</v>
      </c>
      <c r="D13" s="23">
        <v>71569.70094351552</v>
      </c>
      <c r="E13" s="33">
        <v>4.5736856669991539</v>
      </c>
      <c r="F13" s="5">
        <v>2</v>
      </c>
      <c r="G13" s="23">
        <v>70</v>
      </c>
      <c r="H13" s="33">
        <v>5.5510950253763962</v>
      </c>
      <c r="I13" s="23">
        <v>15.755358605336655</v>
      </c>
      <c r="J13" s="5">
        <v>1677.0606124063793</v>
      </c>
      <c r="K13" s="31" t="e">
        <f t="shared" si="0"/>
        <v>#DIV/0!</v>
      </c>
      <c r="L13" s="23">
        <v>72713.241687785339</v>
      </c>
      <c r="M13" s="33">
        <v>4.254260665999027</v>
      </c>
      <c r="N13" s="5">
        <v>2</v>
      </c>
      <c r="O13" s="5">
        <v>65</v>
      </c>
      <c r="P13" s="33">
        <v>0</v>
      </c>
      <c r="Q13" s="5">
        <v>12.08847385060187</v>
      </c>
      <c r="R13" s="5">
        <v>1442.4636947493227</v>
      </c>
      <c r="S13" s="42"/>
      <c r="T13" s="23">
        <v>79841.721753771591</v>
      </c>
      <c r="U13" s="33">
        <v>4.1484344170003169</v>
      </c>
      <c r="V13" s="5">
        <v>2</v>
      </c>
      <c r="W13" s="5">
        <v>65</v>
      </c>
      <c r="X13" s="33">
        <v>36.16828129458645</v>
      </c>
      <c r="Y13" s="5">
        <v>18.792873411974334</v>
      </c>
      <c r="Z13" s="5">
        <v>1969.8092916061732</v>
      </c>
      <c r="AA13" s="42"/>
    </row>
    <row r="14" spans="2:27" x14ac:dyDescent="0.2">
      <c r="B14" s="46" t="s">
        <v>3</v>
      </c>
      <c r="C14" s="47"/>
      <c r="D14" s="9">
        <f>MIN(D4:D13)</f>
        <v>71569.70094351552</v>
      </c>
      <c r="E14" s="22">
        <f>INDEX(E4:E13, MATCH($D$14, D4:D13, 0))</f>
        <v>4.5041143750004267</v>
      </c>
      <c r="F14" s="9">
        <f>INDEX(F4:F13, MATCH($D$14, D4:D13, 0))</f>
        <v>2</v>
      </c>
      <c r="G14" s="9">
        <f>INDEX(G4:G13, MATCH($D$14, D4:D13, 0))</f>
        <v>70</v>
      </c>
      <c r="H14" s="22">
        <f>INDEX(H4:H13, MATCH($D$14, D4:D13, 0))</f>
        <v>5.5510950253763962</v>
      </c>
      <c r="I14" s="22">
        <f>INDEX(I4:I13, MATCH($D$14, D4:D13, 0))</f>
        <v>15.755358605336655</v>
      </c>
      <c r="J14" s="22">
        <f>INDEX(J4:J13, MATCH($D$14, D4:D13, 0))</f>
        <v>1677.0606124063793</v>
      </c>
      <c r="K14" s="32" t="e">
        <f>(D14-$D$15)/$D$15</f>
        <v>#DIV/0!</v>
      </c>
      <c r="L14" s="16">
        <f>MIN(L4:L13)</f>
        <v>72713.241687785339</v>
      </c>
      <c r="M14" s="21">
        <f>INDEX(M4:M13, MATCH($L$14, L4:L13, 0))</f>
        <v>4.4153991249986566</v>
      </c>
      <c r="N14" s="16">
        <f>INDEX(N4:N13, MATCH($L$14, L4:L13, 0))</f>
        <v>2</v>
      </c>
      <c r="O14" s="16">
        <f>INDEX(O4:O13, MATCH($L$14, L4:L13, 0))</f>
        <v>65</v>
      </c>
      <c r="P14" s="21">
        <f>INDEX(P4:P13, MATCH($L$14, L4:L13, 0))</f>
        <v>0</v>
      </c>
      <c r="Q14" s="21">
        <f>INDEX(Q4:Q13, MATCH($L$14, L4:L13, 0))</f>
        <v>12.08847385060187</v>
      </c>
      <c r="R14" s="21">
        <f>INDEX(R4:R13, MATCH($L$14, L4:L13, 0))</f>
        <v>1442.4636947493227</v>
      </c>
      <c r="S14" s="43" t="e">
        <f>(L14-$D$15)/$D$15</f>
        <v>#DIV/0!</v>
      </c>
      <c r="T14" s="38">
        <f>MIN(T4:T13)</f>
        <v>79841.721753771591</v>
      </c>
      <c r="U14" s="44">
        <f>INDEX(U4:U13, MATCH($T$14, T4:T13, 0))</f>
        <v>4.2383435419997113</v>
      </c>
      <c r="V14" s="38">
        <f>INDEX(V4:V13, MATCH($T$14, T4:T13, 0))</f>
        <v>2</v>
      </c>
      <c r="W14" s="38">
        <f>INDEX(W4:W13, MATCH($T$14, T4:T13, 0))</f>
        <v>65</v>
      </c>
      <c r="X14" s="44">
        <f>INDEX(X4:X13, MATCH($T$14, T4:T13, 0))</f>
        <v>36.16828129458645</v>
      </c>
      <c r="Y14" s="44">
        <f>INDEX(Y4:Y13, MATCH($T$14, T4:T13, 0))</f>
        <v>18.792873411974334</v>
      </c>
      <c r="Z14" s="44">
        <f>INDEX(Z4:Z13, MATCH($T$14, T4:T13, 0))</f>
        <v>1969.8092916061732</v>
      </c>
      <c r="AA14" s="45" t="e">
        <f>(T14-$D$15)/$D$15</f>
        <v>#DIV/0!</v>
      </c>
    </row>
    <row r="15" spans="2:27" x14ac:dyDescent="0.2">
      <c r="D15" s="34"/>
      <c r="E15" s="3"/>
      <c r="F15" s="3"/>
      <c r="G15" s="3"/>
      <c r="H15" s="3"/>
      <c r="I15" s="3"/>
      <c r="J15" s="3"/>
      <c r="K15" s="3"/>
      <c r="L15" s="41"/>
      <c r="M15" s="41"/>
      <c r="N15" s="41"/>
      <c r="O15" s="41"/>
      <c r="P15" s="41"/>
      <c r="Q15" s="41"/>
      <c r="R15" s="41"/>
      <c r="S15"/>
      <c r="T15" s="41"/>
      <c r="U15" s="41"/>
      <c r="V15" s="41"/>
      <c r="W15" s="41"/>
      <c r="X15" s="41"/>
      <c r="Y15" s="41"/>
      <c r="Z15" s="41"/>
      <c r="AA15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048576">
    <cfRule type="duplicateValues" dxfId="39" priority="3"/>
    <cfRule type="duplicateValues" dxfId="38" priority="4"/>
  </conditionalFormatting>
  <conditionalFormatting sqref="C14">
    <cfRule type="duplicateValues" dxfId="37" priority="1"/>
    <cfRule type="duplicateValues" dxfId="36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ColWidth="11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ColWidth="10.83203125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35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34" priority="1"/>
  </conditionalFormatting>
  <conditionalFormatting sqref="L14">
    <cfRule type="duplicateValues" dxfId="33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32" priority="1"/>
  </conditionalFormatting>
  <conditionalFormatting sqref="L14">
    <cfRule type="duplicateValues" dxfId="31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30" priority="1"/>
  </conditionalFormatting>
  <conditionalFormatting sqref="L14">
    <cfRule type="duplicateValues" dxfId="29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8" priority="1"/>
  </conditionalFormatting>
  <conditionalFormatting sqref="L14">
    <cfRule type="duplicateValues" dxfId="27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6" priority="1"/>
  </conditionalFormatting>
  <conditionalFormatting sqref="L14">
    <cfRule type="duplicateValues" dxfId="25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4" priority="1"/>
    <cfRule type="duplicateValues" dxfId="23" priority="2"/>
  </conditionalFormatting>
  <conditionalFormatting sqref="L14">
    <cfRule type="duplicateValues" dxfId="22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21" priority="1"/>
  </conditionalFormatting>
  <conditionalFormatting sqref="L14">
    <cfRule type="duplicateValues" dxfId="20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9" priority="1"/>
  </conditionalFormatting>
  <conditionalFormatting sqref="L14">
    <cfRule type="duplicateValues" dxfId="18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7" priority="1"/>
  </conditionalFormatting>
  <conditionalFormatting sqref="L14">
    <cfRule type="duplicateValues" dxfId="16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15" priority="1"/>
  </conditionalFormatting>
  <conditionalFormatting sqref="L14">
    <cfRule type="duplicateValues" dxfId="14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13" priority="1"/>
  </conditionalFormatting>
  <conditionalFormatting sqref="L14">
    <cfRule type="duplicateValues" dxfId="12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11" priority="1"/>
  </conditionalFormatting>
  <conditionalFormatting sqref="L14">
    <cfRule type="duplicateValues" dxfId="10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9" priority="1"/>
  </conditionalFormatting>
  <conditionalFormatting sqref="L14">
    <cfRule type="duplicateValues" dxfId="8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7" priority="1"/>
  </conditionalFormatting>
  <conditionalFormatting sqref="L14">
    <cfRule type="duplicateValues" dxfId="6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ColWidth="10.83203125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5" priority="1"/>
  </conditionalFormatting>
  <conditionalFormatting sqref="L14">
    <cfRule type="duplicateValues" dxfId="4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results56</vt:lpstr>
      <vt:lpstr>results166</vt:lpstr>
      <vt:lpstr>results214</vt:lpstr>
      <vt:lpstr>results249</vt:lpstr>
      <vt:lpstr>results372</vt:lpstr>
      <vt:lpstr>results509</vt:lpstr>
      <vt:lpstr>results562</vt:lpstr>
      <vt:lpstr>results664</vt:lpstr>
      <vt:lpstr>results798</vt:lpstr>
      <vt:lpstr>results952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2026-10-15T21:40:13Z</dcterms:modified>
</cp:coreProperties>
</file>