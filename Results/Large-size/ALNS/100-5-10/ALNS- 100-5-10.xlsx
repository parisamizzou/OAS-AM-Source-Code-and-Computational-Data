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ALNS/100-5-10/"/>
    </mc:Choice>
  </mc:AlternateContent>
  <xr:revisionPtr revIDLastSave="0" documentId="13_ncr:1_{66EBB6EE-99B3-C948-8FE5-A8A6726DD05C}" xr6:coauthVersionLast="47" xr6:coauthVersionMax="47" xr10:uidLastSave="{00000000-0000-0000-0000-000000000000}"/>
  <bookViews>
    <workbookView xWindow="0" yWindow="740" windowWidth="34560" windowHeight="21600" activeTab="10" xr2:uid="{41E620E7-D6DF-9342-B452-EA60AB3B07C5}"/>
  </bookViews>
  <sheets>
    <sheet name="Summary" sheetId="68" r:id="rId1"/>
    <sheet name="results340" sheetId="58" r:id="rId2"/>
    <sheet name="results444" sheetId="78" r:id="rId3"/>
    <sheet name="results531" sheetId="79" r:id="rId4"/>
    <sheet name="results618" sheetId="80" r:id="rId5"/>
    <sheet name="results765" sheetId="82" r:id="rId6"/>
    <sheet name="results777" sheetId="86" r:id="rId7"/>
    <sheet name="results866" sheetId="87" r:id="rId8"/>
    <sheet name="results914" sheetId="88" r:id="rId9"/>
    <sheet name="results921" sheetId="83" r:id="rId10"/>
    <sheet name="results979" sheetId="84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82" l="1"/>
  <c r="K8" i="82"/>
  <c r="K6" i="82"/>
  <c r="K7" i="82"/>
  <c r="K9" i="82"/>
  <c r="K10" i="82"/>
  <c r="K13" i="82"/>
  <c r="K11" i="82"/>
  <c r="K12" i="82"/>
  <c r="L14" i="84" l="1"/>
  <c r="Q14" i="84" s="1"/>
  <c r="L14" i="83"/>
  <c r="P14" i="83" s="1"/>
  <c r="L14" i="88"/>
  <c r="O14" i="88" s="1"/>
  <c r="L14" i="86"/>
  <c r="L14" i="82"/>
  <c r="Q14" i="82" s="1"/>
  <c r="L14" i="80"/>
  <c r="L14" i="87"/>
  <c r="N14" i="87" s="1"/>
  <c r="L14" i="79"/>
  <c r="M14" i="79" s="1"/>
  <c r="L14" i="78"/>
  <c r="T14" i="84"/>
  <c r="V14" i="84" s="1"/>
  <c r="T14" i="83"/>
  <c r="X14" i="83" s="1"/>
  <c r="T14" i="88"/>
  <c r="X14" i="88" s="1"/>
  <c r="T14" i="86"/>
  <c r="W14" i="86" s="1"/>
  <c r="T14" i="82"/>
  <c r="T14" i="79"/>
  <c r="AA14" i="79" s="1"/>
  <c r="T14" i="87"/>
  <c r="V14" i="87" s="1"/>
  <c r="T14" i="80"/>
  <c r="V14" i="80" s="1"/>
  <c r="T14" i="78"/>
  <c r="AA14" i="78" s="1"/>
  <c r="W14" i="88"/>
  <c r="Y14" i="88"/>
  <c r="Y14" i="87"/>
  <c r="X14" i="87"/>
  <c r="AA14" i="87"/>
  <c r="Z14" i="87"/>
  <c r="D14" i="88"/>
  <c r="M14" i="86"/>
  <c r="S14" i="86"/>
  <c r="R14" i="86"/>
  <c r="Q14" i="86"/>
  <c r="N14" i="86"/>
  <c r="P14" i="86"/>
  <c r="O14" i="86"/>
  <c r="D14" i="87"/>
  <c r="D14" i="86"/>
  <c r="U14" i="86"/>
  <c r="D14" i="83"/>
  <c r="D14" i="82"/>
  <c r="K4" i="82"/>
  <c r="D14" i="84"/>
  <c r="V14" i="83"/>
  <c r="U14" i="83"/>
  <c r="W14" i="83"/>
  <c r="Z14" i="83"/>
  <c r="M14" i="84"/>
  <c r="S14" i="84"/>
  <c r="R14" i="84"/>
  <c r="O14" i="84"/>
  <c r="N14" i="84"/>
  <c r="P14" i="84"/>
  <c r="W14" i="84"/>
  <c r="Z14" i="84"/>
  <c r="AA14" i="82"/>
  <c r="Z14" i="82"/>
  <c r="Y14" i="82"/>
  <c r="W14" i="82"/>
  <c r="X14" i="82"/>
  <c r="V14" i="82"/>
  <c r="U14" i="82"/>
  <c r="M14" i="83"/>
  <c r="R14" i="83"/>
  <c r="Q14" i="83"/>
  <c r="D14" i="80"/>
  <c r="S14" i="80"/>
  <c r="M14" i="80"/>
  <c r="N14" i="80"/>
  <c r="P14" i="80"/>
  <c r="R14" i="80"/>
  <c r="Q14" i="80"/>
  <c r="O14" i="80"/>
  <c r="W14" i="80"/>
  <c r="S14" i="79"/>
  <c r="O14" i="79"/>
  <c r="R14" i="79"/>
  <c r="Q14" i="79"/>
  <c r="P14" i="79"/>
  <c r="N14" i="79"/>
  <c r="D14" i="79"/>
  <c r="D14" i="78"/>
  <c r="L15" i="78" s="1"/>
  <c r="S14" i="78"/>
  <c r="R14" i="78"/>
  <c r="O14" i="78"/>
  <c r="Q14" i="78"/>
  <c r="N14" i="78"/>
  <c r="M14" i="78"/>
  <c r="P14" i="78"/>
  <c r="W14" i="78"/>
  <c r="V14" i="78"/>
  <c r="U14" i="78"/>
  <c r="Z14" i="78"/>
  <c r="Y14" i="78"/>
  <c r="N14" i="83" l="1"/>
  <c r="S14" i="83"/>
  <c r="O14" i="83"/>
  <c r="P14" i="88"/>
  <c r="S14" i="88"/>
  <c r="R14" i="88"/>
  <c r="Q14" i="88"/>
  <c r="N14" i="88"/>
  <c r="M14" i="88"/>
  <c r="N14" i="82"/>
  <c r="M14" i="82"/>
  <c r="O14" i="82"/>
  <c r="P14" i="82"/>
  <c r="X2" i="82" s="1"/>
  <c r="R14" i="82"/>
  <c r="Z2" i="82" s="1"/>
  <c r="S14" i="82"/>
  <c r="L15" i="82"/>
  <c r="M14" i="87"/>
  <c r="P14" i="87"/>
  <c r="X2" i="87" s="1"/>
  <c r="Q14" i="87"/>
  <c r="S14" i="87"/>
  <c r="R14" i="87"/>
  <c r="Z2" i="87" s="1"/>
  <c r="O14" i="87"/>
  <c r="AA14" i="84"/>
  <c r="Y14" i="84"/>
  <c r="X14" i="84"/>
  <c r="X2" i="84" s="1"/>
  <c r="U14" i="84"/>
  <c r="AA14" i="83"/>
  <c r="Y14" i="83"/>
  <c r="T15" i="83"/>
  <c r="U14" i="88"/>
  <c r="V14" i="88"/>
  <c r="Z14" i="88"/>
  <c r="Z2" i="88" s="1"/>
  <c r="AA14" i="88"/>
  <c r="AA14" i="86"/>
  <c r="X14" i="86"/>
  <c r="Y14" i="86"/>
  <c r="Z14" i="86"/>
  <c r="V14" i="86"/>
  <c r="T15" i="86"/>
  <c r="W14" i="87"/>
  <c r="U14" i="87"/>
  <c r="T15" i="79"/>
  <c r="X14" i="79"/>
  <c r="X2" i="79" s="1"/>
  <c r="Y14" i="79"/>
  <c r="U14" i="79"/>
  <c r="V14" i="79"/>
  <c r="W14" i="79"/>
  <c r="Z14" i="79"/>
  <c r="Z2" i="79" s="1"/>
  <c r="X14" i="80"/>
  <c r="X2" i="80" s="1"/>
  <c r="Z14" i="80"/>
  <c r="Z2" i="80" s="1"/>
  <c r="AA14" i="80"/>
  <c r="Y14" i="80"/>
  <c r="U14" i="80"/>
  <c r="X14" i="78"/>
  <c r="L15" i="83"/>
  <c r="T15" i="82"/>
  <c r="X2" i="88"/>
  <c r="K14" i="86"/>
  <c r="J14" i="86"/>
  <c r="J2" i="86" s="1"/>
  <c r="F14" i="86"/>
  <c r="N15" i="86" s="1"/>
  <c r="E14" i="86"/>
  <c r="M15" i="86" s="1"/>
  <c r="H14" i="86"/>
  <c r="P2" i="86" s="1"/>
  <c r="G14" i="86"/>
  <c r="W15" i="86" s="1"/>
  <c r="I14" i="86"/>
  <c r="Y15" i="86" s="1"/>
  <c r="K14" i="88"/>
  <c r="J14" i="88"/>
  <c r="R15" i="88" s="1"/>
  <c r="I14" i="88"/>
  <c r="Y15" i="88" s="1"/>
  <c r="H14" i="88"/>
  <c r="P15" i="88" s="1"/>
  <c r="G14" i="88"/>
  <c r="W15" i="88" s="1"/>
  <c r="F14" i="88"/>
  <c r="N15" i="88" s="1"/>
  <c r="E14" i="88"/>
  <c r="T15" i="88"/>
  <c r="Z2" i="86"/>
  <c r="X2" i="86"/>
  <c r="L15" i="88"/>
  <c r="K14" i="87"/>
  <c r="J14" i="87"/>
  <c r="I14" i="87"/>
  <c r="H14" i="87"/>
  <c r="F14" i="87"/>
  <c r="N15" i="87" s="1"/>
  <c r="E14" i="87"/>
  <c r="G14" i="87"/>
  <c r="L15" i="86"/>
  <c r="L15" i="87"/>
  <c r="T15" i="87"/>
  <c r="J14" i="84"/>
  <c r="J2" i="84" s="1"/>
  <c r="I14" i="84"/>
  <c r="Y15" i="84" s="1"/>
  <c r="H14" i="84"/>
  <c r="P2" i="84" s="1"/>
  <c r="K14" i="84"/>
  <c r="G14" i="84"/>
  <c r="O15" i="84" s="1"/>
  <c r="F14" i="84"/>
  <c r="N15" i="84" s="1"/>
  <c r="E14" i="84"/>
  <c r="U15" i="84" s="1"/>
  <c r="L15" i="84"/>
  <c r="F14" i="82"/>
  <c r="V15" i="82" s="1"/>
  <c r="E14" i="82"/>
  <c r="U15" i="82" s="1"/>
  <c r="I14" i="82"/>
  <c r="Y15" i="82" s="1"/>
  <c r="H14" i="82"/>
  <c r="H2" i="82" s="1"/>
  <c r="G14" i="82"/>
  <c r="K14" i="82"/>
  <c r="J14" i="82"/>
  <c r="Z2" i="84"/>
  <c r="X2" i="83"/>
  <c r="T15" i="84"/>
  <c r="Z2" i="83"/>
  <c r="J14" i="83"/>
  <c r="R2" i="83" s="1"/>
  <c r="I14" i="83"/>
  <c r="Q15" i="83" s="1"/>
  <c r="H14" i="83"/>
  <c r="P15" i="83" s="1"/>
  <c r="K14" i="83"/>
  <c r="F14" i="83"/>
  <c r="N15" i="83" s="1"/>
  <c r="G14" i="83"/>
  <c r="E14" i="83"/>
  <c r="U15" i="83" s="1"/>
  <c r="K14" i="80"/>
  <c r="J14" i="80"/>
  <c r="Z15" i="80" s="1"/>
  <c r="I14" i="80"/>
  <c r="Q15" i="80" s="1"/>
  <c r="H14" i="80"/>
  <c r="P15" i="80" s="1"/>
  <c r="G14" i="80"/>
  <c r="O15" i="80" s="1"/>
  <c r="F14" i="80"/>
  <c r="N15" i="80" s="1"/>
  <c r="E14" i="80"/>
  <c r="T15" i="80"/>
  <c r="L15" i="80"/>
  <c r="T15" i="78"/>
  <c r="K14" i="79"/>
  <c r="J14" i="79"/>
  <c r="I14" i="79"/>
  <c r="Y15" i="79" s="1"/>
  <c r="G14" i="79"/>
  <c r="H14" i="79"/>
  <c r="F14" i="79"/>
  <c r="N15" i="79" s="1"/>
  <c r="E14" i="79"/>
  <c r="M15" i="79" s="1"/>
  <c r="L15" i="79"/>
  <c r="Z2" i="78"/>
  <c r="X2" i="78"/>
  <c r="K14" i="78"/>
  <c r="J14" i="78"/>
  <c r="Z15" i="78" s="1"/>
  <c r="G14" i="78"/>
  <c r="W15" i="78" s="1"/>
  <c r="F14" i="78"/>
  <c r="N15" i="78" s="1"/>
  <c r="I14" i="78"/>
  <c r="Q15" i="78" s="1"/>
  <c r="E14" i="78"/>
  <c r="M15" i="78" s="1"/>
  <c r="H14" i="78"/>
  <c r="P2" i="78" s="1"/>
  <c r="O15" i="83" l="1"/>
  <c r="M15" i="88"/>
  <c r="O15" i="82"/>
  <c r="R15" i="82"/>
  <c r="H2" i="87"/>
  <c r="Q15" i="87"/>
  <c r="J2" i="87"/>
  <c r="U15" i="87"/>
  <c r="W15" i="87"/>
  <c r="X15" i="79"/>
  <c r="W15" i="79"/>
  <c r="Z15" i="79"/>
  <c r="U15" i="80"/>
  <c r="W15" i="82"/>
  <c r="R2" i="87"/>
  <c r="U15" i="86"/>
  <c r="H2" i="88"/>
  <c r="H2" i="86"/>
  <c r="W15" i="84"/>
  <c r="Z15" i="87"/>
  <c r="Q15" i="86"/>
  <c r="X15" i="86"/>
  <c r="M15" i="82"/>
  <c r="M15" i="84"/>
  <c r="V15" i="87"/>
  <c r="P2" i="87"/>
  <c r="O15" i="88"/>
  <c r="P15" i="87"/>
  <c r="R15" i="87"/>
  <c r="R15" i="86"/>
  <c r="X15" i="88"/>
  <c r="Q15" i="88"/>
  <c r="V15" i="88"/>
  <c r="M15" i="83"/>
  <c r="M15" i="87"/>
  <c r="U15" i="88"/>
  <c r="X15" i="84"/>
  <c r="P2" i="88"/>
  <c r="Z15" i="86"/>
  <c r="Z15" i="88"/>
  <c r="Y15" i="87"/>
  <c r="J2" i="88"/>
  <c r="R2" i="86"/>
  <c r="Y15" i="83"/>
  <c r="O15" i="87"/>
  <c r="Q15" i="84"/>
  <c r="J2" i="83"/>
  <c r="P2" i="79"/>
  <c r="M15" i="80"/>
  <c r="H2" i="83"/>
  <c r="V15" i="86"/>
  <c r="X15" i="87"/>
  <c r="R2" i="82"/>
  <c r="R15" i="83"/>
  <c r="P15" i="86"/>
  <c r="O15" i="86"/>
  <c r="R2" i="88"/>
  <c r="Z15" i="83"/>
  <c r="N15" i="82"/>
  <c r="P2" i="83"/>
  <c r="Z15" i="84"/>
  <c r="Q15" i="82"/>
  <c r="Q15" i="79"/>
  <c r="J2" i="79"/>
  <c r="R15" i="79"/>
  <c r="Z15" i="82"/>
  <c r="P15" i="84"/>
  <c r="P15" i="82"/>
  <c r="U15" i="79"/>
  <c r="X15" i="82"/>
  <c r="H2" i="84"/>
  <c r="P2" i="82"/>
  <c r="V15" i="83"/>
  <c r="J2" i="82"/>
  <c r="R2" i="84"/>
  <c r="V15" i="84"/>
  <c r="X15" i="83"/>
  <c r="R15" i="84"/>
  <c r="W15" i="83"/>
  <c r="R2" i="79"/>
  <c r="V15" i="80"/>
  <c r="W15" i="80"/>
  <c r="X15" i="80"/>
  <c r="Y15" i="80"/>
  <c r="R2" i="80"/>
  <c r="H2" i="80"/>
  <c r="J2" i="80"/>
  <c r="P2" i="80"/>
  <c r="R15" i="80"/>
  <c r="H2" i="79"/>
  <c r="P15" i="79"/>
  <c r="V15" i="79"/>
  <c r="O15" i="79"/>
  <c r="V15" i="78"/>
  <c r="X15" i="78"/>
  <c r="Y15" i="78"/>
  <c r="J2" i="78"/>
  <c r="H2" i="78"/>
  <c r="R15" i="78"/>
  <c r="R2" i="78"/>
  <c r="U15" i="78"/>
  <c r="O15" i="78"/>
  <c r="P15" i="78"/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14" i="42" l="1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L14" i="58" l="1"/>
  <c r="Q14" i="58" s="1"/>
  <c r="T14" i="58"/>
  <c r="X14" i="58" s="1"/>
  <c r="D14" i="58"/>
  <c r="K14" i="58" s="1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K3" i="68" a="1"/>
  <c r="P11" i="68" a="1"/>
  <c r="C9" i="68" a="1"/>
  <c r="O8" i="68" a="1"/>
  <c r="S6" i="68" a="1"/>
  <c r="W7" i="68" a="1"/>
  <c r="I8" i="68" a="1"/>
  <c r="Y12" i="68" a="1"/>
  <c r="G4" i="68" a="1"/>
  <c r="D10" i="68" a="1"/>
  <c r="O7" i="68" a="1"/>
  <c r="C11" i="68" a="1"/>
  <c r="G10" i="68" a="1"/>
  <c r="M5" i="68" a="1"/>
  <c r="E6" i="68" a="1"/>
  <c r="L5" i="68" a="1"/>
  <c r="X12" i="68" a="1"/>
  <c r="M7" i="68" a="1"/>
  <c r="X6" i="68" a="1"/>
  <c r="F11" i="68" a="1"/>
  <c r="O12" i="68" a="1"/>
  <c r="Y10" i="68" a="1"/>
  <c r="G5" i="68" a="1"/>
  <c r="D12" i="68" a="1"/>
  <c r="F12" i="68" a="1"/>
  <c r="E4" i="68" a="1"/>
  <c r="P10" i="68" a="1"/>
  <c r="N8" i="68" a="1"/>
  <c r="N5" i="68" a="1"/>
  <c r="Y9" i="68" a="1"/>
  <c r="L8" i="68" a="1"/>
  <c r="C6" i="68" a="1"/>
  <c r="N11" i="68" a="1"/>
  <c r="Q6" i="68" a="1"/>
  <c r="D6" i="68" a="1"/>
  <c r="X9" i="68" a="1"/>
  <c r="P9" i="68" a="1"/>
  <c r="V6" i="68" a="1"/>
  <c r="O4" i="68" a="1"/>
  <c r="G12" i="68" a="1"/>
  <c r="P4" i="68" a="1"/>
  <c r="K10" i="68" a="1"/>
  <c r="W6" i="68" a="1"/>
  <c r="U6" i="68" a="1"/>
  <c r="I7" i="68" a="1"/>
  <c r="L6" i="68" a="1"/>
  <c r="E11" i="68" a="1"/>
  <c r="M10" i="68" a="1"/>
  <c r="C7" i="68" a="1"/>
  <c r="H8" i="68" a="1"/>
  <c r="F7" i="68" a="1"/>
  <c r="I4" i="68" a="1"/>
  <c r="M8" i="68" a="1"/>
  <c r="S11" i="68" a="1"/>
  <c r="V9" i="68" a="1"/>
  <c r="T5" i="68" a="1"/>
  <c r="X5" i="68" a="1"/>
  <c r="P5" i="68" a="1"/>
  <c r="G8" i="68" a="1"/>
  <c r="U7" i="68" a="1"/>
  <c r="U9" i="68" a="1"/>
  <c r="K6" i="68" a="1"/>
  <c r="G11" i="68" a="1"/>
  <c r="N10" i="68" a="1"/>
  <c r="W11" i="68" a="1"/>
  <c r="O9" i="68" a="1"/>
  <c r="T9" i="68" a="1"/>
  <c r="K8" i="68" a="1"/>
  <c r="X7" i="68" a="1"/>
  <c r="S10" i="68" a="1"/>
  <c r="L7" i="68" a="1"/>
  <c r="E5" i="68" a="1"/>
  <c r="T11" i="68" a="1"/>
  <c r="S9" i="68" a="1"/>
  <c r="D5" i="68" a="1"/>
  <c r="E7" i="68" a="1"/>
  <c r="O11" i="68" a="1"/>
  <c r="V12" i="68" a="1"/>
  <c r="I6" i="68" a="1"/>
  <c r="H10" i="68" a="1"/>
  <c r="G6" i="68" a="1"/>
  <c r="O5" i="68" a="1"/>
  <c r="F10" i="68" a="1"/>
  <c r="F6" i="68" a="1"/>
  <c r="K7" i="68" a="1"/>
  <c r="O10" i="68" a="1"/>
  <c r="U11" i="68" a="1"/>
  <c r="I9" i="68" a="1"/>
  <c r="S12" i="68" a="1"/>
  <c r="N7" i="68" a="1"/>
  <c r="C5" i="68" a="1"/>
  <c r="L4" i="68" a="1"/>
  <c r="V10" i="68" a="1"/>
  <c r="C4" i="68" a="1"/>
  <c r="V5" i="68" a="1"/>
  <c r="S3" i="68" a="1"/>
  <c r="Y7" i="68" a="1"/>
  <c r="P3" i="68" a="1"/>
  <c r="W12" i="68" a="1"/>
  <c r="L11" i="68" a="1"/>
  <c r="S5" i="68" a="1"/>
  <c r="H12" i="68" a="1"/>
  <c r="I10" i="68" a="1"/>
  <c r="H11" i="68" a="1"/>
  <c r="N4" i="68" a="1"/>
  <c r="F8" i="68" a="1"/>
  <c r="U12" i="68" a="1"/>
  <c r="Q12" i="68" a="1"/>
  <c r="H5" i="68" a="1"/>
  <c r="X4" i="68" a="1"/>
  <c r="W9" i="68" a="1"/>
  <c r="T6" i="68" a="1"/>
  <c r="Q5" i="68" a="1"/>
  <c r="N6" i="68" a="1"/>
  <c r="P6" i="68" a="1"/>
  <c r="E12" i="68" a="1"/>
  <c r="W5" i="68" a="1"/>
  <c r="Q7" i="68" a="1"/>
  <c r="Y5" i="68" a="1"/>
  <c r="U5" i="68" a="1"/>
  <c r="K5" i="68" a="1"/>
  <c r="K9" i="68" a="1"/>
  <c r="M12" i="68" a="1"/>
  <c r="H7" i="68" a="1"/>
  <c r="Q8" i="68" a="1"/>
  <c r="F5" i="68" a="1"/>
  <c r="T12" i="68" a="1"/>
  <c r="V11" i="68" a="1"/>
  <c r="L10" i="68" a="1"/>
  <c r="G9" i="68" a="1"/>
  <c r="H9" i="68" a="1"/>
  <c r="T10" i="68" a="1"/>
  <c r="U10" i="68" a="1"/>
  <c r="I11" i="68" a="1"/>
  <c r="M4" i="68" a="1"/>
  <c r="P8" i="68" a="1"/>
  <c r="E9" i="68" a="1"/>
  <c r="D11" i="68" a="1"/>
  <c r="I5" i="68" a="1"/>
  <c r="Y6" i="68" a="1"/>
  <c r="C12" i="68" a="1"/>
  <c r="N12" i="68" a="1"/>
  <c r="I12" i="68" a="1"/>
  <c r="Q10" i="68" a="1"/>
  <c r="G7" i="68" a="1"/>
  <c r="N9" i="68" a="1"/>
  <c r="Y11" i="68" a="1"/>
  <c r="C8" i="68" a="1"/>
  <c r="E8" i="68" a="1"/>
  <c r="H6" i="68" a="1"/>
  <c r="F9" i="68" a="1"/>
  <c r="P7" i="68" a="1"/>
  <c r="K11" i="68" a="1"/>
  <c r="P12" i="68" a="1"/>
  <c r="S4" i="68" a="1"/>
  <c r="D7" i="68" a="1"/>
  <c r="Q4" i="68" a="1"/>
  <c r="D9" i="68" a="1"/>
  <c r="W10" i="68" a="1"/>
  <c r="C10" i="68" a="1"/>
  <c r="K4" i="68" a="1"/>
  <c r="X11" i="68" a="1"/>
  <c r="O6" i="68" a="1"/>
  <c r="S8" i="68" a="1"/>
  <c r="U8" i="68" a="1"/>
  <c r="K12" i="68" a="1"/>
  <c r="M9" i="68" a="1"/>
  <c r="Q11" i="68" a="1"/>
  <c r="H4" i="68" a="1"/>
  <c r="F4" i="68" a="1"/>
  <c r="S7" i="68" a="1"/>
  <c r="M11" i="68" a="1"/>
  <c r="E10" i="68" a="1"/>
  <c r="Q9" i="68" a="1"/>
  <c r="D4" i="68" a="1"/>
  <c r="C3" i="68" a="1"/>
  <c r="M6" i="68" a="1"/>
  <c r="W3" i="68" a="1"/>
  <c r="X10" i="68" a="1"/>
  <c r="D8" i="68" a="1"/>
  <c r="W4" i="68" a="1"/>
  <c r="L12" i="68" a="1"/>
  <c r="P14" i="58" l="1"/>
  <c r="X2" i="58" s="1"/>
  <c r="N14" i="58"/>
  <c r="R14" i="58"/>
  <c r="O14" i="58"/>
  <c r="S14" i="58"/>
  <c r="M14" i="58"/>
  <c r="G14" i="58"/>
  <c r="L15" i="58"/>
  <c r="V14" i="58"/>
  <c r="Y14" i="58"/>
  <c r="U14" i="58"/>
  <c r="W14" i="58"/>
  <c r="AA14" i="58"/>
  <c r="H14" i="58"/>
  <c r="X15" i="58" s="1"/>
  <c r="F14" i="58"/>
  <c r="E14" i="58"/>
  <c r="I14" i="58"/>
  <c r="J14" i="58"/>
  <c r="T15" i="58"/>
  <c r="K12" i="68"/>
  <c r="K11" i="68"/>
  <c r="K10" i="68"/>
  <c r="K9" i="68"/>
  <c r="K8" i="68"/>
  <c r="K7" i="68"/>
  <c r="K6" i="68"/>
  <c r="K5" i="68"/>
  <c r="K4" i="68"/>
  <c r="K3" i="68"/>
  <c r="S12" i="68"/>
  <c r="S11" i="68"/>
  <c r="S10" i="68"/>
  <c r="S9" i="68"/>
  <c r="S8" i="68"/>
  <c r="S7" i="68"/>
  <c r="S6" i="68"/>
  <c r="S5" i="68"/>
  <c r="S4" i="68"/>
  <c r="Z14" i="58"/>
  <c r="S3" i="68"/>
  <c r="C12" i="68"/>
  <c r="C11" i="68"/>
  <c r="C10" i="68"/>
  <c r="C9" i="68"/>
  <c r="C8" i="68"/>
  <c r="C7" i="68"/>
  <c r="C6" i="68"/>
  <c r="C5" i="68"/>
  <c r="C4" i="68"/>
  <c r="C3" i="68"/>
  <c r="I9" i="68"/>
  <c r="I10" i="68"/>
  <c r="D12" i="68"/>
  <c r="D4" i="68"/>
  <c r="Y6" i="68"/>
  <c r="Y11" i="68"/>
  <c r="Q6" i="68"/>
  <c r="O9" i="68"/>
  <c r="I12" i="68"/>
  <c r="L4" i="68"/>
  <c r="D10" i="68"/>
  <c r="X10" i="68"/>
  <c r="I7" i="68"/>
  <c r="U5" i="68"/>
  <c r="D5" i="68"/>
  <c r="O7" i="68"/>
  <c r="W6" i="68"/>
  <c r="P10" i="68"/>
  <c r="E4" i="68"/>
  <c r="W12" i="68"/>
  <c r="F4" i="68"/>
  <c r="T12" i="68"/>
  <c r="F9" i="68"/>
  <c r="U10" i="68"/>
  <c r="W5" i="68"/>
  <c r="N12" i="68"/>
  <c r="X5" i="68"/>
  <c r="G12" i="68"/>
  <c r="N4" i="68"/>
  <c r="T5" i="68"/>
  <c r="L8" i="68"/>
  <c r="F5" i="68"/>
  <c r="M7" i="68"/>
  <c r="G10" i="68"/>
  <c r="Y10" i="68"/>
  <c r="V5" i="68"/>
  <c r="Q8" i="68"/>
  <c r="L7" i="68"/>
  <c r="Q10" i="68"/>
  <c r="O6" i="68"/>
  <c r="H4" i="68"/>
  <c r="E9" i="68"/>
  <c r="T10" i="68"/>
  <c r="E12" i="68"/>
  <c r="H6" i="68"/>
  <c r="G6" i="68"/>
  <c r="W10" i="68"/>
  <c r="G5" i="68"/>
  <c r="X6" i="68"/>
  <c r="P6" i="68"/>
  <c r="D9" i="68"/>
  <c r="O4" i="68"/>
  <c r="H10" i="68"/>
  <c r="G7" i="68"/>
  <c r="N8" i="68"/>
  <c r="W3" i="68"/>
  <c r="H5" i="68"/>
  <c r="T9" i="68"/>
  <c r="U8" i="68"/>
  <c r="M9" i="68"/>
  <c r="P4" i="68"/>
  <c r="E8" i="68"/>
  <c r="D7" i="68"/>
  <c r="E11" i="68"/>
  <c r="O8" i="68"/>
  <c r="P12" i="68"/>
  <c r="I5" i="68"/>
  <c r="L5" i="68"/>
  <c r="O10" i="68"/>
  <c r="M11" i="68"/>
  <c r="G4" i="68"/>
  <c r="F8" i="68"/>
  <c r="E7" i="68"/>
  <c r="W4" i="68"/>
  <c r="Q5" i="68"/>
  <c r="T11" i="68"/>
  <c r="L11" i="68"/>
  <c r="I4" i="68"/>
  <c r="G11" i="68"/>
  <c r="L12" i="68"/>
  <c r="V9" i="68"/>
  <c r="H9" i="68"/>
  <c r="D6" i="68"/>
  <c r="E10" i="68"/>
  <c r="G8" i="68"/>
  <c r="F7" i="68"/>
  <c r="D11" i="68"/>
  <c r="P8" i="68"/>
  <c r="O12" i="68"/>
  <c r="E5" i="68"/>
  <c r="U9" i="68"/>
  <c r="X4" i="68"/>
  <c r="M5" i="68"/>
  <c r="L10" i="68"/>
  <c r="W11" i="68"/>
  <c r="N11" i="68"/>
  <c r="G9" i="68"/>
  <c r="I6" i="68"/>
  <c r="F10" i="68"/>
  <c r="I8" i="68"/>
  <c r="H7" i="68"/>
  <c r="H11" i="68"/>
  <c r="M8" i="68"/>
  <c r="N7" i="68"/>
  <c r="T6" i="68"/>
  <c r="P5" i="68"/>
  <c r="M10" i="68"/>
  <c r="U11" i="68"/>
  <c r="O11" i="68"/>
  <c r="P3" i="68"/>
  <c r="U12" i="68"/>
  <c r="H8" i="68"/>
  <c r="I11" i="68"/>
  <c r="P7" i="68"/>
  <c r="W9" i="68"/>
  <c r="V6" i="68"/>
  <c r="O5" i="68"/>
  <c r="N10" i="68"/>
  <c r="V11" i="68"/>
  <c r="M6" i="68"/>
  <c r="P11" i="68"/>
  <c r="N9" i="68"/>
  <c r="U7" i="68"/>
  <c r="V12" i="68"/>
  <c r="X9" i="68"/>
  <c r="N6" i="68"/>
  <c r="Q11" i="68"/>
  <c r="W7" i="68"/>
  <c r="Q7" i="68"/>
  <c r="U6" i="68"/>
  <c r="H12" i="68"/>
  <c r="Q4" i="68"/>
  <c r="D8" i="68"/>
  <c r="Q12" i="68"/>
  <c r="Y9" i="68"/>
  <c r="N5" i="68"/>
  <c r="X11" i="68"/>
  <c r="L6" i="68"/>
  <c r="Q9" i="68"/>
  <c r="Y12" i="68"/>
  <c r="F6" i="68"/>
  <c r="F11" i="68"/>
  <c r="X7" i="68"/>
  <c r="F12" i="68"/>
  <c r="M4" i="68"/>
  <c r="E6" i="68"/>
  <c r="V10" i="68"/>
  <c r="Y5" i="68"/>
  <c r="M12" i="68"/>
  <c r="P9" i="68"/>
  <c r="Y7" i="68"/>
  <c r="X12" i="68"/>
  <c r="G14" i="26"/>
  <c r="E14" i="26"/>
  <c r="D14" i="26"/>
  <c r="K14" i="26"/>
  <c r="P14" i="25"/>
  <c r="N14" i="25"/>
  <c r="M14" i="25"/>
  <c r="T14" i="25"/>
  <c r="D14" i="25"/>
  <c r="Y3" i="68" a="1"/>
  <c r="X8" i="68" a="1"/>
  <c r="T4" i="68" a="1"/>
  <c r="T3" i="68" a="1"/>
  <c r="U4" i="68" a="1"/>
  <c r="V4" i="68" a="1"/>
  <c r="M3" i="68" a="1"/>
  <c r="Y8" i="68" a="1"/>
  <c r="L3" i="68" a="1"/>
  <c r="Y4" i="68" a="1"/>
  <c r="F3" i="68" a="1"/>
  <c r="H3" i="68" a="1"/>
  <c r="T7" i="68" a="1"/>
  <c r="L9" i="68" a="1"/>
  <c r="O3" i="68" a="1"/>
  <c r="V3" i="68" a="1"/>
  <c r="I4" i="23" a="1"/>
  <c r="V8" i="68" a="1"/>
  <c r="U3" i="68" a="1"/>
  <c r="X3" i="68" a="1"/>
  <c r="E3" i="68" a="1"/>
  <c r="T8" i="68" a="1"/>
  <c r="H4" i="23" a="1"/>
  <c r="G3" i="68" a="1"/>
  <c r="W8" i="68" a="1"/>
  <c r="D3" i="68" a="1"/>
  <c r="V7" i="68" a="1"/>
  <c r="N3" i="68" a="1"/>
  <c r="Q3" i="68" a="1"/>
  <c r="I3" i="68" a="1"/>
  <c r="C16" i="68" l="1"/>
  <c r="S16" i="68"/>
  <c r="K16" i="68"/>
  <c r="W15" i="58"/>
  <c r="R15" i="58"/>
  <c r="Q3" i="68"/>
  <c r="Q13" i="68" s="1"/>
  <c r="M3" i="68"/>
  <c r="M13" i="68" s="1"/>
  <c r="O3" i="68"/>
  <c r="O13" i="68" s="1"/>
  <c r="Z2" i="58"/>
  <c r="V15" i="58"/>
  <c r="O15" i="58"/>
  <c r="L3" i="68"/>
  <c r="N3" i="68"/>
  <c r="N13" i="68" s="1"/>
  <c r="Y15" i="58"/>
  <c r="U15" i="58"/>
  <c r="F3" i="68"/>
  <c r="F13" i="68" s="1"/>
  <c r="U3" i="68"/>
  <c r="X3" i="68"/>
  <c r="N15" i="58"/>
  <c r="M15" i="58"/>
  <c r="H2" i="58"/>
  <c r="Q15" i="58"/>
  <c r="P2" i="58"/>
  <c r="T3" i="68"/>
  <c r="P15" i="58"/>
  <c r="V3" i="68"/>
  <c r="R2" i="58"/>
  <c r="J2" i="58"/>
  <c r="E3" i="68"/>
  <c r="E13" i="68" s="1"/>
  <c r="G3" i="68"/>
  <c r="G13" i="68" s="1"/>
  <c r="Z15" i="58"/>
  <c r="I3" i="68"/>
  <c r="I13" i="68" s="1"/>
  <c r="H3" i="68"/>
  <c r="H13" i="68" s="1"/>
  <c r="D3" i="68"/>
  <c r="D13" i="68" s="1"/>
  <c r="L9" i="68"/>
  <c r="K13" i="68"/>
  <c r="R13" i="68" s="1"/>
  <c r="P13" i="68"/>
  <c r="W8" i="68"/>
  <c r="W13" i="68" s="1"/>
  <c r="V8" i="68"/>
  <c r="X8" i="68"/>
  <c r="Y8" i="68"/>
  <c r="T8" i="68"/>
  <c r="V7" i="68"/>
  <c r="T7" i="68"/>
  <c r="T4" i="68"/>
  <c r="V4" i="68"/>
  <c r="U4" i="68"/>
  <c r="Y4" i="68"/>
  <c r="S13" i="68"/>
  <c r="Z13" i="68" s="1"/>
  <c r="Y3" i="68"/>
  <c r="C13" i="68"/>
  <c r="H4" i="23"/>
  <c r="I4" i="23"/>
  <c r="E7" i="23" a="1"/>
  <c r="E13" i="23" a="1"/>
  <c r="F12" i="23" a="1"/>
  <c r="D4" i="23" a="1"/>
  <c r="E10" i="23" a="1"/>
  <c r="G4" i="23" a="1"/>
  <c r="F10" i="23" a="1"/>
  <c r="D13" i="23" a="1"/>
  <c r="G10" i="23" a="1"/>
  <c r="E8" i="23" a="1"/>
  <c r="E4" i="23" a="1"/>
  <c r="G11" i="23" a="1"/>
  <c r="E9" i="23" a="1"/>
  <c r="F4" i="23" a="1"/>
  <c r="D5" i="23" a="1"/>
  <c r="G7" i="23" a="1"/>
  <c r="G8" i="23" a="1"/>
  <c r="F11" i="23" a="1"/>
  <c r="E12" i="23" a="1"/>
  <c r="F6" i="23" a="1"/>
  <c r="F8" i="23" a="1"/>
  <c r="D7" i="23" a="1"/>
  <c r="D10" i="23" a="1"/>
  <c r="F5" i="23" a="1"/>
  <c r="G13" i="23" a="1"/>
  <c r="D9" i="23" a="1"/>
  <c r="E6" i="23" a="1"/>
  <c r="D12" i="23" a="1"/>
  <c r="G5" i="23" a="1"/>
  <c r="F13" i="23" a="1"/>
  <c r="D11" i="23" a="1"/>
  <c r="E5" i="23" a="1"/>
  <c r="D6" i="23" a="1"/>
  <c r="F9" i="23" a="1"/>
  <c r="F7" i="23" a="1"/>
  <c r="G12" i="23" a="1"/>
  <c r="D8" i="23" a="1"/>
  <c r="G6" i="23" a="1"/>
  <c r="G9" i="23" a="1"/>
  <c r="E11" i="23" a="1"/>
  <c r="L13" i="68" l="1"/>
  <c r="L14" i="68" s="1"/>
  <c r="U13" i="68"/>
  <c r="U14" i="68" s="1"/>
  <c r="X13" i="68"/>
  <c r="X14" i="68" s="1"/>
  <c r="O14" i="68"/>
  <c r="T13" i="68"/>
  <c r="T14" i="68" s="1"/>
  <c r="V13" i="68"/>
  <c r="V14" i="68" s="1"/>
  <c r="Y13" i="68"/>
  <c r="Y14" i="68" s="1"/>
  <c r="S14" i="68"/>
  <c r="K14" i="68"/>
  <c r="J13" i="68"/>
  <c r="M14" i="68"/>
  <c r="Q14" i="68"/>
  <c r="W14" i="68"/>
  <c r="P14" i="68"/>
  <c r="N14" i="68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<sst xmlns="http://schemas.openxmlformats.org/spreadsheetml/2006/main" count="677" uniqueCount="22">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</sst>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sheetPr codeName="Sheet1"/>
  <dimension ref="B2:Z16"/>
  <sheetViews>
    <sheetView zoomScale="85" zoomScaleNormal="85" workbookViewId="0">
      <selection activeCell="H16" sqref="A16:XFD16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340</v>
      </c>
      <c r="C3" s="5" cm="1">
        <f t="array" aca="1" ref="C3" ca="1">INDIRECT("'results" &amp; $B3 &amp; "'!D$14")</f>
        <v>985735.57025410968</v>
      </c>
      <c r="D3" s="33" cm="1">
        <f t="array" aca="1" ref="D3" ca="1">INDIRECT("'results" &amp; $B3 &amp; "'!E$14")</f>
        <v>42.282987332999262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94</v>
      </c>
      <c r="G3" s="5" cm="1">
        <f t="array" aca="1" ref="G3" ca="1">INDIRECT("'results" &amp; $B3 &amp; "'!H$14")</f>
        <v>1338.7408891507341</v>
      </c>
      <c r="H3" s="33" cm="1">
        <f t="array" aca="1" ref="H3" ca="1">INDIRECT("'results" &amp; $B3 &amp; "'!I$14")</f>
        <v>33.068830115069439</v>
      </c>
      <c r="I3" s="5" cm="1">
        <f t="array" aca="1" ref="I3" ca="1">INDIRECT("'results" &amp; $B3 &amp; "'!J$14")</f>
        <v>6234.7855586576379</v>
      </c>
      <c r="J3" s="5"/>
      <c r="K3" s="5" cm="1">
        <f t="array" aca="1" ref="K3" ca="1">INDIRECT("'results" &amp; $B3 &amp; "'!L$14")</f>
        <v>1196689.9946168431</v>
      </c>
      <c r="L3" s="5" cm="1">
        <f t="array" aca="1" ref="L3" ca="1">INDIRECT("'results" &amp; $B3 &amp; "'!M$14")</f>
        <v>107.6653287090012</v>
      </c>
      <c r="M3" s="5" cm="1">
        <f t="array" aca="1" ref="M3" ca="1">INDIRECT("'results" &amp; $B3 &amp; "'!N$14")</f>
        <v>13</v>
      </c>
      <c r="N3" s="5" cm="1">
        <f t="array" aca="1" ref="N3" ca="1">INDIRECT("'results" &amp; $B3 &amp; "'!O$14")</f>
        <v>71</v>
      </c>
      <c r="O3" s="5" cm="1">
        <f t="array" aca="1" ref="O3" ca="1">INDIRECT("'results" &amp; $B3 &amp; "'!P$14")</f>
        <v>586.1231292540416</v>
      </c>
      <c r="P3" s="5" cm="1">
        <f t="array" aca="1" ref="P3" ca="1">INDIRECT("'results" &amp; $B3 &amp; "'!Q$14")</f>
        <v>18.596620363728565</v>
      </c>
      <c r="Q3" s="5" cm="1">
        <f t="array" aca="1" ref="Q3" ca="1">INDIRECT("'results" &amp; $B3 &amp; "'!R$14")</f>
        <v>4975.7712939414532</v>
      </c>
      <c r="R3" s="5"/>
      <c r="S3" s="5" cm="1">
        <f t="array" aca="1" ref="S3" ca="1">INDIRECT("'results" &amp; $B3 &amp; "'!T$14")</f>
        <v>1268662.3587958</v>
      </c>
      <c r="T3" s="5" cm="1">
        <f t="array" aca="1" ref="T3" ca="1">INDIRECT("'results" &amp; $B3 &amp; "'!U$14")</f>
        <v>51.7502592919991</v>
      </c>
      <c r="U3" s="5" cm="1">
        <f t="array" aca="1" ref="U3" ca="1">INDIRECT("'results" &amp; $B3 &amp; "'!V$14")</f>
        <v>9</v>
      </c>
      <c r="V3" s="5" cm="1">
        <f t="array" aca="1" ref="V3" ca="1">INDIRECT("'results" &amp; $B3 &amp; "'!W$14")</f>
        <v>66</v>
      </c>
      <c r="W3" s="5" cm="1">
        <f t="array" aca="1" ref="W3" ca="1">INDIRECT("'results" &amp; $B3 &amp; "'!X$14")</f>
        <v>1473.871250557178</v>
      </c>
      <c r="X3" s="5" cm="1">
        <f t="array" aca="1" ref="X3" ca="1">INDIRECT("'results" &amp; $B3 &amp; "'!Y$14")</f>
        <v>42.632734795528982</v>
      </c>
      <c r="Y3" s="5" cm="1">
        <f t="array" aca="1" ref="Y3" ca="1">INDIRECT("'results" &amp; $B3 &amp; "'!Z$14")</f>
        <v>6063.8322963952132</v>
      </c>
      <c r="Z3" s="5"/>
    </row>
    <row r="4" spans="2:26" x14ac:dyDescent="0.2">
      <c r="B4" s="4">
        <v>444</v>
      </c>
      <c r="C4" s="5" cm="1">
        <f t="array" aca="1" ref="C4" ca="1">INDIRECT("'results" &amp; $B4 &amp; "'!D$14")</f>
        <v>1165486.836600682</v>
      </c>
      <c r="D4" s="33" cm="1">
        <f t="array" aca="1" ref="D4" ca="1">INDIRECT("'results" &amp; $B4 &amp; "'!E$14")</f>
        <v>82.019313292001243</v>
      </c>
      <c r="E4" s="5" cm="1">
        <f t="array" aca="1" ref="E4" ca="1">INDIRECT("'results" &amp; $B4 &amp; "'!F$14")</f>
        <v>9</v>
      </c>
      <c r="F4" s="5" cm="1">
        <f t="array" aca="1" ref="F4" ca="1">INDIRECT("'results" &amp; $B4 &amp; "'!G$14")</f>
        <v>77</v>
      </c>
      <c r="G4" s="5" cm="1">
        <f t="array" aca="1" ref="G4" ca="1">INDIRECT("'results" &amp; $B4 &amp; "'!H$14")</f>
        <v>1326.7703830844339</v>
      </c>
      <c r="H4" s="33" cm="1">
        <f t="array" aca="1" ref="H4" ca="1">INDIRECT("'results" &amp; $B4 &amp; "'!I$14")</f>
        <v>30.192254647120105</v>
      </c>
      <c r="I4" s="5" cm="1">
        <f t="array" aca="1" ref="I4" ca="1">INDIRECT("'results" &amp; $B4 &amp; "'!J$14")</f>
        <v>6294.3512405630299</v>
      </c>
      <c r="J4" s="5"/>
      <c r="K4" s="5" cm="1">
        <f t="array" aca="1" ref="K4" ca="1">INDIRECT("'results" &amp; $B4 &amp; "'!L$14")</f>
        <v>1360013.812014916</v>
      </c>
      <c r="L4" s="5" cm="1">
        <f t="array" aca="1" ref="L4" ca="1">INDIRECT("'results" &amp; $B4 &amp; "'!M$14")</f>
        <v>51.362847708001937</v>
      </c>
      <c r="M4" s="5" cm="1">
        <f t="array" aca="1" ref="M4" ca="1">INDIRECT("'results" &amp; $B4 &amp; "'!N$14")</f>
        <v>9</v>
      </c>
      <c r="N4" s="5" cm="1">
        <f t="array" aca="1" ref="N4" ca="1">INDIRECT("'results" &amp; $B4 &amp; "'!O$14")</f>
        <v>59</v>
      </c>
      <c r="O4" s="5" cm="1">
        <f t="array" aca="1" ref="O4" ca="1">INDIRECT("'results" &amp; $B4 &amp; "'!P$14")</f>
        <v>990.3429555447816</v>
      </c>
      <c r="P4" s="5" cm="1">
        <f t="array" aca="1" ref="P4" ca="1">INDIRECT("'results" &amp; $B4 &amp; "'!Q$14")</f>
        <v>22.060815222836489</v>
      </c>
      <c r="Q4" s="5" cm="1">
        <f t="array" aca="1" ref="Q4" ca="1">INDIRECT("'results" &amp; $B4 &amp; "'!R$14")</f>
        <v>5817.9113994735835</v>
      </c>
      <c r="R4" s="5"/>
      <c r="S4" s="5" cm="1">
        <f t="array" aca="1" ref="S4" ca="1">INDIRECT("'results" &amp; $B4 &amp; "'!T$14")</f>
        <v>1413609.435522733</v>
      </c>
      <c r="T4" s="5" cm="1">
        <f t="array" aca="1" ref="T4" ca="1">INDIRECT("'results" &amp; $B4 &amp; "'!U$14")</f>
        <v>38.12450008399901</v>
      </c>
      <c r="U4" s="5" cm="1">
        <f t="array" aca="1" ref="U4" ca="1">INDIRECT("'results" &amp; $B4 &amp; "'!V$14")</f>
        <v>6</v>
      </c>
      <c r="V4" s="5" cm="1">
        <f t="array" aca="1" ref="V4" ca="1">INDIRECT("'results" &amp; $B4 &amp; "'!W$14")</f>
        <v>49</v>
      </c>
      <c r="W4" s="5" cm="1">
        <f t="array" aca="1" ref="W4" ca="1">INDIRECT("'results" &amp; $B4 &amp; "'!X$14")</f>
        <v>740.84340672321366</v>
      </c>
      <c r="X4" s="5" cm="1">
        <f t="array" aca="1" ref="X4" ca="1">INDIRECT("'results" &amp; $B4 &amp; "'!Y$14")</f>
        <v>42.138962178398913</v>
      </c>
      <c r="Y4" s="5" cm="1">
        <f t="array" aca="1" ref="Y4" ca="1">INDIRECT("'results" &amp; $B4 &amp; "'!Z$14")</f>
        <v>5814.7351329563471</v>
      </c>
      <c r="Z4" s="5"/>
    </row>
    <row r="5" spans="2:26" x14ac:dyDescent="0.2">
      <c r="B5" s="4">
        <v>531</v>
      </c>
      <c r="C5" s="5" cm="1">
        <f t="array" aca="1" ref="C5" ca="1">INDIRECT("'results" &amp; $B5 &amp; "'!D$14")</f>
        <v>1082913.5891589881</v>
      </c>
      <c r="D5" s="33" cm="1">
        <f t="array" aca="1" ref="D5" ca="1">INDIRECT("'results" &amp; $B5 &amp; "'!E$14")</f>
        <v>59.021294833000873</v>
      </c>
      <c r="E5" s="5" cm="1">
        <f t="array" aca="1" ref="E5" ca="1">INDIRECT("'results" &amp; $B5 &amp; "'!F$14")</f>
        <v>10</v>
      </c>
      <c r="F5" s="5" cm="1">
        <f t="array" aca="1" ref="F5" ca="1">INDIRECT("'results" &amp; $B5 &amp; "'!G$14")</f>
        <v>84</v>
      </c>
      <c r="G5" s="5" cm="1">
        <f t="array" aca="1" ref="G5" ca="1">INDIRECT("'results" &amp; $B5 &amp; "'!H$14")</f>
        <v>1173.9476833155497</v>
      </c>
      <c r="H5" s="33" cm="1">
        <f t="array" aca="1" ref="H5" ca="1">INDIRECT("'results" &amp; $B5 &amp; "'!I$14")</f>
        <v>32.133949916924841</v>
      </c>
      <c r="I5" s="5" cm="1">
        <f t="array" aca="1" ref="I5" ca="1">INDIRECT("'results" &amp; $B5 &amp; "'!J$14")</f>
        <v>6362.5626077989718</v>
      </c>
      <c r="J5" s="5"/>
      <c r="K5" s="5" cm="1">
        <f t="array" aca="1" ref="K5" ca="1">INDIRECT("'results" &amp; $B5 &amp; "'!L$14")</f>
        <v>1305912.7559798709</v>
      </c>
      <c r="L5" s="5" cm="1">
        <f t="array" aca="1" ref="L5" ca="1">INDIRECT("'results" &amp; $B5 &amp; "'!M$14")</f>
        <v>87.453067500002362</v>
      </c>
      <c r="M5" s="5" cm="1">
        <f t="array" aca="1" ref="M5" ca="1">INDIRECT("'results" &amp; $B5 &amp; "'!N$14")</f>
        <v>11</v>
      </c>
      <c r="N5" s="5" cm="1">
        <f t="array" aca="1" ref="N5" ca="1">INDIRECT("'results" &amp; $B5 &amp; "'!O$14")</f>
        <v>61</v>
      </c>
      <c r="O5" s="5" cm="1">
        <f t="array" aca="1" ref="O5" ca="1">INDIRECT("'results" &amp; $B5 &amp; "'!P$14")</f>
        <v>520.91462588028151</v>
      </c>
      <c r="P5" s="5" cm="1">
        <f t="array" aca="1" ref="P5" ca="1">INDIRECT("'results" &amp; $B5 &amp; "'!Q$14")</f>
        <v>19.526624591541051</v>
      </c>
      <c r="Q5" s="5" cm="1">
        <f t="array" aca="1" ref="Q5" ca="1">INDIRECT("'results" &amp; $B5 &amp; "'!R$14")</f>
        <v>5222.7809327696732</v>
      </c>
      <c r="R5" s="5"/>
      <c r="S5" s="5" cm="1">
        <f t="array" aca="1" ref="S5" ca="1">INDIRECT("'results" &amp; $B5 &amp; "'!T$14")</f>
        <v>1360506.1933661031</v>
      </c>
      <c r="T5" s="5" cm="1">
        <f t="array" aca="1" ref="T5" ca="1">INDIRECT("'results" &amp; $B5 &amp; "'!U$14")</f>
        <v>91.245607291999477</v>
      </c>
      <c r="U5" s="5" cm="1">
        <f t="array" aca="1" ref="U5" ca="1">INDIRECT("'results" &amp; $B5 &amp; "'!V$14")</f>
        <v>7</v>
      </c>
      <c r="V5" s="5" cm="1">
        <f t="array" aca="1" ref="V5" ca="1">INDIRECT("'results" &amp; $B5 &amp; "'!W$14")</f>
        <v>57</v>
      </c>
      <c r="W5" s="5" cm="1">
        <f t="array" aca="1" ref="W5" ca="1">INDIRECT("'results" &amp; $B5 &amp; "'!X$14")</f>
        <v>1126.2270228552511</v>
      </c>
      <c r="X5" s="5" cm="1">
        <f t="array" aca="1" ref="X5" ca="1">INDIRECT("'results" &amp; $B5 &amp; "'!Y$14")</f>
        <v>46.974081109072465</v>
      </c>
      <c r="Y5" s="5" cm="1">
        <f t="array" aca="1" ref="Y5" ca="1">INDIRECT("'results" &amp; $B5 &amp; "'!Z$14")</f>
        <v>6483.8002125490348</v>
      </c>
      <c r="Z5" s="5"/>
    </row>
    <row r="6" spans="2:26" x14ac:dyDescent="0.2">
      <c r="B6" s="4">
        <v>618</v>
      </c>
      <c r="C6" s="5" cm="1">
        <f t="array" aca="1" ref="C6" ca="1">INDIRECT("'results" &amp; $B6 &amp; "'!D$14")</f>
        <v>1059087.900909689</v>
      </c>
      <c r="D6" s="33" cm="1">
        <f t="array" aca="1" ref="D6" ca="1">INDIRECT("'results" &amp; $B6 &amp; "'!E$14")</f>
        <v>40.956916833998548</v>
      </c>
      <c r="E6" s="5" cm="1">
        <f t="array" aca="1" ref="E6" ca="1">INDIRECT("'results" &amp; $B6 &amp; "'!F$14")</f>
        <v>11</v>
      </c>
      <c r="F6" s="5" cm="1">
        <f t="array" aca="1" ref="F6" ca="1">INDIRECT("'results" &amp; $B6 &amp; "'!G$14")</f>
        <v>90</v>
      </c>
      <c r="G6" s="5" cm="1">
        <f t="array" aca="1" ref="G6" ca="1">INDIRECT("'results" &amp; $B6 &amp; "'!H$14")</f>
        <v>1579.7763836839072</v>
      </c>
      <c r="H6" s="33" cm="1">
        <f t="array" aca="1" ref="H6" ca="1">INDIRECT("'results" &amp; $B6 &amp; "'!I$14")</f>
        <v>33.151541756021672</v>
      </c>
      <c r="I6" s="5" cm="1">
        <f t="array" aca="1" ref="I6" ca="1">INDIRECT("'results" &amp; $B6 &amp; "'!J$14")</f>
        <v>6422.8063948152148</v>
      </c>
      <c r="J6" s="5"/>
      <c r="K6" s="5" cm="1">
        <f t="array" aca="1" ref="K6" ca="1">INDIRECT("'results" &amp; $B6 &amp; "'!L$14")</f>
        <v>1314064.2605180561</v>
      </c>
      <c r="L6" s="5" cm="1">
        <f t="array" aca="1" ref="L6" ca="1">INDIRECT("'results" &amp; $B6 &amp; "'!M$14")</f>
        <v>109.5498229170007</v>
      </c>
      <c r="M6" s="5" cm="1">
        <f t="array" aca="1" ref="M6" ca="1">INDIRECT("'results" &amp; $B6 &amp; "'!N$14")</f>
        <v>13</v>
      </c>
      <c r="N6" s="5" cm="1">
        <f t="array" aca="1" ref="N6" ca="1">INDIRECT("'results" &amp; $B6 &amp; "'!O$14")</f>
        <v>62</v>
      </c>
      <c r="O6" s="5" cm="1">
        <f t="array" aca="1" ref="O6" ca="1">INDIRECT("'results" &amp; $B6 &amp; "'!P$14")</f>
        <v>478.43361019280786</v>
      </c>
      <c r="P6" s="5" cm="1">
        <f t="array" aca="1" ref="P6" ca="1">INDIRECT("'results" &amp; $B6 &amp; "'!Q$14")</f>
        <v>17.455447715997913</v>
      </c>
      <c r="Q6" s="5" cm="1">
        <f t="array" aca="1" ref="Q6" ca="1">INDIRECT("'results" &amp; $B6 &amp; "'!R$14")</f>
        <v>4805.9178677347545</v>
      </c>
      <c r="R6" s="5"/>
      <c r="S6" s="5" cm="1">
        <f t="array" aca="1" ref="S6" ca="1">INDIRECT("'results" &amp; $B6 &amp; "'!T$14")</f>
        <v>1353789.9213761899</v>
      </c>
      <c r="T6" s="5" cm="1">
        <f t="array" aca="1" ref="T6" ca="1">INDIRECT("'results" &amp; $B6 &amp; "'!U$14")</f>
        <v>70.444069291999767</v>
      </c>
      <c r="U6" s="5" cm="1">
        <f t="array" aca="1" ref="U6" ca="1">INDIRECT("'results" &amp; $B6 &amp; "'!V$14")</f>
        <v>8</v>
      </c>
      <c r="V6" s="5" cm="1">
        <f t="array" aca="1" ref="V6" ca="1">INDIRECT("'results" &amp; $B6 &amp; "'!W$14")</f>
        <v>60</v>
      </c>
      <c r="W6" s="5" cm="1">
        <f t="array" aca="1" ref="W6" ca="1">INDIRECT("'results" &amp; $B6 &amp; "'!X$14")</f>
        <v>1174.29709682835</v>
      </c>
      <c r="X6" s="5" cm="1">
        <f t="array" aca="1" ref="X6" ca="1">INDIRECT("'results" &amp; $B6 &amp; "'!Y$14")</f>
        <v>54.373101324073815</v>
      </c>
      <c r="Y6" s="5" cm="1">
        <f t="array" aca="1" ref="Y6" ca="1">INDIRECT("'results" &amp; $B6 &amp; "'!Z$14")</f>
        <v>6630.7932911642602</v>
      </c>
      <c r="Z6" s="5"/>
    </row>
    <row r="7" spans="2:26" x14ac:dyDescent="0.2">
      <c r="B7" s="4">
        <v>765</v>
      </c>
      <c r="C7" s="5" cm="1">
        <f t="array" aca="1" ref="C7" ca="1">INDIRECT("'results" &amp; $B7 &amp; "'!D$14")</f>
        <v>1145097.4505289539</v>
      </c>
      <c r="D7" s="33" cm="1">
        <f t="array" aca="1" ref="D7" ca="1">INDIRECT("'results" &amp; $B7 &amp; "'!E$14")</f>
        <v>42.755188624998482</v>
      </c>
      <c r="E7" s="5" cm="1">
        <f t="array" aca="1" ref="E7" ca="1">INDIRECT("'results" &amp; $B7 &amp; "'!F$14")</f>
        <v>11</v>
      </c>
      <c r="F7" s="5" cm="1">
        <f t="array" aca="1" ref="F7" ca="1">INDIRECT("'results" &amp; $B7 &amp; "'!G$14")</f>
        <v>82</v>
      </c>
      <c r="G7" s="5" cm="1">
        <f t="array" aca="1" ref="G7" ca="1">INDIRECT("'results" &amp; $B7 &amp; "'!H$14")</f>
        <v>1489.3435431093171</v>
      </c>
      <c r="H7" s="33" cm="1">
        <f t="array" aca="1" ref="H7" ca="1">INDIRECT("'results" &amp; $B7 &amp; "'!I$14")</f>
        <v>25.053628824953659</v>
      </c>
      <c r="I7" s="5" cm="1">
        <f t="array" aca="1" ref="I7" ca="1">INDIRECT("'results" &amp; $B7 &amp; "'!J$14")</f>
        <v>6571.8869809640701</v>
      </c>
      <c r="J7" s="5"/>
      <c r="K7" s="5" cm="1">
        <f t="array" aca="1" ref="K7" ca="1">INDIRECT("'results" &amp; $B7 &amp; "'!L$14")</f>
        <v>1317440.6317242431</v>
      </c>
      <c r="L7" s="5" cm="1">
        <f t="array" aca="1" ref="L7" ca="1">INDIRECT("'results" &amp; $B7 &amp; "'!M$14")</f>
        <v>122.8969688329998</v>
      </c>
      <c r="M7" s="5" cm="1">
        <f t="array" aca="1" ref="M7" ca="1">INDIRECT("'results" &amp; $B7 &amp; "'!N$14")</f>
        <v>11</v>
      </c>
      <c r="N7" s="5" cm="1">
        <f t="array" aca="1" ref="N7" ca="1">INDIRECT("'results" &amp; $B7 &amp; "'!O$14")</f>
        <v>62</v>
      </c>
      <c r="O7" s="5" cm="1">
        <f t="array" aca="1" ref="O7" ca="1">INDIRECT("'results" &amp; $B7 &amp; "'!P$14")</f>
        <v>857.66634178973561</v>
      </c>
      <c r="P7" s="5" cm="1">
        <f t="array" aca="1" ref="P7" ca="1">INDIRECT("'results" &amp; $B7 &amp; "'!Q$14")</f>
        <v>19.31707920139921</v>
      </c>
      <c r="Q7" s="5" cm="1">
        <f t="array" aca="1" ref="Q7" ca="1">INDIRECT("'results" &amp; $B7 &amp; "'!R$14")</f>
        <v>5640.5264151642223</v>
      </c>
      <c r="R7" s="5"/>
      <c r="S7" s="5" cm="1">
        <f t="array" aca="1" ref="S7" ca="1">INDIRECT("'results" &amp; $B7 &amp; "'!T$14")</f>
        <v>1360033.5773318741</v>
      </c>
      <c r="T7" s="5" cm="1">
        <f t="array" aca="1" ref="T7" ca="1">INDIRECT("'results" &amp; $B7 &amp; "'!U$14")</f>
        <v>36.633358000002772</v>
      </c>
      <c r="U7" s="5" cm="1">
        <f t="array" aca="1" ref="U7" ca="1">INDIRECT("'results" &amp; $B7 &amp; "'!V$14")</f>
        <v>10</v>
      </c>
      <c r="V7" s="5" cm="1">
        <f t="array" aca="1" ref="V7" ca="1">INDIRECT("'results" &amp; $B7 &amp; "'!W$14")</f>
        <v>65</v>
      </c>
      <c r="W7" s="5" cm="1">
        <f t="array" aca="1" ref="W7" ca="1">INDIRECT("'results" &amp; $B7 &amp; "'!X$14")</f>
        <v>1703.9967521128917</v>
      </c>
      <c r="X7" s="5" cm="1">
        <f t="array" aca="1" ref="X7" ca="1">INDIRECT("'results" &amp; $B7 &amp; "'!Y$14")</f>
        <v>33.593213980447224</v>
      </c>
      <c r="Y7" s="5" cm="1">
        <f t="array" aca="1" ref="Y7" ca="1">INDIRECT("'results" &amp; $B7 &amp; "'!Z$14")</f>
        <v>6960.9056684087118</v>
      </c>
      <c r="Z7" s="5"/>
    </row>
    <row r="8" spans="2:26" x14ac:dyDescent="0.2">
      <c r="B8" s="4">
        <v>777</v>
      </c>
      <c r="C8" s="5" cm="1">
        <f t="array" aca="1" ref="C8" ca="1">INDIRECT("'results" &amp; $B8 &amp; "'!D$14")</f>
        <v>1036858.477407056</v>
      </c>
      <c r="D8" s="33" cm="1">
        <f t="array" aca="1" ref="D8" ca="1">INDIRECT("'results" &amp; $B8 &amp; "'!E$14")</f>
        <v>73.219741999999314</v>
      </c>
      <c r="E8" s="5" cm="1">
        <f t="array" aca="1" ref="E8" ca="1">INDIRECT("'results" &amp; $B8 &amp; "'!F$14")</f>
        <v>10</v>
      </c>
      <c r="F8" s="5" cm="1">
        <f t="array" aca="1" ref="F8" ca="1">INDIRECT("'results" &amp; $B8 &amp; "'!G$14")</f>
        <v>81</v>
      </c>
      <c r="G8" s="5" cm="1">
        <f t="array" aca="1" ref="G8" ca="1">INDIRECT("'results" &amp; $B8 &amp; "'!H$14")</f>
        <v>812.69290792534503</v>
      </c>
      <c r="H8" s="33" cm="1">
        <f t="array" aca="1" ref="H8" ca="1">INDIRECT("'results" &amp; $B8 &amp; "'!I$14")</f>
        <v>31.530445798506104</v>
      </c>
      <c r="I8" s="5" cm="1">
        <f t="array" aca="1" ref="I8" ca="1">INDIRECT("'results" &amp; $B8 &amp; "'!J$14")</f>
        <v>5540.6428901828149</v>
      </c>
      <c r="J8" s="5"/>
      <c r="K8" s="5" cm="1">
        <f t="array" aca="1" ref="K8" ca="1">INDIRECT("'results" &amp; $B8 &amp; "'!L$14")</f>
        <v>1370946.814957923</v>
      </c>
      <c r="L8" s="5" cm="1">
        <f t="array" aca="1" ref="L8" ca="1">INDIRECT("'results" &amp; $B8 &amp; "'!M$14")</f>
        <v>117.3991336250001</v>
      </c>
      <c r="M8" s="5" cm="1">
        <f t="array" aca="1" ref="M8" ca="1">INDIRECT("'results" &amp; $B8 &amp; "'!N$14")</f>
        <v>12</v>
      </c>
      <c r="N8" s="5" cm="1">
        <f t="array" aca="1" ref="N8" ca="1">INDIRECT("'results" &amp; $B8 &amp; "'!O$14")</f>
        <v>57</v>
      </c>
      <c r="O8" s="5" cm="1">
        <f t="array" aca="1" ref="O8" ca="1">INDIRECT("'results" &amp; $B8 &amp; "'!P$14")</f>
        <v>539.19270596919068</v>
      </c>
      <c r="P8" s="5" cm="1">
        <f t="array" aca="1" ref="P8" ca="1">INDIRECT("'results" &amp; $B8 &amp; "'!Q$14")</f>
        <v>17.030672138192944</v>
      </c>
      <c r="Q8" s="5" cm="1">
        <f t="array" aca="1" ref="Q8" ca="1">INDIRECT("'results" &amp; $B8 &amp; "'!R$14")</f>
        <v>4792.4104543994763</v>
      </c>
      <c r="R8" s="5"/>
      <c r="S8" s="5" cm="1">
        <f t="array" aca="1" ref="S8" ca="1">INDIRECT("'results" &amp; $B8 &amp; "'!T$14")</f>
        <v>1269951.846617213</v>
      </c>
      <c r="T8" s="5" cm="1">
        <f t="array" aca="1" ref="T8" ca="1">INDIRECT("'results" &amp; $B8 &amp; "'!U$14")</f>
        <v>66.31045825000183</v>
      </c>
      <c r="U8" s="5" cm="1">
        <f t="array" aca="1" ref="U8" ca="1">INDIRECT("'results" &amp; $B8 &amp; "'!V$14")</f>
        <v>9</v>
      </c>
      <c r="V8" s="5" cm="1">
        <f t="array" aca="1" ref="V8" ca="1">INDIRECT("'results" &amp; $B8 &amp; "'!W$14")</f>
        <v>68</v>
      </c>
      <c r="W8" s="5" cm="1">
        <f t="array" aca="1" ref="W8" ca="1">INDIRECT("'results" &amp; $B8 &amp; "'!X$14")</f>
        <v>1236.7803059055461</v>
      </c>
      <c r="X8" s="5" cm="1">
        <f t="array" aca="1" ref="X8" ca="1">INDIRECT("'results" &amp; $B8 &amp; "'!Y$14")</f>
        <v>50.046396407879818</v>
      </c>
      <c r="Y8" s="5" cm="1">
        <f t="array" aca="1" ref="Y8" ca="1">INDIRECT("'results" &amp; $B8 &amp; "'!Z$14")</f>
        <v>6740.1428742979206</v>
      </c>
      <c r="Z8" s="5"/>
    </row>
    <row r="9" spans="2:26" x14ac:dyDescent="0.2">
      <c r="B9" s="4">
        <v>866</v>
      </c>
      <c r="C9" s="5" cm="1">
        <f t="array" aca="1" ref="C9" ca="1">INDIRECT("'results" &amp; $B9 &amp; "'!D$14")</f>
        <v>1070399.2841828449</v>
      </c>
      <c r="D9" s="33" cm="1">
        <f t="array" aca="1" ref="D9" ca="1">INDIRECT("'results" &amp; $B9 &amp; "'!E$14")</f>
        <v>40.449762166001157</v>
      </c>
      <c r="E9" s="5" cm="1">
        <f t="array" aca="1" ref="E9" ca="1">INDIRECT("'results" &amp; $B9 &amp; "'!F$14")</f>
        <v>10</v>
      </c>
      <c r="F9" s="5" cm="1">
        <f t="array" aca="1" ref="F9" ca="1">INDIRECT("'results" &amp; $B9 &amp; "'!G$14")</f>
        <v>87</v>
      </c>
      <c r="G9" s="5" cm="1">
        <f t="array" aca="1" ref="G9" ca="1">INDIRECT("'results" &amp; $B9 &amp; "'!H$14")</f>
        <v>1557.5020935783284</v>
      </c>
      <c r="H9" s="33" cm="1">
        <f t="array" aca="1" ref="H9" ca="1">INDIRECT("'results" &amp; $B9 &amp; "'!I$14")</f>
        <v>31.589483963672471</v>
      </c>
      <c r="I9" s="5" cm="1">
        <f t="array" aca="1" ref="I9" ca="1">INDIRECT("'results" &amp; $B9 &amp; "'!J$14")</f>
        <v>6412.1651062590172</v>
      </c>
      <c r="J9" s="5"/>
      <c r="K9" s="5" cm="1">
        <f t="array" aca="1" ref="K9" ca="1">INDIRECT("'results" &amp; $B9 &amp; "'!L$14")</f>
        <v>1325303.7711797799</v>
      </c>
      <c r="L9" s="5" cm="1">
        <f t="array" aca="1" ref="L9" ca="1">INDIRECT("'results" &amp; $B9 &amp; "'!M$14")</f>
        <v>71.752250542002002</v>
      </c>
      <c r="M9" s="5" cm="1">
        <f t="array" aca="1" ref="M9" ca="1">INDIRECT("'results" &amp; $B9 &amp; "'!N$14")</f>
        <v>12</v>
      </c>
      <c r="N9" s="5" cm="1">
        <f t="array" aca="1" ref="N9" ca="1">INDIRECT("'results" &amp; $B9 &amp; "'!O$14")</f>
        <v>64</v>
      </c>
      <c r="O9" s="5" cm="1">
        <f t="array" aca="1" ref="O9" ca="1">INDIRECT("'results" &amp; $B9 &amp; "'!P$14")</f>
        <v>949.76435469275123</v>
      </c>
      <c r="P9" s="5" cm="1">
        <f t="array" aca="1" ref="P9" ca="1">INDIRECT("'results" &amp; $B9 &amp; "'!Q$14")</f>
        <v>18.260600386698922</v>
      </c>
      <c r="Q9" s="5" cm="1">
        <f t="array" aca="1" ref="Q9" ca="1">INDIRECT("'results" &amp; $B9 &amp; "'!R$14")</f>
        <v>5424.2592692217477</v>
      </c>
      <c r="R9" s="5"/>
      <c r="S9" s="5" cm="1">
        <f t="array" aca="1" ref="S9" ca="1">INDIRECT("'results" &amp; $B9 &amp; "'!T$14")</f>
        <v>1338430.2244026379</v>
      </c>
      <c r="T9" s="5" cm="1">
        <f t="array" aca="1" ref="T9" ca="1">INDIRECT("'results" &amp; $B9 &amp; "'!U$14")</f>
        <v>72.069334249998064</v>
      </c>
      <c r="U9" s="5" cm="1">
        <f t="array" aca="1" ref="U9" ca="1">INDIRECT("'results" &amp; $B9 &amp; "'!V$14")</f>
        <v>10</v>
      </c>
      <c r="V9" s="5" cm="1">
        <f t="array" aca="1" ref="V9" ca="1">INDIRECT("'results" &amp; $B9 &amp; "'!W$14")</f>
        <v>67</v>
      </c>
      <c r="W9" s="5" cm="1">
        <f t="array" aca="1" ref="W9" ca="1">INDIRECT("'results" &amp; $B9 &amp; "'!X$14")</f>
        <v>1679.3214094092145</v>
      </c>
      <c r="X9" s="5" cm="1">
        <f t="array" aca="1" ref="X9" ca="1">INDIRECT("'results" &amp; $B9 &amp; "'!Y$14")</f>
        <v>41.866039687654833</v>
      </c>
      <c r="Y9" s="5" cm="1">
        <f t="array" aca="1" ref="Y9" ca="1">INDIRECT("'results" &amp; $B9 &amp; "'!Z$14")</f>
        <v>6887.064347023932</v>
      </c>
      <c r="Z9" s="5"/>
    </row>
    <row r="10" spans="2:26" x14ac:dyDescent="0.2">
      <c r="B10" s="4">
        <v>914</v>
      </c>
      <c r="C10" s="5" cm="1">
        <f t="array" aca="1" ref="C10" ca="1">INDIRECT("'results" &amp; $B10 &amp; "'!D$14")</f>
        <v>1208347.6983534291</v>
      </c>
      <c r="D10" s="33" cm="1">
        <f t="array" aca="1" ref="D10" ca="1">INDIRECT("'results" &amp; $B10 &amp; "'!E$14")</f>
        <v>35.618006083999717</v>
      </c>
      <c r="E10" s="5" cm="1">
        <f t="array" aca="1" ref="E10" ca="1">INDIRECT("'results" &amp; $B10 &amp; "'!F$14")</f>
        <v>9</v>
      </c>
      <c r="F10" s="5" cm="1">
        <f t="array" aca="1" ref="F10" ca="1">INDIRECT("'results" &amp; $B10 &amp; "'!G$14")</f>
        <v>76</v>
      </c>
      <c r="G10" s="5" cm="1">
        <f t="array" aca="1" ref="G10" ca="1">INDIRECT("'results" &amp; $B10 &amp; "'!H$14")</f>
        <v>1409.7818324988682</v>
      </c>
      <c r="H10" s="33" cm="1">
        <f t="array" aca="1" ref="H10" ca="1">INDIRECT("'results" &amp; $B10 &amp; "'!I$14")</f>
        <v>31.665785504446578</v>
      </c>
      <c r="I10" s="5" cm="1">
        <f t="array" aca="1" ref="I10" ca="1">INDIRECT("'results" &amp; $B10 &amp; "'!J$14")</f>
        <v>6860.7561427556338</v>
      </c>
      <c r="J10" s="5"/>
      <c r="K10" s="5" cm="1">
        <f t="array" aca="1" ref="K10" ca="1">INDIRECT("'results" &amp; $B10 &amp; "'!L$14")</f>
        <v>1499676.9851678209</v>
      </c>
      <c r="L10" s="5" cm="1">
        <f t="array" aca="1" ref="L10" ca="1">INDIRECT("'results" &amp; $B10 &amp; "'!M$14")</f>
        <v>57.978233457997703</v>
      </c>
      <c r="M10" s="5" cm="1">
        <f t="array" aca="1" ref="M10" ca="1">INDIRECT("'results" &amp; $B10 &amp; "'!N$14")</f>
        <v>10</v>
      </c>
      <c r="N10" s="5" cm="1">
        <f t="array" aca="1" ref="N10" ca="1">INDIRECT("'results" &amp; $B10 &amp; "'!O$14")</f>
        <v>49</v>
      </c>
      <c r="O10" s="5" cm="1">
        <f t="array" aca="1" ref="O10" ca="1">INDIRECT("'results" &amp; $B10 &amp; "'!P$14")</f>
        <v>867.6865672204168</v>
      </c>
      <c r="P10" s="5" cm="1">
        <f t="array" aca="1" ref="P10" ca="1">INDIRECT("'results" &amp; $B10 &amp; "'!Q$14")</f>
        <v>17.221426154582154</v>
      </c>
      <c r="Q10" s="5" cm="1">
        <f t="array" aca="1" ref="Q10" ca="1">INDIRECT("'results" &amp; $B10 &amp; "'!R$14")</f>
        <v>5562.7241759065819</v>
      </c>
      <c r="R10" s="5"/>
      <c r="S10" s="5" cm="1">
        <f t="array" aca="1" ref="S10" ca="1">INDIRECT("'results" &amp; $B10 &amp; "'!T$14")</f>
        <v>1475535.9721150319</v>
      </c>
      <c r="T10" s="5" cm="1">
        <f t="array" aca="1" ref="T10" ca="1">INDIRECT("'results" &amp; $B10 &amp; "'!U$14")</f>
        <v>180.9421392080003</v>
      </c>
      <c r="U10" s="5" cm="1">
        <f t="array" aca="1" ref="U10" ca="1">INDIRECT("'results" &amp; $B10 &amp; "'!V$14")</f>
        <v>6</v>
      </c>
      <c r="V10" s="5" cm="1">
        <f t="array" aca="1" ref="V10" ca="1">INDIRECT("'results" &amp; $B10 &amp; "'!W$14")</f>
        <v>46</v>
      </c>
      <c r="W10" s="5" cm="1">
        <f t="array" aca="1" ref="W10" ca="1">INDIRECT("'results" &amp; $B10 &amp; "'!X$14")</f>
        <v>1117.647011770589</v>
      </c>
      <c r="X10" s="5" cm="1">
        <f t="array" aca="1" ref="X10" ca="1">INDIRECT("'results" &amp; $B10 &amp; "'!Y$14")</f>
        <v>55.783684807201588</v>
      </c>
      <c r="Y10" s="5" cm="1">
        <f t="array" aca="1" ref="Y10" ca="1">INDIRECT("'results" &amp; $B10 &amp; "'!Z$14")</f>
        <v>6683.190357331745</v>
      </c>
      <c r="Z10" s="5"/>
    </row>
    <row r="11" spans="2:26" x14ac:dyDescent="0.2">
      <c r="B11" s="4">
        <v>921</v>
      </c>
      <c r="C11" s="5" cm="1">
        <f t="array" aca="1" ref="C11" ca="1">INDIRECT("'results" &amp; $B11 &amp; "'!D$14")</f>
        <v>979095.05882307433</v>
      </c>
      <c r="D11" s="33" cm="1">
        <f t="array" aca="1" ref="D11" ca="1">INDIRECT("'results" &amp; $B11 &amp; "'!E$14")</f>
        <v>51.710400624999238</v>
      </c>
      <c r="E11" s="5" cm="1">
        <f t="array" aca="1" ref="E11" ca="1">INDIRECT("'results" &amp; $B11 &amp; "'!F$14")</f>
        <v>10</v>
      </c>
      <c r="F11" s="5" cm="1">
        <f t="array" aca="1" ref="F11" ca="1">INDIRECT("'results" &amp; $B11 &amp; "'!G$14")</f>
        <v>89</v>
      </c>
      <c r="G11" s="5" cm="1">
        <f t="array" aca="1" ref="G11" ca="1">INDIRECT("'results" &amp; $B11 &amp; "'!H$14")</f>
        <v>1025.7290778332301</v>
      </c>
      <c r="H11" s="33" cm="1">
        <f t="array" aca="1" ref="H11" ca="1">INDIRECT("'results" &amp; $B11 &amp; "'!I$14")</f>
        <v>36.049811833221476</v>
      </c>
      <c r="I11" s="5" cm="1">
        <f t="array" aca="1" ref="I11" ca="1">INDIRECT("'results" &amp; $B11 &amp; "'!J$14")</f>
        <v>5999.8570922757835</v>
      </c>
      <c r="J11" s="5"/>
      <c r="K11" s="5" cm="1">
        <f t="array" aca="1" ref="K11" ca="1">INDIRECT("'results" &amp; $B11 &amp; "'!L$14")</f>
        <v>1197696.812546669</v>
      </c>
      <c r="L11" s="5" cm="1">
        <f t="array" aca="1" ref="L11" ca="1">INDIRECT("'results" &amp; $B11 &amp; "'!M$14")</f>
        <v>93.620516791997943</v>
      </c>
      <c r="M11" s="5" cm="1">
        <f t="array" aca="1" ref="M11" ca="1">INDIRECT("'results" &amp; $B11 &amp; "'!N$14")</f>
        <v>16</v>
      </c>
      <c r="N11" s="5" cm="1">
        <f t="array" aca="1" ref="N11" ca="1">INDIRECT("'results" &amp; $B11 &amp; "'!O$14")</f>
        <v>80</v>
      </c>
      <c r="O11" s="5" cm="1">
        <f t="array" aca="1" ref="O11" ca="1">INDIRECT("'results" &amp; $B11 &amp; "'!P$14")</f>
        <v>1079.5767587493087</v>
      </c>
      <c r="P11" s="5" cm="1">
        <f t="array" aca="1" ref="P11" ca="1">INDIRECT("'results" &amp; $B11 &amp; "'!Q$14")</f>
        <v>19.521026548138941</v>
      </c>
      <c r="Q11" s="5" cm="1">
        <f t="array" aca="1" ref="Q11" ca="1">INDIRECT("'results" &amp; $B11 &amp; "'!R$14")</f>
        <v>5663.172681774412</v>
      </c>
      <c r="R11" s="5"/>
      <c r="S11" s="5" cm="1">
        <f t="array" aca="1" ref="S11" ca="1">INDIRECT("'results" &amp; $B11 &amp; "'!T$14")</f>
        <v>1199269.589675412</v>
      </c>
      <c r="T11" s="5" cm="1">
        <f t="array" aca="1" ref="T11" ca="1">INDIRECT("'results" &amp; $B11 &amp; "'!U$14")</f>
        <v>51.111183207998693</v>
      </c>
      <c r="U11" s="5" cm="1">
        <f t="array" aca="1" ref="U11" ca="1">INDIRECT("'results" &amp; $B11 &amp; "'!V$14")</f>
        <v>10</v>
      </c>
      <c r="V11" s="5" cm="1">
        <f t="array" aca="1" ref="V11" ca="1">INDIRECT("'results" &amp; $B11 &amp; "'!W$14")</f>
        <v>76</v>
      </c>
      <c r="W11" s="5" cm="1">
        <f t="array" aca="1" ref="W11" ca="1">INDIRECT("'results" &amp; $B11 &amp; "'!X$14")</f>
        <v>1511.8236439780242</v>
      </c>
      <c r="X11" s="5" cm="1">
        <f t="array" aca="1" ref="X11" ca="1">INDIRECT("'results" &amp; $B11 &amp; "'!Y$14")</f>
        <v>45.738150947922513</v>
      </c>
      <c r="Y11" s="5" cm="1">
        <f t="array" aca="1" ref="Y11" ca="1">INDIRECT("'results" &amp; $B11 &amp; "'!Z$14")</f>
        <v>6607.7341205011098</v>
      </c>
      <c r="Z11" s="5"/>
    </row>
    <row r="12" spans="2:26" x14ac:dyDescent="0.2">
      <c r="B12" s="4">
        <v>979</v>
      </c>
      <c r="C12" s="5" cm="1">
        <f t="array" aca="1" ref="C12" ca="1">INDIRECT("'results" &amp; $B12 &amp; "'!D$14")</f>
        <v>1120015.0923573279</v>
      </c>
      <c r="D12" s="33" cm="1">
        <f t="array" aca="1" ref="D12" ca="1">INDIRECT("'results" &amp; $B12 &amp; "'!E$14")</f>
        <v>102.5687096660004</v>
      </c>
      <c r="E12" s="5" cm="1">
        <f t="array" aca="1" ref="E12" ca="1">INDIRECT("'results" &amp; $B12 &amp; "'!F$14")</f>
        <v>11</v>
      </c>
      <c r="F12" s="5" cm="1">
        <f t="array" aca="1" ref="F12" ca="1">INDIRECT("'results" &amp; $B12 &amp; "'!G$14")</f>
        <v>85</v>
      </c>
      <c r="G12" s="5" cm="1">
        <f t="array" aca="1" ref="G12" ca="1">INDIRECT("'results" &amp; $B12 &amp; "'!H$14")</f>
        <v>1507.6301966126612</v>
      </c>
      <c r="H12" s="33" cm="1">
        <f t="array" aca="1" ref="H12" ca="1">INDIRECT("'results" &amp; $B12 &amp; "'!I$14")</f>
        <v>26.228742355326627</v>
      </c>
      <c r="I12" s="5" cm="1">
        <f t="array" aca="1" ref="I12" ca="1">INDIRECT("'results" &amp; $B12 &amp; "'!J$14")</f>
        <v>6486.5160182821992</v>
      </c>
      <c r="J12" s="5"/>
      <c r="K12" s="5" cm="1">
        <f t="array" aca="1" ref="K12" ca="1">INDIRECT("'results" &amp; $B12 &amp; "'!L$14")</f>
        <v>1296779.0866097829</v>
      </c>
      <c r="L12" s="5" cm="1">
        <f t="array" aca="1" ref="L12" ca="1">INDIRECT("'results" &amp; $B12 &amp; "'!M$14")</f>
        <v>127.21586000000021</v>
      </c>
      <c r="M12" s="5" cm="1">
        <f t="array" aca="1" ref="M12" ca="1">INDIRECT("'results" &amp; $B12 &amp; "'!N$14")</f>
        <v>11</v>
      </c>
      <c r="N12" s="5" cm="1">
        <f t="array" aca="1" ref="N12" ca="1">INDIRECT("'results" &amp; $B12 &amp; "'!O$14")</f>
        <v>65</v>
      </c>
      <c r="O12" s="5" cm="1">
        <f t="array" aca="1" ref="O12" ca="1">INDIRECT("'results" &amp; $B12 &amp; "'!P$14")</f>
        <v>952.86248485193641</v>
      </c>
      <c r="P12" s="5" cm="1">
        <f t="array" aca="1" ref="P12" ca="1">INDIRECT("'results" &amp; $B12 &amp; "'!Q$14")</f>
        <v>17.340115021478709</v>
      </c>
      <c r="Q12" s="5" cm="1">
        <f t="array" aca="1" ref="Q12" ca="1">INDIRECT("'results" &amp; $B12 &amp; "'!R$14")</f>
        <v>5494.4583660250019</v>
      </c>
      <c r="R12" s="5"/>
      <c r="S12" s="5" cm="1">
        <f t="array" aca="1" ref="S12" ca="1">INDIRECT("'results" &amp; $B12 &amp; "'!T$14")</f>
        <v>1352582.257962554</v>
      </c>
      <c r="T12" s="5" cm="1">
        <f t="array" aca="1" ref="T12" ca="1">INDIRECT("'results" &amp; $B12 &amp; "'!U$14")</f>
        <v>57.168261874998279</v>
      </c>
      <c r="U12" s="5" cm="1">
        <f t="array" aca="1" ref="U12" ca="1">INDIRECT("'results" &amp; $B12 &amp; "'!V$14")</f>
        <v>6</v>
      </c>
      <c r="V12" s="5" cm="1">
        <f t="array" aca="1" ref="V12" ca="1">INDIRECT("'results" &amp; $B12 &amp; "'!W$14")</f>
        <v>54</v>
      </c>
      <c r="W12" s="5" cm="1">
        <f t="array" aca="1" ref="W12" ca="1">INDIRECT("'results" &amp; $B12 &amp; "'!X$14")</f>
        <v>909.73039528552351</v>
      </c>
      <c r="X12" s="5" cm="1">
        <f t="array" aca="1" ref="X12" ca="1">INDIRECT("'results" &amp; $B12 &amp; "'!Y$14")</f>
        <v>45.936924499318145</v>
      </c>
      <c r="Y12" s="5" cm="1">
        <f t="array" aca="1" ref="Y12" ca="1">INDIRECT("'results" &amp; $B12 &amp; "'!Z$14")</f>
        <v>6041.3217417867172</v>
      </c>
      <c r="Z12" s="5"/>
    </row>
    <row r="13" spans="2:26" x14ac:dyDescent="0.2">
      <c r="B13" s="8" t="s">
        <v>3</v>
      </c>
      <c r="C13" s="9">
        <f ca="1">AVERAGE(C3:C12)</f>
        <v>1085303.6958576157</v>
      </c>
      <c r="D13" s="10">
        <f t="shared" ref="D13:I13" ca="1" si="0">AVERAGE(D3:D12)</f>
        <v>57.060232145799816</v>
      </c>
      <c r="E13" s="9">
        <f t="shared" ca="1" si="0"/>
        <v>10.199999999999999</v>
      </c>
      <c r="F13" s="9">
        <f t="shared" ca="1" si="0"/>
        <v>84.5</v>
      </c>
      <c r="G13" s="9">
        <f t="shared" ca="1" si="0"/>
        <v>1322.1914990792372</v>
      </c>
      <c r="H13" s="10">
        <f t="shared" ca="1" si="0"/>
        <v>31.066447471526295</v>
      </c>
      <c r="I13" s="9">
        <f t="shared" ca="1" si="0"/>
        <v>6318.6330032554379</v>
      </c>
      <c r="J13" s="32" t="e">
        <f ca="1">(C13-$D$15)/$D$15</f>
        <v>#DIV/0!</v>
      </c>
      <c r="K13" s="16">
        <f ca="1">AVERAGE(K3:K12)</f>
        <v>1318452.4925315906</v>
      </c>
      <c r="L13" s="41">
        <f t="shared" ref="L13:Q13" ca="1" si="1">AVERAGE(L3:L12)</f>
        <v>94.689403008400404</v>
      </c>
      <c r="M13" s="16">
        <f t="shared" ca="1" si="1"/>
        <v>11.8</v>
      </c>
      <c r="N13" s="16">
        <f ca="1">AVERAGE(N3:N12)</f>
        <v>63</v>
      </c>
      <c r="O13" s="16">
        <f t="shared" ca="1" si="1"/>
        <v>782.25635341452517</v>
      </c>
      <c r="P13" s="41">
        <f t="shared" ca="1" si="1"/>
        <v>18.633042734459487</v>
      </c>
      <c r="Q13" s="16">
        <f t="shared" ca="1" si="1"/>
        <v>5339.9932856410906</v>
      </c>
      <c r="R13" s="42" t="e">
        <f ca="1">(K13-$D$15)/$D$15</f>
        <v>#DIV/0!</v>
      </c>
      <c r="S13" s="38">
        <f ca="1">AVERAGE(S3:S12)</f>
        <v>1339237.137716555</v>
      </c>
      <c r="T13" s="43">
        <f t="shared" ref="T13:Y13" ca="1" si="2">AVERAGE(T3:T12)</f>
        <v>71.579917075099729</v>
      </c>
      <c r="U13" s="38">
        <f t="shared" ca="1" si="2"/>
        <v>8.1</v>
      </c>
      <c r="V13" s="38">
        <f t="shared" ca="1" si="2"/>
        <v>60.8</v>
      </c>
      <c r="W13" s="38">
        <f t="shared" ca="1" si="2"/>
        <v>1267.4538295425782</v>
      </c>
      <c r="X13" s="43">
        <f t="shared" ca="1" si="2"/>
        <v>45.908328973749832</v>
      </c>
      <c r="Y13" s="38">
        <f t="shared" ca="1" si="2"/>
        <v>6491.3520042414993</v>
      </c>
      <c r="Z13" s="44" t="e">
        <f ca="1">(S13-$D$15)/$D$15</f>
        <v>#DIV/0!</v>
      </c>
    </row>
    <row r="14" spans="2:26" x14ac:dyDescent="0.2">
      <c r="K14" s="45">
        <f ca="1">(K13-C13)/C13</f>
        <v>0.21482355359505056</v>
      </c>
      <c r="L14" s="45">
        <f t="shared" ref="L14:Q14" ca="1" si="3">(L13-D13)/D13</f>
        <v>0.65946403383797758</v>
      </c>
      <c r="M14" s="45">
        <f t="shared" ca="1" si="3"/>
        <v>0.15686274509803935</v>
      </c>
      <c r="N14" s="45">
        <f t="shared" ca="1" si="3"/>
        <v>-0.25443786982248523</v>
      </c>
      <c r="O14" s="45">
        <f t="shared" ca="1" si="3"/>
        <v>-0.40836380058464922</v>
      </c>
      <c r="P14" s="45">
        <f t="shared" ca="1" si="3"/>
        <v>-0.40021971448336818</v>
      </c>
      <c r="Q14" s="45">
        <f t="shared" ca="1" si="3"/>
        <v>-0.15488155699344147</v>
      </c>
      <c r="S14" s="45">
        <f ca="1">(S13-C13)/C13</f>
        <v>0.23397454816393962</v>
      </c>
      <c r="T14" s="45">
        <f t="shared" ref="T14:Y14" ca="1" si="4">(T13-D13)/D13</f>
        <v>0.25446242300941468</v>
      </c>
      <c r="U14" s="45">
        <f t="shared" ca="1" si="4"/>
        <v>-0.20588235294117646</v>
      </c>
      <c r="V14" s="45">
        <f ca="1">(V13-F13)/F13</f>
        <v>-0.2804733727810651</v>
      </c>
      <c r="W14" s="45">
        <f t="shared" ca="1" si="4"/>
        <v>-4.1399199416104156E-2</v>
      </c>
      <c r="X14" s="45">
        <f t="shared" ca="1" si="4"/>
        <v>0.47774633761477697</v>
      </c>
      <c r="Y14" s="45">
        <f t="shared" ca="1" si="4"/>
        <v>2.7334868300955998E-2</v>
      </c>
    </row>
    <row r="16" spans="2:26" x14ac:dyDescent="0.2">
      <c r="B16" s="1" t="s">
        <v>21</v>
      </c>
      <c r="C16">
        <f ca="1">_xlfn.STDEV.S(C3:C12)</f>
        <v>75133.573028362909</v>
      </c>
      <c r="J16" s="1" t="s">
        <v>21</v>
      </c>
      <c r="K16">
        <f ca="1">_xlfn.STDEV.S(K3:K12)</f>
        <v>86556.055068483256</v>
      </c>
      <c r="R16" s="1" t="s">
        <v>21</v>
      </c>
      <c r="S16">
        <f ca="1">_xlfn.STDEV.S(S3:S12)</f>
        <v>78000.119594677264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sheetPr codeName="Sheet3"/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-0.98610887251264445</v>
      </c>
      <c r="J2" s="28" t="e">
        <f>(S14-J14)/J14</f>
        <v>#DIV/0!</v>
      </c>
      <c r="K2" s="28"/>
      <c r="L2" s="1" t="s">
        <v>19</v>
      </c>
      <c r="P2" s="1">
        <f>(P14-H14)/H14</f>
        <v>-0.5621832917751064</v>
      </c>
      <c r="R2" s="1">
        <f>(R14-J14)/J14</f>
        <v>-0.20193385207417672</v>
      </c>
      <c r="T2" s="1" t="s">
        <v>20</v>
      </c>
      <c r="X2" s="1">
        <f>(X14-P14)/P14</f>
        <v>1.5146102874885226</v>
      </c>
      <c r="Z2" s="1">
        <f>(Z14-R14)/R14</f>
        <v>0.21867182757748402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35</v>
      </c>
      <c r="D4" s="23">
        <v>1011239.636669382</v>
      </c>
      <c r="E4" s="33">
        <v>63.579294416998891</v>
      </c>
      <c r="F4" s="5">
        <v>10</v>
      </c>
      <c r="G4" s="23">
        <v>89</v>
      </c>
      <c r="H4" s="33">
        <v>1205.8033377200418</v>
      </c>
      <c r="I4" s="23">
        <v>34.088797875480807</v>
      </c>
      <c r="J4" s="5">
        <v>6184.755301862504</v>
      </c>
      <c r="K4" s="31"/>
      <c r="L4" s="23">
        <v>1354050.5401889221</v>
      </c>
      <c r="M4" s="33">
        <v>70.681656875000044</v>
      </c>
      <c r="N4" s="5">
        <v>14</v>
      </c>
      <c r="O4" s="5">
        <v>67</v>
      </c>
      <c r="P4" s="33">
        <v>1127.1756094139369</v>
      </c>
      <c r="Q4" s="5">
        <v>16.936996336624343</v>
      </c>
      <c r="R4" s="5">
        <v>5802.3024393659753</v>
      </c>
      <c r="S4" s="31"/>
      <c r="T4" s="23">
        <v>1285308.415937427</v>
      </c>
      <c r="U4" s="33">
        <v>48.451806125001887</v>
      </c>
      <c r="V4" s="5">
        <v>9</v>
      </c>
      <c r="W4" s="5">
        <v>64</v>
      </c>
      <c r="X4" s="33">
        <v>1318.1296949821331</v>
      </c>
      <c r="Y4" s="5">
        <v>41.175325151542758</v>
      </c>
      <c r="Z4" s="5">
        <v>5996.4046952074405</v>
      </c>
      <c r="AA4" s="35"/>
    </row>
    <row r="5" spans="2:27" x14ac:dyDescent="0.2">
      <c r="B5" s="4">
        <v>2</v>
      </c>
      <c r="C5" s="4">
        <v>136</v>
      </c>
      <c r="D5" s="23">
        <v>1148140.4062522959</v>
      </c>
      <c r="E5" s="33">
        <v>45.641614749998553</v>
      </c>
      <c r="F5" s="5">
        <v>11</v>
      </c>
      <c r="G5" s="23">
        <v>91</v>
      </c>
      <c r="H5" s="33">
        <v>2293.9745480491733</v>
      </c>
      <c r="I5" s="23">
        <v>31.917660479605047</v>
      </c>
      <c r="J5" s="5">
        <v>6970.5231513651997</v>
      </c>
      <c r="K5" s="31"/>
      <c r="L5" s="23">
        <v>1251717.038205774</v>
      </c>
      <c r="M5" s="33">
        <v>79.194046290998813</v>
      </c>
      <c r="N5" s="5">
        <v>12</v>
      </c>
      <c r="O5" s="5">
        <v>67</v>
      </c>
      <c r="P5" s="33">
        <v>732.09912266292281</v>
      </c>
      <c r="Q5" s="5">
        <v>18.590163947784102</v>
      </c>
      <c r="R5" s="5">
        <v>5143.2703547912615</v>
      </c>
      <c r="S5" s="31"/>
      <c r="T5" s="23">
        <v>1433762.066363564</v>
      </c>
      <c r="U5" s="33">
        <v>49.193457542001852</v>
      </c>
      <c r="V5" s="5">
        <v>14</v>
      </c>
      <c r="W5" s="5">
        <v>62</v>
      </c>
      <c r="X5" s="33">
        <v>1501.1777348970188</v>
      </c>
      <c r="Y5" s="5">
        <v>25.212322211792983</v>
      </c>
      <c r="Z5" s="5">
        <v>6166.544861022162</v>
      </c>
      <c r="AA5" s="35"/>
    </row>
    <row r="6" spans="2:27" x14ac:dyDescent="0.2">
      <c r="B6" s="4">
        <v>3</v>
      </c>
      <c r="C6" s="4">
        <v>401</v>
      </c>
      <c r="D6" s="23">
        <v>1006501.13774421</v>
      </c>
      <c r="E6" s="33">
        <v>32.299546124999317</v>
      </c>
      <c r="F6" s="5">
        <v>10</v>
      </c>
      <c r="G6" s="23">
        <v>90</v>
      </c>
      <c r="H6" s="33">
        <v>1324.8574382708928</v>
      </c>
      <c r="I6" s="23">
        <v>34.815861387330287</v>
      </c>
      <c r="J6" s="5">
        <v>6166.0863643886078</v>
      </c>
      <c r="K6" s="31"/>
      <c r="L6" s="23">
        <v>1217208.4336530811</v>
      </c>
      <c r="M6" s="33">
        <v>66.541955707998568</v>
      </c>
      <c r="N6" s="5">
        <v>13</v>
      </c>
      <c r="O6" s="5">
        <v>70</v>
      </c>
      <c r="P6" s="33">
        <v>755.94893376753578</v>
      </c>
      <c r="Q6" s="5">
        <v>18.4369239318833</v>
      </c>
      <c r="R6" s="5">
        <v>5037.7038678488916</v>
      </c>
      <c r="S6" s="31"/>
      <c r="T6" s="23">
        <v>1268662.3587958</v>
      </c>
      <c r="U6" s="33">
        <v>51.7502592919991</v>
      </c>
      <c r="V6" s="5">
        <v>9</v>
      </c>
      <c r="W6" s="5">
        <v>66</v>
      </c>
      <c r="X6" s="33">
        <v>1473.871250557178</v>
      </c>
      <c r="Y6" s="5">
        <v>42.632734795528982</v>
      </c>
      <c r="Z6" s="5">
        <v>6063.8322963952132</v>
      </c>
      <c r="AA6" s="35"/>
    </row>
    <row r="7" spans="2:27" x14ac:dyDescent="0.2">
      <c r="B7" s="4">
        <v>4</v>
      </c>
      <c r="C7" s="4">
        <v>407</v>
      </c>
      <c r="D7" s="23">
        <v>1093912.8927044999</v>
      </c>
      <c r="E7" s="33">
        <v>51.041339458000948</v>
      </c>
      <c r="F7" s="5">
        <v>11</v>
      </c>
      <c r="G7" s="23">
        <v>90</v>
      </c>
      <c r="H7" s="33">
        <v>1782.666675392758</v>
      </c>
      <c r="I7" s="23">
        <v>31.119528946321108</v>
      </c>
      <c r="J7" s="5">
        <v>6562.680211656625</v>
      </c>
      <c r="K7" s="31"/>
      <c r="L7" s="23">
        <v>1283611.0352024049</v>
      </c>
      <c r="M7" s="33">
        <v>65.876402417001373</v>
      </c>
      <c r="N7" s="5">
        <v>10</v>
      </c>
      <c r="O7" s="5">
        <v>62</v>
      </c>
      <c r="P7" s="33">
        <v>604.99304101039934</v>
      </c>
      <c r="Q7" s="5">
        <v>22.339987245037431</v>
      </c>
      <c r="R7" s="5">
        <v>5183.2397875571241</v>
      </c>
      <c r="S7" s="31"/>
      <c r="T7" s="23">
        <v>1344920.724943287</v>
      </c>
      <c r="U7" s="33">
        <v>34.442268333001273</v>
      </c>
      <c r="V7" s="5">
        <v>10</v>
      </c>
      <c r="W7" s="5">
        <v>68</v>
      </c>
      <c r="X7" s="33">
        <v>1840.5129554186851</v>
      </c>
      <c r="Y7" s="5">
        <v>38.878142781989062</v>
      </c>
      <c r="Z7" s="5">
        <v>6896.8729623497848</v>
      </c>
      <c r="AA7" s="35"/>
    </row>
    <row r="8" spans="2:27" x14ac:dyDescent="0.2">
      <c r="B8" s="4">
        <v>5</v>
      </c>
      <c r="C8" s="4">
        <v>436</v>
      </c>
      <c r="D8" s="23">
        <v>1136924.4607508711</v>
      </c>
      <c r="E8" s="33">
        <v>76.723968541999056</v>
      </c>
      <c r="F8" s="5">
        <v>10</v>
      </c>
      <c r="G8" s="23">
        <v>81</v>
      </c>
      <c r="H8" s="33">
        <v>1369.170265875415</v>
      </c>
      <c r="I8" s="23">
        <v>30.466399809542896</v>
      </c>
      <c r="J8" s="5">
        <v>6273.1459496026064</v>
      </c>
      <c r="K8" s="31"/>
      <c r="L8" s="23">
        <v>1196689.9946168431</v>
      </c>
      <c r="M8" s="33">
        <v>107.6653287090012</v>
      </c>
      <c r="N8" s="5">
        <v>13</v>
      </c>
      <c r="O8" s="5">
        <v>71</v>
      </c>
      <c r="P8" s="33">
        <v>586.1231292540416</v>
      </c>
      <c r="Q8" s="5">
        <v>18.596620363728565</v>
      </c>
      <c r="R8" s="5">
        <v>4975.7712939414532</v>
      </c>
      <c r="S8" s="31"/>
      <c r="T8" s="23">
        <v>1363910.231362361</v>
      </c>
      <c r="U8" s="33">
        <v>43.945038582998677</v>
      </c>
      <c r="V8" s="5">
        <v>8</v>
      </c>
      <c r="W8" s="5">
        <v>59</v>
      </c>
      <c r="X8" s="33">
        <v>1393.2101763228313</v>
      </c>
      <c r="Y8" s="5">
        <v>39.530128778465752</v>
      </c>
      <c r="Z8" s="5">
        <v>6220.8967793801048</v>
      </c>
      <c r="AA8" s="35"/>
    </row>
    <row r="9" spans="2:27" x14ac:dyDescent="0.2">
      <c r="B9" s="4">
        <v>6</v>
      </c>
      <c r="C9" s="4">
        <v>454</v>
      </c>
      <c r="D9" s="23">
        <v>996513.99205290165</v>
      </c>
      <c r="E9" s="33">
        <v>65.770754290999321</v>
      </c>
      <c r="F9" s="5">
        <v>12</v>
      </c>
      <c r="G9" s="23">
        <v>92</v>
      </c>
      <c r="H9" s="33">
        <v>1260.1162701983765</v>
      </c>
      <c r="I9" s="23">
        <v>29.514447700380682</v>
      </c>
      <c r="J9" s="5">
        <v>5976.7618760330461</v>
      </c>
      <c r="K9" s="31"/>
      <c r="L9" s="23">
        <v>1275896.0507614871</v>
      </c>
      <c r="M9" s="33">
        <v>118.9871138330018</v>
      </c>
      <c r="N9" s="5">
        <v>12</v>
      </c>
      <c r="O9" s="5">
        <v>68</v>
      </c>
      <c r="P9" s="33">
        <v>1095.9419010676868</v>
      </c>
      <c r="Q9" s="5">
        <v>19.325817225886095</v>
      </c>
      <c r="R9" s="5">
        <v>5458.7067870995079</v>
      </c>
      <c r="S9" s="31"/>
      <c r="T9" s="23">
        <v>1315859.5501180971</v>
      </c>
      <c r="U9" s="33">
        <v>63.242927457999031</v>
      </c>
      <c r="V9" s="5">
        <v>8</v>
      </c>
      <c r="W9" s="5">
        <v>61</v>
      </c>
      <c r="X9" s="33">
        <v>1246.2311393632726</v>
      </c>
      <c r="Y9" s="5">
        <v>44.844658433672386</v>
      </c>
      <c r="Z9" s="5">
        <v>6129.5273531556222</v>
      </c>
      <c r="AA9" s="35"/>
    </row>
    <row r="10" spans="2:27" x14ac:dyDescent="0.2">
      <c r="B10" s="4">
        <v>7</v>
      </c>
      <c r="C10" s="4">
        <v>558</v>
      </c>
      <c r="D10" s="23">
        <v>985735.57025410968</v>
      </c>
      <c r="E10" s="33">
        <v>42.282987332999262</v>
      </c>
      <c r="F10" s="5">
        <v>11</v>
      </c>
      <c r="G10" s="23">
        <v>94</v>
      </c>
      <c r="H10" s="33">
        <v>1338.7408891507341</v>
      </c>
      <c r="I10" s="23">
        <v>33.068830115069439</v>
      </c>
      <c r="J10" s="5">
        <v>6234.7855586576379</v>
      </c>
      <c r="K10" s="31"/>
      <c r="L10" s="23">
        <v>1305891.0748055491</v>
      </c>
      <c r="M10" s="33">
        <v>47.90930733300047</v>
      </c>
      <c r="N10" s="5">
        <v>16</v>
      </c>
      <c r="O10" s="5">
        <v>66</v>
      </c>
      <c r="P10" s="33">
        <v>547.70384409659857</v>
      </c>
      <c r="Q10" s="5">
        <v>15.005152627091114</v>
      </c>
      <c r="R10" s="5">
        <v>4863.283934430282</v>
      </c>
      <c r="S10" s="31"/>
      <c r="T10" s="23">
        <v>1321227.738225474</v>
      </c>
      <c r="U10" s="33">
        <v>48.38979541700246</v>
      </c>
      <c r="V10" s="5">
        <v>10</v>
      </c>
      <c r="W10" s="5">
        <v>66</v>
      </c>
      <c r="X10" s="33">
        <v>1522.7005034665287</v>
      </c>
      <c r="Y10" s="5">
        <v>39.618425835994145</v>
      </c>
      <c r="Z10" s="5">
        <v>6502.0151773750831</v>
      </c>
      <c r="AA10" s="35"/>
    </row>
    <row r="11" spans="2:27" x14ac:dyDescent="0.2">
      <c r="B11" s="4">
        <v>8</v>
      </c>
      <c r="C11" s="4">
        <v>814</v>
      </c>
      <c r="D11" s="23">
        <v>1016240.69228741</v>
      </c>
      <c r="E11" s="33">
        <v>32.794124750000258</v>
      </c>
      <c r="F11" s="5">
        <v>10</v>
      </c>
      <c r="G11" s="23">
        <v>94</v>
      </c>
      <c r="H11" s="33">
        <v>1590.4890710237037</v>
      </c>
      <c r="I11" s="23">
        <v>37.382326354140531</v>
      </c>
      <c r="J11" s="5">
        <v>6637.713123301688</v>
      </c>
      <c r="K11" s="31"/>
      <c r="L11" s="23">
        <v>1235114.7697711659</v>
      </c>
      <c r="M11" s="33">
        <v>96.708133833002648</v>
      </c>
      <c r="N11" s="5">
        <v>13</v>
      </c>
      <c r="O11" s="5">
        <v>74</v>
      </c>
      <c r="P11" s="33">
        <v>1106.7069254965711</v>
      </c>
      <c r="Q11" s="5">
        <v>20.12980611522876</v>
      </c>
      <c r="R11" s="5">
        <v>5688.9118128514428</v>
      </c>
      <c r="S11" s="31"/>
      <c r="T11" s="23">
        <v>1351142.553441857</v>
      </c>
      <c r="U11" s="33">
        <v>40.153353749999951</v>
      </c>
      <c r="V11" s="5">
        <v>11</v>
      </c>
      <c r="W11" s="5">
        <v>82</v>
      </c>
      <c r="X11" s="33">
        <v>3042.0060347433873</v>
      </c>
      <c r="Y11" s="5">
        <v>52.188085808461025</v>
      </c>
      <c r="Z11" s="5">
        <v>8041.5270032031676</v>
      </c>
      <c r="AA11" s="35"/>
    </row>
    <row r="12" spans="2:27" x14ac:dyDescent="0.2">
      <c r="B12" s="4">
        <v>9</v>
      </c>
      <c r="C12" s="4">
        <v>958</v>
      </c>
      <c r="D12" s="23">
        <v>1036470.959237369</v>
      </c>
      <c r="E12" s="33">
        <v>32.222007042000769</v>
      </c>
      <c r="F12" s="5">
        <v>12</v>
      </c>
      <c r="G12" s="23">
        <v>93</v>
      </c>
      <c r="H12" s="33">
        <v>1631.3095459691831</v>
      </c>
      <c r="I12" s="23">
        <v>29.381032361847208</v>
      </c>
      <c r="J12" s="5">
        <v>6260.8325082122337</v>
      </c>
      <c r="K12" s="31"/>
      <c r="L12" s="23">
        <v>1296951.0462115549</v>
      </c>
      <c r="M12" s="33">
        <v>84.80422283399821</v>
      </c>
      <c r="N12" s="5">
        <v>14</v>
      </c>
      <c r="O12" s="5">
        <v>67</v>
      </c>
      <c r="P12" s="33">
        <v>792.62197813300509</v>
      </c>
      <c r="Q12" s="5">
        <v>17.851012437225076</v>
      </c>
      <c r="R12" s="5">
        <v>5215.5508835323762</v>
      </c>
      <c r="S12" s="31"/>
      <c r="T12" s="23">
        <v>1308384.2089352689</v>
      </c>
      <c r="U12" s="33">
        <v>63.611117500000553</v>
      </c>
      <c r="V12" s="5">
        <v>9</v>
      </c>
      <c r="W12" s="5">
        <v>65</v>
      </c>
      <c r="X12" s="33">
        <v>1481.2121666776982</v>
      </c>
      <c r="Y12" s="5">
        <v>42.157806859989599</v>
      </c>
      <c r="Z12" s="5">
        <v>6369.8913038170831</v>
      </c>
      <c r="AA12" s="35"/>
    </row>
    <row r="13" spans="2:27" x14ac:dyDescent="0.2">
      <c r="B13" s="4">
        <v>10</v>
      </c>
      <c r="C13" s="4">
        <v>995</v>
      </c>
      <c r="D13" s="23">
        <v>1086663.3865369081</v>
      </c>
      <c r="E13" s="33">
        <v>39.83173345799878</v>
      </c>
      <c r="F13" s="5">
        <v>10</v>
      </c>
      <c r="G13" s="23">
        <v>87</v>
      </c>
      <c r="H13" s="33">
        <v>1602.1701962048444</v>
      </c>
      <c r="I13" s="23">
        <v>33.237722377962015</v>
      </c>
      <c r="J13" s="5">
        <v>6418.9661873879404</v>
      </c>
      <c r="K13" s="31"/>
      <c r="L13" s="23">
        <v>1220511.881676045</v>
      </c>
      <c r="M13" s="33">
        <v>125.7421372919998</v>
      </c>
      <c r="N13" s="5">
        <v>12</v>
      </c>
      <c r="O13" s="5">
        <v>69</v>
      </c>
      <c r="P13" s="33">
        <v>723.32741653218136</v>
      </c>
      <c r="Q13" s="5">
        <v>19.027930029270696</v>
      </c>
      <c r="R13" s="5">
        <v>5026.9364388247604</v>
      </c>
      <c r="S13" s="31"/>
      <c r="T13" s="23">
        <v>1338600.6690865811</v>
      </c>
      <c r="U13" s="33">
        <v>52.425374082999042</v>
      </c>
      <c r="V13" s="5">
        <v>8</v>
      </c>
      <c r="W13" s="5">
        <v>62</v>
      </c>
      <c r="X13" s="33">
        <v>1667.1325406239087</v>
      </c>
      <c r="Y13" s="5">
        <v>51.988397836915567</v>
      </c>
      <c r="Z13" s="5">
        <v>6644.0419516955553</v>
      </c>
      <c r="AA13" s="35"/>
    </row>
    <row r="14" spans="2:27" x14ac:dyDescent="0.2">
      <c r="B14" s="46" t="s">
        <v>3</v>
      </c>
      <c r="C14" s="47"/>
      <c r="D14" s="9">
        <f>MIN(D4:D13)</f>
        <v>985735.57025410968</v>
      </c>
      <c r="E14" s="22">
        <f>INDEX(E4:E13, MATCH($D$14, D4:D13, 0))</f>
        <v>42.282987332999262</v>
      </c>
      <c r="F14" s="9">
        <f>INDEX(F4:F13, MATCH($D$14, D4:D13, 0))</f>
        <v>11</v>
      </c>
      <c r="G14" s="9">
        <f>INDEX(G4:G13, MATCH($D$14, D4:D13, 0))</f>
        <v>94</v>
      </c>
      <c r="H14" s="22">
        <f>INDEX(H4:H13, MATCH($D$14, D4:D13, 0))</f>
        <v>1338.7408891507341</v>
      </c>
      <c r="I14" s="22">
        <f>INDEX(I4:I13, MATCH($D$14, D4:D13, 0))</f>
        <v>33.068830115069439</v>
      </c>
      <c r="J14" s="22">
        <f>INDEX(J4:J13, MATCH($D$14, D4:D13, 0))</f>
        <v>6234.7855586576379</v>
      </c>
      <c r="K14" s="32" t="e">
        <f>(D14-$D$15)/$D$15</f>
        <v>#DIV/0!</v>
      </c>
      <c r="L14" s="16">
        <f>MIN(L4:L13)</f>
        <v>1196689.9946168431</v>
      </c>
      <c r="M14" s="21">
        <f>INDEX(M4:M13, MATCH($L$14, L4:L13, 0))</f>
        <v>107.6653287090012</v>
      </c>
      <c r="N14" s="16">
        <f>INDEX(N4:N13, MATCH($L$14, L4:L13, 0))</f>
        <v>13</v>
      </c>
      <c r="O14" s="16">
        <f>INDEX(O4:O13, MATCH($L$14, L4:L13, 0))</f>
        <v>71</v>
      </c>
      <c r="P14" s="21">
        <f>INDEX(P4:P13, MATCH($L$14, L4:L13, 0))</f>
        <v>586.1231292540416</v>
      </c>
      <c r="Q14" s="21">
        <f>INDEX(Q4:Q13, MATCH($L$14, L4:L13, 0))</f>
        <v>18.596620363728565</v>
      </c>
      <c r="R14" s="21">
        <f>INDEX(R4:R13, MATCH($L$14, L4:L13, 0))</f>
        <v>4975.7712939414532</v>
      </c>
      <c r="S14" s="36" t="e">
        <f>(L14-$D$15)/$D$15</f>
        <v>#DIV/0!</v>
      </c>
      <c r="T14" s="38">
        <f>MIN(T4:T13)</f>
        <v>1268662.3587958</v>
      </c>
      <c r="U14" s="39">
        <f>INDEX(U4:U13, MATCH($T$14, T4:T13, 0))</f>
        <v>51.7502592919991</v>
      </c>
      <c r="V14" s="38">
        <f>INDEX(V4:V13, MATCH($T$14, T4:T13, 0))</f>
        <v>9</v>
      </c>
      <c r="W14" s="38">
        <f>INDEX(W4:W13, MATCH($T$14, T4:T13, 0))</f>
        <v>66</v>
      </c>
      <c r="X14" s="39">
        <f>INDEX(X4:X13, MATCH($T$14, T4:T13, 0))</f>
        <v>1473.871250557178</v>
      </c>
      <c r="Y14" s="39">
        <f>INDEX(Y4:Y13, MATCH($T$14, T4:T13, 0))</f>
        <v>42.632734795528982</v>
      </c>
      <c r="Z14" s="39">
        <f>INDEX(Z4:Z13, MATCH($T$14, T4:T13, 0))</f>
        <v>6063.8322963952132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0.21400711380269263</v>
      </c>
      <c r="M15" s="45">
        <f t="shared" ref="M15:R15" si="0">(M14-E14)/E14</f>
        <v>1.5463037382170737</v>
      </c>
      <c r="N15" s="45">
        <f t="shared" si="0"/>
        <v>0.18181818181818182</v>
      </c>
      <c r="O15" s="45">
        <f t="shared" si="0"/>
        <v>-0.24468085106382978</v>
      </c>
      <c r="P15" s="45">
        <f t="shared" si="0"/>
        <v>-0.5621832917751064</v>
      </c>
      <c r="Q15" s="45">
        <f t="shared" si="0"/>
        <v>-0.43763900026042651</v>
      </c>
      <c r="R15" s="45">
        <f t="shared" si="0"/>
        <v>-0.20193385207417672</v>
      </c>
      <c r="S15"/>
      <c r="T15" s="45">
        <f>(T14-D14)/D14</f>
        <v>0.28702097913414598</v>
      </c>
      <c r="U15" s="45">
        <f t="shared" ref="U15:Z15" si="1">(U14-E14)/E14</f>
        <v>0.22390262741940223</v>
      </c>
      <c r="V15" s="45">
        <f t="shared" si="1"/>
        <v>-0.18181818181818182</v>
      </c>
      <c r="W15" s="45">
        <f>(W14-G14)/G14</f>
        <v>-0.2978723404255319</v>
      </c>
      <c r="X15" s="45">
        <f t="shared" si="1"/>
        <v>0.10093839853667828</v>
      </c>
      <c r="Y15" s="45">
        <f t="shared" si="1"/>
        <v>0.28921206608096123</v>
      </c>
      <c r="Z15" s="45">
        <f t="shared" si="1"/>
        <v>-2.7419268979514234E-2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:C1048576">
    <cfRule type="duplicateValues" dxfId="129" priority="9"/>
    <cfRule type="duplicateValues" dxfId="128" priority="10"/>
  </conditionalFormatting>
  <conditionalFormatting sqref="C4:C13">
    <cfRule type="duplicateValues" dxfId="127" priority="1"/>
    <cfRule type="duplicateValues" dxfId="126" priority="2"/>
  </conditionalFormatting>
  <conditionalFormatting sqref="C14">
    <cfRule type="duplicateValues" dxfId="125" priority="3"/>
    <cfRule type="duplicateValues" dxfId="124" priority="4"/>
  </conditionalFormatting>
  <conditionalFormatting sqref="C15">
    <cfRule type="duplicateValues" dxfId="123" priority="5"/>
    <cfRule type="duplicateValues" dxfId="122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B9DC-D3ED-2849-A978-F92E74A5D56C}">
  <sheetPr codeName="Sheet4"/>
  <dimension ref="B1:AA17"/>
  <sheetViews>
    <sheetView topLeftCell="A2"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-0.98337254471150448</v>
      </c>
      <c r="J2" s="28" t="e">
        <f>(S14-J14)/J14</f>
        <v>#DIV/0!</v>
      </c>
      <c r="K2" s="28"/>
      <c r="L2" s="1" t="s">
        <v>19</v>
      </c>
      <c r="P2" s="1">
        <f>(P14-H14)/H14</f>
        <v>-0.25356868967600588</v>
      </c>
      <c r="R2" s="1">
        <f>(R14-J14)/J14</f>
        <v>-7.5693240316666674E-2</v>
      </c>
      <c r="T2" s="1" t="s">
        <v>20</v>
      </c>
      <c r="X2" s="1">
        <f>(X14-P14)/P14</f>
        <v>-0.25193247190244289</v>
      </c>
      <c r="Z2" s="1">
        <f>(Z14-R14)/R14</f>
        <v>-5.4594618225430427E-4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252</v>
      </c>
      <c r="D4" s="23">
        <v>1448629.4487293339</v>
      </c>
      <c r="E4" s="33">
        <v>31.22857312499946</v>
      </c>
      <c r="F4" s="5">
        <v>9</v>
      </c>
      <c r="G4" s="23">
        <v>62</v>
      </c>
      <c r="H4" s="33">
        <v>1821.6420672537613</v>
      </c>
      <c r="I4" s="23">
        <v>24.206816982162689</v>
      </c>
      <c r="J4" s="5">
        <v>7217.5231301218628</v>
      </c>
      <c r="K4" s="31"/>
      <c r="L4" s="23">
        <v>1383878.4898128959</v>
      </c>
      <c r="M4" s="33">
        <v>65.644773665997491</v>
      </c>
      <c r="N4" s="5">
        <v>8</v>
      </c>
      <c r="O4" s="5">
        <v>56</v>
      </c>
      <c r="P4" s="33">
        <v>839.32220878539476</v>
      </c>
      <c r="Q4" s="5">
        <v>24.196216446694962</v>
      </c>
      <c r="R4" s="5">
        <v>5858.3235600456637</v>
      </c>
      <c r="S4" s="31"/>
      <c r="T4" s="23">
        <v>1597692.148601339</v>
      </c>
      <c r="U4" s="33">
        <v>31.97530720899886</v>
      </c>
      <c r="V4" s="5">
        <v>5</v>
      </c>
      <c r="W4" s="5">
        <v>39</v>
      </c>
      <c r="X4" s="33">
        <v>1274.8594070641436</v>
      </c>
      <c r="Y4" s="5">
        <v>46.511585016509699</v>
      </c>
      <c r="Z4" s="5">
        <v>6880.2239590209956</v>
      </c>
      <c r="AA4" s="35"/>
    </row>
    <row r="5" spans="2:27" x14ac:dyDescent="0.2">
      <c r="B5" s="4">
        <v>2</v>
      </c>
      <c r="C5" s="4">
        <v>265</v>
      </c>
      <c r="D5" s="23">
        <v>1211276.0566488961</v>
      </c>
      <c r="E5" s="33">
        <v>29.571770291000579</v>
      </c>
      <c r="F5" s="5">
        <v>9</v>
      </c>
      <c r="G5" s="23">
        <v>82</v>
      </c>
      <c r="H5" s="33">
        <v>1954.5391448000482</v>
      </c>
      <c r="I5" s="23">
        <v>32.622649627369597</v>
      </c>
      <c r="J5" s="5">
        <v>7120.5436353569239</v>
      </c>
      <c r="K5" s="31"/>
      <c r="L5" s="23">
        <v>1360013.812014916</v>
      </c>
      <c r="M5" s="33">
        <v>51.362847708001937</v>
      </c>
      <c r="N5" s="5">
        <v>9</v>
      </c>
      <c r="O5" s="5">
        <v>59</v>
      </c>
      <c r="P5" s="33">
        <v>990.3429555447816</v>
      </c>
      <c r="Q5" s="5">
        <v>22.060815222836489</v>
      </c>
      <c r="R5" s="5">
        <v>5817.9113994735835</v>
      </c>
      <c r="S5" s="31"/>
      <c r="T5" s="23">
        <v>1454979.413281044</v>
      </c>
      <c r="U5" s="33">
        <v>38.317814166999597</v>
      </c>
      <c r="V5" s="5">
        <v>5</v>
      </c>
      <c r="W5" s="5">
        <v>45</v>
      </c>
      <c r="X5" s="33">
        <v>643.84586171253898</v>
      </c>
      <c r="Y5" s="5">
        <v>45.694118370621574</v>
      </c>
      <c r="Z5" s="5">
        <v>5953.5864039880344</v>
      </c>
      <c r="AA5" s="35"/>
    </row>
    <row r="6" spans="2:27" x14ac:dyDescent="0.2">
      <c r="B6" s="4">
        <v>3</v>
      </c>
      <c r="C6" s="4">
        <v>289</v>
      </c>
      <c r="D6" s="23">
        <v>1245293.756629972</v>
      </c>
      <c r="E6" s="33">
        <v>39.775510792000198</v>
      </c>
      <c r="F6" s="5">
        <v>8</v>
      </c>
      <c r="G6" s="23">
        <v>68</v>
      </c>
      <c r="H6" s="33">
        <v>1120.5480900360599</v>
      </c>
      <c r="I6" s="23">
        <v>28.958844278949606</v>
      </c>
      <c r="J6" s="5">
        <v>6184.2887686761023</v>
      </c>
      <c r="K6" s="31"/>
      <c r="L6" s="23">
        <v>1364135.636041238</v>
      </c>
      <c r="M6" s="33">
        <v>105.4230624170013</v>
      </c>
      <c r="N6" s="5">
        <v>8</v>
      </c>
      <c r="O6" s="5">
        <v>56</v>
      </c>
      <c r="P6" s="33">
        <v>840.5993802896744</v>
      </c>
      <c r="Q6" s="5">
        <v>23.90988742337781</v>
      </c>
      <c r="R6" s="5">
        <v>5648.5839559473807</v>
      </c>
      <c r="S6" s="31"/>
      <c r="T6" s="23">
        <v>1516383.889727802</v>
      </c>
      <c r="U6" s="33">
        <v>61.321025958000973</v>
      </c>
      <c r="V6" s="5">
        <v>5</v>
      </c>
      <c r="W6" s="5">
        <v>39</v>
      </c>
      <c r="X6" s="33">
        <v>553.42808225143665</v>
      </c>
      <c r="Y6" s="5">
        <v>50.395770666951776</v>
      </c>
      <c r="Z6" s="5">
        <v>5708.7674405264306</v>
      </c>
      <c r="AA6" s="35"/>
    </row>
    <row r="7" spans="2:27" x14ac:dyDescent="0.2">
      <c r="B7" s="4">
        <v>4</v>
      </c>
      <c r="C7" s="4">
        <v>491</v>
      </c>
      <c r="D7" s="23">
        <v>1252688.30989566</v>
      </c>
      <c r="E7" s="33">
        <v>71.008489792000546</v>
      </c>
      <c r="F7" s="5">
        <v>10</v>
      </c>
      <c r="G7" s="23">
        <v>81</v>
      </c>
      <c r="H7" s="33">
        <v>2083.0598898082862</v>
      </c>
      <c r="I7" s="23">
        <v>28.003495103076311</v>
      </c>
      <c r="J7" s="5">
        <v>7380.4528381409837</v>
      </c>
      <c r="K7" s="31"/>
      <c r="L7" s="23">
        <v>1370274.943791291</v>
      </c>
      <c r="M7" s="33">
        <v>43.454526249999617</v>
      </c>
      <c r="N7" s="5">
        <v>8</v>
      </c>
      <c r="O7" s="5">
        <v>53</v>
      </c>
      <c r="P7" s="33">
        <v>462.01635126361327</v>
      </c>
      <c r="Q7" s="5">
        <v>21.592700528462572</v>
      </c>
      <c r="R7" s="5">
        <v>5161.3806404168263</v>
      </c>
      <c r="S7" s="31"/>
      <c r="T7" s="23">
        <v>1756604.5196447039</v>
      </c>
      <c r="U7" s="33">
        <v>35.740449708999222</v>
      </c>
      <c r="V7" s="5">
        <v>13</v>
      </c>
      <c r="W7" s="5">
        <v>53</v>
      </c>
      <c r="X7" s="33">
        <v>3700.6653906116458</v>
      </c>
      <c r="Y7" s="5">
        <v>27.983275321411163</v>
      </c>
      <c r="Z7" s="5">
        <v>8989.8518523291332</v>
      </c>
      <c r="AA7" s="35"/>
    </row>
    <row r="8" spans="2:27" x14ac:dyDescent="0.2">
      <c r="B8" s="4">
        <v>5</v>
      </c>
      <c r="C8" s="4">
        <v>525</v>
      </c>
      <c r="D8" s="23">
        <v>1339053.0682378211</v>
      </c>
      <c r="E8" s="33">
        <v>32.791960458000183</v>
      </c>
      <c r="F8" s="5">
        <v>8</v>
      </c>
      <c r="G8" s="23">
        <v>66</v>
      </c>
      <c r="H8" s="33">
        <v>1612.3153080793727</v>
      </c>
      <c r="I8" s="23">
        <v>29.406810759112702</v>
      </c>
      <c r="J8" s="5">
        <v>6883.9822205336632</v>
      </c>
      <c r="K8" s="31"/>
      <c r="L8" s="23">
        <v>1367617.237196106</v>
      </c>
      <c r="M8" s="33">
        <v>44.82101666699964</v>
      </c>
      <c r="N8" s="5">
        <v>11</v>
      </c>
      <c r="O8" s="5">
        <v>62</v>
      </c>
      <c r="P8" s="33">
        <v>1140.7627846322941</v>
      </c>
      <c r="Q8" s="5">
        <v>19.248279660523085</v>
      </c>
      <c r="R8" s="5">
        <v>5886.3839359830426</v>
      </c>
      <c r="S8" s="31"/>
      <c r="T8" s="23">
        <v>1413609.435522733</v>
      </c>
      <c r="U8" s="33">
        <v>38.12450008399901</v>
      </c>
      <c r="V8" s="5">
        <v>6</v>
      </c>
      <c r="W8" s="5">
        <v>49</v>
      </c>
      <c r="X8" s="33">
        <v>740.84340672321366</v>
      </c>
      <c r="Y8" s="5">
        <v>42.138962178398913</v>
      </c>
      <c r="Z8" s="5">
        <v>5814.7351329563471</v>
      </c>
      <c r="AA8" s="35"/>
    </row>
    <row r="9" spans="2:27" x14ac:dyDescent="0.2">
      <c r="B9" s="4">
        <v>6</v>
      </c>
      <c r="C9" s="4">
        <v>548</v>
      </c>
      <c r="D9" s="23">
        <v>1195580.8271464261</v>
      </c>
      <c r="E9" s="33">
        <v>54.11156341700007</v>
      </c>
      <c r="F9" s="5">
        <v>9</v>
      </c>
      <c r="G9" s="23">
        <v>75</v>
      </c>
      <c r="H9" s="33">
        <v>1224.5692462057202</v>
      </c>
      <c r="I9" s="23">
        <v>28.67382710687578</v>
      </c>
      <c r="J9" s="5">
        <v>6333.8830481330224</v>
      </c>
      <c r="K9" s="31"/>
      <c r="L9" s="23">
        <v>1388832.997194215</v>
      </c>
      <c r="M9" s="33">
        <v>46.189657250000892</v>
      </c>
      <c r="N9" s="5">
        <v>10</v>
      </c>
      <c r="O9" s="5">
        <v>58</v>
      </c>
      <c r="P9" s="33">
        <v>923.66593812342808</v>
      </c>
      <c r="Q9" s="5">
        <v>19.989363891629591</v>
      </c>
      <c r="R9" s="5">
        <v>5641.6827841586701</v>
      </c>
      <c r="S9" s="31"/>
      <c r="T9" s="23">
        <v>1497269.5654988349</v>
      </c>
      <c r="U9" s="33">
        <v>65.540181749998737</v>
      </c>
      <c r="V9" s="5">
        <v>5</v>
      </c>
      <c r="W9" s="5">
        <v>41</v>
      </c>
      <c r="X9" s="33">
        <v>505.06905329148964</v>
      </c>
      <c r="Y9" s="5">
        <v>40.62531151724145</v>
      </c>
      <c r="Z9" s="5">
        <v>5722.7557227763837</v>
      </c>
      <c r="AA9" s="35"/>
    </row>
    <row r="10" spans="2:27" x14ac:dyDescent="0.2">
      <c r="B10" s="4">
        <v>7</v>
      </c>
      <c r="C10" s="4">
        <v>549</v>
      </c>
      <c r="D10" s="23">
        <v>1232367.3184474821</v>
      </c>
      <c r="E10" s="33">
        <v>70.123220540999682</v>
      </c>
      <c r="F10" s="5">
        <v>9</v>
      </c>
      <c r="G10" s="23">
        <v>72</v>
      </c>
      <c r="H10" s="33">
        <v>1221.3338451974757</v>
      </c>
      <c r="I10" s="23">
        <v>27.498490750996808</v>
      </c>
      <c r="J10" s="5">
        <v>6452.7951533025143</v>
      </c>
      <c r="K10" s="31"/>
      <c r="L10" s="23">
        <v>1435140.1164797279</v>
      </c>
      <c r="M10" s="33">
        <v>55.722053124998638</v>
      </c>
      <c r="N10" s="5">
        <v>8</v>
      </c>
      <c r="O10" s="5">
        <v>53</v>
      </c>
      <c r="P10" s="33">
        <v>941.23652592810902</v>
      </c>
      <c r="Q10" s="5">
        <v>23.135849946220564</v>
      </c>
      <c r="R10" s="5">
        <v>6020.8969993455567</v>
      </c>
      <c r="S10" s="31"/>
      <c r="T10" s="23">
        <v>1525194.645450956</v>
      </c>
      <c r="U10" s="33">
        <v>31.159345207997831</v>
      </c>
      <c r="V10" s="5">
        <v>8</v>
      </c>
      <c r="W10" s="5">
        <v>52</v>
      </c>
      <c r="X10" s="33">
        <v>1751.135432821301</v>
      </c>
      <c r="Y10" s="5">
        <v>35.33671758839477</v>
      </c>
      <c r="Z10" s="5">
        <v>7393.6086722020982</v>
      </c>
      <c r="AA10" s="35"/>
    </row>
    <row r="11" spans="2:27" x14ac:dyDescent="0.2">
      <c r="B11" s="4">
        <v>8</v>
      </c>
      <c r="C11" s="4">
        <v>573</v>
      </c>
      <c r="D11" s="23">
        <v>1298084.184032571</v>
      </c>
      <c r="E11" s="33">
        <v>35.563520458999847</v>
      </c>
      <c r="F11" s="5">
        <v>9</v>
      </c>
      <c r="G11" s="23">
        <v>74</v>
      </c>
      <c r="H11" s="33">
        <v>1881.298541117661</v>
      </c>
      <c r="I11" s="23">
        <v>29.261621783543028</v>
      </c>
      <c r="J11" s="5">
        <v>7166.6788406935411</v>
      </c>
      <c r="K11" s="31"/>
      <c r="L11" s="23">
        <v>1419836.5235428771</v>
      </c>
      <c r="M11" s="33">
        <v>77.289421833997039</v>
      </c>
      <c r="N11" s="5">
        <v>7</v>
      </c>
      <c r="O11" s="5">
        <v>52</v>
      </c>
      <c r="P11" s="33">
        <v>797.63719147867585</v>
      </c>
      <c r="Q11" s="5">
        <v>23.899740918303387</v>
      </c>
      <c r="R11" s="5">
        <v>5852.5889130565429</v>
      </c>
      <c r="S11" s="31"/>
      <c r="T11" s="23">
        <v>1515468.112826464</v>
      </c>
      <c r="U11" s="33">
        <v>63.89993879100075</v>
      </c>
      <c r="V11" s="5">
        <v>5</v>
      </c>
      <c r="W11" s="5">
        <v>40</v>
      </c>
      <c r="X11" s="33">
        <v>505.84182785635159</v>
      </c>
      <c r="Y11" s="5">
        <v>43.804200991422441</v>
      </c>
      <c r="Z11" s="5">
        <v>5814.3783253537895</v>
      </c>
      <c r="AA11" s="35"/>
    </row>
    <row r="12" spans="2:27" x14ac:dyDescent="0.2">
      <c r="B12" s="4">
        <v>9</v>
      </c>
      <c r="C12" s="4">
        <v>692</v>
      </c>
      <c r="D12" s="23">
        <v>1258905.3880161471</v>
      </c>
      <c r="E12" s="33">
        <v>51.81602012500116</v>
      </c>
      <c r="F12" s="5">
        <v>8</v>
      </c>
      <c r="G12" s="23">
        <v>71</v>
      </c>
      <c r="H12" s="33">
        <v>1444.5729156213147</v>
      </c>
      <c r="I12" s="23">
        <v>30.122120518120283</v>
      </c>
      <c r="J12" s="5">
        <v>6727.5720540768825</v>
      </c>
      <c r="K12" s="31"/>
      <c r="L12" s="23">
        <v>1411571.3709915241</v>
      </c>
      <c r="M12" s="33">
        <v>105.60533629099881</v>
      </c>
      <c r="N12" s="5">
        <v>8</v>
      </c>
      <c r="O12" s="5">
        <v>55</v>
      </c>
      <c r="P12" s="33">
        <v>984.82460716629657</v>
      </c>
      <c r="Q12" s="5">
        <v>23.547118816493196</v>
      </c>
      <c r="R12" s="5">
        <v>6130.4367839855968</v>
      </c>
      <c r="S12" s="31"/>
      <c r="T12" s="23">
        <v>1487400.1564455091</v>
      </c>
      <c r="U12" s="33">
        <v>70.001146457998402</v>
      </c>
      <c r="V12" s="5">
        <v>5</v>
      </c>
      <c r="W12" s="5">
        <v>42</v>
      </c>
      <c r="X12" s="33">
        <v>627.81473619844132</v>
      </c>
      <c r="Y12" s="5">
        <v>44.493268012307901</v>
      </c>
      <c r="Z12" s="5">
        <v>5757.706920999648</v>
      </c>
      <c r="AA12" s="35"/>
    </row>
    <row r="13" spans="2:27" x14ac:dyDescent="0.2">
      <c r="B13" s="4">
        <v>10</v>
      </c>
      <c r="C13" s="4">
        <v>953</v>
      </c>
      <c r="D13" s="23">
        <v>1165486.836600682</v>
      </c>
      <c r="E13" s="33">
        <v>82.019313292001243</v>
      </c>
      <c r="F13" s="5">
        <v>9</v>
      </c>
      <c r="G13" s="23">
        <v>77</v>
      </c>
      <c r="H13" s="33">
        <v>1326.7703830844339</v>
      </c>
      <c r="I13" s="23">
        <v>30.192254647120105</v>
      </c>
      <c r="J13" s="5">
        <v>6294.3512405630299</v>
      </c>
      <c r="K13" s="31"/>
      <c r="L13" s="23">
        <v>1478597.5504349021</v>
      </c>
      <c r="M13" s="33">
        <v>45.587003209002432</v>
      </c>
      <c r="N13" s="5">
        <v>12</v>
      </c>
      <c r="O13" s="5">
        <v>56</v>
      </c>
      <c r="P13" s="33">
        <v>948.64482143270993</v>
      </c>
      <c r="Q13" s="5">
        <v>14.612408471359366</v>
      </c>
      <c r="R13" s="5">
        <v>6044.7763194356585</v>
      </c>
      <c r="S13" s="31"/>
      <c r="T13" s="23">
        <v>1434064.9805738849</v>
      </c>
      <c r="U13" s="33">
        <v>59.740010957997583</v>
      </c>
      <c r="V13" s="5">
        <v>6</v>
      </c>
      <c r="W13" s="5">
        <v>48</v>
      </c>
      <c r="X13" s="33">
        <v>724.82787674947997</v>
      </c>
      <c r="Y13" s="5">
        <v>39.736165373305163</v>
      </c>
      <c r="Z13" s="5">
        <v>5865.9321192241359</v>
      </c>
      <c r="AA13" s="35"/>
    </row>
    <row r="14" spans="2:27" x14ac:dyDescent="0.2">
      <c r="B14" s="46" t="s">
        <v>3</v>
      </c>
      <c r="C14" s="47"/>
      <c r="D14" s="9">
        <f>MIN(D4:D13)</f>
        <v>1165486.836600682</v>
      </c>
      <c r="E14" s="22">
        <f>INDEX(E4:E13, MATCH($D$14, D4:D13, 0))</f>
        <v>82.019313292001243</v>
      </c>
      <c r="F14" s="9">
        <f>INDEX(F4:F13, MATCH($D$14, D4:D13, 0))</f>
        <v>9</v>
      </c>
      <c r="G14" s="9">
        <f>INDEX(G4:G13, MATCH($D$14, D4:D13, 0))</f>
        <v>77</v>
      </c>
      <c r="H14" s="22">
        <f>INDEX(H4:H13, MATCH($D$14, D4:D13, 0))</f>
        <v>1326.7703830844339</v>
      </c>
      <c r="I14" s="22">
        <f>INDEX(I4:I13, MATCH($D$14, D4:D13, 0))</f>
        <v>30.192254647120105</v>
      </c>
      <c r="J14" s="22">
        <f>INDEX(J4:J13, MATCH($D$14, D4:D13, 0))</f>
        <v>6294.3512405630299</v>
      </c>
      <c r="K14" s="32" t="e">
        <f>(D14-$D$15)/$D$15</f>
        <v>#DIV/0!</v>
      </c>
      <c r="L14" s="16">
        <f>MIN(L4:L13)</f>
        <v>1360013.812014916</v>
      </c>
      <c r="M14" s="21">
        <f>INDEX(M4:M13, MATCH($L$14, L4:L13, 0))</f>
        <v>51.362847708001937</v>
      </c>
      <c r="N14" s="16">
        <f>INDEX(N4:N13, MATCH($L$14, L4:L13, 0))</f>
        <v>9</v>
      </c>
      <c r="O14" s="16">
        <f>INDEX(O4:O13, MATCH($L$14, L4:L13, 0))</f>
        <v>59</v>
      </c>
      <c r="P14" s="21">
        <f>INDEX(P4:P13, MATCH($L$14, L4:L13, 0))</f>
        <v>990.3429555447816</v>
      </c>
      <c r="Q14" s="21">
        <f>INDEX(Q4:Q13, MATCH($L$14, L4:L13, 0))</f>
        <v>22.060815222836489</v>
      </c>
      <c r="R14" s="21">
        <f>INDEX(R4:R13, MATCH($L$14, L4:L13, 0))</f>
        <v>5817.9113994735835</v>
      </c>
      <c r="S14" s="36" t="e">
        <f>(L14-$D$15)/$D$15</f>
        <v>#DIV/0!</v>
      </c>
      <c r="T14" s="38">
        <f>MIN(T4:T13)</f>
        <v>1413609.435522733</v>
      </c>
      <c r="U14" s="39">
        <f>INDEX(U4:U13, MATCH($T$14, T4:T13, 0))</f>
        <v>38.12450008399901</v>
      </c>
      <c r="V14" s="38">
        <f>INDEX(V4:V13, MATCH($T$14, T4:T13, 0))</f>
        <v>6</v>
      </c>
      <c r="W14" s="38">
        <f>INDEX(W4:W13, MATCH($T$14, T4:T13, 0))</f>
        <v>49</v>
      </c>
      <c r="X14" s="39">
        <f>INDEX(X4:X13, MATCH($T$14, T4:T13, 0))</f>
        <v>740.84340672321366</v>
      </c>
      <c r="Y14" s="39">
        <f>INDEX(Y4:Y13, MATCH($T$14, T4:T13, 0))</f>
        <v>42.138962178398913</v>
      </c>
      <c r="Z14" s="39">
        <f>INDEX(Z4:Z13, MATCH($T$14, T4:T13, 0))</f>
        <v>5814.7351329563471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0.16690619688301347</v>
      </c>
      <c r="M15" s="45">
        <f t="shared" ref="M15:R15" si="0">(M14-E14)/E14</f>
        <v>-0.37377130280105642</v>
      </c>
      <c r="N15" s="45">
        <f t="shared" si="0"/>
        <v>0</v>
      </c>
      <c r="O15" s="45">
        <f t="shared" si="0"/>
        <v>-0.23376623376623376</v>
      </c>
      <c r="P15" s="45">
        <f t="shared" si="0"/>
        <v>-0.25356868967600588</v>
      </c>
      <c r="Q15" s="45">
        <f t="shared" si="0"/>
        <v>-0.26932203372427621</v>
      </c>
      <c r="R15" s="45">
        <f t="shared" si="0"/>
        <v>-7.5693240316666674E-2</v>
      </c>
      <c r="S15"/>
      <c r="T15" s="45">
        <f>(T14-D14)/D14</f>
        <v>0.21289180720885528</v>
      </c>
      <c r="U15" s="45">
        <f t="shared" ref="U15:Z15" si="1">(U14-E14)/E14</f>
        <v>-0.53517655106096795</v>
      </c>
      <c r="V15" s="45">
        <f t="shared" si="1"/>
        <v>-0.33333333333333331</v>
      </c>
      <c r="W15" s="45">
        <f>(W14-G14)/G14</f>
        <v>-0.36363636363636365</v>
      </c>
      <c r="X15" s="45">
        <f t="shared" si="1"/>
        <v>-0.44161897479130918</v>
      </c>
      <c r="Y15" s="45">
        <f t="shared" si="1"/>
        <v>0.39568782361268096</v>
      </c>
      <c r="Z15" s="45">
        <f t="shared" si="1"/>
        <v>-7.6197862063347638E-2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28:C1048576">
    <cfRule type="duplicateValues" dxfId="121" priority="9"/>
    <cfRule type="duplicateValues" dxfId="120" priority="10"/>
  </conditionalFormatting>
  <conditionalFormatting sqref="C4:C13">
    <cfRule type="duplicateValues" dxfId="119" priority="3"/>
    <cfRule type="duplicateValues" dxfId="118" priority="4"/>
  </conditionalFormatting>
  <conditionalFormatting sqref="C14">
    <cfRule type="duplicateValues" dxfId="117" priority="5"/>
    <cfRule type="duplicateValues" dxfId="116" priority="6"/>
  </conditionalFormatting>
  <conditionalFormatting sqref="C15">
    <cfRule type="duplicateValues" dxfId="115" priority="7"/>
    <cfRule type="duplicateValues" dxfId="114" priority="8"/>
  </conditionalFormatting>
  <conditionalFormatting sqref="C17:C27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2580-AE0E-ED4C-A42E-4DA5637A69BC}">
  <sheetPr codeName="Sheet5"/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-0.98336669949686972</v>
      </c>
      <c r="J2" s="28" t="e">
        <f>(S14-J14)/J14</f>
        <v>#DIV/0!</v>
      </c>
      <c r="K2" s="28"/>
      <c r="L2" s="1" t="s">
        <v>19</v>
      </c>
      <c r="P2" s="1">
        <f>(P14-H14)/H14</f>
        <v>-0.55627100484659087</v>
      </c>
      <c r="R2" s="1">
        <f>(R14-J14)/J14</f>
        <v>-0.1791387755669705</v>
      </c>
      <c r="T2" s="1" t="s">
        <v>20</v>
      </c>
      <c r="X2" s="1">
        <f>(X14-P14)/P14</f>
        <v>1.1620184323910396</v>
      </c>
      <c r="Z2" s="1">
        <f>(Z14-R14)/R14</f>
        <v>0.24144594537122108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113</v>
      </c>
      <c r="D4" s="23">
        <v>1117778.564571271</v>
      </c>
      <c r="E4" s="33">
        <v>32.819005458999527</v>
      </c>
      <c r="F4" s="5">
        <v>10</v>
      </c>
      <c r="G4" s="23">
        <v>86</v>
      </c>
      <c r="H4" s="33">
        <v>1472.9293466583683</v>
      </c>
      <c r="I4" s="23">
        <v>32.771120098851341</v>
      </c>
      <c r="J4" s="5">
        <v>6737.4333062281667</v>
      </c>
      <c r="K4" s="31"/>
      <c r="L4" s="23">
        <v>1458856.508367718</v>
      </c>
      <c r="M4" s="33">
        <v>71.788218999998207</v>
      </c>
      <c r="N4" s="5">
        <v>8</v>
      </c>
      <c r="O4" s="5">
        <v>47</v>
      </c>
      <c r="P4" s="33">
        <v>425.85613174491368</v>
      </c>
      <c r="Q4" s="5">
        <v>19.815439549065811</v>
      </c>
      <c r="R4" s="5">
        <v>5095.9215147387886</v>
      </c>
      <c r="S4" s="31"/>
      <c r="T4" s="23">
        <v>1395948.2088153469</v>
      </c>
      <c r="U4" s="33">
        <v>107.34739537499991</v>
      </c>
      <c r="V4" s="5">
        <v>7</v>
      </c>
      <c r="W4" s="5">
        <v>54</v>
      </c>
      <c r="X4" s="33">
        <v>1123.1735047301831</v>
      </c>
      <c r="Y4" s="5">
        <v>42.727904475323086</v>
      </c>
      <c r="Z4" s="5">
        <v>6503.4826025407256</v>
      </c>
      <c r="AA4" s="35"/>
    </row>
    <row r="5" spans="2:27" x14ac:dyDescent="0.2">
      <c r="B5" s="4">
        <v>2</v>
      </c>
      <c r="C5" s="4">
        <v>133</v>
      </c>
      <c r="D5" s="23">
        <v>1093596.3065069159</v>
      </c>
      <c r="E5" s="33">
        <v>58.509162166999893</v>
      </c>
      <c r="F5" s="5">
        <v>10</v>
      </c>
      <c r="G5" s="23">
        <v>87</v>
      </c>
      <c r="H5" s="33">
        <v>1476.7521126550771</v>
      </c>
      <c r="I5" s="23">
        <v>33.405084555294231</v>
      </c>
      <c r="J5" s="5">
        <v>6688.5193816377705</v>
      </c>
      <c r="K5" s="31"/>
      <c r="L5" s="23">
        <v>1370670.673096474</v>
      </c>
      <c r="M5" s="33">
        <v>62.508159249999153</v>
      </c>
      <c r="N5" s="5">
        <v>10</v>
      </c>
      <c r="O5" s="5">
        <v>57</v>
      </c>
      <c r="P5" s="33">
        <v>673.78074777394181</v>
      </c>
      <c r="Q5" s="5">
        <v>20.288030328767114</v>
      </c>
      <c r="R5" s="5">
        <v>5361.2417023182888</v>
      </c>
      <c r="S5" s="31"/>
      <c r="T5" s="23">
        <v>1421830.713845554</v>
      </c>
      <c r="U5" s="33">
        <v>102.845959000002</v>
      </c>
      <c r="V5" s="5">
        <v>6</v>
      </c>
      <c r="W5" s="5">
        <v>50</v>
      </c>
      <c r="X5" s="33">
        <v>802.29756484362542</v>
      </c>
      <c r="Y5" s="5">
        <v>47.003311775045013</v>
      </c>
      <c r="Z5" s="5">
        <v>6241.3594917235741</v>
      </c>
      <c r="AA5" s="35"/>
    </row>
    <row r="6" spans="2:27" x14ac:dyDescent="0.2">
      <c r="B6" s="4">
        <v>3</v>
      </c>
      <c r="C6" s="4">
        <v>147</v>
      </c>
      <c r="D6" s="23">
        <v>1082913.5891589881</v>
      </c>
      <c r="E6" s="33">
        <v>59.021294833000873</v>
      </c>
      <c r="F6" s="5">
        <v>10</v>
      </c>
      <c r="G6" s="23">
        <v>84</v>
      </c>
      <c r="H6" s="33">
        <v>1173.9476833155497</v>
      </c>
      <c r="I6" s="23">
        <v>32.133949916924841</v>
      </c>
      <c r="J6" s="5">
        <v>6362.5626077989718</v>
      </c>
      <c r="K6" s="31"/>
      <c r="L6" s="23">
        <v>1410117.5182783951</v>
      </c>
      <c r="M6" s="33">
        <v>60.010840833001573</v>
      </c>
      <c r="N6" s="5">
        <v>10</v>
      </c>
      <c r="O6" s="5">
        <v>54</v>
      </c>
      <c r="P6" s="33">
        <v>617.26474895038461</v>
      </c>
      <c r="Q6" s="5">
        <v>18.724320818394148</v>
      </c>
      <c r="R6" s="5">
        <v>5381.6379545156051</v>
      </c>
      <c r="S6" s="31"/>
      <c r="T6" s="23">
        <v>1403426.759825696</v>
      </c>
      <c r="U6" s="33">
        <v>49.27158404200236</v>
      </c>
      <c r="V6" s="5">
        <v>6</v>
      </c>
      <c r="W6" s="5">
        <v>52</v>
      </c>
      <c r="X6" s="33">
        <v>827.02864601432771</v>
      </c>
      <c r="Y6" s="5">
        <v>52.064613829496643</v>
      </c>
      <c r="Z6" s="5">
        <v>6295.8950279800029</v>
      </c>
      <c r="AA6" s="35"/>
    </row>
    <row r="7" spans="2:27" x14ac:dyDescent="0.2">
      <c r="B7" s="4">
        <v>4</v>
      </c>
      <c r="C7" s="4">
        <v>706</v>
      </c>
      <c r="D7" s="23">
        <v>1119301.070569295</v>
      </c>
      <c r="E7" s="33">
        <v>45.535772040999291</v>
      </c>
      <c r="F7" s="5">
        <v>10</v>
      </c>
      <c r="G7" s="23">
        <v>91</v>
      </c>
      <c r="H7" s="33">
        <v>1861.5137975207604</v>
      </c>
      <c r="I7" s="23">
        <v>35.040319287047488</v>
      </c>
      <c r="J7" s="5">
        <v>7232.4315239726984</v>
      </c>
      <c r="K7" s="31"/>
      <c r="L7" s="23">
        <v>1462026.4612448281</v>
      </c>
      <c r="M7" s="33">
        <v>46.722520750001422</v>
      </c>
      <c r="N7" s="5">
        <v>15</v>
      </c>
      <c r="O7" s="5">
        <v>57</v>
      </c>
      <c r="P7" s="33">
        <v>612.10992543647421</v>
      </c>
      <c r="Q7" s="5">
        <v>13.537397158072418</v>
      </c>
      <c r="R7" s="5">
        <v>5261.8282161416919</v>
      </c>
      <c r="S7" s="31"/>
      <c r="T7" s="23">
        <v>1360506.1933661031</v>
      </c>
      <c r="U7" s="33">
        <v>91.245607291999477</v>
      </c>
      <c r="V7" s="5">
        <v>7</v>
      </c>
      <c r="W7" s="5">
        <v>57</v>
      </c>
      <c r="X7" s="33">
        <v>1126.2270228552511</v>
      </c>
      <c r="Y7" s="5">
        <v>46.974081109072465</v>
      </c>
      <c r="Z7" s="5">
        <v>6483.8002125490348</v>
      </c>
      <c r="AA7" s="35"/>
    </row>
    <row r="8" spans="2:27" x14ac:dyDescent="0.2">
      <c r="B8" s="4">
        <v>5</v>
      </c>
      <c r="C8" s="4">
        <v>469</v>
      </c>
      <c r="D8" s="23">
        <v>1143844.8067665659</v>
      </c>
      <c r="E8" s="33">
        <v>39.733341459001167</v>
      </c>
      <c r="F8" s="5">
        <v>10</v>
      </c>
      <c r="G8" s="23">
        <v>83</v>
      </c>
      <c r="H8" s="33">
        <v>1543.1119712869108</v>
      </c>
      <c r="I8" s="23">
        <v>32.822144284263707</v>
      </c>
      <c r="J8" s="5">
        <v>6674.0412577709176</v>
      </c>
      <c r="K8" s="31"/>
      <c r="L8" s="23">
        <v>1444207.142085664</v>
      </c>
      <c r="M8" s="33">
        <v>64.167835958000069</v>
      </c>
      <c r="N8" s="5">
        <v>11</v>
      </c>
      <c r="O8" s="5">
        <v>54</v>
      </c>
      <c r="P8" s="33">
        <v>848.7966998084122</v>
      </c>
      <c r="Q8" s="5">
        <v>18.212111037711875</v>
      </c>
      <c r="R8" s="5">
        <v>5619.8823043533857</v>
      </c>
      <c r="S8" s="31"/>
      <c r="T8" s="23">
        <v>1461180.594275475</v>
      </c>
      <c r="U8" s="33">
        <v>33.588783584000339</v>
      </c>
      <c r="V8" s="5">
        <v>5</v>
      </c>
      <c r="W8" s="5">
        <v>45</v>
      </c>
      <c r="X8" s="33">
        <v>580.41819411053905</v>
      </c>
      <c r="Y8" s="5">
        <v>51.970753347078336</v>
      </c>
      <c r="Z8" s="5">
        <v>6070.1658754882355</v>
      </c>
      <c r="AA8" s="35"/>
    </row>
    <row r="9" spans="2:27" x14ac:dyDescent="0.2">
      <c r="B9" s="4">
        <v>6</v>
      </c>
      <c r="C9" s="4">
        <v>765</v>
      </c>
      <c r="D9" s="23">
        <v>1141340.0452799529</v>
      </c>
      <c r="E9" s="33">
        <v>40.565043083001001</v>
      </c>
      <c r="F9" s="5">
        <v>11</v>
      </c>
      <c r="G9" s="23">
        <v>83</v>
      </c>
      <c r="H9" s="33">
        <v>1326.1501548629615</v>
      </c>
      <c r="I9" s="23">
        <v>28.892590490634635</v>
      </c>
      <c r="J9" s="5">
        <v>6537.2552946427531</v>
      </c>
      <c r="K9" s="31"/>
      <c r="L9" s="23">
        <v>1457357.3688876331</v>
      </c>
      <c r="M9" s="33">
        <v>90.7314557910031</v>
      </c>
      <c r="N9" s="5">
        <v>16</v>
      </c>
      <c r="O9" s="5">
        <v>67</v>
      </c>
      <c r="P9" s="33">
        <v>1515.5755731181644</v>
      </c>
      <c r="Q9" s="5">
        <v>15.503075453167163</v>
      </c>
      <c r="R9" s="5">
        <v>6455.5893957902927</v>
      </c>
      <c r="S9" s="31"/>
      <c r="T9" s="23">
        <v>1448859.6777351061</v>
      </c>
      <c r="U9" s="33">
        <v>54.128355665998242</v>
      </c>
      <c r="V9" s="5">
        <v>5</v>
      </c>
      <c r="W9" s="5">
        <v>45</v>
      </c>
      <c r="X9" s="33">
        <v>633.57318621150353</v>
      </c>
      <c r="Y9" s="5">
        <v>50.976989943438205</v>
      </c>
      <c r="Z9" s="5">
        <v>5904.9847324422435</v>
      </c>
      <c r="AA9" s="35"/>
    </row>
    <row r="10" spans="2:27" x14ac:dyDescent="0.2">
      <c r="B10" s="4">
        <v>7</v>
      </c>
      <c r="C10" s="4">
        <v>867</v>
      </c>
      <c r="D10" s="23">
        <v>1105171.091778121</v>
      </c>
      <c r="E10" s="33">
        <v>56.984671249998428</v>
      </c>
      <c r="F10" s="5">
        <v>10</v>
      </c>
      <c r="G10" s="23">
        <v>88</v>
      </c>
      <c r="H10" s="33">
        <v>1628.2615482459623</v>
      </c>
      <c r="I10" s="23">
        <v>34.420634120012338</v>
      </c>
      <c r="J10" s="5">
        <v>6904.294623152854</v>
      </c>
      <c r="K10" s="31"/>
      <c r="L10" s="23">
        <v>1343145.6131251741</v>
      </c>
      <c r="M10" s="33">
        <v>147.55639479200181</v>
      </c>
      <c r="N10" s="5">
        <v>13</v>
      </c>
      <c r="O10" s="5">
        <v>62</v>
      </c>
      <c r="P10" s="33">
        <v>657.12337388980484</v>
      </c>
      <c r="Q10" s="5">
        <v>16.830822488978452</v>
      </c>
      <c r="R10" s="5">
        <v>5306.6568961010535</v>
      </c>
      <c r="S10" s="31"/>
      <c r="T10" s="23">
        <v>1401236.5286794931</v>
      </c>
      <c r="U10" s="33">
        <v>32.794165541999973</v>
      </c>
      <c r="V10" s="5">
        <v>8</v>
      </c>
      <c r="W10" s="5">
        <v>58</v>
      </c>
      <c r="X10" s="33">
        <v>1363.9663726587653</v>
      </c>
      <c r="Y10" s="5">
        <v>44.605505596271072</v>
      </c>
      <c r="Z10" s="5">
        <v>6792.7511821111448</v>
      </c>
      <c r="AA10" s="35"/>
    </row>
    <row r="11" spans="2:27" x14ac:dyDescent="0.2">
      <c r="B11" s="4">
        <v>8</v>
      </c>
      <c r="C11" s="4">
        <v>921</v>
      </c>
      <c r="D11" s="23">
        <v>1142202.7534267141</v>
      </c>
      <c r="E11" s="33">
        <v>57.19626425000024</v>
      </c>
      <c r="F11" s="5">
        <v>10</v>
      </c>
      <c r="G11" s="23">
        <v>82</v>
      </c>
      <c r="H11" s="33">
        <v>1370.7929027941434</v>
      </c>
      <c r="I11" s="23">
        <v>31.287851077613009</v>
      </c>
      <c r="J11" s="5">
        <v>6571.9032493465729</v>
      </c>
      <c r="K11" s="31"/>
      <c r="L11" s="23">
        <v>1305912.7559798709</v>
      </c>
      <c r="M11" s="33">
        <v>87.453067500002362</v>
      </c>
      <c r="N11" s="5">
        <v>11</v>
      </c>
      <c r="O11" s="5">
        <v>61</v>
      </c>
      <c r="P11" s="33">
        <v>520.91462588028151</v>
      </c>
      <c r="Q11" s="5">
        <v>19.526624591541051</v>
      </c>
      <c r="R11" s="5">
        <v>5222.7809327696732</v>
      </c>
      <c r="S11" s="31"/>
      <c r="T11" s="23">
        <v>1420990.9538770949</v>
      </c>
      <c r="U11" s="33">
        <v>71.328810667000653</v>
      </c>
      <c r="V11" s="5">
        <v>6</v>
      </c>
      <c r="W11" s="5">
        <v>51</v>
      </c>
      <c r="X11" s="33">
        <v>869.54145312405933</v>
      </c>
      <c r="Y11" s="5">
        <v>47.768324303000632</v>
      </c>
      <c r="Z11" s="5">
        <v>6331.7228772036106</v>
      </c>
      <c r="AA11" s="35"/>
    </row>
    <row r="12" spans="2:27" x14ac:dyDescent="0.2">
      <c r="B12" s="4">
        <v>9</v>
      </c>
      <c r="C12" s="4">
        <v>614</v>
      </c>
      <c r="D12" s="23">
        <v>1105856.959486112</v>
      </c>
      <c r="E12" s="33">
        <v>46.667775542000527</v>
      </c>
      <c r="F12" s="5">
        <v>10</v>
      </c>
      <c r="G12" s="23">
        <v>89</v>
      </c>
      <c r="H12" s="33">
        <v>1616.3515743677542</v>
      </c>
      <c r="I12" s="23">
        <v>33.940393641253536</v>
      </c>
      <c r="J12" s="5">
        <v>6881.2767246401718</v>
      </c>
      <c r="K12" s="31"/>
      <c r="L12" s="23">
        <v>1553311.9470086719</v>
      </c>
      <c r="M12" s="33">
        <v>77.555307417002041</v>
      </c>
      <c r="N12" s="5">
        <v>10</v>
      </c>
      <c r="O12" s="5">
        <v>51</v>
      </c>
      <c r="P12" s="33">
        <v>1355.1191489718651</v>
      </c>
      <c r="Q12" s="5">
        <v>19.306902407792151</v>
      </c>
      <c r="R12" s="5">
        <v>6731.6910267866324</v>
      </c>
      <c r="S12" s="31"/>
      <c r="T12" s="23">
        <v>1579515.1004739499</v>
      </c>
      <c r="U12" s="33">
        <v>39.004074917000253</v>
      </c>
      <c r="V12" s="5">
        <v>14</v>
      </c>
      <c r="W12" s="5">
        <v>83</v>
      </c>
      <c r="X12" s="33">
        <v>3967.0781455734627</v>
      </c>
      <c r="Y12" s="5">
        <v>41.708734310098613</v>
      </c>
      <c r="Z12" s="5">
        <v>9434.8416178570787</v>
      </c>
      <c r="AA12" s="35"/>
    </row>
    <row r="13" spans="2:27" x14ac:dyDescent="0.2">
      <c r="B13" s="4">
        <v>10</v>
      </c>
      <c r="C13" s="4">
        <v>187</v>
      </c>
      <c r="D13" s="23">
        <v>1105900.602621363</v>
      </c>
      <c r="E13" s="33">
        <v>72.867292999999336</v>
      </c>
      <c r="F13" s="5">
        <v>10</v>
      </c>
      <c r="G13" s="23">
        <v>87</v>
      </c>
      <c r="H13" s="33">
        <v>1600.6786100648515</v>
      </c>
      <c r="I13" s="23">
        <v>34.424146956485799</v>
      </c>
      <c r="J13" s="5">
        <v>6796.1187897399031</v>
      </c>
      <c r="K13" s="31"/>
      <c r="L13" s="23">
        <v>1400921.240268819</v>
      </c>
      <c r="M13" s="33">
        <v>51.654579999998532</v>
      </c>
      <c r="N13" s="5">
        <v>10</v>
      </c>
      <c r="O13" s="5">
        <v>54</v>
      </c>
      <c r="P13" s="33">
        <v>792.72050799670023</v>
      </c>
      <c r="Q13" s="5">
        <v>18.55418637631049</v>
      </c>
      <c r="R13" s="5">
        <v>5311.4027596995593</v>
      </c>
      <c r="S13" s="31"/>
      <c r="T13" s="23">
        <v>1401107.9996372899</v>
      </c>
      <c r="U13" s="33">
        <v>64.019677208001667</v>
      </c>
      <c r="V13" s="5">
        <v>8</v>
      </c>
      <c r="W13" s="5">
        <v>55</v>
      </c>
      <c r="X13" s="33">
        <v>1046.6285900694763</v>
      </c>
      <c r="Y13" s="5">
        <v>37.451336645230704</v>
      </c>
      <c r="Z13" s="5">
        <v>6332.4320746148715</v>
      </c>
      <c r="AA13" s="35"/>
    </row>
    <row r="14" spans="2:27" x14ac:dyDescent="0.2">
      <c r="B14" s="46" t="s">
        <v>3</v>
      </c>
      <c r="C14" s="47"/>
      <c r="D14" s="9">
        <f>MIN(D4:D13)</f>
        <v>1082913.5891589881</v>
      </c>
      <c r="E14" s="22">
        <f>INDEX(E4:E13, MATCH($D$14, D4:D13, 0))</f>
        <v>59.021294833000873</v>
      </c>
      <c r="F14" s="9">
        <f>INDEX(F4:F13, MATCH($D$14, D4:D13, 0))</f>
        <v>10</v>
      </c>
      <c r="G14" s="9">
        <f>INDEX(G4:G13, MATCH($D$14, D4:D13, 0))</f>
        <v>84</v>
      </c>
      <c r="H14" s="22">
        <f>INDEX(H4:H13, MATCH($D$14, D4:D13, 0))</f>
        <v>1173.9476833155497</v>
      </c>
      <c r="I14" s="22">
        <f>INDEX(I4:I13, MATCH($D$14, D4:D13, 0))</f>
        <v>32.133949916924841</v>
      </c>
      <c r="J14" s="22">
        <f>INDEX(J4:J13, MATCH($D$14, D4:D13, 0))</f>
        <v>6362.5626077989718</v>
      </c>
      <c r="K14" s="32" t="e">
        <f>(D14-$D$15)/$D$15</f>
        <v>#DIV/0!</v>
      </c>
      <c r="L14" s="16">
        <f>MIN(L4:L13)</f>
        <v>1305912.7559798709</v>
      </c>
      <c r="M14" s="21">
        <f>INDEX(M4:M13, MATCH($L$14, L4:L13, 0))</f>
        <v>87.453067500002362</v>
      </c>
      <c r="N14" s="16">
        <f>INDEX(N4:N13, MATCH($L$14, L4:L13, 0))</f>
        <v>11</v>
      </c>
      <c r="O14" s="16">
        <f>INDEX(O4:O13, MATCH($L$14, L4:L13, 0))</f>
        <v>61</v>
      </c>
      <c r="P14" s="21">
        <f>INDEX(P4:P13, MATCH($L$14, L4:L13, 0))</f>
        <v>520.91462588028151</v>
      </c>
      <c r="Q14" s="21">
        <f>INDEX(Q4:Q13, MATCH($L$14, L4:L13, 0))</f>
        <v>19.526624591541051</v>
      </c>
      <c r="R14" s="21">
        <f>INDEX(R4:R13, MATCH($L$14, L4:L13, 0))</f>
        <v>5222.7809327696732</v>
      </c>
      <c r="S14" s="36" t="e">
        <f>(L14-$D$15)/$D$15</f>
        <v>#DIV/0!</v>
      </c>
      <c r="T14" s="38">
        <f>MIN(T4:T13)</f>
        <v>1360506.1933661031</v>
      </c>
      <c r="U14" s="39">
        <f>INDEX(U4:U13, MATCH($T$14, T4:T13, 0))</f>
        <v>91.245607291999477</v>
      </c>
      <c r="V14" s="38">
        <f>INDEX(V4:V13, MATCH($T$14, T4:T13, 0))</f>
        <v>7</v>
      </c>
      <c r="W14" s="38">
        <f>INDEX(W4:W13, MATCH($T$14, T4:T13, 0))</f>
        <v>57</v>
      </c>
      <c r="X14" s="39">
        <f>INDEX(X4:X13, MATCH($T$14, T4:T13, 0))</f>
        <v>1126.2270228552511</v>
      </c>
      <c r="Y14" s="39">
        <f>INDEX(Y4:Y13, MATCH($T$14, T4:T13, 0))</f>
        <v>46.974081109072465</v>
      </c>
      <c r="Z14" s="39">
        <f>INDEX(Z4:Z13, MATCH($T$14, T4:T13, 0))</f>
        <v>6483.8002125490348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0.20592517173421782</v>
      </c>
      <c r="M15" s="45">
        <f t="shared" ref="M15:R15" si="0">(M14-E14)/E14</f>
        <v>0.48172058487446617</v>
      </c>
      <c r="N15" s="45">
        <f t="shared" si="0"/>
        <v>0.1</v>
      </c>
      <c r="O15" s="45">
        <f t="shared" si="0"/>
        <v>-0.27380952380952384</v>
      </c>
      <c r="P15" s="45">
        <f t="shared" si="0"/>
        <v>-0.55627100484659087</v>
      </c>
      <c r="Q15" s="45">
        <f t="shared" si="0"/>
        <v>-0.39233662086289478</v>
      </c>
      <c r="R15" s="45">
        <f t="shared" si="0"/>
        <v>-0.1791387755669705</v>
      </c>
      <c r="S15"/>
      <c r="T15" s="45">
        <f>(T14-D14)/D14</f>
        <v>0.25633864694845954</v>
      </c>
      <c r="U15" s="45">
        <f t="shared" ref="U15:Z15" si="1">(U14-E14)/E14</f>
        <v>0.54597772804165701</v>
      </c>
      <c r="V15" s="45">
        <f t="shared" si="1"/>
        <v>-0.3</v>
      </c>
      <c r="W15" s="45">
        <f>(W14-G14)/G14</f>
        <v>-0.32142857142857145</v>
      </c>
      <c r="X15" s="45">
        <f t="shared" si="1"/>
        <v>-4.0649733491975058E-2</v>
      </c>
      <c r="Y15" s="45">
        <f t="shared" si="1"/>
        <v>0.46182094733182422</v>
      </c>
      <c r="Z15" s="45">
        <f t="shared" si="1"/>
        <v>1.9054838784840367E-2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28:C1048576">
    <cfRule type="duplicateValues" dxfId="113" priority="9"/>
    <cfRule type="duplicateValues" dxfId="112" priority="10"/>
  </conditionalFormatting>
  <conditionalFormatting sqref="C4:C13">
    <cfRule type="duplicateValues" dxfId="111" priority="3"/>
    <cfRule type="duplicateValues" dxfId="110" priority="4"/>
  </conditionalFormatting>
  <conditionalFormatting sqref="C14">
    <cfRule type="duplicateValues" dxfId="109" priority="5"/>
    <cfRule type="duplicateValues" dxfId="108" priority="6"/>
  </conditionalFormatting>
  <conditionalFormatting sqref="C15">
    <cfRule type="duplicateValues" dxfId="107" priority="7"/>
    <cfRule type="duplicateValues" dxfId="106" priority="8"/>
  </conditionalFormatting>
  <conditionalFormatting sqref="C17:C27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1201-514F-EE41-BA88-9AE8CE87618D}">
  <sheetPr codeName="Sheet6"/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-0.98895068447896828</v>
      </c>
      <c r="J2" s="28" t="e">
        <f>(S14-J14)/J14</f>
        <v>#DIV/0!</v>
      </c>
      <c r="K2" s="28"/>
      <c r="L2" s="1" t="s">
        <v>19</v>
      </c>
      <c r="P2" s="1">
        <f>(P14-H14)/H14</f>
        <v>-0.69715105559614676</v>
      </c>
      <c r="R2" s="1">
        <f>(R14-J14)/J14</f>
        <v>-0.25174175083117672</v>
      </c>
      <c r="T2" s="1" t="s">
        <v>20</v>
      </c>
      <c r="X2" s="1">
        <f>(X14-P14)/P14</f>
        <v>1.4544619604695215</v>
      </c>
      <c r="Z2" s="1">
        <f>(Z14-R14)/R14</f>
        <v>0.37971423433618762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180</v>
      </c>
      <c r="D4" s="23">
        <v>1059087.900909689</v>
      </c>
      <c r="E4" s="33">
        <v>40.956916833998548</v>
      </c>
      <c r="F4" s="5">
        <v>11</v>
      </c>
      <c r="G4" s="23">
        <v>90</v>
      </c>
      <c r="H4" s="33">
        <v>1579.7763836839072</v>
      </c>
      <c r="I4" s="23">
        <v>33.151541756021672</v>
      </c>
      <c r="J4" s="5">
        <v>6422.8063948152148</v>
      </c>
      <c r="K4" s="31"/>
      <c r="L4" s="23">
        <v>1425034.855842337</v>
      </c>
      <c r="M4" s="33">
        <v>54.772432416997617</v>
      </c>
      <c r="N4" s="5">
        <v>15</v>
      </c>
      <c r="O4" s="5">
        <v>62</v>
      </c>
      <c r="P4" s="33">
        <v>804.95743369304421</v>
      </c>
      <c r="Q4" s="5">
        <v>15.164745681689675</v>
      </c>
      <c r="R4" s="5">
        <v>5733.3163440809785</v>
      </c>
      <c r="S4" s="31"/>
      <c r="T4" s="23">
        <v>1405946.8673730311</v>
      </c>
      <c r="U4" s="33">
        <v>40.930436624999857</v>
      </c>
      <c r="V4" s="5">
        <v>7</v>
      </c>
      <c r="W4" s="5">
        <v>53</v>
      </c>
      <c r="X4" s="33">
        <v>1079.4055375457481</v>
      </c>
      <c r="Y4" s="5">
        <v>51.969563866845803</v>
      </c>
      <c r="Z4" s="5">
        <v>6319.1633778009191</v>
      </c>
      <c r="AA4" s="35"/>
    </row>
    <row r="5" spans="2:27" x14ac:dyDescent="0.2">
      <c r="B5" s="4">
        <v>2</v>
      </c>
      <c r="C5" s="4">
        <v>258</v>
      </c>
      <c r="D5" s="23">
        <v>1193469.1886349169</v>
      </c>
      <c r="E5" s="33">
        <v>34.846713375000043</v>
      </c>
      <c r="F5" s="5">
        <v>10</v>
      </c>
      <c r="G5" s="23">
        <v>78</v>
      </c>
      <c r="H5" s="33">
        <v>1253.6714856429332</v>
      </c>
      <c r="I5" s="23">
        <v>29.468220701558117</v>
      </c>
      <c r="J5" s="5">
        <v>6491.2928287694585</v>
      </c>
      <c r="K5" s="31"/>
      <c r="L5" s="23">
        <v>1378499.4432190021</v>
      </c>
      <c r="M5" s="33">
        <v>79.300152541996795</v>
      </c>
      <c r="N5" s="5">
        <v>13</v>
      </c>
      <c r="O5" s="5">
        <v>59</v>
      </c>
      <c r="P5" s="33">
        <v>679.08007949920966</v>
      </c>
      <c r="Q5" s="5">
        <v>16.032581572464753</v>
      </c>
      <c r="R5" s="5">
        <v>4975.6606414211401</v>
      </c>
      <c r="S5" s="31"/>
      <c r="T5" s="23">
        <v>1458590.8236824779</v>
      </c>
      <c r="U5" s="33">
        <v>39.861465832997062</v>
      </c>
      <c r="V5" s="5">
        <v>6</v>
      </c>
      <c r="W5" s="5">
        <v>45</v>
      </c>
      <c r="X5" s="33">
        <v>679.52061981686018</v>
      </c>
      <c r="Y5" s="5">
        <v>51.536304931610999</v>
      </c>
      <c r="Z5" s="5">
        <v>5875.3359694331357</v>
      </c>
      <c r="AA5" s="35"/>
    </row>
    <row r="6" spans="2:27" x14ac:dyDescent="0.2">
      <c r="B6" s="4">
        <v>3</v>
      </c>
      <c r="C6" s="4">
        <v>294</v>
      </c>
      <c r="D6" s="23">
        <v>1163163.833591223</v>
      </c>
      <c r="E6" s="33">
        <v>37.276975999999188</v>
      </c>
      <c r="F6" s="5">
        <v>10</v>
      </c>
      <c r="G6" s="23">
        <v>80</v>
      </c>
      <c r="H6" s="33">
        <v>1240.9453383966431</v>
      </c>
      <c r="I6" s="23">
        <v>32.437012212977834</v>
      </c>
      <c r="J6" s="5">
        <v>6557.542168961214</v>
      </c>
      <c r="K6" s="31"/>
      <c r="L6" s="23">
        <v>1374251.919912443</v>
      </c>
      <c r="M6" s="33">
        <v>98.534205332998681</v>
      </c>
      <c r="N6" s="5">
        <v>12</v>
      </c>
      <c r="O6" s="5">
        <v>55</v>
      </c>
      <c r="P6" s="33">
        <v>315.43440014137968</v>
      </c>
      <c r="Q6" s="5">
        <v>16.894851842923284</v>
      </c>
      <c r="R6" s="5">
        <v>4459.8781891447516</v>
      </c>
      <c r="S6" s="31"/>
      <c r="T6" s="23">
        <v>1353789.9213761899</v>
      </c>
      <c r="U6" s="33">
        <v>70.444069291999767</v>
      </c>
      <c r="V6" s="5">
        <v>8</v>
      </c>
      <c r="W6" s="5">
        <v>60</v>
      </c>
      <c r="X6" s="33">
        <v>1174.29709682835</v>
      </c>
      <c r="Y6" s="5">
        <v>54.373101324073815</v>
      </c>
      <c r="Z6" s="5">
        <v>6630.7932911642602</v>
      </c>
      <c r="AA6" s="35"/>
    </row>
    <row r="7" spans="2:27" x14ac:dyDescent="0.2">
      <c r="B7" s="4">
        <v>4</v>
      </c>
      <c r="C7" s="4">
        <v>606</v>
      </c>
      <c r="D7" s="23">
        <v>1107739.3307728949</v>
      </c>
      <c r="E7" s="33">
        <v>56.403891166000903</v>
      </c>
      <c r="F7" s="5">
        <v>9</v>
      </c>
      <c r="G7" s="23">
        <v>78</v>
      </c>
      <c r="H7" s="33">
        <v>977.81698344683741</v>
      </c>
      <c r="I7" s="23">
        <v>33.641511227378388</v>
      </c>
      <c r="J7" s="5">
        <v>5993.5708174328811</v>
      </c>
      <c r="K7" s="31"/>
      <c r="L7" s="23">
        <v>1405679.102753185</v>
      </c>
      <c r="M7" s="33">
        <v>57.614377541998692</v>
      </c>
      <c r="N7" s="5">
        <v>13</v>
      </c>
      <c r="O7" s="5">
        <v>58</v>
      </c>
      <c r="P7" s="33">
        <v>582.38807308986111</v>
      </c>
      <c r="Q7" s="5">
        <v>17.254801310200229</v>
      </c>
      <c r="R7" s="5">
        <v>5308.9977735506072</v>
      </c>
      <c r="S7" s="31"/>
      <c r="T7" s="23">
        <v>1451653.808300406</v>
      </c>
      <c r="U7" s="33">
        <v>46.667018749998533</v>
      </c>
      <c r="V7" s="5">
        <v>5</v>
      </c>
      <c r="W7" s="5">
        <v>42</v>
      </c>
      <c r="X7" s="33">
        <v>275.39748437827501</v>
      </c>
      <c r="Y7" s="5">
        <v>61.780064748668408</v>
      </c>
      <c r="Z7" s="5">
        <v>5476.2831314052646</v>
      </c>
      <c r="AA7" s="35"/>
    </row>
    <row r="8" spans="2:27" x14ac:dyDescent="0.2">
      <c r="B8" s="4">
        <v>5</v>
      </c>
      <c r="C8" s="4">
        <v>413</v>
      </c>
      <c r="D8" s="23">
        <v>1154128.779712779</v>
      </c>
      <c r="E8" s="33">
        <v>35.026787041999341</v>
      </c>
      <c r="F8" s="5">
        <v>9</v>
      </c>
      <c r="G8" s="23">
        <v>79</v>
      </c>
      <c r="H8" s="33">
        <v>1333.6891157073071</v>
      </c>
      <c r="I8" s="23">
        <v>35.192884724032325</v>
      </c>
      <c r="J8" s="5">
        <v>6549.8323092236697</v>
      </c>
      <c r="K8" s="31"/>
      <c r="L8" s="23">
        <v>1403591.2094118521</v>
      </c>
      <c r="M8" s="33">
        <v>145.03253770799711</v>
      </c>
      <c r="N8" s="5">
        <v>11</v>
      </c>
      <c r="O8" s="5">
        <v>55</v>
      </c>
      <c r="P8" s="33">
        <v>571.79518969021967</v>
      </c>
      <c r="Q8" s="5">
        <v>18.438697676520441</v>
      </c>
      <c r="R8" s="5">
        <v>5158.9245707753216</v>
      </c>
      <c r="S8" s="31"/>
      <c r="T8" s="23">
        <v>1613919.7807046541</v>
      </c>
      <c r="U8" s="33">
        <v>38.384073041997908</v>
      </c>
      <c r="V8" s="5">
        <v>7</v>
      </c>
      <c r="W8" s="5">
        <v>40</v>
      </c>
      <c r="X8" s="33">
        <v>1285.0002438940924</v>
      </c>
      <c r="Y8" s="5">
        <v>33.252805167529331</v>
      </c>
      <c r="Z8" s="5">
        <v>6822.6640522204152</v>
      </c>
      <c r="AA8" s="35"/>
    </row>
    <row r="9" spans="2:27" x14ac:dyDescent="0.2">
      <c r="B9" s="4">
        <v>6</v>
      </c>
      <c r="C9" s="4">
        <v>445</v>
      </c>
      <c r="D9" s="23">
        <v>1092578.638397509</v>
      </c>
      <c r="E9" s="33">
        <v>41.697533791999383</v>
      </c>
      <c r="F9" s="5">
        <v>9</v>
      </c>
      <c r="G9" s="23">
        <v>80</v>
      </c>
      <c r="H9" s="33">
        <v>998.06630573275379</v>
      </c>
      <c r="I9" s="23">
        <v>34.808976515079216</v>
      </c>
      <c r="J9" s="5">
        <v>6148.9374744454972</v>
      </c>
      <c r="K9" s="31"/>
      <c r="L9" s="23">
        <v>1314064.2605180561</v>
      </c>
      <c r="M9" s="33">
        <v>109.5498229170007</v>
      </c>
      <c r="N9" s="5">
        <v>13</v>
      </c>
      <c r="O9" s="5">
        <v>62</v>
      </c>
      <c r="P9" s="33">
        <v>478.43361019280786</v>
      </c>
      <c r="Q9" s="5">
        <v>17.455447715997913</v>
      </c>
      <c r="R9" s="5">
        <v>4805.9178677347545</v>
      </c>
      <c r="S9" s="31"/>
      <c r="T9" s="23">
        <v>1429413.5950098641</v>
      </c>
      <c r="U9" s="33">
        <v>29.59769987500113</v>
      </c>
      <c r="V9" s="5">
        <v>7</v>
      </c>
      <c r="W9" s="5">
        <v>47</v>
      </c>
      <c r="X9" s="33">
        <v>518.01046861531472</v>
      </c>
      <c r="Y9" s="5">
        <v>52.442783826689478</v>
      </c>
      <c r="Z9" s="5">
        <v>5683.5610366775836</v>
      </c>
      <c r="AA9" s="35"/>
    </row>
    <row r="10" spans="2:27" x14ac:dyDescent="0.2">
      <c r="B10" s="4">
        <v>7</v>
      </c>
      <c r="C10" s="4">
        <v>526</v>
      </c>
      <c r="D10" s="23">
        <v>1076037.688037622</v>
      </c>
      <c r="E10" s="33">
        <v>46.88292545799959</v>
      </c>
      <c r="F10" s="5">
        <v>11</v>
      </c>
      <c r="G10" s="23">
        <v>85</v>
      </c>
      <c r="H10" s="33">
        <v>1178.4813835789728</v>
      </c>
      <c r="I10" s="23">
        <v>30.270190936580601</v>
      </c>
      <c r="J10" s="5">
        <v>6162.241933788594</v>
      </c>
      <c r="K10" s="31"/>
      <c r="L10" s="23">
        <v>1327694.9749644969</v>
      </c>
      <c r="M10" s="33">
        <v>68.994694207998691</v>
      </c>
      <c r="N10" s="5">
        <v>16</v>
      </c>
      <c r="O10" s="5">
        <v>68</v>
      </c>
      <c r="P10" s="33">
        <v>803.86774992236792</v>
      </c>
      <c r="Q10" s="5">
        <v>15.496039656090964</v>
      </c>
      <c r="R10" s="5">
        <v>5284.7311376195348</v>
      </c>
      <c r="S10" s="31"/>
      <c r="T10" s="23">
        <v>1462179.1772284131</v>
      </c>
      <c r="U10" s="33">
        <v>32.783105500002421</v>
      </c>
      <c r="V10" s="5">
        <v>5</v>
      </c>
      <c r="W10" s="5">
        <v>43</v>
      </c>
      <c r="X10" s="33">
        <v>447.75767535718785</v>
      </c>
      <c r="Y10" s="5">
        <v>61.741098397513881</v>
      </c>
      <c r="Z10" s="5">
        <v>5922.2636830517322</v>
      </c>
      <c r="AA10" s="35"/>
    </row>
    <row r="11" spans="2:27" x14ac:dyDescent="0.2">
      <c r="B11" s="4">
        <v>8</v>
      </c>
      <c r="C11" s="4">
        <v>615</v>
      </c>
      <c r="D11" s="23">
        <v>1133377.9553546361</v>
      </c>
      <c r="E11" s="33">
        <v>32.553539125001407</v>
      </c>
      <c r="F11" s="5">
        <v>12</v>
      </c>
      <c r="G11" s="23">
        <v>92</v>
      </c>
      <c r="H11" s="33">
        <v>1879.7926763890378</v>
      </c>
      <c r="I11" s="23">
        <v>31.393106374903663</v>
      </c>
      <c r="J11" s="5">
        <v>7097.8645345566556</v>
      </c>
      <c r="K11" s="31"/>
      <c r="L11" s="23">
        <v>1371231.642220374</v>
      </c>
      <c r="M11" s="33">
        <v>109.0332391250013</v>
      </c>
      <c r="N11" s="5">
        <v>15</v>
      </c>
      <c r="O11" s="5">
        <v>66</v>
      </c>
      <c r="P11" s="33">
        <v>997.63177886268011</v>
      </c>
      <c r="Q11" s="5">
        <v>16.002067689422272</v>
      </c>
      <c r="R11" s="5">
        <v>5555.5015869645958</v>
      </c>
      <c r="S11" s="31"/>
      <c r="T11" s="23">
        <v>1438973.300086048</v>
      </c>
      <c r="U11" s="33">
        <v>66.657253374996799</v>
      </c>
      <c r="V11" s="5">
        <v>6</v>
      </c>
      <c r="W11" s="5">
        <v>46</v>
      </c>
      <c r="X11" s="33">
        <v>524.21559881069186</v>
      </c>
      <c r="Y11" s="5">
        <v>48.918624540707945</v>
      </c>
      <c r="Z11" s="5">
        <v>5697.2505196061029</v>
      </c>
      <c r="AA11" s="35"/>
    </row>
    <row r="12" spans="2:27" x14ac:dyDescent="0.2">
      <c r="B12" s="4">
        <v>9</v>
      </c>
      <c r="C12" s="4">
        <v>804</v>
      </c>
      <c r="D12" s="23">
        <v>1065071.873531562</v>
      </c>
      <c r="E12" s="33">
        <v>45.758718540999332</v>
      </c>
      <c r="F12" s="5">
        <v>10</v>
      </c>
      <c r="G12" s="23">
        <v>84</v>
      </c>
      <c r="H12" s="33">
        <v>1278.1978691821548</v>
      </c>
      <c r="I12" s="23">
        <v>33.354256334182061</v>
      </c>
      <c r="J12" s="5">
        <v>6047.8997781901144</v>
      </c>
      <c r="K12" s="31"/>
      <c r="L12" s="23">
        <v>1321514.0176186161</v>
      </c>
      <c r="M12" s="33">
        <v>105.4903826250011</v>
      </c>
      <c r="N12" s="5">
        <v>16</v>
      </c>
      <c r="O12" s="5">
        <v>65</v>
      </c>
      <c r="P12" s="33">
        <v>557.67034832815955</v>
      </c>
      <c r="Q12" s="5">
        <v>15.231927319885274</v>
      </c>
      <c r="R12" s="5">
        <v>4785.9429918995056</v>
      </c>
      <c r="S12" s="31"/>
      <c r="T12" s="23">
        <v>1439383.4972327901</v>
      </c>
      <c r="U12" s="33">
        <v>35.604462749997772</v>
      </c>
      <c r="V12" s="5">
        <v>6</v>
      </c>
      <c r="W12" s="5">
        <v>47</v>
      </c>
      <c r="X12" s="33">
        <v>803.05845774874535</v>
      </c>
      <c r="Y12" s="5">
        <v>60.986021302351638</v>
      </c>
      <c r="Z12" s="5">
        <v>6078.0478853065561</v>
      </c>
      <c r="AA12" s="35"/>
    </row>
    <row r="13" spans="2:27" x14ac:dyDescent="0.2">
      <c r="B13" s="4">
        <v>10</v>
      </c>
      <c r="C13" s="4">
        <v>841</v>
      </c>
      <c r="D13" s="23">
        <v>1160996.0581764251</v>
      </c>
      <c r="E13" s="33">
        <v>31.825391207999932</v>
      </c>
      <c r="F13" s="5">
        <v>8</v>
      </c>
      <c r="G13" s="23">
        <v>75</v>
      </c>
      <c r="H13" s="33">
        <v>1109.7173677215831</v>
      </c>
      <c r="I13" s="23">
        <v>37.041302435913984</v>
      </c>
      <c r="J13" s="5">
        <v>6378.7977352707921</v>
      </c>
      <c r="K13" s="31"/>
      <c r="L13" s="23">
        <v>1372949.418891608</v>
      </c>
      <c r="M13" s="33">
        <v>108.4241820410025</v>
      </c>
      <c r="N13" s="5">
        <v>13</v>
      </c>
      <c r="O13" s="5">
        <v>60</v>
      </c>
      <c r="P13" s="33">
        <v>756.68460698916431</v>
      </c>
      <c r="Q13" s="5">
        <v>17.282567174202864</v>
      </c>
      <c r="R13" s="5">
        <v>5151.0132850206865</v>
      </c>
      <c r="S13" s="31"/>
      <c r="T13" s="23">
        <v>1389790.6902139271</v>
      </c>
      <c r="U13" s="33">
        <v>46.082311375001147</v>
      </c>
      <c r="V13" s="5">
        <v>11</v>
      </c>
      <c r="W13" s="5">
        <v>60</v>
      </c>
      <c r="X13" s="33">
        <v>1094.8842141015671</v>
      </c>
      <c r="Y13" s="5">
        <v>36.783644964101988</v>
      </c>
      <c r="Z13" s="5">
        <v>6313.8150329781583</v>
      </c>
      <c r="AA13" s="35"/>
    </row>
    <row r="14" spans="2:27" x14ac:dyDescent="0.2">
      <c r="B14" s="46" t="s">
        <v>3</v>
      </c>
      <c r="C14" s="47"/>
      <c r="D14" s="9">
        <f>MIN(D4:D13)</f>
        <v>1059087.900909689</v>
      </c>
      <c r="E14" s="22">
        <f>INDEX(E4:E13, MATCH($D$14, D4:D13, 0))</f>
        <v>40.956916833998548</v>
      </c>
      <c r="F14" s="9">
        <f>INDEX(F4:F13, MATCH($D$14, D4:D13, 0))</f>
        <v>11</v>
      </c>
      <c r="G14" s="9">
        <f>INDEX(G4:G13, MATCH($D$14, D4:D13, 0))</f>
        <v>90</v>
      </c>
      <c r="H14" s="22">
        <f>INDEX(H4:H13, MATCH($D$14, D4:D13, 0))</f>
        <v>1579.7763836839072</v>
      </c>
      <c r="I14" s="22">
        <f>INDEX(I4:I13, MATCH($D$14, D4:D13, 0))</f>
        <v>33.151541756021672</v>
      </c>
      <c r="J14" s="22">
        <f>INDEX(J4:J13, MATCH($D$14, D4:D13, 0))</f>
        <v>6422.8063948152148</v>
      </c>
      <c r="K14" s="32" t="e">
        <f>(D14-$D$15)/$D$15</f>
        <v>#DIV/0!</v>
      </c>
      <c r="L14" s="16">
        <f>MIN(L4:L13)</f>
        <v>1314064.2605180561</v>
      </c>
      <c r="M14" s="21">
        <f>INDEX(M4:M13, MATCH($L$14, L4:L13, 0))</f>
        <v>109.5498229170007</v>
      </c>
      <c r="N14" s="16">
        <f>INDEX(N4:N13, MATCH($L$14, L4:L13, 0))</f>
        <v>13</v>
      </c>
      <c r="O14" s="16">
        <f>INDEX(O4:O13, MATCH($L$14, L4:L13, 0))</f>
        <v>62</v>
      </c>
      <c r="P14" s="21">
        <f>INDEX(P4:P13, MATCH($L$14, L4:L13, 0))</f>
        <v>478.43361019280786</v>
      </c>
      <c r="Q14" s="21">
        <f>INDEX(Q4:Q13, MATCH($L$14, L4:L13, 0))</f>
        <v>17.455447715997913</v>
      </c>
      <c r="R14" s="21">
        <f>INDEX(R4:R13, MATCH($L$14, L4:L13, 0))</f>
        <v>4805.9178677347545</v>
      </c>
      <c r="S14" s="36" t="e">
        <f>(L14-$D$15)/$D$15</f>
        <v>#DIV/0!</v>
      </c>
      <c r="T14" s="38">
        <f>MIN(T4:T13)</f>
        <v>1353789.9213761899</v>
      </c>
      <c r="U14" s="39">
        <f>INDEX(U4:U13, MATCH($T$14, T4:T13, 0))</f>
        <v>70.444069291999767</v>
      </c>
      <c r="V14" s="38">
        <f>INDEX(V4:V13, MATCH($T$14, T4:T13, 0))</f>
        <v>8</v>
      </c>
      <c r="W14" s="38">
        <f>INDEX(W4:W13, MATCH($T$14, T4:T13, 0))</f>
        <v>60</v>
      </c>
      <c r="X14" s="39">
        <f>INDEX(X4:X13, MATCH($T$14, T4:T13, 0))</f>
        <v>1174.29709682835</v>
      </c>
      <c r="Y14" s="39">
        <f>INDEX(Y4:Y13, MATCH($T$14, T4:T13, 0))</f>
        <v>54.373101324073815</v>
      </c>
      <c r="Z14" s="39">
        <f>INDEX(Z4:Z13, MATCH($T$14, T4:T13, 0))</f>
        <v>6630.7932911642602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0.24075089460408211</v>
      </c>
      <c r="M15" s="45">
        <f t="shared" ref="M15:R15" si="0">(M14-E14)/E14</f>
        <v>1.6747575595354098</v>
      </c>
      <c r="N15" s="45">
        <f t="shared" si="0"/>
        <v>0.18181818181818182</v>
      </c>
      <c r="O15" s="45">
        <f t="shared" si="0"/>
        <v>-0.31111111111111112</v>
      </c>
      <c r="P15" s="45">
        <f t="shared" si="0"/>
        <v>-0.69715105559614676</v>
      </c>
      <c r="Q15" s="45">
        <f t="shared" si="0"/>
        <v>-0.47346497956381495</v>
      </c>
      <c r="R15" s="45">
        <f t="shared" si="0"/>
        <v>-0.25174175083117672</v>
      </c>
      <c r="S15"/>
      <c r="T15" s="45">
        <f>(T14-D14)/D14</f>
        <v>0.27826020882059993</v>
      </c>
      <c r="U15" s="45">
        <f t="shared" ref="U15:Z15" si="1">(U14-E14)/E14</f>
        <v>0.71995537597507298</v>
      </c>
      <c r="V15" s="45">
        <f t="shared" si="1"/>
        <v>-0.27272727272727271</v>
      </c>
      <c r="W15" s="45">
        <f>(W14-G14)/G14</f>
        <v>-0.33333333333333331</v>
      </c>
      <c r="X15" s="45">
        <f t="shared" si="1"/>
        <v>-0.25666878619239336</v>
      </c>
      <c r="Y15" s="45">
        <f t="shared" si="1"/>
        <v>0.64013793760277959</v>
      </c>
      <c r="Z15" s="45">
        <f t="shared" si="1"/>
        <v>3.2382557337699285E-2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28:C1048576">
    <cfRule type="duplicateValues" dxfId="105" priority="9"/>
    <cfRule type="duplicateValues" dxfId="104" priority="10"/>
  </conditionalFormatting>
  <conditionalFormatting sqref="C4:C13">
    <cfRule type="duplicateValues" dxfId="103" priority="3"/>
    <cfRule type="duplicateValues" dxfId="102" priority="4"/>
  </conditionalFormatting>
  <conditionalFormatting sqref="C14">
    <cfRule type="duplicateValues" dxfId="101" priority="5"/>
    <cfRule type="duplicateValues" dxfId="100" priority="6"/>
  </conditionalFormatting>
  <conditionalFormatting sqref="C15">
    <cfRule type="duplicateValues" dxfId="99" priority="7"/>
    <cfRule type="duplicateValues" dxfId="98" priority="8"/>
  </conditionalFormatting>
  <conditionalFormatting sqref="C17:C27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59A5-F2BE-024F-B116-C1BC86D50D39}">
  <sheetPr codeName="Sheet7"/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-0.98702980296871556</v>
      </c>
      <c r="J2" s="28" t="e">
        <f>(S14-J14)/J14</f>
        <v>#DIV/0!</v>
      </c>
      <c r="K2" s="28"/>
      <c r="L2" s="1" t="s">
        <v>19</v>
      </c>
      <c r="P2" s="1">
        <f>(P14-H14)/H14</f>
        <v>-0.42413129209988909</v>
      </c>
      <c r="R2" s="1">
        <f>(R14-J14)/J14</f>
        <v>-0.14171889572927818</v>
      </c>
      <c r="T2" s="1" t="s">
        <v>20</v>
      </c>
      <c r="X2" s="1">
        <f>(X14-P14)/P14</f>
        <v>0.98678281877900886</v>
      </c>
      <c r="Z2" s="1">
        <f>(Z14-R14)/R14</f>
        <v>0.23408794783669976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</v>
      </c>
      <c r="D4" s="23">
        <v>1157758.0806557001</v>
      </c>
      <c r="E4" s="33">
        <v>103.1748884589997</v>
      </c>
      <c r="F4" s="5">
        <v>9</v>
      </c>
      <c r="G4" s="23">
        <v>73</v>
      </c>
      <c r="H4" s="33">
        <v>999.44237883275969</v>
      </c>
      <c r="I4" s="23">
        <v>27.190050412390892</v>
      </c>
      <c r="J4" s="5">
        <v>6033.857208898582</v>
      </c>
      <c r="K4" s="31" t="e">
        <f>(D4-$D$15)/$D$15</f>
        <v>#DIV/0!</v>
      </c>
      <c r="L4" s="23">
        <v>1348307.2066547379</v>
      </c>
      <c r="M4" s="33">
        <v>64.792646333000448</v>
      </c>
      <c r="N4" s="5">
        <v>10</v>
      </c>
      <c r="O4" s="5">
        <v>59</v>
      </c>
      <c r="P4" s="33">
        <v>918.75056572537255</v>
      </c>
      <c r="Q4" s="5">
        <v>19.687319098472635</v>
      </c>
      <c r="R4" s="5">
        <v>5533.178385572056</v>
      </c>
      <c r="S4" s="31"/>
      <c r="T4" s="23">
        <v>1502744.1987924301</v>
      </c>
      <c r="U4" s="33">
        <v>51.990541541999853</v>
      </c>
      <c r="V4" s="5">
        <v>5</v>
      </c>
      <c r="W4" s="5">
        <v>39</v>
      </c>
      <c r="X4" s="33">
        <v>504.04195977196071</v>
      </c>
      <c r="Y4" s="5">
        <v>45.228268952396796</v>
      </c>
      <c r="Z4" s="5">
        <v>5415.875108129233</v>
      </c>
      <c r="AA4" s="35"/>
    </row>
    <row r="5" spans="2:27" x14ac:dyDescent="0.2">
      <c r="B5" s="4">
        <v>2</v>
      </c>
      <c r="C5" s="4">
        <v>28</v>
      </c>
      <c r="D5" s="23">
        <v>1231511.2357208121</v>
      </c>
      <c r="E5" s="33">
        <v>33.839220292000391</v>
      </c>
      <c r="F5" s="5">
        <v>10</v>
      </c>
      <c r="G5" s="23">
        <v>84</v>
      </c>
      <c r="H5" s="33">
        <v>2090.0621487573912</v>
      </c>
      <c r="I5" s="23">
        <v>30.404122948128553</v>
      </c>
      <c r="J5" s="5">
        <v>7658.6684452606214</v>
      </c>
      <c r="K5" s="31" t="e">
        <f t="shared" ref="K5:K13" si="0">(D5-$D$15)/$D$15</f>
        <v>#DIV/0!</v>
      </c>
      <c r="L5" s="23">
        <v>1319456.710059202</v>
      </c>
      <c r="M5" s="33">
        <v>94.980435082998156</v>
      </c>
      <c r="N5" s="5">
        <v>12</v>
      </c>
      <c r="O5" s="5">
        <v>64</v>
      </c>
      <c r="P5" s="33">
        <v>969.39587537309387</v>
      </c>
      <c r="Q5" s="5">
        <v>18.223422820121151</v>
      </c>
      <c r="R5" s="5">
        <v>5730.9086382447267</v>
      </c>
      <c r="S5" s="31"/>
      <c r="T5" s="23">
        <v>1360033.5773318741</v>
      </c>
      <c r="U5" s="33">
        <v>36.633358000002772</v>
      </c>
      <c r="V5" s="5">
        <v>10</v>
      </c>
      <c r="W5" s="5">
        <v>65</v>
      </c>
      <c r="X5" s="33">
        <v>1703.9967521128917</v>
      </c>
      <c r="Y5" s="5">
        <v>33.593213980447224</v>
      </c>
      <c r="Z5" s="5">
        <v>6960.9056684087118</v>
      </c>
      <c r="AA5" s="35"/>
    </row>
    <row r="6" spans="2:27" x14ac:dyDescent="0.2">
      <c r="B6" s="4">
        <v>3</v>
      </c>
      <c r="C6" s="4">
        <v>261</v>
      </c>
      <c r="D6" s="23">
        <v>1161121.1859674191</v>
      </c>
      <c r="E6" s="33">
        <v>54.164725167000142</v>
      </c>
      <c r="F6" s="5">
        <v>10</v>
      </c>
      <c r="G6" s="23">
        <v>76</v>
      </c>
      <c r="H6" s="33">
        <v>1134.7956643225311</v>
      </c>
      <c r="I6" s="23">
        <v>25.515878167806143</v>
      </c>
      <c r="J6" s="5">
        <v>6241.3024993380386</v>
      </c>
      <c r="K6" s="31" t="e">
        <f t="shared" si="0"/>
        <v>#DIV/0!</v>
      </c>
      <c r="L6" s="23">
        <v>1357943.362104642</v>
      </c>
      <c r="M6" s="33">
        <v>73.427184667001711</v>
      </c>
      <c r="N6" s="5">
        <v>11</v>
      </c>
      <c r="O6" s="5">
        <v>55</v>
      </c>
      <c r="P6" s="33">
        <v>376.26962902232555</v>
      </c>
      <c r="Q6" s="5">
        <v>16.585893761391308</v>
      </c>
      <c r="R6" s="5">
        <v>4784.2591541265137</v>
      </c>
      <c r="S6" s="31"/>
      <c r="T6" s="23">
        <v>1504863.2374003581</v>
      </c>
      <c r="U6" s="33">
        <v>73.478372583002056</v>
      </c>
      <c r="V6" s="5">
        <v>7</v>
      </c>
      <c r="W6" s="5">
        <v>48</v>
      </c>
      <c r="X6" s="33">
        <v>1365.5904187844205</v>
      </c>
      <c r="Y6" s="5">
        <v>37.060168091059715</v>
      </c>
      <c r="Z6" s="5">
        <v>6813.4705241714501</v>
      </c>
      <c r="AA6" s="35"/>
    </row>
    <row r="7" spans="2:27" x14ac:dyDescent="0.2">
      <c r="B7" s="4">
        <v>4</v>
      </c>
      <c r="C7" s="4">
        <v>292</v>
      </c>
      <c r="D7" s="23">
        <v>1237513.1907435369</v>
      </c>
      <c r="E7" s="33">
        <v>62.372782374999588</v>
      </c>
      <c r="F7" s="5">
        <v>10</v>
      </c>
      <c r="G7" s="23">
        <v>90</v>
      </c>
      <c r="H7" s="33">
        <v>2580.0650872617357</v>
      </c>
      <c r="I7" s="23">
        <v>33.366700727502163</v>
      </c>
      <c r="J7" s="5">
        <v>8063.2896478520806</v>
      </c>
      <c r="K7" s="31" t="e">
        <f t="shared" si="0"/>
        <v>#DIV/0!</v>
      </c>
      <c r="L7" s="23">
        <v>1383424.5203547699</v>
      </c>
      <c r="M7" s="33">
        <v>52.116814874996628</v>
      </c>
      <c r="N7" s="5">
        <v>9</v>
      </c>
      <c r="O7" s="5">
        <v>52</v>
      </c>
      <c r="P7" s="33">
        <v>449.32833146949662</v>
      </c>
      <c r="Q7" s="5">
        <v>17.863911688929342</v>
      </c>
      <c r="R7" s="5">
        <v>5044.3629377607786</v>
      </c>
      <c r="S7" s="31"/>
      <c r="T7" s="23">
        <v>1498117.2925682659</v>
      </c>
      <c r="U7" s="33">
        <v>58.353416959002061</v>
      </c>
      <c r="V7" s="5">
        <v>5</v>
      </c>
      <c r="W7" s="5">
        <v>41</v>
      </c>
      <c r="X7" s="33">
        <v>571.9764371899297</v>
      </c>
      <c r="Y7" s="5">
        <v>46.63458942880866</v>
      </c>
      <c r="Z7" s="5">
        <v>5852.4677879591209</v>
      </c>
      <c r="AA7" s="35"/>
    </row>
    <row r="8" spans="2:27" x14ac:dyDescent="0.2">
      <c r="B8" s="4">
        <v>5</v>
      </c>
      <c r="C8" s="4">
        <v>401</v>
      </c>
      <c r="D8" s="23">
        <v>1206299.8799808291</v>
      </c>
      <c r="E8" s="33">
        <v>45.156901374999507</v>
      </c>
      <c r="F8" s="5">
        <v>10</v>
      </c>
      <c r="G8" s="23">
        <v>74</v>
      </c>
      <c r="H8" s="33">
        <v>1214.8658888601128</v>
      </c>
      <c r="I8" s="23">
        <v>24.353230490498223</v>
      </c>
      <c r="J8" s="5">
        <v>6358.1780917835858</v>
      </c>
      <c r="K8" s="31" t="e">
        <f t="shared" si="0"/>
        <v>#DIV/0!</v>
      </c>
      <c r="L8" s="23">
        <v>1437363.2897095659</v>
      </c>
      <c r="M8" s="33">
        <v>74.4229434580011</v>
      </c>
      <c r="N8" s="5">
        <v>8</v>
      </c>
      <c r="O8" s="5">
        <v>51</v>
      </c>
      <c r="P8" s="33">
        <v>1018.9632515717784</v>
      </c>
      <c r="Q8" s="5">
        <v>19.874838203282387</v>
      </c>
      <c r="R8" s="5">
        <v>5745.7000588610545</v>
      </c>
      <c r="S8" s="31"/>
      <c r="T8" s="23">
        <v>1503559.139352957</v>
      </c>
      <c r="U8" s="33">
        <v>33.2118734579999</v>
      </c>
      <c r="V8" s="5">
        <v>5</v>
      </c>
      <c r="W8" s="5">
        <v>39</v>
      </c>
      <c r="X8" s="33">
        <v>504.04195977196071</v>
      </c>
      <c r="Y8" s="5">
        <v>44.816290260764731</v>
      </c>
      <c r="Z8" s="5">
        <v>5407.770511116124</v>
      </c>
      <c r="AA8" s="35"/>
    </row>
    <row r="9" spans="2:27" x14ac:dyDescent="0.2">
      <c r="B9" s="4">
        <v>6</v>
      </c>
      <c r="C9" s="4">
        <v>538</v>
      </c>
      <c r="D9" s="23">
        <v>1247201.5291077921</v>
      </c>
      <c r="E9" s="33">
        <v>62.96003733300131</v>
      </c>
      <c r="F9" s="5">
        <v>10</v>
      </c>
      <c r="G9" s="23">
        <v>78</v>
      </c>
      <c r="H9" s="33">
        <v>1765.8313632885879</v>
      </c>
      <c r="I9" s="23">
        <v>28.64368768078462</v>
      </c>
      <c r="J9" s="5">
        <v>7308.1892501679549</v>
      </c>
      <c r="K9" s="31" t="e">
        <f t="shared" si="0"/>
        <v>#DIV/0!</v>
      </c>
      <c r="L9" s="23">
        <v>1393292.342259265</v>
      </c>
      <c r="M9" s="33">
        <v>72.570490874997631</v>
      </c>
      <c r="N9" s="5">
        <v>13</v>
      </c>
      <c r="O9" s="5">
        <v>61</v>
      </c>
      <c r="P9" s="33">
        <v>1036.6525709346811</v>
      </c>
      <c r="Q9" s="5">
        <v>16.685390178268637</v>
      </c>
      <c r="R9" s="5">
        <v>5798.3931457366671</v>
      </c>
      <c r="S9" s="31"/>
      <c r="T9" s="23">
        <v>1516756.955266993</v>
      </c>
      <c r="U9" s="33">
        <v>144.2251795420016</v>
      </c>
      <c r="V9" s="5">
        <v>6</v>
      </c>
      <c r="W9" s="5">
        <v>43</v>
      </c>
      <c r="X9" s="33">
        <v>1127.5409685318566</v>
      </c>
      <c r="Y9" s="5">
        <v>41.617970017021548</v>
      </c>
      <c r="Z9" s="5">
        <v>6346.5895852359108</v>
      </c>
      <c r="AA9" s="35"/>
    </row>
    <row r="10" spans="2:27" x14ac:dyDescent="0.2">
      <c r="B10" s="4">
        <v>7</v>
      </c>
      <c r="C10" s="4">
        <v>608</v>
      </c>
      <c r="D10" s="23">
        <v>1180192.4435080269</v>
      </c>
      <c r="E10" s="33">
        <v>59.636432625000452</v>
      </c>
      <c r="F10" s="5">
        <v>11</v>
      </c>
      <c r="G10" s="23">
        <v>80</v>
      </c>
      <c r="H10" s="33">
        <v>1430.6075299215959</v>
      </c>
      <c r="I10" s="23">
        <v>24.22355957994548</v>
      </c>
      <c r="J10" s="5">
        <v>6665.9783220694353</v>
      </c>
      <c r="K10" s="31" t="e">
        <f t="shared" si="0"/>
        <v>#DIV/0!</v>
      </c>
      <c r="L10" s="23">
        <v>1333084.043975896</v>
      </c>
      <c r="M10" s="33">
        <v>89.277611959001661</v>
      </c>
      <c r="N10" s="5">
        <v>14</v>
      </c>
      <c r="O10" s="5">
        <v>70</v>
      </c>
      <c r="P10" s="33">
        <v>1209.9187253055472</v>
      </c>
      <c r="Q10" s="5">
        <v>16.813814843548592</v>
      </c>
      <c r="R10" s="5">
        <v>6191.7180033758468</v>
      </c>
      <c r="S10" s="31"/>
      <c r="T10" s="23">
        <v>1497320.1135519</v>
      </c>
      <c r="U10" s="33">
        <v>36.364525791999768</v>
      </c>
      <c r="V10" s="5">
        <v>7</v>
      </c>
      <c r="W10" s="5">
        <v>50</v>
      </c>
      <c r="X10" s="33">
        <v>1448.5688616033212</v>
      </c>
      <c r="Y10" s="5">
        <v>38.154777678670619</v>
      </c>
      <c r="Z10" s="5">
        <v>6939.3435116379778</v>
      </c>
      <c r="AA10" s="35"/>
    </row>
    <row r="11" spans="2:27" x14ac:dyDescent="0.2">
      <c r="B11" s="4">
        <v>8</v>
      </c>
      <c r="C11" s="4">
        <v>640</v>
      </c>
      <c r="D11" s="23">
        <v>1174295.2458719269</v>
      </c>
      <c r="E11" s="33">
        <v>87.250794875000793</v>
      </c>
      <c r="F11" s="5">
        <v>10</v>
      </c>
      <c r="G11" s="23">
        <v>78</v>
      </c>
      <c r="H11" s="33">
        <v>1387.076603778693</v>
      </c>
      <c r="I11" s="23">
        <v>27.492897667006407</v>
      </c>
      <c r="J11" s="5">
        <v>6652.1028080871702</v>
      </c>
      <c r="K11" s="31" t="e">
        <f t="shared" si="0"/>
        <v>#DIV/0!</v>
      </c>
      <c r="L11" s="23">
        <v>1317440.6317242431</v>
      </c>
      <c r="M11" s="33">
        <v>122.8969688329998</v>
      </c>
      <c r="N11" s="5">
        <v>11</v>
      </c>
      <c r="O11" s="5">
        <v>62</v>
      </c>
      <c r="P11" s="33">
        <v>857.66634178973561</v>
      </c>
      <c r="Q11" s="5">
        <v>19.31707920139921</v>
      </c>
      <c r="R11" s="5">
        <v>5640.5264151642223</v>
      </c>
      <c r="S11" s="31"/>
      <c r="T11" s="23">
        <v>1368772.6116345839</v>
      </c>
      <c r="U11" s="33">
        <v>97.18202250000104</v>
      </c>
      <c r="V11" s="5">
        <v>10</v>
      </c>
      <c r="W11" s="5">
        <v>67</v>
      </c>
      <c r="X11" s="33">
        <v>2009.8872283114222</v>
      </c>
      <c r="Y11" s="5">
        <v>34.627358094803149</v>
      </c>
      <c r="Z11" s="5">
        <v>7363.3402764274615</v>
      </c>
      <c r="AA11" s="35"/>
    </row>
    <row r="12" spans="2:27" x14ac:dyDescent="0.2">
      <c r="B12" s="4">
        <v>9</v>
      </c>
      <c r="C12" s="4">
        <v>644</v>
      </c>
      <c r="D12" s="23">
        <v>1178550.0064284219</v>
      </c>
      <c r="E12" s="33">
        <v>86.297586791999493</v>
      </c>
      <c r="F12" s="5">
        <v>10</v>
      </c>
      <c r="G12" s="23">
        <v>80</v>
      </c>
      <c r="H12" s="33">
        <v>1541.0706557133244</v>
      </c>
      <c r="I12" s="23">
        <v>27.927180529825041</v>
      </c>
      <c r="J12" s="5">
        <v>6830.3081599074922</v>
      </c>
      <c r="K12" s="31" t="e">
        <f t="shared" si="0"/>
        <v>#DIV/0!</v>
      </c>
      <c r="L12" s="23">
        <v>1408581.332586434</v>
      </c>
      <c r="M12" s="33">
        <v>78.535599040998932</v>
      </c>
      <c r="N12" s="5">
        <v>10</v>
      </c>
      <c r="O12" s="5">
        <v>55</v>
      </c>
      <c r="P12" s="33">
        <v>997.99831541760284</v>
      </c>
      <c r="Q12" s="5">
        <v>18.520583571488043</v>
      </c>
      <c r="R12" s="5">
        <v>5644.8829195906492</v>
      </c>
      <c r="S12" s="31"/>
      <c r="T12" s="23">
        <v>1444510.43284584</v>
      </c>
      <c r="U12" s="33">
        <v>34.940575417000218</v>
      </c>
      <c r="V12" s="5">
        <v>8</v>
      </c>
      <c r="W12" s="5">
        <v>52</v>
      </c>
      <c r="X12" s="33">
        <v>1243.4053793681098</v>
      </c>
      <c r="Y12" s="5">
        <v>34.330529759014198</v>
      </c>
      <c r="Z12" s="5">
        <v>6547.8450706538706</v>
      </c>
      <c r="AA12" s="35"/>
    </row>
    <row r="13" spans="2:27" x14ac:dyDescent="0.2">
      <c r="B13" s="4">
        <v>10</v>
      </c>
      <c r="C13" s="4">
        <v>646</v>
      </c>
      <c r="D13" s="23">
        <v>1145097.4505289539</v>
      </c>
      <c r="E13" s="33">
        <v>42.755188624998482</v>
      </c>
      <c r="F13" s="5">
        <v>11</v>
      </c>
      <c r="G13" s="23">
        <v>82</v>
      </c>
      <c r="H13" s="33">
        <v>1489.3435431093171</v>
      </c>
      <c r="I13" s="23">
        <v>25.053628824953659</v>
      </c>
      <c r="J13" s="5">
        <v>6571.8869809640701</v>
      </c>
      <c r="K13" s="31" t="e">
        <f t="shared" si="0"/>
        <v>#DIV/0!</v>
      </c>
      <c r="L13" s="23">
        <v>1381544.4360900121</v>
      </c>
      <c r="M13" s="33">
        <v>76.108794583000417</v>
      </c>
      <c r="N13" s="5">
        <v>14</v>
      </c>
      <c r="O13" s="5">
        <v>61</v>
      </c>
      <c r="P13" s="33">
        <v>836.12116962051618</v>
      </c>
      <c r="Q13" s="5">
        <v>14.878318245366783</v>
      </c>
      <c r="R13" s="5">
        <v>5437.0317507254304</v>
      </c>
      <c r="S13" s="31"/>
      <c r="T13" s="23">
        <v>1451330.636859633</v>
      </c>
      <c r="U13" s="33">
        <v>42.21375099999932</v>
      </c>
      <c r="V13" s="5">
        <v>7</v>
      </c>
      <c r="W13" s="5">
        <v>55</v>
      </c>
      <c r="X13" s="33">
        <v>1730.4381012467488</v>
      </c>
      <c r="Y13" s="5">
        <v>45.230967921557564</v>
      </c>
      <c r="Z13" s="5">
        <v>7248.0588896377267</v>
      </c>
      <c r="AA13" s="35"/>
    </row>
    <row r="14" spans="2:27" x14ac:dyDescent="0.2">
      <c r="B14" s="46" t="s">
        <v>3</v>
      </c>
      <c r="C14" s="47"/>
      <c r="D14" s="9">
        <f>MIN(D4:D13)</f>
        <v>1145097.4505289539</v>
      </c>
      <c r="E14" s="22">
        <f>INDEX(E4:E13, MATCH($D$14, D4:D13, 0))</f>
        <v>42.755188624998482</v>
      </c>
      <c r="F14" s="9">
        <f>INDEX(F4:F13, MATCH($D$14, D4:D13, 0))</f>
        <v>11</v>
      </c>
      <c r="G14" s="9">
        <f>INDEX(G4:G13, MATCH($D$14, D4:D13, 0))</f>
        <v>82</v>
      </c>
      <c r="H14" s="22">
        <f>INDEX(H4:H13, MATCH($D$14, D4:D13, 0))</f>
        <v>1489.3435431093171</v>
      </c>
      <c r="I14" s="22">
        <f>INDEX(I4:I13, MATCH($D$14, D4:D13, 0))</f>
        <v>25.053628824953659</v>
      </c>
      <c r="J14" s="22">
        <f>INDEX(J4:J13, MATCH($D$14, D4:D13, 0))</f>
        <v>6571.8869809640701</v>
      </c>
      <c r="K14" s="32" t="e">
        <f>(D14-$D$15)/$D$15</f>
        <v>#DIV/0!</v>
      </c>
      <c r="L14" s="16">
        <f>MIN(L4:L13)</f>
        <v>1317440.6317242431</v>
      </c>
      <c r="M14" s="21">
        <f>INDEX(M4:M13, MATCH($L$14, L4:L13, 0))</f>
        <v>122.8969688329998</v>
      </c>
      <c r="N14" s="16">
        <f>INDEX(N4:N13, MATCH($L$14, L4:L13, 0))</f>
        <v>11</v>
      </c>
      <c r="O14" s="16">
        <f>INDEX(O4:O13, MATCH($L$14, L4:L13, 0))</f>
        <v>62</v>
      </c>
      <c r="P14" s="21">
        <f>INDEX(P4:P13, MATCH($L$14, L4:L13, 0))</f>
        <v>857.66634178973561</v>
      </c>
      <c r="Q14" s="21">
        <f>INDEX(Q4:Q13, MATCH($L$14, L4:L13, 0))</f>
        <v>19.31707920139921</v>
      </c>
      <c r="R14" s="21">
        <f>INDEX(R4:R13, MATCH($L$14, L4:L13, 0))</f>
        <v>5640.5264151642223</v>
      </c>
      <c r="S14" s="36" t="e">
        <f>(L14-$D$15)/$D$15</f>
        <v>#DIV/0!</v>
      </c>
      <c r="T14" s="38">
        <f>MIN(T4:T13)</f>
        <v>1360033.5773318741</v>
      </c>
      <c r="U14" s="39">
        <f>INDEX(U4:U13, MATCH($T$14, T4:T13, 0))</f>
        <v>36.633358000002772</v>
      </c>
      <c r="V14" s="38">
        <f>INDEX(V4:V13, MATCH($T$14, T4:T13, 0))</f>
        <v>10</v>
      </c>
      <c r="W14" s="38">
        <f>INDEX(W4:W13, MATCH($T$14, T4:T13, 0))</f>
        <v>65</v>
      </c>
      <c r="X14" s="39">
        <f>INDEX(X4:X13, MATCH($T$14, T4:T13, 0))</f>
        <v>1703.9967521128917</v>
      </c>
      <c r="Y14" s="39">
        <f>INDEX(Y4:Y13, MATCH($T$14, T4:T13, 0))</f>
        <v>33.593213980447224</v>
      </c>
      <c r="Z14" s="39">
        <f>INDEX(Z4:Z13, MATCH($T$14, T4:T13, 0))</f>
        <v>6960.9056684087118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0.15050525273257642</v>
      </c>
      <c r="M15" s="45">
        <f t="shared" ref="M15:R15" si="1">(M14-E14)/E14</f>
        <v>1.8744340227549205</v>
      </c>
      <c r="N15" s="45">
        <f t="shared" si="1"/>
        <v>0</v>
      </c>
      <c r="O15" s="45">
        <f t="shared" si="1"/>
        <v>-0.24390243902439024</v>
      </c>
      <c r="P15" s="45">
        <f t="shared" si="1"/>
        <v>-0.42413129209988909</v>
      </c>
      <c r="Q15" s="45">
        <f t="shared" si="1"/>
        <v>-0.22897080752792145</v>
      </c>
      <c r="R15" s="45">
        <f t="shared" si="1"/>
        <v>-0.14171889572927818</v>
      </c>
      <c r="S15"/>
      <c r="T15" s="45">
        <f>(T14-D14)/D14</f>
        <v>0.18770116613536678</v>
      </c>
      <c r="U15" s="45">
        <f t="shared" ref="U15:Z15" si="2">(U14-E14)/E14</f>
        <v>-0.14318333801985247</v>
      </c>
      <c r="V15" s="45">
        <f t="shared" si="2"/>
        <v>-9.0909090909090912E-2</v>
      </c>
      <c r="W15" s="45">
        <f>(W14-G14)/G14</f>
        <v>-0.2073170731707317</v>
      </c>
      <c r="X15" s="45">
        <f t="shared" si="2"/>
        <v>0.14412605472840806</v>
      </c>
      <c r="Y15" s="45">
        <f t="shared" si="2"/>
        <v>0.34085222604511706</v>
      </c>
      <c r="Z15" s="45">
        <f t="shared" si="2"/>
        <v>5.9194366636471617E-2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28:C1048576">
    <cfRule type="duplicateValues" dxfId="97" priority="9"/>
    <cfRule type="duplicateValues" dxfId="96" priority="10"/>
  </conditionalFormatting>
  <conditionalFormatting sqref="C4:C13">
    <cfRule type="duplicateValues" dxfId="95" priority="3"/>
    <cfRule type="duplicateValues" dxfId="94" priority="4"/>
  </conditionalFormatting>
  <conditionalFormatting sqref="C14">
    <cfRule type="duplicateValues" dxfId="93" priority="5"/>
    <cfRule type="duplicateValues" dxfId="92" priority="6"/>
  </conditionalFormatting>
  <conditionalFormatting sqref="C15">
    <cfRule type="duplicateValues" dxfId="91" priority="7"/>
    <cfRule type="duplicateValues" dxfId="90" priority="8"/>
  </conditionalFormatting>
  <conditionalFormatting sqref="C17:C27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2D3E-D093-7F40-A888-3A592215CD49}">
  <sheetPr codeName="Sheet8"/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-0.97904414819901764</v>
      </c>
      <c r="J2" s="28" t="e">
        <f>(S14-J14)/J14</f>
        <v>#DIV/0!</v>
      </c>
      <c r="K2" s="28"/>
      <c r="L2" s="1" t="s">
        <v>19</v>
      </c>
      <c r="P2" s="1">
        <f>(P14-H14)/H14</f>
        <v>-0.33653573113410068</v>
      </c>
      <c r="R2" s="1">
        <f>(R14-J14)/J14</f>
        <v>-0.13504433521768636</v>
      </c>
      <c r="T2" s="1" t="s">
        <v>20</v>
      </c>
      <c r="X2" s="1">
        <f>(X14-P14)/P14</f>
        <v>1.2937630502297919</v>
      </c>
      <c r="Z2" s="1">
        <f>(Z14-R14)/R14</f>
        <v>0.40642020094718895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245</v>
      </c>
      <c r="D4" s="23">
        <v>1036858.477407056</v>
      </c>
      <c r="E4" s="33">
        <v>73.219741999999314</v>
      </c>
      <c r="F4" s="5">
        <v>10</v>
      </c>
      <c r="G4" s="23">
        <v>81</v>
      </c>
      <c r="H4" s="33">
        <v>812.69290792534503</v>
      </c>
      <c r="I4" s="23">
        <v>31.530445798506104</v>
      </c>
      <c r="J4" s="5">
        <v>5540.6428901828149</v>
      </c>
      <c r="K4" s="31"/>
      <c r="L4" s="23">
        <v>1431618.1390608191</v>
      </c>
      <c r="M4" s="33">
        <v>94.04323766699963</v>
      </c>
      <c r="N4" s="5">
        <v>13</v>
      </c>
      <c r="O4" s="5">
        <v>57</v>
      </c>
      <c r="P4" s="33">
        <v>746.38701050578698</v>
      </c>
      <c r="Q4" s="5">
        <v>17.040597106304556</v>
      </c>
      <c r="R4" s="5">
        <v>5398.101889482833</v>
      </c>
      <c r="S4" s="31"/>
      <c r="T4" s="23">
        <v>1627119.7843836599</v>
      </c>
      <c r="U4" s="33">
        <v>33.332612666999921</v>
      </c>
      <c r="V4" s="5">
        <v>8</v>
      </c>
      <c r="W4" s="5">
        <v>44</v>
      </c>
      <c r="X4" s="33">
        <v>1915.5706563745623</v>
      </c>
      <c r="Y4" s="5">
        <v>40.047262616634889</v>
      </c>
      <c r="Z4" s="5">
        <v>7375.225202782015</v>
      </c>
      <c r="AA4" s="35"/>
    </row>
    <row r="5" spans="2:27" x14ac:dyDescent="0.2">
      <c r="B5" s="4">
        <v>2</v>
      </c>
      <c r="C5" s="4">
        <v>328</v>
      </c>
      <c r="D5" s="23">
        <v>1136051.497170907</v>
      </c>
      <c r="E5" s="33">
        <v>36.80439849999857</v>
      </c>
      <c r="F5" s="5">
        <v>9</v>
      </c>
      <c r="G5" s="23">
        <v>81</v>
      </c>
      <c r="H5" s="33">
        <v>1441.5437437719504</v>
      </c>
      <c r="I5" s="23">
        <v>35.151149829490443</v>
      </c>
      <c r="J5" s="5">
        <v>6457.0585322859197</v>
      </c>
      <c r="K5" s="31"/>
      <c r="L5" s="23">
        <v>1412331.779495914</v>
      </c>
      <c r="M5" s="33">
        <v>110.7371358749988</v>
      </c>
      <c r="N5" s="5">
        <v>9</v>
      </c>
      <c r="O5" s="5">
        <v>49</v>
      </c>
      <c r="P5" s="33">
        <v>264.11748247770947</v>
      </c>
      <c r="Q5" s="5">
        <v>18.503878462501817</v>
      </c>
      <c r="R5" s="5">
        <v>4644.6943003283159</v>
      </c>
      <c r="S5" s="31"/>
      <c r="T5" s="23">
        <v>1412968.900014234</v>
      </c>
      <c r="U5" s="33">
        <v>65.170767832998536</v>
      </c>
      <c r="V5" s="5">
        <v>5</v>
      </c>
      <c r="W5" s="5">
        <v>46</v>
      </c>
      <c r="X5" s="33">
        <v>466.41283574664908</v>
      </c>
      <c r="Y5" s="5">
        <v>63.074632506345395</v>
      </c>
      <c r="Z5" s="5">
        <v>5817.9726524034859</v>
      </c>
      <c r="AA5" s="35"/>
    </row>
    <row r="6" spans="2:27" x14ac:dyDescent="0.2">
      <c r="B6" s="4">
        <v>3</v>
      </c>
      <c r="C6" s="4">
        <v>352</v>
      </c>
      <c r="D6" s="23">
        <v>1138483.6390313981</v>
      </c>
      <c r="E6" s="33">
        <v>53.682172791999619</v>
      </c>
      <c r="F6" s="5">
        <v>12</v>
      </c>
      <c r="G6" s="23">
        <v>89</v>
      </c>
      <c r="H6" s="33">
        <v>1711.6187790519525</v>
      </c>
      <c r="I6" s="23">
        <v>29.281198741239734</v>
      </c>
      <c r="J6" s="5">
        <v>6741.2983468677339</v>
      </c>
      <c r="K6" s="31"/>
      <c r="L6" s="23">
        <v>1402913.572980972</v>
      </c>
      <c r="M6" s="33">
        <v>53.409941042002167</v>
      </c>
      <c r="N6" s="5">
        <v>11</v>
      </c>
      <c r="O6" s="5">
        <v>58</v>
      </c>
      <c r="P6" s="33">
        <v>959.55666796774574</v>
      </c>
      <c r="Q6" s="5">
        <v>19.164130850424069</v>
      </c>
      <c r="R6" s="5">
        <v>5680.7757838150465</v>
      </c>
      <c r="S6" s="31"/>
      <c r="T6" s="23">
        <v>1425052.1630620011</v>
      </c>
      <c r="U6" s="33">
        <v>44.35710625000138</v>
      </c>
      <c r="V6" s="5">
        <v>5</v>
      </c>
      <c r="W6" s="5">
        <v>45</v>
      </c>
      <c r="X6" s="33">
        <v>306.05481296370488</v>
      </c>
      <c r="Y6" s="5">
        <v>60.738163065825098</v>
      </c>
      <c r="Z6" s="5">
        <v>5733.135434035943</v>
      </c>
      <c r="AA6" s="35"/>
    </row>
    <row r="7" spans="2:27" x14ac:dyDescent="0.2">
      <c r="B7" s="4">
        <v>4</v>
      </c>
      <c r="C7" s="4">
        <v>512</v>
      </c>
      <c r="D7" s="23">
        <v>1115487.525130071</v>
      </c>
      <c r="E7" s="33">
        <v>38.973265459000693</v>
      </c>
      <c r="F7" s="5">
        <v>12</v>
      </c>
      <c r="G7" s="23">
        <v>87</v>
      </c>
      <c r="H7" s="33">
        <v>1480.2405154219873</v>
      </c>
      <c r="I7" s="23">
        <v>28.227644231423355</v>
      </c>
      <c r="J7" s="5">
        <v>6384.9046822593618</v>
      </c>
      <c r="K7" s="31"/>
      <c r="L7" s="23">
        <v>1400460.15547088</v>
      </c>
      <c r="M7" s="33">
        <v>64.523545500000182</v>
      </c>
      <c r="N7" s="5">
        <v>10</v>
      </c>
      <c r="O7" s="5">
        <v>55</v>
      </c>
      <c r="P7" s="33">
        <v>740.5143199823201</v>
      </c>
      <c r="Q7" s="5">
        <v>20.929494262122034</v>
      </c>
      <c r="R7" s="5">
        <v>5463.6329480880931</v>
      </c>
      <c r="S7" s="31"/>
      <c r="T7" s="23">
        <v>1484612.1293907049</v>
      </c>
      <c r="U7" s="33">
        <v>68.509253000000172</v>
      </c>
      <c r="V7" s="5">
        <v>7</v>
      </c>
      <c r="W7" s="5">
        <v>49</v>
      </c>
      <c r="X7" s="33">
        <v>1214.7983035946068</v>
      </c>
      <c r="Y7" s="5">
        <v>42.525551119258139</v>
      </c>
      <c r="Z7" s="5">
        <v>6588.0885507174135</v>
      </c>
      <c r="AA7" s="35"/>
    </row>
    <row r="8" spans="2:27" x14ac:dyDescent="0.2">
      <c r="B8" s="4">
        <v>5</v>
      </c>
      <c r="C8" s="4">
        <v>547</v>
      </c>
      <c r="D8" s="23">
        <v>1193198.1300832471</v>
      </c>
      <c r="E8" s="33">
        <v>34.777517541999259</v>
      </c>
      <c r="F8" s="5">
        <v>11</v>
      </c>
      <c r="G8" s="23">
        <v>89</v>
      </c>
      <c r="H8" s="33">
        <v>1974.165451111742</v>
      </c>
      <c r="I8" s="23">
        <v>32.902702498410108</v>
      </c>
      <c r="J8" s="5">
        <v>7329.9870086719548</v>
      </c>
      <c r="K8" s="31"/>
      <c r="L8" s="23">
        <v>1400567.065184172</v>
      </c>
      <c r="M8" s="33">
        <v>75.958226082999317</v>
      </c>
      <c r="N8" s="5">
        <v>13</v>
      </c>
      <c r="O8" s="5">
        <v>59</v>
      </c>
      <c r="P8" s="33">
        <v>839.37242827899308</v>
      </c>
      <c r="Q8" s="5">
        <v>17.398522746180014</v>
      </c>
      <c r="R8" s="5">
        <v>5407.600468652884</v>
      </c>
      <c r="S8" s="31"/>
      <c r="T8" s="23">
        <v>1368332.2921999621</v>
      </c>
      <c r="U8" s="33">
        <v>97.916912624998076</v>
      </c>
      <c r="V8" s="5">
        <v>7</v>
      </c>
      <c r="W8" s="5">
        <v>54</v>
      </c>
      <c r="X8" s="33">
        <v>826.74053059110349</v>
      </c>
      <c r="Y8" s="5">
        <v>54.635911294238838</v>
      </c>
      <c r="Z8" s="5">
        <v>6138.4209583317379</v>
      </c>
      <c r="AA8" s="35"/>
    </row>
    <row r="9" spans="2:27" x14ac:dyDescent="0.2">
      <c r="B9" s="4">
        <v>6</v>
      </c>
      <c r="C9" s="4">
        <v>667</v>
      </c>
      <c r="D9" s="23">
        <v>1199595.5023543569</v>
      </c>
      <c r="E9" s="33">
        <v>64.6948617500002</v>
      </c>
      <c r="F9" s="5">
        <v>10</v>
      </c>
      <c r="G9" s="23">
        <v>89</v>
      </c>
      <c r="H9" s="33">
        <v>2127.5703426785317</v>
      </c>
      <c r="I9" s="23">
        <v>35.039378090925808</v>
      </c>
      <c r="J9" s="5">
        <v>7520.9438500947126</v>
      </c>
      <c r="K9" s="31"/>
      <c r="L9" s="23">
        <v>1450506.617123283</v>
      </c>
      <c r="M9" s="33">
        <v>79.594727250001597</v>
      </c>
      <c r="N9" s="5">
        <v>12</v>
      </c>
      <c r="O9" s="5">
        <v>57</v>
      </c>
      <c r="P9" s="33">
        <v>963.21156878836769</v>
      </c>
      <c r="Q9" s="5">
        <v>16.705846321276997</v>
      </c>
      <c r="R9" s="5">
        <v>5842.9051823351201</v>
      </c>
      <c r="S9" s="31"/>
      <c r="T9" s="23">
        <v>1336976.784195083</v>
      </c>
      <c r="U9" s="33">
        <v>83.467394207997131</v>
      </c>
      <c r="V9" s="5">
        <v>9</v>
      </c>
      <c r="W9" s="5">
        <v>65</v>
      </c>
      <c r="X9" s="33">
        <v>1522.5769065077541</v>
      </c>
      <c r="Y9" s="5">
        <v>50.700334115600455</v>
      </c>
      <c r="Z9" s="5">
        <v>7035.3973411249117</v>
      </c>
      <c r="AA9" s="35"/>
    </row>
    <row r="10" spans="2:27" x14ac:dyDescent="0.2">
      <c r="B10" s="4">
        <v>7</v>
      </c>
      <c r="C10" s="4">
        <v>787</v>
      </c>
      <c r="D10" s="23">
        <v>1055833.7077972931</v>
      </c>
      <c r="E10" s="33">
        <v>99.492109459000858</v>
      </c>
      <c r="F10" s="5">
        <v>10</v>
      </c>
      <c r="G10" s="23">
        <v>84</v>
      </c>
      <c r="H10" s="33">
        <v>856.91371310967463</v>
      </c>
      <c r="I10" s="23">
        <v>32.29203819387341</v>
      </c>
      <c r="J10" s="5">
        <v>6120.3233701410836</v>
      </c>
      <c r="K10" s="31"/>
      <c r="L10" s="23">
        <v>1438687.6006165671</v>
      </c>
      <c r="M10" s="33">
        <v>122.9829370420011</v>
      </c>
      <c r="N10" s="5">
        <v>12</v>
      </c>
      <c r="O10" s="5">
        <v>56</v>
      </c>
      <c r="P10" s="33">
        <v>828.76999046346373</v>
      </c>
      <c r="Q10" s="5">
        <v>17.463551879467794</v>
      </c>
      <c r="R10" s="5">
        <v>5523.1180021846103</v>
      </c>
      <c r="S10" s="31"/>
      <c r="T10" s="23">
        <v>1269951.846617213</v>
      </c>
      <c r="U10" s="33">
        <v>66.31045825000183</v>
      </c>
      <c r="V10" s="5">
        <v>9</v>
      </c>
      <c r="W10" s="5">
        <v>68</v>
      </c>
      <c r="X10" s="33">
        <v>1236.7803059055461</v>
      </c>
      <c r="Y10" s="5">
        <v>50.046396407879818</v>
      </c>
      <c r="Z10" s="5">
        <v>6740.1428742979206</v>
      </c>
      <c r="AA10" s="35"/>
    </row>
    <row r="11" spans="2:27" x14ac:dyDescent="0.2">
      <c r="B11" s="4">
        <v>8</v>
      </c>
      <c r="C11" s="4">
        <v>828</v>
      </c>
      <c r="D11" s="23">
        <v>1048344.951033227</v>
      </c>
      <c r="E11" s="33">
        <v>92.093946708000658</v>
      </c>
      <c r="F11" s="5">
        <v>11</v>
      </c>
      <c r="G11" s="23">
        <v>87</v>
      </c>
      <c r="H11" s="33">
        <v>1177.8576268387703</v>
      </c>
      <c r="I11" s="23">
        <v>31.225296835796815</v>
      </c>
      <c r="J11" s="5">
        <v>6045.9774430770003</v>
      </c>
      <c r="K11" s="31"/>
      <c r="L11" s="23">
        <v>1453675.7844770991</v>
      </c>
      <c r="M11" s="33">
        <v>51.882693208997807</v>
      </c>
      <c r="N11" s="5">
        <v>9</v>
      </c>
      <c r="O11" s="5">
        <v>47</v>
      </c>
      <c r="P11" s="33">
        <v>339.41836144802841</v>
      </c>
      <c r="Q11" s="5">
        <v>18.105123700675776</v>
      </c>
      <c r="R11" s="5">
        <v>4745.3337219950563</v>
      </c>
      <c r="S11" s="31"/>
      <c r="T11" s="23">
        <v>1405480.05634764</v>
      </c>
      <c r="U11" s="33">
        <v>74.745175583000673</v>
      </c>
      <c r="V11" s="5">
        <v>6</v>
      </c>
      <c r="W11" s="5">
        <v>53</v>
      </c>
      <c r="X11" s="33">
        <v>994.58289521598783</v>
      </c>
      <c r="Y11" s="5">
        <v>56.76771916773771</v>
      </c>
      <c r="Z11" s="5">
        <v>6688.1167758794054</v>
      </c>
      <c r="AA11" s="35"/>
    </row>
    <row r="12" spans="2:27" x14ac:dyDescent="0.2">
      <c r="B12" s="4">
        <v>9</v>
      </c>
      <c r="C12" s="4">
        <v>884</v>
      </c>
      <c r="D12" s="23">
        <v>1064756.1145694179</v>
      </c>
      <c r="E12" s="33">
        <v>65.461553166000158</v>
      </c>
      <c r="F12" s="5">
        <v>10</v>
      </c>
      <c r="G12" s="23">
        <v>82</v>
      </c>
      <c r="H12" s="33">
        <v>1029.5934967641665</v>
      </c>
      <c r="I12" s="23">
        <v>31.439265521725936</v>
      </c>
      <c r="J12" s="5">
        <v>5849.1333536960201</v>
      </c>
      <c r="K12" s="31"/>
      <c r="L12" s="23">
        <v>1439864.618875985</v>
      </c>
      <c r="M12" s="33">
        <v>58.219906000002076</v>
      </c>
      <c r="N12" s="5">
        <v>12</v>
      </c>
      <c r="O12" s="5">
        <v>54</v>
      </c>
      <c r="P12" s="33">
        <v>680.72803142033092</v>
      </c>
      <c r="Q12" s="5">
        <v>16.032942556955764</v>
      </c>
      <c r="R12" s="5">
        <v>5112.4403937709094</v>
      </c>
      <c r="S12" s="31"/>
      <c r="T12" s="23">
        <v>1330230.5665059851</v>
      </c>
      <c r="U12" s="33">
        <v>53.421602916001582</v>
      </c>
      <c r="V12" s="5">
        <v>8</v>
      </c>
      <c r="W12" s="5">
        <v>64</v>
      </c>
      <c r="X12" s="33">
        <v>1459.3274169017413</v>
      </c>
      <c r="Y12" s="5">
        <v>56.490872650550905</v>
      </c>
      <c r="Z12" s="5">
        <v>6973.5981449011579</v>
      </c>
      <c r="AA12" s="35"/>
    </row>
    <row r="13" spans="2:27" x14ac:dyDescent="0.2">
      <c r="B13" s="4">
        <v>10</v>
      </c>
      <c r="C13" s="4">
        <v>948</v>
      </c>
      <c r="D13" s="23">
        <v>1083673.8685584611</v>
      </c>
      <c r="E13" s="33">
        <v>57.053885125000313</v>
      </c>
      <c r="F13" s="5">
        <v>10</v>
      </c>
      <c r="G13" s="23">
        <v>85</v>
      </c>
      <c r="H13" s="33">
        <v>1155.6655851979419</v>
      </c>
      <c r="I13" s="23">
        <v>33.643232782879146</v>
      </c>
      <c r="J13" s="5">
        <v>6391.5736763504374</v>
      </c>
      <c r="K13" s="31"/>
      <c r="L13" s="23">
        <v>1370946.814957923</v>
      </c>
      <c r="M13" s="33">
        <v>117.3991336250001</v>
      </c>
      <c r="N13" s="5">
        <v>12</v>
      </c>
      <c r="O13" s="5">
        <v>57</v>
      </c>
      <c r="P13" s="33">
        <v>539.19270596919068</v>
      </c>
      <c r="Q13" s="5">
        <v>17.030672138192944</v>
      </c>
      <c r="R13" s="5">
        <v>4792.4104543994763</v>
      </c>
      <c r="S13" s="31"/>
      <c r="T13" s="23">
        <v>1350800.7400819249</v>
      </c>
      <c r="U13" s="33">
        <v>75.733901209001488</v>
      </c>
      <c r="V13" s="5">
        <v>6</v>
      </c>
      <c r="W13" s="5">
        <v>56</v>
      </c>
      <c r="X13" s="33">
        <v>994.45765940537478</v>
      </c>
      <c r="Y13" s="5">
        <v>63.001458838381922</v>
      </c>
      <c r="Z13" s="5">
        <v>6537.0369401816961</v>
      </c>
      <c r="AA13" s="35"/>
    </row>
    <row r="14" spans="2:27" x14ac:dyDescent="0.2">
      <c r="B14" s="46" t="s">
        <v>3</v>
      </c>
      <c r="C14" s="47"/>
      <c r="D14" s="9">
        <f>MIN(D4:D13)</f>
        <v>1036858.477407056</v>
      </c>
      <c r="E14" s="22">
        <f>INDEX(E4:E13, MATCH($D$14, D4:D13, 0))</f>
        <v>73.219741999999314</v>
      </c>
      <c r="F14" s="9">
        <f>INDEX(F4:F13, MATCH($D$14, D4:D13, 0))</f>
        <v>10</v>
      </c>
      <c r="G14" s="9">
        <f>INDEX(G4:G13, MATCH($D$14, D4:D13, 0))</f>
        <v>81</v>
      </c>
      <c r="H14" s="22">
        <f>INDEX(H4:H13, MATCH($D$14, D4:D13, 0))</f>
        <v>812.69290792534503</v>
      </c>
      <c r="I14" s="22">
        <f>INDEX(I4:I13, MATCH($D$14, D4:D13, 0))</f>
        <v>31.530445798506104</v>
      </c>
      <c r="J14" s="22">
        <f>INDEX(J4:J13, MATCH($D$14, D4:D13, 0))</f>
        <v>5540.6428901828149</v>
      </c>
      <c r="K14" s="32" t="e">
        <f>(D14-$D$15)/$D$15</f>
        <v>#DIV/0!</v>
      </c>
      <c r="L14" s="16">
        <f>MIN(L4:L13)</f>
        <v>1370946.814957923</v>
      </c>
      <c r="M14" s="21">
        <f>INDEX(M4:M13, MATCH($L$14, L4:L13, 0))</f>
        <v>117.3991336250001</v>
      </c>
      <c r="N14" s="16">
        <f>INDEX(N4:N13, MATCH($L$14, L4:L13, 0))</f>
        <v>12</v>
      </c>
      <c r="O14" s="16">
        <f>INDEX(O4:O13, MATCH($L$14, L4:L13, 0))</f>
        <v>57</v>
      </c>
      <c r="P14" s="21">
        <f>INDEX(P4:P13, MATCH($L$14, L4:L13, 0))</f>
        <v>539.19270596919068</v>
      </c>
      <c r="Q14" s="21">
        <f>INDEX(Q4:Q13, MATCH($L$14, L4:L13, 0))</f>
        <v>17.030672138192944</v>
      </c>
      <c r="R14" s="21">
        <f>INDEX(R4:R13, MATCH($L$14, L4:L13, 0))</f>
        <v>4792.4104543994763</v>
      </c>
      <c r="S14" s="36" t="e">
        <f>(L14-$D$15)/$D$15</f>
        <v>#DIV/0!</v>
      </c>
      <c r="T14" s="38">
        <f>MIN(T4:T13)</f>
        <v>1269951.846617213</v>
      </c>
      <c r="U14" s="39">
        <f>INDEX(U4:U13, MATCH($T$14, T4:T13, 0))</f>
        <v>66.31045825000183</v>
      </c>
      <c r="V14" s="38">
        <f>INDEX(V4:V13, MATCH($T$14, T4:T13, 0))</f>
        <v>9</v>
      </c>
      <c r="W14" s="38">
        <f>INDEX(W4:W13, MATCH($T$14, T4:T13, 0))</f>
        <v>68</v>
      </c>
      <c r="X14" s="39">
        <f>INDEX(X4:X13, MATCH($T$14, T4:T13, 0))</f>
        <v>1236.7803059055461</v>
      </c>
      <c r="Y14" s="39">
        <f>INDEX(Y4:Y13, MATCH($T$14, T4:T13, 0))</f>
        <v>50.046396407879818</v>
      </c>
      <c r="Z14" s="39">
        <f>INDEX(Z4:Z13, MATCH($T$14, T4:T13, 0))</f>
        <v>6740.1428742979206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0.32221209049314514</v>
      </c>
      <c r="M15" s="45">
        <f t="shared" ref="M15:R15" si="0">(M14-E14)/E14</f>
        <v>0.60338086994353524</v>
      </c>
      <c r="N15" s="45">
        <f t="shared" si="0"/>
        <v>0.2</v>
      </c>
      <c r="O15" s="45">
        <f t="shared" si="0"/>
        <v>-0.29629629629629628</v>
      </c>
      <c r="P15" s="45">
        <f t="shared" si="0"/>
        <v>-0.33653573113410068</v>
      </c>
      <c r="Q15" s="45">
        <f t="shared" si="0"/>
        <v>-0.45986579932847482</v>
      </c>
      <c r="R15" s="45">
        <f t="shared" si="0"/>
        <v>-0.13504433521768636</v>
      </c>
      <c r="S15"/>
      <c r="T15" s="45">
        <f>(T14-D14)/D14</f>
        <v>0.22480731390948333</v>
      </c>
      <c r="U15" s="45">
        <f t="shared" ref="U15:Z15" si="1">(U14-E14)/E14</f>
        <v>-9.4363672436834717E-2</v>
      </c>
      <c r="V15" s="45">
        <f t="shared" si="1"/>
        <v>-0.1</v>
      </c>
      <c r="W15" s="45">
        <f>(W14-G14)/G14</f>
        <v>-0.16049382716049382</v>
      </c>
      <c r="X15" s="45">
        <f t="shared" si="1"/>
        <v>0.52182982507232401</v>
      </c>
      <c r="Y15" s="45">
        <f t="shared" si="1"/>
        <v>0.58724036849015915</v>
      </c>
      <c r="Z15" s="45">
        <f t="shared" si="1"/>
        <v>0.21649111987355096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28:C1048576">
    <cfRule type="duplicateValues" dxfId="89" priority="9"/>
    <cfRule type="duplicateValues" dxfId="88" priority="10"/>
  </conditionalFormatting>
  <conditionalFormatting sqref="C4:C13">
    <cfRule type="duplicateValues" dxfId="87" priority="3"/>
    <cfRule type="duplicateValues" dxfId="86" priority="4"/>
  </conditionalFormatting>
  <conditionalFormatting sqref="C14">
    <cfRule type="duplicateValues" dxfId="85" priority="5"/>
    <cfRule type="duplicateValues" dxfId="84" priority="6"/>
  </conditionalFormatting>
  <conditionalFormatting sqref="C15">
    <cfRule type="duplicateValues" dxfId="83" priority="7"/>
    <cfRule type="duplicateValues" dxfId="82" priority="8"/>
  </conditionalFormatting>
  <conditionalFormatting sqref="C17:C27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1367-D9E2-7E40-A369-A267A881D46C}">
  <sheetPr codeName="Sheet9"/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-0.98827571374575451</v>
      </c>
      <c r="J2" s="28" t="e">
        <f>(S14-J14)/J14</f>
        <v>#DIV/0!</v>
      </c>
      <c r="K2" s="28"/>
      <c r="L2" s="1" t="s">
        <v>19</v>
      </c>
      <c r="P2" s="1">
        <f>(P14-H14)/H14</f>
        <v>-0.39020027092824799</v>
      </c>
      <c r="R2" s="1">
        <f>(R14-J14)/J14</f>
        <v>-0.15406743598553924</v>
      </c>
      <c r="T2" s="1" t="s">
        <v>20</v>
      </c>
      <c r="X2" s="1">
        <f>(X14-P14)/P14</f>
        <v>0.7681453311147638</v>
      </c>
      <c r="Z2" s="1">
        <f>(Z14-R14)/R14</f>
        <v>0.26967831093591182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113</v>
      </c>
      <c r="D4" s="23">
        <v>1272656.653354821</v>
      </c>
      <c r="E4" s="33">
        <v>39.194546667000402</v>
      </c>
      <c r="F4" s="5">
        <v>12</v>
      </c>
      <c r="G4" s="23">
        <v>75</v>
      </c>
      <c r="H4" s="33">
        <v>1500.3233817798048</v>
      </c>
      <c r="I4" s="23">
        <v>22.515780287986178</v>
      </c>
      <c r="J4" s="5">
        <v>6363.2581994396405</v>
      </c>
      <c r="K4" s="31"/>
      <c r="L4" s="23">
        <v>1340373.467812673</v>
      </c>
      <c r="M4" s="33">
        <v>44.830821958999877</v>
      </c>
      <c r="N4" s="5">
        <v>18</v>
      </c>
      <c r="O4" s="5">
        <v>75</v>
      </c>
      <c r="P4" s="33">
        <v>1294.435042008834</v>
      </c>
      <c r="Q4" s="5">
        <v>14.86248039369951</v>
      </c>
      <c r="R4" s="5">
        <v>5918.7348499342306</v>
      </c>
      <c r="S4" s="31"/>
      <c r="T4" s="23">
        <v>1411335.269647564</v>
      </c>
      <c r="U4" s="33">
        <v>46.107839165997582</v>
      </c>
      <c r="V4" s="5">
        <v>5</v>
      </c>
      <c r="W4" s="5">
        <v>48</v>
      </c>
      <c r="X4" s="33">
        <v>619.10458166036869</v>
      </c>
      <c r="Y4" s="5">
        <v>60.10396831869658</v>
      </c>
      <c r="Z4" s="5">
        <v>5991.3899972453391</v>
      </c>
      <c r="AA4" s="35"/>
    </row>
    <row r="5" spans="2:27" x14ac:dyDescent="0.2">
      <c r="B5" s="4">
        <v>2</v>
      </c>
      <c r="C5" s="4">
        <v>311</v>
      </c>
      <c r="D5" s="23">
        <v>1145819.882502378</v>
      </c>
      <c r="E5" s="33">
        <v>52.18436995799857</v>
      </c>
      <c r="F5" s="5">
        <v>10</v>
      </c>
      <c r="G5" s="23">
        <v>84</v>
      </c>
      <c r="H5" s="33">
        <v>1623.8305854362084</v>
      </c>
      <c r="I5" s="23">
        <v>30.507309849484546</v>
      </c>
      <c r="J5" s="5">
        <v>6615.7812770702212</v>
      </c>
      <c r="K5" s="31"/>
      <c r="L5" s="23">
        <v>1325303.7711797799</v>
      </c>
      <c r="M5" s="33">
        <v>71.752250542002002</v>
      </c>
      <c r="N5" s="5">
        <v>12</v>
      </c>
      <c r="O5" s="5">
        <v>64</v>
      </c>
      <c r="P5" s="33">
        <v>949.76435469275123</v>
      </c>
      <c r="Q5" s="5">
        <v>18.260600386698922</v>
      </c>
      <c r="R5" s="5">
        <v>5424.2592692217477</v>
      </c>
      <c r="S5" s="31"/>
      <c r="T5" s="23">
        <v>1383984.9472687091</v>
      </c>
      <c r="U5" s="33">
        <v>64.350624624999909</v>
      </c>
      <c r="V5" s="5">
        <v>9</v>
      </c>
      <c r="W5" s="5">
        <v>64</v>
      </c>
      <c r="X5" s="33">
        <v>1820.8437031774358</v>
      </c>
      <c r="Y5" s="5">
        <v>44.560070326893438</v>
      </c>
      <c r="Z5" s="5">
        <v>7091.5966242923905</v>
      </c>
      <c r="AA5" s="35"/>
    </row>
    <row r="6" spans="2:27" x14ac:dyDescent="0.2">
      <c r="B6" s="4">
        <v>3</v>
      </c>
      <c r="C6" s="4">
        <v>455</v>
      </c>
      <c r="D6" s="23">
        <v>1090847.3489245661</v>
      </c>
      <c r="E6" s="33">
        <v>56.747528874999261</v>
      </c>
      <c r="F6" s="5">
        <v>10</v>
      </c>
      <c r="G6" s="23">
        <v>83</v>
      </c>
      <c r="H6" s="33">
        <v>1240.0892728475922</v>
      </c>
      <c r="I6" s="23">
        <v>29.857199634711002</v>
      </c>
      <c r="J6" s="5">
        <v>6029.1882067630713</v>
      </c>
      <c r="K6" s="31"/>
      <c r="L6" s="23">
        <v>1366377.05906349</v>
      </c>
      <c r="M6" s="33">
        <v>50.411688874999527</v>
      </c>
      <c r="N6" s="5">
        <v>16</v>
      </c>
      <c r="O6" s="5">
        <v>66</v>
      </c>
      <c r="P6" s="33">
        <v>854.33589169848074</v>
      </c>
      <c r="Q6" s="5">
        <v>14.776270109186274</v>
      </c>
      <c r="R6" s="5">
        <v>5263.8762369029291</v>
      </c>
      <c r="S6" s="31"/>
      <c r="T6" s="23">
        <v>1389223.7835698291</v>
      </c>
      <c r="U6" s="33">
        <v>36.898246875000041</v>
      </c>
      <c r="V6" s="5">
        <v>10</v>
      </c>
      <c r="W6" s="5">
        <v>65</v>
      </c>
      <c r="X6" s="33">
        <v>1694.4231445316077</v>
      </c>
      <c r="Y6" s="5">
        <v>42.261013997048131</v>
      </c>
      <c r="Z6" s="5">
        <v>7019.6280406821916</v>
      </c>
      <c r="AA6" s="35"/>
    </row>
    <row r="7" spans="2:27" x14ac:dyDescent="0.2">
      <c r="B7" s="4">
        <v>4</v>
      </c>
      <c r="C7" s="4">
        <v>580</v>
      </c>
      <c r="D7" s="23">
        <v>1162787.724859558</v>
      </c>
      <c r="E7" s="33">
        <v>39.685852333001087</v>
      </c>
      <c r="F7" s="5">
        <v>10</v>
      </c>
      <c r="G7" s="23">
        <v>86</v>
      </c>
      <c r="H7" s="33">
        <v>1750.7757577097987</v>
      </c>
      <c r="I7" s="23">
        <v>31.679328559232022</v>
      </c>
      <c r="J7" s="5">
        <v>6937.0379026302644</v>
      </c>
      <c r="K7" s="31"/>
      <c r="L7" s="23">
        <v>1372950.9553600419</v>
      </c>
      <c r="M7" s="33">
        <v>54.005687500000931</v>
      </c>
      <c r="N7" s="5">
        <v>11</v>
      </c>
      <c r="O7" s="5">
        <v>59</v>
      </c>
      <c r="P7" s="33">
        <v>754.34989014883797</v>
      </c>
      <c r="Q7" s="5">
        <v>18.736117232722094</v>
      </c>
      <c r="R7" s="5">
        <v>5524.9168858911808</v>
      </c>
      <c r="S7" s="31"/>
      <c r="T7" s="23">
        <v>1392167.371759753</v>
      </c>
      <c r="U7" s="33">
        <v>65.835925709001458</v>
      </c>
      <c r="V7" s="5">
        <v>6</v>
      </c>
      <c r="W7" s="5">
        <v>55</v>
      </c>
      <c r="X7" s="33">
        <v>1314.3940705462662</v>
      </c>
      <c r="Y7" s="5">
        <v>60.8798559816561</v>
      </c>
      <c r="Z7" s="5">
        <v>6630.1947872857991</v>
      </c>
      <c r="AA7" s="35"/>
    </row>
    <row r="8" spans="2:27" x14ac:dyDescent="0.2">
      <c r="B8" s="4">
        <v>5</v>
      </c>
      <c r="C8" s="4">
        <v>601</v>
      </c>
      <c r="D8" s="23">
        <v>1150578.007031498</v>
      </c>
      <c r="E8" s="33">
        <v>31.572325542001639</v>
      </c>
      <c r="F8" s="5">
        <v>11</v>
      </c>
      <c r="G8" s="23">
        <v>89</v>
      </c>
      <c r="H8" s="33">
        <v>1945.4887963849953</v>
      </c>
      <c r="I8" s="23">
        <v>30.813174712069383</v>
      </c>
      <c r="J8" s="5">
        <v>6868.9287598714154</v>
      </c>
      <c r="K8" s="31"/>
      <c r="L8" s="23">
        <v>1403962.666417432</v>
      </c>
      <c r="M8" s="33">
        <v>58.356061500002397</v>
      </c>
      <c r="N8" s="5">
        <v>13</v>
      </c>
      <c r="O8" s="5">
        <v>64</v>
      </c>
      <c r="P8" s="33">
        <v>1342.2482099264182</v>
      </c>
      <c r="Q8" s="5">
        <v>16.28398286229158</v>
      </c>
      <c r="R8" s="5">
        <v>5975.5307983598677</v>
      </c>
      <c r="S8" s="31"/>
      <c r="T8" s="23">
        <v>1511377.7439706901</v>
      </c>
      <c r="U8" s="33">
        <v>46.467141417000683</v>
      </c>
      <c r="V8" s="5">
        <v>6</v>
      </c>
      <c r="W8" s="5">
        <v>50</v>
      </c>
      <c r="X8" s="33">
        <v>1893.4984040753975</v>
      </c>
      <c r="Y8" s="5">
        <v>56.466243441924355</v>
      </c>
      <c r="Z8" s="5">
        <v>7395.9503836833455</v>
      </c>
      <c r="AA8" s="35"/>
    </row>
    <row r="9" spans="2:27" x14ac:dyDescent="0.2">
      <c r="B9" s="4">
        <v>6</v>
      </c>
      <c r="C9" s="4">
        <v>790</v>
      </c>
      <c r="D9" s="23">
        <v>1070399.2841828449</v>
      </c>
      <c r="E9" s="33">
        <v>40.449762166001157</v>
      </c>
      <c r="F9" s="5">
        <v>10</v>
      </c>
      <c r="G9" s="23">
        <v>87</v>
      </c>
      <c r="H9" s="33">
        <v>1557.5020935783284</v>
      </c>
      <c r="I9" s="23">
        <v>31.589483963672471</v>
      </c>
      <c r="J9" s="5">
        <v>6412.1651062590172</v>
      </c>
      <c r="K9" s="31"/>
      <c r="L9" s="23">
        <v>1430828.397725295</v>
      </c>
      <c r="M9" s="33">
        <v>58.855243124999113</v>
      </c>
      <c r="N9" s="5">
        <v>15</v>
      </c>
      <c r="O9" s="5">
        <v>71</v>
      </c>
      <c r="P9" s="33">
        <v>1873.7125920812639</v>
      </c>
      <c r="Q9" s="5">
        <v>16.071276817998275</v>
      </c>
      <c r="R9" s="5">
        <v>6690.4656870455829</v>
      </c>
      <c r="S9" s="31"/>
      <c r="T9" s="23">
        <v>1402209.7362528259</v>
      </c>
      <c r="U9" s="33">
        <v>42.337372999998479</v>
      </c>
      <c r="V9" s="5">
        <v>6</v>
      </c>
      <c r="W9" s="5">
        <v>54</v>
      </c>
      <c r="X9" s="33">
        <v>1221.9188106545455</v>
      </c>
      <c r="Y9" s="5">
        <v>62.019663656592762</v>
      </c>
      <c r="Z9" s="5">
        <v>6544.2158369633298</v>
      </c>
      <c r="AA9" s="35"/>
    </row>
    <row r="10" spans="2:27" x14ac:dyDescent="0.2">
      <c r="B10" s="4">
        <v>7</v>
      </c>
      <c r="C10" s="4">
        <v>983</v>
      </c>
      <c r="D10" s="23">
        <v>1139147.4890408791</v>
      </c>
      <c r="E10" s="33">
        <v>35.576899333000263</v>
      </c>
      <c r="F10" s="5">
        <v>10</v>
      </c>
      <c r="G10" s="23">
        <v>86</v>
      </c>
      <c r="H10" s="33">
        <v>1734.401318302419</v>
      </c>
      <c r="I10" s="23">
        <v>31.839465934640437</v>
      </c>
      <c r="J10" s="5">
        <v>6773.5098871563978</v>
      </c>
      <c r="K10" s="31"/>
      <c r="L10" s="23">
        <v>1365581.2570702629</v>
      </c>
      <c r="M10" s="33">
        <v>73.350257083999168</v>
      </c>
      <c r="N10" s="5">
        <v>15</v>
      </c>
      <c r="O10" s="5">
        <v>68</v>
      </c>
      <c r="P10" s="33">
        <v>1203.3107713598426</v>
      </c>
      <c r="Q10" s="5">
        <v>15.753194719769807</v>
      </c>
      <c r="R10" s="5">
        <v>5799.8510588892195</v>
      </c>
      <c r="S10" s="31"/>
      <c r="T10" s="23">
        <v>1338430.2244026379</v>
      </c>
      <c r="U10" s="33">
        <v>72.069334249998064</v>
      </c>
      <c r="V10" s="5">
        <v>10</v>
      </c>
      <c r="W10" s="5">
        <v>67</v>
      </c>
      <c r="X10" s="33">
        <v>1679.3214094092145</v>
      </c>
      <c r="Y10" s="5">
        <v>41.866039687654833</v>
      </c>
      <c r="Z10" s="5">
        <v>6887.064347023932</v>
      </c>
      <c r="AA10" s="35"/>
    </row>
    <row r="11" spans="2:27" x14ac:dyDescent="0.2">
      <c r="B11" s="4">
        <v>8</v>
      </c>
      <c r="C11" s="4">
        <v>300</v>
      </c>
      <c r="D11" s="23">
        <v>1151356.387875906</v>
      </c>
      <c r="E11" s="33">
        <v>76.165040333000434</v>
      </c>
      <c r="F11" s="5">
        <v>11</v>
      </c>
      <c r="G11" s="23">
        <v>88</v>
      </c>
      <c r="H11" s="33">
        <v>1880.2922678726854</v>
      </c>
      <c r="I11" s="23">
        <v>30.451563440598328</v>
      </c>
      <c r="J11" s="5">
        <v>6949.3434748085365</v>
      </c>
      <c r="K11" s="31"/>
      <c r="L11" s="23">
        <v>1366841.517139005</v>
      </c>
      <c r="M11" s="33">
        <v>85.62789608300227</v>
      </c>
      <c r="N11" s="5">
        <v>11</v>
      </c>
      <c r="O11" s="5">
        <v>61</v>
      </c>
      <c r="P11" s="33">
        <v>929.99135322649113</v>
      </c>
      <c r="Q11" s="5">
        <v>19.620857369089745</v>
      </c>
      <c r="R11" s="5">
        <v>5752.3282460714918</v>
      </c>
      <c r="S11" s="31"/>
      <c r="T11" s="23">
        <v>1473671.5954824029</v>
      </c>
      <c r="U11" s="33">
        <v>94.142170167000586</v>
      </c>
      <c r="V11" s="5">
        <v>5</v>
      </c>
      <c r="W11" s="5">
        <v>47</v>
      </c>
      <c r="X11" s="33">
        <v>1151.1262659729086</v>
      </c>
      <c r="Y11" s="5">
        <v>61.776625527378485</v>
      </c>
      <c r="Z11" s="5">
        <v>6772.7042447354343</v>
      </c>
      <c r="AA11" s="35"/>
    </row>
    <row r="12" spans="2:27" x14ac:dyDescent="0.2">
      <c r="B12" s="4">
        <v>9</v>
      </c>
      <c r="C12" s="4">
        <v>378</v>
      </c>
      <c r="D12" s="23">
        <v>1166700.473367827</v>
      </c>
      <c r="E12" s="33">
        <v>71.646151582999664</v>
      </c>
      <c r="F12" s="5">
        <v>9</v>
      </c>
      <c r="G12" s="23">
        <v>81</v>
      </c>
      <c r="H12" s="33">
        <v>1716.413425302027</v>
      </c>
      <c r="I12" s="23">
        <v>34.168843629643852</v>
      </c>
      <c r="J12" s="5">
        <v>6657.1576925829186</v>
      </c>
      <c r="K12" s="31"/>
      <c r="L12" s="23">
        <v>1398103.363871126</v>
      </c>
      <c r="M12" s="33">
        <v>53.257195207999757</v>
      </c>
      <c r="N12" s="5">
        <v>19</v>
      </c>
      <c r="O12" s="5">
        <v>75</v>
      </c>
      <c r="P12" s="33">
        <v>1451.4355447896044</v>
      </c>
      <c r="Q12" s="5">
        <v>14.402100486511884</v>
      </c>
      <c r="R12" s="5">
        <v>6254.9603356372927</v>
      </c>
      <c r="S12" s="31"/>
      <c r="T12" s="23">
        <v>1371852.031950857</v>
      </c>
      <c r="U12" s="33">
        <v>37.115329874999588</v>
      </c>
      <c r="V12" s="5">
        <v>7</v>
      </c>
      <c r="W12" s="5">
        <v>58</v>
      </c>
      <c r="X12" s="33">
        <v>1277.9516651318133</v>
      </c>
      <c r="Y12" s="5">
        <v>57.551441005251071</v>
      </c>
      <c r="Z12" s="5">
        <v>6720.6075172124047</v>
      </c>
      <c r="AA12" s="35"/>
    </row>
    <row r="13" spans="2:27" x14ac:dyDescent="0.2">
      <c r="B13" s="4">
        <v>10</v>
      </c>
      <c r="C13" s="4">
        <v>994</v>
      </c>
      <c r="D13" s="23">
        <v>1086672.22434937</v>
      </c>
      <c r="E13" s="33">
        <v>60.457584124998903</v>
      </c>
      <c r="F13" s="5">
        <v>11</v>
      </c>
      <c r="G13" s="23">
        <v>87</v>
      </c>
      <c r="H13" s="33">
        <v>1502.7269945529713</v>
      </c>
      <c r="I13" s="23">
        <v>28.590689035299341</v>
      </c>
      <c r="J13" s="5">
        <v>6334.559681946479</v>
      </c>
      <c r="K13" s="31"/>
      <c r="L13" s="23">
        <v>1373298.5269906649</v>
      </c>
      <c r="M13" s="33">
        <v>47.638721874998737</v>
      </c>
      <c r="N13" s="5">
        <v>9</v>
      </c>
      <c r="O13" s="5">
        <v>51</v>
      </c>
      <c r="P13" s="33">
        <v>321.30495878700299</v>
      </c>
      <c r="Q13" s="5">
        <v>20.220730953189193</v>
      </c>
      <c r="R13" s="5">
        <v>4454.7880577619344</v>
      </c>
      <c r="S13" s="31"/>
      <c r="T13" s="23">
        <v>1379380.3785280441</v>
      </c>
      <c r="U13" s="33">
        <v>37.518844165999333</v>
      </c>
      <c r="V13" s="5">
        <v>9</v>
      </c>
      <c r="W13" s="5">
        <v>62</v>
      </c>
      <c r="X13" s="33">
        <v>1485.2325855311519</v>
      </c>
      <c r="Y13" s="5">
        <v>40.372298513405063</v>
      </c>
      <c r="Z13" s="5">
        <v>6694.3343712493579</v>
      </c>
      <c r="AA13" s="35"/>
    </row>
    <row r="14" spans="2:27" x14ac:dyDescent="0.2">
      <c r="B14" s="46" t="s">
        <v>3</v>
      </c>
      <c r="C14" s="47"/>
      <c r="D14" s="9">
        <f>MIN(D4:D13)</f>
        <v>1070399.2841828449</v>
      </c>
      <c r="E14" s="22">
        <f>INDEX(E4:E13, MATCH($D$14, D4:D13, 0))</f>
        <v>40.449762166001157</v>
      </c>
      <c r="F14" s="9">
        <f>INDEX(F4:F13, MATCH($D$14, D4:D13, 0))</f>
        <v>10</v>
      </c>
      <c r="G14" s="9">
        <f>INDEX(G4:G13, MATCH($D$14, D4:D13, 0))</f>
        <v>87</v>
      </c>
      <c r="H14" s="22">
        <f>INDEX(H4:H13, MATCH($D$14, D4:D13, 0))</f>
        <v>1557.5020935783284</v>
      </c>
      <c r="I14" s="22">
        <f>INDEX(I4:I13, MATCH($D$14, D4:D13, 0))</f>
        <v>31.589483963672471</v>
      </c>
      <c r="J14" s="22">
        <f>INDEX(J4:J13, MATCH($D$14, D4:D13, 0))</f>
        <v>6412.1651062590172</v>
      </c>
      <c r="K14" s="32" t="e">
        <f>(D14-$D$15)/$D$15</f>
        <v>#DIV/0!</v>
      </c>
      <c r="L14" s="16">
        <f>MIN(L4:L13)</f>
        <v>1325303.7711797799</v>
      </c>
      <c r="M14" s="21">
        <f>INDEX(M4:M13, MATCH($L$14, L4:L13, 0))</f>
        <v>71.752250542002002</v>
      </c>
      <c r="N14" s="16">
        <f>INDEX(N4:N13, MATCH($L$14, L4:L13, 0))</f>
        <v>12</v>
      </c>
      <c r="O14" s="16">
        <f>INDEX(O4:O13, MATCH($L$14, L4:L13, 0))</f>
        <v>64</v>
      </c>
      <c r="P14" s="21">
        <f>INDEX(P4:P13, MATCH($L$14, L4:L13, 0))</f>
        <v>949.76435469275123</v>
      </c>
      <c r="Q14" s="21">
        <f>INDEX(Q4:Q13, MATCH($L$14, L4:L13, 0))</f>
        <v>18.260600386698922</v>
      </c>
      <c r="R14" s="21">
        <f>INDEX(R4:R13, MATCH($L$14, L4:L13, 0))</f>
        <v>5424.2592692217477</v>
      </c>
      <c r="S14" s="36" t="e">
        <f>(L14-$D$15)/$D$15</f>
        <v>#DIV/0!</v>
      </c>
      <c r="T14" s="38">
        <f>MIN(T4:T13)</f>
        <v>1338430.2244026379</v>
      </c>
      <c r="U14" s="39">
        <f>INDEX(U4:U13, MATCH($T$14, T4:T13, 0))</f>
        <v>72.069334249998064</v>
      </c>
      <c r="V14" s="38">
        <f>INDEX(V4:V13, MATCH($T$14, T4:T13, 0))</f>
        <v>10</v>
      </c>
      <c r="W14" s="38">
        <f>INDEX(W4:W13, MATCH($T$14, T4:T13, 0))</f>
        <v>67</v>
      </c>
      <c r="X14" s="39">
        <f>INDEX(X4:X13, MATCH($T$14, T4:T13, 0))</f>
        <v>1679.3214094092145</v>
      </c>
      <c r="Y14" s="39">
        <f>INDEX(Y4:Y13, MATCH($T$14, T4:T13, 0))</f>
        <v>41.866039687654833</v>
      </c>
      <c r="Z14" s="39">
        <f>INDEX(Z4:Z13, MATCH($T$14, T4:T13, 0))</f>
        <v>6887.064347023932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0.23813962767317431</v>
      </c>
      <c r="M15" s="45">
        <f t="shared" ref="M15:R15" si="0">(M14-E14)/E14</f>
        <v>0.7738608758078489</v>
      </c>
      <c r="N15" s="45">
        <f t="shared" si="0"/>
        <v>0.2</v>
      </c>
      <c r="O15" s="45">
        <f t="shared" si="0"/>
        <v>-0.26436781609195403</v>
      </c>
      <c r="P15" s="45">
        <f t="shared" si="0"/>
        <v>-0.39020027092824799</v>
      </c>
      <c r="Q15" s="45">
        <f t="shared" si="0"/>
        <v>-0.42194052907928492</v>
      </c>
      <c r="R15" s="45">
        <f t="shared" si="0"/>
        <v>-0.15406743598553924</v>
      </c>
      <c r="S15"/>
      <c r="T15" s="45">
        <f>(T14-D14)/D14</f>
        <v>0.2504027648191216</v>
      </c>
      <c r="U15" s="45">
        <f t="shared" ref="U15:Z15" si="1">(U14-E14)/E14</f>
        <v>0.78169982691699968</v>
      </c>
      <c r="V15" s="45">
        <f t="shared" si="1"/>
        <v>0</v>
      </c>
      <c r="W15" s="45">
        <f>(W14-G14)/G14</f>
        <v>-0.22988505747126436</v>
      </c>
      <c r="X15" s="45">
        <f t="shared" si="1"/>
        <v>7.8214543873266193E-2</v>
      </c>
      <c r="Y15" s="45">
        <f t="shared" si="1"/>
        <v>0.32531572012383231</v>
      </c>
      <c r="Z15" s="45">
        <f t="shared" si="1"/>
        <v>7.4062229043565644E-2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28:C1048576">
    <cfRule type="duplicateValues" dxfId="81" priority="9"/>
    <cfRule type="duplicateValues" dxfId="80" priority="10"/>
  </conditionalFormatting>
  <conditionalFormatting sqref="C4:C13">
    <cfRule type="duplicateValues" dxfId="79" priority="3"/>
    <cfRule type="duplicateValues" dxfId="78" priority="4"/>
  </conditionalFormatting>
  <conditionalFormatting sqref="C14">
    <cfRule type="duplicateValues" dxfId="77" priority="5"/>
    <cfRule type="duplicateValues" dxfId="76" priority="6"/>
  </conditionalFormatting>
  <conditionalFormatting sqref="C15">
    <cfRule type="duplicateValues" dxfId="75" priority="7"/>
    <cfRule type="duplicateValues" dxfId="74" priority="8"/>
  </conditionalFormatting>
  <conditionalFormatting sqref="C17:C27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4618-4C91-4D40-A0F8-461B96500F95}">
  <sheetPr codeName="Sheet10"/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-0.98778433247075059</v>
      </c>
      <c r="J2" s="28" t="e">
        <f>(S14-J14)/J14</f>
        <v>#DIV/0!</v>
      </c>
      <c r="K2" s="28"/>
      <c r="L2" s="1" t="s">
        <v>19</v>
      </c>
      <c r="P2" s="1">
        <f>(P14-H14)/H14</f>
        <v>-0.38452422409045806</v>
      </c>
      <c r="R2" s="1">
        <f>(R14-J14)/J14</f>
        <v>-0.18919663370045031</v>
      </c>
      <c r="T2" s="1" t="s">
        <v>20</v>
      </c>
      <c r="X2" s="1">
        <f>(X14-P14)/P14</f>
        <v>0.28807688627807831</v>
      </c>
      <c r="Z2" s="1">
        <f>(Z14-R14)/R14</f>
        <v>0.20142400485685699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128</v>
      </c>
      <c r="D4" s="23">
        <v>1208347.6983534291</v>
      </c>
      <c r="E4" s="33">
        <v>35.618006083999717</v>
      </c>
      <c r="F4" s="5">
        <v>9</v>
      </c>
      <c r="G4" s="23">
        <v>76</v>
      </c>
      <c r="H4" s="33">
        <v>1409.7818324988682</v>
      </c>
      <c r="I4" s="23">
        <v>31.665785504446578</v>
      </c>
      <c r="J4" s="5">
        <v>6860.7561427556338</v>
      </c>
      <c r="K4" s="31"/>
      <c r="L4" s="23">
        <v>1552243.533279577</v>
      </c>
      <c r="M4" s="33">
        <v>49.880062165997508</v>
      </c>
      <c r="N4" s="5">
        <v>8</v>
      </c>
      <c r="O4" s="5">
        <v>45</v>
      </c>
      <c r="P4" s="33">
        <v>1200.7398827847412</v>
      </c>
      <c r="Q4" s="5">
        <v>20.676136686668986</v>
      </c>
      <c r="R4" s="5">
        <v>6262.8512679804026</v>
      </c>
      <c r="S4" s="31"/>
      <c r="T4" s="23">
        <v>1510335.248349973</v>
      </c>
      <c r="U4" s="33">
        <v>47.278880166999443</v>
      </c>
      <c r="V4" s="5">
        <v>5</v>
      </c>
      <c r="W4" s="5">
        <v>43</v>
      </c>
      <c r="X4" s="33">
        <v>1030.9501207172557</v>
      </c>
      <c r="Y4" s="5">
        <v>58.018620502252723</v>
      </c>
      <c r="Z4" s="5">
        <v>6766.1145940963097</v>
      </c>
      <c r="AA4" s="35"/>
    </row>
    <row r="5" spans="2:27" x14ac:dyDescent="0.2">
      <c r="B5" s="4">
        <v>2</v>
      </c>
      <c r="C5" s="4">
        <v>225</v>
      </c>
      <c r="D5" s="23">
        <v>1236481.5724620039</v>
      </c>
      <c r="E5" s="33">
        <v>40.404951958000311</v>
      </c>
      <c r="F5" s="5">
        <v>10</v>
      </c>
      <c r="G5" s="23">
        <v>77</v>
      </c>
      <c r="H5" s="33">
        <v>1661.9489576034027</v>
      </c>
      <c r="I5" s="23">
        <v>29.537887275984918</v>
      </c>
      <c r="J5" s="5">
        <v>6870.2823366846305</v>
      </c>
      <c r="K5" s="31"/>
      <c r="L5" s="23">
        <v>1567118.993108785</v>
      </c>
      <c r="M5" s="33">
        <v>59.878513917003147</v>
      </c>
      <c r="N5" s="5">
        <v>8</v>
      </c>
      <c r="O5" s="5">
        <v>44</v>
      </c>
      <c r="P5" s="33">
        <v>1131.1903468926018</v>
      </c>
      <c r="Q5" s="5">
        <v>20.313645594837368</v>
      </c>
      <c r="R5" s="5">
        <v>6187.5141858446113</v>
      </c>
      <c r="S5" s="31"/>
      <c r="T5" s="23">
        <v>1475535.9721150319</v>
      </c>
      <c r="U5" s="33">
        <v>180.9421392080003</v>
      </c>
      <c r="V5" s="5">
        <v>6</v>
      </c>
      <c r="W5" s="5">
        <v>46</v>
      </c>
      <c r="X5" s="33">
        <v>1117.647011770589</v>
      </c>
      <c r="Y5" s="5">
        <v>55.783684807201588</v>
      </c>
      <c r="Z5" s="5">
        <v>6683.190357331745</v>
      </c>
      <c r="AA5" s="35"/>
    </row>
    <row r="6" spans="2:27" x14ac:dyDescent="0.2">
      <c r="B6" s="4">
        <v>3</v>
      </c>
      <c r="C6" s="4">
        <v>287</v>
      </c>
      <c r="D6" s="23">
        <v>1284067.51112126</v>
      </c>
      <c r="E6" s="33">
        <v>33.12623079200057</v>
      </c>
      <c r="F6" s="5">
        <v>8</v>
      </c>
      <c r="G6" s="23">
        <v>68</v>
      </c>
      <c r="H6" s="33">
        <v>1361.2739798832463</v>
      </c>
      <c r="I6" s="23">
        <v>31.015512050510146</v>
      </c>
      <c r="J6" s="5">
        <v>6664.2362998194458</v>
      </c>
      <c r="K6" s="31"/>
      <c r="L6" s="23">
        <v>1550119.3665586819</v>
      </c>
      <c r="M6" s="33">
        <v>80.277301709000312</v>
      </c>
      <c r="N6" s="5">
        <v>9</v>
      </c>
      <c r="O6" s="5">
        <v>43</v>
      </c>
      <c r="P6" s="33">
        <v>548.88842896685151</v>
      </c>
      <c r="Q6" s="5">
        <v>17.621927755058067</v>
      </c>
      <c r="R6" s="5">
        <v>5600.6286166950267</v>
      </c>
      <c r="S6" s="31"/>
      <c r="T6" s="23">
        <v>1612659.684157226</v>
      </c>
      <c r="U6" s="33">
        <v>58.729363582999213</v>
      </c>
      <c r="V6" s="5">
        <v>5</v>
      </c>
      <c r="W6" s="5">
        <v>33</v>
      </c>
      <c r="X6" s="33">
        <v>336.59887827457987</v>
      </c>
      <c r="Y6" s="5">
        <v>41.395529842717977</v>
      </c>
      <c r="Z6" s="5">
        <v>6089.3585762426728</v>
      </c>
      <c r="AA6" s="35"/>
    </row>
    <row r="7" spans="2:27" x14ac:dyDescent="0.2">
      <c r="B7" s="4">
        <v>4</v>
      </c>
      <c r="C7" s="4">
        <v>340</v>
      </c>
      <c r="D7" s="23">
        <v>1316683.119221763</v>
      </c>
      <c r="E7" s="33">
        <v>44.75893379199988</v>
      </c>
      <c r="F7" s="5">
        <v>10</v>
      </c>
      <c r="G7" s="23">
        <v>68</v>
      </c>
      <c r="H7" s="33">
        <v>1328.7979311377032</v>
      </c>
      <c r="I7" s="23">
        <v>24.302223556323092</v>
      </c>
      <c r="J7" s="5">
        <v>6707.6762125983387</v>
      </c>
      <c r="K7" s="31"/>
      <c r="L7" s="23">
        <v>1546332.58942445</v>
      </c>
      <c r="M7" s="33">
        <v>82.167769540999871</v>
      </c>
      <c r="N7" s="5">
        <v>8</v>
      </c>
      <c r="O7" s="5">
        <v>43</v>
      </c>
      <c r="P7" s="33">
        <v>827.87843340254278</v>
      </c>
      <c r="Q7" s="5">
        <v>18.14798754771196</v>
      </c>
      <c r="R7" s="5">
        <v>5851.0176039860344</v>
      </c>
      <c r="S7" s="31"/>
      <c r="T7" s="23">
        <v>1495174.8594287911</v>
      </c>
      <c r="U7" s="33">
        <v>45.246693124998266</v>
      </c>
      <c r="V7" s="5">
        <v>5</v>
      </c>
      <c r="W7" s="5">
        <v>42</v>
      </c>
      <c r="X7" s="33">
        <v>649.49657917406273</v>
      </c>
      <c r="Y7" s="5">
        <v>53.848787760820073</v>
      </c>
      <c r="Z7" s="5">
        <v>6259.1226656200124</v>
      </c>
      <c r="AA7" s="35"/>
    </row>
    <row r="8" spans="2:27" x14ac:dyDescent="0.2">
      <c r="B8" s="4">
        <v>5</v>
      </c>
      <c r="C8" s="4">
        <v>446</v>
      </c>
      <c r="D8" s="23">
        <v>1223086.7768763839</v>
      </c>
      <c r="E8" s="33">
        <v>52.569964000000247</v>
      </c>
      <c r="F8" s="5">
        <v>10</v>
      </c>
      <c r="G8" s="23">
        <v>76</v>
      </c>
      <c r="H8" s="33">
        <v>1451.7234906829538</v>
      </c>
      <c r="I8" s="23">
        <v>29.642508462614451</v>
      </c>
      <c r="J8" s="5">
        <v>6831.4997370932051</v>
      </c>
      <c r="K8" s="31"/>
      <c r="L8" s="23">
        <v>1576582.813086678</v>
      </c>
      <c r="M8" s="33">
        <v>79.162076832999446</v>
      </c>
      <c r="N8" s="5">
        <v>6</v>
      </c>
      <c r="O8" s="5">
        <v>36</v>
      </c>
      <c r="P8" s="33">
        <v>254.21561513000245</v>
      </c>
      <c r="Q8" s="5">
        <v>22.500929908023803</v>
      </c>
      <c r="R8" s="5">
        <v>5450.7984158175568</v>
      </c>
      <c r="S8" s="31"/>
      <c r="T8" s="23">
        <v>1493569.420292597</v>
      </c>
      <c r="U8" s="33">
        <v>72.076456040998892</v>
      </c>
      <c r="V8" s="5">
        <v>6</v>
      </c>
      <c r="W8" s="5">
        <v>45</v>
      </c>
      <c r="X8" s="33">
        <v>1201.2079728062311</v>
      </c>
      <c r="Y8" s="5">
        <v>58.172054565168196</v>
      </c>
      <c r="Z8" s="5">
        <v>6815.2644364011812</v>
      </c>
      <c r="AA8" s="35"/>
    </row>
    <row r="9" spans="2:27" x14ac:dyDescent="0.2">
      <c r="B9" s="4">
        <v>6</v>
      </c>
      <c r="C9" s="4">
        <v>693</v>
      </c>
      <c r="D9" s="23">
        <v>1395968.4756444569</v>
      </c>
      <c r="E9" s="33">
        <v>33.693084999998973</v>
      </c>
      <c r="F9" s="5">
        <v>11</v>
      </c>
      <c r="G9" s="23">
        <v>63</v>
      </c>
      <c r="H9" s="33">
        <v>1461.1812267843973</v>
      </c>
      <c r="I9" s="23">
        <v>20.62382296725767</v>
      </c>
      <c r="J9" s="5">
        <v>6600.5837670833707</v>
      </c>
      <c r="K9" s="31"/>
      <c r="L9" s="23">
        <v>1580982.3556283021</v>
      </c>
      <c r="M9" s="33">
        <v>81.886015459000191</v>
      </c>
      <c r="N9" s="5">
        <v>7</v>
      </c>
      <c r="O9" s="5">
        <v>38</v>
      </c>
      <c r="P9" s="33">
        <v>660.07103173795281</v>
      </c>
      <c r="Q9" s="5">
        <v>20.968537193687251</v>
      </c>
      <c r="R9" s="5">
        <v>5342.840750105549</v>
      </c>
      <c r="S9" s="31"/>
      <c r="T9" s="23">
        <v>1541555.294686744</v>
      </c>
      <c r="U9" s="33">
        <v>62.634593333998048</v>
      </c>
      <c r="V9" s="5">
        <v>5</v>
      </c>
      <c r="W9" s="5">
        <v>38</v>
      </c>
      <c r="X9" s="33">
        <v>576.86949906127984</v>
      </c>
      <c r="Y9" s="5">
        <v>55.645565127651459</v>
      </c>
      <c r="Z9" s="5">
        <v>6254.2764135156094</v>
      </c>
      <c r="AA9" s="35"/>
    </row>
    <row r="10" spans="2:27" x14ac:dyDescent="0.2">
      <c r="B10" s="4">
        <v>7</v>
      </c>
      <c r="C10" s="4">
        <v>781</v>
      </c>
      <c r="D10" s="23">
        <v>1254514.540772229</v>
      </c>
      <c r="E10" s="33">
        <v>31.082178874999951</v>
      </c>
      <c r="F10" s="5">
        <v>10</v>
      </c>
      <c r="G10" s="23">
        <v>79</v>
      </c>
      <c r="H10" s="33">
        <v>1973.570529643278</v>
      </c>
      <c r="I10" s="23">
        <v>31.434806664398746</v>
      </c>
      <c r="J10" s="5">
        <v>7374.1338759002401</v>
      </c>
      <c r="K10" s="31"/>
      <c r="L10" s="23">
        <v>1647251.8787969709</v>
      </c>
      <c r="M10" s="33">
        <v>56.421879000001347</v>
      </c>
      <c r="N10" s="5">
        <v>6</v>
      </c>
      <c r="O10" s="5">
        <v>29</v>
      </c>
      <c r="P10" s="33">
        <v>8.388463294147094</v>
      </c>
      <c r="Q10" s="5">
        <v>17.577720443581871</v>
      </c>
      <c r="R10" s="5">
        <v>4347.722635930144</v>
      </c>
      <c r="S10" s="31"/>
      <c r="T10" s="23">
        <v>1494889.2939309599</v>
      </c>
      <c r="U10" s="33">
        <v>57.234067500001402</v>
      </c>
      <c r="V10" s="5">
        <v>5</v>
      </c>
      <c r="W10" s="5">
        <v>42</v>
      </c>
      <c r="X10" s="33">
        <v>649.49657917406273</v>
      </c>
      <c r="Y10" s="5">
        <v>53.346405679490623</v>
      </c>
      <c r="Z10" s="5">
        <v>6236.7996766804818</v>
      </c>
      <c r="AA10" s="35"/>
    </row>
    <row r="11" spans="2:27" x14ac:dyDescent="0.2">
      <c r="B11" s="4">
        <v>8</v>
      </c>
      <c r="C11" s="4">
        <v>911</v>
      </c>
      <c r="D11" s="23">
        <v>1288847.814704797</v>
      </c>
      <c r="E11" s="33">
        <v>35.143771791999818</v>
      </c>
      <c r="F11" s="5">
        <v>10</v>
      </c>
      <c r="G11" s="23">
        <v>70</v>
      </c>
      <c r="H11" s="33">
        <v>1435.1773400056943</v>
      </c>
      <c r="I11" s="23">
        <v>25.768749719594734</v>
      </c>
      <c r="J11" s="5">
        <v>6585.660280232426</v>
      </c>
      <c r="K11" s="31"/>
      <c r="L11" s="23">
        <v>1499676.9851678209</v>
      </c>
      <c r="M11" s="33">
        <v>57.978233457997703</v>
      </c>
      <c r="N11" s="5">
        <v>10</v>
      </c>
      <c r="O11" s="5">
        <v>49</v>
      </c>
      <c r="P11" s="33">
        <v>867.6865672204168</v>
      </c>
      <c r="Q11" s="5">
        <v>17.221426154582154</v>
      </c>
      <c r="R11" s="5">
        <v>5562.7241759065819</v>
      </c>
      <c r="S11" s="31"/>
      <c r="T11" s="23">
        <v>1605654.646604402</v>
      </c>
      <c r="U11" s="33">
        <v>47.125522165999428</v>
      </c>
      <c r="V11" s="5">
        <v>5</v>
      </c>
      <c r="W11" s="5">
        <v>34</v>
      </c>
      <c r="X11" s="33">
        <v>734.54249252648685</v>
      </c>
      <c r="Y11" s="5">
        <v>51.047245505224438</v>
      </c>
      <c r="Z11" s="5">
        <v>6222.5399853980089</v>
      </c>
      <c r="AA11" s="35"/>
    </row>
    <row r="12" spans="2:27" x14ac:dyDescent="0.2">
      <c r="B12" s="4">
        <v>9</v>
      </c>
      <c r="C12" s="4">
        <v>941</v>
      </c>
      <c r="D12" s="23">
        <v>1302856.4126945119</v>
      </c>
      <c r="E12" s="33">
        <v>46.563288166998973</v>
      </c>
      <c r="F12" s="5">
        <v>10</v>
      </c>
      <c r="G12" s="23">
        <v>84</v>
      </c>
      <c r="H12" s="33">
        <v>2609.6202053633015</v>
      </c>
      <c r="I12" s="23">
        <v>33.309414720289041</v>
      </c>
      <c r="J12" s="5">
        <v>7859.4771371069146</v>
      </c>
      <c r="K12" s="31"/>
      <c r="L12" s="23">
        <v>1573081.3631446499</v>
      </c>
      <c r="M12" s="33">
        <v>70.723217000002478</v>
      </c>
      <c r="N12" s="5">
        <v>10</v>
      </c>
      <c r="O12" s="5">
        <v>46</v>
      </c>
      <c r="P12" s="33">
        <v>1333.7714333550623</v>
      </c>
      <c r="Q12" s="5">
        <v>17.391115130538555</v>
      </c>
      <c r="R12" s="5">
        <v>6222.8805066832856</v>
      </c>
      <c r="S12" s="31"/>
      <c r="T12" s="23">
        <v>1580950.341624646</v>
      </c>
      <c r="U12" s="33">
        <v>37.138271791998697</v>
      </c>
      <c r="V12" s="5">
        <v>8</v>
      </c>
      <c r="W12" s="5">
        <v>47</v>
      </c>
      <c r="X12" s="33">
        <v>1843.9857808028637</v>
      </c>
      <c r="Y12" s="5">
        <v>34.794421312785069</v>
      </c>
      <c r="Z12" s="5">
        <v>7416.8517060268796</v>
      </c>
      <c r="AA12" s="35"/>
    </row>
    <row r="13" spans="2:27" x14ac:dyDescent="0.2">
      <c r="B13" s="4">
        <v>10</v>
      </c>
      <c r="C13" s="4">
        <v>990</v>
      </c>
      <c r="D13" s="23">
        <v>1379686.8497171551</v>
      </c>
      <c r="E13" s="33">
        <v>35.434307374998752</v>
      </c>
      <c r="F13" s="5">
        <v>10</v>
      </c>
      <c r="G13" s="23">
        <v>76</v>
      </c>
      <c r="H13" s="33">
        <v>2605.9740260161766</v>
      </c>
      <c r="I13" s="23">
        <v>27.639380618456784</v>
      </c>
      <c r="J13" s="5">
        <v>7789.9049145339186</v>
      </c>
      <c r="K13" s="31"/>
      <c r="L13" s="23">
        <v>1538638.038246803</v>
      </c>
      <c r="M13" s="33">
        <v>73.540842292000889</v>
      </c>
      <c r="N13" s="5">
        <v>10</v>
      </c>
      <c r="O13" s="5">
        <v>47</v>
      </c>
      <c r="P13" s="33">
        <v>954.69081631537767</v>
      </c>
      <c r="Q13" s="5">
        <v>16.441691209534024</v>
      </c>
      <c r="R13" s="5">
        <v>5833.9754150486488</v>
      </c>
      <c r="S13" s="31"/>
      <c r="T13" s="23">
        <v>1526575.3121868731</v>
      </c>
      <c r="U13" s="33">
        <v>43.026241291001497</v>
      </c>
      <c r="V13" s="5">
        <v>9</v>
      </c>
      <c r="W13" s="5">
        <v>54</v>
      </c>
      <c r="X13" s="33">
        <v>2118.8903658313407</v>
      </c>
      <c r="Y13" s="5">
        <v>37.789893158203704</v>
      </c>
      <c r="Z13" s="5">
        <v>7789.6581160667065</v>
      </c>
      <c r="AA13" s="35"/>
    </row>
    <row r="14" spans="2:27" x14ac:dyDescent="0.2">
      <c r="B14" s="46" t="s">
        <v>3</v>
      </c>
      <c r="C14" s="47"/>
      <c r="D14" s="9">
        <f>MIN(D4:D13)</f>
        <v>1208347.6983534291</v>
      </c>
      <c r="E14" s="22">
        <f>INDEX(E4:E13, MATCH($D$14, D4:D13, 0))</f>
        <v>35.618006083999717</v>
      </c>
      <c r="F14" s="9">
        <f>INDEX(F4:F13, MATCH($D$14, D4:D13, 0))</f>
        <v>9</v>
      </c>
      <c r="G14" s="9">
        <f>INDEX(G4:G13, MATCH($D$14, D4:D13, 0))</f>
        <v>76</v>
      </c>
      <c r="H14" s="22">
        <f>INDEX(H4:H13, MATCH($D$14, D4:D13, 0))</f>
        <v>1409.7818324988682</v>
      </c>
      <c r="I14" s="22">
        <f>INDEX(I4:I13, MATCH($D$14, D4:D13, 0))</f>
        <v>31.665785504446578</v>
      </c>
      <c r="J14" s="22">
        <f>INDEX(J4:J13, MATCH($D$14, D4:D13, 0))</f>
        <v>6860.7561427556338</v>
      </c>
      <c r="K14" s="32" t="e">
        <f>(D14-$D$15)/$D$15</f>
        <v>#DIV/0!</v>
      </c>
      <c r="L14" s="16">
        <f>MIN(L4:L13)</f>
        <v>1499676.9851678209</v>
      </c>
      <c r="M14" s="21">
        <f>INDEX(M4:M13, MATCH($L$14, L4:L13, 0))</f>
        <v>57.978233457997703</v>
      </c>
      <c r="N14" s="16">
        <f>INDEX(N4:N13, MATCH($L$14, L4:L13, 0))</f>
        <v>10</v>
      </c>
      <c r="O14" s="16">
        <f>INDEX(O4:O13, MATCH($L$14, L4:L13, 0))</f>
        <v>49</v>
      </c>
      <c r="P14" s="21">
        <f>INDEX(P4:P13, MATCH($L$14, L4:L13, 0))</f>
        <v>867.6865672204168</v>
      </c>
      <c r="Q14" s="21">
        <f>INDEX(Q4:Q13, MATCH($L$14, L4:L13, 0))</f>
        <v>17.221426154582154</v>
      </c>
      <c r="R14" s="21">
        <f>INDEX(R4:R13, MATCH($L$14, L4:L13, 0))</f>
        <v>5562.7241759065819</v>
      </c>
      <c r="S14" s="36" t="e">
        <f>(L14-$D$15)/$D$15</f>
        <v>#DIV/0!</v>
      </c>
      <c r="T14" s="38">
        <f>MIN(T4:T13)</f>
        <v>1475535.9721150319</v>
      </c>
      <c r="U14" s="39">
        <f>INDEX(U4:U13, MATCH($T$14, T4:T13, 0))</f>
        <v>180.9421392080003</v>
      </c>
      <c r="V14" s="38">
        <f>INDEX(V4:V13, MATCH($T$14, T4:T13, 0))</f>
        <v>6</v>
      </c>
      <c r="W14" s="38">
        <f>INDEX(W4:W13, MATCH($T$14, T4:T13, 0))</f>
        <v>46</v>
      </c>
      <c r="X14" s="39">
        <f>INDEX(X4:X13, MATCH($T$14, T4:T13, 0))</f>
        <v>1117.647011770589</v>
      </c>
      <c r="Y14" s="39">
        <f>INDEX(Y4:Y13, MATCH($T$14, T4:T13, 0))</f>
        <v>55.783684807201588</v>
      </c>
      <c r="Z14" s="39">
        <f>INDEX(Z4:Z13, MATCH($T$14, T4:T13, 0))</f>
        <v>6683.190357331745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0.24109723319817264</v>
      </c>
      <c r="M15" s="45">
        <f t="shared" ref="M15:R15" si="0">(M14-E14)/E14</f>
        <v>0.62777875104139036</v>
      </c>
      <c r="N15" s="45">
        <f t="shared" si="0"/>
        <v>0.1111111111111111</v>
      </c>
      <c r="O15" s="45">
        <f t="shared" si="0"/>
        <v>-0.35526315789473684</v>
      </c>
      <c r="P15" s="45">
        <f t="shared" si="0"/>
        <v>-0.38452422409045806</v>
      </c>
      <c r="Q15" s="45">
        <f t="shared" si="0"/>
        <v>-0.45615035659974756</v>
      </c>
      <c r="R15" s="45">
        <f t="shared" si="0"/>
        <v>-0.18919663370045031</v>
      </c>
      <c r="S15"/>
      <c r="T15" s="45">
        <f>(T14-D14)/D14</f>
        <v>0.22111870128580577</v>
      </c>
      <c r="U15" s="45">
        <f t="shared" ref="U15:Z15" si="1">(U14-E14)/E14</f>
        <v>4.0800749143923287</v>
      </c>
      <c r="V15" s="45">
        <f t="shared" si="1"/>
        <v>-0.33333333333333331</v>
      </c>
      <c r="W15" s="45">
        <f>(W14-G14)/G14</f>
        <v>-0.39473684210526316</v>
      </c>
      <c r="X15" s="45">
        <f t="shared" si="1"/>
        <v>-0.20721987898685293</v>
      </c>
      <c r="Y15" s="45">
        <f t="shared" si="1"/>
        <v>0.76163906622080546</v>
      </c>
      <c r="Z15" s="45">
        <f t="shared" si="1"/>
        <v>-2.5881372508973814E-2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28:C1048576">
    <cfRule type="duplicateValues" dxfId="73" priority="9"/>
    <cfRule type="duplicateValues" dxfId="72" priority="10"/>
  </conditionalFormatting>
  <conditionalFormatting sqref="C4:C13">
    <cfRule type="duplicateValues" dxfId="71" priority="3"/>
    <cfRule type="duplicateValues" dxfId="70" priority="4"/>
  </conditionalFormatting>
  <conditionalFormatting sqref="C14">
    <cfRule type="duplicateValues" dxfId="69" priority="5"/>
    <cfRule type="duplicateValues" dxfId="68" priority="6"/>
  </conditionalFormatting>
  <conditionalFormatting sqref="C15">
    <cfRule type="duplicateValues" dxfId="67" priority="7"/>
    <cfRule type="duplicateValues" dxfId="66" priority="8"/>
  </conditionalFormatting>
  <conditionalFormatting sqref="C17:C27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D3BD-E133-1E4A-8502-362A2BA3B067}">
  <sheetPr codeName="Sheet11"/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-0.980968632975312</v>
      </c>
      <c r="J2" s="28" t="e">
        <f>(S14-J14)/J14</f>
        <v>#DIV/0!</v>
      </c>
      <c r="K2" s="28"/>
      <c r="L2" s="1" t="s">
        <v>19</v>
      </c>
      <c r="P2" s="1">
        <f>(P14-H14)/H14</f>
        <v>5.2496981980687821E-2</v>
      </c>
      <c r="R2" s="1">
        <f>(R14-J14)/J14</f>
        <v>-5.6115404971031568E-2</v>
      </c>
      <c r="T2" s="1" t="s">
        <v>20</v>
      </c>
      <c r="X2" s="1">
        <f>(X14-P14)/P14</f>
        <v>0.40038550452815796</v>
      </c>
      <c r="Z2" s="1">
        <f>(Z14-R14)/R14</f>
        <v>0.16679015311797685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130</v>
      </c>
      <c r="D4" s="23">
        <v>979095.05882307433</v>
      </c>
      <c r="E4" s="33">
        <v>51.710400624999238</v>
      </c>
      <c r="F4" s="5">
        <v>10</v>
      </c>
      <c r="G4" s="23">
        <v>89</v>
      </c>
      <c r="H4" s="33">
        <v>1025.7290778332301</v>
      </c>
      <c r="I4" s="23">
        <v>36.049811833221476</v>
      </c>
      <c r="J4" s="5">
        <v>5999.8570922757835</v>
      </c>
      <c r="K4" s="31"/>
      <c r="L4" s="23">
        <v>1207209.8015374171</v>
      </c>
      <c r="M4" s="33">
        <v>99.762031333997584</v>
      </c>
      <c r="N4" s="5">
        <v>15</v>
      </c>
      <c r="O4" s="5">
        <v>77</v>
      </c>
      <c r="P4" s="33">
        <v>916.1702157236532</v>
      </c>
      <c r="Q4" s="5">
        <v>19.265639295297074</v>
      </c>
      <c r="R4" s="5">
        <v>5653.0877795271808</v>
      </c>
      <c r="S4" s="31"/>
      <c r="T4" s="23">
        <v>1332611.9775465641</v>
      </c>
      <c r="U4" s="33">
        <v>40.386679125000228</v>
      </c>
      <c r="V4" s="5">
        <v>11</v>
      </c>
      <c r="W4" s="5">
        <v>72</v>
      </c>
      <c r="X4" s="33">
        <v>1887.8939212674986</v>
      </c>
      <c r="Y4" s="5">
        <v>41.570917128678005</v>
      </c>
      <c r="Z4" s="5">
        <v>7123.3609868613057</v>
      </c>
      <c r="AA4" s="35"/>
    </row>
    <row r="5" spans="2:27" x14ac:dyDescent="0.2">
      <c r="B5" s="4">
        <v>2</v>
      </c>
      <c r="C5" s="4">
        <v>376</v>
      </c>
      <c r="D5" s="23">
        <v>1283752.1138079481</v>
      </c>
      <c r="E5" s="33">
        <v>33.337209457999052</v>
      </c>
      <c r="F5" s="5">
        <v>11</v>
      </c>
      <c r="G5" s="23">
        <v>91</v>
      </c>
      <c r="H5" s="33">
        <v>2682.404811631664</v>
      </c>
      <c r="I5" s="23">
        <v>32.895883047657343</v>
      </c>
      <c r="J5" s="5">
        <v>8023.7736376900839</v>
      </c>
      <c r="K5" s="31"/>
      <c r="L5" s="23">
        <v>1451786.295333266</v>
      </c>
      <c r="M5" s="33">
        <v>66.791346666999743</v>
      </c>
      <c r="N5" s="5">
        <v>12</v>
      </c>
      <c r="O5" s="5">
        <v>59</v>
      </c>
      <c r="P5" s="33">
        <v>1298.5571212262323</v>
      </c>
      <c r="Q5" s="5">
        <v>18.505724758392589</v>
      </c>
      <c r="R5" s="5">
        <v>6025.5170283813677</v>
      </c>
      <c r="S5" s="31"/>
      <c r="T5" s="23">
        <v>1474709.7894973319</v>
      </c>
      <c r="U5" s="33">
        <v>49.610733042001812</v>
      </c>
      <c r="V5" s="5">
        <v>10</v>
      </c>
      <c r="W5" s="5">
        <v>54</v>
      </c>
      <c r="X5" s="33">
        <v>1388.5245096878277</v>
      </c>
      <c r="Y5" s="5">
        <v>34.715603222859784</v>
      </c>
      <c r="Z5" s="5">
        <v>6649.0941133906326</v>
      </c>
      <c r="AA5" s="35"/>
    </row>
    <row r="6" spans="2:27" x14ac:dyDescent="0.2">
      <c r="B6" s="4">
        <v>3</v>
      </c>
      <c r="C6" s="4">
        <v>449</v>
      </c>
      <c r="D6" s="23">
        <v>1149295.417170828</v>
      </c>
      <c r="E6" s="33">
        <v>53.097384417000278</v>
      </c>
      <c r="F6" s="5">
        <v>11</v>
      </c>
      <c r="G6" s="23">
        <v>88</v>
      </c>
      <c r="H6" s="33">
        <v>1768.7731748863387</v>
      </c>
      <c r="I6" s="23">
        <v>32.887651440866655</v>
      </c>
      <c r="J6" s="5">
        <v>6952.5948891766457</v>
      </c>
      <c r="K6" s="31"/>
      <c r="L6" s="23">
        <v>1253682.1536876131</v>
      </c>
      <c r="M6" s="33">
        <v>55.301467459001287</v>
      </c>
      <c r="N6" s="5">
        <v>15</v>
      </c>
      <c r="O6" s="5">
        <v>72</v>
      </c>
      <c r="P6" s="33">
        <v>812.41343394239732</v>
      </c>
      <c r="Q6" s="5">
        <v>18.218501799777066</v>
      </c>
      <c r="R6" s="5">
        <v>5331.6707600073296</v>
      </c>
      <c r="S6" s="31"/>
      <c r="T6" s="23">
        <v>1279203.8859363089</v>
      </c>
      <c r="U6" s="33">
        <v>55.88861000000179</v>
      </c>
      <c r="V6" s="5">
        <v>10</v>
      </c>
      <c r="W6" s="5">
        <v>70</v>
      </c>
      <c r="X6" s="33">
        <v>1477.1116876690694</v>
      </c>
      <c r="Y6" s="5">
        <v>46.51421541912152</v>
      </c>
      <c r="Z6" s="5">
        <v>6707.4559172895279</v>
      </c>
      <c r="AA6" s="35"/>
    </row>
    <row r="7" spans="2:27" x14ac:dyDescent="0.2">
      <c r="B7" s="4">
        <v>4</v>
      </c>
      <c r="C7" s="4">
        <v>451</v>
      </c>
      <c r="D7" s="23">
        <v>996619.16009787249</v>
      </c>
      <c r="E7" s="33">
        <v>35.50165379200007</v>
      </c>
      <c r="F7" s="5">
        <v>11</v>
      </c>
      <c r="G7" s="23">
        <v>91</v>
      </c>
      <c r="H7" s="33">
        <v>1281.1984548051059</v>
      </c>
      <c r="I7" s="23">
        <v>33.84877870959879</v>
      </c>
      <c r="J7" s="5">
        <v>6151.8993998736205</v>
      </c>
      <c r="K7" s="31"/>
      <c r="L7" s="23">
        <v>1249820.651139887</v>
      </c>
      <c r="M7" s="33">
        <v>79.730929707999167</v>
      </c>
      <c r="N7" s="5">
        <v>13</v>
      </c>
      <c r="O7" s="5">
        <v>71</v>
      </c>
      <c r="P7" s="33">
        <v>899.64781573400694</v>
      </c>
      <c r="Q7" s="5">
        <v>20.115460817130991</v>
      </c>
      <c r="R7" s="5">
        <v>5468.6295946767877</v>
      </c>
      <c r="S7" s="31"/>
      <c r="T7" s="23">
        <v>1236923.101926679</v>
      </c>
      <c r="U7" s="33">
        <v>74.357941542002663</v>
      </c>
      <c r="V7" s="5">
        <v>8</v>
      </c>
      <c r="W7" s="5">
        <v>69</v>
      </c>
      <c r="X7" s="33">
        <v>1361.715346302565</v>
      </c>
      <c r="Y7" s="5">
        <v>54.404498213375376</v>
      </c>
      <c r="Z7" s="5">
        <v>6629.5742893216875</v>
      </c>
      <c r="AA7" s="35"/>
    </row>
    <row r="8" spans="2:27" x14ac:dyDescent="0.2">
      <c r="B8" s="4">
        <v>5</v>
      </c>
      <c r="C8" s="4">
        <v>481</v>
      </c>
      <c r="D8" s="23">
        <v>1060484.461410837</v>
      </c>
      <c r="E8" s="33">
        <v>50.218461166999987</v>
      </c>
      <c r="F8" s="5">
        <v>10</v>
      </c>
      <c r="G8" s="23">
        <v>89</v>
      </c>
      <c r="H8" s="33">
        <v>1660.6052051784884</v>
      </c>
      <c r="I8" s="23">
        <v>35.442317160177033</v>
      </c>
      <c r="J8" s="5">
        <v>6350.5926609649987</v>
      </c>
      <c r="K8" s="31"/>
      <c r="L8" s="23">
        <v>1228816.1368618479</v>
      </c>
      <c r="M8" s="33">
        <v>60.61077700000169</v>
      </c>
      <c r="N8" s="5">
        <v>17</v>
      </c>
      <c r="O8" s="5">
        <v>81</v>
      </c>
      <c r="P8" s="33">
        <v>1152.308659129274</v>
      </c>
      <c r="Q8" s="5">
        <v>18.685974236925126</v>
      </c>
      <c r="R8" s="5">
        <v>5878.5182073750439</v>
      </c>
      <c r="S8" s="31"/>
      <c r="T8" s="23">
        <v>1372872.0944102339</v>
      </c>
      <c r="U8" s="33">
        <v>35.90753183400011</v>
      </c>
      <c r="V8" s="5">
        <v>8</v>
      </c>
      <c r="W8" s="5">
        <v>59</v>
      </c>
      <c r="X8" s="33">
        <v>1272.5397459496405</v>
      </c>
      <c r="Y8" s="5">
        <v>45.992239048718034</v>
      </c>
      <c r="Z8" s="5">
        <v>6629.332265570888</v>
      </c>
      <c r="AA8" s="35"/>
    </row>
    <row r="9" spans="2:27" x14ac:dyDescent="0.2">
      <c r="B9" s="4">
        <v>6</v>
      </c>
      <c r="C9" s="4">
        <v>610</v>
      </c>
      <c r="D9" s="23">
        <v>1007592.268959012</v>
      </c>
      <c r="E9" s="33">
        <v>40.346808166999843</v>
      </c>
      <c r="F9" s="5">
        <v>10</v>
      </c>
      <c r="G9" s="23">
        <v>89</v>
      </c>
      <c r="H9" s="33">
        <v>1307.5819096543391</v>
      </c>
      <c r="I9" s="23">
        <v>35.885444269303463</v>
      </c>
      <c r="J9" s="5">
        <v>6239.2127464903324</v>
      </c>
      <c r="K9" s="31"/>
      <c r="L9" s="23">
        <v>1306126.8137576629</v>
      </c>
      <c r="M9" s="33">
        <v>53.273541250000562</v>
      </c>
      <c r="N9" s="5">
        <v>14</v>
      </c>
      <c r="O9" s="5">
        <v>73</v>
      </c>
      <c r="P9" s="33">
        <v>1324.7183463679817</v>
      </c>
      <c r="Q9" s="5">
        <v>19.741781385945412</v>
      </c>
      <c r="R9" s="5">
        <v>6079.4250176880705</v>
      </c>
      <c r="S9" s="31"/>
      <c r="T9" s="23">
        <v>1252567.760371909</v>
      </c>
      <c r="U9" s="33">
        <v>69.751838583997596</v>
      </c>
      <c r="V9" s="5">
        <v>8</v>
      </c>
      <c r="W9" s="5">
        <v>67</v>
      </c>
      <c r="X9" s="33">
        <v>1207.4281155705078</v>
      </c>
      <c r="Y9" s="5">
        <v>52.570565445564839</v>
      </c>
      <c r="Z9" s="5">
        <v>6491.9365338316629</v>
      </c>
      <c r="AA9" s="35"/>
    </row>
    <row r="10" spans="2:27" x14ac:dyDescent="0.2">
      <c r="B10" s="4">
        <v>7</v>
      </c>
      <c r="C10" s="4">
        <v>619</v>
      </c>
      <c r="D10" s="23">
        <v>1079090.818588651</v>
      </c>
      <c r="E10" s="33">
        <v>32.439637833000234</v>
      </c>
      <c r="F10" s="5">
        <v>10</v>
      </c>
      <c r="G10" s="23">
        <v>86</v>
      </c>
      <c r="H10" s="33">
        <v>1420.4595041755254</v>
      </c>
      <c r="I10" s="23">
        <v>34.254063140117907</v>
      </c>
      <c r="J10" s="5">
        <v>6433.2355443001197</v>
      </c>
      <c r="K10" s="31"/>
      <c r="L10" s="23">
        <v>1197696.812546669</v>
      </c>
      <c r="M10" s="33">
        <v>93.620516791997943</v>
      </c>
      <c r="N10" s="5">
        <v>16</v>
      </c>
      <c r="O10" s="5">
        <v>80</v>
      </c>
      <c r="P10" s="33">
        <v>1079.5767587493087</v>
      </c>
      <c r="Q10" s="5">
        <v>19.521026548138941</v>
      </c>
      <c r="R10" s="5">
        <v>5663.172681774412</v>
      </c>
      <c r="S10" s="31"/>
      <c r="T10" s="23">
        <v>1378165.729869938</v>
      </c>
      <c r="U10" s="33">
        <v>41.435202749999007</v>
      </c>
      <c r="V10" s="5">
        <v>10</v>
      </c>
      <c r="W10" s="5">
        <v>65</v>
      </c>
      <c r="X10" s="33">
        <v>1757.4634914933956</v>
      </c>
      <c r="Y10" s="5">
        <v>38.412144702802721</v>
      </c>
      <c r="Z10" s="5">
        <v>6955.0830205660504</v>
      </c>
      <c r="AA10" s="35"/>
    </row>
    <row r="11" spans="2:27" x14ac:dyDescent="0.2">
      <c r="B11" s="4">
        <v>8</v>
      </c>
      <c r="C11" s="4">
        <v>845</v>
      </c>
      <c r="D11" s="23">
        <v>996243.82167258183</v>
      </c>
      <c r="E11" s="33">
        <v>36.059188334000282</v>
      </c>
      <c r="F11" s="5">
        <v>10</v>
      </c>
      <c r="G11" s="23">
        <v>88</v>
      </c>
      <c r="H11" s="33">
        <v>1094.1736344404123</v>
      </c>
      <c r="I11" s="23">
        <v>35.99651301746772</v>
      </c>
      <c r="J11" s="5">
        <v>6055.2741765219225</v>
      </c>
      <c r="K11" s="31"/>
      <c r="L11" s="23">
        <v>1303858.0141793049</v>
      </c>
      <c r="M11" s="33">
        <v>50.230264000001632</v>
      </c>
      <c r="N11" s="5">
        <v>21</v>
      </c>
      <c r="O11" s="5">
        <v>90</v>
      </c>
      <c r="P11" s="33">
        <v>1911.3682102492344</v>
      </c>
      <c r="Q11" s="5">
        <v>17.36115946059158</v>
      </c>
      <c r="R11" s="5">
        <v>6725.1872775614338</v>
      </c>
      <c r="S11" s="31"/>
      <c r="T11" s="23">
        <v>1251308.1359929619</v>
      </c>
      <c r="U11" s="33">
        <v>33.726854207998258</v>
      </c>
      <c r="V11" s="5">
        <v>11</v>
      </c>
      <c r="W11" s="5">
        <v>70</v>
      </c>
      <c r="X11" s="33">
        <v>1207.5058105134308</v>
      </c>
      <c r="Y11" s="5">
        <v>39.751024213245394</v>
      </c>
      <c r="Z11" s="5">
        <v>6245.4572195413402</v>
      </c>
      <c r="AA11" s="35"/>
    </row>
    <row r="12" spans="2:27" x14ac:dyDescent="0.2">
      <c r="B12" s="4">
        <v>9</v>
      </c>
      <c r="C12" s="4">
        <v>925</v>
      </c>
      <c r="D12" s="23">
        <v>1033234.335939958</v>
      </c>
      <c r="E12" s="33">
        <v>31.93689804200039</v>
      </c>
      <c r="F12" s="5">
        <v>10</v>
      </c>
      <c r="G12" s="23">
        <v>88</v>
      </c>
      <c r="H12" s="33">
        <v>1360.6072680589941</v>
      </c>
      <c r="I12" s="23">
        <v>36.537402538950445</v>
      </c>
      <c r="J12" s="5">
        <v>6341.3680573986703</v>
      </c>
      <c r="K12" s="31"/>
      <c r="L12" s="23">
        <v>1241153.876695818</v>
      </c>
      <c r="M12" s="33">
        <v>77.121847624999646</v>
      </c>
      <c r="N12" s="5">
        <v>13</v>
      </c>
      <c r="O12" s="5">
        <v>70</v>
      </c>
      <c r="P12" s="33">
        <v>812.90099577247202</v>
      </c>
      <c r="Q12" s="5">
        <v>19.509883678391194</v>
      </c>
      <c r="R12" s="5">
        <v>5379.963430888778</v>
      </c>
      <c r="S12" s="31"/>
      <c r="T12" s="23">
        <v>1244224.1242479789</v>
      </c>
      <c r="U12" s="33">
        <v>63.87361299999975</v>
      </c>
      <c r="V12" s="5">
        <v>10</v>
      </c>
      <c r="W12" s="5">
        <v>70</v>
      </c>
      <c r="X12" s="33">
        <v>1242.2290875246363</v>
      </c>
      <c r="Y12" s="5">
        <v>40.604138705067527</v>
      </c>
      <c r="Z12" s="5">
        <v>6298.5426136742208</v>
      </c>
      <c r="AA12" s="35"/>
    </row>
    <row r="13" spans="2:27" x14ac:dyDescent="0.2">
      <c r="B13" s="4">
        <v>10</v>
      </c>
      <c r="C13" s="4">
        <v>930</v>
      </c>
      <c r="D13" s="23">
        <v>1032163.701446199</v>
      </c>
      <c r="E13" s="33">
        <v>53.003030500000023</v>
      </c>
      <c r="F13" s="5">
        <v>10</v>
      </c>
      <c r="G13" s="23">
        <v>86</v>
      </c>
      <c r="H13" s="33">
        <v>1245.0644465562411</v>
      </c>
      <c r="I13" s="23">
        <v>34.269226654652748</v>
      </c>
      <c r="J13" s="5">
        <v>6050.5773063938195</v>
      </c>
      <c r="K13" s="31"/>
      <c r="L13" s="23">
        <v>1228582.899670488</v>
      </c>
      <c r="M13" s="33">
        <v>42.809475458001543</v>
      </c>
      <c r="N13" s="5">
        <v>13</v>
      </c>
      <c r="O13" s="5">
        <v>70</v>
      </c>
      <c r="P13" s="33">
        <v>695.23055691239472</v>
      </c>
      <c r="Q13" s="5">
        <v>19.141817783753886</v>
      </c>
      <c r="R13" s="5">
        <v>5246.0873108674368</v>
      </c>
      <c r="S13" s="31"/>
      <c r="T13" s="23">
        <v>1199269.589675412</v>
      </c>
      <c r="U13" s="33">
        <v>51.111183207998693</v>
      </c>
      <c r="V13" s="5">
        <v>10</v>
      </c>
      <c r="W13" s="5">
        <v>76</v>
      </c>
      <c r="X13" s="33">
        <v>1511.8236439780242</v>
      </c>
      <c r="Y13" s="5">
        <v>45.738150947922513</v>
      </c>
      <c r="Z13" s="5">
        <v>6607.7341205011098</v>
      </c>
      <c r="AA13" s="35"/>
    </row>
    <row r="14" spans="2:27" x14ac:dyDescent="0.2">
      <c r="B14" s="46" t="s">
        <v>3</v>
      </c>
      <c r="C14" s="47"/>
      <c r="D14" s="9">
        <f>MIN(D4:D13)</f>
        <v>979095.05882307433</v>
      </c>
      <c r="E14" s="22">
        <f>INDEX(E4:E13, MATCH($D$14, D4:D13, 0))</f>
        <v>51.710400624999238</v>
      </c>
      <c r="F14" s="9">
        <f>INDEX(F4:F13, MATCH($D$14, D4:D13, 0))</f>
        <v>10</v>
      </c>
      <c r="G14" s="9">
        <f>INDEX(G4:G13, MATCH($D$14, D4:D13, 0))</f>
        <v>89</v>
      </c>
      <c r="H14" s="22">
        <f>INDEX(H4:H13, MATCH($D$14, D4:D13, 0))</f>
        <v>1025.7290778332301</v>
      </c>
      <c r="I14" s="22">
        <f>INDEX(I4:I13, MATCH($D$14, D4:D13, 0))</f>
        <v>36.049811833221476</v>
      </c>
      <c r="J14" s="22">
        <f>INDEX(J4:J13, MATCH($D$14, D4:D13, 0))</f>
        <v>5999.8570922757835</v>
      </c>
      <c r="K14" s="32" t="e">
        <f>(D14-$D$15)/$D$15</f>
        <v>#DIV/0!</v>
      </c>
      <c r="L14" s="16">
        <f>MIN(L4:L13)</f>
        <v>1197696.812546669</v>
      </c>
      <c r="M14" s="21">
        <f>INDEX(M4:M13, MATCH($L$14, L4:L13, 0))</f>
        <v>93.620516791997943</v>
      </c>
      <c r="N14" s="16">
        <f>INDEX(N4:N13, MATCH($L$14, L4:L13, 0))</f>
        <v>16</v>
      </c>
      <c r="O14" s="16">
        <f>INDEX(O4:O13, MATCH($L$14, L4:L13, 0))</f>
        <v>80</v>
      </c>
      <c r="P14" s="21">
        <f>INDEX(P4:P13, MATCH($L$14, L4:L13, 0))</f>
        <v>1079.5767587493087</v>
      </c>
      <c r="Q14" s="21">
        <f>INDEX(Q4:Q13, MATCH($L$14, L4:L13, 0))</f>
        <v>19.521026548138941</v>
      </c>
      <c r="R14" s="21">
        <f>INDEX(R4:R13, MATCH($L$14, L4:L13, 0))</f>
        <v>5663.172681774412</v>
      </c>
      <c r="S14" s="36" t="e">
        <f>(L14-$D$15)/$D$15</f>
        <v>#DIV/0!</v>
      </c>
      <c r="T14" s="38">
        <f>MIN(T4:T13)</f>
        <v>1199269.589675412</v>
      </c>
      <c r="U14" s="39">
        <f>INDEX(U4:U13, MATCH($T$14, T4:T13, 0))</f>
        <v>51.111183207998693</v>
      </c>
      <c r="V14" s="38">
        <f>INDEX(V4:V13, MATCH($T$14, T4:T13, 0))</f>
        <v>10</v>
      </c>
      <c r="W14" s="38">
        <f>INDEX(W4:W13, MATCH($T$14, T4:T13, 0))</f>
        <v>76</v>
      </c>
      <c r="X14" s="39">
        <f>INDEX(X4:X13, MATCH($T$14, T4:T13, 0))</f>
        <v>1511.8236439780242</v>
      </c>
      <c r="Y14" s="39">
        <f>INDEX(Y4:Y13, MATCH($T$14, T4:T13, 0))</f>
        <v>45.738150947922513</v>
      </c>
      <c r="Z14" s="39">
        <f>INDEX(Z4:Z13, MATCH($T$14, T4:T13, 0))</f>
        <v>6607.7341205011098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0.22326918285785849</v>
      </c>
      <c r="M15" s="45">
        <f t="shared" ref="M15:R15" si="0">(M14-E14)/E14</f>
        <v>0.81047749892576515</v>
      </c>
      <c r="N15" s="45">
        <f t="shared" si="0"/>
        <v>0.6</v>
      </c>
      <c r="O15" s="45">
        <f t="shared" si="0"/>
        <v>-0.10112359550561797</v>
      </c>
      <c r="P15" s="45">
        <f t="shared" si="0"/>
        <v>5.2496981980687821E-2</v>
      </c>
      <c r="Q15" s="45">
        <f t="shared" si="0"/>
        <v>-0.45849851759421772</v>
      </c>
      <c r="R15" s="45">
        <f t="shared" si="0"/>
        <v>-5.6115404971031568E-2</v>
      </c>
      <c r="S15"/>
      <c r="T15" s="45">
        <f>(T14-D14)/D14</f>
        <v>0.2248755408049955</v>
      </c>
      <c r="U15" s="45">
        <f t="shared" ref="U15:Z15" si="1">(U14-E14)/E14</f>
        <v>-1.1587947680893728E-2</v>
      </c>
      <c r="V15" s="45">
        <f t="shared" si="1"/>
        <v>0</v>
      </c>
      <c r="W15" s="45">
        <f>(W14-G14)/G14</f>
        <v>-0.14606741573033707</v>
      </c>
      <c r="X15" s="45">
        <f t="shared" si="1"/>
        <v>0.47390151712538908</v>
      </c>
      <c r="Y15" s="45">
        <f t="shared" si="1"/>
        <v>0.26874867362755023</v>
      </c>
      <c r="Z15" s="45">
        <f t="shared" si="1"/>
        <v>0.10131525115954965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28:C1048576">
    <cfRule type="duplicateValues" dxfId="65" priority="9"/>
    <cfRule type="duplicateValues" dxfId="64" priority="10"/>
  </conditionalFormatting>
  <conditionalFormatting sqref="C4:C13">
    <cfRule type="duplicateValues" dxfId="63" priority="3"/>
    <cfRule type="duplicateValues" dxfId="62" priority="4"/>
  </conditionalFormatting>
  <conditionalFormatting sqref="C14">
    <cfRule type="duplicateValues" dxfId="61" priority="5"/>
    <cfRule type="duplicateValues" dxfId="60" priority="6"/>
  </conditionalFormatting>
  <conditionalFormatting sqref="C15">
    <cfRule type="duplicateValues" dxfId="59" priority="7"/>
    <cfRule type="duplicateValues" dxfId="58" priority="8"/>
  </conditionalFormatting>
  <conditionalFormatting sqref="C17:C27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9F99-7331-5E42-92EA-FE2110C6EDCB}">
  <sheetPr codeName="Sheet12"/>
  <dimension ref="B1:AA17"/>
  <sheetViews>
    <sheetView tabSelected="1"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-0.98849842948195232</v>
      </c>
      <c r="J2" s="28" t="e">
        <f>(S14-J14)/J14</f>
        <v>#DIV/0!</v>
      </c>
      <c r="K2" s="28"/>
      <c r="L2" s="1" t="s">
        <v>19</v>
      </c>
      <c r="P2" s="1">
        <f>(P14-H14)/H14</f>
        <v>-0.36797333524306897</v>
      </c>
      <c r="R2" s="1">
        <f>(R14-J14)/J14</f>
        <v>-0.15294152507464562</v>
      </c>
      <c r="T2" s="1" t="s">
        <v>20</v>
      </c>
      <c r="X2" s="1">
        <f>(X14-P14)/P14</f>
        <v>-4.5265807240921149E-2</v>
      </c>
      <c r="Z2" s="1">
        <f>(Z14-R14)/R14</f>
        <v>9.9529988095504826E-2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213</v>
      </c>
      <c r="D4" s="23">
        <v>1120015.0923573279</v>
      </c>
      <c r="E4" s="33">
        <v>102.5687096660004</v>
      </c>
      <c r="F4" s="5">
        <v>11</v>
      </c>
      <c r="G4" s="23">
        <v>85</v>
      </c>
      <c r="H4" s="33">
        <v>1507.6301966126612</v>
      </c>
      <c r="I4" s="23">
        <v>26.228742355326627</v>
      </c>
      <c r="J4" s="5">
        <v>6486.5160182821992</v>
      </c>
      <c r="K4" s="31"/>
      <c r="L4" s="23">
        <v>1348653.5874452961</v>
      </c>
      <c r="M4" s="33">
        <v>76.486025042002439</v>
      </c>
      <c r="N4" s="5">
        <v>10</v>
      </c>
      <c r="O4" s="5">
        <v>58</v>
      </c>
      <c r="P4" s="33">
        <v>770.69712058953132</v>
      </c>
      <c r="Q4" s="5">
        <v>17.5082521848474</v>
      </c>
      <c r="R4" s="5">
        <v>5222.5702927826751</v>
      </c>
      <c r="S4" s="31"/>
      <c r="T4" s="23">
        <v>1425749.151706846</v>
      </c>
      <c r="U4" s="33">
        <v>44.351471415997374</v>
      </c>
      <c r="V4" s="5">
        <v>5</v>
      </c>
      <c r="W4" s="5">
        <v>46</v>
      </c>
      <c r="X4" s="33">
        <v>549.81698499489551</v>
      </c>
      <c r="Y4" s="5">
        <v>46.643415373030869</v>
      </c>
      <c r="Z4" s="5">
        <v>5752.647800536547</v>
      </c>
      <c r="AA4" s="35"/>
    </row>
    <row r="5" spans="2:27" x14ac:dyDescent="0.2">
      <c r="B5" s="4">
        <v>2</v>
      </c>
      <c r="C5" s="4">
        <v>289</v>
      </c>
      <c r="D5" s="23">
        <v>1162479.13848224</v>
      </c>
      <c r="E5" s="33">
        <v>70.050936334000653</v>
      </c>
      <c r="F5" s="5">
        <v>10</v>
      </c>
      <c r="G5" s="23">
        <v>78</v>
      </c>
      <c r="H5" s="33">
        <v>1332.2483750985332</v>
      </c>
      <c r="I5" s="23">
        <v>25.363131395045073</v>
      </c>
      <c r="J5" s="5">
        <v>6272.2449349061071</v>
      </c>
      <c r="K5" s="31"/>
      <c r="L5" s="23">
        <v>1480175.5059001441</v>
      </c>
      <c r="M5" s="33">
        <v>81.119266624999</v>
      </c>
      <c r="N5" s="5">
        <v>7</v>
      </c>
      <c r="O5" s="5">
        <v>46</v>
      </c>
      <c r="P5" s="33">
        <v>690.84084877356656</v>
      </c>
      <c r="Q5" s="5">
        <v>18.644092005757617</v>
      </c>
      <c r="R5" s="5">
        <v>5442.528184804667</v>
      </c>
      <c r="S5" s="31"/>
      <c r="T5" s="23">
        <v>1426928.3567311501</v>
      </c>
      <c r="U5" s="33">
        <v>61.058477040998703</v>
      </c>
      <c r="V5" s="5">
        <v>5</v>
      </c>
      <c r="W5" s="5">
        <v>46</v>
      </c>
      <c r="X5" s="33">
        <v>564.61807055733846</v>
      </c>
      <c r="Y5" s="5">
        <v>44.137600646905923</v>
      </c>
      <c r="Z5" s="5">
        <v>5734.5867287346437</v>
      </c>
      <c r="AA5" s="35"/>
    </row>
    <row r="6" spans="2:27" x14ac:dyDescent="0.2">
      <c r="B6" s="4">
        <v>3</v>
      </c>
      <c r="C6" s="4">
        <v>474</v>
      </c>
      <c r="D6" s="23">
        <v>1135640.0315325621</v>
      </c>
      <c r="E6" s="33">
        <v>78.935084415999881</v>
      </c>
      <c r="F6" s="5">
        <v>9</v>
      </c>
      <c r="G6" s="23">
        <v>80</v>
      </c>
      <c r="H6" s="33">
        <v>1440.5325936116421</v>
      </c>
      <c r="I6" s="23">
        <v>29.704151292505319</v>
      </c>
      <c r="J6" s="5">
        <v>6359.7416443470402</v>
      </c>
      <c r="K6" s="31"/>
      <c r="L6" s="23">
        <v>1452964.2758914321</v>
      </c>
      <c r="M6" s="33">
        <v>40.236315707999893</v>
      </c>
      <c r="N6" s="5">
        <v>12</v>
      </c>
      <c r="O6" s="5">
        <v>56</v>
      </c>
      <c r="P6" s="33">
        <v>1094.9536301356154</v>
      </c>
      <c r="Q6" s="5">
        <v>14.816459859624217</v>
      </c>
      <c r="R6" s="5">
        <v>5760.1440386583254</v>
      </c>
      <c r="S6" s="31"/>
      <c r="T6" s="23">
        <v>1369298.5531316579</v>
      </c>
      <c r="U6" s="33">
        <v>48.624893499996688</v>
      </c>
      <c r="V6" s="5">
        <v>10</v>
      </c>
      <c r="W6" s="5">
        <v>63</v>
      </c>
      <c r="X6" s="33">
        <v>1491.2691573684849</v>
      </c>
      <c r="Y6" s="5">
        <v>32.805678647463459</v>
      </c>
      <c r="Z6" s="5">
        <v>6738.7664205475685</v>
      </c>
      <c r="AA6" s="35"/>
    </row>
    <row r="7" spans="2:27" x14ac:dyDescent="0.2">
      <c r="B7" s="4">
        <v>4</v>
      </c>
      <c r="C7" s="4">
        <v>488</v>
      </c>
      <c r="D7" s="23">
        <v>1172270.5834360551</v>
      </c>
      <c r="E7" s="33">
        <v>66.694241833998603</v>
      </c>
      <c r="F7" s="5">
        <v>10</v>
      </c>
      <c r="G7" s="23">
        <v>79</v>
      </c>
      <c r="H7" s="33">
        <v>1464.593238586277</v>
      </c>
      <c r="I7" s="23">
        <v>26.039833269183209</v>
      </c>
      <c r="J7" s="5">
        <v>6483.2952073935267</v>
      </c>
      <c r="K7" s="31"/>
      <c r="L7" s="23">
        <v>1400328.792273626</v>
      </c>
      <c r="M7" s="33">
        <v>41.863174416997943</v>
      </c>
      <c r="N7" s="5">
        <v>12</v>
      </c>
      <c r="O7" s="5">
        <v>62</v>
      </c>
      <c r="P7" s="33">
        <v>1188.3504756916082</v>
      </c>
      <c r="Q7" s="5">
        <v>16.056239357447172</v>
      </c>
      <c r="R7" s="5">
        <v>6177.0575120870526</v>
      </c>
      <c r="S7" s="31"/>
      <c r="T7" s="23">
        <v>1427589.625296921</v>
      </c>
      <c r="U7" s="33">
        <v>80.277602332997049</v>
      </c>
      <c r="V7" s="5">
        <v>5</v>
      </c>
      <c r="W7" s="5">
        <v>46</v>
      </c>
      <c r="X7" s="33">
        <v>547.20505575833965</v>
      </c>
      <c r="Y7" s="5">
        <v>44.515517460206503</v>
      </c>
      <c r="Z7" s="5">
        <v>5740.4704120655824</v>
      </c>
      <c r="AA7" s="35"/>
    </row>
    <row r="8" spans="2:27" x14ac:dyDescent="0.2">
      <c r="B8" s="4">
        <v>5</v>
      </c>
      <c r="C8" s="4">
        <v>689</v>
      </c>
      <c r="D8" s="23">
        <v>1171822.6452193181</v>
      </c>
      <c r="E8" s="33">
        <v>39.40470754099988</v>
      </c>
      <c r="F8" s="5">
        <v>10</v>
      </c>
      <c r="G8" s="23">
        <v>84</v>
      </c>
      <c r="H8" s="33">
        <v>1914.071426089539</v>
      </c>
      <c r="I8" s="23">
        <v>26.931743670945639</v>
      </c>
      <c r="J8" s="5">
        <v>6865.3453616481165</v>
      </c>
      <c r="K8" s="31"/>
      <c r="L8" s="23">
        <v>1312790.549375952</v>
      </c>
      <c r="M8" s="33">
        <v>67.818759500001761</v>
      </c>
      <c r="N8" s="5">
        <v>10</v>
      </c>
      <c r="O8" s="5">
        <v>61</v>
      </c>
      <c r="P8" s="33">
        <v>886.29752663896409</v>
      </c>
      <c r="Q8" s="5">
        <v>18.730713361306094</v>
      </c>
      <c r="R8" s="5">
        <v>5290.5522422978793</v>
      </c>
      <c r="S8" s="31"/>
      <c r="T8" s="23">
        <v>1420663.5463000101</v>
      </c>
      <c r="U8" s="33">
        <v>48.466112083002372</v>
      </c>
      <c r="V8" s="5">
        <v>5</v>
      </c>
      <c r="W8" s="5">
        <v>46</v>
      </c>
      <c r="X8" s="33">
        <v>526.87644674110186</v>
      </c>
      <c r="Y8" s="5">
        <v>45.431064499957373</v>
      </c>
      <c r="Z8" s="5">
        <v>5658.7340416611523</v>
      </c>
      <c r="AA8" s="35"/>
    </row>
    <row r="9" spans="2:27" x14ac:dyDescent="0.2">
      <c r="B9" s="4">
        <v>6</v>
      </c>
      <c r="C9" s="4">
        <v>823</v>
      </c>
      <c r="D9" s="23">
        <v>1151973.271205904</v>
      </c>
      <c r="E9" s="33">
        <v>36.370617791000768</v>
      </c>
      <c r="F9" s="5">
        <v>11</v>
      </c>
      <c r="G9" s="23">
        <v>81</v>
      </c>
      <c r="H9" s="33">
        <v>1495.9784855559872</v>
      </c>
      <c r="I9" s="23">
        <v>25.467886862586145</v>
      </c>
      <c r="J9" s="5">
        <v>6282.9047386571046</v>
      </c>
      <c r="K9" s="31"/>
      <c r="L9" s="23">
        <v>1296779.0866097829</v>
      </c>
      <c r="M9" s="33">
        <v>127.21586000000021</v>
      </c>
      <c r="N9" s="5">
        <v>11</v>
      </c>
      <c r="O9" s="5">
        <v>65</v>
      </c>
      <c r="P9" s="33">
        <v>952.86248485193641</v>
      </c>
      <c r="Q9" s="5">
        <v>17.340115021478709</v>
      </c>
      <c r="R9" s="5">
        <v>5494.4583660250019</v>
      </c>
      <c r="S9" s="31"/>
      <c r="T9" s="23">
        <v>1352582.257962554</v>
      </c>
      <c r="U9" s="33">
        <v>57.168261874998279</v>
      </c>
      <c r="V9" s="5">
        <v>6</v>
      </c>
      <c r="W9" s="5">
        <v>54</v>
      </c>
      <c r="X9" s="33">
        <v>909.73039528552351</v>
      </c>
      <c r="Y9" s="5">
        <v>45.936924499318145</v>
      </c>
      <c r="Z9" s="5">
        <v>6041.3217417867172</v>
      </c>
      <c r="AA9" s="35"/>
    </row>
    <row r="10" spans="2:27" x14ac:dyDescent="0.2">
      <c r="B10" s="4">
        <v>7</v>
      </c>
      <c r="C10" s="4">
        <v>868</v>
      </c>
      <c r="D10" s="23">
        <v>1214989.4801807089</v>
      </c>
      <c r="E10" s="33">
        <v>42.402563499999808</v>
      </c>
      <c r="F10" s="5">
        <v>9</v>
      </c>
      <c r="G10" s="23">
        <v>74</v>
      </c>
      <c r="H10" s="33">
        <v>1320.7238349417298</v>
      </c>
      <c r="I10" s="23">
        <v>26.315973002698897</v>
      </c>
      <c r="J10" s="5">
        <v>6488.8778877311424</v>
      </c>
      <c r="K10" s="31"/>
      <c r="L10" s="23">
        <v>1372083.755267174</v>
      </c>
      <c r="M10" s="33">
        <v>77.064273333999154</v>
      </c>
      <c r="N10" s="5">
        <v>9</v>
      </c>
      <c r="O10" s="5">
        <v>53</v>
      </c>
      <c r="P10" s="33">
        <v>568.31847088985319</v>
      </c>
      <c r="Q10" s="5">
        <v>18.306853480960307</v>
      </c>
      <c r="R10" s="5">
        <v>4758.7956282281029</v>
      </c>
      <c r="S10" s="31"/>
      <c r="T10" s="23">
        <v>1373650.7779615831</v>
      </c>
      <c r="U10" s="33">
        <v>67.400508583999908</v>
      </c>
      <c r="V10" s="5">
        <v>8</v>
      </c>
      <c r="W10" s="5">
        <v>55</v>
      </c>
      <c r="X10" s="33">
        <v>1013.4491528579011</v>
      </c>
      <c r="Y10" s="5">
        <v>33.713882767161522</v>
      </c>
      <c r="Z10" s="5">
        <v>5817.3027424243182</v>
      </c>
      <c r="AA10" s="35"/>
    </row>
    <row r="11" spans="2:27" x14ac:dyDescent="0.2">
      <c r="B11" s="4">
        <v>8</v>
      </c>
      <c r="C11" s="4">
        <v>959</v>
      </c>
      <c r="D11" s="23">
        <v>1260078.1285161721</v>
      </c>
      <c r="E11" s="33">
        <v>61.026660166000511</v>
      </c>
      <c r="F11" s="5">
        <v>10</v>
      </c>
      <c r="G11" s="23">
        <v>84</v>
      </c>
      <c r="H11" s="33">
        <v>2278.5707282066287</v>
      </c>
      <c r="I11" s="23">
        <v>26.740668415256472</v>
      </c>
      <c r="J11" s="5">
        <v>7425.4117600523587</v>
      </c>
      <c r="K11" s="31"/>
      <c r="L11" s="23">
        <v>1433906.91309924</v>
      </c>
      <c r="M11" s="33">
        <v>63.525965542001359</v>
      </c>
      <c r="N11" s="5">
        <v>7</v>
      </c>
      <c r="O11" s="5">
        <v>48</v>
      </c>
      <c r="P11" s="33">
        <v>783.04916371415027</v>
      </c>
      <c r="Q11" s="5">
        <v>19.77488775903921</v>
      </c>
      <c r="R11" s="5">
        <v>5144.7919978974815</v>
      </c>
      <c r="S11" s="31"/>
      <c r="T11" s="23">
        <v>1403681.20068433</v>
      </c>
      <c r="U11" s="33">
        <v>35.97706116700283</v>
      </c>
      <c r="V11" s="5">
        <v>6</v>
      </c>
      <c r="W11" s="5">
        <v>49</v>
      </c>
      <c r="X11" s="33">
        <v>637.74122909538585</v>
      </c>
      <c r="Y11" s="5">
        <v>38.701121890495337</v>
      </c>
      <c r="Z11" s="5">
        <v>5709.7385832395794</v>
      </c>
      <c r="AA11" s="35"/>
    </row>
    <row r="12" spans="2:27" x14ac:dyDescent="0.2">
      <c r="B12" s="4">
        <v>9</v>
      </c>
      <c r="C12" s="4">
        <v>342</v>
      </c>
      <c r="D12" s="23">
        <v>1201973.3852012551</v>
      </c>
      <c r="E12" s="33">
        <v>61.606064790999881</v>
      </c>
      <c r="F12" s="5">
        <v>10</v>
      </c>
      <c r="G12" s="23">
        <v>78</v>
      </c>
      <c r="H12" s="33">
        <v>1517.5329986184563</v>
      </c>
      <c r="I12" s="23">
        <v>26.953682096135491</v>
      </c>
      <c r="J12" s="5">
        <v>6631.7691585769999</v>
      </c>
      <c r="K12" s="31"/>
      <c r="L12" s="23">
        <v>1321785.9778788169</v>
      </c>
      <c r="M12" s="33">
        <v>86.193199166998966</v>
      </c>
      <c r="N12" s="5">
        <v>10</v>
      </c>
      <c r="O12" s="5">
        <v>63</v>
      </c>
      <c r="P12" s="33">
        <v>997.31600903637639</v>
      </c>
      <c r="Q12" s="5">
        <v>18.61527391666241</v>
      </c>
      <c r="R12" s="5">
        <v>5679.6284687606912</v>
      </c>
      <c r="S12" s="31"/>
      <c r="T12" s="23">
        <v>1495530.7728961869</v>
      </c>
      <c r="U12" s="33">
        <v>74.737065749999601</v>
      </c>
      <c r="V12" s="5">
        <v>11</v>
      </c>
      <c r="W12" s="5">
        <v>64</v>
      </c>
      <c r="X12" s="33">
        <v>2283.4645792226838</v>
      </c>
      <c r="Y12" s="5">
        <v>35.520269072275703</v>
      </c>
      <c r="Z12" s="5">
        <v>7795.770652291917</v>
      </c>
      <c r="AA12" s="35"/>
    </row>
    <row r="13" spans="2:27" x14ac:dyDescent="0.2">
      <c r="B13" s="4">
        <v>10</v>
      </c>
      <c r="C13" s="4">
        <v>850</v>
      </c>
      <c r="D13" s="23">
        <v>1137792.7221732191</v>
      </c>
      <c r="E13" s="33">
        <v>97.400434541999857</v>
      </c>
      <c r="F13" s="5">
        <v>9</v>
      </c>
      <c r="G13" s="23">
        <v>79</v>
      </c>
      <c r="H13" s="33">
        <v>1366.6698309684677</v>
      </c>
      <c r="I13" s="23">
        <v>29.329050173695723</v>
      </c>
      <c r="J13" s="5">
        <v>6249.2682797898633</v>
      </c>
      <c r="K13" s="31"/>
      <c r="L13" s="23">
        <v>1364742.6885043189</v>
      </c>
      <c r="M13" s="33">
        <v>56.579747332998522</v>
      </c>
      <c r="N13" s="5">
        <v>9</v>
      </c>
      <c r="O13" s="5">
        <v>55</v>
      </c>
      <c r="P13" s="33">
        <v>749.98146811315462</v>
      </c>
      <c r="Q13" s="5">
        <v>18.462544409349047</v>
      </c>
      <c r="R13" s="5">
        <v>5053.3142942786462</v>
      </c>
      <c r="S13" s="31"/>
      <c r="T13" s="23">
        <v>1430369.02442842</v>
      </c>
      <c r="U13" s="33">
        <v>59.564485916998819</v>
      </c>
      <c r="V13" s="5">
        <v>5</v>
      </c>
      <c r="W13" s="5">
        <v>46</v>
      </c>
      <c r="X13" s="33">
        <v>529.14977746062345</v>
      </c>
      <c r="Y13" s="5">
        <v>45.83838423203494</v>
      </c>
      <c r="Z13" s="5">
        <v>5855.566587862766</v>
      </c>
      <c r="AA13" s="35"/>
    </row>
    <row r="14" spans="2:27" x14ac:dyDescent="0.2">
      <c r="B14" s="46" t="s">
        <v>3</v>
      </c>
      <c r="C14" s="47"/>
      <c r="D14" s="9">
        <f>MIN(D4:D13)</f>
        <v>1120015.0923573279</v>
      </c>
      <c r="E14" s="22">
        <f>INDEX(E4:E13, MATCH($D$14, D4:D13, 0))</f>
        <v>102.5687096660004</v>
      </c>
      <c r="F14" s="9">
        <f>INDEX(F4:F13, MATCH($D$14, D4:D13, 0))</f>
        <v>11</v>
      </c>
      <c r="G14" s="9">
        <f>INDEX(G4:G13, MATCH($D$14, D4:D13, 0))</f>
        <v>85</v>
      </c>
      <c r="H14" s="22">
        <f>INDEX(H4:H13, MATCH($D$14, D4:D13, 0))</f>
        <v>1507.6301966126612</v>
      </c>
      <c r="I14" s="22">
        <f>INDEX(I4:I13, MATCH($D$14, D4:D13, 0))</f>
        <v>26.228742355326627</v>
      </c>
      <c r="J14" s="22">
        <f>INDEX(J4:J13, MATCH($D$14, D4:D13, 0))</f>
        <v>6486.5160182821992</v>
      </c>
      <c r="K14" s="32" t="e">
        <f>(D14-$D$15)/$D$15</f>
        <v>#DIV/0!</v>
      </c>
      <c r="L14" s="16">
        <f>MIN(L4:L13)</f>
        <v>1296779.0866097829</v>
      </c>
      <c r="M14" s="21">
        <f>INDEX(M4:M13, MATCH($L$14, L4:L13, 0))</f>
        <v>127.21586000000021</v>
      </c>
      <c r="N14" s="16">
        <f>INDEX(N4:N13, MATCH($L$14, L4:L13, 0))</f>
        <v>11</v>
      </c>
      <c r="O14" s="16">
        <f>INDEX(O4:O13, MATCH($L$14, L4:L13, 0))</f>
        <v>65</v>
      </c>
      <c r="P14" s="21">
        <f>INDEX(P4:P13, MATCH($L$14, L4:L13, 0))</f>
        <v>952.86248485193641</v>
      </c>
      <c r="Q14" s="21">
        <f>INDEX(Q4:Q13, MATCH($L$14, L4:L13, 0))</f>
        <v>17.340115021478709</v>
      </c>
      <c r="R14" s="21">
        <f>INDEX(R4:R13, MATCH($L$14, L4:L13, 0))</f>
        <v>5494.4583660250019</v>
      </c>
      <c r="S14" s="36" t="e">
        <f>(L14-$D$15)/$D$15</f>
        <v>#DIV/0!</v>
      </c>
      <c r="T14" s="38">
        <f>MIN(T4:T13)</f>
        <v>1352582.257962554</v>
      </c>
      <c r="U14" s="39">
        <f>INDEX(U4:U13, MATCH($T$14, T4:T13, 0))</f>
        <v>57.168261874998279</v>
      </c>
      <c r="V14" s="38">
        <f>INDEX(V4:V13, MATCH($T$14, T4:T13, 0))</f>
        <v>6</v>
      </c>
      <c r="W14" s="38">
        <f>INDEX(W4:W13, MATCH($T$14, T4:T13, 0))</f>
        <v>54</v>
      </c>
      <c r="X14" s="39">
        <f>INDEX(X4:X13, MATCH($T$14, T4:T13, 0))</f>
        <v>909.73039528552351</v>
      </c>
      <c r="Y14" s="39">
        <f>INDEX(Y4:Y13, MATCH($T$14, T4:T13, 0))</f>
        <v>45.936924499318145</v>
      </c>
      <c r="Z14" s="39">
        <f>INDEX(Z4:Z13, MATCH($T$14, T4:T13, 0))</f>
        <v>6041.3217417867172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5">
        <f>(L14-D14)/D14</f>
        <v>0.15782286815476271</v>
      </c>
      <c r="M15" s="45">
        <f t="shared" ref="M15:R15" si="0">(M14-E14)/E14</f>
        <v>0.24029892171072004</v>
      </c>
      <c r="N15" s="45">
        <f t="shared" si="0"/>
        <v>0</v>
      </c>
      <c r="O15" s="45">
        <f t="shared" si="0"/>
        <v>-0.23529411764705882</v>
      </c>
      <c r="P15" s="45">
        <f t="shared" si="0"/>
        <v>-0.36797333524306897</v>
      </c>
      <c r="Q15" s="45">
        <f t="shared" si="0"/>
        <v>-0.3388888118778895</v>
      </c>
      <c r="R15" s="45">
        <f t="shared" si="0"/>
        <v>-0.15294152507464562</v>
      </c>
      <c r="S15"/>
      <c r="T15" s="45">
        <f>(T14-D14)/D14</f>
        <v>0.20764645690241126</v>
      </c>
      <c r="U15" s="45">
        <f t="shared" ref="U15:Z15" si="1">(U14-E14)/E14</f>
        <v>-0.44263448315613857</v>
      </c>
      <c r="V15" s="45">
        <f t="shared" si="1"/>
        <v>-0.45454545454545453</v>
      </c>
      <c r="W15" s="45">
        <f>(W14-G14)/G14</f>
        <v>-0.36470588235294116</v>
      </c>
      <c r="X15" s="45">
        <f t="shared" si="1"/>
        <v>-0.39658253242107849</v>
      </c>
      <c r="Y15" s="45">
        <f t="shared" si="1"/>
        <v>0.75139638328824065</v>
      </c>
      <c r="Z15" s="45">
        <f t="shared" si="1"/>
        <v>-6.8633805149128604E-2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3 C16 C28:C1048576">
    <cfRule type="duplicateValues" dxfId="57" priority="9"/>
    <cfRule type="duplicateValues" dxfId="56" priority="10"/>
  </conditionalFormatting>
  <conditionalFormatting sqref="C4:C13">
    <cfRule type="duplicateValues" dxfId="55" priority="3"/>
    <cfRule type="duplicateValues" dxfId="54" priority="4"/>
  </conditionalFormatting>
  <conditionalFormatting sqref="C14">
    <cfRule type="duplicateValues" dxfId="53" priority="5"/>
    <cfRule type="duplicateValues" dxfId="52" priority="6"/>
  </conditionalFormatting>
  <conditionalFormatting sqref="C15">
    <cfRule type="duplicateValues" dxfId="51" priority="7"/>
    <cfRule type="duplicateValues" dxfId="50" priority="8"/>
  </conditionalFormatting>
  <conditionalFormatting sqref="C17:C2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sheetPr codeName="Sheet13"/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sheetPr codeName="Sheet14"/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sheetPr codeName="Sheet15"/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sheetPr codeName="Sheet16"/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sheetPr codeName="Sheet17"/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sheetPr codeName="Sheet18"/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sheetPr codeName="Sheet19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sheetPr codeName="Sheet20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sheetPr codeName="Sheet21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sheetPr codeName="Sheet22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sheetPr codeName="Sheet23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sheetPr codeName="Sheet24"/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sheetPr codeName="Sheet25"/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sheetPr codeName="Sheet26"/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sheetPr codeName="Sheet27"/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sheetPr codeName="Sheet28"/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sheetPr codeName="Sheet29"/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results340</vt:lpstr>
      <vt:lpstr>results444</vt:lpstr>
      <vt:lpstr>results531</vt:lpstr>
      <vt:lpstr>results618</vt:lpstr>
      <vt:lpstr>results765</vt:lpstr>
      <vt:lpstr>results777</vt:lpstr>
      <vt:lpstr>results866</vt:lpstr>
      <vt:lpstr>results914</vt:lpstr>
      <vt:lpstr>results921</vt:lpstr>
      <vt:lpstr>results979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2026-10-21T19:17:23Z</dcterms:modified>
</cp:coreProperties>
</file>