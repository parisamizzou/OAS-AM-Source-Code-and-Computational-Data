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30-2-3/"/>
    </mc:Choice>
  </mc:AlternateContent>
  <xr:revisionPtr revIDLastSave="0" documentId="13_ncr:1_{E00317E3-FF39-DF46-95DE-5CD7AFDA63D3}" xr6:coauthVersionLast="47" xr6:coauthVersionMax="47" xr10:uidLastSave="{00000000-0000-0000-0000-000000000000}"/>
  <bookViews>
    <workbookView xWindow="0" yWindow="740" windowWidth="34560" windowHeight="21600" activeTab="10" xr2:uid="{41E620E7-D6DF-9342-B452-EA60AB3B07C5}"/>
  </bookViews>
  <sheets>
    <sheet name="Summary" sheetId="68" r:id="rId1"/>
    <sheet name="results43" sheetId="58" r:id="rId2"/>
    <sheet name="results324" sheetId="69" r:id="rId3"/>
    <sheet name="results396" sheetId="70" r:id="rId4"/>
    <sheet name="results457" sheetId="71" r:id="rId5"/>
    <sheet name="results526" sheetId="76" r:id="rId6"/>
    <sheet name="results539" sheetId="77" r:id="rId7"/>
    <sheet name="results581" sheetId="72" r:id="rId8"/>
    <sheet name="results680" sheetId="73" r:id="rId9"/>
    <sheet name="results698" sheetId="74" r:id="rId10"/>
    <sheet name="results917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0" l="1"/>
  <c r="F14" i="70" s="1"/>
  <c r="D14" i="69"/>
  <c r="K14" i="69" s="1"/>
  <c r="G14" i="70" l="1"/>
  <c r="H14" i="70"/>
  <c r="I14" i="70"/>
  <c r="J14" i="70"/>
  <c r="K14" i="70"/>
  <c r="E14" i="70"/>
  <c r="T14" i="70"/>
  <c r="L14" i="70"/>
  <c r="E14" i="69"/>
  <c r="F14" i="69"/>
  <c r="G14" i="69"/>
  <c r="H14" i="69"/>
  <c r="I14" i="69"/>
  <c r="J14" i="69"/>
  <c r="L14" i="69"/>
  <c r="T14" i="69"/>
  <c r="D14" i="58"/>
  <c r="K14" i="58" s="1"/>
  <c r="D14" i="75"/>
  <c r="K14" i="75" s="1"/>
  <c r="D14" i="74"/>
  <c r="G14" i="74" s="1"/>
  <c r="D14" i="73"/>
  <c r="H14" i="73" s="1"/>
  <c r="D14" i="72"/>
  <c r="K14" i="72" s="1"/>
  <c r="D14" i="77"/>
  <c r="H14" i="77" s="1"/>
  <c r="D14" i="76"/>
  <c r="F14" i="76" s="1"/>
  <c r="K14" i="71"/>
  <c r="D14" i="71"/>
  <c r="J14" i="71" s="1"/>
  <c r="O14" i="70" l="1"/>
  <c r="N14" i="70"/>
  <c r="S14" i="70"/>
  <c r="Q14" i="70"/>
  <c r="P14" i="70"/>
  <c r="M14" i="70"/>
  <c r="R14" i="70"/>
  <c r="AA14" i="70"/>
  <c r="Z14" i="70"/>
  <c r="Y14" i="70"/>
  <c r="X14" i="70"/>
  <c r="W14" i="70"/>
  <c r="V14" i="70"/>
  <c r="U14" i="70"/>
  <c r="AA14" i="69"/>
  <c r="V14" i="69"/>
  <c r="U14" i="69"/>
  <c r="Z14" i="69"/>
  <c r="Y14" i="69"/>
  <c r="X14" i="69"/>
  <c r="W14" i="69"/>
  <c r="O14" i="69"/>
  <c r="R14" i="69"/>
  <c r="Q14" i="69"/>
  <c r="P14" i="69"/>
  <c r="N14" i="69"/>
  <c r="M14" i="69"/>
  <c r="S14" i="69"/>
  <c r="E14" i="58"/>
  <c r="H14" i="58"/>
  <c r="F14" i="58"/>
  <c r="G14" i="58"/>
  <c r="I14" i="58"/>
  <c r="J14" i="58"/>
  <c r="L14" i="58"/>
  <c r="T14" i="58"/>
  <c r="H14" i="75"/>
  <c r="I14" i="75"/>
  <c r="J14" i="75"/>
  <c r="E14" i="75"/>
  <c r="F14" i="75"/>
  <c r="G14" i="75"/>
  <c r="I14" i="74"/>
  <c r="H14" i="74"/>
  <c r="J14" i="74"/>
  <c r="E14" i="74"/>
  <c r="K14" i="74"/>
  <c r="F14" i="74"/>
  <c r="J14" i="73"/>
  <c r="I14" i="73"/>
  <c r="K14" i="73"/>
  <c r="E14" i="73"/>
  <c r="G14" i="73"/>
  <c r="F14" i="73"/>
  <c r="E14" i="72"/>
  <c r="G14" i="72"/>
  <c r="I14" i="72"/>
  <c r="F14" i="72"/>
  <c r="H14" i="72"/>
  <c r="J14" i="72"/>
  <c r="F14" i="77"/>
  <c r="G14" i="77"/>
  <c r="I14" i="77"/>
  <c r="J14" i="77"/>
  <c r="K14" i="77"/>
  <c r="E14" i="77"/>
  <c r="H14" i="76"/>
  <c r="I14" i="76"/>
  <c r="J14" i="76"/>
  <c r="K14" i="76"/>
  <c r="E14" i="76"/>
  <c r="G14" i="76"/>
  <c r="G14" i="71"/>
  <c r="H14" i="71"/>
  <c r="I14" i="71"/>
  <c r="E14" i="71"/>
  <c r="F14" i="71"/>
  <c r="F7" i="68" a="1"/>
  <c r="C9" i="68" a="1"/>
  <c r="D6" i="68" a="1"/>
  <c r="I6" i="68" a="1"/>
  <c r="C5" i="68" a="1"/>
  <c r="D11" i="68" a="1"/>
  <c r="D12" i="68" a="1"/>
  <c r="D3" i="68" a="1"/>
  <c r="G3" i="68" a="1"/>
  <c r="F8" i="68" a="1"/>
  <c r="I12" i="68" a="1"/>
  <c r="D10" i="68" a="1"/>
  <c r="I8" i="68" a="1"/>
  <c r="I10" i="68" a="1"/>
  <c r="G7" i="68" a="1"/>
  <c r="G12" i="68" a="1"/>
  <c r="F4" i="68" a="1"/>
  <c r="E11" i="68" a="1"/>
  <c r="F6" i="68" a="1"/>
  <c r="H7" i="68" a="1"/>
  <c r="G6" i="68" a="1"/>
  <c r="H5" i="68" a="1"/>
  <c r="E7" i="68" a="1"/>
  <c r="D7" i="68" a="1"/>
  <c r="E6" i="68" a="1"/>
  <c r="H10" i="68" a="1"/>
  <c r="I7" i="68" a="1"/>
  <c r="C10" i="68" a="1"/>
  <c r="I11" i="68" a="1"/>
  <c r="F5" i="68" a="1"/>
  <c r="C4" i="68" a="1"/>
  <c r="C7" i="68" a="1"/>
  <c r="E10" i="68" a="1"/>
  <c r="I5" i="68" a="1"/>
  <c r="F3" i="68" a="1"/>
  <c r="E5" i="68" a="1"/>
  <c r="F9" i="68" a="1"/>
  <c r="H6" i="68" a="1"/>
  <c r="G5" i="68" a="1"/>
  <c r="F12" i="68" a="1"/>
  <c r="H9" i="68" a="1"/>
  <c r="C12" i="68" a="1"/>
  <c r="H3" i="68" a="1"/>
  <c r="D5" i="68" a="1"/>
  <c r="D8" i="68" a="1"/>
  <c r="I3" i="68" a="1"/>
  <c r="E9" i="68" a="1"/>
  <c r="D4" i="68" a="1"/>
  <c r="E4" i="68" a="1"/>
  <c r="D9" i="68" a="1"/>
  <c r="H8" i="68" a="1"/>
  <c r="G4" i="68" a="1"/>
  <c r="G8" i="68" a="1"/>
  <c r="C6" i="68" a="1"/>
  <c r="C11" i="68" a="1"/>
  <c r="H11" i="68" a="1"/>
  <c r="F11" i="68" a="1"/>
  <c r="F10" i="68" a="1"/>
  <c r="G9" i="68" a="1"/>
  <c r="E12" i="68" a="1"/>
  <c r="E3" i="68" a="1"/>
  <c r="I4" i="68" a="1"/>
  <c r="E8" i="68" a="1"/>
  <c r="G10" i="68" a="1"/>
  <c r="C8" i="68" a="1"/>
  <c r="H4" i="68" a="1"/>
  <c r="C3" i="68" a="1"/>
  <c r="G11" i="68" a="1"/>
  <c r="H12" i="68" a="1"/>
  <c r="I9" i="68" a="1"/>
  <c r="AA14" i="58" l="1"/>
  <c r="Z14" i="58"/>
  <c r="Y14" i="58"/>
  <c r="X14" i="58"/>
  <c r="W14" i="58"/>
  <c r="V14" i="58"/>
  <c r="U14" i="58"/>
  <c r="N14" i="58"/>
  <c r="Q14" i="58"/>
  <c r="M14" i="58"/>
  <c r="R14" i="58"/>
  <c r="O14" i="58"/>
  <c r="P14" i="58"/>
  <c r="S14" i="58"/>
  <c r="C4" i="68"/>
  <c r="F5" i="68"/>
  <c r="H8" i="68"/>
  <c r="F12" i="68"/>
  <c r="C10" i="68"/>
  <c r="L14" i="71"/>
  <c r="F4" i="68"/>
  <c r="C5" i="68"/>
  <c r="I3" i="68"/>
  <c r="H5" i="68"/>
  <c r="C3" i="68"/>
  <c r="G6" i="68"/>
  <c r="C7" i="68"/>
  <c r="D3" i="68"/>
  <c r="D12" i="68"/>
  <c r="T14" i="72"/>
  <c r="D9" i="68"/>
  <c r="G5" i="68"/>
  <c r="I7" i="68"/>
  <c r="G12" i="68"/>
  <c r="I6" i="68"/>
  <c r="F10" i="68"/>
  <c r="D8" i="68"/>
  <c r="H4" i="68"/>
  <c r="E10" i="68"/>
  <c r="G3" i="68"/>
  <c r="C12" i="68"/>
  <c r="G8" i="68"/>
  <c r="E4" i="68"/>
  <c r="H6" i="68"/>
  <c r="H10" i="68"/>
  <c r="G7" i="68"/>
  <c r="D6" i="68"/>
  <c r="F3" i="68"/>
  <c r="I12" i="68"/>
  <c r="C8" i="68"/>
  <c r="D5" i="68"/>
  <c r="C11" i="68"/>
  <c r="C6" i="68"/>
  <c r="H9" i="68"/>
  <c r="D4" i="68"/>
  <c r="F9" i="68"/>
  <c r="E6" i="68"/>
  <c r="I10" i="68"/>
  <c r="C9" i="68"/>
  <c r="H12" i="68"/>
  <c r="I5" i="68"/>
  <c r="G10" i="68"/>
  <c r="F8" i="68"/>
  <c r="H3" i="68"/>
  <c r="F6" i="68"/>
  <c r="G4" i="68"/>
  <c r="E9" i="68"/>
  <c r="E5" i="68"/>
  <c r="D7" i="68"/>
  <c r="I8" i="68"/>
  <c r="F7" i="68"/>
  <c r="D10" i="68"/>
  <c r="I9" i="68"/>
  <c r="T14" i="74"/>
  <c r="L14" i="72"/>
  <c r="T14" i="71"/>
  <c r="L14" i="77"/>
  <c r="T14" i="77"/>
  <c r="T14" i="73"/>
  <c r="L14" i="73"/>
  <c r="L14" i="74"/>
  <c r="L14" i="75"/>
  <c r="T14" i="75"/>
  <c r="E8" i="68"/>
  <c r="I4" i="68"/>
  <c r="E3" i="68"/>
  <c r="E12" i="68"/>
  <c r="G9" i="68"/>
  <c r="E7" i="68"/>
  <c r="H7" i="68"/>
  <c r="H11" i="68"/>
  <c r="I11" i="68"/>
  <c r="E11" i="68"/>
  <c r="D11" i="68"/>
  <c r="F11" i="68"/>
  <c r="G11" i="68"/>
  <c r="K9" i="68" a="1"/>
  <c r="S10" i="68" a="1"/>
  <c r="K8" i="68" a="1"/>
  <c r="K12" i="68" a="1"/>
  <c r="S11" i="68" a="1"/>
  <c r="S5" i="68" a="1"/>
  <c r="S3" i="68" a="1"/>
  <c r="K5" i="68" a="1"/>
  <c r="S9" i="68" a="1"/>
  <c r="S12" i="68" a="1"/>
  <c r="K11" i="68" a="1"/>
  <c r="K4" i="68" a="1"/>
  <c r="S8" i="68" a="1"/>
  <c r="S4" i="68" a="1"/>
  <c r="T14" i="76" l="1"/>
  <c r="L14" i="76"/>
  <c r="AA14" i="75"/>
  <c r="Z14" i="75"/>
  <c r="Y14" i="75"/>
  <c r="X14" i="75"/>
  <c r="W14" i="75"/>
  <c r="V14" i="75"/>
  <c r="U14" i="75"/>
  <c r="O14" i="75"/>
  <c r="N14" i="75"/>
  <c r="M14" i="75"/>
  <c r="Q14" i="75"/>
  <c r="H2" i="75" s="1"/>
  <c r="R14" i="75"/>
  <c r="R2" i="75" s="1"/>
  <c r="P14" i="75"/>
  <c r="P2" i="75" s="1"/>
  <c r="S14" i="75"/>
  <c r="J2" i="75" s="1"/>
  <c r="N14" i="74"/>
  <c r="M14" i="74"/>
  <c r="Q14" i="74"/>
  <c r="H2" i="74" s="1"/>
  <c r="R14" i="74"/>
  <c r="R2" i="74" s="1"/>
  <c r="O14" i="74"/>
  <c r="S14" i="74"/>
  <c r="P14" i="74"/>
  <c r="P2" i="74" s="1"/>
  <c r="AA14" i="74"/>
  <c r="Z14" i="74"/>
  <c r="Y14" i="74"/>
  <c r="X14" i="74"/>
  <c r="W14" i="74"/>
  <c r="U14" i="74"/>
  <c r="V14" i="74"/>
  <c r="N14" i="73"/>
  <c r="S14" i="73"/>
  <c r="J2" i="73" s="1"/>
  <c r="Q14" i="73"/>
  <c r="H2" i="73" s="1"/>
  <c r="M14" i="73"/>
  <c r="P14" i="73"/>
  <c r="P2" i="73" s="1"/>
  <c r="O14" i="73"/>
  <c r="R14" i="73"/>
  <c r="AA14" i="73"/>
  <c r="Z14" i="73"/>
  <c r="Y14" i="73"/>
  <c r="X14" i="73"/>
  <c r="W14" i="73"/>
  <c r="V14" i="73"/>
  <c r="U14" i="73"/>
  <c r="N14" i="72"/>
  <c r="M14" i="72"/>
  <c r="Q14" i="72"/>
  <c r="H2" i="72" s="1"/>
  <c r="R14" i="72"/>
  <c r="R2" i="72" s="1"/>
  <c r="P14" i="72"/>
  <c r="P2" i="72" s="1"/>
  <c r="O14" i="72"/>
  <c r="S14" i="72"/>
  <c r="J2" i="72" s="1"/>
  <c r="AA14" i="72"/>
  <c r="Z14" i="72"/>
  <c r="Y14" i="72"/>
  <c r="X14" i="72"/>
  <c r="W14" i="72"/>
  <c r="V14" i="72"/>
  <c r="U14" i="72"/>
  <c r="AA14" i="77"/>
  <c r="Z14" i="77"/>
  <c r="Y14" i="77"/>
  <c r="X14" i="77"/>
  <c r="W14" i="77"/>
  <c r="U14" i="77"/>
  <c r="V14" i="77"/>
  <c r="O14" i="77"/>
  <c r="N14" i="77"/>
  <c r="M14" i="77"/>
  <c r="R14" i="77"/>
  <c r="S14" i="77"/>
  <c r="J2" i="77" s="1"/>
  <c r="P14" i="77"/>
  <c r="P2" i="77" s="1"/>
  <c r="Q14" i="77"/>
  <c r="H2" i="77" s="1"/>
  <c r="O14" i="76"/>
  <c r="N14" i="76"/>
  <c r="R14" i="76"/>
  <c r="R2" i="76" s="1"/>
  <c r="M14" i="76"/>
  <c r="S14" i="76"/>
  <c r="J2" i="76" s="1"/>
  <c r="Q14" i="76"/>
  <c r="H2" i="76" s="1"/>
  <c r="P14" i="76"/>
  <c r="P2" i="76" s="1"/>
  <c r="AA14" i="76"/>
  <c r="Z14" i="76"/>
  <c r="Y14" i="76"/>
  <c r="X14" i="76"/>
  <c r="W14" i="76"/>
  <c r="U14" i="76"/>
  <c r="V14" i="76"/>
  <c r="N14" i="71"/>
  <c r="O14" i="71"/>
  <c r="M14" i="71"/>
  <c r="R14" i="71"/>
  <c r="R2" i="71" s="1"/>
  <c r="Q14" i="71"/>
  <c r="H2" i="71" s="1"/>
  <c r="S14" i="71"/>
  <c r="J2" i="71" s="1"/>
  <c r="P14" i="71"/>
  <c r="P2" i="71" s="1"/>
  <c r="AA14" i="71"/>
  <c r="Z14" i="71"/>
  <c r="Y14" i="71"/>
  <c r="X14" i="71"/>
  <c r="W14" i="71"/>
  <c r="V14" i="71"/>
  <c r="U14" i="71"/>
  <c r="J2" i="70"/>
  <c r="H2" i="70"/>
  <c r="P2" i="70"/>
  <c r="C13" i="68"/>
  <c r="J13" i="68" s="1"/>
  <c r="H2" i="69"/>
  <c r="J2" i="69"/>
  <c r="J2" i="58"/>
  <c r="F13" i="68"/>
  <c r="C17" i="68"/>
  <c r="D13" i="68"/>
  <c r="I13" i="68"/>
  <c r="S11" i="68"/>
  <c r="K11" i="68"/>
  <c r="G13" i="68"/>
  <c r="H13" i="68"/>
  <c r="S10" i="68"/>
  <c r="S4" i="68"/>
  <c r="K8" i="68"/>
  <c r="S8" i="68"/>
  <c r="K12" i="68"/>
  <c r="K9" i="68"/>
  <c r="K4" i="68"/>
  <c r="K5" i="68"/>
  <c r="S12" i="68"/>
  <c r="S3" i="68"/>
  <c r="S9" i="68"/>
  <c r="S5" i="68"/>
  <c r="E13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S6" i="68" a="1"/>
  <c r="U3" i="68" a="1"/>
  <c r="X11" i="68" a="1"/>
  <c r="T12" i="68" a="1"/>
  <c r="M4" i="68" a="1"/>
  <c r="W7" i="68" a="1"/>
  <c r="X8" i="68" a="1"/>
  <c r="U7" i="68" a="1"/>
  <c r="P5" i="68" a="1"/>
  <c r="L3" i="68" a="1"/>
  <c r="Y5" i="68" a="1"/>
  <c r="L9" i="68" a="1"/>
  <c r="L6" i="68" a="1"/>
  <c r="Q9" i="68" a="1"/>
  <c r="N6" i="68" a="1"/>
  <c r="K6" i="68" a="1"/>
  <c r="U6" i="68" a="1"/>
  <c r="U5" i="68" a="1"/>
  <c r="L10" i="68" a="1"/>
  <c r="V4" i="68" a="1"/>
  <c r="O10" i="68" a="1"/>
  <c r="Q3" i="68" a="1"/>
  <c r="P3" i="68" a="1"/>
  <c r="P10" i="68" a="1"/>
  <c r="L5" i="68" a="1"/>
  <c r="K3" i="68" a="1"/>
  <c r="T4" i="68" a="1"/>
  <c r="T7" i="68" a="1"/>
  <c r="X10" i="68" a="1"/>
  <c r="U8" i="68" a="1"/>
  <c r="W11" i="68" a="1"/>
  <c r="T10" i="68" a="1"/>
  <c r="P11" i="68" a="1"/>
  <c r="L12" i="68" a="1"/>
  <c r="X9" i="68" a="1"/>
  <c r="K7" i="68" a="1"/>
  <c r="V9" i="68" a="1"/>
  <c r="N4" i="68" a="1"/>
  <c r="U12" i="68" a="1"/>
  <c r="V12" i="68" a="1"/>
  <c r="X12" i="68" a="1"/>
  <c r="P7" i="68" a="1"/>
  <c r="L8" i="68" a="1"/>
  <c r="K10" i="68" a="1"/>
  <c r="Y6" i="68" a="1"/>
  <c r="X5" i="68" a="1"/>
  <c r="Y4" i="68" a="1"/>
  <c r="W5" i="68" a="1"/>
  <c r="O3" i="68" a="1"/>
  <c r="O9" i="68" a="1"/>
  <c r="V11" i="68" a="1"/>
  <c r="Q11" i="68" a="1"/>
  <c r="Q12" i="68" a="1"/>
  <c r="O12" i="68" a="1"/>
  <c r="O8" i="68" a="1"/>
  <c r="W9" i="68" a="1"/>
  <c r="O11" i="68" a="1"/>
  <c r="M9" i="68" a="1"/>
  <c r="Y3" i="68" a="1"/>
  <c r="N5" i="68" a="1"/>
  <c r="N8" i="68" a="1"/>
  <c r="L4" i="68" a="1"/>
  <c r="T5" i="68" a="1"/>
  <c r="V10" i="68" a="1"/>
  <c r="Y11" i="68" a="1"/>
  <c r="M7" i="68" a="1"/>
  <c r="L7" i="68" a="1"/>
  <c r="W4" i="68" a="1"/>
  <c r="Q7" i="68" a="1"/>
  <c r="V3" i="68" a="1"/>
  <c r="U4" i="68" a="1"/>
  <c r="Y10" i="68" a="1"/>
  <c r="P9" i="68" a="1"/>
  <c r="X4" i="68" a="1"/>
  <c r="W12" i="68" a="1"/>
  <c r="Q8" i="68" a="1"/>
  <c r="M6" i="68" a="1"/>
  <c r="Q4" i="68" a="1"/>
  <c r="N3" i="68" a="1"/>
  <c r="L11" i="68" a="1"/>
  <c r="Q6" i="68" a="1"/>
  <c r="O5" i="68" a="1"/>
  <c r="N12" i="68" a="1"/>
  <c r="M8" i="68" a="1"/>
  <c r="P4" i="68" a="1"/>
  <c r="U9" i="68" a="1"/>
  <c r="S7" i="68" a="1"/>
  <c r="N7" i="68" a="1"/>
  <c r="O4" i="68" a="1"/>
  <c r="W6" i="68" a="1"/>
  <c r="T8" i="68" a="1"/>
  <c r="Q5" i="68" a="1"/>
  <c r="V7" i="68" a="1"/>
  <c r="P6" i="68" a="1"/>
  <c r="M10" i="68" a="1"/>
  <c r="T11" i="68" a="1"/>
  <c r="M5" i="68" a="1"/>
  <c r="V6" i="68" a="1"/>
  <c r="X3" i="68" a="1"/>
  <c r="M12" i="68" a="1"/>
  <c r="Y8" i="68" a="1"/>
  <c r="P12" i="68" a="1"/>
  <c r="Y7" i="68" a="1"/>
  <c r="U11" i="68" a="1"/>
  <c r="W3" i="68" a="1"/>
  <c r="O7" i="68" a="1"/>
  <c r="X6" i="68" a="1"/>
  <c r="Q10" i="68" a="1"/>
  <c r="W8" i="68" a="1"/>
  <c r="O6" i="68" a="1"/>
  <c r="W10" i="68" a="1"/>
  <c r="T3" i="68" a="1"/>
  <c r="V5" i="68" a="1"/>
  <c r="N9" i="68" a="1"/>
  <c r="X7" i="68" a="1"/>
  <c r="M11" i="68" a="1"/>
  <c r="Y12" i="68" a="1"/>
  <c r="Y9" i="68" a="1"/>
  <c r="V8" i="68" a="1"/>
  <c r="M3" i="68" a="1"/>
  <c r="T6" i="68" a="1"/>
  <c r="U10" i="68" a="1"/>
  <c r="T9" i="68" a="1"/>
  <c r="N10" i="68" a="1"/>
  <c r="N11" i="68" a="1"/>
  <c r="P8" i="68" a="1"/>
  <c r="S6" i="68" l="1"/>
  <c r="K6" i="68"/>
  <c r="Z2" i="70"/>
  <c r="Z2" i="58"/>
  <c r="X2" i="58"/>
  <c r="U8" i="68"/>
  <c r="X2" i="73"/>
  <c r="Z2" i="77"/>
  <c r="X2" i="71"/>
  <c r="N4" i="68"/>
  <c r="Z2" i="73"/>
  <c r="X2" i="70"/>
  <c r="X2" i="69"/>
  <c r="Z2" i="75"/>
  <c r="Y11" i="68"/>
  <c r="O11" i="68"/>
  <c r="P2" i="58"/>
  <c r="M11" i="68"/>
  <c r="Y7" i="68"/>
  <c r="T11" i="68"/>
  <c r="N7" i="68"/>
  <c r="P4" i="68"/>
  <c r="M8" i="68"/>
  <c r="Z2" i="76"/>
  <c r="Z2" i="74"/>
  <c r="S7" i="68"/>
  <c r="V11" i="68"/>
  <c r="L7" i="68"/>
  <c r="Y3" i="68"/>
  <c r="V12" i="68"/>
  <c r="T10" i="68"/>
  <c r="U5" i="68"/>
  <c r="X11" i="68"/>
  <c r="Y12" i="68"/>
  <c r="U11" i="68"/>
  <c r="M5" i="68"/>
  <c r="O4" i="68"/>
  <c r="U9" i="68"/>
  <c r="X4" i="68"/>
  <c r="M7" i="68"/>
  <c r="M9" i="68"/>
  <c r="U12" i="68"/>
  <c r="W11" i="68"/>
  <c r="U6" i="68"/>
  <c r="U3" i="68"/>
  <c r="X2" i="76"/>
  <c r="X2" i="75"/>
  <c r="Z2" i="69"/>
  <c r="P7" i="68"/>
  <c r="L12" i="68"/>
  <c r="V4" i="68"/>
  <c r="M4" i="68"/>
  <c r="V8" i="68"/>
  <c r="O7" i="68"/>
  <c r="X3" i="68"/>
  <c r="T8" i="68"/>
  <c r="O5" i="68"/>
  <c r="W12" i="68"/>
  <c r="W4" i="68"/>
  <c r="N5" i="68"/>
  <c r="X12" i="68"/>
  <c r="P11" i="68"/>
  <c r="L10" i="68"/>
  <c r="T12" i="68"/>
  <c r="Y9" i="68"/>
  <c r="W3" i="68"/>
  <c r="V6" i="68"/>
  <c r="W6" i="68"/>
  <c r="H2" i="58"/>
  <c r="R2" i="69"/>
  <c r="X2" i="74"/>
  <c r="X2" i="77"/>
  <c r="Y6" i="68"/>
  <c r="V9" i="68"/>
  <c r="P3" i="68"/>
  <c r="U7" i="68"/>
  <c r="U10" i="68"/>
  <c r="W8" i="68"/>
  <c r="P12" i="68"/>
  <c r="P6" i="68"/>
  <c r="O12" i="68"/>
  <c r="Q4" i="68"/>
  <c r="U4" i="68"/>
  <c r="T5" i="68"/>
  <c r="K10" i="68"/>
  <c r="K7" i="68"/>
  <c r="Q3" i="68"/>
  <c r="X8" i="68"/>
  <c r="T6" i="68"/>
  <c r="Q10" i="68"/>
  <c r="Y8" i="68"/>
  <c r="V7" i="68"/>
  <c r="N12" i="68"/>
  <c r="M6" i="68"/>
  <c r="V3" i="68"/>
  <c r="L4" i="68"/>
  <c r="L8" i="68"/>
  <c r="X9" i="68"/>
  <c r="O10" i="68"/>
  <c r="W7" i="68"/>
  <c r="M3" i="68"/>
  <c r="X6" i="68"/>
  <c r="M12" i="68"/>
  <c r="Q5" i="68"/>
  <c r="Q12" i="68"/>
  <c r="Q8" i="68"/>
  <c r="Q7" i="68"/>
  <c r="N8" i="68"/>
  <c r="P2" i="69"/>
  <c r="R2" i="70"/>
  <c r="Z2" i="72"/>
  <c r="X2" i="72"/>
  <c r="J2" i="74"/>
  <c r="R2" i="77"/>
  <c r="P8" i="68"/>
  <c r="V5" i="68"/>
  <c r="W9" i="68"/>
  <c r="W5" i="68"/>
  <c r="T4" i="68"/>
  <c r="Q9" i="68"/>
  <c r="N11" i="68"/>
  <c r="T3" i="68"/>
  <c r="N9" i="68"/>
  <c r="X10" i="68"/>
  <c r="Q6" i="68"/>
  <c r="O3" i="68"/>
  <c r="Y4" i="68"/>
  <c r="K3" i="68"/>
  <c r="T7" i="68"/>
  <c r="Q11" i="68"/>
  <c r="P9" i="68"/>
  <c r="X5" i="68"/>
  <c r="L5" i="68"/>
  <c r="L6" i="68"/>
  <c r="Y5" i="68"/>
  <c r="N10" i="68"/>
  <c r="W10" i="68"/>
  <c r="X7" i="68"/>
  <c r="L9" i="68"/>
  <c r="L3" i="68"/>
  <c r="T9" i="68"/>
  <c r="O6" i="68"/>
  <c r="M10" i="68"/>
  <c r="O8" i="68"/>
  <c r="L11" i="68"/>
  <c r="O9" i="68"/>
  <c r="N6" i="68"/>
  <c r="P10" i="68"/>
  <c r="P5" i="68"/>
  <c r="N3" i="68"/>
  <c r="Y10" i="68"/>
  <c r="V10" i="68"/>
  <c r="R2" i="58"/>
  <c r="Z2" i="71"/>
  <c r="R2" i="73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3" i="68" l="1"/>
  <c r="Z13" i="68" s="1"/>
  <c r="S17" i="68"/>
  <c r="U13" i="68"/>
  <c r="U14" i="68" s="1"/>
  <c r="V13" i="68"/>
  <c r="V14" i="68" s="1"/>
  <c r="Y13" i="68"/>
  <c r="Y14" i="68" s="1"/>
  <c r="T13" i="68"/>
  <c r="T14" i="68" s="1"/>
  <c r="W13" i="68"/>
  <c r="W14" i="68" s="1"/>
  <c r="L13" i="68"/>
  <c r="L14" i="68" s="1"/>
  <c r="M13" i="68"/>
  <c r="M14" i="68" s="1"/>
  <c r="N13" i="68"/>
  <c r="N14" i="68" s="1"/>
  <c r="O13" i="68"/>
  <c r="O14" i="68" s="1"/>
  <c r="Q13" i="68"/>
  <c r="Q14" i="68" s="1"/>
  <c r="X13" i="68"/>
  <c r="X14" i="68" s="1"/>
  <c r="P13" i="68"/>
  <c r="P14" i="68" s="1"/>
  <c r="S14" i="68"/>
  <c r="K13" i="68"/>
  <c r="R13" i="68" s="1"/>
  <c r="K17" i="68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14" i="68" l="1"/>
  <c r="G14" i="26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F5" i="23" a="1"/>
  <c r="F10" i="23" a="1"/>
  <c r="F6" i="23" a="1"/>
  <c r="D12" i="23" a="1"/>
  <c r="E4" i="23" a="1"/>
  <c r="E5" i="23" a="1"/>
  <c r="F13" i="23" a="1"/>
  <c r="G5" i="23" a="1"/>
  <c r="D7" i="23" a="1"/>
  <c r="D9" i="23" a="1"/>
  <c r="F11" i="23" a="1"/>
  <c r="E10" i="23" a="1"/>
  <c r="G10" i="23" a="1"/>
  <c r="G7" i="23" a="1"/>
  <c r="G8" i="23" a="1"/>
  <c r="F4" i="23" a="1"/>
  <c r="E8" i="23" a="1"/>
  <c r="D4" i="23" a="1"/>
  <c r="D13" i="23" a="1"/>
  <c r="D5" i="23" a="1"/>
  <c r="D6" i="23" a="1"/>
  <c r="D8" i="23" a="1"/>
  <c r="E13" i="23" a="1"/>
  <c r="G4" i="23" a="1"/>
  <c r="F7" i="23" a="1"/>
  <c r="G9" i="23" a="1"/>
  <c r="E12" i="23" a="1"/>
  <c r="E9" i="23" a="1"/>
  <c r="E6" i="23" a="1"/>
  <c r="G12" i="23" a="1"/>
  <c r="D10" i="23" a="1"/>
  <c r="F8" i="23" a="1"/>
  <c r="G13" i="23" a="1"/>
  <c r="D11" i="23" a="1"/>
  <c r="F12" i="23" a="1"/>
  <c r="E7" i="23" a="1"/>
  <c r="G6" i="23" a="1"/>
  <c r="G11" i="23" a="1"/>
  <c r="E11" i="23" a="1"/>
  <c r="F9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<sst xmlns="http://schemas.openxmlformats.org/spreadsheetml/2006/main" count="677" uniqueCount="22">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</sst>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T13" sqref="T13:Y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324</v>
      </c>
      <c r="C3" s="5" cm="1">
        <f t="array" aca="1" ref="C3" ca="1">INDIRECT("'results" &amp; $B3 &amp; "'!D$14")</f>
        <v>113813.7616361594</v>
      </c>
      <c r="D3" s="33" cm="1">
        <f t="array" aca="1" ref="D3" ca="1">INDIRECT("'results" &amp; $B3 &amp; "'!E$14")</f>
        <v>0.54882383400035906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63.333333333333343</v>
      </c>
      <c r="G3" s="5" cm="1">
        <f t="array" aca="1" ref="G3" ca="1">INDIRECT("'results" &amp; $B3 &amp; "'!H$14")</f>
        <v>100.17435425558706</v>
      </c>
      <c r="H3" s="33" cm="1">
        <f t="array" aca="1" ref="H3" ca="1">INDIRECT("'results" &amp; $B3 &amp; "'!I$14")</f>
        <v>21.113778986905956</v>
      </c>
      <c r="I3" s="5" cm="1">
        <f t="array" aca="1" ref="I3" ca="1">INDIRECT("'results" &amp; $B3 &amp; "'!J$14")</f>
        <v>2074.3433503800443</v>
      </c>
      <c r="J3" s="5"/>
      <c r="K3" s="5" cm="1">
        <f t="array" aca="1" ref="K3" ca="1">INDIRECT("'results" &amp; $B3 &amp; "'!L$14")</f>
        <v>117174.6334947812</v>
      </c>
      <c r="L3" s="5" cm="1">
        <f t="array" aca="1" ref="L3" ca="1">INDIRECT("'results" &amp; $B3 &amp; "'!M$14")</f>
        <v>0.62520433299869183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53.333333333333343</v>
      </c>
      <c r="O3" s="5" cm="1">
        <f t="array" aca="1" ref="O3" ca="1">INDIRECT("'results" &amp; $B3 &amp; "'!P$14")</f>
        <v>10.961374374378231</v>
      </c>
      <c r="P3" s="5" cm="1">
        <f t="array" aca="1" ref="P3" ca="1">INDIRECT("'results" &amp; $B3 &amp; "'!Q$14")</f>
        <v>16.795497770943271</v>
      </c>
      <c r="Q3" s="5" cm="1">
        <f t="array" aca="1" ref="Q3" ca="1">INDIRECT("'results" &amp; $B3 &amp; "'!R$14")</f>
        <v>1712.620323011801</v>
      </c>
      <c r="R3" s="5"/>
      <c r="S3" s="5" cm="1">
        <f t="array" aca="1" ref="S3" ca="1">INDIRECT("'results" &amp; $B3 &amp; "'!T$14")</f>
        <v>126325.4478474366</v>
      </c>
      <c r="T3" s="5" cm="1">
        <f t="array" aca="1" ref="T3" ca="1">INDIRECT("'results" &amp; $B3 &amp; "'!U$14")</f>
        <v>0.70171937499981141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46.666666666666657</v>
      </c>
      <c r="W3" s="5" cm="1">
        <f t="array" aca="1" ref="W3" ca="1">INDIRECT("'results" &amp; $B3 &amp; "'!X$14")</f>
        <v>10.86992609689657</v>
      </c>
      <c r="X3" s="5" cm="1">
        <f t="array" aca="1" ref="X3" ca="1">INDIRECT("'results" &amp; $B3 &amp; "'!Y$14")</f>
        <v>20.53398797468471</v>
      </c>
      <c r="Y3" s="5" cm="1">
        <f t="array" aca="1" ref="Y3" ca="1">INDIRECT("'results" &amp; $B3 &amp; "'!Z$14")</f>
        <v>2001.7524865988939</v>
      </c>
      <c r="Z3" s="5"/>
    </row>
    <row r="4" spans="2:26" x14ac:dyDescent="0.2">
      <c r="B4" s="4">
        <v>396</v>
      </c>
      <c r="C4" s="5" cm="1">
        <f t="array" aca="1" ref="C4" ca="1">INDIRECT("'results" &amp; $B4 &amp; "'!D$14")</f>
        <v>103752.5282899922</v>
      </c>
      <c r="D4" s="33" cm="1">
        <f t="array" aca="1" ref="D4" ca="1">INDIRECT("'results" &amp; $B4 &amp; "'!E$14")</f>
        <v>1.354875125001854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70</v>
      </c>
      <c r="G4" s="5" cm="1">
        <f t="array" aca="1" ref="G4" ca="1">INDIRECT("'results" &amp; $B4 &amp; "'!H$14")</f>
        <v>27.631118471939857</v>
      </c>
      <c r="H4" s="33" cm="1">
        <f t="array" aca="1" ref="H4" ca="1">INDIRECT("'results" &amp; $B4 &amp; "'!I$14")</f>
        <v>28.009285707232923</v>
      </c>
      <c r="I4" s="5" cm="1">
        <f t="array" aca="1" ref="I4" ca="1">INDIRECT("'results" &amp; $B4 &amp; "'!J$14")</f>
        <v>1928.9574404534544</v>
      </c>
      <c r="J4" s="5"/>
      <c r="K4" s="5" cm="1">
        <f t="array" aca="1" ref="K4" ca="1">INDIRECT("'results" &amp; $B4 &amp; "'!L$14")</f>
        <v>109164.14988951611</v>
      </c>
      <c r="L4" s="5" cm="1">
        <f t="array" aca="1" ref="L4" ca="1">INDIRECT("'results" &amp; $B4 &amp; "'!M$14")</f>
        <v>0.67357533299946226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53.333333333333343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18.313690984312149</v>
      </c>
      <c r="Q4" s="5" cm="1">
        <f t="array" aca="1" ref="Q4" ca="1">INDIRECT("'results" &amp; $B4 &amp; "'!R$14")</f>
        <v>1296.3328614005791</v>
      </c>
      <c r="R4" s="5"/>
      <c r="S4" s="5" cm="1">
        <f t="array" aca="1" ref="S4" ca="1">INDIRECT("'results" &amp; $B4 &amp; "'!T$14")</f>
        <v>115233.51058649149</v>
      </c>
      <c r="T4" s="5" cm="1">
        <f t="array" aca="1" ref="T4" ca="1">INDIRECT("'results" &amp; $B4 &amp; "'!U$14")</f>
        <v>0.72203395899850875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56.666666666666657</v>
      </c>
      <c r="W4" s="5" cm="1">
        <f t="array" aca="1" ref="W4" ca="1">INDIRECT("'results" &amp; $B4 &amp; "'!X$14")</f>
        <v>19.684592059607908</v>
      </c>
      <c r="X4" s="5" cm="1">
        <f t="array" aca="1" ref="X4" ca="1">INDIRECT("'results" &amp; $B4 &amp; "'!Y$14")</f>
        <v>35.028409661464899</v>
      </c>
      <c r="Y4" s="5" cm="1">
        <f t="array" aca="1" ref="Y4" ca="1">INDIRECT("'results" &amp; $B4 &amp; "'!Z$14")</f>
        <v>1975.154508816119</v>
      </c>
      <c r="Z4" s="5"/>
    </row>
    <row r="5" spans="2:26" x14ac:dyDescent="0.2">
      <c r="B5" s="4">
        <v>457</v>
      </c>
      <c r="C5" s="5" cm="1">
        <f t="array" aca="1" ref="C5" ca="1">INDIRECT("'results" &amp; $B5 &amp; "'!D$14")</f>
        <v>96622.86191609918</v>
      </c>
      <c r="D5" s="33" cm="1">
        <f t="array" aca="1" ref="D5" ca="1">INDIRECT("'results" &amp; $B5 &amp; "'!E$14")</f>
        <v>0.69049966700185905</v>
      </c>
      <c r="E5" s="5" cm="1">
        <f t="array" aca="1" ref="E5" ca="1">INDIRECT("'results" &amp; $B5 &amp; "'!F$14")</f>
        <v>3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45.802469965880981</v>
      </c>
      <c r="H5" s="33" cm="1">
        <f t="array" aca="1" ref="H5" ca="1">INDIRECT("'results" &amp; $B5 &amp; "'!I$14")</f>
        <v>27.408422846018102</v>
      </c>
      <c r="I5" s="5" cm="1">
        <f t="array" aca="1" ref="I5" ca="1">INDIRECT("'results" &amp; $B5 &amp; "'!J$14")</f>
        <v>2026.3803331049116</v>
      </c>
      <c r="J5" s="5"/>
      <c r="K5" s="5" cm="1">
        <f t="array" aca="1" ref="K5" ca="1">INDIRECT("'results" &amp; $B5 &amp; "'!L$14")</f>
        <v>103404.773203194</v>
      </c>
      <c r="L5" s="5" cm="1">
        <f t="array" aca="1" ref="L5" ca="1">INDIRECT("'results" &amp; $B5 &amp; "'!M$14")</f>
        <v>0.97286891600015224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76.666666666666671</v>
      </c>
      <c r="O5" s="5" cm="1">
        <f t="array" aca="1" ref="O5" ca="1">INDIRECT("'results" &amp; $B5 &amp; "'!P$14")</f>
        <v>42.978610484906817</v>
      </c>
      <c r="P5" s="5" cm="1">
        <f t="array" aca="1" ref="P5" ca="1">INDIRECT("'results" &amp; $B5 &amp; "'!Q$14")</f>
        <v>22.458978382972319</v>
      </c>
      <c r="Q5" s="5" cm="1">
        <f t="array" aca="1" ref="Q5" ca="1">INDIRECT("'results" &amp; $B5 &amp; "'!R$14")</f>
        <v>1794.3227405791199</v>
      </c>
      <c r="R5" s="5"/>
      <c r="S5" s="5" cm="1">
        <f t="array" aca="1" ref="S5" ca="1">INDIRECT("'results" &amp; $B5 &amp; "'!T$14")</f>
        <v>117769.47361513961</v>
      </c>
      <c r="T5" s="5" cm="1">
        <f t="array" aca="1" ref="T5" ca="1">INDIRECT("'results" &amp; $B5 &amp; "'!U$14")</f>
        <v>1.472965917000693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53.333333333333343</v>
      </c>
      <c r="W5" s="5" cm="1">
        <f t="array" aca="1" ref="W5" ca="1">INDIRECT("'results" &amp; $B5 &amp; "'!X$14")</f>
        <v>35.261520216476363</v>
      </c>
      <c r="X5" s="5" cm="1">
        <f t="array" aca="1" ref="X5" ca="1">INDIRECT("'results" &amp; $B5 &amp; "'!Y$14")</f>
        <v>43.116648456158103</v>
      </c>
      <c r="Y5" s="5" cm="1">
        <f t="array" aca="1" ref="Y5" ca="1">INDIRECT("'results" &amp; $B5 &amp; "'!Z$14")</f>
        <v>2158.4267652567678</v>
      </c>
      <c r="Z5" s="5"/>
    </row>
    <row r="6" spans="2:26" x14ac:dyDescent="0.2">
      <c r="B6" s="4">
        <v>526</v>
      </c>
      <c r="C6" s="5" cm="1">
        <f t="array" aca="1" ref="C6" ca="1">INDIRECT("'results" &amp; $B6 &amp; "'!D$14")</f>
        <v>102284.7199590652</v>
      </c>
      <c r="D6" s="33" cm="1">
        <f t="array" aca="1" ref="D6" ca="1">INDIRECT("'results" &amp; $B6 &amp; "'!E$14")</f>
        <v>0.47162350000144221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60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17.607149559592845</v>
      </c>
      <c r="I6" s="5" cm="1">
        <f t="array" aca="1" ref="I6" ca="1">INDIRECT("'results" &amp; $B6 &amp; "'!J$14")</f>
        <v>1404.2334981735246</v>
      </c>
      <c r="J6" s="5"/>
      <c r="K6" s="5" cm="1">
        <f t="array" aca="1" ref="K6" ca="1">INDIRECT("'results" &amp; $B6 &amp; "'!L$14")</f>
        <v>107251.5714436827</v>
      </c>
      <c r="L6" s="5" cm="1">
        <f t="array" aca="1" ref="L6" ca="1">INDIRECT("'results" &amp; $B6 &amp; "'!M$14")</f>
        <v>0.5631805830016674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53.333333333333343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13.52144495851169</v>
      </c>
      <c r="Q6" s="5" cm="1">
        <f t="array" aca="1" ref="Q6" ca="1">INDIRECT("'results" &amp; $B6 &amp; "'!R$14")</f>
        <v>1211.1496486093888</v>
      </c>
      <c r="R6" s="5"/>
      <c r="S6" s="5" cm="1">
        <f t="array" aca="1" ref="S6" ca="1">INDIRECT("'results" &amp; $B6 &amp; "'!T$14")</f>
        <v>109923.2444361841</v>
      </c>
      <c r="T6" s="5" cm="1">
        <f t="array" aca="1" ref="T6" ca="1">INDIRECT("'results" &amp; $B6 &amp; "'!U$14")</f>
        <v>0.56665137500021956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53.333333333333343</v>
      </c>
      <c r="W6" s="5" cm="1">
        <f t="array" aca="1" ref="W6" ca="1">INDIRECT("'results" &amp; $B6 &amp; "'!X$14")</f>
        <v>1.0776251098042169</v>
      </c>
      <c r="X6" s="5" cm="1">
        <f t="array" aca="1" ref="X6" ca="1">INDIRECT("'results" &amp; $B6 &amp; "'!Y$14")</f>
        <v>17.90984201280401</v>
      </c>
      <c r="Y6" s="5" cm="1">
        <f t="array" aca="1" ref="Y6" ca="1">INDIRECT("'results" &amp; $B6 &amp; "'!Z$14")</f>
        <v>1431.33761312559</v>
      </c>
      <c r="Z6" s="5"/>
    </row>
    <row r="7" spans="2:26" x14ac:dyDescent="0.2">
      <c r="B7" s="4">
        <v>539</v>
      </c>
      <c r="C7" s="5" cm="1">
        <f t="array" aca="1" ref="C7" ca="1">INDIRECT("'results" &amp; $B7 &amp; "'!D$14")</f>
        <v>101302.12895374501</v>
      </c>
      <c r="D7" s="33" cm="1">
        <f t="array" aca="1" ref="D7" ca="1">INDIRECT("'results" &amp; $B7 &amp; "'!E$14")</f>
        <v>0.71410108300187858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73.333333333333329</v>
      </c>
      <c r="G7" s="5" cm="1">
        <f t="array" aca="1" ref="G7" ca="1">INDIRECT("'results" &amp; $B7 &amp; "'!H$14")</f>
        <v>71.52273677907742</v>
      </c>
      <c r="H7" s="33" cm="1">
        <f t="array" aca="1" ref="H7" ca="1">INDIRECT("'results" &amp; $B7 &amp; "'!I$14")</f>
        <v>30.854586120285227</v>
      </c>
      <c r="I7" s="5" cm="1">
        <f t="array" aca="1" ref="I7" ca="1">INDIRECT("'results" &amp; $B7 &amp; "'!J$14")</f>
        <v>1962.3526604204483</v>
      </c>
      <c r="J7" s="5"/>
      <c r="K7" s="5" cm="1">
        <f t="array" aca="1" ref="K7" ca="1">INDIRECT("'results" &amp; $B7 &amp; "'!L$14")</f>
        <v>108203.9017239746</v>
      </c>
      <c r="L7" s="5" cm="1">
        <f t="array" aca="1" ref="L7" ca="1">INDIRECT("'results" &amp; $B7 &amp; "'!M$14")</f>
        <v>0.50656679100211477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56.666666666666657</v>
      </c>
      <c r="O7" s="5" cm="1">
        <f t="array" aca="1" ref="O7" ca="1">INDIRECT("'results" &amp; $B7 &amp; "'!P$14")</f>
        <v>6.6656860595875624</v>
      </c>
      <c r="P7" s="5" cm="1">
        <f t="array" aca="1" ref="P7" ca="1">INDIRECT("'results" &amp; $B7 &amp; "'!Q$14")</f>
        <v>22.075930646847031</v>
      </c>
      <c r="Q7" s="5" cm="1">
        <f t="array" aca="1" ref="Q7" ca="1">INDIRECT("'results" &amp; $B7 &amp; "'!R$14")</f>
        <v>1507.0448597777511</v>
      </c>
      <c r="R7" s="5"/>
      <c r="S7" s="5" cm="1">
        <f t="array" aca="1" ref="S7" ca="1">INDIRECT("'results" &amp; $B7 &amp; "'!T$14")</f>
        <v>113515.85391922</v>
      </c>
      <c r="T7" s="5" cm="1">
        <f t="array" aca="1" ref="T7" ca="1">INDIRECT("'results" &amp; $B7 &amp; "'!U$14")</f>
        <v>0.76596379200054798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60</v>
      </c>
      <c r="W7" s="5" cm="1">
        <f t="array" aca="1" ref="W7" ca="1">INDIRECT("'results" &amp; $B7 &amp; "'!X$14")</f>
        <v>50.72404058102893</v>
      </c>
      <c r="X7" s="5" cm="1">
        <f t="array" aca="1" ref="X7" ca="1">INDIRECT("'results" &amp; $B7 &amp; "'!Y$14")</f>
        <v>34.89807734273198</v>
      </c>
      <c r="Y7" s="5" cm="1">
        <f t="array" aca="1" ref="Y7" ca="1">INDIRECT("'results" &amp; $B7 &amp; "'!Z$14")</f>
        <v>2070.1106114602612</v>
      </c>
      <c r="Z7" s="5"/>
    </row>
    <row r="8" spans="2:26" x14ac:dyDescent="0.2">
      <c r="B8" s="4">
        <v>581</v>
      </c>
      <c r="C8" s="5" cm="1">
        <f t="array" aca="1" ref="C8" ca="1">INDIRECT("'results" &amp; $B8 &amp; "'!D$14")</f>
        <v>81369.106334446071</v>
      </c>
      <c r="D8" s="33" cm="1">
        <f t="array" aca="1" ref="D8" ca="1">INDIRECT("'results" &amp; $B8 &amp; "'!E$14")</f>
        <v>1.4526560830017841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90</v>
      </c>
      <c r="G8" s="5" cm="1">
        <f t="array" aca="1" ref="G8" ca="1">INDIRECT("'results" &amp; $B8 &amp; "'!H$14")</f>
        <v>18.897801737529569</v>
      </c>
      <c r="H8" s="33" cm="1">
        <f t="array" aca="1" ref="H8" ca="1">INDIRECT("'results" &amp; $B8 &amp; "'!I$14")</f>
        <v>31.182005082789683</v>
      </c>
      <c r="I8" s="5" cm="1">
        <f t="array" aca="1" ref="I8" ca="1">INDIRECT("'results" &amp; $B8 &amp; "'!J$14")</f>
        <v>1641.7539563306652</v>
      </c>
      <c r="J8" s="5"/>
      <c r="K8" s="5" cm="1">
        <f t="array" aca="1" ref="K8" ca="1">INDIRECT("'results" &amp; $B8 &amp; "'!L$14")</f>
        <v>97973.843848520206</v>
      </c>
      <c r="L8" s="5" cm="1">
        <f t="array" aca="1" ref="L8" ca="1">INDIRECT("'results" &amp; $B8 &amp; "'!M$14")</f>
        <v>0.6950150839984417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70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20.71710356625665</v>
      </c>
      <c r="Q8" s="5" cm="1">
        <f t="array" aca="1" ref="Q8" ca="1">INDIRECT("'results" &amp; $B8 &amp; "'!R$14")</f>
        <v>1336.049274361201</v>
      </c>
      <c r="R8" s="5"/>
      <c r="S8" s="5" cm="1">
        <f t="array" aca="1" ref="S8" ca="1">INDIRECT("'results" &amp; $B8 &amp; "'!T$14")</f>
        <v>95327.047961876407</v>
      </c>
      <c r="T8" s="5" cm="1">
        <f t="array" aca="1" ref="T8" ca="1">INDIRECT("'results" &amp; $B8 &amp; "'!U$14")</f>
        <v>1.294098207999923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80</v>
      </c>
      <c r="W8" s="5" cm="1">
        <f t="array" aca="1" ref="W8" ca="1">INDIRECT("'results" &amp; $B8 &amp; "'!X$14")</f>
        <v>4.0782041584270701</v>
      </c>
      <c r="X8" s="5" cm="1">
        <f t="array" aca="1" ref="X8" ca="1">INDIRECT("'results" &amp; $B8 &amp; "'!Y$14")</f>
        <v>41.635310017318083</v>
      </c>
      <c r="Y8" s="5" cm="1">
        <f t="array" aca="1" ref="Y8" ca="1">INDIRECT("'results" &amp; $B8 &amp; "'!Z$14")</f>
        <v>1925.9318441325231</v>
      </c>
      <c r="Z8" s="5"/>
    </row>
    <row r="9" spans="2:26" x14ac:dyDescent="0.2">
      <c r="B9" s="4">
        <v>680</v>
      </c>
      <c r="C9" s="5" cm="1">
        <f t="array" aca="1" ref="C9" ca="1">INDIRECT("'results" &amp; $B9 &amp; "'!D$14")</f>
        <v>84423.484950275539</v>
      </c>
      <c r="D9" s="33" cm="1">
        <f t="array" aca="1" ref="D9" ca="1">INDIRECT("'results" &amp; $B9 &amp; "'!E$14")</f>
        <v>0.89578554200124927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34.069893863062859</v>
      </c>
      <c r="I9" s="5" cm="1">
        <f t="array" aca="1" ref="I9" ca="1">INDIRECT("'results" &amp; $B9 &amp; "'!J$14")</f>
        <v>1654.8432038480362</v>
      </c>
      <c r="J9" s="5"/>
      <c r="K9" s="5" cm="1">
        <f t="array" aca="1" ref="K9" ca="1">INDIRECT("'results" &amp; $B9 &amp; "'!L$14")</f>
        <v>104350.9411852425</v>
      </c>
      <c r="L9" s="5" cm="1">
        <f t="array" aca="1" ref="L9" ca="1">INDIRECT("'results" &amp; $B9 &amp; "'!M$14")</f>
        <v>0.92700658399917302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56.666666666666657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22.517693292819271</v>
      </c>
      <c r="Q9" s="5" cm="1">
        <f t="array" aca="1" ref="Q9" ca="1">INDIRECT("'results" &amp; $B9 &amp; "'!R$14")</f>
        <v>1379.650276271745</v>
      </c>
      <c r="R9" s="5"/>
      <c r="S9" s="5" cm="1">
        <f t="array" aca="1" ref="S9" ca="1">INDIRECT("'results" &amp; $B9 &amp; "'!T$14")</f>
        <v>97702.818887548623</v>
      </c>
      <c r="T9" s="5" cm="1">
        <f t="array" aca="1" ref="T9" ca="1">INDIRECT("'results" &amp; $B9 &amp; "'!U$14")</f>
        <v>1.119752457998402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73.333333333333329</v>
      </c>
      <c r="W9" s="5" cm="1">
        <f t="array" aca="1" ref="W9" ca="1">INDIRECT("'results" &amp; $B9 &amp; "'!X$14")</f>
        <v>4.597836411536222</v>
      </c>
      <c r="X9" s="5" cm="1">
        <f t="array" aca="1" ref="X9" ca="1">INDIRECT("'results" &amp; $B9 &amp; "'!Y$14")</f>
        <v>47.221767580413058</v>
      </c>
      <c r="Y9" s="5" cm="1">
        <f t="array" aca="1" ref="Y9" ca="1">INDIRECT("'results" &amp; $B9 &amp; "'!Z$14")</f>
        <v>2073.643835549783</v>
      </c>
      <c r="Z9" s="5"/>
    </row>
    <row r="10" spans="2:26" x14ac:dyDescent="0.2">
      <c r="B10" s="4">
        <v>698</v>
      </c>
      <c r="C10" s="5" cm="1">
        <f t="array" aca="1" ref="C10" ca="1">INDIRECT("'results" &amp; $B10 &amp; "'!D$14")</f>
        <v>93343.617864498519</v>
      </c>
      <c r="D10" s="33" cm="1">
        <f t="array" aca="1" ref="D10" ca="1">INDIRECT("'results" &amp; $B10 &amp; "'!E$14")</f>
        <v>1.555203500000061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86.666666666666671</v>
      </c>
      <c r="G10" s="5" cm="1">
        <f t="array" aca="1" ref="G10" ca="1">INDIRECT("'results" &amp; $B10 &amp; "'!H$14")</f>
        <v>58.283586538750811</v>
      </c>
      <c r="H10" s="33" cm="1">
        <f t="array" aca="1" ref="H10" ca="1">INDIRECT("'results" &amp; $B10 &amp; "'!I$14")</f>
        <v>39.983935010455525</v>
      </c>
      <c r="I10" s="5" cm="1">
        <f t="array" aca="1" ref="I10" ca="1">INDIRECT("'results" &amp; $B10 &amp; "'!J$14")</f>
        <v>1949.2490720880817</v>
      </c>
      <c r="J10" s="5"/>
      <c r="K10" s="5" cm="1">
        <f t="array" aca="1" ref="K10" ca="1">INDIRECT("'results" &amp; $B10 &amp; "'!L$14")</f>
        <v>110068.79261024149</v>
      </c>
      <c r="L10" s="5" cm="1">
        <f t="array" aca="1" ref="L10" ca="1">INDIRECT("'results" &amp; $B10 &amp; "'!M$14")</f>
        <v>0.78744074999849545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60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22.822088789203359</v>
      </c>
      <c r="Q10" s="5" cm="1">
        <f t="array" aca="1" ref="Q10" ca="1">INDIRECT("'results" &amp; $B10 &amp; "'!R$14")</f>
        <v>1406.8965367088331</v>
      </c>
      <c r="R10" s="5"/>
      <c r="S10" s="5" cm="1">
        <f t="array" aca="1" ref="S10" ca="1">INDIRECT("'results" &amp; $B10 &amp; "'!T$14")</f>
        <v>108954.031881435</v>
      </c>
      <c r="T10" s="5" cm="1">
        <f t="array" aca="1" ref="T10" ca="1">INDIRECT("'results" &amp; $B10 &amp; "'!U$14")</f>
        <v>1.422683624998172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86.505060277718002</v>
      </c>
      <c r="X10" s="5" cm="1">
        <f t="array" aca="1" ref="X10" ca="1">INDIRECT("'results" &amp; $B10 &amp; "'!Y$14")</f>
        <v>50.191436939182871</v>
      </c>
      <c r="Y10" s="5" cm="1">
        <f t="array" aca="1" ref="Y10" ca="1">INDIRECT("'results" &amp; $B10 &amp; "'!Z$14")</f>
        <v>2152.6354542749041</v>
      </c>
      <c r="Z10" s="5"/>
    </row>
    <row r="11" spans="2:26" x14ac:dyDescent="0.2">
      <c r="B11" s="4">
        <v>43</v>
      </c>
      <c r="C11" s="5" cm="1">
        <f t="array" aca="1" ref="C11" ca="1">INDIRECT("'results" &amp; $B11 &amp; "'!D$14")</f>
        <v>94466.946562924946</v>
      </c>
      <c r="D11" s="33" cm="1">
        <f t="array" aca="1" ref="D11" ca="1">INDIRECT("'results" &amp; $B11 &amp; "'!E$14")</f>
        <v>0.80597574999774224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66.666666666666671</v>
      </c>
      <c r="G11" s="5" cm="1">
        <f t="array" aca="1" ref="G11" ca="1">INDIRECT("'results" &amp; $B11 &amp; "'!H$14")</f>
        <v>37.804713404316068</v>
      </c>
      <c r="H11" s="33" cm="1">
        <f t="array" aca="1" ref="H11" ca="1">INDIRECT("'results" &amp; $B11 &amp; "'!I$14")</f>
        <v>19.182853166793656</v>
      </c>
      <c r="I11" s="5" cm="1">
        <f t="array" aca="1" ref="I11" ca="1">INDIRECT("'results" &amp; $B11 &amp; "'!J$14")</f>
        <v>1400.7222097303879</v>
      </c>
      <c r="J11" s="5"/>
      <c r="K11" s="5" cm="1">
        <f t="array" aca="1" ref="K11" ca="1">INDIRECT("'results" &amp; $B11 &amp; "'!L$14")</f>
        <v>103420.0098761047</v>
      </c>
      <c r="L11" s="5" cm="1">
        <f t="array" aca="1" ref="L11" ca="1">INDIRECT("'results" &amp; $B11 &amp; "'!M$14")</f>
        <v>0.53176529100164771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53.333333333333343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20.17836303327126</v>
      </c>
      <c r="Q11" s="5" cm="1">
        <f t="array" aca="1" ref="Q11" ca="1">INDIRECT("'results" &amp; $B11 &amp; "'!R$14")</f>
        <v>1125.137489168354</v>
      </c>
      <c r="R11" s="5"/>
      <c r="S11" s="5" cm="1">
        <f t="array" aca="1" ref="S11" ca="1">INDIRECT("'results" &amp; $B11 &amp; "'!T$14")</f>
        <v>100169.1266505723</v>
      </c>
      <c r="T11" s="5" cm="1">
        <f t="array" aca="1" ref="T11" ca="1">INDIRECT("'results" &amp; $B11 &amp; "'!U$14")</f>
        <v>0.64239237500078161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60</v>
      </c>
      <c r="W11" s="5" cm="1">
        <f t="array" aca="1" ref="W11" ca="1">INDIRECT("'results" &amp; $B11 &amp; "'!X$14")</f>
        <v>1.1870311559771001</v>
      </c>
      <c r="X11" s="5" cm="1">
        <f t="array" aca="1" ref="X11" ca="1">INDIRECT("'results" &amp; $B11 &amp; "'!Y$14")</f>
        <v>44.239537186813713</v>
      </c>
      <c r="Y11" s="5" cm="1">
        <f t="array" aca="1" ref="Y11" ca="1">INDIRECT("'results" &amp; $B11 &amp; "'!Z$14")</f>
        <v>1672.5851592136621</v>
      </c>
      <c r="Z11" s="5"/>
    </row>
    <row r="12" spans="2:26" x14ac:dyDescent="0.2">
      <c r="B12" s="4">
        <v>917</v>
      </c>
      <c r="C12" s="5" cm="1">
        <f t="array" aca="1" ref="C12" ca="1">INDIRECT("'results" &amp; $B12 &amp; "'!D$14")</f>
        <v>108220.18863169249</v>
      </c>
      <c r="D12" s="33" cm="1">
        <f t="array" aca="1" ref="D12" ca="1">INDIRECT("'results" &amp; $B12 &amp; "'!E$14")</f>
        <v>0.52256695799951558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60</v>
      </c>
      <c r="G12" s="5" cm="1">
        <f t="array" aca="1" ref="G12" ca="1">INDIRECT("'results" &amp; $B12 &amp; "'!H$14")</f>
        <v>4.5831826464888836</v>
      </c>
      <c r="H12" s="33" cm="1">
        <f t="array" aca="1" ref="H12" ca="1">INDIRECT("'results" &amp; $B12 &amp; "'!I$14")</f>
        <v>18.219362325660988</v>
      </c>
      <c r="I12" s="5" cm="1">
        <f t="array" aca="1" ref="I12" ca="1">INDIRECT("'results" &amp; $B12 &amp; "'!J$14")</f>
        <v>1724.1066069257417</v>
      </c>
      <c r="J12" s="5"/>
      <c r="K12" s="5" cm="1">
        <f t="array" aca="1" ref="K12" ca="1">INDIRECT("'results" &amp; $B12 &amp; "'!L$14")</f>
        <v>109797.19632161219</v>
      </c>
      <c r="L12" s="5" cm="1">
        <f t="array" aca="1" ref="L12" ca="1">INDIRECT("'results" &amp; $B12 &amp; "'!M$14")</f>
        <v>0.70669629199983319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56.666666666666657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16.47314977230161</v>
      </c>
      <c r="Q12" s="5" cm="1">
        <f t="array" aca="1" ref="Q12" ca="1">INDIRECT("'results" &amp; $B12 &amp; "'!R$14")</f>
        <v>1607.7079141324921</v>
      </c>
      <c r="R12" s="5"/>
      <c r="S12" s="5" cm="1">
        <f t="array" aca="1" ref="S12" ca="1">INDIRECT("'results" &amp; $B12 &amp; "'!T$14")</f>
        <v>120234.42073424259</v>
      </c>
      <c r="T12" s="5" cm="1">
        <f t="array" aca="1" ref="T12" ca="1">INDIRECT("'results" &amp; $B12 &amp; "'!U$14")</f>
        <v>0.70325016700007836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53.333333333333343</v>
      </c>
      <c r="W12" s="5" cm="1">
        <f t="array" aca="1" ref="W12" ca="1">INDIRECT("'results" &amp; $B12 &amp; "'!X$14")</f>
        <v>24.43872286035457</v>
      </c>
      <c r="X12" s="5" cm="1">
        <f t="array" aca="1" ref="X12" ca="1">INDIRECT("'results" &amp; $B12 &amp; "'!Y$14")</f>
        <v>23.315569115314791</v>
      </c>
      <c r="Y12" s="5" cm="1">
        <f t="array" aca="1" ref="Y12" ca="1">INDIRECT("'results" &amp; $B12 &amp; "'!Z$14")</f>
        <v>2089.1464510695791</v>
      </c>
      <c r="Z12" s="5"/>
    </row>
    <row r="13" spans="2:26" x14ac:dyDescent="0.2">
      <c r="B13" s="8" t="s">
        <v>3</v>
      </c>
      <c r="C13" s="9">
        <f ca="1">AVERAGE(C3:C12)</f>
        <v>97959.934509889848</v>
      </c>
      <c r="D13" s="10">
        <f t="shared" ref="D13:I13" ca="1" si="0">AVERAGE(D3:D12)</f>
        <v>0.90121110420077455</v>
      </c>
      <c r="E13" s="9">
        <f t="shared" ca="1" si="0"/>
        <v>2.2999999999999998</v>
      </c>
      <c r="F13" s="9">
        <f t="shared" ca="1" si="0"/>
        <v>74</v>
      </c>
      <c r="G13" s="9">
        <f t="shared" ca="1" si="0"/>
        <v>36.469996379957067</v>
      </c>
      <c r="H13" s="10">
        <f t="shared" ca="1" si="0"/>
        <v>26.763127266879774</v>
      </c>
      <c r="I13" s="9">
        <f t="shared" ca="1" si="0"/>
        <v>1776.6942331455296</v>
      </c>
      <c r="J13" s="32" t="e">
        <f ca="1">(C13-$D$15)/$D$15</f>
        <v>#DIV/0!</v>
      </c>
      <c r="K13" s="16">
        <f ca="1">AVERAGE(K3:K12)</f>
        <v>107080.98135968696</v>
      </c>
      <c r="L13" s="41">
        <f t="shared" ref="L13:Q13" ca="1" si="1">AVERAGE(L3:L12)</f>
        <v>0.698931995699968</v>
      </c>
      <c r="M13" s="16">
        <f t="shared" ca="1" si="1"/>
        <v>2.2999999999999998</v>
      </c>
      <c r="N13" s="16">
        <f ca="1">AVERAGE(N3:N12)</f>
        <v>59</v>
      </c>
      <c r="O13" s="16">
        <f t="shared" ca="1" si="1"/>
        <v>6.0605670918872612</v>
      </c>
      <c r="P13" s="41">
        <f t="shared" ca="1" si="1"/>
        <v>19.587394119743859</v>
      </c>
      <c r="Q13" s="16">
        <f t="shared" ca="1" si="1"/>
        <v>1437.6911924021265</v>
      </c>
      <c r="R13" s="42" t="e">
        <f ca="1">(K13-$D$15)/$D$15</f>
        <v>#DIV/0!</v>
      </c>
      <c r="S13" s="38">
        <f ca="1">AVERAGE(S3:S12)</f>
        <v>110515.49765201467</v>
      </c>
      <c r="T13" s="43">
        <f t="shared" ref="T13:Y13" ca="1" si="2">AVERAGE(T3:T12)</f>
        <v>0.94115112509971366</v>
      </c>
      <c r="U13" s="38">
        <f t="shared" ca="1" si="2"/>
        <v>2.2000000000000002</v>
      </c>
      <c r="V13" s="38">
        <f t="shared" ca="1" si="2"/>
        <v>60.666666666666664</v>
      </c>
      <c r="W13" s="38">
        <f t="shared" ca="1" si="2"/>
        <v>23.842455892782695</v>
      </c>
      <c r="X13" s="43">
        <f t="shared" ca="1" si="2"/>
        <v>35.809058628688625</v>
      </c>
      <c r="Y13" s="38">
        <f t="shared" ca="1" si="2"/>
        <v>1955.0724729498083</v>
      </c>
      <c r="Z13" s="44" t="e">
        <f ca="1">(S13-$D$15)/$D$15</f>
        <v>#DIV/0!</v>
      </c>
    </row>
    <row r="14" spans="2:26" x14ac:dyDescent="0.2">
      <c r="K14" s="45">
        <f ca="1">(K13-C13)/C13</f>
        <v>9.3109972923433024E-2</v>
      </c>
      <c r="L14" s="45">
        <f t="shared" ref="L14:Q14" ca="1" si="3">(L13-D13)/D13</f>
        <v>-0.22445252567121299</v>
      </c>
      <c r="M14" s="45">
        <f t="shared" ca="1" si="3"/>
        <v>0</v>
      </c>
      <c r="N14" s="45">
        <f t="shared" ca="1" si="3"/>
        <v>-0.20270270270270271</v>
      </c>
      <c r="O14" s="45">
        <f t="shared" ca="1" si="3"/>
        <v>-0.83382046357377793</v>
      </c>
      <c r="P14" s="45">
        <f t="shared" ca="1" si="3"/>
        <v>-0.26812012944451802</v>
      </c>
      <c r="Q14" s="45">
        <f t="shared" ca="1" si="3"/>
        <v>-0.19080550520120657</v>
      </c>
      <c r="S14" s="45">
        <f ca="1">(S13-C13)/C13</f>
        <v>0.12817039134358793</v>
      </c>
      <c r="T14" s="45">
        <f t="shared" ref="T14:Y14" ca="1" si="4">(T13-D13)/D13</f>
        <v>4.4318163316861607E-2</v>
      </c>
      <c r="U14" s="45">
        <f t="shared" ca="1" si="4"/>
        <v>-4.3478260869565064E-2</v>
      </c>
      <c r="V14" s="45">
        <f ca="1">(V13-F13)/F13</f>
        <v>-0.1801801801801802</v>
      </c>
      <c r="W14" s="45">
        <f t="shared" ca="1" si="4"/>
        <v>-0.34624463231683045</v>
      </c>
      <c r="X14" s="45">
        <f t="shared" ca="1" si="4"/>
        <v>0.33799978872437231</v>
      </c>
      <c r="Y14" s="45">
        <f t="shared" ca="1" si="4"/>
        <v>0.10039895243452832</v>
      </c>
    </row>
    <row r="17" spans="2:19" ht="15" customHeight="1" x14ac:dyDescent="0.2">
      <c r="B17" s="1" t="s">
        <v>21</v>
      </c>
      <c r="C17">
        <f ca="1">_xlfn.STDEV.S(C3:C12)</f>
        <v>10076.567858668341</v>
      </c>
      <c r="J17" s="1" t="s">
        <v>21</v>
      </c>
      <c r="K17">
        <f ca="1">_xlfn.STDEV.S(K3:K12)</f>
        <v>5176.0837520318028</v>
      </c>
      <c r="R17" s="1" t="s">
        <v>21</v>
      </c>
      <c r="S17">
        <f ca="1">_xlfn.STDEV.S(S3:S12)</f>
        <v>10181.59568016248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topLeftCell="A2"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-0.46624742747110609</v>
      </c>
      <c r="J2" s="28">
        <f>(S14-J14)/J14</f>
        <v>-0.99993233878956611</v>
      </c>
      <c r="K2" s="28"/>
      <c r="L2" s="1" t="s">
        <v>19</v>
      </c>
      <c r="P2" s="1">
        <f>(P14-H14)/H14</f>
        <v>-1</v>
      </c>
      <c r="R2" s="1">
        <f>(R14-J14)/J14</f>
        <v>-0.19674473542836068</v>
      </c>
      <c r="T2" s="1" t="s">
        <v>20</v>
      </c>
      <c r="X2" s="1" t="e">
        <f>(X14-P14)/P14</f>
        <v>#DIV/0!</v>
      </c>
      <c r="Z2" s="1">
        <f>(Z14-R14)/R14</f>
        <v>0.48656068730760571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5</v>
      </c>
      <c r="C4" s="4">
        <v>47</v>
      </c>
      <c r="D4" s="23">
        <v>94466.946562924946</v>
      </c>
      <c r="E4" s="33">
        <v>0.80597574999774224</v>
      </c>
      <c r="F4" s="5">
        <v>2</v>
      </c>
      <c r="G4" s="23">
        <v>66.666666666666671</v>
      </c>
      <c r="H4" s="33">
        <v>37.804713404316068</v>
      </c>
      <c r="I4" s="23">
        <v>19.182853166793656</v>
      </c>
      <c r="J4" s="5">
        <v>1400.7222097303879</v>
      </c>
      <c r="K4" s="31"/>
      <c r="L4" s="23">
        <v>105241.7737050822</v>
      </c>
      <c r="M4" s="33">
        <v>0.71277095899858978</v>
      </c>
      <c r="N4" s="5">
        <v>2</v>
      </c>
      <c r="O4" s="5">
        <v>53.333333333333343</v>
      </c>
      <c r="P4" s="33">
        <v>0</v>
      </c>
      <c r="Q4" s="5">
        <v>13.136588221752289</v>
      </c>
      <c r="R4" s="5">
        <v>1121.1900198253379</v>
      </c>
      <c r="S4" s="31"/>
      <c r="T4" s="23">
        <v>100169.1266505723</v>
      </c>
      <c r="U4" s="33">
        <v>0.64239237500078161</v>
      </c>
      <c r="V4" s="5">
        <v>2</v>
      </c>
      <c r="W4" s="5">
        <v>60</v>
      </c>
      <c r="X4" s="33">
        <v>1.1870311559771001</v>
      </c>
      <c r="Y4" s="5">
        <v>44.239537186813713</v>
      </c>
      <c r="Z4" s="5">
        <v>1672.5851592136621</v>
      </c>
      <c r="AA4" s="35"/>
    </row>
    <row r="5" spans="2:27" x14ac:dyDescent="0.2">
      <c r="B5" s="4">
        <v>1</v>
      </c>
      <c r="C5" s="4">
        <v>180</v>
      </c>
      <c r="D5" s="23">
        <v>94466.946562924946</v>
      </c>
      <c r="E5" s="33">
        <v>0.60367962500095018</v>
      </c>
      <c r="F5" s="5">
        <v>2</v>
      </c>
      <c r="G5" s="23">
        <v>66.666666666666671</v>
      </c>
      <c r="H5" s="33">
        <v>37.804713404316068</v>
      </c>
      <c r="I5" s="23">
        <v>19.182853166793656</v>
      </c>
      <c r="J5" s="5">
        <v>1400.7222097303879</v>
      </c>
      <c r="K5" s="31"/>
      <c r="L5" s="23">
        <v>103420.0098761047</v>
      </c>
      <c r="M5" s="33">
        <v>0.53176529100164771</v>
      </c>
      <c r="N5" s="5">
        <v>2</v>
      </c>
      <c r="O5" s="5">
        <v>53.333333333333343</v>
      </c>
      <c r="P5" s="33">
        <v>0</v>
      </c>
      <c r="Q5" s="5">
        <v>20.17836303327126</v>
      </c>
      <c r="R5" s="5">
        <v>1125.137489168354</v>
      </c>
      <c r="S5" s="31"/>
      <c r="T5" s="23">
        <v>100169.1266505723</v>
      </c>
      <c r="U5" s="33">
        <v>0.63242279200130724</v>
      </c>
      <c r="V5" s="5">
        <v>2</v>
      </c>
      <c r="W5" s="5">
        <v>60</v>
      </c>
      <c r="X5" s="33">
        <v>1.1870311559771001</v>
      </c>
      <c r="Y5" s="5">
        <v>44.239537186813713</v>
      </c>
      <c r="Z5" s="5">
        <v>1672.5851592136621</v>
      </c>
      <c r="AA5" s="35"/>
    </row>
    <row r="6" spans="2:27" x14ac:dyDescent="0.2">
      <c r="B6" s="4">
        <v>7</v>
      </c>
      <c r="C6" s="4">
        <v>252</v>
      </c>
      <c r="D6" s="23">
        <v>94466.946562924946</v>
      </c>
      <c r="E6" s="33">
        <v>0.40129191700179939</v>
      </c>
      <c r="F6" s="5">
        <v>2</v>
      </c>
      <c r="G6" s="23">
        <v>66.666666666666671</v>
      </c>
      <c r="H6" s="33">
        <v>37.804713404316068</v>
      </c>
      <c r="I6" s="23">
        <v>19.182853166793656</v>
      </c>
      <c r="J6" s="5">
        <v>1400.7222097303879</v>
      </c>
      <c r="K6" s="31"/>
      <c r="L6" s="23">
        <v>103420.0098761047</v>
      </c>
      <c r="M6" s="33">
        <v>0.43123370899775182</v>
      </c>
      <c r="N6" s="5">
        <v>2</v>
      </c>
      <c r="O6" s="5">
        <v>53.333333333333343</v>
      </c>
      <c r="P6" s="33">
        <v>0</v>
      </c>
      <c r="Q6" s="5">
        <v>20.17836303327126</v>
      </c>
      <c r="R6" s="5">
        <v>1125.137489168354</v>
      </c>
      <c r="S6" s="31"/>
      <c r="T6" s="23">
        <v>100169.1266505723</v>
      </c>
      <c r="U6" s="33">
        <v>0.46995220800090459</v>
      </c>
      <c r="V6" s="5">
        <v>2</v>
      </c>
      <c r="W6" s="5">
        <v>60</v>
      </c>
      <c r="X6" s="33">
        <v>1.1870311559771001</v>
      </c>
      <c r="Y6" s="5">
        <v>44.239537186813713</v>
      </c>
      <c r="Z6" s="5">
        <v>1672.5851592136621</v>
      </c>
      <c r="AA6" s="35"/>
    </row>
    <row r="7" spans="2:27" x14ac:dyDescent="0.2">
      <c r="B7" s="4">
        <v>2</v>
      </c>
      <c r="C7" s="4">
        <v>323</v>
      </c>
      <c r="D7" s="23">
        <v>95940.323714273647</v>
      </c>
      <c r="E7" s="33">
        <v>0.66916275000039604</v>
      </c>
      <c r="F7" s="5">
        <v>2</v>
      </c>
      <c r="G7" s="23">
        <v>60</v>
      </c>
      <c r="H7" s="33">
        <v>0</v>
      </c>
      <c r="I7" s="23">
        <v>23.320166230691814</v>
      </c>
      <c r="J7" s="5">
        <v>1193.9559736317658</v>
      </c>
      <c r="K7" s="31"/>
      <c r="L7" s="23">
        <v>103420.0098761047</v>
      </c>
      <c r="M7" s="33">
        <v>0.52796433399998932</v>
      </c>
      <c r="N7" s="5">
        <v>2</v>
      </c>
      <c r="O7" s="5">
        <v>53.333333333333343</v>
      </c>
      <c r="P7" s="33">
        <v>0</v>
      </c>
      <c r="Q7" s="5">
        <v>20.17836303327126</v>
      </c>
      <c r="R7" s="5">
        <v>1125.137489168354</v>
      </c>
      <c r="S7" s="31"/>
      <c r="T7" s="23">
        <v>100169.1266505723</v>
      </c>
      <c r="U7" s="33">
        <v>0.62618691700117779</v>
      </c>
      <c r="V7" s="5">
        <v>2</v>
      </c>
      <c r="W7" s="5">
        <v>60</v>
      </c>
      <c r="X7" s="33">
        <v>1.1870311559771001</v>
      </c>
      <c r="Y7" s="5">
        <v>44.239537186813713</v>
      </c>
      <c r="Z7" s="5">
        <v>1672.5851592136621</v>
      </c>
      <c r="AA7" s="35"/>
    </row>
    <row r="8" spans="2:27" x14ac:dyDescent="0.2">
      <c r="B8" s="4">
        <v>3</v>
      </c>
      <c r="C8" s="4">
        <v>417</v>
      </c>
      <c r="D8" s="23">
        <v>94466.946562924946</v>
      </c>
      <c r="E8" s="33">
        <v>0.44814916600080318</v>
      </c>
      <c r="F8" s="5">
        <v>2</v>
      </c>
      <c r="G8" s="23">
        <v>66.666666666666671</v>
      </c>
      <c r="H8" s="33">
        <v>37.804713404316068</v>
      </c>
      <c r="I8" s="23">
        <v>19.182853166793656</v>
      </c>
      <c r="J8" s="5">
        <v>1400.7222097303879</v>
      </c>
      <c r="K8" s="31"/>
      <c r="L8" s="23">
        <v>105241.7737050822</v>
      </c>
      <c r="M8" s="33">
        <v>0.42875041699880972</v>
      </c>
      <c r="N8" s="5">
        <v>2</v>
      </c>
      <c r="O8" s="5">
        <v>53.333333333333343</v>
      </c>
      <c r="P8" s="33">
        <v>0</v>
      </c>
      <c r="Q8" s="5">
        <v>13.136588221752289</v>
      </c>
      <c r="R8" s="5">
        <v>1121.1900198253379</v>
      </c>
      <c r="S8" s="31"/>
      <c r="T8" s="23">
        <v>100169.1266505723</v>
      </c>
      <c r="U8" s="33">
        <v>0.36842999999862508</v>
      </c>
      <c r="V8" s="5">
        <v>2</v>
      </c>
      <c r="W8" s="5">
        <v>60</v>
      </c>
      <c r="X8" s="33">
        <v>1.1870311559771001</v>
      </c>
      <c r="Y8" s="5">
        <v>44.239537186813713</v>
      </c>
      <c r="Z8" s="5">
        <v>1672.5851592136621</v>
      </c>
      <c r="AA8" s="35"/>
    </row>
    <row r="9" spans="2:27" x14ac:dyDescent="0.2">
      <c r="B9" s="4">
        <v>4</v>
      </c>
      <c r="C9" s="4">
        <v>524</v>
      </c>
      <c r="D9" s="23">
        <v>94466.946562924946</v>
      </c>
      <c r="E9" s="33">
        <v>0.40818683399993461</v>
      </c>
      <c r="F9" s="5">
        <v>2</v>
      </c>
      <c r="G9" s="23">
        <v>66.666666666666671</v>
      </c>
      <c r="H9" s="33">
        <v>37.804713404316068</v>
      </c>
      <c r="I9" s="23">
        <v>19.182853166793656</v>
      </c>
      <c r="J9" s="5">
        <v>1400.7222097303879</v>
      </c>
      <c r="K9" s="31"/>
      <c r="L9" s="23">
        <v>103420.0098761047</v>
      </c>
      <c r="M9" s="33">
        <v>0.44424516599974601</v>
      </c>
      <c r="N9" s="5">
        <v>2</v>
      </c>
      <c r="O9" s="5">
        <v>53.333333333333343</v>
      </c>
      <c r="P9" s="33">
        <v>0</v>
      </c>
      <c r="Q9" s="5">
        <v>20.17836303327126</v>
      </c>
      <c r="R9" s="5">
        <v>1125.137489168354</v>
      </c>
      <c r="S9" s="31"/>
      <c r="T9" s="23">
        <v>100169.1266505723</v>
      </c>
      <c r="U9" s="33">
        <v>0.53167845799907809</v>
      </c>
      <c r="V9" s="5">
        <v>2</v>
      </c>
      <c r="W9" s="5">
        <v>60</v>
      </c>
      <c r="X9" s="33">
        <v>1.1870311559771001</v>
      </c>
      <c r="Y9" s="5">
        <v>44.239537186813713</v>
      </c>
      <c r="Z9" s="5">
        <v>1672.5851592136621</v>
      </c>
      <c r="AA9" s="35"/>
    </row>
    <row r="10" spans="2:27" x14ac:dyDescent="0.2">
      <c r="B10" s="4">
        <v>9</v>
      </c>
      <c r="C10" s="4">
        <v>526</v>
      </c>
      <c r="D10" s="23">
        <v>94466.946562924946</v>
      </c>
      <c r="E10" s="33">
        <v>0.41933662500014179</v>
      </c>
      <c r="F10" s="5">
        <v>2</v>
      </c>
      <c r="G10" s="23">
        <v>66.666666666666671</v>
      </c>
      <c r="H10" s="33">
        <v>37.804713404316068</v>
      </c>
      <c r="I10" s="23">
        <v>19.182853166793656</v>
      </c>
      <c r="J10" s="5">
        <v>1400.7222097303879</v>
      </c>
      <c r="K10" s="31"/>
      <c r="L10" s="23">
        <v>103420.0098761047</v>
      </c>
      <c r="M10" s="33">
        <v>0.57927650000056019</v>
      </c>
      <c r="N10" s="5">
        <v>2</v>
      </c>
      <c r="O10" s="5">
        <v>53.333333333333343</v>
      </c>
      <c r="P10" s="33">
        <v>0</v>
      </c>
      <c r="Q10" s="5">
        <v>20.17836303327126</v>
      </c>
      <c r="R10" s="5">
        <v>1125.137489168354</v>
      </c>
      <c r="S10" s="31"/>
      <c r="T10" s="23">
        <v>100169.1266505723</v>
      </c>
      <c r="U10" s="33">
        <v>0.59171508299914422</v>
      </c>
      <c r="V10" s="5">
        <v>2</v>
      </c>
      <c r="W10" s="5">
        <v>60</v>
      </c>
      <c r="X10" s="33">
        <v>1.1870311559771001</v>
      </c>
      <c r="Y10" s="5">
        <v>44.239537186813713</v>
      </c>
      <c r="Z10" s="5">
        <v>1672.5851592136621</v>
      </c>
      <c r="AA10" s="35"/>
    </row>
    <row r="11" spans="2:27" x14ac:dyDescent="0.2">
      <c r="B11" s="4">
        <v>6</v>
      </c>
      <c r="C11" s="4">
        <v>872</v>
      </c>
      <c r="D11" s="23">
        <v>95943.345671903779</v>
      </c>
      <c r="E11" s="33">
        <v>1.2163245419978921</v>
      </c>
      <c r="F11" s="5">
        <v>2</v>
      </c>
      <c r="G11" s="23">
        <v>60</v>
      </c>
      <c r="H11" s="33">
        <v>0</v>
      </c>
      <c r="I11" s="23">
        <v>23.902088531190309</v>
      </c>
      <c r="J11" s="5">
        <v>1176.2882430590148</v>
      </c>
      <c r="K11" s="31"/>
      <c r="L11" s="23">
        <v>103420.0098761047</v>
      </c>
      <c r="M11" s="33">
        <v>1.1049907079977861</v>
      </c>
      <c r="N11" s="5">
        <v>2</v>
      </c>
      <c r="O11" s="5">
        <v>53.333333333333343</v>
      </c>
      <c r="P11" s="33">
        <v>0</v>
      </c>
      <c r="Q11" s="5">
        <v>20.17836303327126</v>
      </c>
      <c r="R11" s="5">
        <v>1125.137489168354</v>
      </c>
      <c r="S11" s="31"/>
      <c r="T11" s="23">
        <v>100169.1266505723</v>
      </c>
      <c r="U11" s="33">
        <v>0.57746829200186767</v>
      </c>
      <c r="V11" s="5">
        <v>2</v>
      </c>
      <c r="W11" s="5">
        <v>60</v>
      </c>
      <c r="X11" s="33">
        <v>1.1870311559771001</v>
      </c>
      <c r="Y11" s="5">
        <v>44.239537186813713</v>
      </c>
      <c r="Z11" s="5">
        <v>1672.5851592136621</v>
      </c>
      <c r="AA11" s="35"/>
    </row>
    <row r="12" spans="2:27" x14ac:dyDescent="0.2">
      <c r="B12" s="4">
        <v>10</v>
      </c>
      <c r="C12" s="4">
        <v>912</v>
      </c>
      <c r="D12" s="23">
        <v>94466.946562924946</v>
      </c>
      <c r="E12" s="33">
        <v>0.57486308300212841</v>
      </c>
      <c r="F12" s="5">
        <v>2</v>
      </c>
      <c r="G12" s="23">
        <v>66.666666666666671</v>
      </c>
      <c r="H12" s="33">
        <v>37.804713404316068</v>
      </c>
      <c r="I12" s="23">
        <v>19.182853166793656</v>
      </c>
      <c r="J12" s="5">
        <v>1400.7222097303879</v>
      </c>
      <c r="K12" s="31"/>
      <c r="L12" s="23">
        <v>103420.0098761047</v>
      </c>
      <c r="M12" s="33">
        <v>0.59875212499900954</v>
      </c>
      <c r="N12" s="5">
        <v>2</v>
      </c>
      <c r="O12" s="5">
        <v>53.333333333333343</v>
      </c>
      <c r="P12" s="33">
        <v>0</v>
      </c>
      <c r="Q12" s="5">
        <v>20.17836303327126</v>
      </c>
      <c r="R12" s="5">
        <v>1125.137489168354</v>
      </c>
      <c r="S12" s="31"/>
      <c r="T12" s="23">
        <v>100169.1266505723</v>
      </c>
      <c r="U12" s="33">
        <v>0.68934012500176323</v>
      </c>
      <c r="V12" s="5">
        <v>2</v>
      </c>
      <c r="W12" s="5">
        <v>60</v>
      </c>
      <c r="X12" s="33">
        <v>1.1870311559771001</v>
      </c>
      <c r="Y12" s="5">
        <v>44.239537186813713</v>
      </c>
      <c r="Z12" s="5">
        <v>1672.5851592136621</v>
      </c>
      <c r="AA12" s="35"/>
    </row>
    <row r="13" spans="2:27" x14ac:dyDescent="0.2">
      <c r="B13" s="4">
        <v>8</v>
      </c>
      <c r="C13" s="4">
        <v>917</v>
      </c>
      <c r="D13" s="23">
        <v>94466.946562924946</v>
      </c>
      <c r="E13" s="33">
        <v>0.98547845800203504</v>
      </c>
      <c r="F13" s="5">
        <v>2</v>
      </c>
      <c r="G13" s="23">
        <v>66.666666666666671</v>
      </c>
      <c r="H13" s="33">
        <v>37.804713404316068</v>
      </c>
      <c r="I13" s="23">
        <v>19.182853166793656</v>
      </c>
      <c r="J13" s="5">
        <v>1400.7222097303879</v>
      </c>
      <c r="K13" s="31"/>
      <c r="L13" s="23">
        <v>103420.0098761047</v>
      </c>
      <c r="M13" s="33">
        <v>0.84337558399784029</v>
      </c>
      <c r="N13" s="5">
        <v>2</v>
      </c>
      <c r="O13" s="5">
        <v>53.333333333333343</v>
      </c>
      <c r="P13" s="33">
        <v>0</v>
      </c>
      <c r="Q13" s="5">
        <v>20.17836303327126</v>
      </c>
      <c r="R13" s="5">
        <v>1125.137489168354</v>
      </c>
      <c r="S13" s="31"/>
      <c r="T13" s="23">
        <v>100169.1266505723</v>
      </c>
      <c r="U13" s="33">
        <v>0.72897187499984284</v>
      </c>
      <c r="V13" s="5">
        <v>2</v>
      </c>
      <c r="W13" s="5">
        <v>60</v>
      </c>
      <c r="X13" s="33">
        <v>1.1870311559771001</v>
      </c>
      <c r="Y13" s="5">
        <v>44.239537186813713</v>
      </c>
      <c r="Z13" s="5">
        <v>1672.5851592136621</v>
      </c>
      <c r="AA13" s="35"/>
    </row>
    <row r="14" spans="2:27" x14ac:dyDescent="0.2">
      <c r="B14" s="46" t="s">
        <v>3</v>
      </c>
      <c r="C14" s="47"/>
      <c r="D14" s="9">
        <f>MIN(D4:D13)</f>
        <v>94466.946562924946</v>
      </c>
      <c r="E14" s="22">
        <f>INDEX(E4:E13, MATCH($D$14, D4:D13, 0))</f>
        <v>0.80597574999774224</v>
      </c>
      <c r="F14" s="9">
        <f>INDEX(F4:F13, MATCH($D$14, D4:D13, 0))</f>
        <v>2</v>
      </c>
      <c r="G14" s="9">
        <f>INDEX(G4:G13, MATCH($D$14, D4:D13, 0))</f>
        <v>66.666666666666671</v>
      </c>
      <c r="H14" s="22">
        <f>INDEX(H4:H13, MATCH($D$14, D4:D13, 0))</f>
        <v>37.804713404316068</v>
      </c>
      <c r="I14" s="22">
        <f>INDEX(I4:I13, MATCH($D$14, D4:D13, 0))</f>
        <v>19.182853166793656</v>
      </c>
      <c r="J14" s="22">
        <f>INDEX(J4:J13, MATCH($D$14, D4:D13, 0))</f>
        <v>1400.7222097303879</v>
      </c>
      <c r="K14" s="32">
        <f>(D14-$D$15)/$D$15</f>
        <v>0</v>
      </c>
      <c r="L14" s="16">
        <f>MIN(L4:L13)</f>
        <v>103420.0098761047</v>
      </c>
      <c r="M14" s="21">
        <f>INDEX(M4:M13, MATCH($L$14, L4:L13, 0))</f>
        <v>0.53176529100164771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0</v>
      </c>
      <c r="Q14" s="21">
        <f>INDEX(Q4:Q13, MATCH($L$14, L4:L13, 0))</f>
        <v>20.17836303327126</v>
      </c>
      <c r="R14" s="21">
        <f>INDEX(R4:R13, MATCH($L$14, L4:L13, 0))</f>
        <v>1125.137489168354</v>
      </c>
      <c r="S14" s="36">
        <f>(L14-$D$15)/$D$15</f>
        <v>9.4774560191972196E-2</v>
      </c>
      <c r="T14" s="38">
        <f>MIN(T4:T13)</f>
        <v>100169.1266505723</v>
      </c>
      <c r="U14" s="39">
        <f>INDEX(U4:U13, MATCH($T$14, T4:T13, 0))</f>
        <v>0.64239237500078161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1.1870311559771001</v>
      </c>
      <c r="Y14" s="39">
        <f>INDEX(Y4:Y13, MATCH($T$14, T4:T13, 0))</f>
        <v>44.239537186813713</v>
      </c>
      <c r="Z14" s="39">
        <f>INDEX(Z4:Z13, MATCH($T$14, T4:T13, 0))</f>
        <v>1672.5851592136621</v>
      </c>
      <c r="AA14" s="40">
        <f>(T14-$D$15)/$D$15</f>
        <v>6.0361642829739437E-2</v>
      </c>
    </row>
    <row r="15" spans="2:27" x14ac:dyDescent="0.2">
      <c r="C15" s="1" t="s">
        <v>17</v>
      </c>
      <c r="D15" s="34">
        <v>94466.946562924946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65" priority="1"/>
    <cfRule type="duplicateValues" dxfId="164" priority="2"/>
  </conditionalFormatting>
  <conditionalFormatting sqref="C15:C16 C24:C1048576 C1:C13">
    <cfRule type="duplicateValues" dxfId="163" priority="11"/>
    <cfRule type="duplicateValues" dxfId="162" priority="12"/>
  </conditionalFormatting>
  <conditionalFormatting sqref="C17">
    <cfRule type="duplicateValues" dxfId="161" priority="5"/>
    <cfRule type="duplicateValues" dxfId="160" priority="6"/>
  </conditionalFormatting>
  <conditionalFormatting sqref="C18:C23">
    <cfRule type="duplicateValues" dxfId="159" priority="7"/>
    <cfRule type="duplicateValues" dxfId="158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FEDC-EAD6-ED49-ACFF-6246DE50FD65}">
  <dimension ref="B1:AA17"/>
  <sheetViews>
    <sheetView topLeftCell="A2"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-0.83233734925716751</v>
      </c>
      <c r="J2" s="28">
        <f>(S14-J14)/J14</f>
        <v>-0.99998576437518771</v>
      </c>
      <c r="K2" s="28"/>
      <c r="L2" s="1" t="s">
        <v>19</v>
      </c>
      <c r="P2" s="1">
        <f>(P14-H14)/H14</f>
        <v>-0.8905770398438394</v>
      </c>
      <c r="R2" s="1">
        <f>(R14-J14)/J14</f>
        <v>-0.17437953427621869</v>
      </c>
      <c r="T2" s="1" t="s">
        <v>20</v>
      </c>
      <c r="X2" s="1">
        <f>(X14-P14)/P14</f>
        <v>-8.3427747614767331E-3</v>
      </c>
      <c r="Z2" s="1">
        <f>(Z14-R14)/R14</f>
        <v>0.16882443802758765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21</v>
      </c>
      <c r="D4" s="23">
        <v>113813.7616361594</v>
      </c>
      <c r="E4" s="33">
        <v>0.54882383400035906</v>
      </c>
      <c r="F4" s="5">
        <v>2</v>
      </c>
      <c r="G4" s="23">
        <v>63.333333333333343</v>
      </c>
      <c r="H4" s="33">
        <v>100.17435425558706</v>
      </c>
      <c r="I4" s="23">
        <v>21.113778986905956</v>
      </c>
      <c r="J4" s="5">
        <v>2074.3433503800443</v>
      </c>
      <c r="K4" s="31"/>
      <c r="L4" s="23">
        <v>117174.6334947812</v>
      </c>
      <c r="M4" s="33">
        <v>0.62520433299869183</v>
      </c>
      <c r="N4" s="5">
        <v>2</v>
      </c>
      <c r="O4" s="5">
        <v>53.333333333333343</v>
      </c>
      <c r="P4" s="33">
        <v>10.961374374378231</v>
      </c>
      <c r="Q4" s="5">
        <v>16.795497770943271</v>
      </c>
      <c r="R4" s="5">
        <v>1712.620323011801</v>
      </c>
      <c r="S4" s="31"/>
      <c r="T4" s="23">
        <v>130193.5379724087</v>
      </c>
      <c r="U4" s="33">
        <v>0.66299595899909036</v>
      </c>
      <c r="V4" s="5">
        <v>2</v>
      </c>
      <c r="W4" s="5">
        <v>40</v>
      </c>
      <c r="X4" s="33">
        <v>10.75775121357734</v>
      </c>
      <c r="Y4" s="5">
        <v>18.34815092637589</v>
      </c>
      <c r="Z4" s="5">
        <v>1870.463901558215</v>
      </c>
      <c r="AA4" s="35"/>
    </row>
    <row r="5" spans="2:27" x14ac:dyDescent="0.2">
      <c r="B5" s="4">
        <v>2</v>
      </c>
      <c r="C5" s="4">
        <v>26</v>
      </c>
      <c r="D5" s="23">
        <v>113813.7616361594</v>
      </c>
      <c r="E5" s="33">
        <v>0.47607858300034422</v>
      </c>
      <c r="F5" s="5">
        <v>2</v>
      </c>
      <c r="G5" s="23">
        <v>63.333333333333343</v>
      </c>
      <c r="H5" s="33">
        <v>100.17435425558706</v>
      </c>
      <c r="I5" s="23">
        <v>21.113778986905956</v>
      </c>
      <c r="J5" s="5">
        <v>2074.3433503800443</v>
      </c>
      <c r="K5" s="31"/>
      <c r="L5" s="23">
        <v>117174.6334947812</v>
      </c>
      <c r="M5" s="33">
        <v>0.62241604199880385</v>
      </c>
      <c r="N5" s="5">
        <v>2</v>
      </c>
      <c r="O5" s="5">
        <v>53.333333333333343</v>
      </c>
      <c r="P5" s="33">
        <v>10.961374374378231</v>
      </c>
      <c r="Q5" s="5">
        <v>16.795497770943271</v>
      </c>
      <c r="R5" s="5">
        <v>1712.620323011801</v>
      </c>
      <c r="S5" s="31"/>
      <c r="T5" s="23">
        <v>126329.070058331</v>
      </c>
      <c r="U5" s="33">
        <v>0.71028012500028126</v>
      </c>
      <c r="V5" s="5">
        <v>2</v>
      </c>
      <c r="W5" s="5">
        <v>43.333333333333343</v>
      </c>
      <c r="X5" s="33">
        <v>11.70607425819631</v>
      </c>
      <c r="Y5" s="5">
        <v>18.06494620818053</v>
      </c>
      <c r="Z5" s="5">
        <v>1729.277268815679</v>
      </c>
      <c r="AA5" s="35"/>
    </row>
    <row r="6" spans="2:27" x14ac:dyDescent="0.2">
      <c r="B6" s="4">
        <v>3</v>
      </c>
      <c r="C6" s="4">
        <v>371</v>
      </c>
      <c r="D6" s="23">
        <v>113813.7616361594</v>
      </c>
      <c r="E6" s="33">
        <v>0.59743887500007986</v>
      </c>
      <c r="F6" s="5">
        <v>2</v>
      </c>
      <c r="G6" s="23">
        <v>63.333333333333343</v>
      </c>
      <c r="H6" s="33">
        <v>100.17435425558706</v>
      </c>
      <c r="I6" s="23">
        <v>21.113778986905956</v>
      </c>
      <c r="J6" s="5">
        <v>2074.3433503800443</v>
      </c>
      <c r="K6" s="31"/>
      <c r="L6" s="23">
        <v>117174.6334947812</v>
      </c>
      <c r="M6" s="33">
        <v>0.66035554200061597</v>
      </c>
      <c r="N6" s="5">
        <v>2</v>
      </c>
      <c r="O6" s="5">
        <v>53.333333333333343</v>
      </c>
      <c r="P6" s="33">
        <v>10.961374374378231</v>
      </c>
      <c r="Q6" s="5">
        <v>16.795497770943271</v>
      </c>
      <c r="R6" s="5">
        <v>1712.620323011801</v>
      </c>
      <c r="S6" s="31"/>
      <c r="T6" s="23">
        <v>126325.4478474366</v>
      </c>
      <c r="U6" s="33">
        <v>0.70171937499981141</v>
      </c>
      <c r="V6" s="5">
        <v>2</v>
      </c>
      <c r="W6" s="5">
        <v>46.666666666666657</v>
      </c>
      <c r="X6" s="33">
        <v>10.86992609689657</v>
      </c>
      <c r="Y6" s="5">
        <v>20.53398797468471</v>
      </c>
      <c r="Z6" s="5">
        <v>2001.7524865988939</v>
      </c>
      <c r="AA6" s="35"/>
    </row>
    <row r="7" spans="2:27" x14ac:dyDescent="0.2">
      <c r="B7" s="4">
        <v>4</v>
      </c>
      <c r="C7" s="4">
        <v>374</v>
      </c>
      <c r="D7" s="23">
        <v>114283.9413543297</v>
      </c>
      <c r="E7" s="33">
        <v>1.3396788340032799</v>
      </c>
      <c r="F7" s="5">
        <v>2</v>
      </c>
      <c r="G7" s="23">
        <v>66.666666666666671</v>
      </c>
      <c r="H7" s="33">
        <v>141.8070333730372</v>
      </c>
      <c r="I7" s="23">
        <v>23.610403183391206</v>
      </c>
      <c r="J7" s="5">
        <v>2197.4931314107516</v>
      </c>
      <c r="K7" s="31"/>
      <c r="L7" s="23">
        <v>117174.6334947812</v>
      </c>
      <c r="M7" s="33">
        <v>0.50868058299965924</v>
      </c>
      <c r="N7" s="5">
        <v>2</v>
      </c>
      <c r="O7" s="5">
        <v>53.333333333333343</v>
      </c>
      <c r="P7" s="33">
        <v>10.961374374378231</v>
      </c>
      <c r="Q7" s="5">
        <v>16.795497770943271</v>
      </c>
      <c r="R7" s="5">
        <v>1712.620323011801</v>
      </c>
      <c r="S7" s="31"/>
      <c r="T7" s="23">
        <v>126535.2175645824</v>
      </c>
      <c r="U7" s="33">
        <v>0.64825266700063366</v>
      </c>
      <c r="V7" s="5">
        <v>2</v>
      </c>
      <c r="W7" s="5">
        <v>46.666666666666657</v>
      </c>
      <c r="X7" s="33">
        <v>25.873712851391439</v>
      </c>
      <c r="Y7" s="5">
        <v>20.17926684285867</v>
      </c>
      <c r="Z7" s="5">
        <v>1988.3212486206021</v>
      </c>
      <c r="AA7" s="35"/>
    </row>
    <row r="8" spans="2:27" x14ac:dyDescent="0.2">
      <c r="B8" s="4">
        <v>5</v>
      </c>
      <c r="C8" s="4">
        <v>393</v>
      </c>
      <c r="D8" s="23">
        <v>113813.7616361594</v>
      </c>
      <c r="E8" s="33">
        <v>0.94424241700107814</v>
      </c>
      <c r="F8" s="5">
        <v>2</v>
      </c>
      <c r="G8" s="23">
        <v>63.333333333333343</v>
      </c>
      <c r="H8" s="33">
        <v>100.17435425558706</v>
      </c>
      <c r="I8" s="23">
        <v>21.113778986905956</v>
      </c>
      <c r="J8" s="5">
        <v>2074.3433503800443</v>
      </c>
      <c r="K8" s="31"/>
      <c r="L8" s="23">
        <v>117174.6334947812</v>
      </c>
      <c r="M8" s="33">
        <v>0.82370433400137699</v>
      </c>
      <c r="N8" s="5">
        <v>2</v>
      </c>
      <c r="O8" s="5">
        <v>53.333333333333343</v>
      </c>
      <c r="P8" s="33">
        <v>10.961374374378231</v>
      </c>
      <c r="Q8" s="5">
        <v>16.795497770943271</v>
      </c>
      <c r="R8" s="5">
        <v>1712.620323011801</v>
      </c>
      <c r="S8" s="31"/>
      <c r="T8" s="23">
        <v>126325.4478474366</v>
      </c>
      <c r="U8" s="33">
        <v>0.89067641599831404</v>
      </c>
      <c r="V8" s="5">
        <v>2</v>
      </c>
      <c r="W8" s="5">
        <v>46.666666666666657</v>
      </c>
      <c r="X8" s="33">
        <v>10.86992609689657</v>
      </c>
      <c r="Y8" s="5">
        <v>20.53398797468471</v>
      </c>
      <c r="Z8" s="5">
        <v>2001.7524865988939</v>
      </c>
      <c r="AA8" s="35"/>
    </row>
    <row r="9" spans="2:27" x14ac:dyDescent="0.2">
      <c r="B9" s="4">
        <v>6</v>
      </c>
      <c r="C9" s="4">
        <v>535</v>
      </c>
      <c r="D9" s="23">
        <v>113813.7616361594</v>
      </c>
      <c r="E9" s="33">
        <v>0.49166908300321671</v>
      </c>
      <c r="F9" s="5">
        <v>2</v>
      </c>
      <c r="G9" s="23">
        <v>63.333333333333343</v>
      </c>
      <c r="H9" s="33">
        <v>100.17435425558706</v>
      </c>
      <c r="I9" s="23">
        <v>21.113778986905956</v>
      </c>
      <c r="J9" s="5">
        <v>2074.3433503800443</v>
      </c>
      <c r="K9" s="31"/>
      <c r="L9" s="23">
        <v>117174.6334947812</v>
      </c>
      <c r="M9" s="33">
        <v>0.42275574999803212</v>
      </c>
      <c r="N9" s="5">
        <v>2</v>
      </c>
      <c r="O9" s="5">
        <v>53.333333333333343</v>
      </c>
      <c r="P9" s="33">
        <v>10.961374374378231</v>
      </c>
      <c r="Q9" s="5">
        <v>16.795497770943271</v>
      </c>
      <c r="R9" s="5">
        <v>1712.620323011801</v>
      </c>
      <c r="S9" s="31"/>
      <c r="T9" s="23">
        <v>126325.4478474366</v>
      </c>
      <c r="U9" s="33">
        <v>0.8885819579991221</v>
      </c>
      <c r="V9" s="5">
        <v>2</v>
      </c>
      <c r="W9" s="5">
        <v>46.666666666666657</v>
      </c>
      <c r="X9" s="33">
        <v>10.86992609689657</v>
      </c>
      <c r="Y9" s="5">
        <v>20.53398797468471</v>
      </c>
      <c r="Z9" s="5">
        <v>2001.7524865988939</v>
      </c>
      <c r="AA9" s="35"/>
    </row>
    <row r="10" spans="2:27" x14ac:dyDescent="0.2">
      <c r="B10" s="4">
        <v>7</v>
      </c>
      <c r="C10" s="4">
        <v>637</v>
      </c>
      <c r="D10" s="23">
        <v>113813.7616361594</v>
      </c>
      <c r="E10" s="33">
        <v>0.63582775000031688</v>
      </c>
      <c r="F10" s="5">
        <v>2</v>
      </c>
      <c r="G10" s="23">
        <v>63.333333333333343</v>
      </c>
      <c r="H10" s="33">
        <v>100.17435425558706</v>
      </c>
      <c r="I10" s="23">
        <v>21.113778986905956</v>
      </c>
      <c r="J10" s="5">
        <v>2074.3433503800443</v>
      </c>
      <c r="K10" s="31"/>
      <c r="L10" s="23">
        <v>117174.6334947812</v>
      </c>
      <c r="M10" s="33">
        <v>0.51807279200147605</v>
      </c>
      <c r="N10" s="5">
        <v>2</v>
      </c>
      <c r="O10" s="5">
        <v>53.333333333333343</v>
      </c>
      <c r="P10" s="33">
        <v>10.961374374378231</v>
      </c>
      <c r="Q10" s="5">
        <v>16.795497770943271</v>
      </c>
      <c r="R10" s="5">
        <v>1712.620323011801</v>
      </c>
      <c r="S10" s="31"/>
      <c r="T10" s="23">
        <v>127735.18421621381</v>
      </c>
      <c r="U10" s="33">
        <v>0.71490412499770173</v>
      </c>
      <c r="V10" s="5">
        <v>2</v>
      </c>
      <c r="W10" s="5">
        <v>43.333333333333343</v>
      </c>
      <c r="X10" s="33">
        <v>42.671857386877747</v>
      </c>
      <c r="Y10" s="5">
        <v>19.973953956986449</v>
      </c>
      <c r="Z10" s="5">
        <v>1836.2454710198349</v>
      </c>
      <c r="AA10" s="35"/>
    </row>
    <row r="11" spans="2:27" x14ac:dyDescent="0.2">
      <c r="B11" s="4">
        <v>8</v>
      </c>
      <c r="C11" s="4">
        <v>723</v>
      </c>
      <c r="D11" s="23">
        <v>114053.0163722178</v>
      </c>
      <c r="E11" s="33">
        <v>0.63500854199810419</v>
      </c>
      <c r="F11" s="5">
        <v>2</v>
      </c>
      <c r="G11" s="23">
        <v>63.333333333333343</v>
      </c>
      <c r="H11" s="33">
        <v>89.725933202955517</v>
      </c>
      <c r="I11" s="23">
        <v>20.80350811742456</v>
      </c>
      <c r="J11" s="5">
        <v>2039.5152802046061</v>
      </c>
      <c r="K11" s="31"/>
      <c r="L11" s="23">
        <v>117338.8019865315</v>
      </c>
      <c r="M11" s="33">
        <v>0.48872649999975692</v>
      </c>
      <c r="N11" s="5">
        <v>2</v>
      </c>
      <c r="O11" s="5">
        <v>53.333333333333343</v>
      </c>
      <c r="P11" s="33">
        <v>10.961374374378231</v>
      </c>
      <c r="Q11" s="5">
        <v>16.810814483805139</v>
      </c>
      <c r="R11" s="5">
        <v>1716.447094665345</v>
      </c>
      <c r="S11" s="31"/>
      <c r="T11" s="23">
        <v>126329.070058331</v>
      </c>
      <c r="U11" s="33">
        <v>0.72856120899814414</v>
      </c>
      <c r="V11" s="5">
        <v>2</v>
      </c>
      <c r="W11" s="5">
        <v>43.333333333333343</v>
      </c>
      <c r="X11" s="33">
        <v>11.70607425819631</v>
      </c>
      <c r="Y11" s="5">
        <v>18.06494620818053</v>
      </c>
      <c r="Z11" s="5">
        <v>1729.277268815679</v>
      </c>
      <c r="AA11" s="35"/>
    </row>
    <row r="12" spans="2:27" x14ac:dyDescent="0.2">
      <c r="B12" s="4">
        <v>9</v>
      </c>
      <c r="C12" s="4">
        <v>805</v>
      </c>
      <c r="D12" s="23">
        <v>113813.7616361594</v>
      </c>
      <c r="E12" s="33">
        <v>0.63160020899886149</v>
      </c>
      <c r="F12" s="5">
        <v>2</v>
      </c>
      <c r="G12" s="23">
        <v>63.333333333333343</v>
      </c>
      <c r="H12" s="33">
        <v>100.17435425558706</v>
      </c>
      <c r="I12" s="23">
        <v>21.113778986905956</v>
      </c>
      <c r="J12" s="5">
        <v>2074.3433503800443</v>
      </c>
      <c r="K12" s="31"/>
      <c r="L12" s="23">
        <v>117174.6334947812</v>
      </c>
      <c r="M12" s="33">
        <v>0.48916841600293992</v>
      </c>
      <c r="N12" s="5">
        <v>2</v>
      </c>
      <c r="O12" s="5">
        <v>53.333333333333343</v>
      </c>
      <c r="P12" s="33">
        <v>10.961374374378231</v>
      </c>
      <c r="Q12" s="5">
        <v>16.795497770943271</v>
      </c>
      <c r="R12" s="5">
        <v>1712.620323011801</v>
      </c>
      <c r="S12" s="31"/>
      <c r="T12" s="23">
        <v>126325.4478474366</v>
      </c>
      <c r="U12" s="33">
        <v>0.54765054100062116</v>
      </c>
      <c r="V12" s="5">
        <v>2</v>
      </c>
      <c r="W12" s="5">
        <v>46.666666666666657</v>
      </c>
      <c r="X12" s="33">
        <v>10.86992609689657</v>
      </c>
      <c r="Y12" s="5">
        <v>20.53398797468471</v>
      </c>
      <c r="Z12" s="5">
        <v>2001.7524865988939</v>
      </c>
      <c r="AA12" s="35"/>
    </row>
    <row r="13" spans="2:27" x14ac:dyDescent="0.2">
      <c r="B13" s="4">
        <v>10</v>
      </c>
      <c r="C13" s="4">
        <v>886</v>
      </c>
      <c r="D13" s="23">
        <v>113813.7616361594</v>
      </c>
      <c r="E13" s="33">
        <v>0.49038170800122322</v>
      </c>
      <c r="F13" s="5">
        <v>2</v>
      </c>
      <c r="G13" s="23">
        <v>63.333333333333343</v>
      </c>
      <c r="H13" s="33">
        <v>100.17435425558706</v>
      </c>
      <c r="I13" s="23">
        <v>21.113778986905956</v>
      </c>
      <c r="J13" s="5">
        <v>2074.3433503800443</v>
      </c>
      <c r="K13" s="31"/>
      <c r="L13" s="23">
        <v>117174.6334947812</v>
      </c>
      <c r="M13" s="33">
        <v>0.54231733299820917</v>
      </c>
      <c r="N13" s="5">
        <v>2</v>
      </c>
      <c r="O13" s="5">
        <v>53.333333333333343</v>
      </c>
      <c r="P13" s="33">
        <v>10.961374374378231</v>
      </c>
      <c r="Q13" s="5">
        <v>16.795497770943271</v>
      </c>
      <c r="R13" s="5">
        <v>1712.620323011801</v>
      </c>
      <c r="S13" s="31"/>
      <c r="T13" s="23">
        <v>127484.4932977884</v>
      </c>
      <c r="U13" s="33">
        <v>0.53491574999861768</v>
      </c>
      <c r="V13" s="5">
        <v>2</v>
      </c>
      <c r="W13" s="5">
        <v>43.333333333333343</v>
      </c>
      <c r="X13" s="33">
        <v>36.465176485802438</v>
      </c>
      <c r="Y13" s="5">
        <v>20.91732942516585</v>
      </c>
      <c r="Z13" s="5">
        <v>1875.7033573815311</v>
      </c>
      <c r="AA13" s="35"/>
    </row>
    <row r="14" spans="2:27" x14ac:dyDescent="0.2">
      <c r="B14" s="46" t="s">
        <v>3</v>
      </c>
      <c r="C14" s="47"/>
      <c r="D14" s="9">
        <f>MIN(D4:D13)</f>
        <v>113813.7616361594</v>
      </c>
      <c r="E14" s="22">
        <f>INDEX(E4:E13, MATCH($D$14, D4:D13, 0))</f>
        <v>0.54882383400035906</v>
      </c>
      <c r="F14" s="9">
        <f>INDEX(F4:F13, MATCH($D$14, D4:D13, 0))</f>
        <v>2</v>
      </c>
      <c r="G14" s="9">
        <f>INDEX(G4:G13, MATCH($D$14, D4:D13, 0))</f>
        <v>63.333333333333343</v>
      </c>
      <c r="H14" s="22">
        <f>INDEX(H4:H13, MATCH($D$14, D4:D13, 0))</f>
        <v>100.17435425558706</v>
      </c>
      <c r="I14" s="22">
        <f>INDEX(I4:I13, MATCH($D$14, D4:D13, 0))</f>
        <v>21.113778986905956</v>
      </c>
      <c r="J14" s="22">
        <f>INDEX(J4:J13, MATCH($D$14, D4:D13, 0))</f>
        <v>2074.3433503800443</v>
      </c>
      <c r="K14" s="32">
        <f>(D14-$D$15)/$D$15</f>
        <v>0</v>
      </c>
      <c r="L14" s="16">
        <f>MIN(L4:L13)</f>
        <v>117174.6334947812</v>
      </c>
      <c r="M14" s="21">
        <f>INDEX(M4:M13, MATCH($L$14, L4:L13, 0))</f>
        <v>0.62520433299869183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10.961374374378231</v>
      </c>
      <c r="Q14" s="21">
        <f>INDEX(Q4:Q13, MATCH($L$14, L4:L13, 0))</f>
        <v>16.795497770943271</v>
      </c>
      <c r="R14" s="21">
        <f>INDEX(R4:R13, MATCH($L$14, L4:L13, 0))</f>
        <v>1712.620323011801</v>
      </c>
      <c r="S14" s="36">
        <f>(L14-$D$15)/$D$15</f>
        <v>2.952957366760146E-2</v>
      </c>
      <c r="T14" s="38">
        <f>MIN(T4:T13)</f>
        <v>126325.4478474366</v>
      </c>
      <c r="U14" s="39">
        <f>INDEX(U4:U13, MATCH($T$14, T4:T13, 0))</f>
        <v>0.70171937499981141</v>
      </c>
      <c r="V14" s="38">
        <f>INDEX(V4:V13, MATCH($T$14, T4:T13, 0))</f>
        <v>2</v>
      </c>
      <c r="W14" s="38">
        <f>INDEX(W4:W13, MATCH($T$14, T4:T13, 0))</f>
        <v>46.666666666666657</v>
      </c>
      <c r="X14" s="39">
        <f>INDEX(X4:X13, MATCH($T$14, T4:T13, 0))</f>
        <v>10.86992609689657</v>
      </c>
      <c r="Y14" s="39">
        <f>INDEX(Y4:Y13, MATCH($T$14, T4:T13, 0))</f>
        <v>20.53398797468471</v>
      </c>
      <c r="Z14" s="39">
        <f>INDEX(Z4:Z13, MATCH($T$14, T4:T13, 0))</f>
        <v>2001.7524865988939</v>
      </c>
      <c r="AA14" s="40">
        <f>(T14-$D$15)/$D$15</f>
        <v>0.10993122476062825</v>
      </c>
    </row>
    <row r="15" spans="2:27" x14ac:dyDescent="0.2">
      <c r="C15" s="1" t="s">
        <v>17</v>
      </c>
      <c r="D15" s="34">
        <v>113813.7616361594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57" priority="7"/>
    <cfRule type="duplicateValues" dxfId="156" priority="8"/>
  </conditionalFormatting>
  <conditionalFormatting sqref="C15:C16 C31:C1048576 C1:C13">
    <cfRule type="duplicateValues" dxfId="155" priority="17"/>
    <cfRule type="duplicateValues" dxfId="154" priority="18"/>
  </conditionalFormatting>
  <conditionalFormatting sqref="C24:C30">
    <cfRule type="duplicateValues" dxfId="53" priority="5"/>
    <cfRule type="duplicateValues" dxfId="52" priority="6"/>
  </conditionalFormatting>
  <conditionalFormatting sqref="C17">
    <cfRule type="duplicateValues" dxfId="51" priority="1"/>
    <cfRule type="duplicateValues" dxfId="50" priority="2"/>
  </conditionalFormatting>
  <conditionalFormatting sqref="C18:C23">
    <cfRule type="duplicateValues" dxfId="49" priority="3"/>
    <cfRule type="duplicateValues" dxfId="48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67DA-B063-D545-9F65-509F81B58043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-0.33720775715575196</v>
      </c>
      <c r="J2" s="28" t="e">
        <f>(S14-J14)/J14</f>
        <v>#DIV/0!</v>
      </c>
      <c r="K2" s="28"/>
      <c r="L2" s="1" t="s">
        <v>19</v>
      </c>
      <c r="P2" s="1">
        <f>(P14-H14)/H14</f>
        <v>-1</v>
      </c>
      <c r="R2" s="1">
        <f>(R14-J14)/J14</f>
        <v>-0.32796191651805423</v>
      </c>
      <c r="T2" s="1" t="s">
        <v>20</v>
      </c>
      <c r="X2" s="1" t="e">
        <f>(X14-P14)/P14</f>
        <v>#DIV/0!</v>
      </c>
      <c r="Z2" s="1">
        <f>(Z14-R14)/R14</f>
        <v>0.52364764299975397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81</v>
      </c>
      <c r="D4" s="23">
        <v>103752.5282899922</v>
      </c>
      <c r="E4" s="33">
        <v>1.354875125001854</v>
      </c>
      <c r="F4" s="5">
        <v>2</v>
      </c>
      <c r="G4" s="23">
        <v>70</v>
      </c>
      <c r="H4" s="33">
        <v>27.631118471939857</v>
      </c>
      <c r="I4" s="23">
        <v>28.009285707232923</v>
      </c>
      <c r="J4" s="5">
        <v>1928.9574404534544</v>
      </c>
      <c r="K4" s="31"/>
      <c r="L4" s="23">
        <v>110011.528705422</v>
      </c>
      <c r="M4" s="33">
        <v>1.10494420899704</v>
      </c>
      <c r="N4" s="5">
        <v>2</v>
      </c>
      <c r="O4" s="5">
        <v>53.333333333333343</v>
      </c>
      <c r="P4" s="33">
        <v>0</v>
      </c>
      <c r="Q4" s="5">
        <v>18.65133142625811</v>
      </c>
      <c r="R4" s="5">
        <v>1356.3476734493211</v>
      </c>
      <c r="S4" s="31"/>
      <c r="T4" s="23">
        <v>116594.8619138871</v>
      </c>
      <c r="U4" s="33">
        <v>1.242895165996742</v>
      </c>
      <c r="V4" s="5">
        <v>2</v>
      </c>
      <c r="W4" s="5">
        <v>56.666666666666657</v>
      </c>
      <c r="X4" s="33">
        <v>43.236941789425572</v>
      </c>
      <c r="Y4" s="5">
        <v>34.611655136817959</v>
      </c>
      <c r="Z4" s="5">
        <v>1991.8810450723629</v>
      </c>
      <c r="AA4" s="35"/>
    </row>
    <row r="5" spans="2:27" x14ac:dyDescent="0.2">
      <c r="B5" s="4">
        <v>2</v>
      </c>
      <c r="C5" s="4">
        <v>206</v>
      </c>
      <c r="D5" s="23">
        <v>103752.5282899922</v>
      </c>
      <c r="E5" s="33">
        <v>0.63153266699737287</v>
      </c>
      <c r="F5" s="5">
        <v>2</v>
      </c>
      <c r="G5" s="23">
        <v>70</v>
      </c>
      <c r="H5" s="33">
        <v>27.631118471939857</v>
      </c>
      <c r="I5" s="23">
        <v>28.009285707232923</v>
      </c>
      <c r="J5" s="5">
        <v>1928.9574404534544</v>
      </c>
      <c r="K5" s="31"/>
      <c r="L5" s="23">
        <v>109164.14988951611</v>
      </c>
      <c r="M5" s="33">
        <v>0.67357533299946226</v>
      </c>
      <c r="N5" s="5">
        <v>2</v>
      </c>
      <c r="O5" s="5">
        <v>53.333333333333343</v>
      </c>
      <c r="P5" s="33">
        <v>0</v>
      </c>
      <c r="Q5" s="5">
        <v>18.313690984312149</v>
      </c>
      <c r="R5" s="5">
        <v>1296.3328614005791</v>
      </c>
      <c r="S5" s="31"/>
      <c r="T5" s="23">
        <v>117267.7807916787</v>
      </c>
      <c r="U5" s="33">
        <v>0.65379700000266894</v>
      </c>
      <c r="V5" s="5">
        <v>2</v>
      </c>
      <c r="W5" s="5">
        <v>53.333333333333343</v>
      </c>
      <c r="X5" s="33">
        <v>1.9447459528735891</v>
      </c>
      <c r="Y5" s="5">
        <v>33.926512336186462</v>
      </c>
      <c r="Z5" s="5">
        <v>1873.320610436017</v>
      </c>
      <c r="AA5" s="35"/>
    </row>
    <row r="6" spans="2:27" x14ac:dyDescent="0.2">
      <c r="B6" s="4">
        <v>3</v>
      </c>
      <c r="C6" s="4">
        <v>421</v>
      </c>
      <c r="D6" s="23">
        <v>103752.5282899922</v>
      </c>
      <c r="E6" s="33">
        <v>1.237654708002083</v>
      </c>
      <c r="F6" s="5">
        <v>2</v>
      </c>
      <c r="G6" s="23">
        <v>70</v>
      </c>
      <c r="H6" s="33">
        <v>27.631118471939857</v>
      </c>
      <c r="I6" s="23">
        <v>28.009285707232923</v>
      </c>
      <c r="J6" s="5">
        <v>1928.9574404534544</v>
      </c>
      <c r="K6" s="31"/>
      <c r="L6" s="23">
        <v>109164.14988951611</v>
      </c>
      <c r="M6" s="33">
        <v>1.0771382500024631</v>
      </c>
      <c r="N6" s="5">
        <v>2</v>
      </c>
      <c r="O6" s="5">
        <v>53.333333333333343</v>
      </c>
      <c r="P6" s="33">
        <v>0</v>
      </c>
      <c r="Q6" s="5">
        <v>18.313690984312149</v>
      </c>
      <c r="R6" s="5">
        <v>1296.3328614005791</v>
      </c>
      <c r="S6" s="31"/>
      <c r="T6" s="23">
        <v>119478.1306126983</v>
      </c>
      <c r="U6" s="33">
        <v>0.82027233400003752</v>
      </c>
      <c r="V6" s="5">
        <v>2</v>
      </c>
      <c r="W6" s="5">
        <v>43.333333333333343</v>
      </c>
      <c r="X6" s="33">
        <v>0</v>
      </c>
      <c r="Y6" s="5">
        <v>22.693545040943221</v>
      </c>
      <c r="Z6" s="5">
        <v>1335.8083258633189</v>
      </c>
      <c r="AA6" s="35"/>
    </row>
    <row r="7" spans="2:27" x14ac:dyDescent="0.2">
      <c r="B7" s="4">
        <v>4</v>
      </c>
      <c r="C7" s="4">
        <v>551</v>
      </c>
      <c r="D7" s="23">
        <v>103752.5282899922</v>
      </c>
      <c r="E7" s="33">
        <v>0.94851762500184122</v>
      </c>
      <c r="F7" s="5">
        <v>2</v>
      </c>
      <c r="G7" s="23">
        <v>70</v>
      </c>
      <c r="H7" s="33">
        <v>27.631118471939857</v>
      </c>
      <c r="I7" s="23">
        <v>28.009285707232923</v>
      </c>
      <c r="J7" s="5">
        <v>1928.9574404534544</v>
      </c>
      <c r="K7" s="31"/>
      <c r="L7" s="23">
        <v>109164.14988951611</v>
      </c>
      <c r="M7" s="33">
        <v>0.74941004100037389</v>
      </c>
      <c r="N7" s="5">
        <v>2</v>
      </c>
      <c r="O7" s="5">
        <v>53.333333333333343</v>
      </c>
      <c r="P7" s="33">
        <v>0</v>
      </c>
      <c r="Q7" s="5">
        <v>18.313690984312149</v>
      </c>
      <c r="R7" s="5">
        <v>1296.3328614005791</v>
      </c>
      <c r="S7" s="31"/>
      <c r="T7" s="23">
        <v>115790.05777993859</v>
      </c>
      <c r="U7" s="33">
        <v>0.75547916700088535</v>
      </c>
      <c r="V7" s="5">
        <v>2</v>
      </c>
      <c r="W7" s="5">
        <v>56.666666666666657</v>
      </c>
      <c r="X7" s="33">
        <v>15.99321344247001</v>
      </c>
      <c r="Y7" s="5">
        <v>30.976302826733619</v>
      </c>
      <c r="Z7" s="5">
        <v>1946.6839455489569</v>
      </c>
      <c r="AA7" s="35"/>
    </row>
    <row r="8" spans="2:27" x14ac:dyDescent="0.2">
      <c r="B8" s="4">
        <v>5</v>
      </c>
      <c r="C8" s="4">
        <v>604</v>
      </c>
      <c r="D8" s="23">
        <v>103752.5282899922</v>
      </c>
      <c r="E8" s="33">
        <v>0.61067841700059944</v>
      </c>
      <c r="F8" s="5">
        <v>2</v>
      </c>
      <c r="G8" s="23">
        <v>70</v>
      </c>
      <c r="H8" s="33">
        <v>27.631118471939857</v>
      </c>
      <c r="I8" s="23">
        <v>28.009285707232923</v>
      </c>
      <c r="J8" s="5">
        <v>1928.9574404534544</v>
      </c>
      <c r="K8" s="31"/>
      <c r="L8" s="23">
        <v>109164.14988951611</v>
      </c>
      <c r="M8" s="33">
        <v>0.50548312499813619</v>
      </c>
      <c r="N8" s="5">
        <v>2</v>
      </c>
      <c r="O8" s="5">
        <v>53.333333333333343</v>
      </c>
      <c r="P8" s="33">
        <v>0</v>
      </c>
      <c r="Q8" s="5">
        <v>18.313690984312149</v>
      </c>
      <c r="R8" s="5">
        <v>1296.3328614005791</v>
      </c>
      <c r="S8" s="31"/>
      <c r="T8" s="23">
        <v>119550.45254237831</v>
      </c>
      <c r="U8" s="33">
        <v>0.66767162500036648</v>
      </c>
      <c r="V8" s="5">
        <v>2</v>
      </c>
      <c r="W8" s="5">
        <v>46.666666666666657</v>
      </c>
      <c r="X8" s="33">
        <v>1.064554546169737</v>
      </c>
      <c r="Y8" s="5">
        <v>28.81083620460123</v>
      </c>
      <c r="Z8" s="5">
        <v>1623.113168436357</v>
      </c>
      <c r="AA8" s="35"/>
    </row>
    <row r="9" spans="2:27" x14ac:dyDescent="0.2">
      <c r="B9" s="4">
        <v>6</v>
      </c>
      <c r="C9" s="4">
        <v>709</v>
      </c>
      <c r="D9" s="23">
        <v>103752.5282899922</v>
      </c>
      <c r="E9" s="33">
        <v>1.389715874996909</v>
      </c>
      <c r="F9" s="5">
        <v>2</v>
      </c>
      <c r="G9" s="23">
        <v>70</v>
      </c>
      <c r="H9" s="33">
        <v>27.631118471939857</v>
      </c>
      <c r="I9" s="23">
        <v>28.009285707232923</v>
      </c>
      <c r="J9" s="5">
        <v>1928.9574404534544</v>
      </c>
      <c r="K9" s="31"/>
      <c r="L9" s="23">
        <v>109579.724769104</v>
      </c>
      <c r="M9" s="33">
        <v>0.60966329099755967</v>
      </c>
      <c r="N9" s="5">
        <v>2</v>
      </c>
      <c r="O9" s="5">
        <v>53.333333333333343</v>
      </c>
      <c r="P9" s="33">
        <v>0</v>
      </c>
      <c r="Q9" s="5">
        <v>17.951449919591749</v>
      </c>
      <c r="R9" s="5">
        <v>1321.886539181007</v>
      </c>
      <c r="S9" s="31"/>
      <c r="T9" s="23">
        <v>115233.51058649149</v>
      </c>
      <c r="U9" s="33">
        <v>0.72203395899850875</v>
      </c>
      <c r="V9" s="5">
        <v>2</v>
      </c>
      <c r="W9" s="5">
        <v>56.666666666666657</v>
      </c>
      <c r="X9" s="33">
        <v>19.684592059607908</v>
      </c>
      <c r="Y9" s="5">
        <v>35.028409661464899</v>
      </c>
      <c r="Z9" s="5">
        <v>1975.154508816119</v>
      </c>
      <c r="AA9" s="35"/>
    </row>
    <row r="10" spans="2:27" x14ac:dyDescent="0.2">
      <c r="B10" s="4">
        <v>7</v>
      </c>
      <c r="C10" s="4">
        <v>713</v>
      </c>
      <c r="D10" s="23">
        <v>103752.5282899922</v>
      </c>
      <c r="E10" s="33">
        <v>0.96338745899993228</v>
      </c>
      <c r="F10" s="5">
        <v>2</v>
      </c>
      <c r="G10" s="23">
        <v>70</v>
      </c>
      <c r="H10" s="33">
        <v>27.631118471939857</v>
      </c>
      <c r="I10" s="23">
        <v>28.009285707232923</v>
      </c>
      <c r="J10" s="5">
        <v>1928.9574404534544</v>
      </c>
      <c r="K10" s="31"/>
      <c r="L10" s="23">
        <v>109164.14988951611</v>
      </c>
      <c r="M10" s="33">
        <v>0.74394283400033601</v>
      </c>
      <c r="N10" s="5">
        <v>2</v>
      </c>
      <c r="O10" s="5">
        <v>53.333333333333343</v>
      </c>
      <c r="P10" s="33">
        <v>0</v>
      </c>
      <c r="Q10" s="5">
        <v>18.313690984312149</v>
      </c>
      <c r="R10" s="5">
        <v>1296.3328614005791</v>
      </c>
      <c r="S10" s="31"/>
      <c r="T10" s="23">
        <v>115396.2373327544</v>
      </c>
      <c r="U10" s="33">
        <v>0.77604295899800491</v>
      </c>
      <c r="V10" s="5">
        <v>2</v>
      </c>
      <c r="W10" s="5">
        <v>53.333333333333343</v>
      </c>
      <c r="X10" s="33">
        <v>1.9447459528735891</v>
      </c>
      <c r="Y10" s="5">
        <v>31.88702373435029</v>
      </c>
      <c r="Z10" s="5">
        <v>1790.6737996907029</v>
      </c>
      <c r="AA10" s="35"/>
    </row>
    <row r="11" spans="2:27" x14ac:dyDescent="0.2">
      <c r="B11" s="4">
        <v>8</v>
      </c>
      <c r="C11" s="4">
        <v>782</v>
      </c>
      <c r="D11" s="23">
        <v>104673.04120764309</v>
      </c>
      <c r="E11" s="33">
        <v>0.78806179100138252</v>
      </c>
      <c r="F11" s="5">
        <v>2</v>
      </c>
      <c r="G11" s="23">
        <v>70</v>
      </c>
      <c r="H11" s="33">
        <v>16.566183407004765</v>
      </c>
      <c r="I11" s="23">
        <v>28.576374342503371</v>
      </c>
      <c r="J11" s="5">
        <v>1961.6544101504235</v>
      </c>
      <c r="K11" s="31"/>
      <c r="L11" s="23">
        <v>109164.14988951611</v>
      </c>
      <c r="M11" s="33">
        <v>0.61237933300071745</v>
      </c>
      <c r="N11" s="5">
        <v>2</v>
      </c>
      <c r="O11" s="5">
        <v>53.333333333333343</v>
      </c>
      <c r="P11" s="33">
        <v>0</v>
      </c>
      <c r="Q11" s="5">
        <v>18.313690984312149</v>
      </c>
      <c r="R11" s="5">
        <v>1296.3328614005791</v>
      </c>
      <c r="S11" s="31"/>
      <c r="T11" s="23">
        <v>115233.51058649149</v>
      </c>
      <c r="U11" s="33">
        <v>0.75749320899922168</v>
      </c>
      <c r="V11" s="5">
        <v>2</v>
      </c>
      <c r="W11" s="5">
        <v>56.666666666666657</v>
      </c>
      <c r="X11" s="33">
        <v>19.684592059607908</v>
      </c>
      <c r="Y11" s="5">
        <v>35.028409661464899</v>
      </c>
      <c r="Z11" s="5">
        <v>1975.154508816119</v>
      </c>
      <c r="AA11" s="35"/>
    </row>
    <row r="12" spans="2:27" x14ac:dyDescent="0.2">
      <c r="B12" s="4">
        <v>9</v>
      </c>
      <c r="C12" s="4">
        <v>817</v>
      </c>
      <c r="D12" s="23">
        <v>103758.8788112911</v>
      </c>
      <c r="E12" s="33">
        <v>0.78337674999784213</v>
      </c>
      <c r="F12" s="5">
        <v>2</v>
      </c>
      <c r="G12" s="23">
        <v>66.666666666666671</v>
      </c>
      <c r="H12" s="33">
        <v>9.0308562137186534</v>
      </c>
      <c r="I12" s="23">
        <v>25.863914243679634</v>
      </c>
      <c r="J12" s="5">
        <v>1787.9580661874484</v>
      </c>
      <c r="K12" s="31"/>
      <c r="L12" s="23">
        <v>109572.4270629766</v>
      </c>
      <c r="M12" s="33">
        <v>0.52669662500193226</v>
      </c>
      <c r="N12" s="5">
        <v>2</v>
      </c>
      <c r="O12" s="5">
        <v>53.333333333333343</v>
      </c>
      <c r="P12" s="33">
        <v>0</v>
      </c>
      <c r="Q12" s="5">
        <v>18.074104401083879</v>
      </c>
      <c r="R12" s="5">
        <v>1315.6494575162269</v>
      </c>
      <c r="S12" s="31"/>
      <c r="T12" s="23">
        <v>116948.54339643251</v>
      </c>
      <c r="U12" s="33">
        <v>0.44955216599919368</v>
      </c>
      <c r="V12" s="5">
        <v>2</v>
      </c>
      <c r="W12" s="5">
        <v>50</v>
      </c>
      <c r="X12" s="33">
        <v>2.0743956830651622</v>
      </c>
      <c r="Y12" s="5">
        <v>32.379976312238831</v>
      </c>
      <c r="Z12" s="5">
        <v>1732.7188939507121</v>
      </c>
      <c r="AA12" s="35"/>
    </row>
    <row r="13" spans="2:27" x14ac:dyDescent="0.2">
      <c r="B13" s="4">
        <v>10</v>
      </c>
      <c r="C13" s="4">
        <v>965</v>
      </c>
      <c r="D13" s="23">
        <v>104068.8929000105</v>
      </c>
      <c r="E13" s="33">
        <v>0.67241079100131174</v>
      </c>
      <c r="F13" s="5">
        <v>2</v>
      </c>
      <c r="G13" s="23">
        <v>66.666666666666671</v>
      </c>
      <c r="H13" s="33">
        <v>12.112674395536851</v>
      </c>
      <c r="I13" s="23">
        <v>26.355846553793764</v>
      </c>
      <c r="J13" s="5">
        <v>1806.4489752783581</v>
      </c>
      <c r="K13" s="31"/>
      <c r="L13" s="23">
        <v>109164.14988951611</v>
      </c>
      <c r="M13" s="33">
        <v>0.64158424999914132</v>
      </c>
      <c r="N13" s="5">
        <v>2</v>
      </c>
      <c r="O13" s="5">
        <v>53.333333333333343</v>
      </c>
      <c r="P13" s="33">
        <v>0</v>
      </c>
      <c r="Q13" s="5">
        <v>18.313690984312149</v>
      </c>
      <c r="R13" s="5">
        <v>1296.3328614005791</v>
      </c>
      <c r="S13" s="31"/>
      <c r="T13" s="23">
        <v>115233.51058649149</v>
      </c>
      <c r="U13" s="33">
        <v>1.0023676249984419</v>
      </c>
      <c r="V13" s="5">
        <v>2</v>
      </c>
      <c r="W13" s="5">
        <v>56.666666666666657</v>
      </c>
      <c r="X13" s="33">
        <v>19.684592059607908</v>
      </c>
      <c r="Y13" s="5">
        <v>35.028409661464899</v>
      </c>
      <c r="Z13" s="5">
        <v>1975.154508816119</v>
      </c>
      <c r="AA13" s="35"/>
    </row>
    <row r="14" spans="2:27" x14ac:dyDescent="0.2">
      <c r="B14" s="46" t="s">
        <v>3</v>
      </c>
      <c r="C14" s="47"/>
      <c r="D14" s="9">
        <f>MIN(D4:D13)</f>
        <v>103752.5282899922</v>
      </c>
      <c r="E14" s="22">
        <f>INDEX(E4:E13, MATCH($D$14, D4:D13, 0))</f>
        <v>1.354875125001854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27.631118471939857</v>
      </c>
      <c r="I14" s="22">
        <f>INDEX(I4:I13, MATCH($D$14, D4:D13, 0))</f>
        <v>28.009285707232923</v>
      </c>
      <c r="J14" s="22">
        <f>INDEX(J4:J13, MATCH($D$14, D4:D13, 0))</f>
        <v>1928.9574404534544</v>
      </c>
      <c r="K14" s="32" t="e">
        <f>(D14-$D$15)/$D$15</f>
        <v>#DIV/0!</v>
      </c>
      <c r="L14" s="16">
        <f>MIN(L4:L13)</f>
        <v>109164.14988951611</v>
      </c>
      <c r="M14" s="21">
        <f>INDEX(M4:M13, MATCH($L$14, L4:L13, 0))</f>
        <v>0.67357533299946226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0</v>
      </c>
      <c r="Q14" s="21">
        <f>INDEX(Q4:Q13, MATCH($L$14, L4:L13, 0))</f>
        <v>18.313690984312149</v>
      </c>
      <c r="R14" s="21">
        <f>INDEX(R4:R13, MATCH($L$14, L4:L13, 0))</f>
        <v>1296.3328614005791</v>
      </c>
      <c r="S14" s="36" t="e">
        <f>(L14-$D$15)/$D$15</f>
        <v>#DIV/0!</v>
      </c>
      <c r="T14" s="38">
        <f>MIN(T4:T13)</f>
        <v>115233.51058649149</v>
      </c>
      <c r="U14" s="39">
        <f>INDEX(U4:U13, MATCH($T$14, T4:T13, 0))</f>
        <v>0.72203395899850875</v>
      </c>
      <c r="V14" s="38">
        <f>INDEX(V4:V13, MATCH($T$14, T4:T13, 0))</f>
        <v>2</v>
      </c>
      <c r="W14" s="38">
        <f>INDEX(W4:W13, MATCH($T$14, T4:T13, 0))</f>
        <v>56.666666666666657</v>
      </c>
      <c r="X14" s="39">
        <f>INDEX(X4:X13, MATCH($T$14, T4:T13, 0))</f>
        <v>19.684592059607908</v>
      </c>
      <c r="Y14" s="39">
        <f>INDEX(Y4:Y13, MATCH($T$14, T4:T13, 0))</f>
        <v>35.028409661464899</v>
      </c>
      <c r="Z14" s="39">
        <f>INDEX(Z4:Z13, MATCH($T$14, T4:T13, 0))</f>
        <v>1975.154508816119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49" priority="7"/>
    <cfRule type="duplicateValues" dxfId="148" priority="8"/>
  </conditionalFormatting>
  <conditionalFormatting sqref="C15:C16 C31:C1048576 C1:C13">
    <cfRule type="duplicateValues" dxfId="147" priority="17"/>
    <cfRule type="duplicateValues" dxfId="146" priority="18"/>
  </conditionalFormatting>
  <conditionalFormatting sqref="C24:C30">
    <cfRule type="duplicateValues" dxfId="47" priority="5"/>
    <cfRule type="duplicateValues" dxfId="46" priority="6"/>
  </conditionalFormatting>
  <conditionalFormatting sqref="C17">
    <cfRule type="duplicateValues" dxfId="45" priority="1"/>
    <cfRule type="duplicateValues" dxfId="44" priority="2"/>
  </conditionalFormatting>
  <conditionalFormatting sqref="C18:C23">
    <cfRule type="duplicateValues" dxfId="43" priority="3"/>
    <cfRule type="duplicateValues" dxfId="4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9253-259E-724C-96B3-713134EAA1D2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-0.50965573691326294</v>
      </c>
      <c r="J2" s="28">
        <f>(S14-J14)/J14</f>
        <v>-0.99996536212458176</v>
      </c>
      <c r="K2" s="28"/>
      <c r="L2" s="1" t="s">
        <v>19</v>
      </c>
      <c r="P2" s="1">
        <f>(P14-H14)/H14</f>
        <v>-6.165299563708472E-2</v>
      </c>
      <c r="R2" s="1">
        <f>(R14-J14)/J14</f>
        <v>-0.1145182810623821</v>
      </c>
      <c r="T2" s="1" t="s">
        <v>20</v>
      </c>
      <c r="X2" s="1">
        <f>(X14-P14)/P14</f>
        <v>-0.17955653245561612</v>
      </c>
      <c r="Z2" s="1">
        <f>(Z14-R14)/R14</f>
        <v>0.20292003018371871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150</v>
      </c>
      <c r="D4" s="23">
        <v>96622.86191609918</v>
      </c>
      <c r="E4" s="33">
        <v>0.69049966700185905</v>
      </c>
      <c r="F4" s="5">
        <v>3</v>
      </c>
      <c r="G4" s="23">
        <v>90</v>
      </c>
      <c r="H4" s="33">
        <v>45.802469965880981</v>
      </c>
      <c r="I4" s="23">
        <v>27.408422846018102</v>
      </c>
      <c r="J4" s="5">
        <v>2026.3803331049116</v>
      </c>
      <c r="K4" s="31"/>
      <c r="L4" s="23">
        <v>104384.50199022741</v>
      </c>
      <c r="M4" s="33">
        <v>0.90881154099770356</v>
      </c>
      <c r="N4" s="5">
        <v>3</v>
      </c>
      <c r="O4" s="5">
        <v>76.666666666666671</v>
      </c>
      <c r="P4" s="33">
        <v>98.621547390238703</v>
      </c>
      <c r="Q4" s="5">
        <v>22.695492070572971</v>
      </c>
      <c r="R4" s="5">
        <v>1812.169622181043</v>
      </c>
      <c r="S4" s="31"/>
      <c r="T4" s="23">
        <v>117875.46992199159</v>
      </c>
      <c r="U4" s="33">
        <v>1.1205634159996409</v>
      </c>
      <c r="V4" s="5">
        <v>2</v>
      </c>
      <c r="W4" s="5">
        <v>53.333333333333343</v>
      </c>
      <c r="X4" s="33">
        <v>36.499529808802492</v>
      </c>
      <c r="Y4" s="5">
        <v>43.466368679979041</v>
      </c>
      <c r="Z4" s="5">
        <v>2169.5688515877041</v>
      </c>
      <c r="AA4" s="35"/>
    </row>
    <row r="5" spans="2:27" x14ac:dyDescent="0.2">
      <c r="B5" s="4">
        <v>2</v>
      </c>
      <c r="C5" s="4">
        <v>286</v>
      </c>
      <c r="D5" s="23">
        <v>96622.86191609918</v>
      </c>
      <c r="E5" s="33">
        <v>0.71486612499938929</v>
      </c>
      <c r="F5" s="5">
        <v>3</v>
      </c>
      <c r="G5" s="23">
        <v>90</v>
      </c>
      <c r="H5" s="33">
        <v>45.802469965880981</v>
      </c>
      <c r="I5" s="23">
        <v>27.408422846018102</v>
      </c>
      <c r="J5" s="5">
        <v>2026.3803331049116</v>
      </c>
      <c r="K5" s="31"/>
      <c r="L5" s="23">
        <v>103404.773203194</v>
      </c>
      <c r="M5" s="33">
        <v>0.97286891600015224</v>
      </c>
      <c r="N5" s="5">
        <v>3</v>
      </c>
      <c r="O5" s="5">
        <v>76.666666666666671</v>
      </c>
      <c r="P5" s="33">
        <v>42.978610484906817</v>
      </c>
      <c r="Q5" s="5">
        <v>22.458978382972319</v>
      </c>
      <c r="R5" s="5">
        <v>1794.3227405791199</v>
      </c>
      <c r="S5" s="31"/>
      <c r="T5" s="23">
        <v>122188.1343335881</v>
      </c>
      <c r="U5" s="33">
        <v>0.85208104199773516</v>
      </c>
      <c r="V5" s="5">
        <v>3</v>
      </c>
      <c r="W5" s="5">
        <v>63.333333333333343</v>
      </c>
      <c r="X5" s="33">
        <v>38.295977174237223</v>
      </c>
      <c r="Y5" s="5">
        <v>37.034826942129243</v>
      </c>
      <c r="Z5" s="5">
        <v>2387.7563098093269</v>
      </c>
      <c r="AA5" s="35"/>
    </row>
    <row r="6" spans="2:27" x14ac:dyDescent="0.2">
      <c r="B6" s="4">
        <v>3</v>
      </c>
      <c r="C6" s="4">
        <v>303</v>
      </c>
      <c r="D6" s="23">
        <v>96622.86191609918</v>
      </c>
      <c r="E6" s="33">
        <v>1.1035482500010401</v>
      </c>
      <c r="F6" s="5">
        <v>3</v>
      </c>
      <c r="G6" s="23">
        <v>90</v>
      </c>
      <c r="H6" s="33">
        <v>45.802469965880981</v>
      </c>
      <c r="I6" s="23">
        <v>27.408422846018102</v>
      </c>
      <c r="J6" s="5">
        <v>2026.3803331049116</v>
      </c>
      <c r="K6" s="31"/>
      <c r="L6" s="23">
        <v>103404.773203194</v>
      </c>
      <c r="M6" s="33">
        <v>0.89838233300179127</v>
      </c>
      <c r="N6" s="5">
        <v>3</v>
      </c>
      <c r="O6" s="5">
        <v>76.666666666666671</v>
      </c>
      <c r="P6" s="33">
        <v>42.978610484906817</v>
      </c>
      <c r="Q6" s="5">
        <v>22.458978382972319</v>
      </c>
      <c r="R6" s="5">
        <v>1794.3227405791199</v>
      </c>
      <c r="S6" s="31"/>
      <c r="T6" s="23">
        <v>117769.47361513961</v>
      </c>
      <c r="U6" s="33">
        <v>1.472965917000693</v>
      </c>
      <c r="V6" s="5">
        <v>2</v>
      </c>
      <c r="W6" s="5">
        <v>53.333333333333343</v>
      </c>
      <c r="X6" s="33">
        <v>35.261520216476363</v>
      </c>
      <c r="Y6" s="5">
        <v>43.116648456158103</v>
      </c>
      <c r="Z6" s="5">
        <v>2158.4267652567678</v>
      </c>
      <c r="AA6" s="35"/>
    </row>
    <row r="7" spans="2:27" x14ac:dyDescent="0.2">
      <c r="B7" s="4">
        <v>4</v>
      </c>
      <c r="C7" s="4">
        <v>315</v>
      </c>
      <c r="D7" s="23">
        <v>96622.86191609918</v>
      </c>
      <c r="E7" s="33">
        <v>1.0515807500014489</v>
      </c>
      <c r="F7" s="5">
        <v>3</v>
      </c>
      <c r="G7" s="23">
        <v>90</v>
      </c>
      <c r="H7" s="33">
        <v>45.802469965880981</v>
      </c>
      <c r="I7" s="23">
        <v>27.408422846018102</v>
      </c>
      <c r="J7" s="5">
        <v>2026.3803331049116</v>
      </c>
      <c r="K7" s="31"/>
      <c r="L7" s="23">
        <v>103404.773203194</v>
      </c>
      <c r="M7" s="33">
        <v>0.93238800000108313</v>
      </c>
      <c r="N7" s="5">
        <v>3</v>
      </c>
      <c r="O7" s="5">
        <v>76.666666666666671</v>
      </c>
      <c r="P7" s="33">
        <v>42.978610484906817</v>
      </c>
      <c r="Q7" s="5">
        <v>22.458978382972319</v>
      </c>
      <c r="R7" s="5">
        <v>1794.3227405791199</v>
      </c>
      <c r="S7" s="31"/>
      <c r="T7" s="23">
        <v>120803.1277267166</v>
      </c>
      <c r="U7" s="33">
        <v>0.98905050000030315</v>
      </c>
      <c r="V7" s="5">
        <v>2</v>
      </c>
      <c r="W7" s="5">
        <v>53.333333333333343</v>
      </c>
      <c r="X7" s="33">
        <v>58.300137368448283</v>
      </c>
      <c r="Y7" s="5">
        <v>38.558912036233828</v>
      </c>
      <c r="Z7" s="5">
        <v>2105.132863953505</v>
      </c>
      <c r="AA7" s="35"/>
    </row>
    <row r="8" spans="2:27" x14ac:dyDescent="0.2">
      <c r="B8" s="4">
        <v>5</v>
      </c>
      <c r="C8" s="4">
        <v>377</v>
      </c>
      <c r="D8" s="23">
        <v>96622.86191609918</v>
      </c>
      <c r="E8" s="33">
        <v>0.76004354100223281</v>
      </c>
      <c r="F8" s="5">
        <v>3</v>
      </c>
      <c r="G8" s="23">
        <v>90</v>
      </c>
      <c r="H8" s="33">
        <v>45.802469965880981</v>
      </c>
      <c r="I8" s="23">
        <v>27.408422846018102</v>
      </c>
      <c r="J8" s="5">
        <v>2026.3803331049116</v>
      </c>
      <c r="K8" s="31"/>
      <c r="L8" s="23">
        <v>103404.773203194</v>
      </c>
      <c r="M8" s="33">
        <v>0.92118837499947404</v>
      </c>
      <c r="N8" s="5">
        <v>3</v>
      </c>
      <c r="O8" s="5">
        <v>76.666666666666671</v>
      </c>
      <c r="P8" s="33">
        <v>42.978610484906817</v>
      </c>
      <c r="Q8" s="5">
        <v>22.458978382972319</v>
      </c>
      <c r="R8" s="5">
        <v>1794.3227405791199</v>
      </c>
      <c r="S8" s="31"/>
      <c r="T8" s="23">
        <v>118541.1538282351</v>
      </c>
      <c r="U8" s="33">
        <v>0.9006189589999849</v>
      </c>
      <c r="V8" s="5">
        <v>2</v>
      </c>
      <c r="W8" s="5">
        <v>53.333333333333343</v>
      </c>
      <c r="X8" s="33">
        <v>47.669750874227297</v>
      </c>
      <c r="Y8" s="5">
        <v>44.361636109885218</v>
      </c>
      <c r="Z8" s="5">
        <v>2135.9733979161829</v>
      </c>
      <c r="AA8" s="35"/>
    </row>
    <row r="9" spans="2:27" x14ac:dyDescent="0.2">
      <c r="B9" s="4">
        <v>6</v>
      </c>
      <c r="C9" s="4">
        <v>432</v>
      </c>
      <c r="D9" s="23">
        <v>96622.86191609918</v>
      </c>
      <c r="E9" s="33">
        <v>1.0633961249986901</v>
      </c>
      <c r="F9" s="5">
        <v>3</v>
      </c>
      <c r="G9" s="23">
        <v>90</v>
      </c>
      <c r="H9" s="33">
        <v>45.802469965880981</v>
      </c>
      <c r="I9" s="23">
        <v>27.408422846018102</v>
      </c>
      <c r="J9" s="5">
        <v>2026.3803331049116</v>
      </c>
      <c r="K9" s="31"/>
      <c r="L9" s="23">
        <v>103404.773203194</v>
      </c>
      <c r="M9" s="33">
        <v>1.0888086250015481</v>
      </c>
      <c r="N9" s="5">
        <v>3</v>
      </c>
      <c r="O9" s="5">
        <v>76.666666666666671</v>
      </c>
      <c r="P9" s="33">
        <v>42.978610484906817</v>
      </c>
      <c r="Q9" s="5">
        <v>22.458978382972319</v>
      </c>
      <c r="R9" s="5">
        <v>1794.3227405791199</v>
      </c>
      <c r="S9" s="31"/>
      <c r="T9" s="23">
        <v>119171.7532330016</v>
      </c>
      <c r="U9" s="33">
        <v>2.178642415998183</v>
      </c>
      <c r="V9" s="5">
        <v>2</v>
      </c>
      <c r="W9" s="5">
        <v>56.666666666666657</v>
      </c>
      <c r="X9" s="33">
        <v>80.883550897791736</v>
      </c>
      <c r="Y9" s="5">
        <v>50.0897229644129</v>
      </c>
      <c r="Z9" s="5">
        <v>2392.1050162404322</v>
      </c>
      <c r="AA9" s="35"/>
    </row>
    <row r="10" spans="2:27" x14ac:dyDescent="0.2">
      <c r="B10" s="4">
        <v>7</v>
      </c>
      <c r="C10" s="4">
        <v>501</v>
      </c>
      <c r="D10" s="23">
        <v>96622.86191609918</v>
      </c>
      <c r="E10" s="33">
        <v>0.5004095000003872</v>
      </c>
      <c r="F10" s="5">
        <v>3</v>
      </c>
      <c r="G10" s="23">
        <v>90</v>
      </c>
      <c r="H10" s="33">
        <v>45.802469965880981</v>
      </c>
      <c r="I10" s="23">
        <v>27.408422846018102</v>
      </c>
      <c r="J10" s="5">
        <v>2026.3803331049116</v>
      </c>
      <c r="K10" s="31"/>
      <c r="L10" s="23">
        <v>103404.773203194</v>
      </c>
      <c r="M10" s="33">
        <v>0.88714275000165799</v>
      </c>
      <c r="N10" s="5">
        <v>3</v>
      </c>
      <c r="O10" s="5">
        <v>76.666666666666671</v>
      </c>
      <c r="P10" s="33">
        <v>42.978610484906817</v>
      </c>
      <c r="Q10" s="5">
        <v>22.458978382972319</v>
      </c>
      <c r="R10" s="5">
        <v>1794.3227405791199</v>
      </c>
      <c r="S10" s="31"/>
      <c r="T10" s="23">
        <v>119171.7532330016</v>
      </c>
      <c r="U10" s="33">
        <v>0.74727758299923153</v>
      </c>
      <c r="V10" s="5">
        <v>2</v>
      </c>
      <c r="W10" s="5">
        <v>56.666666666666657</v>
      </c>
      <c r="X10" s="33">
        <v>80.883550897791736</v>
      </c>
      <c r="Y10" s="5">
        <v>50.0897229644129</v>
      </c>
      <c r="Z10" s="5">
        <v>2392.1050162404322</v>
      </c>
      <c r="AA10" s="35"/>
    </row>
    <row r="11" spans="2:27" x14ac:dyDescent="0.2">
      <c r="B11" s="4">
        <v>8</v>
      </c>
      <c r="C11" s="4">
        <v>555</v>
      </c>
      <c r="D11" s="23">
        <v>96622.86191609918</v>
      </c>
      <c r="E11" s="33">
        <v>1.0752603749970151</v>
      </c>
      <c r="F11" s="5">
        <v>3</v>
      </c>
      <c r="G11" s="23">
        <v>90</v>
      </c>
      <c r="H11" s="33">
        <v>45.802469965880981</v>
      </c>
      <c r="I11" s="23">
        <v>27.408422846018102</v>
      </c>
      <c r="J11" s="5">
        <v>2026.3803331049116</v>
      </c>
      <c r="K11" s="31"/>
      <c r="L11" s="23">
        <v>103404.773203194</v>
      </c>
      <c r="M11" s="33">
        <v>0.80766445900007966</v>
      </c>
      <c r="N11" s="5">
        <v>3</v>
      </c>
      <c r="O11" s="5">
        <v>76.666666666666671</v>
      </c>
      <c r="P11" s="33">
        <v>42.978610484906817</v>
      </c>
      <c r="Q11" s="5">
        <v>22.458978382972319</v>
      </c>
      <c r="R11" s="5">
        <v>1794.3227405791199</v>
      </c>
      <c r="S11" s="31"/>
      <c r="T11" s="23">
        <v>117769.47361513961</v>
      </c>
      <c r="U11" s="33">
        <v>1.16036824999901</v>
      </c>
      <c r="V11" s="5">
        <v>2</v>
      </c>
      <c r="W11" s="5">
        <v>53.333333333333343</v>
      </c>
      <c r="X11" s="33">
        <v>35.261520216476363</v>
      </c>
      <c r="Y11" s="5">
        <v>43.116648456158103</v>
      </c>
      <c r="Z11" s="5">
        <v>2158.4267652567678</v>
      </c>
      <c r="AA11" s="35"/>
    </row>
    <row r="12" spans="2:27" x14ac:dyDescent="0.2">
      <c r="B12" s="4">
        <v>9</v>
      </c>
      <c r="C12" s="4">
        <v>630</v>
      </c>
      <c r="D12" s="23">
        <v>96622.86191609918</v>
      </c>
      <c r="E12" s="33">
        <v>0.84022804200139944</v>
      </c>
      <c r="F12" s="5">
        <v>3</v>
      </c>
      <c r="G12" s="23">
        <v>90</v>
      </c>
      <c r="H12" s="33">
        <v>45.802469965880981</v>
      </c>
      <c r="I12" s="23">
        <v>27.408422846018102</v>
      </c>
      <c r="J12" s="5">
        <v>2026.3803331049116</v>
      </c>
      <c r="K12" s="31"/>
      <c r="L12" s="23">
        <v>104970.4336716558</v>
      </c>
      <c r="M12" s="33">
        <v>0.8472210419968178</v>
      </c>
      <c r="N12" s="5">
        <v>3</v>
      </c>
      <c r="O12" s="5">
        <v>73.333333333333329</v>
      </c>
      <c r="P12" s="33">
        <v>39.389710698843267</v>
      </c>
      <c r="Q12" s="5">
        <v>20.390304877939659</v>
      </c>
      <c r="R12" s="5">
        <v>1766.3736284611521</v>
      </c>
      <c r="S12" s="31"/>
      <c r="T12" s="23">
        <v>117932.3936318795</v>
      </c>
      <c r="U12" s="33">
        <v>1.0334753340030149</v>
      </c>
      <c r="V12" s="5">
        <v>2</v>
      </c>
      <c r="W12" s="5">
        <v>53.333333333333343</v>
      </c>
      <c r="X12" s="33">
        <v>18.35438773331142</v>
      </c>
      <c r="Y12" s="5">
        <v>45.120933964296078</v>
      </c>
      <c r="Z12" s="5">
        <v>2254.6921973555341</v>
      </c>
      <c r="AA12" s="35"/>
    </row>
    <row r="13" spans="2:27" x14ac:dyDescent="0.2">
      <c r="B13" s="4">
        <v>10</v>
      </c>
      <c r="C13" s="4">
        <v>990</v>
      </c>
      <c r="D13" s="23">
        <v>96622.86191609918</v>
      </c>
      <c r="E13" s="33">
        <v>0.64817654100261279</v>
      </c>
      <c r="F13" s="5">
        <v>3</v>
      </c>
      <c r="G13" s="23">
        <v>90</v>
      </c>
      <c r="H13" s="33">
        <v>45.802469965880981</v>
      </c>
      <c r="I13" s="23">
        <v>27.408422846018102</v>
      </c>
      <c r="J13" s="5">
        <v>2026.3803331049116</v>
      </c>
      <c r="K13" s="31"/>
      <c r="L13" s="23">
        <v>103404.773203194</v>
      </c>
      <c r="M13" s="33">
        <v>0.83790937500089058</v>
      </c>
      <c r="N13" s="5">
        <v>3</v>
      </c>
      <c r="O13" s="5">
        <v>76.666666666666671</v>
      </c>
      <c r="P13" s="33">
        <v>42.978610484906817</v>
      </c>
      <c r="Q13" s="5">
        <v>22.458978382972319</v>
      </c>
      <c r="R13" s="5">
        <v>1794.3227405791199</v>
      </c>
      <c r="S13" s="31"/>
      <c r="T13" s="23">
        <v>119266.4469975001</v>
      </c>
      <c r="U13" s="33">
        <v>0.69156754200230353</v>
      </c>
      <c r="V13" s="5">
        <v>2</v>
      </c>
      <c r="W13" s="5">
        <v>50</v>
      </c>
      <c r="X13" s="33">
        <v>15.16124368492174</v>
      </c>
      <c r="Y13" s="5">
        <v>43.03144016513599</v>
      </c>
      <c r="Z13" s="5">
        <v>2113.0196445413781</v>
      </c>
      <c r="AA13" s="35"/>
    </row>
    <row r="14" spans="2:27" x14ac:dyDescent="0.2">
      <c r="B14" s="46" t="s">
        <v>3</v>
      </c>
      <c r="C14" s="47"/>
      <c r="D14" s="9">
        <f>MIN(D4:D13)</f>
        <v>96622.86191609918</v>
      </c>
      <c r="E14" s="22">
        <f>INDEX(E4:E13, MATCH($D$14, D4:D13, 0))</f>
        <v>0.69049966700185905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45.802469965880981</v>
      </c>
      <c r="I14" s="22">
        <f>INDEX(I4:I13, MATCH($D$14, D4:D13, 0))</f>
        <v>27.408422846018102</v>
      </c>
      <c r="J14" s="22">
        <f>INDEX(J4:J13, MATCH($D$14, D4:D13, 0))</f>
        <v>2026.3803331049116</v>
      </c>
      <c r="K14" s="32">
        <f>(D14-$D$15)/$D$15</f>
        <v>0</v>
      </c>
      <c r="L14" s="16">
        <f>MIN(L4:L13)</f>
        <v>103404.773203194</v>
      </c>
      <c r="M14" s="21">
        <f>INDEX(M4:M13, MATCH($L$14, L4:L13, 0))</f>
        <v>0.97286891600015224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42.978610484906817</v>
      </c>
      <c r="Q14" s="21">
        <f>INDEX(Q4:Q13, MATCH($L$14, L4:L13, 0))</f>
        <v>22.458978382972319</v>
      </c>
      <c r="R14" s="21">
        <f>INDEX(R4:R13, MATCH($L$14, L4:L13, 0))</f>
        <v>1794.3227405791199</v>
      </c>
      <c r="S14" s="36">
        <f>(L14-$D$15)/$D$15</f>
        <v>7.0189509528125679E-2</v>
      </c>
      <c r="T14" s="38">
        <f>MIN(T4:T13)</f>
        <v>117769.47361513961</v>
      </c>
      <c r="U14" s="39">
        <f>INDEX(U4:U13, MATCH($T$14, T4:T13, 0))</f>
        <v>1.472965917000693</v>
      </c>
      <c r="V14" s="38">
        <f>INDEX(V4:V13, MATCH($T$14, T4:T13, 0))</f>
        <v>2</v>
      </c>
      <c r="W14" s="38">
        <f>INDEX(W4:W13, MATCH($T$14, T4:T13, 0))</f>
        <v>53.333333333333343</v>
      </c>
      <c r="X14" s="39">
        <f>INDEX(X4:X13, MATCH($T$14, T4:T13, 0))</f>
        <v>35.261520216476363</v>
      </c>
      <c r="Y14" s="39">
        <f>INDEX(Y4:Y13, MATCH($T$14, T4:T13, 0))</f>
        <v>43.116648456158103</v>
      </c>
      <c r="Z14" s="39">
        <f>INDEX(Z4:Z13, MATCH($T$14, T4:T13, 0))</f>
        <v>2158.4267652567678</v>
      </c>
      <c r="AA14" s="40">
        <f>(T14-$D$15)/$D$15</f>
        <v>0.21885722777910188</v>
      </c>
    </row>
    <row r="15" spans="2:27" x14ac:dyDescent="0.2">
      <c r="C15" s="1" t="s">
        <v>17</v>
      </c>
      <c r="D15" s="34">
        <v>96622.86191609918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41" priority="15"/>
    <cfRule type="duplicateValues" dxfId="140" priority="16"/>
  </conditionalFormatting>
  <conditionalFormatting sqref="C14">
    <cfRule type="duplicateValues" dxfId="139" priority="7"/>
    <cfRule type="duplicateValues" dxfId="138" priority="8"/>
  </conditionalFormatting>
  <conditionalFormatting sqref="C24:C30">
    <cfRule type="duplicateValues" dxfId="41" priority="5"/>
    <cfRule type="duplicateValues" dxfId="40" priority="6"/>
  </conditionalFormatting>
  <conditionalFormatting sqref="C17">
    <cfRule type="duplicateValues" dxfId="39" priority="1"/>
    <cfRule type="duplicateValues" dxfId="38" priority="2"/>
  </conditionalFormatting>
  <conditionalFormatting sqref="C18:C23">
    <cfRule type="duplicateValues" dxfId="37" priority="3"/>
    <cfRule type="duplicateValues" dxfId="36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17BB-9E53-2F42-92F7-B356B5916D75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>
        <f>(S14-J14)/J14</f>
        <v>-0.99996541951462548</v>
      </c>
      <c r="K2" s="28"/>
      <c r="L2" s="1" t="s">
        <v>19</v>
      </c>
      <c r="P2" s="1" t="e">
        <f>(P14-H14)/H14</f>
        <v>#DIV/0!</v>
      </c>
      <c r="R2" s="1">
        <f>(R14-J14)/J14</f>
        <v>-0.13750124164911207</v>
      </c>
      <c r="T2" s="1" t="s">
        <v>20</v>
      </c>
      <c r="X2" s="1" t="e">
        <f>(X14-P14)/P14</f>
        <v>#DIV/0!</v>
      </c>
      <c r="Z2" s="1">
        <f>(Z14-R14)/R14</f>
        <v>0.18180079131345611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102284.7199590652</v>
      </c>
      <c r="E4" s="33">
        <v>0.47162350000144221</v>
      </c>
      <c r="F4" s="5">
        <v>2</v>
      </c>
      <c r="G4" s="23">
        <v>60</v>
      </c>
      <c r="H4" s="33">
        <v>0</v>
      </c>
      <c r="I4" s="23">
        <v>17.607149559592845</v>
      </c>
      <c r="J4" s="5">
        <v>1404.2334981735246</v>
      </c>
      <c r="K4" s="31"/>
      <c r="L4" s="23">
        <v>107251.5714436827</v>
      </c>
      <c r="M4" s="33">
        <v>0.5631805830016674</v>
      </c>
      <c r="N4" s="5">
        <v>2</v>
      </c>
      <c r="O4" s="5">
        <v>53.333333333333343</v>
      </c>
      <c r="P4" s="33">
        <v>0</v>
      </c>
      <c r="Q4" s="5">
        <v>13.52144495851169</v>
      </c>
      <c r="R4" s="5">
        <v>1211.1496486093888</v>
      </c>
      <c r="S4" s="31"/>
      <c r="T4" s="23">
        <v>109923.2444361841</v>
      </c>
      <c r="U4" s="33">
        <v>0.56665137500021956</v>
      </c>
      <c r="V4" s="5">
        <v>2</v>
      </c>
      <c r="W4" s="5">
        <v>53.333333333333343</v>
      </c>
      <c r="X4" s="33">
        <v>1.0776251098042169</v>
      </c>
      <c r="Y4" s="5">
        <v>17.90984201280401</v>
      </c>
      <c r="Z4" s="5">
        <v>1431.33761312559</v>
      </c>
      <c r="AA4" s="35"/>
    </row>
    <row r="5" spans="2:27" x14ac:dyDescent="0.2">
      <c r="B5" s="4">
        <v>2</v>
      </c>
      <c r="C5" s="4">
        <v>993</v>
      </c>
      <c r="D5" s="23">
        <v>102284.7199590652</v>
      </c>
      <c r="E5" s="33">
        <v>0.52765066700158059</v>
      </c>
      <c r="F5" s="5">
        <v>2</v>
      </c>
      <c r="G5" s="23">
        <v>60</v>
      </c>
      <c r="H5" s="33">
        <v>0</v>
      </c>
      <c r="I5" s="23">
        <v>17.607149559592845</v>
      </c>
      <c r="J5" s="5">
        <v>1404.2334981735246</v>
      </c>
      <c r="K5" s="31"/>
      <c r="L5" s="23">
        <v>107251.5714436827</v>
      </c>
      <c r="M5" s="33">
        <v>0.47845745800077571</v>
      </c>
      <c r="N5" s="5">
        <v>2</v>
      </c>
      <c r="O5" s="5">
        <v>53.333333333333343</v>
      </c>
      <c r="P5" s="33">
        <v>0</v>
      </c>
      <c r="Q5" s="5">
        <v>13.52144495851169</v>
      </c>
      <c r="R5" s="5">
        <v>1211.1496486093888</v>
      </c>
      <c r="S5" s="31"/>
      <c r="T5" s="23">
        <v>109923.2444361841</v>
      </c>
      <c r="U5" s="33">
        <v>0.59267350000300212</v>
      </c>
      <c r="V5" s="5">
        <v>2</v>
      </c>
      <c r="W5" s="5">
        <v>53.333333333333343</v>
      </c>
      <c r="X5" s="33">
        <v>1.0776251098042169</v>
      </c>
      <c r="Y5" s="5">
        <v>17.90984201280401</v>
      </c>
      <c r="Z5" s="5">
        <v>1431.33761312559</v>
      </c>
      <c r="AA5" s="35"/>
    </row>
    <row r="6" spans="2:27" x14ac:dyDescent="0.2">
      <c r="B6" s="4">
        <v>3</v>
      </c>
      <c r="C6" s="4">
        <v>59</v>
      </c>
      <c r="D6" s="23">
        <v>102284.7199590652</v>
      </c>
      <c r="E6" s="33">
        <v>0.55409508399679908</v>
      </c>
      <c r="F6" s="5">
        <v>2</v>
      </c>
      <c r="G6" s="23">
        <v>60</v>
      </c>
      <c r="H6" s="33">
        <v>0</v>
      </c>
      <c r="I6" s="23">
        <v>17.607149559592845</v>
      </c>
      <c r="J6" s="5">
        <v>1404.2334981735246</v>
      </c>
      <c r="K6" s="31"/>
      <c r="L6" s="23">
        <v>107251.5714436827</v>
      </c>
      <c r="M6" s="33">
        <v>0.62116166700070607</v>
      </c>
      <c r="N6" s="5">
        <v>2</v>
      </c>
      <c r="O6" s="5">
        <v>53.333333333333343</v>
      </c>
      <c r="P6" s="33">
        <v>0</v>
      </c>
      <c r="Q6" s="5">
        <v>13.52144495851169</v>
      </c>
      <c r="R6" s="5">
        <v>1211.1496486093888</v>
      </c>
      <c r="S6" s="31"/>
      <c r="T6" s="23">
        <v>109923.2444361841</v>
      </c>
      <c r="U6" s="33">
        <v>0.64840391600228031</v>
      </c>
      <c r="V6" s="5">
        <v>2</v>
      </c>
      <c r="W6" s="5">
        <v>53.333333333333343</v>
      </c>
      <c r="X6" s="33">
        <v>1.0776251098042169</v>
      </c>
      <c r="Y6" s="5">
        <v>17.90984201280401</v>
      </c>
      <c r="Z6" s="5">
        <v>1431.33761312559</v>
      </c>
      <c r="AA6" s="35"/>
    </row>
    <row r="7" spans="2:27" x14ac:dyDescent="0.2">
      <c r="B7" s="4">
        <v>4</v>
      </c>
      <c r="C7" s="4">
        <v>264</v>
      </c>
      <c r="D7" s="23">
        <v>102284.7199590652</v>
      </c>
      <c r="E7" s="33">
        <v>0.54656762499871547</v>
      </c>
      <c r="F7" s="5">
        <v>2</v>
      </c>
      <c r="G7" s="23">
        <v>60</v>
      </c>
      <c r="H7" s="33">
        <v>0</v>
      </c>
      <c r="I7" s="23">
        <v>17.607149559592845</v>
      </c>
      <c r="J7" s="5">
        <v>1404.2334981735246</v>
      </c>
      <c r="K7" s="31"/>
      <c r="L7" s="23">
        <v>107251.5714436827</v>
      </c>
      <c r="M7" s="33">
        <v>0.5190868749996298</v>
      </c>
      <c r="N7" s="5">
        <v>2</v>
      </c>
      <c r="O7" s="5">
        <v>53.333333333333343</v>
      </c>
      <c r="P7" s="33">
        <v>0</v>
      </c>
      <c r="Q7" s="5">
        <v>13.52144495851169</v>
      </c>
      <c r="R7" s="5">
        <v>1211.1496486093888</v>
      </c>
      <c r="S7" s="31"/>
      <c r="T7" s="23">
        <v>109923.2444361841</v>
      </c>
      <c r="U7" s="33">
        <v>0.73326870799792232</v>
      </c>
      <c r="V7" s="5">
        <v>2</v>
      </c>
      <c r="W7" s="5">
        <v>53.333333333333343</v>
      </c>
      <c r="X7" s="33">
        <v>1.0776251098042169</v>
      </c>
      <c r="Y7" s="5">
        <v>17.90984201280401</v>
      </c>
      <c r="Z7" s="5">
        <v>1431.33761312559</v>
      </c>
      <c r="AA7" s="35"/>
    </row>
    <row r="8" spans="2:27" x14ac:dyDescent="0.2">
      <c r="B8" s="4">
        <v>5</v>
      </c>
      <c r="C8" s="4">
        <v>429</v>
      </c>
      <c r="D8" s="23">
        <v>102284.7199590652</v>
      </c>
      <c r="E8" s="33">
        <v>0.4753104160008661</v>
      </c>
      <c r="F8" s="5">
        <v>2</v>
      </c>
      <c r="G8" s="23">
        <v>60</v>
      </c>
      <c r="H8" s="33">
        <v>0</v>
      </c>
      <c r="I8" s="23">
        <v>17.607149559592845</v>
      </c>
      <c r="J8" s="5">
        <v>1404.2334981735246</v>
      </c>
      <c r="K8" s="31"/>
      <c r="L8" s="23">
        <v>107251.5714436827</v>
      </c>
      <c r="M8" s="33">
        <v>0.43838987500203069</v>
      </c>
      <c r="N8" s="5">
        <v>2</v>
      </c>
      <c r="O8" s="5">
        <v>53.333333333333343</v>
      </c>
      <c r="P8" s="33">
        <v>0</v>
      </c>
      <c r="Q8" s="5">
        <v>13.52144495851169</v>
      </c>
      <c r="R8" s="5">
        <v>1211.1496486093888</v>
      </c>
      <c r="S8" s="31"/>
      <c r="T8" s="23">
        <v>109923.2444361841</v>
      </c>
      <c r="U8" s="33">
        <v>0.79025854200153844</v>
      </c>
      <c r="V8" s="5">
        <v>2</v>
      </c>
      <c r="W8" s="5">
        <v>53.333333333333343</v>
      </c>
      <c r="X8" s="33">
        <v>1.0776251098042169</v>
      </c>
      <c r="Y8" s="5">
        <v>17.90984201280401</v>
      </c>
      <c r="Z8" s="5">
        <v>1431.33761312559</v>
      </c>
      <c r="AA8" s="35"/>
    </row>
    <row r="9" spans="2:27" x14ac:dyDescent="0.2">
      <c r="B9" s="4">
        <v>6</v>
      </c>
      <c r="C9" s="4">
        <v>926</v>
      </c>
      <c r="D9" s="23">
        <v>102284.7199590652</v>
      </c>
      <c r="E9" s="33">
        <v>0.52534966600069311</v>
      </c>
      <c r="F9" s="5">
        <v>2</v>
      </c>
      <c r="G9" s="23">
        <v>60</v>
      </c>
      <c r="H9" s="33">
        <v>0</v>
      </c>
      <c r="I9" s="23">
        <v>17.607149559592845</v>
      </c>
      <c r="J9" s="5">
        <v>1404.2334981735246</v>
      </c>
      <c r="K9" s="31"/>
      <c r="L9" s="23">
        <v>107251.5714436827</v>
      </c>
      <c r="M9" s="33">
        <v>0.42633629200281581</v>
      </c>
      <c r="N9" s="5">
        <v>2</v>
      </c>
      <c r="O9" s="5">
        <v>53.333333333333343</v>
      </c>
      <c r="P9" s="33">
        <v>0</v>
      </c>
      <c r="Q9" s="5">
        <v>13.52144495851169</v>
      </c>
      <c r="R9" s="5">
        <v>1211.1496486093888</v>
      </c>
      <c r="S9" s="31"/>
      <c r="T9" s="23">
        <v>109923.2444361841</v>
      </c>
      <c r="U9" s="33">
        <v>0.62656766700092703</v>
      </c>
      <c r="V9" s="5">
        <v>2</v>
      </c>
      <c r="W9" s="5">
        <v>53.333333333333343</v>
      </c>
      <c r="X9" s="33">
        <v>1.0776251098042169</v>
      </c>
      <c r="Y9" s="5">
        <v>17.90984201280401</v>
      </c>
      <c r="Z9" s="5">
        <v>1431.33761312559</v>
      </c>
      <c r="AA9" s="35"/>
    </row>
    <row r="10" spans="2:27" x14ac:dyDescent="0.2">
      <c r="B10" s="4">
        <v>7</v>
      </c>
      <c r="C10" s="4">
        <v>259</v>
      </c>
      <c r="D10" s="23">
        <v>102284.7199590652</v>
      </c>
      <c r="E10" s="33">
        <v>0.68141779199868324</v>
      </c>
      <c r="F10" s="5">
        <v>2</v>
      </c>
      <c r="G10" s="23">
        <v>60</v>
      </c>
      <c r="H10" s="33">
        <v>0</v>
      </c>
      <c r="I10" s="23">
        <v>17.607149559592845</v>
      </c>
      <c r="J10" s="5">
        <v>1404.2334981735246</v>
      </c>
      <c r="K10" s="31"/>
      <c r="L10" s="23">
        <v>107251.5714436827</v>
      </c>
      <c r="M10" s="33">
        <v>0.75752791599734337</v>
      </c>
      <c r="N10" s="5">
        <v>2</v>
      </c>
      <c r="O10" s="5">
        <v>53.333333333333343</v>
      </c>
      <c r="P10" s="33">
        <v>0</v>
      </c>
      <c r="Q10" s="5">
        <v>13.52144495851169</v>
      </c>
      <c r="R10" s="5">
        <v>1211.1496486093888</v>
      </c>
      <c r="S10" s="31"/>
      <c r="T10" s="23">
        <v>109986.28555832971</v>
      </c>
      <c r="U10" s="33">
        <v>0.92787049999969895</v>
      </c>
      <c r="V10" s="5">
        <v>2</v>
      </c>
      <c r="W10" s="5">
        <v>56.666666666666657</v>
      </c>
      <c r="X10" s="33">
        <v>34.512046043206702</v>
      </c>
      <c r="Y10" s="5">
        <v>20.881457322781387</v>
      </c>
      <c r="Z10" s="5">
        <v>1653.1486428617311</v>
      </c>
      <c r="AA10" s="35"/>
    </row>
    <row r="11" spans="2:27" x14ac:dyDescent="0.2">
      <c r="B11" s="4">
        <v>8</v>
      </c>
      <c r="C11" s="4">
        <v>830</v>
      </c>
      <c r="D11" s="23">
        <v>102284.7199590652</v>
      </c>
      <c r="E11" s="33">
        <v>0.51179695799874025</v>
      </c>
      <c r="F11" s="5">
        <v>2</v>
      </c>
      <c r="G11" s="23">
        <v>60</v>
      </c>
      <c r="H11" s="33">
        <v>0</v>
      </c>
      <c r="I11" s="23">
        <v>17.607149559592845</v>
      </c>
      <c r="J11" s="5">
        <v>1404.2334981735246</v>
      </c>
      <c r="K11" s="31"/>
      <c r="L11" s="23">
        <v>107251.5714436827</v>
      </c>
      <c r="M11" s="33">
        <v>0.40187970799888723</v>
      </c>
      <c r="N11" s="5">
        <v>2</v>
      </c>
      <c r="O11" s="5">
        <v>53.333333333333343</v>
      </c>
      <c r="P11" s="33">
        <v>0</v>
      </c>
      <c r="Q11" s="5">
        <v>13.52144495851169</v>
      </c>
      <c r="R11" s="5">
        <v>1211.1496486093888</v>
      </c>
      <c r="S11" s="31"/>
      <c r="T11" s="23">
        <v>109986.28555832971</v>
      </c>
      <c r="U11" s="33">
        <v>0.63856158300040988</v>
      </c>
      <c r="V11" s="5">
        <v>2</v>
      </c>
      <c r="W11" s="5">
        <v>56.666666666666657</v>
      </c>
      <c r="X11" s="33">
        <v>34.512046043206702</v>
      </c>
      <c r="Y11" s="5">
        <v>20.881457322781387</v>
      </c>
      <c r="Z11" s="5">
        <v>1653.1486428617311</v>
      </c>
      <c r="AA11" s="35"/>
    </row>
    <row r="12" spans="2:27" x14ac:dyDescent="0.2">
      <c r="B12" s="4">
        <v>9</v>
      </c>
      <c r="C12" s="4">
        <v>486</v>
      </c>
      <c r="D12" s="23">
        <v>102284.7199590652</v>
      </c>
      <c r="E12" s="33">
        <v>0.63521708400003263</v>
      </c>
      <c r="F12" s="5">
        <v>2</v>
      </c>
      <c r="G12" s="23">
        <v>60</v>
      </c>
      <c r="H12" s="33">
        <v>0</v>
      </c>
      <c r="I12" s="23">
        <v>17.607149559592845</v>
      </c>
      <c r="J12" s="5">
        <v>1404.2334981735246</v>
      </c>
      <c r="K12" s="31"/>
      <c r="L12" s="23">
        <v>107251.5714436827</v>
      </c>
      <c r="M12" s="33">
        <v>0.51562712500162888</v>
      </c>
      <c r="N12" s="5">
        <v>2</v>
      </c>
      <c r="O12" s="5">
        <v>53.333333333333343</v>
      </c>
      <c r="P12" s="33">
        <v>0</v>
      </c>
      <c r="Q12" s="5">
        <v>13.52144495851169</v>
      </c>
      <c r="R12" s="5">
        <v>1211.1496486093888</v>
      </c>
      <c r="S12" s="31"/>
      <c r="T12" s="23">
        <v>109923.2444361841</v>
      </c>
      <c r="U12" s="33">
        <v>0.72919941600048332</v>
      </c>
      <c r="V12" s="5">
        <v>2</v>
      </c>
      <c r="W12" s="5">
        <v>53.333333333333343</v>
      </c>
      <c r="X12" s="33">
        <v>1.0776251098042169</v>
      </c>
      <c r="Y12" s="5">
        <v>17.90984201280401</v>
      </c>
      <c r="Z12" s="5">
        <v>1431.33761312559</v>
      </c>
      <c r="AA12" s="35"/>
    </row>
    <row r="13" spans="2:27" x14ac:dyDescent="0.2">
      <c r="B13" s="4">
        <v>10</v>
      </c>
      <c r="C13" s="4">
        <v>682</v>
      </c>
      <c r="D13" s="23">
        <v>102284.7199590652</v>
      </c>
      <c r="E13" s="33">
        <v>0.43059962500046822</v>
      </c>
      <c r="F13" s="5">
        <v>2</v>
      </c>
      <c r="G13" s="23">
        <v>60</v>
      </c>
      <c r="H13" s="33">
        <v>0</v>
      </c>
      <c r="I13" s="23">
        <v>17.607149559592845</v>
      </c>
      <c r="J13" s="5">
        <v>1404.2334981735246</v>
      </c>
      <c r="K13" s="31"/>
      <c r="L13" s="23">
        <v>108242.8648765283</v>
      </c>
      <c r="M13" s="33">
        <v>0.49873004199980642</v>
      </c>
      <c r="N13" s="5">
        <v>2</v>
      </c>
      <c r="O13" s="5">
        <v>53.333333333333343</v>
      </c>
      <c r="P13" s="33">
        <v>1.8883860005616668</v>
      </c>
      <c r="Q13" s="5">
        <v>13.448182493007849</v>
      </c>
      <c r="R13" s="5">
        <v>1260.9567763314078</v>
      </c>
      <c r="S13" s="31"/>
      <c r="T13" s="23">
        <v>109923.2444361841</v>
      </c>
      <c r="U13" s="33">
        <v>0.85039162500106613</v>
      </c>
      <c r="V13" s="5">
        <v>2</v>
      </c>
      <c r="W13" s="5">
        <v>53.333333333333343</v>
      </c>
      <c r="X13" s="33">
        <v>1.0776251098042169</v>
      </c>
      <c r="Y13" s="5">
        <v>17.90984201280401</v>
      </c>
      <c r="Z13" s="5">
        <v>1431.33761312559</v>
      </c>
      <c r="AA13" s="35"/>
    </row>
    <row r="14" spans="2:27" x14ac:dyDescent="0.2">
      <c r="B14" s="46" t="s">
        <v>3</v>
      </c>
      <c r="C14" s="47"/>
      <c r="D14" s="9">
        <f>MIN(D4:D13)</f>
        <v>102284.7199590652</v>
      </c>
      <c r="E14" s="22">
        <f>INDEX(E4:E13, MATCH($D$14, D4:D13, 0))</f>
        <v>0.47162350000144221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17.607149559592845</v>
      </c>
      <c r="J14" s="22">
        <f>INDEX(J4:J13, MATCH($D$14, D4:D13, 0))</f>
        <v>1404.2334981735246</v>
      </c>
      <c r="K14" s="32">
        <f>(D14-$D$15)/$D$15</f>
        <v>0</v>
      </c>
      <c r="L14" s="16">
        <f>MIN(L4:L13)</f>
        <v>107251.5714436827</v>
      </c>
      <c r="M14" s="21">
        <f>INDEX(M4:M13, MATCH($L$14, L4:L13, 0))</f>
        <v>0.5631805830016674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0</v>
      </c>
      <c r="Q14" s="21">
        <f>INDEX(Q4:Q13, MATCH($L$14, L4:L13, 0))</f>
        <v>13.52144495851169</v>
      </c>
      <c r="R14" s="21">
        <f>INDEX(R4:R13, MATCH($L$14, L4:L13, 0))</f>
        <v>1211.1496486093888</v>
      </c>
      <c r="S14" s="36">
        <f>(L14-$D$15)/$D$15</f>
        <v>4.8559075946096847E-2</v>
      </c>
      <c r="T14" s="38">
        <f>MIN(T4:T13)</f>
        <v>109923.2444361841</v>
      </c>
      <c r="U14" s="39">
        <f>INDEX(U4:U13, MATCH($T$14, T4:T13, 0))</f>
        <v>0.56665137500021956</v>
      </c>
      <c r="V14" s="38">
        <f>INDEX(V4:V13, MATCH($T$14, T4:T13, 0))</f>
        <v>2</v>
      </c>
      <c r="W14" s="38">
        <f>INDEX(W4:W13, MATCH($T$14, T4:T13, 0))</f>
        <v>53.333333333333343</v>
      </c>
      <c r="X14" s="39">
        <f>INDEX(X4:X13, MATCH($T$14, T4:T13, 0))</f>
        <v>1.0776251098042169</v>
      </c>
      <c r="Y14" s="39">
        <f>INDEX(Y4:Y13, MATCH($T$14, T4:T13, 0))</f>
        <v>17.90984201280401</v>
      </c>
      <c r="Z14" s="39">
        <f>INDEX(Z4:Z13, MATCH($T$14, T4:T13, 0))</f>
        <v>1431.33761312559</v>
      </c>
      <c r="AA14" s="40">
        <f>(T14-$D$15)/$D$15</f>
        <v>7.4679037887339123E-2</v>
      </c>
    </row>
    <row r="15" spans="2:27" x14ac:dyDescent="0.2">
      <c r="C15" s="1" t="s">
        <v>17</v>
      </c>
      <c r="D15" s="34">
        <v>102284.7199590652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33" priority="15"/>
    <cfRule type="duplicateValues" dxfId="132" priority="16"/>
  </conditionalFormatting>
  <conditionalFormatting sqref="C14">
    <cfRule type="duplicateValues" dxfId="131" priority="7"/>
    <cfRule type="duplicateValues" dxfId="130" priority="8"/>
  </conditionalFormatting>
  <conditionalFormatting sqref="C24:C30">
    <cfRule type="duplicateValues" dxfId="35" priority="5"/>
    <cfRule type="duplicateValues" dxfId="34" priority="6"/>
  </conditionalFormatting>
  <conditionalFormatting sqref="C17">
    <cfRule type="duplicateValues" dxfId="33" priority="1"/>
    <cfRule type="duplicateValues" dxfId="32" priority="2"/>
  </conditionalFormatting>
  <conditionalFormatting sqref="C18:C23">
    <cfRule type="duplicateValues" dxfId="31" priority="3"/>
    <cfRule type="duplicateValues" dxfId="3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64C7-A5C4-CF47-BF22-B65716480ACB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-0.69134387691237076</v>
      </c>
      <c r="J2" s="28">
        <f>(S14-J14)/J14</f>
        <v>-0.99996528117444339</v>
      </c>
      <c r="K2" s="28"/>
      <c r="L2" s="1" t="s">
        <v>19</v>
      </c>
      <c r="P2" s="1">
        <f>(P14-H14)/H14</f>
        <v>-0.90680325782028137</v>
      </c>
      <c r="R2" s="1">
        <f>(R14-J14)/J14</f>
        <v>-0.23202139443434402</v>
      </c>
      <c r="T2" s="1" t="s">
        <v>20</v>
      </c>
      <c r="X2" s="1">
        <f>(X14-P14)/P14</f>
        <v>6.6097254097453648</v>
      </c>
      <c r="Z2" s="1">
        <f>(Z14-R14)/R14</f>
        <v>0.37362242273633933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</v>
      </c>
      <c r="D4" s="23">
        <v>101356.83913975141</v>
      </c>
      <c r="E4" s="33">
        <v>0.64374408399817185</v>
      </c>
      <c r="F4" s="5">
        <v>2</v>
      </c>
      <c r="G4" s="23">
        <v>73.333333333333329</v>
      </c>
      <c r="H4" s="33">
        <v>44.290388311729593</v>
      </c>
      <c r="I4" s="23">
        <v>31.929938292213002</v>
      </c>
      <c r="J4" s="5">
        <v>1965.7593876810133</v>
      </c>
      <c r="K4" s="31"/>
      <c r="L4" s="23">
        <v>108203.9017239746</v>
      </c>
      <c r="M4" s="33">
        <v>0.50656679100211477</v>
      </c>
      <c r="N4" s="5">
        <v>2</v>
      </c>
      <c r="O4" s="5">
        <v>56.666666666666657</v>
      </c>
      <c r="P4" s="33">
        <v>6.6656860595875624</v>
      </c>
      <c r="Q4" s="5">
        <v>22.075930646847031</v>
      </c>
      <c r="R4" s="5">
        <v>1507.0448597777511</v>
      </c>
      <c r="S4" s="31"/>
      <c r="T4" s="23">
        <v>117249.039172025</v>
      </c>
      <c r="U4" s="33">
        <v>0.58291137500054901</v>
      </c>
      <c r="V4" s="5">
        <v>2</v>
      </c>
      <c r="W4" s="5">
        <v>53.333333333333343</v>
      </c>
      <c r="X4" s="33">
        <v>22.693266074359741</v>
      </c>
      <c r="Y4" s="5">
        <v>34.607812392561023</v>
      </c>
      <c r="Z4" s="5">
        <v>1974.5369234754321</v>
      </c>
      <c r="AA4" s="35"/>
    </row>
    <row r="5" spans="2:27" x14ac:dyDescent="0.2">
      <c r="B5" s="4">
        <v>2</v>
      </c>
      <c r="C5" s="4">
        <v>185</v>
      </c>
      <c r="D5" s="23">
        <v>101356.83913975141</v>
      </c>
      <c r="E5" s="33">
        <v>0.96348500000021886</v>
      </c>
      <c r="F5" s="5">
        <v>2</v>
      </c>
      <c r="G5" s="23">
        <v>73.333333333333329</v>
      </c>
      <c r="H5" s="33">
        <v>44.290388311729593</v>
      </c>
      <c r="I5" s="23">
        <v>31.929938292213002</v>
      </c>
      <c r="J5" s="5">
        <v>1965.7593876810133</v>
      </c>
      <c r="K5" s="31"/>
      <c r="L5" s="23">
        <v>108203.9017239746</v>
      </c>
      <c r="M5" s="33">
        <v>0.69843274999948335</v>
      </c>
      <c r="N5" s="5">
        <v>2</v>
      </c>
      <c r="O5" s="5">
        <v>56.666666666666657</v>
      </c>
      <c r="P5" s="33">
        <v>6.6656860595875624</v>
      </c>
      <c r="Q5" s="5">
        <v>22.075930646847031</v>
      </c>
      <c r="R5" s="5">
        <v>1507.0448597777511</v>
      </c>
      <c r="S5" s="31"/>
      <c r="T5" s="23">
        <v>114072.23259480771</v>
      </c>
      <c r="U5" s="33">
        <v>0.65626395900108037</v>
      </c>
      <c r="V5" s="5">
        <v>2</v>
      </c>
      <c r="W5" s="5">
        <v>60</v>
      </c>
      <c r="X5" s="33">
        <v>53.966938178544218</v>
      </c>
      <c r="Y5" s="5">
        <v>35.547626856175107</v>
      </c>
      <c r="Z5" s="5">
        <v>2105.7824850329289</v>
      </c>
      <c r="AA5" s="35"/>
    </row>
    <row r="6" spans="2:27" x14ac:dyDescent="0.2">
      <c r="B6" s="4">
        <v>3</v>
      </c>
      <c r="C6" s="4">
        <v>244</v>
      </c>
      <c r="D6" s="23">
        <v>101302.12895374501</v>
      </c>
      <c r="E6" s="33">
        <v>0.71410108300187858</v>
      </c>
      <c r="F6" s="5">
        <v>2</v>
      </c>
      <c r="G6" s="23">
        <v>73.333333333333329</v>
      </c>
      <c r="H6" s="33">
        <v>71.52273677907742</v>
      </c>
      <c r="I6" s="23">
        <v>30.854586120285227</v>
      </c>
      <c r="J6" s="5">
        <v>1962.3526604204483</v>
      </c>
      <c r="K6" s="31"/>
      <c r="L6" s="23">
        <v>108203.9017239746</v>
      </c>
      <c r="M6" s="33">
        <v>0.97528895800132887</v>
      </c>
      <c r="N6" s="5">
        <v>2</v>
      </c>
      <c r="O6" s="5">
        <v>56.666666666666657</v>
      </c>
      <c r="P6" s="33">
        <v>6.6656860595875624</v>
      </c>
      <c r="Q6" s="5">
        <v>22.075930646847031</v>
      </c>
      <c r="R6" s="5">
        <v>1507.0448597777511</v>
      </c>
      <c r="S6" s="31"/>
      <c r="T6" s="23">
        <v>115039.5428879259</v>
      </c>
      <c r="U6" s="33">
        <v>0.63491475000046194</v>
      </c>
      <c r="V6" s="5">
        <v>2</v>
      </c>
      <c r="W6" s="5">
        <v>63.333333333333343</v>
      </c>
      <c r="X6" s="33">
        <v>137.84744959782589</v>
      </c>
      <c r="Y6" s="5">
        <v>41.152645285611612</v>
      </c>
      <c r="Z6" s="5">
        <v>2257.1635819401522</v>
      </c>
      <c r="AA6" s="35"/>
    </row>
    <row r="7" spans="2:27" x14ac:dyDescent="0.2">
      <c r="B7" s="4">
        <v>4</v>
      </c>
      <c r="C7" s="4">
        <v>262</v>
      </c>
      <c r="D7" s="23">
        <v>101302.12895374501</v>
      </c>
      <c r="E7" s="33">
        <v>0.70576883399917278</v>
      </c>
      <c r="F7" s="5">
        <v>2</v>
      </c>
      <c r="G7" s="23">
        <v>73.333333333333329</v>
      </c>
      <c r="H7" s="33">
        <v>71.52273677907742</v>
      </c>
      <c r="I7" s="23">
        <v>30.854586120285227</v>
      </c>
      <c r="J7" s="5">
        <v>1962.3526604204483</v>
      </c>
      <c r="K7" s="31"/>
      <c r="L7" s="23">
        <v>108203.9017239746</v>
      </c>
      <c r="M7" s="33">
        <v>0.86078554200139479</v>
      </c>
      <c r="N7" s="5">
        <v>2</v>
      </c>
      <c r="O7" s="5">
        <v>56.666666666666657</v>
      </c>
      <c r="P7" s="33">
        <v>6.6656860595875624</v>
      </c>
      <c r="Q7" s="5">
        <v>22.075930646847031</v>
      </c>
      <c r="R7" s="5">
        <v>1507.0448597777511</v>
      </c>
      <c r="S7" s="31"/>
      <c r="T7" s="23">
        <v>113654.5503311527</v>
      </c>
      <c r="U7" s="33">
        <v>0.8559575830004178</v>
      </c>
      <c r="V7" s="5">
        <v>2</v>
      </c>
      <c r="W7" s="5">
        <v>60</v>
      </c>
      <c r="X7" s="33">
        <v>25.719553719166299</v>
      </c>
      <c r="Y7" s="5">
        <v>36.142482765926999</v>
      </c>
      <c r="Z7" s="5">
        <v>2134.2707891101172</v>
      </c>
      <c r="AA7" s="35"/>
    </row>
    <row r="8" spans="2:27" x14ac:dyDescent="0.2">
      <c r="B8" s="4">
        <v>5</v>
      </c>
      <c r="C8" s="4">
        <v>313</v>
      </c>
      <c r="D8" s="23">
        <v>101302.12895374501</v>
      </c>
      <c r="E8" s="33">
        <v>0.81803141699856496</v>
      </c>
      <c r="F8" s="5">
        <v>2</v>
      </c>
      <c r="G8" s="23">
        <v>73.333333333333329</v>
      </c>
      <c r="H8" s="33">
        <v>71.52273677907742</v>
      </c>
      <c r="I8" s="23">
        <v>30.854586120285227</v>
      </c>
      <c r="J8" s="5">
        <v>1962.3526604204483</v>
      </c>
      <c r="K8" s="31"/>
      <c r="L8" s="23">
        <v>108203.9017239746</v>
      </c>
      <c r="M8" s="33">
        <v>0.62822016700010863</v>
      </c>
      <c r="N8" s="5">
        <v>2</v>
      </c>
      <c r="O8" s="5">
        <v>56.666666666666657</v>
      </c>
      <c r="P8" s="33">
        <v>6.6656860595875624</v>
      </c>
      <c r="Q8" s="5">
        <v>22.075930646847031</v>
      </c>
      <c r="R8" s="5">
        <v>1507.0448597777511</v>
      </c>
      <c r="S8" s="31"/>
      <c r="T8" s="23">
        <v>117032.03867328149</v>
      </c>
      <c r="U8" s="33">
        <v>0.63157574999786448</v>
      </c>
      <c r="V8" s="5">
        <v>2</v>
      </c>
      <c r="W8" s="5">
        <v>60</v>
      </c>
      <c r="X8" s="33">
        <v>59.733028569493698</v>
      </c>
      <c r="Y8" s="5">
        <v>42.632561410029062</v>
      </c>
      <c r="Z8" s="5">
        <v>2350.7166788549212</v>
      </c>
      <c r="AA8" s="35"/>
    </row>
    <row r="9" spans="2:27" x14ac:dyDescent="0.2">
      <c r="B9" s="4">
        <v>6</v>
      </c>
      <c r="C9" s="4">
        <v>331</v>
      </c>
      <c r="D9" s="23">
        <v>101401.4138782692</v>
      </c>
      <c r="E9" s="33">
        <v>0.60338120899905334</v>
      </c>
      <c r="F9" s="5">
        <v>2</v>
      </c>
      <c r="G9" s="23">
        <v>76.666666666666671</v>
      </c>
      <c r="H9" s="33">
        <v>86.646253557987762</v>
      </c>
      <c r="I9" s="23">
        <v>32.952113708386108</v>
      </c>
      <c r="J9" s="5">
        <v>2083.5901512772834</v>
      </c>
      <c r="K9" s="31"/>
      <c r="L9" s="23">
        <v>109165.83910628709</v>
      </c>
      <c r="M9" s="33">
        <v>0.54445049999776529</v>
      </c>
      <c r="N9" s="5">
        <v>2</v>
      </c>
      <c r="O9" s="5">
        <v>56.666666666666657</v>
      </c>
      <c r="P9" s="33">
        <v>22.901073216718029</v>
      </c>
      <c r="Q9" s="5">
        <v>24.061196195021399</v>
      </c>
      <c r="R9" s="5">
        <v>1639.0161040924961</v>
      </c>
      <c r="S9" s="31"/>
      <c r="T9" s="23">
        <v>115258.6247862864</v>
      </c>
      <c r="U9" s="33">
        <v>0.65346295799827203</v>
      </c>
      <c r="V9" s="5">
        <v>2</v>
      </c>
      <c r="W9" s="5">
        <v>63.333333333333343</v>
      </c>
      <c r="X9" s="33">
        <v>106.374521929084</v>
      </c>
      <c r="Y9" s="5">
        <v>38.310553959188141</v>
      </c>
      <c r="Z9" s="5">
        <v>2272.4685570020579</v>
      </c>
      <c r="AA9" s="35"/>
    </row>
    <row r="10" spans="2:27" x14ac:dyDescent="0.2">
      <c r="B10" s="4">
        <v>7</v>
      </c>
      <c r="C10" s="4">
        <v>417</v>
      </c>
      <c r="D10" s="23">
        <v>101302.12895374501</v>
      </c>
      <c r="E10" s="33">
        <v>0.59352841699728742</v>
      </c>
      <c r="F10" s="5">
        <v>2</v>
      </c>
      <c r="G10" s="23">
        <v>73.333333333333329</v>
      </c>
      <c r="H10" s="33">
        <v>71.52273677907742</v>
      </c>
      <c r="I10" s="23">
        <v>30.854586120285227</v>
      </c>
      <c r="J10" s="5">
        <v>1962.3526604204483</v>
      </c>
      <c r="K10" s="31"/>
      <c r="L10" s="23">
        <v>108203.9017239746</v>
      </c>
      <c r="M10" s="33">
        <v>0.57873404099882464</v>
      </c>
      <c r="N10" s="5">
        <v>2</v>
      </c>
      <c r="O10" s="5">
        <v>56.666666666666657</v>
      </c>
      <c r="P10" s="33">
        <v>6.6656860595875624</v>
      </c>
      <c r="Q10" s="5">
        <v>22.075930646847031</v>
      </c>
      <c r="R10" s="5">
        <v>1507.0448597777511</v>
      </c>
      <c r="S10" s="31"/>
      <c r="T10" s="23">
        <v>114757.36465917061</v>
      </c>
      <c r="U10" s="33">
        <v>0.54749824999817065</v>
      </c>
      <c r="V10" s="5">
        <v>2</v>
      </c>
      <c r="W10" s="5">
        <v>60</v>
      </c>
      <c r="X10" s="33">
        <v>84.427719040854555</v>
      </c>
      <c r="Y10" s="5">
        <v>37.125129296373132</v>
      </c>
      <c r="Z10" s="5">
        <v>2128.1666582827538</v>
      </c>
      <c r="AA10" s="35"/>
    </row>
    <row r="11" spans="2:27" x14ac:dyDescent="0.2">
      <c r="B11" s="4">
        <v>8</v>
      </c>
      <c r="C11" s="4">
        <v>507</v>
      </c>
      <c r="D11" s="23">
        <v>101302.12895374501</v>
      </c>
      <c r="E11" s="33">
        <v>1.282745042000897</v>
      </c>
      <c r="F11" s="5">
        <v>2</v>
      </c>
      <c r="G11" s="23">
        <v>73.333333333333329</v>
      </c>
      <c r="H11" s="33">
        <v>71.52273677907742</v>
      </c>
      <c r="I11" s="23">
        <v>30.854586120285227</v>
      </c>
      <c r="J11" s="5">
        <v>1962.3526604204483</v>
      </c>
      <c r="K11" s="31"/>
      <c r="L11" s="23">
        <v>108203.9017239746</v>
      </c>
      <c r="M11" s="33">
        <v>1.3356366670013811</v>
      </c>
      <c r="N11" s="5">
        <v>2</v>
      </c>
      <c r="O11" s="5">
        <v>56.666666666666657</v>
      </c>
      <c r="P11" s="33">
        <v>6.6656860595875624</v>
      </c>
      <c r="Q11" s="5">
        <v>22.075930646847031</v>
      </c>
      <c r="R11" s="5">
        <v>1507.0448597777511</v>
      </c>
      <c r="S11" s="31"/>
      <c r="T11" s="23">
        <v>116798.6730954184</v>
      </c>
      <c r="U11" s="33">
        <v>1.2499406669994639</v>
      </c>
      <c r="V11" s="5">
        <v>2</v>
      </c>
      <c r="W11" s="5">
        <v>60</v>
      </c>
      <c r="X11" s="33">
        <v>120.6528520934375</v>
      </c>
      <c r="Y11" s="5">
        <v>38.771349757341447</v>
      </c>
      <c r="Z11" s="5">
        <v>2326.1330978962628</v>
      </c>
      <c r="AA11" s="35"/>
    </row>
    <row r="12" spans="2:27" x14ac:dyDescent="0.2">
      <c r="B12" s="4">
        <v>9</v>
      </c>
      <c r="C12" s="4">
        <v>750</v>
      </c>
      <c r="D12" s="23">
        <v>101302.12895374501</v>
      </c>
      <c r="E12" s="33">
        <v>0.77478329199948348</v>
      </c>
      <c r="F12" s="5">
        <v>2</v>
      </c>
      <c r="G12" s="23">
        <v>73.333333333333329</v>
      </c>
      <c r="H12" s="33">
        <v>71.52273677907742</v>
      </c>
      <c r="I12" s="23">
        <v>30.854586120285227</v>
      </c>
      <c r="J12" s="5">
        <v>1962.3526604204483</v>
      </c>
      <c r="K12" s="31"/>
      <c r="L12" s="23">
        <v>108203.9017239746</v>
      </c>
      <c r="M12" s="33">
        <v>0.56706325000050128</v>
      </c>
      <c r="N12" s="5">
        <v>2</v>
      </c>
      <c r="O12" s="5">
        <v>56.666666666666657</v>
      </c>
      <c r="P12" s="33">
        <v>6.6656860595875624</v>
      </c>
      <c r="Q12" s="5">
        <v>22.075930646847031</v>
      </c>
      <c r="R12" s="5">
        <v>1507.0448597777511</v>
      </c>
      <c r="S12" s="31"/>
      <c r="T12" s="23">
        <v>113515.85391922</v>
      </c>
      <c r="U12" s="33">
        <v>0.76596379200054798</v>
      </c>
      <c r="V12" s="5">
        <v>2</v>
      </c>
      <c r="W12" s="5">
        <v>60</v>
      </c>
      <c r="X12" s="33">
        <v>50.72404058102893</v>
      </c>
      <c r="Y12" s="5">
        <v>34.89807734273198</v>
      </c>
      <c r="Z12" s="5">
        <v>2070.1106114602612</v>
      </c>
      <c r="AA12" s="35"/>
    </row>
    <row r="13" spans="2:27" x14ac:dyDescent="0.2">
      <c r="B13" s="4">
        <v>10</v>
      </c>
      <c r="C13" s="4">
        <v>773</v>
      </c>
      <c r="D13" s="23">
        <v>101302.12895374501</v>
      </c>
      <c r="E13" s="33">
        <v>0.86623820800014073</v>
      </c>
      <c r="F13" s="5">
        <v>2</v>
      </c>
      <c r="G13" s="23">
        <v>73.333333333333329</v>
      </c>
      <c r="H13" s="33">
        <v>71.52273677907742</v>
      </c>
      <c r="I13" s="23">
        <v>30.854586120285227</v>
      </c>
      <c r="J13" s="5">
        <v>1962.3526604204483</v>
      </c>
      <c r="K13" s="31"/>
      <c r="L13" s="23">
        <v>108203.9017239746</v>
      </c>
      <c r="M13" s="33">
        <v>0.52058920899798977</v>
      </c>
      <c r="N13" s="5">
        <v>2</v>
      </c>
      <c r="O13" s="5">
        <v>56.666666666666657</v>
      </c>
      <c r="P13" s="33">
        <v>6.6656860595875624</v>
      </c>
      <c r="Q13" s="5">
        <v>22.075930646847031</v>
      </c>
      <c r="R13" s="5">
        <v>1507.0448597777511</v>
      </c>
      <c r="S13" s="31"/>
      <c r="T13" s="23">
        <v>113813.2036987219</v>
      </c>
      <c r="U13" s="33">
        <v>0.85771466600272106</v>
      </c>
      <c r="V13" s="5">
        <v>2</v>
      </c>
      <c r="W13" s="5">
        <v>60</v>
      </c>
      <c r="X13" s="33">
        <v>61.840780912893663</v>
      </c>
      <c r="Y13" s="5">
        <v>36.362268605600079</v>
      </c>
      <c r="Z13" s="5">
        <v>2138.2986497867282</v>
      </c>
      <c r="AA13" s="35"/>
    </row>
    <row r="14" spans="2:27" x14ac:dyDescent="0.2">
      <c r="B14" s="46" t="s">
        <v>3</v>
      </c>
      <c r="C14" s="47"/>
      <c r="D14" s="9">
        <f>MIN(D4:D13)</f>
        <v>101302.12895374501</v>
      </c>
      <c r="E14" s="22">
        <f>INDEX(E4:E13, MATCH($D$14, D4:D13, 0))</f>
        <v>0.71410108300187858</v>
      </c>
      <c r="F14" s="9">
        <f>INDEX(F4:F13, MATCH($D$14, D4:D13, 0))</f>
        <v>2</v>
      </c>
      <c r="G14" s="9">
        <f>INDEX(G4:G13, MATCH($D$14, D4:D13, 0))</f>
        <v>73.333333333333329</v>
      </c>
      <c r="H14" s="22">
        <f>INDEX(H4:H13, MATCH($D$14, D4:D13, 0))</f>
        <v>71.52273677907742</v>
      </c>
      <c r="I14" s="22">
        <f>INDEX(I4:I13, MATCH($D$14, D4:D13, 0))</f>
        <v>30.854586120285227</v>
      </c>
      <c r="J14" s="22">
        <f>INDEX(J4:J13, MATCH($D$14, D4:D13, 0))</f>
        <v>1962.3526604204483</v>
      </c>
      <c r="K14" s="32">
        <f>(D14-$D$15)/$D$15</f>
        <v>0</v>
      </c>
      <c r="L14" s="16">
        <f>MIN(L4:L13)</f>
        <v>108203.9017239746</v>
      </c>
      <c r="M14" s="21">
        <f>INDEX(M4:M13, MATCH($L$14, L4:L13, 0))</f>
        <v>0.50656679100211477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6.6656860595875624</v>
      </c>
      <c r="Q14" s="21">
        <f>INDEX(Q4:Q13, MATCH($L$14, L4:L13, 0))</f>
        <v>22.075930646847031</v>
      </c>
      <c r="R14" s="21">
        <f>INDEX(R4:R13, MATCH($L$14, L4:L13, 0))</f>
        <v>1507.0448597777511</v>
      </c>
      <c r="S14" s="36">
        <f>(L14-$D$15)/$D$15</f>
        <v>6.8130579697697924E-2</v>
      </c>
      <c r="T14" s="38">
        <f>MIN(T4:T13)</f>
        <v>113515.85391922</v>
      </c>
      <c r="U14" s="39">
        <f>INDEX(U4:U13, MATCH($T$14, T4:T13, 0))</f>
        <v>0.76596379200054798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50.72404058102893</v>
      </c>
      <c r="Y14" s="39">
        <f>INDEX(Y4:Y13, MATCH($T$14, T4:T13, 0))</f>
        <v>34.89807734273198</v>
      </c>
      <c r="Z14" s="39">
        <f>INDEX(Z4:Z13, MATCH($T$14, T4:T13, 0))</f>
        <v>2070.1106114602612</v>
      </c>
      <c r="AA14" s="40">
        <f>(T14-$D$15)/$D$15</f>
        <v>0.12056730783073503</v>
      </c>
    </row>
    <row r="15" spans="2:27" x14ac:dyDescent="0.2">
      <c r="C15" s="1" t="s">
        <v>17</v>
      </c>
      <c r="D15" s="34">
        <v>101302.12895374501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25" priority="15"/>
    <cfRule type="duplicateValues" dxfId="124" priority="16"/>
  </conditionalFormatting>
  <conditionalFormatting sqref="C14">
    <cfRule type="duplicateValues" dxfId="123" priority="7"/>
    <cfRule type="duplicateValues" dxfId="122" priority="8"/>
  </conditionalFormatting>
  <conditionalFormatting sqref="C24:C30">
    <cfRule type="duplicateValues" dxfId="29" priority="5"/>
    <cfRule type="duplicateValues" dxfId="28" priority="6"/>
  </conditionalFormatting>
  <conditionalFormatting sqref="C17">
    <cfRule type="duplicateValues" dxfId="27" priority="1"/>
    <cfRule type="duplicateValues" dxfId="26" priority="2"/>
  </conditionalFormatting>
  <conditionalFormatting sqref="C18:C23">
    <cfRule type="duplicateValues" dxfId="25" priority="3"/>
    <cfRule type="duplicateValues" dxfId="2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6508-D4E0-3D41-99D5-F7176B0D0FBC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9.627055326303316E-2</v>
      </c>
      <c r="J2" s="28">
        <f>(S14-J14)/J14</f>
        <v>-0.99987570192667163</v>
      </c>
      <c r="K2" s="28"/>
      <c r="L2" s="1" t="s">
        <v>19</v>
      </c>
      <c r="P2" s="1">
        <f>(P14-H14)/H14</f>
        <v>-1</v>
      </c>
      <c r="R2" s="1">
        <f>(R14-J14)/J14</f>
        <v>-0.18620614909478697</v>
      </c>
      <c r="T2" s="1" t="s">
        <v>20</v>
      </c>
      <c r="X2" s="1" t="e">
        <f>(X14-P14)/P14</f>
        <v>#DIV/0!</v>
      </c>
      <c r="Z2" s="1">
        <f>(Z14-R14)/R14</f>
        <v>0.44151258571908575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</v>
      </c>
      <c r="D4" s="23">
        <v>81369.106334446071</v>
      </c>
      <c r="E4" s="33">
        <v>1.4526560830017841</v>
      </c>
      <c r="F4" s="5">
        <v>3</v>
      </c>
      <c r="G4" s="23">
        <v>90</v>
      </c>
      <c r="H4" s="33">
        <v>18.897801737529569</v>
      </c>
      <c r="I4" s="23">
        <v>31.182005082789683</v>
      </c>
      <c r="J4" s="5">
        <v>1641.7539563306652</v>
      </c>
      <c r="K4" s="31"/>
      <c r="L4" s="23">
        <v>97973.843848520206</v>
      </c>
      <c r="M4" s="33">
        <v>0.6950150839984417</v>
      </c>
      <c r="N4" s="5">
        <v>3</v>
      </c>
      <c r="O4" s="5">
        <v>70</v>
      </c>
      <c r="P4" s="33">
        <v>0</v>
      </c>
      <c r="Q4" s="5">
        <v>20.71710356625665</v>
      </c>
      <c r="R4" s="5">
        <v>1336.049274361201</v>
      </c>
      <c r="S4" s="31"/>
      <c r="T4" s="23">
        <v>95327.047961876407</v>
      </c>
      <c r="U4" s="33">
        <v>1.294098207999923</v>
      </c>
      <c r="V4" s="5">
        <v>3</v>
      </c>
      <c r="W4" s="5">
        <v>80</v>
      </c>
      <c r="X4" s="33">
        <v>4.0782041584270701</v>
      </c>
      <c r="Y4" s="5">
        <v>41.635310017318083</v>
      </c>
      <c r="Z4" s="5">
        <v>1925.9318441325231</v>
      </c>
      <c r="AA4" s="35"/>
    </row>
    <row r="5" spans="2:27" x14ac:dyDescent="0.2">
      <c r="B5" s="4">
        <v>2</v>
      </c>
      <c r="C5" s="4">
        <v>13</v>
      </c>
      <c r="D5" s="23">
        <v>81369.106334446071</v>
      </c>
      <c r="E5" s="33">
        <v>0.85326770800020313</v>
      </c>
      <c r="F5" s="5">
        <v>3</v>
      </c>
      <c r="G5" s="23">
        <v>90</v>
      </c>
      <c r="H5" s="33">
        <v>18.897801737529569</v>
      </c>
      <c r="I5" s="23">
        <v>31.182005082789683</v>
      </c>
      <c r="J5" s="5">
        <v>1641.7539563306652</v>
      </c>
      <c r="K5" s="31"/>
      <c r="L5" s="23">
        <v>97996.744912764669</v>
      </c>
      <c r="M5" s="33">
        <v>0.82669029200042132</v>
      </c>
      <c r="N5" s="5">
        <v>3</v>
      </c>
      <c r="O5" s="5">
        <v>70</v>
      </c>
      <c r="P5" s="33">
        <v>0.7312497917769395</v>
      </c>
      <c r="Q5" s="5">
        <v>21.022085755296811</v>
      </c>
      <c r="R5" s="5">
        <v>1350.017528329455</v>
      </c>
      <c r="S5" s="31"/>
      <c r="T5" s="23">
        <v>95327.047961876407</v>
      </c>
      <c r="U5" s="33">
        <v>0.81496799999877112</v>
      </c>
      <c r="V5" s="5">
        <v>3</v>
      </c>
      <c r="W5" s="5">
        <v>80</v>
      </c>
      <c r="X5" s="33">
        <v>4.0782041584270701</v>
      </c>
      <c r="Y5" s="5">
        <v>41.635310017318083</v>
      </c>
      <c r="Z5" s="5">
        <v>1925.9318441325231</v>
      </c>
      <c r="AA5" s="35"/>
    </row>
    <row r="6" spans="2:27" x14ac:dyDescent="0.2">
      <c r="B6" s="4">
        <v>3</v>
      </c>
      <c r="C6" s="4">
        <v>26</v>
      </c>
      <c r="D6" s="23">
        <v>81369.106334446071</v>
      </c>
      <c r="E6" s="33">
        <v>0.79604850000032457</v>
      </c>
      <c r="F6" s="5">
        <v>3</v>
      </c>
      <c r="G6" s="23">
        <v>90</v>
      </c>
      <c r="H6" s="33">
        <v>18.897801737529569</v>
      </c>
      <c r="I6" s="23">
        <v>31.182005082789683</v>
      </c>
      <c r="J6" s="5">
        <v>1641.7539563306652</v>
      </c>
      <c r="K6" s="31"/>
      <c r="L6" s="23">
        <v>97996.744912764669</v>
      </c>
      <c r="M6" s="33">
        <v>0.69028575000265846</v>
      </c>
      <c r="N6" s="5">
        <v>3</v>
      </c>
      <c r="O6" s="5">
        <v>70</v>
      </c>
      <c r="P6" s="33">
        <v>0.7312497917769395</v>
      </c>
      <c r="Q6" s="5">
        <v>21.022085755296811</v>
      </c>
      <c r="R6" s="5">
        <v>1350.017528329455</v>
      </c>
      <c r="S6" s="31"/>
      <c r="T6" s="23">
        <v>95327.047961876407</v>
      </c>
      <c r="U6" s="33">
        <v>1.1040339589999351</v>
      </c>
      <c r="V6" s="5">
        <v>3</v>
      </c>
      <c r="W6" s="5">
        <v>80</v>
      </c>
      <c r="X6" s="33">
        <v>4.0782041584270701</v>
      </c>
      <c r="Y6" s="5">
        <v>41.635310017318083</v>
      </c>
      <c r="Z6" s="5">
        <v>1925.9318441325231</v>
      </c>
      <c r="AA6" s="35"/>
    </row>
    <row r="7" spans="2:27" x14ac:dyDescent="0.2">
      <c r="B7" s="4">
        <v>4</v>
      </c>
      <c r="C7" s="4">
        <v>59</v>
      </c>
      <c r="D7" s="23">
        <v>81369.106334446071</v>
      </c>
      <c r="E7" s="33">
        <v>1.088918333000038</v>
      </c>
      <c r="F7" s="5">
        <v>3</v>
      </c>
      <c r="G7" s="23">
        <v>90</v>
      </c>
      <c r="H7" s="33">
        <v>18.897801737529569</v>
      </c>
      <c r="I7" s="23">
        <v>31.182005082789683</v>
      </c>
      <c r="J7" s="5">
        <v>1641.7539563306652</v>
      </c>
      <c r="K7" s="31"/>
      <c r="L7" s="23">
        <v>97996.744912764669</v>
      </c>
      <c r="M7" s="33">
        <v>0.60611145800066879</v>
      </c>
      <c r="N7" s="5">
        <v>3</v>
      </c>
      <c r="O7" s="5">
        <v>70</v>
      </c>
      <c r="P7" s="33">
        <v>0.7312497917769395</v>
      </c>
      <c r="Q7" s="5">
        <v>21.022085755296811</v>
      </c>
      <c r="R7" s="5">
        <v>1350.017528329455</v>
      </c>
      <c r="S7" s="31"/>
      <c r="T7" s="23">
        <v>95327.047961876407</v>
      </c>
      <c r="U7" s="33">
        <v>1.128953250001359</v>
      </c>
      <c r="V7" s="5">
        <v>3</v>
      </c>
      <c r="W7" s="5">
        <v>80</v>
      </c>
      <c r="X7" s="33">
        <v>4.0782041584270701</v>
      </c>
      <c r="Y7" s="5">
        <v>41.635310017318083</v>
      </c>
      <c r="Z7" s="5">
        <v>1925.9318441325231</v>
      </c>
      <c r="AA7" s="35"/>
    </row>
    <row r="8" spans="2:27" x14ac:dyDescent="0.2">
      <c r="B8" s="4">
        <v>5</v>
      </c>
      <c r="C8" s="4">
        <v>145</v>
      </c>
      <c r="D8" s="23">
        <v>81369.106334446071</v>
      </c>
      <c r="E8" s="33">
        <v>0.59807266600182629</v>
      </c>
      <c r="F8" s="5">
        <v>3</v>
      </c>
      <c r="G8" s="23">
        <v>90</v>
      </c>
      <c r="H8" s="33">
        <v>18.897801737529569</v>
      </c>
      <c r="I8" s="23">
        <v>31.182005082789683</v>
      </c>
      <c r="J8" s="5">
        <v>1641.7539563306652</v>
      </c>
      <c r="K8" s="31"/>
      <c r="L8" s="23">
        <v>98316.078573396429</v>
      </c>
      <c r="M8" s="33">
        <v>0.65356374999828404</v>
      </c>
      <c r="N8" s="5">
        <v>3</v>
      </c>
      <c r="O8" s="5">
        <v>70</v>
      </c>
      <c r="P8" s="33">
        <v>0.4688159293430631</v>
      </c>
      <c r="Q8" s="5">
        <v>21.328932605395671</v>
      </c>
      <c r="R8" s="5">
        <v>1355.257490981181</v>
      </c>
      <c r="S8" s="31"/>
      <c r="T8" s="23">
        <v>95952.332900367866</v>
      </c>
      <c r="U8" s="33">
        <v>0.56408108299729065</v>
      </c>
      <c r="V8" s="5">
        <v>3</v>
      </c>
      <c r="W8" s="5">
        <v>80</v>
      </c>
      <c r="X8" s="33">
        <v>6.6363856647264292</v>
      </c>
      <c r="Y8" s="5">
        <v>42.733189069562123</v>
      </c>
      <c r="Z8" s="5">
        <v>1964.304566727013</v>
      </c>
      <c r="AA8" s="35"/>
    </row>
    <row r="9" spans="2:27" x14ac:dyDescent="0.2">
      <c r="B9" s="4">
        <v>6</v>
      </c>
      <c r="C9" s="4">
        <v>375</v>
      </c>
      <c r="D9" s="23">
        <v>81369.106334446071</v>
      </c>
      <c r="E9" s="33">
        <v>0.67399770799966063</v>
      </c>
      <c r="F9" s="5">
        <v>3</v>
      </c>
      <c r="G9" s="23">
        <v>90</v>
      </c>
      <c r="H9" s="33">
        <v>18.897801737529569</v>
      </c>
      <c r="I9" s="23">
        <v>31.182005082789683</v>
      </c>
      <c r="J9" s="5">
        <v>1641.7539563306652</v>
      </c>
      <c r="K9" s="31"/>
      <c r="L9" s="23">
        <v>98306.102857657141</v>
      </c>
      <c r="M9" s="33">
        <v>0.79217554099886911</v>
      </c>
      <c r="N9" s="5">
        <v>3</v>
      </c>
      <c r="O9" s="5">
        <v>70</v>
      </c>
      <c r="P9" s="33">
        <v>0</v>
      </c>
      <c r="Q9" s="5">
        <v>21.440494834453531</v>
      </c>
      <c r="R9" s="5">
        <v>1371.1971985381481</v>
      </c>
      <c r="S9" s="31"/>
      <c r="T9" s="23">
        <v>95327.047961876407</v>
      </c>
      <c r="U9" s="33">
        <v>1.001715999998851</v>
      </c>
      <c r="V9" s="5">
        <v>3</v>
      </c>
      <c r="W9" s="5">
        <v>80</v>
      </c>
      <c r="X9" s="33">
        <v>4.0782041584270701</v>
      </c>
      <c r="Y9" s="5">
        <v>41.635310017318083</v>
      </c>
      <c r="Z9" s="5">
        <v>1925.9318441325231</v>
      </c>
      <c r="AA9" s="35"/>
    </row>
    <row r="10" spans="2:27" x14ac:dyDescent="0.2">
      <c r="B10" s="4">
        <v>7</v>
      </c>
      <c r="C10" s="4">
        <v>664</v>
      </c>
      <c r="D10" s="23">
        <v>81369.106334446071</v>
      </c>
      <c r="E10" s="33">
        <v>0.80823291700289701</v>
      </c>
      <c r="F10" s="5">
        <v>3</v>
      </c>
      <c r="G10" s="23">
        <v>90</v>
      </c>
      <c r="H10" s="33">
        <v>18.897801737529569</v>
      </c>
      <c r="I10" s="23">
        <v>31.182005082789683</v>
      </c>
      <c r="J10" s="5">
        <v>1641.7539563306652</v>
      </c>
      <c r="K10" s="31"/>
      <c r="L10" s="23">
        <v>99066.230609993669</v>
      </c>
      <c r="M10" s="33">
        <v>0.50681824999992386</v>
      </c>
      <c r="N10" s="5">
        <v>3</v>
      </c>
      <c r="O10" s="5">
        <v>70</v>
      </c>
      <c r="P10" s="33">
        <v>0</v>
      </c>
      <c r="Q10" s="5">
        <v>22.435473362714259</v>
      </c>
      <c r="R10" s="5">
        <v>1395.070214411164</v>
      </c>
      <c r="S10" s="31"/>
      <c r="T10" s="23">
        <v>95327.047961876407</v>
      </c>
      <c r="U10" s="33">
        <v>1.1143569160012701</v>
      </c>
      <c r="V10" s="5">
        <v>3</v>
      </c>
      <c r="W10" s="5">
        <v>80</v>
      </c>
      <c r="X10" s="33">
        <v>4.0782041584270701</v>
      </c>
      <c r="Y10" s="5">
        <v>41.635310017318083</v>
      </c>
      <c r="Z10" s="5">
        <v>1925.9318441325231</v>
      </c>
      <c r="AA10" s="35"/>
    </row>
    <row r="11" spans="2:27" x14ac:dyDescent="0.2">
      <c r="B11" s="4">
        <v>8</v>
      </c>
      <c r="C11" s="4">
        <v>930</v>
      </c>
      <c r="D11" s="23">
        <v>81369.106334446071</v>
      </c>
      <c r="E11" s="33">
        <v>0.62132791700059897</v>
      </c>
      <c r="F11" s="5">
        <v>3</v>
      </c>
      <c r="G11" s="23">
        <v>90</v>
      </c>
      <c r="H11" s="33">
        <v>18.897801737529569</v>
      </c>
      <c r="I11" s="23">
        <v>31.182005082789683</v>
      </c>
      <c r="J11" s="5">
        <v>1641.7539563306652</v>
      </c>
      <c r="K11" s="31"/>
      <c r="L11" s="23">
        <v>97973.843848520206</v>
      </c>
      <c r="M11" s="33">
        <v>0.70012066600247636</v>
      </c>
      <c r="N11" s="5">
        <v>3</v>
      </c>
      <c r="O11" s="5">
        <v>70</v>
      </c>
      <c r="P11" s="33">
        <v>0</v>
      </c>
      <c r="Q11" s="5">
        <v>20.71710356625665</v>
      </c>
      <c r="R11" s="5">
        <v>1336.049274361201</v>
      </c>
      <c r="S11" s="31"/>
      <c r="T11" s="23">
        <v>95327.047961876407</v>
      </c>
      <c r="U11" s="33">
        <v>0.89587370799927157</v>
      </c>
      <c r="V11" s="5">
        <v>3</v>
      </c>
      <c r="W11" s="5">
        <v>80</v>
      </c>
      <c r="X11" s="33">
        <v>4.0782041584270701</v>
      </c>
      <c r="Y11" s="5">
        <v>41.635310017318083</v>
      </c>
      <c r="Z11" s="5">
        <v>1925.9318441325231</v>
      </c>
      <c r="AA11" s="35"/>
    </row>
    <row r="12" spans="2:27" x14ac:dyDescent="0.2">
      <c r="B12" s="4">
        <v>9</v>
      </c>
      <c r="C12" s="4">
        <v>948</v>
      </c>
      <c r="D12" s="23">
        <v>81369.106334446071</v>
      </c>
      <c r="E12" s="33">
        <v>0.87258999999903608</v>
      </c>
      <c r="F12" s="5">
        <v>3</v>
      </c>
      <c r="G12" s="23">
        <v>90</v>
      </c>
      <c r="H12" s="33">
        <v>18.897801737529569</v>
      </c>
      <c r="I12" s="23">
        <v>31.182005082789683</v>
      </c>
      <c r="J12" s="5">
        <v>1641.7539563306652</v>
      </c>
      <c r="K12" s="31"/>
      <c r="L12" s="23">
        <v>97973.843848520206</v>
      </c>
      <c r="M12" s="33">
        <v>0.65823587499835412</v>
      </c>
      <c r="N12" s="5">
        <v>3</v>
      </c>
      <c r="O12" s="5">
        <v>70</v>
      </c>
      <c r="P12" s="33">
        <v>0</v>
      </c>
      <c r="Q12" s="5">
        <v>20.71710356625665</v>
      </c>
      <c r="R12" s="5">
        <v>1336.049274361201</v>
      </c>
      <c r="S12" s="31"/>
      <c r="T12" s="23">
        <v>96862.751316633105</v>
      </c>
      <c r="U12" s="33">
        <v>0.66840729100294993</v>
      </c>
      <c r="V12" s="5">
        <v>3</v>
      </c>
      <c r="W12" s="5">
        <v>83.333333333333329</v>
      </c>
      <c r="X12" s="33">
        <v>69.39503780644813</v>
      </c>
      <c r="Y12" s="5">
        <v>48.09404961087079</v>
      </c>
      <c r="Z12" s="5">
        <v>2129.3609994463059</v>
      </c>
      <c r="AA12" s="35"/>
    </row>
    <row r="13" spans="2:27" x14ac:dyDescent="0.2">
      <c r="B13" s="4">
        <v>10</v>
      </c>
      <c r="C13" s="4">
        <v>960</v>
      </c>
      <c r="D13" s="23">
        <v>81369.106334446071</v>
      </c>
      <c r="E13" s="33">
        <v>1.1736483749991751</v>
      </c>
      <c r="F13" s="5">
        <v>3</v>
      </c>
      <c r="G13" s="23">
        <v>90</v>
      </c>
      <c r="H13" s="33">
        <v>18.897801737529569</v>
      </c>
      <c r="I13" s="23">
        <v>31.182005082789683</v>
      </c>
      <c r="J13" s="5">
        <v>1641.7539563306652</v>
      </c>
      <c r="K13" s="31"/>
      <c r="L13" s="23">
        <v>97973.843848520206</v>
      </c>
      <c r="M13" s="33">
        <v>1.240437917000236</v>
      </c>
      <c r="N13" s="5">
        <v>3</v>
      </c>
      <c r="O13" s="5">
        <v>70</v>
      </c>
      <c r="P13" s="33">
        <v>0</v>
      </c>
      <c r="Q13" s="5">
        <v>20.71710356625665</v>
      </c>
      <c r="R13" s="5">
        <v>1336.049274361201</v>
      </c>
      <c r="S13" s="31"/>
      <c r="T13" s="23">
        <v>95327.047961876407</v>
      </c>
      <c r="U13" s="33">
        <v>1.2823256250012489</v>
      </c>
      <c r="V13" s="5">
        <v>3</v>
      </c>
      <c r="W13" s="5">
        <v>80</v>
      </c>
      <c r="X13" s="33">
        <v>4.0782041584270701</v>
      </c>
      <c r="Y13" s="5">
        <v>41.635310017318083</v>
      </c>
      <c r="Z13" s="5">
        <v>1925.9318441325231</v>
      </c>
      <c r="AA13" s="35"/>
    </row>
    <row r="14" spans="2:27" x14ac:dyDescent="0.2">
      <c r="B14" s="46" t="s">
        <v>3</v>
      </c>
      <c r="C14" s="47"/>
      <c r="D14" s="9">
        <f>MIN(D4:D13)</f>
        <v>81369.106334446071</v>
      </c>
      <c r="E14" s="22">
        <f>INDEX(E4:E13, MATCH($D$14, D4:D13, 0))</f>
        <v>1.4526560830017841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18.897801737529569</v>
      </c>
      <c r="I14" s="22">
        <f>INDEX(I4:I13, MATCH($D$14, D4:D13, 0))</f>
        <v>31.182005082789683</v>
      </c>
      <c r="J14" s="22">
        <f>INDEX(J4:J13, MATCH($D$14, D4:D13, 0))</f>
        <v>1641.7539563306652</v>
      </c>
      <c r="K14" s="32">
        <f>(D14-$D$15)/$D$15</f>
        <v>0</v>
      </c>
      <c r="L14" s="16">
        <f>MIN(L4:L13)</f>
        <v>97973.843848520206</v>
      </c>
      <c r="M14" s="21">
        <f>INDEX(M4:M13, MATCH($L$14, L4:L13, 0))</f>
        <v>0.6950150839984417</v>
      </c>
      <c r="N14" s="16">
        <f>INDEX(N4:N13, MATCH($L$14, L4:L13, 0))</f>
        <v>3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20.71710356625665</v>
      </c>
      <c r="R14" s="21">
        <f>INDEX(R4:R13, MATCH($L$14, L4:L13, 0))</f>
        <v>1336.049274361201</v>
      </c>
      <c r="S14" s="36">
        <f>(L14-$D$15)/$D$15</f>
        <v>0.20406685365112379</v>
      </c>
      <c r="T14" s="38">
        <f>MIN(T4:T13)</f>
        <v>95327.047961876407</v>
      </c>
      <c r="U14" s="39">
        <f>INDEX(U4:U13, MATCH($T$14, T4:T13, 0))</f>
        <v>1.294098207999923</v>
      </c>
      <c r="V14" s="38">
        <f>INDEX(V4:V13, MATCH($T$14, T4:T13, 0))</f>
        <v>3</v>
      </c>
      <c r="W14" s="38">
        <f>INDEX(W4:W13, MATCH($T$14, T4:T13, 0))</f>
        <v>80</v>
      </c>
      <c r="X14" s="39">
        <f>INDEX(X4:X13, MATCH($T$14, T4:T13, 0))</f>
        <v>4.0782041584270701</v>
      </c>
      <c r="Y14" s="39">
        <f>INDEX(Y4:Y13, MATCH($T$14, T4:T13, 0))</f>
        <v>41.635310017318083</v>
      </c>
      <c r="Z14" s="39">
        <f>INDEX(Z4:Z13, MATCH($T$14, T4:T13, 0))</f>
        <v>1925.9318441325231</v>
      </c>
      <c r="AA14" s="40">
        <f>(T14-$D$15)/$D$15</f>
        <v>0.17153858824576407</v>
      </c>
    </row>
    <row r="15" spans="2:27" x14ac:dyDescent="0.2">
      <c r="C15" s="1" t="s">
        <v>17</v>
      </c>
      <c r="D15" s="34">
        <v>81369.106334446071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17" priority="15"/>
    <cfRule type="duplicateValues" dxfId="116" priority="16"/>
  </conditionalFormatting>
  <conditionalFormatting sqref="C14">
    <cfRule type="duplicateValues" dxfId="115" priority="7"/>
    <cfRule type="duplicateValues" dxfId="114" priority="8"/>
  </conditionalFormatting>
  <conditionalFormatting sqref="C24:C30">
    <cfRule type="duplicateValues" dxfId="23" priority="5"/>
    <cfRule type="duplicateValues" dxfId="22" priority="6"/>
  </conditionalFormatting>
  <conditionalFormatting sqref="C17">
    <cfRule type="duplicateValues" dxfId="21" priority="1"/>
    <cfRule type="duplicateValues" dxfId="20" priority="2"/>
  </conditionalFormatting>
  <conditionalFormatting sqref="C18:C23">
    <cfRule type="duplicateValues" dxfId="19" priority="3"/>
    <cfRule type="duplicateValues" dxfId="18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C264-418D-954D-AFD9-2A62DA80E242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>
        <f>(S14-J14)/J14</f>
        <v>-0.99985736315053075</v>
      </c>
      <c r="K2" s="28"/>
      <c r="L2" s="1" t="s">
        <v>19</v>
      </c>
      <c r="P2" s="1" t="e">
        <f>(P14-H14)/H14</f>
        <v>#DIV/0!</v>
      </c>
      <c r="R2" s="1">
        <f>(R14-J14)/J14</f>
        <v>-0.16629546952628513</v>
      </c>
      <c r="T2" s="1" t="s">
        <v>20</v>
      </c>
      <c r="X2" s="1" t="e">
        <f>(X14-P14)/P14</f>
        <v>#DIV/0!</v>
      </c>
      <c r="Z2" s="1">
        <f>(Z14-R14)/R14</f>
        <v>0.50302136071282488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84855.170801367465</v>
      </c>
      <c r="E4" s="33">
        <v>0.91800399999920046</v>
      </c>
      <c r="F4" s="5">
        <v>2</v>
      </c>
      <c r="G4" s="23">
        <v>80</v>
      </c>
      <c r="H4" s="33">
        <v>0</v>
      </c>
      <c r="I4" s="23">
        <v>34.358002546986647</v>
      </c>
      <c r="J4" s="5">
        <v>1673.234383163747</v>
      </c>
      <c r="K4" s="31"/>
      <c r="L4" s="23">
        <v>107460.9481161124</v>
      </c>
      <c r="M4" s="33">
        <v>1.1622855829991749</v>
      </c>
      <c r="N4" s="5">
        <v>3</v>
      </c>
      <c r="O4" s="5">
        <v>66.666666666666671</v>
      </c>
      <c r="P4" s="33">
        <v>10.102002897583951</v>
      </c>
      <c r="Q4" s="5">
        <v>18.366839195018098</v>
      </c>
      <c r="R4" s="5">
        <v>1597.470651332487</v>
      </c>
      <c r="S4" s="31"/>
      <c r="T4" s="23">
        <v>98254.900154442046</v>
      </c>
      <c r="U4" s="33">
        <v>2.0189457079977728</v>
      </c>
      <c r="V4" s="5">
        <v>2</v>
      </c>
      <c r="W4" s="5">
        <v>76.666666666666671</v>
      </c>
      <c r="X4" s="33">
        <v>25.297098898356911</v>
      </c>
      <c r="Y4" s="5">
        <v>49.927170464586723</v>
      </c>
      <c r="Z4" s="5">
        <v>2168.7803829286422</v>
      </c>
      <c r="AA4" s="35"/>
    </row>
    <row r="5" spans="2:27" x14ac:dyDescent="0.2">
      <c r="B5" s="4">
        <v>2</v>
      </c>
      <c r="C5" s="4">
        <v>196</v>
      </c>
      <c r="D5" s="23">
        <v>84945.379189768399</v>
      </c>
      <c r="E5" s="33">
        <v>0.71676479099915014</v>
      </c>
      <c r="F5" s="5">
        <v>2</v>
      </c>
      <c r="G5" s="23">
        <v>80</v>
      </c>
      <c r="H5" s="33">
        <v>0</v>
      </c>
      <c r="I5" s="23">
        <v>34.205102460465582</v>
      </c>
      <c r="J5" s="5">
        <v>1668.6923984309226</v>
      </c>
      <c r="K5" s="31"/>
      <c r="L5" s="23">
        <v>112730.5236378757</v>
      </c>
      <c r="M5" s="33">
        <v>0.65766804200029583</v>
      </c>
      <c r="N5" s="5">
        <v>3</v>
      </c>
      <c r="O5" s="5">
        <v>60</v>
      </c>
      <c r="P5" s="33">
        <v>53.988420862208031</v>
      </c>
      <c r="Q5" s="5">
        <v>16.612512294104189</v>
      </c>
      <c r="R5" s="5">
        <v>1452.9021844017111</v>
      </c>
      <c r="S5" s="31"/>
      <c r="T5" s="23">
        <v>97824.06679535775</v>
      </c>
      <c r="U5" s="33">
        <v>1.2024720829977009</v>
      </c>
      <c r="V5" s="5">
        <v>2</v>
      </c>
      <c r="W5" s="5">
        <v>76.666666666666671</v>
      </c>
      <c r="X5" s="33">
        <v>16.790466992733059</v>
      </c>
      <c r="Y5" s="5">
        <v>49.601549909958543</v>
      </c>
      <c r="Z5" s="5">
        <v>2158.6870835223649</v>
      </c>
      <c r="AA5" s="35"/>
    </row>
    <row r="6" spans="2:27" x14ac:dyDescent="0.2">
      <c r="B6" s="4">
        <v>3</v>
      </c>
      <c r="C6" s="4">
        <v>215</v>
      </c>
      <c r="D6" s="23">
        <v>84855.871196216423</v>
      </c>
      <c r="E6" s="33">
        <v>0.75090829200053122</v>
      </c>
      <c r="F6" s="5">
        <v>2</v>
      </c>
      <c r="G6" s="23">
        <v>80</v>
      </c>
      <c r="H6" s="33">
        <v>0</v>
      </c>
      <c r="I6" s="23">
        <v>34.227890619134619</v>
      </c>
      <c r="J6" s="5">
        <v>1659.5365880719544</v>
      </c>
      <c r="K6" s="31"/>
      <c r="L6" s="23">
        <v>106333.2026574561</v>
      </c>
      <c r="M6" s="33">
        <v>0.85188845799711999</v>
      </c>
      <c r="N6" s="5">
        <v>3</v>
      </c>
      <c r="O6" s="5">
        <v>66.666666666666671</v>
      </c>
      <c r="P6" s="33">
        <v>25.013561171135208</v>
      </c>
      <c r="Q6" s="5">
        <v>18.805367194670112</v>
      </c>
      <c r="R6" s="5">
        <v>1550.313092182002</v>
      </c>
      <c r="S6" s="31"/>
      <c r="T6" s="23">
        <v>98274.577099659684</v>
      </c>
      <c r="U6" s="33">
        <v>1.3767738750029821</v>
      </c>
      <c r="V6" s="5">
        <v>2</v>
      </c>
      <c r="W6" s="5">
        <v>73.333333333333329</v>
      </c>
      <c r="X6" s="33">
        <v>0</v>
      </c>
      <c r="Y6" s="5">
        <v>46.371160498718822</v>
      </c>
      <c r="Z6" s="5">
        <v>2053.2647722059269</v>
      </c>
      <c r="AA6" s="35"/>
    </row>
    <row r="7" spans="2:27" x14ac:dyDescent="0.2">
      <c r="B7" s="4">
        <v>4</v>
      </c>
      <c r="C7" s="4">
        <v>293</v>
      </c>
      <c r="D7" s="23">
        <v>84770.165203122859</v>
      </c>
      <c r="E7" s="33">
        <v>0.93659325000044191</v>
      </c>
      <c r="F7" s="5">
        <v>2</v>
      </c>
      <c r="G7" s="23">
        <v>80</v>
      </c>
      <c r="H7" s="33">
        <v>0</v>
      </c>
      <c r="I7" s="23">
        <v>33.947573793846011</v>
      </c>
      <c r="J7" s="5">
        <v>1651.2096160617768</v>
      </c>
      <c r="K7" s="31"/>
      <c r="L7" s="23">
        <v>106553.5854973073</v>
      </c>
      <c r="M7" s="33">
        <v>0.54697999999916647</v>
      </c>
      <c r="N7" s="5">
        <v>3</v>
      </c>
      <c r="O7" s="5">
        <v>66.666666666666671</v>
      </c>
      <c r="P7" s="33">
        <v>26.097032245515379</v>
      </c>
      <c r="Q7" s="5">
        <v>18.991768896223331</v>
      </c>
      <c r="R7" s="5">
        <v>1562.2312740001839</v>
      </c>
      <c r="S7" s="31"/>
      <c r="T7" s="23">
        <v>100134.5233862218</v>
      </c>
      <c r="U7" s="33">
        <v>0.80007879099866841</v>
      </c>
      <c r="V7" s="5">
        <v>2</v>
      </c>
      <c r="W7" s="5">
        <v>73.333333333333329</v>
      </c>
      <c r="X7" s="33">
        <v>8.555267876865237</v>
      </c>
      <c r="Y7" s="5">
        <v>50.969928735902599</v>
      </c>
      <c r="Z7" s="5">
        <v>2189.6109884573948</v>
      </c>
      <c r="AA7" s="35"/>
    </row>
    <row r="8" spans="2:27" x14ac:dyDescent="0.2">
      <c r="B8" s="4">
        <v>5</v>
      </c>
      <c r="C8" s="4">
        <v>353</v>
      </c>
      <c r="D8" s="23">
        <v>84423.484950275539</v>
      </c>
      <c r="E8" s="33">
        <v>0.89578554200124927</v>
      </c>
      <c r="F8" s="5">
        <v>2</v>
      </c>
      <c r="G8" s="23">
        <v>80</v>
      </c>
      <c r="H8" s="33">
        <v>0</v>
      </c>
      <c r="I8" s="23">
        <v>34.069893863062859</v>
      </c>
      <c r="J8" s="5">
        <v>1654.8432038480362</v>
      </c>
      <c r="K8" s="31"/>
      <c r="L8" s="23">
        <v>104418.0148681038</v>
      </c>
      <c r="M8" s="33">
        <v>0.83810937499947613</v>
      </c>
      <c r="N8" s="5">
        <v>2</v>
      </c>
      <c r="O8" s="5">
        <v>56.666666666666657</v>
      </c>
      <c r="P8" s="33">
        <v>0</v>
      </c>
      <c r="Q8" s="5">
        <v>21.38456715969313</v>
      </c>
      <c r="R8" s="5">
        <v>1338.324073063189</v>
      </c>
      <c r="S8" s="31"/>
      <c r="T8" s="23">
        <v>97702.818887548623</v>
      </c>
      <c r="U8" s="33">
        <v>1.119752457998402</v>
      </c>
      <c r="V8" s="5">
        <v>2</v>
      </c>
      <c r="W8" s="5">
        <v>73.333333333333329</v>
      </c>
      <c r="X8" s="33">
        <v>4.597836411536222</v>
      </c>
      <c r="Y8" s="5">
        <v>47.221767580413058</v>
      </c>
      <c r="Z8" s="5">
        <v>2073.643835549783</v>
      </c>
      <c r="AA8" s="35"/>
    </row>
    <row r="9" spans="2:27" x14ac:dyDescent="0.2">
      <c r="B9" s="4">
        <v>6</v>
      </c>
      <c r="C9" s="4">
        <v>592</v>
      </c>
      <c r="D9" s="23">
        <v>84423.484950275539</v>
      </c>
      <c r="E9" s="33">
        <v>1.716540416997304</v>
      </c>
      <c r="F9" s="5">
        <v>2</v>
      </c>
      <c r="G9" s="23">
        <v>80</v>
      </c>
      <c r="H9" s="33">
        <v>0</v>
      </c>
      <c r="I9" s="23">
        <v>34.069893863062859</v>
      </c>
      <c r="J9" s="5">
        <v>1654.8432038480362</v>
      </c>
      <c r="K9" s="31"/>
      <c r="L9" s="23">
        <v>104563.85489803761</v>
      </c>
      <c r="M9" s="33">
        <v>0.74284591600007843</v>
      </c>
      <c r="N9" s="5">
        <v>2</v>
      </c>
      <c r="O9" s="5">
        <v>56.666666666666657</v>
      </c>
      <c r="P9" s="33">
        <v>0</v>
      </c>
      <c r="Q9" s="5">
        <v>21.66416971202295</v>
      </c>
      <c r="R9" s="5">
        <v>1348.521447880885</v>
      </c>
      <c r="S9" s="31"/>
      <c r="T9" s="23">
        <v>97757.46173192907</v>
      </c>
      <c r="U9" s="33">
        <v>1.9010038330015959</v>
      </c>
      <c r="V9" s="5">
        <v>2</v>
      </c>
      <c r="W9" s="5">
        <v>73.333333333333329</v>
      </c>
      <c r="X9" s="33">
        <v>3.2864655086492891</v>
      </c>
      <c r="Y9" s="5">
        <v>45.772065192044053</v>
      </c>
      <c r="Z9" s="5">
        <v>2032.973068944945</v>
      </c>
      <c r="AA9" s="35"/>
    </row>
    <row r="10" spans="2:27" x14ac:dyDescent="0.2">
      <c r="B10" s="4">
        <v>7</v>
      </c>
      <c r="C10" s="4">
        <v>646</v>
      </c>
      <c r="D10" s="23">
        <v>84423.484950275539</v>
      </c>
      <c r="E10" s="33">
        <v>1.148767041999236</v>
      </c>
      <c r="F10" s="5">
        <v>2</v>
      </c>
      <c r="G10" s="23">
        <v>80</v>
      </c>
      <c r="H10" s="33">
        <v>0</v>
      </c>
      <c r="I10" s="23">
        <v>34.069893863062859</v>
      </c>
      <c r="J10" s="5">
        <v>1654.8432038480362</v>
      </c>
      <c r="K10" s="31"/>
      <c r="L10" s="23">
        <v>104350.9411852425</v>
      </c>
      <c r="M10" s="33">
        <v>0.92700658399917302</v>
      </c>
      <c r="N10" s="5">
        <v>2</v>
      </c>
      <c r="O10" s="5">
        <v>56.666666666666657</v>
      </c>
      <c r="P10" s="33">
        <v>0</v>
      </c>
      <c r="Q10" s="5">
        <v>22.517693292819271</v>
      </c>
      <c r="R10" s="5">
        <v>1379.650276271745</v>
      </c>
      <c r="S10" s="31"/>
      <c r="T10" s="23">
        <v>98443.866416702556</v>
      </c>
      <c r="U10" s="33">
        <v>1.84902970800249</v>
      </c>
      <c r="V10" s="5">
        <v>2</v>
      </c>
      <c r="W10" s="5">
        <v>73.333333333333329</v>
      </c>
      <c r="X10" s="33">
        <v>3.2864655086492891</v>
      </c>
      <c r="Y10" s="5">
        <v>47.358176959137047</v>
      </c>
      <c r="Z10" s="5">
        <v>2087.824205875304</v>
      </c>
      <c r="AA10" s="35"/>
    </row>
    <row r="11" spans="2:27" x14ac:dyDescent="0.2">
      <c r="B11" s="4">
        <v>8</v>
      </c>
      <c r="C11" s="4">
        <v>807</v>
      </c>
      <c r="D11" s="23">
        <v>84581.47751688963</v>
      </c>
      <c r="E11" s="33">
        <v>1.210912083999574</v>
      </c>
      <c r="F11" s="5">
        <v>2</v>
      </c>
      <c r="G11" s="23">
        <v>80</v>
      </c>
      <c r="H11" s="33">
        <v>0</v>
      </c>
      <c r="I11" s="23">
        <v>33.697836985861613</v>
      </c>
      <c r="J11" s="5">
        <v>1643.7910409981632</v>
      </c>
      <c r="K11" s="31"/>
      <c r="L11" s="23">
        <v>105091.0437576839</v>
      </c>
      <c r="M11" s="33">
        <v>0.80181525000080001</v>
      </c>
      <c r="N11" s="5">
        <v>2</v>
      </c>
      <c r="O11" s="5">
        <v>56.666666666666657</v>
      </c>
      <c r="P11" s="33">
        <v>0</v>
      </c>
      <c r="Q11" s="5">
        <v>22.234212334686031</v>
      </c>
      <c r="R11" s="5">
        <v>1367.808700123275</v>
      </c>
      <c r="S11" s="31"/>
      <c r="T11" s="23">
        <v>97824.06679535775</v>
      </c>
      <c r="U11" s="33">
        <v>1.214186540997616</v>
      </c>
      <c r="V11" s="5">
        <v>2</v>
      </c>
      <c r="W11" s="5">
        <v>76.666666666666671</v>
      </c>
      <c r="X11" s="33">
        <v>16.790466992733059</v>
      </c>
      <c r="Y11" s="5">
        <v>49.601549909958543</v>
      </c>
      <c r="Z11" s="5">
        <v>2158.6870835223649</v>
      </c>
      <c r="AA11" s="35"/>
    </row>
    <row r="12" spans="2:27" x14ac:dyDescent="0.2">
      <c r="B12" s="4">
        <v>9</v>
      </c>
      <c r="C12" s="4">
        <v>844</v>
      </c>
      <c r="D12" s="23">
        <v>84770.165203122859</v>
      </c>
      <c r="E12" s="33">
        <v>0.79065279199858196</v>
      </c>
      <c r="F12" s="5">
        <v>2</v>
      </c>
      <c r="G12" s="23">
        <v>80</v>
      </c>
      <c r="H12" s="33">
        <v>0</v>
      </c>
      <c r="I12" s="23">
        <v>33.947573793846011</v>
      </c>
      <c r="J12" s="5">
        <v>1651.2096160617768</v>
      </c>
      <c r="K12" s="31"/>
      <c r="L12" s="23">
        <v>112616.2133912133</v>
      </c>
      <c r="M12" s="33">
        <v>0.80293129200072144</v>
      </c>
      <c r="N12" s="5">
        <v>3</v>
      </c>
      <c r="O12" s="5">
        <v>60</v>
      </c>
      <c r="P12" s="33">
        <v>11.39359286243416</v>
      </c>
      <c r="Q12" s="5">
        <v>17.66298151784278</v>
      </c>
      <c r="R12" s="5">
        <v>1506.0749173677709</v>
      </c>
      <c r="S12" s="31"/>
      <c r="T12" s="23">
        <v>99115.666574343195</v>
      </c>
      <c r="U12" s="33">
        <v>0.96970041699751164</v>
      </c>
      <c r="V12" s="5">
        <v>2</v>
      </c>
      <c r="W12" s="5">
        <v>73.333333333333329</v>
      </c>
      <c r="X12" s="33">
        <v>7.1447010066293322</v>
      </c>
      <c r="Y12" s="5">
        <v>47.674103037853683</v>
      </c>
      <c r="Z12" s="5">
        <v>2089.9844409830121</v>
      </c>
      <c r="AA12" s="35"/>
    </row>
    <row r="13" spans="2:27" x14ac:dyDescent="0.2">
      <c r="B13" s="4">
        <v>10</v>
      </c>
      <c r="C13" s="4">
        <v>849</v>
      </c>
      <c r="D13" s="23">
        <v>85031.085182861978</v>
      </c>
      <c r="E13" s="33">
        <v>0.64927233300113585</v>
      </c>
      <c r="F13" s="5">
        <v>2</v>
      </c>
      <c r="G13" s="23">
        <v>80</v>
      </c>
      <c r="H13" s="33">
        <v>0</v>
      </c>
      <c r="I13" s="23">
        <v>34.485419285754197</v>
      </c>
      <c r="J13" s="5">
        <v>1677.0193704411004</v>
      </c>
      <c r="K13" s="31"/>
      <c r="L13" s="23">
        <v>104459.3132562169</v>
      </c>
      <c r="M13" s="33">
        <v>0.55688608299897169</v>
      </c>
      <c r="N13" s="5">
        <v>2</v>
      </c>
      <c r="O13" s="5">
        <v>56.666666666666657</v>
      </c>
      <c r="P13" s="33">
        <v>0</v>
      </c>
      <c r="Q13" s="5">
        <v>21.987920035773278</v>
      </c>
      <c r="R13" s="5">
        <v>1360.328934511901</v>
      </c>
      <c r="S13" s="31"/>
      <c r="T13" s="23">
        <v>102513.172168794</v>
      </c>
      <c r="U13" s="33">
        <v>0.68438904199865647</v>
      </c>
      <c r="V13" s="5">
        <v>2</v>
      </c>
      <c r="W13" s="5">
        <v>66.666666666666671</v>
      </c>
      <c r="X13" s="33">
        <v>10.77032813336734</v>
      </c>
      <c r="Y13" s="5">
        <v>42.565178769300708</v>
      </c>
      <c r="Z13" s="5">
        <v>1945.2245566070719</v>
      </c>
      <c r="AA13" s="35"/>
    </row>
    <row r="14" spans="2:27" x14ac:dyDescent="0.2">
      <c r="B14" s="46" t="s">
        <v>3</v>
      </c>
      <c r="C14" s="47"/>
      <c r="D14" s="9">
        <f>MIN(D4:D13)</f>
        <v>84423.484950275539</v>
      </c>
      <c r="E14" s="22">
        <f>INDEX(E4:E13, MATCH($D$14, D4:D13, 0))</f>
        <v>0.89578554200124927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34.069893863062859</v>
      </c>
      <c r="J14" s="22">
        <f>INDEX(J4:J13, MATCH($D$14, D4:D13, 0))</f>
        <v>1654.8432038480362</v>
      </c>
      <c r="K14" s="32">
        <f>(D14-$D$15)/$D$15</f>
        <v>0</v>
      </c>
      <c r="L14" s="16">
        <f>MIN(L4:L13)</f>
        <v>104350.9411852425</v>
      </c>
      <c r="M14" s="21">
        <f>INDEX(M4:M13, MATCH($L$14, L4:L13, 0))</f>
        <v>0.92700658399917302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0</v>
      </c>
      <c r="Q14" s="21">
        <f>INDEX(Q4:Q13, MATCH($L$14, L4:L13, 0))</f>
        <v>22.517693292819271</v>
      </c>
      <c r="R14" s="21">
        <f>INDEX(R4:R13, MATCH($L$14, L4:L13, 0))</f>
        <v>1379.650276271745</v>
      </c>
      <c r="S14" s="36">
        <f>(L14-$D$15)/$D$15</f>
        <v>0.23604162096250825</v>
      </c>
      <c r="T14" s="38">
        <f>MIN(T4:T13)</f>
        <v>97702.818887548623</v>
      </c>
      <c r="U14" s="39">
        <f>INDEX(U4:U13, MATCH($T$14, T4:T13, 0))</f>
        <v>1.119752457998402</v>
      </c>
      <c r="V14" s="38">
        <f>INDEX(V4:V13, MATCH($T$14, T4:T13, 0))</f>
        <v>2</v>
      </c>
      <c r="W14" s="38">
        <f>INDEX(W4:W13, MATCH($T$14, T4:T13, 0))</f>
        <v>73.333333333333329</v>
      </c>
      <c r="X14" s="39">
        <f>INDEX(X4:X13, MATCH($T$14, T4:T13, 0))</f>
        <v>4.597836411536222</v>
      </c>
      <c r="Y14" s="39">
        <f>INDEX(Y4:Y13, MATCH($T$14, T4:T13, 0))</f>
        <v>47.221767580413058</v>
      </c>
      <c r="Z14" s="39">
        <f>INDEX(Z4:Z13, MATCH($T$14, T4:T13, 0))</f>
        <v>2073.643835549783</v>
      </c>
      <c r="AA14" s="40">
        <f>(T14-$D$15)/$D$15</f>
        <v>0.15729431147144018</v>
      </c>
    </row>
    <row r="15" spans="2:27" x14ac:dyDescent="0.2">
      <c r="C15" s="1" t="s">
        <v>17</v>
      </c>
      <c r="D15" s="34">
        <v>84423.484950275539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09" priority="15"/>
    <cfRule type="duplicateValues" dxfId="108" priority="16"/>
  </conditionalFormatting>
  <conditionalFormatting sqref="C14">
    <cfRule type="duplicateValues" dxfId="107" priority="7"/>
    <cfRule type="duplicateValues" dxfId="106" priority="8"/>
  </conditionalFormatting>
  <conditionalFormatting sqref="C24:C30">
    <cfRule type="duplicateValues" dxfId="17" priority="5"/>
    <cfRule type="duplicateValues" dxfId="16" priority="6"/>
  </conditionalFormatting>
  <conditionalFormatting sqref="C17">
    <cfRule type="duplicateValues" dxfId="15" priority="1"/>
    <cfRule type="duplicateValues" dxfId="14" priority="2"/>
  </conditionalFormatting>
  <conditionalFormatting sqref="C18:C23">
    <cfRule type="duplicateValues" dxfId="13" priority="3"/>
    <cfRule type="duplicateValues" dxfId="12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3E4B-E834-5640-8942-D117498BEFA8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-0.60843026065271877</v>
      </c>
      <c r="J2" s="28" t="e">
        <f>(S14-J14)/J14</f>
        <v>#DIV/0!</v>
      </c>
      <c r="K2" s="28"/>
      <c r="L2" s="1" t="s">
        <v>19</v>
      </c>
      <c r="P2" s="1">
        <f>(P14-H14)/H14</f>
        <v>-1</v>
      </c>
      <c r="R2" s="1">
        <f>(R14-J14)/J14</f>
        <v>-0.2782366518190863</v>
      </c>
      <c r="T2" s="1" t="s">
        <v>20</v>
      </c>
      <c r="X2" s="1" t="e">
        <f>(X14-P14)/P14</f>
        <v>#DIV/0!</v>
      </c>
      <c r="Z2" s="1">
        <f>(Z14-R14)/R14</f>
        <v>0.53005953039772591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166</v>
      </c>
      <c r="D4" s="23">
        <v>94013.698537472068</v>
      </c>
      <c r="E4" s="33">
        <v>1.788189292001334</v>
      </c>
      <c r="F4" s="5">
        <v>3</v>
      </c>
      <c r="G4" s="23">
        <v>86.666666666666671</v>
      </c>
      <c r="H4" s="33">
        <v>43.428077884132108</v>
      </c>
      <c r="I4" s="23">
        <v>40.692779704448725</v>
      </c>
      <c r="J4" s="5">
        <v>1984.8879205267719</v>
      </c>
      <c r="K4" s="31"/>
      <c r="L4" s="23">
        <v>112713.8001865085</v>
      </c>
      <c r="M4" s="33">
        <v>0.62227895900286967</v>
      </c>
      <c r="N4" s="5">
        <v>3</v>
      </c>
      <c r="O4" s="5">
        <v>56.666666666666657</v>
      </c>
      <c r="P4" s="33">
        <v>0</v>
      </c>
      <c r="Q4" s="5">
        <v>21.989957957072519</v>
      </c>
      <c r="R4" s="5">
        <v>1363.5280244668779</v>
      </c>
      <c r="S4" s="31"/>
      <c r="T4" s="23">
        <v>109602.4696431031</v>
      </c>
      <c r="U4" s="33">
        <v>2.2808298339987232</v>
      </c>
      <c r="V4" s="5">
        <v>3</v>
      </c>
      <c r="W4" s="5">
        <v>70</v>
      </c>
      <c r="X4" s="33">
        <v>88.217836754428888</v>
      </c>
      <c r="Y4" s="5">
        <v>50.436433157719492</v>
      </c>
      <c r="Z4" s="5">
        <v>2162.912113135169</v>
      </c>
      <c r="AA4" s="35"/>
    </row>
    <row r="5" spans="2:27" x14ac:dyDescent="0.2">
      <c r="B5" s="4">
        <v>2</v>
      </c>
      <c r="C5" s="4">
        <v>170</v>
      </c>
      <c r="D5" s="23">
        <v>93825.030229355529</v>
      </c>
      <c r="E5" s="33">
        <v>1.1989511249994389</v>
      </c>
      <c r="F5" s="5">
        <v>3</v>
      </c>
      <c r="G5" s="23">
        <v>86.666666666666671</v>
      </c>
      <c r="H5" s="33">
        <v>60.137356531134664</v>
      </c>
      <c r="I5" s="23">
        <v>39.836598848267869</v>
      </c>
      <c r="J5" s="5">
        <v>1947.4257666806179</v>
      </c>
      <c r="K5" s="31"/>
      <c r="L5" s="23">
        <v>110287.61750956639</v>
      </c>
      <c r="M5" s="33">
        <v>0.80147779199978686</v>
      </c>
      <c r="N5" s="5">
        <v>3</v>
      </c>
      <c r="O5" s="5">
        <v>60</v>
      </c>
      <c r="P5" s="33">
        <v>0</v>
      </c>
      <c r="Q5" s="5">
        <v>23.40441743023073</v>
      </c>
      <c r="R5" s="5">
        <v>1415.5709041455771</v>
      </c>
      <c r="S5" s="31"/>
      <c r="T5" s="23">
        <v>113907.2725823842</v>
      </c>
      <c r="U5" s="33">
        <v>0.84525741699690116</v>
      </c>
      <c r="V5" s="5">
        <v>3</v>
      </c>
      <c r="W5" s="5">
        <v>63.333333333333343</v>
      </c>
      <c r="X5" s="33">
        <v>89.350947791184709</v>
      </c>
      <c r="Y5" s="5">
        <v>44.472799304071003</v>
      </c>
      <c r="Z5" s="5">
        <v>2024.716328661488</v>
      </c>
      <c r="AA5" s="35"/>
    </row>
    <row r="6" spans="2:27" x14ac:dyDescent="0.2">
      <c r="B6" s="4">
        <v>3</v>
      </c>
      <c r="C6" s="4">
        <v>190</v>
      </c>
      <c r="D6" s="23">
        <v>93671.80702429924</v>
      </c>
      <c r="E6" s="33">
        <v>1.8715897919973941</v>
      </c>
      <c r="F6" s="5">
        <v>3</v>
      </c>
      <c r="G6" s="23">
        <v>83.333333333333329</v>
      </c>
      <c r="H6" s="33">
        <v>38.262240207418181</v>
      </c>
      <c r="I6" s="23">
        <v>37.780952807473312</v>
      </c>
      <c r="J6" s="5">
        <v>1842.8349851787225</v>
      </c>
      <c r="K6" s="31"/>
      <c r="L6" s="23">
        <v>112668.0185487292</v>
      </c>
      <c r="M6" s="33">
        <v>1.085279249997257</v>
      </c>
      <c r="N6" s="5">
        <v>3</v>
      </c>
      <c r="O6" s="5">
        <v>56.666666666666657</v>
      </c>
      <c r="P6" s="33">
        <v>0</v>
      </c>
      <c r="Q6" s="5">
        <v>21.879645905459199</v>
      </c>
      <c r="R6" s="5">
        <v>1346.9620605763721</v>
      </c>
      <c r="S6" s="31"/>
      <c r="T6" s="23">
        <v>109044.7346079266</v>
      </c>
      <c r="U6" s="33">
        <v>1.3993249580016709</v>
      </c>
      <c r="V6" s="5">
        <v>3</v>
      </c>
      <c r="W6" s="5">
        <v>70</v>
      </c>
      <c r="X6" s="33">
        <v>92.529857426263504</v>
      </c>
      <c r="Y6" s="5">
        <v>48.637051766334842</v>
      </c>
      <c r="Z6" s="5">
        <v>2096.4985228804621</v>
      </c>
      <c r="AA6" s="35"/>
    </row>
    <row r="7" spans="2:27" x14ac:dyDescent="0.2">
      <c r="B7" s="4">
        <v>4</v>
      </c>
      <c r="C7" s="4">
        <v>298</v>
      </c>
      <c r="D7" s="23">
        <v>94101.307373576419</v>
      </c>
      <c r="E7" s="33">
        <v>0.64738450000004377</v>
      </c>
      <c r="F7" s="5">
        <v>3</v>
      </c>
      <c r="G7" s="23">
        <v>83.333333333333329</v>
      </c>
      <c r="H7" s="33">
        <v>21.508220621652836</v>
      </c>
      <c r="I7" s="23">
        <v>39.1566141831347</v>
      </c>
      <c r="J7" s="5">
        <v>1898.4791451787223</v>
      </c>
      <c r="K7" s="31"/>
      <c r="L7" s="23">
        <v>113395.26796810731</v>
      </c>
      <c r="M7" s="33">
        <v>0.57539095900210668</v>
      </c>
      <c r="N7" s="5">
        <v>3</v>
      </c>
      <c r="O7" s="5">
        <v>56.666666666666657</v>
      </c>
      <c r="P7" s="33">
        <v>0.45871022592524141</v>
      </c>
      <c r="Q7" s="5">
        <v>23.187353206801578</v>
      </c>
      <c r="R7" s="5">
        <v>1376.341853394727</v>
      </c>
      <c r="S7" s="31"/>
      <c r="T7" s="23">
        <v>114980.7641795219</v>
      </c>
      <c r="U7" s="33">
        <v>0.66178895799748716</v>
      </c>
      <c r="V7" s="5">
        <v>3</v>
      </c>
      <c r="W7" s="5">
        <v>63.333333333333343</v>
      </c>
      <c r="X7" s="33">
        <v>142.17798522840391</v>
      </c>
      <c r="Y7" s="5">
        <v>46.348365111450953</v>
      </c>
      <c r="Z7" s="5">
        <v>2080.779021632839</v>
      </c>
      <c r="AA7" s="35"/>
    </row>
    <row r="8" spans="2:27" x14ac:dyDescent="0.2">
      <c r="B8" s="4">
        <v>5</v>
      </c>
      <c r="C8" s="4">
        <v>301</v>
      </c>
      <c r="D8" s="23">
        <v>93343.617864498519</v>
      </c>
      <c r="E8" s="33">
        <v>1.555203500000061</v>
      </c>
      <c r="F8" s="5">
        <v>3</v>
      </c>
      <c r="G8" s="23">
        <v>86.666666666666671</v>
      </c>
      <c r="H8" s="33">
        <v>58.283586538750811</v>
      </c>
      <c r="I8" s="23">
        <v>39.983935010455525</v>
      </c>
      <c r="J8" s="5">
        <v>1949.2490720880817</v>
      </c>
      <c r="K8" s="31"/>
      <c r="L8" s="23">
        <v>113560.7180540199</v>
      </c>
      <c r="M8" s="33">
        <v>0.50376183399930596</v>
      </c>
      <c r="N8" s="5">
        <v>3</v>
      </c>
      <c r="O8" s="5">
        <v>56.666666666666657</v>
      </c>
      <c r="P8" s="33">
        <v>0</v>
      </c>
      <c r="Q8" s="5">
        <v>22.478736426756232</v>
      </c>
      <c r="R8" s="5">
        <v>1363.3453372271599</v>
      </c>
      <c r="S8" s="31"/>
      <c r="T8" s="23">
        <v>108954.031881435</v>
      </c>
      <c r="U8" s="33">
        <v>1.422683624998172</v>
      </c>
      <c r="V8" s="5">
        <v>3</v>
      </c>
      <c r="W8" s="5">
        <v>70</v>
      </c>
      <c r="X8" s="33">
        <v>86.505060277718002</v>
      </c>
      <c r="Y8" s="5">
        <v>50.191436939182871</v>
      </c>
      <c r="Z8" s="5">
        <v>2152.6354542749041</v>
      </c>
      <c r="AA8" s="35"/>
    </row>
    <row r="9" spans="2:27" x14ac:dyDescent="0.2">
      <c r="B9" s="4">
        <v>6</v>
      </c>
      <c r="C9" s="4">
        <v>303</v>
      </c>
      <c r="D9" s="23">
        <v>93689.760335384781</v>
      </c>
      <c r="E9" s="33">
        <v>1.0812482080000341</v>
      </c>
      <c r="F9" s="5">
        <v>3</v>
      </c>
      <c r="G9" s="23">
        <v>86.666666666666671</v>
      </c>
      <c r="H9" s="33">
        <v>40.228461737902094</v>
      </c>
      <c r="I9" s="23">
        <v>40.662145688666193</v>
      </c>
      <c r="J9" s="5">
        <v>1980.654918241928</v>
      </c>
      <c r="K9" s="31"/>
      <c r="L9" s="23">
        <v>112638.56069482439</v>
      </c>
      <c r="M9" s="33">
        <v>0.65591045799737913</v>
      </c>
      <c r="N9" s="5">
        <v>3</v>
      </c>
      <c r="O9" s="5">
        <v>56.666666666666657</v>
      </c>
      <c r="P9" s="33">
        <v>0</v>
      </c>
      <c r="Q9" s="5">
        <v>22.457256387595852</v>
      </c>
      <c r="R9" s="5">
        <v>1334.1585143378561</v>
      </c>
      <c r="S9" s="31"/>
      <c r="T9" s="23">
        <v>110057.3767028523</v>
      </c>
      <c r="U9" s="33">
        <v>1.164429291999113</v>
      </c>
      <c r="V9" s="5">
        <v>3</v>
      </c>
      <c r="W9" s="5">
        <v>70</v>
      </c>
      <c r="X9" s="33">
        <v>112.2867143641711</v>
      </c>
      <c r="Y9" s="5">
        <v>50.626988631832702</v>
      </c>
      <c r="Z9" s="5">
        <v>2169.7940621938619</v>
      </c>
      <c r="AA9" s="35"/>
    </row>
    <row r="10" spans="2:27" x14ac:dyDescent="0.2">
      <c r="B10" s="4">
        <v>7</v>
      </c>
      <c r="C10" s="4">
        <v>349</v>
      </c>
      <c r="D10" s="23">
        <v>93959.671961454937</v>
      </c>
      <c r="E10" s="33">
        <v>1.1498231670011589</v>
      </c>
      <c r="F10" s="5">
        <v>3</v>
      </c>
      <c r="G10" s="23">
        <v>86.666666666666671</v>
      </c>
      <c r="H10" s="33">
        <v>42.379846353286702</v>
      </c>
      <c r="I10" s="23">
        <v>40.883405909926417</v>
      </c>
      <c r="J10" s="5">
        <v>1990.3361490111593</v>
      </c>
      <c r="K10" s="31"/>
      <c r="L10" s="23">
        <v>110828.2249071218</v>
      </c>
      <c r="M10" s="33">
        <v>0.89883141699829139</v>
      </c>
      <c r="N10" s="5">
        <v>3</v>
      </c>
      <c r="O10" s="5">
        <v>60</v>
      </c>
      <c r="P10" s="33">
        <v>0</v>
      </c>
      <c r="Q10" s="5">
        <v>23.94313796895127</v>
      </c>
      <c r="R10" s="5">
        <v>1438.269570812244</v>
      </c>
      <c r="S10" s="31"/>
      <c r="T10" s="23">
        <v>108954.031881435</v>
      </c>
      <c r="U10" s="33">
        <v>2.0790589169992022</v>
      </c>
      <c r="V10" s="5">
        <v>3</v>
      </c>
      <c r="W10" s="5">
        <v>70</v>
      </c>
      <c r="X10" s="33">
        <v>86.505060277718002</v>
      </c>
      <c r="Y10" s="5">
        <v>50.191436939182871</v>
      </c>
      <c r="Z10" s="5">
        <v>2152.6354542749041</v>
      </c>
      <c r="AA10" s="35"/>
    </row>
    <row r="11" spans="2:27" x14ac:dyDescent="0.2">
      <c r="B11" s="4">
        <v>8</v>
      </c>
      <c r="C11" s="4">
        <v>524</v>
      </c>
      <c r="D11" s="23">
        <v>93689.760335384781</v>
      </c>
      <c r="E11" s="33">
        <v>0.86760929199954262</v>
      </c>
      <c r="F11" s="5">
        <v>3</v>
      </c>
      <c r="G11" s="23">
        <v>86.666666666666671</v>
      </c>
      <c r="H11" s="33">
        <v>40.228461737902094</v>
      </c>
      <c r="I11" s="23">
        <v>40.662145688666193</v>
      </c>
      <c r="J11" s="5">
        <v>1980.654918241928</v>
      </c>
      <c r="K11" s="31"/>
      <c r="L11" s="23">
        <v>110434.07789001759</v>
      </c>
      <c r="M11" s="33">
        <v>0.73357479200058151</v>
      </c>
      <c r="N11" s="5">
        <v>3</v>
      </c>
      <c r="O11" s="5">
        <v>60</v>
      </c>
      <c r="P11" s="33">
        <v>0</v>
      </c>
      <c r="Q11" s="5">
        <v>23.250497276310568</v>
      </c>
      <c r="R11" s="5">
        <v>1409.085570812244</v>
      </c>
      <c r="S11" s="31"/>
      <c r="T11" s="23">
        <v>111057.0658303386</v>
      </c>
      <c r="U11" s="33">
        <v>1.792560624999169</v>
      </c>
      <c r="V11" s="5">
        <v>3</v>
      </c>
      <c r="W11" s="5">
        <v>73.333333333333329</v>
      </c>
      <c r="X11" s="33">
        <v>167.77164762682051</v>
      </c>
      <c r="Y11" s="5">
        <v>54.266651269304269</v>
      </c>
      <c r="Z11" s="5">
        <v>2327.3321057221069</v>
      </c>
      <c r="AA11" s="35"/>
    </row>
    <row r="12" spans="2:27" x14ac:dyDescent="0.2">
      <c r="B12" s="4">
        <v>9</v>
      </c>
      <c r="C12" s="4">
        <v>580</v>
      </c>
      <c r="D12" s="23">
        <v>94332.438907314732</v>
      </c>
      <c r="E12" s="33">
        <v>1.482302709002397</v>
      </c>
      <c r="F12" s="5">
        <v>3</v>
      </c>
      <c r="G12" s="23">
        <v>86.666666666666671</v>
      </c>
      <c r="H12" s="33">
        <v>60.644125761903929</v>
      </c>
      <c r="I12" s="23">
        <v>39.831788843457865</v>
      </c>
      <c r="J12" s="5">
        <v>1948.9460743729255</v>
      </c>
      <c r="K12" s="31"/>
      <c r="L12" s="23">
        <v>110068.79261024149</v>
      </c>
      <c r="M12" s="33">
        <v>0.78744074999849545</v>
      </c>
      <c r="N12" s="5">
        <v>3</v>
      </c>
      <c r="O12" s="5">
        <v>60</v>
      </c>
      <c r="P12" s="33">
        <v>0</v>
      </c>
      <c r="Q12" s="5">
        <v>22.822088789203359</v>
      </c>
      <c r="R12" s="5">
        <v>1406.8965367088331</v>
      </c>
      <c r="S12" s="31"/>
      <c r="T12" s="23">
        <v>111643.4250603441</v>
      </c>
      <c r="U12" s="33">
        <v>1.2801534999998689</v>
      </c>
      <c r="V12" s="5">
        <v>3</v>
      </c>
      <c r="W12" s="5">
        <v>73.333333333333329</v>
      </c>
      <c r="X12" s="33">
        <v>177.14947050361599</v>
      </c>
      <c r="Y12" s="5">
        <v>57.393657894447713</v>
      </c>
      <c r="Z12" s="5">
        <v>2392.9017583278269</v>
      </c>
      <c r="AA12" s="35"/>
    </row>
    <row r="13" spans="2:27" x14ac:dyDescent="0.2">
      <c r="B13" s="4">
        <v>10</v>
      </c>
      <c r="C13" s="4">
        <v>859</v>
      </c>
      <c r="D13" s="23">
        <v>93815.588058278343</v>
      </c>
      <c r="E13" s="33">
        <v>1.239683207997587</v>
      </c>
      <c r="F13" s="5">
        <v>3</v>
      </c>
      <c r="G13" s="23">
        <v>83.333333333333329</v>
      </c>
      <c r="H13" s="33">
        <v>43.46672020741822</v>
      </c>
      <c r="I13" s="23">
        <v>38.295623322143832</v>
      </c>
      <c r="J13" s="5">
        <v>1863.6529051787227</v>
      </c>
      <c r="K13" s="31"/>
      <c r="L13" s="23">
        <v>110215.25299069261</v>
      </c>
      <c r="M13" s="33">
        <v>1.0304298330011079</v>
      </c>
      <c r="N13" s="5">
        <v>3</v>
      </c>
      <c r="O13" s="5">
        <v>60</v>
      </c>
      <c r="P13" s="33">
        <v>0</v>
      </c>
      <c r="Q13" s="5">
        <v>22.668168635283209</v>
      </c>
      <c r="R13" s="5">
        <v>1400.4112033755</v>
      </c>
      <c r="S13" s="31"/>
      <c r="T13" s="23">
        <v>109044.7346079266</v>
      </c>
      <c r="U13" s="33">
        <v>1.8635278749970889</v>
      </c>
      <c r="V13" s="5">
        <v>3</v>
      </c>
      <c r="W13" s="5">
        <v>70</v>
      </c>
      <c r="X13" s="33">
        <v>92.529857426263504</v>
      </c>
      <c r="Y13" s="5">
        <v>48.637051766334842</v>
      </c>
      <c r="Z13" s="5">
        <v>2096.4985228804621</v>
      </c>
      <c r="AA13" s="35"/>
    </row>
    <row r="14" spans="2:27" x14ac:dyDescent="0.2">
      <c r="B14" s="46" t="s">
        <v>3</v>
      </c>
      <c r="C14" s="47"/>
      <c r="D14" s="9">
        <f>MIN(D4:D13)</f>
        <v>93343.617864498519</v>
      </c>
      <c r="E14" s="22">
        <f>INDEX(E4:E13, MATCH($D$14, D4:D13, 0))</f>
        <v>1.555203500000061</v>
      </c>
      <c r="F14" s="9">
        <f>INDEX(F4:F13, MATCH($D$14, D4:D13, 0))</f>
        <v>3</v>
      </c>
      <c r="G14" s="9">
        <f>INDEX(G4:G13, MATCH($D$14, D4:D13, 0))</f>
        <v>86.666666666666671</v>
      </c>
      <c r="H14" s="22">
        <f>INDEX(H4:H13, MATCH($D$14, D4:D13, 0))</f>
        <v>58.283586538750811</v>
      </c>
      <c r="I14" s="22">
        <f>INDEX(I4:I13, MATCH($D$14, D4:D13, 0))</f>
        <v>39.983935010455525</v>
      </c>
      <c r="J14" s="22">
        <f>INDEX(J4:J13, MATCH($D$14, D4:D13, 0))</f>
        <v>1949.2490720880817</v>
      </c>
      <c r="K14" s="32" t="e">
        <f>(D14-$D$15)/$D$15</f>
        <v>#DIV/0!</v>
      </c>
      <c r="L14" s="16">
        <f>MIN(L4:L13)</f>
        <v>110068.79261024149</v>
      </c>
      <c r="M14" s="21">
        <f>INDEX(M4:M13, MATCH($L$14, L4:L13, 0))</f>
        <v>0.78744074999849545</v>
      </c>
      <c r="N14" s="16">
        <f>INDEX(N4:N13, MATCH($L$14, L4:L13, 0))</f>
        <v>3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22.822088789203359</v>
      </c>
      <c r="R14" s="21">
        <f>INDEX(R4:R13, MATCH($L$14, L4:L13, 0))</f>
        <v>1406.8965367088331</v>
      </c>
      <c r="S14" s="36" t="e">
        <f>(L14-$D$15)/$D$15</f>
        <v>#DIV/0!</v>
      </c>
      <c r="T14" s="38">
        <f>MIN(T4:T13)</f>
        <v>108954.031881435</v>
      </c>
      <c r="U14" s="39">
        <f>INDEX(U4:U13, MATCH($T$14, T4:T13, 0))</f>
        <v>1.422683624998172</v>
      </c>
      <c r="V14" s="38">
        <f>INDEX(V4:V13, MATCH($T$14, T4:T13, 0))</f>
        <v>3</v>
      </c>
      <c r="W14" s="38">
        <f>INDEX(W4:W13, MATCH($T$14, T4:T13, 0))</f>
        <v>70</v>
      </c>
      <c r="X14" s="39">
        <f>INDEX(X4:X13, MATCH($T$14, T4:T13, 0))</f>
        <v>86.505060277718002</v>
      </c>
      <c r="Y14" s="39">
        <f>INDEX(Y4:Y13, MATCH($T$14, T4:T13, 0))</f>
        <v>50.191436939182871</v>
      </c>
      <c r="Z14" s="39">
        <f>INDEX(Z4:Z13, MATCH($T$14, T4:T13, 0))</f>
        <v>2152.6354542749041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01" priority="15"/>
    <cfRule type="duplicateValues" dxfId="100" priority="16"/>
  </conditionalFormatting>
  <conditionalFormatting sqref="C14">
    <cfRule type="duplicateValues" dxfId="99" priority="7"/>
    <cfRule type="duplicateValues" dxfId="98" priority="8"/>
  </conditionalFormatting>
  <conditionalFormatting sqref="C24:C30">
    <cfRule type="duplicateValues" dxfId="11" priority="5"/>
    <cfRule type="duplicateValues" dxfId="10" priority="6"/>
  </conditionalFormatting>
  <conditionalFormatting sqref="C17">
    <cfRule type="duplicateValues" dxfId="9" priority="1"/>
    <cfRule type="duplicateValues" dxfId="8" priority="2"/>
  </conditionalFormatting>
  <conditionalFormatting sqref="C18:C23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2C1D-177B-9F49-933C-C96FA079A54A}">
  <dimension ref="B1:AA17"/>
  <sheetViews>
    <sheetView tabSelected="1"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2.5942599374523021</v>
      </c>
      <c r="J2" s="28">
        <f>(S14-J14)/J14</f>
        <v>-0.99999154796263412</v>
      </c>
      <c r="K2" s="28"/>
      <c r="L2" s="1" t="s">
        <v>19</v>
      </c>
      <c r="P2" s="1">
        <f>(P14-H14)/H14</f>
        <v>-1</v>
      </c>
      <c r="R2" s="1">
        <f>(R14-J14)/J14</f>
        <v>-6.7512468385467428E-2</v>
      </c>
      <c r="T2" s="1" t="s">
        <v>20</v>
      </c>
      <c r="X2" s="1" t="e">
        <f>(X14-P14)/P14</f>
        <v>#DIV/0!</v>
      </c>
      <c r="Z2" s="1">
        <f>(Z14-R14)/R14</f>
        <v>0.29945647011190335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133</v>
      </c>
      <c r="D4" s="23">
        <v>108220.18863169249</v>
      </c>
      <c r="E4" s="33">
        <v>0.52256695799951558</v>
      </c>
      <c r="F4" s="5">
        <v>2</v>
      </c>
      <c r="G4" s="23">
        <v>60</v>
      </c>
      <c r="H4" s="33">
        <v>4.5831826464888836</v>
      </c>
      <c r="I4" s="23">
        <v>18.219362325660988</v>
      </c>
      <c r="J4" s="5">
        <v>1724.1066069257417</v>
      </c>
      <c r="K4" s="31"/>
      <c r="L4" s="23">
        <v>109797.19632161219</v>
      </c>
      <c r="M4" s="33">
        <v>0.70669629199983319</v>
      </c>
      <c r="N4" s="5">
        <v>2</v>
      </c>
      <c r="O4" s="5">
        <v>56.666666666666657</v>
      </c>
      <c r="P4" s="33">
        <v>0</v>
      </c>
      <c r="Q4" s="5">
        <v>16.47314977230161</v>
      </c>
      <c r="R4" s="5">
        <v>1607.7079141324921</v>
      </c>
      <c r="S4" s="31"/>
      <c r="T4" s="23">
        <v>120549.1503763862</v>
      </c>
      <c r="U4" s="33">
        <v>0.66645595799855073</v>
      </c>
      <c r="V4" s="5">
        <v>2</v>
      </c>
      <c r="W4" s="5">
        <v>53.333333333333343</v>
      </c>
      <c r="X4" s="33">
        <v>24.43872286035457</v>
      </c>
      <c r="Y4" s="5">
        <v>23.33472522619812</v>
      </c>
      <c r="Z4" s="5">
        <v>2090.490382509598</v>
      </c>
      <c r="AA4" s="35"/>
    </row>
    <row r="5" spans="2:27" x14ac:dyDescent="0.2">
      <c r="B5" s="4">
        <v>2</v>
      </c>
      <c r="C5" s="4">
        <v>341</v>
      </c>
      <c r="D5" s="23">
        <v>108220.18863169249</v>
      </c>
      <c r="E5" s="33">
        <v>0.49923845800003619</v>
      </c>
      <c r="F5" s="5">
        <v>2</v>
      </c>
      <c r="G5" s="23">
        <v>60</v>
      </c>
      <c r="H5" s="33">
        <v>4.5831826464888836</v>
      </c>
      <c r="I5" s="23">
        <v>18.219362325660988</v>
      </c>
      <c r="J5" s="5">
        <v>1724.1066069257417</v>
      </c>
      <c r="K5" s="31"/>
      <c r="L5" s="23">
        <v>109797.19632161219</v>
      </c>
      <c r="M5" s="33">
        <v>0.44456208299743588</v>
      </c>
      <c r="N5" s="5">
        <v>2</v>
      </c>
      <c r="O5" s="5">
        <v>56.666666666666657</v>
      </c>
      <c r="P5" s="33">
        <v>0</v>
      </c>
      <c r="Q5" s="5">
        <v>16.47314977230161</v>
      </c>
      <c r="R5" s="5">
        <v>1607.7079141324921</v>
      </c>
      <c r="S5" s="31"/>
      <c r="T5" s="23">
        <v>121317.236274754</v>
      </c>
      <c r="U5" s="33">
        <v>0.75261841699830256</v>
      </c>
      <c r="V5" s="5">
        <v>2</v>
      </c>
      <c r="W5" s="5">
        <v>56.666666666666657</v>
      </c>
      <c r="X5" s="33">
        <v>90.982040858084389</v>
      </c>
      <c r="Y5" s="5">
        <v>27.517949681547339</v>
      </c>
      <c r="Z5" s="5">
        <v>2351.7852375184038</v>
      </c>
      <c r="AA5" s="35"/>
    </row>
    <row r="6" spans="2:27" x14ac:dyDescent="0.2">
      <c r="B6" s="4">
        <v>3</v>
      </c>
      <c r="C6" s="4">
        <v>447</v>
      </c>
      <c r="D6" s="23">
        <v>108220.18863169249</v>
      </c>
      <c r="E6" s="33">
        <v>1.0305329580005489</v>
      </c>
      <c r="F6" s="5">
        <v>2</v>
      </c>
      <c r="G6" s="23">
        <v>60</v>
      </c>
      <c r="H6" s="33">
        <v>4.5831826464888836</v>
      </c>
      <c r="I6" s="23">
        <v>18.219362325660988</v>
      </c>
      <c r="J6" s="5">
        <v>1724.1066069257417</v>
      </c>
      <c r="K6" s="31"/>
      <c r="L6" s="23">
        <v>118283.9766214268</v>
      </c>
      <c r="M6" s="33">
        <v>0.87608850000106031</v>
      </c>
      <c r="N6" s="5">
        <v>2</v>
      </c>
      <c r="O6" s="5">
        <v>50</v>
      </c>
      <c r="P6" s="33">
        <v>39.849905709798414</v>
      </c>
      <c r="Q6" s="5">
        <v>18.05068647132747</v>
      </c>
      <c r="R6" s="5">
        <v>1720.800180661359</v>
      </c>
      <c r="S6" s="31"/>
      <c r="T6" s="23">
        <v>120549.1503763862</v>
      </c>
      <c r="U6" s="33">
        <v>0.57433587500054273</v>
      </c>
      <c r="V6" s="5">
        <v>2</v>
      </c>
      <c r="W6" s="5">
        <v>53.333333333333343</v>
      </c>
      <c r="X6" s="33">
        <v>24.43872286035457</v>
      </c>
      <c r="Y6" s="5">
        <v>23.33472522619812</v>
      </c>
      <c r="Z6" s="5">
        <v>2090.490382509598</v>
      </c>
      <c r="AA6" s="35"/>
    </row>
    <row r="7" spans="2:27" x14ac:dyDescent="0.2">
      <c r="B7" s="4">
        <v>4</v>
      </c>
      <c r="C7" s="4">
        <v>466</v>
      </c>
      <c r="D7" s="23">
        <v>108220.18863169249</v>
      </c>
      <c r="E7" s="33">
        <v>0.44138816700069577</v>
      </c>
      <c r="F7" s="5">
        <v>2</v>
      </c>
      <c r="G7" s="23">
        <v>60</v>
      </c>
      <c r="H7" s="33">
        <v>4.5831826464888836</v>
      </c>
      <c r="I7" s="23">
        <v>18.219362325660988</v>
      </c>
      <c r="J7" s="5">
        <v>1724.1066069257417</v>
      </c>
      <c r="K7" s="31"/>
      <c r="L7" s="23">
        <v>109797.19632161219</v>
      </c>
      <c r="M7" s="33">
        <v>0.40227691699692508</v>
      </c>
      <c r="N7" s="5">
        <v>2</v>
      </c>
      <c r="O7" s="5">
        <v>56.666666666666657</v>
      </c>
      <c r="P7" s="33">
        <v>0</v>
      </c>
      <c r="Q7" s="5">
        <v>16.47314977230161</v>
      </c>
      <c r="R7" s="5">
        <v>1607.7079141324921</v>
      </c>
      <c r="S7" s="31"/>
      <c r="T7" s="23">
        <v>120549.1503763862</v>
      </c>
      <c r="U7" s="33">
        <v>0.46801045800020802</v>
      </c>
      <c r="V7" s="5">
        <v>2</v>
      </c>
      <c r="W7" s="5">
        <v>53.333333333333343</v>
      </c>
      <c r="X7" s="33">
        <v>24.43872286035457</v>
      </c>
      <c r="Y7" s="5">
        <v>23.33472522619812</v>
      </c>
      <c r="Z7" s="5">
        <v>2090.490382509598</v>
      </c>
      <c r="AA7" s="35"/>
    </row>
    <row r="8" spans="2:27" x14ac:dyDescent="0.2">
      <c r="B8" s="4">
        <v>5</v>
      </c>
      <c r="C8" s="4">
        <v>518</v>
      </c>
      <c r="D8" s="23">
        <v>108252.7976729417</v>
      </c>
      <c r="E8" s="33">
        <v>0.46811641699969192</v>
      </c>
      <c r="F8" s="5">
        <v>2</v>
      </c>
      <c r="G8" s="23">
        <v>60</v>
      </c>
      <c r="H8" s="33">
        <v>4.5831826464888836</v>
      </c>
      <c r="I8" s="23">
        <v>18.045558098742191</v>
      </c>
      <c r="J8" s="5">
        <v>1713.2678972483227</v>
      </c>
      <c r="K8" s="31"/>
      <c r="L8" s="23">
        <v>118283.9766214268</v>
      </c>
      <c r="M8" s="33">
        <v>0.5426786659991194</v>
      </c>
      <c r="N8" s="5">
        <v>2</v>
      </c>
      <c r="O8" s="5">
        <v>50</v>
      </c>
      <c r="P8" s="33">
        <v>39.849905709798414</v>
      </c>
      <c r="Q8" s="5">
        <v>18.05068647132747</v>
      </c>
      <c r="R8" s="5">
        <v>1720.800180661359</v>
      </c>
      <c r="S8" s="31"/>
      <c r="T8" s="23">
        <v>120234.42073424259</v>
      </c>
      <c r="U8" s="33">
        <v>0.70325016700007836</v>
      </c>
      <c r="V8" s="5">
        <v>2</v>
      </c>
      <c r="W8" s="5">
        <v>53.333333333333343</v>
      </c>
      <c r="X8" s="33">
        <v>24.43872286035457</v>
      </c>
      <c r="Y8" s="5">
        <v>23.315569115314791</v>
      </c>
      <c r="Z8" s="5">
        <v>2089.1464510695791</v>
      </c>
      <c r="AA8" s="35"/>
    </row>
    <row r="9" spans="2:27" x14ac:dyDescent="0.2">
      <c r="B9" s="4">
        <v>6</v>
      </c>
      <c r="C9" s="4">
        <v>557</v>
      </c>
      <c r="D9" s="23">
        <v>108220.18863169249</v>
      </c>
      <c r="E9" s="33">
        <v>0.5288446250015113</v>
      </c>
      <c r="F9" s="5">
        <v>2</v>
      </c>
      <c r="G9" s="23">
        <v>60</v>
      </c>
      <c r="H9" s="33">
        <v>4.5831826464888836</v>
      </c>
      <c r="I9" s="23">
        <v>18.219362325660988</v>
      </c>
      <c r="J9" s="5">
        <v>1724.1066069257417</v>
      </c>
      <c r="K9" s="31"/>
      <c r="L9" s="23">
        <v>109797.19632161219</v>
      </c>
      <c r="M9" s="33">
        <v>0.50171066600159975</v>
      </c>
      <c r="N9" s="5">
        <v>2</v>
      </c>
      <c r="O9" s="5">
        <v>56.666666666666657</v>
      </c>
      <c r="P9" s="33">
        <v>0</v>
      </c>
      <c r="Q9" s="5">
        <v>16.47314977230161</v>
      </c>
      <c r="R9" s="5">
        <v>1607.7079141324921</v>
      </c>
      <c r="S9" s="31"/>
      <c r="T9" s="23">
        <v>120894.8920198541</v>
      </c>
      <c r="U9" s="33">
        <v>0.41750200000024051</v>
      </c>
      <c r="V9" s="5">
        <v>2</v>
      </c>
      <c r="W9" s="5">
        <v>53.333333333333343</v>
      </c>
      <c r="X9" s="33">
        <v>38.537806512112923</v>
      </c>
      <c r="Y9" s="5">
        <v>23.488768428651589</v>
      </c>
      <c r="Z9" s="5">
        <v>2101.297560655486</v>
      </c>
      <c r="AA9" s="35"/>
    </row>
    <row r="10" spans="2:27" x14ac:dyDescent="0.2">
      <c r="B10" s="4">
        <v>7</v>
      </c>
      <c r="C10" s="4">
        <v>618</v>
      </c>
      <c r="D10" s="23">
        <v>108220.18863169249</v>
      </c>
      <c r="E10" s="33">
        <v>0.54587200000241864</v>
      </c>
      <c r="F10" s="5">
        <v>2</v>
      </c>
      <c r="G10" s="23">
        <v>60</v>
      </c>
      <c r="H10" s="33">
        <v>4.5831826464888836</v>
      </c>
      <c r="I10" s="23">
        <v>18.219362325660988</v>
      </c>
      <c r="J10" s="5">
        <v>1724.1066069257417</v>
      </c>
      <c r="K10" s="31"/>
      <c r="L10" s="23">
        <v>109797.19632161219</v>
      </c>
      <c r="M10" s="33">
        <v>0.48646324999936041</v>
      </c>
      <c r="N10" s="5">
        <v>2</v>
      </c>
      <c r="O10" s="5">
        <v>56.666666666666657</v>
      </c>
      <c r="P10" s="33">
        <v>0</v>
      </c>
      <c r="Q10" s="5">
        <v>16.47314977230161</v>
      </c>
      <c r="R10" s="5">
        <v>1607.7079141324921</v>
      </c>
      <c r="S10" s="31"/>
      <c r="T10" s="23">
        <v>120819.5474933651</v>
      </c>
      <c r="U10" s="33">
        <v>0.56119516600301722</v>
      </c>
      <c r="V10" s="5">
        <v>2</v>
      </c>
      <c r="W10" s="5">
        <v>53.333333333333343</v>
      </c>
      <c r="X10" s="33">
        <v>39.25046488849199</v>
      </c>
      <c r="Y10" s="5">
        <v>24.305542495975541</v>
      </c>
      <c r="Z10" s="5">
        <v>2148.3934191821281</v>
      </c>
      <c r="AA10" s="35"/>
    </row>
    <row r="11" spans="2:27" x14ac:dyDescent="0.2">
      <c r="B11" s="4">
        <v>8</v>
      </c>
      <c r="C11" s="4">
        <v>666</v>
      </c>
      <c r="D11" s="23">
        <v>108220.18863169249</v>
      </c>
      <c r="E11" s="33">
        <v>0.4734329169987177</v>
      </c>
      <c r="F11" s="5">
        <v>2</v>
      </c>
      <c r="G11" s="23">
        <v>60</v>
      </c>
      <c r="H11" s="33">
        <v>4.5831826464888836</v>
      </c>
      <c r="I11" s="23">
        <v>18.219362325660988</v>
      </c>
      <c r="J11" s="5">
        <v>1724.1066069257417</v>
      </c>
      <c r="K11" s="31"/>
      <c r="L11" s="23">
        <v>109797.19632161219</v>
      </c>
      <c r="M11" s="33">
        <v>0.57341358399935416</v>
      </c>
      <c r="N11" s="5">
        <v>2</v>
      </c>
      <c r="O11" s="5">
        <v>56.666666666666657</v>
      </c>
      <c r="P11" s="33">
        <v>0</v>
      </c>
      <c r="Q11" s="5">
        <v>16.47314977230161</v>
      </c>
      <c r="R11" s="5">
        <v>1607.7079141324921</v>
      </c>
      <c r="S11" s="31"/>
      <c r="T11" s="23">
        <v>125829.4535755934</v>
      </c>
      <c r="U11" s="33">
        <v>1.419736874999217</v>
      </c>
      <c r="V11" s="5">
        <v>2</v>
      </c>
      <c r="W11" s="5">
        <v>43.333333333333343</v>
      </c>
      <c r="X11" s="33">
        <v>30.07842813582101</v>
      </c>
      <c r="Y11" s="5">
        <v>19.450149217254211</v>
      </c>
      <c r="Z11" s="5">
        <v>1897.4467510613049</v>
      </c>
      <c r="AA11" s="35"/>
    </row>
    <row r="12" spans="2:27" x14ac:dyDescent="0.2">
      <c r="B12" s="4">
        <v>9</v>
      </c>
      <c r="C12" s="4">
        <v>706</v>
      </c>
      <c r="D12" s="23">
        <v>108220.18863169249</v>
      </c>
      <c r="E12" s="33">
        <v>0.52401945800011163</v>
      </c>
      <c r="F12" s="5">
        <v>2</v>
      </c>
      <c r="G12" s="23">
        <v>60</v>
      </c>
      <c r="H12" s="33">
        <v>4.5831826464888836</v>
      </c>
      <c r="I12" s="23">
        <v>18.219362325660988</v>
      </c>
      <c r="J12" s="5">
        <v>1724.1066069257417</v>
      </c>
      <c r="K12" s="31"/>
      <c r="L12" s="23">
        <v>109797.19632161219</v>
      </c>
      <c r="M12" s="33">
        <v>0.51859816699652583</v>
      </c>
      <c r="N12" s="5">
        <v>2</v>
      </c>
      <c r="O12" s="5">
        <v>56.666666666666657</v>
      </c>
      <c r="P12" s="33">
        <v>0</v>
      </c>
      <c r="Q12" s="5">
        <v>16.47314977230161</v>
      </c>
      <c r="R12" s="5">
        <v>1607.7079141324921</v>
      </c>
      <c r="S12" s="31"/>
      <c r="T12" s="23">
        <v>121977.7075603655</v>
      </c>
      <c r="U12" s="33">
        <v>0.62519062499995925</v>
      </c>
      <c r="V12" s="5">
        <v>2</v>
      </c>
      <c r="W12" s="5">
        <v>56.666666666666657</v>
      </c>
      <c r="X12" s="33">
        <v>104.25176664797461</v>
      </c>
      <c r="Y12" s="5">
        <v>27.691148994884141</v>
      </c>
      <c r="Z12" s="5">
        <v>2363.2215759521991</v>
      </c>
      <c r="AA12" s="35"/>
    </row>
    <row r="13" spans="2:27" x14ac:dyDescent="0.2">
      <c r="B13" s="4">
        <v>10</v>
      </c>
      <c r="C13" s="4">
        <v>892</v>
      </c>
      <c r="D13" s="23">
        <v>108220.18863169249</v>
      </c>
      <c r="E13" s="33">
        <v>0.47387366700058919</v>
      </c>
      <c r="F13" s="5">
        <v>2</v>
      </c>
      <c r="G13" s="23">
        <v>60</v>
      </c>
      <c r="H13" s="33">
        <v>4.5831826464888836</v>
      </c>
      <c r="I13" s="23">
        <v>18.219362325660988</v>
      </c>
      <c r="J13" s="5">
        <v>1724.1066069257417</v>
      </c>
      <c r="K13" s="31"/>
      <c r="L13" s="23">
        <v>109797.19632161219</v>
      </c>
      <c r="M13" s="33">
        <v>0.5725323330007086</v>
      </c>
      <c r="N13" s="5">
        <v>2</v>
      </c>
      <c r="O13" s="5">
        <v>56.666666666666657</v>
      </c>
      <c r="P13" s="33">
        <v>0</v>
      </c>
      <c r="Q13" s="5">
        <v>16.47314977230161</v>
      </c>
      <c r="R13" s="5">
        <v>1607.7079141324921</v>
      </c>
      <c r="S13" s="31"/>
      <c r="T13" s="23">
        <v>120605.5851252639</v>
      </c>
      <c r="U13" s="33">
        <v>0.65308666700002505</v>
      </c>
      <c r="V13" s="5">
        <v>2</v>
      </c>
      <c r="W13" s="5">
        <v>50</v>
      </c>
      <c r="X13" s="33">
        <v>1.9529133646665291E-2</v>
      </c>
      <c r="Y13" s="5">
        <v>20.64702225993997</v>
      </c>
      <c r="Z13" s="5">
        <v>1943.287700872231</v>
      </c>
      <c r="AA13" s="35"/>
    </row>
    <row r="14" spans="2:27" x14ac:dyDescent="0.2">
      <c r="B14" s="46" t="s">
        <v>3</v>
      </c>
      <c r="C14" s="47"/>
      <c r="D14" s="9">
        <f>MIN(D4:D13)</f>
        <v>108220.18863169249</v>
      </c>
      <c r="E14" s="22">
        <f>INDEX(E4:E13, MATCH($D$14, D4:D13, 0))</f>
        <v>0.52256695799951558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4.5831826464888836</v>
      </c>
      <c r="I14" s="22">
        <f>INDEX(I4:I13, MATCH($D$14, D4:D13, 0))</f>
        <v>18.219362325660988</v>
      </c>
      <c r="J14" s="22">
        <f>INDEX(J4:J13, MATCH($D$14, D4:D13, 0))</f>
        <v>1724.1066069257417</v>
      </c>
      <c r="K14" s="32">
        <f>(D14-$D$15)/$D$15</f>
        <v>0</v>
      </c>
      <c r="L14" s="16">
        <f>MIN(L4:L13)</f>
        <v>109797.19632161219</v>
      </c>
      <c r="M14" s="21">
        <f>INDEX(M4:M13, MATCH($L$14, L4:L13, 0))</f>
        <v>0.70669629199983319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0</v>
      </c>
      <c r="Q14" s="21">
        <f>INDEX(Q4:Q13, MATCH($L$14, L4:L13, 0))</f>
        <v>16.47314977230161</v>
      </c>
      <c r="R14" s="21">
        <f>INDEX(R4:R13, MATCH($L$14, L4:L13, 0))</f>
        <v>1607.7079141324921</v>
      </c>
      <c r="S14" s="36">
        <f>(L14-$D$15)/$D$15</f>
        <v>1.4572213464594454E-2</v>
      </c>
      <c r="T14" s="38">
        <f>MIN(T4:T13)</f>
        <v>120234.42073424259</v>
      </c>
      <c r="U14" s="39">
        <f>INDEX(U4:U13, MATCH($T$14, T4:T13, 0))</f>
        <v>0.70325016700007836</v>
      </c>
      <c r="V14" s="38">
        <f>INDEX(V4:V13, MATCH($T$14, T4:T13, 0))</f>
        <v>2</v>
      </c>
      <c r="W14" s="38">
        <f>INDEX(W4:W13, MATCH($T$14, T4:T13, 0))</f>
        <v>53.333333333333343</v>
      </c>
      <c r="X14" s="39">
        <f>INDEX(X4:X13, MATCH($T$14, T4:T13, 0))</f>
        <v>24.43872286035457</v>
      </c>
      <c r="Y14" s="39">
        <f>INDEX(Y4:Y13, MATCH($T$14, T4:T13, 0))</f>
        <v>23.315569115314791</v>
      </c>
      <c r="Z14" s="39">
        <f>INDEX(Z4:Z13, MATCH($T$14, T4:T13, 0))</f>
        <v>2089.1464510695791</v>
      </c>
      <c r="AA14" s="40">
        <f>(T14-$D$15)/$D$15</f>
        <v>0.11101655111171845</v>
      </c>
    </row>
    <row r="15" spans="2:27" x14ac:dyDescent="0.2">
      <c r="C15" s="1" t="s">
        <v>17</v>
      </c>
      <c r="D15" s="34">
        <v>108220.18863169249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93" priority="15"/>
    <cfRule type="duplicateValues" dxfId="92" priority="16"/>
  </conditionalFormatting>
  <conditionalFormatting sqref="C14">
    <cfRule type="duplicateValues" dxfId="91" priority="7"/>
    <cfRule type="duplicateValues" dxfId="90" priority="8"/>
  </conditionalFormatting>
  <conditionalFormatting sqref="C24:C30">
    <cfRule type="duplicateValues" dxfId="5" priority="5"/>
    <cfRule type="duplicateValues" dxfId="4" priority="6"/>
  </conditionalFormatting>
  <conditionalFormatting sqref="C17">
    <cfRule type="duplicateValues" dxfId="3" priority="1"/>
    <cfRule type="duplicateValues" dxfId="2" priority="2"/>
  </conditionalFormatting>
  <conditionalFormatting sqref="C18:C23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8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84" priority="1"/>
  </conditionalFormatting>
  <conditionalFormatting sqref="L14">
    <cfRule type="duplicateValues" dxfId="83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82" priority="1"/>
  </conditionalFormatting>
  <conditionalFormatting sqref="L14">
    <cfRule type="duplicateValues" dxfId="81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80" priority="1"/>
  </conditionalFormatting>
  <conditionalFormatting sqref="L14">
    <cfRule type="duplicateValues" dxfId="7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8" priority="1"/>
  </conditionalFormatting>
  <conditionalFormatting sqref="L14">
    <cfRule type="duplicateValues" dxfId="77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6" priority="1"/>
  </conditionalFormatting>
  <conditionalFormatting sqref="L14">
    <cfRule type="duplicateValues" dxfId="75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4" priority="1"/>
    <cfRule type="duplicateValues" dxfId="73" priority="2"/>
  </conditionalFormatting>
  <conditionalFormatting sqref="L14">
    <cfRule type="duplicateValues" dxfId="72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1" priority="1"/>
  </conditionalFormatting>
  <conditionalFormatting sqref="L14">
    <cfRule type="duplicateValues" dxfId="70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9" priority="1"/>
  </conditionalFormatting>
  <conditionalFormatting sqref="L14">
    <cfRule type="duplicateValues" dxfId="68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7" priority="1"/>
  </conditionalFormatting>
  <conditionalFormatting sqref="L14">
    <cfRule type="duplicateValues" dxfId="66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65" priority="1"/>
  </conditionalFormatting>
  <conditionalFormatting sqref="L14">
    <cfRule type="duplicateValues" dxfId="64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3" priority="1"/>
  </conditionalFormatting>
  <conditionalFormatting sqref="L14">
    <cfRule type="duplicateValues" dxfId="62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61" priority="1"/>
  </conditionalFormatting>
  <conditionalFormatting sqref="L14">
    <cfRule type="duplicateValues" dxfId="60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9" priority="1"/>
  </conditionalFormatting>
  <conditionalFormatting sqref="L14">
    <cfRule type="duplicateValues" dxfId="58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7" priority="1"/>
  </conditionalFormatting>
  <conditionalFormatting sqref="L14">
    <cfRule type="duplicateValues" dxfId="56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5" priority="1"/>
  </conditionalFormatting>
  <conditionalFormatting sqref="L14">
    <cfRule type="duplicateValues" dxfId="5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results43</vt:lpstr>
      <vt:lpstr>results324</vt:lpstr>
      <vt:lpstr>results396</vt:lpstr>
      <vt:lpstr>results457</vt:lpstr>
      <vt:lpstr>results526</vt:lpstr>
      <vt:lpstr>results539</vt:lpstr>
      <vt:lpstr>results581</vt:lpstr>
      <vt:lpstr>results680</vt:lpstr>
      <vt:lpstr>results698</vt:lpstr>
      <vt:lpstr>results917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2026-10-21T18:28:59Z</dcterms:modified>
</cp:coreProperties>
</file>