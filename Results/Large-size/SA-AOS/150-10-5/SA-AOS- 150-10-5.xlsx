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Large/SA-AOS/150-10-5/"/>
    </mc:Choice>
  </mc:AlternateContent>
  <xr:revisionPtr revIDLastSave="0" documentId="13_ncr:1_{9BFAE650-8B04-1041-BE8E-9E0D70B0E8B5}" xr6:coauthVersionLast="47" xr6:coauthVersionMax="47" xr10:uidLastSave="{00000000-0000-0000-0000-000000000000}"/>
  <bookViews>
    <workbookView xWindow="0" yWindow="760" windowWidth="34560" windowHeight="20520" tabRatio="831" activeTab="10" xr2:uid="{41E620E7-D6DF-9342-B452-EA60AB3B07C5}"/>
  </bookViews>
  <sheets>
    <sheet name="Summary" sheetId="75" r:id="rId1"/>
    <sheet name="results112" sheetId="57" r:id="rId2"/>
    <sheet name="results127" sheetId="58" r:id="rId3"/>
    <sheet name="results179" sheetId="67" r:id="rId4"/>
    <sheet name="results212" sheetId="68" r:id="rId5"/>
    <sheet name="results313" sheetId="69" r:id="rId6"/>
    <sheet name="results450" sheetId="70" r:id="rId7"/>
    <sheet name="results613" sheetId="71" r:id="rId8"/>
    <sheet name="results661" sheetId="72" r:id="rId9"/>
    <sheet name="results819" sheetId="73" r:id="rId10"/>
    <sheet name="results919" sheetId="74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4" i="57" l="1"/>
  <c r="T14" i="57"/>
  <c r="Z14" i="57" s="1"/>
  <c r="Z14" i="58"/>
  <c r="Y14" i="58"/>
  <c r="X14" i="58"/>
  <c r="W14" i="58"/>
  <c r="V14" i="58"/>
  <c r="U14" i="58"/>
  <c r="H14" i="34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C7" i="75" a="1"/>
  <c r="P9" i="75" a="1"/>
  <c r="T6" i="75" a="1"/>
  <c r="T12" i="75" a="1"/>
  <c r="Q9" i="75" a="1"/>
  <c r="Q6" i="75" a="1"/>
  <c r="Y8" i="75" a="1"/>
  <c r="E5" i="75" a="1"/>
  <c r="V3" i="75" a="1"/>
  <c r="L5" i="75" a="1"/>
  <c r="W12" i="75" a="1"/>
  <c r="S12" i="75" a="1"/>
  <c r="X7" i="75" a="1"/>
  <c r="K8" i="75" a="1"/>
  <c r="X5" i="75" a="1"/>
  <c r="W7" i="75" a="1"/>
  <c r="U9" i="75" a="1"/>
  <c r="I9" i="75" a="1"/>
  <c r="O10" i="75" a="1"/>
  <c r="P6" i="75" a="1"/>
  <c r="W6" i="75" a="1"/>
  <c r="V7" i="75" a="1"/>
  <c r="U11" i="75" a="1"/>
  <c r="H3" i="75" a="1"/>
  <c r="F4" i="75" a="1"/>
  <c r="X8" i="75" a="1"/>
  <c r="Q7" i="75" a="1"/>
  <c r="T5" i="75" a="1"/>
  <c r="G9" i="75" a="1"/>
  <c r="T10" i="75" a="1"/>
  <c r="K6" i="75" a="1"/>
  <c r="S6" i="75" a="1"/>
  <c r="C9" i="75" a="1"/>
  <c r="S5" i="75" a="1"/>
  <c r="S8" i="75" a="1"/>
  <c r="N8" i="75" a="1"/>
  <c r="I8" i="75" a="1"/>
  <c r="O5" i="75" a="1"/>
  <c r="I7" i="75" a="1"/>
  <c r="G10" i="75" a="1"/>
  <c r="M12" i="75" a="1"/>
  <c r="X4" i="75" a="1"/>
  <c r="F3" i="75" a="1"/>
  <c r="T4" i="75" a="1"/>
  <c r="G7" i="75" a="1"/>
  <c r="L11" i="75" a="1"/>
  <c r="X12" i="75" a="1"/>
  <c r="U10" i="75" a="1"/>
  <c r="K12" i="75" a="1"/>
  <c r="L7" i="75" a="1"/>
  <c r="S11" i="75" a="1"/>
  <c r="O7" i="75" a="1"/>
  <c r="M11" i="75" a="1"/>
  <c r="D4" i="75" a="1"/>
  <c r="N12" i="75" a="1"/>
  <c r="M4" i="75" a="1"/>
  <c r="U3" i="75" a="1"/>
  <c r="H8" i="75" a="1"/>
  <c r="X9" i="75" a="1"/>
  <c r="G8" i="75" a="1"/>
  <c r="C10" i="75" a="1"/>
  <c r="C8" i="75" a="1"/>
  <c r="N6" i="75" a="1"/>
  <c r="D8" i="75" a="1"/>
  <c r="Y9" i="75" a="1"/>
  <c r="O6" i="75" a="1"/>
  <c r="P8" i="75" a="1"/>
  <c r="P4" i="75" a="1"/>
  <c r="G3" i="75" a="1"/>
  <c r="N3" i="75" a="1"/>
  <c r="D3" i="75" a="1"/>
  <c r="Y12" i="75" a="1"/>
  <c r="S3" i="75" a="1"/>
  <c r="M3" i="75" a="1"/>
  <c r="D7" i="75" a="1"/>
  <c r="K9" i="75" a="1"/>
  <c r="Q11" i="75" a="1"/>
  <c r="P7" i="75" a="1"/>
  <c r="C6" i="75" a="1"/>
  <c r="M6" i="75" a="1"/>
  <c r="P11" i="75" a="1"/>
  <c r="V11" i="75" a="1"/>
  <c r="Y5" i="75" a="1"/>
  <c r="L4" i="75" a="1"/>
  <c r="O3" i="75" a="1"/>
  <c r="N4" i="75" a="1"/>
  <c r="I4" i="75" a="1"/>
  <c r="T9" i="75" a="1"/>
  <c r="X3" i="75" a="1"/>
  <c r="T3" i="75" a="1"/>
  <c r="S10" i="75" a="1"/>
  <c r="O8" i="75" a="1"/>
  <c r="C5" i="75" a="1"/>
  <c r="E3" i="75" a="1"/>
  <c r="X10" i="75" a="1"/>
  <c r="T11" i="75" a="1"/>
  <c r="P3" i="75" a="1"/>
  <c r="F5" i="75" a="1"/>
  <c r="P10" i="75" a="1"/>
  <c r="O12" i="75" a="1"/>
  <c r="V5" i="75" a="1"/>
  <c r="V4" i="75" a="1"/>
  <c r="K5" i="75" a="1"/>
  <c r="C4" i="75" a="1"/>
  <c r="I5" i="75" a="1"/>
  <c r="E8" i="75" a="1"/>
  <c r="N7" i="75" a="1"/>
  <c r="Y7" i="75" a="1"/>
  <c r="T7" i="75" a="1"/>
  <c r="V12" i="75" a="1"/>
  <c r="G5" i="75" a="1"/>
  <c r="H7" i="75" a="1"/>
  <c r="M5" i="75" a="1"/>
  <c r="W4" i="75" a="1"/>
  <c r="F10" i="75" a="1"/>
  <c r="E9" i="75" a="1"/>
  <c r="U7" i="75" a="1"/>
  <c r="O11" i="75" a="1"/>
  <c r="U8" i="75" a="1"/>
  <c r="K10" i="75" a="1"/>
  <c r="P12" i="75" a="1"/>
  <c r="I10" i="75" a="1"/>
  <c r="D5" i="75" a="1"/>
  <c r="Q12" i="75" a="1"/>
  <c r="V10" i="75" a="1"/>
  <c r="Y10" i="75" a="1"/>
  <c r="W11" i="75" a="1"/>
  <c r="M10" i="75" a="1"/>
  <c r="I6" i="75" a="1"/>
  <c r="V6" i="75" a="1"/>
  <c r="E4" i="75" a="1"/>
  <c r="N10" i="75" a="1"/>
  <c r="U12" i="75" a="1"/>
  <c r="X11" i="75" a="1"/>
  <c r="H4" i="75" a="1"/>
  <c r="G4" i="75" a="1"/>
  <c r="Q8" i="75" a="1"/>
  <c r="D10" i="75" a="1"/>
  <c r="L12" i="75" a="1"/>
  <c r="S7" i="75" a="1"/>
  <c r="N9" i="75" a="1"/>
  <c r="O4" i="75" a="1"/>
  <c r="Y4" i="75" a="1"/>
  <c r="K4" i="75" a="1"/>
  <c r="F6" i="75" a="1"/>
  <c r="L8" i="75" a="1"/>
  <c r="F8" i="75" a="1"/>
  <c r="Q3" i="75" a="1"/>
  <c r="N5" i="75" a="1"/>
  <c r="I3" i="75" a="1"/>
  <c r="C3" i="75" a="1"/>
  <c r="X6" i="75" a="1"/>
  <c r="U4" i="75" a="1"/>
  <c r="Q10" i="75" a="1"/>
  <c r="W10" i="75" a="1"/>
  <c r="P5" i="75" a="1"/>
  <c r="H5" i="75" a="1"/>
  <c r="W5" i="75" a="1"/>
  <c r="W8" i="75" a="1"/>
  <c r="Q5" i="75" a="1"/>
  <c r="Y6" i="75" a="1"/>
  <c r="K11" i="75" a="1"/>
  <c r="U5" i="75" a="1"/>
  <c r="L10" i="75" a="1"/>
  <c r="K7" i="75" a="1"/>
  <c r="M7" i="75" a="1"/>
  <c r="F7" i="75" a="1"/>
  <c r="W3" i="75" a="1"/>
  <c r="Y11" i="75" a="1"/>
  <c r="D6" i="75" a="1"/>
  <c r="O9" i="75" a="1"/>
  <c r="G6" i="75" a="1"/>
  <c r="K3" i="75" a="1"/>
  <c r="N11" i="75" a="1"/>
  <c r="E10" i="75" a="1"/>
  <c r="M8" i="75" a="1"/>
  <c r="L3" i="75" a="1"/>
  <c r="H10" i="75" a="1"/>
  <c r="E7" i="75" a="1"/>
  <c r="E6" i="75" a="1"/>
  <c r="H6" i="75" a="1"/>
  <c r="V8" i="75" a="1"/>
  <c r="Y3" i="75" a="1"/>
  <c r="S4" i="75" a="1"/>
  <c r="U6" i="75" a="1"/>
  <c r="F9" i="75" a="1"/>
  <c r="Q4" i="75" a="1"/>
  <c r="L6" i="75" a="1"/>
  <c r="M9" i="75" a="1"/>
  <c r="L9" i="75" a="1"/>
  <c r="D9" i="75" a="1"/>
  <c r="V9" i="75" a="1"/>
  <c r="T8" i="75" a="1"/>
  <c r="S9" i="75" a="1"/>
  <c r="W9" i="75" a="1"/>
  <c r="H9" i="75" a="1"/>
  <c r="E7" i="75" l="1"/>
  <c r="Q4" i="75"/>
  <c r="V11" i="75"/>
  <c r="K8" i="75"/>
  <c r="G4" i="75"/>
  <c r="E8" i="75"/>
  <c r="Y9" i="75"/>
  <c r="G5" i="75"/>
  <c r="N11" i="75"/>
  <c r="Q7" i="75"/>
  <c r="U12" i="75"/>
  <c r="P8" i="75"/>
  <c r="C4" i="75"/>
  <c r="X12" i="75"/>
  <c r="Y12" i="75"/>
  <c r="U4" i="75"/>
  <c r="Y11" i="75"/>
  <c r="O9" i="75"/>
  <c r="W9" i="75"/>
  <c r="X5" i="75"/>
  <c r="D4" i="75"/>
  <c r="O10" i="75"/>
  <c r="I10" i="75"/>
  <c r="C9" i="75"/>
  <c r="I7" i="75"/>
  <c r="H3" i="75"/>
  <c r="T7" i="75"/>
  <c r="W3" i="75"/>
  <c r="Y3" i="75"/>
  <c r="E3" i="75"/>
  <c r="T10" i="75"/>
  <c r="G10" i="75"/>
  <c r="I5" i="75"/>
  <c r="M6" i="75"/>
  <c r="Y6" i="75"/>
  <c r="Q9" i="75"/>
  <c r="L9" i="75"/>
  <c r="P10" i="75"/>
  <c r="M11" i="75"/>
  <c r="N6" i="75"/>
  <c r="I3" i="75"/>
  <c r="S8" i="75"/>
  <c r="D8" i="75"/>
  <c r="W6" i="75"/>
  <c r="C10" i="75"/>
  <c r="Q3" i="75"/>
  <c r="N10" i="75"/>
  <c r="V10" i="75"/>
  <c r="G9" i="75"/>
  <c r="X7" i="75"/>
  <c r="E10" i="75"/>
  <c r="V9" i="75"/>
  <c r="L4" i="75"/>
  <c r="L12" i="75"/>
  <c r="U8" i="75"/>
  <c r="L5" i="75"/>
  <c r="O7" i="75"/>
  <c r="K12" i="75"/>
  <c r="Q5" i="75"/>
  <c r="W12" i="75"/>
  <c r="W7" i="75"/>
  <c r="H6" i="75"/>
  <c r="O6" i="75"/>
  <c r="C5" i="75"/>
  <c r="F7" i="75"/>
  <c r="G8" i="75"/>
  <c r="Q11" i="75"/>
  <c r="S5" i="75"/>
  <c r="M12" i="75"/>
  <c r="X10" i="75"/>
  <c r="K10" i="75"/>
  <c r="X6" i="75"/>
  <c r="I4" i="75"/>
  <c r="H9" i="75"/>
  <c r="E4" i="75"/>
  <c r="P11" i="75"/>
  <c r="U11" i="75"/>
  <c r="K4" i="75"/>
  <c r="T12" i="75"/>
  <c r="X11" i="75"/>
  <c r="K6" i="75"/>
  <c r="D5" i="75"/>
  <c r="D6" i="75"/>
  <c r="U5" i="75"/>
  <c r="Y4" i="75"/>
  <c r="I8" i="75"/>
  <c r="V12" i="75"/>
  <c r="N12" i="75"/>
  <c r="E6" i="75"/>
  <c r="L7" i="75"/>
  <c r="U6" i="75"/>
  <c r="O4" i="75"/>
  <c r="I6" i="75"/>
  <c r="X4" i="75"/>
  <c r="F6" i="75"/>
  <c r="N3" i="75"/>
  <c r="O5" i="75"/>
  <c r="G7" i="75"/>
  <c r="X9" i="75"/>
  <c r="M8" i="75"/>
  <c r="C7" i="75"/>
  <c r="D7" i="75"/>
  <c r="X8" i="75"/>
  <c r="O8" i="75"/>
  <c r="W5" i="75"/>
  <c r="Q10" i="75"/>
  <c r="V6" i="75"/>
  <c r="V7" i="75"/>
  <c r="F5" i="75"/>
  <c r="Y10" i="75"/>
  <c r="X3" i="75"/>
  <c r="L6" i="75"/>
  <c r="T8" i="75"/>
  <c r="N9" i="75"/>
  <c r="N4" i="75"/>
  <c r="W11" i="75"/>
  <c r="P3" i="75"/>
  <c r="S9" i="75"/>
  <c r="I9" i="75"/>
  <c r="K11" i="75"/>
  <c r="M9" i="75"/>
  <c r="S11" i="75"/>
  <c r="T6" i="75"/>
  <c r="Q12" i="75"/>
  <c r="H8" i="75"/>
  <c r="U9" i="75"/>
  <c r="O11" i="75"/>
  <c r="K7" i="75"/>
  <c r="L11" i="75"/>
  <c r="D3" i="75"/>
  <c r="L8" i="75"/>
  <c r="S7" i="75"/>
  <c r="T4" i="75"/>
  <c r="K9" i="75"/>
  <c r="V5" i="75"/>
  <c r="F3" i="75"/>
  <c r="C3" i="75"/>
  <c r="N5" i="75"/>
  <c r="V3" i="75"/>
  <c r="P12" i="75"/>
  <c r="E5" i="75"/>
  <c r="F8" i="75"/>
  <c r="P7" i="75"/>
  <c r="W10" i="75"/>
  <c r="D9" i="75"/>
  <c r="M4" i="75"/>
  <c r="H10" i="75"/>
  <c r="F10" i="75"/>
  <c r="Q6" i="75"/>
  <c r="M3" i="75"/>
  <c r="S12" i="75"/>
  <c r="H5" i="75"/>
  <c r="Q8" i="75"/>
  <c r="P4" i="75"/>
  <c r="T5" i="75"/>
  <c r="E9" i="75"/>
  <c r="M7" i="75"/>
  <c r="Y8" i="75"/>
  <c r="O3" i="75"/>
  <c r="U10" i="75"/>
  <c r="G6" i="75"/>
  <c r="C8" i="75"/>
  <c r="P6" i="75"/>
  <c r="P9" i="75"/>
  <c r="L3" i="75"/>
  <c r="T11" i="75"/>
  <c r="K5" i="75"/>
  <c r="U3" i="75"/>
  <c r="F4" i="75"/>
  <c r="N7" i="75"/>
  <c r="W4" i="75"/>
  <c r="M5" i="75"/>
  <c r="F9" i="75"/>
  <c r="Y5" i="75"/>
  <c r="U7" i="75"/>
  <c r="V8" i="75"/>
  <c r="G3" i="75"/>
  <c r="Y7" i="75"/>
  <c r="M10" i="75"/>
  <c r="T9" i="75"/>
  <c r="S4" i="75"/>
  <c r="C6" i="75"/>
  <c r="P5" i="75"/>
  <c r="T3" i="75"/>
  <c r="K3" i="75"/>
  <c r="H7" i="75"/>
  <c r="O12" i="75"/>
  <c r="W8" i="75"/>
  <c r="L10" i="75"/>
  <c r="S10" i="75"/>
  <c r="S3" i="75"/>
  <c r="S6" i="75"/>
  <c r="H4" i="75"/>
  <c r="N8" i="75"/>
  <c r="D10" i="75"/>
  <c r="V4" i="75"/>
  <c r="U14" i="57"/>
  <c r="V14" i="57"/>
  <c r="W14" i="57"/>
  <c r="X14" i="57"/>
  <c r="Y14" i="57"/>
  <c r="F14" i="42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K16" i="75" l="1"/>
  <c r="S16" i="75"/>
  <c r="V13" i="75"/>
  <c r="O13" i="75"/>
  <c r="U13" i="75"/>
  <c r="W13" i="75"/>
  <c r="X13" i="75"/>
  <c r="P13" i="75"/>
  <c r="Y13" i="75"/>
  <c r="Q13" i="75"/>
  <c r="K13" i="75"/>
  <c r="R13" i="75" s="1"/>
  <c r="L13" i="75"/>
  <c r="N13" i="75"/>
  <c r="S13" i="75"/>
  <c r="Z13" i="75" s="1"/>
  <c r="T13" i="75"/>
  <c r="M13" i="75"/>
  <c r="T14" i="74"/>
  <c r="T14" i="73"/>
  <c r="AA14" i="73" s="1"/>
  <c r="T14" i="72"/>
  <c r="T14" i="71"/>
  <c r="AA14" i="74"/>
  <c r="Z14" i="74"/>
  <c r="Y14" i="74"/>
  <c r="X14" i="74"/>
  <c r="W14" i="74"/>
  <c r="V14" i="74"/>
  <c r="U14" i="74"/>
  <c r="T14" i="70"/>
  <c r="T14" i="69"/>
  <c r="T14" i="68"/>
  <c r="T14" i="67"/>
  <c r="AA14" i="71"/>
  <c r="Z14" i="71"/>
  <c r="Y14" i="71"/>
  <c r="V14" i="71"/>
  <c r="U14" i="71"/>
  <c r="W14" i="71"/>
  <c r="X14" i="71"/>
  <c r="AA14" i="72"/>
  <c r="Z14" i="72"/>
  <c r="Y14" i="72"/>
  <c r="X14" i="72"/>
  <c r="W14" i="72"/>
  <c r="V14" i="72"/>
  <c r="U14" i="72"/>
  <c r="AA14" i="70"/>
  <c r="Z14" i="70"/>
  <c r="V14" i="70"/>
  <c r="U14" i="70"/>
  <c r="W14" i="70"/>
  <c r="X14" i="70"/>
  <c r="Y14" i="70"/>
  <c r="AA14" i="69"/>
  <c r="Z14" i="69"/>
  <c r="Y14" i="69"/>
  <c r="X14" i="69"/>
  <c r="W14" i="69"/>
  <c r="V14" i="69"/>
  <c r="U14" i="69"/>
  <c r="AA14" i="68"/>
  <c r="Z14" i="68"/>
  <c r="Y14" i="68"/>
  <c r="X14" i="68"/>
  <c r="W14" i="68"/>
  <c r="V14" i="68"/>
  <c r="U14" i="68"/>
  <c r="AA14" i="67"/>
  <c r="Z14" i="67"/>
  <c r="Y14" i="67"/>
  <c r="X14" i="67"/>
  <c r="W14" i="67"/>
  <c r="V14" i="67"/>
  <c r="U14" i="67"/>
  <c r="P14" i="42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D14" i="72" l="1"/>
  <c r="T15" i="72" s="1"/>
  <c r="D14" i="67"/>
  <c r="E14" i="67" s="1"/>
  <c r="D14" i="68"/>
  <c r="E14" i="68" s="1"/>
  <c r="T15" i="67"/>
  <c r="L15" i="67"/>
  <c r="L14" i="74"/>
  <c r="M14" i="74" s="1"/>
  <c r="L14" i="73"/>
  <c r="R14" i="73" s="1"/>
  <c r="Z2" i="73" s="1"/>
  <c r="L14" i="72"/>
  <c r="P14" i="72" s="1"/>
  <c r="X2" i="72" s="1"/>
  <c r="L14" i="71"/>
  <c r="O14" i="71" s="1"/>
  <c r="L14" i="70"/>
  <c r="R14" i="70" s="1"/>
  <c r="Z2" i="70" s="1"/>
  <c r="L14" i="69"/>
  <c r="R14" i="69" s="1"/>
  <c r="L14" i="68"/>
  <c r="O14" i="68" s="1"/>
  <c r="L14" i="67"/>
  <c r="M14" i="67" s="1"/>
  <c r="D14" i="74"/>
  <c r="N14" i="74"/>
  <c r="P14" i="74"/>
  <c r="X2" i="74" s="1"/>
  <c r="R14" i="74"/>
  <c r="Z2" i="74" s="1"/>
  <c r="N14" i="72"/>
  <c r="O14" i="72"/>
  <c r="O14" i="67"/>
  <c r="R14" i="72"/>
  <c r="Z2" i="72" s="1"/>
  <c r="S14" i="72"/>
  <c r="Q14" i="72"/>
  <c r="O14" i="74"/>
  <c r="Q14" i="74"/>
  <c r="M14" i="72"/>
  <c r="P14" i="71"/>
  <c r="X2" i="71" s="1"/>
  <c r="D14" i="70"/>
  <c r="N14" i="70"/>
  <c r="Q14" i="71"/>
  <c r="R14" i="71"/>
  <c r="Z2" i="71" s="1"/>
  <c r="S14" i="71"/>
  <c r="M14" i="71"/>
  <c r="N14" i="71"/>
  <c r="N14" i="67"/>
  <c r="D14" i="69"/>
  <c r="R14" i="67"/>
  <c r="Z2" i="67" s="1"/>
  <c r="D14" i="71"/>
  <c r="S14" i="74"/>
  <c r="S14" i="73"/>
  <c r="S14" i="68"/>
  <c r="O14" i="70"/>
  <c r="D14" i="73"/>
  <c r="Q14" i="67"/>
  <c r="R14" i="68"/>
  <c r="Z2" i="68" s="1"/>
  <c r="Q14" i="68"/>
  <c r="P14" i="67"/>
  <c r="X2" i="67" s="1"/>
  <c r="M14" i="69"/>
  <c r="S14" i="67"/>
  <c r="P14" i="70"/>
  <c r="X2" i="70" s="1"/>
  <c r="Q14" i="70"/>
  <c r="S14" i="69"/>
  <c r="P14" i="69"/>
  <c r="X2" i="69" s="1"/>
  <c r="Q14" i="69"/>
  <c r="M14" i="68"/>
  <c r="N14" i="73"/>
  <c r="O14" i="73"/>
  <c r="P14" i="73"/>
  <c r="N14" i="68"/>
  <c r="Q14" i="73"/>
  <c r="U14" i="73"/>
  <c r="Z14" i="73"/>
  <c r="V14" i="73"/>
  <c r="X14" i="73"/>
  <c r="W14" i="73"/>
  <c r="Y14" i="73"/>
  <c r="Z2" i="69"/>
  <c r="G14" i="68"/>
  <c r="F14" i="68"/>
  <c r="G14" i="67"/>
  <c r="F14" i="67"/>
  <c r="J14" i="67"/>
  <c r="K14" i="67"/>
  <c r="I14" i="67"/>
  <c r="H14" i="67"/>
  <c r="G14" i="26"/>
  <c r="E14" i="26"/>
  <c r="D14" i="26"/>
  <c r="K14" i="26"/>
  <c r="P14" i="25"/>
  <c r="N14" i="25"/>
  <c r="M14" i="25"/>
  <c r="T14" i="25"/>
  <c r="D14" i="25"/>
  <c r="C11" i="75" a="1"/>
  <c r="H4" i="23" a="1"/>
  <c r="I4" i="23" a="1"/>
  <c r="C12" i="75" a="1"/>
  <c r="C12" i="75" l="1"/>
  <c r="C11" i="75"/>
  <c r="J14" i="72"/>
  <c r="R2" i="72" s="1"/>
  <c r="H14" i="72"/>
  <c r="X15" i="72" s="1"/>
  <c r="G14" i="72"/>
  <c r="W15" i="72" s="1"/>
  <c r="I14" i="72"/>
  <c r="Y15" i="72" s="1"/>
  <c r="K14" i="72"/>
  <c r="F14" i="72"/>
  <c r="N15" i="72" s="1"/>
  <c r="E14" i="72"/>
  <c r="U15" i="72" s="1"/>
  <c r="L15" i="72"/>
  <c r="J14" i="68"/>
  <c r="Z15" i="68" s="1"/>
  <c r="T15" i="68"/>
  <c r="K14" i="68"/>
  <c r="L15" i="68"/>
  <c r="I14" i="68"/>
  <c r="Y15" i="68" s="1"/>
  <c r="H14" i="68"/>
  <c r="H2" i="68" s="1"/>
  <c r="E14" i="74"/>
  <c r="T15" i="74"/>
  <c r="L15" i="74"/>
  <c r="E14" i="73"/>
  <c r="T15" i="73"/>
  <c r="L15" i="73"/>
  <c r="R15" i="72"/>
  <c r="K14" i="71"/>
  <c r="T15" i="71"/>
  <c r="L15" i="71"/>
  <c r="I14" i="70"/>
  <c r="T15" i="70"/>
  <c r="L15" i="70"/>
  <c r="K14" i="69"/>
  <c r="T15" i="69"/>
  <c r="L15" i="69"/>
  <c r="O15" i="68"/>
  <c r="W15" i="68"/>
  <c r="N15" i="68"/>
  <c r="V15" i="68"/>
  <c r="U15" i="68"/>
  <c r="M15" i="68"/>
  <c r="X15" i="68"/>
  <c r="Y15" i="67"/>
  <c r="Q15" i="67"/>
  <c r="W15" i="67"/>
  <c r="O15" i="67"/>
  <c r="X15" i="67"/>
  <c r="P15" i="67"/>
  <c r="Z15" i="67"/>
  <c r="R15" i="67"/>
  <c r="U15" i="67"/>
  <c r="M15" i="67"/>
  <c r="V15" i="67"/>
  <c r="N15" i="67"/>
  <c r="M14" i="73"/>
  <c r="M14" i="70"/>
  <c r="S14" i="70"/>
  <c r="O14" i="69"/>
  <c r="N14" i="69"/>
  <c r="P14" i="68"/>
  <c r="X2" i="68" s="1"/>
  <c r="G14" i="74"/>
  <c r="J14" i="74"/>
  <c r="F14" i="74"/>
  <c r="H14" i="74"/>
  <c r="I14" i="74"/>
  <c r="K14" i="74"/>
  <c r="E14" i="70"/>
  <c r="H14" i="70"/>
  <c r="J14" i="70"/>
  <c r="K14" i="70"/>
  <c r="F14" i="70"/>
  <c r="G14" i="70"/>
  <c r="H14" i="69"/>
  <c r="I14" i="69"/>
  <c r="R2" i="67"/>
  <c r="J2" i="68"/>
  <c r="X2" i="73"/>
  <c r="H14" i="73"/>
  <c r="I14" i="71"/>
  <c r="E14" i="71"/>
  <c r="F14" i="69"/>
  <c r="G14" i="69"/>
  <c r="J14" i="71"/>
  <c r="H14" i="71"/>
  <c r="J14" i="69"/>
  <c r="F14" i="71"/>
  <c r="G14" i="71"/>
  <c r="E14" i="69"/>
  <c r="H2" i="67"/>
  <c r="I14" i="73"/>
  <c r="F14" i="73"/>
  <c r="K14" i="73"/>
  <c r="G14" i="73"/>
  <c r="J14" i="73"/>
  <c r="J2" i="72"/>
  <c r="P2" i="72"/>
  <c r="J2" i="67"/>
  <c r="P2" i="67"/>
  <c r="H4" i="23"/>
  <c r="I4" i="23"/>
  <c r="E11" i="75" a="1"/>
  <c r="D11" i="23" a="1"/>
  <c r="E7" i="23" a="1"/>
  <c r="F13" i="23" a="1"/>
  <c r="I12" i="75" a="1"/>
  <c r="F10" i="23" a="1"/>
  <c r="D5" i="23" a="1"/>
  <c r="D8" i="23" a="1"/>
  <c r="D6" i="23" a="1"/>
  <c r="G12" i="75" a="1"/>
  <c r="F5" i="23" a="1"/>
  <c r="E12" i="23" a="1"/>
  <c r="E9" i="23" a="1"/>
  <c r="E11" i="23" a="1"/>
  <c r="G4" i="23" a="1"/>
  <c r="H11" i="75" a="1"/>
  <c r="G6" i="23" a="1"/>
  <c r="F4" i="23" a="1"/>
  <c r="G11" i="23" a="1"/>
  <c r="F12" i="75" a="1"/>
  <c r="D13" i="23" a="1"/>
  <c r="D9" i="23" a="1"/>
  <c r="D4" i="23" a="1"/>
  <c r="E12" i="75" a="1"/>
  <c r="F11" i="23" a="1"/>
  <c r="E5" i="23" a="1"/>
  <c r="E8" i="23" a="1"/>
  <c r="G7" i="23" a="1"/>
  <c r="F6" i="23" a="1"/>
  <c r="D12" i="23" a="1"/>
  <c r="D10" i="23" a="1"/>
  <c r="F8" i="23" a="1"/>
  <c r="F9" i="23" a="1"/>
  <c r="D11" i="75" a="1"/>
  <c r="E10" i="23" a="1"/>
  <c r="F7" i="23" a="1"/>
  <c r="G5" i="23" a="1"/>
  <c r="G11" i="75" a="1"/>
  <c r="E6" i="23" a="1"/>
  <c r="D7" i="23" a="1"/>
  <c r="G13" i="23" a="1"/>
  <c r="F11" i="75" a="1"/>
  <c r="F12" i="23" a="1"/>
  <c r="G9" i="23" a="1"/>
  <c r="G8" i="23" a="1"/>
  <c r="E13" i="23" a="1"/>
  <c r="G12" i="23" a="1"/>
  <c r="E4" i="23" a="1"/>
  <c r="I11" i="75" a="1"/>
  <c r="H12" i="75" a="1"/>
  <c r="D12" i="75" a="1"/>
  <c r="G10" i="23" a="1"/>
  <c r="C16" i="75" l="1"/>
  <c r="C13" i="75"/>
  <c r="J13" i="75" s="1"/>
  <c r="I12" i="75"/>
  <c r="E12" i="75"/>
  <c r="D12" i="75"/>
  <c r="D11" i="75"/>
  <c r="H11" i="75"/>
  <c r="G12" i="75"/>
  <c r="G11" i="75"/>
  <c r="F11" i="75"/>
  <c r="F12" i="75"/>
  <c r="I11" i="75"/>
  <c r="E11" i="75"/>
  <c r="H12" i="75"/>
  <c r="H2" i="72"/>
  <c r="Z15" i="72"/>
  <c r="O15" i="72"/>
  <c r="Q15" i="72"/>
  <c r="P15" i="72"/>
  <c r="M15" i="72"/>
  <c r="V15" i="72"/>
  <c r="D14" i="58"/>
  <c r="I14" i="58" s="1"/>
  <c r="Q15" i="68"/>
  <c r="P15" i="68"/>
  <c r="R2" i="68"/>
  <c r="R15" i="68"/>
  <c r="R2" i="74"/>
  <c r="Z15" i="74"/>
  <c r="R15" i="74"/>
  <c r="V15" i="74"/>
  <c r="N15" i="74"/>
  <c r="W15" i="74"/>
  <c r="O15" i="74"/>
  <c r="Y15" i="74"/>
  <c r="Q15" i="74"/>
  <c r="P2" i="74"/>
  <c r="X15" i="74"/>
  <c r="P15" i="74"/>
  <c r="U15" i="74"/>
  <c r="M15" i="74"/>
  <c r="P2" i="73"/>
  <c r="X15" i="73"/>
  <c r="P15" i="73"/>
  <c r="J2" i="73"/>
  <c r="Z15" i="73"/>
  <c r="R15" i="73"/>
  <c r="O15" i="73"/>
  <c r="W15" i="73"/>
  <c r="N15" i="73"/>
  <c r="V15" i="73"/>
  <c r="Y15" i="73"/>
  <c r="Q15" i="73"/>
  <c r="U15" i="73"/>
  <c r="M15" i="73"/>
  <c r="Y15" i="71"/>
  <c r="Q15" i="71"/>
  <c r="W15" i="71"/>
  <c r="O15" i="71"/>
  <c r="V15" i="71"/>
  <c r="N15" i="71"/>
  <c r="P2" i="71"/>
  <c r="X15" i="71"/>
  <c r="P15" i="71"/>
  <c r="J2" i="71"/>
  <c r="Z15" i="71"/>
  <c r="R15" i="71"/>
  <c r="U15" i="71"/>
  <c r="M15" i="71"/>
  <c r="O15" i="70"/>
  <c r="W15" i="70"/>
  <c r="V15" i="70"/>
  <c r="N15" i="70"/>
  <c r="R15" i="70"/>
  <c r="Z15" i="70"/>
  <c r="H2" i="70"/>
  <c r="P15" i="70"/>
  <c r="X15" i="70"/>
  <c r="U15" i="70"/>
  <c r="M15" i="70"/>
  <c r="Q15" i="70"/>
  <c r="Y15" i="70"/>
  <c r="R2" i="69"/>
  <c r="Z15" i="69"/>
  <c r="R15" i="69"/>
  <c r="W15" i="69"/>
  <c r="O15" i="69"/>
  <c r="V15" i="69"/>
  <c r="N15" i="69"/>
  <c r="Y15" i="69"/>
  <c r="Q15" i="69"/>
  <c r="H2" i="69"/>
  <c r="X15" i="69"/>
  <c r="P15" i="69"/>
  <c r="U15" i="69"/>
  <c r="M15" i="69"/>
  <c r="L15" i="58"/>
  <c r="T15" i="58"/>
  <c r="J2" i="70"/>
  <c r="L14" i="57"/>
  <c r="P2" i="68"/>
  <c r="H2" i="74"/>
  <c r="J2" i="74"/>
  <c r="L14" i="58"/>
  <c r="R14" i="58" s="1"/>
  <c r="P2" i="69"/>
  <c r="P2" i="70"/>
  <c r="R2" i="70"/>
  <c r="R2" i="73"/>
  <c r="R2" i="71"/>
  <c r="J2" i="69"/>
  <c r="H2" i="73"/>
  <c r="H2" i="71"/>
  <c r="D14" i="57"/>
  <c r="S14" i="57"/>
  <c r="R14" i="57"/>
  <c r="Q14" i="57"/>
  <c r="P14" i="57"/>
  <c r="O14" i="57"/>
  <c r="N14" i="57"/>
  <c r="M14" i="57"/>
  <c r="P14" i="58"/>
  <c r="Q14" i="58"/>
  <c r="N14" i="58"/>
  <c r="O14" i="58"/>
  <c r="S14" i="58"/>
  <c r="T14" i="58"/>
  <c r="AA14" i="58" s="1"/>
  <c r="G14" i="58"/>
  <c r="K14" i="58"/>
  <c r="E14" i="58"/>
  <c r="H14" i="58"/>
  <c r="G9" i="23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  <c r="D13" i="75" l="1"/>
  <c r="K14" i="75"/>
  <c r="E13" i="75"/>
  <c r="M14" i="75" s="1"/>
  <c r="I13" i="75"/>
  <c r="Y14" i="75" s="1"/>
  <c r="S14" i="75"/>
  <c r="G13" i="75"/>
  <c r="W14" i="75" s="1"/>
  <c r="F13" i="75"/>
  <c r="N14" i="75" s="1"/>
  <c r="H13" i="75"/>
  <c r="X14" i="75" s="1"/>
  <c r="L14" i="75"/>
  <c r="J14" i="58"/>
  <c r="F14" i="58"/>
  <c r="V15" i="58" s="1"/>
  <c r="X15" i="58"/>
  <c r="P15" i="58"/>
  <c r="Y15" i="58"/>
  <c r="Q15" i="58"/>
  <c r="U15" i="58"/>
  <c r="M15" i="58"/>
  <c r="W15" i="58"/>
  <c r="O15" i="58"/>
  <c r="Z15" i="58"/>
  <c r="R15" i="58"/>
  <c r="L15" i="57"/>
  <c r="T15" i="57"/>
  <c r="M14" i="58"/>
  <c r="J2" i="58"/>
  <c r="F14" i="57"/>
  <c r="E14" i="57"/>
  <c r="K14" i="57"/>
  <c r="J14" i="57"/>
  <c r="I14" i="57"/>
  <c r="H14" i="57"/>
  <c r="G14" i="57"/>
  <c r="Z2" i="58"/>
  <c r="X2" i="58"/>
  <c r="R2" i="58"/>
  <c r="P2" i="58"/>
  <c r="H2" i="58"/>
  <c r="T14" i="75" l="1"/>
  <c r="U14" i="75"/>
  <c r="V14" i="75"/>
  <c r="P14" i="75"/>
  <c r="O14" i="75"/>
  <c r="Q14" i="75"/>
  <c r="N15" i="58"/>
  <c r="Y15" i="57"/>
  <c r="Q15" i="57"/>
  <c r="W15" i="57"/>
  <c r="O15" i="57"/>
  <c r="H2" i="57"/>
  <c r="X15" i="57"/>
  <c r="P15" i="57"/>
  <c r="J2" i="57"/>
  <c r="Z15" i="57"/>
  <c r="R15" i="57"/>
  <c r="V15" i="57"/>
  <c r="N15" i="57"/>
  <c r="M15" i="57"/>
  <c r="U15" i="57"/>
  <c r="P2" i="57"/>
  <c r="X2" i="57"/>
  <c r="Z2" i="57"/>
  <c r="R2" i="5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<sst xmlns="http://schemas.openxmlformats.org/spreadsheetml/2006/main" count="677" uniqueCount="22">
  <si>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</si>
  <si>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</si>
  <si>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</si>
  <si>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</si>
  <si>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</si>
  <si>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</si>
  <si>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</si>
  <si>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</si>
  <si>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</si>
  <si>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</si>
  <si>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</si>
  <si>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</si>
  <si>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</si>
  <si>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</si>
  <si>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</si>
  <si>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</si>
  <si>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</si>
  <si>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MILP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</si>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</sst>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67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0" fontId="0" fillId="6" borderId="1" xfId="0" applyNumberFormat="1" applyFill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0" fontId="0" fillId="3" borderId="1" xfId="1" applyNumberFormat="1" applyFon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0" fontId="0" fillId="6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3F280-E23D-44D5-8A7F-2408B0573C31}">
  <dimension ref="B2:Z16"/>
  <sheetViews>
    <sheetView zoomScale="85" zoomScaleNormal="85" workbookViewId="0">
      <selection activeCell="D19" sqref="D19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83203125" bestFit="1" customWidth="1"/>
    <col min="9" max="9" width="18" bestFit="1" customWidth="1"/>
    <col min="11" max="11" width="8" bestFit="1" customWidth="1"/>
    <col min="12" max="12" width="9.1640625" bestFit="1" customWidth="1"/>
    <col min="13" max="13" width="8.83203125" bestFit="1" customWidth="1"/>
    <col min="14" max="14" width="17.6640625" bestFit="1" customWidth="1"/>
    <col min="15" max="15" width="12.1640625" bestFit="1" customWidth="1"/>
    <col min="16" max="16" width="23.832031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83203125" bestFit="1" customWidth="1"/>
    <col min="22" max="22" width="17.6640625" bestFit="1" customWidth="1"/>
    <col min="23" max="23" width="12.1640625" bestFit="1" customWidth="1"/>
    <col min="24" max="24" width="23.83203125" bestFit="1" customWidth="1"/>
    <col min="25" max="25" width="17.33203125" bestFit="1" customWidth="1"/>
    <col min="26" max="26" width="5.83203125" bestFit="1" customWidth="1"/>
  </cols>
  <sheetData>
    <row r="2" spans="2:26" x14ac:dyDescent="0.2">
      <c r="B2" s="41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6" t="s">
        <v>0</v>
      </c>
      <c r="T2" s="36" t="s">
        <v>5</v>
      </c>
      <c r="U2" s="36" t="s">
        <v>12</v>
      </c>
      <c r="V2" s="36" t="s">
        <v>15</v>
      </c>
      <c r="W2" s="36" t="s">
        <v>11</v>
      </c>
      <c r="X2" s="36" t="s">
        <v>16</v>
      </c>
      <c r="Y2" s="36" t="s">
        <v>10</v>
      </c>
      <c r="Z2" s="36" t="s">
        <v>1</v>
      </c>
    </row>
    <row r="3" spans="2:26" x14ac:dyDescent="0.2">
      <c r="B3" s="4">
        <v>112</v>
      </c>
      <c r="C3" s="5" cm="1">
        <f t="array" aca="1" ref="C3" ca="1">INDIRECT("'results" &amp; $B3 &amp; "'!D$14")</f>
        <v>1108152.2143071101</v>
      </c>
      <c r="D3" s="32" cm="1">
        <f t="array" aca="1" ref="D3" ca="1">INDIRECT("'results" &amp; $B3 &amp; "'!E$14")</f>
        <v>873.71253250003792</v>
      </c>
      <c r="E3" s="5" cm="1">
        <f t="array" aca="1" ref="E3" ca="1">INDIRECT("'results" &amp; $B3 &amp; "'!F$14")</f>
        <v>13</v>
      </c>
      <c r="F3" s="5" cm="1">
        <f t="array" aca="1" ref="F3" ca="1">INDIRECT("'results" &amp; $B3 &amp; "'!G$14")</f>
        <v>96.666666666666671</v>
      </c>
      <c r="G3" s="5" cm="1">
        <f t="array" aca="1" ref="G3" ca="1">INDIRECT("'results" &amp; $B3 &amp; "'!H$14")</f>
        <v>333.35980626067669</v>
      </c>
      <c r="H3" s="32" cm="1">
        <f t="array" aca="1" ref="H3" ca="1">INDIRECT("'results" &amp; $B3 &amp; "'!I$14")</f>
        <v>42.922698864761273</v>
      </c>
      <c r="I3" s="5" cm="1">
        <f t="array" aca="1" ref="I3" ca="1">INDIRECT("'results" &amp; $B3 &amp; "'!J$14")</f>
        <v>5465.7243512266095</v>
      </c>
      <c r="J3" s="5"/>
      <c r="K3" s="5" cm="1">
        <f t="array" aca="1" ref="K3" ca="1">INDIRECT("'results" &amp; $B3 &amp; "'!L$14")</f>
        <v>1505931.0254123979</v>
      </c>
      <c r="L3" s="5" cm="1">
        <f t="array" aca="1" ref="L3" ca="1">INDIRECT("'results" &amp; $B3 &amp; "'!M$14")</f>
        <v>1004.554018000024</v>
      </c>
      <c r="M3" s="5" cm="1">
        <f t="array" aca="1" ref="M3" ca="1">INDIRECT("'results" &amp; $B3 &amp; "'!N$14")</f>
        <v>24</v>
      </c>
      <c r="N3" s="5" cm="1">
        <f t="array" aca="1" ref="N3" ca="1">INDIRECT("'results" &amp; $B3 &amp; "'!O$14")</f>
        <v>84.666666666666671</v>
      </c>
      <c r="O3" s="5" cm="1">
        <f t="array" aca="1" ref="O3" ca="1">INDIRECT("'results" &amp; $B3 &amp; "'!P$14")</f>
        <v>336.63034139854909</v>
      </c>
      <c r="P3" s="5" cm="1">
        <f t="array" aca="1" ref="P3" ca="1">INDIRECT("'results" &amp; $B3 &amp; "'!Q$14")</f>
        <v>20.034000796359948</v>
      </c>
      <c r="Q3" s="5" cm="1">
        <f t="array" aca="1" ref="Q3" ca="1">INDIRECT("'results" &amp; $B3 &amp; "'!R$14")</f>
        <v>4775.2010719937534</v>
      </c>
      <c r="R3" s="5"/>
      <c r="S3" s="5" cm="1">
        <f t="array" aca="1" ref="S3" ca="1">INDIRECT("'results" &amp; $B3 &amp; "'!T$14")</f>
        <v>1535053.3632641551</v>
      </c>
      <c r="T3" s="5" cm="1">
        <f t="array" aca="1" ref="T3" ca="1">INDIRECT("'results" &amp; $B3 &amp; "'!U$14")</f>
        <v>906.17582750006113</v>
      </c>
      <c r="U3" s="5" cm="1">
        <f t="array" aca="1" ref="U3" ca="1">INDIRECT("'results" &amp; $B3 &amp; "'!V$14")</f>
        <v>14</v>
      </c>
      <c r="V3" s="5" cm="1">
        <f t="array" aca="1" ref="V3" ca="1">INDIRECT("'results" &amp; $B3 &amp; "'!W$14")</f>
        <v>83.333333333333329</v>
      </c>
      <c r="W3" s="5" cm="1">
        <f t="array" aca="1" ref="W3" ca="1">INDIRECT("'results" &amp; $B3 &amp; "'!X$14")</f>
        <v>969.44038342068791</v>
      </c>
      <c r="X3" s="5" cm="1">
        <f t="array" aca="1" ref="X3" ca="1">INDIRECT("'results" &amp; $B3 &amp; "'!Y$14")</f>
        <v>55.325246101268071</v>
      </c>
      <c r="Y3" s="5" cm="1">
        <f t="array" aca="1" ref="Y3" ca="1">INDIRECT("'results" &amp; $B3 &amp; "'!Z$14")</f>
        <v>6444.2968935809868</v>
      </c>
      <c r="Z3" s="5"/>
    </row>
    <row r="4" spans="2:26" x14ac:dyDescent="0.2">
      <c r="B4" s="4">
        <v>127</v>
      </c>
      <c r="C4" s="5" cm="1">
        <f t="array" aca="1" ref="C4" ca="1">INDIRECT("'results" &amp; $B4 &amp; "'!D$14")</f>
        <v>1300750.0876623159</v>
      </c>
      <c r="D4" s="32" cm="1">
        <f t="array" aca="1" ref="D4" ca="1">INDIRECT("'results" &amp; $B4 &amp; "'!E$14")</f>
        <v>1429.155641999911</v>
      </c>
      <c r="E4" s="5" cm="1">
        <f t="array" aca="1" ref="E4" ca="1">INDIRECT("'results" &amp; $B4 &amp; "'!F$14")</f>
        <v>14</v>
      </c>
      <c r="F4" s="5" cm="1">
        <f t="array" aca="1" ref="F4" ca="1">INDIRECT("'results" &amp; $B4 &amp; "'!G$14")</f>
        <v>92</v>
      </c>
      <c r="G4" s="5" cm="1">
        <f t="array" aca="1" ref="G4" ca="1">INDIRECT("'results" &amp; $B4 &amp; "'!H$14")</f>
        <v>766.57739451606892</v>
      </c>
      <c r="H4" s="32" cm="1">
        <f t="array" aca="1" ref="H4" ca="1">INDIRECT("'results" &amp; $B4 &amp; "'!I$14")</f>
        <v>40.954183341134787</v>
      </c>
      <c r="I4" s="5" cm="1">
        <f t="array" aca="1" ref="I4" ca="1">INDIRECT("'results" &amp; $B4 &amp; "'!J$14")</f>
        <v>5849.3537347334941</v>
      </c>
      <c r="J4" s="5"/>
      <c r="K4" s="5" cm="1">
        <f t="array" aca="1" ref="K4" ca="1">INDIRECT("'results" &amp; $B4 &amp; "'!L$14")</f>
        <v>1648788.650277039</v>
      </c>
      <c r="L4" s="5" cm="1">
        <f t="array" aca="1" ref="L4" ca="1">INDIRECT("'results" &amp; $B4 &amp; "'!M$14")</f>
        <v>1597.852259599953</v>
      </c>
      <c r="M4" s="5" cm="1">
        <f t="array" aca="1" ref="M4" ca="1">INDIRECT("'results" &amp; $B4 &amp; "'!N$14")</f>
        <v>26</v>
      </c>
      <c r="N4" s="5" cm="1">
        <f t="array" aca="1" ref="N4" ca="1">INDIRECT("'results" &amp; $B4 &amp; "'!O$14")</f>
        <v>81.333333333333329</v>
      </c>
      <c r="O4" s="5" cm="1">
        <f t="array" aca="1" ref="O4" ca="1">INDIRECT("'results" &amp; $B4 &amp; "'!P$14")</f>
        <v>570.23242380583963</v>
      </c>
      <c r="P4" s="5" cm="1">
        <f t="array" aca="1" ref="P4" ca="1">INDIRECT("'results" &amp; $B4 &amp; "'!Q$14")</f>
        <v>19.090803771224888</v>
      </c>
      <c r="Q4" s="5" cm="1">
        <f t="array" aca="1" ref="Q4" ca="1">INDIRECT("'results" &amp; $B4 &amp; "'!R$14")</f>
        <v>4975.9237448500562</v>
      </c>
      <c r="R4" s="5"/>
      <c r="S4" s="5" cm="1">
        <f t="array" aca="1" ref="S4" ca="1">INDIRECT("'results" &amp; $B4 &amp; "'!T$14")</f>
        <v>1755250.6770391611</v>
      </c>
      <c r="T4" s="5" cm="1">
        <f t="array" aca="1" ref="T4" ca="1">INDIRECT("'results" &amp; $B4 &amp; "'!U$14")</f>
        <v>876.35382159997243</v>
      </c>
      <c r="U4" s="5" cm="1">
        <f t="array" aca="1" ref="U4" ca="1">INDIRECT("'results" &amp; $B4 &amp; "'!V$14")</f>
        <v>15</v>
      </c>
      <c r="V4" s="5" cm="1">
        <f t="array" aca="1" ref="V4" ca="1">INDIRECT("'results" &amp; $B4 &amp; "'!W$14")</f>
        <v>72</v>
      </c>
      <c r="W4" s="5" cm="1">
        <f t="array" aca="1" ref="W4" ca="1">INDIRECT("'results" &amp; $B4 &amp; "'!X$14")</f>
        <v>1000.9383853702856</v>
      </c>
      <c r="X4" s="5" cm="1">
        <f t="array" aca="1" ref="X4" ca="1">INDIRECT("'results" &amp; $B4 &amp; "'!Y$14")</f>
        <v>51.286458209631732</v>
      </c>
      <c r="Y4" s="5" cm="1">
        <f t="array" aca="1" ref="Y4" ca="1">INDIRECT("'results" &amp; $B4 &amp; "'!Z$14")</f>
        <v>6314.7636112515302</v>
      </c>
      <c r="Z4" s="5"/>
    </row>
    <row r="5" spans="2:26" x14ac:dyDescent="0.2">
      <c r="B5" s="4">
        <v>179</v>
      </c>
      <c r="C5" s="5" cm="1">
        <f t="array" aca="1" ref="C5" ca="1">INDIRECT("'results" &amp; $B5 &amp; "'!D$14")</f>
        <v>1207145.9393800979</v>
      </c>
      <c r="D5" s="32" cm="1">
        <f t="array" aca="1" ref="D5" ca="1">INDIRECT("'results" &amp; $B5 &amp; "'!E$14")</f>
        <v>798.45484689995646</v>
      </c>
      <c r="E5" s="5" cm="1">
        <f t="array" aca="1" ref="E5" ca="1">INDIRECT("'results" &amp; $B5 &amp; "'!F$14")</f>
        <v>14</v>
      </c>
      <c r="F5" s="5" cm="1">
        <f t="array" aca="1" ref="F5" ca="1">INDIRECT("'results" &amp; $B5 &amp; "'!G$14")</f>
        <v>97.333333333333329</v>
      </c>
      <c r="G5" s="5" cm="1">
        <f t="array" aca="1" ref="G5" ca="1">INDIRECT("'results" &amp; $B5 &amp; "'!H$14")</f>
        <v>829.94356045699737</v>
      </c>
      <c r="H5" s="32" cm="1">
        <f t="array" aca="1" ref="H5" ca="1">INDIRECT("'results" &amp; $B5 &amp; "'!I$14")</f>
        <v>39.081926978121281</v>
      </c>
      <c r="I5" s="5" cm="1">
        <f t="array" aca="1" ref="I5" ca="1">INDIRECT("'results" &amp; $B5 &amp; "'!J$14")</f>
        <v>5933.950675015426</v>
      </c>
      <c r="J5" s="5"/>
      <c r="K5" s="5" cm="1">
        <f t="array" aca="1" ref="K5" ca="1">INDIRECT("'results" &amp; $B5 &amp; "'!L$14")</f>
        <v>1485188.9623539371</v>
      </c>
      <c r="L5" s="5" cm="1">
        <f t="array" aca="1" ref="L5" ca="1">INDIRECT("'results" &amp; $B5 &amp; "'!M$14")</f>
        <v>1569.7627141999551</v>
      </c>
      <c r="M5" s="5" cm="1">
        <f t="array" aca="1" ref="M5" ca="1">INDIRECT("'results" &amp; $B5 &amp; "'!N$14")</f>
        <v>27</v>
      </c>
      <c r="N5" s="5" cm="1">
        <f t="array" aca="1" ref="N5" ca="1">INDIRECT("'results" &amp; $B5 &amp; "'!O$14")</f>
        <v>89.333333333333329</v>
      </c>
      <c r="O5" s="5" cm="1">
        <f t="array" aca="1" ref="O5" ca="1">INDIRECT("'results" &amp; $B5 &amp; "'!P$14")</f>
        <v>567.61017713490537</v>
      </c>
      <c r="P5" s="5" cm="1">
        <f t="array" aca="1" ref="P5" ca="1">INDIRECT("'results" &amp; $B5 &amp; "'!Q$14")</f>
        <v>18.494084874152367</v>
      </c>
      <c r="Q5" s="5" cm="1">
        <f t="array" aca="1" ref="Q5" ca="1">INDIRECT("'results" &amp; $B5 &amp; "'!R$14")</f>
        <v>5040.6360078319512</v>
      </c>
      <c r="R5" s="5"/>
      <c r="S5" s="5" cm="1">
        <f t="array" aca="1" ref="S5" ca="1">INDIRECT("'results" &amp; $B5 &amp; "'!T$14")</f>
        <v>1622241.286890368</v>
      </c>
      <c r="T5" s="5" cm="1">
        <f t="array" aca="1" ref="T5" ca="1">INDIRECT("'results" &amp; $B5 &amp; "'!U$14")</f>
        <v>833.38240180001594</v>
      </c>
      <c r="U5" s="5" cm="1">
        <f t="array" aca="1" ref="U5" ca="1">INDIRECT("'results" &amp; $B5 &amp; "'!V$14")</f>
        <v>15</v>
      </c>
      <c r="V5" s="5" cm="1">
        <f t="array" aca="1" ref="V5" ca="1">INDIRECT("'results" &amp; $B5 &amp; "'!W$14")</f>
        <v>81.333333333333329</v>
      </c>
      <c r="W5" s="5" cm="1">
        <f t="array" aca="1" ref="W5" ca="1">INDIRECT("'results" &amp; $B5 &amp; "'!X$14")</f>
        <v>1259.9018648257456</v>
      </c>
      <c r="X5" s="5" cm="1">
        <f t="array" aca="1" ref="X5" ca="1">INDIRECT("'results" &amp; $B5 &amp; "'!Y$14")</f>
        <v>48.068168357560189</v>
      </c>
      <c r="Y5" s="5" cm="1">
        <f t="array" aca="1" ref="Y5" ca="1">INDIRECT("'results" &amp; $B5 &amp; "'!Z$14")</f>
        <v>6519.5105428841116</v>
      </c>
      <c r="Z5" s="5"/>
    </row>
    <row r="6" spans="2:26" x14ac:dyDescent="0.2">
      <c r="B6" s="4">
        <v>212</v>
      </c>
      <c r="C6" s="5" cm="1">
        <f t="array" aca="1" ref="C6" ca="1">INDIRECT("'results" &amp; $B6 &amp; "'!D$14")</f>
        <v>1258084.5504710041</v>
      </c>
      <c r="D6" s="32" cm="1">
        <f t="array" aca="1" ref="D6" ca="1">INDIRECT("'results" &amp; $B6 &amp; "'!E$14")</f>
        <v>426.06988590001129</v>
      </c>
      <c r="E6" s="5" cm="1">
        <f t="array" aca="1" ref="E6" ca="1">INDIRECT("'results" &amp; $B6 &amp; "'!F$14")</f>
        <v>13</v>
      </c>
      <c r="F6" s="5" cm="1">
        <f t="array" aca="1" ref="F6" ca="1">INDIRECT("'results" &amp; $B6 &amp; "'!G$14")</f>
        <v>95.333333333333329</v>
      </c>
      <c r="G6" s="5" cm="1">
        <f t="array" aca="1" ref="G6" ca="1">INDIRECT("'results" &amp; $B6 &amp; "'!H$14")</f>
        <v>769.44344124245492</v>
      </c>
      <c r="H6" s="32" cm="1">
        <f t="array" aca="1" ref="H6" ca="1">INDIRECT("'results" &amp; $B6 &amp; "'!I$14")</f>
        <v>41.106681553383346</v>
      </c>
      <c r="I6" s="5" cm="1">
        <f t="array" aca="1" ref="I6" ca="1">INDIRECT("'results" &amp; $B6 &amp; "'!J$14")</f>
        <v>5988.7060560386544</v>
      </c>
      <c r="J6" s="5"/>
      <c r="K6" s="5" cm="1">
        <f t="array" aca="1" ref="K6" ca="1">INDIRECT("'results" &amp; $B6 &amp; "'!L$14")</f>
        <v>1482032.0385520661</v>
      </c>
      <c r="L6" s="5" cm="1">
        <f t="array" aca="1" ref="L6" ca="1">INDIRECT("'results" &amp; $B6 &amp; "'!M$14")</f>
        <v>2521.3012079999321</v>
      </c>
      <c r="M6" s="5" cm="1">
        <f t="array" aca="1" ref="M6" ca="1">INDIRECT("'results" &amp; $B6 &amp; "'!N$14")</f>
        <v>23</v>
      </c>
      <c r="N6" s="5" cm="1">
        <f t="array" aca="1" ref="N6" ca="1">INDIRECT("'results" &amp; $B6 &amp; "'!O$14")</f>
        <v>89.333333333333329</v>
      </c>
      <c r="O6" s="5" cm="1">
        <f t="array" aca="1" ref="O6" ca="1">INDIRECT("'results" &amp; $B6 &amp; "'!P$14")</f>
        <v>645.20285081995826</v>
      </c>
      <c r="P6" s="5" cm="1">
        <f t="array" aca="1" ref="P6" ca="1">INDIRECT("'results" &amp; $B6 &amp; "'!Q$14")</f>
        <v>20.740917276058429</v>
      </c>
      <c r="Q6" s="5" cm="1">
        <f t="array" aca="1" ref="Q6" ca="1">INDIRECT("'results" &amp; $B6 &amp; "'!R$14")</f>
        <v>5310.7228110731321</v>
      </c>
      <c r="R6" s="5"/>
      <c r="S6" s="5" cm="1">
        <f t="array" aca="1" ref="S6" ca="1">INDIRECT("'results" &amp; $B6 &amp; "'!T$14")</f>
        <v>1668328.377839105</v>
      </c>
      <c r="T6" s="5" cm="1">
        <f t="array" aca="1" ref="T6" ca="1">INDIRECT("'results" &amp; $B6 &amp; "'!U$14")</f>
        <v>1164.7531274000651</v>
      </c>
      <c r="U6" s="5" cm="1">
        <f t="array" aca="1" ref="U6" ca="1">INDIRECT("'results" &amp; $B6 &amp; "'!V$14")</f>
        <v>13</v>
      </c>
      <c r="V6" s="5" cm="1">
        <f t="array" aca="1" ref="V6" ca="1">INDIRECT("'results" &amp; $B6 &amp; "'!W$14")</f>
        <v>75.333333333333329</v>
      </c>
      <c r="W6" s="5" cm="1">
        <f t="array" aca="1" ref="W6" ca="1">INDIRECT("'results" &amp; $B6 &amp; "'!X$14")</f>
        <v>1017.9708117438576</v>
      </c>
      <c r="X6" s="5" cm="1">
        <f t="array" aca="1" ref="X6" ca="1">INDIRECT("'results" &amp; $B6 &amp; "'!Y$14")</f>
        <v>46.571478249413993</v>
      </c>
      <c r="Y6" s="5" cm="1">
        <f t="array" aca="1" ref="Y6" ca="1">INDIRECT("'results" &amp; $B6 &amp; "'!Z$14")</f>
        <v>6182.0234717650583</v>
      </c>
      <c r="Z6" s="5"/>
    </row>
    <row r="7" spans="2:26" x14ac:dyDescent="0.2">
      <c r="B7" s="4">
        <v>313</v>
      </c>
      <c r="C7" s="5" cm="1">
        <f t="array" aca="1" ref="C7" ca="1">INDIRECT("'results" &amp; $B7 &amp; "'!D$14")</f>
        <v>1150167.288371593</v>
      </c>
      <c r="D7" s="32" cm="1">
        <f t="array" aca="1" ref="D7" ca="1">INDIRECT("'results" &amp; $B7 &amp; "'!E$14")</f>
        <v>501.03180890006479</v>
      </c>
      <c r="E7" s="5" cm="1">
        <f t="array" aca="1" ref="E7" ca="1">INDIRECT("'results" &amp; $B7 &amp; "'!F$14")</f>
        <v>12</v>
      </c>
      <c r="F7" s="5" cm="1">
        <f t="array" aca="1" ref="F7" ca="1">INDIRECT("'results" &amp; $B7 &amp; "'!G$14")</f>
        <v>96</v>
      </c>
      <c r="G7" s="5" cm="1">
        <f t="array" aca="1" ref="G7" ca="1">INDIRECT("'results" &amp; $B7 &amp; "'!H$14")</f>
        <v>481.04001262456291</v>
      </c>
      <c r="H7" s="32" cm="1">
        <f t="array" aca="1" ref="H7" ca="1">INDIRECT("'results" &amp; $B7 &amp; "'!I$14")</f>
        <v>42.311204863467033</v>
      </c>
      <c r="I7" s="5" cm="1">
        <f t="array" aca="1" ref="I7" ca="1">INDIRECT("'results" &amp; $B7 &amp; "'!J$14")</f>
        <v>5644.8242490806406</v>
      </c>
      <c r="J7" s="5"/>
      <c r="K7" s="5" cm="1">
        <f t="array" aca="1" ref="K7" ca="1">INDIRECT("'results" &amp; $B7 &amp; "'!L$14")</f>
        <v>1462783.3257512399</v>
      </c>
      <c r="L7" s="5" cm="1">
        <f t="array" aca="1" ref="L7" ca="1">INDIRECT("'results" &amp; $B7 &amp; "'!M$14")</f>
        <v>1852.105463900021</v>
      </c>
      <c r="M7" s="5" cm="1">
        <f t="array" aca="1" ref="M7" ca="1">INDIRECT("'results" &amp; $B7 &amp; "'!N$14")</f>
        <v>26</v>
      </c>
      <c r="N7" s="5" cm="1">
        <f t="array" aca="1" ref="N7" ca="1">INDIRECT("'results" &amp; $B7 &amp; "'!O$14")</f>
        <v>94</v>
      </c>
      <c r="O7" s="5" cm="1">
        <f t="array" aca="1" ref="O7" ca="1">INDIRECT("'results" &amp; $B7 &amp; "'!P$14")</f>
        <v>738.24676788960085</v>
      </c>
      <c r="P7" s="5" cm="1">
        <f t="array" aca="1" ref="P7" ca="1">INDIRECT("'results" &amp; $B7 &amp; "'!Q$14")</f>
        <v>18.818058906560985</v>
      </c>
      <c r="Q7" s="5" cm="1">
        <f t="array" aca="1" ref="Q7" ca="1">INDIRECT("'results" &amp; $B7 &amp; "'!R$14")</f>
        <v>5407.022546132197</v>
      </c>
      <c r="R7" s="5"/>
      <c r="S7" s="5" cm="1">
        <f t="array" aca="1" ref="S7" ca="1">INDIRECT("'results" &amp; $B7 &amp; "'!T$14")</f>
        <v>1585967.1907543121</v>
      </c>
      <c r="T7" s="5" cm="1">
        <f t="array" aca="1" ref="T7" ca="1">INDIRECT("'results" &amp; $B7 &amp; "'!U$14")</f>
        <v>474.45132130000269</v>
      </c>
      <c r="U7" s="5" cm="1">
        <f t="array" aca="1" ref="U7" ca="1">INDIRECT("'results" &amp; $B7 &amp; "'!V$14")</f>
        <v>13</v>
      </c>
      <c r="V7" s="5" cm="1">
        <f t="array" aca="1" ref="V7" ca="1">INDIRECT("'results" &amp; $B7 &amp; "'!W$14")</f>
        <v>83.333333333333329</v>
      </c>
      <c r="W7" s="5" cm="1">
        <f t="array" aca="1" ref="W7" ca="1">INDIRECT("'results" &amp; $B7 &amp; "'!X$14")</f>
        <v>1086.2484658334397</v>
      </c>
      <c r="X7" s="5" cm="1">
        <f t="array" aca="1" ref="X7" ca="1">INDIRECT("'results" &amp; $B7 &amp; "'!Y$14")</f>
        <v>53.935564330493449</v>
      </c>
      <c r="Y7" s="5" cm="1">
        <f t="array" aca="1" ref="Y7" ca="1">INDIRECT("'results" &amp; $B7 &amp; "'!Z$14")</f>
        <v>6776.9656213510816</v>
      </c>
      <c r="Z7" s="5"/>
    </row>
    <row r="8" spans="2:26" x14ac:dyDescent="0.2">
      <c r="B8" s="4">
        <v>450</v>
      </c>
      <c r="C8" s="5" cm="1">
        <f t="array" aca="1" ref="C8" ca="1">INDIRECT("'results" &amp; $B8 &amp; "'!D$14")</f>
        <v>1163565.272881343</v>
      </c>
      <c r="D8" s="32" cm="1">
        <f t="array" aca="1" ref="D8" ca="1">INDIRECT("'results" &amp; $B8 &amp; "'!E$14")</f>
        <v>1000.783094100072</v>
      </c>
      <c r="E8" s="5" cm="1">
        <f t="array" aca="1" ref="E8" ca="1">INDIRECT("'results" &amp; $B8 &amp; "'!F$14")</f>
        <v>13</v>
      </c>
      <c r="F8" s="5" cm="1">
        <f t="array" aca="1" ref="F8" ca="1">INDIRECT("'results" &amp; $B8 &amp; "'!G$14")</f>
        <v>98.666666666666671</v>
      </c>
      <c r="G8" s="5" cm="1">
        <f t="array" aca="1" ref="G8" ca="1">INDIRECT("'results" &amp; $B8 &amp; "'!H$14")</f>
        <v>606.68786700762973</v>
      </c>
      <c r="H8" s="32" cm="1">
        <f t="array" aca="1" ref="H8" ca="1">INDIRECT("'results" &amp; $B8 &amp; "'!I$14")</f>
        <v>44.773708180158685</v>
      </c>
      <c r="I8" s="5" cm="1">
        <f t="array" aca="1" ref="I8" ca="1">INDIRECT("'results" &amp; $B8 &amp; "'!J$14")</f>
        <v>5917.2294946782149</v>
      </c>
      <c r="J8" s="5"/>
      <c r="K8" s="5" cm="1">
        <f t="array" aca="1" ref="K8" ca="1">INDIRECT("'results" &amp; $B8 &amp; "'!L$14")</f>
        <v>1587605.2295408801</v>
      </c>
      <c r="L8" s="5" cm="1">
        <f t="array" aca="1" ref="L8" ca="1">INDIRECT("'results" &amp; $B8 &amp; "'!M$14")</f>
        <v>1416.593423500075</v>
      </c>
      <c r="M8" s="5" cm="1">
        <f t="array" aca="1" ref="M8" ca="1">INDIRECT("'results" &amp; $B8 &amp; "'!N$14")</f>
        <v>19</v>
      </c>
      <c r="N8" s="5" cm="1">
        <f t="array" aca="1" ref="N8" ca="1">INDIRECT("'results" &amp; $B8 &amp; "'!O$14")</f>
        <v>75.333333333333329</v>
      </c>
      <c r="O8" s="5" cm="1">
        <f t="array" aca="1" ref="O8" ca="1">INDIRECT("'results" &amp; $B8 &amp; "'!P$14")</f>
        <v>226.3148839994671</v>
      </c>
      <c r="P8" s="5" cm="1">
        <f t="array" aca="1" ref="P8" ca="1">INDIRECT("'results" &amp; $B8 &amp; "'!Q$14")</f>
        <v>21.074192052172091</v>
      </c>
      <c r="Q8" s="5" cm="1">
        <f t="array" aca="1" ref="Q8" ca="1">INDIRECT("'results" &amp; $B8 &amp; "'!R$14")</f>
        <v>4530.5433116439544</v>
      </c>
      <c r="R8" s="5"/>
      <c r="S8" s="5" cm="1">
        <f t="array" aca="1" ref="S8" ca="1">INDIRECT("'results" &amp; $B8 &amp; "'!T$14")</f>
        <v>1616089.4314548711</v>
      </c>
      <c r="T8" s="5" cm="1">
        <f t="array" aca="1" ref="T8" ca="1">INDIRECT("'results" &amp; $B8 &amp; "'!U$14")</f>
        <v>1509.9691503000211</v>
      </c>
      <c r="U8" s="5" cm="1">
        <f t="array" aca="1" ref="U8" ca="1">INDIRECT("'results" &amp; $B8 &amp; "'!V$14")</f>
        <v>13</v>
      </c>
      <c r="V8" s="5" cm="1">
        <f t="array" aca="1" ref="V8" ca="1">INDIRECT("'results" &amp; $B8 &amp; "'!W$14")</f>
        <v>79.333333333333329</v>
      </c>
      <c r="W8" s="5" cm="1">
        <f t="array" aca="1" ref="W8" ca="1">INDIRECT("'results" &amp; $B8 &amp; "'!X$14")</f>
        <v>927.33301869973786</v>
      </c>
      <c r="X8" s="5" cm="1">
        <f t="array" aca="1" ref="X8" ca="1">INDIRECT("'results" &amp; $B8 &amp; "'!Y$14")</f>
        <v>57.36563608373342</v>
      </c>
      <c r="Y8" s="5" cm="1">
        <f t="array" aca="1" ref="Y8" ca="1">INDIRECT("'results" &amp; $B8 &amp; "'!Z$14")</f>
        <v>6521.4483452948216</v>
      </c>
      <c r="Z8" s="5"/>
    </row>
    <row r="9" spans="2:26" x14ac:dyDescent="0.2">
      <c r="B9" s="4">
        <v>613</v>
      </c>
      <c r="C9" s="5" cm="1">
        <f t="array" aca="1" ref="C9" ca="1">INDIRECT("'results" &amp; $B9 &amp; "'!D$14")</f>
        <v>1103871.40421294</v>
      </c>
      <c r="D9" s="32" cm="1">
        <f t="array" aca="1" ref="D9" ca="1">INDIRECT("'results" &amp; $B9 &amp; "'!E$14")</f>
        <v>606.48234879993834</v>
      </c>
      <c r="E9" s="5" cm="1">
        <f t="array" aca="1" ref="E9" ca="1">INDIRECT("'results" &amp; $B9 &amp; "'!F$14")</f>
        <v>12</v>
      </c>
      <c r="F9" s="5" cm="1">
        <f t="array" aca="1" ref="F9" ca="1">INDIRECT("'results" &amp; $B9 &amp; "'!G$14")</f>
        <v>97.333333333333329</v>
      </c>
      <c r="G9" s="5" cm="1">
        <f t="array" aca="1" ref="G9" ca="1">INDIRECT("'results" &amp; $B9 &amp; "'!H$14")</f>
        <v>420.53132136540376</v>
      </c>
      <c r="H9" s="32" cm="1">
        <f t="array" aca="1" ref="H9" ca="1">INDIRECT("'results" &amp; $B9 &amp; "'!I$14")</f>
        <v>44.919165740790788</v>
      </c>
      <c r="I9" s="5" cm="1">
        <f t="array" aca="1" ref="I9" ca="1">INDIRECT("'results" &amp; $B9 &amp; "'!J$14")</f>
        <v>5505.3797019422382</v>
      </c>
      <c r="J9" s="5"/>
      <c r="K9" s="5" cm="1">
        <f t="array" aca="1" ref="K9" ca="1">INDIRECT("'results" &amp; $B9 &amp; "'!L$14")</f>
        <v>1420010.2639820089</v>
      </c>
      <c r="L9" s="5" cm="1">
        <f t="array" aca="1" ref="L9" ca="1">INDIRECT("'results" &amp; $B9 &amp; "'!M$14")</f>
        <v>1456.092269500019</v>
      </c>
      <c r="M9" s="5" cm="1">
        <f t="array" aca="1" ref="M9" ca="1">INDIRECT("'results" &amp; $B9 &amp; "'!N$14")</f>
        <v>28</v>
      </c>
      <c r="N9" s="5" cm="1">
        <f t="array" aca="1" ref="N9" ca="1">INDIRECT("'results" &amp; $B9 &amp; "'!O$14")</f>
        <v>92</v>
      </c>
      <c r="O9" s="5" cm="1">
        <f t="array" aca="1" ref="O9" ca="1">INDIRECT("'results" &amp; $B9 &amp; "'!P$14")</f>
        <v>318.34530089906463</v>
      </c>
      <c r="P9" s="5" cm="1">
        <f t="array" aca="1" ref="P9" ca="1">INDIRECT("'results" &amp; $B9 &amp; "'!Q$14")</f>
        <v>17.389799045502507</v>
      </c>
      <c r="Q9" s="5" cm="1">
        <f t="array" aca="1" ref="Q9" ca="1">INDIRECT("'results" &amp; $B9 &amp; "'!R$14")</f>
        <v>4767.7833643327158</v>
      </c>
      <c r="R9" s="5"/>
      <c r="S9" s="5" cm="1">
        <f t="array" aca="1" ref="S9" ca="1">INDIRECT("'results" &amp; $B9 &amp; "'!T$14")</f>
        <v>1551801.533883824</v>
      </c>
      <c r="T9" s="5" cm="1">
        <f t="array" aca="1" ref="T9" ca="1">INDIRECT("'results" &amp; $B9 &amp; "'!U$14")</f>
        <v>1698.9207448000091</v>
      </c>
      <c r="U9" s="5" cm="1">
        <f t="array" aca="1" ref="U9" ca="1">INDIRECT("'results" &amp; $B9 &amp; "'!V$14")</f>
        <v>14</v>
      </c>
      <c r="V9" s="5" cm="1">
        <f t="array" aca="1" ref="V9" ca="1">INDIRECT("'results" &amp; $B9 &amp; "'!W$14")</f>
        <v>83.333333333333329</v>
      </c>
      <c r="W9" s="5" cm="1">
        <f t="array" aca="1" ref="W9" ca="1">INDIRECT("'results" &amp; $B9 &amp; "'!X$14")</f>
        <v>1018.9505832739097</v>
      </c>
      <c r="X9" s="5" cm="1">
        <f t="array" aca="1" ref="X9" ca="1">INDIRECT("'results" &amp; $B9 &amp; "'!Y$14")</f>
        <v>52.957038722086324</v>
      </c>
      <c r="Y9" s="5" cm="1">
        <f t="array" aca="1" ref="Y9" ca="1">INDIRECT("'results" &amp; $B9 &amp; "'!Z$14")</f>
        <v>6395.9601303384015</v>
      </c>
      <c r="Z9" s="5"/>
    </row>
    <row r="10" spans="2:26" x14ac:dyDescent="0.2">
      <c r="B10" s="4">
        <v>661</v>
      </c>
      <c r="C10" s="5" cm="1">
        <f t="array" aca="1" ref="C10" ca="1">INDIRECT("'results" &amp; $B10 &amp; "'!D$14")</f>
        <v>1024175.007898443</v>
      </c>
      <c r="D10" s="32" cm="1">
        <f t="array" aca="1" ref="D10" ca="1">INDIRECT("'results" &amp; $B10 &amp; "'!E$14")</f>
        <v>506.25286110001622</v>
      </c>
      <c r="E10" s="5" cm="1">
        <f t="array" aca="1" ref="E10" ca="1">INDIRECT("'results" &amp; $B10 &amp; "'!F$14")</f>
        <v>10</v>
      </c>
      <c r="F10" s="5" cm="1">
        <f t="array" aca="1" ref="F10" ca="1">INDIRECT("'results" &amp; $B10 &amp; "'!G$14")</f>
        <v>94.666666666666671</v>
      </c>
      <c r="G10" s="5" cm="1">
        <f t="array" aca="1" ref="G10" ca="1">INDIRECT("'results" &amp; $B10 &amp; "'!H$14")</f>
        <v>100.46421131975723</v>
      </c>
      <c r="H10" s="32" cm="1">
        <f t="array" aca="1" ref="H10" ca="1">INDIRECT("'results" &amp; $B10 &amp; "'!I$14")</f>
        <v>44.611476784556956</v>
      </c>
      <c r="I10" s="5" cm="1">
        <f t="array" aca="1" ref="I10" ca="1">INDIRECT("'results" &amp; $B10 &amp; "'!J$14")</f>
        <v>5001.047323829066</v>
      </c>
      <c r="J10" s="5"/>
      <c r="K10" s="5" cm="1">
        <f t="array" aca="1" ref="K10" ca="1">INDIRECT("'results" &amp; $B10 &amp; "'!L$14")</f>
        <v>1363035.637740362</v>
      </c>
      <c r="L10" s="5" cm="1">
        <f t="array" aca="1" ref="L10" ca="1">INDIRECT("'results" &amp; $B10 &amp; "'!M$14")</f>
        <v>1439.173764300067</v>
      </c>
      <c r="M10" s="5" cm="1">
        <f t="array" aca="1" ref="M10" ca="1">INDIRECT("'results" &amp; $B10 &amp; "'!N$14")</f>
        <v>24</v>
      </c>
      <c r="N10" s="5" cm="1">
        <f t="array" aca="1" ref="N10" ca="1">INDIRECT("'results" &amp; $B10 &amp; "'!O$14")</f>
        <v>88</v>
      </c>
      <c r="O10" s="5" cm="1">
        <f t="array" aca="1" ref="O10" ca="1">INDIRECT("'results" &amp; $B10 &amp; "'!P$14")</f>
        <v>175.15695330178701</v>
      </c>
      <c r="P10" s="5" cm="1">
        <f t="array" aca="1" ref="P10" ca="1">INDIRECT("'results" &amp; $B10 &amp; "'!Q$14")</f>
        <v>16.80780352791437</v>
      </c>
      <c r="Q10" s="5" cm="1">
        <f t="array" aca="1" ref="Q10" ca="1">INDIRECT("'results" &amp; $B10 &amp; "'!R$14")</f>
        <v>4347.1993514228216</v>
      </c>
      <c r="R10" s="5"/>
      <c r="S10" s="5" cm="1">
        <f t="array" aca="1" ref="S10" ca="1">INDIRECT("'results" &amp; $B10 &amp; "'!T$14")</f>
        <v>1400424.4278929071</v>
      </c>
      <c r="T10" s="5" cm="1">
        <f t="array" aca="1" ref="T10" ca="1">INDIRECT("'results" &amp; $B10 &amp; "'!U$14")</f>
        <v>691.39752720005345</v>
      </c>
      <c r="U10" s="5" cm="1">
        <f t="array" aca="1" ref="U10" ca="1">INDIRECT("'results" &amp; $B10 &amp; "'!V$14")</f>
        <v>14</v>
      </c>
      <c r="V10" s="5" cm="1">
        <f t="array" aca="1" ref="V10" ca="1">INDIRECT("'results" &amp; $B10 &amp; "'!W$14")</f>
        <v>87.333333333333329</v>
      </c>
      <c r="W10" s="5" cm="1">
        <f t="array" aca="1" ref="W10" ca="1">INDIRECT("'results" &amp; $B10 &amp; "'!X$14")</f>
        <v>773.55588439502253</v>
      </c>
      <c r="X10" s="5" cm="1">
        <f t="array" aca="1" ref="X10" ca="1">INDIRECT("'results" &amp; $B10 &amp; "'!Y$14")</f>
        <v>52.945035447759302</v>
      </c>
      <c r="Y10" s="5" cm="1">
        <f t="array" aca="1" ref="Y10" ca="1">INDIRECT("'results" &amp; $B10 &amp; "'!Z$14")</f>
        <v>6059.5917241125971</v>
      </c>
      <c r="Z10" s="5"/>
    </row>
    <row r="11" spans="2:26" x14ac:dyDescent="0.2">
      <c r="B11" s="4">
        <v>819</v>
      </c>
      <c r="C11" s="5" cm="1">
        <f t="array" aca="1" ref="C11" ca="1">INDIRECT("'results" &amp; $B11 &amp; "'!D$14")</f>
        <v>1366765.5833269211</v>
      </c>
      <c r="D11" s="32" cm="1">
        <f t="array" aca="1" ref="D11" ca="1">INDIRECT("'results" &amp; $B11 &amp; "'!E$14")</f>
        <v>1356.839814100065</v>
      </c>
      <c r="E11" s="5" cm="1">
        <f t="array" aca="1" ref="E11" ca="1">INDIRECT("'results" &amp; $B11 &amp; "'!F$14")</f>
        <v>16</v>
      </c>
      <c r="F11" s="5" cm="1">
        <f t="array" aca="1" ref="F11" ca="1">INDIRECT("'results" &amp; $B11 &amp; "'!G$14")</f>
        <v>95.333333333333329</v>
      </c>
      <c r="G11" s="5" cm="1">
        <f t="array" aca="1" ref="G11" ca="1">INDIRECT("'results" &amp; $B11 &amp; "'!H$14")</f>
        <v>925.93843698023841</v>
      </c>
      <c r="H11" s="32" cm="1">
        <f t="array" aca="1" ref="H11" ca="1">INDIRECT("'results" &amp; $B11 &amp; "'!I$14")</f>
        <v>31.992989476999206</v>
      </c>
      <c r="I11" s="5" cm="1">
        <f t="array" aca="1" ref="I11" ca="1">INDIRECT("'results" &amp; $B11 &amp; "'!J$14")</f>
        <v>6131.9056751458484</v>
      </c>
      <c r="J11" s="5"/>
      <c r="K11" s="5" cm="1">
        <f t="array" aca="1" ref="K11" ca="1">INDIRECT("'results" &amp; $B11 &amp; "'!L$14")</f>
        <v>1626240.147638899</v>
      </c>
      <c r="L11" s="5" cm="1">
        <f t="array" aca="1" ref="L11" ca="1">INDIRECT("'results" &amp; $B11 &amp; "'!M$14")</f>
        <v>795.97707979998086</v>
      </c>
      <c r="M11" s="5" cm="1">
        <f t="array" aca="1" ref="M11" ca="1">INDIRECT("'results" &amp; $B11 &amp; "'!N$14")</f>
        <v>24</v>
      </c>
      <c r="N11" s="5" cm="1">
        <f t="array" aca="1" ref="N11" ca="1">INDIRECT("'results" &amp; $B11 &amp; "'!O$14")</f>
        <v>83.333333333333329</v>
      </c>
      <c r="O11" s="5" cm="1">
        <f t="array" aca="1" ref="O11" ca="1">INDIRECT("'results" &amp; $B11 &amp; "'!P$14")</f>
        <v>699.85800479578586</v>
      </c>
      <c r="P11" s="5" cm="1">
        <f t="array" aca="1" ref="P11" ca="1">INDIRECT("'results" &amp; $B11 &amp; "'!Q$14")</f>
        <v>18.472556855364022</v>
      </c>
      <c r="Q11" s="5" cm="1">
        <f t="array" aca="1" ref="Q11" ca="1">INDIRECT("'results" &amp; $B11 &amp; "'!R$14")</f>
        <v>5201.3090675474114</v>
      </c>
      <c r="R11" s="5"/>
      <c r="S11" s="5" cm="1">
        <f t="array" aca="1" ref="S11" ca="1">INDIRECT("'results" &amp; $B11 &amp; "'!T$14")</f>
        <v>1773640.5656877749</v>
      </c>
      <c r="T11" s="5" cm="1">
        <f t="array" aca="1" ref="T11" ca="1">INDIRECT("'results" &amp; $B11 &amp; "'!U$14")</f>
        <v>1075.362261499977</v>
      </c>
      <c r="U11" s="5" cm="1">
        <f t="array" aca="1" ref="U11" ca="1">INDIRECT("'results" &amp; $B11 &amp; "'!V$14")</f>
        <v>13</v>
      </c>
      <c r="V11" s="5" cm="1">
        <f t="array" aca="1" ref="V11" ca="1">INDIRECT("'results" &amp; $B11 &amp; "'!W$14")</f>
        <v>72</v>
      </c>
      <c r="W11" s="5" cm="1">
        <f t="array" aca="1" ref="W11" ca="1">INDIRECT("'results" &amp; $B11 &amp; "'!X$14")</f>
        <v>937.95152845987786</v>
      </c>
      <c r="X11" s="5" cm="1">
        <f t="array" aca="1" ref="X11" ca="1">INDIRECT("'results" &amp; $B11 &amp; "'!Y$14")</f>
        <v>44.014740285429156</v>
      </c>
      <c r="Y11" s="5" cm="1">
        <f t="array" aca="1" ref="Y11" ca="1">INDIRECT("'results" &amp; $B11 &amp; "'!Z$14")</f>
        <v>6468.7589637787732</v>
      </c>
      <c r="Z11" s="5"/>
    </row>
    <row r="12" spans="2:26" x14ac:dyDescent="0.2">
      <c r="B12" s="4">
        <v>919</v>
      </c>
      <c r="C12" s="5" cm="1">
        <f t="array" aca="1" ref="C12" ca="1">INDIRECT("'results" &amp; $B12 &amp; "'!D$14")</f>
        <v>1382227.882921784</v>
      </c>
      <c r="D12" s="32" cm="1">
        <f t="array" aca="1" ref="D12" ca="1">INDIRECT("'results" &amp; $B12 &amp; "'!E$14")</f>
        <v>2412.2508331000572</v>
      </c>
      <c r="E12" s="5" cm="1">
        <f t="array" aca="1" ref="E12" ca="1">INDIRECT("'results" &amp; $B12 &amp; "'!F$14")</f>
        <v>15</v>
      </c>
      <c r="F12" s="5" cm="1">
        <f t="array" aca="1" ref="F12" ca="1">INDIRECT("'results" &amp; $B12 &amp; "'!G$14")</f>
        <v>92.666666666666671</v>
      </c>
      <c r="G12" s="5" cm="1">
        <f t="array" aca="1" ref="G12" ca="1">INDIRECT("'results" &amp; $B12 &amp; "'!H$14")</f>
        <v>916.60266133963671</v>
      </c>
      <c r="H12" s="32" cm="1">
        <f t="array" aca="1" ref="H12" ca="1">INDIRECT("'results" &amp; $B12 &amp; "'!I$14")</f>
        <v>39.014863173724038</v>
      </c>
      <c r="I12" s="5" cm="1">
        <f t="array" aca="1" ref="I12" ca="1">INDIRECT("'results" &amp; $B12 &amp; "'!J$14")</f>
        <v>6055.6278308863575</v>
      </c>
      <c r="J12" s="5"/>
      <c r="K12" s="5" cm="1">
        <f t="array" aca="1" ref="K12" ca="1">INDIRECT("'results" &amp; $B12 &amp; "'!L$14")</f>
        <v>1676666.863173889</v>
      </c>
      <c r="L12" s="5" cm="1">
        <f t="array" aca="1" ref="L12" ca="1">INDIRECT("'results" &amp; $B12 &amp; "'!M$14")</f>
        <v>1103.863254799973</v>
      </c>
      <c r="M12" s="5" cm="1">
        <f t="array" aca="1" ref="M12" ca="1">INDIRECT("'results" &amp; $B12 &amp; "'!N$14")</f>
        <v>25</v>
      </c>
      <c r="N12" s="5" cm="1">
        <f t="array" aca="1" ref="N12" ca="1">INDIRECT("'results" &amp; $B12 &amp; "'!O$14")</f>
        <v>82</v>
      </c>
      <c r="O12" s="5" cm="1">
        <f t="array" aca="1" ref="O12" ca="1">INDIRECT("'results" &amp; $B12 &amp; "'!P$14")</f>
        <v>650.14111418030234</v>
      </c>
      <c r="P12" s="5" cm="1">
        <f t="array" aca="1" ref="P12" ca="1">INDIRECT("'results" &amp; $B12 &amp; "'!Q$14")</f>
        <v>20.010339675526552</v>
      </c>
      <c r="Q12" s="5" cm="1">
        <f t="array" aca="1" ref="Q12" ca="1">INDIRECT("'results" &amp; $B12 &amp; "'!R$14")</f>
        <v>5315.9439255863899</v>
      </c>
      <c r="R12" s="5"/>
      <c r="S12" s="5" cm="1">
        <f t="array" aca="1" ref="S12" ca="1">INDIRECT("'results" &amp; $B12 &amp; "'!T$14")</f>
        <v>1860268.08731585</v>
      </c>
      <c r="T12" s="5" cm="1">
        <f t="array" aca="1" ref="T12" ca="1">INDIRECT("'results" &amp; $B12 &amp; "'!U$14")</f>
        <v>476.19983569998288</v>
      </c>
      <c r="U12" s="5" cm="1">
        <f t="array" aca="1" ref="U12" ca="1">INDIRECT("'results" &amp; $B12 &amp; "'!V$14")</f>
        <v>13</v>
      </c>
      <c r="V12" s="5" cm="1">
        <f t="array" aca="1" ref="V12" ca="1">INDIRECT("'results" &amp; $B12 &amp; "'!W$14")</f>
        <v>68</v>
      </c>
      <c r="W12" s="5" cm="1">
        <f t="array" aca="1" ref="W12" ca="1">INDIRECT("'results" &amp; $B12 &amp; "'!X$14")</f>
        <v>1050.0913753399377</v>
      </c>
      <c r="X12" s="5" cm="1">
        <f t="array" aca="1" ref="X12" ca="1">INDIRECT("'results" &amp; $B12 &amp; "'!Y$14")</f>
        <v>54.258271996533558</v>
      </c>
      <c r="Y12" s="5" cm="1">
        <f t="array" aca="1" ref="Y12" ca="1">INDIRECT("'results" &amp; $B12 &amp; "'!Z$14")</f>
        <v>6593.892469234479</v>
      </c>
      <c r="Z12" s="5"/>
    </row>
    <row r="13" spans="2:26" x14ac:dyDescent="0.2">
      <c r="B13" s="8" t="s">
        <v>3</v>
      </c>
      <c r="C13" s="9">
        <f ca="1">AVERAGE(C3:C12)</f>
        <v>1206490.523143355</v>
      </c>
      <c r="D13" s="10">
        <f t="shared" ref="D13:I13" ca="1" si="0">AVERAGE(D3:D12)</f>
        <v>991.10336674001303</v>
      </c>
      <c r="E13" s="9">
        <f t="shared" ca="1" si="0"/>
        <v>13.2</v>
      </c>
      <c r="F13" s="9">
        <f t="shared" ca="1" si="0"/>
        <v>95.6</v>
      </c>
      <c r="G13" s="9">
        <f t="shared" ca="1" si="0"/>
        <v>615.05887131134273</v>
      </c>
      <c r="H13" s="10">
        <f t="shared" ca="1" si="0"/>
        <v>41.168889895709739</v>
      </c>
      <c r="I13" s="9">
        <f t="shared" ca="1" si="0"/>
        <v>5749.3749092576545</v>
      </c>
      <c r="J13" s="31" t="e">
        <f ca="1">(C13-$D$15)/$D$15</f>
        <v>#DIV/0!</v>
      </c>
      <c r="K13" s="16">
        <f ca="1">AVERAGE(K3:K12)</f>
        <v>1525828.214442272</v>
      </c>
      <c r="L13" s="42">
        <f t="shared" ref="L13:Q13" ca="1" si="1">AVERAGE(L3:L12)</f>
        <v>1475.72754556</v>
      </c>
      <c r="M13" s="16">
        <f t="shared" ca="1" si="1"/>
        <v>24.6</v>
      </c>
      <c r="N13" s="16">
        <f ca="1">AVERAGE(N3:N12)</f>
        <v>85.933333333333337</v>
      </c>
      <c r="O13" s="16">
        <f t="shared" ca="1" si="1"/>
        <v>492.77388182252599</v>
      </c>
      <c r="P13" s="42">
        <f t="shared" ca="1" si="1"/>
        <v>19.093255678083615</v>
      </c>
      <c r="Q13" s="16">
        <f t="shared" ca="1" si="1"/>
        <v>4967.2285202414387</v>
      </c>
      <c r="R13" s="43" t="e">
        <f ca="1">(K13-$D$15)/$D$15</f>
        <v>#DIV/0!</v>
      </c>
      <c r="S13" s="37">
        <f ca="1">AVERAGE(S3:S12)</f>
        <v>1636906.4942022329</v>
      </c>
      <c r="T13" s="44">
        <f t="shared" ref="T13:Y13" ca="1" si="2">AVERAGE(T3:T12)</f>
        <v>970.69660191001606</v>
      </c>
      <c r="U13" s="37">
        <f t="shared" ca="1" si="2"/>
        <v>13.7</v>
      </c>
      <c r="V13" s="37">
        <f t="shared" ca="1" si="2"/>
        <v>78.533333333333331</v>
      </c>
      <c r="W13" s="37">
        <f t="shared" ca="1" si="2"/>
        <v>1004.2382301362502</v>
      </c>
      <c r="X13" s="44">
        <f t="shared" ca="1" si="2"/>
        <v>51.672763778390923</v>
      </c>
      <c r="Y13" s="37">
        <f t="shared" ca="1" si="2"/>
        <v>6427.7211773591853</v>
      </c>
      <c r="Z13" s="45" t="e">
        <f ca="1">(S13-$D$15)/$D$15</f>
        <v>#DIV/0!</v>
      </c>
    </row>
    <row r="14" spans="2:26" x14ac:dyDescent="0.2">
      <c r="K14" s="46">
        <f ca="1">(K13-C13)/C13</f>
        <v>0.26468313275012212</v>
      </c>
      <c r="L14" s="46">
        <f t="shared" ref="L14:Q14" ca="1" si="3">(L13-D13)/D13</f>
        <v>0.48897440477277071</v>
      </c>
      <c r="M14" s="46">
        <f t="shared" ca="1" si="3"/>
        <v>0.86363636363636387</v>
      </c>
      <c r="N14" s="46">
        <f t="shared" ca="1" si="3"/>
        <v>-0.10111576011157591</v>
      </c>
      <c r="O14" s="46">
        <f t="shared" ca="1" si="3"/>
        <v>-0.19881834925508471</v>
      </c>
      <c r="P14" s="46">
        <f t="shared" ca="1" si="3"/>
        <v>-0.53622126497820999</v>
      </c>
      <c r="Q14" s="46">
        <f t="shared" ca="1" si="3"/>
        <v>-0.13604024808971879</v>
      </c>
      <c r="S14" s="46">
        <f ca="1">(S13-C13)/C13</f>
        <v>0.35675039530147717</v>
      </c>
      <c r="T14" s="46">
        <f t="shared" ref="T14:Y14" ca="1" si="4">(T13-D13)/D13</f>
        <v>-2.0589946028656859E-2</v>
      </c>
      <c r="U14" s="46">
        <f t="shared" ca="1" si="4"/>
        <v>3.787878787878788E-2</v>
      </c>
      <c r="V14" s="46">
        <f ca="1">(V13-F13)/F13</f>
        <v>-0.17852161785216175</v>
      </c>
      <c r="W14" s="46">
        <f t="shared" ca="1" si="4"/>
        <v>0.63275139499273225</v>
      </c>
      <c r="X14" s="46">
        <f t="shared" ca="1" si="4"/>
        <v>0.25514105212187915</v>
      </c>
      <c r="Y14" s="46">
        <f t="shared" ca="1" si="4"/>
        <v>0.11798609045467817</v>
      </c>
    </row>
    <row r="16" spans="2:26" x14ac:dyDescent="0.2">
      <c r="B16" s="1" t="s">
        <v>21</v>
      </c>
      <c r="C16">
        <f ca="1">_xlfn.STDEV.S(C3:C12)</f>
        <v>118590.7485652649</v>
      </c>
      <c r="J16" s="1" t="s">
        <v>21</v>
      </c>
      <c r="K16">
        <f ca="1">_xlfn.STDEV.S(K3:K12)</f>
        <v>104035.0337774902</v>
      </c>
      <c r="R16" s="1" t="s">
        <v>21</v>
      </c>
      <c r="S16">
        <f ca="1">_xlfn.STDEV.S(S3:S12)</f>
        <v>133484.58140141473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730F0-1332-4C1A-86A9-8954F2AD8D71}">
  <dimension ref="B1:AA40"/>
  <sheetViews>
    <sheetView zoomScale="90" zoomScaleNormal="90" workbookViewId="0">
      <selection activeCell="A17" sqref="A17:XFD4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-0.93990277045969373</v>
      </c>
      <c r="J2" s="28" t="e">
        <f>(S14-J14)/J14</f>
        <v>#DIV/0!</v>
      </c>
      <c r="K2" s="28"/>
      <c r="L2" s="1" t="s">
        <v>19</v>
      </c>
      <c r="P2" s="1">
        <f>(P14-H14)/H14</f>
        <v>9.8108262497457379E-3</v>
      </c>
      <c r="R2" s="1">
        <f>(R14-J14)/J14</f>
        <v>-0.12633701131998906</v>
      </c>
      <c r="T2" s="1" t="s">
        <v>20</v>
      </c>
      <c r="X2" s="1">
        <f>(X14-P14)/P14</f>
        <v>1.8798366166076859</v>
      </c>
      <c r="Z2" s="1">
        <f>(Z14-R14)/R14</f>
        <v>0.34953414451516457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6" t="s">
        <v>0</v>
      </c>
      <c r="U3" s="36" t="s">
        <v>5</v>
      </c>
      <c r="V3" s="36" t="s">
        <v>12</v>
      </c>
      <c r="W3" s="36" t="s">
        <v>15</v>
      </c>
      <c r="X3" s="36" t="s">
        <v>11</v>
      </c>
      <c r="Y3" s="36" t="s">
        <v>16</v>
      </c>
      <c r="Z3" s="36" t="s">
        <v>10</v>
      </c>
      <c r="AA3" s="36" t="s">
        <v>1</v>
      </c>
    </row>
    <row r="4" spans="2:27" x14ac:dyDescent="0.2">
      <c r="B4" s="4">
        <v>1</v>
      </c>
      <c r="C4" s="4">
        <v>243</v>
      </c>
      <c r="D4" s="23">
        <v>1145983.447474296</v>
      </c>
      <c r="E4" s="32">
        <v>234.63160680001599</v>
      </c>
      <c r="F4" s="5">
        <v>11</v>
      </c>
      <c r="G4" s="23">
        <v>96.666666666666671</v>
      </c>
      <c r="H4" s="32">
        <v>498.8778913225583</v>
      </c>
      <c r="I4" s="23">
        <v>50.672964388036306</v>
      </c>
      <c r="J4" s="5">
        <v>5836.125146404549</v>
      </c>
      <c r="K4" s="30"/>
      <c r="L4" s="23">
        <v>1538906.55503944</v>
      </c>
      <c r="M4" s="32">
        <v>573.73267310007941</v>
      </c>
      <c r="N4" s="5">
        <v>25</v>
      </c>
      <c r="O4" s="5">
        <v>85.333333333333329</v>
      </c>
      <c r="P4" s="32">
        <v>439.07316734586135</v>
      </c>
      <c r="Q4" s="5">
        <v>19.248015919899629</v>
      </c>
      <c r="R4" s="5">
        <v>4920.5986287020451</v>
      </c>
      <c r="S4" s="34"/>
      <c r="T4" s="23">
        <v>1571365.897563427</v>
      </c>
      <c r="U4" s="32">
        <v>731.52087949996348</v>
      </c>
      <c r="V4" s="5">
        <v>15</v>
      </c>
      <c r="W4" s="5">
        <v>84</v>
      </c>
      <c r="X4" s="32">
        <v>1170.2767937888862</v>
      </c>
      <c r="Y4" s="5">
        <v>53.231120385869538</v>
      </c>
      <c r="Z4" s="5">
        <v>6577.9190113586774</v>
      </c>
      <c r="AA4" s="34"/>
    </row>
    <row r="5" spans="2:27" x14ac:dyDescent="0.2">
      <c r="B5" s="4">
        <v>2</v>
      </c>
      <c r="C5" s="4">
        <v>748</v>
      </c>
      <c r="D5" s="23">
        <v>1129023.547459397</v>
      </c>
      <c r="E5" s="32">
        <v>436.4829317999538</v>
      </c>
      <c r="F5" s="5">
        <v>13</v>
      </c>
      <c r="G5" s="23">
        <v>96.666666666666671</v>
      </c>
      <c r="H5" s="32">
        <v>362.50132651710283</v>
      </c>
      <c r="I5" s="23">
        <v>42.670886067446219</v>
      </c>
      <c r="J5" s="5">
        <v>5571.2612177250712</v>
      </c>
      <c r="K5" s="30"/>
      <c r="L5" s="23">
        <v>1520098.112225608</v>
      </c>
      <c r="M5" s="32">
        <v>891.83698700007517</v>
      </c>
      <c r="N5" s="5">
        <v>29</v>
      </c>
      <c r="O5" s="5">
        <v>88.666666666666671</v>
      </c>
      <c r="P5" s="32">
        <v>397.77030626498561</v>
      </c>
      <c r="Q5" s="5">
        <v>17.749763091198488</v>
      </c>
      <c r="R5" s="5">
        <v>4812.9563635113564</v>
      </c>
      <c r="S5" s="34"/>
      <c r="T5" s="23">
        <v>1621271.3602209741</v>
      </c>
      <c r="U5" s="32">
        <v>730.27997879998293</v>
      </c>
      <c r="V5" s="5">
        <v>13</v>
      </c>
      <c r="W5" s="5">
        <v>78</v>
      </c>
      <c r="X5" s="32">
        <v>896.58355751663419</v>
      </c>
      <c r="Y5" s="5">
        <v>52.654065846220618</v>
      </c>
      <c r="Z5" s="5">
        <v>6378.6195243731463</v>
      </c>
      <c r="AA5" s="34"/>
    </row>
    <row r="6" spans="2:27" x14ac:dyDescent="0.2">
      <c r="B6" s="4">
        <v>3</v>
      </c>
      <c r="C6" s="4">
        <v>675</v>
      </c>
      <c r="D6" s="23">
        <v>1130800.9084166221</v>
      </c>
      <c r="E6" s="32">
        <v>1075.3924739999929</v>
      </c>
      <c r="F6" s="5">
        <v>12</v>
      </c>
      <c r="G6" s="23">
        <v>96.666666666666671</v>
      </c>
      <c r="H6" s="32">
        <v>411.33702352004292</v>
      </c>
      <c r="I6" s="23">
        <v>47.124733445286076</v>
      </c>
      <c r="J6" s="5">
        <v>5673.8617113342043</v>
      </c>
      <c r="K6" s="30"/>
      <c r="L6" s="23">
        <v>1515765.439898425</v>
      </c>
      <c r="M6" s="32">
        <v>1798.3246432999149</v>
      </c>
      <c r="N6" s="5">
        <v>24</v>
      </c>
      <c r="O6" s="5">
        <v>84</v>
      </c>
      <c r="P6" s="32">
        <v>296.17779824837095</v>
      </c>
      <c r="Q6" s="5">
        <v>19.407062709947159</v>
      </c>
      <c r="R6" s="5">
        <v>4789.8953371384441</v>
      </c>
      <c r="S6" s="34"/>
      <c r="T6" s="23">
        <v>1545053.8326438169</v>
      </c>
      <c r="U6" s="32">
        <v>1121.5021461000431</v>
      </c>
      <c r="V6" s="5">
        <v>14</v>
      </c>
      <c r="W6" s="5">
        <v>83.333333333333329</v>
      </c>
      <c r="X6" s="32">
        <v>969.90537308073692</v>
      </c>
      <c r="Y6" s="5">
        <v>53.270712728166053</v>
      </c>
      <c r="Z6" s="5">
        <v>6412.6094563230226</v>
      </c>
      <c r="AA6" s="34"/>
    </row>
    <row r="7" spans="2:27" x14ac:dyDescent="0.2">
      <c r="B7" s="4">
        <v>4</v>
      </c>
      <c r="C7" s="4">
        <v>391</v>
      </c>
      <c r="D7" s="23">
        <v>1120499.5584518691</v>
      </c>
      <c r="E7" s="32">
        <v>1223.344456800027</v>
      </c>
      <c r="F7" s="5">
        <v>12</v>
      </c>
      <c r="G7" s="23">
        <v>96.666666666666671</v>
      </c>
      <c r="H7" s="32">
        <v>374.28390635368697</v>
      </c>
      <c r="I7" s="23">
        <v>47.409806954551918</v>
      </c>
      <c r="J7" s="5">
        <v>5669.6551466040037</v>
      </c>
      <c r="K7" s="30"/>
      <c r="L7" s="23">
        <v>1554172.0184090079</v>
      </c>
      <c r="M7" s="32">
        <v>1075.2776332000501</v>
      </c>
      <c r="N7" s="5">
        <v>26</v>
      </c>
      <c r="O7" s="5">
        <v>86</v>
      </c>
      <c r="P7" s="32">
        <v>432.57221497054314</v>
      </c>
      <c r="Q7" s="5">
        <v>18.338251120858132</v>
      </c>
      <c r="R7" s="5">
        <v>4975.8592240059934</v>
      </c>
      <c r="S7" s="34"/>
      <c r="T7" s="23">
        <v>1616285.6625681969</v>
      </c>
      <c r="U7" s="32">
        <v>1144.813204200007</v>
      </c>
      <c r="V7" s="5">
        <v>12</v>
      </c>
      <c r="W7" s="5">
        <v>76</v>
      </c>
      <c r="X7" s="32">
        <v>740.75472854055533</v>
      </c>
      <c r="Y7" s="5">
        <v>53.711126444260636</v>
      </c>
      <c r="Z7" s="5">
        <v>6127.3077469466234</v>
      </c>
      <c r="AA7" s="34"/>
    </row>
    <row r="8" spans="2:27" x14ac:dyDescent="0.2">
      <c r="B8" s="4">
        <v>5</v>
      </c>
      <c r="C8" s="4">
        <v>500</v>
      </c>
      <c r="D8" s="23">
        <v>1116674.2117060679</v>
      </c>
      <c r="E8" s="32">
        <v>911.30037919990718</v>
      </c>
      <c r="F8" s="5">
        <v>12</v>
      </c>
      <c r="G8" s="23">
        <v>96.666666666666671</v>
      </c>
      <c r="H8" s="32">
        <v>385.30273485536713</v>
      </c>
      <c r="I8" s="23">
        <v>47.136172914549398</v>
      </c>
      <c r="J8" s="5">
        <v>5615.027451680885</v>
      </c>
      <c r="K8" s="30"/>
      <c r="L8" s="23">
        <v>1551447.16000225</v>
      </c>
      <c r="M8" s="32">
        <v>2011.8049248000609</v>
      </c>
      <c r="N8" s="5">
        <v>24</v>
      </c>
      <c r="O8" s="5">
        <v>84</v>
      </c>
      <c r="P8" s="32">
        <v>479.51490735086344</v>
      </c>
      <c r="Q8" s="5">
        <v>19.384261054791619</v>
      </c>
      <c r="R8" s="5">
        <v>4953.4970606572451</v>
      </c>
      <c r="S8" s="34"/>
      <c r="T8" s="23">
        <v>1616211.543678252</v>
      </c>
      <c r="U8" s="32">
        <v>486.59892619994929</v>
      </c>
      <c r="V8" s="5">
        <v>12</v>
      </c>
      <c r="W8" s="5">
        <v>78</v>
      </c>
      <c r="X8" s="32">
        <v>970.14026948621631</v>
      </c>
      <c r="Y8" s="5">
        <v>56.402200004711169</v>
      </c>
      <c r="Z8" s="5">
        <v>6435.1028835125771</v>
      </c>
      <c r="AA8" s="34"/>
    </row>
    <row r="9" spans="2:27" x14ac:dyDescent="0.2">
      <c r="B9" s="4">
        <v>6</v>
      </c>
      <c r="C9" s="4">
        <v>321</v>
      </c>
      <c r="D9" s="23">
        <v>1108152.2143071101</v>
      </c>
      <c r="E9" s="32">
        <v>873.71253250003792</v>
      </c>
      <c r="F9" s="5">
        <v>13</v>
      </c>
      <c r="G9" s="23">
        <v>96.666666666666671</v>
      </c>
      <c r="H9" s="32">
        <v>333.35980626067669</v>
      </c>
      <c r="I9" s="23">
        <v>42.922698864761273</v>
      </c>
      <c r="J9" s="5">
        <v>5465.7243512266095</v>
      </c>
      <c r="K9" s="30"/>
      <c r="L9" s="23">
        <v>1507545.7980604949</v>
      </c>
      <c r="M9" s="32">
        <v>2498.9669561999622</v>
      </c>
      <c r="N9" s="5">
        <v>26</v>
      </c>
      <c r="O9" s="5">
        <v>86.666666666666671</v>
      </c>
      <c r="P9" s="32">
        <v>374.45603678620375</v>
      </c>
      <c r="Q9" s="5">
        <v>18.758319064870843</v>
      </c>
      <c r="R9" s="5">
        <v>4849.1776657774963</v>
      </c>
      <c r="S9" s="34"/>
      <c r="T9" s="23">
        <v>1632209.533648323</v>
      </c>
      <c r="U9" s="32">
        <v>661.55859339993913</v>
      </c>
      <c r="V9" s="5">
        <v>13</v>
      </c>
      <c r="W9" s="5">
        <v>78.666666666666671</v>
      </c>
      <c r="X9" s="32">
        <v>1043.2433813273462</v>
      </c>
      <c r="Y9" s="5">
        <v>50.737107889915748</v>
      </c>
      <c r="Z9" s="5">
        <v>6417.0215815627853</v>
      </c>
      <c r="AA9" s="34"/>
    </row>
    <row r="10" spans="2:27" x14ac:dyDescent="0.2">
      <c r="B10" s="4">
        <v>7</v>
      </c>
      <c r="C10" s="4">
        <v>410</v>
      </c>
      <c r="D10" s="23">
        <v>1132063.359916053</v>
      </c>
      <c r="E10" s="32">
        <v>828.69999819993973</v>
      </c>
      <c r="F10" s="5">
        <v>12</v>
      </c>
      <c r="G10" s="23">
        <v>96.666666666666671</v>
      </c>
      <c r="H10" s="32">
        <v>404.77442500662153</v>
      </c>
      <c r="I10" s="23">
        <v>47.152120792798605</v>
      </c>
      <c r="J10" s="5">
        <v>5696.5041042609619</v>
      </c>
      <c r="K10" s="30"/>
      <c r="L10" s="23">
        <v>1519829.989885642</v>
      </c>
      <c r="M10" s="32">
        <v>1286.298681500019</v>
      </c>
      <c r="N10" s="5">
        <v>28</v>
      </c>
      <c r="O10" s="5">
        <v>88.666666666666671</v>
      </c>
      <c r="P10" s="32">
        <v>479.38592944783585</v>
      </c>
      <c r="Q10" s="5">
        <v>18.077693393709229</v>
      </c>
      <c r="R10" s="5">
        <v>4874.9432857087359</v>
      </c>
      <c r="S10" s="34"/>
      <c r="T10" s="23">
        <v>1646222.800928649</v>
      </c>
      <c r="U10" s="32">
        <v>448.37634570000228</v>
      </c>
      <c r="V10" s="5">
        <v>11</v>
      </c>
      <c r="W10" s="5">
        <v>76</v>
      </c>
      <c r="X10" s="32">
        <v>885.18828983856406</v>
      </c>
      <c r="Y10" s="5">
        <v>57.16818860426438</v>
      </c>
      <c r="Z10" s="5">
        <v>6449.8017208982392</v>
      </c>
      <c r="AA10" s="34"/>
    </row>
    <row r="11" spans="2:27" x14ac:dyDescent="0.2">
      <c r="B11" s="4">
        <v>8</v>
      </c>
      <c r="C11" s="4">
        <v>908</v>
      </c>
      <c r="D11" s="23">
        <v>1122734.143844085</v>
      </c>
      <c r="E11" s="32">
        <v>653.33452729997225</v>
      </c>
      <c r="F11" s="5">
        <v>12</v>
      </c>
      <c r="G11" s="23">
        <v>96.666666666666671</v>
      </c>
      <c r="H11" s="32">
        <v>384.32714514225995</v>
      </c>
      <c r="I11" s="23">
        <v>47.531387762841938</v>
      </c>
      <c r="J11" s="5">
        <v>5671.2615596533051</v>
      </c>
      <c r="K11" s="30"/>
      <c r="L11" s="23">
        <v>1558096.9991647589</v>
      </c>
      <c r="M11" s="32">
        <v>3147.7415088999551</v>
      </c>
      <c r="N11" s="5">
        <v>28</v>
      </c>
      <c r="O11" s="5">
        <v>88</v>
      </c>
      <c r="P11" s="32">
        <v>584.35341006844953</v>
      </c>
      <c r="Q11" s="5">
        <v>17.731653028359997</v>
      </c>
      <c r="R11" s="5">
        <v>5009.0369531815159</v>
      </c>
      <c r="S11" s="34"/>
      <c r="T11" s="23">
        <v>1663310.4340776571</v>
      </c>
      <c r="U11" s="32">
        <v>304.69444120000122</v>
      </c>
      <c r="V11" s="5">
        <v>13</v>
      </c>
      <c r="W11" s="5">
        <v>74.666666666666671</v>
      </c>
      <c r="X11" s="32">
        <v>819.04103687257316</v>
      </c>
      <c r="Y11" s="5">
        <v>52.075468780203849</v>
      </c>
      <c r="Z11" s="5">
        <v>6223.5645085567139</v>
      </c>
      <c r="AA11" s="34"/>
    </row>
    <row r="12" spans="2:27" x14ac:dyDescent="0.2">
      <c r="B12" s="4">
        <v>9</v>
      </c>
      <c r="C12" s="4">
        <v>436</v>
      </c>
      <c r="D12" s="23">
        <v>1119203.326240842</v>
      </c>
      <c r="E12" s="32">
        <v>1446.6732847000239</v>
      </c>
      <c r="F12" s="5">
        <v>12</v>
      </c>
      <c r="G12" s="23">
        <v>96.666666666666671</v>
      </c>
      <c r="H12" s="32">
        <v>376.33042773295358</v>
      </c>
      <c r="I12" s="23">
        <v>47.343220280407451</v>
      </c>
      <c r="J12" s="5">
        <v>5649.6744048672717</v>
      </c>
      <c r="K12" s="30"/>
      <c r="L12" s="23">
        <v>1505931.0254123979</v>
      </c>
      <c r="M12" s="32">
        <v>1004.554018000024</v>
      </c>
      <c r="N12" s="5">
        <v>24</v>
      </c>
      <c r="O12" s="5">
        <v>84.666666666666671</v>
      </c>
      <c r="P12" s="32">
        <v>336.63034139854909</v>
      </c>
      <c r="Q12" s="5">
        <v>20.034000796359948</v>
      </c>
      <c r="R12" s="5">
        <v>4775.2010719937534</v>
      </c>
      <c r="S12" s="34"/>
      <c r="T12" s="23">
        <v>1587242.0602946761</v>
      </c>
      <c r="U12" s="32">
        <v>727.65132319997065</v>
      </c>
      <c r="V12" s="5">
        <v>12</v>
      </c>
      <c r="W12" s="5">
        <v>78</v>
      </c>
      <c r="X12" s="32">
        <v>737.14604044041369</v>
      </c>
      <c r="Y12" s="5">
        <v>55.164643198746347</v>
      </c>
      <c r="Z12" s="5">
        <v>6245.4409999816316</v>
      </c>
      <c r="AA12" s="34"/>
    </row>
    <row r="13" spans="2:27" x14ac:dyDescent="0.2">
      <c r="B13" s="4">
        <v>10</v>
      </c>
      <c r="C13" s="4">
        <v>797</v>
      </c>
      <c r="D13" s="23">
        <v>1112463.71071358</v>
      </c>
      <c r="E13" s="32">
        <v>1331.8474413000511</v>
      </c>
      <c r="F13" s="5">
        <v>13</v>
      </c>
      <c r="G13" s="23">
        <v>96.666666666666671</v>
      </c>
      <c r="H13" s="32">
        <v>388.39526325480557</v>
      </c>
      <c r="I13" s="23">
        <v>42.873181797578894</v>
      </c>
      <c r="J13" s="5">
        <v>5463.4379291594187</v>
      </c>
      <c r="K13" s="30"/>
      <c r="L13" s="23">
        <v>1514877.0799053209</v>
      </c>
      <c r="M13" s="32">
        <v>769.8304075000342</v>
      </c>
      <c r="N13" s="5">
        <v>24</v>
      </c>
      <c r="O13" s="5">
        <v>83.333333333333329</v>
      </c>
      <c r="P13" s="32">
        <v>274.13284933270791</v>
      </c>
      <c r="Q13" s="5">
        <v>19.570624933534734</v>
      </c>
      <c r="R13" s="5">
        <v>4693.8252548999799</v>
      </c>
      <c r="S13" s="34"/>
      <c r="T13" s="23">
        <v>1535053.3632641551</v>
      </c>
      <c r="U13" s="32">
        <v>906.17582750006113</v>
      </c>
      <c r="V13" s="5">
        <v>14</v>
      </c>
      <c r="W13" s="5">
        <v>83.333333333333329</v>
      </c>
      <c r="X13" s="32">
        <v>969.44038342068791</v>
      </c>
      <c r="Y13" s="5">
        <v>55.325246101268071</v>
      </c>
      <c r="Z13" s="5">
        <v>6444.2968935809868</v>
      </c>
      <c r="AA13" s="34"/>
    </row>
    <row r="14" spans="2:27" x14ac:dyDescent="0.2">
      <c r="B14" s="47" t="s">
        <v>3</v>
      </c>
      <c r="C14" s="48"/>
      <c r="D14" s="9">
        <f>MIN(D4:D13)</f>
        <v>1108152.2143071101</v>
      </c>
      <c r="E14" s="22">
        <f>INDEX(E4:E13, MATCH($D$14, D4:D13, 0))</f>
        <v>873.71253250003792</v>
      </c>
      <c r="F14" s="9">
        <f>INDEX(F4:F13, MATCH($D$14, D4:D13, 0))</f>
        <v>13</v>
      </c>
      <c r="G14" s="9">
        <f>INDEX(G4:G13, MATCH($D$14, D4:D13, 0))</f>
        <v>96.666666666666671</v>
      </c>
      <c r="H14" s="22">
        <f>INDEX(H4:H13, MATCH($D$14, D4:D13, 0))</f>
        <v>333.35980626067669</v>
      </c>
      <c r="I14" s="22">
        <f>INDEX(I4:I13, MATCH($D$14, D4:D13, 0))</f>
        <v>42.922698864761273</v>
      </c>
      <c r="J14" s="22">
        <f>INDEX(J4:J13, MATCH($D$14, D4:D13, 0))</f>
        <v>5465.7243512266095</v>
      </c>
      <c r="K14" s="31" t="e">
        <f>(D14-$D$15)/$D$15</f>
        <v>#DIV/0!</v>
      </c>
      <c r="L14" s="16">
        <f>MIN(L4:L13)</f>
        <v>1505931.0254123979</v>
      </c>
      <c r="M14" s="21">
        <f>INDEX(M4:M13, MATCH($L$14, L4:L13, 0))</f>
        <v>1004.554018000024</v>
      </c>
      <c r="N14" s="16">
        <f>INDEX(N4:N13, MATCH($L$14, L4:L13, 0))</f>
        <v>24</v>
      </c>
      <c r="O14" s="16">
        <f>INDEX(O4:O13, MATCH($L$14, L4:L13, 0))</f>
        <v>84.666666666666671</v>
      </c>
      <c r="P14" s="21">
        <f>INDEX(P4:P13, MATCH($L$14, L4:L13, 0))</f>
        <v>336.63034139854909</v>
      </c>
      <c r="Q14" s="21">
        <f>INDEX(Q4:Q13, MATCH($L$14, L4:L13, 0))</f>
        <v>20.034000796359948</v>
      </c>
      <c r="R14" s="21">
        <f>INDEX(R4:R13, MATCH($L$14, L4:L13, 0))</f>
        <v>4775.2010719937534</v>
      </c>
      <c r="S14" s="35" t="e">
        <f>(L14-$D$15)/$D$15</f>
        <v>#DIV/0!</v>
      </c>
      <c r="T14" s="37">
        <f>MIN(T4:T13)</f>
        <v>1535053.3632641551</v>
      </c>
      <c r="U14" s="38">
        <f>INDEX(U4:U13, MATCH($T$14, T4:T13, 0))</f>
        <v>906.17582750006113</v>
      </c>
      <c r="V14" s="37">
        <f>INDEX(V4:V13, MATCH($T$14, T4:T13, 0))</f>
        <v>14</v>
      </c>
      <c r="W14" s="37">
        <f>INDEX(W4:W13, MATCH($T$14, T4:T13, 0))</f>
        <v>83.333333333333329</v>
      </c>
      <c r="X14" s="38">
        <f>INDEX(X4:X13, MATCH($T$14, T4:T13, 0))</f>
        <v>969.44038342068791</v>
      </c>
      <c r="Y14" s="38">
        <f>INDEX(Y4:Y13, MATCH($T$14, T4:T13, 0))</f>
        <v>55.325246101268071</v>
      </c>
      <c r="Z14" s="38">
        <f>INDEX(Z4:Z13, MATCH($T$14, T4:T13, 0))</f>
        <v>6444.2968935809868</v>
      </c>
      <c r="AA14" s="39" t="e">
        <f>(T14-$D$15)/$D$15</f>
        <v>#DIV/0!</v>
      </c>
    </row>
    <row r="15" spans="2:27" x14ac:dyDescent="0.2">
      <c r="C15" s="1" t="s">
        <v>17</v>
      </c>
      <c r="D15" s="33"/>
      <c r="E15" s="3"/>
      <c r="F15" s="3"/>
      <c r="G15" s="3"/>
      <c r="H15" s="3"/>
      <c r="I15" s="3"/>
      <c r="J15" s="3"/>
      <c r="K15" s="3"/>
      <c r="L15" s="40">
        <f>(L14-D14)/D14</f>
        <v>0.35895683460237043</v>
      </c>
      <c r="M15" s="40">
        <f t="shared" ref="M15:R15" si="0">(M14-E14)/E14</f>
        <v>0.14975347226117583</v>
      </c>
      <c r="N15" s="40">
        <f t="shared" si="0"/>
        <v>0.84615384615384615</v>
      </c>
      <c r="O15" s="40">
        <f t="shared" si="0"/>
        <v>-0.12413793103448276</v>
      </c>
      <c r="P15" s="40">
        <f t="shared" si="0"/>
        <v>9.8108262497457379E-3</v>
      </c>
      <c r="Q15" s="40">
        <f t="shared" si="0"/>
        <v>-0.53325393495217788</v>
      </c>
      <c r="R15" s="40">
        <f t="shared" si="0"/>
        <v>-0.12633701131998906</v>
      </c>
      <c r="T15" s="40">
        <f>(T14-D14)/D14</f>
        <v>0.38523692273084692</v>
      </c>
      <c r="U15" s="40">
        <f t="shared" ref="U15:Z15" si="1">(U14-E14)/E14</f>
        <v>3.715557897187631E-2</v>
      </c>
      <c r="V15" s="40">
        <f t="shared" si="1"/>
        <v>7.6923076923076927E-2</v>
      </c>
      <c r="W15" s="40">
        <f t="shared" si="1"/>
        <v>-0.1379310344827587</v>
      </c>
      <c r="X15" s="40">
        <f t="shared" si="1"/>
        <v>1.9080901932808798</v>
      </c>
      <c r="Y15" s="40">
        <f t="shared" si="1"/>
        <v>0.28895077813219838</v>
      </c>
      <c r="Z15" s="40">
        <f t="shared" si="1"/>
        <v>0.17903803402284044</v>
      </c>
    </row>
    <row r="16" spans="2:27" x14ac:dyDescent="0.2">
      <c r="D16" s="2"/>
    </row>
    <row r="17" spans="4:4" x14ac:dyDescent="0.2">
      <c r="D17" s="2"/>
    </row>
    <row r="33" s="1" customFormat="1" x14ac:dyDescent="0.2"/>
    <row r="34" s="1" customFormat="1" x14ac:dyDescent="0.2"/>
    <row r="35" s="1" customFormat="1" x14ac:dyDescent="0.2"/>
    <row r="36" s="1" customFormat="1" x14ac:dyDescent="0.2"/>
    <row r="37" s="1" customFormat="1" x14ac:dyDescent="0.2"/>
    <row r="38" s="1" customFormat="1" x14ac:dyDescent="0.2"/>
    <row r="39" s="1" customFormat="1" x14ac:dyDescent="0.2"/>
    <row r="40" s="1" customFormat="1" x14ac:dyDescent="0.2"/>
  </sheetData>
  <mergeCells count="1">
    <mergeCell ref="B14:C14"/>
  </mergeCells>
  <conditionalFormatting sqref="C1:C13 C16:C1048576">
    <cfRule type="duplicateValues" dxfId="109" priority="5"/>
    <cfRule type="duplicateValues" dxfId="108" priority="6"/>
  </conditionalFormatting>
  <conditionalFormatting sqref="C14">
    <cfRule type="duplicateValues" dxfId="107" priority="3"/>
    <cfRule type="duplicateValues" dxfId="106" priority="4"/>
  </conditionalFormatting>
  <conditionalFormatting sqref="C15">
    <cfRule type="duplicateValues" dxfId="105" priority="1"/>
    <cfRule type="duplicateValues" dxfId="104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9A21E-3A5A-4B5C-BBBC-65FEC5B83D4E}">
  <dimension ref="B1:AA40"/>
  <sheetViews>
    <sheetView zoomScale="90" zoomScaleNormal="90" workbookViewId="0">
      <selection activeCell="A17" sqref="A17:XFD4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-0.97509605173881153</v>
      </c>
      <c r="J2" s="28" t="e">
        <f>(S14-J14)/J14</f>
        <v>#DIV/0!</v>
      </c>
      <c r="K2" s="28"/>
      <c r="L2" s="1" t="s">
        <v>19</v>
      </c>
      <c r="P2" s="1">
        <f>(P14-H14)/H14</f>
        <v>-0.25613196021020096</v>
      </c>
      <c r="R2" s="1">
        <f>(R14-J14)/J14</f>
        <v>-0.14932076764258689</v>
      </c>
      <c r="T2" s="1" t="s">
        <v>20</v>
      </c>
      <c r="X2" s="1">
        <f>(X14-P14)/P14</f>
        <v>0.75531650531169814</v>
      </c>
      <c r="Z2" s="1">
        <f>(Z14-R14)/R14</f>
        <v>0.26906358197051078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6" t="s">
        <v>0</v>
      </c>
      <c r="U3" s="36" t="s">
        <v>5</v>
      </c>
      <c r="V3" s="36" t="s">
        <v>12</v>
      </c>
      <c r="W3" s="36" t="s">
        <v>15</v>
      </c>
      <c r="X3" s="36" t="s">
        <v>11</v>
      </c>
      <c r="Y3" s="36" t="s">
        <v>16</v>
      </c>
      <c r="Z3" s="36" t="s">
        <v>10</v>
      </c>
      <c r="AA3" s="36" t="s">
        <v>1</v>
      </c>
    </row>
    <row r="4" spans="2:27" x14ac:dyDescent="0.2">
      <c r="B4" s="4">
        <v>1</v>
      </c>
      <c r="C4" s="4">
        <v>159</v>
      </c>
      <c r="D4" s="23">
        <v>1318516.338089993</v>
      </c>
      <c r="E4" s="32">
        <v>895.18671010003891</v>
      </c>
      <c r="F4" s="5">
        <v>15</v>
      </c>
      <c r="G4" s="23">
        <v>91.333333333333329</v>
      </c>
      <c r="H4" s="32">
        <v>774.58450591574956</v>
      </c>
      <c r="I4" s="23">
        <v>37.682746230119783</v>
      </c>
      <c r="J4" s="5">
        <v>5724.8201421818667</v>
      </c>
      <c r="K4" s="30"/>
      <c r="L4" s="23">
        <v>1687717.377947232</v>
      </c>
      <c r="M4" s="32">
        <v>664.11274360003881</v>
      </c>
      <c r="N4" s="5">
        <v>24</v>
      </c>
      <c r="O4" s="5">
        <v>77.333333333333329</v>
      </c>
      <c r="P4" s="32">
        <v>544.95015230532783</v>
      </c>
      <c r="Q4" s="5">
        <v>19.534064223441263</v>
      </c>
      <c r="R4" s="5">
        <v>4889.1779698196997</v>
      </c>
      <c r="S4" s="34"/>
      <c r="T4" s="23">
        <v>1764332.2721320819</v>
      </c>
      <c r="U4" s="32">
        <v>1094.656893800013</v>
      </c>
      <c r="V4" s="5">
        <v>13</v>
      </c>
      <c r="W4" s="5">
        <v>68</v>
      </c>
      <c r="X4" s="32">
        <v>750.74815349128244</v>
      </c>
      <c r="Y4" s="5">
        <v>56.948441661755638</v>
      </c>
      <c r="Z4" s="5">
        <v>6101.8762443385149</v>
      </c>
      <c r="AA4" s="34"/>
    </row>
    <row r="5" spans="2:27" x14ac:dyDescent="0.2">
      <c r="B5" s="4">
        <v>2</v>
      </c>
      <c r="C5" s="4">
        <v>237</v>
      </c>
      <c r="D5" s="23">
        <v>1358922.284235368</v>
      </c>
      <c r="E5" s="32">
        <v>1270.5535001999231</v>
      </c>
      <c r="F5" s="5">
        <v>14</v>
      </c>
      <c r="G5" s="23">
        <v>90.666666666666671</v>
      </c>
      <c r="H5" s="32">
        <v>774.36004649135668</v>
      </c>
      <c r="I5" s="23">
        <v>41.186339306570517</v>
      </c>
      <c r="J5" s="5">
        <v>6062.4784394699809</v>
      </c>
      <c r="K5" s="30"/>
      <c r="L5" s="23">
        <v>1707015.890765578</v>
      </c>
      <c r="M5" s="32">
        <v>961.85933970008045</v>
      </c>
      <c r="N5" s="5">
        <v>20</v>
      </c>
      <c r="O5" s="5">
        <v>71.333333333333329</v>
      </c>
      <c r="P5" s="32">
        <v>349.83586329583102</v>
      </c>
      <c r="Q5" s="5">
        <v>20.316369864773176</v>
      </c>
      <c r="R5" s="5">
        <v>4577.6600343003765</v>
      </c>
      <c r="S5" s="34"/>
      <c r="T5" s="23">
        <v>1755266.5577682499</v>
      </c>
      <c r="U5" s="32">
        <v>884.06194779998623</v>
      </c>
      <c r="V5" s="5">
        <v>13</v>
      </c>
      <c r="W5" s="5">
        <v>70</v>
      </c>
      <c r="X5" s="32">
        <v>856.84689669069598</v>
      </c>
      <c r="Y5" s="5">
        <v>56.041323049952936</v>
      </c>
      <c r="Z5" s="5">
        <v>6290.6947837444977</v>
      </c>
      <c r="AA5" s="34"/>
    </row>
    <row r="6" spans="2:27" x14ac:dyDescent="0.2">
      <c r="B6" s="4">
        <v>3</v>
      </c>
      <c r="C6" s="4">
        <v>267</v>
      </c>
      <c r="D6" s="23">
        <v>1351536.834827177</v>
      </c>
      <c r="E6" s="32">
        <v>752.12290030007716</v>
      </c>
      <c r="F6" s="5">
        <v>14</v>
      </c>
      <c r="G6" s="23">
        <v>92</v>
      </c>
      <c r="H6" s="32">
        <v>855.77999280321137</v>
      </c>
      <c r="I6" s="23">
        <v>39.993179579828094</v>
      </c>
      <c r="J6" s="5">
        <v>6126.9639955133425</v>
      </c>
      <c r="K6" s="30"/>
      <c r="L6" s="23">
        <v>1650593.694876431</v>
      </c>
      <c r="M6" s="32">
        <v>2029.8097871999489</v>
      </c>
      <c r="N6" s="5">
        <v>29</v>
      </c>
      <c r="O6" s="5">
        <v>84</v>
      </c>
      <c r="P6" s="32">
        <v>601.95026696043305</v>
      </c>
      <c r="Q6" s="5">
        <v>17.842603952677461</v>
      </c>
      <c r="R6" s="5">
        <v>4993.1534553862848</v>
      </c>
      <c r="S6" s="34"/>
      <c r="T6" s="23">
        <v>1761013.709591669</v>
      </c>
      <c r="U6" s="32">
        <v>1031.4545292999831</v>
      </c>
      <c r="V6" s="5">
        <v>15</v>
      </c>
      <c r="W6" s="5">
        <v>71.333333333333329</v>
      </c>
      <c r="X6" s="32">
        <v>937.789795233159</v>
      </c>
      <c r="Y6" s="5">
        <v>51.876829251370054</v>
      </c>
      <c r="Z6" s="5">
        <v>6226.6564824714696</v>
      </c>
      <c r="AA6" s="34"/>
    </row>
    <row r="7" spans="2:27" x14ac:dyDescent="0.2">
      <c r="B7" s="4">
        <v>4</v>
      </c>
      <c r="C7" s="4">
        <v>353</v>
      </c>
      <c r="D7" s="23">
        <v>1339090.219286853</v>
      </c>
      <c r="E7" s="32">
        <v>1133.502216299996</v>
      </c>
      <c r="F7" s="5">
        <v>14</v>
      </c>
      <c r="G7" s="23">
        <v>90.666666666666671</v>
      </c>
      <c r="H7" s="32">
        <v>763.90106675742004</v>
      </c>
      <c r="I7" s="23">
        <v>41.294687904540005</v>
      </c>
      <c r="J7" s="5">
        <v>5923.9146450727631</v>
      </c>
      <c r="K7" s="30"/>
      <c r="L7" s="23">
        <v>1648788.650277039</v>
      </c>
      <c r="M7" s="32">
        <v>1597.852259599953</v>
      </c>
      <c r="N7" s="5">
        <v>26</v>
      </c>
      <c r="O7" s="5">
        <v>81.333333333333329</v>
      </c>
      <c r="P7" s="32">
        <v>570.23242380583963</v>
      </c>
      <c r="Q7" s="5">
        <v>19.090803771224888</v>
      </c>
      <c r="R7" s="5">
        <v>4975.9237448500562</v>
      </c>
      <c r="S7" s="34"/>
      <c r="T7" s="23">
        <v>1833489.698262543</v>
      </c>
      <c r="U7" s="32">
        <v>1696.6120313999711</v>
      </c>
      <c r="V7" s="5">
        <v>13</v>
      </c>
      <c r="W7" s="5">
        <v>64.666666666666671</v>
      </c>
      <c r="X7" s="32">
        <v>667.62868311215391</v>
      </c>
      <c r="Y7" s="5">
        <v>52.757702394217858</v>
      </c>
      <c r="Z7" s="5">
        <v>6072.6241058692267</v>
      </c>
      <c r="AA7" s="34"/>
    </row>
    <row r="8" spans="2:27" x14ac:dyDescent="0.2">
      <c r="B8" s="4">
        <v>5</v>
      </c>
      <c r="C8" s="4">
        <v>511</v>
      </c>
      <c r="D8" s="23">
        <v>1305683.5764946409</v>
      </c>
      <c r="E8" s="32">
        <v>330.53224799991591</v>
      </c>
      <c r="F8" s="5">
        <v>15</v>
      </c>
      <c r="G8" s="23">
        <v>92</v>
      </c>
      <c r="H8" s="32">
        <v>784.5922160537051</v>
      </c>
      <c r="I8" s="23">
        <v>38.611321916300859</v>
      </c>
      <c r="J8" s="5">
        <v>5730.0969804236092</v>
      </c>
      <c r="K8" s="30"/>
      <c r="L8" s="23">
        <v>1671350.429322436</v>
      </c>
      <c r="M8" s="32">
        <v>1510.238059900003</v>
      </c>
      <c r="N8" s="5">
        <v>26</v>
      </c>
      <c r="O8" s="5">
        <v>80.666666666666671</v>
      </c>
      <c r="P8" s="32">
        <v>559.26934333995359</v>
      </c>
      <c r="Q8" s="5">
        <v>18.93725727385641</v>
      </c>
      <c r="R8" s="5">
        <v>5032.5063385068843</v>
      </c>
      <c r="S8" s="34"/>
      <c r="T8" s="23">
        <v>1769323.417002948</v>
      </c>
      <c r="U8" s="32">
        <v>2018.449156599934</v>
      </c>
      <c r="V8" s="5">
        <v>13</v>
      </c>
      <c r="W8" s="5">
        <v>68</v>
      </c>
      <c r="X8" s="32">
        <v>756.38583528525919</v>
      </c>
      <c r="Y8" s="5">
        <v>56.172572054723908</v>
      </c>
      <c r="Z8" s="5">
        <v>6103.3889720181387</v>
      </c>
      <c r="AA8" s="34"/>
    </row>
    <row r="9" spans="2:27" x14ac:dyDescent="0.2">
      <c r="B9" s="4">
        <v>6</v>
      </c>
      <c r="C9" s="4">
        <v>519</v>
      </c>
      <c r="D9" s="23">
        <v>1311451.351340262</v>
      </c>
      <c r="E9" s="32">
        <v>265.43691659998149</v>
      </c>
      <c r="F9" s="5">
        <v>16</v>
      </c>
      <c r="G9" s="23">
        <v>93.333333333333329</v>
      </c>
      <c r="H9" s="32">
        <v>822.94108513523634</v>
      </c>
      <c r="I9" s="23">
        <v>36.62580623753167</v>
      </c>
      <c r="J9" s="5">
        <v>5794.2489277706873</v>
      </c>
      <c r="K9" s="30"/>
      <c r="L9" s="23">
        <v>1668876.43892266</v>
      </c>
      <c r="M9" s="32">
        <v>857.54564110003412</v>
      </c>
      <c r="N9" s="5">
        <v>28</v>
      </c>
      <c r="O9" s="5">
        <v>82</v>
      </c>
      <c r="P9" s="32">
        <v>616.45380327508224</v>
      </c>
      <c r="Q9" s="5">
        <v>17.731501943136944</v>
      </c>
      <c r="R9" s="5">
        <v>4872.7586773217872</v>
      </c>
      <c r="S9" s="34"/>
      <c r="T9" s="23">
        <v>1755250.6770391611</v>
      </c>
      <c r="U9" s="32">
        <v>876.35382159997243</v>
      </c>
      <c r="V9" s="5">
        <v>15</v>
      </c>
      <c r="W9" s="5">
        <v>72</v>
      </c>
      <c r="X9" s="32">
        <v>1000.9383853702856</v>
      </c>
      <c r="Y9" s="5">
        <v>51.286458209631732</v>
      </c>
      <c r="Z9" s="5">
        <v>6314.7636112515302</v>
      </c>
      <c r="AA9" s="34"/>
    </row>
    <row r="10" spans="2:27" x14ac:dyDescent="0.2">
      <c r="B10" s="4">
        <v>7</v>
      </c>
      <c r="C10" s="4">
        <v>819</v>
      </c>
      <c r="D10" s="23">
        <v>1300750.0876623159</v>
      </c>
      <c r="E10" s="32">
        <v>1429.155641999911</v>
      </c>
      <c r="F10" s="5">
        <v>14</v>
      </c>
      <c r="G10" s="23">
        <v>92</v>
      </c>
      <c r="H10" s="32">
        <v>766.57739451606892</v>
      </c>
      <c r="I10" s="23">
        <v>40.954183341134787</v>
      </c>
      <c r="J10" s="5">
        <v>5849.3537347334941</v>
      </c>
      <c r="K10" s="30"/>
      <c r="L10" s="23">
        <v>1690923.770429394</v>
      </c>
      <c r="M10" s="32">
        <v>1199.905023599975</v>
      </c>
      <c r="N10" s="5">
        <v>25</v>
      </c>
      <c r="O10" s="5">
        <v>78.666666666666671</v>
      </c>
      <c r="P10" s="32">
        <v>562.70634627083598</v>
      </c>
      <c r="Q10" s="5">
        <v>18.616422441300923</v>
      </c>
      <c r="R10" s="5">
        <v>4949.1890703315667</v>
      </c>
      <c r="S10" s="34"/>
      <c r="T10" s="23">
        <v>1793590.0701966409</v>
      </c>
      <c r="U10" s="32">
        <v>1146.0991139999819</v>
      </c>
      <c r="V10" s="5">
        <v>12</v>
      </c>
      <c r="W10" s="5">
        <v>66</v>
      </c>
      <c r="X10" s="32">
        <v>682.93517527077086</v>
      </c>
      <c r="Y10" s="5">
        <v>56.810471593897283</v>
      </c>
      <c r="Z10" s="5">
        <v>6081.1322911451034</v>
      </c>
      <c r="AA10" s="34"/>
    </row>
    <row r="11" spans="2:27" x14ac:dyDescent="0.2">
      <c r="B11" s="4">
        <v>8</v>
      </c>
      <c r="C11" s="4">
        <v>824</v>
      </c>
      <c r="D11" s="23">
        <v>1307806.1973890909</v>
      </c>
      <c r="E11" s="32">
        <v>560.80002130009234</v>
      </c>
      <c r="F11" s="5">
        <v>15</v>
      </c>
      <c r="G11" s="23">
        <v>91.333333333333329</v>
      </c>
      <c r="H11" s="32">
        <v>740.99301754742066</v>
      </c>
      <c r="I11" s="23">
        <v>38.133835501892136</v>
      </c>
      <c r="J11" s="5">
        <v>5675.159317787462</v>
      </c>
      <c r="K11" s="30"/>
      <c r="L11" s="23">
        <v>1681378.5857028109</v>
      </c>
      <c r="M11" s="32">
        <v>700.17508249997627</v>
      </c>
      <c r="N11" s="5">
        <v>27</v>
      </c>
      <c r="O11" s="5">
        <v>80.666666666666671</v>
      </c>
      <c r="P11" s="32">
        <v>647.27988101989899</v>
      </c>
      <c r="Q11" s="5">
        <v>17.725774247031616</v>
      </c>
      <c r="R11" s="5">
        <v>4878.7900886516636</v>
      </c>
      <c r="S11" s="34"/>
      <c r="T11" s="23">
        <v>1780219.3430340961</v>
      </c>
      <c r="U11" s="32">
        <v>789.40274729998782</v>
      </c>
      <c r="V11" s="5">
        <v>13</v>
      </c>
      <c r="W11" s="5">
        <v>67.333333333333329</v>
      </c>
      <c r="X11" s="32">
        <v>696.60691605999421</v>
      </c>
      <c r="Y11" s="5">
        <v>55.21795358441323</v>
      </c>
      <c r="Z11" s="5">
        <v>6090.2149194837039</v>
      </c>
      <c r="AA11" s="34"/>
    </row>
    <row r="12" spans="2:27" x14ac:dyDescent="0.2">
      <c r="B12" s="4">
        <v>9</v>
      </c>
      <c r="C12" s="4">
        <v>850</v>
      </c>
      <c r="D12" s="23">
        <v>1337570.9785320151</v>
      </c>
      <c r="E12" s="32">
        <v>808.02389159996528</v>
      </c>
      <c r="F12" s="5">
        <v>14</v>
      </c>
      <c r="G12" s="23">
        <v>92.666666666666671</v>
      </c>
      <c r="H12" s="32">
        <v>829.87060187330781</v>
      </c>
      <c r="I12" s="23">
        <v>41.054702134419607</v>
      </c>
      <c r="J12" s="5">
        <v>6136.9332229938918</v>
      </c>
      <c r="K12" s="30"/>
      <c r="L12" s="23">
        <v>1693499.6713290049</v>
      </c>
      <c r="M12" s="32">
        <v>1593.214164799894</v>
      </c>
      <c r="N12" s="5">
        <v>24</v>
      </c>
      <c r="O12" s="5">
        <v>77.333333333333329</v>
      </c>
      <c r="P12" s="32">
        <v>449.16384402493901</v>
      </c>
      <c r="Q12" s="5">
        <v>19.694413673697515</v>
      </c>
      <c r="R12" s="5">
        <v>4951.0750571535964</v>
      </c>
      <c r="S12" s="34"/>
      <c r="T12" s="23">
        <v>1772365.139379133</v>
      </c>
      <c r="U12" s="32">
        <v>437.49237620003993</v>
      </c>
      <c r="V12" s="5">
        <v>13</v>
      </c>
      <c r="W12" s="5">
        <v>70</v>
      </c>
      <c r="X12" s="32">
        <v>898.91524241449395</v>
      </c>
      <c r="Y12" s="5">
        <v>57.286103492960528</v>
      </c>
      <c r="Z12" s="5">
        <v>6441.3708053419514</v>
      </c>
      <c r="AA12" s="34"/>
    </row>
    <row r="13" spans="2:27" x14ac:dyDescent="0.2">
      <c r="B13" s="4">
        <v>10</v>
      </c>
      <c r="C13" s="4">
        <v>898</v>
      </c>
      <c r="D13" s="23">
        <v>1312749.864632057</v>
      </c>
      <c r="E13" s="32">
        <v>1166.192023099982</v>
      </c>
      <c r="F13" s="5">
        <v>15</v>
      </c>
      <c r="G13" s="23">
        <v>92</v>
      </c>
      <c r="H13" s="32">
        <v>766.24524394137597</v>
      </c>
      <c r="I13" s="23">
        <v>38.226350850490419</v>
      </c>
      <c r="J13" s="5">
        <v>5801.5473297795988</v>
      </c>
      <c r="K13" s="30"/>
      <c r="L13" s="23">
        <v>1686134.277308173</v>
      </c>
      <c r="M13" s="32">
        <v>836.78505369997583</v>
      </c>
      <c r="N13" s="5">
        <v>31</v>
      </c>
      <c r="O13" s="5">
        <v>86</v>
      </c>
      <c r="P13" s="32">
        <v>749.85836939266483</v>
      </c>
      <c r="Q13" s="5">
        <v>16.838566606589232</v>
      </c>
      <c r="R13" s="5">
        <v>5149.3233966824937</v>
      </c>
      <c r="S13" s="34"/>
      <c r="T13" s="23">
        <v>1874878.0675177949</v>
      </c>
      <c r="U13" s="32">
        <v>310.79371019999962</v>
      </c>
      <c r="V13" s="5">
        <v>12</v>
      </c>
      <c r="W13" s="5">
        <v>62.666666666666657</v>
      </c>
      <c r="X13" s="32">
        <v>699.18674405896684</v>
      </c>
      <c r="Y13" s="5">
        <v>53.173154203506662</v>
      </c>
      <c r="Z13" s="5">
        <v>6129.4104623034336</v>
      </c>
      <c r="AA13" s="34"/>
    </row>
    <row r="14" spans="2:27" x14ac:dyDescent="0.2">
      <c r="B14" s="47" t="s">
        <v>3</v>
      </c>
      <c r="C14" s="48"/>
      <c r="D14" s="9">
        <f>MIN(D4:D13)</f>
        <v>1300750.0876623159</v>
      </c>
      <c r="E14" s="22">
        <f>INDEX(E4:E13, MATCH($D$14, D4:D13, 0))</f>
        <v>1429.155641999911</v>
      </c>
      <c r="F14" s="9">
        <f>INDEX(F4:F13, MATCH($D$14, D4:D13, 0))</f>
        <v>14</v>
      </c>
      <c r="G14" s="9">
        <f>INDEX(G4:G13, MATCH($D$14, D4:D13, 0))</f>
        <v>92</v>
      </c>
      <c r="H14" s="22">
        <f>INDEX(H4:H13, MATCH($D$14, D4:D13, 0))</f>
        <v>766.57739451606892</v>
      </c>
      <c r="I14" s="22">
        <f>INDEX(I4:I13, MATCH($D$14, D4:D13, 0))</f>
        <v>40.954183341134787</v>
      </c>
      <c r="J14" s="22">
        <f>INDEX(J4:J13, MATCH($D$14, D4:D13, 0))</f>
        <v>5849.3537347334941</v>
      </c>
      <c r="K14" s="31" t="e">
        <f>(D14-$D$15)/$D$15</f>
        <v>#DIV/0!</v>
      </c>
      <c r="L14" s="16">
        <f>MIN(L4:L13)</f>
        <v>1648788.650277039</v>
      </c>
      <c r="M14" s="21">
        <f>INDEX(M4:M13, MATCH($L$14, L4:L13, 0))</f>
        <v>1597.852259599953</v>
      </c>
      <c r="N14" s="16">
        <f>INDEX(N4:N13, MATCH($L$14, L4:L13, 0))</f>
        <v>26</v>
      </c>
      <c r="O14" s="16">
        <f>INDEX(O4:O13, MATCH($L$14, L4:L13, 0))</f>
        <v>81.333333333333329</v>
      </c>
      <c r="P14" s="21">
        <f>INDEX(P4:P13, MATCH($L$14, L4:L13, 0))</f>
        <v>570.23242380583963</v>
      </c>
      <c r="Q14" s="21">
        <f>INDEX(Q4:Q13, MATCH($L$14, L4:L13, 0))</f>
        <v>19.090803771224888</v>
      </c>
      <c r="R14" s="21">
        <f>INDEX(R4:R13, MATCH($L$14, L4:L13, 0))</f>
        <v>4975.9237448500562</v>
      </c>
      <c r="S14" s="35" t="e">
        <f>(L14-$D$15)/$D$15</f>
        <v>#DIV/0!</v>
      </c>
      <c r="T14" s="37">
        <f>MIN(T4:T13)</f>
        <v>1755250.6770391611</v>
      </c>
      <c r="U14" s="38">
        <f>INDEX(U4:U13, MATCH($T$14, T4:T13, 0))</f>
        <v>876.35382159997243</v>
      </c>
      <c r="V14" s="37">
        <f>INDEX(V4:V13, MATCH($T$14, T4:T13, 0))</f>
        <v>15</v>
      </c>
      <c r="W14" s="37">
        <f>INDEX(W4:W13, MATCH($T$14, T4:T13, 0))</f>
        <v>72</v>
      </c>
      <c r="X14" s="38">
        <f>INDEX(X4:X13, MATCH($T$14, T4:T13, 0))</f>
        <v>1000.9383853702856</v>
      </c>
      <c r="Y14" s="38">
        <f>INDEX(Y4:Y13, MATCH($T$14, T4:T13, 0))</f>
        <v>51.286458209631732</v>
      </c>
      <c r="Z14" s="38">
        <f>INDEX(Z4:Z13, MATCH($T$14, T4:T13, 0))</f>
        <v>6314.7636112515302</v>
      </c>
      <c r="AA14" s="39" t="e">
        <f>(T14-$D$15)/$D$15</f>
        <v>#DIV/0!</v>
      </c>
    </row>
    <row r="15" spans="2:27" x14ac:dyDescent="0.2">
      <c r="C15" s="1" t="s">
        <v>17</v>
      </c>
      <c r="D15" s="33"/>
      <c r="E15" s="3"/>
      <c r="F15" s="3"/>
      <c r="G15" s="3"/>
      <c r="H15" s="3"/>
      <c r="I15" s="3"/>
      <c r="J15" s="3"/>
      <c r="K15" s="3"/>
      <c r="L15" s="40">
        <f>(L14-D14)/D14</f>
        <v>0.26756758728358926</v>
      </c>
      <c r="M15" s="40">
        <f t="shared" ref="M15:R15" si="0">(M14-E14)/E14</f>
        <v>0.11803936019450877</v>
      </c>
      <c r="N15" s="40">
        <f t="shared" si="0"/>
        <v>0.8571428571428571</v>
      </c>
      <c r="O15" s="40">
        <f t="shared" si="0"/>
        <v>-0.1159420289855073</v>
      </c>
      <c r="P15" s="40">
        <f t="shared" si="0"/>
        <v>-0.25613196021020096</v>
      </c>
      <c r="Q15" s="40">
        <f t="shared" si="0"/>
        <v>-0.53384972635872596</v>
      </c>
      <c r="R15" s="40">
        <f t="shared" si="0"/>
        <v>-0.14932076764258689</v>
      </c>
      <c r="T15" s="40">
        <f>(T14-D14)/D14</f>
        <v>0.3494142292880143</v>
      </c>
      <c r="U15" s="40">
        <f t="shared" ref="U15:Z15" si="1">(U14-E14)/E14</f>
        <v>-0.38680309138783991</v>
      </c>
      <c r="V15" s="40">
        <f t="shared" si="1"/>
        <v>7.1428571428571425E-2</v>
      </c>
      <c r="W15" s="40">
        <f t="shared" si="1"/>
        <v>-0.21739130434782608</v>
      </c>
      <c r="X15" s="40">
        <f t="shared" si="1"/>
        <v>0.30572384801689323</v>
      </c>
      <c r="Y15" s="40">
        <f t="shared" si="1"/>
        <v>0.25228863147953695</v>
      </c>
      <c r="Z15" s="40">
        <f t="shared" si="1"/>
        <v>7.9566033723423107E-2</v>
      </c>
    </row>
    <row r="16" spans="2:27" x14ac:dyDescent="0.2">
      <c r="D16" s="2"/>
    </row>
    <row r="17" spans="4:4" x14ac:dyDescent="0.2">
      <c r="D17" s="2"/>
    </row>
    <row r="33" s="1" customFormat="1" x14ac:dyDescent="0.2"/>
    <row r="34" s="1" customFormat="1" x14ac:dyDescent="0.2"/>
    <row r="35" s="1" customFormat="1" x14ac:dyDescent="0.2"/>
    <row r="36" s="1" customFormat="1" x14ac:dyDescent="0.2"/>
    <row r="37" s="1" customFormat="1" x14ac:dyDescent="0.2"/>
    <row r="38" s="1" customFormat="1" x14ac:dyDescent="0.2"/>
    <row r="39" s="1" customFormat="1" x14ac:dyDescent="0.2"/>
    <row r="40" s="1" customFormat="1" x14ac:dyDescent="0.2"/>
  </sheetData>
  <mergeCells count="1">
    <mergeCell ref="B14:C14"/>
  </mergeCells>
  <conditionalFormatting sqref="C1:C13 C16 C41:C1048576">
    <cfRule type="duplicateValues" dxfId="103" priority="7"/>
    <cfRule type="duplicateValues" dxfId="102" priority="8"/>
  </conditionalFormatting>
  <conditionalFormatting sqref="C14">
    <cfRule type="duplicateValues" dxfId="101" priority="5"/>
    <cfRule type="duplicateValues" dxfId="100" priority="6"/>
  </conditionalFormatting>
  <conditionalFormatting sqref="C15">
    <cfRule type="duplicateValues" dxfId="99" priority="3"/>
    <cfRule type="duplicateValues" dxfId="98" priority="4"/>
  </conditionalFormatting>
  <conditionalFormatting sqref="C17:C40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B6CB6-1152-477C-9A4C-B7A136B25B78}">
  <dimension ref="B1:AA17"/>
  <sheetViews>
    <sheetView zoomScale="85" zoomScaleNormal="85" workbookViewId="0">
      <selection activeCell="A17" sqref="A17:XFD4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-0.97771645476233493</v>
      </c>
      <c r="J2" s="28" t="e">
        <f>(S14-J14)/J14</f>
        <v>#DIV/0!</v>
      </c>
      <c r="K2" s="28"/>
      <c r="L2" s="1" t="s">
        <v>19</v>
      </c>
      <c r="P2" s="1">
        <f>(P14-H14)/H14</f>
        <v>-0.31608581091663823</v>
      </c>
      <c r="R2" s="1">
        <f>(R14-J14)/J14</f>
        <v>-0.15054298832390486</v>
      </c>
      <c r="T2" s="1" t="s">
        <v>20</v>
      </c>
      <c r="X2" s="1">
        <f>(X14-P14)/P14</f>
        <v>1.2196604563809672</v>
      </c>
      <c r="Z2" s="1">
        <f>(Z14-R14)/R14</f>
        <v>0.29339046357529897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6" t="s">
        <v>0</v>
      </c>
      <c r="U3" s="36" t="s">
        <v>5</v>
      </c>
      <c r="V3" s="36" t="s">
        <v>12</v>
      </c>
      <c r="W3" s="36" t="s">
        <v>15</v>
      </c>
      <c r="X3" s="36" t="s">
        <v>11</v>
      </c>
      <c r="Y3" s="36" t="s">
        <v>16</v>
      </c>
      <c r="Z3" s="36" t="s">
        <v>10</v>
      </c>
      <c r="AA3" s="36" t="s">
        <v>1</v>
      </c>
    </row>
    <row r="4" spans="2:27" x14ac:dyDescent="0.2">
      <c r="B4" s="4">
        <v>1</v>
      </c>
      <c r="C4" s="4">
        <v>996</v>
      </c>
      <c r="D4" s="23">
        <v>1209484.162761878</v>
      </c>
      <c r="E4" s="32">
        <v>571.11066200002097</v>
      </c>
      <c r="F4" s="5">
        <v>13</v>
      </c>
      <c r="G4" s="23">
        <v>97.333333333333329</v>
      </c>
      <c r="H4" s="32">
        <v>911.7800889044529</v>
      </c>
      <c r="I4" s="23">
        <v>41.652566380468215</v>
      </c>
      <c r="J4" s="5">
        <v>6031.6722967452142</v>
      </c>
      <c r="K4" s="30"/>
      <c r="L4" s="23">
        <v>1519898.948631722</v>
      </c>
      <c r="M4" s="32">
        <v>727.73548360005952</v>
      </c>
      <c r="N4" s="5">
        <v>28</v>
      </c>
      <c r="O4" s="5">
        <v>89.333333333333329</v>
      </c>
      <c r="P4" s="32">
        <v>588.53369569883773</v>
      </c>
      <c r="Q4" s="5">
        <v>17.886785217415397</v>
      </c>
      <c r="R4" s="5">
        <v>5148.6035772115611</v>
      </c>
      <c r="S4" s="34"/>
      <c r="T4" s="23">
        <v>1653583.0562133261</v>
      </c>
      <c r="U4" s="32">
        <v>394.07113980001299</v>
      </c>
      <c r="V4" s="5">
        <v>12</v>
      </c>
      <c r="W4" s="5">
        <v>76.666666666666671</v>
      </c>
      <c r="X4" s="32">
        <v>1076.3305585844964</v>
      </c>
      <c r="Y4" s="5">
        <v>52.095184083344634</v>
      </c>
      <c r="Z4" s="5">
        <v>6565.3586323984073</v>
      </c>
      <c r="AA4" s="34"/>
    </row>
    <row r="5" spans="2:27" x14ac:dyDescent="0.2">
      <c r="B5" s="4">
        <v>2</v>
      </c>
      <c r="C5" s="4">
        <v>325</v>
      </c>
      <c r="D5" s="23">
        <v>1235019.1616887541</v>
      </c>
      <c r="E5" s="32">
        <v>504.56401740002912</v>
      </c>
      <c r="F5" s="5">
        <v>13</v>
      </c>
      <c r="G5" s="23">
        <v>96.666666666666671</v>
      </c>
      <c r="H5" s="32">
        <v>747.78504583032793</v>
      </c>
      <c r="I5" s="23">
        <v>42.321270603316528</v>
      </c>
      <c r="J5" s="5">
        <v>6193.8474610295589</v>
      </c>
      <c r="K5" s="30"/>
      <c r="L5" s="23">
        <v>1491632.922811179</v>
      </c>
      <c r="M5" s="32">
        <v>1683.3802788000321</v>
      </c>
      <c r="N5" s="5">
        <v>26</v>
      </c>
      <c r="O5" s="5">
        <v>88.666666666666671</v>
      </c>
      <c r="P5" s="32">
        <v>582.02483906737268</v>
      </c>
      <c r="Q5" s="5">
        <v>18.891097655433637</v>
      </c>
      <c r="R5" s="5">
        <v>5102.7398561882637</v>
      </c>
      <c r="S5" s="34"/>
      <c r="T5" s="23">
        <v>1698621.1909294641</v>
      </c>
      <c r="U5" s="32">
        <v>456.15344679995911</v>
      </c>
      <c r="V5" s="5">
        <v>12</v>
      </c>
      <c r="W5" s="5">
        <v>76</v>
      </c>
      <c r="X5" s="32">
        <v>1185.8238184093948</v>
      </c>
      <c r="Y5" s="5">
        <v>51.068376349901776</v>
      </c>
      <c r="Z5" s="5">
        <v>6753.863136463804</v>
      </c>
      <c r="AA5" s="34"/>
    </row>
    <row r="6" spans="2:27" x14ac:dyDescent="0.2">
      <c r="B6" s="4">
        <v>3</v>
      </c>
      <c r="C6" s="4">
        <v>161</v>
      </c>
      <c r="D6" s="23">
        <v>1229013.9627242051</v>
      </c>
      <c r="E6" s="32">
        <v>454.82407129998319</v>
      </c>
      <c r="F6" s="5">
        <v>13</v>
      </c>
      <c r="G6" s="23">
        <v>96.666666666666671</v>
      </c>
      <c r="H6" s="32">
        <v>766.2312728441384</v>
      </c>
      <c r="I6" s="23">
        <v>42.37086417302401</v>
      </c>
      <c r="J6" s="5">
        <v>6175.3614609737042</v>
      </c>
      <c r="K6" s="30"/>
      <c r="L6" s="23">
        <v>1518871.520668888</v>
      </c>
      <c r="M6" s="32">
        <v>1432.082891000086</v>
      </c>
      <c r="N6" s="5">
        <v>26</v>
      </c>
      <c r="O6" s="5">
        <v>88</v>
      </c>
      <c r="P6" s="32">
        <v>572.47254246995374</v>
      </c>
      <c r="Q6" s="5">
        <v>18.901180409879707</v>
      </c>
      <c r="R6" s="5">
        <v>5231.8562038358241</v>
      </c>
      <c r="S6" s="34"/>
      <c r="T6" s="23">
        <v>1709891.9421345941</v>
      </c>
      <c r="U6" s="32">
        <v>469.22806069999928</v>
      </c>
      <c r="V6" s="5">
        <v>12</v>
      </c>
      <c r="W6" s="5">
        <v>73.333333333333329</v>
      </c>
      <c r="X6" s="32">
        <v>938.29331022998088</v>
      </c>
      <c r="Y6" s="5">
        <v>50.657779877594123</v>
      </c>
      <c r="Z6" s="5">
        <v>6512.2001586424212</v>
      </c>
      <c r="AA6" s="34"/>
    </row>
    <row r="7" spans="2:27" x14ac:dyDescent="0.2">
      <c r="B7" s="4">
        <v>4</v>
      </c>
      <c r="C7" s="4">
        <v>27</v>
      </c>
      <c r="D7" s="23">
        <v>1211101.3860881149</v>
      </c>
      <c r="E7" s="32">
        <v>374.34157779999077</v>
      </c>
      <c r="F7" s="5">
        <v>14</v>
      </c>
      <c r="G7" s="23">
        <v>97.333333333333329</v>
      </c>
      <c r="H7" s="32">
        <v>894.69032196001956</v>
      </c>
      <c r="I7" s="23">
        <v>38.784458599466234</v>
      </c>
      <c r="J7" s="5">
        <v>5930.8969783480316</v>
      </c>
      <c r="K7" s="30"/>
      <c r="L7" s="23">
        <v>1512077.0490259519</v>
      </c>
      <c r="M7" s="32">
        <v>1287.0418947999131</v>
      </c>
      <c r="N7" s="5">
        <v>25</v>
      </c>
      <c r="O7" s="5">
        <v>86</v>
      </c>
      <c r="P7" s="32">
        <v>532.55370573510379</v>
      </c>
      <c r="Q7" s="5">
        <v>19.449478648784961</v>
      </c>
      <c r="R7" s="5">
        <v>5001.1517899497521</v>
      </c>
      <c r="S7" s="34"/>
      <c r="T7" s="23">
        <v>1745343.4016869441</v>
      </c>
      <c r="U7" s="32">
        <v>706.56975809996948</v>
      </c>
      <c r="V7" s="5">
        <v>13</v>
      </c>
      <c r="W7" s="5">
        <v>74</v>
      </c>
      <c r="X7" s="32">
        <v>1080.47600142837</v>
      </c>
      <c r="Y7" s="5">
        <v>47.242888289023171</v>
      </c>
      <c r="Z7" s="5">
        <v>6696.9752668809815</v>
      </c>
      <c r="AA7" s="34"/>
    </row>
    <row r="8" spans="2:27" x14ac:dyDescent="0.2">
      <c r="B8" s="4">
        <v>5</v>
      </c>
      <c r="C8" s="4">
        <v>863</v>
      </c>
      <c r="D8" s="23">
        <v>1212532.9792594591</v>
      </c>
      <c r="E8" s="32">
        <v>897.25820230005775</v>
      </c>
      <c r="F8" s="5">
        <v>15</v>
      </c>
      <c r="G8" s="23">
        <v>97.333333333333329</v>
      </c>
      <c r="H8" s="32">
        <v>795.70602672541133</v>
      </c>
      <c r="I8" s="23">
        <v>36.51094584406917</v>
      </c>
      <c r="J8" s="5">
        <v>5862.1629245165077</v>
      </c>
      <c r="K8" s="30"/>
      <c r="L8" s="23">
        <v>1490438.7467685959</v>
      </c>
      <c r="M8" s="32">
        <v>2113.7952728000241</v>
      </c>
      <c r="N8" s="5">
        <v>28</v>
      </c>
      <c r="O8" s="5">
        <v>90.666666666666671</v>
      </c>
      <c r="P8" s="32">
        <v>619.4825524242998</v>
      </c>
      <c r="Q8" s="5">
        <v>18.195072011322576</v>
      </c>
      <c r="R8" s="5">
        <v>5122.541111539831</v>
      </c>
      <c r="S8" s="34"/>
      <c r="T8" s="23">
        <v>1710442.492579259</v>
      </c>
      <c r="U8" s="32">
        <v>734.89697170001455</v>
      </c>
      <c r="V8" s="5">
        <v>14</v>
      </c>
      <c r="W8" s="5">
        <v>79.333333333333329</v>
      </c>
      <c r="X8" s="32">
        <v>1423.7000802917653</v>
      </c>
      <c r="Y8" s="5">
        <v>47.633804913730579</v>
      </c>
      <c r="Z8" s="5">
        <v>6978.7357584451538</v>
      </c>
      <c r="AA8" s="34"/>
    </row>
    <row r="9" spans="2:27" x14ac:dyDescent="0.2">
      <c r="B9" s="4">
        <v>6</v>
      </c>
      <c r="C9" s="4">
        <v>39</v>
      </c>
      <c r="D9" s="23">
        <v>1229116.1567236041</v>
      </c>
      <c r="E9" s="32">
        <v>646.26831079996191</v>
      </c>
      <c r="F9" s="5">
        <v>14</v>
      </c>
      <c r="G9" s="23">
        <v>96.666666666666671</v>
      </c>
      <c r="H9" s="32">
        <v>738.64679415833348</v>
      </c>
      <c r="I9" s="23">
        <v>39.219656702448496</v>
      </c>
      <c r="J9" s="5">
        <v>6074.7964711177337</v>
      </c>
      <c r="K9" s="30"/>
      <c r="L9" s="23">
        <v>1501713.7399675299</v>
      </c>
      <c r="M9" s="32">
        <v>1332.717273300048</v>
      </c>
      <c r="N9" s="5">
        <v>29</v>
      </c>
      <c r="O9" s="5">
        <v>91.333333333333329</v>
      </c>
      <c r="P9" s="32">
        <v>636.02291515321281</v>
      </c>
      <c r="Q9" s="5">
        <v>18.096428195601561</v>
      </c>
      <c r="R9" s="5">
        <v>5145.4148217670263</v>
      </c>
      <c r="S9" s="34"/>
      <c r="T9" s="23">
        <v>1650657.23621275</v>
      </c>
      <c r="U9" s="32">
        <v>295.86800279992173</v>
      </c>
      <c r="V9" s="5">
        <v>13</v>
      </c>
      <c r="W9" s="5">
        <v>76.666666666666671</v>
      </c>
      <c r="X9" s="32">
        <v>1036.6241150333792</v>
      </c>
      <c r="Y9" s="5">
        <v>49.411287404834134</v>
      </c>
      <c r="Z9" s="5">
        <v>6374.788293513704</v>
      </c>
      <c r="AA9" s="34"/>
    </row>
    <row r="10" spans="2:27" x14ac:dyDescent="0.2">
      <c r="B10" s="4">
        <v>7</v>
      </c>
      <c r="C10" s="4">
        <v>50</v>
      </c>
      <c r="D10" s="23">
        <v>1207145.9393800979</v>
      </c>
      <c r="E10" s="32">
        <v>798.45484689995646</v>
      </c>
      <c r="F10" s="5">
        <v>14</v>
      </c>
      <c r="G10" s="23">
        <v>97.333333333333329</v>
      </c>
      <c r="H10" s="32">
        <v>829.94356045699737</v>
      </c>
      <c r="I10" s="23">
        <v>39.081926978121281</v>
      </c>
      <c r="J10" s="5">
        <v>5933.950675015426</v>
      </c>
      <c r="K10" s="30"/>
      <c r="L10" s="23">
        <v>1513000.4849981549</v>
      </c>
      <c r="M10" s="32">
        <v>615.11317150003742</v>
      </c>
      <c r="N10" s="5">
        <v>25</v>
      </c>
      <c r="O10" s="5">
        <v>86</v>
      </c>
      <c r="P10" s="32">
        <v>529.5375048686351</v>
      </c>
      <c r="Q10" s="5">
        <v>18.993041785573801</v>
      </c>
      <c r="R10" s="5">
        <v>5059.3301777546039</v>
      </c>
      <c r="S10" s="34"/>
      <c r="T10" s="23">
        <v>1657717.4645218209</v>
      </c>
      <c r="U10" s="32">
        <v>569.54317860002629</v>
      </c>
      <c r="V10" s="5">
        <v>14</v>
      </c>
      <c r="W10" s="5">
        <v>78</v>
      </c>
      <c r="X10" s="32">
        <v>1143.8051484074695</v>
      </c>
      <c r="Y10" s="5">
        <v>45.992072479226977</v>
      </c>
      <c r="Z10" s="5">
        <v>6443.4127664890102</v>
      </c>
      <c r="AA10" s="34"/>
    </row>
    <row r="11" spans="2:27" x14ac:dyDescent="0.2">
      <c r="B11" s="4">
        <v>8</v>
      </c>
      <c r="C11" s="4">
        <v>565</v>
      </c>
      <c r="D11" s="23">
        <v>1242154.621124248</v>
      </c>
      <c r="E11" s="32">
        <v>228.358888000017</v>
      </c>
      <c r="F11" s="5">
        <v>13</v>
      </c>
      <c r="G11" s="23">
        <v>96.666666666666671</v>
      </c>
      <c r="H11" s="32">
        <v>800.36750178477428</v>
      </c>
      <c r="I11" s="23">
        <v>41.219904665594797</v>
      </c>
      <c r="J11" s="5">
        <v>6200.1319670713219</v>
      </c>
      <c r="K11" s="30"/>
      <c r="L11" s="23">
        <v>1520098.4157505541</v>
      </c>
      <c r="M11" s="32">
        <v>1141.4728013999991</v>
      </c>
      <c r="N11" s="5">
        <v>26</v>
      </c>
      <c r="O11" s="5">
        <v>88</v>
      </c>
      <c r="P11" s="32">
        <v>532.33754038098118</v>
      </c>
      <c r="Q11" s="5">
        <v>18.616234952523083</v>
      </c>
      <c r="R11" s="5">
        <v>5210.6413332381289</v>
      </c>
      <c r="S11" s="34"/>
      <c r="T11" s="23">
        <v>1622241.286890368</v>
      </c>
      <c r="U11" s="32">
        <v>833.38240180001594</v>
      </c>
      <c r="V11" s="5">
        <v>15</v>
      </c>
      <c r="W11" s="5">
        <v>81.333333333333329</v>
      </c>
      <c r="X11" s="32">
        <v>1259.9018648257456</v>
      </c>
      <c r="Y11" s="5">
        <v>48.068168357560189</v>
      </c>
      <c r="Z11" s="5">
        <v>6519.5105428841116</v>
      </c>
      <c r="AA11" s="34"/>
    </row>
    <row r="12" spans="2:27" x14ac:dyDescent="0.2">
      <c r="B12" s="4">
        <v>9</v>
      </c>
      <c r="C12" s="4">
        <v>900</v>
      </c>
      <c r="D12" s="23">
        <v>1221981.4390555681</v>
      </c>
      <c r="E12" s="32">
        <v>702.1545608000597</v>
      </c>
      <c r="F12" s="5">
        <v>14</v>
      </c>
      <c r="G12" s="23">
        <v>97.333333333333329</v>
      </c>
      <c r="H12" s="32">
        <v>844.12319355372529</v>
      </c>
      <c r="I12" s="23">
        <v>39.991241420791553</v>
      </c>
      <c r="J12" s="5">
        <v>6047.0974882890232</v>
      </c>
      <c r="K12" s="30"/>
      <c r="L12" s="23">
        <v>1503291.8839176679</v>
      </c>
      <c r="M12" s="32">
        <v>745.74617409997154</v>
      </c>
      <c r="N12" s="5">
        <v>26</v>
      </c>
      <c r="O12" s="5">
        <v>87.333333333333329</v>
      </c>
      <c r="P12" s="32">
        <v>592.28257512881305</v>
      </c>
      <c r="Q12" s="5">
        <v>18.996964096688536</v>
      </c>
      <c r="R12" s="5">
        <v>5019.5645412407448</v>
      </c>
      <c r="S12" s="34"/>
      <c r="T12" s="23">
        <v>1705101.42431918</v>
      </c>
      <c r="U12" s="32">
        <v>854.1838697999483</v>
      </c>
      <c r="V12" s="5">
        <v>13</v>
      </c>
      <c r="W12" s="5">
        <v>76</v>
      </c>
      <c r="X12" s="32">
        <v>1080.2302119706371</v>
      </c>
      <c r="Y12" s="5">
        <v>48.084434415293202</v>
      </c>
      <c r="Z12" s="5">
        <v>6634.2286760935121</v>
      </c>
      <c r="AA12" s="34"/>
    </row>
    <row r="13" spans="2:27" x14ac:dyDescent="0.2">
      <c r="B13" s="4">
        <v>10</v>
      </c>
      <c r="C13" s="4">
        <v>835</v>
      </c>
      <c r="D13" s="23">
        <v>1218550.5602827431</v>
      </c>
      <c r="E13" s="32">
        <v>1266.853423000081</v>
      </c>
      <c r="F13" s="5">
        <v>12</v>
      </c>
      <c r="G13" s="23">
        <v>96.666666666666671</v>
      </c>
      <c r="H13" s="32">
        <v>712.16296497969881</v>
      </c>
      <c r="I13" s="23">
        <v>46.468067963169766</v>
      </c>
      <c r="J13" s="5">
        <v>6247.3559514773078</v>
      </c>
      <c r="K13" s="30"/>
      <c r="L13" s="23">
        <v>1485188.9623539371</v>
      </c>
      <c r="M13" s="32">
        <v>1569.7627141999551</v>
      </c>
      <c r="N13" s="5">
        <v>27</v>
      </c>
      <c r="O13" s="5">
        <v>89.333333333333329</v>
      </c>
      <c r="P13" s="32">
        <v>567.61017713490537</v>
      </c>
      <c r="Q13" s="5">
        <v>18.494084874152367</v>
      </c>
      <c r="R13" s="5">
        <v>5040.6360078319512</v>
      </c>
      <c r="S13" s="34"/>
      <c r="T13" s="23">
        <v>1636531.8875903019</v>
      </c>
      <c r="U13" s="32">
        <v>1314.6378788000441</v>
      </c>
      <c r="V13" s="5">
        <v>13</v>
      </c>
      <c r="W13" s="5">
        <v>77.333333333333329</v>
      </c>
      <c r="X13" s="32">
        <v>1056.9763693170821</v>
      </c>
      <c r="Y13" s="5">
        <v>49.678064005229238</v>
      </c>
      <c r="Z13" s="5">
        <v>6453.1076479028688</v>
      </c>
      <c r="AA13" s="34"/>
    </row>
    <row r="14" spans="2:27" x14ac:dyDescent="0.2">
      <c r="B14" s="47" t="s">
        <v>3</v>
      </c>
      <c r="C14" s="48"/>
      <c r="D14" s="9">
        <f>MIN(D4:D13)</f>
        <v>1207145.9393800979</v>
      </c>
      <c r="E14" s="22">
        <f>INDEX(E4:E13, MATCH($D$14, D4:D13, 0))</f>
        <v>798.45484689995646</v>
      </c>
      <c r="F14" s="9">
        <f>INDEX(F4:F13, MATCH($D$14, D4:D13, 0))</f>
        <v>14</v>
      </c>
      <c r="G14" s="9">
        <f>INDEX(G4:G13, MATCH($D$14, D4:D13, 0))</f>
        <v>97.333333333333329</v>
      </c>
      <c r="H14" s="22">
        <f>INDEX(H4:H13, MATCH($D$14, D4:D13, 0))</f>
        <v>829.94356045699737</v>
      </c>
      <c r="I14" s="22">
        <f>INDEX(I4:I13, MATCH($D$14, D4:D13, 0))</f>
        <v>39.081926978121281</v>
      </c>
      <c r="J14" s="22">
        <f>INDEX(J4:J13, MATCH($D$14, D4:D13, 0))</f>
        <v>5933.950675015426</v>
      </c>
      <c r="K14" s="31" t="e">
        <f>(D14-$D$15)/$D$15</f>
        <v>#DIV/0!</v>
      </c>
      <c r="L14" s="16">
        <f>MIN(L4:L13)</f>
        <v>1485188.9623539371</v>
      </c>
      <c r="M14" s="21">
        <f>INDEX(M4:M13, MATCH($L$14, L4:L13, 0))</f>
        <v>1569.7627141999551</v>
      </c>
      <c r="N14" s="16">
        <f>INDEX(N4:N13, MATCH($L$14, L4:L13, 0))</f>
        <v>27</v>
      </c>
      <c r="O14" s="16">
        <f>INDEX(O4:O13, MATCH($L$14, L4:L13, 0))</f>
        <v>89.333333333333329</v>
      </c>
      <c r="P14" s="21">
        <f>INDEX(P4:P13, MATCH($L$14, L4:L13, 0))</f>
        <v>567.61017713490537</v>
      </c>
      <c r="Q14" s="21">
        <f>INDEX(Q4:Q13, MATCH($L$14, L4:L13, 0))</f>
        <v>18.494084874152367</v>
      </c>
      <c r="R14" s="21">
        <f>INDEX(R4:R13, MATCH($L$14, L4:L13, 0))</f>
        <v>5040.6360078319512</v>
      </c>
      <c r="S14" s="35" t="e">
        <f>(L14-$D$15)/$D$15</f>
        <v>#DIV/0!</v>
      </c>
      <c r="T14" s="37">
        <f>MIN(T4:T13)</f>
        <v>1622241.286890368</v>
      </c>
      <c r="U14" s="38">
        <f>INDEX(U4:U13, MATCH($T$14, T4:T13, 0))</f>
        <v>833.38240180001594</v>
      </c>
      <c r="V14" s="37">
        <f>INDEX(V4:V13, MATCH($T$14, T4:T13, 0))</f>
        <v>15</v>
      </c>
      <c r="W14" s="37">
        <f>INDEX(W4:W13, MATCH($T$14, T4:T13, 0))</f>
        <v>81.333333333333329</v>
      </c>
      <c r="X14" s="38">
        <f>INDEX(X4:X13, MATCH($T$14, T4:T13, 0))</f>
        <v>1259.9018648257456</v>
      </c>
      <c r="Y14" s="38">
        <f>INDEX(Y4:Y13, MATCH($T$14, T4:T13, 0))</f>
        <v>48.068168357560189</v>
      </c>
      <c r="Z14" s="38">
        <f>INDEX(Z4:Z13, MATCH($T$14, T4:T13, 0))</f>
        <v>6519.5105428841116</v>
      </c>
      <c r="AA14" s="39" t="e">
        <f>(T14-$D$15)/$D$15</f>
        <v>#DIV/0!</v>
      </c>
    </row>
    <row r="15" spans="2:27" x14ac:dyDescent="0.2">
      <c r="C15" s="1" t="s">
        <v>17</v>
      </c>
      <c r="D15" s="33"/>
      <c r="E15" s="3"/>
      <c r="F15" s="3"/>
      <c r="G15" s="3"/>
      <c r="H15" s="3"/>
      <c r="I15" s="3"/>
      <c r="J15" s="3"/>
      <c r="K15" s="3"/>
      <c r="L15" s="40">
        <f>(L14-D14)/D14</f>
        <v>0.23033091021009588</v>
      </c>
      <c r="M15" s="40">
        <f t="shared" ref="M15:R15" si="0">(M14-E14)/E14</f>
        <v>0.96600060766697404</v>
      </c>
      <c r="N15" s="40">
        <f t="shared" si="0"/>
        <v>0.9285714285714286</v>
      </c>
      <c r="O15" s="40">
        <f t="shared" si="0"/>
        <v>-8.2191780821917818E-2</v>
      </c>
      <c r="P15" s="40">
        <f t="shared" si="0"/>
        <v>-0.31608581091663823</v>
      </c>
      <c r="Q15" s="40">
        <f t="shared" si="0"/>
        <v>-0.52678677065985857</v>
      </c>
      <c r="R15" s="40">
        <f t="shared" si="0"/>
        <v>-0.15054298832390486</v>
      </c>
      <c r="T15" s="40">
        <f>(T14-D14)/D14</f>
        <v>0.34386509034974905</v>
      </c>
      <c r="U15" s="40">
        <f t="shared" ref="U15:Z15" si="1">(U14-E14)/E14</f>
        <v>4.3743932466147051E-2</v>
      </c>
      <c r="V15" s="40">
        <f t="shared" si="1"/>
        <v>7.1428571428571425E-2</v>
      </c>
      <c r="W15" s="40">
        <f t="shared" si="1"/>
        <v>-0.16438356164383564</v>
      </c>
      <c r="X15" s="40">
        <f t="shared" si="1"/>
        <v>0.51805728106619375</v>
      </c>
      <c r="Y15" s="40">
        <f t="shared" si="1"/>
        <v>0.22993342637556119</v>
      </c>
      <c r="Z15" s="40">
        <f t="shared" si="1"/>
        <v>9.8679598119032791E-2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41:C1048576">
    <cfRule type="duplicateValues" dxfId="97" priority="7"/>
    <cfRule type="duplicateValues" dxfId="96" priority="8"/>
  </conditionalFormatting>
  <conditionalFormatting sqref="C14">
    <cfRule type="duplicateValues" dxfId="95" priority="5"/>
    <cfRule type="duplicateValues" dxfId="94" priority="6"/>
  </conditionalFormatting>
  <conditionalFormatting sqref="C15">
    <cfRule type="duplicateValues" dxfId="93" priority="3"/>
    <cfRule type="duplicateValues" dxfId="92" priority="4"/>
  </conditionalFormatting>
  <conditionalFormatting sqref="C17:C40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95BE0-9DFB-422D-832C-36528B9688F9}">
  <dimension ref="B1:AA17"/>
  <sheetViews>
    <sheetView zoomScale="80" zoomScaleNormal="80" workbookViewId="0">
      <selection activeCell="A17" sqref="A17:XFD4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-0.97304426009198652</v>
      </c>
      <c r="J2" s="28" t="e">
        <f>(S14-J14)/J14</f>
        <v>#DIV/0!</v>
      </c>
      <c r="K2" s="28"/>
      <c r="L2" s="1" t="s">
        <v>19</v>
      </c>
      <c r="P2" s="1">
        <f>(P14-H14)/H14</f>
        <v>-0.16146812587274745</v>
      </c>
      <c r="R2" s="1">
        <f>(R14-J14)/J14</f>
        <v>-0.1132103059694981</v>
      </c>
      <c r="T2" s="1" t="s">
        <v>20</v>
      </c>
      <c r="X2" s="1">
        <f>(X14-P14)/P14</f>
        <v>0.5777531212860666</v>
      </c>
      <c r="Z2" s="1">
        <f>(Z14-R14)/R14</f>
        <v>0.16406442054840806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6" t="s">
        <v>0</v>
      </c>
      <c r="U3" s="36" t="s">
        <v>5</v>
      </c>
      <c r="V3" s="36" t="s">
        <v>12</v>
      </c>
      <c r="W3" s="36" t="s">
        <v>15</v>
      </c>
      <c r="X3" s="36" t="s">
        <v>11</v>
      </c>
      <c r="Y3" s="36" t="s">
        <v>16</v>
      </c>
      <c r="Z3" s="36" t="s">
        <v>10</v>
      </c>
      <c r="AA3" s="36" t="s">
        <v>1</v>
      </c>
    </row>
    <row r="4" spans="2:27" x14ac:dyDescent="0.2">
      <c r="B4" s="4">
        <v>1</v>
      </c>
      <c r="C4" s="4">
        <v>344</v>
      </c>
      <c r="D4" s="23">
        <v>1273740.5335445311</v>
      </c>
      <c r="E4" s="32">
        <v>432.97956890007481</v>
      </c>
      <c r="F4" s="5">
        <v>12</v>
      </c>
      <c r="G4" s="23">
        <v>95.333333333333329</v>
      </c>
      <c r="H4" s="32">
        <v>777.40846275098193</v>
      </c>
      <c r="I4" s="23">
        <v>44.167061466810075</v>
      </c>
      <c r="J4" s="5">
        <v>6202.5060096236402</v>
      </c>
      <c r="K4" s="30"/>
      <c r="L4" s="23">
        <v>1505133.42761985</v>
      </c>
      <c r="M4" s="32">
        <v>779.46707680006512</v>
      </c>
      <c r="N4" s="5">
        <v>22</v>
      </c>
      <c r="O4" s="5">
        <v>88</v>
      </c>
      <c r="P4" s="32">
        <v>664.74964526161875</v>
      </c>
      <c r="Q4" s="5">
        <v>21.566009637205514</v>
      </c>
      <c r="R4" s="5">
        <v>5438.0206610761097</v>
      </c>
      <c r="S4" s="34"/>
      <c r="T4" s="23">
        <v>1760868.840639621</v>
      </c>
      <c r="U4" s="32">
        <v>524.59815670002718</v>
      </c>
      <c r="V4" s="5">
        <v>11</v>
      </c>
      <c r="W4" s="5">
        <v>69.333333333333329</v>
      </c>
      <c r="X4" s="32">
        <v>787.35438504287401</v>
      </c>
      <c r="Y4" s="5">
        <v>48.281222997794131</v>
      </c>
      <c r="Z4" s="5">
        <v>6278.813748564271</v>
      </c>
      <c r="AA4" s="34"/>
    </row>
    <row r="5" spans="2:27" x14ac:dyDescent="0.2">
      <c r="B5" s="4">
        <v>2</v>
      </c>
      <c r="C5" s="4">
        <v>627</v>
      </c>
      <c r="D5" s="23">
        <v>1288457.6947554371</v>
      </c>
      <c r="E5" s="32">
        <v>1687.1228814000499</v>
      </c>
      <c r="F5" s="5">
        <v>13</v>
      </c>
      <c r="G5" s="23">
        <v>95.333333333333329</v>
      </c>
      <c r="H5" s="32">
        <v>791.5626031729638</v>
      </c>
      <c r="I5" s="23">
        <v>40.193038204584582</v>
      </c>
      <c r="J5" s="5">
        <v>6116.2560990689663</v>
      </c>
      <c r="K5" s="30"/>
      <c r="L5" s="23">
        <v>1501071.608741333</v>
      </c>
      <c r="M5" s="32">
        <v>2291.0650018000738</v>
      </c>
      <c r="N5" s="5">
        <v>23</v>
      </c>
      <c r="O5" s="5">
        <v>90</v>
      </c>
      <c r="P5" s="32">
        <v>787.40397104117426</v>
      </c>
      <c r="Q5" s="5">
        <v>21.117540357164714</v>
      </c>
      <c r="R5" s="5">
        <v>5454.4034712237171</v>
      </c>
      <c r="S5" s="34"/>
      <c r="T5" s="23">
        <v>1701879.806082716</v>
      </c>
      <c r="U5" s="32">
        <v>573.74504460010212</v>
      </c>
      <c r="V5" s="5">
        <v>12</v>
      </c>
      <c r="W5" s="5">
        <v>75.333333333333329</v>
      </c>
      <c r="X5" s="32">
        <v>1041.3595943033242</v>
      </c>
      <c r="Y5" s="5">
        <v>49.871137262624181</v>
      </c>
      <c r="Z5" s="5">
        <v>6565.4335971935625</v>
      </c>
      <c r="AA5" s="34"/>
    </row>
    <row r="6" spans="2:27" x14ac:dyDescent="0.2">
      <c r="B6" s="4">
        <v>3</v>
      </c>
      <c r="C6" s="4">
        <v>549</v>
      </c>
      <c r="D6" s="23">
        <v>1285867.0679856441</v>
      </c>
      <c r="E6" s="32">
        <v>1473.433848400018</v>
      </c>
      <c r="F6" s="5">
        <v>12</v>
      </c>
      <c r="G6" s="23">
        <v>95.333333333333329</v>
      </c>
      <c r="H6" s="32">
        <v>800.14857304347731</v>
      </c>
      <c r="I6" s="23">
        <v>43.977591141887217</v>
      </c>
      <c r="J6" s="5">
        <v>6227.8923005719107</v>
      </c>
      <c r="K6" s="30"/>
      <c r="L6" s="23">
        <v>1532897.9734370559</v>
      </c>
      <c r="M6" s="32">
        <v>583.85067419998813</v>
      </c>
      <c r="N6" s="5">
        <v>21</v>
      </c>
      <c r="O6" s="5">
        <v>86.666666666666671</v>
      </c>
      <c r="P6" s="32">
        <v>723.36621652010547</v>
      </c>
      <c r="Q6" s="5">
        <v>21.873982099536015</v>
      </c>
      <c r="R6" s="5">
        <v>5512.7983608020195</v>
      </c>
      <c r="S6" s="34"/>
      <c r="T6" s="23">
        <v>1741431.4042628801</v>
      </c>
      <c r="U6" s="32">
        <v>779.75551839999389</v>
      </c>
      <c r="V6" s="5">
        <v>12</v>
      </c>
      <c r="W6" s="5">
        <v>73.333333333333329</v>
      </c>
      <c r="X6" s="32">
        <v>1021.2118007561095</v>
      </c>
      <c r="Y6" s="5">
        <v>48.957970016821427</v>
      </c>
      <c r="Z6" s="5">
        <v>6552.6182013184252</v>
      </c>
      <c r="AA6" s="34"/>
    </row>
    <row r="7" spans="2:27" x14ac:dyDescent="0.2">
      <c r="B7" s="4">
        <v>4</v>
      </c>
      <c r="C7" s="4">
        <v>392</v>
      </c>
      <c r="D7" s="23">
        <v>1258084.5504710041</v>
      </c>
      <c r="E7" s="32">
        <v>426.06988590001129</v>
      </c>
      <c r="F7" s="5">
        <v>13</v>
      </c>
      <c r="G7" s="23">
        <v>95.333333333333329</v>
      </c>
      <c r="H7" s="32">
        <v>769.44344124245492</v>
      </c>
      <c r="I7" s="23">
        <v>41.106681553383346</v>
      </c>
      <c r="J7" s="5">
        <v>5988.7060560386544</v>
      </c>
      <c r="K7" s="30"/>
      <c r="L7" s="23">
        <v>1555564.69794172</v>
      </c>
      <c r="M7" s="32">
        <v>1692.3609610999699</v>
      </c>
      <c r="N7" s="5">
        <v>19</v>
      </c>
      <c r="O7" s="5">
        <v>82.666666666666671</v>
      </c>
      <c r="P7" s="32">
        <v>644.68814568439427</v>
      </c>
      <c r="Q7" s="5">
        <v>22.793994583755122</v>
      </c>
      <c r="R7" s="5">
        <v>5397.2797917554872</v>
      </c>
      <c r="S7" s="34"/>
      <c r="T7" s="23">
        <v>1739021.9246788351</v>
      </c>
      <c r="U7" s="32">
        <v>396.19772569998167</v>
      </c>
      <c r="V7" s="5">
        <v>11</v>
      </c>
      <c r="W7" s="5">
        <v>70</v>
      </c>
      <c r="X7" s="32">
        <v>861.89039284718956</v>
      </c>
      <c r="Y7" s="5">
        <v>49.829504415172501</v>
      </c>
      <c r="Z7" s="5">
        <v>6127.6798995440695</v>
      </c>
      <c r="AA7" s="34"/>
    </row>
    <row r="8" spans="2:27" x14ac:dyDescent="0.2">
      <c r="B8" s="4">
        <v>5</v>
      </c>
      <c r="C8" s="4">
        <v>422</v>
      </c>
      <c r="D8" s="23">
        <v>1267720.397480642</v>
      </c>
      <c r="E8" s="32">
        <v>309.60968320001848</v>
      </c>
      <c r="F8" s="5">
        <v>12</v>
      </c>
      <c r="G8" s="23">
        <v>95.333333333333329</v>
      </c>
      <c r="H8" s="32">
        <v>812.22999416172468</v>
      </c>
      <c r="I8" s="23">
        <v>43.70157106075704</v>
      </c>
      <c r="J8" s="5">
        <v>6137.3926162065372</v>
      </c>
      <c r="K8" s="30"/>
      <c r="L8" s="23">
        <v>1487731.7557623221</v>
      </c>
      <c r="M8" s="32">
        <v>1473.3351194999409</v>
      </c>
      <c r="N8" s="5">
        <v>21</v>
      </c>
      <c r="O8" s="5">
        <v>87.333333333333329</v>
      </c>
      <c r="P8" s="32">
        <v>684.13652517344769</v>
      </c>
      <c r="Q8" s="5">
        <v>22.193461723666033</v>
      </c>
      <c r="R8" s="5">
        <v>5295.3386882141385</v>
      </c>
      <c r="S8" s="34"/>
      <c r="T8" s="23">
        <v>1697335.3472785719</v>
      </c>
      <c r="U8" s="32">
        <v>979.78199869999662</v>
      </c>
      <c r="V8" s="5">
        <v>14</v>
      </c>
      <c r="W8" s="5">
        <v>78.666666666666671</v>
      </c>
      <c r="X8" s="32">
        <v>1175.8868015895609</v>
      </c>
      <c r="Y8" s="5">
        <v>45.855447417124573</v>
      </c>
      <c r="Z8" s="5">
        <v>6668.8510581213659</v>
      </c>
      <c r="AA8" s="34"/>
    </row>
    <row r="9" spans="2:27" x14ac:dyDescent="0.2">
      <c r="B9" s="4">
        <v>6</v>
      </c>
      <c r="C9" s="4">
        <v>165</v>
      </c>
      <c r="D9" s="23">
        <v>1275059.399103218</v>
      </c>
      <c r="E9" s="32">
        <v>342.12337769998697</v>
      </c>
      <c r="F9" s="5">
        <v>12</v>
      </c>
      <c r="G9" s="23">
        <v>95.333333333333329</v>
      </c>
      <c r="H9" s="32">
        <v>787.31305483455901</v>
      </c>
      <c r="I9" s="23">
        <v>44.144904176157347</v>
      </c>
      <c r="J9" s="5">
        <v>6200.5989786046775</v>
      </c>
      <c r="K9" s="30"/>
      <c r="L9" s="23">
        <v>1519049.8483440559</v>
      </c>
      <c r="M9" s="32">
        <v>1071.843677100027</v>
      </c>
      <c r="N9" s="5">
        <v>22</v>
      </c>
      <c r="O9" s="5">
        <v>88</v>
      </c>
      <c r="P9" s="32">
        <v>687.9859702128831</v>
      </c>
      <c r="Q9" s="5">
        <v>21.829302545305055</v>
      </c>
      <c r="R9" s="5">
        <v>5534.9701781354042</v>
      </c>
      <c r="S9" s="34"/>
      <c r="T9" s="23">
        <v>1703104.8189004411</v>
      </c>
      <c r="U9" s="32">
        <v>619.70978649996687</v>
      </c>
      <c r="V9" s="5">
        <v>12</v>
      </c>
      <c r="W9" s="5">
        <v>75.333333333333329</v>
      </c>
      <c r="X9" s="32">
        <v>1019.954364936506</v>
      </c>
      <c r="Y9" s="5">
        <v>50.262229971544997</v>
      </c>
      <c r="Z9" s="5">
        <v>6585.0847403537573</v>
      </c>
      <c r="AA9" s="34"/>
    </row>
    <row r="10" spans="2:27" x14ac:dyDescent="0.2">
      <c r="B10" s="4">
        <v>7</v>
      </c>
      <c r="C10" s="4">
        <v>361</v>
      </c>
      <c r="D10" s="23">
        <v>1262119.620464907</v>
      </c>
      <c r="E10" s="32">
        <v>530.15691090002656</v>
      </c>
      <c r="F10" s="5">
        <v>12</v>
      </c>
      <c r="G10" s="23">
        <v>95.333333333333329</v>
      </c>
      <c r="H10" s="32">
        <v>751.60472934800862</v>
      </c>
      <c r="I10" s="23">
        <v>43.323862598734387</v>
      </c>
      <c r="J10" s="5">
        <v>6138.775184418947</v>
      </c>
      <c r="K10" s="30"/>
      <c r="L10" s="23">
        <v>1529930.437096461</v>
      </c>
      <c r="M10" s="32">
        <v>1013.057968900073</v>
      </c>
      <c r="N10" s="5">
        <v>22</v>
      </c>
      <c r="O10" s="5">
        <v>86.666666666666671</v>
      </c>
      <c r="P10" s="32">
        <v>679.74166140966531</v>
      </c>
      <c r="Q10" s="5">
        <v>20.978291675444652</v>
      </c>
      <c r="R10" s="5">
        <v>5386.7787395139576</v>
      </c>
      <c r="S10" s="34"/>
      <c r="T10" s="23">
        <v>1740068.123696791</v>
      </c>
      <c r="U10" s="32">
        <v>1407.1212378999919</v>
      </c>
      <c r="V10" s="5">
        <v>12</v>
      </c>
      <c r="W10" s="5">
        <v>72.666666666666671</v>
      </c>
      <c r="X10" s="32">
        <v>982.59802087879643</v>
      </c>
      <c r="Y10" s="5">
        <v>47.717739748685261</v>
      </c>
      <c r="Z10" s="5">
        <v>6420.6929306254151</v>
      </c>
      <c r="AA10" s="34"/>
    </row>
    <row r="11" spans="2:27" x14ac:dyDescent="0.2">
      <c r="B11" s="4">
        <v>8</v>
      </c>
      <c r="C11" s="4">
        <v>654</v>
      </c>
      <c r="D11" s="23">
        <v>1269332.7404604489</v>
      </c>
      <c r="E11" s="32">
        <v>726.55414050002582</v>
      </c>
      <c r="F11" s="5">
        <v>12</v>
      </c>
      <c r="G11" s="23">
        <v>95.333333333333329</v>
      </c>
      <c r="H11" s="32">
        <v>811.76529499730191</v>
      </c>
      <c r="I11" s="23">
        <v>43.252741504663469</v>
      </c>
      <c r="J11" s="5">
        <v>6092.0099429989768</v>
      </c>
      <c r="K11" s="30"/>
      <c r="L11" s="23">
        <v>1522122.967239266</v>
      </c>
      <c r="M11" s="32">
        <v>590.99120250006672</v>
      </c>
      <c r="N11" s="5">
        <v>20</v>
      </c>
      <c r="O11" s="5">
        <v>84.666666666666671</v>
      </c>
      <c r="P11" s="32">
        <v>572.09252272999538</v>
      </c>
      <c r="Q11" s="5">
        <v>22.006892868257644</v>
      </c>
      <c r="R11" s="5">
        <v>5361.4050429789422</v>
      </c>
      <c r="S11" s="34"/>
      <c r="T11" s="23">
        <v>1725063.236701567</v>
      </c>
      <c r="U11" s="32">
        <v>591.07201530004386</v>
      </c>
      <c r="V11" s="5">
        <v>12</v>
      </c>
      <c r="W11" s="5">
        <v>74.666666666666671</v>
      </c>
      <c r="X11" s="32">
        <v>1007.9491475502412</v>
      </c>
      <c r="Y11" s="5">
        <v>47.785510717507584</v>
      </c>
      <c r="Z11" s="5">
        <v>6567.9825182754894</v>
      </c>
      <c r="AA11" s="34"/>
    </row>
    <row r="12" spans="2:27" x14ac:dyDescent="0.2">
      <c r="B12" s="4">
        <v>9</v>
      </c>
      <c r="C12" s="4">
        <v>519</v>
      </c>
      <c r="D12" s="23">
        <v>1286510.3361789819</v>
      </c>
      <c r="E12" s="32">
        <v>493.04864150006318</v>
      </c>
      <c r="F12" s="5">
        <v>13</v>
      </c>
      <c r="G12" s="23">
        <v>94.666666666666671</v>
      </c>
      <c r="H12" s="32">
        <v>837.39537197600328</v>
      </c>
      <c r="I12" s="23">
        <v>40.012240809238172</v>
      </c>
      <c r="J12" s="5">
        <v>6009.7865209510137</v>
      </c>
      <c r="K12" s="30"/>
      <c r="L12" s="23">
        <v>1488565.9017883169</v>
      </c>
      <c r="M12" s="32">
        <v>1251.142847800045</v>
      </c>
      <c r="N12" s="5">
        <v>22</v>
      </c>
      <c r="O12" s="5">
        <v>88</v>
      </c>
      <c r="P12" s="32">
        <v>608.05556258330728</v>
      </c>
      <c r="Q12" s="5">
        <v>21.359074168729222</v>
      </c>
      <c r="R12" s="5">
        <v>5330.2430253736311</v>
      </c>
      <c r="S12" s="34"/>
      <c r="T12" s="23">
        <v>1669712.469618845</v>
      </c>
      <c r="U12" s="32">
        <v>614.54053389991168</v>
      </c>
      <c r="V12" s="5">
        <v>13</v>
      </c>
      <c r="W12" s="5">
        <v>75.333333333333329</v>
      </c>
      <c r="X12" s="32">
        <v>984.48113053558313</v>
      </c>
      <c r="Y12" s="5">
        <v>48.190211817897804</v>
      </c>
      <c r="Z12" s="5">
        <v>6280.1536981816616</v>
      </c>
      <c r="AA12" s="34"/>
    </row>
    <row r="13" spans="2:27" x14ac:dyDescent="0.2">
      <c r="B13" s="4">
        <v>10</v>
      </c>
      <c r="C13" s="4">
        <v>971</v>
      </c>
      <c r="D13" s="23">
        <v>1263297.0335849361</v>
      </c>
      <c r="E13" s="32">
        <v>600.66730820003431</v>
      </c>
      <c r="F13" s="5">
        <v>12</v>
      </c>
      <c r="G13" s="23">
        <v>95.333333333333329</v>
      </c>
      <c r="H13" s="32">
        <v>771.58104742978264</v>
      </c>
      <c r="I13" s="23">
        <v>43.21616873391708</v>
      </c>
      <c r="J13" s="5">
        <v>6138.4295149879053</v>
      </c>
      <c r="K13" s="30"/>
      <c r="L13" s="23">
        <v>1482032.0385520661</v>
      </c>
      <c r="M13" s="32">
        <v>2521.3012079999321</v>
      </c>
      <c r="N13" s="5">
        <v>23</v>
      </c>
      <c r="O13" s="5">
        <v>89.333333333333329</v>
      </c>
      <c r="P13" s="32">
        <v>645.20285081995826</v>
      </c>
      <c r="Q13" s="5">
        <v>20.740917276058429</v>
      </c>
      <c r="R13" s="5">
        <v>5310.7228110731321</v>
      </c>
      <c r="S13" s="34"/>
      <c r="T13" s="23">
        <v>1668328.377839105</v>
      </c>
      <c r="U13" s="32">
        <v>1164.7531274000651</v>
      </c>
      <c r="V13" s="5">
        <v>13</v>
      </c>
      <c r="W13" s="5">
        <v>75.333333333333329</v>
      </c>
      <c r="X13" s="32">
        <v>1017.9708117438576</v>
      </c>
      <c r="Y13" s="5">
        <v>46.571478249413993</v>
      </c>
      <c r="Z13" s="5">
        <v>6182.0234717650583</v>
      </c>
      <c r="AA13" s="34"/>
    </row>
    <row r="14" spans="2:27" x14ac:dyDescent="0.2">
      <c r="B14" s="47" t="s">
        <v>3</v>
      </c>
      <c r="C14" s="48"/>
      <c r="D14" s="9">
        <f>MIN(D4:D13)</f>
        <v>1258084.5504710041</v>
      </c>
      <c r="E14" s="22">
        <f>INDEX(E4:E13, MATCH($D$14, D4:D13, 0))</f>
        <v>426.06988590001129</v>
      </c>
      <c r="F14" s="9">
        <f>INDEX(F4:F13, MATCH($D$14, D4:D13, 0))</f>
        <v>13</v>
      </c>
      <c r="G14" s="9">
        <f>INDEX(G4:G13, MATCH($D$14, D4:D13, 0))</f>
        <v>95.333333333333329</v>
      </c>
      <c r="H14" s="22">
        <f>INDEX(H4:H13, MATCH($D$14, D4:D13, 0))</f>
        <v>769.44344124245492</v>
      </c>
      <c r="I14" s="22">
        <f>INDEX(I4:I13, MATCH($D$14, D4:D13, 0))</f>
        <v>41.106681553383346</v>
      </c>
      <c r="J14" s="22">
        <f>INDEX(J4:J13, MATCH($D$14, D4:D13, 0))</f>
        <v>5988.7060560386544</v>
      </c>
      <c r="K14" s="31" t="e">
        <f>(D14-$D$15)/$D$15</f>
        <v>#DIV/0!</v>
      </c>
      <c r="L14" s="16">
        <f>MIN(L4:L13)</f>
        <v>1482032.0385520661</v>
      </c>
      <c r="M14" s="21">
        <f>INDEX(M4:M13, MATCH($L$14, L4:L13, 0))</f>
        <v>2521.3012079999321</v>
      </c>
      <c r="N14" s="16">
        <f>INDEX(N4:N13, MATCH($L$14, L4:L13, 0))</f>
        <v>23</v>
      </c>
      <c r="O14" s="16">
        <f>INDEX(O4:O13, MATCH($L$14, L4:L13, 0))</f>
        <v>89.333333333333329</v>
      </c>
      <c r="P14" s="21">
        <f>INDEX(P4:P13, MATCH($L$14, L4:L13, 0))</f>
        <v>645.20285081995826</v>
      </c>
      <c r="Q14" s="21">
        <f>INDEX(Q4:Q13, MATCH($L$14, L4:L13, 0))</f>
        <v>20.740917276058429</v>
      </c>
      <c r="R14" s="21">
        <f>INDEX(R4:R13, MATCH($L$14, L4:L13, 0))</f>
        <v>5310.7228110731321</v>
      </c>
      <c r="S14" s="35" t="e">
        <f>(L14-$D$15)/$D$15</f>
        <v>#DIV/0!</v>
      </c>
      <c r="T14" s="37">
        <f>MIN(T4:T13)</f>
        <v>1668328.377839105</v>
      </c>
      <c r="U14" s="38">
        <f>INDEX(U4:U13, MATCH($T$14, T4:T13, 0))</f>
        <v>1164.7531274000651</v>
      </c>
      <c r="V14" s="37">
        <f>INDEX(V4:V13, MATCH($T$14, T4:T13, 0))</f>
        <v>13</v>
      </c>
      <c r="W14" s="37">
        <f>INDEX(W4:W13, MATCH($T$14, T4:T13, 0))</f>
        <v>75.333333333333329</v>
      </c>
      <c r="X14" s="38">
        <f>INDEX(X4:X13, MATCH($T$14, T4:T13, 0))</f>
        <v>1017.9708117438576</v>
      </c>
      <c r="Y14" s="38">
        <f>INDEX(Y4:Y13, MATCH($T$14, T4:T13, 0))</f>
        <v>46.571478249413993</v>
      </c>
      <c r="Z14" s="38">
        <f>INDEX(Z4:Z13, MATCH($T$14, T4:T13, 0))</f>
        <v>6182.0234717650583</v>
      </c>
      <c r="AA14" s="39" t="e">
        <f>(T14-$D$15)/$D$15</f>
        <v>#DIV/0!</v>
      </c>
    </row>
    <row r="15" spans="2:27" x14ac:dyDescent="0.2">
      <c r="C15" s="1" t="s">
        <v>17</v>
      </c>
      <c r="D15" s="33"/>
      <c r="E15" s="3"/>
      <c r="F15" s="3"/>
      <c r="G15" s="3"/>
      <c r="H15" s="3"/>
      <c r="I15" s="3"/>
      <c r="J15" s="3"/>
      <c r="K15" s="3"/>
      <c r="L15" s="40">
        <f>(L14-D14)/D14</f>
        <v>0.17800670709867639</v>
      </c>
      <c r="M15" s="40">
        <f t="shared" ref="M15:R15" si="0">(M14-E14)/E14</f>
        <v>4.9175766498353815</v>
      </c>
      <c r="N15" s="40">
        <f t="shared" si="0"/>
        <v>0.76923076923076927</v>
      </c>
      <c r="O15" s="40">
        <f t="shared" si="0"/>
        <v>-6.2937062937062943E-2</v>
      </c>
      <c r="P15" s="40">
        <f t="shared" si="0"/>
        <v>-0.16146812587274745</v>
      </c>
      <c r="Q15" s="40">
        <f t="shared" si="0"/>
        <v>-0.49543683673119759</v>
      </c>
      <c r="R15" s="40">
        <f t="shared" si="0"/>
        <v>-0.1132103059694981</v>
      </c>
      <c r="T15" s="40">
        <f>(T14-D14)/D14</f>
        <v>0.32608605456168505</v>
      </c>
      <c r="U15" s="40">
        <f t="shared" ref="U15:Z15" si="1">(U14-E14)/E14</f>
        <v>1.7337138012926958</v>
      </c>
      <c r="V15" s="40">
        <f t="shared" si="1"/>
        <v>0</v>
      </c>
      <c r="W15" s="40">
        <f t="shared" si="1"/>
        <v>-0.20979020979020979</v>
      </c>
      <c r="X15" s="40">
        <f t="shared" si="1"/>
        <v>0.32299628170212785</v>
      </c>
      <c r="Y15" s="40">
        <f t="shared" si="1"/>
        <v>0.13294181114896778</v>
      </c>
      <c r="Z15" s="40">
        <f t="shared" si="1"/>
        <v>3.2280331329916263E-2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41:C1048576">
    <cfRule type="duplicateValues" dxfId="91" priority="7"/>
    <cfRule type="duplicateValues" dxfId="90" priority="8"/>
  </conditionalFormatting>
  <conditionalFormatting sqref="C14">
    <cfRule type="duplicateValues" dxfId="89" priority="5"/>
    <cfRule type="duplicateValues" dxfId="88" priority="6"/>
  </conditionalFormatting>
  <conditionalFormatting sqref="C15">
    <cfRule type="duplicateValues" dxfId="87" priority="3"/>
    <cfRule type="duplicateValues" dxfId="86" priority="4"/>
  </conditionalFormatting>
  <conditionalFormatting sqref="C17:C40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C02B8-E419-4E75-89F4-0AE2E00A1EEB}">
  <dimension ref="B1:AA17"/>
  <sheetViews>
    <sheetView zoomScale="80" zoomScaleNormal="80" workbookViewId="0">
      <selection activeCell="A17" sqref="A17:XFD4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3" width="11.33203125" style="1" bestFit="1" customWidth="1"/>
    <col min="14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-0.96088047062054294</v>
      </c>
      <c r="J2" s="28" t="e">
        <f>(S14-J14)/J14</f>
        <v>#DIV/0!</v>
      </c>
      <c r="K2" s="28"/>
      <c r="L2" s="1" t="s">
        <v>19</v>
      </c>
      <c r="P2" s="1">
        <f>(P14-H14)/H14</f>
        <v>0.53468890012228565</v>
      </c>
      <c r="R2" s="1">
        <f>(R14-J14)/J14</f>
        <v>-4.2127388286211702E-2</v>
      </c>
      <c r="T2" s="1" t="s">
        <v>20</v>
      </c>
      <c r="X2" s="1">
        <f>(X14-P14)/P14</f>
        <v>0.47138939590437845</v>
      </c>
      <c r="Z2" s="1">
        <f>(Z14-R14)/R14</f>
        <v>0.25336366984429265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6" t="s">
        <v>0</v>
      </c>
      <c r="U3" s="36" t="s">
        <v>5</v>
      </c>
      <c r="V3" s="36" t="s">
        <v>12</v>
      </c>
      <c r="W3" s="36" t="s">
        <v>15</v>
      </c>
      <c r="X3" s="36" t="s">
        <v>11</v>
      </c>
      <c r="Y3" s="36" t="s">
        <v>16</v>
      </c>
      <c r="Z3" s="36" t="s">
        <v>10</v>
      </c>
      <c r="AA3" s="36" t="s">
        <v>1</v>
      </c>
    </row>
    <row r="4" spans="2:27" x14ac:dyDescent="0.2">
      <c r="B4" s="4">
        <v>1</v>
      </c>
      <c r="C4" s="4">
        <v>481</v>
      </c>
      <c r="D4" s="23">
        <v>1200676.002279639</v>
      </c>
      <c r="E4" s="32">
        <v>412.33438579994248</v>
      </c>
      <c r="F4" s="5">
        <v>13</v>
      </c>
      <c r="G4" s="23">
        <v>97.333333333333329</v>
      </c>
      <c r="H4" s="32">
        <v>618.32136968456189</v>
      </c>
      <c r="I4" s="23">
        <v>39.381719722526313</v>
      </c>
      <c r="J4" s="5">
        <v>5915.7579663425686</v>
      </c>
      <c r="K4" s="30"/>
      <c r="L4" s="23">
        <v>1505238.2764197539</v>
      </c>
      <c r="M4" s="32">
        <v>719.91353000001982</v>
      </c>
      <c r="N4" s="5">
        <v>22</v>
      </c>
      <c r="O4" s="5">
        <v>86.666666666666671</v>
      </c>
      <c r="P4" s="32">
        <v>596.27545028822976</v>
      </c>
      <c r="Q4" s="5">
        <v>19.676709292203579</v>
      </c>
      <c r="R4" s="5">
        <v>5221.3882919779744</v>
      </c>
      <c r="S4" s="34"/>
      <c r="T4" s="23">
        <v>1741171.16941228</v>
      </c>
      <c r="U4" s="32">
        <v>262.45297430001659</v>
      </c>
      <c r="V4" s="5">
        <v>10</v>
      </c>
      <c r="W4" s="5">
        <v>71.333333333333329</v>
      </c>
      <c r="X4" s="32">
        <v>783.01104522675337</v>
      </c>
      <c r="Y4" s="5">
        <v>53.271680920660664</v>
      </c>
      <c r="Z4" s="5">
        <v>6445.813789711422</v>
      </c>
      <c r="AA4" s="34"/>
    </row>
    <row r="5" spans="2:27" x14ac:dyDescent="0.2">
      <c r="B5" s="4">
        <v>2</v>
      </c>
      <c r="C5" s="4">
        <v>600</v>
      </c>
      <c r="D5" s="23">
        <v>1151508.0934307701</v>
      </c>
      <c r="E5" s="32">
        <v>260.38129910000129</v>
      </c>
      <c r="F5" s="5">
        <v>13</v>
      </c>
      <c r="G5" s="23">
        <v>97.333333333333329</v>
      </c>
      <c r="H5" s="32">
        <v>519.3856636260831</v>
      </c>
      <c r="I5" s="23">
        <v>39.90648304892531</v>
      </c>
      <c r="J5" s="5">
        <v>5666.5973526069783</v>
      </c>
      <c r="K5" s="30"/>
      <c r="L5" s="23">
        <v>1475504.262939349</v>
      </c>
      <c r="M5" s="32">
        <v>905.25639170000795</v>
      </c>
      <c r="N5" s="5">
        <v>25</v>
      </c>
      <c r="O5" s="5">
        <v>90.666666666666671</v>
      </c>
      <c r="P5" s="32">
        <v>522.64092485756294</v>
      </c>
      <c r="Q5" s="5">
        <v>18.528073583924712</v>
      </c>
      <c r="R5" s="5">
        <v>5258.9260985913488</v>
      </c>
      <c r="S5" s="34"/>
      <c r="T5" s="23">
        <v>1653782.277983631</v>
      </c>
      <c r="U5" s="32">
        <v>283.94869370001828</v>
      </c>
      <c r="V5" s="5">
        <v>11</v>
      </c>
      <c r="W5" s="5">
        <v>77.333333333333329</v>
      </c>
      <c r="X5" s="32">
        <v>846.56223640978317</v>
      </c>
      <c r="Y5" s="5">
        <v>54.445603090201438</v>
      </c>
      <c r="Z5" s="5">
        <v>6617.5996893692036</v>
      </c>
      <c r="AA5" s="34"/>
    </row>
    <row r="6" spans="2:27" x14ac:dyDescent="0.2">
      <c r="B6" s="4">
        <v>3</v>
      </c>
      <c r="C6" s="4">
        <v>673</v>
      </c>
      <c r="D6" s="23">
        <v>1150167.288371593</v>
      </c>
      <c r="E6" s="32">
        <v>501.03180890006479</v>
      </c>
      <c r="F6" s="5">
        <v>12</v>
      </c>
      <c r="G6" s="23">
        <v>96</v>
      </c>
      <c r="H6" s="32">
        <v>481.04001262456291</v>
      </c>
      <c r="I6" s="23">
        <v>42.311204863467033</v>
      </c>
      <c r="J6" s="5">
        <v>5644.8242490806406</v>
      </c>
      <c r="K6" s="30"/>
      <c r="L6" s="23">
        <v>1462783.3257512399</v>
      </c>
      <c r="M6" s="32">
        <v>1852.105463900021</v>
      </c>
      <c r="N6" s="5">
        <v>26</v>
      </c>
      <c r="O6" s="5">
        <v>94</v>
      </c>
      <c r="P6" s="32">
        <v>738.24676788960085</v>
      </c>
      <c r="Q6" s="5">
        <v>18.818058906560985</v>
      </c>
      <c r="R6" s="5">
        <v>5407.022546132197</v>
      </c>
      <c r="S6" s="34"/>
      <c r="T6" s="23">
        <v>1651326.0358814751</v>
      </c>
      <c r="U6" s="32">
        <v>307.40950820001308</v>
      </c>
      <c r="V6" s="5">
        <v>11</v>
      </c>
      <c r="W6" s="5">
        <v>78</v>
      </c>
      <c r="X6" s="32">
        <v>917.59889318355761</v>
      </c>
      <c r="Y6" s="5">
        <v>55.457787938735002</v>
      </c>
      <c r="Z6" s="5">
        <v>6691.0339221419936</v>
      </c>
      <c r="AA6" s="34"/>
    </row>
    <row r="7" spans="2:27" x14ac:dyDescent="0.2">
      <c r="B7" s="4">
        <v>4</v>
      </c>
      <c r="C7" s="4">
        <v>696</v>
      </c>
      <c r="D7" s="23">
        <v>1201660.1909738709</v>
      </c>
      <c r="E7" s="32">
        <v>415.56964939995669</v>
      </c>
      <c r="F7" s="5">
        <v>13</v>
      </c>
      <c r="G7" s="23">
        <v>97.333333333333329</v>
      </c>
      <c r="H7" s="32">
        <v>569.55010924155306</v>
      </c>
      <c r="I7" s="23">
        <v>38.795084995258435</v>
      </c>
      <c r="J7" s="5">
        <v>5933.7854874570239</v>
      </c>
      <c r="K7" s="30"/>
      <c r="L7" s="23">
        <v>1481303.004742228</v>
      </c>
      <c r="M7" s="32">
        <v>925.8435376000125</v>
      </c>
      <c r="N7" s="5">
        <v>23</v>
      </c>
      <c r="O7" s="5">
        <v>87.333333333333329</v>
      </c>
      <c r="P7" s="32">
        <v>468.65133594754917</v>
      </c>
      <c r="Q7" s="5">
        <v>19.561481283396756</v>
      </c>
      <c r="R7" s="5">
        <v>5072.0556863185839</v>
      </c>
      <c r="S7" s="34"/>
      <c r="T7" s="23">
        <v>1611660.6448330339</v>
      </c>
      <c r="U7" s="32">
        <v>473.68205880001187</v>
      </c>
      <c r="V7" s="5">
        <v>12</v>
      </c>
      <c r="W7" s="5">
        <v>81.333333333333329</v>
      </c>
      <c r="X7" s="32">
        <v>1036.2078828093383</v>
      </c>
      <c r="Y7" s="5">
        <v>54.77855052161221</v>
      </c>
      <c r="Z7" s="5">
        <v>6724.2440165416356</v>
      </c>
      <c r="AA7" s="34"/>
    </row>
    <row r="8" spans="2:27" x14ac:dyDescent="0.2">
      <c r="B8" s="4">
        <v>5</v>
      </c>
      <c r="C8" s="4">
        <v>350</v>
      </c>
      <c r="D8" s="23">
        <v>1150836.3560554951</v>
      </c>
      <c r="E8" s="32">
        <v>582.99366949999239</v>
      </c>
      <c r="F8" s="5">
        <v>13</v>
      </c>
      <c r="G8" s="23">
        <v>97.333333333333329</v>
      </c>
      <c r="H8" s="32">
        <v>540.3426338404729</v>
      </c>
      <c r="I8" s="23">
        <v>40.456221446456389</v>
      </c>
      <c r="J8" s="5">
        <v>5649.798557128147</v>
      </c>
      <c r="K8" s="30"/>
      <c r="L8" s="23">
        <v>1532312.14717871</v>
      </c>
      <c r="M8" s="32">
        <v>1924.8165298000681</v>
      </c>
      <c r="N8" s="5">
        <v>22</v>
      </c>
      <c r="O8" s="5">
        <v>86.666666666666671</v>
      </c>
      <c r="P8" s="32">
        <v>541.65571106490768</v>
      </c>
      <c r="Q8" s="5">
        <v>20.051640612671687</v>
      </c>
      <c r="R8" s="5">
        <v>5358.7962103359432</v>
      </c>
      <c r="S8" s="34"/>
      <c r="T8" s="23">
        <v>1585967.1907543121</v>
      </c>
      <c r="U8" s="32">
        <v>474.45132130000269</v>
      </c>
      <c r="V8" s="5">
        <v>13</v>
      </c>
      <c r="W8" s="5">
        <v>83.333333333333329</v>
      </c>
      <c r="X8" s="32">
        <v>1086.2484658334397</v>
      </c>
      <c r="Y8" s="5">
        <v>53.935564330493449</v>
      </c>
      <c r="Z8" s="5">
        <v>6776.9656213510816</v>
      </c>
      <c r="AA8" s="34"/>
    </row>
    <row r="9" spans="2:27" x14ac:dyDescent="0.2">
      <c r="B9" s="4">
        <v>6</v>
      </c>
      <c r="C9" s="4">
        <v>564</v>
      </c>
      <c r="D9" s="23">
        <v>1155387.27893771</v>
      </c>
      <c r="E9" s="32">
        <v>605.08448149997275</v>
      </c>
      <c r="F9" s="5">
        <v>12</v>
      </c>
      <c r="G9" s="23">
        <v>96.666666666666671</v>
      </c>
      <c r="H9" s="32">
        <v>569.32780977764162</v>
      </c>
      <c r="I9" s="23">
        <v>43.327129007430415</v>
      </c>
      <c r="J9" s="5">
        <v>5723.7244748002922</v>
      </c>
      <c r="K9" s="30"/>
      <c r="L9" s="23">
        <v>1492062.6073820509</v>
      </c>
      <c r="M9" s="32">
        <v>2236.4697960999329</v>
      </c>
      <c r="N9" s="5">
        <v>23</v>
      </c>
      <c r="O9" s="5">
        <v>88</v>
      </c>
      <c r="P9" s="32">
        <v>592.26987099039809</v>
      </c>
      <c r="Q9" s="5">
        <v>19.532560314009608</v>
      </c>
      <c r="R9" s="5">
        <v>5227.0195104481236</v>
      </c>
      <c r="S9" s="34"/>
      <c r="T9" s="23">
        <v>1651727.7712936399</v>
      </c>
      <c r="U9" s="32">
        <v>456.28676259994972</v>
      </c>
      <c r="V9" s="5">
        <v>11</v>
      </c>
      <c r="W9" s="5">
        <v>77.333333333333329</v>
      </c>
      <c r="X9" s="32">
        <v>873.16240806700011</v>
      </c>
      <c r="Y9" s="5">
        <v>54.499204987414622</v>
      </c>
      <c r="Z9" s="5">
        <v>6591.1377881724775</v>
      </c>
      <c r="AA9" s="34"/>
    </row>
    <row r="10" spans="2:27" x14ac:dyDescent="0.2">
      <c r="B10" s="4">
        <v>7</v>
      </c>
      <c r="C10" s="4">
        <v>30</v>
      </c>
      <c r="D10" s="23">
        <v>1151788.506683423</v>
      </c>
      <c r="E10" s="32">
        <v>396.48625900002662</v>
      </c>
      <c r="F10" s="5">
        <v>12</v>
      </c>
      <c r="G10" s="23">
        <v>96.666666666666671</v>
      </c>
      <c r="H10" s="32">
        <v>539.64425081686807</v>
      </c>
      <c r="I10" s="23">
        <v>42.716082177862404</v>
      </c>
      <c r="J10" s="5">
        <v>5712.4576326922779</v>
      </c>
      <c r="K10" s="30"/>
      <c r="L10" s="23">
        <v>1480787.7114889689</v>
      </c>
      <c r="M10" s="32">
        <v>887.79128790006507</v>
      </c>
      <c r="N10" s="5">
        <v>23</v>
      </c>
      <c r="O10" s="5">
        <v>88.666666666666671</v>
      </c>
      <c r="P10" s="32">
        <v>502.62914437566008</v>
      </c>
      <c r="Q10" s="5">
        <v>19.858357585312277</v>
      </c>
      <c r="R10" s="5">
        <v>5263.0287803100591</v>
      </c>
      <c r="S10" s="34"/>
      <c r="T10" s="23">
        <v>1632902.7952356711</v>
      </c>
      <c r="U10" s="32">
        <v>429.49897100008093</v>
      </c>
      <c r="V10" s="5">
        <v>12</v>
      </c>
      <c r="W10" s="5">
        <v>78.666666666666671</v>
      </c>
      <c r="X10" s="32">
        <v>906.80309632080161</v>
      </c>
      <c r="Y10" s="5">
        <v>51.853578022843891</v>
      </c>
      <c r="Z10" s="5">
        <v>6559.3516138669183</v>
      </c>
      <c r="AA10" s="34"/>
    </row>
    <row r="11" spans="2:27" x14ac:dyDescent="0.2">
      <c r="B11" s="4">
        <v>8</v>
      </c>
      <c r="C11" s="4">
        <v>557</v>
      </c>
      <c r="D11" s="23">
        <v>1150245.798447402</v>
      </c>
      <c r="E11" s="32">
        <v>549.84355910005979</v>
      </c>
      <c r="F11" s="5">
        <v>12</v>
      </c>
      <c r="G11" s="23">
        <v>96.666666666666671</v>
      </c>
      <c r="H11" s="32">
        <v>512.90580715568979</v>
      </c>
      <c r="I11" s="23">
        <v>42.96650511981715</v>
      </c>
      <c r="J11" s="5">
        <v>5701.6749548552589</v>
      </c>
      <c r="K11" s="30"/>
      <c r="L11" s="23">
        <v>1490720.3576783659</v>
      </c>
      <c r="M11" s="32">
        <v>2695.8992282999679</v>
      </c>
      <c r="N11" s="5">
        <v>21</v>
      </c>
      <c r="O11" s="5">
        <v>84.666666666666671</v>
      </c>
      <c r="P11" s="32">
        <v>389.07391187299595</v>
      </c>
      <c r="Q11" s="5">
        <v>20.170189207696669</v>
      </c>
      <c r="R11" s="5">
        <v>5003.4584859840043</v>
      </c>
      <c r="S11" s="34"/>
      <c r="T11" s="23">
        <v>1640601.524971172</v>
      </c>
      <c r="U11" s="32">
        <v>661.99384140002076</v>
      </c>
      <c r="V11" s="5">
        <v>13</v>
      </c>
      <c r="W11" s="5">
        <v>80.666666666666671</v>
      </c>
      <c r="X11" s="32">
        <v>1193.6279543528015</v>
      </c>
      <c r="Y11" s="5">
        <v>52.366909891756222</v>
      </c>
      <c r="Z11" s="5">
        <v>6682.1332151176775</v>
      </c>
      <c r="AA11" s="34"/>
    </row>
    <row r="12" spans="2:27" x14ac:dyDescent="0.2">
      <c r="B12" s="4">
        <v>9</v>
      </c>
      <c r="C12" s="4">
        <v>189</v>
      </c>
      <c r="D12" s="23">
        <v>1223895.276048844</v>
      </c>
      <c r="E12" s="32">
        <v>691.33055369998328</v>
      </c>
      <c r="F12" s="5">
        <v>13</v>
      </c>
      <c r="G12" s="23">
        <v>97.333333333333329</v>
      </c>
      <c r="H12" s="32">
        <v>589.13737470900787</v>
      </c>
      <c r="I12" s="23">
        <v>38.913566265767138</v>
      </c>
      <c r="J12" s="5">
        <v>6068.4443002165799</v>
      </c>
      <c r="K12" s="30"/>
      <c r="L12" s="23">
        <v>1466549.257123261</v>
      </c>
      <c r="M12" s="32">
        <v>2111.9128906999249</v>
      </c>
      <c r="N12" s="5">
        <v>24</v>
      </c>
      <c r="O12" s="5">
        <v>89.333333333333329</v>
      </c>
      <c r="P12" s="32">
        <v>516.8025535572225</v>
      </c>
      <c r="Q12" s="5">
        <v>19.288522648215434</v>
      </c>
      <c r="R12" s="5">
        <v>5096.6523263401623</v>
      </c>
      <c r="S12" s="34"/>
      <c r="T12" s="23">
        <v>1631824.776709721</v>
      </c>
      <c r="U12" s="32">
        <v>636.99217169999611</v>
      </c>
      <c r="V12" s="5">
        <v>12</v>
      </c>
      <c r="W12" s="5">
        <v>79.333333333333329</v>
      </c>
      <c r="X12" s="32">
        <v>979.99233736347799</v>
      </c>
      <c r="Y12" s="5">
        <v>52.907568289658805</v>
      </c>
      <c r="Z12" s="5">
        <v>6624.9566670768618</v>
      </c>
      <c r="AA12" s="34"/>
    </row>
    <row r="13" spans="2:27" x14ac:dyDescent="0.2">
      <c r="B13" s="4">
        <v>10</v>
      </c>
      <c r="C13" s="4">
        <v>245</v>
      </c>
      <c r="D13" s="23">
        <v>1193941.6428655731</v>
      </c>
      <c r="E13" s="32">
        <v>472.95671060006129</v>
      </c>
      <c r="F13" s="5">
        <v>13</v>
      </c>
      <c r="G13" s="23">
        <v>97.333333333333329</v>
      </c>
      <c r="H13" s="32">
        <v>552.56441404505597</v>
      </c>
      <c r="I13" s="23">
        <v>39.283598739647864</v>
      </c>
      <c r="J13" s="5">
        <v>5895.5897497683436</v>
      </c>
      <c r="K13" s="30"/>
      <c r="L13" s="23">
        <v>1508188.033755779</v>
      </c>
      <c r="M13" s="32">
        <v>1565.0079255999301</v>
      </c>
      <c r="N13" s="5">
        <v>20</v>
      </c>
      <c r="O13" s="5">
        <v>82.666666666666671</v>
      </c>
      <c r="P13" s="32">
        <v>397.5594924514545</v>
      </c>
      <c r="Q13" s="5">
        <v>20.215337861843068</v>
      </c>
      <c r="R13" s="5">
        <v>4951.7388766068707</v>
      </c>
      <c r="S13" s="34"/>
      <c r="T13" s="23">
        <v>1612915.7814133719</v>
      </c>
      <c r="U13" s="32">
        <v>644.38910550007131</v>
      </c>
      <c r="V13" s="5">
        <v>12</v>
      </c>
      <c r="W13" s="5">
        <v>81.333333333333329</v>
      </c>
      <c r="X13" s="32">
        <v>1044.3861358397448</v>
      </c>
      <c r="Y13" s="5">
        <v>55.341248425850864</v>
      </c>
      <c r="Z13" s="5">
        <v>6770.1945303600232</v>
      </c>
      <c r="AA13" s="34"/>
    </row>
    <row r="14" spans="2:27" x14ac:dyDescent="0.2">
      <c r="B14" s="47" t="s">
        <v>3</v>
      </c>
      <c r="C14" s="48"/>
      <c r="D14" s="9">
        <f>MIN(D4:D13)</f>
        <v>1150167.288371593</v>
      </c>
      <c r="E14" s="22">
        <f>INDEX(E4:E13, MATCH($D$14, D4:D13, 0))</f>
        <v>501.03180890006479</v>
      </c>
      <c r="F14" s="9">
        <f>INDEX(F4:F13, MATCH($D$14, D4:D13, 0))</f>
        <v>12</v>
      </c>
      <c r="G14" s="9">
        <f>INDEX(G4:G13, MATCH($D$14, D4:D13, 0))</f>
        <v>96</v>
      </c>
      <c r="H14" s="22">
        <f>INDEX(H4:H13, MATCH($D$14, D4:D13, 0))</f>
        <v>481.04001262456291</v>
      </c>
      <c r="I14" s="22">
        <f>INDEX(I4:I13, MATCH($D$14, D4:D13, 0))</f>
        <v>42.311204863467033</v>
      </c>
      <c r="J14" s="22">
        <f>INDEX(J4:J13, MATCH($D$14, D4:D13, 0))</f>
        <v>5644.8242490806406</v>
      </c>
      <c r="K14" s="31" t="e">
        <f>(D14-$D$15)/$D$15</f>
        <v>#DIV/0!</v>
      </c>
      <c r="L14" s="16">
        <f>MIN(L4:L13)</f>
        <v>1462783.3257512399</v>
      </c>
      <c r="M14" s="21">
        <f>INDEX(M4:M13, MATCH($L$14, L4:L13, 0))</f>
        <v>1852.105463900021</v>
      </c>
      <c r="N14" s="16">
        <f>INDEX(N4:N13, MATCH($L$14, L4:L13, 0))</f>
        <v>26</v>
      </c>
      <c r="O14" s="16">
        <f>INDEX(O4:O13, MATCH($L$14, L4:L13, 0))</f>
        <v>94</v>
      </c>
      <c r="P14" s="21">
        <f>INDEX(P4:P13, MATCH($L$14, L4:L13, 0))</f>
        <v>738.24676788960085</v>
      </c>
      <c r="Q14" s="21">
        <f>INDEX(Q4:Q13, MATCH($L$14, L4:L13, 0))</f>
        <v>18.818058906560985</v>
      </c>
      <c r="R14" s="21">
        <f>INDEX(R4:R13, MATCH($L$14, L4:L13, 0))</f>
        <v>5407.022546132197</v>
      </c>
      <c r="S14" s="35" t="e">
        <f>(L14-$D$15)/$D$15</f>
        <v>#DIV/0!</v>
      </c>
      <c r="T14" s="37">
        <f>MIN(T4:T13)</f>
        <v>1585967.1907543121</v>
      </c>
      <c r="U14" s="38">
        <f>INDEX(U4:U13, MATCH($T$14, T4:T13, 0))</f>
        <v>474.45132130000269</v>
      </c>
      <c r="V14" s="37">
        <f>INDEX(V4:V13, MATCH($T$14, T4:T13, 0))</f>
        <v>13</v>
      </c>
      <c r="W14" s="37">
        <f>INDEX(W4:W13, MATCH($T$14, T4:T13, 0))</f>
        <v>83.333333333333329</v>
      </c>
      <c r="X14" s="38">
        <f>INDEX(X4:X13, MATCH($T$14, T4:T13, 0))</f>
        <v>1086.2484658334397</v>
      </c>
      <c r="Y14" s="38">
        <f>INDEX(Y4:Y13, MATCH($T$14, T4:T13, 0))</f>
        <v>53.935564330493449</v>
      </c>
      <c r="Z14" s="38">
        <f>INDEX(Z4:Z13, MATCH($T$14, T4:T13, 0))</f>
        <v>6776.9656213510816</v>
      </c>
      <c r="AA14" s="39" t="e">
        <f>(T14-$D$15)/$D$15</f>
        <v>#DIV/0!</v>
      </c>
    </row>
    <row r="15" spans="2:27" x14ac:dyDescent="0.2">
      <c r="C15" s="1" t="s">
        <v>17</v>
      </c>
      <c r="D15" s="33"/>
      <c r="E15" s="3"/>
      <c r="F15" s="3"/>
      <c r="G15" s="3"/>
      <c r="H15" s="3"/>
      <c r="I15" s="3"/>
      <c r="J15" s="3"/>
      <c r="K15" s="3"/>
      <c r="L15" s="40">
        <f>(L14-D14)/D14</f>
        <v>0.27180049418919638</v>
      </c>
      <c r="M15" s="40">
        <f t="shared" ref="M15:R15" si="0">(M14-E14)/E14</f>
        <v>2.6965825941590862</v>
      </c>
      <c r="N15" s="40">
        <f t="shared" si="0"/>
        <v>1.1666666666666667</v>
      </c>
      <c r="O15" s="40">
        <f t="shared" si="0"/>
        <v>-2.0833333333333332E-2</v>
      </c>
      <c r="P15" s="40">
        <f t="shared" si="0"/>
        <v>0.53468890012228565</v>
      </c>
      <c r="Q15" s="40">
        <f t="shared" si="0"/>
        <v>-0.55524644199368678</v>
      </c>
      <c r="R15" s="40">
        <f t="shared" si="0"/>
        <v>-4.2127388286211702E-2</v>
      </c>
      <c r="T15" s="40">
        <f>(T14-D14)/D14</f>
        <v>0.37890131878096156</v>
      </c>
      <c r="U15" s="40">
        <f t="shared" ref="U15:Z15" si="1">(U14-E14)/E14</f>
        <v>-5.3051497186207219E-2</v>
      </c>
      <c r="V15" s="40">
        <f t="shared" si="1"/>
        <v>8.3333333333333329E-2</v>
      </c>
      <c r="W15" s="40">
        <f t="shared" si="1"/>
        <v>-0.1319444444444445</v>
      </c>
      <c r="X15" s="40">
        <f t="shared" si="1"/>
        <v>1.258124973652085</v>
      </c>
      <c r="Y15" s="40">
        <f t="shared" si="1"/>
        <v>0.27473477780972605</v>
      </c>
      <c r="Z15" s="40">
        <f t="shared" si="1"/>
        <v>0.20056273186093088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41:C1048576">
    <cfRule type="duplicateValues" dxfId="85" priority="7"/>
    <cfRule type="duplicateValues" dxfId="84" priority="8"/>
  </conditionalFormatting>
  <conditionalFormatting sqref="C14">
    <cfRule type="duplicateValues" dxfId="83" priority="5"/>
    <cfRule type="duplicateValues" dxfId="82" priority="6"/>
  </conditionalFormatting>
  <conditionalFormatting sqref="C15">
    <cfRule type="duplicateValues" dxfId="81" priority="3"/>
    <cfRule type="duplicateValues" dxfId="80" priority="4"/>
  </conditionalFormatting>
  <conditionalFormatting sqref="C17:C40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257CF-CEED-4329-8AC8-79FEE2EED7CF}">
  <dimension ref="B1:AA17"/>
  <sheetViews>
    <sheetView zoomScale="80" zoomScaleNormal="80" workbookViewId="0">
      <selection activeCell="A17" sqref="A17:XFD4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3" width="11.33203125" style="1" bestFit="1" customWidth="1"/>
    <col min="14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1" width="11.33203125" style="1" bestFit="1" customWidth="1"/>
    <col min="22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-0.96526353468033499</v>
      </c>
      <c r="J2" s="28" t="e">
        <f>(S14-J14)/J14</f>
        <v>#DIV/0!</v>
      </c>
      <c r="K2" s="28"/>
      <c r="L2" s="1" t="s">
        <v>19</v>
      </c>
      <c r="P2" s="1">
        <f>(P14-H14)/H14</f>
        <v>-0.62696652379794349</v>
      </c>
      <c r="R2" s="1">
        <f>(R14-J14)/J14</f>
        <v>-0.23434720324459377</v>
      </c>
      <c r="T2" s="1" t="s">
        <v>20</v>
      </c>
      <c r="X2" s="1">
        <f>(X14-P14)/P14</f>
        <v>3.0975343835623357</v>
      </c>
      <c r="Z2" s="1">
        <f>(Z14-R14)/R14</f>
        <v>0.43944068000278019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6" t="s">
        <v>0</v>
      </c>
      <c r="U3" s="36" t="s">
        <v>5</v>
      </c>
      <c r="V3" s="36" t="s">
        <v>12</v>
      </c>
      <c r="W3" s="36" t="s">
        <v>15</v>
      </c>
      <c r="X3" s="36" t="s">
        <v>11</v>
      </c>
      <c r="Y3" s="36" t="s">
        <v>16</v>
      </c>
      <c r="Z3" s="36" t="s">
        <v>10</v>
      </c>
      <c r="AA3" s="36" t="s">
        <v>1</v>
      </c>
    </row>
    <row r="4" spans="2:27" x14ac:dyDescent="0.2">
      <c r="B4" s="4">
        <v>1</v>
      </c>
      <c r="C4" s="4">
        <v>612</v>
      </c>
      <c r="D4" s="23">
        <v>1199696.2255883759</v>
      </c>
      <c r="E4" s="32">
        <v>222.86362129996999</v>
      </c>
      <c r="F4" s="5">
        <v>11</v>
      </c>
      <c r="G4" s="23">
        <v>96</v>
      </c>
      <c r="H4" s="32">
        <v>576.38844173293012</v>
      </c>
      <c r="I4" s="23">
        <v>50.159300065539689</v>
      </c>
      <c r="J4" s="5">
        <v>6067.535552706986</v>
      </c>
      <c r="K4" s="30"/>
      <c r="L4" s="23">
        <v>1750824.328797257</v>
      </c>
      <c r="M4" s="32">
        <v>1922.3776252999669</v>
      </c>
      <c r="N4" s="5">
        <v>12</v>
      </c>
      <c r="O4" s="5">
        <v>60.666666666666657</v>
      </c>
      <c r="P4" s="32">
        <v>12.387832478891202</v>
      </c>
      <c r="Q4" s="5">
        <v>24.710554782268165</v>
      </c>
      <c r="R4" s="5">
        <v>4113.8147286351877</v>
      </c>
      <c r="S4" s="34"/>
      <c r="T4" s="23">
        <v>1688457.191164084</v>
      </c>
      <c r="U4" s="32">
        <v>379.79140310001088</v>
      </c>
      <c r="V4" s="5">
        <v>11</v>
      </c>
      <c r="W4" s="5">
        <v>72.666666666666671</v>
      </c>
      <c r="X4" s="32">
        <v>756.98198872436092</v>
      </c>
      <c r="Y4" s="5">
        <v>60.099278977607234</v>
      </c>
      <c r="Z4" s="5">
        <v>6377.7388407258914</v>
      </c>
      <c r="AA4" s="34"/>
    </row>
    <row r="5" spans="2:27" x14ac:dyDescent="0.2">
      <c r="B5" s="4">
        <v>2</v>
      </c>
      <c r="C5" s="4">
        <v>675</v>
      </c>
      <c r="D5" s="23">
        <v>1169661.7895714</v>
      </c>
      <c r="E5" s="32">
        <v>570.82542760006618</v>
      </c>
      <c r="F5" s="5">
        <v>13</v>
      </c>
      <c r="G5" s="23">
        <v>98.666666666666671</v>
      </c>
      <c r="H5" s="32">
        <v>595.47201227981463</v>
      </c>
      <c r="I5" s="23">
        <v>44.06554766128118</v>
      </c>
      <c r="J5" s="5">
        <v>5966.6441197221229</v>
      </c>
      <c r="K5" s="30"/>
      <c r="L5" s="23">
        <v>1587605.2295408801</v>
      </c>
      <c r="M5" s="32">
        <v>1416.593423500075</v>
      </c>
      <c r="N5" s="5">
        <v>19</v>
      </c>
      <c r="O5" s="5">
        <v>75.333333333333329</v>
      </c>
      <c r="P5" s="32">
        <v>226.3148839994671</v>
      </c>
      <c r="Q5" s="5">
        <v>21.074192052172091</v>
      </c>
      <c r="R5" s="5">
        <v>4530.5433116439544</v>
      </c>
      <c r="S5" s="34"/>
      <c r="T5" s="23">
        <v>1643150.8746089949</v>
      </c>
      <c r="U5" s="32">
        <v>880.50170539994724</v>
      </c>
      <c r="V5" s="5">
        <v>12</v>
      </c>
      <c r="W5" s="5">
        <v>76.666666666666671</v>
      </c>
      <c r="X5" s="32">
        <v>867.7542393692371</v>
      </c>
      <c r="Y5" s="5">
        <v>60.241564814466052</v>
      </c>
      <c r="Z5" s="5">
        <v>6526.0107768939306</v>
      </c>
      <c r="AA5" s="34"/>
    </row>
    <row r="6" spans="2:27" x14ac:dyDescent="0.2">
      <c r="B6" s="4">
        <v>3</v>
      </c>
      <c r="C6" s="4">
        <v>524</v>
      </c>
      <c r="D6" s="23">
        <v>1165342.4120050741</v>
      </c>
      <c r="E6" s="32">
        <v>1092.688131500036</v>
      </c>
      <c r="F6" s="5">
        <v>14</v>
      </c>
      <c r="G6" s="23">
        <v>98</v>
      </c>
      <c r="H6" s="32">
        <v>598.40115310198792</v>
      </c>
      <c r="I6" s="23">
        <v>41.635049644822004</v>
      </c>
      <c r="J6" s="5">
        <v>5746.7387272565684</v>
      </c>
      <c r="K6" s="30"/>
      <c r="L6" s="23">
        <v>1618500.046279765</v>
      </c>
      <c r="M6" s="32">
        <v>588.67999660002533</v>
      </c>
      <c r="N6" s="5">
        <v>21</v>
      </c>
      <c r="O6" s="5">
        <v>78</v>
      </c>
      <c r="P6" s="32">
        <v>361.50218031103327</v>
      </c>
      <c r="Q6" s="5">
        <v>20.109358162126995</v>
      </c>
      <c r="R6" s="5">
        <v>4868.1645033654422</v>
      </c>
      <c r="S6" s="34"/>
      <c r="T6" s="23">
        <v>1623658.457049598</v>
      </c>
      <c r="U6" s="32">
        <v>945.29398460010998</v>
      </c>
      <c r="V6" s="5">
        <v>12</v>
      </c>
      <c r="W6" s="5">
        <v>78</v>
      </c>
      <c r="X6" s="32">
        <v>883.64531694963841</v>
      </c>
      <c r="Y6" s="5">
        <v>59.311298198936619</v>
      </c>
      <c r="Z6" s="5">
        <v>6499.797776282343</v>
      </c>
      <c r="AA6" s="34"/>
    </row>
    <row r="7" spans="2:27" x14ac:dyDescent="0.2">
      <c r="B7" s="4">
        <v>4</v>
      </c>
      <c r="C7" s="4">
        <v>925</v>
      </c>
      <c r="D7" s="23">
        <v>1174891.122542317</v>
      </c>
      <c r="E7" s="32">
        <v>646.97956879995763</v>
      </c>
      <c r="F7" s="5">
        <v>13</v>
      </c>
      <c r="G7" s="23">
        <v>96.666666666666671</v>
      </c>
      <c r="H7" s="32">
        <v>546.88362560639143</v>
      </c>
      <c r="I7" s="23">
        <v>42.262892006995671</v>
      </c>
      <c r="J7" s="5">
        <v>5758.5918381048295</v>
      </c>
      <c r="K7" s="30"/>
      <c r="L7" s="23">
        <v>1599548.841071724</v>
      </c>
      <c r="M7" s="32">
        <v>951.50236449996009</v>
      </c>
      <c r="N7" s="5">
        <v>20</v>
      </c>
      <c r="O7" s="5">
        <v>76</v>
      </c>
      <c r="P7" s="32">
        <v>265.73502431687535</v>
      </c>
      <c r="Q7" s="5">
        <v>20.48536271162958</v>
      </c>
      <c r="R7" s="5">
        <v>4611.0061526019344</v>
      </c>
      <c r="S7" s="34"/>
      <c r="T7" s="23">
        <v>1631128.6413231499</v>
      </c>
      <c r="U7" s="32">
        <v>563.25895110005513</v>
      </c>
      <c r="V7" s="5">
        <v>13</v>
      </c>
      <c r="W7" s="5">
        <v>77.333333333333329</v>
      </c>
      <c r="X7" s="32">
        <v>852.21748881120152</v>
      </c>
      <c r="Y7" s="5">
        <v>58.60597436956494</v>
      </c>
      <c r="Z7" s="5">
        <v>6414.666413204588</v>
      </c>
      <c r="AA7" s="34"/>
    </row>
    <row r="8" spans="2:27" x14ac:dyDescent="0.2">
      <c r="B8" s="4">
        <v>5</v>
      </c>
      <c r="C8" s="4">
        <v>622</v>
      </c>
      <c r="D8" s="23">
        <v>1179782.7823270571</v>
      </c>
      <c r="E8" s="32">
        <v>534.79367589997128</v>
      </c>
      <c r="F8" s="5">
        <v>12</v>
      </c>
      <c r="G8" s="23">
        <v>96.666666666666671</v>
      </c>
      <c r="H8" s="32">
        <v>530.17377565555705</v>
      </c>
      <c r="I8" s="23">
        <v>47.199420436583715</v>
      </c>
      <c r="J8" s="5">
        <v>5958.6598063742313</v>
      </c>
      <c r="K8" s="30"/>
      <c r="L8" s="23">
        <v>1606975.894859418</v>
      </c>
      <c r="M8" s="32">
        <v>1987.9762523000829</v>
      </c>
      <c r="N8" s="5">
        <v>20</v>
      </c>
      <c r="O8" s="5">
        <v>76</v>
      </c>
      <c r="P8" s="32">
        <v>272.60652943925891</v>
      </c>
      <c r="Q8" s="5">
        <v>20.320615259080142</v>
      </c>
      <c r="R8" s="5">
        <v>4611.5718530152417</v>
      </c>
      <c r="S8" s="34"/>
      <c r="T8" s="23">
        <v>1648186.228434094</v>
      </c>
      <c r="U8" s="32">
        <v>1253.3889336000429</v>
      </c>
      <c r="V8" s="5">
        <v>12</v>
      </c>
      <c r="W8" s="5">
        <v>76</v>
      </c>
      <c r="X8" s="32">
        <v>791.6802166957458</v>
      </c>
      <c r="Y8" s="5">
        <v>58.881116071439727</v>
      </c>
      <c r="Z8" s="5">
        <v>6380.2940136663283</v>
      </c>
      <c r="AA8" s="34"/>
    </row>
    <row r="9" spans="2:27" x14ac:dyDescent="0.2">
      <c r="B9" s="4">
        <v>6</v>
      </c>
      <c r="C9" s="4">
        <v>244</v>
      </c>
      <c r="D9" s="23">
        <v>1163565.272881343</v>
      </c>
      <c r="E9" s="32">
        <v>1000.783094100072</v>
      </c>
      <c r="F9" s="5">
        <v>13</v>
      </c>
      <c r="G9" s="23">
        <v>98.666666666666671</v>
      </c>
      <c r="H9" s="32">
        <v>606.68786700762973</v>
      </c>
      <c r="I9" s="23">
        <v>44.773708180158685</v>
      </c>
      <c r="J9" s="5">
        <v>5917.2294946782149</v>
      </c>
      <c r="K9" s="30"/>
      <c r="L9" s="23">
        <v>1641154.5984100101</v>
      </c>
      <c r="M9" s="32">
        <v>461.5897835000651</v>
      </c>
      <c r="N9" s="5">
        <v>20</v>
      </c>
      <c r="O9" s="5">
        <v>75.333333333333329</v>
      </c>
      <c r="P9" s="32">
        <v>251.4135971363639</v>
      </c>
      <c r="Q9" s="5">
        <v>20.100887542001509</v>
      </c>
      <c r="R9" s="5">
        <v>4766.8843750203214</v>
      </c>
      <c r="S9" s="34"/>
      <c r="T9" s="23">
        <v>1702434.487224265</v>
      </c>
      <c r="U9" s="32">
        <v>554.82362140004989</v>
      </c>
      <c r="V9" s="5">
        <v>12</v>
      </c>
      <c r="W9" s="5">
        <v>72</v>
      </c>
      <c r="X9" s="32">
        <v>670.6094713807596</v>
      </c>
      <c r="Y9" s="5">
        <v>53.73574908757876</v>
      </c>
      <c r="Z9" s="5">
        <v>6239.2334431759027</v>
      </c>
      <c r="AA9" s="34"/>
    </row>
    <row r="10" spans="2:27" x14ac:dyDescent="0.2">
      <c r="B10" s="4">
        <v>7</v>
      </c>
      <c r="C10" s="4">
        <v>57</v>
      </c>
      <c r="D10" s="23">
        <v>1207011.180226434</v>
      </c>
      <c r="E10" s="32">
        <v>640.35605279996525</v>
      </c>
      <c r="F10" s="5">
        <v>12</v>
      </c>
      <c r="G10" s="23">
        <v>96</v>
      </c>
      <c r="H10" s="32">
        <v>545.15612345640966</v>
      </c>
      <c r="I10" s="23">
        <v>45.997940819529184</v>
      </c>
      <c r="J10" s="5">
        <v>6006.6325684214435</v>
      </c>
      <c r="K10" s="30"/>
      <c r="L10" s="23">
        <v>1631211.86190681</v>
      </c>
      <c r="M10" s="32">
        <v>926.25288320006803</v>
      </c>
      <c r="N10" s="5">
        <v>21</v>
      </c>
      <c r="O10" s="5">
        <v>76.666666666666671</v>
      </c>
      <c r="P10" s="32">
        <v>274.39531959810552</v>
      </c>
      <c r="Q10" s="5">
        <v>19.941453209389447</v>
      </c>
      <c r="R10" s="5">
        <v>4835.3713028875136</v>
      </c>
      <c r="S10" s="34"/>
      <c r="T10" s="23">
        <v>1696389.7431220659</v>
      </c>
      <c r="U10" s="32">
        <v>938.95423409994692</v>
      </c>
      <c r="V10" s="5">
        <v>11</v>
      </c>
      <c r="W10" s="5">
        <v>70.666666666666671</v>
      </c>
      <c r="X10" s="32">
        <v>615.27838255223355</v>
      </c>
      <c r="Y10" s="5">
        <v>59.843897516204919</v>
      </c>
      <c r="Z10" s="5">
        <v>6207.3564150744733</v>
      </c>
      <c r="AA10" s="34"/>
    </row>
    <row r="11" spans="2:27" x14ac:dyDescent="0.2">
      <c r="B11" s="4">
        <v>8</v>
      </c>
      <c r="C11" s="4">
        <v>690</v>
      </c>
      <c r="D11" s="23">
        <v>1179823.872645064</v>
      </c>
      <c r="E11" s="32">
        <v>777.22132979996968</v>
      </c>
      <c r="F11" s="5">
        <v>12</v>
      </c>
      <c r="G11" s="23">
        <v>98</v>
      </c>
      <c r="H11" s="32">
        <v>587.56197914744291</v>
      </c>
      <c r="I11" s="23">
        <v>47.503350025982201</v>
      </c>
      <c r="J11" s="5">
        <v>6061.0299677251023</v>
      </c>
      <c r="K11" s="30"/>
      <c r="L11" s="23">
        <v>1592811.812038786</v>
      </c>
      <c r="M11" s="32">
        <v>541.98548050003592</v>
      </c>
      <c r="N11" s="5">
        <v>20</v>
      </c>
      <c r="O11" s="5">
        <v>76.666666666666671</v>
      </c>
      <c r="P11" s="32">
        <v>273.69830560434019</v>
      </c>
      <c r="Q11" s="5">
        <v>20.729074670239061</v>
      </c>
      <c r="R11" s="5">
        <v>4641.2336892288431</v>
      </c>
      <c r="S11" s="34"/>
      <c r="T11" s="23">
        <v>1634635.797402035</v>
      </c>
      <c r="U11" s="32">
        <v>2169.9535286999312</v>
      </c>
      <c r="V11" s="5">
        <v>13</v>
      </c>
      <c r="W11" s="5">
        <v>77.333333333333329</v>
      </c>
      <c r="X11" s="32">
        <v>837.00784406946207</v>
      </c>
      <c r="Y11" s="5">
        <v>55.283441487278239</v>
      </c>
      <c r="Z11" s="5">
        <v>6356.5762347003838</v>
      </c>
      <c r="AA11" s="34"/>
    </row>
    <row r="12" spans="2:27" x14ac:dyDescent="0.2">
      <c r="B12" s="4">
        <v>9</v>
      </c>
      <c r="C12" s="4">
        <v>476</v>
      </c>
      <c r="D12" s="23">
        <v>1183397.242123584</v>
      </c>
      <c r="E12" s="32">
        <v>821.26373329991475</v>
      </c>
      <c r="F12" s="5">
        <v>13</v>
      </c>
      <c r="G12" s="23">
        <v>97.333333333333329</v>
      </c>
      <c r="H12" s="32">
        <v>584.74292106693485</v>
      </c>
      <c r="I12" s="23">
        <v>43.780482848755007</v>
      </c>
      <c r="J12" s="5">
        <v>5889.9837993887686</v>
      </c>
      <c r="K12" s="30"/>
      <c r="L12" s="23">
        <v>1656984.6210300131</v>
      </c>
      <c r="M12" s="32">
        <v>2045.909546699957</v>
      </c>
      <c r="N12" s="5">
        <v>18</v>
      </c>
      <c r="O12" s="5">
        <v>73.333333333333329</v>
      </c>
      <c r="P12" s="32">
        <v>346.85878490989586</v>
      </c>
      <c r="Q12" s="5">
        <v>20.70543166217324</v>
      </c>
      <c r="R12" s="5">
        <v>4837.5647456498427</v>
      </c>
      <c r="S12" s="34"/>
      <c r="T12" s="23">
        <v>1675521.374401503</v>
      </c>
      <c r="U12" s="32">
        <v>1310.9460278999759</v>
      </c>
      <c r="V12" s="5">
        <v>13</v>
      </c>
      <c r="W12" s="5">
        <v>75.333333333333329</v>
      </c>
      <c r="X12" s="32">
        <v>846.0029855581846</v>
      </c>
      <c r="Y12" s="5">
        <v>54.272451846907764</v>
      </c>
      <c r="Z12" s="5">
        <v>6355.0226054027708</v>
      </c>
      <c r="AA12" s="34"/>
    </row>
    <row r="13" spans="2:27" x14ac:dyDescent="0.2">
      <c r="B13" s="4">
        <v>10</v>
      </c>
      <c r="C13" s="4">
        <v>860</v>
      </c>
      <c r="D13" s="23">
        <v>1172684.3408785439</v>
      </c>
      <c r="E13" s="32">
        <v>661.3477274000179</v>
      </c>
      <c r="F13" s="5">
        <v>14</v>
      </c>
      <c r="G13" s="23">
        <v>98.666666666666671</v>
      </c>
      <c r="H13" s="32">
        <v>646.52369996738094</v>
      </c>
      <c r="I13" s="23">
        <v>42.606839561885145</v>
      </c>
      <c r="J13" s="5">
        <v>5877.54676001808</v>
      </c>
      <c r="K13" s="30"/>
      <c r="L13" s="23">
        <v>1622701.716022749</v>
      </c>
      <c r="M13" s="32">
        <v>1479.9195455999579</v>
      </c>
      <c r="N13" s="5">
        <v>19</v>
      </c>
      <c r="O13" s="5">
        <v>75.333333333333329</v>
      </c>
      <c r="P13" s="32">
        <v>260.52789182533252</v>
      </c>
      <c r="Q13" s="5">
        <v>21.294826132386035</v>
      </c>
      <c r="R13" s="5">
        <v>4781.9514611850755</v>
      </c>
      <c r="S13" s="34"/>
      <c r="T13" s="23">
        <v>1616089.4314548711</v>
      </c>
      <c r="U13" s="32">
        <v>1509.9691503000211</v>
      </c>
      <c r="V13" s="5">
        <v>13</v>
      </c>
      <c r="W13" s="5">
        <v>79.333333333333329</v>
      </c>
      <c r="X13" s="32">
        <v>927.33301869973786</v>
      </c>
      <c r="Y13" s="5">
        <v>57.36563608373342</v>
      </c>
      <c r="Z13" s="5">
        <v>6521.4483452948216</v>
      </c>
      <c r="AA13" s="34"/>
    </row>
    <row r="14" spans="2:27" x14ac:dyDescent="0.2">
      <c r="B14" s="47" t="s">
        <v>3</v>
      </c>
      <c r="C14" s="48"/>
      <c r="D14" s="9">
        <f>MIN(D4:D13)</f>
        <v>1163565.272881343</v>
      </c>
      <c r="E14" s="22">
        <f>INDEX(E4:E13, MATCH($D$14, D4:D13, 0))</f>
        <v>1000.783094100072</v>
      </c>
      <c r="F14" s="9">
        <f>INDEX(F4:F13, MATCH($D$14, D4:D13, 0))</f>
        <v>13</v>
      </c>
      <c r="G14" s="9">
        <f>INDEX(G4:G13, MATCH($D$14, D4:D13, 0))</f>
        <v>98.666666666666671</v>
      </c>
      <c r="H14" s="22">
        <f>INDEX(H4:H13, MATCH($D$14, D4:D13, 0))</f>
        <v>606.68786700762973</v>
      </c>
      <c r="I14" s="22">
        <f>INDEX(I4:I13, MATCH($D$14, D4:D13, 0))</f>
        <v>44.773708180158685</v>
      </c>
      <c r="J14" s="22">
        <f>INDEX(J4:J13, MATCH($D$14, D4:D13, 0))</f>
        <v>5917.2294946782149</v>
      </c>
      <c r="K14" s="31" t="e">
        <f>(D14-$D$15)/$D$15</f>
        <v>#DIV/0!</v>
      </c>
      <c r="L14" s="16">
        <f>MIN(L4:L13)</f>
        <v>1587605.2295408801</v>
      </c>
      <c r="M14" s="21">
        <f>INDEX(M4:M13, MATCH($L$14, L4:L13, 0))</f>
        <v>1416.593423500075</v>
      </c>
      <c r="N14" s="16">
        <f>INDEX(N4:N13, MATCH($L$14, L4:L13, 0))</f>
        <v>19</v>
      </c>
      <c r="O14" s="16">
        <f>INDEX(O4:O13, MATCH($L$14, L4:L13, 0))</f>
        <v>75.333333333333329</v>
      </c>
      <c r="P14" s="21">
        <f>INDEX(P4:P13, MATCH($L$14, L4:L13, 0))</f>
        <v>226.3148839994671</v>
      </c>
      <c r="Q14" s="21">
        <f>INDEX(Q4:Q13, MATCH($L$14, L4:L13, 0))</f>
        <v>21.074192052172091</v>
      </c>
      <c r="R14" s="21">
        <f>INDEX(R4:R13, MATCH($L$14, L4:L13, 0))</f>
        <v>4530.5433116439544</v>
      </c>
      <c r="S14" s="35" t="e">
        <f>(L14-$D$15)/$D$15</f>
        <v>#DIV/0!</v>
      </c>
      <c r="T14" s="37">
        <f>MIN(T4:T13)</f>
        <v>1616089.4314548711</v>
      </c>
      <c r="U14" s="38">
        <f>INDEX(U4:U13, MATCH($T$14, T4:T13, 0))</f>
        <v>1509.9691503000211</v>
      </c>
      <c r="V14" s="37">
        <f>INDEX(V4:V13, MATCH($T$14, T4:T13, 0))</f>
        <v>13</v>
      </c>
      <c r="W14" s="37">
        <f>INDEX(W4:W13, MATCH($T$14, T4:T13, 0))</f>
        <v>79.333333333333329</v>
      </c>
      <c r="X14" s="38">
        <f>INDEX(X4:X13, MATCH($T$14, T4:T13, 0))</f>
        <v>927.33301869973786</v>
      </c>
      <c r="Y14" s="38">
        <f>INDEX(Y4:Y13, MATCH($T$14, T4:T13, 0))</f>
        <v>57.36563608373342</v>
      </c>
      <c r="Z14" s="38">
        <f>INDEX(Z4:Z13, MATCH($T$14, T4:T13, 0))</f>
        <v>6521.4483452948216</v>
      </c>
      <c r="AA14" s="39" t="e">
        <f>(T14-$D$15)/$D$15</f>
        <v>#DIV/0!</v>
      </c>
    </row>
    <row r="15" spans="2:27" x14ac:dyDescent="0.2">
      <c r="C15" s="1" t="s">
        <v>17</v>
      </c>
      <c r="D15" s="33"/>
      <c r="E15" s="3"/>
      <c r="F15" s="3"/>
      <c r="G15" s="3"/>
      <c r="H15" s="3"/>
      <c r="I15" s="3"/>
      <c r="J15" s="3"/>
      <c r="K15" s="3"/>
      <c r="L15" s="40">
        <f>(L14-D14)/D14</f>
        <v>0.36443160219923426</v>
      </c>
      <c r="M15" s="40">
        <f t="shared" ref="M15:R15" si="0">(M14-E14)/E14</f>
        <v>0.4154849655747927</v>
      </c>
      <c r="N15" s="40">
        <f t="shared" si="0"/>
        <v>0.46153846153846156</v>
      </c>
      <c r="O15" s="40">
        <f t="shared" si="0"/>
        <v>-0.23648648648648657</v>
      </c>
      <c r="P15" s="40">
        <f t="shared" si="0"/>
        <v>-0.62696652379794349</v>
      </c>
      <c r="Q15" s="40">
        <f t="shared" si="0"/>
        <v>-0.52931769762346714</v>
      </c>
      <c r="R15" s="40">
        <f t="shared" si="0"/>
        <v>-0.23434720324459377</v>
      </c>
      <c r="T15" s="40">
        <f>(T14-D14)/D14</f>
        <v>0.38891170879734149</v>
      </c>
      <c r="U15" s="40">
        <f t="shared" ref="U15:Z15" si="1">(U14-E14)/E14</f>
        <v>0.5087876276105775</v>
      </c>
      <c r="V15" s="40">
        <f t="shared" si="1"/>
        <v>0</v>
      </c>
      <c r="W15" s="40">
        <f t="shared" si="1"/>
        <v>-0.19594594594594603</v>
      </c>
      <c r="X15" s="40">
        <f t="shared" si="1"/>
        <v>0.52851749495770894</v>
      </c>
      <c r="Y15" s="40">
        <f t="shared" si="1"/>
        <v>0.28123486785833846</v>
      </c>
      <c r="Z15" s="40">
        <f t="shared" si="1"/>
        <v>0.10211178240763243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41:C1048576">
    <cfRule type="duplicateValues" dxfId="79" priority="7"/>
    <cfRule type="duplicateValues" dxfId="78" priority="8"/>
  </conditionalFormatting>
  <conditionalFormatting sqref="C14">
    <cfRule type="duplicateValues" dxfId="77" priority="5"/>
    <cfRule type="duplicateValues" dxfId="76" priority="6"/>
  </conditionalFormatting>
  <conditionalFormatting sqref="C15">
    <cfRule type="duplicateValues" dxfId="75" priority="3"/>
    <cfRule type="duplicateValues" dxfId="74" priority="4"/>
  </conditionalFormatting>
  <conditionalFormatting sqref="C17:C40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A1137-75B9-472C-AC41-D4A46B10DB2F}">
  <dimension ref="B1:AA17"/>
  <sheetViews>
    <sheetView zoomScale="90" zoomScaleNormal="90" workbookViewId="0">
      <selection activeCell="A17" sqref="A17:XFD4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-0.95864802890533729</v>
      </c>
      <c r="J2" s="28" t="e">
        <f>(S14-J14)/J14</f>
        <v>#DIV/0!</v>
      </c>
      <c r="K2" s="28"/>
      <c r="L2" s="1" t="s">
        <v>19</v>
      </c>
      <c r="P2" s="1">
        <f>(P14-H14)/H14</f>
        <v>-0.24299265066524903</v>
      </c>
      <c r="R2" s="1">
        <f>(R14-J14)/J14</f>
        <v>-0.13397737804520665</v>
      </c>
      <c r="T2" s="1" t="s">
        <v>20</v>
      </c>
      <c r="X2" s="1">
        <f>(X14-P14)/P14</f>
        <v>2.2007715533925243</v>
      </c>
      <c r="Z2" s="1">
        <f>(Z14-R14)/R14</f>
        <v>0.34149554239102059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6" t="s">
        <v>0</v>
      </c>
      <c r="U3" s="36" t="s">
        <v>5</v>
      </c>
      <c r="V3" s="36" t="s">
        <v>12</v>
      </c>
      <c r="W3" s="36" t="s">
        <v>15</v>
      </c>
      <c r="X3" s="36" t="s">
        <v>11</v>
      </c>
      <c r="Y3" s="36" t="s">
        <v>16</v>
      </c>
      <c r="Z3" s="36" t="s">
        <v>10</v>
      </c>
      <c r="AA3" s="36" t="s">
        <v>1</v>
      </c>
    </row>
    <row r="4" spans="2:27" x14ac:dyDescent="0.2">
      <c r="B4" s="4">
        <v>1</v>
      </c>
      <c r="C4" s="4">
        <v>695</v>
      </c>
      <c r="D4" s="23">
        <v>1113961.965147218</v>
      </c>
      <c r="E4" s="32">
        <v>438.16254339995788</v>
      </c>
      <c r="F4" s="5">
        <v>12</v>
      </c>
      <c r="G4" s="23">
        <v>97.333333333333329</v>
      </c>
      <c r="H4" s="32">
        <v>387.13337520677135</v>
      </c>
      <c r="I4" s="23">
        <v>43.888685513419183</v>
      </c>
      <c r="J4" s="5">
        <v>5566.0336283807028</v>
      </c>
      <c r="K4" s="30"/>
      <c r="L4" s="23">
        <v>1420995.6088333661</v>
      </c>
      <c r="M4" s="32">
        <v>809.080912000034</v>
      </c>
      <c r="N4" s="5">
        <v>25</v>
      </c>
      <c r="O4" s="5">
        <v>89.333333333333329</v>
      </c>
      <c r="P4" s="32">
        <v>334.32133676382665</v>
      </c>
      <c r="Q4" s="5">
        <v>18.282517543318562</v>
      </c>
      <c r="R4" s="5">
        <v>4737.1325177346389</v>
      </c>
      <c r="S4" s="34"/>
      <c r="T4" s="23">
        <v>1614033.1485079911</v>
      </c>
      <c r="U4" s="32">
        <v>843.6308515999699</v>
      </c>
      <c r="V4" s="5">
        <v>12</v>
      </c>
      <c r="W4" s="5">
        <v>76.666666666666671</v>
      </c>
      <c r="X4" s="32">
        <v>765.20017995260775</v>
      </c>
      <c r="Y4" s="5">
        <v>52.655642233769662</v>
      </c>
      <c r="Z4" s="5">
        <v>6147.9171691383017</v>
      </c>
      <c r="AA4" s="34"/>
    </row>
    <row r="5" spans="2:27" x14ac:dyDescent="0.2">
      <c r="B5" s="4">
        <v>2</v>
      </c>
      <c r="C5" s="4">
        <v>91</v>
      </c>
      <c r="D5" s="23">
        <v>1146823.1314442391</v>
      </c>
      <c r="E5" s="32">
        <v>418.2331855999073</v>
      </c>
      <c r="F5" s="5">
        <v>13</v>
      </c>
      <c r="G5" s="23">
        <v>97.333333333333329</v>
      </c>
      <c r="H5" s="32">
        <v>446.77034431144881</v>
      </c>
      <c r="I5" s="23">
        <v>40.514144663178513</v>
      </c>
      <c r="J5" s="5">
        <v>5628.0147551633399</v>
      </c>
      <c r="K5" s="30"/>
      <c r="L5" s="23">
        <v>1455206.338067061</v>
      </c>
      <c r="M5" s="32">
        <v>559.56633029994555</v>
      </c>
      <c r="N5" s="5">
        <v>27</v>
      </c>
      <c r="O5" s="5">
        <v>90.666666666666671</v>
      </c>
      <c r="P5" s="32">
        <v>419.95544780812548</v>
      </c>
      <c r="Q5" s="5">
        <v>17.573534432564298</v>
      </c>
      <c r="R5" s="5">
        <v>4893.7714055963716</v>
      </c>
      <c r="S5" s="34"/>
      <c r="T5" s="23">
        <v>1671251.2294140239</v>
      </c>
      <c r="U5" s="32">
        <v>852.21136150008533</v>
      </c>
      <c r="V5" s="5">
        <v>10</v>
      </c>
      <c r="W5" s="5">
        <v>72.666666666666671</v>
      </c>
      <c r="X5" s="32">
        <v>713.35910918506329</v>
      </c>
      <c r="Y5" s="5">
        <v>56.456737029987629</v>
      </c>
      <c r="Z5" s="5">
        <v>6224.8296301273431</v>
      </c>
      <c r="AA5" s="34"/>
    </row>
    <row r="6" spans="2:27" x14ac:dyDescent="0.2">
      <c r="B6" s="4">
        <v>3</v>
      </c>
      <c r="C6" s="4">
        <v>386</v>
      </c>
      <c r="D6" s="23">
        <v>1105267.2258186559</v>
      </c>
      <c r="E6" s="32">
        <v>610.55950440000743</v>
      </c>
      <c r="F6" s="5">
        <v>12</v>
      </c>
      <c r="G6" s="23">
        <v>97.333333333333329</v>
      </c>
      <c r="H6" s="32">
        <v>424.45649397086817</v>
      </c>
      <c r="I6" s="23">
        <v>44.578549835074192</v>
      </c>
      <c r="J6" s="5">
        <v>5517.2366609967421</v>
      </c>
      <c r="K6" s="30"/>
      <c r="L6" s="23">
        <v>1471923.378224306</v>
      </c>
      <c r="M6" s="32">
        <v>607.80825030000415</v>
      </c>
      <c r="N6" s="5">
        <v>23</v>
      </c>
      <c r="O6" s="5">
        <v>85.333333333333329</v>
      </c>
      <c r="P6" s="32">
        <v>283.88626824540006</v>
      </c>
      <c r="Q6" s="5">
        <v>18.578019742431501</v>
      </c>
      <c r="R6" s="5">
        <v>4759.9969436308511</v>
      </c>
      <c r="S6" s="34"/>
      <c r="T6" s="23">
        <v>1616611.708101813</v>
      </c>
      <c r="U6" s="32">
        <v>910.21727539994754</v>
      </c>
      <c r="V6" s="5">
        <v>12</v>
      </c>
      <c r="W6" s="5">
        <v>78</v>
      </c>
      <c r="X6" s="32">
        <v>819.3008151080694</v>
      </c>
      <c r="Y6" s="5">
        <v>54.398063915048652</v>
      </c>
      <c r="Z6" s="5">
        <v>6342.1946792859753</v>
      </c>
      <c r="AA6" s="34"/>
    </row>
    <row r="7" spans="2:27" x14ac:dyDescent="0.2">
      <c r="B7" s="4">
        <v>4</v>
      </c>
      <c r="C7" s="4">
        <v>123</v>
      </c>
      <c r="D7" s="23">
        <v>1153879.356367029</v>
      </c>
      <c r="E7" s="32">
        <v>1403.0746146000461</v>
      </c>
      <c r="F7" s="5">
        <v>13</v>
      </c>
      <c r="G7" s="23">
        <v>97.333333333333329</v>
      </c>
      <c r="H7" s="32">
        <v>449.32724337652388</v>
      </c>
      <c r="I7" s="23">
        <v>38.866617851173523</v>
      </c>
      <c r="J7" s="5">
        <v>5649.0737875519389</v>
      </c>
      <c r="K7" s="30"/>
      <c r="L7" s="23">
        <v>1454076.6447243011</v>
      </c>
      <c r="M7" s="32">
        <v>1076.6265568999811</v>
      </c>
      <c r="N7" s="5">
        <v>22</v>
      </c>
      <c r="O7" s="5">
        <v>84.666666666666671</v>
      </c>
      <c r="P7" s="32">
        <v>242.34458859147179</v>
      </c>
      <c r="Q7" s="5">
        <v>19.853921606373163</v>
      </c>
      <c r="R7" s="5">
        <v>4696.9514310093391</v>
      </c>
      <c r="S7" s="34"/>
      <c r="T7" s="23">
        <v>1551824.6762481681</v>
      </c>
      <c r="U7" s="32">
        <v>523.24029550002888</v>
      </c>
      <c r="V7" s="5">
        <v>13</v>
      </c>
      <c r="W7" s="5">
        <v>84.666666666666671</v>
      </c>
      <c r="X7" s="32">
        <v>1174.375430995932</v>
      </c>
      <c r="Y7" s="5">
        <v>59.22650735936994</v>
      </c>
      <c r="Z7" s="5">
        <v>6645.8406816055913</v>
      </c>
      <c r="AA7" s="34"/>
    </row>
    <row r="8" spans="2:27" x14ac:dyDescent="0.2">
      <c r="B8" s="4">
        <v>5</v>
      </c>
      <c r="C8" s="4">
        <v>224</v>
      </c>
      <c r="D8" s="23">
        <v>1104429.7339266031</v>
      </c>
      <c r="E8" s="32">
        <v>1304.2637148000069</v>
      </c>
      <c r="F8" s="5">
        <v>12</v>
      </c>
      <c r="G8" s="23">
        <v>97.333333333333329</v>
      </c>
      <c r="H8" s="32">
        <v>406.04628079325568</v>
      </c>
      <c r="I8" s="23">
        <v>44.782398271627066</v>
      </c>
      <c r="J8" s="5">
        <v>5507.8476416026906</v>
      </c>
      <c r="K8" s="30"/>
      <c r="L8" s="23">
        <v>1429924.0807350101</v>
      </c>
      <c r="M8" s="32">
        <v>1183.4801501999609</v>
      </c>
      <c r="N8" s="5">
        <v>24</v>
      </c>
      <c r="O8" s="5">
        <v>88</v>
      </c>
      <c r="P8" s="32">
        <v>322.95883552342286</v>
      </c>
      <c r="Q8" s="5">
        <v>18.858361492680505</v>
      </c>
      <c r="R8" s="5">
        <v>4769.6423752999626</v>
      </c>
      <c r="S8" s="34"/>
      <c r="T8" s="23">
        <v>1601554.4862650479</v>
      </c>
      <c r="U8" s="32">
        <v>1473.028963500052</v>
      </c>
      <c r="V8" s="5">
        <v>13</v>
      </c>
      <c r="W8" s="5">
        <v>80.666666666666671</v>
      </c>
      <c r="X8" s="32">
        <v>1010.8371601152353</v>
      </c>
      <c r="Y8" s="5">
        <v>53.732780246056976</v>
      </c>
      <c r="Z8" s="5">
        <v>6450.9737091748311</v>
      </c>
      <c r="AA8" s="34"/>
    </row>
    <row r="9" spans="2:27" x14ac:dyDescent="0.2">
      <c r="B9" s="4">
        <v>6</v>
      </c>
      <c r="C9" s="4">
        <v>551</v>
      </c>
      <c r="D9" s="23">
        <v>1103871.40421294</v>
      </c>
      <c r="E9" s="32">
        <v>606.48234879993834</v>
      </c>
      <c r="F9" s="5">
        <v>12</v>
      </c>
      <c r="G9" s="23">
        <v>97.333333333333329</v>
      </c>
      <c r="H9" s="32">
        <v>420.53132136540376</v>
      </c>
      <c r="I9" s="23">
        <v>44.919165740790788</v>
      </c>
      <c r="J9" s="5">
        <v>5505.3797019422382</v>
      </c>
      <c r="K9" s="30"/>
      <c r="L9" s="23">
        <v>1441560.851075056</v>
      </c>
      <c r="M9" s="32">
        <v>1911.5574505000841</v>
      </c>
      <c r="N9" s="5">
        <v>29</v>
      </c>
      <c r="O9" s="5">
        <v>93.333333333333329</v>
      </c>
      <c r="P9" s="32">
        <v>444.72889697173588</v>
      </c>
      <c r="Q9" s="5">
        <v>16.900188557230486</v>
      </c>
      <c r="R9" s="5">
        <v>4913.5167935582249</v>
      </c>
      <c r="S9" s="34"/>
      <c r="T9" s="23">
        <v>1646448.3335220569</v>
      </c>
      <c r="U9" s="32">
        <v>1778.430895600002</v>
      </c>
      <c r="V9" s="5">
        <v>12</v>
      </c>
      <c r="W9" s="5">
        <v>76</v>
      </c>
      <c r="X9" s="32">
        <v>882.53470592684687</v>
      </c>
      <c r="Y9" s="5">
        <v>53.027038904281987</v>
      </c>
      <c r="Z9" s="5">
        <v>6246.9293946106263</v>
      </c>
      <c r="AA9" s="34"/>
    </row>
    <row r="10" spans="2:27" x14ac:dyDescent="0.2">
      <c r="B10" s="4">
        <v>7</v>
      </c>
      <c r="C10" s="4">
        <v>419</v>
      </c>
      <c r="D10" s="23">
        <v>1144446.8994687509</v>
      </c>
      <c r="E10" s="32">
        <v>454.42584280006122</v>
      </c>
      <c r="F10" s="5">
        <v>13</v>
      </c>
      <c r="G10" s="23">
        <v>97.333333333333329</v>
      </c>
      <c r="H10" s="32">
        <v>481.27531583508744</v>
      </c>
      <c r="I10" s="23">
        <v>41.131720527764614</v>
      </c>
      <c r="J10" s="5">
        <v>5616.1213444227897</v>
      </c>
      <c r="K10" s="30"/>
      <c r="L10" s="23">
        <v>1420010.2639820089</v>
      </c>
      <c r="M10" s="32">
        <v>1456.092269500019</v>
      </c>
      <c r="N10" s="5">
        <v>28</v>
      </c>
      <c r="O10" s="5">
        <v>92</v>
      </c>
      <c r="P10" s="32">
        <v>318.34530089906463</v>
      </c>
      <c r="Q10" s="5">
        <v>17.389799045502507</v>
      </c>
      <c r="R10" s="5">
        <v>4767.7833643327158</v>
      </c>
      <c r="S10" s="34"/>
      <c r="T10" s="23">
        <v>1643727.364543824</v>
      </c>
      <c r="U10" s="32">
        <v>913.55773200001568</v>
      </c>
      <c r="V10" s="5">
        <v>12</v>
      </c>
      <c r="W10" s="5">
        <v>76.666666666666671</v>
      </c>
      <c r="X10" s="32">
        <v>814.0358599632491</v>
      </c>
      <c r="Y10" s="5">
        <v>49.749873212040349</v>
      </c>
      <c r="Z10" s="5">
        <v>6297.9831574348027</v>
      </c>
      <c r="AA10" s="34"/>
    </row>
    <row r="11" spans="2:27" x14ac:dyDescent="0.2">
      <c r="B11" s="4">
        <v>8</v>
      </c>
      <c r="C11" s="4">
        <v>865</v>
      </c>
      <c r="D11" s="23">
        <v>1130358.3089885891</v>
      </c>
      <c r="E11" s="32">
        <v>1510.801461399999</v>
      </c>
      <c r="F11" s="5">
        <v>13</v>
      </c>
      <c r="G11" s="23">
        <v>97.333333333333329</v>
      </c>
      <c r="H11" s="32">
        <v>359.29197427225313</v>
      </c>
      <c r="I11" s="23">
        <v>40.716663795167051</v>
      </c>
      <c r="J11" s="5">
        <v>5583.4525315343026</v>
      </c>
      <c r="K11" s="30"/>
      <c r="L11" s="23">
        <v>1434713.5453543901</v>
      </c>
      <c r="M11" s="32">
        <v>823.95872989995405</v>
      </c>
      <c r="N11" s="5">
        <v>23</v>
      </c>
      <c r="O11" s="5">
        <v>86</v>
      </c>
      <c r="P11" s="32">
        <v>240.65480528412959</v>
      </c>
      <c r="Q11" s="5">
        <v>19.064017865477503</v>
      </c>
      <c r="R11" s="5">
        <v>4610.4932368344107</v>
      </c>
      <c r="S11" s="34"/>
      <c r="T11" s="23">
        <v>1671923.3436721</v>
      </c>
      <c r="U11" s="32">
        <v>444.61200990003999</v>
      </c>
      <c r="V11" s="5">
        <v>10</v>
      </c>
      <c r="W11" s="5">
        <v>72.666666666666671</v>
      </c>
      <c r="X11" s="32">
        <v>655.11564376926083</v>
      </c>
      <c r="Y11" s="5">
        <v>55.979865570371373</v>
      </c>
      <c r="Z11" s="5">
        <v>6223.6300078750146</v>
      </c>
      <c r="AA11" s="34"/>
    </row>
    <row r="12" spans="2:27" x14ac:dyDescent="0.2">
      <c r="B12" s="4">
        <v>9</v>
      </c>
      <c r="C12" s="4">
        <v>987</v>
      </c>
      <c r="D12" s="23">
        <v>1110824.7087799211</v>
      </c>
      <c r="E12" s="32">
        <v>1387.636499100015</v>
      </c>
      <c r="F12" s="5">
        <v>12</v>
      </c>
      <c r="G12" s="23">
        <v>97.333333333333329</v>
      </c>
      <c r="H12" s="32">
        <v>355.75722259092066</v>
      </c>
      <c r="I12" s="23">
        <v>43.196030114472229</v>
      </c>
      <c r="J12" s="5">
        <v>5552.5888205708088</v>
      </c>
      <c r="K12" s="30"/>
      <c r="L12" s="23">
        <v>1441229.9797634401</v>
      </c>
      <c r="M12" s="32">
        <v>1068.418095100089</v>
      </c>
      <c r="N12" s="5">
        <v>29</v>
      </c>
      <c r="O12" s="5">
        <v>93.333333333333329</v>
      </c>
      <c r="P12" s="32">
        <v>420.48258294180431</v>
      </c>
      <c r="Q12" s="5">
        <v>16.818196423538655</v>
      </c>
      <c r="R12" s="5">
        <v>4894.8565765420744</v>
      </c>
      <c r="S12" s="34"/>
      <c r="T12" s="23">
        <v>1636908.5609983189</v>
      </c>
      <c r="U12" s="32">
        <v>462.97664389992133</v>
      </c>
      <c r="V12" s="5">
        <v>12</v>
      </c>
      <c r="W12" s="5">
        <v>76</v>
      </c>
      <c r="X12" s="32">
        <v>850.89735877754083</v>
      </c>
      <c r="Y12" s="5">
        <v>53.370433315774669</v>
      </c>
      <c r="Z12" s="5">
        <v>6244.2542736962678</v>
      </c>
      <c r="AA12" s="34"/>
    </row>
    <row r="13" spans="2:27" x14ac:dyDescent="0.2">
      <c r="B13" s="4">
        <v>10</v>
      </c>
      <c r="C13" s="4">
        <v>549</v>
      </c>
      <c r="D13" s="23">
        <v>1112621.773027976</v>
      </c>
      <c r="E13" s="32">
        <v>1149.7371779000389</v>
      </c>
      <c r="F13" s="5">
        <v>12</v>
      </c>
      <c r="G13" s="23">
        <v>97.333333333333329</v>
      </c>
      <c r="H13" s="32">
        <v>393.43292954173324</v>
      </c>
      <c r="I13" s="23">
        <v>43.964622777234837</v>
      </c>
      <c r="J13" s="5">
        <v>5564.4744257532038</v>
      </c>
      <c r="K13" s="30"/>
      <c r="L13" s="23">
        <v>1434530.051847005</v>
      </c>
      <c r="M13" s="32">
        <v>1117.157979300013</v>
      </c>
      <c r="N13" s="5">
        <v>26</v>
      </c>
      <c r="O13" s="5">
        <v>90.666666666666671</v>
      </c>
      <c r="P13" s="32">
        <v>414.04586643799223</v>
      </c>
      <c r="Q13" s="5">
        <v>17.9625781724211</v>
      </c>
      <c r="R13" s="5">
        <v>4849.2471463004322</v>
      </c>
      <c r="S13" s="34"/>
      <c r="T13" s="23">
        <v>1551801.533883824</v>
      </c>
      <c r="U13" s="32">
        <v>1698.9207448000091</v>
      </c>
      <c r="V13" s="5">
        <v>14</v>
      </c>
      <c r="W13" s="5">
        <v>83.333333333333329</v>
      </c>
      <c r="X13" s="32">
        <v>1018.9505832739097</v>
      </c>
      <c r="Y13" s="5">
        <v>52.957038722086324</v>
      </c>
      <c r="Z13" s="5">
        <v>6395.9601303384015</v>
      </c>
      <c r="AA13" s="34"/>
    </row>
    <row r="14" spans="2:27" x14ac:dyDescent="0.2">
      <c r="B14" s="47" t="s">
        <v>3</v>
      </c>
      <c r="C14" s="48"/>
      <c r="D14" s="9">
        <f>MIN(D4:D13)</f>
        <v>1103871.40421294</v>
      </c>
      <c r="E14" s="22">
        <f>INDEX(E4:E13, MATCH($D$14, D4:D13, 0))</f>
        <v>606.48234879993834</v>
      </c>
      <c r="F14" s="9">
        <f>INDEX(F4:F13, MATCH($D$14, D4:D13, 0))</f>
        <v>12</v>
      </c>
      <c r="G14" s="9">
        <f>INDEX(G4:G13, MATCH($D$14, D4:D13, 0))</f>
        <v>97.333333333333329</v>
      </c>
      <c r="H14" s="22">
        <f>INDEX(H4:H13, MATCH($D$14, D4:D13, 0))</f>
        <v>420.53132136540376</v>
      </c>
      <c r="I14" s="22">
        <f>INDEX(I4:I13, MATCH($D$14, D4:D13, 0))</f>
        <v>44.919165740790788</v>
      </c>
      <c r="J14" s="22">
        <f>INDEX(J4:J13, MATCH($D$14, D4:D13, 0))</f>
        <v>5505.3797019422382</v>
      </c>
      <c r="K14" s="31" t="e">
        <f>(D14-$D$15)/$D$15</f>
        <v>#DIV/0!</v>
      </c>
      <c r="L14" s="16">
        <f>MIN(L4:L13)</f>
        <v>1420010.2639820089</v>
      </c>
      <c r="M14" s="21">
        <f>INDEX(M4:M13, MATCH($L$14, L4:L13, 0))</f>
        <v>1456.092269500019</v>
      </c>
      <c r="N14" s="16">
        <f>INDEX(N4:N13, MATCH($L$14, L4:L13, 0))</f>
        <v>28</v>
      </c>
      <c r="O14" s="16">
        <f>INDEX(O4:O13, MATCH($L$14, L4:L13, 0))</f>
        <v>92</v>
      </c>
      <c r="P14" s="21">
        <f>INDEX(P4:P13, MATCH($L$14, L4:L13, 0))</f>
        <v>318.34530089906463</v>
      </c>
      <c r="Q14" s="21">
        <f>INDEX(Q4:Q13, MATCH($L$14, L4:L13, 0))</f>
        <v>17.389799045502507</v>
      </c>
      <c r="R14" s="21">
        <f>INDEX(R4:R13, MATCH($L$14, L4:L13, 0))</f>
        <v>4767.7833643327158</v>
      </c>
      <c r="S14" s="35" t="e">
        <f>(L14-$D$15)/$D$15</f>
        <v>#DIV/0!</v>
      </c>
      <c r="T14" s="37">
        <f>MIN(T4:T13)</f>
        <v>1551801.533883824</v>
      </c>
      <c r="U14" s="38">
        <f>INDEX(U4:U13, MATCH($T$14, T4:T13, 0))</f>
        <v>1698.9207448000091</v>
      </c>
      <c r="V14" s="37">
        <f>INDEX(V4:V13, MATCH($T$14, T4:T13, 0))</f>
        <v>14</v>
      </c>
      <c r="W14" s="37">
        <f>INDEX(W4:W13, MATCH($T$14, T4:T13, 0))</f>
        <v>83.333333333333329</v>
      </c>
      <c r="X14" s="38">
        <f>INDEX(X4:X13, MATCH($T$14, T4:T13, 0))</f>
        <v>1018.9505832739097</v>
      </c>
      <c r="Y14" s="38">
        <f>INDEX(Y4:Y13, MATCH($T$14, T4:T13, 0))</f>
        <v>52.957038722086324</v>
      </c>
      <c r="Z14" s="38">
        <f>INDEX(Z4:Z13, MATCH($T$14, T4:T13, 0))</f>
        <v>6395.9601303384015</v>
      </c>
      <c r="AA14" s="39" t="e">
        <f>(T14-$D$15)/$D$15</f>
        <v>#DIV/0!</v>
      </c>
    </row>
    <row r="15" spans="2:27" x14ac:dyDescent="0.2">
      <c r="C15" s="1" t="s">
        <v>17</v>
      </c>
      <c r="D15" s="33"/>
      <c r="E15" s="3"/>
      <c r="F15" s="3"/>
      <c r="G15" s="3"/>
      <c r="H15" s="3"/>
      <c r="I15" s="3"/>
      <c r="J15" s="3"/>
      <c r="K15" s="3"/>
      <c r="L15" s="40">
        <f>(L14-D14)/D14</f>
        <v>0.28639102214489903</v>
      </c>
      <c r="M15" s="40">
        <f t="shared" ref="M15:R15" si="0">(M14-E14)/E14</f>
        <v>1.400881529992134</v>
      </c>
      <c r="N15" s="40">
        <f t="shared" si="0"/>
        <v>1.3333333333333333</v>
      </c>
      <c r="O15" s="40">
        <f t="shared" si="0"/>
        <v>-5.4794520547945161E-2</v>
      </c>
      <c r="P15" s="40">
        <f t="shared" si="0"/>
        <v>-0.24299265066524903</v>
      </c>
      <c r="Q15" s="40">
        <f t="shared" si="0"/>
        <v>-0.61286460336659931</v>
      </c>
      <c r="R15" s="40">
        <f t="shared" si="0"/>
        <v>-0.13397737804520665</v>
      </c>
      <c r="T15" s="40">
        <f>(T14-D14)/D14</f>
        <v>0.40578107917403483</v>
      </c>
      <c r="U15" s="40">
        <f t="shared" ref="U15:Z15" si="1">(U14-E14)/E14</f>
        <v>1.8012698937763081</v>
      </c>
      <c r="V15" s="40">
        <f t="shared" si="1"/>
        <v>0.16666666666666666</v>
      </c>
      <c r="W15" s="40">
        <f t="shared" si="1"/>
        <v>-0.14383561643835618</v>
      </c>
      <c r="X15" s="40">
        <f t="shared" si="1"/>
        <v>1.4230075894597483</v>
      </c>
      <c r="Y15" s="40">
        <f t="shared" si="1"/>
        <v>0.17894083402346891</v>
      </c>
      <c r="Z15" s="40">
        <f t="shared" si="1"/>
        <v>0.16176548696213927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41:C1048576">
    <cfRule type="duplicateValues" dxfId="73" priority="7"/>
    <cfRule type="duplicateValues" dxfId="72" priority="8"/>
  </conditionalFormatting>
  <conditionalFormatting sqref="C14">
    <cfRule type="duplicateValues" dxfId="71" priority="5"/>
    <cfRule type="duplicateValues" dxfId="70" priority="6"/>
  </conditionalFormatting>
  <conditionalFormatting sqref="C15">
    <cfRule type="duplicateValues" dxfId="69" priority="3"/>
    <cfRule type="duplicateValues" dxfId="68" priority="4"/>
  </conditionalFormatting>
  <conditionalFormatting sqref="C17:C40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15D5A-74F1-4061-9D71-C8B5CC369AA4}">
  <dimension ref="B1:AA17"/>
  <sheetViews>
    <sheetView zoomScale="80" zoomScaleNormal="80" workbookViewId="0">
      <selection activeCell="A17" sqref="A17:XFD4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3" width="11.33203125" style="1" bestFit="1" customWidth="1"/>
    <col min="14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-0.83269859677274982</v>
      </c>
      <c r="J2" s="28" t="e">
        <f>(S14-J14)/J14</f>
        <v>#DIV/0!</v>
      </c>
      <c r="K2" s="28"/>
      <c r="L2" s="1" t="s">
        <v>19</v>
      </c>
      <c r="P2" s="1">
        <f>(P14-H14)/H14</f>
        <v>0.74347611951382298</v>
      </c>
      <c r="R2" s="1">
        <f>(R14-J14)/J14</f>
        <v>-0.1307422085951436</v>
      </c>
      <c r="T2" s="1" t="s">
        <v>20</v>
      </c>
      <c r="X2" s="1">
        <f>(X14-P14)/P14</f>
        <v>3.4163584134865772</v>
      </c>
      <c r="Z2" s="1">
        <f>(Z14-R14)/R14</f>
        <v>0.39390702709074432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6" t="s">
        <v>0</v>
      </c>
      <c r="U3" s="36" t="s">
        <v>5</v>
      </c>
      <c r="V3" s="36" t="s">
        <v>12</v>
      </c>
      <c r="W3" s="36" t="s">
        <v>15</v>
      </c>
      <c r="X3" s="36" t="s">
        <v>11</v>
      </c>
      <c r="Y3" s="36" t="s">
        <v>16</v>
      </c>
      <c r="Z3" s="36" t="s">
        <v>10</v>
      </c>
      <c r="AA3" s="36" t="s">
        <v>1</v>
      </c>
    </row>
    <row r="4" spans="2:27" x14ac:dyDescent="0.2">
      <c r="B4" s="4">
        <v>1</v>
      </c>
      <c r="C4" s="4">
        <v>241</v>
      </c>
      <c r="D4" s="23">
        <v>1026170.957109555</v>
      </c>
      <c r="E4" s="32">
        <v>222.1978851000313</v>
      </c>
      <c r="F4" s="5">
        <v>10</v>
      </c>
      <c r="G4" s="23">
        <v>94.666666666666671</v>
      </c>
      <c r="H4" s="32">
        <v>95.312927589863449</v>
      </c>
      <c r="I4" s="23">
        <v>44.88222777102694</v>
      </c>
      <c r="J4" s="5">
        <v>5022.9051804854416</v>
      </c>
      <c r="K4" s="30"/>
      <c r="L4" s="23">
        <v>1394182.1743734761</v>
      </c>
      <c r="M4" s="32">
        <v>1337.4774118000639</v>
      </c>
      <c r="N4" s="5">
        <v>23</v>
      </c>
      <c r="O4" s="5">
        <v>86</v>
      </c>
      <c r="P4" s="32">
        <v>213.66499301433336</v>
      </c>
      <c r="Q4" s="5">
        <v>17.186170702332436</v>
      </c>
      <c r="R4" s="5">
        <v>4344.6752592199482</v>
      </c>
      <c r="S4" s="34"/>
      <c r="T4" s="23">
        <v>1453648.657025554</v>
      </c>
      <c r="U4" s="32">
        <v>292.99474820005707</v>
      </c>
      <c r="V4" s="5">
        <v>12</v>
      </c>
      <c r="W4" s="5">
        <v>84.666666666666671</v>
      </c>
      <c r="X4" s="32">
        <v>739.39564732211045</v>
      </c>
      <c r="Y4" s="5">
        <v>55.423558320528223</v>
      </c>
      <c r="Z4" s="5">
        <v>6232.0123158548004</v>
      </c>
      <c r="AA4" s="34"/>
    </row>
    <row r="5" spans="2:27" x14ac:dyDescent="0.2">
      <c r="B5" s="4">
        <v>2</v>
      </c>
      <c r="C5" s="4">
        <v>642</v>
      </c>
      <c r="D5" s="23">
        <v>1025338.417553267</v>
      </c>
      <c r="E5" s="32">
        <v>220.67057580000261</v>
      </c>
      <c r="F5" s="5">
        <v>10</v>
      </c>
      <c r="G5" s="23">
        <v>94.666666666666671</v>
      </c>
      <c r="H5" s="32">
        <v>115.38196080028182</v>
      </c>
      <c r="I5" s="23">
        <v>44.728206790188416</v>
      </c>
      <c r="J5" s="5">
        <v>5000.8325810834858</v>
      </c>
      <c r="K5" s="30"/>
      <c r="L5" s="23">
        <v>1392159.4936784159</v>
      </c>
      <c r="M5" s="32">
        <v>1404.6484134999339</v>
      </c>
      <c r="N5" s="5">
        <v>23</v>
      </c>
      <c r="O5" s="5">
        <v>86.666666666666671</v>
      </c>
      <c r="P5" s="32">
        <v>214.50434494721671</v>
      </c>
      <c r="Q5" s="5">
        <v>17.265370323495961</v>
      </c>
      <c r="R5" s="5">
        <v>4420.9729578531933</v>
      </c>
      <c r="S5" s="34"/>
      <c r="T5" s="23">
        <v>1447184.9643461469</v>
      </c>
      <c r="U5" s="32">
        <v>369.33176620001899</v>
      </c>
      <c r="V5" s="5">
        <v>12</v>
      </c>
      <c r="W5" s="5">
        <v>82</v>
      </c>
      <c r="X5" s="32">
        <v>472.45007534385064</v>
      </c>
      <c r="Y5" s="5">
        <v>52.393326182536121</v>
      </c>
      <c r="Z5" s="5">
        <v>5874.5055766542182</v>
      </c>
      <c r="AA5" s="34"/>
    </row>
    <row r="6" spans="2:27" x14ac:dyDescent="0.2">
      <c r="B6" s="4">
        <v>3</v>
      </c>
      <c r="C6" s="4">
        <v>372</v>
      </c>
      <c r="D6" s="23">
        <v>1024175.007898443</v>
      </c>
      <c r="E6" s="32">
        <v>506.25286110001622</v>
      </c>
      <c r="F6" s="5">
        <v>10</v>
      </c>
      <c r="G6" s="23">
        <v>94.666666666666671</v>
      </c>
      <c r="H6" s="32">
        <v>100.46421131975723</v>
      </c>
      <c r="I6" s="23">
        <v>44.611476784556956</v>
      </c>
      <c r="J6" s="5">
        <v>5001.047323829066</v>
      </c>
      <c r="K6" s="30"/>
      <c r="L6" s="23">
        <v>1379455.6482397059</v>
      </c>
      <c r="M6" s="32">
        <v>2030.7454292000041</v>
      </c>
      <c r="N6" s="5">
        <v>22</v>
      </c>
      <c r="O6" s="5">
        <v>85.333333333333329</v>
      </c>
      <c r="P6" s="32">
        <v>157.62075587265014</v>
      </c>
      <c r="Q6" s="5">
        <v>17.595026941370715</v>
      </c>
      <c r="R6" s="5">
        <v>4278.3661593335746</v>
      </c>
      <c r="S6" s="34"/>
      <c r="T6" s="23">
        <v>1511644.4338612049</v>
      </c>
      <c r="U6" s="32">
        <v>205.13046990009019</v>
      </c>
      <c r="V6" s="5">
        <v>10</v>
      </c>
      <c r="W6" s="5">
        <v>78.666666666666671</v>
      </c>
      <c r="X6" s="32">
        <v>466.22946101016913</v>
      </c>
      <c r="Y6" s="5">
        <v>58.816111449052265</v>
      </c>
      <c r="Z6" s="5">
        <v>6083.110229530701</v>
      </c>
      <c r="AA6" s="34"/>
    </row>
    <row r="7" spans="2:27" x14ac:dyDescent="0.2">
      <c r="B7" s="4">
        <v>4</v>
      </c>
      <c r="C7" s="4">
        <v>366</v>
      </c>
      <c r="D7" s="23">
        <v>1025314.449158033</v>
      </c>
      <c r="E7" s="32">
        <v>591.69117670005653</v>
      </c>
      <c r="F7" s="5">
        <v>10</v>
      </c>
      <c r="G7" s="23">
        <v>94.666666666666671</v>
      </c>
      <c r="H7" s="32">
        <v>110.59700676534779</v>
      </c>
      <c r="I7" s="23">
        <v>44.793285702455101</v>
      </c>
      <c r="J7" s="5">
        <v>5000.218249330037</v>
      </c>
      <c r="K7" s="30"/>
      <c r="L7" s="23">
        <v>1439549.566029696</v>
      </c>
      <c r="M7" s="32">
        <v>666.13051309995353</v>
      </c>
      <c r="N7" s="5">
        <v>19</v>
      </c>
      <c r="O7" s="5">
        <v>79.333333333333329</v>
      </c>
      <c r="P7" s="32">
        <v>96.173177103604175</v>
      </c>
      <c r="Q7" s="5">
        <v>18.749152371540887</v>
      </c>
      <c r="R7" s="5">
        <v>4124.9344113346233</v>
      </c>
      <c r="S7" s="34"/>
      <c r="T7" s="23">
        <v>1476111.544065909</v>
      </c>
      <c r="U7" s="32">
        <v>624.56569740001578</v>
      </c>
      <c r="V7" s="5">
        <v>13</v>
      </c>
      <c r="W7" s="5">
        <v>83.333333333333329</v>
      </c>
      <c r="X7" s="32">
        <v>646.9595939168446</v>
      </c>
      <c r="Y7" s="5">
        <v>49.325485377231104</v>
      </c>
      <c r="Z7" s="5">
        <v>6113.2310150917319</v>
      </c>
      <c r="AA7" s="34"/>
    </row>
    <row r="8" spans="2:27" x14ac:dyDescent="0.2">
      <c r="B8" s="4">
        <v>5</v>
      </c>
      <c r="C8" s="4">
        <v>561</v>
      </c>
      <c r="D8" s="23">
        <v>1026191.285432921</v>
      </c>
      <c r="E8" s="32">
        <v>450.37416690005921</v>
      </c>
      <c r="F8" s="5">
        <v>10</v>
      </c>
      <c r="G8" s="23">
        <v>94.666666666666671</v>
      </c>
      <c r="H8" s="32">
        <v>105.00930812701343</v>
      </c>
      <c r="I8" s="23">
        <v>44.446143655993886</v>
      </c>
      <c r="J8" s="5">
        <v>5008.380455215055</v>
      </c>
      <c r="K8" s="30"/>
      <c r="L8" s="23">
        <v>1385329.5706828921</v>
      </c>
      <c r="M8" s="32">
        <v>1030.712972800015</v>
      </c>
      <c r="N8" s="5">
        <v>25</v>
      </c>
      <c r="O8" s="5">
        <v>88.666666666666671</v>
      </c>
      <c r="P8" s="32">
        <v>228.44713417061541</v>
      </c>
      <c r="Q8" s="5">
        <v>16.342355034152853</v>
      </c>
      <c r="R8" s="5">
        <v>4437.3857779792052</v>
      </c>
      <c r="S8" s="34"/>
      <c r="T8" s="23">
        <v>1454216.2792237049</v>
      </c>
      <c r="U8" s="32">
        <v>717.84967150003649</v>
      </c>
      <c r="V8" s="5">
        <v>12</v>
      </c>
      <c r="W8" s="5">
        <v>83.333333333333329</v>
      </c>
      <c r="X8" s="32">
        <v>648.52779905272109</v>
      </c>
      <c r="Y8" s="5">
        <v>52.541247487497742</v>
      </c>
      <c r="Z8" s="5">
        <v>6035.942696482357</v>
      </c>
      <c r="AA8" s="34"/>
    </row>
    <row r="9" spans="2:27" x14ac:dyDescent="0.2">
      <c r="B9" s="4">
        <v>6</v>
      </c>
      <c r="C9" s="4">
        <v>537</v>
      </c>
      <c r="D9" s="23">
        <v>1025434.032608858</v>
      </c>
      <c r="E9" s="32">
        <v>1074.536864800029</v>
      </c>
      <c r="F9" s="5">
        <v>11</v>
      </c>
      <c r="G9" s="23">
        <v>94.666666666666671</v>
      </c>
      <c r="H9" s="32">
        <v>162.75790106475918</v>
      </c>
      <c r="I9" s="23">
        <v>40.629818937791988</v>
      </c>
      <c r="J9" s="5">
        <v>4866.1073759358651</v>
      </c>
      <c r="K9" s="30"/>
      <c r="L9" s="23">
        <v>1389877.1215719311</v>
      </c>
      <c r="M9" s="32">
        <v>923.97606839996297</v>
      </c>
      <c r="N9" s="5">
        <v>22</v>
      </c>
      <c r="O9" s="5">
        <v>86</v>
      </c>
      <c r="P9" s="32">
        <v>218.26826059892659</v>
      </c>
      <c r="Q9" s="5">
        <v>17.948943056815121</v>
      </c>
      <c r="R9" s="5">
        <v>4451.763123438338</v>
      </c>
      <c r="S9" s="34"/>
      <c r="T9" s="23">
        <v>1400424.4278929071</v>
      </c>
      <c r="U9" s="32">
        <v>691.39752720005345</v>
      </c>
      <c r="V9" s="5">
        <v>14</v>
      </c>
      <c r="W9" s="5">
        <v>87.333333333333329</v>
      </c>
      <c r="X9" s="32">
        <v>773.55588439502253</v>
      </c>
      <c r="Y9" s="5">
        <v>52.945035447759302</v>
      </c>
      <c r="Z9" s="5">
        <v>6059.5917241125971</v>
      </c>
      <c r="AA9" s="34"/>
    </row>
    <row r="10" spans="2:27" x14ac:dyDescent="0.2">
      <c r="B10" s="4">
        <v>7</v>
      </c>
      <c r="C10" s="4">
        <v>115</v>
      </c>
      <c r="D10" s="23">
        <v>1024952.478899398</v>
      </c>
      <c r="E10" s="32">
        <v>840.07793400005903</v>
      </c>
      <c r="F10" s="5">
        <v>11</v>
      </c>
      <c r="G10" s="23">
        <v>94.666666666666671</v>
      </c>
      <c r="H10" s="32">
        <v>167.63232022868695</v>
      </c>
      <c r="I10" s="23">
        <v>40.38133804942791</v>
      </c>
      <c r="J10" s="5">
        <v>4845.4549620840608</v>
      </c>
      <c r="K10" s="30"/>
      <c r="L10" s="23">
        <v>1375148.679240186</v>
      </c>
      <c r="M10" s="32">
        <v>825.66220679995604</v>
      </c>
      <c r="N10" s="5">
        <v>25</v>
      </c>
      <c r="O10" s="5">
        <v>88.666666666666671</v>
      </c>
      <c r="P10" s="32">
        <v>197.26089099907296</v>
      </c>
      <c r="Q10" s="5">
        <v>16.284619976551031</v>
      </c>
      <c r="R10" s="5">
        <v>4368.885519414629</v>
      </c>
      <c r="S10" s="34"/>
      <c r="T10" s="23">
        <v>1528669.296240398</v>
      </c>
      <c r="U10" s="32">
        <v>1294.8491640000141</v>
      </c>
      <c r="V10" s="5">
        <v>13</v>
      </c>
      <c r="W10" s="5">
        <v>80.666666666666671</v>
      </c>
      <c r="X10" s="32">
        <v>713.5019814112062</v>
      </c>
      <c r="Y10" s="5">
        <v>46.856854440038774</v>
      </c>
      <c r="Z10" s="5">
        <v>5987.0438082397095</v>
      </c>
      <c r="AA10" s="34"/>
    </row>
    <row r="11" spans="2:27" x14ac:dyDescent="0.2">
      <c r="B11" s="4">
        <v>8</v>
      </c>
      <c r="C11" s="4">
        <v>530</v>
      </c>
      <c r="D11" s="23">
        <v>1026040.588010138</v>
      </c>
      <c r="E11" s="32">
        <v>563.23291779996362</v>
      </c>
      <c r="F11" s="5">
        <v>10</v>
      </c>
      <c r="G11" s="23">
        <v>94.666666666666671</v>
      </c>
      <c r="H11" s="32">
        <v>116.20179203547131</v>
      </c>
      <c r="I11" s="23">
        <v>44.728504962803427</v>
      </c>
      <c r="J11" s="5">
        <v>5022.8830005535337</v>
      </c>
      <c r="K11" s="30"/>
      <c r="L11" s="23">
        <v>1395258.4018992111</v>
      </c>
      <c r="M11" s="32">
        <v>1016.677803999977</v>
      </c>
      <c r="N11" s="5">
        <v>26</v>
      </c>
      <c r="O11" s="5">
        <v>89.333333333333329</v>
      </c>
      <c r="P11" s="32">
        <v>212.70312508699385</v>
      </c>
      <c r="Q11" s="5">
        <v>15.518737170158646</v>
      </c>
      <c r="R11" s="5">
        <v>4463.4310105619625</v>
      </c>
      <c r="S11" s="34"/>
      <c r="T11" s="23">
        <v>1460272.2059348989</v>
      </c>
      <c r="U11" s="32">
        <v>1035.2306046000449</v>
      </c>
      <c r="V11" s="5">
        <v>15</v>
      </c>
      <c r="W11" s="5">
        <v>88</v>
      </c>
      <c r="X11" s="32">
        <v>885.47394075402883</v>
      </c>
      <c r="Y11" s="5">
        <v>48.62380443013511</v>
      </c>
      <c r="Z11" s="5">
        <v>6286.4625014799403</v>
      </c>
      <c r="AA11" s="34"/>
    </row>
    <row r="12" spans="2:27" x14ac:dyDescent="0.2">
      <c r="B12" s="4">
        <v>9</v>
      </c>
      <c r="C12" s="4">
        <v>587</v>
      </c>
      <c r="D12" s="23">
        <v>1025698.463462887</v>
      </c>
      <c r="E12" s="32">
        <v>312.3615549999522</v>
      </c>
      <c r="F12" s="5">
        <v>10</v>
      </c>
      <c r="G12" s="23">
        <v>94.666666666666671</v>
      </c>
      <c r="H12" s="32">
        <v>110.71686708664478</v>
      </c>
      <c r="I12" s="23">
        <v>44.676624788766162</v>
      </c>
      <c r="J12" s="5">
        <v>5019.3344552605749</v>
      </c>
      <c r="K12" s="30"/>
      <c r="L12" s="23">
        <v>1414896.023795096</v>
      </c>
      <c r="M12" s="32">
        <v>2071.135403099936</v>
      </c>
      <c r="N12" s="5">
        <v>26</v>
      </c>
      <c r="O12" s="5">
        <v>89.333333333333329</v>
      </c>
      <c r="P12" s="32">
        <v>254.80653166040798</v>
      </c>
      <c r="Q12" s="5">
        <v>15.841070709395042</v>
      </c>
      <c r="R12" s="5">
        <v>4557.8752027160617</v>
      </c>
      <c r="S12" s="34"/>
      <c r="T12" s="23">
        <v>1407023.6629857239</v>
      </c>
      <c r="U12" s="32">
        <v>1155.4733916999539</v>
      </c>
      <c r="V12" s="5">
        <v>14</v>
      </c>
      <c r="W12" s="5">
        <v>88</v>
      </c>
      <c r="X12" s="32">
        <v>787.25163080945754</v>
      </c>
      <c r="Y12" s="5">
        <v>52.756466960540401</v>
      </c>
      <c r="Z12" s="5">
        <v>6168.8502478871887</v>
      </c>
      <c r="AA12" s="34"/>
    </row>
    <row r="13" spans="2:27" x14ac:dyDescent="0.2">
      <c r="B13" s="4">
        <v>10</v>
      </c>
      <c r="C13" s="4">
        <v>541</v>
      </c>
      <c r="D13" s="23">
        <v>1078651.2634840989</v>
      </c>
      <c r="E13" s="32">
        <v>494.837770299986</v>
      </c>
      <c r="F13" s="5">
        <v>10</v>
      </c>
      <c r="G13" s="23">
        <v>94.666666666666671</v>
      </c>
      <c r="H13" s="32">
        <v>167.81726309054946</v>
      </c>
      <c r="I13" s="23">
        <v>43.307269053599988</v>
      </c>
      <c r="J13" s="5">
        <v>5319.5784479549711</v>
      </c>
      <c r="K13" s="30"/>
      <c r="L13" s="23">
        <v>1363035.637740362</v>
      </c>
      <c r="M13" s="32">
        <v>1439.173764300067</v>
      </c>
      <c r="N13" s="5">
        <v>24</v>
      </c>
      <c r="O13" s="5">
        <v>88</v>
      </c>
      <c r="P13" s="32">
        <v>175.15695330178701</v>
      </c>
      <c r="Q13" s="5">
        <v>16.80780352791437</v>
      </c>
      <c r="R13" s="5">
        <v>4347.1993514228216</v>
      </c>
      <c r="S13" s="34"/>
      <c r="T13" s="23">
        <v>1413212.4108401579</v>
      </c>
      <c r="U13" s="32">
        <v>641.09615290001966</v>
      </c>
      <c r="V13" s="5">
        <v>14</v>
      </c>
      <c r="W13" s="5">
        <v>88</v>
      </c>
      <c r="X13" s="32">
        <v>814.32631431535935</v>
      </c>
      <c r="Y13" s="5">
        <v>52.722258739582905</v>
      </c>
      <c r="Z13" s="5">
        <v>6190.7817745416723</v>
      </c>
      <c r="AA13" s="34"/>
    </row>
    <row r="14" spans="2:27" x14ac:dyDescent="0.2">
      <c r="B14" s="47" t="s">
        <v>3</v>
      </c>
      <c r="C14" s="48"/>
      <c r="D14" s="9">
        <f>MIN(D4:D13)</f>
        <v>1024175.007898443</v>
      </c>
      <c r="E14" s="22">
        <f>INDEX(E4:E13, MATCH($D$14, D4:D13, 0))</f>
        <v>506.25286110001622</v>
      </c>
      <c r="F14" s="9">
        <f>INDEX(F4:F13, MATCH($D$14, D4:D13, 0))</f>
        <v>10</v>
      </c>
      <c r="G14" s="9">
        <f>INDEX(G4:G13, MATCH($D$14, D4:D13, 0))</f>
        <v>94.666666666666671</v>
      </c>
      <c r="H14" s="22">
        <f>INDEX(H4:H13, MATCH($D$14, D4:D13, 0))</f>
        <v>100.46421131975723</v>
      </c>
      <c r="I14" s="22">
        <f>INDEX(I4:I13, MATCH($D$14, D4:D13, 0))</f>
        <v>44.611476784556956</v>
      </c>
      <c r="J14" s="22">
        <f>INDEX(J4:J13, MATCH($D$14, D4:D13, 0))</f>
        <v>5001.047323829066</v>
      </c>
      <c r="K14" s="31" t="e">
        <f>(D14-$D$15)/$D$15</f>
        <v>#DIV/0!</v>
      </c>
      <c r="L14" s="16">
        <f>MIN(L4:L13)</f>
        <v>1363035.637740362</v>
      </c>
      <c r="M14" s="21">
        <f>INDEX(M4:M13, MATCH($L$14, L4:L13, 0))</f>
        <v>1439.173764300067</v>
      </c>
      <c r="N14" s="16">
        <f>INDEX(N4:N13, MATCH($L$14, L4:L13, 0))</f>
        <v>24</v>
      </c>
      <c r="O14" s="16">
        <f>INDEX(O4:O13, MATCH($L$14, L4:L13, 0))</f>
        <v>88</v>
      </c>
      <c r="P14" s="21">
        <f>INDEX(P4:P13, MATCH($L$14, L4:L13, 0))</f>
        <v>175.15695330178701</v>
      </c>
      <c r="Q14" s="21">
        <f>INDEX(Q4:Q13, MATCH($L$14, L4:L13, 0))</f>
        <v>16.80780352791437</v>
      </c>
      <c r="R14" s="21">
        <f>INDEX(R4:R13, MATCH($L$14, L4:L13, 0))</f>
        <v>4347.1993514228216</v>
      </c>
      <c r="S14" s="35" t="e">
        <f>(L14-$D$15)/$D$15</f>
        <v>#DIV/0!</v>
      </c>
      <c r="T14" s="37">
        <f>MIN(T4:T13)</f>
        <v>1400424.4278929071</v>
      </c>
      <c r="U14" s="38">
        <f>INDEX(U4:U13, MATCH($T$14, T4:T13, 0))</f>
        <v>691.39752720005345</v>
      </c>
      <c r="V14" s="37">
        <f>INDEX(V4:V13, MATCH($T$14, T4:T13, 0))</f>
        <v>14</v>
      </c>
      <c r="W14" s="37">
        <f>INDEX(W4:W13, MATCH($T$14, T4:T13, 0))</f>
        <v>87.333333333333329</v>
      </c>
      <c r="X14" s="38">
        <f>INDEX(X4:X13, MATCH($T$14, T4:T13, 0))</f>
        <v>773.55588439502253</v>
      </c>
      <c r="Y14" s="38">
        <f>INDEX(Y4:Y13, MATCH($T$14, T4:T13, 0))</f>
        <v>52.945035447759302</v>
      </c>
      <c r="Z14" s="38">
        <f>INDEX(Z4:Z13, MATCH($T$14, T4:T13, 0))</f>
        <v>6059.5917241125971</v>
      </c>
      <c r="AA14" s="39" t="e">
        <f>(T14-$D$15)/$D$15</f>
        <v>#DIV/0!</v>
      </c>
    </row>
    <row r="15" spans="2:27" x14ac:dyDescent="0.2">
      <c r="C15" s="1" t="s">
        <v>17</v>
      </c>
      <c r="D15" s="33"/>
      <c r="E15" s="3"/>
      <c r="F15" s="3"/>
      <c r="G15" s="3"/>
      <c r="H15" s="3"/>
      <c r="I15" s="3"/>
      <c r="J15" s="3"/>
      <c r="K15" s="3"/>
      <c r="L15" s="40">
        <f>(L14-D14)/D14</f>
        <v>0.33086203747272097</v>
      </c>
      <c r="M15" s="40">
        <f t="shared" ref="M15:R15" si="0">(M14-E14)/E14</f>
        <v>1.8427963077047012</v>
      </c>
      <c r="N15" s="40">
        <f t="shared" si="0"/>
        <v>1.4</v>
      </c>
      <c r="O15" s="40">
        <f t="shared" si="0"/>
        <v>-7.0422535211267651E-2</v>
      </c>
      <c r="P15" s="40">
        <f t="shared" si="0"/>
        <v>0.74347611951382298</v>
      </c>
      <c r="Q15" s="40">
        <f t="shared" si="0"/>
        <v>-0.62324036908518832</v>
      </c>
      <c r="R15" s="40">
        <f t="shared" si="0"/>
        <v>-0.1307422085951436</v>
      </c>
      <c r="T15" s="40">
        <f>(T14-D14)/D14</f>
        <v>0.36736828871318528</v>
      </c>
      <c r="U15" s="40">
        <f t="shared" ref="U15:Z15" si="1">(U14-E14)/E14</f>
        <v>0.36571579209990818</v>
      </c>
      <c r="V15" s="40">
        <f t="shared" si="1"/>
        <v>0.4</v>
      </c>
      <c r="W15" s="40">
        <f t="shared" si="1"/>
        <v>-7.7464788732394457E-2</v>
      </c>
      <c r="X15" s="40">
        <f t="shared" si="1"/>
        <v>6.6998154291278009</v>
      </c>
      <c r="Y15" s="40">
        <f t="shared" si="1"/>
        <v>0.18680302164054685</v>
      </c>
      <c r="Z15" s="40">
        <f t="shared" si="1"/>
        <v>0.21166454379260974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41:C1048576">
    <cfRule type="duplicateValues" dxfId="67" priority="7"/>
    <cfRule type="duplicateValues" dxfId="66" priority="8"/>
  </conditionalFormatting>
  <conditionalFormatting sqref="C14">
    <cfRule type="duplicateValues" dxfId="65" priority="5"/>
    <cfRule type="duplicateValues" dxfId="64" priority="6"/>
  </conditionalFormatting>
  <conditionalFormatting sqref="C15">
    <cfRule type="duplicateValues" dxfId="63" priority="3"/>
    <cfRule type="duplicateValues" dxfId="62" priority="4"/>
  </conditionalFormatting>
  <conditionalFormatting sqref="C17:C40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1F79A-4416-4143-8DAD-CAE087B3D156}">
  <dimension ref="B1:AA17"/>
  <sheetViews>
    <sheetView zoomScale="85" zoomScaleNormal="85" workbookViewId="0">
      <selection activeCell="A17" sqref="A17:XFD4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-0.98004990816062398</v>
      </c>
      <c r="J2" s="28" t="e">
        <f>(S14-J14)/J14</f>
        <v>#DIV/0!</v>
      </c>
      <c r="K2" s="28"/>
      <c r="L2" s="1" t="s">
        <v>19</v>
      </c>
      <c r="P2" s="1">
        <f>(P14-H14)/H14</f>
        <v>-0.24416356763606045</v>
      </c>
      <c r="R2" s="1">
        <f>(R14-J14)/J14</f>
        <v>-0.15176303369609523</v>
      </c>
      <c r="T2" s="1" t="s">
        <v>20</v>
      </c>
      <c r="X2" s="1">
        <f>(X14-P14)/P14</f>
        <v>0.34020261543420682</v>
      </c>
      <c r="Z2" s="1">
        <f>(Z14-R14)/R14</f>
        <v>0.24367901998736757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6" t="s">
        <v>0</v>
      </c>
      <c r="U3" s="36" t="s">
        <v>5</v>
      </c>
      <c r="V3" s="36" t="s">
        <v>12</v>
      </c>
      <c r="W3" s="36" t="s">
        <v>15</v>
      </c>
      <c r="X3" s="36" t="s">
        <v>11</v>
      </c>
      <c r="Y3" s="36" t="s">
        <v>16</v>
      </c>
      <c r="Z3" s="36" t="s">
        <v>10</v>
      </c>
      <c r="AA3" s="36" t="s">
        <v>1</v>
      </c>
    </row>
    <row r="4" spans="2:27" x14ac:dyDescent="0.2">
      <c r="B4" s="4">
        <v>1</v>
      </c>
      <c r="C4" s="4">
        <v>248</v>
      </c>
      <c r="D4" s="23">
        <v>1366765.5833269211</v>
      </c>
      <c r="E4" s="32">
        <v>1356.839814100065</v>
      </c>
      <c r="F4" s="5">
        <v>16</v>
      </c>
      <c r="G4" s="23">
        <v>95.333333333333329</v>
      </c>
      <c r="H4" s="32">
        <v>925.93843698023841</v>
      </c>
      <c r="I4" s="23">
        <v>31.992989476999206</v>
      </c>
      <c r="J4" s="5">
        <v>6131.9056751458484</v>
      </c>
      <c r="K4" s="30"/>
      <c r="L4" s="23">
        <v>1689573.6297656849</v>
      </c>
      <c r="M4" s="32">
        <v>606.9208964999998</v>
      </c>
      <c r="N4" s="5">
        <v>20</v>
      </c>
      <c r="O4" s="5">
        <v>76.666666666666671</v>
      </c>
      <c r="P4" s="32">
        <v>519.23719633344649</v>
      </c>
      <c r="Q4" s="5">
        <v>19.754245223670083</v>
      </c>
      <c r="R4" s="5">
        <v>5270.4642818042112</v>
      </c>
      <c r="S4" s="34"/>
      <c r="T4" s="23">
        <v>1801363.171544025</v>
      </c>
      <c r="U4" s="32">
        <v>248.16866830002979</v>
      </c>
      <c r="V4" s="5">
        <v>13</v>
      </c>
      <c r="W4" s="5">
        <v>68</v>
      </c>
      <c r="X4" s="32">
        <v>794.04129666515757</v>
      </c>
      <c r="Y4" s="5">
        <v>39.787388653360829</v>
      </c>
      <c r="Z4" s="5">
        <v>6039.8472869979905</v>
      </c>
      <c r="AA4" s="34"/>
    </row>
    <row r="5" spans="2:27" x14ac:dyDescent="0.2">
      <c r="B5" s="4">
        <v>2</v>
      </c>
      <c r="C5" s="4">
        <v>334</v>
      </c>
      <c r="D5" s="23">
        <v>1423232.8225450569</v>
      </c>
      <c r="E5" s="32">
        <v>1095.431166099967</v>
      </c>
      <c r="F5" s="5">
        <v>14</v>
      </c>
      <c r="G5" s="23">
        <v>90.666666666666671</v>
      </c>
      <c r="H5" s="32">
        <v>864.59172470536419</v>
      </c>
      <c r="I5" s="23">
        <v>34.482888190689174</v>
      </c>
      <c r="J5" s="5">
        <v>6184.0329132449997</v>
      </c>
      <c r="K5" s="30"/>
      <c r="L5" s="23">
        <v>1646454.683629642</v>
      </c>
      <c r="M5" s="32">
        <v>1353.8574121000711</v>
      </c>
      <c r="N5" s="5">
        <v>23</v>
      </c>
      <c r="O5" s="5">
        <v>83.333333333333329</v>
      </c>
      <c r="P5" s="32">
        <v>704.61751215187246</v>
      </c>
      <c r="Q5" s="5">
        <v>19.050311455799644</v>
      </c>
      <c r="R5" s="5">
        <v>5487.3103126124797</v>
      </c>
      <c r="S5" s="34"/>
      <c r="T5" s="23">
        <v>1858759.109997876</v>
      </c>
      <c r="U5" s="32">
        <v>381.76498900004663</v>
      </c>
      <c r="V5" s="5">
        <v>10</v>
      </c>
      <c r="W5" s="5">
        <v>63.333333333333343</v>
      </c>
      <c r="X5" s="32">
        <v>673.02964659778968</v>
      </c>
      <c r="Y5" s="5">
        <v>45.917602161436854</v>
      </c>
      <c r="Z5" s="5">
        <v>6150.3140280274392</v>
      </c>
      <c r="AA5" s="34"/>
    </row>
    <row r="6" spans="2:27" x14ac:dyDescent="0.2">
      <c r="B6" s="4">
        <v>3</v>
      </c>
      <c r="C6" s="4">
        <v>429</v>
      </c>
      <c r="D6" s="23">
        <v>1427086.1211184219</v>
      </c>
      <c r="E6" s="32">
        <v>1275.539327200036</v>
      </c>
      <c r="F6" s="5">
        <v>14</v>
      </c>
      <c r="G6" s="23">
        <v>92</v>
      </c>
      <c r="H6" s="32">
        <v>978.67944235590846</v>
      </c>
      <c r="I6" s="23">
        <v>34.483065056101964</v>
      </c>
      <c r="J6" s="5">
        <v>6316.6522235713364</v>
      </c>
      <c r="K6" s="30"/>
      <c r="L6" s="23">
        <v>1626240.147638899</v>
      </c>
      <c r="M6" s="32">
        <v>795.97707979998086</v>
      </c>
      <c r="N6" s="5">
        <v>24</v>
      </c>
      <c r="O6" s="5">
        <v>83.333333333333329</v>
      </c>
      <c r="P6" s="32">
        <v>699.85800479578586</v>
      </c>
      <c r="Q6" s="5">
        <v>18.472556855364022</v>
      </c>
      <c r="R6" s="5">
        <v>5201.3090675474114</v>
      </c>
      <c r="S6" s="34"/>
      <c r="T6" s="23">
        <v>1836650.711493619</v>
      </c>
      <c r="U6" s="32">
        <v>513.13391839992255</v>
      </c>
      <c r="V6" s="5">
        <v>11</v>
      </c>
      <c r="W6" s="5">
        <v>63.333333333333343</v>
      </c>
      <c r="X6" s="32">
        <v>630.33445736730766</v>
      </c>
      <c r="Y6" s="5">
        <v>43.404195667237374</v>
      </c>
      <c r="Z6" s="5">
        <v>5828.5860191520242</v>
      </c>
      <c r="AA6" s="34"/>
    </row>
    <row r="7" spans="2:27" x14ac:dyDescent="0.2">
      <c r="B7" s="4">
        <v>4</v>
      </c>
      <c r="C7" s="4">
        <v>163</v>
      </c>
      <c r="D7" s="23">
        <v>1372477.1837843461</v>
      </c>
      <c r="E7" s="32">
        <v>1183.69948890002</v>
      </c>
      <c r="F7" s="5">
        <v>15</v>
      </c>
      <c r="G7" s="23">
        <v>94.666666666666671</v>
      </c>
      <c r="H7" s="32">
        <v>887.44748055973525</v>
      </c>
      <c r="I7" s="23">
        <v>33.83138261757599</v>
      </c>
      <c r="J7" s="5">
        <v>6219.7341957604767</v>
      </c>
      <c r="K7" s="30"/>
      <c r="L7" s="23">
        <v>1643796.6389132959</v>
      </c>
      <c r="M7" s="32">
        <v>1265.254371599993</v>
      </c>
      <c r="N7" s="5">
        <v>24</v>
      </c>
      <c r="O7" s="5">
        <v>82.666666666666671</v>
      </c>
      <c r="P7" s="32">
        <v>603.03145273788971</v>
      </c>
      <c r="Q7" s="5">
        <v>17.919644208570542</v>
      </c>
      <c r="R7" s="5">
        <v>5317.189306504627</v>
      </c>
      <c r="S7" s="34"/>
      <c r="T7" s="23">
        <v>1828174.782352041</v>
      </c>
      <c r="U7" s="32">
        <v>594.31683419994079</v>
      </c>
      <c r="V7" s="5">
        <v>13</v>
      </c>
      <c r="W7" s="5">
        <v>68</v>
      </c>
      <c r="X7" s="32">
        <v>855.57409086254393</v>
      </c>
      <c r="Y7" s="5">
        <v>39.602386487102564</v>
      </c>
      <c r="Z7" s="5">
        <v>6240.5409394231465</v>
      </c>
      <c r="AA7" s="34"/>
    </row>
    <row r="8" spans="2:27" x14ac:dyDescent="0.2">
      <c r="B8" s="4">
        <v>5</v>
      </c>
      <c r="C8" s="4">
        <v>743</v>
      </c>
      <c r="D8" s="23">
        <v>1367793.735908062</v>
      </c>
      <c r="E8" s="32">
        <v>1272.4963226999389</v>
      </c>
      <c r="F8" s="5">
        <v>14</v>
      </c>
      <c r="G8" s="23">
        <v>94</v>
      </c>
      <c r="H8" s="32">
        <v>900.03813330276193</v>
      </c>
      <c r="I8" s="23">
        <v>36.096652441730612</v>
      </c>
      <c r="J8" s="5">
        <v>6228.3367883506444</v>
      </c>
      <c r="K8" s="30"/>
      <c r="L8" s="23">
        <v>1662163.238481797</v>
      </c>
      <c r="M8" s="32">
        <v>392.93770150002092</v>
      </c>
      <c r="N8" s="5">
        <v>24</v>
      </c>
      <c r="O8" s="5">
        <v>82</v>
      </c>
      <c r="P8" s="32">
        <v>685.98876624370121</v>
      </c>
      <c r="Q8" s="5">
        <v>17.605622729402331</v>
      </c>
      <c r="R8" s="5">
        <v>5312.1866248239166</v>
      </c>
      <c r="S8" s="34"/>
      <c r="T8" s="23">
        <v>1840349.6021238021</v>
      </c>
      <c r="U8" s="32">
        <v>221.47285310004369</v>
      </c>
      <c r="V8" s="5">
        <v>10</v>
      </c>
      <c r="W8" s="5">
        <v>64.666666666666671</v>
      </c>
      <c r="X8" s="32">
        <v>708.48733426913543</v>
      </c>
      <c r="Y8" s="5">
        <v>46.880473565933912</v>
      </c>
      <c r="Z8" s="5">
        <v>6255.2891729204284</v>
      </c>
      <c r="AA8" s="34"/>
    </row>
    <row r="9" spans="2:27" x14ac:dyDescent="0.2">
      <c r="B9" s="4">
        <v>6</v>
      </c>
      <c r="C9" s="4">
        <v>833</v>
      </c>
      <c r="D9" s="23">
        <v>1419231.8930463879</v>
      </c>
      <c r="E9" s="32">
        <v>939.4140717999544</v>
      </c>
      <c r="F9" s="5">
        <v>15</v>
      </c>
      <c r="G9" s="23">
        <v>93.333333333333329</v>
      </c>
      <c r="H9" s="32">
        <v>1008.4650282950781</v>
      </c>
      <c r="I9" s="23">
        <v>33.588247875652975</v>
      </c>
      <c r="J9" s="5">
        <v>6305.745349453362</v>
      </c>
      <c r="K9" s="30"/>
      <c r="L9" s="23">
        <v>1664245.1191999901</v>
      </c>
      <c r="M9" s="32">
        <v>847.37922310002614</v>
      </c>
      <c r="N9" s="5">
        <v>26</v>
      </c>
      <c r="O9" s="5">
        <v>86</v>
      </c>
      <c r="P9" s="32">
        <v>795.44361873790399</v>
      </c>
      <c r="Q9" s="5">
        <v>17.308999510782243</v>
      </c>
      <c r="R9" s="5">
        <v>5571.9757218829327</v>
      </c>
      <c r="S9" s="34"/>
      <c r="T9" s="23">
        <v>1827846.518714668</v>
      </c>
      <c r="U9" s="32">
        <v>810.47856319998391</v>
      </c>
      <c r="V9" s="5">
        <v>12</v>
      </c>
      <c r="W9" s="5">
        <v>67.333333333333329</v>
      </c>
      <c r="X9" s="32">
        <v>816.02453217192237</v>
      </c>
      <c r="Y9" s="5">
        <v>42.730618701835226</v>
      </c>
      <c r="Z9" s="5">
        <v>6332.6528890678637</v>
      </c>
      <c r="AA9" s="34"/>
    </row>
    <row r="10" spans="2:27" x14ac:dyDescent="0.2">
      <c r="B10" s="4">
        <v>7</v>
      </c>
      <c r="C10" s="4">
        <v>898</v>
      </c>
      <c r="D10" s="23">
        <v>1369021.411406674</v>
      </c>
      <c r="E10" s="32">
        <v>1643.1661695000951</v>
      </c>
      <c r="F10" s="5">
        <v>12</v>
      </c>
      <c r="G10" s="23">
        <v>91.333333333333329</v>
      </c>
      <c r="H10" s="32">
        <v>839.73059499979843</v>
      </c>
      <c r="I10" s="23">
        <v>40.312028224686067</v>
      </c>
      <c r="J10" s="5">
        <v>6208.4429319457977</v>
      </c>
      <c r="K10" s="30"/>
      <c r="L10" s="23">
        <v>1670438.7431847691</v>
      </c>
      <c r="M10" s="32">
        <v>959.73714230000041</v>
      </c>
      <c r="N10" s="5">
        <v>21</v>
      </c>
      <c r="O10" s="5">
        <v>78.666666666666671</v>
      </c>
      <c r="P10" s="32">
        <v>604.81347109039609</v>
      </c>
      <c r="Q10" s="5">
        <v>19.189408332744033</v>
      </c>
      <c r="R10" s="5">
        <v>5265.6500494848824</v>
      </c>
      <c r="S10" s="34"/>
      <c r="T10" s="23">
        <v>1821220.285086486</v>
      </c>
      <c r="U10" s="32">
        <v>736.76460890006274</v>
      </c>
      <c r="V10" s="5">
        <v>12</v>
      </c>
      <c r="W10" s="5">
        <v>66.666666666666671</v>
      </c>
      <c r="X10" s="32">
        <v>677.23415084558496</v>
      </c>
      <c r="Y10" s="5">
        <v>41.49651527636874</v>
      </c>
      <c r="Z10" s="5">
        <v>6138.9955924918086</v>
      </c>
      <c r="AA10" s="34"/>
    </row>
    <row r="11" spans="2:27" x14ac:dyDescent="0.2">
      <c r="B11" s="4">
        <v>8</v>
      </c>
      <c r="C11" s="4">
        <v>383</v>
      </c>
      <c r="D11" s="23">
        <v>1382767.4902628399</v>
      </c>
      <c r="E11" s="32">
        <v>533.04646450001746</v>
      </c>
      <c r="F11" s="5">
        <v>14</v>
      </c>
      <c r="G11" s="23">
        <v>94</v>
      </c>
      <c r="H11" s="32">
        <v>980.45906466572296</v>
      </c>
      <c r="I11" s="23">
        <v>36.120049128158477</v>
      </c>
      <c r="J11" s="5">
        <v>6306.6839905707866</v>
      </c>
      <c r="K11" s="30"/>
      <c r="L11" s="23">
        <v>1636803.6026931319</v>
      </c>
      <c r="M11" s="32">
        <v>2157.558740500011</v>
      </c>
      <c r="N11" s="5">
        <v>25</v>
      </c>
      <c r="O11" s="5">
        <v>84</v>
      </c>
      <c r="P11" s="32">
        <v>645.49343854703943</v>
      </c>
      <c r="Q11" s="5">
        <v>17.4916830958623</v>
      </c>
      <c r="R11" s="5">
        <v>5288.1207250406651</v>
      </c>
      <c r="S11" s="34"/>
      <c r="T11" s="23">
        <v>1812853.04856796</v>
      </c>
      <c r="U11" s="32">
        <v>466.79540339997038</v>
      </c>
      <c r="V11" s="5">
        <v>12</v>
      </c>
      <c r="W11" s="5">
        <v>68.666666666666671</v>
      </c>
      <c r="X11" s="32">
        <v>887.17523961749066</v>
      </c>
      <c r="Y11" s="5">
        <v>43.430984823683417</v>
      </c>
      <c r="Z11" s="5">
        <v>6358.9987699034455</v>
      </c>
      <c r="AA11" s="34"/>
    </row>
    <row r="12" spans="2:27" x14ac:dyDescent="0.2">
      <c r="B12" s="4">
        <v>9</v>
      </c>
      <c r="C12" s="4">
        <v>155</v>
      </c>
      <c r="D12" s="23">
        <v>1415572.458577361</v>
      </c>
      <c r="E12" s="32">
        <v>622.38329719996545</v>
      </c>
      <c r="F12" s="5">
        <v>11</v>
      </c>
      <c r="G12" s="23">
        <v>88</v>
      </c>
      <c r="H12" s="32">
        <v>758.59726343636999</v>
      </c>
      <c r="I12" s="23">
        <v>41.43509646254892</v>
      </c>
      <c r="J12" s="5">
        <v>6207.9480692861371</v>
      </c>
      <c r="K12" s="30"/>
      <c r="L12" s="23">
        <v>1675323.499566406</v>
      </c>
      <c r="M12" s="32">
        <v>1302.1625042000089</v>
      </c>
      <c r="N12" s="5">
        <v>19</v>
      </c>
      <c r="O12" s="5">
        <v>74.666666666666671</v>
      </c>
      <c r="P12" s="32">
        <v>450.30379105315399</v>
      </c>
      <c r="Q12" s="5">
        <v>19.297683725619954</v>
      </c>
      <c r="R12" s="5">
        <v>4997.4360839203373</v>
      </c>
      <c r="S12" s="34"/>
      <c r="T12" s="23">
        <v>1773640.5656877749</v>
      </c>
      <c r="U12" s="32">
        <v>1075.362261499977</v>
      </c>
      <c r="V12" s="5">
        <v>13</v>
      </c>
      <c r="W12" s="5">
        <v>72</v>
      </c>
      <c r="X12" s="32">
        <v>937.95152845987786</v>
      </c>
      <c r="Y12" s="5">
        <v>44.014740285429156</v>
      </c>
      <c r="Z12" s="5">
        <v>6468.7589637787732</v>
      </c>
      <c r="AA12" s="34"/>
    </row>
    <row r="13" spans="2:27" x14ac:dyDescent="0.2">
      <c r="B13" s="4">
        <v>10</v>
      </c>
      <c r="C13" s="4">
        <v>464</v>
      </c>
      <c r="D13" s="23">
        <v>1382938.0386478431</v>
      </c>
      <c r="E13" s="32">
        <v>604.39468239992857</v>
      </c>
      <c r="F13" s="5">
        <v>13</v>
      </c>
      <c r="G13" s="23">
        <v>92.666666666666671</v>
      </c>
      <c r="H13" s="32">
        <v>922.12183095290277</v>
      </c>
      <c r="I13" s="23">
        <v>37.647588116116303</v>
      </c>
      <c r="J13" s="5">
        <v>6291.1575163090019</v>
      </c>
      <c r="K13" s="30"/>
      <c r="L13" s="23">
        <v>1657796.4885966431</v>
      </c>
      <c r="M13" s="32">
        <v>1416.0905760999301</v>
      </c>
      <c r="N13" s="5">
        <v>21</v>
      </c>
      <c r="O13" s="5">
        <v>79.333333333333329</v>
      </c>
      <c r="P13" s="32">
        <v>602.98568518977027</v>
      </c>
      <c r="Q13" s="5">
        <v>19.63365738912443</v>
      </c>
      <c r="R13" s="5">
        <v>5268.5050469027083</v>
      </c>
      <c r="S13" s="34"/>
      <c r="T13" s="23">
        <v>1905054.053574288</v>
      </c>
      <c r="U13" s="32">
        <v>1034.2716418000639</v>
      </c>
      <c r="V13" s="5">
        <v>12</v>
      </c>
      <c r="W13" s="5">
        <v>64</v>
      </c>
      <c r="X13" s="32">
        <v>916.14568397743608</v>
      </c>
      <c r="Y13" s="5">
        <v>38.968066947053245</v>
      </c>
      <c r="Z13" s="5">
        <v>6265.5424648632261</v>
      </c>
      <c r="AA13" s="34"/>
    </row>
    <row r="14" spans="2:27" x14ac:dyDescent="0.2">
      <c r="B14" s="47" t="s">
        <v>3</v>
      </c>
      <c r="C14" s="48"/>
      <c r="D14" s="9">
        <f>MIN(D4:D13)</f>
        <v>1366765.5833269211</v>
      </c>
      <c r="E14" s="22">
        <f>INDEX(E4:E13, MATCH($D$14, D4:D13, 0))</f>
        <v>1356.839814100065</v>
      </c>
      <c r="F14" s="9">
        <f>INDEX(F4:F13, MATCH($D$14, D4:D13, 0))</f>
        <v>16</v>
      </c>
      <c r="G14" s="9">
        <f>INDEX(G4:G13, MATCH($D$14, D4:D13, 0))</f>
        <v>95.333333333333329</v>
      </c>
      <c r="H14" s="22">
        <f>INDEX(H4:H13, MATCH($D$14, D4:D13, 0))</f>
        <v>925.93843698023841</v>
      </c>
      <c r="I14" s="22">
        <f>INDEX(I4:I13, MATCH($D$14, D4:D13, 0))</f>
        <v>31.992989476999206</v>
      </c>
      <c r="J14" s="22">
        <f>INDEX(J4:J13, MATCH($D$14, D4:D13, 0))</f>
        <v>6131.9056751458484</v>
      </c>
      <c r="K14" s="31" t="e">
        <f>(D14-$D$15)/$D$15</f>
        <v>#DIV/0!</v>
      </c>
      <c r="L14" s="16">
        <f>MIN(L4:L13)</f>
        <v>1626240.147638899</v>
      </c>
      <c r="M14" s="21">
        <f>INDEX(M4:M13, MATCH($L$14, L4:L13, 0))</f>
        <v>795.97707979998086</v>
      </c>
      <c r="N14" s="16">
        <f>INDEX(N4:N13, MATCH($L$14, L4:L13, 0))</f>
        <v>24</v>
      </c>
      <c r="O14" s="16">
        <f>INDEX(O4:O13, MATCH($L$14, L4:L13, 0))</f>
        <v>83.333333333333329</v>
      </c>
      <c r="P14" s="21">
        <f>INDEX(P4:P13, MATCH($L$14, L4:L13, 0))</f>
        <v>699.85800479578586</v>
      </c>
      <c r="Q14" s="21">
        <f>INDEX(Q4:Q13, MATCH($L$14, L4:L13, 0))</f>
        <v>18.472556855364022</v>
      </c>
      <c r="R14" s="21">
        <f>INDEX(R4:R13, MATCH($L$14, L4:L13, 0))</f>
        <v>5201.3090675474114</v>
      </c>
      <c r="S14" s="35" t="e">
        <f>(L14-$D$15)/$D$15</f>
        <v>#DIV/0!</v>
      </c>
      <c r="T14" s="37">
        <f>MIN(T4:T13)</f>
        <v>1773640.5656877749</v>
      </c>
      <c r="U14" s="38">
        <f>INDEX(U4:U13, MATCH($T$14, T4:T13, 0))</f>
        <v>1075.362261499977</v>
      </c>
      <c r="V14" s="37">
        <f>INDEX(V4:V13, MATCH($T$14, T4:T13, 0))</f>
        <v>13</v>
      </c>
      <c r="W14" s="37">
        <f>INDEX(W4:W13, MATCH($T$14, T4:T13, 0))</f>
        <v>72</v>
      </c>
      <c r="X14" s="38">
        <f>INDEX(X4:X13, MATCH($T$14, T4:T13, 0))</f>
        <v>937.95152845987786</v>
      </c>
      <c r="Y14" s="38">
        <f>INDEX(Y4:Y13, MATCH($T$14, T4:T13, 0))</f>
        <v>44.014740285429156</v>
      </c>
      <c r="Z14" s="38">
        <f>INDEX(Z4:Z13, MATCH($T$14, T4:T13, 0))</f>
        <v>6468.7589637787732</v>
      </c>
      <c r="AA14" s="39" t="e">
        <f>(T14-$D$15)/$D$15</f>
        <v>#DIV/0!</v>
      </c>
    </row>
    <row r="15" spans="2:27" x14ac:dyDescent="0.2">
      <c r="C15" s="1" t="s">
        <v>17</v>
      </c>
      <c r="D15" s="33"/>
      <c r="E15" s="3"/>
      <c r="F15" s="3"/>
      <c r="G15" s="3"/>
      <c r="H15" s="3"/>
      <c r="I15" s="3"/>
      <c r="J15" s="3"/>
      <c r="K15" s="3"/>
      <c r="L15" s="40">
        <f>(L14-D14)/D14</f>
        <v>0.18984569664124573</v>
      </c>
      <c r="M15" s="40">
        <f t="shared" ref="M15:R15" si="0">(M14-E14)/E14</f>
        <v>-0.41335957898027992</v>
      </c>
      <c r="N15" s="40">
        <f t="shared" si="0"/>
        <v>0.5</v>
      </c>
      <c r="O15" s="40">
        <f t="shared" si="0"/>
        <v>-0.12587412587412589</v>
      </c>
      <c r="P15" s="40">
        <f t="shared" si="0"/>
        <v>-0.24416356763606045</v>
      </c>
      <c r="Q15" s="40">
        <f t="shared" si="0"/>
        <v>-0.42260610348262262</v>
      </c>
      <c r="R15" s="40">
        <f t="shared" si="0"/>
        <v>-0.15176303369609523</v>
      </c>
      <c r="T15" s="40">
        <f>(T14-D14)/D14</f>
        <v>0.29769185537322096</v>
      </c>
      <c r="U15" s="40">
        <f t="shared" ref="U15:Z15" si="1">(U14-E14)/E14</f>
        <v>-0.20745083515019078</v>
      </c>
      <c r="V15" s="40">
        <f t="shared" si="1"/>
        <v>-0.1875</v>
      </c>
      <c r="W15" s="40">
        <f t="shared" si="1"/>
        <v>-0.24475524475524471</v>
      </c>
      <c r="X15" s="40">
        <f t="shared" si="1"/>
        <v>1.297396349461173E-2</v>
      </c>
      <c r="Y15" s="40">
        <f t="shared" si="1"/>
        <v>0.37576203427543947</v>
      </c>
      <c r="Z15" s="40">
        <f t="shared" si="1"/>
        <v>5.4934518969898011E-2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41:C1048576">
    <cfRule type="duplicateValues" dxfId="61" priority="7"/>
    <cfRule type="duplicateValues" dxfId="60" priority="8"/>
  </conditionalFormatting>
  <conditionalFormatting sqref="C14">
    <cfRule type="duplicateValues" dxfId="59" priority="5"/>
    <cfRule type="duplicateValues" dxfId="58" priority="6"/>
  </conditionalFormatting>
  <conditionalFormatting sqref="C15">
    <cfRule type="duplicateValues" dxfId="57" priority="3"/>
    <cfRule type="duplicateValues" dxfId="56" priority="4"/>
  </conditionalFormatting>
  <conditionalFormatting sqref="C17:C40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C2233-BCA1-419D-ADE3-C6911360C64B}">
  <dimension ref="B1:AA17"/>
  <sheetViews>
    <sheetView tabSelected="1" zoomScale="85" zoomScaleNormal="85" workbookViewId="0">
      <selection activeCell="A17" sqref="A17:XFD4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-0.97816901420918745</v>
      </c>
      <c r="J2" s="28" t="e">
        <f>(S14-J14)/J14</f>
        <v>#DIV/0!</v>
      </c>
      <c r="K2" s="28"/>
      <c r="L2" s="1" t="s">
        <v>19</v>
      </c>
      <c r="P2" s="1">
        <f>(P14-H14)/H14</f>
        <v>-0.29070562240119885</v>
      </c>
      <c r="R2" s="1">
        <f>(R14-J14)/J14</f>
        <v>-0.12214817785321207</v>
      </c>
      <c r="T2" s="1" t="s">
        <v>20</v>
      </c>
      <c r="X2" s="1">
        <f>(X14-P14)/P14</f>
        <v>0.61517454047478981</v>
      </c>
      <c r="Z2" s="1">
        <f>(Z14-R14)/R14</f>
        <v>0.24039917680416867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6" t="s">
        <v>0</v>
      </c>
      <c r="U3" s="36" t="s">
        <v>5</v>
      </c>
      <c r="V3" s="36" t="s">
        <v>12</v>
      </c>
      <c r="W3" s="36" t="s">
        <v>15</v>
      </c>
      <c r="X3" s="36" t="s">
        <v>11</v>
      </c>
      <c r="Y3" s="36" t="s">
        <v>16</v>
      </c>
      <c r="Z3" s="36" t="s">
        <v>10</v>
      </c>
      <c r="AA3" s="36" t="s">
        <v>1</v>
      </c>
    </row>
    <row r="4" spans="2:27" x14ac:dyDescent="0.2">
      <c r="B4" s="4">
        <v>1</v>
      </c>
      <c r="C4" s="4">
        <v>528</v>
      </c>
      <c r="D4" s="23">
        <v>1419117.1540148209</v>
      </c>
      <c r="E4" s="32">
        <v>976.37495670001954</v>
      </c>
      <c r="F4" s="5">
        <v>13</v>
      </c>
      <c r="G4" s="23">
        <v>89.333333333333329</v>
      </c>
      <c r="H4" s="32">
        <v>819.443181907552</v>
      </c>
      <c r="I4" s="23">
        <v>42.352634421146099</v>
      </c>
      <c r="J4" s="5">
        <v>6222.1634322607233</v>
      </c>
      <c r="K4" s="30"/>
      <c r="L4" s="23">
        <v>1676666.863173889</v>
      </c>
      <c r="M4" s="32">
        <v>1103.863254799973</v>
      </c>
      <c r="N4" s="5">
        <v>25</v>
      </c>
      <c r="O4" s="5">
        <v>82</v>
      </c>
      <c r="P4" s="32">
        <v>650.14111418030234</v>
      </c>
      <c r="Q4" s="5">
        <v>20.010339675526552</v>
      </c>
      <c r="R4" s="5">
        <v>5315.9439255863899</v>
      </c>
      <c r="S4" s="34"/>
      <c r="T4" s="23">
        <v>1860268.08731585</v>
      </c>
      <c r="U4" s="32">
        <v>476.19983569998288</v>
      </c>
      <c r="V4" s="5">
        <v>13</v>
      </c>
      <c r="W4" s="5">
        <v>68</v>
      </c>
      <c r="X4" s="32">
        <v>1050.0913753399377</v>
      </c>
      <c r="Y4" s="5">
        <v>54.258271996533558</v>
      </c>
      <c r="Z4" s="5">
        <v>6593.892469234479</v>
      </c>
      <c r="AA4" s="34"/>
    </row>
    <row r="5" spans="2:27" x14ac:dyDescent="0.2">
      <c r="B5" s="4">
        <v>2</v>
      </c>
      <c r="C5" s="4">
        <v>273</v>
      </c>
      <c r="D5" s="23">
        <v>1441804.1846571499</v>
      </c>
      <c r="E5" s="32">
        <v>621.43343710002955</v>
      </c>
      <c r="F5" s="5">
        <v>12</v>
      </c>
      <c r="G5" s="23">
        <v>88</v>
      </c>
      <c r="H5" s="32">
        <v>856.21238020867429</v>
      </c>
      <c r="I5" s="23">
        <v>45.893320307430507</v>
      </c>
      <c r="J5" s="5">
        <v>6291.6459770685997</v>
      </c>
      <c r="K5" s="30"/>
      <c r="L5" s="23">
        <v>1702852.1545798469</v>
      </c>
      <c r="M5" s="32">
        <v>1262.5154534999749</v>
      </c>
      <c r="N5" s="5">
        <v>23</v>
      </c>
      <c r="O5" s="5">
        <v>79.333333333333329</v>
      </c>
      <c r="P5" s="32">
        <v>630.05468569096843</v>
      </c>
      <c r="Q5" s="5">
        <v>20.596260786116318</v>
      </c>
      <c r="R5" s="5">
        <v>5388.1413844475755</v>
      </c>
      <c r="S5" s="34"/>
      <c r="T5" s="23">
        <v>1869785.860447451</v>
      </c>
      <c r="U5" s="32">
        <v>680.44612710003275</v>
      </c>
      <c r="V5" s="5">
        <v>13</v>
      </c>
      <c r="W5" s="5">
        <v>65.333333333333329</v>
      </c>
      <c r="X5" s="32">
        <v>839.0783802463327</v>
      </c>
      <c r="Y5" s="5">
        <v>50.790397886316548</v>
      </c>
      <c r="Z5" s="5">
        <v>6325.1591686301545</v>
      </c>
      <c r="AA5" s="34"/>
    </row>
    <row r="6" spans="2:27" x14ac:dyDescent="0.2">
      <c r="B6" s="4">
        <v>3</v>
      </c>
      <c r="C6" s="4">
        <v>782</v>
      </c>
      <c r="D6" s="23">
        <v>1382227.882921784</v>
      </c>
      <c r="E6" s="32">
        <v>2412.2508331000572</v>
      </c>
      <c r="F6" s="5">
        <v>15</v>
      </c>
      <c r="G6" s="23">
        <v>92.666666666666671</v>
      </c>
      <c r="H6" s="32">
        <v>916.60266133963671</v>
      </c>
      <c r="I6" s="23">
        <v>39.014863173724038</v>
      </c>
      <c r="J6" s="5">
        <v>6055.6278308863575</v>
      </c>
      <c r="K6" s="30"/>
      <c r="L6" s="23">
        <v>1717310.4844799931</v>
      </c>
      <c r="M6" s="32">
        <v>1294.704832999967</v>
      </c>
      <c r="N6" s="5">
        <v>18</v>
      </c>
      <c r="O6" s="5">
        <v>71.333333333333329</v>
      </c>
      <c r="P6" s="32">
        <v>395.19732568807188</v>
      </c>
      <c r="Q6" s="5">
        <v>23.53958148980886</v>
      </c>
      <c r="R6" s="5">
        <v>4970.8782210606769</v>
      </c>
      <c r="S6" s="34"/>
      <c r="T6" s="23">
        <v>1870785.999031557</v>
      </c>
      <c r="U6" s="32">
        <v>737.74638589995448</v>
      </c>
      <c r="V6" s="5">
        <v>12</v>
      </c>
      <c r="W6" s="5">
        <v>66.666666666666671</v>
      </c>
      <c r="X6" s="32">
        <v>992.20045177270731</v>
      </c>
      <c r="Y6" s="5">
        <v>56.677490926037898</v>
      </c>
      <c r="Z6" s="5">
        <v>6632.3614645750022</v>
      </c>
      <c r="AA6" s="34"/>
    </row>
    <row r="7" spans="2:27" x14ac:dyDescent="0.2">
      <c r="B7" s="4">
        <v>4</v>
      </c>
      <c r="C7" s="4">
        <v>932</v>
      </c>
      <c r="D7" s="23">
        <v>1463868.205857598</v>
      </c>
      <c r="E7" s="32">
        <v>464.32118089997681</v>
      </c>
      <c r="F7" s="5">
        <v>11</v>
      </c>
      <c r="G7" s="23">
        <v>83.333333333333329</v>
      </c>
      <c r="H7" s="32">
        <v>659.92080320389584</v>
      </c>
      <c r="I7" s="23">
        <v>45.423757740236795</v>
      </c>
      <c r="J7" s="5">
        <v>5948.7067029222135</v>
      </c>
      <c r="K7" s="30"/>
      <c r="L7" s="23">
        <v>1686806.059974564</v>
      </c>
      <c r="M7" s="32">
        <v>1011.745818100055</v>
      </c>
      <c r="N7" s="5">
        <v>21</v>
      </c>
      <c r="O7" s="5">
        <v>76.666666666666671</v>
      </c>
      <c r="P7" s="32">
        <v>454.96206497113445</v>
      </c>
      <c r="Q7" s="5">
        <v>21.661808785812603</v>
      </c>
      <c r="R7" s="5">
        <v>5156.8833902785518</v>
      </c>
      <c r="S7" s="34"/>
      <c r="T7" s="23">
        <v>1885757.7325899261</v>
      </c>
      <c r="U7" s="32">
        <v>886.99567950004712</v>
      </c>
      <c r="V7" s="5">
        <v>12</v>
      </c>
      <c r="W7" s="5">
        <v>64.666666666666671</v>
      </c>
      <c r="X7" s="32">
        <v>899.26777439717671</v>
      </c>
      <c r="Y7" s="5">
        <v>52.101634182023325</v>
      </c>
      <c r="Z7" s="5">
        <v>6412.1655480419022</v>
      </c>
      <c r="AA7" s="34"/>
    </row>
    <row r="8" spans="2:27" x14ac:dyDescent="0.2">
      <c r="B8" s="4">
        <v>5</v>
      </c>
      <c r="C8" s="4">
        <v>583</v>
      </c>
      <c r="D8" s="23">
        <v>1415047.0167758821</v>
      </c>
      <c r="E8" s="32">
        <v>1826.7048964999849</v>
      </c>
      <c r="F8" s="5">
        <v>14</v>
      </c>
      <c r="G8" s="23">
        <v>88.666666666666671</v>
      </c>
      <c r="H8" s="32">
        <v>813.29406154855974</v>
      </c>
      <c r="I8" s="23">
        <v>39.852782566690827</v>
      </c>
      <c r="J8" s="5">
        <v>6014.1667998286493</v>
      </c>
      <c r="K8" s="30"/>
      <c r="L8" s="23">
        <v>1699227.804177542</v>
      </c>
      <c r="M8" s="32">
        <v>1743.6376078999599</v>
      </c>
      <c r="N8" s="5">
        <v>21</v>
      </c>
      <c r="O8" s="5">
        <v>76</v>
      </c>
      <c r="P8" s="32">
        <v>473.59707729773754</v>
      </c>
      <c r="Q8" s="5">
        <v>21.484786714252095</v>
      </c>
      <c r="R8" s="5">
        <v>5138.2547335342279</v>
      </c>
      <c r="S8" s="34"/>
      <c r="T8" s="23">
        <v>1941838.1981083299</v>
      </c>
      <c r="U8" s="32">
        <v>365.47767769999342</v>
      </c>
      <c r="V8" s="5">
        <v>11</v>
      </c>
      <c r="W8" s="5">
        <v>60.666666666666657</v>
      </c>
      <c r="X8" s="32">
        <v>855.4145682185158</v>
      </c>
      <c r="Y8" s="5">
        <v>55.217221160854962</v>
      </c>
      <c r="Z8" s="5">
        <v>6360.7013179783753</v>
      </c>
      <c r="AA8" s="34"/>
    </row>
    <row r="9" spans="2:27" x14ac:dyDescent="0.2">
      <c r="B9" s="4">
        <v>6</v>
      </c>
      <c r="C9" s="4">
        <v>599</v>
      </c>
      <c r="D9" s="23">
        <v>1408756.947952172</v>
      </c>
      <c r="E9" s="32">
        <v>904.39049389993306</v>
      </c>
      <c r="F9" s="5">
        <v>12</v>
      </c>
      <c r="G9" s="23">
        <v>87.333333333333329</v>
      </c>
      <c r="H9" s="32">
        <v>708.77017348230095</v>
      </c>
      <c r="I9" s="23">
        <v>44.414854449043467</v>
      </c>
      <c r="J9" s="5">
        <v>5994.228824384174</v>
      </c>
      <c r="K9" s="30"/>
      <c r="L9" s="23">
        <v>1710664.293679043</v>
      </c>
      <c r="M9" s="32">
        <v>1214.725626399973</v>
      </c>
      <c r="N9" s="5">
        <v>20</v>
      </c>
      <c r="O9" s="5">
        <v>74</v>
      </c>
      <c r="P9" s="32">
        <v>412.01072133298163</v>
      </c>
      <c r="Q9" s="5">
        <v>22.119645649293009</v>
      </c>
      <c r="R9" s="5">
        <v>5115.3089896226647</v>
      </c>
      <c r="S9" s="34"/>
      <c r="T9" s="23">
        <v>1970152.721261807</v>
      </c>
      <c r="U9" s="32">
        <v>1627.19379020005</v>
      </c>
      <c r="V9" s="5">
        <v>11</v>
      </c>
      <c r="W9" s="5">
        <v>60</v>
      </c>
      <c r="X9" s="32">
        <v>869.14062043492549</v>
      </c>
      <c r="Y9" s="5">
        <v>54.336720405413161</v>
      </c>
      <c r="Z9" s="5">
        <v>6430.0597697744588</v>
      </c>
      <c r="AA9" s="34"/>
    </row>
    <row r="10" spans="2:27" x14ac:dyDescent="0.2">
      <c r="B10" s="4">
        <v>7</v>
      </c>
      <c r="C10" s="4">
        <v>158</v>
      </c>
      <c r="D10" s="23">
        <v>1433524.7354286029</v>
      </c>
      <c r="E10" s="32">
        <v>1164.1444430999691</v>
      </c>
      <c r="F10" s="5">
        <v>14</v>
      </c>
      <c r="G10" s="23">
        <v>88.666666666666671</v>
      </c>
      <c r="H10" s="32">
        <v>873.97840687743883</v>
      </c>
      <c r="I10" s="23">
        <v>40.334533108749042</v>
      </c>
      <c r="J10" s="5">
        <v>6037.8391963100794</v>
      </c>
      <c r="K10" s="30"/>
      <c r="L10" s="23">
        <v>1739575.3605742999</v>
      </c>
      <c r="M10" s="32">
        <v>826.50003290001769</v>
      </c>
      <c r="N10" s="5">
        <v>22</v>
      </c>
      <c r="O10" s="5">
        <v>77.333333333333329</v>
      </c>
      <c r="P10" s="32">
        <v>772.37021467858642</v>
      </c>
      <c r="Q10" s="5">
        <v>20.498989429813893</v>
      </c>
      <c r="R10" s="5">
        <v>5357.7007976366413</v>
      </c>
      <c r="S10" s="34"/>
      <c r="T10" s="23">
        <v>1952855.6781894921</v>
      </c>
      <c r="U10" s="32">
        <v>1150.114541799994</v>
      </c>
      <c r="V10" s="5">
        <v>11</v>
      </c>
      <c r="W10" s="5">
        <v>61.333333333333343</v>
      </c>
      <c r="X10" s="32">
        <v>930.19299018829577</v>
      </c>
      <c r="Y10" s="5">
        <v>53.287119361312847</v>
      </c>
      <c r="Z10" s="5">
        <v>6484.5084146970776</v>
      </c>
      <c r="AA10" s="34"/>
    </row>
    <row r="11" spans="2:27" x14ac:dyDescent="0.2">
      <c r="B11" s="4">
        <v>8</v>
      </c>
      <c r="C11" s="4">
        <v>572</v>
      </c>
      <c r="D11" s="23">
        <v>1506607.2237403961</v>
      </c>
      <c r="E11" s="32">
        <v>856.03403900004923</v>
      </c>
      <c r="F11" s="5">
        <v>12</v>
      </c>
      <c r="G11" s="23">
        <v>84.666666666666671</v>
      </c>
      <c r="H11" s="32">
        <v>817.64496735847706</v>
      </c>
      <c r="I11" s="23">
        <v>42.988005122279993</v>
      </c>
      <c r="J11" s="5">
        <v>6287.4927647015411</v>
      </c>
      <c r="K11" s="30"/>
      <c r="L11" s="23">
        <v>1763266.20872656</v>
      </c>
      <c r="M11" s="32">
        <v>978.64994469995145</v>
      </c>
      <c r="N11" s="5">
        <v>18</v>
      </c>
      <c r="O11" s="5">
        <v>70</v>
      </c>
      <c r="P11" s="32">
        <v>500.30768138078122</v>
      </c>
      <c r="Q11" s="5">
        <v>23.076371487317303</v>
      </c>
      <c r="R11" s="5">
        <v>5082.5486904675881</v>
      </c>
      <c r="S11" s="34"/>
      <c r="T11" s="23">
        <v>1882369.300763747</v>
      </c>
      <c r="U11" s="32">
        <v>1280.480984400027</v>
      </c>
      <c r="V11" s="5">
        <v>12</v>
      </c>
      <c r="W11" s="5">
        <v>65.333333333333329</v>
      </c>
      <c r="X11" s="32">
        <v>932.05773793920105</v>
      </c>
      <c r="Y11" s="5">
        <v>55.642744564796942</v>
      </c>
      <c r="Z11" s="5">
        <v>6567.6238459415044</v>
      </c>
      <c r="AA11" s="34"/>
    </row>
    <row r="12" spans="2:27" x14ac:dyDescent="0.2">
      <c r="B12" s="4">
        <v>9</v>
      </c>
      <c r="C12" s="4">
        <v>704</v>
      </c>
      <c r="D12" s="23">
        <v>1427003.9327854139</v>
      </c>
      <c r="E12" s="32">
        <v>522.28232220001519</v>
      </c>
      <c r="F12" s="5">
        <v>14</v>
      </c>
      <c r="G12" s="23">
        <v>90</v>
      </c>
      <c r="H12" s="32">
        <v>892.67988526251827</v>
      </c>
      <c r="I12" s="23">
        <v>39.45674500283139</v>
      </c>
      <c r="J12" s="5">
        <v>6148.4353668740578</v>
      </c>
      <c r="K12" s="30"/>
      <c r="L12" s="23">
        <v>1704276.152006868</v>
      </c>
      <c r="M12" s="32">
        <v>2449.8959895999869</v>
      </c>
      <c r="N12" s="5">
        <v>20</v>
      </c>
      <c r="O12" s="5">
        <v>74.666666666666671</v>
      </c>
      <c r="P12" s="32">
        <v>462.95256718945939</v>
      </c>
      <c r="Q12" s="5">
        <v>22.488057650487143</v>
      </c>
      <c r="R12" s="5">
        <v>5141.8561592298738</v>
      </c>
      <c r="S12" s="34"/>
      <c r="T12" s="23">
        <v>1881569.5178614601</v>
      </c>
      <c r="U12" s="32">
        <v>725.31365150003694</v>
      </c>
      <c r="V12" s="5">
        <v>12</v>
      </c>
      <c r="W12" s="5">
        <v>65.333333333333329</v>
      </c>
      <c r="X12" s="32">
        <v>928.48934629915607</v>
      </c>
      <c r="Y12" s="5">
        <v>55.767125731482565</v>
      </c>
      <c r="Z12" s="5">
        <v>6565.1188676113261</v>
      </c>
      <c r="AA12" s="34"/>
    </row>
    <row r="13" spans="2:27" x14ac:dyDescent="0.2">
      <c r="B13" s="4">
        <v>10</v>
      </c>
      <c r="C13" s="4">
        <v>858</v>
      </c>
      <c r="D13" s="23">
        <v>1443406.7060414669</v>
      </c>
      <c r="E13" s="32">
        <v>1291.023793900036</v>
      </c>
      <c r="F13" s="5">
        <v>15</v>
      </c>
      <c r="G13" s="23">
        <v>92</v>
      </c>
      <c r="H13" s="32">
        <v>951.99092310744584</v>
      </c>
      <c r="I13" s="23">
        <v>38.241424238083567</v>
      </c>
      <c r="J13" s="5">
        <v>6396.6054396851187</v>
      </c>
      <c r="K13" s="30"/>
      <c r="L13" s="23">
        <v>1721906.3522249609</v>
      </c>
      <c r="M13" s="32">
        <v>1069.6503291999691</v>
      </c>
      <c r="N13" s="5">
        <v>26</v>
      </c>
      <c r="O13" s="5">
        <v>81.333333333333329</v>
      </c>
      <c r="P13" s="32">
        <v>720.07791342435269</v>
      </c>
      <c r="Q13" s="5">
        <v>19.363606086749741</v>
      </c>
      <c r="R13" s="5">
        <v>5346.3641953422657</v>
      </c>
      <c r="S13" s="34"/>
      <c r="T13" s="23">
        <v>1881899.556602193</v>
      </c>
      <c r="U13" s="32">
        <v>1525.0130608000329</v>
      </c>
      <c r="V13" s="5">
        <v>13</v>
      </c>
      <c r="W13" s="5">
        <v>66</v>
      </c>
      <c r="X13" s="32">
        <v>1016.4184312953174</v>
      </c>
      <c r="Y13" s="5">
        <v>53.5405162513295</v>
      </c>
      <c r="Z13" s="5">
        <v>6440.3291673516196</v>
      </c>
      <c r="AA13" s="34"/>
    </row>
    <row r="14" spans="2:27" x14ac:dyDescent="0.2">
      <c r="B14" s="47" t="s">
        <v>3</v>
      </c>
      <c r="C14" s="48"/>
      <c r="D14" s="9">
        <f>MIN(D4:D13)</f>
        <v>1382227.882921784</v>
      </c>
      <c r="E14" s="22">
        <f>INDEX(E4:E13, MATCH($D$14, D4:D13, 0))</f>
        <v>2412.2508331000572</v>
      </c>
      <c r="F14" s="9">
        <f>INDEX(F4:F13, MATCH($D$14, D4:D13, 0))</f>
        <v>15</v>
      </c>
      <c r="G14" s="9">
        <f>INDEX(G4:G13, MATCH($D$14, D4:D13, 0))</f>
        <v>92.666666666666671</v>
      </c>
      <c r="H14" s="22">
        <f>INDEX(H4:H13, MATCH($D$14, D4:D13, 0))</f>
        <v>916.60266133963671</v>
      </c>
      <c r="I14" s="22">
        <f>INDEX(I4:I13, MATCH($D$14, D4:D13, 0))</f>
        <v>39.014863173724038</v>
      </c>
      <c r="J14" s="22">
        <f>INDEX(J4:J13, MATCH($D$14, D4:D13, 0))</f>
        <v>6055.6278308863575</v>
      </c>
      <c r="K14" s="31" t="e">
        <f>(D14-$D$15)/$D$15</f>
        <v>#DIV/0!</v>
      </c>
      <c r="L14" s="16">
        <f>MIN(L4:L13)</f>
        <v>1676666.863173889</v>
      </c>
      <c r="M14" s="21">
        <f>INDEX(M4:M13, MATCH($L$14, L4:L13, 0))</f>
        <v>1103.863254799973</v>
      </c>
      <c r="N14" s="16">
        <f>INDEX(N4:N13, MATCH($L$14, L4:L13, 0))</f>
        <v>25</v>
      </c>
      <c r="O14" s="16">
        <f>INDEX(O4:O13, MATCH($L$14, L4:L13, 0))</f>
        <v>82</v>
      </c>
      <c r="P14" s="21">
        <f>INDEX(P4:P13, MATCH($L$14, L4:L13, 0))</f>
        <v>650.14111418030234</v>
      </c>
      <c r="Q14" s="21">
        <f>INDEX(Q4:Q13, MATCH($L$14, L4:L13, 0))</f>
        <v>20.010339675526552</v>
      </c>
      <c r="R14" s="21">
        <f>INDEX(R4:R13, MATCH($L$14, L4:L13, 0))</f>
        <v>5315.9439255863899</v>
      </c>
      <c r="S14" s="35" t="e">
        <f>(L14-$D$15)/$D$15</f>
        <v>#DIV/0!</v>
      </c>
      <c r="T14" s="37">
        <f>MIN(T4:T13)</f>
        <v>1860268.08731585</v>
      </c>
      <c r="U14" s="38">
        <f>INDEX(U4:U13, MATCH($T$14, T4:T13, 0))</f>
        <v>476.19983569998288</v>
      </c>
      <c r="V14" s="37">
        <f>INDEX(V4:V13, MATCH($T$14, T4:T13, 0))</f>
        <v>13</v>
      </c>
      <c r="W14" s="37">
        <f>INDEX(W4:W13, MATCH($T$14, T4:T13, 0))</f>
        <v>68</v>
      </c>
      <c r="X14" s="38">
        <f>INDEX(X4:X13, MATCH($T$14, T4:T13, 0))</f>
        <v>1050.0913753399377</v>
      </c>
      <c r="Y14" s="38">
        <f>INDEX(Y4:Y13, MATCH($T$14, T4:T13, 0))</f>
        <v>54.258271996533558</v>
      </c>
      <c r="Z14" s="38">
        <f>INDEX(Z4:Z13, MATCH($T$14, T4:T13, 0))</f>
        <v>6593.892469234479</v>
      </c>
      <c r="AA14" s="39" t="e">
        <f>(T14-$D$15)/$D$15</f>
        <v>#DIV/0!</v>
      </c>
    </row>
    <row r="15" spans="2:27" x14ac:dyDescent="0.2">
      <c r="C15" s="1" t="s">
        <v>17</v>
      </c>
      <c r="D15" s="33"/>
      <c r="E15" s="3"/>
      <c r="F15" s="3"/>
      <c r="G15" s="3"/>
      <c r="H15" s="3"/>
      <c r="I15" s="3"/>
      <c r="J15" s="3"/>
      <c r="K15" s="3"/>
      <c r="L15" s="40">
        <f>(L14-D14)/D14</f>
        <v>0.21301768246037217</v>
      </c>
      <c r="M15" s="40">
        <f t="shared" ref="M15:R15" si="0">(M14-E14)/E14</f>
        <v>-0.5423928392300047</v>
      </c>
      <c r="N15" s="40">
        <f t="shared" si="0"/>
        <v>0.66666666666666663</v>
      </c>
      <c r="O15" s="40">
        <f t="shared" si="0"/>
        <v>-0.1151079136690648</v>
      </c>
      <c r="P15" s="40">
        <f t="shared" si="0"/>
        <v>-0.29070562240119885</v>
      </c>
      <c r="Q15" s="40">
        <f t="shared" si="0"/>
        <v>-0.48710983333645946</v>
      </c>
      <c r="R15" s="40">
        <f t="shared" si="0"/>
        <v>-0.12214817785321207</v>
      </c>
      <c r="T15" s="40">
        <f>(T14-D14)/D14</f>
        <v>0.34584760610064819</v>
      </c>
      <c r="U15" s="40">
        <f t="shared" ref="U15:Z15" si="1">(U14-E14)/E14</f>
        <v>-0.80259107835481436</v>
      </c>
      <c r="V15" s="40">
        <f t="shared" si="1"/>
        <v>-0.13333333333333333</v>
      </c>
      <c r="W15" s="40">
        <f t="shared" si="1"/>
        <v>-0.26618705035971224</v>
      </c>
      <c r="X15" s="40">
        <f t="shared" si="1"/>
        <v>0.14563422039949572</v>
      </c>
      <c r="Y15" s="40">
        <f t="shared" si="1"/>
        <v>0.39070773502227074</v>
      </c>
      <c r="Z15" s="40">
        <f t="shared" si="1"/>
        <v>8.8886677546915246E-2</v>
      </c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6 C41:C1048576">
    <cfRule type="duplicateValues" dxfId="55" priority="7"/>
    <cfRule type="duplicateValues" dxfId="54" priority="8"/>
  </conditionalFormatting>
  <conditionalFormatting sqref="C14">
    <cfRule type="duplicateValues" dxfId="53" priority="5"/>
    <cfRule type="duplicateValues" dxfId="52" priority="6"/>
  </conditionalFormatting>
  <conditionalFormatting sqref="C15">
    <cfRule type="duplicateValues" dxfId="51" priority="3"/>
    <cfRule type="duplicateValues" dxfId="50" priority="4"/>
  </conditionalFormatting>
  <conditionalFormatting sqref="C17:C40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ColWidth="11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7" t="s">
        <v>3</v>
      </c>
      <c r="C14" s="48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ColWidth="10.83203125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9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8" priority="1"/>
  </conditionalFormatting>
  <conditionalFormatting sqref="L14">
    <cfRule type="duplicateValues" dxfId="47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7" t="s">
        <v>3</v>
      </c>
      <c r="C14" s="48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46" priority="1"/>
  </conditionalFormatting>
  <conditionalFormatting sqref="L14">
    <cfRule type="duplicateValues" dxfId="45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4" priority="1"/>
  </conditionalFormatting>
  <conditionalFormatting sqref="L14">
    <cfRule type="duplicateValues" dxfId="43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2" priority="1"/>
  </conditionalFormatting>
  <conditionalFormatting sqref="L14">
    <cfRule type="duplicateValues" dxfId="41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7" t="s">
        <v>3</v>
      </c>
      <c r="C14" s="48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0" priority="1"/>
  </conditionalFormatting>
  <conditionalFormatting sqref="L14">
    <cfRule type="duplicateValues" dxfId="39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8" priority="1"/>
    <cfRule type="duplicateValues" dxfId="37" priority="2"/>
  </conditionalFormatting>
  <conditionalFormatting sqref="L14">
    <cfRule type="duplicateValues" dxfId="36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5" priority="1"/>
  </conditionalFormatting>
  <conditionalFormatting sqref="L14">
    <cfRule type="duplicateValues" dxfId="34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3" priority="1"/>
  </conditionalFormatting>
  <conditionalFormatting sqref="L14">
    <cfRule type="duplicateValues" dxfId="32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1" priority="1"/>
  </conditionalFormatting>
  <conditionalFormatting sqref="L14">
    <cfRule type="duplicateValues" dxfId="30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29" priority="1"/>
  </conditionalFormatting>
  <conditionalFormatting sqref="L14">
    <cfRule type="duplicateValues" dxfId="28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7" priority="1"/>
  </conditionalFormatting>
  <conditionalFormatting sqref="L14">
    <cfRule type="duplicateValues" dxfId="26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5" priority="1"/>
  </conditionalFormatting>
  <conditionalFormatting sqref="L14">
    <cfRule type="duplicateValues" dxfId="24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3" priority="1"/>
  </conditionalFormatting>
  <conditionalFormatting sqref="L14">
    <cfRule type="duplicateValues" dxfId="22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1" priority="1"/>
  </conditionalFormatting>
  <conditionalFormatting sqref="L14">
    <cfRule type="duplicateValues" dxfId="20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7" t="s">
        <v>3</v>
      </c>
      <c r="C14" s="48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9" priority="1"/>
  </conditionalFormatting>
  <conditionalFormatting sqref="L14">
    <cfRule type="duplicateValues" dxfId="18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results112</vt:lpstr>
      <vt:lpstr>results127</vt:lpstr>
      <vt:lpstr>results179</vt:lpstr>
      <vt:lpstr>results212</vt:lpstr>
      <vt:lpstr>results313</vt:lpstr>
      <vt:lpstr>results450</vt:lpstr>
      <vt:lpstr>results613</vt:lpstr>
      <vt:lpstr>results661</vt:lpstr>
      <vt:lpstr>results819</vt:lpstr>
      <vt:lpstr>results919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2026-10-16T21:19:57Z</dcterms:modified>
</cp:coreProperties>
</file>