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Utilization/"/>
    </mc:Choice>
  </mc:AlternateContent>
  <xr:revisionPtr revIDLastSave="0" documentId="13_ncr:1_{C3A7A8D6-989F-0241-8377-E6C70ED953E0}" xr6:coauthVersionLast="47" xr6:coauthVersionMax="47" xr10:uidLastSave="{00000000-0000-0000-0000-000000000000}"/>
  <bookViews>
    <workbookView xWindow="0" yWindow="740" windowWidth="34560" windowHeight="21600" tabRatio="842" xr2:uid="{41E620E7-D6DF-9342-B452-EA60AB3B07C5}"/>
  </bookViews>
  <sheets>
    <sheet name="Summary" sheetId="68" r:id="rId1"/>
    <sheet name="results45" sheetId="63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3" r:id="rId9"/>
    <sheet name="results846" sheetId="74" r:id="rId10"/>
    <sheet name="results91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K14" i="74" s="1"/>
  <c r="D14" i="73"/>
  <c r="I14" i="73" s="1"/>
  <c r="D14" i="77"/>
  <c r="D14" i="76"/>
  <c r="E14" i="76" s="1"/>
  <c r="D14" i="72"/>
  <c r="K14" i="72" s="1"/>
  <c r="D14" i="71"/>
  <c r="D14" i="70"/>
  <c r="E14" i="70" s="1"/>
  <c r="D14" i="69"/>
  <c r="G14" i="69" s="1"/>
  <c r="H14" i="75" l="1"/>
  <c r="E14" i="75"/>
  <c r="I14" i="75"/>
  <c r="J14" i="75"/>
  <c r="F14" i="75"/>
  <c r="K14" i="75"/>
  <c r="I14" i="74"/>
  <c r="J14" i="74"/>
  <c r="E14" i="74"/>
  <c r="F14" i="74"/>
  <c r="G14" i="74"/>
  <c r="H14" i="74"/>
  <c r="K14" i="73"/>
  <c r="E14" i="73"/>
  <c r="F14" i="73"/>
  <c r="J14" i="73"/>
  <c r="G14" i="73"/>
  <c r="H14" i="73"/>
  <c r="J14" i="77"/>
  <c r="E14" i="77"/>
  <c r="F14" i="77"/>
  <c r="G14" i="77"/>
  <c r="I14" i="77"/>
  <c r="K14" i="77"/>
  <c r="H14" i="77"/>
  <c r="G14" i="76"/>
  <c r="I14" i="76"/>
  <c r="J14" i="76"/>
  <c r="K14" i="76"/>
  <c r="F14" i="76"/>
  <c r="H14" i="76"/>
  <c r="I14" i="72"/>
  <c r="J14" i="72"/>
  <c r="H14" i="72"/>
  <c r="E14" i="72"/>
  <c r="G14" i="72"/>
  <c r="F14" i="72"/>
  <c r="G14" i="71"/>
  <c r="H14" i="71"/>
  <c r="F14" i="71"/>
  <c r="E14" i="71"/>
  <c r="I14" i="71"/>
  <c r="J14" i="71"/>
  <c r="K14" i="71"/>
  <c r="K14" i="70"/>
  <c r="G14" i="70"/>
  <c r="F14" i="70"/>
  <c r="H14" i="70"/>
  <c r="J14" i="70"/>
  <c r="I14" i="70"/>
  <c r="F14" i="69"/>
  <c r="I14" i="69"/>
  <c r="J14" i="69"/>
  <c r="K14" i="69"/>
  <c r="E14" i="69"/>
  <c r="H14" i="69"/>
  <c r="E8" i="68" a="1"/>
  <c r="E11" i="68" a="1"/>
  <c r="C4" i="68" a="1"/>
  <c r="F12" i="68" a="1"/>
  <c r="D5" i="68" a="1"/>
  <c r="D12" i="68" a="1"/>
  <c r="I5" i="68" a="1"/>
  <c r="D8" i="68" a="1"/>
  <c r="G6" i="68" a="1"/>
  <c r="I11" i="68" a="1"/>
  <c r="H5" i="68" a="1"/>
  <c r="H12" i="68" a="1"/>
  <c r="F5" i="68" a="1"/>
  <c r="E4" i="68" a="1"/>
  <c r="D11" i="68" a="1"/>
  <c r="D9" i="68" a="1"/>
  <c r="F10" i="68" a="1"/>
  <c r="H6" i="68" a="1"/>
  <c r="F9" i="68" a="1"/>
  <c r="G10" i="68" a="1"/>
  <c r="I10" i="68" a="1"/>
  <c r="E7" i="68" a="1"/>
  <c r="G3" i="68" a="1"/>
  <c r="G7" i="68" a="1"/>
  <c r="F6" i="68" a="1"/>
  <c r="G8" i="68" a="1"/>
  <c r="C10" i="68" a="1"/>
  <c r="I8" i="68" a="1"/>
  <c r="E3" i="68" a="1"/>
  <c r="I9" i="68" a="1"/>
  <c r="G11" i="68" a="1"/>
  <c r="D6" i="68" a="1"/>
  <c r="C7" i="68" a="1"/>
  <c r="C12" i="68" a="1"/>
  <c r="F7" i="68" a="1"/>
  <c r="E12" i="68" a="1"/>
  <c r="F3" i="68" a="1"/>
  <c r="F11" i="68" a="1"/>
  <c r="C6" i="68" a="1"/>
  <c r="H10" i="68" a="1"/>
  <c r="E9" i="68" a="1"/>
  <c r="E6" i="68" a="1"/>
  <c r="G9" i="68" a="1"/>
  <c r="I3" i="68" a="1"/>
  <c r="F4" i="68" a="1"/>
  <c r="I12" i="68" a="1"/>
  <c r="G4" i="68" a="1"/>
  <c r="D10" i="68" a="1"/>
  <c r="I4" i="68" a="1"/>
  <c r="E10" i="68" a="1"/>
  <c r="H8" i="68" a="1"/>
  <c r="I7" i="68" a="1"/>
  <c r="G5" i="68" a="1"/>
  <c r="I6" i="68" a="1"/>
  <c r="G12" i="68" a="1"/>
  <c r="H9" i="68" a="1"/>
  <c r="C8" i="68" a="1"/>
  <c r="C3" i="68" a="1"/>
  <c r="H7" i="68" a="1"/>
  <c r="C9" i="68" a="1"/>
  <c r="H4" i="68" a="1"/>
  <c r="H11" i="68" a="1"/>
  <c r="D7" i="68" a="1"/>
  <c r="C11" i="68" a="1"/>
  <c r="H3" i="68" a="1"/>
  <c r="D4" i="68" a="1"/>
  <c r="E5" i="68" a="1"/>
  <c r="F8" i="68" a="1"/>
  <c r="C5" i="68" a="1"/>
  <c r="C10" i="68" l="1"/>
  <c r="D10" i="68"/>
  <c r="E3" i="68"/>
  <c r="G9" i="68"/>
  <c r="I3" i="68"/>
  <c r="H3" i="68"/>
  <c r="C4" i="68"/>
  <c r="D7" i="68"/>
  <c r="I10" i="68"/>
  <c r="H5" i="68"/>
  <c r="D6" i="68"/>
  <c r="H11" i="68"/>
  <c r="E8" i="68"/>
  <c r="E11" i="68"/>
  <c r="C3" i="68"/>
  <c r="I7" i="68"/>
  <c r="E7" i="68"/>
  <c r="E5" i="68"/>
  <c r="C7" i="68"/>
  <c r="H4" i="68"/>
  <c r="I6" i="68"/>
  <c r="F8" i="68"/>
  <c r="D8" i="68"/>
  <c r="C9" i="68"/>
  <c r="G7" i="68"/>
  <c r="G3" i="68"/>
  <c r="H6" i="68"/>
  <c r="E6" i="68"/>
  <c r="I12" i="68"/>
  <c r="G6" i="68"/>
  <c r="F9" i="68"/>
  <c r="D4" i="68"/>
  <c r="F12" i="68"/>
  <c r="I8" i="68"/>
  <c r="F10" i="68"/>
  <c r="D9" i="68"/>
  <c r="F4" i="68"/>
  <c r="H7" i="68"/>
  <c r="E9" i="68"/>
  <c r="G12" i="68"/>
  <c r="H10" i="68"/>
  <c r="F3" i="68"/>
  <c r="I4" i="68"/>
  <c r="I11" i="68"/>
  <c r="C12" i="68"/>
  <c r="I9" i="68"/>
  <c r="F5" i="68"/>
  <c r="E4" i="68"/>
  <c r="F6" i="68"/>
  <c r="C5" i="68"/>
  <c r="G11" i="68"/>
  <c r="F11" i="68"/>
  <c r="H12" i="68"/>
  <c r="C6" i="68"/>
  <c r="F7" i="68"/>
  <c r="G5" i="68"/>
  <c r="D11" i="68"/>
  <c r="G4" i="68"/>
  <c r="C8" i="68"/>
  <c r="E12" i="68"/>
  <c r="H9" i="68"/>
  <c r="G8" i="68"/>
  <c r="H8" i="68"/>
  <c r="D5" i="68"/>
  <c r="D12" i="68"/>
  <c r="I5" i="68"/>
  <c r="E10" i="68"/>
  <c r="G10" i="68"/>
  <c r="C11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T14" i="77" l="1"/>
  <c r="W14" i="77" s="1"/>
  <c r="L14" i="77"/>
  <c r="T14" i="71"/>
  <c r="V14" i="71" s="1"/>
  <c r="V15" i="71" s="1"/>
  <c r="L14" i="71"/>
  <c r="T14" i="75"/>
  <c r="Z14" i="75" s="1"/>
  <c r="L14" i="75"/>
  <c r="L14" i="74"/>
  <c r="Q14" i="74" s="1"/>
  <c r="T14" i="74"/>
  <c r="AA14" i="74" s="1"/>
  <c r="L14" i="73"/>
  <c r="T14" i="73"/>
  <c r="Y14" i="73" s="1"/>
  <c r="L14" i="76"/>
  <c r="O14" i="76" s="1"/>
  <c r="T14" i="76"/>
  <c r="T15" i="76" s="1"/>
  <c r="L14" i="72"/>
  <c r="T14" i="72"/>
  <c r="V14" i="72" s="1"/>
  <c r="T14" i="70"/>
  <c r="X14" i="70" s="1"/>
  <c r="L14" i="70"/>
  <c r="N14" i="70" s="1"/>
  <c r="T14" i="69"/>
  <c r="U14" i="69" s="1"/>
  <c r="L14" i="69"/>
  <c r="O14" i="69" s="1"/>
  <c r="Q14" i="71"/>
  <c r="Q15" i="71" s="1"/>
  <c r="Q14" i="75"/>
  <c r="R14" i="73"/>
  <c r="R15" i="73" s="1"/>
  <c r="R14" i="77"/>
  <c r="N14" i="69"/>
  <c r="M14" i="69"/>
  <c r="M15" i="69" s="1"/>
  <c r="L15" i="77"/>
  <c r="P14" i="75"/>
  <c r="S14" i="75"/>
  <c r="N14" i="75"/>
  <c r="R14" i="75"/>
  <c r="L15" i="72"/>
  <c r="O14" i="71"/>
  <c r="R14" i="71"/>
  <c r="R2" i="71" s="1"/>
  <c r="M14" i="71"/>
  <c r="P14" i="77"/>
  <c r="M14" i="75"/>
  <c r="O14" i="75"/>
  <c r="L15" i="75"/>
  <c r="N14" i="71"/>
  <c r="P14" i="72"/>
  <c r="Q14" i="73"/>
  <c r="S14" i="72"/>
  <c r="Q14" i="69"/>
  <c r="R14" i="69"/>
  <c r="R15" i="69" s="1"/>
  <c r="L15" i="69"/>
  <c r="O14" i="77"/>
  <c r="Q14" i="72"/>
  <c r="M14" i="72"/>
  <c r="R14" i="74"/>
  <c r="O14" i="72"/>
  <c r="L15" i="71"/>
  <c r="R14" i="72"/>
  <c r="O14" i="73"/>
  <c r="S14" i="73"/>
  <c r="S14" i="77"/>
  <c r="S14" i="74"/>
  <c r="M14" i="73"/>
  <c r="M14" i="74"/>
  <c r="L15" i="73"/>
  <c r="P14" i="71"/>
  <c r="O14" i="74"/>
  <c r="N14" i="74"/>
  <c r="L15" i="74"/>
  <c r="N14" i="77"/>
  <c r="Q14" i="77"/>
  <c r="P14" i="73"/>
  <c r="N14" i="72"/>
  <c r="P14" i="74"/>
  <c r="N14" i="73"/>
  <c r="E13" i="68"/>
  <c r="C13" i="68"/>
  <c r="J13" i="68" s="1"/>
  <c r="G13" i="68"/>
  <c r="F13" i="68"/>
  <c r="H13" i="68"/>
  <c r="I13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O6" i="68" a="1"/>
  <c r="Q12" i="68" a="1"/>
  <c r="M9" i="68" a="1"/>
  <c r="P9" i="68" a="1"/>
  <c r="V9" i="68" a="1"/>
  <c r="P4" i="68" a="1"/>
  <c r="M6" i="68" a="1"/>
  <c r="N12" i="68" a="1"/>
  <c r="S11" i="68" a="1"/>
  <c r="Q4" i="68" a="1"/>
  <c r="O9" i="68" a="1"/>
  <c r="N6" i="68" a="1"/>
  <c r="N11" i="68" a="1"/>
  <c r="N4" i="68" a="1"/>
  <c r="L10" i="68" a="1"/>
  <c r="Q11" i="68" a="1"/>
  <c r="N10" i="68" a="1"/>
  <c r="S8" i="68" a="1"/>
  <c r="W5" i="68" a="1"/>
  <c r="L7" i="68" a="1"/>
  <c r="M7" i="68" a="1"/>
  <c r="N9" i="68" a="1"/>
  <c r="Q6" i="68" a="1"/>
  <c r="L12" i="68" a="1"/>
  <c r="Q10" i="68" a="1"/>
  <c r="M4" i="68" a="1"/>
  <c r="S7" i="68" a="1"/>
  <c r="K7" i="68" a="1"/>
  <c r="X10" i="68" a="1"/>
  <c r="S9" i="68" a="1"/>
  <c r="O10" i="68" a="1"/>
  <c r="K4" i="68" a="1"/>
  <c r="K12" i="68" a="1"/>
  <c r="P10" i="68" a="1"/>
  <c r="Q9" i="68" a="1"/>
  <c r="N7" i="68" a="1"/>
  <c r="S5" i="68" a="1"/>
  <c r="L4" i="68" a="1"/>
  <c r="Y12" i="68" a="1"/>
  <c r="N8" i="68" a="1"/>
  <c r="Q7" i="68" a="1"/>
  <c r="K5" i="68" a="1"/>
  <c r="O7" i="68" a="1"/>
  <c r="M10" i="68" a="1"/>
  <c r="U7" i="68" a="1"/>
  <c r="P11" i="68" a="1"/>
  <c r="M5" i="68" a="1"/>
  <c r="K9" i="68" a="1"/>
  <c r="S4" i="68" a="1"/>
  <c r="K11" i="68" a="1"/>
  <c r="S6" i="68" a="1"/>
  <c r="S10" i="68" a="1"/>
  <c r="K8" i="68" a="1"/>
  <c r="P6" i="68" a="1"/>
  <c r="O11" i="68" a="1"/>
  <c r="M12" i="68" a="1"/>
  <c r="K6" i="68" a="1"/>
  <c r="K10" i="68" a="1"/>
  <c r="U6" i="68" a="1"/>
  <c r="M11" i="68" a="1"/>
  <c r="L6" i="68" a="1"/>
  <c r="P7" i="68" a="1"/>
  <c r="O12" i="68" a="1"/>
  <c r="L11" i="68" a="1"/>
  <c r="T4" i="68" a="1"/>
  <c r="S12" i="68" a="1"/>
  <c r="P12" i="68" a="1"/>
  <c r="W14" i="75" l="1"/>
  <c r="W15" i="75" s="1"/>
  <c r="X14" i="75"/>
  <c r="Z14" i="77"/>
  <c r="Z15" i="77" s="1"/>
  <c r="V14" i="77"/>
  <c r="V15" i="77" s="1"/>
  <c r="U14" i="77"/>
  <c r="U15" i="77" s="1"/>
  <c r="AA14" i="77"/>
  <c r="Y14" i="77"/>
  <c r="X14" i="74"/>
  <c r="U14" i="74"/>
  <c r="T15" i="74"/>
  <c r="Z14" i="74"/>
  <c r="AA14" i="75"/>
  <c r="V14" i="74"/>
  <c r="W14" i="74"/>
  <c r="T15" i="77"/>
  <c r="X14" i="77"/>
  <c r="X15" i="77" s="1"/>
  <c r="U14" i="75"/>
  <c r="U15" i="75" s="1"/>
  <c r="Y14" i="71"/>
  <c r="Y15" i="71" s="1"/>
  <c r="W14" i="71"/>
  <c r="X14" i="71"/>
  <c r="K9" i="68"/>
  <c r="S9" i="68"/>
  <c r="Z14" i="71"/>
  <c r="AA14" i="71"/>
  <c r="T15" i="71"/>
  <c r="M14" i="77"/>
  <c r="T15" i="75"/>
  <c r="V14" i="75"/>
  <c r="V15" i="75" s="1"/>
  <c r="S6" i="68"/>
  <c r="V14" i="73"/>
  <c r="V15" i="73" s="1"/>
  <c r="W14" i="73"/>
  <c r="W15" i="73" s="1"/>
  <c r="AA14" i="73"/>
  <c r="U14" i="71"/>
  <c r="K6" i="68"/>
  <c r="Y14" i="75"/>
  <c r="Y15" i="75" s="1"/>
  <c r="S14" i="71"/>
  <c r="Y14" i="72"/>
  <c r="Y15" i="72" s="1"/>
  <c r="X14" i="73"/>
  <c r="X15" i="73" s="1"/>
  <c r="T15" i="72"/>
  <c r="U14" i="72"/>
  <c r="U15" i="72" s="1"/>
  <c r="Z14" i="73"/>
  <c r="Z15" i="73" s="1"/>
  <c r="U14" i="73"/>
  <c r="U15" i="73" s="1"/>
  <c r="T15" i="73"/>
  <c r="K12" i="68"/>
  <c r="S12" i="68"/>
  <c r="AA14" i="72"/>
  <c r="T15" i="69"/>
  <c r="S11" i="68"/>
  <c r="K11" i="68"/>
  <c r="Z14" i="72"/>
  <c r="Z15" i="72" s="1"/>
  <c r="Y14" i="74"/>
  <c r="K10" i="68"/>
  <c r="S10" i="68"/>
  <c r="X14" i="72"/>
  <c r="X15" i="72" s="1"/>
  <c r="M14" i="76"/>
  <c r="M15" i="76" s="1"/>
  <c r="X14" i="76"/>
  <c r="S14" i="76"/>
  <c r="Z14" i="76"/>
  <c r="Z15" i="76" s="1"/>
  <c r="R14" i="76"/>
  <c r="P14" i="76"/>
  <c r="AA14" i="76"/>
  <c r="N14" i="76"/>
  <c r="U14" i="76"/>
  <c r="U15" i="76" s="1"/>
  <c r="W14" i="76"/>
  <c r="W15" i="76" s="1"/>
  <c r="V14" i="76"/>
  <c r="V15" i="76" s="1"/>
  <c r="Q14" i="76"/>
  <c r="Q15" i="76" s="1"/>
  <c r="L15" i="76"/>
  <c r="S8" i="68"/>
  <c r="K8" i="68"/>
  <c r="Y14" i="76"/>
  <c r="K7" i="68"/>
  <c r="X14" i="69"/>
  <c r="X15" i="69" s="1"/>
  <c r="Y14" i="69"/>
  <c r="Y15" i="69" s="1"/>
  <c r="Z14" i="69"/>
  <c r="Z15" i="69" s="1"/>
  <c r="S7" i="68"/>
  <c r="W14" i="69"/>
  <c r="W15" i="69" s="1"/>
  <c r="AA14" i="69"/>
  <c r="V14" i="69"/>
  <c r="V15" i="69" s="1"/>
  <c r="W14" i="72"/>
  <c r="O14" i="70"/>
  <c r="R14" i="70"/>
  <c r="M14" i="70"/>
  <c r="M15" i="70" s="1"/>
  <c r="P14" i="70"/>
  <c r="P15" i="70" s="1"/>
  <c r="Q14" i="70"/>
  <c r="S14" i="70"/>
  <c r="L15" i="70"/>
  <c r="S5" i="68"/>
  <c r="K5" i="68"/>
  <c r="AA14" i="70"/>
  <c r="Z14" i="70"/>
  <c r="U14" i="70"/>
  <c r="U15" i="70" s="1"/>
  <c r="W14" i="70"/>
  <c r="W15" i="70" s="1"/>
  <c r="V14" i="70"/>
  <c r="V15" i="70" s="1"/>
  <c r="T15" i="70"/>
  <c r="Y14" i="70"/>
  <c r="Y15" i="70" s="1"/>
  <c r="P14" i="69"/>
  <c r="K4" i="68"/>
  <c r="S4" i="68"/>
  <c r="S14" i="69"/>
  <c r="P6" i="68"/>
  <c r="U6" i="68"/>
  <c r="M12" i="68"/>
  <c r="O12" i="68"/>
  <c r="Q12" i="68"/>
  <c r="N12" i="68"/>
  <c r="L12" i="68"/>
  <c r="P12" i="68"/>
  <c r="Y12" i="68"/>
  <c r="X15" i="75"/>
  <c r="N15" i="75"/>
  <c r="P15" i="75"/>
  <c r="R15" i="75"/>
  <c r="O15" i="75"/>
  <c r="M15" i="75"/>
  <c r="Q15" i="75"/>
  <c r="Z15" i="75"/>
  <c r="N11" i="68"/>
  <c r="O11" i="68"/>
  <c r="M11" i="68"/>
  <c r="P11" i="68"/>
  <c r="L11" i="68"/>
  <c r="Q11" i="68"/>
  <c r="O15" i="74"/>
  <c r="N15" i="74"/>
  <c r="Q15" i="74"/>
  <c r="M15" i="74"/>
  <c r="R2" i="74"/>
  <c r="X10" i="68"/>
  <c r="P10" i="68"/>
  <c r="M10" i="68"/>
  <c r="Q10" i="68"/>
  <c r="L10" i="68"/>
  <c r="O10" i="68"/>
  <c r="N10" i="68"/>
  <c r="Y15" i="73"/>
  <c r="Q15" i="73"/>
  <c r="N15" i="73"/>
  <c r="P2" i="75"/>
  <c r="R2" i="73"/>
  <c r="M15" i="73"/>
  <c r="P2" i="73"/>
  <c r="O15" i="73"/>
  <c r="M9" i="68"/>
  <c r="M4" i="68"/>
  <c r="Q9" i="68"/>
  <c r="V9" i="68"/>
  <c r="P9" i="68"/>
  <c r="N9" i="68"/>
  <c r="O9" i="68"/>
  <c r="N15" i="77"/>
  <c r="R15" i="77"/>
  <c r="R2" i="77"/>
  <c r="N15" i="69"/>
  <c r="W15" i="77"/>
  <c r="Q15" i="77"/>
  <c r="O15" i="77"/>
  <c r="P2" i="77"/>
  <c r="N8" i="68"/>
  <c r="L4" i="68"/>
  <c r="P2" i="76"/>
  <c r="R2" i="76"/>
  <c r="R2" i="75"/>
  <c r="O15" i="76"/>
  <c r="N15" i="76"/>
  <c r="U7" i="68"/>
  <c r="N7" i="68"/>
  <c r="O7" i="68"/>
  <c r="M7" i="68"/>
  <c r="L7" i="68"/>
  <c r="P7" i="68"/>
  <c r="Q7" i="68"/>
  <c r="V15" i="72"/>
  <c r="O15" i="72"/>
  <c r="P2" i="72"/>
  <c r="N15" i="72"/>
  <c r="M15" i="72"/>
  <c r="Q15" i="72"/>
  <c r="R2" i="72"/>
  <c r="L6" i="68"/>
  <c r="Q6" i="68"/>
  <c r="N6" i="68"/>
  <c r="O6" i="68"/>
  <c r="M6" i="68"/>
  <c r="P15" i="76"/>
  <c r="M15" i="71"/>
  <c r="O15" i="71"/>
  <c r="P2" i="71"/>
  <c r="R15" i="71"/>
  <c r="N15" i="71"/>
  <c r="P15" i="77"/>
  <c r="W5" i="68"/>
  <c r="M5" i="68"/>
  <c r="P2" i="70"/>
  <c r="Q15" i="70"/>
  <c r="O15" i="70"/>
  <c r="R15" i="74"/>
  <c r="R2" i="70"/>
  <c r="R15" i="70"/>
  <c r="X15" i="70"/>
  <c r="P15" i="72"/>
  <c r="N15" i="70"/>
  <c r="P4" i="68"/>
  <c r="N4" i="68"/>
  <c r="Q4" i="68"/>
  <c r="T4" i="68"/>
  <c r="Q15" i="69"/>
  <c r="P15" i="73"/>
  <c r="P2" i="69"/>
  <c r="O15" i="69"/>
  <c r="R2" i="69"/>
  <c r="U15" i="69"/>
  <c r="P15" i="71"/>
  <c r="R15" i="72"/>
  <c r="R15" i="76"/>
  <c r="P2" i="74"/>
  <c r="P15" i="74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W6" i="68" a="1"/>
  <c r="Y6" i="68" a="1"/>
  <c r="U9" i="68" a="1"/>
  <c r="U10" i="68" a="1"/>
  <c r="X9" i="68" a="1"/>
  <c r="W12" i="68" a="1"/>
  <c r="Y7" i="68" a="1"/>
  <c r="X6" i="68" a="1"/>
  <c r="M8" i="68" a="1"/>
  <c r="T7" i="68" a="1"/>
  <c r="V10" i="68" a="1"/>
  <c r="P5" i="68" a="1"/>
  <c r="O4" i="68" a="1"/>
  <c r="T6" i="68" a="1"/>
  <c r="Y9" i="68" a="1"/>
  <c r="W10" i="68" a="1"/>
  <c r="Y4" i="68" a="1"/>
  <c r="Y11" i="68" a="1"/>
  <c r="Y10" i="68" a="1"/>
  <c r="U5" i="68" a="1"/>
  <c r="V5" i="68" a="1"/>
  <c r="W9" i="68" a="1"/>
  <c r="X4" i="68" a="1"/>
  <c r="V8" i="68" a="1"/>
  <c r="T11" i="68" a="1"/>
  <c r="X7" i="68" a="1"/>
  <c r="X12" i="68" a="1"/>
  <c r="T8" i="68" a="1"/>
  <c r="L8" i="68" a="1"/>
  <c r="P8" i="68" a="1"/>
  <c r="W11" i="68" a="1"/>
  <c r="L5" i="68" a="1"/>
  <c r="W7" i="68" a="1"/>
  <c r="V11" i="68" a="1"/>
  <c r="T5" i="68" a="1"/>
  <c r="U4" i="68" a="1"/>
  <c r="O5" i="68" a="1"/>
  <c r="L9" i="68" a="1"/>
  <c r="U11" i="68" a="1"/>
  <c r="X11" i="68" a="1"/>
  <c r="V6" i="68" a="1"/>
  <c r="V12" i="68" a="1"/>
  <c r="T10" i="68" a="1"/>
  <c r="X8" i="68" a="1"/>
  <c r="O8" i="68" a="1"/>
  <c r="Y5" i="68" a="1"/>
  <c r="Y8" i="68" a="1"/>
  <c r="N5" i="68" a="1"/>
  <c r="Q8" i="68" a="1"/>
  <c r="U12" i="68" a="1"/>
  <c r="Q5" i="68" a="1"/>
  <c r="W4" i="68" a="1"/>
  <c r="T9" i="68" a="1"/>
  <c r="W8" i="68" a="1"/>
  <c r="V7" i="68" a="1"/>
  <c r="T12" i="68" a="1"/>
  <c r="V4" i="68" a="1"/>
  <c r="U8" i="68" a="1"/>
  <c r="X5" i="68" a="1"/>
  <c r="V12" i="68" l="1"/>
  <c r="W12" i="68"/>
  <c r="T9" i="68"/>
  <c r="U9" i="68"/>
  <c r="Y9" i="68"/>
  <c r="X9" i="68"/>
  <c r="T12" i="68"/>
  <c r="W9" i="68"/>
  <c r="U11" i="68"/>
  <c r="V11" i="68"/>
  <c r="Y11" i="68"/>
  <c r="T11" i="68"/>
  <c r="W11" i="68"/>
  <c r="V15" i="74"/>
  <c r="Y15" i="77"/>
  <c r="W15" i="74"/>
  <c r="Z15" i="74"/>
  <c r="U15" i="74"/>
  <c r="X15" i="74"/>
  <c r="X6" i="68"/>
  <c r="V6" i="68"/>
  <c r="W15" i="71"/>
  <c r="W6" i="68"/>
  <c r="X15" i="71"/>
  <c r="L9" i="68"/>
  <c r="Y6" i="68"/>
  <c r="M15" i="77"/>
  <c r="Z15" i="71"/>
  <c r="U12" i="68"/>
  <c r="T6" i="68"/>
  <c r="U10" i="68"/>
  <c r="V10" i="68"/>
  <c r="U15" i="71"/>
  <c r="X12" i="68"/>
  <c r="X7" i="68"/>
  <c r="T10" i="68"/>
  <c r="Y10" i="68"/>
  <c r="T7" i="68"/>
  <c r="W10" i="68"/>
  <c r="X11" i="68"/>
  <c r="Y7" i="68"/>
  <c r="Y15" i="74"/>
  <c r="W7" i="68"/>
  <c r="M8" i="68"/>
  <c r="V8" i="68"/>
  <c r="Q8" i="68"/>
  <c r="P8" i="68"/>
  <c r="U8" i="68"/>
  <c r="Y8" i="68"/>
  <c r="T8" i="68"/>
  <c r="O8" i="68"/>
  <c r="W8" i="68"/>
  <c r="L8" i="68"/>
  <c r="X15" i="76"/>
  <c r="X8" i="68"/>
  <c r="Y15" i="76"/>
  <c r="Y4" i="68"/>
  <c r="X4" i="68"/>
  <c r="W4" i="68"/>
  <c r="V7" i="68"/>
  <c r="U4" i="68"/>
  <c r="V4" i="68"/>
  <c r="W15" i="72"/>
  <c r="P5" i="68"/>
  <c r="L5" i="68"/>
  <c r="Q5" i="68"/>
  <c r="O5" i="68"/>
  <c r="N5" i="68"/>
  <c r="X5" i="68"/>
  <c r="U5" i="68"/>
  <c r="V5" i="68"/>
  <c r="T5" i="68"/>
  <c r="Y5" i="68"/>
  <c r="Z15" i="70"/>
  <c r="O4" i="68"/>
  <c r="P15" i="69"/>
  <c r="T14" i="63"/>
  <c r="G14" i="26"/>
  <c r="E14" i="26"/>
  <c r="D14" i="26"/>
  <c r="K14" i="26"/>
  <c r="P14" i="25"/>
  <c r="N14" i="25"/>
  <c r="M14" i="25"/>
  <c r="T14" i="25"/>
  <c r="D14" i="25"/>
  <c r="H4" i="23" a="1"/>
  <c r="S3" i="68" a="1"/>
  <c r="I4" i="23" a="1"/>
  <c r="S3" i="68" l="1"/>
  <c r="S13" i="68" s="1"/>
  <c r="E18" i="68" s="1"/>
  <c r="V14" i="63"/>
  <c r="D14" i="63"/>
  <c r="K14" i="63" s="1"/>
  <c r="L14" i="63"/>
  <c r="U14" i="63"/>
  <c r="W14" i="63"/>
  <c r="Z14" i="63"/>
  <c r="X14" i="63"/>
  <c r="AA14" i="63"/>
  <c r="Y14" i="63"/>
  <c r="H4" i="23"/>
  <c r="I4" i="23"/>
  <c r="F10" i="23" a="1"/>
  <c r="F9" i="23" a="1"/>
  <c r="E8" i="23" a="1"/>
  <c r="Y3" i="68" a="1"/>
  <c r="G6" i="23" a="1"/>
  <c r="F6" i="23" a="1"/>
  <c r="F13" i="23" a="1"/>
  <c r="G4" i="23" a="1"/>
  <c r="G9" i="23" a="1"/>
  <c r="D11" i="23" a="1"/>
  <c r="D5" i="23" a="1"/>
  <c r="G10" i="23" a="1"/>
  <c r="F7" i="23" a="1"/>
  <c r="F8" i="23" a="1"/>
  <c r="D13" i="23" a="1"/>
  <c r="D12" i="23" a="1"/>
  <c r="E9" i="23" a="1"/>
  <c r="F12" i="23" a="1"/>
  <c r="W3" i="68" a="1"/>
  <c r="D10" i="23" a="1"/>
  <c r="V3" i="68" a="1"/>
  <c r="D4" i="23" a="1"/>
  <c r="E4" i="23" a="1"/>
  <c r="D6" i="23" a="1"/>
  <c r="G11" i="23" a="1"/>
  <c r="T3" i="68" a="1"/>
  <c r="F4" i="23" a="1"/>
  <c r="E11" i="23" a="1"/>
  <c r="E10" i="23" a="1"/>
  <c r="G8" i="23" a="1"/>
  <c r="E6" i="23" a="1"/>
  <c r="E12" i="23" a="1"/>
  <c r="G12" i="23" a="1"/>
  <c r="G7" i="23" a="1"/>
  <c r="E5" i="23" a="1"/>
  <c r="D9" i="23" a="1"/>
  <c r="U3" i="68" a="1"/>
  <c r="K3" i="68" a="1"/>
  <c r="E7" i="23" a="1"/>
  <c r="G5" i="23" a="1"/>
  <c r="F11" i="23" a="1"/>
  <c r="F5" i="23" a="1"/>
  <c r="D8" i="23" a="1"/>
  <c r="E13" i="23" a="1"/>
  <c r="G13" i="23" a="1"/>
  <c r="X3" i="68" a="1"/>
  <c r="D7" i="23" a="1"/>
  <c r="T3" i="68" l="1"/>
  <c r="T13" i="68" s="1"/>
  <c r="X3" i="68"/>
  <c r="X13" i="68" s="1"/>
  <c r="V3" i="68"/>
  <c r="V13" i="68" s="1"/>
  <c r="K3" i="68"/>
  <c r="K13" i="68" s="1"/>
  <c r="D18" i="68" s="1"/>
  <c r="W3" i="68"/>
  <c r="W13" i="68" s="1"/>
  <c r="U3" i="68"/>
  <c r="U13" i="68" s="1"/>
  <c r="Y3" i="68"/>
  <c r="Y13" i="68" s="1"/>
  <c r="N14" i="63"/>
  <c r="Z13" i="68"/>
  <c r="S14" i="68"/>
  <c r="M14" i="63"/>
  <c r="Q14" i="63"/>
  <c r="R14" i="63"/>
  <c r="P14" i="63"/>
  <c r="S14" i="63"/>
  <c r="O14" i="63"/>
  <c r="F14" i="63"/>
  <c r="J14" i="63"/>
  <c r="G14" i="63"/>
  <c r="H14" i="63"/>
  <c r="E14" i="63"/>
  <c r="I14" i="63"/>
  <c r="T15" i="63"/>
  <c r="L15" i="63"/>
  <c r="V15" i="63"/>
  <c r="X15" i="63"/>
  <c r="W15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D3" i="68" a="1"/>
  <c r="N3" i="68" a="1"/>
  <c r="Q3" i="68" a="1"/>
  <c r="M3" i="68" a="1"/>
  <c r="O3" i="68" a="1"/>
  <c r="P3" i="68" a="1"/>
  <c r="L3" i="68" a="1"/>
  <c r="D3" i="68" l="1"/>
  <c r="D13" i="68" s="1"/>
  <c r="T14" i="68" s="1"/>
  <c r="V14" i="68"/>
  <c r="E20" i="68"/>
  <c r="Y14" i="68"/>
  <c r="E23" i="68"/>
  <c r="W14" i="68"/>
  <c r="E22" i="68"/>
  <c r="X14" i="68"/>
  <c r="E21" i="68"/>
  <c r="U14" i="68"/>
  <c r="E19" i="68"/>
  <c r="N3" i="68"/>
  <c r="N13" i="68" s="1"/>
  <c r="Q3" i="68"/>
  <c r="Q13" i="68" s="1"/>
  <c r="P3" i="68"/>
  <c r="P13" i="68" s="1"/>
  <c r="O3" i="68"/>
  <c r="O13" i="68" s="1"/>
  <c r="L3" i="68"/>
  <c r="L13" i="68" s="1"/>
  <c r="M3" i="68"/>
  <c r="M13" i="68" s="1"/>
  <c r="O15" i="63"/>
  <c r="R2" i="63"/>
  <c r="R13" i="68"/>
  <c r="K14" i="68"/>
  <c r="P2" i="63"/>
  <c r="N15" i="63"/>
  <c r="Q15" i="63"/>
  <c r="M15" i="63"/>
  <c r="P15" i="63"/>
  <c r="U15" i="63"/>
  <c r="R15" i="63"/>
  <c r="Z15" i="63"/>
  <c r="Y15" i="63"/>
  <c r="L14" i="68" l="1"/>
  <c r="Q14" i="68"/>
  <c r="D23" i="68"/>
  <c r="N14" i="68"/>
  <c r="D20" i="68"/>
  <c r="M14" i="68"/>
  <c r="D19" i="68"/>
  <c r="O14" i="68"/>
  <c r="D22" i="68"/>
  <c r="P14" i="68"/>
  <c r="D21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<sst xmlns="http://schemas.openxmlformats.org/spreadsheetml/2006/main" count="662" uniqueCount="27">
  <si>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</si>
  <si>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</si>
  <si>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</si>
  <si>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</si>
  <si>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</si>
  <si>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</si>
  <si>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</si>
  <si>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</si>
  <si>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</si>
  <si>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</si>
  <si>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</si>
  <si>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</si>
  <si>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</si>
  <si>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</si>
  <si>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</si>
  <si>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</si>
  <si>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</si>
  <si>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</si>
  <si>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</si>
  <si>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-50%</t>
  </si>
  <si>
    <t>+50%</t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</si>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</sst>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49" fontId="5" fillId="0" borderId="0" xfId="0" applyNumberFormat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1:Z23"/>
  <sheetViews>
    <sheetView tabSelected="1" zoomScale="85" zoomScaleNormal="85" workbookViewId="0">
      <selection activeCell="E18" sqref="E18:E23"/>
    </sheetView>
  </sheetViews>
  <sheetFormatPr baseColWidth="10" defaultColWidth="11.5" defaultRowHeight="16" x14ac:dyDescent="0.2"/>
  <cols>
    <col min="1" max="1" width="3.5" customWidth="1"/>
    <col min="2" max="2" width="11.5" style="1"/>
    <col min="3" max="3" width="21.1640625" bestFit="1" customWidth="1"/>
    <col min="4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47">
        <v>0</v>
      </c>
      <c r="K1" s="48">
        <v>-0.5</v>
      </c>
      <c r="S1" s="48">
        <v>0.5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1109491.730596958</v>
      </c>
      <c r="D3" s="33" cm="1">
        <f t="array" aca="1" ref="D3" ca="1">INDIRECT("'results" &amp; $B3 &amp; "'!E$14")</f>
        <v>175.83051161536085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419.06882453373214</v>
      </c>
      <c r="H3" s="33" cm="1">
        <f t="array" aca="1" ref="H3" ca="1">INDIRECT("'results" &amp; $B3 &amp; "'!I$14")</f>
        <v>49.007721434937274</v>
      </c>
      <c r="I3" s="5" cm="1">
        <f t="array" aca="1" ref="I3" ca="1">INDIRECT("'results" &amp; $B3 &amp; "'!J$14")</f>
        <v>5556.5358758104085</v>
      </c>
      <c r="J3" s="5"/>
      <c r="K3" s="5" cm="1">
        <f t="array" aca="1" ref="K3" ca="1">INDIRECT("'results" &amp; $B3 &amp; "'!L$14")</f>
        <v>1000868.213854978</v>
      </c>
      <c r="L3" s="5" cm="1">
        <f t="array" aca="1" ref="L3" ca="1">INDIRECT("'results" &amp; $B3 &amp; "'!M$14")</f>
        <v>212.11055500003008</v>
      </c>
      <c r="M3" s="5" cm="1">
        <f t="array" aca="1" ref="M3" ca="1">INDIRECT("'results" &amp; $B3 &amp; "'!N$14")</f>
        <v>17</v>
      </c>
      <c r="N3" s="5" cm="1">
        <f t="array" aca="1" ref="N3" ca="1">INDIRECT("'results" &amp; $B3 &amp; "'!O$14")</f>
        <v>96</v>
      </c>
      <c r="O3" s="5" cm="1">
        <f t="array" aca="1" ref="O3" ca="1">INDIRECT("'results" &amp; $B3 &amp; "'!P$14")</f>
        <v>325.40338791174429</v>
      </c>
      <c r="P3" s="5" cm="1">
        <f t="array" aca="1" ref="P3" ca="1">INDIRECT("'results" &amp; $B3 &amp; "'!Q$14")</f>
        <v>31.428897092207656</v>
      </c>
      <c r="Q3" s="5" cm="1">
        <f t="array" aca="1" ref="Q3" ca="1">INDIRECT("'results" &amp; $B3 &amp; "'!R$14")</f>
        <v>4869.3916825280885</v>
      </c>
      <c r="R3" s="5"/>
      <c r="S3" s="5" cm="1">
        <f t="array" aca="1" ref="S3" ca="1">INDIRECT("'results" &amp; $B3 &amp; "'!T$14")</f>
        <v>1171494.610672924</v>
      </c>
      <c r="T3" s="5" cm="1">
        <f t="array" aca="1" ref="T3" ca="1">INDIRECT("'results" &amp; $B3 &amp; "'!U$14")</f>
        <v>199.74105469228766</v>
      </c>
      <c r="U3" s="5" cm="1">
        <f t="array" aca="1" ref="U3" ca="1">INDIRECT("'results" &amp; $B3 &amp; "'!V$14")</f>
        <v>11</v>
      </c>
      <c r="V3" s="5" cm="1">
        <f t="array" aca="1" ref="V3" ca="1">INDIRECT("'results" &amp; $B3 &amp; "'!W$14")</f>
        <v>95.333333333333329</v>
      </c>
      <c r="W3" s="5" cm="1">
        <f t="array" aca="1" ref="W3" ca="1">INDIRECT("'results" &amp; $B3 &amp; "'!X$14")</f>
        <v>456.75851374832376</v>
      </c>
      <c r="X3" s="5" cm="1">
        <f t="array" aca="1" ref="X3" ca="1">INDIRECT("'results" &amp; $B3 &amp; "'!Y$14")</f>
        <v>47.720859925898552</v>
      </c>
      <c r="Y3" s="5" cm="1">
        <f t="array" aca="1" ref="Y3" ca="1">INDIRECT("'results" &amp; $B3 &amp; "'!Z$14")</f>
        <v>5443.0278245205527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968127.96556841256</v>
      </c>
      <c r="D4" s="33" cm="1">
        <f t="array" aca="1" ref="D4" ca="1">INDIRECT("'results" &amp; $B4 &amp; "'!E$14")</f>
        <v>110.66876407685831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148.27568864938823</v>
      </c>
      <c r="H4" s="33" cm="1">
        <f t="array" aca="1" ref="H4" ca="1">INDIRECT("'results" &amp; $B4 &amp; "'!I$14")</f>
        <v>41.044499047729481</v>
      </c>
      <c r="I4" s="5" cm="1">
        <f t="array" aca="1" ref="I4" ca="1">INDIRECT("'results" &amp; $B4 &amp; "'!J$14")</f>
        <v>4730.6926525659665</v>
      </c>
      <c r="J4" s="5"/>
      <c r="K4" s="5" cm="1">
        <f t="array" aca="1" ref="K4" ca="1">INDIRECT("'results" &amp; $B4 &amp; "'!L$14")</f>
        <v>879265.2916834926</v>
      </c>
      <c r="L4" s="5" cm="1">
        <f t="array" aca="1" ref="L4" ca="1">INDIRECT("'results" &amp; $B4 &amp; "'!M$14")</f>
        <v>155.33734200002914</v>
      </c>
      <c r="M4" s="5" cm="1">
        <f t="array" aca="1" ref="M4" ca="1">INDIRECT("'results" &amp; $B4 &amp; "'!N$14")</f>
        <v>13</v>
      </c>
      <c r="N4" s="5" cm="1">
        <f t="array" aca="1" ref="N4" ca="1">INDIRECT("'results" &amp; $B4 &amp; "'!O$14")</f>
        <v>96</v>
      </c>
      <c r="O4" s="5" cm="1">
        <f t="array" aca="1" ref="O4" ca="1">INDIRECT("'results" &amp; $B4 &amp; "'!P$14")</f>
        <v>107.20985967235805</v>
      </c>
      <c r="P4" s="5" cm="1">
        <f t="array" aca="1" ref="P4" ca="1">INDIRECT("'results" &amp; $B4 &amp; "'!Q$14")</f>
        <v>34.876884286616672</v>
      </c>
      <c r="Q4" s="5" cm="1">
        <f t="array" aca="1" ref="Q4" ca="1">INDIRECT("'results" &amp; $B4 &amp; "'!R$14")</f>
        <v>4460.5529210680297</v>
      </c>
      <c r="R4" s="5"/>
      <c r="S4" s="5" cm="1">
        <f t="array" aca="1" ref="S4" ca="1">INDIRECT("'results" &amp; $B4 &amp; "'!T$14")</f>
        <v>1032979.01661591</v>
      </c>
      <c r="T4" s="5" cm="1">
        <f t="array" aca="1" ref="T4" ca="1">INDIRECT("'results" &amp; $B4 &amp; "'!U$14")</f>
        <v>103.56399092303877</v>
      </c>
      <c r="U4" s="5" cm="1">
        <f t="array" aca="1" ref="U4" ca="1">INDIRECT("'results" &amp; $B4 &amp; "'!V$14")</f>
        <v>11</v>
      </c>
      <c r="V4" s="5" cm="1">
        <f t="array" aca="1" ref="V4" ca="1">INDIRECT("'results" &amp; $B4 &amp; "'!W$14")</f>
        <v>96</v>
      </c>
      <c r="W4" s="5" cm="1">
        <f t="array" aca="1" ref="W4" ca="1">INDIRECT("'results" &amp; $B4 &amp; "'!X$14")</f>
        <v>148.27568864938823</v>
      </c>
      <c r="X4" s="5" cm="1">
        <f t="array" aca="1" ref="X4" ca="1">INDIRECT("'results" &amp; $B4 &amp; "'!Y$14")</f>
        <v>41.044499047729481</v>
      </c>
      <c r="Y4" s="5" cm="1">
        <f t="array" aca="1" ref="Y4" ca="1">INDIRECT("'results" &amp; $B4 &amp; "'!Z$14")</f>
        <v>4730.6926525659665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1171722.7209426111</v>
      </c>
      <c r="D5" s="33" cm="1">
        <f t="array" aca="1" ref="D5" ca="1">INDIRECT("'results" &amp; $B5 &amp; "'!E$14")</f>
        <v>274.61161923075383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552.87315230917284</v>
      </c>
      <c r="H5" s="33" cm="1">
        <f t="array" aca="1" ref="H5" ca="1">INDIRECT("'results" &amp; $B5 &amp; "'!I$14")</f>
        <v>39.68895058554655</v>
      </c>
      <c r="I5" s="5" cm="1">
        <f t="array" aca="1" ref="I5" ca="1">INDIRECT("'results" &amp; $B5 &amp; "'!J$14")</f>
        <v>5498.4921850503042</v>
      </c>
      <c r="J5" s="5"/>
      <c r="K5" s="5" cm="1">
        <f t="array" aca="1" ref="K5" ca="1">INDIRECT("'results" &amp; $B5 &amp; "'!L$14")</f>
        <v>1053490.312248705</v>
      </c>
      <c r="L5" s="5" cm="1">
        <f t="array" aca="1" ref="L5" ca="1">INDIRECT("'results" &amp; $B5 &amp; "'!M$14")</f>
        <v>434.96571153841126</v>
      </c>
      <c r="M5" s="5" cm="1">
        <f t="array" aca="1" ref="M5" ca="1">INDIRECT("'results" &amp; $B5 &amp; "'!N$14")</f>
        <v>19</v>
      </c>
      <c r="N5" s="5" cm="1">
        <f t="array" aca="1" ref="N5" ca="1">INDIRECT("'results" &amp; $B5 &amp; "'!O$14")</f>
        <v>97.333333333333329</v>
      </c>
      <c r="O5" s="5" cm="1">
        <f t="array" aca="1" ref="O5" ca="1">INDIRECT("'results" &amp; $B5 &amp; "'!P$14")</f>
        <v>502.48831346400073</v>
      </c>
      <c r="P5" s="5" cm="1">
        <f t="array" aca="1" ref="P5" ca="1">INDIRECT("'results" &amp; $B5 &amp; "'!Q$14")</f>
        <v>33.422571846843752</v>
      </c>
      <c r="Q5" s="5" cm="1">
        <f t="array" aca="1" ref="Q5" ca="1">INDIRECT("'results" &amp; $B5 &amp; "'!R$14")</f>
        <v>5173.8626096449971</v>
      </c>
      <c r="R5" s="5"/>
      <c r="S5" s="5" cm="1">
        <f t="array" aca="1" ref="S5" ca="1">INDIRECT("'results" &amp; $B5 &amp; "'!T$14")</f>
        <v>1294992.1265221429</v>
      </c>
      <c r="T5" s="5" cm="1">
        <f t="array" aca="1" ref="T5" ca="1">INDIRECT("'results" &amp; $B5 &amp; "'!U$14")</f>
        <v>256.83097215387255</v>
      </c>
      <c r="U5" s="5" cm="1">
        <f t="array" aca="1" ref="U5" ca="1">INDIRECT("'results" &amp; $B5 &amp; "'!V$14")</f>
        <v>13</v>
      </c>
      <c r="V5" s="5" cm="1">
        <f t="array" aca="1" ref="V5" ca="1">INDIRECT("'results" &amp; $B5 &amp; "'!W$14")</f>
        <v>96</v>
      </c>
      <c r="W5" s="5" cm="1">
        <f t="array" aca="1" ref="W5" ca="1">INDIRECT("'results" &amp; $B5 &amp; "'!X$14")</f>
        <v>753.68343042173115</v>
      </c>
      <c r="X5" s="5" cm="1">
        <f t="array" aca="1" ref="X5" ca="1">INDIRECT("'results" &amp; $B5 &amp; "'!Y$14")</f>
        <v>49.130404224135418</v>
      </c>
      <c r="Y5" s="5" cm="1">
        <f t="array" aca="1" ref="Y5" ca="1">INDIRECT("'results" &amp; $B5 &amp; "'!Z$14")</f>
        <v>5913.9686601301064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1141726.937281823</v>
      </c>
      <c r="D6" s="33" cm="1">
        <f t="array" aca="1" ref="D6" ca="1">INDIRECT("'results" &amp; $B6 &amp; "'!E$14")</f>
        <v>371.94766284620312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284.12843424466513</v>
      </c>
      <c r="H6" s="33" cm="1">
        <f t="array" aca="1" ref="H6" ca="1">INDIRECT("'results" &amp; $B6 &amp; "'!I$14")</f>
        <v>38.423322876589999</v>
      </c>
      <c r="I6" s="5" cm="1">
        <f t="array" aca="1" ref="I6" ca="1">INDIRECT("'results" &amp; $B6 &amp; "'!J$14")</f>
        <v>5202.2457846926009</v>
      </c>
      <c r="J6" s="5"/>
      <c r="K6" s="5" cm="1">
        <f t="array" aca="1" ref="K6" ca="1">INDIRECT("'results" &amp; $B6 &amp; "'!L$14")</f>
        <v>1029943.054736782</v>
      </c>
      <c r="L6" s="5" cm="1">
        <f t="array" aca="1" ref="L6" ca="1">INDIRECT("'results" &amp; $B6 &amp; "'!M$14")</f>
        <v>550.14317807687735</v>
      </c>
      <c r="M6" s="5" cm="1">
        <f t="array" aca="1" ref="M6" ca="1">INDIRECT("'results" &amp; $B6 &amp; "'!N$14")</f>
        <v>16</v>
      </c>
      <c r="N6" s="5" cm="1">
        <f t="array" aca="1" ref="N6" ca="1">INDIRECT("'results" &amp; $B6 &amp; "'!O$14")</f>
        <v>94</v>
      </c>
      <c r="O6" s="5" cm="1">
        <f t="array" aca="1" ref="O6" ca="1">INDIRECT("'results" &amp; $B6 &amp; "'!P$14")</f>
        <v>212.58559372023288</v>
      </c>
      <c r="P6" s="5" cm="1">
        <f t="array" aca="1" ref="P6" ca="1">INDIRECT("'results" &amp; $B6 &amp; "'!Q$14")</f>
        <v>33.015017778003738</v>
      </c>
      <c r="Q6" s="5" cm="1">
        <f t="array" aca="1" ref="Q6" ca="1">INDIRECT("'results" &amp; $B6 &amp; "'!R$14")</f>
        <v>4937.0149871090198</v>
      </c>
      <c r="R6" s="5"/>
      <c r="S6" s="5" cm="1">
        <f t="array" aca="1" ref="S6" ca="1">INDIRECT("'results" &amp; $B6 &amp; "'!T$14")</f>
        <v>1226266.766411623</v>
      </c>
      <c r="T6" s="5" cm="1">
        <f t="array" aca="1" ref="T6" ca="1">INDIRECT("'results" &amp; $B6 &amp; "'!U$14")</f>
        <v>189.65858553849662</v>
      </c>
      <c r="U6" s="5" cm="1">
        <f t="array" aca="1" ref="U6" ca="1">INDIRECT("'results" &amp; $B6 &amp; "'!V$14")</f>
        <v>12</v>
      </c>
      <c r="V6" s="5" cm="1">
        <f t="array" aca="1" ref="V6" ca="1">INDIRECT("'results" &amp; $B6 &amp; "'!W$14")</f>
        <v>93.333333333333329</v>
      </c>
      <c r="W6" s="5" cm="1">
        <f t="array" aca="1" ref="W6" ca="1">INDIRECT("'results" &amp; $B6 &amp; "'!X$14")</f>
        <v>361.61759249308579</v>
      </c>
      <c r="X6" s="5" cm="1">
        <f t="array" aca="1" ref="X6" ca="1">INDIRECT("'results" &amp; $B6 &amp; "'!Y$14")</f>
        <v>44.691322044569318</v>
      </c>
      <c r="Y6" s="5" cm="1">
        <f t="array" aca="1" ref="Y6" ca="1">INDIRECT("'results" &amp; $B6 &amp; "'!Z$14")</f>
        <v>5444.6279318879333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1155075.914594016</v>
      </c>
      <c r="D7" s="33" cm="1">
        <f t="array" aca="1" ref="D7" ca="1">INDIRECT("'results" &amp; $B7 &amp; "'!E$14")</f>
        <v>124.98730038462853</v>
      </c>
      <c r="E7" s="5" cm="1">
        <f t="array" aca="1" ref="E7" ca="1">INDIRECT("'results" &amp; $B7 &amp; "'!F$14")</f>
        <v>13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315.4818009440686</v>
      </c>
      <c r="H7" s="33" cm="1">
        <f t="array" aca="1" ref="H7" ca="1">INDIRECT("'results" &amp; $B7 &amp; "'!I$14")</f>
        <v>43.565165325317544</v>
      </c>
      <c r="I7" s="5" cm="1">
        <f t="array" aca="1" ref="I7" ca="1">INDIRECT("'results" &amp; $B7 &amp; "'!J$14")</f>
        <v>5346.775780707324</v>
      </c>
      <c r="J7" s="5"/>
      <c r="K7" s="5" cm="1">
        <f t="array" aca="1" ref="K7" ca="1">INDIRECT("'results" &amp; $B7 &amp; "'!L$14")</f>
        <v>1047458.490405925</v>
      </c>
      <c r="L7" s="5" cm="1">
        <f t="array" aca="1" ref="L7" ca="1">INDIRECT("'results" &amp; $B7 &amp; "'!M$14")</f>
        <v>436.99465438463869</v>
      </c>
      <c r="M7" s="5" cm="1">
        <f t="array" aca="1" ref="M7" ca="1">INDIRECT("'results" &amp; $B7 &amp; "'!N$14")</f>
        <v>18</v>
      </c>
      <c r="N7" s="5" cm="1">
        <f t="array" aca="1" ref="N7" ca="1">INDIRECT("'results" &amp; $B7 &amp; "'!O$14")</f>
        <v>94</v>
      </c>
      <c r="O7" s="5" cm="1">
        <f t="array" aca="1" ref="O7" ca="1">INDIRECT("'results" &amp; $B7 &amp; "'!P$14")</f>
        <v>240.79703512459977</v>
      </c>
      <c r="P7" s="5" cm="1">
        <f t="array" aca="1" ref="P7" ca="1">INDIRECT("'results" &amp; $B7 &amp; "'!Q$14")</f>
        <v>30.91713487488877</v>
      </c>
      <c r="Q7" s="5" cm="1">
        <f t="array" aca="1" ref="Q7" ca="1">INDIRECT("'results" &amp; $B7 &amp; "'!R$14")</f>
        <v>4837.6464129412288</v>
      </c>
      <c r="R7" s="5"/>
      <c r="S7" s="5" cm="1">
        <f t="array" aca="1" ref="S7" ca="1">INDIRECT("'results" &amp; $B7 &amp; "'!T$14")</f>
        <v>1207907.132348733</v>
      </c>
      <c r="T7" s="5" cm="1">
        <f t="array" aca="1" ref="T7" ca="1">INDIRECT("'results" &amp; $B7 &amp; "'!U$14")</f>
        <v>213.2241164615306</v>
      </c>
      <c r="U7" s="5" cm="1">
        <f t="array" aca="1" ref="U7" ca="1">INDIRECT("'results" &amp; $B7 &amp; "'!V$14")</f>
        <v>11</v>
      </c>
      <c r="V7" s="5" cm="1">
        <f t="array" aca="1" ref="V7" ca="1">INDIRECT("'results" &amp; $B7 &amp; "'!W$14")</f>
        <v>93.333333333333329</v>
      </c>
      <c r="W7" s="5" cm="1">
        <f t="array" aca="1" ref="W7" ca="1">INDIRECT("'results" &amp; $B7 &amp; "'!X$14")</f>
        <v>308.45810776045732</v>
      </c>
      <c r="X7" s="5" cm="1">
        <f t="array" aca="1" ref="X7" ca="1">INDIRECT("'results" &amp; $B7 &amp; "'!Y$14")</f>
        <v>49.401485677297593</v>
      </c>
      <c r="Y7" s="5" cm="1">
        <f t="array" aca="1" ref="Y7" ca="1">INDIRECT("'results" &amp; $B7 &amp; "'!Z$14")</f>
        <v>5467.5562290774087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1109461.4547045201</v>
      </c>
      <c r="D8" s="33" cm="1">
        <f t="array" aca="1" ref="D8" ca="1">INDIRECT("'results" &amp; $B8 &amp; "'!E$14")</f>
        <v>267.75269992309256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556.1484043778413</v>
      </c>
      <c r="H8" s="33" cm="1">
        <f t="array" aca="1" ref="H8" ca="1">INDIRECT("'results" &amp; $B8 &amp; "'!I$14")</f>
        <v>46.079268944698597</v>
      </c>
      <c r="I8" s="5" cm="1">
        <f t="array" aca="1" ref="I8" ca="1">INDIRECT("'results" &amp; $B8 &amp; "'!J$14")</f>
        <v>5662.791341137412</v>
      </c>
      <c r="J8" s="5"/>
      <c r="K8" s="5" cm="1">
        <f t="array" aca="1" ref="K8" ca="1">INDIRECT("'results" &amp; $B8 &amp; "'!L$14")</f>
        <v>1000006.9187046851</v>
      </c>
      <c r="L8" s="5" cm="1">
        <f t="array" aca="1" ref="L8" ca="1">INDIRECT("'results" &amp; $B8 &amp; "'!M$14")</f>
        <v>261.90492892306514</v>
      </c>
      <c r="M8" s="5" cm="1">
        <f t="array" aca="1" ref="M8" ca="1">INDIRECT("'results" &amp; $B8 &amp; "'!N$14")</f>
        <v>18</v>
      </c>
      <c r="N8" s="5" cm="1">
        <f t="array" aca="1" ref="N8" ca="1">INDIRECT("'results" &amp; $B8 &amp; "'!O$14")</f>
        <v>98.666666666666671</v>
      </c>
      <c r="O8" s="5" cm="1">
        <f t="array" aca="1" ref="O8" ca="1">INDIRECT("'results" &amp; $B8 &amp; "'!P$14")</f>
        <v>443.83627087811419</v>
      </c>
      <c r="P8" s="5" cm="1">
        <f t="array" aca="1" ref="P8" ca="1">INDIRECT("'results" &amp; $B8 &amp; "'!Q$14")</f>
        <v>32.810198604821231</v>
      </c>
      <c r="Q8" s="5" cm="1">
        <f t="array" aca="1" ref="Q8" ca="1">INDIRECT("'results" &amp; $B8 &amp; "'!R$14")</f>
        <v>5170.3544630293936</v>
      </c>
      <c r="R8" s="5"/>
      <c r="S8" s="5" cm="1">
        <f t="array" aca="1" ref="S8" ca="1">INDIRECT("'results" &amp; $B8 &amp; "'!T$14")</f>
        <v>1172151.5518684301</v>
      </c>
      <c r="T8" s="5" cm="1">
        <f t="array" aca="1" ref="T8" ca="1">INDIRECT("'results" &amp; $B8 &amp; "'!U$14")</f>
        <v>247.04474115386031</v>
      </c>
      <c r="U8" s="5" cm="1">
        <f t="array" aca="1" ref="U8" ca="1">INDIRECT("'results" &amp; $B8 &amp; "'!V$14")</f>
        <v>12</v>
      </c>
      <c r="V8" s="5" cm="1">
        <f t="array" aca="1" ref="V8" ca="1">INDIRECT("'results" &amp; $B8 &amp; "'!W$14")</f>
        <v>97.333333333333329</v>
      </c>
      <c r="W8" s="5" cm="1">
        <f t="array" aca="1" ref="W8" ca="1">INDIRECT("'results" &amp; $B8 &amp; "'!X$14")</f>
        <v>522.60199679471975</v>
      </c>
      <c r="X8" s="5" cm="1">
        <f t="array" aca="1" ref="X8" ca="1">INDIRECT("'results" &amp; $B8 &amp; "'!Y$14")</f>
        <v>48.711067574320566</v>
      </c>
      <c r="Y8" s="5" cm="1">
        <f t="array" aca="1" ref="Y8" ca="1">INDIRECT("'results" &amp; $B8 &amp; "'!Z$14")</f>
        <v>5643.3301439296092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1046045.483747479</v>
      </c>
      <c r="D9" s="33" cm="1">
        <f t="array" aca="1" ref="D9" ca="1">INDIRECT("'results" &amp; $B9 &amp; "'!E$14")</f>
        <v>205.49383246160752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351.38906290061749</v>
      </c>
      <c r="H9" s="33" cm="1">
        <f t="array" aca="1" ref="H9" ca="1">INDIRECT("'results" &amp; $B9 &amp; "'!I$14")</f>
        <v>37.424531203822959</v>
      </c>
      <c r="I9" s="5" cm="1">
        <f t="array" aca="1" ref="I9" ca="1">INDIRECT("'results" &amp; $B9 &amp; "'!J$14")</f>
        <v>4871.4040777261835</v>
      </c>
      <c r="J9" s="5"/>
      <c r="K9" s="5" cm="1">
        <f t="array" aca="1" ref="K9" ca="1">INDIRECT("'results" &amp; $B9 &amp; "'!L$14")</f>
        <v>953410.33424572228</v>
      </c>
      <c r="L9" s="5" cm="1">
        <f t="array" aca="1" ref="L9" ca="1">INDIRECT("'results" &amp; $B9 &amp; "'!M$14")</f>
        <v>197.19497592304828</v>
      </c>
      <c r="M9" s="5" cm="1">
        <f t="array" aca="1" ref="M9" ca="1">INDIRECT("'results" &amp; $B9 &amp; "'!N$14")</f>
        <v>16</v>
      </c>
      <c r="N9" s="5" cm="1">
        <f t="array" aca="1" ref="N9" ca="1">INDIRECT("'results" &amp; $B9 &amp; "'!O$14")</f>
        <v>96.666666666666671</v>
      </c>
      <c r="O9" s="5" cm="1">
        <f t="array" aca="1" ref="O9" ca="1">INDIRECT("'results" &amp; $B9 &amp; "'!P$14")</f>
        <v>262.74392976340152</v>
      </c>
      <c r="P9" s="5" cm="1">
        <f t="array" aca="1" ref="P9" ca="1">INDIRECT("'results" &amp; $B9 &amp; "'!Q$14")</f>
        <v>33.082846926808301</v>
      </c>
      <c r="Q9" s="5" cm="1">
        <f t="array" aca="1" ref="Q9" ca="1">INDIRECT("'results" &amp; $B9 &amp; "'!R$14")</f>
        <v>4782.7132348025079</v>
      </c>
      <c r="R9" s="5"/>
      <c r="S9" s="5" cm="1">
        <f t="array" aca="1" ref="S9" ca="1">INDIRECT("'results" &amp; $B9 &amp; "'!T$14")</f>
        <v>1144842.9670740711</v>
      </c>
      <c r="T9" s="5" cm="1">
        <f t="array" aca="1" ref="T9" ca="1">INDIRECT("'results" &amp; $B9 &amp; "'!U$14")</f>
        <v>140.86678215383122</v>
      </c>
      <c r="U9" s="5" cm="1">
        <f t="array" aca="1" ref="U9" ca="1">INDIRECT("'results" &amp; $B9 &amp; "'!V$14")</f>
        <v>14</v>
      </c>
      <c r="V9" s="5" cm="1">
        <f t="array" aca="1" ref="V9" ca="1">INDIRECT("'results" &amp; $B9 &amp; "'!W$14")</f>
        <v>96.666666666666671</v>
      </c>
      <c r="W9" s="5" cm="1">
        <f t="array" aca="1" ref="W9" ca="1">INDIRECT("'results" &amp; $B9 &amp; "'!X$14")</f>
        <v>371.95429909967038</v>
      </c>
      <c r="X9" s="5" cm="1">
        <f t="array" aca="1" ref="X9" ca="1">INDIRECT("'results" &amp; $B9 &amp; "'!Y$14")</f>
        <v>37.938825696742626</v>
      </c>
      <c r="Y9" s="5" cm="1">
        <f t="array" aca="1" ref="Y9" ca="1">INDIRECT("'results" &amp; $B9 &amp; "'!Z$14")</f>
        <v>4949.8517324357827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1298314.612475632</v>
      </c>
      <c r="D10" s="33" cm="1">
        <f t="array" aca="1" ref="D10" ca="1">INDIRECT("'results" &amp; $B10 &amp; "'!E$14")</f>
        <v>222.78767107690396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557.2158028380004</v>
      </c>
      <c r="H10" s="33" cm="1">
        <f t="array" aca="1" ref="H10" ca="1">INDIRECT("'results" &amp; $B10 &amp; "'!I$14")</f>
        <v>34.54691388475625</v>
      </c>
      <c r="I10" s="5" cm="1">
        <f t="array" aca="1" ref="I10" ca="1">INDIRECT("'results" &amp; $B10 &amp; "'!J$14")</f>
        <v>5750.2115391621046</v>
      </c>
      <c r="J10" s="5"/>
      <c r="K10" s="5" cm="1">
        <f t="array" aca="1" ref="K10" ca="1">INDIRECT("'results" &amp; $B10 &amp; "'!L$14")</f>
        <v>1158779.781231215</v>
      </c>
      <c r="L10" s="5" cm="1">
        <f t="array" aca="1" ref="L10" ca="1">INDIRECT("'results" &amp; $B10 &amp; "'!M$14")</f>
        <v>250.72049784617354</v>
      </c>
      <c r="M10" s="5" cm="1">
        <f t="array" aca="1" ref="M10" ca="1">INDIRECT("'results" &amp; $B10 &amp; "'!N$14")</f>
        <v>18</v>
      </c>
      <c r="N10" s="5" cm="1">
        <f t="array" aca="1" ref="N10" ca="1">INDIRECT("'results" &amp; $B10 &amp; "'!O$14")</f>
        <v>93.333333333333329</v>
      </c>
      <c r="O10" s="5" cm="1">
        <f t="array" aca="1" ref="O10" ca="1">INDIRECT("'results" &amp; $B10 &amp; "'!P$14")</f>
        <v>505.97696200759697</v>
      </c>
      <c r="P10" s="5" cm="1">
        <f t="array" aca="1" ref="P10" ca="1">INDIRECT("'results" &amp; $B10 &amp; "'!Q$14")</f>
        <v>28.746869064520766</v>
      </c>
      <c r="Q10" s="5" cm="1">
        <f t="array" aca="1" ref="Q10" ca="1">INDIRECT("'results" &amp; $B10 &amp; "'!R$14")</f>
        <v>5320.2066716305517</v>
      </c>
      <c r="R10" s="5"/>
      <c r="S10" s="5" cm="1">
        <f t="array" aca="1" ref="S10" ca="1">INDIRECT("'results" &amp; $B10 &amp; "'!T$14")</f>
        <v>1401461.9799998109</v>
      </c>
      <c r="T10" s="5" cm="1">
        <f t="array" aca="1" ref="T10" ca="1">INDIRECT("'results" &amp; $B10 &amp; "'!U$14")</f>
        <v>349.06557861545406</v>
      </c>
      <c r="U10" s="5" cm="1">
        <f t="array" aca="1" ref="U10" ca="1">INDIRECT("'results" &amp; $B10 &amp; "'!V$14")</f>
        <v>12</v>
      </c>
      <c r="V10" s="5" cm="1">
        <f t="array" aca="1" ref="V10" ca="1">INDIRECT("'results" &amp; $B10 &amp; "'!W$14")</f>
        <v>91.333333333333329</v>
      </c>
      <c r="W10" s="5" cm="1">
        <f t="array" aca="1" ref="W10" ca="1">INDIRECT("'results" &amp; $B10 &amp; "'!X$14")</f>
        <v>709.10295733268981</v>
      </c>
      <c r="X10" s="5" cm="1">
        <f t="array" aca="1" ref="X10" ca="1">INDIRECT("'results" &amp; $B10 &amp; "'!Y$14")</f>
        <v>41.132996131182736</v>
      </c>
      <c r="Y10" s="5" cm="1">
        <f t="array" aca="1" ref="Y10" ca="1">INDIRECT("'results" &amp; $B10 &amp; "'!Z$14")</f>
        <v>5993.7882446427766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1168643.226288683</v>
      </c>
      <c r="D11" s="33" cm="1">
        <f t="array" aca="1" ref="D11" ca="1">INDIRECT("'results" &amp; $B11 &amp; "'!E$14")</f>
        <v>309.76703292314107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362.73205147026351</v>
      </c>
      <c r="H11" s="33" cm="1">
        <f t="array" aca="1" ref="H11" ca="1">INDIRECT("'results" &amp; $B11 &amp; "'!I$14")</f>
        <v>40.263651627371402</v>
      </c>
      <c r="I11" s="5" cm="1">
        <f t="array" aca="1" ref="I11" ca="1">INDIRECT("'results" &amp; $B11 &amp; "'!J$14")</f>
        <v>5415.5349556114834</v>
      </c>
      <c r="J11" s="5"/>
      <c r="K11" s="5" cm="1">
        <f t="array" aca="1" ref="K11" ca="1">INDIRECT("'results" &amp; $B11 &amp; "'!L$14")</f>
        <v>1068265.181258989</v>
      </c>
      <c r="L11" s="5" cm="1">
        <f t="array" aca="1" ref="L11" ca="1">INDIRECT("'results" &amp; $B11 &amp; "'!M$14")</f>
        <v>169.40277261534129</v>
      </c>
      <c r="M11" s="5" cm="1">
        <f t="array" aca="1" ref="M11" ca="1">INDIRECT("'results" &amp; $B11 &amp; "'!N$14")</f>
        <v>15</v>
      </c>
      <c r="N11" s="5" cm="1">
        <f t="array" aca="1" ref="N11" ca="1">INDIRECT("'results" &amp; $B11 &amp; "'!O$14")</f>
        <v>94.666666666666671</v>
      </c>
      <c r="O11" s="5" cm="1">
        <f t="array" aca="1" ref="O11" ca="1">INDIRECT("'results" &amp; $B11 &amp; "'!P$14")</f>
        <v>458.69870346744051</v>
      </c>
      <c r="P11" s="5" cm="1">
        <f t="array" aca="1" ref="P11" ca="1">INDIRECT("'results" &amp; $B11 &amp; "'!Q$14")</f>
        <v>35.232915280253486</v>
      </c>
      <c r="Q11" s="5" cm="1">
        <f t="array" aca="1" ref="Q11" ca="1">INDIRECT("'results" &amp; $B11 &amp; "'!R$14")</f>
        <v>5151.3561317185404</v>
      </c>
      <c r="R11" s="5"/>
      <c r="S11" s="5" cm="1">
        <f t="array" aca="1" ref="S11" ca="1">INDIRECT("'results" &amp; $B11 &amp; "'!T$14")</f>
        <v>1249228.9850508841</v>
      </c>
      <c r="T11" s="5" cm="1">
        <f t="array" aca="1" ref="T11" ca="1">INDIRECT("'results" &amp; $B11 &amp; "'!U$14")</f>
        <v>247.68239261537713</v>
      </c>
      <c r="U11" s="5" cm="1">
        <f t="array" aca="1" ref="U11" ca="1">INDIRECT("'results" &amp; $B11 &amp; "'!V$14")</f>
        <v>10</v>
      </c>
      <c r="V11" s="5" cm="1">
        <f t="array" aca="1" ref="V11" ca="1">INDIRECT("'results" &amp; $B11 &amp; "'!W$14")</f>
        <v>92.666666666666671</v>
      </c>
      <c r="W11" s="5" cm="1">
        <f t="array" aca="1" ref="W11" ca="1">INDIRECT("'results" &amp; $B11 &amp; "'!X$14")</f>
        <v>446.54595668937719</v>
      </c>
      <c r="X11" s="5" cm="1">
        <f t="array" aca="1" ref="X11" ca="1">INDIRECT("'results" &amp; $B11 &amp; "'!Y$14")</f>
        <v>50.246619364288435</v>
      </c>
      <c r="Y11" s="5" cm="1">
        <f t="array" aca="1" ref="Y11" ca="1">INDIRECT("'results" &amp; $B11 &amp; "'!Z$14")</f>
        <v>5760.8980555611079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1204846.1049447469</v>
      </c>
      <c r="D12" s="33" cm="1">
        <f t="array" aca="1" ref="D12" ca="1">INDIRECT("'results" &amp; $B12 &amp; "'!E$14")</f>
        <v>167.72226484617792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381.05739905978987</v>
      </c>
      <c r="H12" s="33" cm="1">
        <f t="array" aca="1" ref="H12" ca="1">INDIRECT("'results" &amp; $B12 &amp; "'!I$14")</f>
        <v>38.403845039915126</v>
      </c>
      <c r="I12" s="5" cm="1">
        <f t="array" aca="1" ref="I12" ca="1">INDIRECT("'results" &amp; $B12 &amp; "'!J$14")</f>
        <v>5454.0471054728532</v>
      </c>
      <c r="J12" s="5"/>
      <c r="K12" s="5" cm="1">
        <f t="array" aca="1" ref="K12" ca="1">INDIRECT("'results" &amp; $B12 &amp; "'!L$14")</f>
        <v>1095334.6142876369</v>
      </c>
      <c r="L12" s="5" cm="1">
        <f t="array" aca="1" ref="L12" ca="1">INDIRECT("'results" &amp; $B12 &amp; "'!M$14")</f>
        <v>196.56648861539838</v>
      </c>
      <c r="M12" s="5" cm="1">
        <f t="array" aca="1" ref="M12" ca="1">INDIRECT("'results" &amp; $B12 &amp; "'!N$14")</f>
        <v>15</v>
      </c>
      <c r="N12" s="5" cm="1">
        <f t="array" aca="1" ref="N12" ca="1">INDIRECT("'results" &amp; $B12 &amp; "'!O$14")</f>
        <v>92.666666666666671</v>
      </c>
      <c r="O12" s="5" cm="1">
        <f t="array" aca="1" ref="O12" ca="1">INDIRECT("'results" &amp; $B12 &amp; "'!P$14")</f>
        <v>297.85007353424527</v>
      </c>
      <c r="P12" s="5" cm="1">
        <f t="array" aca="1" ref="P12" ca="1">INDIRECT("'results" &amp; $B12 &amp; "'!Q$14")</f>
        <v>30.575772238716361</v>
      </c>
      <c r="Q12" s="5" cm="1">
        <f t="array" aca="1" ref="Q12" ca="1">INDIRECT("'results" &amp; $B12 &amp; "'!R$14")</f>
        <v>5086.9700475299824</v>
      </c>
      <c r="R12" s="5"/>
      <c r="S12" s="5" cm="1">
        <f t="array" aca="1" ref="S12" ca="1">INDIRECT("'results" &amp; $B12 &amp; "'!T$14")</f>
        <v>1274587.8996973969</v>
      </c>
      <c r="T12" s="5" cm="1">
        <f t="array" aca="1" ref="T12" ca="1">INDIRECT("'results" &amp; $B12 &amp; "'!U$14")</f>
        <v>169.1053321538493</v>
      </c>
      <c r="U12" s="5" cm="1">
        <f t="array" aca="1" ref="U12" ca="1">INDIRECT("'results" &amp; $B12 &amp; "'!V$14")</f>
        <v>11</v>
      </c>
      <c r="V12" s="5" cm="1">
        <f t="array" aca="1" ref="V12" ca="1">INDIRECT("'results" &amp; $B12 &amp; "'!W$14")</f>
        <v>92.666666666666671</v>
      </c>
      <c r="W12" s="5" cm="1">
        <f t="array" aca="1" ref="W12" ca="1">INDIRECT("'results" &amp; $B12 &amp; "'!X$14")</f>
        <v>457.32663419685497</v>
      </c>
      <c r="X12" s="5" cm="1">
        <f t="array" aca="1" ref="X12" ca="1">INDIRECT("'results" &amp; $B12 &amp; "'!Y$14")</f>
        <v>42.100429145005499</v>
      </c>
      <c r="Y12" s="5" cm="1">
        <f t="array" aca="1" ref="Y12" ca="1">INDIRECT("'results" &amp; $B12 &amp; "'!Z$14")</f>
        <v>5573.546313502502</v>
      </c>
      <c r="Z12" s="5"/>
    </row>
    <row r="13" spans="2:26" x14ac:dyDescent="0.2">
      <c r="B13" s="8" t="s">
        <v>3</v>
      </c>
      <c r="C13" s="9">
        <f ca="1">AVERAGE(C3:C12)</f>
        <v>1137345.6151144882</v>
      </c>
      <c r="D13" s="10">
        <f t="shared" ref="D13:I13" ca="1" si="0">AVERAGE(D3:D12)</f>
        <v>223.15693593847277</v>
      </c>
      <c r="E13" s="9">
        <f t="shared" ca="1" si="0"/>
        <v>13.2</v>
      </c>
      <c r="F13" s="9">
        <f t="shared" ca="1" si="0"/>
        <v>95.266666666666666</v>
      </c>
      <c r="G13" s="9">
        <f t="shared" ca="1" si="0"/>
        <v>392.83706213275394</v>
      </c>
      <c r="H13" s="10">
        <f t="shared" ca="1" si="0"/>
        <v>40.84478699706851</v>
      </c>
      <c r="I13" s="9">
        <f t="shared" ca="1" si="0"/>
        <v>5348.8731297936638</v>
      </c>
      <c r="J13" s="32" t="e">
        <f ca="1">(C13-$D$15)/$D$15</f>
        <v>#DIV/0!</v>
      </c>
      <c r="K13" s="16">
        <f ca="1">AVERAGE(K3:K12)</f>
        <v>1028682.2192658132</v>
      </c>
      <c r="L13" s="42">
        <f t="shared" ref="L13:Q13" ca="1" si="1">AVERAGE(L3:L12)</f>
        <v>286.53411049230135</v>
      </c>
      <c r="M13" s="16">
        <f t="shared" ca="1" si="1"/>
        <v>16.5</v>
      </c>
      <c r="N13" s="16">
        <f ca="1">AVERAGE(N3:N12)</f>
        <v>95.333333333333329</v>
      </c>
      <c r="O13" s="16">
        <f t="shared" ca="1" si="1"/>
        <v>335.75901295437336</v>
      </c>
      <c r="P13" s="42">
        <f t="shared" ca="1" si="1"/>
        <v>32.410910799368075</v>
      </c>
      <c r="Q13" s="16">
        <f t="shared" ca="1" si="1"/>
        <v>4979.0069162002337</v>
      </c>
      <c r="R13" s="43" t="e">
        <f ca="1">(K13-$D$15)/$D$15</f>
        <v>#DIV/0!</v>
      </c>
      <c r="S13" s="38">
        <f ca="1">AVERAGE(S3:S12)</f>
        <v>1217591.3036261927</v>
      </c>
      <c r="T13" s="44">
        <f t="shared" ref="T13:Y13" ca="1" si="2">AVERAGE(T3:T12)</f>
        <v>211.67835464615982</v>
      </c>
      <c r="U13" s="38">
        <f t="shared" ca="1" si="2"/>
        <v>11.7</v>
      </c>
      <c r="V13" s="38">
        <f t="shared" ca="1" si="2"/>
        <v>94.466666666666654</v>
      </c>
      <c r="W13" s="38">
        <f t="shared" ca="1" si="2"/>
        <v>453.63251771862986</v>
      </c>
      <c r="X13" s="44">
        <f t="shared" ca="1" si="2"/>
        <v>45.211850883117023</v>
      </c>
      <c r="Y13" s="38">
        <f t="shared" ca="1" si="2"/>
        <v>5492.128778825374</v>
      </c>
      <c r="Z13" s="45" t="e">
        <f ca="1">(S13-$D$15)/$D$15</f>
        <v>#DIV/0!</v>
      </c>
    </row>
    <row r="14" spans="2:26" x14ac:dyDescent="0.2">
      <c r="K14" s="46">
        <f ca="1">(K13-C13)/C13</f>
        <v>-9.5541227226463257E-2</v>
      </c>
      <c r="L14" s="46">
        <f t="shared" ref="L14:Q14" ca="1" si="3">(L13-D13)/D13</f>
        <v>0.28400270996417731</v>
      </c>
      <c r="M14" s="46">
        <f t="shared" ca="1" si="3"/>
        <v>0.25000000000000006</v>
      </c>
      <c r="N14" s="46">
        <f t="shared" ca="1" si="3"/>
        <v>6.9979006298106594E-4</v>
      </c>
      <c r="O14" s="46">
        <f t="shared" ca="1" si="3"/>
        <v>-0.1452970065209678</v>
      </c>
      <c r="P14" s="46">
        <f t="shared" ca="1" si="3"/>
        <v>-0.20648598799904982</v>
      </c>
      <c r="Q14" s="46">
        <f t="shared" ca="1" si="3"/>
        <v>-6.9148436431076446E-2</v>
      </c>
      <c r="S14" s="46">
        <f ca="1">(S13-C13)/C13</f>
        <v>7.0555236196718288E-2</v>
      </c>
      <c r="T14" s="46">
        <f t="shared" ref="T14:Y14" ca="1" si="4">(T13-D13)/D13</f>
        <v>-5.1437259810189116E-2</v>
      </c>
      <c r="U14" s="46">
        <f t="shared" ca="1" si="4"/>
        <v>-0.11363636363636365</v>
      </c>
      <c r="V14" s="46">
        <f ca="1">(V13-F13)/F13</f>
        <v>-8.3974807557733872E-3</v>
      </c>
      <c r="W14" s="46">
        <f t="shared" ca="1" si="4"/>
        <v>0.15475997925402191</v>
      </c>
      <c r="X14" s="46">
        <f t="shared" ca="1" si="4"/>
        <v>0.1069185129148046</v>
      </c>
      <c r="Y14" s="46">
        <f t="shared" ca="1" si="4"/>
        <v>2.6782398003378394E-2</v>
      </c>
    </row>
    <row r="17" spans="3:5" ht="22" x14ac:dyDescent="0.2">
      <c r="C17" s="1"/>
      <c r="D17" s="49" t="s">
        <v>19</v>
      </c>
      <c r="E17" s="49" t="s">
        <v>20</v>
      </c>
    </row>
    <row r="18" spans="3:5" x14ac:dyDescent="0.2">
      <c r="C18" t="s">
        <v>21</v>
      </c>
      <c r="D18" s="41">
        <f ca="1">(K13-C13)/C13</f>
        <v>-9.5541227226463257E-2</v>
      </c>
      <c r="E18" s="41">
        <f ca="1">(S13-C13)/C13</f>
        <v>7.0555236196718288E-2</v>
      </c>
    </row>
    <row r="19" spans="3:5" x14ac:dyDescent="0.2">
      <c r="C19" t="s">
        <v>22</v>
      </c>
      <c r="D19" s="41">
        <f ca="1">(M13-E13)/E13</f>
        <v>0.25000000000000006</v>
      </c>
      <c r="E19" s="41">
        <f ca="1">(U13-E13)/E13</f>
        <v>-0.11363636363636365</v>
      </c>
    </row>
    <row r="20" spans="3:5" x14ac:dyDescent="0.2">
      <c r="C20" t="s">
        <v>23</v>
      </c>
      <c r="D20" s="41">
        <f ca="1">(N13-F13)/F13</f>
        <v>6.9979006298106594E-4</v>
      </c>
      <c r="E20" s="41">
        <f ca="1">(V13-F13)/F13</f>
        <v>-8.3974807557733872E-3</v>
      </c>
    </row>
    <row r="21" spans="3:5" x14ac:dyDescent="0.2">
      <c r="C21" t="s">
        <v>24</v>
      </c>
      <c r="D21" s="41">
        <f ca="1">(P13-H13)/H13</f>
        <v>-0.20648598799904982</v>
      </c>
      <c r="E21" s="41">
        <f ca="1">(X13-H13)/H13</f>
        <v>0.1069185129148046</v>
      </c>
    </row>
    <row r="22" spans="3:5" x14ac:dyDescent="0.2">
      <c r="C22" t="s">
        <v>25</v>
      </c>
      <c r="D22" s="41">
        <f ca="1">(O13-G13)/G13</f>
        <v>-0.1452970065209678</v>
      </c>
      <c r="E22" s="41">
        <f ca="1">(W13-G13)/G13</f>
        <v>0.15475997925402191</v>
      </c>
    </row>
    <row r="23" spans="3:5" x14ac:dyDescent="0.2">
      <c r="C23" t="s">
        <v>26</v>
      </c>
      <c r="D23" s="41">
        <f ca="1">(Q13-I13)/I13</f>
        <v>-6.9148436431076446E-2</v>
      </c>
      <c r="E23" s="41">
        <f ca="1">(Y13-I13)/I13</f>
        <v>2.6782398003378394E-2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40"/>
  <sheetViews>
    <sheetView zoomScale="85" zoomScaleNormal="85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-0.22350848151542332</v>
      </c>
      <c r="R2" s="1">
        <f>(R14-J14)/J14</f>
        <v>-0.12366413330897491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1122021.9334757749</v>
      </c>
      <c r="E4" s="33">
        <v>183.73735515382853</v>
      </c>
      <c r="F4" s="5">
        <v>12</v>
      </c>
      <c r="G4" s="23">
        <v>96</v>
      </c>
      <c r="H4" s="33">
        <v>425.75936971036424</v>
      </c>
      <c r="I4" s="23">
        <v>44.97897523428793</v>
      </c>
      <c r="J4" s="5">
        <v>5517.0558625535232</v>
      </c>
      <c r="K4" s="31"/>
      <c r="L4" s="23">
        <v>1046261.7727847029</v>
      </c>
      <c r="M4" s="33">
        <v>230.36363746155985</v>
      </c>
      <c r="N4" s="5">
        <v>16</v>
      </c>
      <c r="O4" s="23">
        <v>96</v>
      </c>
      <c r="P4" s="33">
        <v>385.50405344440924</v>
      </c>
      <c r="Q4" s="23">
        <v>33.153605751498269</v>
      </c>
      <c r="R4" s="5">
        <v>5176.754623222062</v>
      </c>
      <c r="S4" s="35"/>
      <c r="T4" s="23">
        <v>1212229.4972897109</v>
      </c>
      <c r="U4" s="33">
        <v>182.36981276924223</v>
      </c>
      <c r="V4" s="5">
        <v>11</v>
      </c>
      <c r="W4" s="23">
        <v>94</v>
      </c>
      <c r="X4" s="33">
        <v>450.03418892880273</v>
      </c>
      <c r="Y4" s="23">
        <v>46.823832022513287</v>
      </c>
      <c r="Z4" s="5">
        <v>5507.8286692151287</v>
      </c>
      <c r="AA4" s="35"/>
    </row>
    <row r="5" spans="2:27" x14ac:dyDescent="0.2">
      <c r="B5" s="4">
        <v>2</v>
      </c>
      <c r="C5" s="4">
        <v>106</v>
      </c>
      <c r="D5" s="23">
        <v>1126682.9916717601</v>
      </c>
      <c r="E5" s="33">
        <v>271.11431015386745</v>
      </c>
      <c r="F5" s="5">
        <v>11</v>
      </c>
      <c r="G5" s="23">
        <v>94.666666666666671</v>
      </c>
      <c r="H5" s="33">
        <v>336.77922459537626</v>
      </c>
      <c r="I5" s="23">
        <v>48.507401519347461</v>
      </c>
      <c r="J5" s="5">
        <v>5529.4543143216943</v>
      </c>
      <c r="K5" s="31"/>
      <c r="L5" s="23">
        <v>1066708.232573919</v>
      </c>
      <c r="M5" s="33">
        <v>328.20437669225686</v>
      </c>
      <c r="N5" s="5">
        <v>17</v>
      </c>
      <c r="O5" s="23">
        <v>96</v>
      </c>
      <c r="P5" s="33">
        <v>397.63569603484734</v>
      </c>
      <c r="Q5" s="23">
        <v>31.614440706420048</v>
      </c>
      <c r="R5" s="5">
        <v>5266.6514633929146</v>
      </c>
      <c r="S5" s="35"/>
      <c r="T5" s="23">
        <v>1198797.67297696</v>
      </c>
      <c r="U5" s="33">
        <v>164.99059707696478</v>
      </c>
      <c r="V5" s="5">
        <v>12</v>
      </c>
      <c r="W5" s="23">
        <v>96</v>
      </c>
      <c r="X5" s="33">
        <v>460.93071525847739</v>
      </c>
      <c r="Y5" s="23">
        <v>44.718545096910582</v>
      </c>
      <c r="Z5" s="5">
        <v>5553.1277185280296</v>
      </c>
      <c r="AA5" s="35"/>
    </row>
    <row r="6" spans="2:27" x14ac:dyDescent="0.2">
      <c r="B6" s="4">
        <v>3</v>
      </c>
      <c r="C6" s="4">
        <v>235</v>
      </c>
      <c r="D6" s="23">
        <v>1132146.432679648</v>
      </c>
      <c r="E6" s="33">
        <v>194.98045776916953</v>
      </c>
      <c r="F6" s="5">
        <v>13</v>
      </c>
      <c r="G6" s="23">
        <v>96</v>
      </c>
      <c r="H6" s="33">
        <v>428.84100424297549</v>
      </c>
      <c r="I6" s="23">
        <v>41.453548363962604</v>
      </c>
      <c r="J6" s="5">
        <v>5450.5331439472538</v>
      </c>
      <c r="K6" s="31"/>
      <c r="L6" s="23">
        <v>1035181.779263726</v>
      </c>
      <c r="M6" s="33">
        <v>179.33569299997399</v>
      </c>
      <c r="N6" s="5">
        <v>16</v>
      </c>
      <c r="O6" s="23">
        <v>96</v>
      </c>
      <c r="P6" s="33">
        <v>322.85394752454954</v>
      </c>
      <c r="Q6" s="23">
        <v>33.638275667480229</v>
      </c>
      <c r="R6" s="5">
        <v>5168.9350296240918</v>
      </c>
      <c r="S6" s="35"/>
      <c r="T6" s="23">
        <v>1261755.3336528039</v>
      </c>
      <c r="U6" s="33">
        <v>122.80737253846246</v>
      </c>
      <c r="V6" s="5">
        <v>11</v>
      </c>
      <c r="W6" s="23">
        <v>94.666666666666671</v>
      </c>
      <c r="X6" s="33">
        <v>611.5933427863107</v>
      </c>
      <c r="Y6" s="23">
        <v>47.681889469246293</v>
      </c>
      <c r="Z6" s="5">
        <v>5876.1527254188659</v>
      </c>
      <c r="AA6" s="35"/>
    </row>
    <row r="7" spans="2:27" x14ac:dyDescent="0.2">
      <c r="B7" s="4">
        <v>4</v>
      </c>
      <c r="C7" s="4">
        <v>242</v>
      </c>
      <c r="D7" s="23">
        <v>1116068.431941214</v>
      </c>
      <c r="E7" s="33">
        <v>189.84986530769115</v>
      </c>
      <c r="F7" s="5">
        <v>12</v>
      </c>
      <c r="G7" s="23">
        <v>95.333333333333329</v>
      </c>
      <c r="H7" s="33">
        <v>371.89828653282825</v>
      </c>
      <c r="I7" s="23">
        <v>44.595960762261143</v>
      </c>
      <c r="J7" s="5">
        <v>5398.2298200767509</v>
      </c>
      <c r="K7" s="31"/>
      <c r="L7" s="23">
        <v>1025767.325238181</v>
      </c>
      <c r="M7" s="33">
        <v>422.58848576922901</v>
      </c>
      <c r="N7" s="5">
        <v>16</v>
      </c>
      <c r="O7" s="23">
        <v>96</v>
      </c>
      <c r="P7" s="33">
        <v>290.72311336987741</v>
      </c>
      <c r="Q7" s="23">
        <v>33.572109699476123</v>
      </c>
      <c r="R7" s="5">
        <v>5127.5206853983827</v>
      </c>
      <c r="S7" s="35"/>
      <c r="T7" s="23">
        <v>1234020.7429437649</v>
      </c>
      <c r="U7" s="33">
        <v>280.69478730769617</v>
      </c>
      <c r="V7" s="5">
        <v>12</v>
      </c>
      <c r="W7" s="23">
        <v>95.333333333333329</v>
      </c>
      <c r="X7" s="33">
        <v>476.04811750285313</v>
      </c>
      <c r="Y7" s="23">
        <v>42.947223401658256</v>
      </c>
      <c r="Z7" s="5">
        <v>5586.2685277427172</v>
      </c>
      <c r="AA7" s="35"/>
    </row>
    <row r="8" spans="2:27" x14ac:dyDescent="0.2">
      <c r="B8" s="4">
        <v>5</v>
      </c>
      <c r="C8" s="4">
        <v>406</v>
      </c>
      <c r="D8" s="23">
        <v>1127029.214867082</v>
      </c>
      <c r="E8" s="33">
        <v>225.84214153842851</v>
      </c>
      <c r="F8" s="5">
        <v>11</v>
      </c>
      <c r="G8" s="23">
        <v>95.333333333333329</v>
      </c>
      <c r="H8" s="33">
        <v>395.7552910647305</v>
      </c>
      <c r="I8" s="23">
        <v>48.773796022884063</v>
      </c>
      <c r="J8" s="5">
        <v>5589.4329330435912</v>
      </c>
      <c r="K8" s="31"/>
      <c r="L8" s="23">
        <v>1010513.242445859</v>
      </c>
      <c r="M8" s="33">
        <v>209.67744323075743</v>
      </c>
      <c r="N8" s="5">
        <v>15</v>
      </c>
      <c r="O8" s="23">
        <v>96</v>
      </c>
      <c r="P8" s="33">
        <v>329.78897428100231</v>
      </c>
      <c r="Q8" s="23">
        <v>35.435754540677657</v>
      </c>
      <c r="R8" s="5">
        <v>5067.0820051319106</v>
      </c>
      <c r="S8" s="35"/>
      <c r="T8" s="23">
        <v>1249405.4380702879</v>
      </c>
      <c r="U8" s="33">
        <v>125.14165053842591</v>
      </c>
      <c r="V8" s="5">
        <v>11</v>
      </c>
      <c r="W8" s="23">
        <v>94</v>
      </c>
      <c r="X8" s="33">
        <v>521.69512927573226</v>
      </c>
      <c r="Y8" s="23">
        <v>47.395248808056571</v>
      </c>
      <c r="Z8" s="5">
        <v>5755.8502972121769</v>
      </c>
      <c r="AA8" s="35"/>
    </row>
    <row r="9" spans="2:27" x14ac:dyDescent="0.2">
      <c r="B9" s="4">
        <v>6</v>
      </c>
      <c r="C9" s="4">
        <v>652</v>
      </c>
      <c r="D9" s="23">
        <v>1133790.4513554031</v>
      </c>
      <c r="E9" s="33">
        <v>189.7263022308023</v>
      </c>
      <c r="F9" s="5">
        <v>12</v>
      </c>
      <c r="G9" s="23">
        <v>95.333333333333329</v>
      </c>
      <c r="H9" s="33">
        <v>383.45350194676695</v>
      </c>
      <c r="I9" s="23">
        <v>44.447138327421811</v>
      </c>
      <c r="J9" s="5">
        <v>5490.5588842943616</v>
      </c>
      <c r="K9" s="31"/>
      <c r="L9" s="23">
        <v>1021112.90775149</v>
      </c>
      <c r="M9" s="33">
        <v>371.63536430775332</v>
      </c>
      <c r="N9" s="5">
        <v>15</v>
      </c>
      <c r="O9" s="23">
        <v>96</v>
      </c>
      <c r="P9" s="33">
        <v>370.96901613770092</v>
      </c>
      <c r="Q9" s="23">
        <v>35.965312381822827</v>
      </c>
      <c r="R9" s="5">
        <v>5119.7689507835621</v>
      </c>
      <c r="S9" s="35"/>
      <c r="T9" s="23">
        <v>1180067.0128540939</v>
      </c>
      <c r="U9" s="33">
        <v>99.361182000004462</v>
      </c>
      <c r="V9" s="5">
        <v>12</v>
      </c>
      <c r="W9" s="23">
        <v>96</v>
      </c>
      <c r="X9" s="33">
        <v>411.5055238825725</v>
      </c>
      <c r="Y9" s="23">
        <v>44.782714657031818</v>
      </c>
      <c r="Z9" s="5">
        <v>5456.96526835038</v>
      </c>
      <c r="AA9" s="35"/>
    </row>
    <row r="10" spans="2:27" x14ac:dyDescent="0.2">
      <c r="B10" s="4">
        <v>7</v>
      </c>
      <c r="C10" s="4">
        <v>716</v>
      </c>
      <c r="D10" s="23">
        <v>1140031.934616267</v>
      </c>
      <c r="E10" s="33">
        <v>217.64429946152421</v>
      </c>
      <c r="F10" s="5">
        <v>13</v>
      </c>
      <c r="G10" s="23">
        <v>96</v>
      </c>
      <c r="H10" s="33">
        <v>428.80407814808723</v>
      </c>
      <c r="I10" s="23">
        <v>40.948950980188506</v>
      </c>
      <c r="J10" s="5">
        <v>5479.1543091261265</v>
      </c>
      <c r="K10" s="31"/>
      <c r="L10" s="23">
        <v>1004774.128376996</v>
      </c>
      <c r="M10" s="33">
        <v>188.82845623078398</v>
      </c>
      <c r="N10" s="5">
        <v>16</v>
      </c>
      <c r="O10" s="23">
        <v>96</v>
      </c>
      <c r="P10" s="33">
        <v>334.25125940329724</v>
      </c>
      <c r="Q10" s="23">
        <v>33.445950362143911</v>
      </c>
      <c r="R10" s="5">
        <v>4951.3057224409258</v>
      </c>
      <c r="S10" s="35"/>
      <c r="T10" s="23">
        <v>1171494.610672924</v>
      </c>
      <c r="U10" s="33">
        <v>199.74105469228766</v>
      </c>
      <c r="V10" s="5">
        <v>11</v>
      </c>
      <c r="W10" s="23">
        <v>95.333333333333329</v>
      </c>
      <c r="X10" s="33">
        <v>456.75851374832376</v>
      </c>
      <c r="Y10" s="23">
        <v>47.720859925898552</v>
      </c>
      <c r="Z10" s="5">
        <v>5443.0278245205527</v>
      </c>
      <c r="AA10" s="35"/>
    </row>
    <row r="11" spans="2:27" x14ac:dyDescent="0.2">
      <c r="B11" s="4">
        <v>8</v>
      </c>
      <c r="C11" s="4">
        <v>719</v>
      </c>
      <c r="D11" s="23">
        <v>1113987.924892782</v>
      </c>
      <c r="E11" s="33">
        <v>406.53136184609207</v>
      </c>
      <c r="F11" s="5">
        <v>13</v>
      </c>
      <c r="G11" s="23">
        <v>96</v>
      </c>
      <c r="H11" s="33">
        <v>383.75046607843046</v>
      </c>
      <c r="I11" s="23">
        <v>40.972053977201611</v>
      </c>
      <c r="J11" s="5">
        <v>5328.7818705660438</v>
      </c>
      <c r="K11" s="31"/>
      <c r="L11" s="23">
        <v>1000868.213854978</v>
      </c>
      <c r="M11" s="33">
        <v>212.11055500003008</v>
      </c>
      <c r="N11" s="5">
        <v>17</v>
      </c>
      <c r="O11" s="23">
        <v>96</v>
      </c>
      <c r="P11" s="33">
        <v>325.40338791174429</v>
      </c>
      <c r="Q11" s="23">
        <v>31.428897092207656</v>
      </c>
      <c r="R11" s="5">
        <v>4869.3916825280885</v>
      </c>
      <c r="S11" s="35"/>
      <c r="T11" s="23">
        <v>1210074.6972692141</v>
      </c>
      <c r="U11" s="33">
        <v>162.88555484614338</v>
      </c>
      <c r="V11" s="5">
        <v>12</v>
      </c>
      <c r="W11" s="23">
        <v>95.333333333333329</v>
      </c>
      <c r="X11" s="33">
        <v>441.22774971371723</v>
      </c>
      <c r="Y11" s="23">
        <v>43.828954399715798</v>
      </c>
      <c r="Z11" s="5">
        <v>5532.8726513209331</v>
      </c>
      <c r="AA11" s="35"/>
    </row>
    <row r="12" spans="2:27" x14ac:dyDescent="0.2">
      <c r="B12" s="4">
        <v>9</v>
      </c>
      <c r="C12" s="4">
        <v>851</v>
      </c>
      <c r="D12" s="23">
        <v>1109491.730596958</v>
      </c>
      <c r="E12" s="33">
        <v>175.83051161536085</v>
      </c>
      <c r="F12" s="5">
        <v>11</v>
      </c>
      <c r="G12" s="23">
        <v>96</v>
      </c>
      <c r="H12" s="33">
        <v>419.06882453373214</v>
      </c>
      <c r="I12" s="23">
        <v>49.007721434937274</v>
      </c>
      <c r="J12" s="5">
        <v>5556.5358758104085</v>
      </c>
      <c r="K12" s="31"/>
      <c r="L12" s="23">
        <v>1009272.996105212</v>
      </c>
      <c r="M12" s="33">
        <v>171.99859476925877</v>
      </c>
      <c r="N12" s="5">
        <v>16</v>
      </c>
      <c r="O12" s="23">
        <v>96</v>
      </c>
      <c r="P12" s="33">
        <v>339.46004895146126</v>
      </c>
      <c r="Q12" s="23">
        <v>33.242148957968674</v>
      </c>
      <c r="R12" s="5">
        <v>4977.1707900128704</v>
      </c>
      <c r="S12" s="35"/>
      <c r="T12" s="23">
        <v>1171494.610672924</v>
      </c>
      <c r="U12" s="33">
        <v>124.7659627692953</v>
      </c>
      <c r="V12" s="5">
        <v>11</v>
      </c>
      <c r="W12" s="23">
        <v>95.333333333333329</v>
      </c>
      <c r="X12" s="33">
        <v>456.75851374832376</v>
      </c>
      <c r="Y12" s="23">
        <v>47.720859925898552</v>
      </c>
      <c r="Z12" s="5">
        <v>5443.0278245205527</v>
      </c>
      <c r="AA12" s="35"/>
    </row>
    <row r="13" spans="2:27" x14ac:dyDescent="0.2">
      <c r="B13" s="4">
        <v>10</v>
      </c>
      <c r="C13" s="4">
        <v>949</v>
      </c>
      <c r="D13" s="23">
        <v>1126167.2428744051</v>
      </c>
      <c r="E13" s="33">
        <v>141.45905299998745</v>
      </c>
      <c r="F13" s="5">
        <v>12</v>
      </c>
      <c r="G13" s="23">
        <v>96</v>
      </c>
      <c r="H13" s="33">
        <v>400.44745439680673</v>
      </c>
      <c r="I13" s="23">
        <v>44.619990142235828</v>
      </c>
      <c r="J13" s="5">
        <v>5525.3048096473231</v>
      </c>
      <c r="K13" s="31"/>
      <c r="L13" s="23">
        <v>1020686.6083693811</v>
      </c>
      <c r="M13" s="33">
        <v>214.00012430761802</v>
      </c>
      <c r="N13" s="5">
        <v>16</v>
      </c>
      <c r="O13" s="23">
        <v>96</v>
      </c>
      <c r="P13" s="33">
        <v>323.70327468772257</v>
      </c>
      <c r="Q13" s="23">
        <v>33.395950994366395</v>
      </c>
      <c r="R13" s="5">
        <v>5051.6019876111914</v>
      </c>
      <c r="S13" s="35"/>
      <c r="T13" s="23">
        <v>1189517.987871059</v>
      </c>
      <c r="U13" s="33">
        <v>146.80083446159884</v>
      </c>
      <c r="V13" s="5">
        <v>10</v>
      </c>
      <c r="W13" s="23">
        <v>94.666666666666671</v>
      </c>
      <c r="X13" s="33">
        <v>460.91653916485427</v>
      </c>
      <c r="Y13" s="23">
        <v>52.318736924058214</v>
      </c>
      <c r="Z13" s="5">
        <v>5658.0575220726423</v>
      </c>
      <c r="AA13" s="35"/>
    </row>
    <row r="14" spans="2:27" x14ac:dyDescent="0.2">
      <c r="B14" s="50" t="s">
        <v>3</v>
      </c>
      <c r="C14" s="51"/>
      <c r="D14" s="9">
        <f>MIN(D4:D13)</f>
        <v>1109491.730596958</v>
      </c>
      <c r="E14" s="22">
        <f>INDEX(E4:E13, MATCH($D$14, D4:D13, 0))</f>
        <v>175.83051161536085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419.06882453373214</v>
      </c>
      <c r="I14" s="22">
        <f>INDEX(I4:I13, MATCH($D$14, D4:D13, 0))</f>
        <v>49.007721434937274</v>
      </c>
      <c r="J14" s="22">
        <f>INDEX(J4:J13, MATCH($D$14, D4:D13, 0))</f>
        <v>5556.5358758104085</v>
      </c>
      <c r="K14" s="32" t="e">
        <f>(D14-$D$15)/$D$15</f>
        <v>#DIV/0!</v>
      </c>
      <c r="L14" s="16">
        <f>MIN(L4:L13)</f>
        <v>1000868.213854978</v>
      </c>
      <c r="M14" s="21">
        <f>INDEX(M4:M13, MATCH($L$14, L4:L13, 0))</f>
        <v>212.11055500003008</v>
      </c>
      <c r="N14" s="16">
        <f>INDEX(N4:N13, MATCH($L$14, L4:L13, 0))</f>
        <v>17</v>
      </c>
      <c r="O14" s="16">
        <f>INDEX(O4:O13, MATCH($L$14, L4:L13, 0))</f>
        <v>96</v>
      </c>
      <c r="P14" s="21">
        <f>INDEX(P4:P13, MATCH($L$14, L4:L13, 0))</f>
        <v>325.40338791174429</v>
      </c>
      <c r="Q14" s="21">
        <f>INDEX(Q4:Q13, MATCH($L$14, L4:L13, 0))</f>
        <v>31.428897092207656</v>
      </c>
      <c r="R14" s="21">
        <f>INDEX(R4:R13, MATCH($L$14, L4:L13, 0))</f>
        <v>4869.3916825280885</v>
      </c>
      <c r="S14" s="36" t="e">
        <f>(L14-$D$15)/$D$15</f>
        <v>#DIV/0!</v>
      </c>
      <c r="T14" s="38">
        <f>MIN(T4:T13)</f>
        <v>1171494.610672924</v>
      </c>
      <c r="U14" s="39">
        <f>INDEX(U4:U13, MATCH($T$14, T4:T13, 0))</f>
        <v>199.74105469228766</v>
      </c>
      <c r="V14" s="38">
        <f>INDEX(V4:V13, MATCH($T$14, T4:T13, 0))</f>
        <v>11</v>
      </c>
      <c r="W14" s="38">
        <f>INDEX(W4:W13, MATCH($T$14, T4:T13, 0))</f>
        <v>95.333333333333329</v>
      </c>
      <c r="X14" s="39">
        <f>INDEX(X4:X13, MATCH($T$14, T4:T13, 0))</f>
        <v>456.75851374832376</v>
      </c>
      <c r="Y14" s="39">
        <f>INDEX(Y4:Y13, MATCH($T$14, T4:T13, 0))</f>
        <v>47.720859925898552</v>
      </c>
      <c r="Z14" s="39">
        <f>INDEX(Z4:Z13, MATCH($T$14, T4:T13, 0))</f>
        <v>5443.0278245205527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-9.7903854302307872E-2</v>
      </c>
      <c r="M15" s="41">
        <f t="shared" ref="M15:R15" si="0">(M14-E14)/E14</f>
        <v>0.20633531149607223</v>
      </c>
      <c r="N15" s="41">
        <f t="shared" si="0"/>
        <v>0.54545454545454541</v>
      </c>
      <c r="O15" s="41">
        <f t="shared" si="0"/>
        <v>0</v>
      </c>
      <c r="P15" s="41">
        <f t="shared" si="0"/>
        <v>-0.22350848151542332</v>
      </c>
      <c r="Q15" s="41">
        <f t="shared" si="0"/>
        <v>-0.35869499393207438</v>
      </c>
      <c r="R15" s="41">
        <f t="shared" si="0"/>
        <v>-0.12366413330897491</v>
      </c>
      <c r="T15" s="41">
        <f>(T14-D14)/D14</f>
        <v>5.5884039841023046E-2</v>
      </c>
      <c r="U15" s="41">
        <f t="shared" ref="U15:Z15" si="1">(U14-E14)/E14</f>
        <v>0.13598631350872978</v>
      </c>
      <c r="V15" s="41">
        <f t="shared" si="1"/>
        <v>0</v>
      </c>
      <c r="W15" s="41">
        <f t="shared" si="1"/>
        <v>-6.9444444444444935E-3</v>
      </c>
      <c r="X15" s="41">
        <f t="shared" si="1"/>
        <v>8.9936752648031595E-2</v>
      </c>
      <c r="Y15" s="41">
        <f t="shared" si="1"/>
        <v>-2.6258341978766787E-2</v>
      </c>
      <c r="Z15" s="41">
        <f t="shared" si="1"/>
        <v>-2.0427844582808684E-2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</sheetData>
  <mergeCells count="1">
    <mergeCell ref="B14:C14"/>
  </mergeCells>
  <conditionalFormatting sqref="C1 C16:C1048576 C3">
    <cfRule type="duplicateValues" dxfId="149" priority="11"/>
    <cfRule type="duplicateValues" dxfId="148" priority="12"/>
  </conditionalFormatting>
  <conditionalFormatting sqref="C2">
    <cfRule type="duplicateValues" dxfId="147" priority="1"/>
    <cfRule type="duplicateValues" dxfId="146" priority="2"/>
  </conditionalFormatting>
  <conditionalFormatting sqref="C4:C13">
    <cfRule type="duplicateValues" dxfId="145" priority="3"/>
    <cfRule type="duplicateValues" dxfId="144" priority="4"/>
  </conditionalFormatting>
  <conditionalFormatting sqref="C14">
    <cfRule type="duplicateValues" dxfId="143" priority="9"/>
    <cfRule type="duplicateValues" dxfId="142" priority="10"/>
  </conditionalFormatting>
  <conditionalFormatting sqref="C15">
    <cfRule type="duplicateValues" dxfId="141" priority="7"/>
    <cfRule type="duplicateValues" dxfId="140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949-B9EE-4AA8-8502-293CCF2F0118}">
  <dimension ref="B1:AA40"/>
  <sheetViews>
    <sheetView zoomScale="85" zoomScaleNormal="85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-0.27695591469572722</v>
      </c>
      <c r="R2" s="1">
        <f>(R14-J14)/J14</f>
        <v>-5.7103631822585377E-2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</v>
      </c>
      <c r="D4" s="23">
        <v>968127.96556841256</v>
      </c>
      <c r="E4" s="33">
        <v>110.66876407685831</v>
      </c>
      <c r="F4" s="5">
        <v>11</v>
      </c>
      <c r="G4" s="23">
        <v>96</v>
      </c>
      <c r="H4" s="33">
        <v>148.27568864938823</v>
      </c>
      <c r="I4" s="23">
        <v>41.044499047729481</v>
      </c>
      <c r="J4" s="5">
        <v>4730.6926525659665</v>
      </c>
      <c r="K4" s="31"/>
      <c r="L4" s="23">
        <v>879265.2916834926</v>
      </c>
      <c r="M4" s="33">
        <v>155.33734200002914</v>
      </c>
      <c r="N4" s="5">
        <v>13</v>
      </c>
      <c r="O4" s="23">
        <v>96</v>
      </c>
      <c r="P4" s="33">
        <v>107.20985967235805</v>
      </c>
      <c r="Q4" s="23">
        <v>34.876884286616672</v>
      </c>
      <c r="R4" s="5">
        <v>4460.5529210680297</v>
      </c>
      <c r="S4" s="35"/>
      <c r="T4" s="23">
        <v>1041859.018021294</v>
      </c>
      <c r="U4" s="33">
        <v>91.938478076884223</v>
      </c>
      <c r="V4" s="5">
        <v>10</v>
      </c>
      <c r="W4" s="23">
        <v>96</v>
      </c>
      <c r="X4" s="33">
        <v>200.44797504472541</v>
      </c>
      <c r="Y4" s="23">
        <v>44.573430423460422</v>
      </c>
      <c r="Z4" s="5">
        <v>4927.9575088772144</v>
      </c>
      <c r="AA4" s="35"/>
    </row>
    <row r="5" spans="2:27" x14ac:dyDescent="0.2">
      <c r="B5" s="4">
        <v>2</v>
      </c>
      <c r="C5" s="4">
        <v>148</v>
      </c>
      <c r="D5" s="23">
        <v>986432.44844475493</v>
      </c>
      <c r="E5" s="33">
        <v>99.406090000053311</v>
      </c>
      <c r="F5" s="5">
        <v>10</v>
      </c>
      <c r="G5" s="23">
        <v>96</v>
      </c>
      <c r="H5" s="33">
        <v>200.44797504472541</v>
      </c>
      <c r="I5" s="23">
        <v>44.573430423460422</v>
      </c>
      <c r="J5" s="5">
        <v>4927.9575088772144</v>
      </c>
      <c r="K5" s="31"/>
      <c r="L5" s="23">
        <v>879265.2916834926</v>
      </c>
      <c r="M5" s="33">
        <v>232.559753923068</v>
      </c>
      <c r="N5" s="5">
        <v>13</v>
      </c>
      <c r="O5" s="23">
        <v>96</v>
      </c>
      <c r="P5" s="33">
        <v>107.20985967235805</v>
      </c>
      <c r="Q5" s="23">
        <v>34.876884286616672</v>
      </c>
      <c r="R5" s="5">
        <v>4460.5529210680297</v>
      </c>
      <c r="S5" s="35"/>
      <c r="T5" s="23">
        <v>1041859.018021294</v>
      </c>
      <c r="U5" s="33">
        <v>118.05937692308083</v>
      </c>
      <c r="V5" s="5">
        <v>10</v>
      </c>
      <c r="W5" s="23">
        <v>96</v>
      </c>
      <c r="X5" s="33">
        <v>200.44797504472541</v>
      </c>
      <c r="Y5" s="23">
        <v>44.573430423460422</v>
      </c>
      <c r="Z5" s="5">
        <v>4927.9575088772144</v>
      </c>
      <c r="AA5" s="35"/>
    </row>
    <row r="6" spans="2:27" x14ac:dyDescent="0.2">
      <c r="B6" s="4">
        <v>3</v>
      </c>
      <c r="C6" s="4">
        <v>199</v>
      </c>
      <c r="D6" s="23">
        <v>968127.96556841256</v>
      </c>
      <c r="E6" s="33">
        <v>94.729488923017385</v>
      </c>
      <c r="F6" s="5">
        <v>11</v>
      </c>
      <c r="G6" s="23">
        <v>96</v>
      </c>
      <c r="H6" s="33">
        <v>148.27568864938823</v>
      </c>
      <c r="I6" s="23">
        <v>41.044499047729481</v>
      </c>
      <c r="J6" s="5">
        <v>4730.6926525659665</v>
      </c>
      <c r="K6" s="31"/>
      <c r="L6" s="23">
        <v>900231.29642501578</v>
      </c>
      <c r="M6" s="33">
        <v>154.28715430773224</v>
      </c>
      <c r="N6" s="5">
        <v>12</v>
      </c>
      <c r="O6" s="23">
        <v>96</v>
      </c>
      <c r="P6" s="33">
        <v>132.25083124655669</v>
      </c>
      <c r="Q6" s="23">
        <v>37.471272905830084</v>
      </c>
      <c r="R6" s="5">
        <v>4648.0970723602786</v>
      </c>
      <c r="S6" s="35"/>
      <c r="T6" s="23">
        <v>1032979.01661591</v>
      </c>
      <c r="U6" s="33">
        <v>103.56399092303877</v>
      </c>
      <c r="V6" s="5">
        <v>11</v>
      </c>
      <c r="W6" s="23">
        <v>96</v>
      </c>
      <c r="X6" s="33">
        <v>148.27568864938823</v>
      </c>
      <c r="Y6" s="23">
        <v>41.044499047729481</v>
      </c>
      <c r="Z6" s="5">
        <v>4730.6926525659665</v>
      </c>
      <c r="AA6" s="35"/>
    </row>
    <row r="7" spans="2:27" x14ac:dyDescent="0.2">
      <c r="B7" s="4">
        <v>4</v>
      </c>
      <c r="C7" s="4">
        <v>229</v>
      </c>
      <c r="D7" s="23">
        <v>968127.96556841256</v>
      </c>
      <c r="E7" s="33">
        <v>165.76878069237307</v>
      </c>
      <c r="F7" s="5">
        <v>11</v>
      </c>
      <c r="G7" s="23">
        <v>96</v>
      </c>
      <c r="H7" s="33">
        <v>148.27568864938823</v>
      </c>
      <c r="I7" s="23">
        <v>41.044499047729481</v>
      </c>
      <c r="J7" s="5">
        <v>4730.6926525659665</v>
      </c>
      <c r="K7" s="31"/>
      <c r="L7" s="23">
        <v>887203.00582109171</v>
      </c>
      <c r="M7" s="33">
        <v>248.96657353849153</v>
      </c>
      <c r="N7" s="5">
        <v>12</v>
      </c>
      <c r="O7" s="23">
        <v>96</v>
      </c>
      <c r="P7" s="33">
        <v>107.20985967235805</v>
      </c>
      <c r="Q7" s="23">
        <v>37.78329131050139</v>
      </c>
      <c r="R7" s="5">
        <v>4585.4596356402853</v>
      </c>
      <c r="S7" s="35"/>
      <c r="T7" s="23">
        <v>1041859.018021294</v>
      </c>
      <c r="U7" s="33">
        <v>126.35090800002214</v>
      </c>
      <c r="V7" s="5">
        <v>10</v>
      </c>
      <c r="W7" s="23">
        <v>96</v>
      </c>
      <c r="X7" s="33">
        <v>200.44797504472541</v>
      </c>
      <c r="Y7" s="23">
        <v>44.573430423460422</v>
      </c>
      <c r="Z7" s="5">
        <v>4927.9575088772144</v>
      </c>
      <c r="AA7" s="35"/>
    </row>
    <row r="8" spans="2:27" x14ac:dyDescent="0.2">
      <c r="B8" s="4">
        <v>5</v>
      </c>
      <c r="C8" s="4">
        <v>472</v>
      </c>
      <c r="D8" s="23">
        <v>1029035.6278008739</v>
      </c>
      <c r="E8" s="33">
        <v>197.36991199996106</v>
      </c>
      <c r="F8" s="5">
        <v>12</v>
      </c>
      <c r="G8" s="23">
        <v>96</v>
      </c>
      <c r="H8" s="33">
        <v>231.88850890096572</v>
      </c>
      <c r="I8" s="23">
        <v>37.458197806659051</v>
      </c>
      <c r="J8" s="5">
        <v>4944.0919529934436</v>
      </c>
      <c r="K8" s="31"/>
      <c r="L8" s="23">
        <v>945124.17261259584</v>
      </c>
      <c r="M8" s="33">
        <v>105.30967853846961</v>
      </c>
      <c r="N8" s="5">
        <v>13</v>
      </c>
      <c r="O8" s="23">
        <v>96</v>
      </c>
      <c r="P8" s="33">
        <v>253.86630522669046</v>
      </c>
      <c r="Q8" s="23">
        <v>34.573101598713848</v>
      </c>
      <c r="R8" s="5">
        <v>4806.7168099507326</v>
      </c>
      <c r="S8" s="35"/>
      <c r="T8" s="23">
        <v>1191815.628353742</v>
      </c>
      <c r="U8" s="33">
        <v>157.49252946160806</v>
      </c>
      <c r="V8" s="5">
        <v>13</v>
      </c>
      <c r="W8" s="23">
        <v>95.333333333333329</v>
      </c>
      <c r="X8" s="33">
        <v>354.69761660264169</v>
      </c>
      <c r="Y8" s="23">
        <v>34.752490946651911</v>
      </c>
      <c r="Z8" s="5">
        <v>5142.6592451839251</v>
      </c>
      <c r="AA8" s="35"/>
    </row>
    <row r="9" spans="2:27" x14ac:dyDescent="0.2">
      <c r="B9" s="4">
        <v>6</v>
      </c>
      <c r="C9" s="4">
        <v>634</v>
      </c>
      <c r="D9" s="23">
        <v>968127.96556841256</v>
      </c>
      <c r="E9" s="33">
        <v>269.12330561541376</v>
      </c>
      <c r="F9" s="5">
        <v>11</v>
      </c>
      <c r="G9" s="23">
        <v>96</v>
      </c>
      <c r="H9" s="33">
        <v>148.27568864938823</v>
      </c>
      <c r="I9" s="23">
        <v>41.044499047729481</v>
      </c>
      <c r="J9" s="5">
        <v>4730.6926525659665</v>
      </c>
      <c r="K9" s="31"/>
      <c r="L9" s="23">
        <v>907102.08599570068</v>
      </c>
      <c r="M9" s="33">
        <v>155.55068661539386</v>
      </c>
      <c r="N9" s="5">
        <v>13</v>
      </c>
      <c r="O9" s="23">
        <v>96</v>
      </c>
      <c r="P9" s="33">
        <v>94.209486166182046</v>
      </c>
      <c r="Q9" s="23">
        <v>34.514161947995568</v>
      </c>
      <c r="R9" s="5">
        <v>4651.2299176979859</v>
      </c>
      <c r="S9" s="35"/>
      <c r="T9" s="23">
        <v>1041859.018021294</v>
      </c>
      <c r="U9" s="33">
        <v>142.4100800769296</v>
      </c>
      <c r="V9" s="5">
        <v>10</v>
      </c>
      <c r="W9" s="23">
        <v>96</v>
      </c>
      <c r="X9" s="33">
        <v>200.44797504472541</v>
      </c>
      <c r="Y9" s="23">
        <v>44.573430423460422</v>
      </c>
      <c r="Z9" s="5">
        <v>4927.9575088772144</v>
      </c>
      <c r="AA9" s="35"/>
    </row>
    <row r="10" spans="2:27" x14ac:dyDescent="0.2">
      <c r="B10" s="4">
        <v>7</v>
      </c>
      <c r="C10" s="4">
        <v>748</v>
      </c>
      <c r="D10" s="23">
        <v>986432.44844475493</v>
      </c>
      <c r="E10" s="33">
        <v>122.43891207689344</v>
      </c>
      <c r="F10" s="5">
        <v>10</v>
      </c>
      <c r="G10" s="23">
        <v>96</v>
      </c>
      <c r="H10" s="33">
        <v>200.44797504472541</v>
      </c>
      <c r="I10" s="23">
        <v>44.573430423460422</v>
      </c>
      <c r="J10" s="5">
        <v>4927.9575088772144</v>
      </c>
      <c r="K10" s="31"/>
      <c r="L10" s="23">
        <v>899963.28623629373</v>
      </c>
      <c r="M10" s="33">
        <v>130.57140161543006</v>
      </c>
      <c r="N10" s="5">
        <v>12</v>
      </c>
      <c r="O10" s="23">
        <v>96</v>
      </c>
      <c r="P10" s="33">
        <v>138.14625354399161</v>
      </c>
      <c r="Q10" s="23">
        <v>37.67804395997311</v>
      </c>
      <c r="R10" s="5">
        <v>4646.6385518007664</v>
      </c>
      <c r="S10" s="35"/>
      <c r="T10" s="23">
        <v>1041859.018021294</v>
      </c>
      <c r="U10" s="33">
        <v>121.58680892307669</v>
      </c>
      <c r="V10" s="5">
        <v>10</v>
      </c>
      <c r="W10" s="23">
        <v>96</v>
      </c>
      <c r="X10" s="33">
        <v>200.44797504472541</v>
      </c>
      <c r="Y10" s="23">
        <v>44.573430423460422</v>
      </c>
      <c r="Z10" s="5">
        <v>4927.9575088772144</v>
      </c>
      <c r="AA10" s="35"/>
    </row>
    <row r="11" spans="2:27" x14ac:dyDescent="0.2">
      <c r="B11" s="4">
        <v>8</v>
      </c>
      <c r="C11" s="4">
        <v>767</v>
      </c>
      <c r="D11" s="23">
        <v>1031992.629923077</v>
      </c>
      <c r="E11" s="33">
        <v>117.32684092309614</v>
      </c>
      <c r="F11" s="5">
        <v>12</v>
      </c>
      <c r="G11" s="23">
        <v>96</v>
      </c>
      <c r="H11" s="33">
        <v>226.19872059087209</v>
      </c>
      <c r="I11" s="23">
        <v>37.458197806659051</v>
      </c>
      <c r="J11" s="5">
        <v>4975.6345834017447</v>
      </c>
      <c r="K11" s="31"/>
      <c r="L11" s="23">
        <v>913360.618607349</v>
      </c>
      <c r="M11" s="33">
        <v>167.13800461541931</v>
      </c>
      <c r="N11" s="5">
        <v>12</v>
      </c>
      <c r="O11" s="23">
        <v>96</v>
      </c>
      <c r="P11" s="33">
        <v>137.68975110989803</v>
      </c>
      <c r="Q11" s="23">
        <v>37.390342110328532</v>
      </c>
      <c r="R11" s="5">
        <v>4733.1175374055438</v>
      </c>
      <c r="S11" s="35"/>
      <c r="T11" s="23">
        <v>1032979.01661591</v>
      </c>
      <c r="U11" s="33">
        <v>132.02685192307962</v>
      </c>
      <c r="V11" s="5">
        <v>11</v>
      </c>
      <c r="W11" s="23">
        <v>96</v>
      </c>
      <c r="X11" s="33">
        <v>148.27568864938823</v>
      </c>
      <c r="Y11" s="23">
        <v>41.044499047729481</v>
      </c>
      <c r="Z11" s="5">
        <v>4730.6926525659665</v>
      </c>
      <c r="AA11" s="35"/>
    </row>
    <row r="12" spans="2:27" x14ac:dyDescent="0.2">
      <c r="B12" s="4">
        <v>9</v>
      </c>
      <c r="C12" s="4">
        <v>930</v>
      </c>
      <c r="D12" s="23">
        <v>1040196.868565167</v>
      </c>
      <c r="E12" s="33">
        <v>144.2765249230433</v>
      </c>
      <c r="F12" s="5">
        <v>12</v>
      </c>
      <c r="G12" s="23">
        <v>96</v>
      </c>
      <c r="H12" s="33">
        <v>220.20657769523217</v>
      </c>
      <c r="I12" s="23">
        <v>37.686447129986611</v>
      </c>
      <c r="J12" s="5">
        <v>5016.5383587650103</v>
      </c>
      <c r="K12" s="31"/>
      <c r="L12" s="23">
        <v>887203.00582109171</v>
      </c>
      <c r="M12" s="33">
        <v>140.24596623073398</v>
      </c>
      <c r="N12" s="5">
        <v>12</v>
      </c>
      <c r="O12" s="23">
        <v>96</v>
      </c>
      <c r="P12" s="33">
        <v>107.20985967235805</v>
      </c>
      <c r="Q12" s="23">
        <v>37.78329131050139</v>
      </c>
      <c r="R12" s="5">
        <v>4585.4596356402853</v>
      </c>
      <c r="S12" s="35"/>
      <c r="T12" s="23">
        <v>1032979.01661591</v>
      </c>
      <c r="U12" s="33">
        <v>120.86774992299839</v>
      </c>
      <c r="V12" s="5">
        <v>11</v>
      </c>
      <c r="W12" s="23">
        <v>96</v>
      </c>
      <c r="X12" s="33">
        <v>148.27568864938823</v>
      </c>
      <c r="Y12" s="23">
        <v>41.044499047729481</v>
      </c>
      <c r="Z12" s="5">
        <v>4730.6926525659665</v>
      </c>
      <c r="AA12" s="35"/>
    </row>
    <row r="13" spans="2:27" x14ac:dyDescent="0.2">
      <c r="B13" s="4">
        <v>10</v>
      </c>
      <c r="C13" s="4">
        <v>996</v>
      </c>
      <c r="D13" s="23">
        <v>1065543.2000822199</v>
      </c>
      <c r="E13" s="33">
        <v>112.03921823081777</v>
      </c>
      <c r="F13" s="5">
        <v>11</v>
      </c>
      <c r="G13" s="23">
        <v>96</v>
      </c>
      <c r="H13" s="33">
        <v>290.95749174819258</v>
      </c>
      <c r="I13" s="23">
        <v>41.369414160292223</v>
      </c>
      <c r="J13" s="5">
        <v>5268.3047633131764</v>
      </c>
      <c r="K13" s="31"/>
      <c r="L13" s="23">
        <v>892293.58228741691</v>
      </c>
      <c r="M13" s="33">
        <v>149.93760669236786</v>
      </c>
      <c r="N13" s="5">
        <v>13</v>
      </c>
      <c r="O13" s="23">
        <v>96</v>
      </c>
      <c r="P13" s="33">
        <v>132.25083124655669</v>
      </c>
      <c r="Q13" s="23">
        <v>34.588867297689312</v>
      </c>
      <c r="R13" s="5">
        <v>4523.1903577880248</v>
      </c>
      <c r="S13" s="35"/>
      <c r="T13" s="23">
        <v>1032979.01661591</v>
      </c>
      <c r="U13" s="33">
        <v>160.00405769231014</v>
      </c>
      <c r="V13" s="5">
        <v>11</v>
      </c>
      <c r="W13" s="23">
        <v>96</v>
      </c>
      <c r="X13" s="33">
        <v>148.27568864938823</v>
      </c>
      <c r="Y13" s="23">
        <v>41.044499047729481</v>
      </c>
      <c r="Z13" s="5">
        <v>4730.6926525659665</v>
      </c>
      <c r="AA13" s="35"/>
    </row>
    <row r="14" spans="2:27" x14ac:dyDescent="0.2">
      <c r="B14" s="50" t="s">
        <v>3</v>
      </c>
      <c r="C14" s="51"/>
      <c r="D14" s="9">
        <f>MIN(D4:D13)</f>
        <v>968127.96556841256</v>
      </c>
      <c r="E14" s="22">
        <f>INDEX(E4:E13, MATCH($D$14, D4:D13, 0))</f>
        <v>110.66876407685831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148.27568864938823</v>
      </c>
      <c r="I14" s="22">
        <f>INDEX(I4:I13, MATCH($D$14, D4:D13, 0))</f>
        <v>41.044499047729481</v>
      </c>
      <c r="J14" s="22">
        <f>INDEX(J4:J13, MATCH($D$14, D4:D13, 0))</f>
        <v>4730.6926525659665</v>
      </c>
      <c r="K14" s="32" t="e">
        <f>(D14-$D$15)/$D$15</f>
        <v>#DIV/0!</v>
      </c>
      <c r="L14" s="16">
        <f>MIN(L4:L13)</f>
        <v>879265.2916834926</v>
      </c>
      <c r="M14" s="21">
        <f>INDEX(M4:M13, MATCH($L$14, L4:L13, 0))</f>
        <v>155.33734200002914</v>
      </c>
      <c r="N14" s="16">
        <f>INDEX(N4:N13, MATCH($L$14, L4:L13, 0))</f>
        <v>13</v>
      </c>
      <c r="O14" s="16">
        <f>INDEX(O4:O13, MATCH($L$14, L4:L13, 0))</f>
        <v>96</v>
      </c>
      <c r="P14" s="21">
        <f>INDEX(P4:P13, MATCH($L$14, L4:L13, 0))</f>
        <v>107.20985967235805</v>
      </c>
      <c r="Q14" s="21">
        <f>INDEX(Q4:Q13, MATCH($L$14, L4:L13, 0))</f>
        <v>34.876884286616672</v>
      </c>
      <c r="R14" s="21">
        <f>INDEX(R4:R13, MATCH($L$14, L4:L13, 0))</f>
        <v>4460.5529210680297</v>
      </c>
      <c r="S14" s="36" t="e">
        <f>(L14-$D$15)/$D$15</f>
        <v>#DIV/0!</v>
      </c>
      <c r="T14" s="38">
        <f>MIN(T4:T13)</f>
        <v>1032979.01661591</v>
      </c>
      <c r="U14" s="39">
        <f>INDEX(U4:U13, MATCH($T$14, T4:T13, 0))</f>
        <v>103.56399092303877</v>
      </c>
      <c r="V14" s="38">
        <f>INDEX(V4:V13, MATCH($T$14, T4:T13, 0))</f>
        <v>11</v>
      </c>
      <c r="W14" s="38">
        <f>INDEX(W4:W13, MATCH($T$14, T4:T13, 0))</f>
        <v>96</v>
      </c>
      <c r="X14" s="39">
        <f>INDEX(X4:X13, MATCH($T$14, T4:T13, 0))</f>
        <v>148.27568864938823</v>
      </c>
      <c r="Y14" s="39">
        <f>INDEX(Y4:Y13, MATCH($T$14, T4:T13, 0))</f>
        <v>41.044499047729481</v>
      </c>
      <c r="Z14" s="39">
        <f>INDEX(Z4:Z13, MATCH($T$14, T4:T13, 0))</f>
        <v>4730.6926525659665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-9.1788148927963692E-2</v>
      </c>
      <c r="M15" s="41">
        <f t="shared" ref="M15:R15" si="0">(M14-E14)/E14</f>
        <v>0.40362407853537574</v>
      </c>
      <c r="N15" s="41">
        <f t="shared" si="0"/>
        <v>0.18181818181818182</v>
      </c>
      <c r="O15" s="41">
        <f t="shared" si="0"/>
        <v>0</v>
      </c>
      <c r="P15" s="41">
        <f t="shared" si="0"/>
        <v>-0.27695591469572722</v>
      </c>
      <c r="Q15" s="41">
        <f t="shared" si="0"/>
        <v>-0.15026653764102871</v>
      </c>
      <c r="R15" s="41">
        <f t="shared" si="0"/>
        <v>-5.7103631822585377E-2</v>
      </c>
      <c r="T15" s="41">
        <f>(T14-D14)/D14</f>
        <v>6.6986032171296409E-2</v>
      </c>
      <c r="U15" s="41">
        <f t="shared" ref="U15:Z15" si="1">(U14-E14)/E14</f>
        <v>-6.4198540691078332E-2</v>
      </c>
      <c r="V15" s="41">
        <f t="shared" si="1"/>
        <v>0</v>
      </c>
      <c r="W15" s="41">
        <f t="shared" si="1"/>
        <v>0</v>
      </c>
      <c r="X15" s="41">
        <f t="shared" si="1"/>
        <v>0</v>
      </c>
      <c r="Y15" s="41">
        <f t="shared" si="1"/>
        <v>0</v>
      </c>
      <c r="Z15" s="41">
        <f t="shared" si="1"/>
        <v>0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</sheetData>
  <mergeCells count="1">
    <mergeCell ref="B14:C14"/>
  </mergeCells>
  <conditionalFormatting sqref="C1 C16 C3 C41:C1048576">
    <cfRule type="duplicateValues" dxfId="139" priority="11"/>
    <cfRule type="duplicateValues" dxfId="138" priority="12"/>
  </conditionalFormatting>
  <conditionalFormatting sqref="C2">
    <cfRule type="duplicateValues" dxfId="137" priority="3"/>
    <cfRule type="duplicateValues" dxfId="136" priority="4"/>
  </conditionalFormatting>
  <conditionalFormatting sqref="C4:C13">
    <cfRule type="duplicateValues" dxfId="135" priority="5"/>
    <cfRule type="duplicateValues" dxfId="134" priority="6"/>
  </conditionalFormatting>
  <conditionalFormatting sqref="C14">
    <cfRule type="duplicateValues" dxfId="133" priority="9"/>
    <cfRule type="duplicateValues" dxfId="132" priority="10"/>
  </conditionalFormatting>
  <conditionalFormatting sqref="C15">
    <cfRule type="duplicateValues" dxfId="131" priority="7"/>
    <cfRule type="duplicateValues" dxfId="130" priority="8"/>
  </conditionalFormatting>
  <conditionalFormatting sqref="C17:C40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6A0-5A68-4696-AC9B-FD4AB17AC7C4}">
  <dimension ref="B1:AA17"/>
  <sheetViews>
    <sheetView zoomScale="90" zoomScaleNormal="90" workbookViewId="0">
      <selection activeCell="U29" sqref="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-9.1132728429172027E-2</v>
      </c>
      <c r="R2" s="1">
        <f>(R14-J14)/J14</f>
        <v>-5.9039744802753993E-2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1280681.1210966869</v>
      </c>
      <c r="E4" s="33">
        <v>114.18495884612915</v>
      </c>
      <c r="F4" s="5">
        <v>16</v>
      </c>
      <c r="G4" s="23">
        <v>95.333333333333329</v>
      </c>
      <c r="H4" s="33">
        <v>733.30132009796887</v>
      </c>
      <c r="I4" s="23">
        <v>38.904873232268478</v>
      </c>
      <c r="J4" s="5">
        <v>5761.4627707720665</v>
      </c>
      <c r="K4" s="31"/>
      <c r="L4" s="23">
        <v>1091083.8837953319</v>
      </c>
      <c r="M4" s="33">
        <v>272.28034592314191</v>
      </c>
      <c r="N4" s="5">
        <v>19</v>
      </c>
      <c r="O4" s="23">
        <v>97.333333333333329</v>
      </c>
      <c r="P4" s="33">
        <v>586.42288121267052</v>
      </c>
      <c r="Q4" s="23">
        <v>33.030662190417196</v>
      </c>
      <c r="R4" s="5">
        <v>5344.6359739317741</v>
      </c>
      <c r="S4" s="35"/>
      <c r="T4" s="23">
        <v>1372495.307392769</v>
      </c>
      <c r="U4" s="33">
        <v>121.23950492304107</v>
      </c>
      <c r="V4" s="5">
        <v>12</v>
      </c>
      <c r="W4" s="23">
        <v>92</v>
      </c>
      <c r="X4" s="33">
        <v>800.36204655966606</v>
      </c>
      <c r="Y4" s="23">
        <v>49.943221298846346</v>
      </c>
      <c r="Z4" s="5">
        <v>6033.1078893562972</v>
      </c>
      <c r="AA4" s="35"/>
    </row>
    <row r="5" spans="2:27" x14ac:dyDescent="0.2">
      <c r="B5" s="4">
        <v>2</v>
      </c>
      <c r="C5" s="4">
        <v>107</v>
      </c>
      <c r="D5" s="23">
        <v>1252153.704625743</v>
      </c>
      <c r="E5" s="33">
        <v>318.13966623077596</v>
      </c>
      <c r="F5" s="5">
        <v>17</v>
      </c>
      <c r="G5" s="23">
        <v>96</v>
      </c>
      <c r="H5" s="33">
        <v>724.07302818045559</v>
      </c>
      <c r="I5" s="23">
        <v>37.032955137792513</v>
      </c>
      <c r="J5" s="5">
        <v>5564.572901666852</v>
      </c>
      <c r="K5" s="31"/>
      <c r="L5" s="23">
        <v>1066186.1623604291</v>
      </c>
      <c r="M5" s="33">
        <v>128.95968376918555</v>
      </c>
      <c r="N5" s="5">
        <v>20</v>
      </c>
      <c r="O5" s="23">
        <v>97.333333333333329</v>
      </c>
      <c r="P5" s="33">
        <v>564.88353820835698</v>
      </c>
      <c r="Q5" s="23">
        <v>31.845643516147135</v>
      </c>
      <c r="R5" s="5">
        <v>5148.4841731665383</v>
      </c>
      <c r="S5" s="35"/>
      <c r="T5" s="23">
        <v>1368864.7220094481</v>
      </c>
      <c r="U5" s="33">
        <v>132.22179415385023</v>
      </c>
      <c r="V5" s="5">
        <v>13</v>
      </c>
      <c r="W5" s="23">
        <v>94</v>
      </c>
      <c r="X5" s="33">
        <v>879.97203230891125</v>
      </c>
      <c r="Y5" s="23">
        <v>47.126908523381154</v>
      </c>
      <c r="Z5" s="5">
        <v>6043.9217217451933</v>
      </c>
      <c r="AA5" s="35"/>
    </row>
    <row r="6" spans="2:27" x14ac:dyDescent="0.2">
      <c r="B6" s="4">
        <v>3</v>
      </c>
      <c r="C6" s="4">
        <v>186</v>
      </c>
      <c r="D6" s="23">
        <v>1200025.2317240629</v>
      </c>
      <c r="E6" s="33">
        <v>173.91398946154644</v>
      </c>
      <c r="F6" s="5">
        <v>16</v>
      </c>
      <c r="G6" s="23">
        <v>96.666666666666671</v>
      </c>
      <c r="H6" s="33">
        <v>611.0755950545755</v>
      </c>
      <c r="I6" s="23">
        <v>40.088398618390023</v>
      </c>
      <c r="J6" s="5">
        <v>5525.7668774636077</v>
      </c>
      <c r="K6" s="31"/>
      <c r="L6" s="23">
        <v>1076545.2025866101</v>
      </c>
      <c r="M6" s="33">
        <v>381.61112992307881</v>
      </c>
      <c r="N6" s="5">
        <v>18</v>
      </c>
      <c r="O6" s="23">
        <v>97.333333333333329</v>
      </c>
      <c r="P6" s="33">
        <v>551.61280377639491</v>
      </c>
      <c r="Q6" s="23">
        <v>35.632502668300461</v>
      </c>
      <c r="R6" s="5">
        <v>5380.4036607230437</v>
      </c>
      <c r="S6" s="35"/>
      <c r="T6" s="23">
        <v>1316675.231005345</v>
      </c>
      <c r="U6" s="33">
        <v>219.2881957692309</v>
      </c>
      <c r="V6" s="5">
        <v>13</v>
      </c>
      <c r="W6" s="23">
        <v>95.333333333333329</v>
      </c>
      <c r="X6" s="33">
        <v>777.23273528385891</v>
      </c>
      <c r="Y6" s="23">
        <v>48.269530112611498</v>
      </c>
      <c r="Z6" s="5">
        <v>5943.6873155822659</v>
      </c>
      <c r="AA6" s="35"/>
    </row>
    <row r="7" spans="2:27" x14ac:dyDescent="0.2">
      <c r="B7" s="4">
        <v>4</v>
      </c>
      <c r="C7" s="4">
        <v>202</v>
      </c>
      <c r="D7" s="23">
        <v>1195874.55149322</v>
      </c>
      <c r="E7" s="33">
        <v>269.5518566154015</v>
      </c>
      <c r="F7" s="5">
        <v>15</v>
      </c>
      <c r="G7" s="23">
        <v>97.333333333333329</v>
      </c>
      <c r="H7" s="33">
        <v>687.63202542082661</v>
      </c>
      <c r="I7" s="23">
        <v>43.238451192275349</v>
      </c>
      <c r="J7" s="5">
        <v>5716.7130826593011</v>
      </c>
      <c r="K7" s="31"/>
      <c r="L7" s="23">
        <v>1101370.235849476</v>
      </c>
      <c r="M7" s="33">
        <v>254.37561184615618</v>
      </c>
      <c r="N7" s="5">
        <v>20</v>
      </c>
      <c r="O7" s="23">
        <v>97.333333333333329</v>
      </c>
      <c r="P7" s="33">
        <v>649.01068523723325</v>
      </c>
      <c r="Q7" s="23">
        <v>31.592581772683957</v>
      </c>
      <c r="R7" s="5">
        <v>5321.6214498833479</v>
      </c>
      <c r="S7" s="35"/>
      <c r="T7" s="23">
        <v>1345764.9787786859</v>
      </c>
      <c r="U7" s="33">
        <v>313.08978046147291</v>
      </c>
      <c r="V7" s="5">
        <v>13</v>
      </c>
      <c r="W7" s="23">
        <v>94</v>
      </c>
      <c r="X7" s="33">
        <v>778.31380385720524</v>
      </c>
      <c r="Y7" s="23">
        <v>46.839030488101166</v>
      </c>
      <c r="Z7" s="5">
        <v>5935.3916046457243</v>
      </c>
      <c r="AA7" s="35"/>
    </row>
    <row r="8" spans="2:27" x14ac:dyDescent="0.2">
      <c r="B8" s="4">
        <v>5</v>
      </c>
      <c r="C8" s="4">
        <v>232</v>
      </c>
      <c r="D8" s="23">
        <v>1269617.101655937</v>
      </c>
      <c r="E8" s="33">
        <v>176.94212353842045</v>
      </c>
      <c r="F8" s="5">
        <v>15</v>
      </c>
      <c r="G8" s="23">
        <v>97.333333333333329</v>
      </c>
      <c r="H8" s="33">
        <v>886.87303099481744</v>
      </c>
      <c r="I8" s="23">
        <v>42.143685035860436</v>
      </c>
      <c r="J8" s="5">
        <v>6045.4754456061328</v>
      </c>
      <c r="K8" s="31"/>
      <c r="L8" s="23">
        <v>1069398.590535939</v>
      </c>
      <c r="M8" s="33">
        <v>187.12410892306184</v>
      </c>
      <c r="N8" s="5">
        <v>18</v>
      </c>
      <c r="O8" s="23">
        <v>97.333333333333329</v>
      </c>
      <c r="P8" s="33">
        <v>585.16067513704331</v>
      </c>
      <c r="Q8" s="23">
        <v>35.289297536568419</v>
      </c>
      <c r="R8" s="5">
        <v>5321.4854675643064</v>
      </c>
      <c r="S8" s="35"/>
      <c r="T8" s="23">
        <v>1355504.7271717091</v>
      </c>
      <c r="U8" s="33">
        <v>318.46399738462281</v>
      </c>
      <c r="V8" s="5">
        <v>14</v>
      </c>
      <c r="W8" s="23">
        <v>96</v>
      </c>
      <c r="X8" s="33">
        <v>938.42000239434128</v>
      </c>
      <c r="Y8" s="23">
        <v>45.387558514767228</v>
      </c>
      <c r="Z8" s="5">
        <v>6010.2899869403736</v>
      </c>
      <c r="AA8" s="35"/>
    </row>
    <row r="9" spans="2:27" x14ac:dyDescent="0.2">
      <c r="B9" s="4">
        <v>6</v>
      </c>
      <c r="C9" s="4">
        <v>234</v>
      </c>
      <c r="D9" s="23">
        <v>1171722.7209426111</v>
      </c>
      <c r="E9" s="33">
        <v>274.61161923075383</v>
      </c>
      <c r="F9" s="5">
        <v>16</v>
      </c>
      <c r="G9" s="23">
        <v>97.333333333333329</v>
      </c>
      <c r="H9" s="33">
        <v>552.87315230917284</v>
      </c>
      <c r="I9" s="23">
        <v>39.68895058554655</v>
      </c>
      <c r="J9" s="5">
        <v>5498.4921850503042</v>
      </c>
      <c r="K9" s="31"/>
      <c r="L9" s="23">
        <v>1053490.312248705</v>
      </c>
      <c r="M9" s="33">
        <v>434.96571153841126</v>
      </c>
      <c r="N9" s="5">
        <v>19</v>
      </c>
      <c r="O9" s="23">
        <v>97.333333333333329</v>
      </c>
      <c r="P9" s="33">
        <v>502.48831346400073</v>
      </c>
      <c r="Q9" s="23">
        <v>33.422571846843752</v>
      </c>
      <c r="R9" s="5">
        <v>5173.8626096449971</v>
      </c>
      <c r="S9" s="35"/>
      <c r="T9" s="23">
        <v>1356006.9160624819</v>
      </c>
      <c r="U9" s="33">
        <v>272.70350515385729</v>
      </c>
      <c r="V9" s="5">
        <v>14</v>
      </c>
      <c r="W9" s="23">
        <v>96</v>
      </c>
      <c r="X9" s="33">
        <v>887.25237762362622</v>
      </c>
      <c r="Y9" s="23">
        <v>44.492052836308225</v>
      </c>
      <c r="Z9" s="5">
        <v>6054.3378374793601</v>
      </c>
      <c r="AA9" s="35"/>
    </row>
    <row r="10" spans="2:27" x14ac:dyDescent="0.2">
      <c r="B10" s="4">
        <v>7</v>
      </c>
      <c r="C10" s="4">
        <v>385</v>
      </c>
      <c r="D10" s="23">
        <v>1199176.476264515</v>
      </c>
      <c r="E10" s="33">
        <v>210.84975484615339</v>
      </c>
      <c r="F10" s="5">
        <v>15</v>
      </c>
      <c r="G10" s="23">
        <v>97.333333333333329</v>
      </c>
      <c r="H10" s="33">
        <v>684.88362185811638</v>
      </c>
      <c r="I10" s="23">
        <v>42.229938727119269</v>
      </c>
      <c r="J10" s="5">
        <v>5700.5202672705091</v>
      </c>
      <c r="K10" s="31"/>
      <c r="L10" s="23">
        <v>1106390.3410311029</v>
      </c>
      <c r="M10" s="33">
        <v>261.21097807691859</v>
      </c>
      <c r="N10" s="5">
        <v>19</v>
      </c>
      <c r="O10" s="23">
        <v>97.333333333333329</v>
      </c>
      <c r="P10" s="33">
        <v>639.37208533037506</v>
      </c>
      <c r="Q10" s="23">
        <v>32.945316924005112</v>
      </c>
      <c r="R10" s="5">
        <v>5419.7938916227868</v>
      </c>
      <c r="S10" s="35"/>
      <c r="T10" s="23">
        <v>1294992.1265221429</v>
      </c>
      <c r="U10" s="33">
        <v>256.83097215387255</v>
      </c>
      <c r="V10" s="5">
        <v>13</v>
      </c>
      <c r="W10" s="23">
        <v>96</v>
      </c>
      <c r="X10" s="33">
        <v>753.68343042173115</v>
      </c>
      <c r="Y10" s="23">
        <v>49.130404224135418</v>
      </c>
      <c r="Z10" s="5">
        <v>5913.9686601301064</v>
      </c>
      <c r="AA10" s="35"/>
    </row>
    <row r="11" spans="2:27" x14ac:dyDescent="0.2">
      <c r="B11" s="4">
        <v>8</v>
      </c>
      <c r="C11" s="4">
        <v>576</v>
      </c>
      <c r="D11" s="23">
        <v>1228006.3899969719</v>
      </c>
      <c r="E11" s="33">
        <v>263.00417484617077</v>
      </c>
      <c r="F11" s="5">
        <v>14</v>
      </c>
      <c r="G11" s="23">
        <v>96</v>
      </c>
      <c r="H11" s="33">
        <v>728.9454375853295</v>
      </c>
      <c r="I11" s="23">
        <v>43.905044641544769</v>
      </c>
      <c r="J11" s="5">
        <v>5806.2910518564559</v>
      </c>
      <c r="K11" s="31"/>
      <c r="L11" s="23">
        <v>1110960.806638475</v>
      </c>
      <c r="M11" s="33">
        <v>195.16300392310276</v>
      </c>
      <c r="N11" s="5">
        <v>20</v>
      </c>
      <c r="O11" s="23">
        <v>97.333333333333329</v>
      </c>
      <c r="P11" s="33">
        <v>646.64149173255328</v>
      </c>
      <c r="Q11" s="23">
        <v>31.873821653989289</v>
      </c>
      <c r="R11" s="5">
        <v>5402.7070606987891</v>
      </c>
      <c r="S11" s="35"/>
      <c r="T11" s="23">
        <v>1315639.674990827</v>
      </c>
      <c r="U11" s="33">
        <v>233.54594846157568</v>
      </c>
      <c r="V11" s="5">
        <v>13</v>
      </c>
      <c r="W11" s="23">
        <v>94.666666666666671</v>
      </c>
      <c r="X11" s="33">
        <v>767.94503413597431</v>
      </c>
      <c r="Y11" s="23">
        <v>48.749018300106066</v>
      </c>
      <c r="Z11" s="5">
        <v>5899.797411358104</v>
      </c>
      <c r="AA11" s="35"/>
    </row>
    <row r="12" spans="2:27" x14ac:dyDescent="0.2">
      <c r="B12" s="4">
        <v>9</v>
      </c>
      <c r="C12" s="4">
        <v>594</v>
      </c>
      <c r="D12" s="23">
        <v>1185839.3651102521</v>
      </c>
      <c r="E12" s="33">
        <v>262.34278969224897</v>
      </c>
      <c r="F12" s="5">
        <v>15</v>
      </c>
      <c r="G12" s="23">
        <v>96.666666666666671</v>
      </c>
      <c r="H12" s="33">
        <v>633.10958565160763</v>
      </c>
      <c r="I12" s="23">
        <v>42.066728622129048</v>
      </c>
      <c r="J12" s="5">
        <v>5564.7176633644267</v>
      </c>
      <c r="K12" s="31"/>
      <c r="L12" s="23">
        <v>1122355.1900129721</v>
      </c>
      <c r="M12" s="33">
        <v>190.96119161543007</v>
      </c>
      <c r="N12" s="5">
        <v>19</v>
      </c>
      <c r="O12" s="23">
        <v>97.333333333333329</v>
      </c>
      <c r="P12" s="33">
        <v>721.44251266011349</v>
      </c>
      <c r="Q12" s="23">
        <v>33.472944730663976</v>
      </c>
      <c r="R12" s="5">
        <v>5490.9339144380965</v>
      </c>
      <c r="S12" s="35"/>
      <c r="T12" s="23">
        <v>1364311.2070350931</v>
      </c>
      <c r="U12" s="33">
        <v>392.26678684613523</v>
      </c>
      <c r="V12" s="5">
        <v>13</v>
      </c>
      <c r="W12" s="23">
        <v>92.666666666666671</v>
      </c>
      <c r="X12" s="33">
        <v>723.86589308527527</v>
      </c>
      <c r="Y12" s="23">
        <v>47.575423607208741</v>
      </c>
      <c r="Z12" s="5">
        <v>5934.6049511939436</v>
      </c>
      <c r="AA12" s="35"/>
    </row>
    <row r="13" spans="2:27" x14ac:dyDescent="0.2">
      <c r="B13" s="4">
        <v>10</v>
      </c>
      <c r="C13" s="4">
        <v>912</v>
      </c>
      <c r="D13" s="23">
        <v>1261692.9026187391</v>
      </c>
      <c r="E13" s="33">
        <v>118.11249299995747</v>
      </c>
      <c r="F13" s="5">
        <v>16</v>
      </c>
      <c r="G13" s="23">
        <v>96.666666666666671</v>
      </c>
      <c r="H13" s="33">
        <v>807.19655192424</v>
      </c>
      <c r="I13" s="23">
        <v>40.074748015964047</v>
      </c>
      <c r="J13" s="5">
        <v>5813.0611014275755</v>
      </c>
      <c r="K13" s="31"/>
      <c r="L13" s="23">
        <v>1072538.92563325</v>
      </c>
      <c r="M13" s="33">
        <v>179.61742200002146</v>
      </c>
      <c r="N13" s="5">
        <v>18</v>
      </c>
      <c r="O13" s="23">
        <v>97.333333333333329</v>
      </c>
      <c r="P13" s="33">
        <v>555.40895541528062</v>
      </c>
      <c r="Q13" s="23">
        <v>35.529791768639598</v>
      </c>
      <c r="R13" s="5">
        <v>5330.1463304315766</v>
      </c>
      <c r="S13" s="35"/>
      <c r="T13" s="23">
        <v>1440784.2516370721</v>
      </c>
      <c r="U13" s="33">
        <v>106.63809953848477</v>
      </c>
      <c r="V13" s="5">
        <v>13</v>
      </c>
      <c r="W13" s="23">
        <v>90</v>
      </c>
      <c r="X13" s="33">
        <v>766.37369923004189</v>
      </c>
      <c r="Y13" s="23">
        <v>42.815657578064936</v>
      </c>
      <c r="Z13" s="5">
        <v>5917.0196989672713</v>
      </c>
      <c r="AA13" s="35"/>
    </row>
    <row r="14" spans="2:27" x14ac:dyDescent="0.2">
      <c r="B14" s="50" t="s">
        <v>3</v>
      </c>
      <c r="C14" s="51"/>
      <c r="D14" s="9">
        <f>MIN(D4:D13)</f>
        <v>1171722.7209426111</v>
      </c>
      <c r="E14" s="22">
        <f>INDEX(E4:E13, MATCH($D$14, D4:D13, 0))</f>
        <v>274.61161923075383</v>
      </c>
      <c r="F14" s="9">
        <f>INDEX(F4:F13, MATCH($D$14, D4:D13, 0))</f>
        <v>16</v>
      </c>
      <c r="G14" s="9">
        <f>INDEX(G4:G13, MATCH($D$14, D4:D13, 0))</f>
        <v>97.333333333333329</v>
      </c>
      <c r="H14" s="22">
        <f>INDEX(H4:H13, MATCH($D$14, D4:D13, 0))</f>
        <v>552.87315230917284</v>
      </c>
      <c r="I14" s="22">
        <f>INDEX(I4:I13, MATCH($D$14, D4:D13, 0))</f>
        <v>39.68895058554655</v>
      </c>
      <c r="J14" s="22">
        <f>INDEX(J4:J13, MATCH($D$14, D4:D13, 0))</f>
        <v>5498.4921850503042</v>
      </c>
      <c r="K14" s="32" t="e">
        <f>(D14-$D$15)/$D$15</f>
        <v>#DIV/0!</v>
      </c>
      <c r="L14" s="16">
        <f>MIN(L4:L13)</f>
        <v>1053490.312248705</v>
      </c>
      <c r="M14" s="21">
        <f>INDEX(M4:M13, MATCH($L$14, L4:L13, 0))</f>
        <v>434.96571153841126</v>
      </c>
      <c r="N14" s="16">
        <f>INDEX(N4:N13, MATCH($L$14, L4:L13, 0))</f>
        <v>19</v>
      </c>
      <c r="O14" s="16">
        <f>INDEX(O4:O13, MATCH($L$14, L4:L13, 0))</f>
        <v>97.333333333333329</v>
      </c>
      <c r="P14" s="21">
        <f>INDEX(P4:P13, MATCH($L$14, L4:L13, 0))</f>
        <v>502.48831346400073</v>
      </c>
      <c r="Q14" s="21">
        <f>INDEX(Q4:Q13, MATCH($L$14, L4:L13, 0))</f>
        <v>33.422571846843752</v>
      </c>
      <c r="R14" s="21">
        <f>INDEX(R4:R13, MATCH($L$14, L4:L13, 0))</f>
        <v>5173.8626096449971</v>
      </c>
      <c r="S14" s="36" t="e">
        <f>(L14-$D$15)/$D$15</f>
        <v>#DIV/0!</v>
      </c>
      <c r="T14" s="38">
        <f>MIN(T4:T13)</f>
        <v>1294992.1265221429</v>
      </c>
      <c r="U14" s="39">
        <f>INDEX(U4:U13, MATCH($T$14, T4:T13, 0))</f>
        <v>256.83097215387255</v>
      </c>
      <c r="V14" s="38">
        <f>INDEX(V4:V13, MATCH($T$14, T4:T13, 0))</f>
        <v>13</v>
      </c>
      <c r="W14" s="38">
        <f>INDEX(W4:W13, MATCH($T$14, T4:T13, 0))</f>
        <v>96</v>
      </c>
      <c r="X14" s="39">
        <f>INDEX(X4:X13, MATCH($T$14, T4:T13, 0))</f>
        <v>753.68343042173115</v>
      </c>
      <c r="Y14" s="39">
        <f>INDEX(Y4:Y13, MATCH($T$14, T4:T13, 0))</f>
        <v>49.130404224135418</v>
      </c>
      <c r="Z14" s="39">
        <f>INDEX(Z4:Z13, MATCH($T$14, T4:T13, 0))</f>
        <v>5913.9686601301064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-0.10090476746818752</v>
      </c>
      <c r="M15" s="41">
        <f t="shared" ref="M15:R15" si="0">(M14-E14)/E14</f>
        <v>0.58393047153956446</v>
      </c>
      <c r="N15" s="41">
        <f t="shared" si="0"/>
        <v>0.1875</v>
      </c>
      <c r="O15" s="41">
        <f t="shared" si="0"/>
        <v>0</v>
      </c>
      <c r="P15" s="41">
        <f t="shared" si="0"/>
        <v>-9.1132728429172027E-2</v>
      </c>
      <c r="Q15" s="41">
        <f t="shared" si="0"/>
        <v>-0.15788723678133262</v>
      </c>
      <c r="R15" s="41">
        <f t="shared" si="0"/>
        <v>-5.9039744802753993E-2</v>
      </c>
      <c r="T15" s="41">
        <f>(T14-D14)/D14</f>
        <v>0.10520356341674911</v>
      </c>
      <c r="U15" s="41">
        <f t="shared" ref="U15:Z15" si="1">(U14-E14)/E14</f>
        <v>-6.4748342137483816E-2</v>
      </c>
      <c r="V15" s="41">
        <f t="shared" si="1"/>
        <v>-0.1875</v>
      </c>
      <c r="W15" s="41">
        <f t="shared" si="1"/>
        <v>-1.3698630136986254E-2</v>
      </c>
      <c r="X15" s="41">
        <f t="shared" si="1"/>
        <v>0.36321220749070299</v>
      </c>
      <c r="Y15" s="41">
        <f t="shared" si="1"/>
        <v>0.23788620004548935</v>
      </c>
      <c r="Z15" s="41">
        <f t="shared" si="1"/>
        <v>7.5561892441973366E-2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129" priority="11"/>
    <cfRule type="duplicateValues" dxfId="128" priority="12"/>
  </conditionalFormatting>
  <conditionalFormatting sqref="C2">
    <cfRule type="duplicateValues" dxfId="127" priority="3"/>
    <cfRule type="duplicateValues" dxfId="126" priority="4"/>
  </conditionalFormatting>
  <conditionalFormatting sqref="C4:C13">
    <cfRule type="duplicateValues" dxfId="125" priority="5"/>
    <cfRule type="duplicateValues" dxfId="124" priority="6"/>
  </conditionalFormatting>
  <conditionalFormatting sqref="C14">
    <cfRule type="duplicateValues" dxfId="123" priority="9"/>
    <cfRule type="duplicateValues" dxfId="122" priority="10"/>
  </conditionalFormatting>
  <conditionalFormatting sqref="C15">
    <cfRule type="duplicateValues" dxfId="121" priority="7"/>
    <cfRule type="duplicateValues" dxfId="120" priority="8"/>
  </conditionalFormatting>
  <conditionalFormatting sqref="C17:C40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0BAC-9010-4EB7-A509-C645931A7C55}">
  <dimension ref="B1:AA17"/>
  <sheetViews>
    <sheetView topLeftCell="H1" zoomScaleNormal="70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-0.2517975390763818</v>
      </c>
      <c r="R2" s="1">
        <f>(R14-J14)/J14</f>
        <v>-5.0983903598713472E-2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</v>
      </c>
      <c r="D4" s="23">
        <v>1170325.1112011869</v>
      </c>
      <c r="E4" s="33">
        <v>164.01283223083462</v>
      </c>
      <c r="F4" s="5">
        <v>14</v>
      </c>
      <c r="G4" s="23">
        <v>94</v>
      </c>
      <c r="H4" s="33">
        <v>305.01396819264107</v>
      </c>
      <c r="I4" s="23">
        <v>37.38867361217094</v>
      </c>
      <c r="J4" s="5">
        <v>5359.7381602944406</v>
      </c>
      <c r="K4" s="31"/>
      <c r="L4" s="23">
        <v>1052345.898821543</v>
      </c>
      <c r="M4" s="33">
        <v>336.44243084610656</v>
      </c>
      <c r="N4" s="5">
        <v>16</v>
      </c>
      <c r="O4" s="23">
        <v>94</v>
      </c>
      <c r="P4" s="33">
        <v>258.47127482317262</v>
      </c>
      <c r="Q4" s="23">
        <v>33.229965075406952</v>
      </c>
      <c r="R4" s="5">
        <v>5041.6471268260002</v>
      </c>
      <c r="S4" s="35"/>
      <c r="T4" s="23">
        <v>1233268.7738510631</v>
      </c>
      <c r="U4" s="33">
        <v>107.1012845384673</v>
      </c>
      <c r="V4" s="5">
        <v>11</v>
      </c>
      <c r="W4" s="23">
        <v>93.333333333333329</v>
      </c>
      <c r="X4" s="33">
        <v>371.13723427095056</v>
      </c>
      <c r="Y4" s="23">
        <v>48.369373465107294</v>
      </c>
      <c r="Z4" s="5">
        <v>5679.2907023744356</v>
      </c>
      <c r="AA4" s="35"/>
    </row>
    <row r="5" spans="2:27" x14ac:dyDescent="0.2">
      <c r="B5" s="4">
        <v>2</v>
      </c>
      <c r="C5" s="4">
        <v>171</v>
      </c>
      <c r="D5" s="23">
        <v>1148316.5899994089</v>
      </c>
      <c r="E5" s="33">
        <v>126.27732507696446</v>
      </c>
      <c r="F5" s="5">
        <v>13</v>
      </c>
      <c r="G5" s="23">
        <v>94</v>
      </c>
      <c r="H5" s="33">
        <v>328.83944130422299</v>
      </c>
      <c r="I5" s="23">
        <v>41.467997513292097</v>
      </c>
      <c r="J5" s="5">
        <v>5347.5358915945953</v>
      </c>
      <c r="K5" s="31"/>
      <c r="L5" s="23">
        <v>1042403.527631219</v>
      </c>
      <c r="M5" s="33">
        <v>168.83848738462592</v>
      </c>
      <c r="N5" s="5">
        <v>17</v>
      </c>
      <c r="O5" s="23">
        <v>94</v>
      </c>
      <c r="P5" s="33">
        <v>216.04273714299478</v>
      </c>
      <c r="Q5" s="23">
        <v>31.773246311129061</v>
      </c>
      <c r="R5" s="5">
        <v>4950.203175759746</v>
      </c>
      <c r="S5" s="35"/>
      <c r="T5" s="23">
        <v>1226266.766411623</v>
      </c>
      <c r="U5" s="33">
        <v>189.65858553849662</v>
      </c>
      <c r="V5" s="5">
        <v>12</v>
      </c>
      <c r="W5" s="23">
        <v>93.333333333333329</v>
      </c>
      <c r="X5" s="33">
        <v>361.61759249308579</v>
      </c>
      <c r="Y5" s="23">
        <v>44.691322044569318</v>
      </c>
      <c r="Z5" s="5">
        <v>5444.6279318879333</v>
      </c>
      <c r="AA5" s="35"/>
    </row>
    <row r="6" spans="2:27" x14ac:dyDescent="0.2">
      <c r="B6" s="4">
        <v>3</v>
      </c>
      <c r="C6" s="4">
        <v>263</v>
      </c>
      <c r="D6" s="23">
        <v>1141726.937281823</v>
      </c>
      <c r="E6" s="33">
        <v>371.94766284620312</v>
      </c>
      <c r="F6" s="5">
        <v>14</v>
      </c>
      <c r="G6" s="23">
        <v>94</v>
      </c>
      <c r="H6" s="33">
        <v>284.12843424466513</v>
      </c>
      <c r="I6" s="23">
        <v>38.423322876589999</v>
      </c>
      <c r="J6" s="5">
        <v>5202.2457846926009</v>
      </c>
      <c r="K6" s="31"/>
      <c r="L6" s="23">
        <v>1052515.855416463</v>
      </c>
      <c r="M6" s="33">
        <v>256.51832223081811</v>
      </c>
      <c r="N6" s="5">
        <v>16</v>
      </c>
      <c r="O6" s="23">
        <v>94</v>
      </c>
      <c r="P6" s="33">
        <v>225.52249007022036</v>
      </c>
      <c r="Q6" s="23">
        <v>33.169978517570911</v>
      </c>
      <c r="R6" s="5">
        <v>5088.2411815207934</v>
      </c>
      <c r="S6" s="35"/>
      <c r="T6" s="23">
        <v>1226591.721554935</v>
      </c>
      <c r="U6" s="33">
        <v>133.53516261541068</v>
      </c>
      <c r="V6" s="5">
        <v>11</v>
      </c>
      <c r="W6" s="23">
        <v>92.666666666666671</v>
      </c>
      <c r="X6" s="33">
        <v>399.25044364601774</v>
      </c>
      <c r="Y6" s="23">
        <v>48.413190309810311</v>
      </c>
      <c r="Z6" s="5">
        <v>5524.6654545608271</v>
      </c>
      <c r="AA6" s="35"/>
    </row>
    <row r="7" spans="2:27" x14ac:dyDescent="0.2">
      <c r="B7" s="4">
        <v>4</v>
      </c>
      <c r="C7" s="4">
        <v>299</v>
      </c>
      <c r="D7" s="23">
        <v>1145072.824623574</v>
      </c>
      <c r="E7" s="33">
        <v>307.01109215384344</v>
      </c>
      <c r="F7" s="5">
        <v>13</v>
      </c>
      <c r="G7" s="23">
        <v>94</v>
      </c>
      <c r="H7" s="33">
        <v>308.6668186090148</v>
      </c>
      <c r="I7" s="23">
        <v>41.432112602581164</v>
      </c>
      <c r="J7" s="5">
        <v>5340.9985116472035</v>
      </c>
      <c r="K7" s="31"/>
      <c r="L7" s="23">
        <v>1042858.762462761</v>
      </c>
      <c r="M7" s="33">
        <v>365.1904336922766</v>
      </c>
      <c r="N7" s="5">
        <v>16</v>
      </c>
      <c r="O7" s="23">
        <v>94</v>
      </c>
      <c r="P7" s="33">
        <v>214.46597696209247</v>
      </c>
      <c r="Q7" s="23">
        <v>33.842697838335909</v>
      </c>
      <c r="R7" s="5">
        <v>5039.3951889465379</v>
      </c>
      <c r="S7" s="35"/>
      <c r="T7" s="23">
        <v>1226830.0632841759</v>
      </c>
      <c r="U7" s="33">
        <v>191.6478708461643</v>
      </c>
      <c r="V7" s="5">
        <v>11</v>
      </c>
      <c r="W7" s="23">
        <v>92.666666666666671</v>
      </c>
      <c r="X7" s="33">
        <v>396.42389026244234</v>
      </c>
      <c r="Y7" s="23">
        <v>48.123804016507705</v>
      </c>
      <c r="Z7" s="5">
        <v>5521.8389011772515</v>
      </c>
      <c r="AA7" s="35"/>
    </row>
    <row r="8" spans="2:27" x14ac:dyDescent="0.2">
      <c r="B8" s="4">
        <v>5</v>
      </c>
      <c r="C8" s="4">
        <v>407</v>
      </c>
      <c r="D8" s="23">
        <v>1158613.468585192</v>
      </c>
      <c r="E8" s="33">
        <v>113.97056346150261</v>
      </c>
      <c r="F8" s="5">
        <v>13</v>
      </c>
      <c r="G8" s="23">
        <v>94</v>
      </c>
      <c r="H8" s="33">
        <v>276.99255887922419</v>
      </c>
      <c r="I8" s="23">
        <v>40.910058745666142</v>
      </c>
      <c r="J8" s="5">
        <v>5439.6005044727408</v>
      </c>
      <c r="K8" s="31"/>
      <c r="L8" s="23">
        <v>1029943.054736782</v>
      </c>
      <c r="M8" s="33">
        <v>550.14317807687735</v>
      </c>
      <c r="N8" s="5">
        <v>16</v>
      </c>
      <c r="O8" s="23">
        <v>94</v>
      </c>
      <c r="P8" s="33">
        <v>212.58559372023288</v>
      </c>
      <c r="Q8" s="23">
        <v>33.015017778003738</v>
      </c>
      <c r="R8" s="5">
        <v>4937.0149871090198</v>
      </c>
      <c r="S8" s="35"/>
      <c r="T8" s="23">
        <v>1267098.547171823</v>
      </c>
      <c r="U8" s="33">
        <v>115.91463399997269</v>
      </c>
      <c r="V8" s="5">
        <v>12</v>
      </c>
      <c r="W8" s="23">
        <v>93.333333333333329</v>
      </c>
      <c r="X8" s="33">
        <v>510.15524670650836</v>
      </c>
      <c r="Y8" s="23">
        <v>44.974975296221942</v>
      </c>
      <c r="Z8" s="5">
        <v>5623.3121955573497</v>
      </c>
      <c r="AA8" s="35"/>
    </row>
    <row r="9" spans="2:27" x14ac:dyDescent="0.2">
      <c r="B9" s="4">
        <v>6</v>
      </c>
      <c r="C9" s="4">
        <v>501</v>
      </c>
      <c r="D9" s="23">
        <v>1179523.9750385331</v>
      </c>
      <c r="E9" s="33">
        <v>190.68499353839653</v>
      </c>
      <c r="F9" s="5">
        <v>15</v>
      </c>
      <c r="G9" s="23">
        <v>94</v>
      </c>
      <c r="H9" s="33">
        <v>358.06900163112118</v>
      </c>
      <c r="I9" s="23">
        <v>36.081197209071505</v>
      </c>
      <c r="J9" s="5">
        <v>5274.6486469221954</v>
      </c>
      <c r="K9" s="31"/>
      <c r="L9" s="23">
        <v>1104971.05840616</v>
      </c>
      <c r="M9" s="33">
        <v>376.78343623070623</v>
      </c>
      <c r="N9" s="5">
        <v>17</v>
      </c>
      <c r="O9" s="23">
        <v>94</v>
      </c>
      <c r="P9" s="33">
        <v>404.36829995321403</v>
      </c>
      <c r="Q9" s="23">
        <v>30.578127294918392</v>
      </c>
      <c r="R9" s="5">
        <v>5221.6957821353153</v>
      </c>
      <c r="S9" s="35"/>
      <c r="T9" s="23">
        <v>1289383.5812584921</v>
      </c>
      <c r="U9" s="33">
        <v>151.84873223080868</v>
      </c>
      <c r="V9" s="5">
        <v>11</v>
      </c>
      <c r="W9" s="23">
        <v>92</v>
      </c>
      <c r="X9" s="33">
        <v>543.75354592286351</v>
      </c>
      <c r="Y9" s="23">
        <v>47.616746998809248</v>
      </c>
      <c r="Z9" s="5">
        <v>5731.7420945470049</v>
      </c>
      <c r="AA9" s="35"/>
    </row>
    <row r="10" spans="2:27" x14ac:dyDescent="0.2">
      <c r="B10" s="4">
        <v>7</v>
      </c>
      <c r="C10" s="4">
        <v>503</v>
      </c>
      <c r="D10" s="23">
        <v>1154877.678065887</v>
      </c>
      <c r="E10" s="33">
        <v>101.398167923057</v>
      </c>
      <c r="F10" s="5">
        <v>13</v>
      </c>
      <c r="G10" s="23">
        <v>94</v>
      </c>
      <c r="H10" s="33">
        <v>338.97353268411445</v>
      </c>
      <c r="I10" s="23">
        <v>41.849561469790942</v>
      </c>
      <c r="J10" s="5">
        <v>5392.7221290743882</v>
      </c>
      <c r="K10" s="31"/>
      <c r="L10" s="23">
        <v>1048677.7664139001</v>
      </c>
      <c r="M10" s="33">
        <v>260.88055230775626</v>
      </c>
      <c r="N10" s="5">
        <v>16</v>
      </c>
      <c r="O10" s="23">
        <v>94</v>
      </c>
      <c r="P10" s="33">
        <v>245.57515867043642</v>
      </c>
      <c r="Q10" s="23">
        <v>33.086832886691781</v>
      </c>
      <c r="R10" s="5">
        <v>5049.9992931742845</v>
      </c>
      <c r="S10" s="35"/>
      <c r="T10" s="23">
        <v>1234436.457159058</v>
      </c>
      <c r="U10" s="33">
        <v>147.48078699993832</v>
      </c>
      <c r="V10" s="5">
        <v>11</v>
      </c>
      <c r="W10" s="23">
        <v>92</v>
      </c>
      <c r="X10" s="33">
        <v>337.57536227902233</v>
      </c>
      <c r="Y10" s="23">
        <v>47.250808433060499</v>
      </c>
      <c r="Z10" s="5">
        <v>5506.5307975869518</v>
      </c>
      <c r="AA10" s="35"/>
    </row>
    <row r="11" spans="2:27" x14ac:dyDescent="0.2">
      <c r="B11" s="4">
        <v>8</v>
      </c>
      <c r="C11" s="4">
        <v>599</v>
      </c>
      <c r="D11" s="23">
        <v>1174685.3457871131</v>
      </c>
      <c r="E11" s="33">
        <v>296.92075176916728</v>
      </c>
      <c r="F11" s="5">
        <v>14</v>
      </c>
      <c r="G11" s="23">
        <v>94</v>
      </c>
      <c r="H11" s="33">
        <v>429.42313508461041</v>
      </c>
      <c r="I11" s="23">
        <v>37.882386142464846</v>
      </c>
      <c r="J11" s="5">
        <v>5298.07573068689</v>
      </c>
      <c r="K11" s="31"/>
      <c r="L11" s="23">
        <v>1030502.6226935691</v>
      </c>
      <c r="M11" s="33">
        <v>238.75743799995129</v>
      </c>
      <c r="N11" s="5">
        <v>16</v>
      </c>
      <c r="O11" s="23">
        <v>94</v>
      </c>
      <c r="P11" s="33">
        <v>182.42071694745005</v>
      </c>
      <c r="Q11" s="23">
        <v>32.870731019667708</v>
      </c>
      <c r="R11" s="5">
        <v>4952.9258789915175</v>
      </c>
      <c r="S11" s="35"/>
      <c r="T11" s="23">
        <v>1234587.1827086399</v>
      </c>
      <c r="U11" s="33">
        <v>146.41308761542092</v>
      </c>
      <c r="V11" s="5">
        <v>11</v>
      </c>
      <c r="W11" s="23">
        <v>92</v>
      </c>
      <c r="X11" s="33">
        <v>350.47867490842197</v>
      </c>
      <c r="Y11" s="23">
        <v>47.260536046902764</v>
      </c>
      <c r="Z11" s="5">
        <v>5506.9630957235968</v>
      </c>
      <c r="AA11" s="35"/>
    </row>
    <row r="12" spans="2:27" x14ac:dyDescent="0.2">
      <c r="B12" s="4">
        <v>9</v>
      </c>
      <c r="C12" s="4">
        <v>663</v>
      </c>
      <c r="D12" s="23">
        <v>1201901.4673412519</v>
      </c>
      <c r="E12" s="33">
        <v>337.01970092307494</v>
      </c>
      <c r="F12" s="5">
        <v>14</v>
      </c>
      <c r="G12" s="23">
        <v>94</v>
      </c>
      <c r="H12" s="33">
        <v>479.43363229327366</v>
      </c>
      <c r="I12" s="23">
        <v>37.805822536630714</v>
      </c>
      <c r="J12" s="5">
        <v>5435.3960991830681</v>
      </c>
      <c r="K12" s="31"/>
      <c r="L12" s="23">
        <v>1055091.7471317649</v>
      </c>
      <c r="M12" s="33">
        <v>184.2783673077177</v>
      </c>
      <c r="N12" s="5">
        <v>17</v>
      </c>
      <c r="O12" s="23">
        <v>94</v>
      </c>
      <c r="P12" s="33">
        <v>256.3602679954202</v>
      </c>
      <c r="Q12" s="23">
        <v>31.143542753144388</v>
      </c>
      <c r="R12" s="5">
        <v>4998.5524919310401</v>
      </c>
      <c r="S12" s="35"/>
      <c r="T12" s="23">
        <v>1256311.498924854</v>
      </c>
      <c r="U12" s="33">
        <v>231.3446080768839</v>
      </c>
      <c r="V12" s="5">
        <v>12</v>
      </c>
      <c r="W12" s="23">
        <v>92</v>
      </c>
      <c r="X12" s="33">
        <v>344.04486684873734</v>
      </c>
      <c r="Y12" s="23">
        <v>42.855780775300993</v>
      </c>
      <c r="Z12" s="5">
        <v>5435.9871870370926</v>
      </c>
      <c r="AA12" s="35"/>
    </row>
    <row r="13" spans="2:27" x14ac:dyDescent="0.2">
      <c r="B13" s="4">
        <v>10</v>
      </c>
      <c r="C13" s="4">
        <v>731</v>
      </c>
      <c r="D13" s="23">
        <v>1183377.9090020419</v>
      </c>
      <c r="E13" s="33">
        <v>94.942989307634832</v>
      </c>
      <c r="F13" s="5">
        <v>14</v>
      </c>
      <c r="G13" s="23">
        <v>94</v>
      </c>
      <c r="H13" s="33">
        <v>422.50210120117367</v>
      </c>
      <c r="I13" s="23">
        <v>37.633366425991447</v>
      </c>
      <c r="J13" s="5">
        <v>5369.8627720996546</v>
      </c>
      <c r="K13" s="31"/>
      <c r="L13" s="23">
        <v>1045274.855568842</v>
      </c>
      <c r="M13" s="33">
        <v>314.42825999997484</v>
      </c>
      <c r="N13" s="5">
        <v>15</v>
      </c>
      <c r="O13" s="23">
        <v>94</v>
      </c>
      <c r="P13" s="33">
        <v>221.8828475862573</v>
      </c>
      <c r="Q13" s="23">
        <v>35.904045414565992</v>
      </c>
      <c r="R13" s="5">
        <v>5109.6983581383165</v>
      </c>
      <c r="S13" s="35"/>
      <c r="T13" s="23">
        <v>1233835.5002614651</v>
      </c>
      <c r="U13" s="33">
        <v>139.64219653844617</v>
      </c>
      <c r="V13" s="5">
        <v>11</v>
      </c>
      <c r="W13" s="23">
        <v>93.333333333333329</v>
      </c>
      <c r="X13" s="33">
        <v>372.0836678548182</v>
      </c>
      <c r="Y13" s="23">
        <v>48.427132600500435</v>
      </c>
      <c r="Z13" s="5">
        <v>5677.2004447107138</v>
      </c>
      <c r="AA13" s="35"/>
    </row>
    <row r="14" spans="2:27" x14ac:dyDescent="0.2">
      <c r="B14" s="50" t="s">
        <v>3</v>
      </c>
      <c r="C14" s="51"/>
      <c r="D14" s="9">
        <f>MIN(D4:D13)</f>
        <v>1141726.937281823</v>
      </c>
      <c r="E14" s="22">
        <f>INDEX(E4:E13, MATCH($D$14, D4:D13, 0))</f>
        <v>371.94766284620312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284.12843424466513</v>
      </c>
      <c r="I14" s="22">
        <f>INDEX(I4:I13, MATCH($D$14, D4:D13, 0))</f>
        <v>38.423322876589999</v>
      </c>
      <c r="J14" s="22">
        <f>INDEX(J4:J13, MATCH($D$14, D4:D13, 0))</f>
        <v>5202.2457846926009</v>
      </c>
      <c r="K14" s="32" t="e">
        <f>(D14-$D$15)/$D$15</f>
        <v>#DIV/0!</v>
      </c>
      <c r="L14" s="16">
        <f>MIN(L4:L13)</f>
        <v>1029943.054736782</v>
      </c>
      <c r="M14" s="21">
        <f>INDEX(M4:M13, MATCH($L$14, L4:L13, 0))</f>
        <v>550.14317807687735</v>
      </c>
      <c r="N14" s="16">
        <f>INDEX(N4:N13, MATCH($L$14, L4:L13, 0))</f>
        <v>16</v>
      </c>
      <c r="O14" s="16">
        <f>INDEX(O4:O13, MATCH($L$14, L4:L13, 0))</f>
        <v>94</v>
      </c>
      <c r="P14" s="21">
        <f>INDEX(P4:P13, MATCH($L$14, L4:L13, 0))</f>
        <v>212.58559372023288</v>
      </c>
      <c r="Q14" s="21">
        <f>INDEX(Q4:Q13, MATCH($L$14, L4:L13, 0))</f>
        <v>33.015017778003738</v>
      </c>
      <c r="R14" s="21">
        <f>INDEX(R4:R13, MATCH($L$14, L4:L13, 0))</f>
        <v>4937.0149871090198</v>
      </c>
      <c r="S14" s="36" t="e">
        <f>(L14-$D$15)/$D$15</f>
        <v>#DIV/0!</v>
      </c>
      <c r="T14" s="38">
        <f>MIN(T4:T13)</f>
        <v>1226266.766411623</v>
      </c>
      <c r="U14" s="39">
        <f>INDEX(U4:U13, MATCH($T$14, T4:T13, 0))</f>
        <v>189.65858553849662</v>
      </c>
      <c r="V14" s="38">
        <f>INDEX(V4:V13, MATCH($T$14, T4:T13, 0))</f>
        <v>12</v>
      </c>
      <c r="W14" s="38">
        <f>INDEX(W4:W13, MATCH($T$14, T4:T13, 0))</f>
        <v>93.333333333333329</v>
      </c>
      <c r="X14" s="39">
        <f>INDEX(X4:X13, MATCH($T$14, T4:T13, 0))</f>
        <v>361.61759249308579</v>
      </c>
      <c r="Y14" s="39">
        <f>INDEX(Y4:Y13, MATCH($T$14, T4:T13, 0))</f>
        <v>44.691322044569318</v>
      </c>
      <c r="Z14" s="39">
        <f>INDEX(Z4:Z13, MATCH($T$14, T4:T13, 0))</f>
        <v>5444.6279318879333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-9.7907721097630879E-2</v>
      </c>
      <c r="M15" s="41">
        <f t="shared" ref="M15:R15" si="0">(M14-E14)/E14</f>
        <v>0.4790876056784269</v>
      </c>
      <c r="N15" s="41">
        <f t="shared" si="0"/>
        <v>0.14285714285714285</v>
      </c>
      <c r="O15" s="41">
        <f t="shared" si="0"/>
        <v>0</v>
      </c>
      <c r="P15" s="41">
        <f t="shared" si="0"/>
        <v>-0.2517975390763818</v>
      </c>
      <c r="Q15" s="41">
        <f t="shared" si="0"/>
        <v>-0.14075578824759466</v>
      </c>
      <c r="R15" s="41">
        <f t="shared" si="0"/>
        <v>-5.0983903598713472E-2</v>
      </c>
      <c r="T15" s="41">
        <f>(T14-D14)/D14</f>
        <v>7.4045576371412375E-2</v>
      </c>
      <c r="U15" s="41">
        <f t="shared" ref="U15:Z15" si="1">(U14-E14)/E14</f>
        <v>-0.49009335322287351</v>
      </c>
      <c r="V15" s="41">
        <f t="shared" si="1"/>
        <v>-0.14285714285714285</v>
      </c>
      <c r="W15" s="41">
        <f t="shared" si="1"/>
        <v>-7.0921985815603338E-3</v>
      </c>
      <c r="X15" s="41">
        <f t="shared" si="1"/>
        <v>0.27272581307963767</v>
      </c>
      <c r="Y15" s="41">
        <f t="shared" si="1"/>
        <v>0.16313006524998372</v>
      </c>
      <c r="Z15" s="41">
        <f t="shared" si="1"/>
        <v>4.6591829226625962E-2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119" priority="11"/>
    <cfRule type="duplicateValues" dxfId="118" priority="12"/>
  </conditionalFormatting>
  <conditionalFormatting sqref="C2">
    <cfRule type="duplicateValues" dxfId="117" priority="3"/>
    <cfRule type="duplicateValues" dxfId="116" priority="4"/>
  </conditionalFormatting>
  <conditionalFormatting sqref="C4:C13">
    <cfRule type="duplicateValues" dxfId="115" priority="5"/>
    <cfRule type="duplicateValues" dxfId="114" priority="6"/>
  </conditionalFormatting>
  <conditionalFormatting sqref="C14">
    <cfRule type="duplicateValues" dxfId="113" priority="9"/>
    <cfRule type="duplicateValues" dxfId="112" priority="10"/>
  </conditionalFormatting>
  <conditionalFormatting sqref="C15">
    <cfRule type="duplicateValues" dxfId="111" priority="7"/>
    <cfRule type="duplicateValues" dxfId="110" priority="8"/>
  </conditionalFormatting>
  <conditionalFormatting sqref="C17:C40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5481-6863-4A2C-ACE5-11B06FC7399E}">
  <dimension ref="B1:AA17"/>
  <sheetViews>
    <sheetView zoomScale="85" zoomScaleNormal="85" workbookViewId="0">
      <selection activeCell="U20" sqref="U20: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-0.23673240610386143</v>
      </c>
      <c r="R2" s="1">
        <f>(R14-J14)/J14</f>
        <v>-9.5221753940604281E-2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1165811.7722223699</v>
      </c>
      <c r="E4" s="33">
        <v>146.44345992307461</v>
      </c>
      <c r="F4" s="5">
        <v>12</v>
      </c>
      <c r="G4" s="23">
        <v>93.333333333333329</v>
      </c>
      <c r="H4" s="33">
        <v>333.17399140428307</v>
      </c>
      <c r="I4" s="23">
        <v>46.56837742252381</v>
      </c>
      <c r="J4" s="5">
        <v>5421.3436955217421</v>
      </c>
      <c r="K4" s="31"/>
      <c r="L4" s="23">
        <v>1074358.6530228639</v>
      </c>
      <c r="M4" s="33">
        <v>282.02094184610843</v>
      </c>
      <c r="N4" s="5">
        <v>15</v>
      </c>
      <c r="O4" s="23">
        <v>94</v>
      </c>
      <c r="P4" s="33">
        <v>268.8431112840222</v>
      </c>
      <c r="Q4" s="23">
        <v>37.697044668957837</v>
      </c>
      <c r="R4" s="5">
        <v>5191.6712234798861</v>
      </c>
      <c r="S4" s="35"/>
      <c r="T4" s="23">
        <v>1232118.4399528131</v>
      </c>
      <c r="U4" s="33">
        <v>145.98163161534245</v>
      </c>
      <c r="V4" s="5">
        <v>11</v>
      </c>
      <c r="W4" s="23">
        <v>92.666666666666671</v>
      </c>
      <c r="X4" s="33">
        <v>385.43446773145371</v>
      </c>
      <c r="Y4" s="23">
        <v>50.259206076656703</v>
      </c>
      <c r="Z4" s="5">
        <v>5505.4508299003128</v>
      </c>
      <c r="AA4" s="35"/>
    </row>
    <row r="5" spans="2:27" x14ac:dyDescent="0.2">
      <c r="B5" s="4">
        <v>2</v>
      </c>
      <c r="C5" s="4">
        <v>199</v>
      </c>
      <c r="D5" s="23">
        <v>1177420.745513577</v>
      </c>
      <c r="E5" s="33">
        <v>181.57157261533524</v>
      </c>
      <c r="F5" s="5">
        <v>13</v>
      </c>
      <c r="G5" s="23">
        <v>94</v>
      </c>
      <c r="H5" s="33">
        <v>373.33237715219161</v>
      </c>
      <c r="I5" s="23">
        <v>43.243950924027288</v>
      </c>
      <c r="J5" s="5">
        <v>5436.530931383867</v>
      </c>
      <c r="K5" s="31"/>
      <c r="L5" s="23">
        <v>1091375.5666070171</v>
      </c>
      <c r="M5" s="33">
        <v>169.55301538459022</v>
      </c>
      <c r="N5" s="5">
        <v>16</v>
      </c>
      <c r="O5" s="23">
        <v>94</v>
      </c>
      <c r="P5" s="33">
        <v>347.9516272997808</v>
      </c>
      <c r="Q5" s="23">
        <v>34.96644846723764</v>
      </c>
      <c r="R5" s="5">
        <v>5178.599426721581</v>
      </c>
      <c r="S5" s="35"/>
      <c r="T5" s="23">
        <v>1232922.4426543501</v>
      </c>
      <c r="U5" s="33">
        <v>123.00204923071969</v>
      </c>
      <c r="V5" s="5">
        <v>11</v>
      </c>
      <c r="W5" s="23">
        <v>93.333333333333329</v>
      </c>
      <c r="X5" s="33">
        <v>554.41199567134788</v>
      </c>
      <c r="Y5" s="23">
        <v>52.134149379168043</v>
      </c>
      <c r="Z5" s="5">
        <v>5521.7689798087267</v>
      </c>
      <c r="AA5" s="35"/>
    </row>
    <row r="6" spans="2:27" x14ac:dyDescent="0.2">
      <c r="B6" s="4">
        <v>3</v>
      </c>
      <c r="C6" s="4">
        <v>221</v>
      </c>
      <c r="D6" s="23">
        <v>1181428.0970732439</v>
      </c>
      <c r="E6" s="33">
        <v>221.80821776927377</v>
      </c>
      <c r="F6" s="5">
        <v>12</v>
      </c>
      <c r="G6" s="23">
        <v>94</v>
      </c>
      <c r="H6" s="33">
        <v>323.89224579221337</v>
      </c>
      <c r="I6" s="23">
        <v>46.327004582394245</v>
      </c>
      <c r="J6" s="5">
        <v>5606.299673098998</v>
      </c>
      <c r="K6" s="31"/>
      <c r="L6" s="23">
        <v>1058105.088206134</v>
      </c>
      <c r="M6" s="33">
        <v>216.81479300005145</v>
      </c>
      <c r="N6" s="5">
        <v>15</v>
      </c>
      <c r="O6" s="23">
        <v>94</v>
      </c>
      <c r="P6" s="33">
        <v>230.86282490099077</v>
      </c>
      <c r="Q6" s="23">
        <v>36.812294065882227</v>
      </c>
      <c r="R6" s="5">
        <v>5078.1749746094611</v>
      </c>
      <c r="S6" s="35"/>
      <c r="T6" s="23">
        <v>1298528.7189946731</v>
      </c>
      <c r="U6" s="33">
        <v>107.45100430768122</v>
      </c>
      <c r="V6" s="5">
        <v>11</v>
      </c>
      <c r="W6" s="23">
        <v>92.666666666666671</v>
      </c>
      <c r="X6" s="33">
        <v>522.97627102713807</v>
      </c>
      <c r="Y6" s="23">
        <v>50.103719508189847</v>
      </c>
      <c r="Z6" s="5">
        <v>5885.3003181027016</v>
      </c>
      <c r="AA6" s="35"/>
    </row>
    <row r="7" spans="2:27" x14ac:dyDescent="0.2">
      <c r="B7" s="4">
        <v>4</v>
      </c>
      <c r="C7" s="4">
        <v>254</v>
      </c>
      <c r="D7" s="23">
        <v>1174184.5602595841</v>
      </c>
      <c r="E7" s="33">
        <v>154.33890084619631</v>
      </c>
      <c r="F7" s="5">
        <v>14</v>
      </c>
      <c r="G7" s="23">
        <v>94</v>
      </c>
      <c r="H7" s="33">
        <v>349.88343846988687</v>
      </c>
      <c r="I7" s="23">
        <v>40.279638286506497</v>
      </c>
      <c r="J7" s="5">
        <v>5312.0648531790848</v>
      </c>
      <c r="K7" s="31"/>
      <c r="L7" s="23">
        <v>1048963.6723985779</v>
      </c>
      <c r="M7" s="33">
        <v>185.00453130771908</v>
      </c>
      <c r="N7" s="5">
        <v>15</v>
      </c>
      <c r="O7" s="23">
        <v>94</v>
      </c>
      <c r="P7" s="33">
        <v>229.42378865245379</v>
      </c>
      <c r="Q7" s="23">
        <v>37.057896796337893</v>
      </c>
      <c r="R7" s="5">
        <v>5037.3725010207454</v>
      </c>
      <c r="S7" s="35"/>
      <c r="T7" s="23">
        <v>1258873.618953584</v>
      </c>
      <c r="U7" s="33">
        <v>243.87492115385467</v>
      </c>
      <c r="V7" s="5">
        <v>12</v>
      </c>
      <c r="W7" s="23">
        <v>92.666666666666671</v>
      </c>
      <c r="X7" s="33">
        <v>379.51064672792728</v>
      </c>
      <c r="Y7" s="23">
        <v>46.201099846877618</v>
      </c>
      <c r="Z7" s="5">
        <v>5510.4700326356151</v>
      </c>
      <c r="AA7" s="35"/>
    </row>
    <row r="8" spans="2:27" x14ac:dyDescent="0.2">
      <c r="B8" s="4">
        <v>5</v>
      </c>
      <c r="C8" s="4">
        <v>322</v>
      </c>
      <c r="D8" s="23">
        <v>1183868.953052948</v>
      </c>
      <c r="E8" s="33">
        <v>120.23267007692576</v>
      </c>
      <c r="F8" s="5">
        <v>12</v>
      </c>
      <c r="G8" s="23">
        <v>94</v>
      </c>
      <c r="H8" s="33">
        <v>521.56548228476356</v>
      </c>
      <c r="I8" s="23">
        <v>47.834075658752916</v>
      </c>
      <c r="J8" s="5">
        <v>5524.5107805118623</v>
      </c>
      <c r="K8" s="31"/>
      <c r="L8" s="23">
        <v>1071416.246114149</v>
      </c>
      <c r="M8" s="33">
        <v>261.39316315386583</v>
      </c>
      <c r="N8" s="5">
        <v>16</v>
      </c>
      <c r="O8" s="23">
        <v>94</v>
      </c>
      <c r="P8" s="33">
        <v>308.60039826739296</v>
      </c>
      <c r="Q8" s="23">
        <v>35.522492337744382</v>
      </c>
      <c r="R8" s="5">
        <v>5070.3052057132845</v>
      </c>
      <c r="S8" s="35"/>
      <c r="T8" s="23">
        <v>1238687.81515289</v>
      </c>
      <c r="U8" s="33">
        <v>162.56657415392021</v>
      </c>
      <c r="V8" s="5">
        <v>11</v>
      </c>
      <c r="W8" s="23">
        <v>93.333333333333329</v>
      </c>
      <c r="X8" s="33">
        <v>412.01878014720546</v>
      </c>
      <c r="Y8" s="23">
        <v>48.973879032549753</v>
      </c>
      <c r="Z8" s="5">
        <v>5596.89471362524</v>
      </c>
      <c r="AA8" s="35"/>
    </row>
    <row r="9" spans="2:27" x14ac:dyDescent="0.2">
      <c r="B9" s="4">
        <v>6</v>
      </c>
      <c r="C9" s="4">
        <v>333</v>
      </c>
      <c r="D9" s="23">
        <v>1155075.914594016</v>
      </c>
      <c r="E9" s="33">
        <v>124.98730038462853</v>
      </c>
      <c r="F9" s="5">
        <v>13</v>
      </c>
      <c r="G9" s="23">
        <v>94</v>
      </c>
      <c r="H9" s="33">
        <v>315.4818009440686</v>
      </c>
      <c r="I9" s="23">
        <v>43.565165325317544</v>
      </c>
      <c r="J9" s="5">
        <v>5346.775780707324</v>
      </c>
      <c r="K9" s="31"/>
      <c r="L9" s="23">
        <v>1047458.490405925</v>
      </c>
      <c r="M9" s="33">
        <v>436.99465438463869</v>
      </c>
      <c r="N9" s="5">
        <v>18</v>
      </c>
      <c r="O9" s="23">
        <v>94</v>
      </c>
      <c r="P9" s="33">
        <v>240.79703512459977</v>
      </c>
      <c r="Q9" s="23">
        <v>30.91713487488877</v>
      </c>
      <c r="R9" s="5">
        <v>4837.6464129412288</v>
      </c>
      <c r="S9" s="35"/>
      <c r="T9" s="23">
        <v>1339371.752349539</v>
      </c>
      <c r="U9" s="33">
        <v>192.7578086923593</v>
      </c>
      <c r="V9" s="5">
        <v>11</v>
      </c>
      <c r="W9" s="23">
        <v>92</v>
      </c>
      <c r="X9" s="33">
        <v>708.63281580789237</v>
      </c>
      <c r="Y9" s="23">
        <v>50.960826644393848</v>
      </c>
      <c r="Z9" s="5">
        <v>5949.8011042284388</v>
      </c>
      <c r="AA9" s="35"/>
    </row>
    <row r="10" spans="2:27" x14ac:dyDescent="0.2">
      <c r="B10" s="4">
        <v>7</v>
      </c>
      <c r="C10" s="4">
        <v>475</v>
      </c>
      <c r="D10" s="23">
        <v>1183868.953052948</v>
      </c>
      <c r="E10" s="33">
        <v>177.72703538460729</v>
      </c>
      <c r="F10" s="5">
        <v>12</v>
      </c>
      <c r="G10" s="23">
        <v>94</v>
      </c>
      <c r="H10" s="33">
        <v>521.56548228476356</v>
      </c>
      <c r="I10" s="23">
        <v>47.834075658752916</v>
      </c>
      <c r="J10" s="5">
        <v>5524.5107805118623</v>
      </c>
      <c r="K10" s="31"/>
      <c r="L10" s="23">
        <v>1066106.2945638441</v>
      </c>
      <c r="M10" s="33">
        <v>323.26181261540529</v>
      </c>
      <c r="N10" s="5">
        <v>18</v>
      </c>
      <c r="O10" s="23">
        <v>94</v>
      </c>
      <c r="P10" s="33">
        <v>327.55730308503246</v>
      </c>
      <c r="Q10" s="23">
        <v>30.99509675331122</v>
      </c>
      <c r="R10" s="5">
        <v>4889.0139972381967</v>
      </c>
      <c r="S10" s="35"/>
      <c r="T10" s="23">
        <v>1287772.115336186</v>
      </c>
      <c r="U10" s="33">
        <v>218.58942323077753</v>
      </c>
      <c r="V10" s="5">
        <v>11</v>
      </c>
      <c r="W10" s="23">
        <v>93.333333333333329</v>
      </c>
      <c r="X10" s="33">
        <v>528.47433705841831</v>
      </c>
      <c r="Y10" s="23">
        <v>49.676697110535883</v>
      </c>
      <c r="Z10" s="5">
        <v>5854.5369361792455</v>
      </c>
      <c r="AA10" s="35"/>
    </row>
    <row r="11" spans="2:27" x14ac:dyDescent="0.2">
      <c r="B11" s="4">
        <v>8</v>
      </c>
      <c r="C11" s="4">
        <v>637</v>
      </c>
      <c r="D11" s="23">
        <v>1183868.953052948</v>
      </c>
      <c r="E11" s="33">
        <v>188.87606300001676</v>
      </c>
      <c r="F11" s="5">
        <v>12</v>
      </c>
      <c r="G11" s="23">
        <v>94</v>
      </c>
      <c r="H11" s="33">
        <v>521.56548228476356</v>
      </c>
      <c r="I11" s="23">
        <v>47.834075658752916</v>
      </c>
      <c r="J11" s="5">
        <v>5524.5107805118623</v>
      </c>
      <c r="K11" s="31"/>
      <c r="L11" s="23">
        <v>1088739.286482214</v>
      </c>
      <c r="M11" s="33">
        <v>288.04463753843891</v>
      </c>
      <c r="N11" s="5">
        <v>17</v>
      </c>
      <c r="O11" s="23">
        <v>94</v>
      </c>
      <c r="P11" s="33">
        <v>306.97912413161998</v>
      </c>
      <c r="Q11" s="23">
        <v>32.484058280279655</v>
      </c>
      <c r="R11" s="5">
        <v>5111.0447481329984</v>
      </c>
      <c r="S11" s="35"/>
      <c r="T11" s="23">
        <v>1258873.618953584</v>
      </c>
      <c r="U11" s="33">
        <v>124.81496623081439</v>
      </c>
      <c r="V11" s="5">
        <v>12</v>
      </c>
      <c r="W11" s="23">
        <v>92.666666666666671</v>
      </c>
      <c r="X11" s="33">
        <v>379.51064672792728</v>
      </c>
      <c r="Y11" s="23">
        <v>46.201099846877618</v>
      </c>
      <c r="Z11" s="5">
        <v>5510.4700326356151</v>
      </c>
      <c r="AA11" s="35"/>
    </row>
    <row r="12" spans="2:27" x14ac:dyDescent="0.2">
      <c r="B12" s="4">
        <v>9</v>
      </c>
      <c r="C12" s="4">
        <v>903</v>
      </c>
      <c r="D12" s="23">
        <v>1175236.7998209151</v>
      </c>
      <c r="E12" s="33">
        <v>169.29325138460484</v>
      </c>
      <c r="F12" s="5">
        <v>13</v>
      </c>
      <c r="G12" s="23">
        <v>94</v>
      </c>
      <c r="H12" s="33">
        <v>385.7997171012762</v>
      </c>
      <c r="I12" s="23">
        <v>43.97680808942669</v>
      </c>
      <c r="J12" s="5">
        <v>5432.5516405024864</v>
      </c>
      <c r="K12" s="31"/>
      <c r="L12" s="23">
        <v>1055443.0855617551</v>
      </c>
      <c r="M12" s="33">
        <v>241.83324307695813</v>
      </c>
      <c r="N12" s="5">
        <v>16</v>
      </c>
      <c r="O12" s="23">
        <v>94</v>
      </c>
      <c r="P12" s="33">
        <v>270.66486178671516</v>
      </c>
      <c r="Q12" s="23">
        <v>35.149680647296201</v>
      </c>
      <c r="R12" s="5">
        <v>4997.4078492397975</v>
      </c>
      <c r="S12" s="35"/>
      <c r="T12" s="23">
        <v>1207907.132348733</v>
      </c>
      <c r="U12" s="33">
        <v>213.2241164615306</v>
      </c>
      <c r="V12" s="5">
        <v>11</v>
      </c>
      <c r="W12" s="23">
        <v>93.333333333333329</v>
      </c>
      <c r="X12" s="33">
        <v>308.45810776045732</v>
      </c>
      <c r="Y12" s="23">
        <v>49.401485677297593</v>
      </c>
      <c r="Z12" s="5">
        <v>5467.5562290774087</v>
      </c>
      <c r="AA12" s="35"/>
    </row>
    <row r="13" spans="2:27" x14ac:dyDescent="0.2">
      <c r="B13" s="4">
        <v>10</v>
      </c>
      <c r="C13" s="4">
        <v>998</v>
      </c>
      <c r="D13" s="23">
        <v>1157102.776712934</v>
      </c>
      <c r="E13" s="33">
        <v>180.61401653846798</v>
      </c>
      <c r="F13" s="5">
        <v>13</v>
      </c>
      <c r="G13" s="23">
        <v>94</v>
      </c>
      <c r="H13" s="33">
        <v>310.69270707462476</v>
      </c>
      <c r="I13" s="23">
        <v>43.500701755209576</v>
      </c>
      <c r="J13" s="5">
        <v>5348.9870947343234</v>
      </c>
      <c r="K13" s="31"/>
      <c r="L13" s="23">
        <v>1074764.849844103</v>
      </c>
      <c r="M13" s="33">
        <v>144.88395723075459</v>
      </c>
      <c r="N13" s="5">
        <v>15</v>
      </c>
      <c r="O13" s="23">
        <v>94</v>
      </c>
      <c r="P13" s="33">
        <v>270.52899983777309</v>
      </c>
      <c r="Q13" s="23">
        <v>37.694674036619553</v>
      </c>
      <c r="R13" s="5">
        <v>5192.7651300349953</v>
      </c>
      <c r="S13" s="35"/>
      <c r="T13" s="23">
        <v>1283353.8701821661</v>
      </c>
      <c r="U13" s="33">
        <v>162.57306638469277</v>
      </c>
      <c r="V13" s="5">
        <v>11</v>
      </c>
      <c r="W13" s="23">
        <v>92.666666666666671</v>
      </c>
      <c r="X13" s="33">
        <v>476.60537788097815</v>
      </c>
      <c r="Y13" s="23">
        <v>49.544055506637754</v>
      </c>
      <c r="Z13" s="5">
        <v>5766.5975844605819</v>
      </c>
      <c r="AA13" s="35"/>
    </row>
    <row r="14" spans="2:27" x14ac:dyDescent="0.2">
      <c r="B14" s="50" t="s">
        <v>3</v>
      </c>
      <c r="C14" s="51"/>
      <c r="D14" s="9">
        <f>MIN(D4:D13)</f>
        <v>1155075.914594016</v>
      </c>
      <c r="E14" s="22">
        <f>INDEX(E4:E13, MATCH($D$14, D4:D13, 0))</f>
        <v>124.98730038462853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315.4818009440686</v>
      </c>
      <c r="I14" s="22">
        <f>INDEX(I4:I13, MATCH($D$14, D4:D13, 0))</f>
        <v>43.565165325317544</v>
      </c>
      <c r="J14" s="22">
        <f>INDEX(J4:J13, MATCH($D$14, D4:D13, 0))</f>
        <v>5346.775780707324</v>
      </c>
      <c r="K14" s="32" t="e">
        <f>(D14-$D$15)/$D$15</f>
        <v>#DIV/0!</v>
      </c>
      <c r="L14" s="16">
        <f>MIN(L4:L13)</f>
        <v>1047458.490405925</v>
      </c>
      <c r="M14" s="21">
        <f>INDEX(M4:M13, MATCH($L$14, L4:L13, 0))</f>
        <v>436.99465438463869</v>
      </c>
      <c r="N14" s="16">
        <f>INDEX(N4:N13, MATCH($L$14, L4:L13, 0))</f>
        <v>18</v>
      </c>
      <c r="O14" s="16">
        <f>INDEX(O4:O13, MATCH($L$14, L4:L13, 0))</f>
        <v>94</v>
      </c>
      <c r="P14" s="21">
        <f>INDEX(P4:P13, MATCH($L$14, L4:L13, 0))</f>
        <v>240.79703512459977</v>
      </c>
      <c r="Q14" s="21">
        <f>INDEX(Q4:Q13, MATCH($L$14, L4:L13, 0))</f>
        <v>30.91713487488877</v>
      </c>
      <c r="R14" s="21">
        <f>INDEX(R4:R13, MATCH($L$14, L4:L13, 0))</f>
        <v>4837.6464129412288</v>
      </c>
      <c r="S14" s="36" t="e">
        <f>(L14-$D$15)/$D$15</f>
        <v>#DIV/0!</v>
      </c>
      <c r="T14" s="38">
        <f>MIN(T4:T13)</f>
        <v>1207907.132348733</v>
      </c>
      <c r="U14" s="39">
        <f>INDEX(U4:U13, MATCH($T$14, T4:T13, 0))</f>
        <v>213.2241164615306</v>
      </c>
      <c r="V14" s="38">
        <f>INDEX(V4:V13, MATCH($T$14, T4:T13, 0))</f>
        <v>11</v>
      </c>
      <c r="W14" s="38">
        <f>INDEX(W4:W13, MATCH($T$14, T4:T13, 0))</f>
        <v>93.333333333333329</v>
      </c>
      <c r="X14" s="39">
        <f>INDEX(X4:X13, MATCH($T$14, T4:T13, 0))</f>
        <v>308.45810776045732</v>
      </c>
      <c r="Y14" s="39">
        <f>INDEX(Y4:Y13, MATCH($T$14, T4:T13, 0))</f>
        <v>49.401485677297593</v>
      </c>
      <c r="Z14" s="39">
        <f>INDEX(Z4:Z13, MATCH($T$14, T4:T13, 0))</f>
        <v>5467.5562290774087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-9.3169135316890611E-2</v>
      </c>
      <c r="M15" s="41">
        <f t="shared" ref="M15:R15" si="0">(M14-E14)/E14</f>
        <v>2.4963124496637437</v>
      </c>
      <c r="N15" s="41">
        <f t="shared" si="0"/>
        <v>0.38461538461538464</v>
      </c>
      <c r="O15" s="41">
        <f t="shared" si="0"/>
        <v>0</v>
      </c>
      <c r="P15" s="41">
        <f t="shared" si="0"/>
        <v>-0.23673240610386143</v>
      </c>
      <c r="Q15" s="41">
        <f t="shared" si="0"/>
        <v>-0.29032439923000758</v>
      </c>
      <c r="R15" s="41">
        <f t="shared" si="0"/>
        <v>-9.5221753940604281E-2</v>
      </c>
      <c r="T15" s="41">
        <f>(T14-D14)/D14</f>
        <v>4.5738307835191942E-2</v>
      </c>
      <c r="U15" s="41">
        <f t="shared" ref="U15:Z15" si="1">(U14-E14)/E14</f>
        <v>0.70596625261420409</v>
      </c>
      <c r="V15" s="41">
        <f t="shared" si="1"/>
        <v>-0.15384615384615385</v>
      </c>
      <c r="W15" s="41">
        <f t="shared" si="1"/>
        <v>-7.0921985815603338E-3</v>
      </c>
      <c r="X15" s="41">
        <f t="shared" si="1"/>
        <v>-2.2263386232084095E-2</v>
      </c>
      <c r="Y15" s="41">
        <f t="shared" si="1"/>
        <v>0.13396759333743005</v>
      </c>
      <c r="Z15" s="41">
        <f t="shared" si="1"/>
        <v>2.2589398419491365E-2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109" priority="11"/>
    <cfRule type="duplicateValues" dxfId="108" priority="12"/>
  </conditionalFormatting>
  <conditionalFormatting sqref="C2">
    <cfRule type="duplicateValues" dxfId="107" priority="3"/>
    <cfRule type="duplicateValues" dxfId="106" priority="4"/>
  </conditionalFormatting>
  <conditionalFormatting sqref="C4:C13">
    <cfRule type="duplicateValues" dxfId="105" priority="5"/>
    <cfRule type="duplicateValues" dxfId="104" priority="6"/>
  </conditionalFormatting>
  <conditionalFormatting sqref="C14">
    <cfRule type="duplicateValues" dxfId="103" priority="9"/>
    <cfRule type="duplicateValues" dxfId="102" priority="10"/>
  </conditionalFormatting>
  <conditionalFormatting sqref="C15">
    <cfRule type="duplicateValues" dxfId="101" priority="7"/>
    <cfRule type="duplicateValues" dxfId="100" priority="8"/>
  </conditionalFormatting>
  <conditionalFormatting sqref="C17:C40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C41-71D6-43C7-8DDF-0A8890644F1D}">
  <dimension ref="B1:AA17"/>
  <sheetViews>
    <sheetView zoomScale="85" zoomScaleNormal="85" workbookViewId="0">
      <selection activeCell="U20" sqref="U20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-0.20194633773222775</v>
      </c>
      <c r="R2" s="1">
        <f>(R14-J14)/J14</f>
        <v>-8.6960095903711843E-2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323.91321707696005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>
        <v>1017472.185982055</v>
      </c>
      <c r="M4" s="33">
        <v>174.60334153845909</v>
      </c>
      <c r="N4" s="5">
        <v>18</v>
      </c>
      <c r="O4" s="23">
        <v>98.666666666666671</v>
      </c>
      <c r="P4" s="33">
        <v>451.21066883781992</v>
      </c>
      <c r="Q4" s="23">
        <v>32.802805374551482</v>
      </c>
      <c r="R4" s="5">
        <v>5297.4927870592574</v>
      </c>
      <c r="S4" s="35"/>
      <c r="T4" s="23">
        <v>1172151.5518684301</v>
      </c>
      <c r="U4" s="33">
        <v>247.04474115386031</v>
      </c>
      <c r="V4" s="5">
        <v>12</v>
      </c>
      <c r="W4" s="23">
        <v>97.333333333333329</v>
      </c>
      <c r="X4" s="33">
        <v>522.60199679471975</v>
      </c>
      <c r="Y4" s="23">
        <v>48.711067574320566</v>
      </c>
      <c r="Z4" s="5">
        <v>5643.3301439296092</v>
      </c>
      <c r="AA4" s="35"/>
    </row>
    <row r="5" spans="2:27" x14ac:dyDescent="0.2">
      <c r="B5" s="4">
        <v>2</v>
      </c>
      <c r="C5" s="4">
        <v>43</v>
      </c>
      <c r="D5" s="23">
        <v>1121786.2826260659</v>
      </c>
      <c r="E5" s="33">
        <v>208.6951060769542</v>
      </c>
      <c r="F5" s="5">
        <v>13</v>
      </c>
      <c r="G5" s="23">
        <v>98.666666666666671</v>
      </c>
      <c r="H5" s="33">
        <v>619.0229855192207</v>
      </c>
      <c r="I5" s="23">
        <v>45.072103264841239</v>
      </c>
      <c r="J5" s="5">
        <v>5694.8610713517592</v>
      </c>
      <c r="K5" s="31"/>
      <c r="L5" s="23">
        <v>1053528.877629539</v>
      </c>
      <c r="M5" s="33">
        <v>212.85820992305301</v>
      </c>
      <c r="N5" s="5">
        <v>17</v>
      </c>
      <c r="O5" s="23">
        <v>98.666666666666671</v>
      </c>
      <c r="P5" s="33">
        <v>566.33586348304857</v>
      </c>
      <c r="Q5" s="23">
        <v>33.404426423346848</v>
      </c>
      <c r="R5" s="5">
        <v>5502.8947983124499</v>
      </c>
      <c r="S5" s="35"/>
      <c r="T5" s="23">
        <v>1179743.1828375631</v>
      </c>
      <c r="U5" s="33">
        <v>199.54214730765671</v>
      </c>
      <c r="V5" s="5">
        <v>11</v>
      </c>
      <c r="W5" s="23">
        <v>96.666666666666671</v>
      </c>
      <c r="X5" s="33">
        <v>609.92813084945328</v>
      </c>
      <c r="Y5" s="23">
        <v>53.327965485556767</v>
      </c>
      <c r="Z5" s="5">
        <v>5758.5113706593675</v>
      </c>
      <c r="AA5" s="35"/>
    </row>
    <row r="6" spans="2:27" x14ac:dyDescent="0.2">
      <c r="B6" s="4">
        <v>3</v>
      </c>
      <c r="C6" s="4">
        <v>165</v>
      </c>
      <c r="D6" s="23">
        <v>1146239.0879266439</v>
      </c>
      <c r="E6" s="33">
        <v>145.33956584610183</v>
      </c>
      <c r="F6" s="5">
        <v>14</v>
      </c>
      <c r="G6" s="23">
        <v>98.666666666666671</v>
      </c>
      <c r="H6" s="33">
        <v>647.95799584527902</v>
      </c>
      <c r="I6" s="23">
        <v>42.327934779083762</v>
      </c>
      <c r="J6" s="5">
        <v>5712.7035541894957</v>
      </c>
      <c r="K6" s="31"/>
      <c r="L6" s="23">
        <v>1008137.587973261</v>
      </c>
      <c r="M6" s="33">
        <v>308.43787676923404</v>
      </c>
      <c r="N6" s="5">
        <v>18</v>
      </c>
      <c r="O6" s="23">
        <v>98.666666666666671</v>
      </c>
      <c r="P6" s="33">
        <v>382.43222166162838</v>
      </c>
      <c r="Q6" s="23">
        <v>33.140367244375689</v>
      </c>
      <c r="R6" s="5">
        <v>5280.9155421544519</v>
      </c>
      <c r="S6" s="35"/>
      <c r="T6" s="23">
        <v>1226475.578524081</v>
      </c>
      <c r="U6" s="33">
        <v>219.88825853851336</v>
      </c>
      <c r="V6" s="5">
        <v>12</v>
      </c>
      <c r="W6" s="23">
        <v>96</v>
      </c>
      <c r="X6" s="33">
        <v>566.40389559001187</v>
      </c>
      <c r="Y6" s="23">
        <v>47.937372084437072</v>
      </c>
      <c r="Z6" s="5">
        <v>5763.5816366056106</v>
      </c>
      <c r="AA6" s="35"/>
    </row>
    <row r="7" spans="2:27" x14ac:dyDescent="0.2">
      <c r="B7" s="4">
        <v>4</v>
      </c>
      <c r="C7" s="4">
        <v>242</v>
      </c>
      <c r="D7" s="23">
        <v>1130331.2847810029</v>
      </c>
      <c r="E7" s="33">
        <v>333.8130008461527</v>
      </c>
      <c r="F7" s="5">
        <v>14</v>
      </c>
      <c r="G7" s="23">
        <v>98.666666666666671</v>
      </c>
      <c r="H7" s="33">
        <v>539.58555323621454</v>
      </c>
      <c r="I7" s="23">
        <v>42.186819433527738</v>
      </c>
      <c r="J7" s="5">
        <v>5683.283563563481</v>
      </c>
      <c r="K7" s="31"/>
      <c r="L7" s="23">
        <v>1016071.454575539</v>
      </c>
      <c r="M7" s="33">
        <v>237.86017346151101</v>
      </c>
      <c r="N7" s="5">
        <v>18</v>
      </c>
      <c r="O7" s="23">
        <v>98.666666666666671</v>
      </c>
      <c r="P7" s="33">
        <v>431.02160100873567</v>
      </c>
      <c r="Q7" s="23">
        <v>32.201670803811176</v>
      </c>
      <c r="R7" s="5">
        <v>5277.2217034575742</v>
      </c>
      <c r="S7" s="35"/>
      <c r="T7" s="23">
        <v>1222712.4927172039</v>
      </c>
      <c r="U7" s="33">
        <v>326.06326423074978</v>
      </c>
      <c r="V7" s="5">
        <v>13</v>
      </c>
      <c r="W7" s="23">
        <v>98</v>
      </c>
      <c r="X7" s="33">
        <v>635.95874094159058</v>
      </c>
      <c r="Y7" s="23">
        <v>44.132628603912735</v>
      </c>
      <c r="Z7" s="5">
        <v>5770.6048076973502</v>
      </c>
      <c r="AA7" s="35"/>
    </row>
    <row r="8" spans="2:27" x14ac:dyDescent="0.2">
      <c r="B8" s="4">
        <v>5</v>
      </c>
      <c r="C8" s="4">
        <v>358</v>
      </c>
      <c r="D8" s="23">
        <v>1134322.89888199</v>
      </c>
      <c r="E8" s="33">
        <v>145.86066753845299</v>
      </c>
      <c r="F8" s="5">
        <v>13</v>
      </c>
      <c r="G8" s="23">
        <v>98.666666666666671</v>
      </c>
      <c r="H8" s="33">
        <v>601.82548601251983</v>
      </c>
      <c r="I8" s="23">
        <v>43.954983973877411</v>
      </c>
      <c r="J8" s="5">
        <v>5755.0234233203137</v>
      </c>
      <c r="K8" s="31"/>
      <c r="L8" s="23">
        <v>1000006.9187046851</v>
      </c>
      <c r="M8" s="33">
        <v>261.90492892306514</v>
      </c>
      <c r="N8" s="5">
        <v>18</v>
      </c>
      <c r="O8" s="23">
        <v>98.666666666666671</v>
      </c>
      <c r="P8" s="33">
        <v>443.83627087811419</v>
      </c>
      <c r="Q8" s="23">
        <v>32.810198604821231</v>
      </c>
      <c r="R8" s="5">
        <v>5170.3544630293936</v>
      </c>
      <c r="S8" s="35"/>
      <c r="T8" s="23">
        <v>1200105.866294587</v>
      </c>
      <c r="U8" s="33">
        <v>254.40661707695998</v>
      </c>
      <c r="V8" s="5">
        <v>12</v>
      </c>
      <c r="W8" s="23">
        <v>97.333333333333329</v>
      </c>
      <c r="X8" s="33">
        <v>593.42176624052786</v>
      </c>
      <c r="Y8" s="23">
        <v>46.947023365522661</v>
      </c>
      <c r="Z8" s="5">
        <v>5735.7650857873905</v>
      </c>
      <c r="AA8" s="35"/>
    </row>
    <row r="9" spans="2:27" x14ac:dyDescent="0.2">
      <c r="B9" s="4">
        <v>6</v>
      </c>
      <c r="C9" s="4">
        <v>479</v>
      </c>
      <c r="D9" s="23">
        <v>1120670.5772736871</v>
      </c>
      <c r="E9" s="33">
        <v>230.17353484613031</v>
      </c>
      <c r="F9" s="5">
        <v>13</v>
      </c>
      <c r="G9" s="23">
        <v>98.666666666666671</v>
      </c>
      <c r="H9" s="33">
        <v>598.59378458235756</v>
      </c>
      <c r="I9" s="23">
        <v>43.835182209102499</v>
      </c>
      <c r="J9" s="5">
        <v>5690.5646683356308</v>
      </c>
      <c r="K9" s="31"/>
      <c r="L9" s="23">
        <v>1045754.637030624</v>
      </c>
      <c r="M9" s="33">
        <v>299.23210299994724</v>
      </c>
      <c r="N9" s="5">
        <v>17</v>
      </c>
      <c r="O9" s="23">
        <v>98.666666666666671</v>
      </c>
      <c r="P9" s="33">
        <v>523.31422666472042</v>
      </c>
      <c r="Q9" s="23">
        <v>33.77663243009286</v>
      </c>
      <c r="R9" s="5">
        <v>5498.6035355618351</v>
      </c>
      <c r="S9" s="35"/>
      <c r="T9" s="23">
        <v>1191469.422965117</v>
      </c>
      <c r="U9" s="33">
        <v>141.65450384616491</v>
      </c>
      <c r="V9" s="5">
        <v>12</v>
      </c>
      <c r="W9" s="23">
        <v>97.333333333333329</v>
      </c>
      <c r="X9" s="33">
        <v>569.90571414810972</v>
      </c>
      <c r="Y9" s="23">
        <v>46.725377868349177</v>
      </c>
      <c r="Z9" s="5">
        <v>5699.7474919842007</v>
      </c>
      <c r="AA9" s="35"/>
    </row>
    <row r="10" spans="2:27" x14ac:dyDescent="0.2">
      <c r="B10" s="4">
        <v>7</v>
      </c>
      <c r="C10" s="4">
        <v>517</v>
      </c>
      <c r="D10" s="23">
        <v>1109461.4547045201</v>
      </c>
      <c r="E10" s="33">
        <v>267.75269992309256</v>
      </c>
      <c r="F10" s="5">
        <v>13</v>
      </c>
      <c r="G10" s="23">
        <v>98.666666666666671</v>
      </c>
      <c r="H10" s="33">
        <v>556.1484043778413</v>
      </c>
      <c r="I10" s="23">
        <v>46.079268944698597</v>
      </c>
      <c r="J10" s="5">
        <v>5662.791341137412</v>
      </c>
      <c r="K10" s="31"/>
      <c r="L10" s="23">
        <v>1042981.3751482849</v>
      </c>
      <c r="M10" s="33">
        <v>411.21850353853705</v>
      </c>
      <c r="N10" s="5">
        <v>18</v>
      </c>
      <c r="O10" s="23">
        <v>98.666666666666671</v>
      </c>
      <c r="P10" s="33">
        <v>522.5201464040174</v>
      </c>
      <c r="Q10" s="23">
        <v>32.653398712412098</v>
      </c>
      <c r="R10" s="5">
        <v>5377.8683173161226</v>
      </c>
      <c r="S10" s="35"/>
      <c r="T10" s="23">
        <v>1222165.831505093</v>
      </c>
      <c r="U10" s="33">
        <v>244.76630607691521</v>
      </c>
      <c r="V10" s="5">
        <v>12</v>
      </c>
      <c r="W10" s="23">
        <v>96</v>
      </c>
      <c r="X10" s="33">
        <v>551.88682217306246</v>
      </c>
      <c r="Y10" s="23">
        <v>48.242087730154545</v>
      </c>
      <c r="Z10" s="5">
        <v>5755.0092302716039</v>
      </c>
      <c r="AA10" s="35"/>
    </row>
    <row r="11" spans="2:27" x14ac:dyDescent="0.2">
      <c r="B11" s="4">
        <v>8</v>
      </c>
      <c r="C11" s="4">
        <v>583</v>
      </c>
      <c r="D11" s="23">
        <v>1208164.084242699</v>
      </c>
      <c r="E11" s="33">
        <v>135.39227392309562</v>
      </c>
      <c r="F11" s="5">
        <v>13</v>
      </c>
      <c r="G11" s="23">
        <v>97.333333333333329</v>
      </c>
      <c r="H11" s="33">
        <v>788.31076836414411</v>
      </c>
      <c r="I11" s="23">
        <v>45.564296915079552</v>
      </c>
      <c r="J11" s="5">
        <v>5997.4604940281197</v>
      </c>
      <c r="K11" s="31"/>
      <c r="L11" s="23">
        <v>1021202.8796575679</v>
      </c>
      <c r="M11" s="33">
        <v>123.76579738454893</v>
      </c>
      <c r="N11" s="5">
        <v>17</v>
      </c>
      <c r="O11" s="23">
        <v>98.666666666666671</v>
      </c>
      <c r="P11" s="33">
        <v>474.09042260775578</v>
      </c>
      <c r="Q11" s="23">
        <v>34.406644341648338</v>
      </c>
      <c r="R11" s="5">
        <v>5365.6160786384626</v>
      </c>
      <c r="S11" s="35"/>
      <c r="T11" s="23">
        <v>1228781.499413894</v>
      </c>
      <c r="U11" s="33">
        <v>114.09470261540261</v>
      </c>
      <c r="V11" s="5">
        <v>12</v>
      </c>
      <c r="W11" s="23">
        <v>96.666666666666671</v>
      </c>
      <c r="X11" s="33">
        <v>663.63990000006311</v>
      </c>
      <c r="Y11" s="23">
        <v>46.025351401943176</v>
      </c>
      <c r="Z11" s="5">
        <v>5781.7069172595275</v>
      </c>
      <c r="AA11" s="35"/>
    </row>
    <row r="12" spans="2:27" x14ac:dyDescent="0.2">
      <c r="B12" s="4">
        <v>9</v>
      </c>
      <c r="C12" s="4">
        <v>614</v>
      </c>
      <c r="D12" s="23">
        <v>1158688.9487574219</v>
      </c>
      <c r="E12" s="33">
        <v>130.9993118461436</v>
      </c>
      <c r="F12" s="5">
        <v>13</v>
      </c>
      <c r="G12" s="23">
        <v>98</v>
      </c>
      <c r="H12" s="33">
        <v>600.50049892048003</v>
      </c>
      <c r="I12" s="23">
        <v>44.082311528140231</v>
      </c>
      <c r="J12" s="5">
        <v>5867.9866836457422</v>
      </c>
      <c r="K12" s="31"/>
      <c r="L12" s="23">
        <v>1013491.627047239</v>
      </c>
      <c r="M12" s="33">
        <v>159.06941861541083</v>
      </c>
      <c r="N12" s="5">
        <v>18</v>
      </c>
      <c r="O12" s="23">
        <v>98.666666666666671</v>
      </c>
      <c r="P12" s="33">
        <v>424.68521687226956</v>
      </c>
      <c r="Q12" s="23">
        <v>31.666231608635883</v>
      </c>
      <c r="R12" s="5">
        <v>5278.9237975140059</v>
      </c>
      <c r="S12" s="35"/>
      <c r="T12" s="23">
        <v>1242959.815751266</v>
      </c>
      <c r="U12" s="33">
        <v>129.73476507692021</v>
      </c>
      <c r="V12" s="5">
        <v>11</v>
      </c>
      <c r="W12" s="23">
        <v>94.666666666666671</v>
      </c>
      <c r="X12" s="33">
        <v>594.53144444293923</v>
      </c>
      <c r="Y12" s="23">
        <v>49.303171172145113</v>
      </c>
      <c r="Z12" s="5">
        <v>5873.308548676112</v>
      </c>
      <c r="AA12" s="35"/>
    </row>
    <row r="13" spans="2:27" x14ac:dyDescent="0.2">
      <c r="B13" s="4">
        <v>10</v>
      </c>
      <c r="C13" s="4">
        <v>945</v>
      </c>
      <c r="D13" s="23">
        <v>1148819.2570402501</v>
      </c>
      <c r="E13" s="33">
        <v>155.96661746152677</v>
      </c>
      <c r="F13" s="5">
        <v>14</v>
      </c>
      <c r="G13" s="23">
        <v>98.666666666666671</v>
      </c>
      <c r="H13" s="33">
        <v>613.47811460885009</v>
      </c>
      <c r="I13" s="23">
        <v>41.600870935938474</v>
      </c>
      <c r="J13" s="5">
        <v>5742.8782596553647</v>
      </c>
      <c r="K13" s="31"/>
      <c r="L13" s="23">
        <v>1041830.4301104679</v>
      </c>
      <c r="M13" s="33">
        <v>321.21034323076645</v>
      </c>
      <c r="N13" s="5">
        <v>18</v>
      </c>
      <c r="O13" s="23">
        <v>98.666666666666671</v>
      </c>
      <c r="P13" s="33">
        <v>501.10308230855503</v>
      </c>
      <c r="Q13" s="23">
        <v>32.459758467873733</v>
      </c>
      <c r="R13" s="5">
        <v>5418.1067901236929</v>
      </c>
      <c r="S13" s="35"/>
      <c r="T13" s="23">
        <v>1213561.649866041</v>
      </c>
      <c r="U13" s="33">
        <v>147.02195438457869</v>
      </c>
      <c r="V13" s="5">
        <v>12</v>
      </c>
      <c r="W13" s="23">
        <v>96.666666666666671</v>
      </c>
      <c r="X13" s="33">
        <v>554.94921081289601</v>
      </c>
      <c r="Y13" s="23">
        <v>46.293876948277749</v>
      </c>
      <c r="Z13" s="5">
        <v>5768.3925027264568</v>
      </c>
      <c r="AA13" s="35"/>
    </row>
    <row r="14" spans="2:27" x14ac:dyDescent="0.2">
      <c r="B14" s="50" t="s">
        <v>3</v>
      </c>
      <c r="C14" s="51"/>
      <c r="D14" s="9">
        <f>MIN(D4:D13)</f>
        <v>1109461.4547045201</v>
      </c>
      <c r="E14" s="22">
        <f>INDEX(E4:E13, MATCH($D$14, D4:D13, 0))</f>
        <v>267.75269992309256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556.1484043778413</v>
      </c>
      <c r="I14" s="22">
        <f>INDEX(I4:I13, MATCH($D$14, D4:D13, 0))</f>
        <v>46.079268944698597</v>
      </c>
      <c r="J14" s="22">
        <f>INDEX(J4:J13, MATCH($D$14, D4:D13, 0))</f>
        <v>5662.791341137412</v>
      </c>
      <c r="K14" s="32" t="e">
        <f>(D14-$D$15)/$D$15</f>
        <v>#DIV/0!</v>
      </c>
      <c r="L14" s="16">
        <f>MIN(L4:L13)</f>
        <v>1000006.9187046851</v>
      </c>
      <c r="M14" s="21">
        <f>INDEX(M4:M13, MATCH($L$14, L4:L13, 0))</f>
        <v>261.90492892306514</v>
      </c>
      <c r="N14" s="16">
        <f>INDEX(N4:N13, MATCH($L$14, L4:L13, 0))</f>
        <v>18</v>
      </c>
      <c r="O14" s="16">
        <f>INDEX(O4:O13, MATCH($L$14, L4:L13, 0))</f>
        <v>98.666666666666671</v>
      </c>
      <c r="P14" s="21">
        <f>INDEX(P4:P13, MATCH($L$14, L4:L13, 0))</f>
        <v>443.83627087811419</v>
      </c>
      <c r="Q14" s="21">
        <f>INDEX(Q4:Q13, MATCH($L$14, L4:L13, 0))</f>
        <v>32.810198604821231</v>
      </c>
      <c r="R14" s="21">
        <f>INDEX(R4:R13, MATCH($L$14, L4:L13, 0))</f>
        <v>5170.3544630293936</v>
      </c>
      <c r="S14" s="36" t="e">
        <f>(L14-$D$15)/$D$15</f>
        <v>#DIV/0!</v>
      </c>
      <c r="T14" s="38">
        <f>MIN(T4:T13)</f>
        <v>1172151.5518684301</v>
      </c>
      <c r="U14" s="39">
        <f>INDEX(U4:U13, MATCH($T$14, T4:T13, 0))</f>
        <v>247.04474115386031</v>
      </c>
      <c r="V14" s="38">
        <f>INDEX(V4:V13, MATCH($T$14, T4:T13, 0))</f>
        <v>12</v>
      </c>
      <c r="W14" s="38">
        <f>INDEX(W4:W13, MATCH($T$14, T4:T13, 0))</f>
        <v>97.333333333333329</v>
      </c>
      <c r="X14" s="39">
        <f>INDEX(X4:X13, MATCH($T$14, T4:T13, 0))</f>
        <v>522.60199679471975</v>
      </c>
      <c r="Y14" s="39">
        <f>INDEX(Y4:Y13, MATCH($T$14, T4:T13, 0))</f>
        <v>48.711067574320566</v>
      </c>
      <c r="Z14" s="39">
        <f>INDEX(Z4:Z13, MATCH($T$14, T4:T13, 0))</f>
        <v>5643.3301439296092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-9.8655555391949812E-2</v>
      </c>
      <c r="M15" s="41">
        <f t="shared" ref="M15:R15" si="0">(M14-E14)/E14</f>
        <v>-2.1840194334948236E-2</v>
      </c>
      <c r="N15" s="41">
        <f t="shared" si="0"/>
        <v>0.38461538461538464</v>
      </c>
      <c r="O15" s="41">
        <f t="shared" si="0"/>
        <v>0</v>
      </c>
      <c r="P15" s="41">
        <f t="shared" si="0"/>
        <v>-0.20194633773222775</v>
      </c>
      <c r="Q15" s="41">
        <f t="shared" si="0"/>
        <v>-0.28796182412967658</v>
      </c>
      <c r="R15" s="41">
        <f t="shared" si="0"/>
        <v>-8.6960095903711843E-2</v>
      </c>
      <c r="T15" s="41">
        <f>(T14-D14)/D14</f>
        <v>5.6504979869360254E-2</v>
      </c>
      <c r="U15" s="41">
        <f t="shared" ref="U15:Z15" si="1">(U14-E14)/E14</f>
        <v>-7.7339869122441188E-2</v>
      </c>
      <c r="V15" s="41">
        <f t="shared" si="1"/>
        <v>-7.6923076923076927E-2</v>
      </c>
      <c r="W15" s="41">
        <f t="shared" si="1"/>
        <v>-1.351351351351361E-2</v>
      </c>
      <c r="X15" s="41">
        <f t="shared" si="1"/>
        <v>-6.0319165386529594E-2</v>
      </c>
      <c r="Y15" s="41">
        <f t="shared" si="1"/>
        <v>5.7114591656835655E-2</v>
      </c>
      <c r="Z15" s="41">
        <f t="shared" si="1"/>
        <v>-3.4366791985476685E-3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99" priority="11"/>
    <cfRule type="duplicateValues" dxfId="98" priority="12"/>
  </conditionalFormatting>
  <conditionalFormatting sqref="C2">
    <cfRule type="duplicateValues" dxfId="97" priority="3"/>
    <cfRule type="duplicateValues" dxfId="96" priority="4"/>
  </conditionalFormatting>
  <conditionalFormatting sqref="C4:C13">
    <cfRule type="duplicateValues" dxfId="95" priority="5"/>
    <cfRule type="duplicateValues" dxfId="94" priority="6"/>
  </conditionalFormatting>
  <conditionalFormatting sqref="C14">
    <cfRule type="duplicateValues" dxfId="93" priority="9"/>
    <cfRule type="duplicateValues" dxfId="92" priority="10"/>
  </conditionalFormatting>
  <conditionalFormatting sqref="C15">
    <cfRule type="duplicateValues" dxfId="91" priority="7"/>
    <cfRule type="duplicateValues" dxfId="90" priority="8"/>
  </conditionalFormatting>
  <conditionalFormatting sqref="C17:C40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62-5A4A-4199-8EFE-21B684C6C986}">
  <dimension ref="B1:AA17"/>
  <sheetViews>
    <sheetView zoomScale="90" zoomScaleNormal="90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-0.2522706096925027</v>
      </c>
      <c r="R2" s="1">
        <f>(R14-J14)/J14</f>
        <v>-1.8206422934447596E-2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1140190.0234291479</v>
      </c>
      <c r="E4" s="33">
        <v>126.30827415376331</v>
      </c>
      <c r="F4" s="5">
        <v>12</v>
      </c>
      <c r="G4" s="23">
        <v>96.666666666666671</v>
      </c>
      <c r="H4" s="33">
        <v>564.16082997875378</v>
      </c>
      <c r="I4" s="23">
        <v>44.547633874464715</v>
      </c>
      <c r="J4" s="5">
        <v>5610.9785466450712</v>
      </c>
      <c r="K4" s="31"/>
      <c r="L4" s="23">
        <v>1021929.942118733</v>
      </c>
      <c r="M4" s="33">
        <v>504.39941392307026</v>
      </c>
      <c r="N4" s="5">
        <v>16</v>
      </c>
      <c r="O4" s="23">
        <v>96.666666666666671</v>
      </c>
      <c r="P4" s="33">
        <v>337.84850215479736</v>
      </c>
      <c r="Q4" s="23">
        <v>33.471296421918474</v>
      </c>
      <c r="R4" s="5">
        <v>5187.3377067814208</v>
      </c>
      <c r="S4" s="35"/>
      <c r="T4" s="23">
        <v>1222231.486145562</v>
      </c>
      <c r="U4" s="33">
        <v>119.43824984616815</v>
      </c>
      <c r="V4" s="5">
        <v>12</v>
      </c>
      <c r="W4" s="23">
        <v>96.666666666666671</v>
      </c>
      <c r="X4" s="33">
        <v>551.23729509161228</v>
      </c>
      <c r="Y4" s="23">
        <v>42.99762502117094</v>
      </c>
      <c r="Z4" s="5">
        <v>5700.7487006890988</v>
      </c>
      <c r="AA4" s="35"/>
    </row>
    <row r="5" spans="2:27" x14ac:dyDescent="0.2">
      <c r="B5" s="4">
        <v>2</v>
      </c>
      <c r="C5" s="4">
        <v>80</v>
      </c>
      <c r="D5" s="23">
        <v>1082711.424619141</v>
      </c>
      <c r="E5" s="33">
        <v>196.92162207685985</v>
      </c>
      <c r="F5" s="5">
        <v>14</v>
      </c>
      <c r="G5" s="23">
        <v>96.666666666666671</v>
      </c>
      <c r="H5" s="33">
        <v>341.23408527907327</v>
      </c>
      <c r="I5" s="23">
        <v>37.728680826147844</v>
      </c>
      <c r="J5" s="5">
        <v>5124.14575974318</v>
      </c>
      <c r="K5" s="31"/>
      <c r="L5" s="23">
        <v>965372.0123638974</v>
      </c>
      <c r="M5" s="33">
        <v>192.32131553840676</v>
      </c>
      <c r="N5" s="5">
        <v>17</v>
      </c>
      <c r="O5" s="23">
        <v>96.666666666666671</v>
      </c>
      <c r="P5" s="33">
        <v>308.66855752792668</v>
      </c>
      <c r="Q5" s="23">
        <v>31.145330158265363</v>
      </c>
      <c r="R5" s="5">
        <v>4765.9342109420704</v>
      </c>
      <c r="S5" s="35"/>
      <c r="T5" s="23">
        <v>1175926.0369785409</v>
      </c>
      <c r="U5" s="33">
        <v>137.91331761543492</v>
      </c>
      <c r="V5" s="5">
        <v>12</v>
      </c>
      <c r="W5" s="23">
        <v>96.666666666666671</v>
      </c>
      <c r="X5" s="33">
        <v>505.80704253232045</v>
      </c>
      <c r="Y5" s="23">
        <v>43.510135755372431</v>
      </c>
      <c r="Z5" s="5">
        <v>5433.6287297622348</v>
      </c>
      <c r="AA5" s="35"/>
    </row>
    <row r="6" spans="2:27" x14ac:dyDescent="0.2">
      <c r="B6" s="4">
        <v>3</v>
      </c>
      <c r="C6" s="4">
        <v>183</v>
      </c>
      <c r="D6" s="23">
        <v>1050417.709782372</v>
      </c>
      <c r="E6" s="33">
        <v>217.86547646150356</v>
      </c>
      <c r="F6" s="5">
        <v>14</v>
      </c>
      <c r="G6" s="23">
        <v>96.666666666666671</v>
      </c>
      <c r="H6" s="33">
        <v>371.24558506965866</v>
      </c>
      <c r="I6" s="23">
        <v>37.439649434799328</v>
      </c>
      <c r="J6" s="5">
        <v>4893.5953189958855</v>
      </c>
      <c r="K6" s="31"/>
      <c r="L6" s="23">
        <v>963055.40370583697</v>
      </c>
      <c r="M6" s="33">
        <v>230.18230215377676</v>
      </c>
      <c r="N6" s="5">
        <v>16</v>
      </c>
      <c r="O6" s="23">
        <v>96.666666666666671</v>
      </c>
      <c r="P6" s="33">
        <v>260.35280483997172</v>
      </c>
      <c r="Q6" s="23">
        <v>33.25096263406644</v>
      </c>
      <c r="R6" s="5">
        <v>4857.2960804720096</v>
      </c>
      <c r="S6" s="35"/>
      <c r="T6" s="23">
        <v>1203644.6027183901</v>
      </c>
      <c r="U6" s="33">
        <v>108.42031084610008</v>
      </c>
      <c r="V6" s="5">
        <v>11</v>
      </c>
      <c r="W6" s="23">
        <v>96.666666666666671</v>
      </c>
      <c r="X6" s="33">
        <v>647.82694553548117</v>
      </c>
      <c r="Y6" s="23">
        <v>47.207114622467316</v>
      </c>
      <c r="Z6" s="5">
        <v>5694.6446622018011</v>
      </c>
      <c r="AA6" s="35"/>
    </row>
    <row r="7" spans="2:27" x14ac:dyDescent="0.2">
      <c r="B7" s="4">
        <v>4</v>
      </c>
      <c r="C7" s="4">
        <v>194</v>
      </c>
      <c r="D7" s="23">
        <v>1093225.2305004499</v>
      </c>
      <c r="E7" s="33">
        <v>174.32775238457208</v>
      </c>
      <c r="F7" s="5">
        <v>14</v>
      </c>
      <c r="G7" s="23">
        <v>96.666666666666671</v>
      </c>
      <c r="H7" s="33">
        <v>390.90742838215931</v>
      </c>
      <c r="I7" s="23">
        <v>37.483494527445018</v>
      </c>
      <c r="J7" s="5">
        <v>5159.4165147039748</v>
      </c>
      <c r="K7" s="31"/>
      <c r="L7" s="23">
        <v>953410.33424572228</v>
      </c>
      <c r="M7" s="33">
        <v>197.19497592304828</v>
      </c>
      <c r="N7" s="5">
        <v>16</v>
      </c>
      <c r="O7" s="23">
        <v>96.666666666666671</v>
      </c>
      <c r="P7" s="33">
        <v>262.74392976340152</v>
      </c>
      <c r="Q7" s="23">
        <v>33.082846926808301</v>
      </c>
      <c r="R7" s="5">
        <v>4782.7132348025079</v>
      </c>
      <c r="S7" s="35"/>
      <c r="T7" s="23">
        <v>1171804.826992047</v>
      </c>
      <c r="U7" s="33">
        <v>121.00238892312446</v>
      </c>
      <c r="V7" s="5">
        <v>12</v>
      </c>
      <c r="W7" s="23">
        <v>96.666666666666671</v>
      </c>
      <c r="X7" s="33">
        <v>582.52765955971813</v>
      </c>
      <c r="Y7" s="23">
        <v>43.897868239268156</v>
      </c>
      <c r="Z7" s="5">
        <v>5344.5596719047517</v>
      </c>
      <c r="AA7" s="35"/>
    </row>
    <row r="8" spans="2:27" x14ac:dyDescent="0.2">
      <c r="B8" s="4">
        <v>5</v>
      </c>
      <c r="C8" s="4">
        <v>323</v>
      </c>
      <c r="D8" s="23">
        <v>1129378.7609582299</v>
      </c>
      <c r="E8" s="33">
        <v>338.10159884617087</v>
      </c>
      <c r="F8" s="5">
        <v>15</v>
      </c>
      <c r="G8" s="23">
        <v>96.666666666666671</v>
      </c>
      <c r="H8" s="33">
        <v>386.83742233253872</v>
      </c>
      <c r="I8" s="23">
        <v>34.229361819244104</v>
      </c>
      <c r="J8" s="5">
        <v>5229.5433522831599</v>
      </c>
      <c r="K8" s="31"/>
      <c r="L8" s="23">
        <v>962319.66342311399</v>
      </c>
      <c r="M8" s="33">
        <v>117.49481838456215</v>
      </c>
      <c r="N8" s="5">
        <v>15</v>
      </c>
      <c r="O8" s="23">
        <v>96.666666666666671</v>
      </c>
      <c r="P8" s="33">
        <v>293.44531887704522</v>
      </c>
      <c r="Q8" s="23">
        <v>35.06771576410452</v>
      </c>
      <c r="R8" s="5">
        <v>4877.3221627166495</v>
      </c>
      <c r="S8" s="35"/>
      <c r="T8" s="23">
        <v>1144842.9670740711</v>
      </c>
      <c r="U8" s="33">
        <v>140.86678215383122</v>
      </c>
      <c r="V8" s="5">
        <v>14</v>
      </c>
      <c r="W8" s="23">
        <v>96.666666666666671</v>
      </c>
      <c r="X8" s="33">
        <v>371.95429909967038</v>
      </c>
      <c r="Y8" s="23">
        <v>37.938825696742626</v>
      </c>
      <c r="Z8" s="5">
        <v>4949.8517324357827</v>
      </c>
      <c r="AA8" s="35"/>
    </row>
    <row r="9" spans="2:27" x14ac:dyDescent="0.2">
      <c r="B9" s="4">
        <v>6</v>
      </c>
      <c r="C9" s="4">
        <v>356</v>
      </c>
      <c r="D9" s="23">
        <v>1046045.483747479</v>
      </c>
      <c r="E9" s="33">
        <v>205.49383246160752</v>
      </c>
      <c r="F9" s="5">
        <v>14</v>
      </c>
      <c r="G9" s="23">
        <v>96.666666666666671</v>
      </c>
      <c r="H9" s="33">
        <v>351.38906290061749</v>
      </c>
      <c r="I9" s="23">
        <v>37.424531203822959</v>
      </c>
      <c r="J9" s="5">
        <v>4871.4040777261835</v>
      </c>
      <c r="K9" s="31"/>
      <c r="L9" s="23">
        <v>968481.22927688202</v>
      </c>
      <c r="M9" s="33">
        <v>470.56106830767999</v>
      </c>
      <c r="N9" s="5">
        <v>16</v>
      </c>
      <c r="O9" s="23">
        <v>96.666666666666671</v>
      </c>
      <c r="P9" s="33">
        <v>238.59690307392427</v>
      </c>
      <c r="Q9" s="23">
        <v>32.757158130872327</v>
      </c>
      <c r="R9" s="5">
        <v>4903.3270527525283</v>
      </c>
      <c r="S9" s="35"/>
      <c r="T9" s="23">
        <v>1159622.1020264381</v>
      </c>
      <c r="U9" s="33">
        <v>101.19141484610738</v>
      </c>
      <c r="V9" s="5">
        <v>12</v>
      </c>
      <c r="W9" s="23">
        <v>96.666666666666671</v>
      </c>
      <c r="X9" s="33">
        <v>544.89892425789958</v>
      </c>
      <c r="Y9" s="23">
        <v>43.352512146026221</v>
      </c>
      <c r="Z9" s="5">
        <v>5283.4601678968866</v>
      </c>
      <c r="AA9" s="35"/>
    </row>
    <row r="10" spans="2:27" x14ac:dyDescent="0.2">
      <c r="B10" s="4">
        <v>7</v>
      </c>
      <c r="C10" s="4">
        <v>435</v>
      </c>
      <c r="D10" s="23">
        <v>1106261.1965489159</v>
      </c>
      <c r="E10" s="33">
        <v>163.43257253846298</v>
      </c>
      <c r="F10" s="5">
        <v>14</v>
      </c>
      <c r="G10" s="23">
        <v>96.666666666666671</v>
      </c>
      <c r="H10" s="33">
        <v>458.61522459470422</v>
      </c>
      <c r="I10" s="23">
        <v>38.401762948415197</v>
      </c>
      <c r="J10" s="5">
        <v>5223.9263487252529</v>
      </c>
      <c r="K10" s="31"/>
      <c r="L10" s="23">
        <v>1014984.179772127</v>
      </c>
      <c r="M10" s="33">
        <v>335.1575037692852</v>
      </c>
      <c r="N10" s="5">
        <v>17</v>
      </c>
      <c r="O10" s="23">
        <v>96.666666666666671</v>
      </c>
      <c r="P10" s="33">
        <v>368.90841008982352</v>
      </c>
      <c r="Q10" s="23">
        <v>31.41763322006657</v>
      </c>
      <c r="R10" s="5">
        <v>5056.4175190750511</v>
      </c>
      <c r="S10" s="35"/>
      <c r="T10" s="23">
        <v>1220384.910035898</v>
      </c>
      <c r="U10" s="33">
        <v>154.34805884617023</v>
      </c>
      <c r="V10" s="5">
        <v>13</v>
      </c>
      <c r="W10" s="23">
        <v>96.666666666666671</v>
      </c>
      <c r="X10" s="33">
        <v>578.94224350754041</v>
      </c>
      <c r="Y10" s="23">
        <v>40.163208874751163</v>
      </c>
      <c r="Z10" s="5">
        <v>5461.9665235370667</v>
      </c>
      <c r="AA10" s="35"/>
    </row>
    <row r="11" spans="2:27" x14ac:dyDescent="0.2">
      <c r="B11" s="4">
        <v>8</v>
      </c>
      <c r="C11" s="4">
        <v>785</v>
      </c>
      <c r="D11" s="23">
        <v>1134999.855652645</v>
      </c>
      <c r="E11" s="33">
        <v>165.99049976919423</v>
      </c>
      <c r="F11" s="5">
        <v>12</v>
      </c>
      <c r="G11" s="23">
        <v>96.666666666666671</v>
      </c>
      <c r="H11" s="33">
        <v>529.03309148890014</v>
      </c>
      <c r="I11" s="23">
        <v>43.737179051491232</v>
      </c>
      <c r="J11" s="5">
        <v>5587.2704326917628</v>
      </c>
      <c r="K11" s="31"/>
      <c r="L11" s="23">
        <v>956251.33761589031</v>
      </c>
      <c r="M11" s="33">
        <v>482.1524109231093</v>
      </c>
      <c r="N11" s="5">
        <v>16</v>
      </c>
      <c r="O11" s="23">
        <v>96.666666666666671</v>
      </c>
      <c r="P11" s="33">
        <v>301.34759364492419</v>
      </c>
      <c r="Q11" s="23">
        <v>32.997648565022317</v>
      </c>
      <c r="R11" s="5">
        <v>4773.8401309401052</v>
      </c>
      <c r="S11" s="35"/>
      <c r="T11" s="23">
        <v>1173737.128504527</v>
      </c>
      <c r="U11" s="33">
        <v>107.26280607695047</v>
      </c>
      <c r="V11" s="5">
        <v>12</v>
      </c>
      <c r="W11" s="23">
        <v>96.666666666666671</v>
      </c>
      <c r="X11" s="33">
        <v>601.49218538968194</v>
      </c>
      <c r="Y11" s="23">
        <v>43.329532318119732</v>
      </c>
      <c r="Z11" s="5">
        <v>5340.0534290286687</v>
      </c>
      <c r="AA11" s="35"/>
    </row>
    <row r="12" spans="2:27" x14ac:dyDescent="0.2">
      <c r="B12" s="4">
        <v>9</v>
      </c>
      <c r="C12" s="4">
        <v>800</v>
      </c>
      <c r="D12" s="23">
        <v>1088715.929915909</v>
      </c>
      <c r="E12" s="33">
        <v>133.22303138467336</v>
      </c>
      <c r="F12" s="5">
        <v>14</v>
      </c>
      <c r="G12" s="23">
        <v>96.666666666666671</v>
      </c>
      <c r="H12" s="33">
        <v>321.74700318718203</v>
      </c>
      <c r="I12" s="23">
        <v>37.137340567116851</v>
      </c>
      <c r="J12" s="5">
        <v>5173.6222561572185</v>
      </c>
      <c r="K12" s="31"/>
      <c r="L12" s="23">
        <v>978730.67860271409</v>
      </c>
      <c r="M12" s="33">
        <v>111.35224646154361</v>
      </c>
      <c r="N12" s="5">
        <v>15</v>
      </c>
      <c r="O12" s="23">
        <v>96.666666666666671</v>
      </c>
      <c r="P12" s="33">
        <v>270.18348674622814</v>
      </c>
      <c r="Q12" s="23">
        <v>35.213422718536826</v>
      </c>
      <c r="R12" s="5">
        <v>4998.283256431082</v>
      </c>
      <c r="S12" s="35"/>
      <c r="T12" s="23">
        <v>1166840.7269348609</v>
      </c>
      <c r="U12" s="33">
        <v>115.77020953848169</v>
      </c>
      <c r="V12" s="5">
        <v>12</v>
      </c>
      <c r="W12" s="23">
        <v>96.666666666666671</v>
      </c>
      <c r="X12" s="33">
        <v>470.29630650003884</v>
      </c>
      <c r="Y12" s="23">
        <v>44.559525868757341</v>
      </c>
      <c r="Z12" s="5">
        <v>5430.4360873392088</v>
      </c>
      <c r="AA12" s="35"/>
    </row>
    <row r="13" spans="2:27" x14ac:dyDescent="0.2">
      <c r="B13" s="4">
        <v>10</v>
      </c>
      <c r="C13" s="4">
        <v>876</v>
      </c>
      <c r="D13" s="23">
        <v>1078172.497278759</v>
      </c>
      <c r="E13" s="33">
        <v>146.12448830766462</v>
      </c>
      <c r="F13" s="5">
        <v>13</v>
      </c>
      <c r="G13" s="23">
        <v>96.666666666666671</v>
      </c>
      <c r="H13" s="33">
        <v>443.58333674363513</v>
      </c>
      <c r="I13" s="23">
        <v>40.349749483757215</v>
      </c>
      <c r="J13" s="5">
        <v>5150.676543416781</v>
      </c>
      <c r="K13" s="31"/>
      <c r="L13" s="23">
        <v>956352.28983390587</v>
      </c>
      <c r="M13" s="33">
        <v>232.81215499996989</v>
      </c>
      <c r="N13" s="5">
        <v>16</v>
      </c>
      <c r="O13" s="23">
        <v>96.666666666666671</v>
      </c>
      <c r="P13" s="33">
        <v>276.17363290520069</v>
      </c>
      <c r="Q13" s="23">
        <v>32.870805294566544</v>
      </c>
      <c r="R13" s="5">
        <v>4800.1953354422822</v>
      </c>
      <c r="S13" s="35"/>
      <c r="T13" s="23">
        <v>1154677.5312387729</v>
      </c>
      <c r="U13" s="33">
        <v>143.6219222308136</v>
      </c>
      <c r="V13" s="5">
        <v>13</v>
      </c>
      <c r="W13" s="23">
        <v>96.666666666666671</v>
      </c>
      <c r="X13" s="33">
        <v>374.38624751253593</v>
      </c>
      <c r="Y13" s="23">
        <v>40.192517631983904</v>
      </c>
      <c r="Z13" s="5">
        <v>5175.8669977067539</v>
      </c>
      <c r="AA13" s="35"/>
    </row>
    <row r="14" spans="2:27" x14ac:dyDescent="0.2">
      <c r="B14" s="50" t="s">
        <v>3</v>
      </c>
      <c r="C14" s="51"/>
      <c r="D14" s="9">
        <f>MIN(D4:D13)</f>
        <v>1046045.483747479</v>
      </c>
      <c r="E14" s="22">
        <f>INDEX(E4:E13, MATCH($D$14, D4:D13, 0))</f>
        <v>205.49383246160752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351.38906290061749</v>
      </c>
      <c r="I14" s="22">
        <f>INDEX(I4:I13, MATCH($D$14, D4:D13, 0))</f>
        <v>37.424531203822959</v>
      </c>
      <c r="J14" s="22">
        <f>INDEX(J4:J13, MATCH($D$14, D4:D13, 0))</f>
        <v>4871.4040777261835</v>
      </c>
      <c r="K14" s="32" t="e">
        <f>(D14-$D$15)/$D$15</f>
        <v>#DIV/0!</v>
      </c>
      <c r="L14" s="16">
        <f>MIN(L4:L13)</f>
        <v>953410.33424572228</v>
      </c>
      <c r="M14" s="21">
        <f>INDEX(M4:M13, MATCH($L$14, L4:L13, 0))</f>
        <v>197.19497592304828</v>
      </c>
      <c r="N14" s="16">
        <f>INDEX(N4:N13, MATCH($L$14, L4:L13, 0))</f>
        <v>16</v>
      </c>
      <c r="O14" s="16">
        <f>INDEX(O4:O13, MATCH($L$14, L4:L13, 0))</f>
        <v>96.666666666666671</v>
      </c>
      <c r="P14" s="21">
        <f>INDEX(P4:P13, MATCH($L$14, L4:L13, 0))</f>
        <v>262.74392976340152</v>
      </c>
      <c r="Q14" s="21">
        <f>INDEX(Q4:Q13, MATCH($L$14, L4:L13, 0))</f>
        <v>33.082846926808301</v>
      </c>
      <c r="R14" s="21">
        <f>INDEX(R4:R13, MATCH($L$14, L4:L13, 0))</f>
        <v>4782.7132348025079</v>
      </c>
      <c r="S14" s="36" t="e">
        <f>(L14-$D$15)/$D$15</f>
        <v>#DIV/0!</v>
      </c>
      <c r="T14" s="38">
        <f>MIN(T4:T13)</f>
        <v>1144842.9670740711</v>
      </c>
      <c r="U14" s="39">
        <f>INDEX(U4:U13, MATCH($T$14, T4:T13, 0))</f>
        <v>140.86678215383122</v>
      </c>
      <c r="V14" s="38">
        <f>INDEX(V4:V13, MATCH($T$14, T4:T13, 0))</f>
        <v>14</v>
      </c>
      <c r="W14" s="38">
        <f>INDEX(W4:W13, MATCH($T$14, T4:T13, 0))</f>
        <v>96.666666666666671</v>
      </c>
      <c r="X14" s="39">
        <f>INDEX(X4:X13, MATCH($T$14, T4:T13, 0))</f>
        <v>371.95429909967038</v>
      </c>
      <c r="Y14" s="39">
        <f>INDEX(Y4:Y13, MATCH($T$14, T4:T13, 0))</f>
        <v>37.938825696742626</v>
      </c>
      <c r="Z14" s="39">
        <f>INDEX(Z4:Z13, MATCH($T$14, T4:T13, 0))</f>
        <v>4949.8517324357827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-8.8557477605934951E-2</v>
      </c>
      <c r="M15" s="41">
        <f t="shared" ref="M15:R15" si="0">(M14-E14)/E14</f>
        <v>-4.0384942161754304E-2</v>
      </c>
      <c r="N15" s="41">
        <f t="shared" si="0"/>
        <v>0.14285714285714285</v>
      </c>
      <c r="O15" s="41">
        <f t="shared" si="0"/>
        <v>0</v>
      </c>
      <c r="P15" s="41">
        <f t="shared" si="0"/>
        <v>-0.2522706096925027</v>
      </c>
      <c r="Q15" s="41">
        <f t="shared" si="0"/>
        <v>-0.11601172111866426</v>
      </c>
      <c r="R15" s="41">
        <f t="shared" si="0"/>
        <v>-1.8206422934447596E-2</v>
      </c>
      <c r="T15" s="41">
        <f>(T14-D14)/D14</f>
        <v>9.4448553969802576E-2</v>
      </c>
      <c r="U15" s="41">
        <f t="shared" ref="U15:Z15" si="1">(U14-E14)/E14</f>
        <v>-0.3144963015853558</v>
      </c>
      <c r="V15" s="41">
        <f t="shared" si="1"/>
        <v>0</v>
      </c>
      <c r="W15" s="41">
        <f t="shared" si="1"/>
        <v>0</v>
      </c>
      <c r="X15" s="41">
        <f t="shared" si="1"/>
        <v>5.8525544390291132E-2</v>
      </c>
      <c r="Y15" s="41">
        <f t="shared" si="1"/>
        <v>1.3742175957226996E-2</v>
      </c>
      <c r="Z15" s="41">
        <f t="shared" si="1"/>
        <v>1.610370510389195E-2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89" priority="11"/>
    <cfRule type="duplicateValues" dxfId="88" priority="12"/>
  </conditionalFormatting>
  <conditionalFormatting sqref="C2">
    <cfRule type="duplicateValues" dxfId="87" priority="3"/>
    <cfRule type="duplicateValues" dxfId="86" priority="4"/>
  </conditionalFormatting>
  <conditionalFormatting sqref="C4:C13">
    <cfRule type="duplicateValues" dxfId="85" priority="5"/>
    <cfRule type="duplicateValues" dxfId="84" priority="6"/>
  </conditionalFormatting>
  <conditionalFormatting sqref="C14">
    <cfRule type="duplicateValues" dxfId="83" priority="9"/>
    <cfRule type="duplicateValues" dxfId="82" priority="10"/>
  </conditionalFormatting>
  <conditionalFormatting sqref="C15">
    <cfRule type="duplicateValues" dxfId="81" priority="7"/>
    <cfRule type="duplicateValues" dxfId="80" priority="8"/>
  </conditionalFormatting>
  <conditionalFormatting sqref="C17:C40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EAD-C54D-4644-92BB-97A76528F3AE}">
  <dimension ref="B1:AA17"/>
  <sheetViews>
    <sheetView zoomScale="85" zoomScaleNormal="85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-9.195511069398031E-2</v>
      </c>
      <c r="R2" s="1">
        <f>(R14-J14)/J14</f>
        <v>-7.4780704084185981E-2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1318656.474301717</v>
      </c>
      <c r="E4" s="33">
        <v>439.80038330764864</v>
      </c>
      <c r="F4" s="5">
        <v>15</v>
      </c>
      <c r="G4" s="23">
        <v>93.333333333333329</v>
      </c>
      <c r="H4" s="33">
        <v>611.49334131411842</v>
      </c>
      <c r="I4" s="23">
        <v>33.981339648843765</v>
      </c>
      <c r="J4" s="5">
        <v>5812.7765925569047</v>
      </c>
      <c r="K4" s="31"/>
      <c r="L4" s="23">
        <v>1169463.393676169</v>
      </c>
      <c r="M4" s="33">
        <v>328.47673146161605</v>
      </c>
      <c r="N4" s="5">
        <v>19</v>
      </c>
      <c r="O4" s="23">
        <v>93.333333333333329</v>
      </c>
      <c r="P4" s="33">
        <v>487.0238923396941</v>
      </c>
      <c r="Q4" s="23">
        <v>27.083284642610948</v>
      </c>
      <c r="R4" s="5">
        <v>5329.8405305368306</v>
      </c>
      <c r="S4" s="35"/>
      <c r="T4" s="23">
        <v>1522821.919747306</v>
      </c>
      <c r="U4" s="33">
        <v>183.48888315385776</v>
      </c>
      <c r="V4" s="5">
        <v>12</v>
      </c>
      <c r="W4" s="23">
        <v>86.666666666666671</v>
      </c>
      <c r="X4" s="33">
        <v>720.15604273022154</v>
      </c>
      <c r="Y4" s="23">
        <v>37.773065269211408</v>
      </c>
      <c r="Z4" s="5">
        <v>6086.021896672084</v>
      </c>
      <c r="AA4" s="35"/>
    </row>
    <row r="5" spans="2:27" x14ac:dyDescent="0.2">
      <c r="B5" s="4">
        <v>2</v>
      </c>
      <c r="C5" s="4">
        <v>114</v>
      </c>
      <c r="D5" s="23">
        <v>1331858.0465048731</v>
      </c>
      <c r="E5" s="33">
        <v>212.70075661533221</v>
      </c>
      <c r="F5" s="5">
        <v>15</v>
      </c>
      <c r="G5" s="23">
        <v>93.333333333333329</v>
      </c>
      <c r="H5" s="33">
        <v>618.58717806284756</v>
      </c>
      <c r="I5" s="23">
        <v>34.525110804306841</v>
      </c>
      <c r="J5" s="5">
        <v>5927.1238187888921</v>
      </c>
      <c r="K5" s="31"/>
      <c r="L5" s="23">
        <v>1189931.3284895071</v>
      </c>
      <c r="M5" s="33">
        <v>211.28544992310569</v>
      </c>
      <c r="N5" s="5">
        <v>18</v>
      </c>
      <c r="O5" s="23">
        <v>93.333333333333329</v>
      </c>
      <c r="P5" s="33">
        <v>574.47689621180405</v>
      </c>
      <c r="Q5" s="23">
        <v>28.694809044799708</v>
      </c>
      <c r="R5" s="5">
        <v>5457.4576232720237</v>
      </c>
      <c r="S5" s="35"/>
      <c r="T5" s="23">
        <v>1539575.0834164501</v>
      </c>
      <c r="U5" s="33">
        <v>156.07139553847867</v>
      </c>
      <c r="V5" s="5">
        <v>10</v>
      </c>
      <c r="W5" s="23">
        <v>80.666666666666671</v>
      </c>
      <c r="X5" s="33">
        <v>573.68229116779708</v>
      </c>
      <c r="Y5" s="23">
        <v>41.419307414521683</v>
      </c>
      <c r="Z5" s="5">
        <v>5768.2429027437311</v>
      </c>
      <c r="AA5" s="35"/>
    </row>
    <row r="6" spans="2:27" x14ac:dyDescent="0.2">
      <c r="B6" s="4">
        <v>3</v>
      </c>
      <c r="C6" s="4">
        <v>155</v>
      </c>
      <c r="D6" s="23">
        <v>1298314.612475632</v>
      </c>
      <c r="E6" s="33">
        <v>222.78767107690396</v>
      </c>
      <c r="F6" s="5">
        <v>15</v>
      </c>
      <c r="G6" s="23">
        <v>93.333333333333329</v>
      </c>
      <c r="H6" s="33">
        <v>557.2158028380004</v>
      </c>
      <c r="I6" s="23">
        <v>34.54691388475625</v>
      </c>
      <c r="J6" s="5">
        <v>5750.2115391621046</v>
      </c>
      <c r="K6" s="31"/>
      <c r="L6" s="23">
        <v>1169774.111650388</v>
      </c>
      <c r="M6" s="33">
        <v>192.57030569222897</v>
      </c>
      <c r="N6" s="5">
        <v>19</v>
      </c>
      <c r="O6" s="23">
        <v>93.333333333333329</v>
      </c>
      <c r="P6" s="33">
        <v>528.46391311383286</v>
      </c>
      <c r="Q6" s="23">
        <v>27.044460090543158</v>
      </c>
      <c r="R6" s="5">
        <v>5333.241313289318</v>
      </c>
      <c r="S6" s="35"/>
      <c r="T6" s="23">
        <v>1426887.403910317</v>
      </c>
      <c r="U6" s="33">
        <v>164.005531307686</v>
      </c>
      <c r="V6" s="5">
        <v>11</v>
      </c>
      <c r="W6" s="23">
        <v>88</v>
      </c>
      <c r="X6" s="33">
        <v>601.73703550979235</v>
      </c>
      <c r="Y6" s="23">
        <v>42.632289267363944</v>
      </c>
      <c r="Z6" s="5">
        <v>5939.4689864778484</v>
      </c>
      <c r="AA6" s="35"/>
    </row>
    <row r="7" spans="2:27" x14ac:dyDescent="0.2">
      <c r="B7" s="4">
        <v>4</v>
      </c>
      <c r="C7" s="4">
        <v>270</v>
      </c>
      <c r="D7" s="23">
        <v>1352309.5085820509</v>
      </c>
      <c r="E7" s="33">
        <v>295.05281261535578</v>
      </c>
      <c r="F7" s="5">
        <v>15</v>
      </c>
      <c r="G7" s="23">
        <v>93.333333333333329</v>
      </c>
      <c r="H7" s="33">
        <v>798.17551819688629</v>
      </c>
      <c r="I7" s="23">
        <v>34.087832887533501</v>
      </c>
      <c r="J7" s="5">
        <v>5904.2385145919625</v>
      </c>
      <c r="K7" s="31"/>
      <c r="L7" s="23">
        <v>1187588.322367846</v>
      </c>
      <c r="M7" s="33">
        <v>173.56994499998669</v>
      </c>
      <c r="N7" s="5">
        <v>17</v>
      </c>
      <c r="O7" s="23">
        <v>93.333333333333329</v>
      </c>
      <c r="P7" s="33">
        <v>544.9002422596601</v>
      </c>
      <c r="Q7" s="23">
        <v>30.067509177746079</v>
      </c>
      <c r="R7" s="5">
        <v>5546.0888847174083</v>
      </c>
      <c r="S7" s="35"/>
      <c r="T7" s="23">
        <v>1509261.0381879541</v>
      </c>
      <c r="U7" s="33">
        <v>211.61141792303309</v>
      </c>
      <c r="V7" s="5">
        <v>11</v>
      </c>
      <c r="W7" s="23">
        <v>86.666666666666671</v>
      </c>
      <c r="X7" s="33">
        <v>758.20655983712743</v>
      </c>
      <c r="Y7" s="23">
        <v>42.083410618419613</v>
      </c>
      <c r="Z7" s="5">
        <v>6212.5830239962024</v>
      </c>
      <c r="AA7" s="35"/>
    </row>
    <row r="8" spans="2:27" x14ac:dyDescent="0.2">
      <c r="B8" s="4">
        <v>5</v>
      </c>
      <c r="C8" s="4">
        <v>272</v>
      </c>
      <c r="D8" s="23">
        <v>1330395.726383463</v>
      </c>
      <c r="E8" s="33">
        <v>346.17247461538329</v>
      </c>
      <c r="F8" s="5">
        <v>15</v>
      </c>
      <c r="G8" s="23">
        <v>93.333333333333329</v>
      </c>
      <c r="H8" s="33">
        <v>769.00489567171348</v>
      </c>
      <c r="I8" s="23">
        <v>34.446184128575169</v>
      </c>
      <c r="J8" s="5">
        <v>5825.6334466884691</v>
      </c>
      <c r="K8" s="31"/>
      <c r="L8" s="23">
        <v>1189646.409024853</v>
      </c>
      <c r="M8" s="33">
        <v>212.85072738465925</v>
      </c>
      <c r="N8" s="5">
        <v>19</v>
      </c>
      <c r="O8" s="23">
        <v>93.333333333333329</v>
      </c>
      <c r="P8" s="33">
        <v>520.85459191576899</v>
      </c>
      <c r="Q8" s="23">
        <v>27.25140962579577</v>
      </c>
      <c r="R8" s="5">
        <v>5423.3994986810985</v>
      </c>
      <c r="S8" s="35"/>
      <c r="T8" s="23">
        <v>1420403.137930209</v>
      </c>
      <c r="U8" s="33">
        <v>141.74451038465261</v>
      </c>
      <c r="V8" s="5">
        <v>11</v>
      </c>
      <c r="W8" s="23">
        <v>88</v>
      </c>
      <c r="X8" s="33">
        <v>611.84100841228644</v>
      </c>
      <c r="Y8" s="23">
        <v>42.345046833367455</v>
      </c>
      <c r="Z8" s="5">
        <v>5872.6203408309702</v>
      </c>
      <c r="AA8" s="35"/>
    </row>
    <row r="9" spans="2:27" x14ac:dyDescent="0.2">
      <c r="B9" s="4">
        <v>6</v>
      </c>
      <c r="C9" s="4">
        <v>483</v>
      </c>
      <c r="D9" s="23">
        <v>1323385.3430637461</v>
      </c>
      <c r="E9" s="33">
        <v>244.84482315386859</v>
      </c>
      <c r="F9" s="5">
        <v>15</v>
      </c>
      <c r="G9" s="23">
        <v>93.333333333333329</v>
      </c>
      <c r="H9" s="33">
        <v>624.66099323344724</v>
      </c>
      <c r="I9" s="23">
        <v>34.677709108612028</v>
      </c>
      <c r="J9" s="5">
        <v>5870.1829840585997</v>
      </c>
      <c r="K9" s="31"/>
      <c r="L9" s="23">
        <v>1190822.667373132</v>
      </c>
      <c r="M9" s="33">
        <v>162.40873292303431</v>
      </c>
      <c r="N9" s="5">
        <v>19</v>
      </c>
      <c r="O9" s="23">
        <v>93.333333333333329</v>
      </c>
      <c r="P9" s="33">
        <v>573.80036057466225</v>
      </c>
      <c r="Q9" s="23">
        <v>27.057496974441033</v>
      </c>
      <c r="R9" s="5">
        <v>5398.7230499165453</v>
      </c>
      <c r="S9" s="35"/>
      <c r="T9" s="23">
        <v>1401461.9799998109</v>
      </c>
      <c r="U9" s="33">
        <v>349.06557861545406</v>
      </c>
      <c r="V9" s="5">
        <v>12</v>
      </c>
      <c r="W9" s="23">
        <v>91.333333333333329</v>
      </c>
      <c r="X9" s="33">
        <v>709.10295733268981</v>
      </c>
      <c r="Y9" s="23">
        <v>41.132996131182736</v>
      </c>
      <c r="Z9" s="5">
        <v>5993.7882446427766</v>
      </c>
      <c r="AA9" s="35"/>
    </row>
    <row r="10" spans="2:27" x14ac:dyDescent="0.2">
      <c r="B10" s="4">
        <v>7</v>
      </c>
      <c r="C10" s="4">
        <v>530</v>
      </c>
      <c r="D10" s="23">
        <v>1317647.020910942</v>
      </c>
      <c r="E10" s="33">
        <v>190.8173417692216</v>
      </c>
      <c r="F10" s="5">
        <v>14</v>
      </c>
      <c r="G10" s="23">
        <v>93.333333333333329</v>
      </c>
      <c r="H10" s="33">
        <v>664.29440446850401</v>
      </c>
      <c r="I10" s="23">
        <v>37.190397721197243</v>
      </c>
      <c r="J10" s="5">
        <v>5945.0812900184528</v>
      </c>
      <c r="K10" s="31"/>
      <c r="L10" s="23">
        <v>1158779.781231215</v>
      </c>
      <c r="M10" s="33">
        <v>250.72049784617354</v>
      </c>
      <c r="N10" s="5">
        <v>18</v>
      </c>
      <c r="O10" s="23">
        <v>93.333333333333329</v>
      </c>
      <c r="P10" s="33">
        <v>505.97696200759697</v>
      </c>
      <c r="Q10" s="23">
        <v>28.746869064520766</v>
      </c>
      <c r="R10" s="5">
        <v>5320.2066716305517</v>
      </c>
      <c r="S10" s="35"/>
      <c r="T10" s="23">
        <v>1410389.7499057569</v>
      </c>
      <c r="U10" s="33">
        <v>209.03810215379616</v>
      </c>
      <c r="V10" s="5">
        <v>11</v>
      </c>
      <c r="W10" s="23">
        <v>89.333333333333329</v>
      </c>
      <c r="X10" s="33">
        <v>644.66261151326557</v>
      </c>
      <c r="Y10" s="23">
        <v>43.997348843283334</v>
      </c>
      <c r="Z10" s="5">
        <v>5999.2337858466863</v>
      </c>
      <c r="AA10" s="35"/>
    </row>
    <row r="11" spans="2:27" x14ac:dyDescent="0.2">
      <c r="B11" s="4">
        <v>8</v>
      </c>
      <c r="C11" s="4">
        <v>552</v>
      </c>
      <c r="D11" s="23">
        <v>1311506.1473503071</v>
      </c>
      <c r="E11" s="33">
        <v>208.09396546154932</v>
      </c>
      <c r="F11" s="5">
        <v>13</v>
      </c>
      <c r="G11" s="23">
        <v>92.666666666666671</v>
      </c>
      <c r="H11" s="33">
        <v>583.33842659823233</v>
      </c>
      <c r="I11" s="23">
        <v>38.564171508025964</v>
      </c>
      <c r="J11" s="5">
        <v>5966.8106890680565</v>
      </c>
      <c r="K11" s="31"/>
      <c r="L11" s="23">
        <v>1235612.9286176369</v>
      </c>
      <c r="M11" s="33">
        <v>286.56319269229868</v>
      </c>
      <c r="N11" s="5">
        <v>18</v>
      </c>
      <c r="O11" s="23">
        <v>93.333333333333329</v>
      </c>
      <c r="P11" s="33">
        <v>624.87681552469394</v>
      </c>
      <c r="Q11" s="23">
        <v>28.464663461400797</v>
      </c>
      <c r="R11" s="5">
        <v>5754.0145171534923</v>
      </c>
      <c r="S11" s="35"/>
      <c r="T11" s="23">
        <v>1457277.7489203259</v>
      </c>
      <c r="U11" s="33">
        <v>288.90465584619398</v>
      </c>
      <c r="V11" s="5">
        <v>11</v>
      </c>
      <c r="W11" s="23">
        <v>86.666666666666671</v>
      </c>
      <c r="X11" s="33">
        <v>629.25883867361961</v>
      </c>
      <c r="Y11" s="23">
        <v>41.255065751248097</v>
      </c>
      <c r="Z11" s="5">
        <v>5907.8943655722023</v>
      </c>
      <c r="AA11" s="35"/>
    </row>
    <row r="12" spans="2:27" x14ac:dyDescent="0.2">
      <c r="B12" s="4">
        <v>9</v>
      </c>
      <c r="C12" s="4">
        <v>603</v>
      </c>
      <c r="D12" s="23">
        <v>1329535.156040655</v>
      </c>
      <c r="E12" s="33">
        <v>491.55465099996383</v>
      </c>
      <c r="F12" s="5">
        <v>15</v>
      </c>
      <c r="G12" s="23">
        <v>93.333333333333329</v>
      </c>
      <c r="H12" s="33">
        <v>755.46045363842416</v>
      </c>
      <c r="I12" s="23">
        <v>34.456092298980067</v>
      </c>
      <c r="J12" s="5">
        <v>5826.6500093091863</v>
      </c>
      <c r="K12" s="31"/>
      <c r="L12" s="23">
        <v>1187818.582375396</v>
      </c>
      <c r="M12" s="33">
        <v>125.63393961539707</v>
      </c>
      <c r="N12" s="5">
        <v>17</v>
      </c>
      <c r="O12" s="23">
        <v>93.333333333333329</v>
      </c>
      <c r="P12" s="33">
        <v>518.08849641072436</v>
      </c>
      <c r="Q12" s="23">
        <v>30.25323430281146</v>
      </c>
      <c r="R12" s="5">
        <v>5548.9528914028069</v>
      </c>
      <c r="S12" s="35"/>
      <c r="T12" s="23">
        <v>1413510.554160892</v>
      </c>
      <c r="U12" s="33">
        <v>368.30654523075702</v>
      </c>
      <c r="V12" s="5">
        <v>13</v>
      </c>
      <c r="W12" s="23">
        <v>92</v>
      </c>
      <c r="X12" s="33">
        <v>663.43560683301121</v>
      </c>
      <c r="Y12" s="23">
        <v>37.985184789964443</v>
      </c>
      <c r="Z12" s="5">
        <v>5966.0321350697222</v>
      </c>
      <c r="AA12" s="35"/>
    </row>
    <row r="13" spans="2:27" x14ac:dyDescent="0.2">
      <c r="B13" s="4">
        <v>10</v>
      </c>
      <c r="C13" s="4">
        <v>884</v>
      </c>
      <c r="D13" s="23">
        <v>1329961.296754769</v>
      </c>
      <c r="E13" s="33">
        <v>126.39722792306337</v>
      </c>
      <c r="F13" s="5">
        <v>14</v>
      </c>
      <c r="G13" s="23">
        <v>91.333333333333329</v>
      </c>
      <c r="H13" s="33">
        <v>562.03464641089442</v>
      </c>
      <c r="I13" s="23">
        <v>35.258811173301211</v>
      </c>
      <c r="J13" s="5">
        <v>5787.7386323284072</v>
      </c>
      <c r="K13" s="31"/>
      <c r="L13" s="23">
        <v>1172013.8534628861</v>
      </c>
      <c r="M13" s="33">
        <v>489.16151607686726</v>
      </c>
      <c r="N13" s="5">
        <v>19</v>
      </c>
      <c r="O13" s="23">
        <v>93.333333333333329</v>
      </c>
      <c r="P13" s="33">
        <v>476.32637054130618</v>
      </c>
      <c r="Q13" s="23">
        <v>27.004759174133117</v>
      </c>
      <c r="R13" s="5">
        <v>5341.8906071175152</v>
      </c>
      <c r="S13" s="35"/>
      <c r="T13" s="23">
        <v>1499304.4554367571</v>
      </c>
      <c r="U13" s="33">
        <v>177.13705592305183</v>
      </c>
      <c r="V13" s="5">
        <v>13</v>
      </c>
      <c r="W13" s="23">
        <v>90</v>
      </c>
      <c r="X13" s="33">
        <v>822.04334673429435</v>
      </c>
      <c r="Y13" s="23">
        <v>36.813010833308603</v>
      </c>
      <c r="Z13" s="5">
        <v>6166.2403608430759</v>
      </c>
      <c r="AA13" s="35"/>
    </row>
    <row r="14" spans="2:27" x14ac:dyDescent="0.2">
      <c r="B14" s="50" t="s">
        <v>3</v>
      </c>
      <c r="C14" s="51"/>
      <c r="D14" s="9">
        <f>MIN(D4:D13)</f>
        <v>1298314.612475632</v>
      </c>
      <c r="E14" s="22">
        <f>INDEX(E4:E13, MATCH($D$14, D4:D13, 0))</f>
        <v>222.78767107690396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557.2158028380004</v>
      </c>
      <c r="I14" s="22">
        <f>INDEX(I4:I13, MATCH($D$14, D4:D13, 0))</f>
        <v>34.54691388475625</v>
      </c>
      <c r="J14" s="22">
        <f>INDEX(J4:J13, MATCH($D$14, D4:D13, 0))</f>
        <v>5750.2115391621046</v>
      </c>
      <c r="K14" s="32" t="e">
        <f>(D14-$D$15)/$D$15</f>
        <v>#DIV/0!</v>
      </c>
      <c r="L14" s="16">
        <f>MIN(L4:L13)</f>
        <v>1158779.781231215</v>
      </c>
      <c r="M14" s="21">
        <f>INDEX(M4:M13, MATCH($L$14, L4:L13, 0))</f>
        <v>250.72049784617354</v>
      </c>
      <c r="N14" s="16">
        <f>INDEX(N4:N13, MATCH($L$14, L4:L13, 0))</f>
        <v>18</v>
      </c>
      <c r="O14" s="16">
        <f>INDEX(O4:O13, MATCH($L$14, L4:L13, 0))</f>
        <v>93.333333333333329</v>
      </c>
      <c r="P14" s="21">
        <f>INDEX(P4:P13, MATCH($L$14, L4:L13, 0))</f>
        <v>505.97696200759697</v>
      </c>
      <c r="Q14" s="21">
        <f>INDEX(Q4:Q13, MATCH($L$14, L4:L13, 0))</f>
        <v>28.746869064520766</v>
      </c>
      <c r="R14" s="21">
        <f>INDEX(R4:R13, MATCH($L$14, L4:L13, 0))</f>
        <v>5320.2066716305517</v>
      </c>
      <c r="S14" s="36" t="e">
        <f>(L14-$D$15)/$D$15</f>
        <v>#DIV/0!</v>
      </c>
      <c r="T14" s="38">
        <f>MIN(T4:T13)</f>
        <v>1401461.9799998109</v>
      </c>
      <c r="U14" s="39">
        <f>INDEX(U4:U13, MATCH($T$14, T4:T13, 0))</f>
        <v>349.06557861545406</v>
      </c>
      <c r="V14" s="38">
        <f>INDEX(V4:V13, MATCH($T$14, T4:T13, 0))</f>
        <v>12</v>
      </c>
      <c r="W14" s="38">
        <f>INDEX(W4:W13, MATCH($T$14, T4:T13, 0))</f>
        <v>91.333333333333329</v>
      </c>
      <c r="X14" s="39">
        <f>INDEX(X4:X13, MATCH($T$14, T4:T13, 0))</f>
        <v>709.10295733268981</v>
      </c>
      <c r="Y14" s="39">
        <f>INDEX(Y4:Y13, MATCH($T$14, T4:T13, 0))</f>
        <v>41.132996131182736</v>
      </c>
      <c r="Z14" s="39">
        <f>INDEX(Z4:Z13, MATCH($T$14, T4:T13, 0))</f>
        <v>5993.7882446427766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-0.10747382021554189</v>
      </c>
      <c r="M15" s="41">
        <f t="shared" ref="M15:R15" si="0">(M14-E14)/E14</f>
        <v>0.12537869189192011</v>
      </c>
      <c r="N15" s="41">
        <f t="shared" si="0"/>
        <v>0.2</v>
      </c>
      <c r="O15" s="41">
        <f t="shared" si="0"/>
        <v>0</v>
      </c>
      <c r="P15" s="41">
        <f t="shared" si="0"/>
        <v>-9.195511069398031E-2</v>
      </c>
      <c r="Q15" s="41">
        <f t="shared" si="0"/>
        <v>-0.16788894196406765</v>
      </c>
      <c r="R15" s="41">
        <f t="shared" si="0"/>
        <v>-7.4780704084185981E-2</v>
      </c>
      <c r="T15" s="41">
        <f>(T14-D14)/D14</f>
        <v>7.9447128248442869E-2</v>
      </c>
      <c r="U15" s="41">
        <f t="shared" ref="U15:Z15" si="1">(U14-E14)/E14</f>
        <v>0.56680832888171939</v>
      </c>
      <c r="V15" s="41">
        <f t="shared" si="1"/>
        <v>-0.2</v>
      </c>
      <c r="W15" s="41">
        <f t="shared" si="1"/>
        <v>-2.1428571428571429E-2</v>
      </c>
      <c r="X15" s="41">
        <f t="shared" si="1"/>
        <v>0.27258228090642939</v>
      </c>
      <c r="Y15" s="41">
        <f t="shared" si="1"/>
        <v>0.19064169576468537</v>
      </c>
      <c r="Z15" s="41">
        <f t="shared" si="1"/>
        <v>4.2359607785171137E-2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79" priority="11"/>
    <cfRule type="duplicateValues" dxfId="78" priority="12"/>
  </conditionalFormatting>
  <conditionalFormatting sqref="C2">
    <cfRule type="duplicateValues" dxfId="77" priority="3"/>
    <cfRule type="duplicateValues" dxfId="76" priority="4"/>
  </conditionalFormatting>
  <conditionalFormatting sqref="C4:C13">
    <cfRule type="duplicateValues" dxfId="75" priority="5"/>
    <cfRule type="duplicateValues" dxfId="74" priority="6"/>
  </conditionalFormatting>
  <conditionalFormatting sqref="C14">
    <cfRule type="duplicateValues" dxfId="73" priority="9"/>
    <cfRule type="duplicateValues" dxfId="72" priority="10"/>
  </conditionalFormatting>
  <conditionalFormatting sqref="C15">
    <cfRule type="duplicateValues" dxfId="71" priority="7"/>
    <cfRule type="duplicateValues" dxfId="70" priority="8"/>
  </conditionalFormatting>
  <conditionalFormatting sqref="C17:C40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D35-3901-4478-9CED-E4E71666CB2D}">
  <dimension ref="B1:AA17"/>
  <sheetViews>
    <sheetView zoomScale="90" zoomScaleNormal="90" workbookViewId="0">
      <selection activeCell="U20" sqref="U20: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0.26456623176307392</v>
      </c>
      <c r="R2" s="1">
        <f>(R14-J14)/J14</f>
        <v>-4.8781667195999814E-2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1168643.226288683</v>
      </c>
      <c r="E4" s="33">
        <v>309.76703292314107</v>
      </c>
      <c r="F4" s="5">
        <v>13</v>
      </c>
      <c r="G4" s="23">
        <v>94</v>
      </c>
      <c r="H4" s="33">
        <v>362.73205147026351</v>
      </c>
      <c r="I4" s="23">
        <v>40.263651627371402</v>
      </c>
      <c r="J4" s="5">
        <v>5415.5349556114834</v>
      </c>
      <c r="K4" s="31"/>
      <c r="L4" s="23">
        <v>1068265.181258989</v>
      </c>
      <c r="M4" s="33">
        <v>169.40277261534129</v>
      </c>
      <c r="N4" s="5">
        <v>15</v>
      </c>
      <c r="O4" s="23">
        <v>94.666666666666671</v>
      </c>
      <c r="P4" s="33">
        <v>458.69870346744051</v>
      </c>
      <c r="Q4" s="23">
        <v>35.232915280253486</v>
      </c>
      <c r="R4" s="5">
        <v>5151.3561317185404</v>
      </c>
      <c r="S4" s="35"/>
      <c r="T4" s="23">
        <v>1249228.9850508841</v>
      </c>
      <c r="U4" s="33">
        <v>247.68239261537713</v>
      </c>
      <c r="V4" s="5">
        <v>10</v>
      </c>
      <c r="W4" s="23">
        <v>92.666666666666671</v>
      </c>
      <c r="X4" s="33">
        <v>446.54595668937719</v>
      </c>
      <c r="Y4" s="23">
        <v>50.246619364288435</v>
      </c>
      <c r="Z4" s="5">
        <v>5760.8980555611079</v>
      </c>
      <c r="AA4" s="35"/>
    </row>
    <row r="5" spans="2:27" x14ac:dyDescent="0.2">
      <c r="B5" s="4">
        <v>2</v>
      </c>
      <c r="C5" s="4">
        <v>157</v>
      </c>
      <c r="D5" s="23">
        <v>1179422.3932702451</v>
      </c>
      <c r="E5" s="33">
        <v>98.198421076925143</v>
      </c>
      <c r="F5" s="5">
        <v>12</v>
      </c>
      <c r="G5" s="23">
        <v>94.666666666666671</v>
      </c>
      <c r="H5" s="33">
        <v>438.2960408125968</v>
      </c>
      <c r="I5" s="23">
        <v>43.915001104564055</v>
      </c>
      <c r="J5" s="5">
        <v>5646.406472561328</v>
      </c>
      <c r="K5" s="31"/>
      <c r="L5" s="23">
        <v>1077949.6945729649</v>
      </c>
      <c r="M5" s="33">
        <v>410.42962876918654</v>
      </c>
      <c r="N5" s="5">
        <v>16</v>
      </c>
      <c r="O5" s="23">
        <v>94.666666666666671</v>
      </c>
      <c r="P5" s="33">
        <v>356.65424003030853</v>
      </c>
      <c r="Q5" s="23">
        <v>32.525088635022151</v>
      </c>
      <c r="R5" s="5">
        <v>5227.4014161086525</v>
      </c>
      <c r="S5" s="35"/>
      <c r="T5" s="23">
        <v>1278172.5953529391</v>
      </c>
      <c r="U5" s="33">
        <v>175.17463307693382</v>
      </c>
      <c r="V5" s="5">
        <v>11</v>
      </c>
      <c r="W5" s="23">
        <v>93.333333333333329</v>
      </c>
      <c r="X5" s="33">
        <v>548.52086461529746</v>
      </c>
      <c r="Y5" s="23">
        <v>47.016800786524186</v>
      </c>
      <c r="Z5" s="5">
        <v>5789.8965081416809</v>
      </c>
      <c r="AA5" s="35"/>
    </row>
    <row r="6" spans="2:27" x14ac:dyDescent="0.2">
      <c r="B6" s="4">
        <v>3</v>
      </c>
      <c r="C6" s="4">
        <v>204</v>
      </c>
      <c r="D6" s="23">
        <v>1168814.8782724959</v>
      </c>
      <c r="E6" s="33">
        <v>230.17236007690931</v>
      </c>
      <c r="F6" s="5">
        <v>13</v>
      </c>
      <c r="G6" s="23">
        <v>94</v>
      </c>
      <c r="H6" s="33">
        <v>361.64317955181463</v>
      </c>
      <c r="I6" s="23">
        <v>40.120958464931775</v>
      </c>
      <c r="J6" s="5">
        <v>5405.6134102949354</v>
      </c>
      <c r="K6" s="31"/>
      <c r="L6" s="23">
        <v>1088246.2424746079</v>
      </c>
      <c r="M6" s="33">
        <v>143.67763161533867</v>
      </c>
      <c r="N6" s="5">
        <v>16</v>
      </c>
      <c r="O6" s="23">
        <v>94.666666666666671</v>
      </c>
      <c r="P6" s="33">
        <v>394.02562362242998</v>
      </c>
      <c r="Q6" s="23">
        <v>32.787968857171201</v>
      </c>
      <c r="R6" s="5">
        <v>5270.4044565819686</v>
      </c>
      <c r="S6" s="35"/>
      <c r="T6" s="23">
        <v>1330667.5343164159</v>
      </c>
      <c r="U6" s="33">
        <v>163.91595792311892</v>
      </c>
      <c r="V6" s="5">
        <v>11</v>
      </c>
      <c r="W6" s="23">
        <v>91.333333333333329</v>
      </c>
      <c r="X6" s="33">
        <v>594.26963234281311</v>
      </c>
      <c r="Y6" s="23">
        <v>44.164806475873995</v>
      </c>
      <c r="Z6" s="5">
        <v>5798.7512651399893</v>
      </c>
      <c r="AA6" s="35"/>
    </row>
    <row r="7" spans="2:27" x14ac:dyDescent="0.2">
      <c r="B7" s="4">
        <v>4</v>
      </c>
      <c r="C7" s="4">
        <v>223</v>
      </c>
      <c r="D7" s="23">
        <v>1209864.3907835791</v>
      </c>
      <c r="E7" s="33">
        <v>179.55091323076678</v>
      </c>
      <c r="F7" s="5">
        <v>13</v>
      </c>
      <c r="G7" s="23">
        <v>94</v>
      </c>
      <c r="H7" s="33">
        <v>433.02601265982452</v>
      </c>
      <c r="I7" s="23">
        <v>39.336379694786949</v>
      </c>
      <c r="J7" s="5">
        <v>5647.4674768098557</v>
      </c>
      <c r="K7" s="31"/>
      <c r="L7" s="23">
        <v>1078551.7960436631</v>
      </c>
      <c r="M7" s="33">
        <v>223.67202369227576</v>
      </c>
      <c r="N7" s="5">
        <v>16</v>
      </c>
      <c r="O7" s="23">
        <v>94.666666666666671</v>
      </c>
      <c r="P7" s="33">
        <v>363.4421004794479</v>
      </c>
      <c r="Q7" s="23">
        <v>32.611652105052571</v>
      </c>
      <c r="R7" s="5">
        <v>5231.9219718263539</v>
      </c>
      <c r="S7" s="35"/>
      <c r="T7" s="23">
        <v>1280563.1865304441</v>
      </c>
      <c r="U7" s="33">
        <v>120.46116976927108</v>
      </c>
      <c r="V7" s="5">
        <v>12</v>
      </c>
      <c r="W7" s="23">
        <v>93.333333333333329</v>
      </c>
      <c r="X7" s="33">
        <v>498.38143111672753</v>
      </c>
      <c r="Y7" s="23">
        <v>43.618206892920661</v>
      </c>
      <c r="Z7" s="5">
        <v>5645.0705345291672</v>
      </c>
      <c r="AA7" s="35"/>
    </row>
    <row r="8" spans="2:27" x14ac:dyDescent="0.2">
      <c r="B8" s="4">
        <v>5</v>
      </c>
      <c r="C8" s="4">
        <v>237</v>
      </c>
      <c r="D8" s="23">
        <v>1243711.955503087</v>
      </c>
      <c r="E8" s="33">
        <v>141.27079630772084</v>
      </c>
      <c r="F8" s="5">
        <v>13</v>
      </c>
      <c r="G8" s="23">
        <v>94.666666666666671</v>
      </c>
      <c r="H8" s="33">
        <v>623.91760614343332</v>
      </c>
      <c r="I8" s="23">
        <v>40.118266863383056</v>
      </c>
      <c r="J8" s="5">
        <v>5811.4492872780693</v>
      </c>
      <c r="K8" s="31"/>
      <c r="L8" s="23">
        <v>1090866.4036953491</v>
      </c>
      <c r="M8" s="33">
        <v>209.0047273076533</v>
      </c>
      <c r="N8" s="5">
        <v>16</v>
      </c>
      <c r="O8" s="23">
        <v>94.666666666666671</v>
      </c>
      <c r="P8" s="33">
        <v>403.80134242877818</v>
      </c>
      <c r="Q8" s="23">
        <v>33.227385602455698</v>
      </c>
      <c r="R8" s="5">
        <v>5299.8872642209208</v>
      </c>
      <c r="S8" s="35"/>
      <c r="T8" s="23">
        <v>1361606.617475773</v>
      </c>
      <c r="U8" s="33">
        <v>172.2304499230813</v>
      </c>
      <c r="V8" s="5">
        <v>10</v>
      </c>
      <c r="W8" s="23">
        <v>92.666666666666671</v>
      </c>
      <c r="X8" s="33">
        <v>727.94612270110633</v>
      </c>
      <c r="Y8" s="23">
        <v>49.169164713591655</v>
      </c>
      <c r="Z8" s="5">
        <v>6343.4275724614408</v>
      </c>
      <c r="AA8" s="35"/>
    </row>
    <row r="9" spans="2:27" x14ac:dyDescent="0.2">
      <c r="B9" s="4">
        <v>6</v>
      </c>
      <c r="C9" s="4">
        <v>363</v>
      </c>
      <c r="D9" s="23">
        <v>1190772.751406092</v>
      </c>
      <c r="E9" s="33">
        <v>171.87102507692398</v>
      </c>
      <c r="F9" s="5">
        <v>13</v>
      </c>
      <c r="G9" s="23">
        <v>94.666666666666671</v>
      </c>
      <c r="H9" s="33">
        <v>460.59135454137476</v>
      </c>
      <c r="I9" s="23">
        <v>40.837244570789089</v>
      </c>
      <c r="J9" s="5">
        <v>5567.9654675734828</v>
      </c>
      <c r="K9" s="31"/>
      <c r="L9" s="23">
        <v>1078413.5914461019</v>
      </c>
      <c r="M9" s="33">
        <v>182.01363769234516</v>
      </c>
      <c r="N9" s="5">
        <v>15</v>
      </c>
      <c r="O9" s="23">
        <v>94.666666666666671</v>
      </c>
      <c r="P9" s="33">
        <v>415.96909987537919</v>
      </c>
      <c r="Q9" s="23">
        <v>35.22104945469966</v>
      </c>
      <c r="R9" s="5">
        <v>5258.2818101393341</v>
      </c>
      <c r="S9" s="35"/>
      <c r="T9" s="23">
        <v>1249485.59291226</v>
      </c>
      <c r="U9" s="33">
        <v>275.92011453843531</v>
      </c>
      <c r="V9" s="5">
        <v>10</v>
      </c>
      <c r="W9" s="23">
        <v>92.666666666666671</v>
      </c>
      <c r="X9" s="33">
        <v>448.94801082593858</v>
      </c>
      <c r="Y9" s="23">
        <v>50.165055066648392</v>
      </c>
      <c r="Z9" s="5">
        <v>5748.4579984464954</v>
      </c>
      <c r="AA9" s="35"/>
    </row>
    <row r="10" spans="2:27" x14ac:dyDescent="0.2">
      <c r="B10" s="4">
        <v>7</v>
      </c>
      <c r="C10" s="4">
        <v>434</v>
      </c>
      <c r="D10" s="23">
        <v>1211151.1259381061</v>
      </c>
      <c r="E10" s="33">
        <v>215.50041484619629</v>
      </c>
      <c r="F10" s="5">
        <v>14</v>
      </c>
      <c r="G10" s="23">
        <v>94.666666666666671</v>
      </c>
      <c r="H10" s="33">
        <v>520.73937083825979</v>
      </c>
      <c r="I10" s="23">
        <v>37.974113345284842</v>
      </c>
      <c r="J10" s="5">
        <v>5556.6362525577761</v>
      </c>
      <c r="K10" s="31"/>
      <c r="L10" s="23">
        <v>1073458.648074192</v>
      </c>
      <c r="M10" s="33">
        <v>352.49915738455735</v>
      </c>
      <c r="N10" s="5">
        <v>15</v>
      </c>
      <c r="O10" s="23">
        <v>94.666666666666671</v>
      </c>
      <c r="P10" s="33">
        <v>419.68268217127064</v>
      </c>
      <c r="Q10" s="23">
        <v>35.030401179409672</v>
      </c>
      <c r="R10" s="5">
        <v>5205.7172259003401</v>
      </c>
      <c r="S10" s="35"/>
      <c r="T10" s="23">
        <v>1278789.889982705</v>
      </c>
      <c r="U10" s="33">
        <v>289.07638953846447</v>
      </c>
      <c r="V10" s="5">
        <v>11</v>
      </c>
      <c r="W10" s="23">
        <v>92</v>
      </c>
      <c r="X10" s="33">
        <v>475.58420141610446</v>
      </c>
      <c r="Y10" s="23">
        <v>46.797043868729617</v>
      </c>
      <c r="Z10" s="5">
        <v>5664.2850618798284</v>
      </c>
      <c r="AA10" s="35"/>
    </row>
    <row r="11" spans="2:27" x14ac:dyDescent="0.2">
      <c r="B11" s="4">
        <v>8</v>
      </c>
      <c r="C11" s="4">
        <v>486</v>
      </c>
      <c r="D11" s="23">
        <v>1221464.7729007881</v>
      </c>
      <c r="E11" s="33">
        <v>148.57329807691991</v>
      </c>
      <c r="F11" s="5">
        <v>12</v>
      </c>
      <c r="G11" s="23">
        <v>93.333333333333329</v>
      </c>
      <c r="H11" s="33">
        <v>497.96427611527832</v>
      </c>
      <c r="I11" s="23">
        <v>43.330760313874919</v>
      </c>
      <c r="J11" s="5">
        <v>5702.8304282870968</v>
      </c>
      <c r="K11" s="31"/>
      <c r="L11" s="23">
        <v>1078564.428185272</v>
      </c>
      <c r="M11" s="33">
        <v>237.04442730773454</v>
      </c>
      <c r="N11" s="5">
        <v>16</v>
      </c>
      <c r="O11" s="23">
        <v>94.666666666666671</v>
      </c>
      <c r="P11" s="33">
        <v>347.91426821685934</v>
      </c>
      <c r="Q11" s="23">
        <v>32.48926426170857</v>
      </c>
      <c r="R11" s="5">
        <v>5228.1070647949191</v>
      </c>
      <c r="S11" s="35"/>
      <c r="T11" s="23">
        <v>1269210.791533011</v>
      </c>
      <c r="U11" s="33">
        <v>129.77647353841274</v>
      </c>
      <c r="V11" s="5">
        <v>11</v>
      </c>
      <c r="W11" s="23">
        <v>93.333333333333329</v>
      </c>
      <c r="X11" s="33">
        <v>471.76873243000239</v>
      </c>
      <c r="Y11" s="23">
        <v>46.732695569996444</v>
      </c>
      <c r="Z11" s="5">
        <v>5789.3559749007745</v>
      </c>
      <c r="AA11" s="35"/>
    </row>
    <row r="12" spans="2:27" x14ac:dyDescent="0.2">
      <c r="B12" s="4">
        <v>9</v>
      </c>
      <c r="C12" s="4">
        <v>603</v>
      </c>
      <c r="D12" s="23">
        <v>1171192.273408608</v>
      </c>
      <c r="E12" s="33">
        <v>178.29719907693706</v>
      </c>
      <c r="F12" s="5">
        <v>14</v>
      </c>
      <c r="G12" s="23">
        <v>94.666666666666671</v>
      </c>
      <c r="H12" s="33">
        <v>407.82753733113157</v>
      </c>
      <c r="I12" s="23">
        <v>38.041275864139564</v>
      </c>
      <c r="J12" s="5">
        <v>5383.0256376659336</v>
      </c>
      <c r="K12" s="31"/>
      <c r="L12" s="23">
        <v>1087940.3379782049</v>
      </c>
      <c r="M12" s="33">
        <v>223.82246853846416</v>
      </c>
      <c r="N12" s="5">
        <v>16</v>
      </c>
      <c r="O12" s="23">
        <v>94.666666666666671</v>
      </c>
      <c r="P12" s="33">
        <v>393.85880847752441</v>
      </c>
      <c r="Q12" s="23">
        <v>32.824170082129093</v>
      </c>
      <c r="R12" s="5">
        <v>5261.5874707946568</v>
      </c>
      <c r="S12" s="35"/>
      <c r="T12" s="23">
        <v>1347215.6423005131</v>
      </c>
      <c r="U12" s="33">
        <v>109.98531484618208</v>
      </c>
      <c r="V12" s="5">
        <v>11</v>
      </c>
      <c r="W12" s="23">
        <v>90.666666666666671</v>
      </c>
      <c r="X12" s="33">
        <v>540.75267985713708</v>
      </c>
      <c r="Y12" s="23">
        <v>45.312659420419855</v>
      </c>
      <c r="Z12" s="5">
        <v>5854.4660241753836</v>
      </c>
      <c r="AA12" s="35"/>
    </row>
    <row r="13" spans="2:27" x14ac:dyDescent="0.2">
      <c r="B13" s="4">
        <v>10</v>
      </c>
      <c r="C13" s="4">
        <v>817</v>
      </c>
      <c r="D13" s="23">
        <v>1171164.502807962</v>
      </c>
      <c r="E13" s="33">
        <v>126.49336761544245</v>
      </c>
      <c r="F13" s="5">
        <v>13</v>
      </c>
      <c r="G13" s="23">
        <v>94</v>
      </c>
      <c r="H13" s="33">
        <v>335.11944124890414</v>
      </c>
      <c r="I13" s="23">
        <v>40.259183073031487</v>
      </c>
      <c r="J13" s="5">
        <v>5454.0835218996663</v>
      </c>
      <c r="K13" s="31"/>
      <c r="L13" s="23">
        <v>1079272.4147964199</v>
      </c>
      <c r="M13" s="33">
        <v>224.59813592301754</v>
      </c>
      <c r="N13" s="5">
        <v>14</v>
      </c>
      <c r="O13" s="23">
        <v>94.666666666666671</v>
      </c>
      <c r="P13" s="33">
        <v>370.95259743418234</v>
      </c>
      <c r="Q13" s="23">
        <v>37.653421043965302</v>
      </c>
      <c r="R13" s="5">
        <v>5357.1741210115051</v>
      </c>
      <c r="S13" s="35"/>
      <c r="T13" s="23">
        <v>1390036.713230513</v>
      </c>
      <c r="U13" s="33">
        <v>296.07484238464031</v>
      </c>
      <c r="V13" s="5">
        <v>11</v>
      </c>
      <c r="W13" s="23">
        <v>92.666666666666671</v>
      </c>
      <c r="X13" s="33">
        <v>733.95012420122293</v>
      </c>
      <c r="Y13" s="23">
        <v>43.957130815687705</v>
      </c>
      <c r="Z13" s="5">
        <v>6319.5134211172617</v>
      </c>
      <c r="AA13" s="35"/>
    </row>
    <row r="14" spans="2:27" x14ac:dyDescent="0.2">
      <c r="B14" s="50" t="s">
        <v>3</v>
      </c>
      <c r="C14" s="51"/>
      <c r="D14" s="9">
        <f>MIN(D4:D13)</f>
        <v>1168643.226288683</v>
      </c>
      <c r="E14" s="22">
        <f>INDEX(E4:E13, MATCH($D$14, D4:D13, 0))</f>
        <v>309.76703292314107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362.73205147026351</v>
      </c>
      <c r="I14" s="22">
        <f>INDEX(I4:I13, MATCH($D$14, D4:D13, 0))</f>
        <v>40.263651627371402</v>
      </c>
      <c r="J14" s="22">
        <f>INDEX(J4:J13, MATCH($D$14, D4:D13, 0))</f>
        <v>5415.5349556114834</v>
      </c>
      <c r="K14" s="32" t="e">
        <f>(D14-$D$15)/$D$15</f>
        <v>#DIV/0!</v>
      </c>
      <c r="L14" s="16">
        <f>MIN(L4:L13)</f>
        <v>1068265.181258989</v>
      </c>
      <c r="M14" s="21">
        <f>INDEX(M4:M13, MATCH($L$14, L4:L13, 0))</f>
        <v>169.40277261534129</v>
      </c>
      <c r="N14" s="16">
        <f>INDEX(N4:N13, MATCH($L$14, L4:L13, 0))</f>
        <v>15</v>
      </c>
      <c r="O14" s="16">
        <f>INDEX(O4:O13, MATCH($L$14, L4:L13, 0))</f>
        <v>94.666666666666671</v>
      </c>
      <c r="P14" s="21">
        <f>INDEX(P4:P13, MATCH($L$14, L4:L13, 0))</f>
        <v>458.69870346744051</v>
      </c>
      <c r="Q14" s="21">
        <f>INDEX(Q4:Q13, MATCH($L$14, L4:L13, 0))</f>
        <v>35.232915280253486</v>
      </c>
      <c r="R14" s="21">
        <f>INDEX(R4:R13, MATCH($L$14, L4:L13, 0))</f>
        <v>5151.3561317185404</v>
      </c>
      <c r="S14" s="36" t="e">
        <f>(L14-$D$15)/$D$15</f>
        <v>#DIV/0!</v>
      </c>
      <c r="T14" s="38">
        <f>MIN(T4:T13)</f>
        <v>1249228.9850508841</v>
      </c>
      <c r="U14" s="39">
        <f>INDEX(U4:U13, MATCH($T$14, T4:T13, 0))</f>
        <v>247.68239261537713</v>
      </c>
      <c r="V14" s="38">
        <f>INDEX(V4:V13, MATCH($T$14, T4:T13, 0))</f>
        <v>10</v>
      </c>
      <c r="W14" s="38">
        <f>INDEX(W4:W13, MATCH($T$14, T4:T13, 0))</f>
        <v>92.666666666666671</v>
      </c>
      <c r="X14" s="39">
        <f>INDEX(X4:X13, MATCH($T$14, T4:T13, 0))</f>
        <v>446.54595668937719</v>
      </c>
      <c r="Y14" s="39">
        <f>INDEX(Y4:Y13, MATCH($T$14, T4:T13, 0))</f>
        <v>50.246619364288435</v>
      </c>
      <c r="Z14" s="39">
        <f>INDEX(Z4:Z13, MATCH($T$14, T4:T13, 0))</f>
        <v>5760.8980555611079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-8.5892805239174155E-2</v>
      </c>
      <c r="M15" s="41">
        <f t="shared" ref="M15:R15" si="0">(M14-E14)/E14</f>
        <v>-0.45312846555439212</v>
      </c>
      <c r="N15" s="41">
        <f t="shared" si="0"/>
        <v>0.15384615384615385</v>
      </c>
      <c r="O15" s="41">
        <f t="shared" si="0"/>
        <v>7.0921985815603338E-3</v>
      </c>
      <c r="P15" s="41">
        <f t="shared" si="0"/>
        <v>0.26456623176307392</v>
      </c>
      <c r="Q15" s="41">
        <f t="shared" si="0"/>
        <v>-0.12494486078103258</v>
      </c>
      <c r="R15" s="41">
        <f t="shared" si="0"/>
        <v>-4.8781667195999814E-2</v>
      </c>
      <c r="T15" s="41">
        <f>(T14-D14)/D14</f>
        <v>6.8956681517011106E-2</v>
      </c>
      <c r="U15" s="41">
        <f t="shared" ref="U15:Z15" si="1">(U14-E14)/E14</f>
        <v>-0.20042365296880477</v>
      </c>
      <c r="V15" s="41">
        <f t="shared" si="1"/>
        <v>-0.23076923076923078</v>
      </c>
      <c r="W15" s="41">
        <f t="shared" si="1"/>
        <v>-1.4184397163120517E-2</v>
      </c>
      <c r="X15" s="41">
        <f t="shared" si="1"/>
        <v>0.23106285997995046</v>
      </c>
      <c r="Y15" s="41">
        <f t="shared" si="1"/>
        <v>0.2479399491458586</v>
      </c>
      <c r="Z15" s="41">
        <f t="shared" si="1"/>
        <v>6.3772665633293577E-2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69" priority="11"/>
    <cfRule type="duplicateValues" dxfId="68" priority="12"/>
  </conditionalFormatting>
  <conditionalFormatting sqref="C2">
    <cfRule type="duplicateValues" dxfId="67" priority="3"/>
    <cfRule type="duplicateValues" dxfId="66" priority="4"/>
  </conditionalFormatting>
  <conditionalFormatting sqref="C4:C13">
    <cfRule type="duplicateValues" dxfId="65" priority="5"/>
    <cfRule type="duplicateValues" dxfId="64" priority="6"/>
  </conditionalFormatting>
  <conditionalFormatting sqref="C14">
    <cfRule type="duplicateValues" dxfId="63" priority="9"/>
    <cfRule type="duplicateValues" dxfId="62" priority="10"/>
  </conditionalFormatting>
  <conditionalFormatting sqref="C15">
    <cfRule type="duplicateValues" dxfId="61" priority="7"/>
    <cfRule type="duplicateValues" dxfId="60" priority="8"/>
  </conditionalFormatting>
  <conditionalFormatting sqref="C17:C4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1086-73B8-4522-A718-A32ADBBE88D5}">
  <dimension ref="B1:AA17"/>
  <sheetViews>
    <sheetView zoomScale="85" zoomScaleNormal="85" workbookViewId="0">
      <selection activeCell="U20" sqref="U20: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-0.21835903391680092</v>
      </c>
      <c r="R2" s="1">
        <f>(R14-J14)/J14</f>
        <v>-6.7303609749634924E-2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1281702.7336423241</v>
      </c>
      <c r="E4" s="33">
        <v>144.5523972307833</v>
      </c>
      <c r="F4" s="5">
        <v>11</v>
      </c>
      <c r="G4" s="23">
        <v>92</v>
      </c>
      <c r="H4" s="33">
        <v>592.76653159283774</v>
      </c>
      <c r="I4" s="23">
        <v>41.443088648347867</v>
      </c>
      <c r="J4" s="5">
        <v>5860.5421444969725</v>
      </c>
      <c r="K4" s="31"/>
      <c r="L4" s="23">
        <v>1097731.594993657</v>
      </c>
      <c r="M4" s="33">
        <v>146.324389153787</v>
      </c>
      <c r="N4" s="5">
        <v>15</v>
      </c>
      <c r="O4" s="23">
        <v>92.666666666666671</v>
      </c>
      <c r="P4" s="33">
        <v>302.13063222290873</v>
      </c>
      <c r="Q4" s="23">
        <v>30.30967651879125</v>
      </c>
      <c r="R4" s="5">
        <v>5073.8848945615782</v>
      </c>
      <c r="S4" s="35"/>
      <c r="T4" s="23">
        <v>1391879.6273386281</v>
      </c>
      <c r="U4" s="33">
        <v>268.59181584611241</v>
      </c>
      <c r="V4" s="5">
        <v>12</v>
      </c>
      <c r="W4" s="23">
        <v>91.333333333333329</v>
      </c>
      <c r="X4" s="33">
        <v>661.84936933935978</v>
      </c>
      <c r="Y4" s="23">
        <v>38.016862952500937</v>
      </c>
      <c r="Z4" s="5">
        <v>5860.6287211026774</v>
      </c>
      <c r="AA4" s="35"/>
    </row>
    <row r="5" spans="2:27" x14ac:dyDescent="0.2">
      <c r="B5" s="4">
        <v>2</v>
      </c>
      <c r="C5" s="4">
        <v>48</v>
      </c>
      <c r="D5" s="23">
        <v>1239485.4862941881</v>
      </c>
      <c r="E5" s="33">
        <v>177.19669053841454</v>
      </c>
      <c r="F5" s="5">
        <v>12</v>
      </c>
      <c r="G5" s="23">
        <v>92</v>
      </c>
      <c r="H5" s="33">
        <v>488.76502468408506</v>
      </c>
      <c r="I5" s="23">
        <v>38.605788126454136</v>
      </c>
      <c r="J5" s="5">
        <v>5528.7049505883151</v>
      </c>
      <c r="K5" s="31"/>
      <c r="L5" s="23">
        <v>1111977.0791480229</v>
      </c>
      <c r="M5" s="33">
        <v>146.32030584616584</v>
      </c>
      <c r="N5" s="5">
        <v>16</v>
      </c>
      <c r="O5" s="23">
        <v>92.666666666666671</v>
      </c>
      <c r="P5" s="33">
        <v>379.73861303818541</v>
      </c>
      <c r="Q5" s="23">
        <v>29.151159914378994</v>
      </c>
      <c r="R5" s="5">
        <v>5061.6124723904759</v>
      </c>
      <c r="S5" s="35"/>
      <c r="T5" s="23">
        <v>1324430.925247628</v>
      </c>
      <c r="U5" s="33">
        <v>362.2686072308212</v>
      </c>
      <c r="V5" s="5">
        <v>11</v>
      </c>
      <c r="W5" s="23">
        <v>92</v>
      </c>
      <c r="X5" s="33">
        <v>570.4707913316887</v>
      </c>
      <c r="Y5" s="23">
        <v>41.786590734919088</v>
      </c>
      <c r="Z5" s="5">
        <v>5721.3056861277455</v>
      </c>
      <c r="AA5" s="35"/>
    </row>
    <row r="6" spans="2:27" x14ac:dyDescent="0.2">
      <c r="B6" s="4">
        <v>3</v>
      </c>
      <c r="C6" s="4">
        <v>445</v>
      </c>
      <c r="D6" s="23">
        <v>1210876.1857202931</v>
      </c>
      <c r="E6" s="33">
        <v>111.06697430762532</v>
      </c>
      <c r="F6" s="5">
        <v>12</v>
      </c>
      <c r="G6" s="23">
        <v>92.666666666666671</v>
      </c>
      <c r="H6" s="33">
        <v>395.7095551113469</v>
      </c>
      <c r="I6" s="23">
        <v>38.858003489073702</v>
      </c>
      <c r="J6" s="5">
        <v>5502.549474089722</v>
      </c>
      <c r="K6" s="31"/>
      <c r="L6" s="23">
        <v>1133782.4864064951</v>
      </c>
      <c r="M6" s="33">
        <v>114.21129353845923</v>
      </c>
      <c r="N6" s="5">
        <v>17</v>
      </c>
      <c r="O6" s="23">
        <v>92.666666666666671</v>
      </c>
      <c r="P6" s="33">
        <v>387.36697569469271</v>
      </c>
      <c r="Q6" s="23">
        <v>27.030539053874833</v>
      </c>
      <c r="R6" s="5">
        <v>5125.5126388359786</v>
      </c>
      <c r="S6" s="35"/>
      <c r="T6" s="23">
        <v>1375684.745601435</v>
      </c>
      <c r="U6" s="33">
        <v>208.09813246148852</v>
      </c>
      <c r="V6" s="5">
        <v>11</v>
      </c>
      <c r="W6" s="23">
        <v>91.333333333333329</v>
      </c>
      <c r="X6" s="33">
        <v>651.02133478521318</v>
      </c>
      <c r="Y6" s="23">
        <v>40.484292797584772</v>
      </c>
      <c r="Z6" s="5">
        <v>5884.7212065994536</v>
      </c>
      <c r="AA6" s="35"/>
    </row>
    <row r="7" spans="2:27" x14ac:dyDescent="0.2">
      <c r="B7" s="4">
        <v>4</v>
      </c>
      <c r="C7" s="4">
        <v>568</v>
      </c>
      <c r="D7" s="23">
        <v>1254769.981569526</v>
      </c>
      <c r="E7" s="33">
        <v>226.45354630765863</v>
      </c>
      <c r="F7" s="5">
        <v>13</v>
      </c>
      <c r="G7" s="23">
        <v>92.666666666666671</v>
      </c>
      <c r="H7" s="33">
        <v>456.81481322441994</v>
      </c>
      <c r="I7" s="23">
        <v>35.2152440558243</v>
      </c>
      <c r="J7" s="5">
        <v>5592.3213535914902</v>
      </c>
      <c r="K7" s="31"/>
      <c r="L7" s="23">
        <v>1141859.086315444</v>
      </c>
      <c r="M7" s="33">
        <v>414.96402346152956</v>
      </c>
      <c r="N7" s="5">
        <v>16</v>
      </c>
      <c r="O7" s="23">
        <v>92.666666666666671</v>
      </c>
      <c r="P7" s="33">
        <v>428.72257810721868</v>
      </c>
      <c r="Q7" s="23">
        <v>28.867296068005881</v>
      </c>
      <c r="R7" s="5">
        <v>5241.8813761140009</v>
      </c>
      <c r="S7" s="35"/>
      <c r="T7" s="23">
        <v>1351010.695078172</v>
      </c>
      <c r="U7" s="33">
        <v>219.81878153845452</v>
      </c>
      <c r="V7" s="5">
        <v>12</v>
      </c>
      <c r="W7" s="23">
        <v>92.666666666666671</v>
      </c>
      <c r="X7" s="33">
        <v>600.42545680296814</v>
      </c>
      <c r="Y7" s="23">
        <v>38.18466469167587</v>
      </c>
      <c r="Z7" s="5">
        <v>5756.5667863394474</v>
      </c>
      <c r="AA7" s="35"/>
    </row>
    <row r="8" spans="2:27" x14ac:dyDescent="0.2">
      <c r="B8" s="4">
        <v>5</v>
      </c>
      <c r="C8" s="4">
        <v>612</v>
      </c>
      <c r="D8" s="23">
        <v>1284308.6324758481</v>
      </c>
      <c r="E8" s="33">
        <v>150.23558484614253</v>
      </c>
      <c r="F8" s="5">
        <v>13</v>
      </c>
      <c r="G8" s="23">
        <v>92.666666666666671</v>
      </c>
      <c r="H8" s="33">
        <v>625.07008847448844</v>
      </c>
      <c r="I8" s="23">
        <v>35.288092697441826</v>
      </c>
      <c r="J8" s="5">
        <v>5692.6336826878842</v>
      </c>
      <c r="K8" s="31"/>
      <c r="L8" s="23">
        <v>1122185.1873448959</v>
      </c>
      <c r="M8" s="33">
        <v>180.69800423073153</v>
      </c>
      <c r="N8" s="5">
        <v>16</v>
      </c>
      <c r="O8" s="23">
        <v>92.666666666666671</v>
      </c>
      <c r="P8" s="33">
        <v>348.70294804173125</v>
      </c>
      <c r="Q8" s="23">
        <v>28.358294589798184</v>
      </c>
      <c r="R8" s="5">
        <v>5164.557986828735</v>
      </c>
      <c r="S8" s="35"/>
      <c r="T8" s="23">
        <v>1388989.8027763739</v>
      </c>
      <c r="U8" s="33">
        <v>176.33836015387291</v>
      </c>
      <c r="V8" s="5">
        <v>12</v>
      </c>
      <c r="W8" s="23">
        <v>92</v>
      </c>
      <c r="X8" s="33">
        <v>719.86159531115277</v>
      </c>
      <c r="Y8" s="23">
        <v>38.32672943545041</v>
      </c>
      <c r="Z8" s="5">
        <v>5880.7350481566373</v>
      </c>
      <c r="AA8" s="35"/>
    </row>
    <row r="9" spans="2:27" x14ac:dyDescent="0.2">
      <c r="B9" s="4">
        <v>6</v>
      </c>
      <c r="C9" s="4">
        <v>662</v>
      </c>
      <c r="D9" s="23">
        <v>1234967.8278609221</v>
      </c>
      <c r="E9" s="33">
        <v>128.72566730769063</v>
      </c>
      <c r="F9" s="5">
        <v>13</v>
      </c>
      <c r="G9" s="23">
        <v>92</v>
      </c>
      <c r="H9" s="33">
        <v>478.82561724374682</v>
      </c>
      <c r="I9" s="23">
        <v>35.647182140057424</v>
      </c>
      <c r="J9" s="5">
        <v>5377.3523421048058</v>
      </c>
      <c r="K9" s="31"/>
      <c r="L9" s="23">
        <v>1173223.161115682</v>
      </c>
      <c r="M9" s="33">
        <v>205.13224876924559</v>
      </c>
      <c r="N9" s="5">
        <v>16</v>
      </c>
      <c r="O9" s="23">
        <v>92.666666666666671</v>
      </c>
      <c r="P9" s="33">
        <v>499.07214228317719</v>
      </c>
      <c r="Q9" s="23">
        <v>28.524307577961434</v>
      </c>
      <c r="R9" s="5">
        <v>5402.1937620141589</v>
      </c>
      <c r="S9" s="35"/>
      <c r="T9" s="23">
        <v>1274587.8996973969</v>
      </c>
      <c r="U9" s="33">
        <v>169.1053321538493</v>
      </c>
      <c r="V9" s="5">
        <v>11</v>
      </c>
      <c r="W9" s="23">
        <v>92.666666666666671</v>
      </c>
      <c r="X9" s="33">
        <v>457.32663419685497</v>
      </c>
      <c r="Y9" s="23">
        <v>42.100429145005499</v>
      </c>
      <c r="Z9" s="5">
        <v>5573.546313502502</v>
      </c>
      <c r="AA9" s="35"/>
    </row>
    <row r="10" spans="2:27" x14ac:dyDescent="0.2">
      <c r="B10" s="4">
        <v>7</v>
      </c>
      <c r="C10" s="4">
        <v>718</v>
      </c>
      <c r="D10" s="23">
        <v>1300345.0328045429</v>
      </c>
      <c r="E10" s="33">
        <v>121.58971038458938</v>
      </c>
      <c r="F10" s="5">
        <v>12</v>
      </c>
      <c r="G10" s="23">
        <v>91.333333333333329</v>
      </c>
      <c r="H10" s="33">
        <v>546.76674491528581</v>
      </c>
      <c r="I10" s="23">
        <v>36.973246245291058</v>
      </c>
      <c r="J10" s="5">
        <v>5795.3987995766183</v>
      </c>
      <c r="K10" s="31"/>
      <c r="L10" s="23">
        <v>1137669.101787261</v>
      </c>
      <c r="M10" s="33">
        <v>142.33224746153263</v>
      </c>
      <c r="N10" s="5">
        <v>16</v>
      </c>
      <c r="O10" s="23">
        <v>92.666666666666671</v>
      </c>
      <c r="P10" s="33">
        <v>422.7139585374415</v>
      </c>
      <c r="Q10" s="23">
        <v>28.22765795136479</v>
      </c>
      <c r="R10" s="5">
        <v>5213.7824081325498</v>
      </c>
      <c r="S10" s="35"/>
      <c r="T10" s="23">
        <v>1450267.404685609</v>
      </c>
      <c r="U10" s="33">
        <v>96.985991384583301</v>
      </c>
      <c r="V10" s="5">
        <v>12</v>
      </c>
      <c r="W10" s="23">
        <v>90.666666666666671</v>
      </c>
      <c r="X10" s="33">
        <v>774.27559146930707</v>
      </c>
      <c r="Y10" s="23">
        <v>37.346288816941495</v>
      </c>
      <c r="Z10" s="5">
        <v>6075.8661593151173</v>
      </c>
      <c r="AA10" s="35"/>
    </row>
    <row r="11" spans="2:27" x14ac:dyDescent="0.2">
      <c r="B11" s="4">
        <v>8</v>
      </c>
      <c r="C11" s="4">
        <v>720</v>
      </c>
      <c r="D11" s="23">
        <v>1234202.7726563241</v>
      </c>
      <c r="E11" s="33">
        <v>151.25684261536938</v>
      </c>
      <c r="F11" s="5">
        <v>12</v>
      </c>
      <c r="G11" s="23">
        <v>92.666666666666671</v>
      </c>
      <c r="H11" s="33">
        <v>553.85010705655168</v>
      </c>
      <c r="I11" s="23">
        <v>38.891761396309242</v>
      </c>
      <c r="J11" s="5">
        <v>5524.9167794800851</v>
      </c>
      <c r="K11" s="31"/>
      <c r="L11" s="23">
        <v>1114891.019076704</v>
      </c>
      <c r="M11" s="33">
        <v>444.64190369230118</v>
      </c>
      <c r="N11" s="5">
        <v>16</v>
      </c>
      <c r="O11" s="23">
        <v>92.666666666666671</v>
      </c>
      <c r="P11" s="33">
        <v>369.25520531959</v>
      </c>
      <c r="Q11" s="23">
        <v>28.824380906487686</v>
      </c>
      <c r="R11" s="5">
        <v>5106.0995494240851</v>
      </c>
      <c r="S11" s="35"/>
      <c r="T11" s="23">
        <v>1289195.4479864731</v>
      </c>
      <c r="U11" s="33">
        <v>118.81663976926714</v>
      </c>
      <c r="V11" s="5">
        <v>11</v>
      </c>
      <c r="W11" s="23">
        <v>92.666666666666671</v>
      </c>
      <c r="X11" s="33">
        <v>495.05571175469458</v>
      </c>
      <c r="Y11" s="23">
        <v>41.379570643783104</v>
      </c>
      <c r="Z11" s="5">
        <v>5643.0833580535209</v>
      </c>
      <c r="AA11" s="35"/>
    </row>
    <row r="12" spans="2:27" x14ac:dyDescent="0.2">
      <c r="B12" s="4">
        <v>9</v>
      </c>
      <c r="C12" s="4">
        <v>740</v>
      </c>
      <c r="D12" s="23">
        <v>1204846.1049447469</v>
      </c>
      <c r="E12" s="33">
        <v>167.72226484617792</v>
      </c>
      <c r="F12" s="5">
        <v>12</v>
      </c>
      <c r="G12" s="23">
        <v>92.666666666666671</v>
      </c>
      <c r="H12" s="33">
        <v>381.05739905978987</v>
      </c>
      <c r="I12" s="23">
        <v>38.403845039915126</v>
      </c>
      <c r="J12" s="5">
        <v>5454.0471054728532</v>
      </c>
      <c r="K12" s="31"/>
      <c r="L12" s="23">
        <v>1095334.6142876369</v>
      </c>
      <c r="M12" s="33">
        <v>196.56648861539838</v>
      </c>
      <c r="N12" s="5">
        <v>15</v>
      </c>
      <c r="O12" s="23">
        <v>92.666666666666671</v>
      </c>
      <c r="P12" s="33">
        <v>297.85007353424527</v>
      </c>
      <c r="Q12" s="23">
        <v>30.575772238716361</v>
      </c>
      <c r="R12" s="5">
        <v>5086.9700475299824</v>
      </c>
      <c r="S12" s="35"/>
      <c r="T12" s="23">
        <v>1398553.8509189279</v>
      </c>
      <c r="U12" s="33">
        <v>160.61317646150621</v>
      </c>
      <c r="V12" s="5">
        <v>13</v>
      </c>
      <c r="W12" s="23">
        <v>92.666666666666671</v>
      </c>
      <c r="X12" s="33">
        <v>765.94444858144539</v>
      </c>
      <c r="Y12" s="23">
        <v>35.581825498050456</v>
      </c>
      <c r="Z12" s="5">
        <v>5764.8125243353415</v>
      </c>
      <c r="AA12" s="35"/>
    </row>
    <row r="13" spans="2:27" x14ac:dyDescent="0.2">
      <c r="B13" s="4">
        <v>10</v>
      </c>
      <c r="C13" s="4">
        <v>867</v>
      </c>
      <c r="D13" s="23">
        <v>1248605.2160460739</v>
      </c>
      <c r="E13" s="33">
        <v>144.23978576920209</v>
      </c>
      <c r="F13" s="5">
        <v>13</v>
      </c>
      <c r="G13" s="23">
        <v>92.666666666666671</v>
      </c>
      <c r="H13" s="33">
        <v>480.96239642334535</v>
      </c>
      <c r="I13" s="23">
        <v>35.62313838826659</v>
      </c>
      <c r="J13" s="5">
        <v>5544.2671744864574</v>
      </c>
      <c r="K13" s="31"/>
      <c r="L13" s="23">
        <v>1097209.222716246</v>
      </c>
      <c r="M13" s="33">
        <v>257.45746938458001</v>
      </c>
      <c r="N13" s="5">
        <v>15</v>
      </c>
      <c r="O13" s="23">
        <v>92.666666666666671</v>
      </c>
      <c r="P13" s="33">
        <v>257.49694040721226</v>
      </c>
      <c r="Q13" s="23">
        <v>30.306715715651855</v>
      </c>
      <c r="R13" s="5">
        <v>5102.3432143119326</v>
      </c>
      <c r="S13" s="35"/>
      <c r="T13" s="23">
        <v>1346758.062344244</v>
      </c>
      <c r="U13" s="33">
        <v>124.74525323074953</v>
      </c>
      <c r="V13" s="5">
        <v>11</v>
      </c>
      <c r="W13" s="23">
        <v>92</v>
      </c>
      <c r="X13" s="33">
        <v>599.20433825899852</v>
      </c>
      <c r="Y13" s="23">
        <v>41.524344664082939</v>
      </c>
      <c r="Z13" s="5">
        <v>5856.5209968516547</v>
      </c>
      <c r="AA13" s="35"/>
    </row>
    <row r="14" spans="2:27" x14ac:dyDescent="0.2">
      <c r="B14" s="50" t="s">
        <v>3</v>
      </c>
      <c r="C14" s="51"/>
      <c r="D14" s="9">
        <f>MIN(D4:D13)</f>
        <v>1204846.1049447469</v>
      </c>
      <c r="E14" s="22">
        <f>INDEX(E4:E13, MATCH($D$14, D4:D13, 0))</f>
        <v>167.72226484617792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381.05739905978987</v>
      </c>
      <c r="I14" s="22">
        <f>INDEX(I4:I13, MATCH($D$14, D4:D13, 0))</f>
        <v>38.403845039915126</v>
      </c>
      <c r="J14" s="22">
        <f>INDEX(J4:J13, MATCH($D$14, D4:D13, 0))</f>
        <v>5454.0471054728532</v>
      </c>
      <c r="K14" s="32" t="e">
        <f>(D14-$D$15)/$D$15</f>
        <v>#DIV/0!</v>
      </c>
      <c r="L14" s="16">
        <f>MIN(L4:L13)</f>
        <v>1095334.6142876369</v>
      </c>
      <c r="M14" s="21">
        <f>INDEX(M4:M13, MATCH($L$14, L4:L13, 0))</f>
        <v>196.56648861539838</v>
      </c>
      <c r="N14" s="16">
        <f>INDEX(N4:N13, MATCH($L$14, L4:L13, 0))</f>
        <v>15</v>
      </c>
      <c r="O14" s="16">
        <f>INDEX(O4:O13, MATCH($L$14, L4:L13, 0))</f>
        <v>92.666666666666671</v>
      </c>
      <c r="P14" s="21">
        <f>INDEX(P4:P13, MATCH($L$14, L4:L13, 0))</f>
        <v>297.85007353424527</v>
      </c>
      <c r="Q14" s="21">
        <f>INDEX(Q4:Q13, MATCH($L$14, L4:L13, 0))</f>
        <v>30.575772238716361</v>
      </c>
      <c r="R14" s="21">
        <f>INDEX(R4:R13, MATCH($L$14, L4:L13, 0))</f>
        <v>5086.9700475299824</v>
      </c>
      <c r="S14" s="36" t="e">
        <f>(L14-$D$15)/$D$15</f>
        <v>#DIV/0!</v>
      </c>
      <c r="T14" s="38">
        <f>MIN(T4:T13)</f>
        <v>1274587.8996973969</v>
      </c>
      <c r="U14" s="39">
        <f>INDEX(U4:U13, MATCH($T$14, T4:T13, 0))</f>
        <v>169.1053321538493</v>
      </c>
      <c r="V14" s="38">
        <f>INDEX(V4:V13, MATCH($T$14, T4:T13, 0))</f>
        <v>11</v>
      </c>
      <c r="W14" s="38">
        <f>INDEX(W4:W13, MATCH($T$14, T4:T13, 0))</f>
        <v>92.666666666666671</v>
      </c>
      <c r="X14" s="39">
        <f>INDEX(X4:X13, MATCH($T$14, T4:T13, 0))</f>
        <v>457.32663419685497</v>
      </c>
      <c r="Y14" s="39">
        <f>INDEX(Y4:Y13, MATCH($T$14, T4:T13, 0))</f>
        <v>42.100429145005499</v>
      </c>
      <c r="Z14" s="39">
        <f>INDEX(Z4:Z13, MATCH($T$14, T4:T13, 0))</f>
        <v>5573.546313502502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-9.0892513332341385E-2</v>
      </c>
      <c r="M15" s="41">
        <f t="shared" ref="M15:R15" si="0">(M14-E14)/E14</f>
        <v>0.17197611656194953</v>
      </c>
      <c r="N15" s="41">
        <f t="shared" si="0"/>
        <v>0.25</v>
      </c>
      <c r="O15" s="41">
        <f t="shared" si="0"/>
        <v>0</v>
      </c>
      <c r="P15" s="41">
        <f t="shared" si="0"/>
        <v>-0.21835903391680092</v>
      </c>
      <c r="Q15" s="41">
        <f t="shared" si="0"/>
        <v>-0.20383565221301772</v>
      </c>
      <c r="R15" s="41">
        <f t="shared" si="0"/>
        <v>-6.7303609749634924E-2</v>
      </c>
      <c r="T15" s="41">
        <f>(T14-D14)/D14</f>
        <v>5.7884400726720409E-2</v>
      </c>
      <c r="U15" s="41">
        <f t="shared" ref="U15:Z15" si="1">(U14-E14)/E14</f>
        <v>8.2461759560653811E-3</v>
      </c>
      <c r="V15" s="41">
        <f t="shared" si="1"/>
        <v>-8.3333333333333329E-2</v>
      </c>
      <c r="W15" s="41">
        <f t="shared" si="1"/>
        <v>0</v>
      </c>
      <c r="X15" s="41">
        <f t="shared" si="1"/>
        <v>0.20015156594583813</v>
      </c>
      <c r="Y15" s="41">
        <f t="shared" si="1"/>
        <v>9.6255572879442669E-2</v>
      </c>
      <c r="Z15" s="41">
        <f t="shared" si="1"/>
        <v>2.1910189941289203E-2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41:C1048576">
    <cfRule type="duplicateValues" dxfId="59" priority="11"/>
    <cfRule type="duplicateValues" dxfId="58" priority="12"/>
  </conditionalFormatting>
  <conditionalFormatting sqref="C2">
    <cfRule type="duplicateValues" dxfId="57" priority="3"/>
    <cfRule type="duplicateValues" dxfId="56" priority="4"/>
  </conditionalFormatting>
  <conditionalFormatting sqref="C4:C13">
    <cfRule type="duplicateValues" dxfId="55" priority="5"/>
    <cfRule type="duplicateValues" dxfId="54" priority="6"/>
  </conditionalFormatting>
  <conditionalFormatting sqref="C14">
    <cfRule type="duplicateValues" dxfId="53" priority="9"/>
    <cfRule type="duplicateValues" dxfId="52" priority="10"/>
  </conditionalFormatting>
  <conditionalFormatting sqref="C15">
    <cfRule type="duplicateValues" dxfId="51" priority="7"/>
    <cfRule type="duplicateValues" dxfId="50" priority="8"/>
  </conditionalFormatting>
  <conditionalFormatting sqref="C17:C40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50" t="s">
        <v>3</v>
      </c>
      <c r="C14" s="51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50" t="s">
        <v>3</v>
      </c>
      <c r="C14" s="51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50" t="s">
        <v>3</v>
      </c>
      <c r="C14" s="51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2026-10-28T16:02:11Z</dcterms:modified>
</cp:coreProperties>
</file>