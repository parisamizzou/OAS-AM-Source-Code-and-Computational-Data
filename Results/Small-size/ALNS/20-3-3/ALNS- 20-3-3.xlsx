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20-3-3/"/>
    </mc:Choice>
  </mc:AlternateContent>
  <xr:revisionPtr revIDLastSave="0" documentId="13_ncr:1_{3B5B5828-F58A-0045-9C17-340AA24D38BA}" xr6:coauthVersionLast="47" xr6:coauthVersionMax="47" xr10:uidLastSave="{00000000-0000-0000-0000-000000000000}"/>
  <bookViews>
    <workbookView xWindow="0" yWindow="740" windowWidth="34560" windowHeight="21600" activeTab="10" xr2:uid="{41E620E7-D6DF-9342-B452-EA60AB3B07C5}"/>
  </bookViews>
  <sheets>
    <sheet name="Summary" sheetId="68" r:id="rId1"/>
    <sheet name="results265" sheetId="58" r:id="rId2"/>
    <sheet name="results279" sheetId="69" r:id="rId3"/>
    <sheet name="results306" sheetId="70" r:id="rId4"/>
    <sheet name="results400" sheetId="71" r:id="rId5"/>
    <sheet name="results467" sheetId="76" r:id="rId6"/>
    <sheet name="results653" sheetId="77" r:id="rId7"/>
    <sheet name="results714" sheetId="72" r:id="rId8"/>
    <sheet name="results941" sheetId="73" r:id="rId9"/>
    <sheet name="results980" sheetId="74" r:id="rId10"/>
    <sheet name="results997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3" l="1"/>
  <c r="I14" i="73" s="1"/>
  <c r="S14" i="72"/>
  <c r="R14" i="72"/>
  <c r="Q14" i="72"/>
  <c r="P14" i="72"/>
  <c r="L14" i="72"/>
  <c r="O14" i="72" s="1"/>
  <c r="D14" i="72"/>
  <c r="G14" i="72" s="1"/>
  <c r="D14" i="71"/>
  <c r="K14" i="71" s="1"/>
  <c r="D14" i="70"/>
  <c r="I14" i="70" s="1"/>
  <c r="K14" i="75"/>
  <c r="I14" i="75"/>
  <c r="H14" i="75"/>
  <c r="G14" i="75"/>
  <c r="F14" i="75"/>
  <c r="E14" i="75"/>
  <c r="D14" i="75"/>
  <c r="J14" i="75" s="1"/>
  <c r="D14" i="74"/>
  <c r="K14" i="74" s="1"/>
  <c r="D14" i="77"/>
  <c r="E14" i="77" s="1"/>
  <c r="D14" i="76"/>
  <c r="K14" i="76" s="1"/>
  <c r="D14" i="69"/>
  <c r="H14" i="69" s="1"/>
  <c r="D14" i="58"/>
  <c r="H14" i="58" s="1"/>
  <c r="E14" i="73" l="1"/>
  <c r="F14" i="73"/>
  <c r="G14" i="73"/>
  <c r="H14" i="73"/>
  <c r="J14" i="73"/>
  <c r="K14" i="73"/>
  <c r="I14" i="72"/>
  <c r="J14" i="72"/>
  <c r="E14" i="72"/>
  <c r="K14" i="72"/>
  <c r="F14" i="72"/>
  <c r="H14" i="72"/>
  <c r="M14" i="72"/>
  <c r="N14" i="72"/>
  <c r="H14" i="71"/>
  <c r="F14" i="71"/>
  <c r="G14" i="71"/>
  <c r="I14" i="71"/>
  <c r="E14" i="71"/>
  <c r="J14" i="71"/>
  <c r="E14" i="70"/>
  <c r="J14" i="70"/>
  <c r="K14" i="70"/>
  <c r="G14" i="70"/>
  <c r="H14" i="70"/>
  <c r="F14" i="70"/>
  <c r="L14" i="70"/>
  <c r="T14" i="70"/>
  <c r="F14" i="74"/>
  <c r="G14" i="74"/>
  <c r="E14" i="74"/>
  <c r="H14" i="74"/>
  <c r="I14" i="74"/>
  <c r="J14" i="74"/>
  <c r="G14" i="77"/>
  <c r="H14" i="77"/>
  <c r="J14" i="77"/>
  <c r="I14" i="77"/>
  <c r="K14" i="77"/>
  <c r="F14" i="77"/>
  <c r="H14" i="76"/>
  <c r="E14" i="76"/>
  <c r="I14" i="76"/>
  <c r="F14" i="76"/>
  <c r="G14" i="76"/>
  <c r="J14" i="76"/>
  <c r="F14" i="69"/>
  <c r="K14" i="69"/>
  <c r="E14" i="69"/>
  <c r="G14" i="69"/>
  <c r="I14" i="69"/>
  <c r="J14" i="69"/>
  <c r="J14" i="58"/>
  <c r="K14" i="58"/>
  <c r="E14" i="58"/>
  <c r="F14" i="58"/>
  <c r="I14" i="58"/>
  <c r="G14" i="58"/>
  <c r="AA14" i="70" l="1"/>
  <c r="X14" i="70"/>
  <c r="W14" i="70"/>
  <c r="V14" i="70"/>
  <c r="Z14" i="70"/>
  <c r="U14" i="70"/>
  <c r="Y14" i="70"/>
  <c r="O14" i="70"/>
  <c r="S14" i="70"/>
  <c r="P14" i="70"/>
  <c r="N14" i="70"/>
  <c r="M14" i="70"/>
  <c r="R14" i="70"/>
  <c r="Q14" i="70"/>
  <c r="T14" i="73"/>
  <c r="T14" i="69"/>
  <c r="L14" i="77"/>
  <c r="L14" i="73"/>
  <c r="T14" i="71"/>
  <c r="T14" i="76"/>
  <c r="T14" i="77"/>
  <c r="T14" i="75"/>
  <c r="T14" i="74"/>
  <c r="L14" i="71"/>
  <c r="T14" i="72"/>
  <c r="C8" i="68" a="1"/>
  <c r="G8" i="68" a="1"/>
  <c r="I12" i="68" a="1"/>
  <c r="I7" i="68" a="1"/>
  <c r="F8" i="68" a="1"/>
  <c r="S8" i="68" a="1"/>
  <c r="H8" i="68" a="1"/>
  <c r="E8" i="68" a="1"/>
  <c r="I11" i="68" a="1"/>
  <c r="D8" i="68" a="1"/>
  <c r="E10" i="68" a="1"/>
  <c r="S12" i="68" a="1"/>
  <c r="G12" i="68" a="1"/>
  <c r="H11" i="68" a="1"/>
  <c r="D4" i="68" a="1"/>
  <c r="I8" i="68" a="1"/>
  <c r="C12" i="68" a="1"/>
  <c r="S9" i="68" a="1"/>
  <c r="H6" i="68" a="1"/>
  <c r="S7" i="68" a="1"/>
  <c r="D10" i="68" a="1"/>
  <c r="G4" i="68" a="1"/>
  <c r="I4" i="68" a="1"/>
  <c r="G9" i="68" a="1"/>
  <c r="F5" i="68" a="1"/>
  <c r="D7" i="68" a="1"/>
  <c r="F9" i="68" a="1"/>
  <c r="F6" i="68" a="1"/>
  <c r="E9" i="68" a="1"/>
  <c r="F11" i="68" a="1"/>
  <c r="S10" i="68" a="1"/>
  <c r="K8" i="68" a="1"/>
  <c r="D9" i="68" a="1"/>
  <c r="E12" i="68" a="1"/>
  <c r="K5" i="68" a="1"/>
  <c r="I5" i="68" a="1"/>
  <c r="H10" i="68" a="1"/>
  <c r="D5" i="68" a="1"/>
  <c r="S11" i="68" a="1"/>
  <c r="G11" i="68" a="1"/>
  <c r="S6" i="68" a="1"/>
  <c r="H4" i="68" a="1"/>
  <c r="G5" i="68" a="1"/>
  <c r="C5" i="68" a="1"/>
  <c r="H12" i="68" a="1"/>
  <c r="E7" i="68" a="1"/>
  <c r="C10" i="68" a="1"/>
  <c r="I9" i="68" a="1"/>
  <c r="E6" i="68" a="1"/>
  <c r="D11" i="68" a="1"/>
  <c r="D12" i="68" a="1"/>
  <c r="S4" i="68" a="1"/>
  <c r="I10" i="68" a="1"/>
  <c r="C7" i="68" a="1"/>
  <c r="S5" i="68" a="1"/>
  <c r="F4" i="68" a="1"/>
  <c r="D6" i="68" a="1"/>
  <c r="H5" i="68" a="1"/>
  <c r="G7" i="68" a="1"/>
  <c r="C11" i="68" a="1"/>
  <c r="C4" i="68" a="1"/>
  <c r="F12" i="68" a="1"/>
  <c r="C6" i="68" a="1"/>
  <c r="G6" i="68" a="1"/>
  <c r="E11" i="68" a="1"/>
  <c r="C9" i="68" a="1"/>
  <c r="E5" i="68" a="1"/>
  <c r="H9" i="68" a="1"/>
  <c r="E4" i="68" a="1"/>
  <c r="G10" i="68" a="1"/>
  <c r="F7" i="68" a="1"/>
  <c r="H7" i="68" a="1"/>
  <c r="I6" i="68" a="1"/>
  <c r="F10" i="68" a="1"/>
  <c r="AA14" i="73" l="1"/>
  <c r="W14" i="73"/>
  <c r="V14" i="73"/>
  <c r="Z14" i="73"/>
  <c r="X14" i="73"/>
  <c r="U14" i="73"/>
  <c r="Y14" i="73"/>
  <c r="O14" i="73"/>
  <c r="N14" i="73"/>
  <c r="S14" i="73"/>
  <c r="M14" i="73"/>
  <c r="R14" i="73"/>
  <c r="Q14" i="73"/>
  <c r="P14" i="73"/>
  <c r="AA14" i="72"/>
  <c r="Z14" i="72"/>
  <c r="Y14" i="72"/>
  <c r="X14" i="72"/>
  <c r="W14" i="72"/>
  <c r="U14" i="72"/>
  <c r="V14" i="72"/>
  <c r="AA14" i="71"/>
  <c r="Z14" i="71"/>
  <c r="Y14" i="71"/>
  <c r="X14" i="71"/>
  <c r="W14" i="71"/>
  <c r="V14" i="71"/>
  <c r="U14" i="71"/>
  <c r="O14" i="71"/>
  <c r="M14" i="71"/>
  <c r="N14" i="71"/>
  <c r="S14" i="71"/>
  <c r="R14" i="71"/>
  <c r="P14" i="71"/>
  <c r="Q14" i="71"/>
  <c r="L14" i="75"/>
  <c r="AA14" i="75"/>
  <c r="Z14" i="75"/>
  <c r="Y14" i="75"/>
  <c r="X14" i="75"/>
  <c r="W14" i="75"/>
  <c r="V14" i="75"/>
  <c r="U14" i="75"/>
  <c r="L14" i="74"/>
  <c r="AA14" i="74"/>
  <c r="Z14" i="74"/>
  <c r="Y14" i="74"/>
  <c r="X14" i="74"/>
  <c r="W14" i="74"/>
  <c r="V14" i="74"/>
  <c r="U14" i="74"/>
  <c r="AA14" i="77"/>
  <c r="Z14" i="77"/>
  <c r="U14" i="77"/>
  <c r="Y14" i="77"/>
  <c r="X14" i="77"/>
  <c r="W14" i="77"/>
  <c r="V14" i="77"/>
  <c r="O14" i="77"/>
  <c r="R14" i="77"/>
  <c r="P14" i="77"/>
  <c r="N14" i="77"/>
  <c r="M14" i="77"/>
  <c r="S14" i="77"/>
  <c r="J2" i="77" s="1"/>
  <c r="Q14" i="77"/>
  <c r="L14" i="76"/>
  <c r="AA14" i="76"/>
  <c r="Z14" i="76"/>
  <c r="W14" i="76"/>
  <c r="Y14" i="76"/>
  <c r="X14" i="76"/>
  <c r="V14" i="76"/>
  <c r="U14" i="76"/>
  <c r="J2" i="70"/>
  <c r="L14" i="69"/>
  <c r="AA14" i="69"/>
  <c r="Z14" i="69"/>
  <c r="V14" i="69"/>
  <c r="Y14" i="69"/>
  <c r="U14" i="69"/>
  <c r="X14" i="69"/>
  <c r="W14" i="69"/>
  <c r="E9" i="68"/>
  <c r="H6" i="68"/>
  <c r="G4" i="68"/>
  <c r="S5" i="68"/>
  <c r="S6" i="68"/>
  <c r="I12" i="68"/>
  <c r="I9" i="68"/>
  <c r="F5" i="68"/>
  <c r="S10" i="68"/>
  <c r="E5" i="68"/>
  <c r="D12" i="68"/>
  <c r="I4" i="68"/>
  <c r="C7" i="68"/>
  <c r="G6" i="68"/>
  <c r="E12" i="68"/>
  <c r="D11" i="68"/>
  <c r="H4" i="68"/>
  <c r="C12" i="68"/>
  <c r="G7" i="68"/>
  <c r="I11" i="68"/>
  <c r="D10" i="68"/>
  <c r="S4" i="68"/>
  <c r="C8" i="68"/>
  <c r="H5" i="68"/>
  <c r="E6" i="68"/>
  <c r="D8" i="68"/>
  <c r="D6" i="68"/>
  <c r="C11" i="68"/>
  <c r="G8" i="68"/>
  <c r="H9" i="68"/>
  <c r="S12" i="68"/>
  <c r="K8" i="68"/>
  <c r="D4" i="68"/>
  <c r="C5" i="68"/>
  <c r="D7" i="68"/>
  <c r="G11" i="68"/>
  <c r="E8" i="68"/>
  <c r="H8" i="68"/>
  <c r="S11" i="68"/>
  <c r="K5" i="68"/>
  <c r="H12" i="68"/>
  <c r="S7" i="68"/>
  <c r="H10" i="68"/>
  <c r="G5" i="68"/>
  <c r="S9" i="68"/>
  <c r="C6" i="68"/>
  <c r="I6" i="68"/>
  <c r="E4" i="68"/>
  <c r="F10" i="68"/>
  <c r="C4" i="68"/>
  <c r="F9" i="68"/>
  <c r="I10" i="68"/>
  <c r="S8" i="68"/>
  <c r="G9" i="68"/>
  <c r="D9" i="68"/>
  <c r="D5" i="68"/>
  <c r="F7" i="68"/>
  <c r="C10" i="68"/>
  <c r="F12" i="68"/>
  <c r="F6" i="68"/>
  <c r="I5" i="68"/>
  <c r="H7" i="68"/>
  <c r="H11" i="68"/>
  <c r="G10" i="68"/>
  <c r="E7" i="68"/>
  <c r="I7" i="68"/>
  <c r="G12" i="68"/>
  <c r="E11" i="68"/>
  <c r="E10" i="68"/>
  <c r="I8" i="68"/>
  <c r="F11" i="68"/>
  <c r="F4" i="68"/>
  <c r="C9" i="68"/>
  <c r="F8" i="68"/>
  <c r="L14" i="58"/>
  <c r="T14" i="58"/>
  <c r="U12" i="68" a="1"/>
  <c r="U10" i="68" a="1"/>
  <c r="V7" i="68" a="1"/>
  <c r="U11" i="68" a="1"/>
  <c r="Y7" i="68" a="1"/>
  <c r="T10" i="68" a="1"/>
  <c r="W7" i="68" a="1"/>
  <c r="M8" i="68" a="1"/>
  <c r="T4" i="68" a="1"/>
  <c r="W8" i="68" a="1"/>
  <c r="S3" i="68" a="1"/>
  <c r="N8" i="68" a="1"/>
  <c r="T6" i="68" a="1"/>
  <c r="P6" i="68" a="1"/>
  <c r="K7" i="68" a="1"/>
  <c r="Q5" i="68" a="1"/>
  <c r="V11" i="68" a="1"/>
  <c r="O5" i="68" a="1"/>
  <c r="W6" i="68" a="1"/>
  <c r="V12" i="68" a="1"/>
  <c r="V4" i="68" a="1"/>
  <c r="U4" i="68" a="1"/>
  <c r="L5" i="68" a="1"/>
  <c r="K9" i="68" a="1"/>
  <c r="W9" i="68" a="1"/>
  <c r="O8" i="68" a="1"/>
  <c r="Y5" i="68" a="1"/>
  <c r="L8" i="68" a="1"/>
  <c r="M6" i="68" a="1"/>
  <c r="K12" i="68" a="1"/>
  <c r="W12" i="68" a="1"/>
  <c r="X4" i="68" a="1"/>
  <c r="Q8" i="68" a="1"/>
  <c r="T9" i="68" a="1"/>
  <c r="Y6" i="68" a="1"/>
  <c r="U9" i="68" a="1"/>
  <c r="X11" i="68" a="1"/>
  <c r="K6" i="68" a="1"/>
  <c r="V10" i="68" a="1"/>
  <c r="T7" i="68" a="1"/>
  <c r="K11" i="68" a="1"/>
  <c r="V9" i="68" a="1"/>
  <c r="Q6" i="68" a="1"/>
  <c r="W11" i="68" a="1"/>
  <c r="X6" i="68" a="1"/>
  <c r="X10" i="68" a="1"/>
  <c r="T8" i="68" a="1"/>
  <c r="X9" i="68" a="1"/>
  <c r="N6" i="68" a="1"/>
  <c r="Y9" i="68" a="1"/>
  <c r="T12" i="68" a="1"/>
  <c r="U8" i="68" a="1"/>
  <c r="V5" i="68" a="1"/>
  <c r="K10" i="68" a="1"/>
  <c r="O6" i="68" a="1"/>
  <c r="U5" i="68" a="1"/>
  <c r="X12" i="68" a="1"/>
  <c r="T11" i="68" a="1"/>
  <c r="X7" i="68" a="1"/>
  <c r="K3" i="68" a="1"/>
  <c r="W4" i="68" a="1"/>
  <c r="V6" i="68" a="1"/>
  <c r="K4" i="68" a="1"/>
  <c r="Y12" i="68" a="1"/>
  <c r="W10" i="68" a="1"/>
  <c r="P8" i="68" a="1"/>
  <c r="W5" i="68" a="1"/>
  <c r="Y11" i="68" a="1"/>
  <c r="L6" i="68" a="1"/>
  <c r="Y8" i="68" a="1"/>
  <c r="U7" i="68" a="1"/>
  <c r="N5" i="68" a="1"/>
  <c r="U6" i="68" a="1"/>
  <c r="Y10" i="68" a="1"/>
  <c r="T5" i="68" a="1"/>
  <c r="X8" i="68" a="1"/>
  <c r="V8" i="68" a="1"/>
  <c r="Y4" i="68" a="1"/>
  <c r="P5" i="68" a="1"/>
  <c r="M5" i="68" a="1"/>
  <c r="X5" i="68" a="1"/>
  <c r="K12" i="68" l="1"/>
  <c r="M14" i="75"/>
  <c r="S14" i="75"/>
  <c r="J2" i="75" s="1"/>
  <c r="R14" i="75"/>
  <c r="Z2" i="75" s="1"/>
  <c r="Q14" i="75"/>
  <c r="H2" i="75" s="1"/>
  <c r="P14" i="75"/>
  <c r="X2" i="75" s="1"/>
  <c r="O14" i="75"/>
  <c r="N14" i="75"/>
  <c r="K11" i="68"/>
  <c r="O14" i="74"/>
  <c r="N14" i="74"/>
  <c r="M14" i="74"/>
  <c r="S14" i="74"/>
  <c r="J2" i="74" s="1"/>
  <c r="R14" i="74"/>
  <c r="R2" i="74" s="1"/>
  <c r="Q14" i="74"/>
  <c r="H2" i="74" s="1"/>
  <c r="P14" i="74"/>
  <c r="X2" i="74" s="1"/>
  <c r="K10" i="68"/>
  <c r="R2" i="73"/>
  <c r="J2" i="73"/>
  <c r="P2" i="73"/>
  <c r="H2" i="73"/>
  <c r="K9" i="68"/>
  <c r="J2" i="72"/>
  <c r="X2" i="72"/>
  <c r="H2" i="72"/>
  <c r="K7" i="68"/>
  <c r="N14" i="76"/>
  <c r="M14" i="76"/>
  <c r="O14" i="76"/>
  <c r="R14" i="76"/>
  <c r="R2" i="76" s="1"/>
  <c r="Q14" i="76"/>
  <c r="H2" i="76" s="1"/>
  <c r="P14" i="76"/>
  <c r="X2" i="76" s="1"/>
  <c r="S14" i="76"/>
  <c r="J2" i="76" s="1"/>
  <c r="K4" i="68"/>
  <c r="O14" i="69"/>
  <c r="S14" i="69"/>
  <c r="J2" i="69" s="1"/>
  <c r="R14" i="69"/>
  <c r="R2" i="69" s="1"/>
  <c r="P14" i="69"/>
  <c r="P2" i="69" s="1"/>
  <c r="N14" i="69"/>
  <c r="Q14" i="69"/>
  <c r="H2" i="69" s="1"/>
  <c r="M14" i="69"/>
  <c r="AA14" i="58"/>
  <c r="V14" i="58"/>
  <c r="Z14" i="58"/>
  <c r="Y14" i="58"/>
  <c r="X14" i="58"/>
  <c r="W14" i="58"/>
  <c r="U14" i="58"/>
  <c r="O14" i="58"/>
  <c r="R14" i="58"/>
  <c r="Q14" i="58"/>
  <c r="N14" i="58"/>
  <c r="M14" i="58"/>
  <c r="S14" i="58"/>
  <c r="P14" i="58"/>
  <c r="T5" i="68"/>
  <c r="Y11" i="68"/>
  <c r="M6" i="68"/>
  <c r="T12" i="68"/>
  <c r="W12" i="68"/>
  <c r="V12" i="68"/>
  <c r="U12" i="68"/>
  <c r="Z2" i="77"/>
  <c r="K6" i="68"/>
  <c r="N6" i="68"/>
  <c r="W4" i="68"/>
  <c r="Y6" i="68"/>
  <c r="O6" i="68"/>
  <c r="V9" i="68"/>
  <c r="J2" i="71"/>
  <c r="P2" i="71"/>
  <c r="Z2" i="71"/>
  <c r="L8" i="68"/>
  <c r="V11" i="68"/>
  <c r="X9" i="68"/>
  <c r="T8" i="68"/>
  <c r="U5" i="68"/>
  <c r="Q6" i="68"/>
  <c r="X4" i="68"/>
  <c r="W7" i="68"/>
  <c r="U10" i="68"/>
  <c r="X8" i="68"/>
  <c r="L6" i="68"/>
  <c r="V5" i="68"/>
  <c r="R2" i="71"/>
  <c r="N5" i="68"/>
  <c r="W6" i="68"/>
  <c r="W10" i="68"/>
  <c r="X11" i="68"/>
  <c r="U9" i="68"/>
  <c r="P6" i="68"/>
  <c r="T11" i="68"/>
  <c r="X6" i="68"/>
  <c r="Q8" i="68"/>
  <c r="M8" i="68"/>
  <c r="U11" i="68"/>
  <c r="Y4" i="68"/>
  <c r="U7" i="68"/>
  <c r="X5" i="68"/>
  <c r="O5" i="68"/>
  <c r="Y5" i="68"/>
  <c r="O8" i="68"/>
  <c r="X7" i="68"/>
  <c r="X12" i="68"/>
  <c r="W11" i="68"/>
  <c r="W8" i="68"/>
  <c r="V4" i="68"/>
  <c r="V7" i="68"/>
  <c r="V8" i="68"/>
  <c r="Y8" i="68"/>
  <c r="P8" i="68"/>
  <c r="H2" i="71"/>
  <c r="R2" i="77"/>
  <c r="P2" i="70"/>
  <c r="X2" i="71"/>
  <c r="P2" i="77"/>
  <c r="X2" i="77"/>
  <c r="H2" i="77"/>
  <c r="Y10" i="68"/>
  <c r="W5" i="68"/>
  <c r="V10" i="68"/>
  <c r="Y12" i="68"/>
  <c r="V6" i="68"/>
  <c r="W9" i="68"/>
  <c r="T6" i="68"/>
  <c r="N8" i="68"/>
  <c r="T9" i="68"/>
  <c r="U4" i="68"/>
  <c r="T10" i="68"/>
  <c r="M5" i="68"/>
  <c r="U6" i="68"/>
  <c r="T7" i="68"/>
  <c r="U8" i="68"/>
  <c r="Y9" i="68"/>
  <c r="Q5" i="68"/>
  <c r="L5" i="68"/>
  <c r="X10" i="68"/>
  <c r="T4" i="68"/>
  <c r="Y7" i="68"/>
  <c r="P5" i="68"/>
  <c r="X2" i="70"/>
  <c r="R2" i="70"/>
  <c r="Z2" i="69"/>
  <c r="Z2" i="70"/>
  <c r="H2" i="70"/>
  <c r="S3" i="68"/>
  <c r="K3" i="68"/>
  <c r="Q11" i="68" a="1"/>
  <c r="N9" i="68" a="1"/>
  <c r="M4" i="68" a="1"/>
  <c r="P9" i="68" a="1"/>
  <c r="P4" i="68" a="1"/>
  <c r="Q9" i="68" a="1"/>
  <c r="L4" i="68" a="1"/>
  <c r="L12" i="68" a="1"/>
  <c r="M7" i="68" a="1"/>
  <c r="N12" i="68" a="1"/>
  <c r="O7" i="68" a="1"/>
  <c r="M9" i="68" a="1"/>
  <c r="P11" i="68" a="1"/>
  <c r="L7" i="68" a="1"/>
  <c r="P12" i="68" a="1"/>
  <c r="L10" i="68" a="1"/>
  <c r="P10" i="68" a="1"/>
  <c r="O11" i="68" a="1"/>
  <c r="C3" i="68" a="1"/>
  <c r="O12" i="68" a="1"/>
  <c r="N4" i="68" a="1"/>
  <c r="L11" i="68" a="1"/>
  <c r="N10" i="68" a="1"/>
  <c r="N7" i="68" a="1"/>
  <c r="Q7" i="68" a="1"/>
  <c r="O10" i="68" a="1"/>
  <c r="M12" i="68" a="1"/>
  <c r="N11" i="68" a="1"/>
  <c r="O9" i="68" a="1"/>
  <c r="Q12" i="68" a="1"/>
  <c r="M10" i="68" a="1"/>
  <c r="Q10" i="68" a="1"/>
  <c r="P7" i="68" a="1"/>
  <c r="M11" i="68" a="1"/>
  <c r="L9" i="68" a="1"/>
  <c r="Q4" i="68" a="1"/>
  <c r="O4" i="68" a="1"/>
  <c r="X2" i="73" l="1"/>
  <c r="R2" i="75"/>
  <c r="Z2" i="74"/>
  <c r="P2" i="75"/>
  <c r="Z2" i="73"/>
  <c r="P2" i="74"/>
  <c r="P2" i="72"/>
  <c r="M12" i="68"/>
  <c r="N12" i="68"/>
  <c r="O12" i="68"/>
  <c r="P12" i="68"/>
  <c r="Q12" i="68"/>
  <c r="L12" i="68"/>
  <c r="O11" i="68"/>
  <c r="P11" i="68"/>
  <c r="Q11" i="68"/>
  <c r="L11" i="68"/>
  <c r="M11" i="68"/>
  <c r="N11" i="68"/>
  <c r="Z2" i="76"/>
  <c r="P2" i="76"/>
  <c r="P10" i="68"/>
  <c r="O10" i="68"/>
  <c r="L10" i="68"/>
  <c r="Q10" i="68"/>
  <c r="M10" i="68"/>
  <c r="N10" i="68"/>
  <c r="Q9" i="68"/>
  <c r="P9" i="68"/>
  <c r="N9" i="68"/>
  <c r="O9" i="68"/>
  <c r="L9" i="68"/>
  <c r="M9" i="68"/>
  <c r="Z2" i="72"/>
  <c r="R2" i="72"/>
  <c r="O7" i="68"/>
  <c r="P7" i="68"/>
  <c r="Q7" i="68"/>
  <c r="N7" i="68"/>
  <c r="L7" i="68"/>
  <c r="M7" i="68"/>
  <c r="X2" i="69"/>
  <c r="L4" i="68"/>
  <c r="P4" i="68"/>
  <c r="M4" i="68"/>
  <c r="O4" i="68"/>
  <c r="Q4" i="68"/>
  <c r="N4" i="68"/>
  <c r="S13" i="68"/>
  <c r="Z13" i="68" s="1"/>
  <c r="S17" i="68"/>
  <c r="K13" i="68"/>
  <c r="R13" i="68" s="1"/>
  <c r="K17" i="68"/>
  <c r="C3" i="68"/>
  <c r="C17" i="68" s="1"/>
  <c r="G3" i="68" a="1"/>
  <c r="N3" i="68" a="1"/>
  <c r="I3" i="68" a="1"/>
  <c r="H3" i="68" a="1"/>
  <c r="P3" i="68" a="1"/>
  <c r="T3" i="68" a="1"/>
  <c r="X3" i="68" a="1"/>
  <c r="F3" i="68" a="1"/>
  <c r="L3" i="68" a="1"/>
  <c r="E3" i="68" a="1"/>
  <c r="W3" i="68" a="1"/>
  <c r="Q3" i="68" a="1"/>
  <c r="M3" i="68" a="1"/>
  <c r="Y3" i="68" a="1"/>
  <c r="D3" i="68" a="1"/>
  <c r="U3" i="68" a="1"/>
  <c r="V3" i="68" a="1"/>
  <c r="O3" i="68" a="1"/>
  <c r="C13" i="68" l="1"/>
  <c r="J13" i="68" s="1"/>
  <c r="U3" i="68"/>
  <c r="U13" i="68" s="1"/>
  <c r="Y3" i="68"/>
  <c r="Y13" i="68" s="1"/>
  <c r="D3" i="68"/>
  <c r="D13" i="68" s="1"/>
  <c r="G3" i="68"/>
  <c r="G13" i="68" s="1"/>
  <c r="M3" i="68"/>
  <c r="M13" i="68" s="1"/>
  <c r="V3" i="68"/>
  <c r="V13" i="68" s="1"/>
  <c r="Q3" i="68"/>
  <c r="Q13" i="68" s="1"/>
  <c r="H3" i="68"/>
  <c r="H13" i="68" s="1"/>
  <c r="O3" i="68"/>
  <c r="O13" i="68" s="1"/>
  <c r="W3" i="68"/>
  <c r="W13" i="68" s="1"/>
  <c r="L3" i="68"/>
  <c r="L13" i="68" s="1"/>
  <c r="P3" i="68"/>
  <c r="P13" i="68" s="1"/>
  <c r="X3" i="68"/>
  <c r="X13" i="68" s="1"/>
  <c r="T3" i="68"/>
  <c r="T13" i="68" s="1"/>
  <c r="I3" i="68"/>
  <c r="I13" i="68" s="1"/>
  <c r="E3" i="68"/>
  <c r="E13" i="68" s="1"/>
  <c r="F3" i="68"/>
  <c r="F13" i="68" s="1"/>
  <c r="N3" i="68"/>
  <c r="N13" i="68" s="1"/>
  <c r="J2" i="58"/>
  <c r="R2" i="58"/>
  <c r="H2" i="58"/>
  <c r="Z2" i="58"/>
  <c r="P2" i="58"/>
  <c r="X2" i="58"/>
  <c r="S14" i="68" l="1"/>
  <c r="K14" i="68"/>
  <c r="W14" i="68"/>
  <c r="P14" i="68"/>
  <c r="L14" i="68"/>
  <c r="Q14" i="68"/>
  <c r="O14" i="68"/>
  <c r="N14" i="68"/>
  <c r="M14" i="68"/>
  <c r="V14" i="68"/>
  <c r="T14" i="68"/>
  <c r="Y14" i="68"/>
  <c r="X14" i="68"/>
  <c r="U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F7" i="23" a="1"/>
  <c r="E8" i="23" a="1"/>
  <c r="G10" i="23" a="1"/>
  <c r="G7" i="23" a="1"/>
  <c r="E4" i="23" a="1"/>
  <c r="F6" i="23" a="1"/>
  <c r="G12" i="23" a="1"/>
  <c r="D11" i="23" a="1"/>
  <c r="D10" i="23" a="1"/>
  <c r="F10" i="23" a="1"/>
  <c r="G6" i="23" a="1"/>
  <c r="D6" i="23" a="1"/>
  <c r="E6" i="23" a="1"/>
  <c r="D9" i="23" a="1"/>
  <c r="F13" i="23" a="1"/>
  <c r="G5" i="23" a="1"/>
  <c r="E5" i="23" a="1"/>
  <c r="E7" i="23" a="1"/>
  <c r="D7" i="23" a="1"/>
  <c r="G9" i="23" a="1"/>
  <c r="F5" i="23" a="1"/>
  <c r="D12" i="23" a="1"/>
  <c r="D4" i="23" a="1"/>
  <c r="E12" i="23" a="1"/>
  <c r="F11" i="23" a="1"/>
  <c r="D5" i="23" a="1"/>
  <c r="D13" i="23" a="1"/>
  <c r="F12" i="23" a="1"/>
  <c r="F9" i="23" a="1"/>
  <c r="G13" i="23" a="1"/>
  <c r="F8" i="23" a="1"/>
  <c r="G4" i="23" a="1"/>
  <c r="G11" i="23" a="1"/>
  <c r="E10" i="23" a="1"/>
  <c r="D8" i="23" a="1"/>
  <c r="F4" i="23" a="1"/>
  <c r="E13" i="23" a="1"/>
  <c r="G8" i="23" a="1"/>
  <c r="E9" i="23" a="1"/>
  <c r="E11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<sst xmlns="http://schemas.openxmlformats.org/spreadsheetml/2006/main" count="677" uniqueCount="22">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</sst>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topLeftCell="O1" zoomScale="85" zoomScaleNormal="85" workbookViewId="0">
      <selection activeCell="O17" sqref="A17:XFD17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265</v>
      </c>
      <c r="C3" s="5" cm="1">
        <f t="array" aca="1" ref="C3" ca="1">INDIRECT("'results" &amp; $B3 &amp; "'!D$14")</f>
        <v>56502.026834024262</v>
      </c>
      <c r="D3" s="33" cm="1">
        <f t="array" aca="1" ref="D3" ca="1">INDIRECT("'results" &amp; $B3 &amp; "'!E$14")</f>
        <v>0.29926737500136369</v>
      </c>
      <c r="E3" s="5" cm="1">
        <f t="array" aca="1" ref="E3" ca="1">INDIRECT("'results" &amp; $B3 &amp; "'!F$14")</f>
        <v>3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14.087195634032918</v>
      </c>
      <c r="I3" s="5" cm="1">
        <f t="array" aca="1" ref="I3" ca="1">INDIRECT("'results" &amp; $B3 &amp; "'!J$14")</f>
        <v>1093.3688277079839</v>
      </c>
      <c r="J3" s="5"/>
      <c r="K3" s="5" cm="1">
        <f t="array" aca="1" ref="K3" ca="1">INDIRECT("'results" &amp; $B3 &amp; "'!L$14")</f>
        <v>67172.682133116468</v>
      </c>
      <c r="L3" s="5" cm="1">
        <f t="array" aca="1" ref="L3" ca="1">INDIRECT("'results" &amp; $B3 &amp; "'!M$14")</f>
        <v>0.24552854099965771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75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10.877063331728451</v>
      </c>
      <c r="Q3" s="5" cm="1">
        <f t="array" aca="1" ref="Q3" ca="1">INDIRECT("'results" &amp; $B3 &amp; "'!R$14")</f>
        <v>964.84335838763388</v>
      </c>
      <c r="R3" s="5"/>
      <c r="S3" s="5" cm="1">
        <f t="array" aca="1" ref="S3" ca="1">INDIRECT("'results" &amp; $B3 &amp; "'!T$14")</f>
        <v>60798.17490211402</v>
      </c>
      <c r="T3" s="5" cm="1">
        <f t="array" aca="1" ref="T3" ca="1">INDIRECT("'results" &amp; $B3 &amp; "'!U$14")</f>
        <v>0.27240762499786803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75</v>
      </c>
      <c r="W3" s="5" cm="1">
        <f t="array" aca="1" ref="W3" ca="1">INDIRECT("'results" &amp; $B3 &amp; "'!X$14")</f>
        <v>3.0540687100621962</v>
      </c>
      <c r="X3" s="5" cm="1">
        <f t="array" aca="1" ref="X3" ca="1">INDIRECT("'results" &amp; $B3 &amp; "'!Y$14")</f>
        <v>35.61369014091467</v>
      </c>
      <c r="Y3" s="5" cm="1">
        <f t="array" aca="1" ref="Y3" ca="1">INDIRECT("'results" &amp; $B3 &amp; "'!Z$14")</f>
        <v>1471.4712684326189</v>
      </c>
      <c r="Z3" s="5"/>
    </row>
    <row r="4" spans="2:26" x14ac:dyDescent="0.2">
      <c r="B4" s="4">
        <v>279</v>
      </c>
      <c r="C4" s="5" cm="1">
        <f t="array" aca="1" ref="C4" ca="1">INDIRECT("'results" &amp; $B4 &amp; "'!D$14")</f>
        <v>69081.278097380797</v>
      </c>
      <c r="D4" s="33" cm="1">
        <f t="array" aca="1" ref="D4" ca="1">INDIRECT("'results" &amp; $B4 &amp; "'!E$14")</f>
        <v>0.41923666699949541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80</v>
      </c>
      <c r="G4" s="5" cm="1">
        <f t="array" aca="1" ref="G4" ca="1">INDIRECT("'results" &amp; $B4 &amp; "'!H$14")</f>
        <v>68.786488968384191</v>
      </c>
      <c r="H4" s="33" cm="1">
        <f t="array" aca="1" ref="H4" ca="1">INDIRECT("'results" &amp; $B4 &amp; "'!I$14")</f>
        <v>22.290864533455924</v>
      </c>
      <c r="I4" s="5" cm="1">
        <f t="array" aca="1" ref="I4" ca="1">INDIRECT("'results" &amp; $B4 &amp; "'!J$14")</f>
        <v>1912.2270210119955</v>
      </c>
      <c r="J4" s="5"/>
      <c r="K4" s="5" cm="1">
        <f t="array" aca="1" ref="K4" ca="1">INDIRECT("'results" &amp; $B4 &amp; "'!L$14")</f>
        <v>80129.507444753355</v>
      </c>
      <c r="L4" s="5" cm="1">
        <f t="array" aca="1" ref="L4" ca="1">INDIRECT("'results" &amp; $B4 &amp; "'!M$14")</f>
        <v>0.34321141699911101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55</v>
      </c>
      <c r="O4" s="5" cm="1">
        <f t="array" aca="1" ref="O4" ca="1">INDIRECT("'results" &amp; $B4 &amp; "'!P$14")</f>
        <v>12.373399400950429</v>
      </c>
      <c r="P4" s="5" cm="1">
        <f t="array" aca="1" ref="P4" ca="1">INDIRECT("'results" &amp; $B4 &amp; "'!Q$14")</f>
        <v>13.788833447334421</v>
      </c>
      <c r="Q4" s="5" cm="1">
        <f t="array" aca="1" ref="Q4" ca="1">INDIRECT("'results" &amp; $B4 &amp; "'!R$14")</f>
        <v>1441.651423930173</v>
      </c>
      <c r="R4" s="5"/>
      <c r="S4" s="5" cm="1">
        <f t="array" aca="1" ref="S4" ca="1">INDIRECT("'results" &amp; $B4 &amp; "'!T$14")</f>
        <v>85303.860551245714</v>
      </c>
      <c r="T4" s="5" cm="1">
        <f t="array" aca="1" ref="T4" ca="1">INDIRECT("'results" &amp; $B4 &amp; "'!U$14")</f>
        <v>0.34885249999933882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55</v>
      </c>
      <c r="W4" s="5" cm="1">
        <f t="array" aca="1" ref="W4" ca="1">INDIRECT("'results" &amp; $B4 &amp; "'!X$14")</f>
        <v>119.1811049427828</v>
      </c>
      <c r="X4" s="5" cm="1">
        <f t="array" aca="1" ref="X4" ca="1">INDIRECT("'results" &amp; $B4 &amp; "'!Y$14")</f>
        <v>25.225285716182331</v>
      </c>
      <c r="Y4" s="5" cm="1">
        <f t="array" aca="1" ref="Y4" ca="1">INDIRECT("'results" &amp; $B4 &amp; "'!Z$14")</f>
        <v>1989.296485460123</v>
      </c>
      <c r="Z4" s="5"/>
    </row>
    <row r="5" spans="2:26" x14ac:dyDescent="0.2">
      <c r="B5" s="4">
        <v>306</v>
      </c>
      <c r="C5" s="5" cm="1">
        <f t="array" aca="1" ref="C5" ca="1">INDIRECT("'results" &amp; $B5 &amp; "'!D$14")</f>
        <v>65509.34561354958</v>
      </c>
      <c r="D5" s="33" cm="1">
        <f t="array" aca="1" ref="D5" ca="1">INDIRECT("'results" &amp; $B5 &amp; "'!E$14")</f>
        <v>0.42500962499980233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70</v>
      </c>
      <c r="G5" s="5" cm="1">
        <f t="array" aca="1" ref="G5" ca="1">INDIRECT("'results" &amp; $B5 &amp; "'!H$14")</f>
        <v>13.768091536766793</v>
      </c>
      <c r="H5" s="33" cm="1">
        <f t="array" aca="1" ref="H5" ca="1">INDIRECT("'results" &amp; $B5 &amp; "'!I$14")</f>
        <v>24.059672546809395</v>
      </c>
      <c r="I5" s="5" cm="1">
        <f t="array" aca="1" ref="I5" ca="1">INDIRECT("'results" &amp; $B5 &amp; "'!J$14")</f>
        <v>1413.7864903912246</v>
      </c>
      <c r="J5" s="5"/>
      <c r="K5" s="5" cm="1">
        <f t="array" aca="1" ref="K5" ca="1">INDIRECT("'results" &amp; $B5 &amp; "'!L$14")</f>
        <v>78056.910187118847</v>
      </c>
      <c r="L5" s="5" cm="1">
        <f t="array" aca="1" ref="L5" ca="1">INDIRECT("'results" &amp; $B5 &amp; "'!M$14")</f>
        <v>0.26652858300076332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50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16.896944559488471</v>
      </c>
      <c r="Q5" s="5" cm="1">
        <f t="array" aca="1" ref="Q5" ca="1">INDIRECT("'results" &amp; $B5 &amp; "'!R$14")</f>
        <v>1141.631949962378</v>
      </c>
      <c r="R5" s="5"/>
      <c r="S5" s="5" cm="1">
        <f t="array" aca="1" ref="S5" ca="1">INDIRECT("'results" &amp; $B5 &amp; "'!T$14")</f>
        <v>71750.462339689548</v>
      </c>
      <c r="T5" s="5" cm="1">
        <f t="array" aca="1" ref="T5" ca="1">INDIRECT("'results" &amp; $B5 &amp; "'!U$14")</f>
        <v>0.44028875000003609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65</v>
      </c>
      <c r="W5" s="5" cm="1">
        <f t="array" aca="1" ref="W5" ca="1">INDIRECT("'results" &amp; $B5 &amp; "'!X$14")</f>
        <v>45.89464260322687</v>
      </c>
      <c r="X5" s="5" cm="1">
        <f t="array" aca="1" ref="X5" ca="1">INDIRECT("'results" &amp; $B5 &amp; "'!Y$14")</f>
        <v>39.41959583779078</v>
      </c>
      <c r="Y5" s="5" cm="1">
        <f t="array" aca="1" ref="Y5" ca="1">INDIRECT("'results" &amp; $B5 &amp; "'!Z$14")</f>
        <v>1798.0797442561329</v>
      </c>
      <c r="Z5" s="5"/>
    </row>
    <row r="6" spans="2:26" x14ac:dyDescent="0.2">
      <c r="B6" s="4">
        <v>400</v>
      </c>
      <c r="C6" s="5" cm="1">
        <f t="array" aca="1" ref="C6" ca="1">INDIRECT("'results" &amp; $B6 &amp; "'!D$14")</f>
        <v>52644.290452569359</v>
      </c>
      <c r="D6" s="33" cm="1">
        <f t="array" aca="1" ref="D6" ca="1">INDIRECT("'results" &amp; $B6 &amp; "'!E$14")</f>
        <v>0.19945558300241831</v>
      </c>
      <c r="E6" s="5" cm="1">
        <f t="array" aca="1" ref="E6" ca="1">INDIRECT("'results" &amp; $B6 &amp; "'!F$14")</f>
        <v>3</v>
      </c>
      <c r="F6" s="5" cm="1">
        <f t="array" aca="1" ref="F6" ca="1">INDIRECT("'results" &amp; $B6 &amp; "'!G$14")</f>
        <v>95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14.834486978384499</v>
      </c>
      <c r="I6" s="5" cm="1">
        <f t="array" aca="1" ref="I6" ca="1">INDIRECT("'results" &amp; $B6 &amp; "'!J$14")</f>
        <v>1062.407800372667</v>
      </c>
      <c r="J6" s="5"/>
      <c r="K6" s="5" cm="1">
        <f t="array" aca="1" ref="K6" ca="1">INDIRECT("'results" &amp; $B6 &amp; "'!L$14")</f>
        <v>70714.337136845556</v>
      </c>
      <c r="L6" s="5" cm="1">
        <f t="array" aca="1" ref="L6" ca="1">INDIRECT("'results" &amp; $B6 &amp; "'!M$14")</f>
        <v>0.19467233300019871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9.4096739542909553</v>
      </c>
      <c r="Q6" s="5" cm="1">
        <f t="array" aca="1" ref="Q6" ca="1">INDIRECT("'results" &amp; $B6 &amp; "'!R$14")</f>
        <v>894.32075466364245</v>
      </c>
      <c r="R6" s="5"/>
      <c r="S6" s="5" cm="1">
        <f t="array" aca="1" ref="S6" ca="1">INDIRECT("'results" &amp; $B6 &amp; "'!T$14")</f>
        <v>55022.879414055511</v>
      </c>
      <c r="T6" s="5" cm="1">
        <f t="array" aca="1" ref="T6" ca="1">INDIRECT("'results" &amp; $B6 &amp; "'!U$14")</f>
        <v>0.1778900419994898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95</v>
      </c>
      <c r="W6" s="5" cm="1">
        <f t="array" aca="1" ref="W6" ca="1">INDIRECT("'results" &amp; $B6 &amp; "'!X$14")</f>
        <v>0</v>
      </c>
      <c r="X6" s="5" cm="1">
        <f t="array" aca="1" ref="X6" ca="1">INDIRECT("'results" &amp; $B6 &amp; "'!Y$14")</f>
        <v>33.303346404172942</v>
      </c>
      <c r="Y6" s="5" cm="1">
        <f t="array" aca="1" ref="Y6" ca="1">INDIRECT("'results" &amp; $B6 &amp; "'!Z$14")</f>
        <v>1432.567544841701</v>
      </c>
      <c r="Z6" s="5"/>
    </row>
    <row r="7" spans="2:26" x14ac:dyDescent="0.2">
      <c r="B7" s="4">
        <v>467</v>
      </c>
      <c r="C7" s="5" cm="1">
        <f t="array" aca="1" ref="C7" ca="1">INDIRECT("'results" &amp; $B7 &amp; "'!D$14")</f>
        <v>59889.041175590362</v>
      </c>
      <c r="D7" s="33" cm="1">
        <f t="array" aca="1" ref="D7" ca="1">INDIRECT("'results" &amp; $B7 &amp; "'!E$14")</f>
        <v>0.60692558300070232</v>
      </c>
      <c r="E7" s="5" cm="1">
        <f t="array" aca="1" ref="E7" ca="1">INDIRECT("'results" &amp; $B7 &amp; "'!F$14")</f>
        <v>3</v>
      </c>
      <c r="F7" s="5" cm="1">
        <f t="array" aca="1" ref="F7" ca="1">INDIRECT("'results" &amp; $B7 &amp; "'!G$14")</f>
        <v>90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30.681587484196626</v>
      </c>
      <c r="I7" s="5" cm="1">
        <f t="array" aca="1" ref="I7" ca="1">INDIRECT("'results" &amp; $B7 &amp; "'!J$14")</f>
        <v>1533.1982523729907</v>
      </c>
      <c r="J7" s="5"/>
      <c r="K7" s="5" cm="1">
        <f t="array" aca="1" ref="K7" ca="1">INDIRECT("'results" &amp; $B7 &amp; "'!L$14")</f>
        <v>70830.525605046569</v>
      </c>
      <c r="L7" s="5" cm="1">
        <f t="array" aca="1" ref="L7" ca="1">INDIRECT("'results" &amp; $B7 &amp; "'!M$14")</f>
        <v>0.89011454199862783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75</v>
      </c>
      <c r="O7" s="5" cm="1">
        <f t="array" aca="1" ref="O7" ca="1">INDIRECT("'results" &amp; $B7 &amp; "'!P$14")</f>
        <v>0.84616333525843068</v>
      </c>
      <c r="P7" s="5" cm="1">
        <f t="array" aca="1" ref="P7" ca="1">INDIRECT("'results" &amp; $B7 &amp; "'!Q$14")</f>
        <v>23.722532512037741</v>
      </c>
      <c r="Q7" s="5" cm="1">
        <f t="array" aca="1" ref="Q7" ca="1">INDIRECT("'results" &amp; $B7 &amp; "'!R$14")</f>
        <v>1439.5133783774479</v>
      </c>
      <c r="R7" s="5"/>
      <c r="S7" s="5" cm="1">
        <f t="array" aca="1" ref="S7" ca="1">INDIRECT("'results" &amp; $B7 &amp; "'!T$14")</f>
        <v>68994.59326143346</v>
      </c>
      <c r="T7" s="5" cm="1">
        <f t="array" aca="1" ref="T7" ca="1">INDIRECT("'results" &amp; $B7 &amp; "'!U$14")</f>
        <v>0.7496934999981022</v>
      </c>
      <c r="U7" s="5" cm="1">
        <f t="array" aca="1" ref="U7" ca="1">INDIRECT("'results" &amp; $B7 &amp; "'!V$14")</f>
        <v>3</v>
      </c>
      <c r="V7" s="5" cm="1">
        <f t="array" aca="1" ref="V7" ca="1">INDIRECT("'results" &amp; $B7 &amp; "'!W$14")</f>
        <v>85</v>
      </c>
      <c r="W7" s="5" cm="1">
        <f t="array" aca="1" ref="W7" ca="1">INDIRECT("'results" &amp; $B7 &amp; "'!X$14")</f>
        <v>111.47074629116941</v>
      </c>
      <c r="X7" s="5" cm="1">
        <f t="array" aca="1" ref="X7" ca="1">INDIRECT("'results" &amp; $B7 &amp; "'!Y$14")</f>
        <v>49.511686385596043</v>
      </c>
      <c r="Y7" s="5" cm="1">
        <f t="array" aca="1" ref="Y7" ca="1">INDIRECT("'results" &amp; $B7 &amp; "'!Z$14")</f>
        <v>2097.1566607196032</v>
      </c>
      <c r="Z7" s="5"/>
    </row>
    <row r="8" spans="2:26" x14ac:dyDescent="0.2">
      <c r="B8" s="4">
        <v>653</v>
      </c>
      <c r="C8" s="5" cm="1">
        <f t="array" aca="1" ref="C8" ca="1">INDIRECT("'results" &amp; $B8 &amp; "'!D$14")</f>
        <v>52178.443909618931</v>
      </c>
      <c r="D8" s="33" cm="1">
        <f t="array" aca="1" ref="D8" ca="1">INDIRECT("'results" &amp; $B8 &amp; "'!E$14")</f>
        <v>0.18376920800074001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95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14.405143637306059</v>
      </c>
      <c r="I8" s="5" cm="1">
        <f t="array" aca="1" ref="I8" ca="1">INDIRECT("'results" &amp; $B8 &amp; "'!J$14")</f>
        <v>1038.0841648290098</v>
      </c>
      <c r="J8" s="5"/>
      <c r="K8" s="5" cm="1">
        <f t="array" aca="1" ref="K8" ca="1">INDIRECT("'results" &amp; $B8 &amp; "'!L$14")</f>
        <v>69103.015398663352</v>
      </c>
      <c r="L8" s="5" cm="1">
        <f t="array" aca="1" ref="L8" ca="1">INDIRECT("'results" &amp; $B8 &amp; "'!M$14")</f>
        <v>0.26716187499914668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75</v>
      </c>
      <c r="O8" s="5" cm="1">
        <f t="array" aca="1" ref="O8" ca="1">INDIRECT("'results" &amp; $B8 &amp; "'!P$14")</f>
        <v>3.6234872625217882</v>
      </c>
      <c r="P8" s="5" cm="1">
        <f t="array" aca="1" ref="P8" ca="1">INDIRECT("'results" &amp; $B8 &amp; "'!Q$14")</f>
        <v>13.139017694743011</v>
      </c>
      <c r="Q8" s="5" cm="1">
        <f t="array" aca="1" ref="Q8" ca="1">INDIRECT("'results" &amp; $B8 &amp; "'!R$14")</f>
        <v>1112.959614792285</v>
      </c>
      <c r="R8" s="5"/>
      <c r="S8" s="5" cm="1">
        <f t="array" aca="1" ref="S8" ca="1">INDIRECT("'results" &amp; $B8 &amp; "'!T$14")</f>
        <v>60067.175983066038</v>
      </c>
      <c r="T8" s="5" cm="1">
        <f t="array" aca="1" ref="T8" ca="1">INDIRECT("'results" &amp; $B8 &amp; "'!U$14")</f>
        <v>0.21602320800229791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90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23.491481445873621</v>
      </c>
      <c r="Y8" s="5" cm="1">
        <f t="array" aca="1" ref="Y8" ca="1">INDIRECT("'results" &amp; $B8 &amp; "'!Z$14")</f>
        <v>1401.768104487553</v>
      </c>
      <c r="Z8" s="5"/>
    </row>
    <row r="9" spans="2:26" x14ac:dyDescent="0.2">
      <c r="B9" s="4">
        <v>714</v>
      </c>
      <c r="C9" s="5" cm="1">
        <f t="array" aca="1" ref="C9" ca="1">INDIRECT("'results" &amp; $B9 &amp; "'!D$14")</f>
        <v>58268.90132046587</v>
      </c>
      <c r="D9" s="33" cm="1">
        <f t="array" aca="1" ref="D9" ca="1">INDIRECT("'results" &amp; $B9 &amp; "'!E$14")</f>
        <v>0.38802587499958457</v>
      </c>
      <c r="E9" s="5" cm="1">
        <f t="array" aca="1" ref="E9" ca="1">INDIRECT("'results" &amp; $B9 &amp; "'!F$14")</f>
        <v>3</v>
      </c>
      <c r="F9" s="5" cm="1">
        <f t="array" aca="1" ref="F9" ca="1">INDIRECT("'results" &amp; $B9 &amp; "'!G$14")</f>
        <v>85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14.165014476631308</v>
      </c>
      <c r="I9" s="5" cm="1">
        <f t="array" aca="1" ref="I9" ca="1">INDIRECT("'results" &amp; $B9 &amp; "'!J$14")</f>
        <v>997.42154960533935</v>
      </c>
      <c r="J9" s="5"/>
      <c r="K9" s="5" cm="1">
        <f t="array" aca="1" ref="K9" ca="1">INDIRECT("'results" &amp; $B9 &amp; "'!L$14")</f>
        <v>58268.90132046587</v>
      </c>
      <c r="L9" s="5" cm="1">
        <f t="array" aca="1" ref="L9" ca="1">INDIRECT("'results" &amp; $B9 &amp; "'!M$14")</f>
        <v>0.39953570800207672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85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14.16501447663131</v>
      </c>
      <c r="Q9" s="5" cm="1">
        <f t="array" aca="1" ref="Q9" ca="1">INDIRECT("'results" &amp; $B9 &amp; "'!R$14")</f>
        <v>997.42154960533935</v>
      </c>
      <c r="R9" s="5"/>
      <c r="S9" s="5" cm="1">
        <f t="array" aca="1" ref="S9" ca="1">INDIRECT("'results" &amp; $B9 &amp; "'!T$14")</f>
        <v>60030.454580276833</v>
      </c>
      <c r="T9" s="5" cm="1">
        <f t="array" aca="1" ref="T9" ca="1">INDIRECT("'results" &amp; $B9 &amp; "'!U$14")</f>
        <v>0.42672020799727761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85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23.304856849482601</v>
      </c>
      <c r="Y9" s="5" cm="1">
        <f t="array" aca="1" ref="Y9" ca="1">INDIRECT("'results" &amp; $B9 &amp; "'!Z$14")</f>
        <v>1256.411883612893</v>
      </c>
      <c r="Z9" s="5"/>
    </row>
    <row r="10" spans="2:26" x14ac:dyDescent="0.2">
      <c r="B10" s="4">
        <v>941</v>
      </c>
      <c r="C10" s="5" cm="1">
        <f t="array" aca="1" ref="C10" ca="1">INDIRECT("'results" &amp; $B10 &amp; "'!D$14")</f>
        <v>55731.71449198552</v>
      </c>
      <c r="D10" s="33" cm="1">
        <f t="array" aca="1" ref="D10" ca="1">INDIRECT("'results" &amp; $B10 &amp; "'!E$14")</f>
        <v>0.22624583300057571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100</v>
      </c>
      <c r="G10" s="5" cm="1">
        <f t="array" aca="1" ref="G10" ca="1">INDIRECT("'results" &amp; $B10 &amp; "'!H$14")</f>
        <v>38.480897191426017</v>
      </c>
      <c r="H10" s="33" cm="1">
        <f t="array" aca="1" ref="H10" ca="1">INDIRECT("'results" &amp; $B10 &amp; "'!I$14")</f>
        <v>22.436576368087241</v>
      </c>
      <c r="I10" s="5" cm="1">
        <f t="array" aca="1" ref="I10" ca="1">INDIRECT("'results" &amp; $B10 &amp; "'!J$14")</f>
        <v>1505.6517122281214</v>
      </c>
      <c r="J10" s="5"/>
      <c r="K10" s="5" cm="1">
        <f t="array" aca="1" ref="K10" ca="1">INDIRECT("'results" &amp; $B10 &amp; "'!L$14")</f>
        <v>69860.808354236418</v>
      </c>
      <c r="L10" s="5" cm="1">
        <f t="array" aca="1" ref="L10" ca="1">INDIRECT("'results" &amp; $B10 &amp; "'!M$14")</f>
        <v>0.33709241700125858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0.48743101309204923</v>
      </c>
      <c r="P10" s="5" cm="1">
        <f t="array" aca="1" ref="P10" ca="1">INDIRECT("'results" &amp; $B10 &amp; "'!Q$14")</f>
        <v>14.50166876203031</v>
      </c>
      <c r="Q10" s="5" cm="1">
        <f t="array" aca="1" ref="Q10" ca="1">INDIRECT("'results" &amp; $B10 &amp; "'!R$14")</f>
        <v>1444.726370468494</v>
      </c>
      <c r="R10" s="5"/>
      <c r="S10" s="5" cm="1">
        <f t="array" aca="1" ref="S10" ca="1">INDIRECT("'results" &amp; $B10 &amp; "'!T$14")</f>
        <v>64656.210267570699</v>
      </c>
      <c r="T10" s="5" cm="1">
        <f t="array" aca="1" ref="T10" ca="1">INDIRECT("'results" &amp; $B10 &amp; "'!U$14")</f>
        <v>0.29911204100062599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31.239634685392751</v>
      </c>
      <c r="X10" s="5" cm="1">
        <f t="array" aca="1" ref="X10" ca="1">INDIRECT("'results" &amp; $B10 &amp; "'!Y$14")</f>
        <v>43.931825872023921</v>
      </c>
      <c r="Y10" s="5" cm="1">
        <f t="array" aca="1" ref="Y10" ca="1">INDIRECT("'results" &amp; $B10 &amp; "'!Z$14")</f>
        <v>2044.354721467425</v>
      </c>
      <c r="Z10" s="5"/>
    </row>
    <row r="11" spans="2:26" x14ac:dyDescent="0.2">
      <c r="B11" s="4">
        <v>980</v>
      </c>
      <c r="C11" s="5" cm="1">
        <f t="array" aca="1" ref="C11" ca="1">INDIRECT("'results" &amp; $B11 &amp; "'!D$14")</f>
        <v>58126.066672600078</v>
      </c>
      <c r="D11" s="33" cm="1">
        <f t="array" aca="1" ref="D11" ca="1">INDIRECT("'results" &amp; $B11 &amp; "'!E$14")</f>
        <v>0.23679520899895579</v>
      </c>
      <c r="E11" s="5" cm="1">
        <f t="array" aca="1" ref="E11" ca="1">INDIRECT("'results" &amp; $B11 &amp; "'!F$14")</f>
        <v>3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5.4046431729599362</v>
      </c>
      <c r="H11" s="33" cm="1">
        <f t="array" aca="1" ref="H11" ca="1">INDIRECT("'results" &amp; $B11 &amp; "'!I$14")</f>
        <v>15.286506923409201</v>
      </c>
      <c r="I11" s="5" cm="1">
        <f t="array" aca="1" ref="I11" ca="1">INDIRECT("'results" &amp; $B11 &amp; "'!J$14")</f>
        <v>1250.991205242233</v>
      </c>
      <c r="J11" s="5"/>
      <c r="K11" s="5" cm="1">
        <f t="array" aca="1" ref="K11" ca="1">INDIRECT("'results" &amp; $B11 &amp; "'!L$14")</f>
        <v>63107.306234856522</v>
      </c>
      <c r="L11" s="5" cm="1">
        <f t="array" aca="1" ref="L11" ca="1">INDIRECT("'results" &amp; $B11 &amp; "'!M$14")</f>
        <v>0.19539991599958739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12.287801137244029</v>
      </c>
      <c r="Q11" s="5" cm="1">
        <f t="array" aca="1" ref="Q11" ca="1">INDIRECT("'results" &amp; $B11 &amp; "'!R$14")</f>
        <v>1040.1668056709359</v>
      </c>
      <c r="R11" s="5"/>
      <c r="S11" s="5" cm="1">
        <f t="array" aca="1" ref="S11" ca="1">INDIRECT("'results" &amp; $B11 &amp; "'!T$14")</f>
        <v>65824.854630825896</v>
      </c>
      <c r="T11" s="5" cm="1">
        <f t="array" aca="1" ref="T11" ca="1">INDIRECT("'results" &amp; $B11 &amp; "'!U$14")</f>
        <v>0.24003366699980691</v>
      </c>
      <c r="U11" s="5" cm="1">
        <f t="array" aca="1" ref="U11" ca="1">INDIRECT("'results" &amp; $B11 &amp; "'!V$14")</f>
        <v>3</v>
      </c>
      <c r="V11" s="5" cm="1">
        <f t="array" aca="1" ref="V11" ca="1">INDIRECT("'results" &amp; $B11 &amp; "'!W$14")</f>
        <v>85</v>
      </c>
      <c r="W11" s="5" cm="1">
        <f t="array" aca="1" ref="W11" ca="1">INDIRECT("'results" &amp; $B11 &amp; "'!X$14")</f>
        <v>23.257433261679999</v>
      </c>
      <c r="X11" s="5" cm="1">
        <f t="array" aca="1" ref="X11" ca="1">INDIRECT("'results" &amp; $B11 &amp; "'!Y$14")</f>
        <v>26.436155729259809</v>
      </c>
      <c r="Y11" s="5" cm="1">
        <f t="array" aca="1" ref="Y11" ca="1">INDIRECT("'results" &amp; $B11 &amp; "'!Z$14")</f>
        <v>1668.747208289424</v>
      </c>
      <c r="Z11" s="5"/>
    </row>
    <row r="12" spans="2:26" x14ac:dyDescent="0.2">
      <c r="B12" s="4">
        <v>997</v>
      </c>
      <c r="C12" s="5" cm="1">
        <f t="array" aca="1" ref="C12" ca="1">INDIRECT("'results" &amp; $B12 &amp; "'!D$14")</f>
        <v>59874.493765635503</v>
      </c>
      <c r="D12" s="33" cm="1">
        <f t="array" aca="1" ref="D12" ca="1">INDIRECT("'results" &amp; $B12 &amp; "'!E$14")</f>
        <v>0.33431974999984959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85</v>
      </c>
      <c r="G12" s="5" cm="1">
        <f t="array" aca="1" ref="G12" ca="1">INDIRECT("'results" &amp; $B12 &amp; "'!H$14")</f>
        <v>44.132821139782344</v>
      </c>
      <c r="H12" s="33" cm="1">
        <f t="array" aca="1" ref="H12" ca="1">INDIRECT("'results" &amp; $B12 &amp; "'!I$14")</f>
        <v>19.62884308837452</v>
      </c>
      <c r="I12" s="5" cm="1">
        <f t="array" aca="1" ref="I12" ca="1">INDIRECT("'results" &amp; $B12 &amp; "'!J$14")</f>
        <v>1604.6719286334815</v>
      </c>
      <c r="J12" s="5"/>
      <c r="K12" s="5" cm="1">
        <f t="array" aca="1" ref="K12" ca="1">INDIRECT("'results" &amp; $B12 &amp; "'!L$14")</f>
        <v>66852.670773724356</v>
      </c>
      <c r="L12" s="5" cm="1">
        <f t="array" aca="1" ref="L12" ca="1">INDIRECT("'results" &amp; $B12 &amp; "'!M$14")</f>
        <v>0.39748041599887068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75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14.78019672747987</v>
      </c>
      <c r="Q12" s="5" cm="1">
        <f t="array" aca="1" ref="Q12" ca="1">INDIRECT("'results" &amp; $B12 &amp; "'!R$14")</f>
        <v>1086.8151173699009</v>
      </c>
      <c r="R12" s="5"/>
      <c r="S12" s="5" cm="1">
        <f t="array" aca="1" ref="S12" ca="1">INDIRECT("'results" &amp; $B12 &amp; "'!T$14")</f>
        <v>65286.743470400797</v>
      </c>
      <c r="T12" s="5" cm="1">
        <f t="array" aca="1" ref="T12" ca="1">INDIRECT("'results" &amp; $B12 &amp; "'!U$14")</f>
        <v>0.2238260409976647</v>
      </c>
      <c r="U12" s="5" cm="1">
        <f t="array" aca="1" ref="U12" ca="1">INDIRECT("'results" &amp; $B12 &amp; "'!V$14")</f>
        <v>3</v>
      </c>
      <c r="V12" s="5" cm="1">
        <f t="array" aca="1" ref="V12" ca="1">INDIRECT("'results" &amp; $B12 &amp; "'!W$14")</f>
        <v>85</v>
      </c>
      <c r="W12" s="5" cm="1">
        <f t="array" aca="1" ref="W12" ca="1">INDIRECT("'results" &amp; $B12 &amp; "'!X$14")</f>
        <v>72.43308842210493</v>
      </c>
      <c r="X12" s="5" cm="1">
        <f t="array" aca="1" ref="X12" ca="1">INDIRECT("'results" &amp; $B12 &amp; "'!Y$14")</f>
        <v>29.164289786312441</v>
      </c>
      <c r="Y12" s="5" cm="1">
        <f t="array" aca="1" ref="Y12" ca="1">INDIRECT("'results" &amp; $B12 &amp; "'!Z$14")</f>
        <v>1598.104583919046</v>
      </c>
      <c r="Z12" s="5"/>
    </row>
    <row r="13" spans="2:26" x14ac:dyDescent="0.2">
      <c r="B13" s="8" t="s">
        <v>3</v>
      </c>
      <c r="C13" s="9">
        <f ca="1">AVERAGE(C3:C12)</f>
        <v>58780.560233342032</v>
      </c>
      <c r="D13" s="10">
        <f t="shared" ref="D13:I13" ca="1" si="0">AVERAGE(D3:D12)</f>
        <v>0.33190507080034876</v>
      </c>
      <c r="E13" s="9">
        <f t="shared" ca="1" si="0"/>
        <v>2.7</v>
      </c>
      <c r="F13" s="9">
        <f t="shared" ca="1" si="0"/>
        <v>88</v>
      </c>
      <c r="G13" s="9">
        <f t="shared" ca="1" si="0"/>
        <v>17.057294200931928</v>
      </c>
      <c r="H13" s="10">
        <f t="shared" ca="1" si="0"/>
        <v>19.187589167068769</v>
      </c>
      <c r="I13" s="9">
        <f t="shared" ca="1" si="0"/>
        <v>1341.1808952395047</v>
      </c>
      <c r="J13" s="32" t="e">
        <f ca="1">(C13-$D$15)/$D$15</f>
        <v>#DIV/0!</v>
      </c>
      <c r="K13" s="16">
        <f ca="1">AVERAGE(K3:K12)</f>
        <v>69409.666458882726</v>
      </c>
      <c r="L13" s="41">
        <f t="shared" ref="L13:Q13" ca="1" si="1">AVERAGE(L3:L12)</f>
        <v>0.35367257479992986</v>
      </c>
      <c r="M13" s="16">
        <f t="shared" ca="1" si="1"/>
        <v>2.8</v>
      </c>
      <c r="N13" s="16">
        <f ca="1">AVERAGE(N3:N12)</f>
        <v>72</v>
      </c>
      <c r="O13" s="16">
        <f t="shared" ca="1" si="1"/>
        <v>1.7330481011822698</v>
      </c>
      <c r="P13" s="41">
        <f t="shared" ca="1" si="1"/>
        <v>14.356874660300857</v>
      </c>
      <c r="Q13" s="16">
        <f t="shared" ca="1" si="1"/>
        <v>1156.4050323228232</v>
      </c>
      <c r="R13" s="42" t="e">
        <f ca="1">(K13-$D$15)/$D$15</f>
        <v>#DIV/0!</v>
      </c>
      <c r="S13" s="38">
        <f ca="1">AVERAGE(S3:S12)</f>
        <v>65773.540940067862</v>
      </c>
      <c r="T13" s="43">
        <f t="shared" ref="T13:Y13" ca="1" si="2">AVERAGE(T3:T12)</f>
        <v>0.33948475819925078</v>
      </c>
      <c r="U13" s="38">
        <f t="shared" ca="1" si="2"/>
        <v>2.7</v>
      </c>
      <c r="V13" s="38">
        <f t="shared" ca="1" si="2"/>
        <v>81</v>
      </c>
      <c r="W13" s="38">
        <f t="shared" ca="1" si="2"/>
        <v>40.653071891641886</v>
      </c>
      <c r="X13" s="43">
        <f t="shared" ca="1" si="2"/>
        <v>32.940221416760913</v>
      </c>
      <c r="Y13" s="38">
        <f t="shared" ca="1" si="2"/>
        <v>1675.795820548652</v>
      </c>
      <c r="Z13" s="44" t="e">
        <f ca="1">(S13-$D$15)/$D$15</f>
        <v>#DIV/0!</v>
      </c>
    </row>
    <row r="14" spans="2:26" x14ac:dyDescent="0.2">
      <c r="K14" s="45">
        <f ca="1">(K13-C13)/C13</f>
        <v>0.18082689554754461</v>
      </c>
      <c r="L14" s="45">
        <f t="shared" ref="L14:Q14" ca="1" si="3">(L13-D13)/D13</f>
        <v>6.5583523466789514E-2</v>
      </c>
      <c r="M14" s="45">
        <f t="shared" ca="1" si="3"/>
        <v>3.7037037037036903E-2</v>
      </c>
      <c r="N14" s="45">
        <f t="shared" ca="1" si="3"/>
        <v>-0.18181818181818182</v>
      </c>
      <c r="O14" s="45">
        <f t="shared" ca="1" si="3"/>
        <v>-0.8983984164916623</v>
      </c>
      <c r="P14" s="45">
        <f t="shared" ca="1" si="3"/>
        <v>-0.25176245252627982</v>
      </c>
      <c r="Q14" s="45">
        <f t="shared" ca="1" si="3"/>
        <v>-0.13777102221821066</v>
      </c>
      <c r="S14" s="45">
        <f ca="1">(S13-C13)/C13</f>
        <v>0.11896757497658569</v>
      </c>
      <c r="T14" s="45">
        <f t="shared" ref="T14:Y14" ca="1" si="4">(T13-D13)/D13</f>
        <v>2.2836913520557334E-2</v>
      </c>
      <c r="U14" s="45">
        <f t="shared" ca="1" si="4"/>
        <v>0</v>
      </c>
      <c r="V14" s="45">
        <f ca="1">(V13-F13)/F13</f>
        <v>-7.9545454545454544E-2</v>
      </c>
      <c r="W14" s="45">
        <f t="shared" ca="1" si="4"/>
        <v>1.383324776647213</v>
      </c>
      <c r="X14" s="45">
        <f t="shared" ca="1" si="4"/>
        <v>0.71674623267916748</v>
      </c>
      <c r="Y14" s="45">
        <f t="shared" ca="1" si="4"/>
        <v>0.24949276156322869</v>
      </c>
    </row>
    <row r="17" spans="2:19" ht="15" customHeight="1" x14ac:dyDescent="0.2">
      <c r="B17" s="1" t="s">
        <v>21</v>
      </c>
      <c r="C17">
        <f ca="1">_xlfn.STDEV.S(C3:C12)</f>
        <v>5272.8427924475382</v>
      </c>
      <c r="J17" s="1" t="s">
        <v>21</v>
      </c>
      <c r="K17">
        <f ca="1">_xlfn.STDEV.S(K3:K12)</f>
        <v>6403.8799272343531</v>
      </c>
      <c r="R17" s="1" t="s">
        <v>21</v>
      </c>
      <c r="S17">
        <f ca="1">_xlfn.STDEV.S(S3:S12)</f>
        <v>8399.0529671772802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-0.99982727294198881</v>
      </c>
      <c r="K2" s="28"/>
      <c r="L2" s="1" t="s">
        <v>19</v>
      </c>
      <c r="P2" s="1" t="e">
        <f>(P14-H14)/H14</f>
        <v>#DIV/0!</v>
      </c>
      <c r="R2" s="1">
        <f>(R14-J14)/J14</f>
        <v>-0.11754996672968665</v>
      </c>
      <c r="T2" s="1" t="s">
        <v>20</v>
      </c>
      <c r="X2" s="1" t="e">
        <f>(X14-P14)/P14</f>
        <v>#DIV/0!</v>
      </c>
      <c r="Z2" s="1">
        <f>(Z14-R14)/R14</f>
        <v>0.52508824944560895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147</v>
      </c>
      <c r="D4" s="23">
        <v>56502.026834024262</v>
      </c>
      <c r="E4" s="33">
        <v>0.29926737500136369</v>
      </c>
      <c r="F4" s="5">
        <v>3</v>
      </c>
      <c r="G4" s="23">
        <v>90</v>
      </c>
      <c r="H4" s="33">
        <v>0</v>
      </c>
      <c r="I4" s="23">
        <v>14.087195634032918</v>
      </c>
      <c r="J4" s="5">
        <v>1093.3688277079839</v>
      </c>
      <c r="K4" s="31"/>
      <c r="L4" s="23">
        <v>67304.949433609087</v>
      </c>
      <c r="M4" s="33">
        <v>0.21229604200198079</v>
      </c>
      <c r="N4" s="5">
        <v>3</v>
      </c>
      <c r="O4" s="5">
        <v>75</v>
      </c>
      <c r="P4" s="33">
        <v>0</v>
      </c>
      <c r="Q4" s="5">
        <v>11.00484890130925</v>
      </c>
      <c r="R4" s="5">
        <v>958.81615838763378</v>
      </c>
      <c r="S4" s="31"/>
      <c r="T4" s="23">
        <v>63387.4942505504</v>
      </c>
      <c r="U4" s="33">
        <v>0.28385387500020443</v>
      </c>
      <c r="V4" s="5">
        <v>3</v>
      </c>
      <c r="W4" s="5">
        <v>90</v>
      </c>
      <c r="X4" s="33">
        <v>9.4854571530492358</v>
      </c>
      <c r="Y4" s="5">
        <v>29.040122068006401</v>
      </c>
      <c r="Z4" s="5">
        <v>1704.604456856061</v>
      </c>
      <c r="AA4" s="35"/>
    </row>
    <row r="5" spans="2:27" x14ac:dyDescent="0.2">
      <c r="B5" s="4">
        <v>2</v>
      </c>
      <c r="C5" s="4">
        <v>186</v>
      </c>
      <c r="D5" s="23">
        <v>56502.026834024262</v>
      </c>
      <c r="E5" s="33">
        <v>0.3580805829988094</v>
      </c>
      <c r="F5" s="5">
        <v>3</v>
      </c>
      <c r="G5" s="23">
        <v>90</v>
      </c>
      <c r="H5" s="33">
        <v>0</v>
      </c>
      <c r="I5" s="23">
        <v>14.087195634032918</v>
      </c>
      <c r="J5" s="5">
        <v>1093.3688277079839</v>
      </c>
      <c r="K5" s="31"/>
      <c r="L5" s="23">
        <v>68273.103930812445</v>
      </c>
      <c r="M5" s="33">
        <v>0.37136500000269729</v>
      </c>
      <c r="N5" s="5">
        <v>3</v>
      </c>
      <c r="O5" s="5">
        <v>70</v>
      </c>
      <c r="P5" s="33">
        <v>0</v>
      </c>
      <c r="Q5" s="5">
        <v>10.545095350555821</v>
      </c>
      <c r="R5" s="5">
        <v>775.72271687072157</v>
      </c>
      <c r="S5" s="31"/>
      <c r="T5" s="23">
        <v>63387.4942505504</v>
      </c>
      <c r="U5" s="33">
        <v>0.2464455830013321</v>
      </c>
      <c r="V5" s="5">
        <v>3</v>
      </c>
      <c r="W5" s="5">
        <v>90</v>
      </c>
      <c r="X5" s="33">
        <v>9.4854571530492358</v>
      </c>
      <c r="Y5" s="5">
        <v>29.040122068006401</v>
      </c>
      <c r="Z5" s="5">
        <v>1704.604456856061</v>
      </c>
      <c r="AA5" s="35"/>
    </row>
    <row r="6" spans="2:27" x14ac:dyDescent="0.2">
      <c r="B6" s="4">
        <v>3</v>
      </c>
      <c r="C6" s="4">
        <v>299</v>
      </c>
      <c r="D6" s="23">
        <v>56502.026834024262</v>
      </c>
      <c r="E6" s="33">
        <v>0.29863129099976499</v>
      </c>
      <c r="F6" s="5">
        <v>3</v>
      </c>
      <c r="G6" s="23">
        <v>90</v>
      </c>
      <c r="H6" s="33">
        <v>0</v>
      </c>
      <c r="I6" s="23">
        <v>14.087195634032918</v>
      </c>
      <c r="J6" s="5">
        <v>1093.3688277079839</v>
      </c>
      <c r="K6" s="31"/>
      <c r="L6" s="23">
        <v>67172.682133116468</v>
      </c>
      <c r="M6" s="33">
        <v>0.24552854099965771</v>
      </c>
      <c r="N6" s="5">
        <v>3</v>
      </c>
      <c r="O6" s="5">
        <v>75</v>
      </c>
      <c r="P6" s="33">
        <v>0</v>
      </c>
      <c r="Q6" s="5">
        <v>10.877063331728451</v>
      </c>
      <c r="R6" s="5">
        <v>964.84335838763388</v>
      </c>
      <c r="S6" s="31"/>
      <c r="T6" s="23">
        <v>63387.4942505504</v>
      </c>
      <c r="U6" s="33">
        <v>0.27294091600197129</v>
      </c>
      <c r="V6" s="5">
        <v>3</v>
      </c>
      <c r="W6" s="5">
        <v>90</v>
      </c>
      <c r="X6" s="33">
        <v>9.4854571530492358</v>
      </c>
      <c r="Y6" s="5">
        <v>29.040122068006401</v>
      </c>
      <c r="Z6" s="5">
        <v>1704.604456856061</v>
      </c>
      <c r="AA6" s="35"/>
    </row>
    <row r="7" spans="2:27" x14ac:dyDescent="0.2">
      <c r="B7" s="4">
        <v>4</v>
      </c>
      <c r="C7" s="4">
        <v>384</v>
      </c>
      <c r="D7" s="23">
        <v>56502.026834024262</v>
      </c>
      <c r="E7" s="33">
        <v>0.29882375000124739</v>
      </c>
      <c r="F7" s="5">
        <v>3</v>
      </c>
      <c r="G7" s="23">
        <v>90</v>
      </c>
      <c r="H7" s="33">
        <v>0</v>
      </c>
      <c r="I7" s="23">
        <v>14.087195634032918</v>
      </c>
      <c r="J7" s="5">
        <v>1093.3688277079839</v>
      </c>
      <c r="K7" s="31"/>
      <c r="L7" s="23">
        <v>68385.346895887589</v>
      </c>
      <c r="M7" s="33">
        <v>0.28750262500034302</v>
      </c>
      <c r="N7" s="5">
        <v>3</v>
      </c>
      <c r="O7" s="5">
        <v>75</v>
      </c>
      <c r="P7" s="33">
        <v>0</v>
      </c>
      <c r="Q7" s="5">
        <v>11.069131911775949</v>
      </c>
      <c r="R7" s="5">
        <v>1026.5977077555619</v>
      </c>
      <c r="S7" s="31"/>
      <c r="T7" s="23">
        <v>63387.4942505504</v>
      </c>
      <c r="U7" s="33">
        <v>0.31642504100091168</v>
      </c>
      <c r="V7" s="5">
        <v>3</v>
      </c>
      <c r="W7" s="5">
        <v>90</v>
      </c>
      <c r="X7" s="33">
        <v>9.4854571530492358</v>
      </c>
      <c r="Y7" s="5">
        <v>29.040122068006401</v>
      </c>
      <c r="Z7" s="5">
        <v>1704.604456856061</v>
      </c>
      <c r="AA7" s="35"/>
    </row>
    <row r="8" spans="2:27" x14ac:dyDescent="0.2">
      <c r="B8" s="4">
        <v>5</v>
      </c>
      <c r="C8" s="4">
        <v>458</v>
      </c>
      <c r="D8" s="23">
        <v>56502.026834024262</v>
      </c>
      <c r="E8" s="33">
        <v>0.2150629999996454</v>
      </c>
      <c r="F8" s="5">
        <v>3</v>
      </c>
      <c r="G8" s="23">
        <v>90</v>
      </c>
      <c r="H8" s="33">
        <v>0</v>
      </c>
      <c r="I8" s="23">
        <v>14.087195634032918</v>
      </c>
      <c r="J8" s="5">
        <v>1093.3688277079839</v>
      </c>
      <c r="K8" s="31"/>
      <c r="L8" s="23">
        <v>67529.198314329566</v>
      </c>
      <c r="M8" s="33">
        <v>0.33511575000011362</v>
      </c>
      <c r="N8" s="5">
        <v>3</v>
      </c>
      <c r="O8" s="5">
        <v>75</v>
      </c>
      <c r="P8" s="33">
        <v>0</v>
      </c>
      <c r="Q8" s="5">
        <v>11.26274245693928</v>
      </c>
      <c r="R8" s="5">
        <v>968.85776595264554</v>
      </c>
      <c r="S8" s="31"/>
      <c r="T8" s="23">
        <v>63387.4942505504</v>
      </c>
      <c r="U8" s="33">
        <v>0.20920370900057611</v>
      </c>
      <c r="V8" s="5">
        <v>3</v>
      </c>
      <c r="W8" s="5">
        <v>90</v>
      </c>
      <c r="X8" s="33">
        <v>9.4854571530492358</v>
      </c>
      <c r="Y8" s="5">
        <v>29.040122068006401</v>
      </c>
      <c r="Z8" s="5">
        <v>1704.604456856061</v>
      </c>
      <c r="AA8" s="35"/>
    </row>
    <row r="9" spans="2:27" x14ac:dyDescent="0.2">
      <c r="B9" s="4">
        <v>6</v>
      </c>
      <c r="C9" s="4">
        <v>575</v>
      </c>
      <c r="D9" s="23">
        <v>56502.026834024262</v>
      </c>
      <c r="E9" s="33">
        <v>0.2611702919984964</v>
      </c>
      <c r="F9" s="5">
        <v>3</v>
      </c>
      <c r="G9" s="23">
        <v>90</v>
      </c>
      <c r="H9" s="33">
        <v>0</v>
      </c>
      <c r="I9" s="23">
        <v>14.087195634032918</v>
      </c>
      <c r="J9" s="5">
        <v>1093.3688277079839</v>
      </c>
      <c r="K9" s="31"/>
      <c r="L9" s="23">
        <v>68257.913804877986</v>
      </c>
      <c r="M9" s="33">
        <v>0.38663491699844599</v>
      </c>
      <c r="N9" s="5">
        <v>3</v>
      </c>
      <c r="O9" s="5">
        <v>70</v>
      </c>
      <c r="P9" s="33">
        <v>0</v>
      </c>
      <c r="Q9" s="5">
        <v>10.55273520343359</v>
      </c>
      <c r="R9" s="5">
        <v>776.00640481398398</v>
      </c>
      <c r="S9" s="31"/>
      <c r="T9" s="23">
        <v>60798.17490211402</v>
      </c>
      <c r="U9" s="33">
        <v>0.27240762499786803</v>
      </c>
      <c r="V9" s="5">
        <v>2</v>
      </c>
      <c r="W9" s="5">
        <v>75</v>
      </c>
      <c r="X9" s="33">
        <v>3.0540687100621962</v>
      </c>
      <c r="Y9" s="5">
        <v>35.61369014091467</v>
      </c>
      <c r="Z9" s="5">
        <v>1471.4712684326189</v>
      </c>
      <c r="AA9" s="35"/>
    </row>
    <row r="10" spans="2:27" x14ac:dyDescent="0.2">
      <c r="B10" s="4">
        <v>7</v>
      </c>
      <c r="C10" s="4">
        <v>665</v>
      </c>
      <c r="D10" s="23">
        <v>56502.026834024262</v>
      </c>
      <c r="E10" s="33">
        <v>0.4566855420016509</v>
      </c>
      <c r="F10" s="5">
        <v>3</v>
      </c>
      <c r="G10" s="23">
        <v>90</v>
      </c>
      <c r="H10" s="33">
        <v>0</v>
      </c>
      <c r="I10" s="23">
        <v>14.087195634032918</v>
      </c>
      <c r="J10" s="5">
        <v>1093.3688277079839</v>
      </c>
      <c r="K10" s="31"/>
      <c r="L10" s="23">
        <v>67172.682133116468</v>
      </c>
      <c r="M10" s="33">
        <v>0.30231137499868049</v>
      </c>
      <c r="N10" s="5">
        <v>3</v>
      </c>
      <c r="O10" s="5">
        <v>75</v>
      </c>
      <c r="P10" s="33">
        <v>0</v>
      </c>
      <c r="Q10" s="5">
        <v>10.877063331728451</v>
      </c>
      <c r="R10" s="5">
        <v>964.84335838763388</v>
      </c>
      <c r="S10" s="31"/>
      <c r="T10" s="23">
        <v>63387.4942505504</v>
      </c>
      <c r="U10" s="33">
        <v>0.34179824999955599</v>
      </c>
      <c r="V10" s="5">
        <v>3</v>
      </c>
      <c r="W10" s="5">
        <v>90</v>
      </c>
      <c r="X10" s="33">
        <v>9.4854571530492358</v>
      </c>
      <c r="Y10" s="5">
        <v>29.040122068006401</v>
      </c>
      <c r="Z10" s="5">
        <v>1704.604456856061</v>
      </c>
      <c r="AA10" s="35"/>
    </row>
    <row r="11" spans="2:27" x14ac:dyDescent="0.2">
      <c r="B11" s="4">
        <v>8</v>
      </c>
      <c r="C11" s="4">
        <v>717</v>
      </c>
      <c r="D11" s="23">
        <v>56502.026834024262</v>
      </c>
      <c r="E11" s="33">
        <v>0.28698587500002759</v>
      </c>
      <c r="F11" s="5">
        <v>3</v>
      </c>
      <c r="G11" s="23">
        <v>90</v>
      </c>
      <c r="H11" s="33">
        <v>0</v>
      </c>
      <c r="I11" s="23">
        <v>14.087195634032918</v>
      </c>
      <c r="J11" s="5">
        <v>1093.3688277079839</v>
      </c>
      <c r="K11" s="31"/>
      <c r="L11" s="23">
        <v>67172.682133116468</v>
      </c>
      <c r="M11" s="33">
        <v>0.44378029099971172</v>
      </c>
      <c r="N11" s="5">
        <v>3</v>
      </c>
      <c r="O11" s="5">
        <v>75</v>
      </c>
      <c r="P11" s="33">
        <v>0</v>
      </c>
      <c r="Q11" s="5">
        <v>10.877063331728451</v>
      </c>
      <c r="R11" s="5">
        <v>964.84335838763388</v>
      </c>
      <c r="S11" s="31"/>
      <c r="T11" s="23">
        <v>63387.4942505504</v>
      </c>
      <c r="U11" s="33">
        <v>0.33151837499826797</v>
      </c>
      <c r="V11" s="5">
        <v>3</v>
      </c>
      <c r="W11" s="5">
        <v>90</v>
      </c>
      <c r="X11" s="33">
        <v>9.4854571530492358</v>
      </c>
      <c r="Y11" s="5">
        <v>29.040122068006401</v>
      </c>
      <c r="Z11" s="5">
        <v>1704.604456856061</v>
      </c>
      <c r="AA11" s="35"/>
    </row>
    <row r="12" spans="2:27" x14ac:dyDescent="0.2">
      <c r="B12" s="4">
        <v>9</v>
      </c>
      <c r="C12" s="4">
        <v>855</v>
      </c>
      <c r="D12" s="23">
        <v>56502.026834024262</v>
      </c>
      <c r="E12" s="33">
        <v>0.44622737499958021</v>
      </c>
      <c r="F12" s="5">
        <v>3</v>
      </c>
      <c r="G12" s="23">
        <v>90</v>
      </c>
      <c r="H12" s="33">
        <v>0</v>
      </c>
      <c r="I12" s="23">
        <v>14.087195634032918</v>
      </c>
      <c r="J12" s="5">
        <v>1093.3688277079839</v>
      </c>
      <c r="K12" s="31"/>
      <c r="L12" s="23">
        <v>67678.823275158575</v>
      </c>
      <c r="M12" s="33">
        <v>0.33770058299705852</v>
      </c>
      <c r="N12" s="5">
        <v>3</v>
      </c>
      <c r="O12" s="5">
        <v>75</v>
      </c>
      <c r="P12" s="33">
        <v>0</v>
      </c>
      <c r="Q12" s="5">
        <v>10.842294152725749</v>
      </c>
      <c r="R12" s="5">
        <v>978.13756533843036</v>
      </c>
      <c r="S12" s="31"/>
      <c r="T12" s="23">
        <v>60798.17490211402</v>
      </c>
      <c r="U12" s="33">
        <v>0.41497887500008801</v>
      </c>
      <c r="V12" s="5">
        <v>2</v>
      </c>
      <c r="W12" s="5">
        <v>75</v>
      </c>
      <c r="X12" s="33">
        <v>3.0540687100621962</v>
      </c>
      <c r="Y12" s="5">
        <v>35.61369014091467</v>
      </c>
      <c r="Z12" s="5">
        <v>1471.4712684326189</v>
      </c>
      <c r="AA12" s="35"/>
    </row>
    <row r="13" spans="2:27" x14ac:dyDescent="0.2">
      <c r="B13" s="4">
        <v>10</v>
      </c>
      <c r="C13" s="4">
        <v>982</v>
      </c>
      <c r="D13" s="23">
        <v>56502.026834024262</v>
      </c>
      <c r="E13" s="33">
        <v>0.30538170900035772</v>
      </c>
      <c r="F13" s="5">
        <v>3</v>
      </c>
      <c r="G13" s="23">
        <v>90</v>
      </c>
      <c r="H13" s="33">
        <v>0</v>
      </c>
      <c r="I13" s="23">
        <v>14.087195634032918</v>
      </c>
      <c r="J13" s="5">
        <v>1093.3688277079839</v>
      </c>
      <c r="K13" s="31"/>
      <c r="L13" s="23">
        <v>67426.098695835099</v>
      </c>
      <c r="M13" s="33">
        <v>0.24610324999957811</v>
      </c>
      <c r="N13" s="5">
        <v>3</v>
      </c>
      <c r="O13" s="5">
        <v>75</v>
      </c>
      <c r="P13" s="33">
        <v>0</v>
      </c>
      <c r="Q13" s="5">
        <v>11.19984158971244</v>
      </c>
      <c r="R13" s="5">
        <v>966.40859337581355</v>
      </c>
      <c r="S13" s="31"/>
      <c r="T13" s="23">
        <v>60798.17490211402</v>
      </c>
      <c r="U13" s="33">
        <v>0.28948454100100213</v>
      </c>
      <c r="V13" s="5">
        <v>2</v>
      </c>
      <c r="W13" s="5">
        <v>75</v>
      </c>
      <c r="X13" s="33">
        <v>3.0540687100621962</v>
      </c>
      <c r="Y13" s="5">
        <v>35.61369014091467</v>
      </c>
      <c r="Z13" s="5">
        <v>1471.4712684326189</v>
      </c>
      <c r="AA13" s="35"/>
    </row>
    <row r="14" spans="2:27" x14ac:dyDescent="0.2">
      <c r="B14" s="46" t="s">
        <v>3</v>
      </c>
      <c r="C14" s="47"/>
      <c r="D14" s="9">
        <f>MIN(D4:D13)</f>
        <v>56502.026834024262</v>
      </c>
      <c r="E14" s="22">
        <f>INDEX(E4:E13, MATCH($D$14, D4:D13, 0))</f>
        <v>0.29926737500136369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14.087195634032918</v>
      </c>
      <c r="J14" s="22">
        <f>INDEX(J4:J13, MATCH($D$14, D4:D13, 0))</f>
        <v>1093.3688277079839</v>
      </c>
      <c r="K14" s="32">
        <f>(D14-$D$15)/$D$15</f>
        <v>0</v>
      </c>
      <c r="L14" s="16">
        <f>MIN(L4:L13)</f>
        <v>67172.682133116468</v>
      </c>
      <c r="M14" s="21">
        <f>INDEX(M4:M13, MATCH($L$14, L4:L13, 0))</f>
        <v>0.24552854099965771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10.877063331728451</v>
      </c>
      <c r="R14" s="21">
        <f>INDEX(R4:R13, MATCH($L$14, L4:L13, 0))</f>
        <v>964.84335838763388</v>
      </c>
      <c r="S14" s="36">
        <f>(L14-$D$15)/$D$15</f>
        <v>0.18885438093110274</v>
      </c>
      <c r="T14" s="38">
        <f>MIN(T4:T13)</f>
        <v>60798.17490211402</v>
      </c>
      <c r="U14" s="39">
        <f>INDEX(U4:U13, MATCH($T$14, T4:T13, 0))</f>
        <v>0.27240762499786803</v>
      </c>
      <c r="V14" s="38">
        <f>INDEX(V4:V13, MATCH($T$14, T4:T13, 0))</f>
        <v>2</v>
      </c>
      <c r="W14" s="38">
        <f>INDEX(W4:W13, MATCH($T$14, T4:T13, 0))</f>
        <v>75</v>
      </c>
      <c r="X14" s="39">
        <f>INDEX(X4:X13, MATCH($T$14, T4:T13, 0))</f>
        <v>3.0540687100621962</v>
      </c>
      <c r="Y14" s="39">
        <f>INDEX(Y4:Y13, MATCH($T$14, T4:T13, 0))</f>
        <v>35.61369014091467</v>
      </c>
      <c r="Z14" s="39">
        <f>INDEX(Z4:Z13, MATCH($T$14, T4:T13, 0))</f>
        <v>1471.4712684326189</v>
      </c>
      <c r="AA14" s="40">
        <f>(T14-$D$15)/$D$15</f>
        <v>7.6035291277422173E-2</v>
      </c>
    </row>
    <row r="15" spans="2:27" x14ac:dyDescent="0.2">
      <c r="C15" s="1" t="s">
        <v>17</v>
      </c>
      <c r="D15" s="34">
        <v>56502.026834024262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127" priority="7"/>
    <cfRule type="duplicateValues" dxfId="126" priority="8"/>
  </conditionalFormatting>
  <conditionalFormatting sqref="C14">
    <cfRule type="duplicateValues" dxfId="125" priority="1"/>
    <cfRule type="duplicateValues" dxfId="124" priority="2"/>
  </conditionalFormatting>
  <conditionalFormatting sqref="C17">
    <cfRule type="duplicateValues" dxfId="123" priority="3"/>
    <cfRule type="duplicateValues" dxfId="12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71C6-8EE1-8142-952C-FBFC7D772630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-0.7995415429086361</v>
      </c>
      <c r="J2" s="28">
        <f>(S14-J14)/J14</f>
        <v>-0.99991636407465223</v>
      </c>
      <c r="K2" s="28"/>
      <c r="L2" s="1" t="s">
        <v>19</v>
      </c>
      <c r="P2" s="1">
        <f>(P14-H14)/H14</f>
        <v>-0.82011875316622829</v>
      </c>
      <c r="R2" s="1">
        <f>(R14-J14)/J14</f>
        <v>-0.24608772489407812</v>
      </c>
      <c r="T2" s="1" t="s">
        <v>20</v>
      </c>
      <c r="X2" s="1">
        <f>(X14-P14)/P14</f>
        <v>8.6320421802296483</v>
      </c>
      <c r="Z2" s="1">
        <f>(Z14-R14)/R14</f>
        <v>0.37987342324192469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169</v>
      </c>
      <c r="D4" s="23">
        <v>69081.278097380797</v>
      </c>
      <c r="E4" s="33">
        <v>0.41923666699949541</v>
      </c>
      <c r="F4" s="5">
        <v>2</v>
      </c>
      <c r="G4" s="23">
        <v>80</v>
      </c>
      <c r="H4" s="33">
        <v>68.786488968384191</v>
      </c>
      <c r="I4" s="23">
        <v>22.290864533455924</v>
      </c>
      <c r="J4" s="5">
        <v>1912.2270210119955</v>
      </c>
      <c r="K4" s="31"/>
      <c r="L4" s="23">
        <v>80129.507444753355</v>
      </c>
      <c r="M4" s="33">
        <v>0.34321141699911101</v>
      </c>
      <c r="N4" s="5">
        <v>2</v>
      </c>
      <c r="O4" s="5">
        <v>55</v>
      </c>
      <c r="P4" s="33">
        <v>12.373399400950429</v>
      </c>
      <c r="Q4" s="5">
        <v>13.788833447334421</v>
      </c>
      <c r="R4" s="5">
        <v>1441.651423930173</v>
      </c>
      <c r="S4" s="31"/>
      <c r="T4" s="23">
        <v>89199.732902800461</v>
      </c>
      <c r="U4" s="33">
        <v>0.47706791699965828</v>
      </c>
      <c r="V4" s="5">
        <v>3</v>
      </c>
      <c r="W4" s="5">
        <v>60</v>
      </c>
      <c r="X4" s="33">
        <v>49.192934138099723</v>
      </c>
      <c r="Y4" s="5">
        <v>20.700131659781519</v>
      </c>
      <c r="Z4" s="5">
        <v>1907.8917155453989</v>
      </c>
      <c r="AA4" s="35"/>
    </row>
    <row r="5" spans="2:27" x14ac:dyDescent="0.2">
      <c r="B5" s="4">
        <v>2</v>
      </c>
      <c r="C5" s="4">
        <v>304</v>
      </c>
      <c r="D5" s="23">
        <v>69081.278097380797</v>
      </c>
      <c r="E5" s="33">
        <v>0.25840504099687678</v>
      </c>
      <c r="F5" s="5">
        <v>2</v>
      </c>
      <c r="G5" s="23">
        <v>80</v>
      </c>
      <c r="H5" s="33">
        <v>68.786488968384191</v>
      </c>
      <c r="I5" s="23">
        <v>22.290864533455924</v>
      </c>
      <c r="J5" s="5">
        <v>1912.2270210119955</v>
      </c>
      <c r="K5" s="31"/>
      <c r="L5" s="23">
        <v>80582.934037889296</v>
      </c>
      <c r="M5" s="33">
        <v>0.23813566700118829</v>
      </c>
      <c r="N5" s="5">
        <v>2</v>
      </c>
      <c r="O5" s="5">
        <v>55</v>
      </c>
      <c r="P5" s="33">
        <v>19.469735900272021</v>
      </c>
      <c r="Q5" s="5">
        <v>14.259453320939359</v>
      </c>
      <c r="R5" s="5">
        <v>1484.2294429261019</v>
      </c>
      <c r="S5" s="31"/>
      <c r="T5" s="23">
        <v>89388.305440360884</v>
      </c>
      <c r="U5" s="33">
        <v>0.31621249999807333</v>
      </c>
      <c r="V5" s="5">
        <v>2</v>
      </c>
      <c r="W5" s="5">
        <v>50</v>
      </c>
      <c r="X5" s="33">
        <v>120.6463571748732</v>
      </c>
      <c r="Y5" s="5">
        <v>32.008258100361559</v>
      </c>
      <c r="Z5" s="5">
        <v>2350.7978340992031</v>
      </c>
      <c r="AA5" s="35"/>
    </row>
    <row r="6" spans="2:27" x14ac:dyDescent="0.2">
      <c r="B6" s="4">
        <v>3</v>
      </c>
      <c r="C6" s="4">
        <v>315</v>
      </c>
      <c r="D6" s="23">
        <v>69081.278097380797</v>
      </c>
      <c r="E6" s="33">
        <v>0.43753362500137882</v>
      </c>
      <c r="F6" s="5">
        <v>2</v>
      </c>
      <c r="G6" s="23">
        <v>80</v>
      </c>
      <c r="H6" s="33">
        <v>68.786488968384191</v>
      </c>
      <c r="I6" s="23">
        <v>22.290864533455924</v>
      </c>
      <c r="J6" s="5">
        <v>1912.2270210119955</v>
      </c>
      <c r="K6" s="31"/>
      <c r="L6" s="23">
        <v>80129.507444753355</v>
      </c>
      <c r="M6" s="33">
        <v>0.4161409590014955</v>
      </c>
      <c r="N6" s="5">
        <v>2</v>
      </c>
      <c r="O6" s="5">
        <v>55</v>
      </c>
      <c r="P6" s="33">
        <v>12.373399400950429</v>
      </c>
      <c r="Q6" s="5">
        <v>13.788833447334421</v>
      </c>
      <c r="R6" s="5">
        <v>1441.651423930173</v>
      </c>
      <c r="S6" s="31"/>
      <c r="T6" s="23">
        <v>85303.860551245714</v>
      </c>
      <c r="U6" s="33">
        <v>0.34885249999933882</v>
      </c>
      <c r="V6" s="5">
        <v>2</v>
      </c>
      <c r="W6" s="5">
        <v>55</v>
      </c>
      <c r="X6" s="33">
        <v>119.1811049427828</v>
      </c>
      <c r="Y6" s="5">
        <v>25.225285716182331</v>
      </c>
      <c r="Z6" s="5">
        <v>1989.296485460123</v>
      </c>
      <c r="AA6" s="35"/>
    </row>
    <row r="7" spans="2:27" x14ac:dyDescent="0.2">
      <c r="B7" s="4">
        <v>4</v>
      </c>
      <c r="C7" s="4">
        <v>337</v>
      </c>
      <c r="D7" s="23">
        <v>69202.469619577227</v>
      </c>
      <c r="E7" s="33">
        <v>0.32344533300056361</v>
      </c>
      <c r="F7" s="5">
        <v>2</v>
      </c>
      <c r="G7" s="23">
        <v>80</v>
      </c>
      <c r="H7" s="33">
        <v>58.180132774291025</v>
      </c>
      <c r="I7" s="23">
        <v>22.631223549188075</v>
      </c>
      <c r="J7" s="5">
        <v>1951.5515962356224</v>
      </c>
      <c r="K7" s="31"/>
      <c r="L7" s="23">
        <v>81984.877367326466</v>
      </c>
      <c r="M7" s="33">
        <v>0.42406116699930863</v>
      </c>
      <c r="N7" s="5">
        <v>3</v>
      </c>
      <c r="O7" s="5">
        <v>65</v>
      </c>
      <c r="P7" s="33">
        <v>10.4697994931119</v>
      </c>
      <c r="Q7" s="5">
        <v>9.792807972564848</v>
      </c>
      <c r="R7" s="5">
        <v>1402.415049073328</v>
      </c>
      <c r="S7" s="31"/>
      <c r="T7" s="23">
        <v>89262.816514658261</v>
      </c>
      <c r="U7" s="33">
        <v>0.30006925000270712</v>
      </c>
      <c r="V7" s="5">
        <v>2</v>
      </c>
      <c r="W7" s="5">
        <v>60</v>
      </c>
      <c r="X7" s="33">
        <v>288.34386887843232</v>
      </c>
      <c r="Y7" s="5">
        <v>36.376642314707333</v>
      </c>
      <c r="Z7" s="5">
        <v>2615.2816066352971</v>
      </c>
      <c r="AA7" s="35"/>
    </row>
    <row r="8" spans="2:27" x14ac:dyDescent="0.2">
      <c r="B8" s="4">
        <v>5</v>
      </c>
      <c r="C8" s="4">
        <v>517</v>
      </c>
      <c r="D8" s="23">
        <v>69687.52834845602</v>
      </c>
      <c r="E8" s="33">
        <v>0.33246758300083462</v>
      </c>
      <c r="F8" s="5">
        <v>2</v>
      </c>
      <c r="G8" s="23">
        <v>85</v>
      </c>
      <c r="H8" s="33">
        <v>129.63809549824978</v>
      </c>
      <c r="I8" s="23">
        <v>24.341422554163195</v>
      </c>
      <c r="J8" s="5">
        <v>2117.8920101870535</v>
      </c>
      <c r="K8" s="31"/>
      <c r="L8" s="23">
        <v>84385.639081929185</v>
      </c>
      <c r="M8" s="33">
        <v>0.31033420799940359</v>
      </c>
      <c r="N8" s="5">
        <v>3</v>
      </c>
      <c r="O8" s="5">
        <v>60</v>
      </c>
      <c r="P8" s="33">
        <v>0</v>
      </c>
      <c r="Q8" s="5">
        <v>9.226943600730328</v>
      </c>
      <c r="R8" s="5">
        <v>1321.949393512896</v>
      </c>
      <c r="S8" s="31"/>
      <c r="T8" s="23">
        <v>85303.860551245714</v>
      </c>
      <c r="U8" s="33">
        <v>0.42577641599928029</v>
      </c>
      <c r="V8" s="5">
        <v>2</v>
      </c>
      <c r="W8" s="5">
        <v>55</v>
      </c>
      <c r="X8" s="33">
        <v>119.1811049427828</v>
      </c>
      <c r="Y8" s="5">
        <v>25.225285716182331</v>
      </c>
      <c r="Z8" s="5">
        <v>1989.296485460123</v>
      </c>
      <c r="AA8" s="35"/>
    </row>
    <row r="9" spans="2:27" x14ac:dyDescent="0.2">
      <c r="B9" s="4">
        <v>6</v>
      </c>
      <c r="C9" s="4">
        <v>540</v>
      </c>
      <c r="D9" s="23">
        <v>69081.278097380797</v>
      </c>
      <c r="E9" s="33">
        <v>0.32972924999921821</v>
      </c>
      <c r="F9" s="5">
        <v>2</v>
      </c>
      <c r="G9" s="23">
        <v>80</v>
      </c>
      <c r="H9" s="33">
        <v>68.786488968384191</v>
      </c>
      <c r="I9" s="23">
        <v>22.290864533455924</v>
      </c>
      <c r="J9" s="5">
        <v>1912.2270210119955</v>
      </c>
      <c r="K9" s="31"/>
      <c r="L9" s="23">
        <v>82658.810050152213</v>
      </c>
      <c r="M9" s="33">
        <v>0.2407913750030275</v>
      </c>
      <c r="N9" s="5">
        <v>3</v>
      </c>
      <c r="O9" s="5">
        <v>65</v>
      </c>
      <c r="P9" s="33">
        <v>16.369914303674481</v>
      </c>
      <c r="Q9" s="5">
        <v>10.100951937425229</v>
      </c>
      <c r="R9" s="5">
        <v>1437.815737936703</v>
      </c>
      <c r="S9" s="31"/>
      <c r="T9" s="23">
        <v>88363.435725446921</v>
      </c>
      <c r="U9" s="33">
        <v>0.69825108399891178</v>
      </c>
      <c r="V9" s="5">
        <v>2</v>
      </c>
      <c r="W9" s="5">
        <v>50</v>
      </c>
      <c r="X9" s="33">
        <v>98.00461588559287</v>
      </c>
      <c r="Y9" s="5">
        <v>29.773219034625932</v>
      </c>
      <c r="Z9" s="5">
        <v>2198.885358329137</v>
      </c>
      <c r="AA9" s="35"/>
    </row>
    <row r="10" spans="2:27" x14ac:dyDescent="0.2">
      <c r="B10" s="4">
        <v>7</v>
      </c>
      <c r="C10" s="4">
        <v>552</v>
      </c>
      <c r="D10" s="23">
        <v>75044.349838235328</v>
      </c>
      <c r="E10" s="33">
        <v>0.20841337499950899</v>
      </c>
      <c r="F10" s="5">
        <v>3</v>
      </c>
      <c r="G10" s="23">
        <v>85</v>
      </c>
      <c r="H10" s="33">
        <v>84.703942732665951</v>
      </c>
      <c r="I10" s="23">
        <v>16.002643602980026</v>
      </c>
      <c r="J10" s="5">
        <v>1881.4468365687901</v>
      </c>
      <c r="K10" s="31"/>
      <c r="L10" s="23">
        <v>81991.129206631595</v>
      </c>
      <c r="M10" s="33">
        <v>0.19374512499780391</v>
      </c>
      <c r="N10" s="5">
        <v>3</v>
      </c>
      <c r="O10" s="5">
        <v>65</v>
      </c>
      <c r="P10" s="33">
        <v>11.82513818427149</v>
      </c>
      <c r="Q10" s="5">
        <v>9.8572380743083787</v>
      </c>
      <c r="R10" s="5">
        <v>1410.547081220285</v>
      </c>
      <c r="S10" s="31"/>
      <c r="T10" s="23">
        <v>87758.296237417657</v>
      </c>
      <c r="U10" s="33">
        <v>0.34163941700171557</v>
      </c>
      <c r="V10" s="5">
        <v>2</v>
      </c>
      <c r="W10" s="5">
        <v>45</v>
      </c>
      <c r="X10" s="33">
        <v>21.662176661403489</v>
      </c>
      <c r="Y10" s="5">
        <v>19.353786970409491</v>
      </c>
      <c r="Z10" s="5">
        <v>1646.898093671063</v>
      </c>
      <c r="AA10" s="35"/>
    </row>
    <row r="11" spans="2:27" x14ac:dyDescent="0.2">
      <c r="B11" s="4">
        <v>8</v>
      </c>
      <c r="C11" s="4">
        <v>583</v>
      </c>
      <c r="D11" s="23">
        <v>70687.313487176056</v>
      </c>
      <c r="E11" s="33">
        <v>0.19890250000025839</v>
      </c>
      <c r="F11" s="5">
        <v>2</v>
      </c>
      <c r="G11" s="23">
        <v>80</v>
      </c>
      <c r="H11" s="33">
        <v>87.749162625037258</v>
      </c>
      <c r="I11" s="23">
        <v>24.169142064718528</v>
      </c>
      <c r="J11" s="5">
        <v>2075.8277156386075</v>
      </c>
      <c r="K11" s="31"/>
      <c r="L11" s="23">
        <v>81984.877367326466</v>
      </c>
      <c r="M11" s="33">
        <v>0.28426816700084601</v>
      </c>
      <c r="N11" s="5">
        <v>3</v>
      </c>
      <c r="O11" s="5">
        <v>65</v>
      </c>
      <c r="P11" s="33">
        <v>10.4697994931119</v>
      </c>
      <c r="Q11" s="5">
        <v>9.792807972564848</v>
      </c>
      <c r="R11" s="5">
        <v>1402.415049073328</v>
      </c>
      <c r="S11" s="31"/>
      <c r="T11" s="23">
        <v>86295.831708187645</v>
      </c>
      <c r="U11" s="33">
        <v>0.28021433299727511</v>
      </c>
      <c r="V11" s="5">
        <v>2</v>
      </c>
      <c r="W11" s="5">
        <v>55</v>
      </c>
      <c r="X11" s="33">
        <v>104.20644173433401</v>
      </c>
      <c r="Y11" s="5">
        <v>26.799248088288131</v>
      </c>
      <c r="Z11" s="5">
        <v>2105.8317139738729</v>
      </c>
      <c r="AA11" s="35"/>
    </row>
    <row r="12" spans="2:27" x14ac:dyDescent="0.2">
      <c r="B12" s="4">
        <v>9</v>
      </c>
      <c r="C12" s="4">
        <v>826</v>
      </c>
      <c r="D12" s="23">
        <v>69687.52834845602</v>
      </c>
      <c r="E12" s="33">
        <v>0.26332895800078399</v>
      </c>
      <c r="F12" s="5">
        <v>2</v>
      </c>
      <c r="G12" s="23">
        <v>85</v>
      </c>
      <c r="H12" s="33">
        <v>129.63809549824978</v>
      </c>
      <c r="I12" s="23">
        <v>24.341422554163195</v>
      </c>
      <c r="J12" s="5">
        <v>2117.8920101870535</v>
      </c>
      <c r="K12" s="31"/>
      <c r="L12" s="23">
        <v>82438.303960462392</v>
      </c>
      <c r="M12" s="33">
        <v>0.23066608299996011</v>
      </c>
      <c r="N12" s="5">
        <v>3</v>
      </c>
      <c r="O12" s="5">
        <v>65</v>
      </c>
      <c r="P12" s="33">
        <v>16.474391915614781</v>
      </c>
      <c r="Q12" s="5">
        <v>10.10655455496814</v>
      </c>
      <c r="R12" s="5">
        <v>1438.4426036083451</v>
      </c>
      <c r="S12" s="31"/>
      <c r="T12" s="23">
        <v>89023.756309001401</v>
      </c>
      <c r="U12" s="33">
        <v>0.58943604199885158</v>
      </c>
      <c r="V12" s="5">
        <v>2</v>
      </c>
      <c r="W12" s="5">
        <v>60</v>
      </c>
      <c r="X12" s="33">
        <v>325.50404167425938</v>
      </c>
      <c r="Y12" s="5">
        <v>35.488053796359232</v>
      </c>
      <c r="Z12" s="5">
        <v>2557.063485441719</v>
      </c>
      <c r="AA12" s="35"/>
    </row>
    <row r="13" spans="2:27" x14ac:dyDescent="0.2">
      <c r="B13" s="4">
        <v>10</v>
      </c>
      <c r="C13" s="4">
        <v>980</v>
      </c>
      <c r="D13" s="23">
        <v>69081.278097380797</v>
      </c>
      <c r="E13" s="33">
        <v>0.55873195900130668</v>
      </c>
      <c r="F13" s="5">
        <v>2</v>
      </c>
      <c r="G13" s="23">
        <v>80</v>
      </c>
      <c r="H13" s="33">
        <v>68.786488968384191</v>
      </c>
      <c r="I13" s="23">
        <v>22.290864533455924</v>
      </c>
      <c r="J13" s="5">
        <v>1912.2270210119955</v>
      </c>
      <c r="K13" s="31"/>
      <c r="L13" s="23">
        <v>81858.891216592107</v>
      </c>
      <c r="M13" s="33">
        <v>0.45995466599924839</v>
      </c>
      <c r="N13" s="5">
        <v>2</v>
      </c>
      <c r="O13" s="5">
        <v>50</v>
      </c>
      <c r="P13" s="33">
        <v>0</v>
      </c>
      <c r="Q13" s="5">
        <v>12.33075223179052</v>
      </c>
      <c r="R13" s="5">
        <v>1259.998069003504</v>
      </c>
      <c r="S13" s="31"/>
      <c r="T13" s="23">
        <v>86475.19027448463</v>
      </c>
      <c r="U13" s="33">
        <v>0.34441241700187669</v>
      </c>
      <c r="V13" s="5">
        <v>2</v>
      </c>
      <c r="W13" s="5">
        <v>55</v>
      </c>
      <c r="X13" s="33">
        <v>120.5977414600266</v>
      </c>
      <c r="Y13" s="5">
        <v>28.075757202377201</v>
      </c>
      <c r="Z13" s="5">
        <v>2198.697303511427</v>
      </c>
      <c r="AA13" s="35"/>
    </row>
    <row r="14" spans="2:27" x14ac:dyDescent="0.2">
      <c r="B14" s="46" t="s">
        <v>3</v>
      </c>
      <c r="C14" s="47"/>
      <c r="D14" s="9">
        <f>MIN(D4:D13)</f>
        <v>69081.278097380797</v>
      </c>
      <c r="E14" s="22">
        <f>INDEX(E4:E13, MATCH($D$14, D4:D13, 0))</f>
        <v>0.41923666699949541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68.786488968384191</v>
      </c>
      <c r="I14" s="22">
        <f>INDEX(I4:I13, MATCH($D$14, D4:D13, 0))</f>
        <v>22.290864533455924</v>
      </c>
      <c r="J14" s="22">
        <f>INDEX(J4:J13, MATCH($D$14, D4:D13, 0))</f>
        <v>1912.2270210119955</v>
      </c>
      <c r="K14" s="32">
        <f>(D14-$D$15)/$D$15</f>
        <v>0</v>
      </c>
      <c r="L14" s="16">
        <f>MIN(L4:L13)</f>
        <v>80129.507444753355</v>
      </c>
      <c r="M14" s="21">
        <f>INDEX(M4:M13, MATCH($L$14, L4:L13, 0))</f>
        <v>0.34321141699911101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12.373399400950429</v>
      </c>
      <c r="Q14" s="21">
        <f>INDEX(Q4:Q13, MATCH($L$14, L4:L13, 0))</f>
        <v>13.788833447334421</v>
      </c>
      <c r="R14" s="21">
        <f>INDEX(R4:R13, MATCH($L$14, L4:L13, 0))</f>
        <v>1441.651423930173</v>
      </c>
      <c r="S14" s="36">
        <f>(L14-$D$15)/$D$15</f>
        <v>0.15993087637721992</v>
      </c>
      <c r="T14" s="38">
        <f>MIN(T4:T13)</f>
        <v>85303.860551245714</v>
      </c>
      <c r="U14" s="39">
        <f>INDEX(U4:U13, MATCH($T$14, T4:T13, 0))</f>
        <v>0.34885249999933882</v>
      </c>
      <c r="V14" s="38">
        <f>INDEX(V4:V13, MATCH($T$14, T4:T13, 0))</f>
        <v>2</v>
      </c>
      <c r="W14" s="38">
        <f>INDEX(W4:W13, MATCH($T$14, T4:T13, 0))</f>
        <v>55</v>
      </c>
      <c r="X14" s="39">
        <f>INDEX(X4:X13, MATCH($T$14, T4:T13, 0))</f>
        <v>119.1811049427828</v>
      </c>
      <c r="Y14" s="39">
        <f>INDEX(Y4:Y13, MATCH($T$14, T4:T13, 0))</f>
        <v>25.225285716182331</v>
      </c>
      <c r="Z14" s="39">
        <f>INDEX(Z4:Z13, MATCH($T$14, T4:T13, 0))</f>
        <v>1989.296485460123</v>
      </c>
      <c r="AA14" s="40">
        <f>(T14-$D$15)/$D$15</f>
        <v>0.23483327032537915</v>
      </c>
    </row>
    <row r="15" spans="2:27" x14ac:dyDescent="0.2">
      <c r="C15" s="1" t="s">
        <v>17</v>
      </c>
      <c r="D15" s="34">
        <v>69081.278097380797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2:C1048576">
    <cfRule type="duplicateValues" dxfId="121" priority="11"/>
    <cfRule type="duplicateValues" dxfId="120" priority="12"/>
  </conditionalFormatting>
  <conditionalFormatting sqref="C14">
    <cfRule type="duplicateValues" dxfId="119" priority="5"/>
    <cfRule type="duplicateValues" dxfId="118" priority="6"/>
  </conditionalFormatting>
  <conditionalFormatting sqref="C18:C31">
    <cfRule type="duplicateValues" dxfId="35" priority="3"/>
    <cfRule type="duplicateValues" dxfId="34" priority="4"/>
  </conditionalFormatting>
  <conditionalFormatting sqref="C17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8823-C1FE-244E-B67F-B6F4168FE7F2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0.22725393816320003</v>
      </c>
      <c r="J2" s="28">
        <f>(S14-J14)/J14</f>
        <v>-0.99986452088507016</v>
      </c>
      <c r="K2" s="28"/>
      <c r="L2" s="1" t="s">
        <v>19</v>
      </c>
      <c r="P2" s="1">
        <f>(P14-H14)/H14</f>
        <v>-1</v>
      </c>
      <c r="R2" s="1">
        <f>(R14-J14)/J14</f>
        <v>-0.19250045341254862</v>
      </c>
      <c r="T2" s="1" t="s">
        <v>20</v>
      </c>
      <c r="X2" s="1" t="e">
        <f>(X14-P14)/P14</f>
        <v>#DIV/0!</v>
      </c>
      <c r="Z2" s="1">
        <f>(Z14-R14)/R14</f>
        <v>0.57500825403089662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2</v>
      </c>
      <c r="C4" s="4">
        <v>258</v>
      </c>
      <c r="D4" s="23">
        <v>66010.173406761925</v>
      </c>
      <c r="E4" s="33">
        <v>0.32077045899859508</v>
      </c>
      <c r="F4" s="5">
        <v>2</v>
      </c>
      <c r="G4" s="23">
        <v>70</v>
      </c>
      <c r="H4" s="33">
        <v>13.768091536766793</v>
      </c>
      <c r="I4" s="23">
        <v>24.165025030241637</v>
      </c>
      <c r="J4" s="5">
        <v>1449.2897754183527</v>
      </c>
      <c r="K4" s="31"/>
      <c r="L4" s="23">
        <v>78056.910187118847</v>
      </c>
      <c r="M4" s="33">
        <v>0.26652858300076332</v>
      </c>
      <c r="N4" s="5">
        <v>2</v>
      </c>
      <c r="O4" s="5">
        <v>50</v>
      </c>
      <c r="P4" s="33">
        <v>0</v>
      </c>
      <c r="Q4" s="5">
        <v>16.896944559488471</v>
      </c>
      <c r="R4" s="5">
        <v>1141.631949962378</v>
      </c>
      <c r="S4" s="31"/>
      <c r="T4" s="23">
        <v>71750.462339689548</v>
      </c>
      <c r="U4" s="33">
        <v>0.44028875000003609</v>
      </c>
      <c r="V4" s="5">
        <v>2</v>
      </c>
      <c r="W4" s="5">
        <v>65</v>
      </c>
      <c r="X4" s="33">
        <v>45.89464260322687</v>
      </c>
      <c r="Y4" s="5">
        <v>39.41959583779078</v>
      </c>
      <c r="Z4" s="5">
        <v>1798.0797442561329</v>
      </c>
      <c r="AA4" s="35"/>
    </row>
    <row r="5" spans="2:27" x14ac:dyDescent="0.2">
      <c r="B5" s="4">
        <v>3</v>
      </c>
      <c r="C5" s="4">
        <v>317</v>
      </c>
      <c r="D5" s="23">
        <v>65509.34561354958</v>
      </c>
      <c r="E5" s="33">
        <v>0.42500962499980233</v>
      </c>
      <c r="F5" s="5">
        <v>2</v>
      </c>
      <c r="G5" s="23">
        <v>70</v>
      </c>
      <c r="H5" s="33">
        <v>13.768091536766793</v>
      </c>
      <c r="I5" s="23">
        <v>24.059672546809395</v>
      </c>
      <c r="J5" s="5">
        <v>1413.7864903912246</v>
      </c>
      <c r="K5" s="31"/>
      <c r="L5" s="23">
        <v>78754.940583704447</v>
      </c>
      <c r="M5" s="33">
        <v>0.21520370799771629</v>
      </c>
      <c r="N5" s="5">
        <v>3</v>
      </c>
      <c r="O5" s="5">
        <v>60</v>
      </c>
      <c r="P5" s="33">
        <v>0</v>
      </c>
      <c r="Q5" s="5">
        <v>13.10209247216026</v>
      </c>
      <c r="R5" s="5">
        <v>1017.620652736912</v>
      </c>
      <c r="S5" s="31"/>
      <c r="T5" s="23">
        <v>72079.121204494732</v>
      </c>
      <c r="U5" s="33">
        <v>0.27175458300189348</v>
      </c>
      <c r="V5" s="5">
        <v>2</v>
      </c>
      <c r="W5" s="5">
        <v>70</v>
      </c>
      <c r="X5" s="33">
        <v>96.922982008147955</v>
      </c>
      <c r="Y5" s="5">
        <v>45.175932413092873</v>
      </c>
      <c r="Z5" s="5">
        <v>2077.268506352596</v>
      </c>
      <c r="AA5" s="35"/>
    </row>
    <row r="6" spans="2:27" x14ac:dyDescent="0.2">
      <c r="B6" s="4">
        <v>5</v>
      </c>
      <c r="C6" s="4">
        <v>385</v>
      </c>
      <c r="D6" s="23">
        <v>65509.34561354958</v>
      </c>
      <c r="E6" s="33">
        <v>0.27037912500236422</v>
      </c>
      <c r="F6" s="5">
        <v>2</v>
      </c>
      <c r="G6" s="23">
        <v>70</v>
      </c>
      <c r="H6" s="33">
        <v>13.768091536766793</v>
      </c>
      <c r="I6" s="23">
        <v>24.059672546809395</v>
      </c>
      <c r="J6" s="5">
        <v>1413.7864903912246</v>
      </c>
      <c r="K6" s="31"/>
      <c r="L6" s="23">
        <v>78161.839657414035</v>
      </c>
      <c r="M6" s="33">
        <v>0.26371887499772129</v>
      </c>
      <c r="N6" s="5">
        <v>3</v>
      </c>
      <c r="O6" s="5">
        <v>70</v>
      </c>
      <c r="P6" s="33">
        <v>43.700411761639543</v>
      </c>
      <c r="Q6" s="5">
        <v>15.33531014337189</v>
      </c>
      <c r="R6" s="5">
        <v>1562.086646954536</v>
      </c>
      <c r="S6" s="31"/>
      <c r="T6" s="23">
        <v>72079.121204494732</v>
      </c>
      <c r="U6" s="33">
        <v>0.45815137499812408</v>
      </c>
      <c r="V6" s="5">
        <v>2</v>
      </c>
      <c r="W6" s="5">
        <v>70</v>
      </c>
      <c r="X6" s="33">
        <v>96.922982008147955</v>
      </c>
      <c r="Y6" s="5">
        <v>45.175932413092873</v>
      </c>
      <c r="Z6" s="5">
        <v>2077.268506352596</v>
      </c>
      <c r="AA6" s="35"/>
    </row>
    <row r="7" spans="2:27" x14ac:dyDescent="0.2">
      <c r="B7" s="4">
        <v>4</v>
      </c>
      <c r="C7" s="4">
        <v>429</v>
      </c>
      <c r="D7" s="23">
        <v>65509.34561354958</v>
      </c>
      <c r="E7" s="33">
        <v>0.31691820899868622</v>
      </c>
      <c r="F7" s="5">
        <v>2</v>
      </c>
      <c r="G7" s="23">
        <v>70</v>
      </c>
      <c r="H7" s="33">
        <v>13.768091536766793</v>
      </c>
      <c r="I7" s="23">
        <v>24.059672546809395</v>
      </c>
      <c r="J7" s="5">
        <v>1413.7864903912246</v>
      </c>
      <c r="K7" s="31"/>
      <c r="L7" s="23">
        <v>78161.839657414035</v>
      </c>
      <c r="M7" s="33">
        <v>0.319948000000295</v>
      </c>
      <c r="N7" s="5">
        <v>3</v>
      </c>
      <c r="O7" s="5">
        <v>70</v>
      </c>
      <c r="P7" s="33">
        <v>43.700411761639543</v>
      </c>
      <c r="Q7" s="5">
        <v>15.33531014337189</v>
      </c>
      <c r="R7" s="5">
        <v>1562.086646954536</v>
      </c>
      <c r="S7" s="31"/>
      <c r="T7" s="23">
        <v>72079.121204494732</v>
      </c>
      <c r="U7" s="33">
        <v>0.39447341699997202</v>
      </c>
      <c r="V7" s="5">
        <v>2</v>
      </c>
      <c r="W7" s="5">
        <v>70</v>
      </c>
      <c r="X7" s="33">
        <v>96.922982008147955</v>
      </c>
      <c r="Y7" s="5">
        <v>45.175932413092873</v>
      </c>
      <c r="Z7" s="5">
        <v>2077.268506352596</v>
      </c>
      <c r="AA7" s="35"/>
    </row>
    <row r="8" spans="2:27" x14ac:dyDescent="0.2">
      <c r="B8" s="4">
        <v>1</v>
      </c>
      <c r="C8" s="4">
        <v>582</v>
      </c>
      <c r="D8" s="23">
        <v>65509.34561354958</v>
      </c>
      <c r="E8" s="33">
        <v>0.23433216599732989</v>
      </c>
      <c r="F8" s="5">
        <v>2</v>
      </c>
      <c r="G8" s="23">
        <v>70</v>
      </c>
      <c r="H8" s="33">
        <v>13.768091536766793</v>
      </c>
      <c r="I8" s="23">
        <v>24.059672546809395</v>
      </c>
      <c r="J8" s="5">
        <v>1413.7864903912246</v>
      </c>
      <c r="K8" s="31"/>
      <c r="L8" s="23">
        <v>78236.114025793024</v>
      </c>
      <c r="M8" s="33">
        <v>0.35547154199957731</v>
      </c>
      <c r="N8" s="5">
        <v>2</v>
      </c>
      <c r="O8" s="5">
        <v>50</v>
      </c>
      <c r="P8" s="33">
        <v>0</v>
      </c>
      <c r="Q8" s="5">
        <v>16.15032434719171</v>
      </c>
      <c r="R8" s="5">
        <v>1078.807483330419</v>
      </c>
      <c r="S8" s="31"/>
      <c r="T8" s="23">
        <v>72079.121204494732</v>
      </c>
      <c r="U8" s="33">
        <v>0.2683977499982575</v>
      </c>
      <c r="V8" s="5">
        <v>2</v>
      </c>
      <c r="W8" s="5">
        <v>70</v>
      </c>
      <c r="X8" s="33">
        <v>96.922982008147955</v>
      </c>
      <c r="Y8" s="5">
        <v>45.175932413092873</v>
      </c>
      <c r="Z8" s="5">
        <v>2077.268506352596</v>
      </c>
      <c r="AA8" s="35"/>
    </row>
    <row r="9" spans="2:27" x14ac:dyDescent="0.2">
      <c r="B9" s="4">
        <v>7</v>
      </c>
      <c r="C9" s="4">
        <v>599</v>
      </c>
      <c r="D9" s="23">
        <v>65509.34561354958</v>
      </c>
      <c r="E9" s="33">
        <v>0.26923387499846291</v>
      </c>
      <c r="F9" s="5">
        <v>2</v>
      </c>
      <c r="G9" s="23">
        <v>70</v>
      </c>
      <c r="H9" s="33">
        <v>13.768091536766793</v>
      </c>
      <c r="I9" s="23">
        <v>24.059672546809395</v>
      </c>
      <c r="J9" s="5">
        <v>1413.7864903912246</v>
      </c>
      <c r="K9" s="31"/>
      <c r="L9" s="23">
        <v>78161.839657414035</v>
      </c>
      <c r="M9" s="33">
        <v>0.27299150000180822</v>
      </c>
      <c r="N9" s="5">
        <v>3</v>
      </c>
      <c r="O9" s="5">
        <v>70</v>
      </c>
      <c r="P9" s="33">
        <v>43.700411761639543</v>
      </c>
      <c r="Q9" s="5">
        <v>15.33531014337189</v>
      </c>
      <c r="R9" s="5">
        <v>1562.086646954536</v>
      </c>
      <c r="S9" s="31"/>
      <c r="T9" s="23">
        <v>71750.462339689548</v>
      </c>
      <c r="U9" s="33">
        <v>0.44636354199974448</v>
      </c>
      <c r="V9" s="5">
        <v>2</v>
      </c>
      <c r="W9" s="5">
        <v>65</v>
      </c>
      <c r="X9" s="33">
        <v>45.89464260322687</v>
      </c>
      <c r="Y9" s="5">
        <v>39.41959583779078</v>
      </c>
      <c r="Z9" s="5">
        <v>1798.0797442561329</v>
      </c>
      <c r="AA9" s="35"/>
    </row>
    <row r="10" spans="2:27" x14ac:dyDescent="0.2">
      <c r="B10" s="4">
        <v>9</v>
      </c>
      <c r="C10" s="4">
        <v>826</v>
      </c>
      <c r="D10" s="23">
        <v>65509.34561354958</v>
      </c>
      <c r="E10" s="33">
        <v>0.21968137499789009</v>
      </c>
      <c r="F10" s="5">
        <v>2</v>
      </c>
      <c r="G10" s="23">
        <v>70</v>
      </c>
      <c r="H10" s="33">
        <v>13.768091536766793</v>
      </c>
      <c r="I10" s="23">
        <v>24.059672546809395</v>
      </c>
      <c r="J10" s="5">
        <v>1413.7864903912246</v>
      </c>
      <c r="K10" s="31"/>
      <c r="L10" s="23">
        <v>78929.886676765687</v>
      </c>
      <c r="M10" s="33">
        <v>0.3211906659998931</v>
      </c>
      <c r="N10" s="5">
        <v>3</v>
      </c>
      <c r="O10" s="5">
        <v>65</v>
      </c>
      <c r="P10" s="33">
        <v>4.205058820227193</v>
      </c>
      <c r="Q10" s="5">
        <v>12.66420585936438</v>
      </c>
      <c r="R10" s="5">
        <v>1303.8236379000421</v>
      </c>
      <c r="S10" s="31"/>
      <c r="T10" s="23">
        <v>73018.988953454798</v>
      </c>
      <c r="U10" s="33">
        <v>0.18286679199809441</v>
      </c>
      <c r="V10" s="5">
        <v>2</v>
      </c>
      <c r="W10" s="5">
        <v>70</v>
      </c>
      <c r="X10" s="33">
        <v>96.922982008147955</v>
      </c>
      <c r="Y10" s="5">
        <v>45.410067944629773</v>
      </c>
      <c r="Z10" s="5">
        <v>2144.390605350382</v>
      </c>
      <c r="AA10" s="35"/>
    </row>
    <row r="11" spans="2:27" x14ac:dyDescent="0.2">
      <c r="B11" s="4">
        <v>8</v>
      </c>
      <c r="C11" s="4">
        <v>877</v>
      </c>
      <c r="D11" s="23">
        <v>65509.34561354958</v>
      </c>
      <c r="E11" s="33">
        <v>0.20862558299995729</v>
      </c>
      <c r="F11" s="5">
        <v>2</v>
      </c>
      <c r="G11" s="23">
        <v>70</v>
      </c>
      <c r="H11" s="33">
        <v>13.768091536766793</v>
      </c>
      <c r="I11" s="23">
        <v>24.059672546809395</v>
      </c>
      <c r="J11" s="5">
        <v>1413.7864903912246</v>
      </c>
      <c r="K11" s="31"/>
      <c r="L11" s="23">
        <v>78640.399735468149</v>
      </c>
      <c r="M11" s="33">
        <v>0.18923124999855651</v>
      </c>
      <c r="N11" s="5">
        <v>3</v>
      </c>
      <c r="O11" s="5">
        <v>60</v>
      </c>
      <c r="P11" s="33">
        <v>0</v>
      </c>
      <c r="Q11" s="5">
        <v>13.70224317497863</v>
      </c>
      <c r="R11" s="5">
        <v>1041.94916045898</v>
      </c>
      <c r="S11" s="31"/>
      <c r="T11" s="23">
        <v>72079.121204494732</v>
      </c>
      <c r="U11" s="33">
        <v>0.23184995799965691</v>
      </c>
      <c r="V11" s="5">
        <v>2</v>
      </c>
      <c r="W11" s="5">
        <v>70</v>
      </c>
      <c r="X11" s="33">
        <v>96.922982008147955</v>
      </c>
      <c r="Y11" s="5">
        <v>45.175932413092873</v>
      </c>
      <c r="Z11" s="5">
        <v>2077.268506352596</v>
      </c>
      <c r="AA11" s="35"/>
    </row>
    <row r="12" spans="2:27" x14ac:dyDescent="0.2">
      <c r="B12" s="4">
        <v>6</v>
      </c>
      <c r="C12" s="4">
        <v>891</v>
      </c>
      <c r="D12" s="23">
        <v>65509.34561354958</v>
      </c>
      <c r="E12" s="33">
        <v>0.26554970899815089</v>
      </c>
      <c r="F12" s="5">
        <v>2</v>
      </c>
      <c r="G12" s="23">
        <v>70</v>
      </c>
      <c r="H12" s="33">
        <v>13.768091536766793</v>
      </c>
      <c r="I12" s="23">
        <v>24.059672546809395</v>
      </c>
      <c r="J12" s="5">
        <v>1413.7864903912246</v>
      </c>
      <c r="K12" s="31"/>
      <c r="L12" s="23">
        <v>78161.839657414035</v>
      </c>
      <c r="M12" s="33">
        <v>0.25250795799729531</v>
      </c>
      <c r="N12" s="5">
        <v>3</v>
      </c>
      <c r="O12" s="5">
        <v>70</v>
      </c>
      <c r="P12" s="33">
        <v>43.700411761639543</v>
      </c>
      <c r="Q12" s="5">
        <v>15.33531014337189</v>
      </c>
      <c r="R12" s="5">
        <v>1562.086646954536</v>
      </c>
      <c r="S12" s="31"/>
      <c r="T12" s="23">
        <v>72079.121204494732</v>
      </c>
      <c r="U12" s="33">
        <v>0.32423712500167312</v>
      </c>
      <c r="V12" s="5">
        <v>2</v>
      </c>
      <c r="W12" s="5">
        <v>70</v>
      </c>
      <c r="X12" s="33">
        <v>96.922982008147955</v>
      </c>
      <c r="Y12" s="5">
        <v>45.175932413092873</v>
      </c>
      <c r="Z12" s="5">
        <v>2077.268506352596</v>
      </c>
      <c r="AA12" s="35"/>
    </row>
    <row r="13" spans="2:27" x14ac:dyDescent="0.2">
      <c r="B13" s="4">
        <v>10</v>
      </c>
      <c r="C13" s="4">
        <v>968</v>
      </c>
      <c r="D13" s="23">
        <v>65509.34561354958</v>
      </c>
      <c r="E13" s="33">
        <v>0.2785497500008205</v>
      </c>
      <c r="F13" s="5">
        <v>2</v>
      </c>
      <c r="G13" s="23">
        <v>70</v>
      </c>
      <c r="H13" s="33">
        <v>13.768091536766793</v>
      </c>
      <c r="I13" s="23">
        <v>24.059672546809395</v>
      </c>
      <c r="J13" s="5">
        <v>1413.7864903912246</v>
      </c>
      <c r="K13" s="31"/>
      <c r="L13" s="23">
        <v>78056.910187118847</v>
      </c>
      <c r="M13" s="33">
        <v>0.28406912500213372</v>
      </c>
      <c r="N13" s="5">
        <v>2</v>
      </c>
      <c r="O13" s="5">
        <v>50</v>
      </c>
      <c r="P13" s="33">
        <v>0</v>
      </c>
      <c r="Q13" s="5">
        <v>16.896944559488471</v>
      </c>
      <c r="R13" s="5">
        <v>1141.631949962378</v>
      </c>
      <c r="S13" s="31"/>
      <c r="T13" s="23">
        <v>72079.121204494732</v>
      </c>
      <c r="U13" s="33">
        <v>0.33215995899809059</v>
      </c>
      <c r="V13" s="5">
        <v>2</v>
      </c>
      <c r="W13" s="5">
        <v>70</v>
      </c>
      <c r="X13" s="33">
        <v>96.922982008147955</v>
      </c>
      <c r="Y13" s="5">
        <v>45.175932413092873</v>
      </c>
      <c r="Z13" s="5">
        <v>2077.268506352596</v>
      </c>
      <c r="AA13" s="35"/>
    </row>
    <row r="14" spans="2:27" x14ac:dyDescent="0.2">
      <c r="B14" s="46" t="s">
        <v>3</v>
      </c>
      <c r="C14" s="47"/>
      <c r="D14" s="9">
        <f>MIN(D4:D13)</f>
        <v>65509.34561354958</v>
      </c>
      <c r="E14" s="22">
        <f>INDEX(E4:E13, MATCH($D$14, D4:D13, 0))</f>
        <v>0.42500962499980233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13.768091536766793</v>
      </c>
      <c r="I14" s="22">
        <f>INDEX(I4:I13, MATCH($D$14, D4:D13, 0))</f>
        <v>24.059672546809395</v>
      </c>
      <c r="J14" s="22">
        <f>INDEX(J4:J13, MATCH($D$14, D4:D13, 0))</f>
        <v>1413.7864903912246</v>
      </c>
      <c r="K14" s="32">
        <f>(D14-$D$15)/$D$15</f>
        <v>0</v>
      </c>
      <c r="L14" s="16">
        <f>MIN(L4:L13)</f>
        <v>78056.910187118847</v>
      </c>
      <c r="M14" s="21">
        <f>INDEX(M4:M13, MATCH($L$14, L4:L13, 0))</f>
        <v>0.26652858300076332</v>
      </c>
      <c r="N14" s="16">
        <f>INDEX(N4:N13, MATCH($L$14, L4:L13, 0))</f>
        <v>2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16.896944559488471</v>
      </c>
      <c r="R14" s="21">
        <f>INDEX(R4:R13, MATCH($L$14, L4:L13, 0))</f>
        <v>1141.631949962378</v>
      </c>
      <c r="S14" s="36">
        <f>(L14-$D$15)/$D$15</f>
        <v>0.19153854241789281</v>
      </c>
      <c r="T14" s="38">
        <f>MIN(T4:T13)</f>
        <v>71750.462339689548</v>
      </c>
      <c r="U14" s="39">
        <f>INDEX(U4:U13, MATCH($T$14, T4:T13, 0))</f>
        <v>0.44028875000003609</v>
      </c>
      <c r="V14" s="38">
        <f>INDEX(V4:V13, MATCH($T$14, T4:T13, 0))</f>
        <v>2</v>
      </c>
      <c r="W14" s="38">
        <f>INDEX(W4:W13, MATCH($T$14, T4:T13, 0))</f>
        <v>65</v>
      </c>
      <c r="X14" s="39">
        <f>INDEX(X4:X13, MATCH($T$14, T4:T13, 0))</f>
        <v>45.89464260322687</v>
      </c>
      <c r="Y14" s="39">
        <f>INDEX(Y4:Y13, MATCH($T$14, T4:T13, 0))</f>
        <v>39.41959583779078</v>
      </c>
      <c r="Z14" s="39">
        <f>INDEX(Z4:Z13, MATCH($T$14, T4:T13, 0))</f>
        <v>1798.0797442561329</v>
      </c>
      <c r="AA14" s="40">
        <f>(T14-$D$15)/$D$15</f>
        <v>9.5270631505882275E-2</v>
      </c>
    </row>
    <row r="15" spans="2:27" x14ac:dyDescent="0.2">
      <c r="C15" s="1" t="s">
        <v>17</v>
      </c>
      <c r="D15" s="34">
        <v>65509.34561354958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15" priority="5"/>
    <cfRule type="duplicateValues" dxfId="114" priority="6"/>
  </conditionalFormatting>
  <conditionalFormatting sqref="C15:C16 C32:C1048576 C1:C13">
    <cfRule type="duplicateValues" dxfId="113" priority="13"/>
    <cfRule type="duplicateValues" dxfId="112" priority="14"/>
  </conditionalFormatting>
  <conditionalFormatting sqref="C18:C31">
    <cfRule type="duplicateValues" dxfId="31" priority="3"/>
    <cfRule type="duplicateValues" dxfId="30" priority="4"/>
  </conditionalFormatting>
  <conditionalFormatting sqref="C17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AB09-8EFE-C74B-BF9C-B761881E3BDE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-0.99967691503572531</v>
      </c>
      <c r="K2" s="28"/>
      <c r="L2" s="1" t="s">
        <v>19</v>
      </c>
      <c r="P2" s="1" t="e">
        <f>(P14-H14)/H14</f>
        <v>#DIV/0!</v>
      </c>
      <c r="R2" s="1">
        <f>(R14-J14)/J14</f>
        <v>-0.15821330156844074</v>
      </c>
      <c r="T2" s="1" t="s">
        <v>20</v>
      </c>
      <c r="X2" s="1" t="e">
        <f>(X14-P14)/P14</f>
        <v>#DIV/0!</v>
      </c>
      <c r="Z2" s="1">
        <f>(Z14-R14)/R14</f>
        <v>0.60184982554776478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</v>
      </c>
      <c r="D4" s="23">
        <v>52644.290452569359</v>
      </c>
      <c r="E4" s="33">
        <v>0.19945558300241831</v>
      </c>
      <c r="F4" s="5">
        <v>3</v>
      </c>
      <c r="G4" s="23">
        <v>95</v>
      </c>
      <c r="H4" s="33">
        <v>0</v>
      </c>
      <c r="I4" s="23">
        <v>14.834486978384499</v>
      </c>
      <c r="J4" s="5">
        <v>1062.407800372667</v>
      </c>
      <c r="K4" s="31"/>
      <c r="L4" s="23">
        <v>70749.674026329332</v>
      </c>
      <c r="M4" s="33">
        <v>0.17361158300263921</v>
      </c>
      <c r="N4" s="5">
        <v>3</v>
      </c>
      <c r="O4" s="5">
        <v>70</v>
      </c>
      <c r="P4" s="33">
        <v>0</v>
      </c>
      <c r="Q4" s="5">
        <v>9.565723728661343</v>
      </c>
      <c r="R4" s="5">
        <v>918.30112543790642</v>
      </c>
      <c r="S4" s="31"/>
      <c r="T4" s="23">
        <v>55022.879414055511</v>
      </c>
      <c r="U4" s="33">
        <v>0.1778900419994898</v>
      </c>
      <c r="V4" s="5">
        <v>3</v>
      </c>
      <c r="W4" s="5">
        <v>95</v>
      </c>
      <c r="X4" s="33">
        <v>0</v>
      </c>
      <c r="Y4" s="5">
        <v>33.303346404172942</v>
      </c>
      <c r="Z4" s="5">
        <v>1432.567544841701</v>
      </c>
      <c r="AA4" s="35"/>
    </row>
    <row r="5" spans="2:27" x14ac:dyDescent="0.2">
      <c r="B5" s="4">
        <v>2</v>
      </c>
      <c r="C5" s="4">
        <v>136</v>
      </c>
      <c r="D5" s="23">
        <v>52644.290452569359</v>
      </c>
      <c r="E5" s="33">
        <v>0.2007310840017453</v>
      </c>
      <c r="F5" s="5">
        <v>3</v>
      </c>
      <c r="G5" s="23">
        <v>95</v>
      </c>
      <c r="H5" s="33">
        <v>0</v>
      </c>
      <c r="I5" s="23">
        <v>14.834486978384499</v>
      </c>
      <c r="J5" s="5">
        <v>1062.407800372667</v>
      </c>
      <c r="K5" s="31"/>
      <c r="L5" s="23">
        <v>70714.337136845556</v>
      </c>
      <c r="M5" s="33">
        <v>0.19467233300019871</v>
      </c>
      <c r="N5" s="5">
        <v>3</v>
      </c>
      <c r="O5" s="5">
        <v>70</v>
      </c>
      <c r="P5" s="33">
        <v>0</v>
      </c>
      <c r="Q5" s="5">
        <v>9.4096739542909553</v>
      </c>
      <c r="R5" s="5">
        <v>894.32075466364245</v>
      </c>
      <c r="S5" s="31"/>
      <c r="T5" s="23">
        <v>55022.879414055511</v>
      </c>
      <c r="U5" s="33">
        <v>0.27167587499934598</v>
      </c>
      <c r="V5" s="5">
        <v>3</v>
      </c>
      <c r="W5" s="5">
        <v>95</v>
      </c>
      <c r="X5" s="33">
        <v>0</v>
      </c>
      <c r="Y5" s="5">
        <v>33.303346404172942</v>
      </c>
      <c r="Z5" s="5">
        <v>1432.567544841701</v>
      </c>
      <c r="AA5" s="35"/>
    </row>
    <row r="6" spans="2:27" x14ac:dyDescent="0.2">
      <c r="B6" s="4">
        <v>3</v>
      </c>
      <c r="C6" s="4">
        <v>142</v>
      </c>
      <c r="D6" s="23">
        <v>52644.290452569359</v>
      </c>
      <c r="E6" s="33">
        <v>0.21203570900252089</v>
      </c>
      <c r="F6" s="5">
        <v>3</v>
      </c>
      <c r="G6" s="23">
        <v>95</v>
      </c>
      <c r="H6" s="33">
        <v>0</v>
      </c>
      <c r="I6" s="23">
        <v>14.834486978384499</v>
      </c>
      <c r="J6" s="5">
        <v>1062.407800372667</v>
      </c>
      <c r="K6" s="31"/>
      <c r="L6" s="23">
        <v>70756.581303521336</v>
      </c>
      <c r="M6" s="33">
        <v>0.23173691600095481</v>
      </c>
      <c r="N6" s="5">
        <v>3</v>
      </c>
      <c r="O6" s="5">
        <v>70</v>
      </c>
      <c r="P6" s="33">
        <v>0</v>
      </c>
      <c r="Q6" s="5">
        <v>9.5535275464204101</v>
      </c>
      <c r="R6" s="5">
        <v>909.00265942554711</v>
      </c>
      <c r="S6" s="31"/>
      <c r="T6" s="23">
        <v>55022.879414055511</v>
      </c>
      <c r="U6" s="33">
        <v>0.2378211249997548</v>
      </c>
      <c r="V6" s="5">
        <v>3</v>
      </c>
      <c r="W6" s="5">
        <v>95</v>
      </c>
      <c r="X6" s="33">
        <v>0</v>
      </c>
      <c r="Y6" s="5">
        <v>33.303346404172942</v>
      </c>
      <c r="Z6" s="5">
        <v>1432.567544841701</v>
      </c>
      <c r="AA6" s="35"/>
    </row>
    <row r="7" spans="2:27" x14ac:dyDescent="0.2">
      <c r="B7" s="4">
        <v>8</v>
      </c>
      <c r="C7" s="4">
        <v>213</v>
      </c>
      <c r="D7" s="23">
        <v>52644.290452569359</v>
      </c>
      <c r="E7" s="33">
        <v>0.2050813329988159</v>
      </c>
      <c r="F7" s="5">
        <v>3</v>
      </c>
      <c r="G7" s="23">
        <v>95</v>
      </c>
      <c r="H7" s="33">
        <v>0</v>
      </c>
      <c r="I7" s="23">
        <v>14.834486978384499</v>
      </c>
      <c r="J7" s="5">
        <v>1062.407800372667</v>
      </c>
      <c r="K7" s="31"/>
      <c r="L7" s="23">
        <v>70749.674026329332</v>
      </c>
      <c r="M7" s="33">
        <v>0.27128775000164751</v>
      </c>
      <c r="N7" s="5">
        <v>3</v>
      </c>
      <c r="O7" s="5">
        <v>70</v>
      </c>
      <c r="P7" s="33">
        <v>0</v>
      </c>
      <c r="Q7" s="5">
        <v>9.565723728661343</v>
      </c>
      <c r="R7" s="5">
        <v>918.30112543790642</v>
      </c>
      <c r="S7" s="31"/>
      <c r="T7" s="23">
        <v>55022.879414055511</v>
      </c>
      <c r="U7" s="33">
        <v>0.26373616600176319</v>
      </c>
      <c r="V7" s="5">
        <v>3</v>
      </c>
      <c r="W7" s="5">
        <v>95</v>
      </c>
      <c r="X7" s="33">
        <v>0</v>
      </c>
      <c r="Y7" s="5">
        <v>33.303346404172942</v>
      </c>
      <c r="Z7" s="5">
        <v>1432.567544841701</v>
      </c>
      <c r="AA7" s="35"/>
    </row>
    <row r="8" spans="2:27" x14ac:dyDescent="0.2">
      <c r="B8" s="4">
        <v>9</v>
      </c>
      <c r="C8" s="4">
        <v>268</v>
      </c>
      <c r="D8" s="23">
        <v>52644.290452569359</v>
      </c>
      <c r="E8" s="33">
        <v>0.31071966600211448</v>
      </c>
      <c r="F8" s="5">
        <v>3</v>
      </c>
      <c r="G8" s="23">
        <v>95</v>
      </c>
      <c r="H8" s="33">
        <v>0</v>
      </c>
      <c r="I8" s="23">
        <v>14.834486978384499</v>
      </c>
      <c r="J8" s="5">
        <v>1062.407800372667</v>
      </c>
      <c r="K8" s="31"/>
      <c r="L8" s="23">
        <v>70714.337136845556</v>
      </c>
      <c r="M8" s="33">
        <v>0.28478524999809451</v>
      </c>
      <c r="N8" s="5">
        <v>3</v>
      </c>
      <c r="O8" s="5">
        <v>70</v>
      </c>
      <c r="P8" s="33">
        <v>0</v>
      </c>
      <c r="Q8" s="5">
        <v>9.4096739542909553</v>
      </c>
      <c r="R8" s="5">
        <v>894.32075466364245</v>
      </c>
      <c r="S8" s="31"/>
      <c r="T8" s="23">
        <v>55022.879414055511</v>
      </c>
      <c r="U8" s="33">
        <v>0.35966741599986563</v>
      </c>
      <c r="V8" s="5">
        <v>3</v>
      </c>
      <c r="W8" s="5">
        <v>95</v>
      </c>
      <c r="X8" s="33">
        <v>0</v>
      </c>
      <c r="Y8" s="5">
        <v>33.303346404172942</v>
      </c>
      <c r="Z8" s="5">
        <v>1432.567544841701</v>
      </c>
      <c r="AA8" s="35"/>
    </row>
    <row r="9" spans="2:27" x14ac:dyDescent="0.2">
      <c r="B9" s="4">
        <v>4</v>
      </c>
      <c r="C9" s="4">
        <v>610</v>
      </c>
      <c r="D9" s="23">
        <v>52644.290452569359</v>
      </c>
      <c r="E9" s="33">
        <v>0.40848479099804541</v>
      </c>
      <c r="F9" s="5">
        <v>3</v>
      </c>
      <c r="G9" s="23">
        <v>95</v>
      </c>
      <c r="H9" s="33">
        <v>0</v>
      </c>
      <c r="I9" s="23">
        <v>14.834486978384499</v>
      </c>
      <c r="J9" s="5">
        <v>1062.407800372667</v>
      </c>
      <c r="K9" s="31"/>
      <c r="L9" s="23">
        <v>70749.674026329332</v>
      </c>
      <c r="M9" s="33">
        <v>0.27672145799806458</v>
      </c>
      <c r="N9" s="5">
        <v>3</v>
      </c>
      <c r="O9" s="5">
        <v>70</v>
      </c>
      <c r="P9" s="33">
        <v>0</v>
      </c>
      <c r="Q9" s="5">
        <v>9.565723728661343</v>
      </c>
      <c r="R9" s="5">
        <v>918.30112543790642</v>
      </c>
      <c r="S9" s="31"/>
      <c r="T9" s="23">
        <v>55022.879414055511</v>
      </c>
      <c r="U9" s="33">
        <v>0.31677833299909253</v>
      </c>
      <c r="V9" s="5">
        <v>3</v>
      </c>
      <c r="W9" s="5">
        <v>95</v>
      </c>
      <c r="X9" s="33">
        <v>0</v>
      </c>
      <c r="Y9" s="5">
        <v>33.303346404172942</v>
      </c>
      <c r="Z9" s="5">
        <v>1432.567544841701</v>
      </c>
      <c r="AA9" s="35"/>
    </row>
    <row r="10" spans="2:27" x14ac:dyDescent="0.2">
      <c r="B10" s="4">
        <v>10</v>
      </c>
      <c r="C10" s="4">
        <v>630</v>
      </c>
      <c r="D10" s="23">
        <v>52644.290452569359</v>
      </c>
      <c r="E10" s="33">
        <v>0.2059220830014965</v>
      </c>
      <c r="F10" s="5">
        <v>3</v>
      </c>
      <c r="G10" s="23">
        <v>95</v>
      </c>
      <c r="H10" s="33">
        <v>0</v>
      </c>
      <c r="I10" s="23">
        <v>14.834486978384499</v>
      </c>
      <c r="J10" s="5">
        <v>1062.407800372667</v>
      </c>
      <c r="K10" s="31"/>
      <c r="L10" s="23">
        <v>70714.337136845556</v>
      </c>
      <c r="M10" s="33">
        <v>0.23892041699946279</v>
      </c>
      <c r="N10" s="5">
        <v>3</v>
      </c>
      <c r="O10" s="5">
        <v>70</v>
      </c>
      <c r="P10" s="33">
        <v>0</v>
      </c>
      <c r="Q10" s="5">
        <v>9.4096739542909553</v>
      </c>
      <c r="R10" s="5">
        <v>894.32075466364245</v>
      </c>
      <c r="S10" s="31"/>
      <c r="T10" s="23">
        <v>55022.879414055511</v>
      </c>
      <c r="U10" s="33">
        <v>0.20482704099777041</v>
      </c>
      <c r="V10" s="5">
        <v>3</v>
      </c>
      <c r="W10" s="5">
        <v>95</v>
      </c>
      <c r="X10" s="33">
        <v>0</v>
      </c>
      <c r="Y10" s="5">
        <v>33.303346404172942</v>
      </c>
      <c r="Z10" s="5">
        <v>1432.567544841701</v>
      </c>
      <c r="AA10" s="35"/>
    </row>
    <row r="11" spans="2:27" x14ac:dyDescent="0.2">
      <c r="B11" s="4">
        <v>5</v>
      </c>
      <c r="C11" s="4">
        <v>845</v>
      </c>
      <c r="D11" s="23">
        <v>52644.290452569359</v>
      </c>
      <c r="E11" s="33">
        <v>0.3818730829989363</v>
      </c>
      <c r="F11" s="5">
        <v>3</v>
      </c>
      <c r="G11" s="23">
        <v>95</v>
      </c>
      <c r="H11" s="33">
        <v>0</v>
      </c>
      <c r="I11" s="23">
        <v>14.834486978384499</v>
      </c>
      <c r="J11" s="5">
        <v>1062.407800372667</v>
      </c>
      <c r="K11" s="31"/>
      <c r="L11" s="23">
        <v>70749.674026329332</v>
      </c>
      <c r="M11" s="33">
        <v>0.21234366700082319</v>
      </c>
      <c r="N11" s="5">
        <v>3</v>
      </c>
      <c r="O11" s="5">
        <v>70</v>
      </c>
      <c r="P11" s="33">
        <v>0</v>
      </c>
      <c r="Q11" s="5">
        <v>9.565723728661343</v>
      </c>
      <c r="R11" s="5">
        <v>918.30112543790642</v>
      </c>
      <c r="S11" s="31"/>
      <c r="T11" s="23">
        <v>55022.879414055511</v>
      </c>
      <c r="U11" s="33">
        <v>0.28649149999910151</v>
      </c>
      <c r="V11" s="5">
        <v>3</v>
      </c>
      <c r="W11" s="5">
        <v>95</v>
      </c>
      <c r="X11" s="33">
        <v>0</v>
      </c>
      <c r="Y11" s="5">
        <v>33.303346404172942</v>
      </c>
      <c r="Z11" s="5">
        <v>1432.567544841701</v>
      </c>
      <c r="AA11" s="35"/>
    </row>
    <row r="12" spans="2:27" x14ac:dyDescent="0.2">
      <c r="B12" s="4">
        <v>6</v>
      </c>
      <c r="C12" s="4">
        <v>897</v>
      </c>
      <c r="D12" s="23">
        <v>52644.290452569359</v>
      </c>
      <c r="E12" s="33">
        <v>0.19817799999873389</v>
      </c>
      <c r="F12" s="5">
        <v>3</v>
      </c>
      <c r="G12" s="23">
        <v>95</v>
      </c>
      <c r="H12" s="33">
        <v>0</v>
      </c>
      <c r="I12" s="23">
        <v>14.834486978384499</v>
      </c>
      <c r="J12" s="5">
        <v>1062.407800372667</v>
      </c>
      <c r="K12" s="31"/>
      <c r="L12" s="23">
        <v>70791.918193005113</v>
      </c>
      <c r="M12" s="33">
        <v>0.1817823339988536</v>
      </c>
      <c r="N12" s="5">
        <v>3</v>
      </c>
      <c r="O12" s="5">
        <v>70</v>
      </c>
      <c r="P12" s="33">
        <v>0</v>
      </c>
      <c r="Q12" s="5">
        <v>9.7095773207907978</v>
      </c>
      <c r="R12" s="5">
        <v>932.98303019981097</v>
      </c>
      <c r="S12" s="31"/>
      <c r="T12" s="23">
        <v>55022.879414055511</v>
      </c>
      <c r="U12" s="33">
        <v>0.20239791700078061</v>
      </c>
      <c r="V12" s="5">
        <v>3</v>
      </c>
      <c r="W12" s="5">
        <v>95</v>
      </c>
      <c r="X12" s="33">
        <v>0</v>
      </c>
      <c r="Y12" s="5">
        <v>33.303346404172942</v>
      </c>
      <c r="Z12" s="5">
        <v>1432.567544841701</v>
      </c>
      <c r="AA12" s="35"/>
    </row>
    <row r="13" spans="2:27" x14ac:dyDescent="0.2">
      <c r="B13" s="4">
        <v>7</v>
      </c>
      <c r="C13" s="4">
        <v>975</v>
      </c>
      <c r="D13" s="23">
        <v>52644.290452569359</v>
      </c>
      <c r="E13" s="33">
        <v>0.3697977500014531</v>
      </c>
      <c r="F13" s="5">
        <v>3</v>
      </c>
      <c r="G13" s="23">
        <v>95</v>
      </c>
      <c r="H13" s="33">
        <v>0</v>
      </c>
      <c r="I13" s="23">
        <v>14.834486978384499</v>
      </c>
      <c r="J13" s="5">
        <v>1062.407800372667</v>
      </c>
      <c r="K13" s="31"/>
      <c r="L13" s="23">
        <v>70791.918193005113</v>
      </c>
      <c r="M13" s="33">
        <v>0.22261333300048139</v>
      </c>
      <c r="N13" s="5">
        <v>3</v>
      </c>
      <c r="O13" s="5">
        <v>70</v>
      </c>
      <c r="P13" s="33">
        <v>0</v>
      </c>
      <c r="Q13" s="5">
        <v>9.7095773207907978</v>
      </c>
      <c r="R13" s="5">
        <v>932.98303019981097</v>
      </c>
      <c r="S13" s="31"/>
      <c r="T13" s="23">
        <v>55022.879414055511</v>
      </c>
      <c r="U13" s="33">
        <v>0.3571830000000773</v>
      </c>
      <c r="V13" s="5">
        <v>3</v>
      </c>
      <c r="W13" s="5">
        <v>95</v>
      </c>
      <c r="X13" s="33">
        <v>0</v>
      </c>
      <c r="Y13" s="5">
        <v>33.303346404172942</v>
      </c>
      <c r="Z13" s="5">
        <v>1432.567544841701</v>
      </c>
      <c r="AA13" s="35"/>
    </row>
    <row r="14" spans="2:27" x14ac:dyDescent="0.2">
      <c r="B14" s="46" t="s">
        <v>3</v>
      </c>
      <c r="C14" s="47"/>
      <c r="D14" s="9">
        <f>MIN(D4:D13)</f>
        <v>52644.290452569359</v>
      </c>
      <c r="E14" s="22">
        <f>INDEX(E4:E13, MATCH($D$14, D4:D13, 0))</f>
        <v>0.19945558300241831</v>
      </c>
      <c r="F14" s="9">
        <f>INDEX(F4:F13, MATCH($D$14, D4:D13, 0))</f>
        <v>3</v>
      </c>
      <c r="G14" s="9">
        <f>INDEX(G4:G13, MATCH($D$14, D4:D13, 0))</f>
        <v>95</v>
      </c>
      <c r="H14" s="22">
        <f>INDEX(H4:H13, MATCH($D$14, D4:D13, 0))</f>
        <v>0</v>
      </c>
      <c r="I14" s="22">
        <f>INDEX(I4:I13, MATCH($D$14, D4:D13, 0))</f>
        <v>14.834486978384499</v>
      </c>
      <c r="J14" s="22">
        <f>INDEX(J4:J13, MATCH($D$14, D4:D13, 0))</f>
        <v>1062.407800372667</v>
      </c>
      <c r="K14" s="32">
        <f>(D14-$D$15)/$D$15</f>
        <v>0</v>
      </c>
      <c r="L14" s="16">
        <f>MIN(L4:L13)</f>
        <v>70714.337136845556</v>
      </c>
      <c r="M14" s="21">
        <f>INDEX(M4:M13, MATCH($L$14, L4:L13, 0))</f>
        <v>0.19467233300019871</v>
      </c>
      <c r="N14" s="16">
        <f>INDEX(N4:N13, MATCH($L$14, L4:L13, 0))</f>
        <v>3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9.4096739542909553</v>
      </c>
      <c r="R14" s="21">
        <f>INDEX(R4:R13, MATCH($L$14, L4:L13, 0))</f>
        <v>894.32075466364245</v>
      </c>
      <c r="S14" s="36">
        <f>(L14-$D$15)/$D$15</f>
        <v>0.34324798622856678</v>
      </c>
      <c r="T14" s="38">
        <f>MIN(T4:T13)</f>
        <v>55022.879414055511</v>
      </c>
      <c r="U14" s="39">
        <f>INDEX(U4:U13, MATCH($T$14, T4:T13, 0))</f>
        <v>0.1778900419994898</v>
      </c>
      <c r="V14" s="38">
        <f>INDEX(V4:V13, MATCH($T$14, T4:T13, 0))</f>
        <v>3</v>
      </c>
      <c r="W14" s="38">
        <f>INDEX(W4:W13, MATCH($T$14, T4:T13, 0))</f>
        <v>95</v>
      </c>
      <c r="X14" s="39">
        <f>INDEX(X4:X13, MATCH($T$14, T4:T13, 0))</f>
        <v>0</v>
      </c>
      <c r="Y14" s="39">
        <f>INDEX(Y4:Y13, MATCH($T$14, T4:T13, 0))</f>
        <v>33.303346404172942</v>
      </c>
      <c r="Z14" s="39">
        <f>INDEX(Z4:Z13, MATCH($T$14, T4:T13, 0))</f>
        <v>1432.567544841701</v>
      </c>
      <c r="AA14" s="40">
        <f>(T14-$D$15)/$D$15</f>
        <v>4.5182277907785194E-2</v>
      </c>
    </row>
    <row r="15" spans="2:27" x14ac:dyDescent="0.2">
      <c r="C15" s="1" t="s">
        <v>17</v>
      </c>
      <c r="D15" s="34">
        <v>52644.290452569359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09" priority="5"/>
    <cfRule type="duplicateValues" dxfId="108" priority="6"/>
  </conditionalFormatting>
  <conditionalFormatting sqref="C15:C16 C32:C1048576 C1:C13">
    <cfRule type="duplicateValues" dxfId="107" priority="15"/>
    <cfRule type="duplicateValues" dxfId="106" priority="16"/>
  </conditionalFormatting>
  <conditionalFormatting sqref="C18:C31">
    <cfRule type="duplicateValues" dxfId="27" priority="3"/>
    <cfRule type="duplicateValues" dxfId="26" priority="4"/>
  </conditionalFormatting>
  <conditionalFormatting sqref="C17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258D-9F52-A141-8074-0010FE9F4981}">
  <dimension ref="B1:AA17"/>
  <sheetViews>
    <sheetView topLeftCell="B1" zoomScale="110" zoomScaleNormal="110" workbookViewId="0">
      <selection activeCell="B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-0.99988083997901367</v>
      </c>
      <c r="K2" s="28"/>
      <c r="L2" s="1" t="s">
        <v>19</v>
      </c>
      <c r="P2" s="1" t="e">
        <f>(P14-H14)/H14</f>
        <v>#DIV/0!</v>
      </c>
      <c r="R2" s="1">
        <f>(R14-J14)/J14</f>
        <v>-6.1104213920504476E-2</v>
      </c>
      <c r="T2" s="1" t="s">
        <v>20</v>
      </c>
      <c r="X2" s="1">
        <f>(X14-P14)/P14</f>
        <v>130.73667736043492</v>
      </c>
      <c r="Z2" s="1">
        <f>(Z14-R14)/R14</f>
        <v>0.45685110831232428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</v>
      </c>
      <c r="D4" s="23">
        <v>60963.473780505301</v>
      </c>
      <c r="E4" s="33">
        <v>0.27875208299883519</v>
      </c>
      <c r="F4" s="5">
        <v>3</v>
      </c>
      <c r="G4" s="23">
        <v>90</v>
      </c>
      <c r="H4" s="33">
        <v>27.767939534409379</v>
      </c>
      <c r="I4" s="23">
        <v>30.450842703395768</v>
      </c>
      <c r="J4" s="5">
        <v>1575.8114654330161</v>
      </c>
      <c r="K4" s="31"/>
      <c r="L4" s="23">
        <v>73593.729929993016</v>
      </c>
      <c r="M4" s="33">
        <v>0.26067804199919919</v>
      </c>
      <c r="N4" s="5">
        <v>4</v>
      </c>
      <c r="O4" s="5">
        <v>85</v>
      </c>
      <c r="P4" s="33">
        <v>17.973978325460291</v>
      </c>
      <c r="Q4" s="5">
        <v>21.022140874630271</v>
      </c>
      <c r="R4" s="5">
        <v>1508.7954453624591</v>
      </c>
      <c r="S4" s="31"/>
      <c r="T4" s="23">
        <v>70129.949863582282</v>
      </c>
      <c r="U4" s="33">
        <v>0.25547545800145599</v>
      </c>
      <c r="V4" s="5">
        <v>3</v>
      </c>
      <c r="W4" s="5">
        <v>85</v>
      </c>
      <c r="X4" s="33">
        <v>129.14486876966581</v>
      </c>
      <c r="Y4" s="5">
        <v>50.662724108948588</v>
      </c>
      <c r="Z4" s="5">
        <v>2167.2235364361859</v>
      </c>
      <c r="AA4" s="35"/>
    </row>
    <row r="5" spans="2:27" x14ac:dyDescent="0.2">
      <c r="B5" s="4">
        <v>2</v>
      </c>
      <c r="C5" s="4">
        <v>63</v>
      </c>
      <c r="D5" s="23">
        <v>65090.951664157357</v>
      </c>
      <c r="E5" s="33">
        <v>0.48844958400150063</v>
      </c>
      <c r="F5" s="5">
        <v>2</v>
      </c>
      <c r="G5" s="23">
        <v>90</v>
      </c>
      <c r="H5" s="33">
        <v>188.52976286086775</v>
      </c>
      <c r="I5" s="23">
        <v>43.861771006068693</v>
      </c>
      <c r="J5" s="5">
        <v>2180.8680443160974</v>
      </c>
      <c r="K5" s="31"/>
      <c r="L5" s="23">
        <v>72989.390963111713</v>
      </c>
      <c r="M5" s="33">
        <v>0.35070633400027867</v>
      </c>
      <c r="N5" s="5">
        <v>4</v>
      </c>
      <c r="O5" s="5">
        <v>85</v>
      </c>
      <c r="P5" s="33">
        <v>18.720593033041251</v>
      </c>
      <c r="Q5" s="5">
        <v>21.074582870266841</v>
      </c>
      <c r="R5" s="5">
        <v>1477.0740180702669</v>
      </c>
      <c r="S5" s="31"/>
      <c r="T5" s="23">
        <v>74159.874611029474</v>
      </c>
      <c r="U5" s="33">
        <v>0.45842550000088522</v>
      </c>
      <c r="V5" s="5">
        <v>3</v>
      </c>
      <c r="W5" s="5">
        <v>75</v>
      </c>
      <c r="X5" s="33">
        <v>105.1749028256138</v>
      </c>
      <c r="Y5" s="5">
        <v>44.914749727859302</v>
      </c>
      <c r="Z5" s="5">
        <v>1988.375705698212</v>
      </c>
      <c r="AA5" s="35"/>
    </row>
    <row r="6" spans="2:27" x14ac:dyDescent="0.2">
      <c r="B6" s="4">
        <v>3</v>
      </c>
      <c r="C6" s="4">
        <v>158</v>
      </c>
      <c r="D6" s="23">
        <v>62495.903242087159</v>
      </c>
      <c r="E6" s="33">
        <v>0.39868233300148859</v>
      </c>
      <c r="F6" s="5">
        <v>2</v>
      </c>
      <c r="G6" s="23">
        <v>85</v>
      </c>
      <c r="H6" s="33">
        <v>84.708167260491905</v>
      </c>
      <c r="I6" s="23">
        <v>42.074666146360229</v>
      </c>
      <c r="J6" s="5">
        <v>1960.2838103257677</v>
      </c>
      <c r="K6" s="31"/>
      <c r="L6" s="23">
        <v>75435.366955269244</v>
      </c>
      <c r="M6" s="33">
        <v>0.60013112500018906</v>
      </c>
      <c r="N6" s="5">
        <v>4</v>
      </c>
      <c r="O6" s="5">
        <v>85</v>
      </c>
      <c r="P6" s="33">
        <v>19.030796863830531</v>
      </c>
      <c r="Q6" s="5">
        <v>20.749342671158718</v>
      </c>
      <c r="R6" s="5">
        <v>1606.393855308319</v>
      </c>
      <c r="S6" s="31"/>
      <c r="T6" s="23">
        <v>69606.928538040462</v>
      </c>
      <c r="U6" s="33">
        <v>0.4981045839995204</v>
      </c>
      <c r="V6" s="5">
        <v>2</v>
      </c>
      <c r="W6" s="5">
        <v>65</v>
      </c>
      <c r="X6" s="33">
        <v>76.839119479007636</v>
      </c>
      <c r="Y6" s="5">
        <v>61.217005042193108</v>
      </c>
      <c r="Z6" s="5">
        <v>1962.4751442768229</v>
      </c>
      <c r="AA6" s="35"/>
    </row>
    <row r="7" spans="2:27" x14ac:dyDescent="0.2">
      <c r="B7" s="4">
        <v>4</v>
      </c>
      <c r="C7" s="4">
        <v>280</v>
      </c>
      <c r="D7" s="23">
        <v>59889.041175590362</v>
      </c>
      <c r="E7" s="33">
        <v>0.60692558300070232</v>
      </c>
      <c r="F7" s="5">
        <v>3</v>
      </c>
      <c r="G7" s="23">
        <v>90</v>
      </c>
      <c r="H7" s="33">
        <v>0</v>
      </c>
      <c r="I7" s="23">
        <v>30.681587484196626</v>
      </c>
      <c r="J7" s="5">
        <v>1533.1982523729907</v>
      </c>
      <c r="K7" s="31"/>
      <c r="L7" s="23">
        <v>73141.424607462846</v>
      </c>
      <c r="M7" s="33">
        <v>0.51372512500165612</v>
      </c>
      <c r="N7" s="5">
        <v>4</v>
      </c>
      <c r="O7" s="5">
        <v>85</v>
      </c>
      <c r="P7" s="33">
        <v>7.8703625672303987</v>
      </c>
      <c r="Q7" s="5">
        <v>21.11707450804769</v>
      </c>
      <c r="R7" s="5">
        <v>1491.050324437377</v>
      </c>
      <c r="S7" s="31"/>
      <c r="T7" s="23">
        <v>75706.938104048197</v>
      </c>
      <c r="U7" s="33">
        <v>0.21916237499681299</v>
      </c>
      <c r="V7" s="5">
        <v>2</v>
      </c>
      <c r="W7" s="5">
        <v>55</v>
      </c>
      <c r="X7" s="33">
        <v>88.854211237317813</v>
      </c>
      <c r="Y7" s="5">
        <v>57.456103198656507</v>
      </c>
      <c r="Z7" s="5">
        <v>1970.1587751766999</v>
      </c>
      <c r="AA7" s="35"/>
    </row>
    <row r="8" spans="2:27" x14ac:dyDescent="0.2">
      <c r="B8" s="4">
        <v>5</v>
      </c>
      <c r="C8" s="4">
        <v>332</v>
      </c>
      <c r="D8" s="23">
        <v>62417.345163758633</v>
      </c>
      <c r="E8" s="33">
        <v>1.3712130830026581</v>
      </c>
      <c r="F8" s="5">
        <v>2</v>
      </c>
      <c r="G8" s="23">
        <v>80</v>
      </c>
      <c r="H8" s="33">
        <v>48.185913952804754</v>
      </c>
      <c r="I8" s="23">
        <v>39.771527968498859</v>
      </c>
      <c r="J8" s="5">
        <v>1780.5675364488543</v>
      </c>
      <c r="K8" s="31"/>
      <c r="L8" s="23">
        <v>70830.525605046569</v>
      </c>
      <c r="M8" s="33">
        <v>0.89011454199862783</v>
      </c>
      <c r="N8" s="5">
        <v>3</v>
      </c>
      <c r="O8" s="5">
        <v>75</v>
      </c>
      <c r="P8" s="33">
        <v>0.84616333525843068</v>
      </c>
      <c r="Q8" s="5">
        <v>23.722532512037741</v>
      </c>
      <c r="R8" s="5">
        <v>1439.5133783774479</v>
      </c>
      <c r="S8" s="31"/>
      <c r="T8" s="23">
        <v>73270.244428464561</v>
      </c>
      <c r="U8" s="33">
        <v>1.067405249999865</v>
      </c>
      <c r="V8" s="5">
        <v>3</v>
      </c>
      <c r="W8" s="5">
        <v>80</v>
      </c>
      <c r="X8" s="33">
        <v>130.68367885600301</v>
      </c>
      <c r="Y8" s="5">
        <v>46.159299566919692</v>
      </c>
      <c r="Z8" s="5">
        <v>2099.1845930201121</v>
      </c>
      <c r="AA8" s="35"/>
    </row>
    <row r="9" spans="2:27" x14ac:dyDescent="0.2">
      <c r="B9" s="4">
        <v>6</v>
      </c>
      <c r="C9" s="4">
        <v>655</v>
      </c>
      <c r="D9" s="23">
        <v>61687.926372660811</v>
      </c>
      <c r="E9" s="33">
        <v>0.4230455830002029</v>
      </c>
      <c r="F9" s="5">
        <v>2</v>
      </c>
      <c r="G9" s="23">
        <v>80</v>
      </c>
      <c r="H9" s="33">
        <v>46.977691662310463</v>
      </c>
      <c r="I9" s="23">
        <v>42.996710700147275</v>
      </c>
      <c r="J9" s="5">
        <v>1776.3387584321247</v>
      </c>
      <c r="K9" s="31"/>
      <c r="L9" s="23">
        <v>73904.857511355527</v>
      </c>
      <c r="M9" s="33">
        <v>0.72150841700204182</v>
      </c>
      <c r="N9" s="5">
        <v>4</v>
      </c>
      <c r="O9" s="5">
        <v>85</v>
      </c>
      <c r="P9" s="33">
        <v>21.85826653794846</v>
      </c>
      <c r="Q9" s="5">
        <v>21.298873426254431</v>
      </c>
      <c r="R9" s="5">
        <v>1531.442094025678</v>
      </c>
      <c r="S9" s="31"/>
      <c r="T9" s="23">
        <v>70429.735350369054</v>
      </c>
      <c r="U9" s="33">
        <v>0.60575733299992862</v>
      </c>
      <c r="V9" s="5">
        <v>2</v>
      </c>
      <c r="W9" s="5">
        <v>70</v>
      </c>
      <c r="X9" s="33">
        <v>149.78357790359581</v>
      </c>
      <c r="Y9" s="5">
        <v>61.235623590446792</v>
      </c>
      <c r="Z9" s="5">
        <v>2172.2857756440858</v>
      </c>
      <c r="AA9" s="35"/>
    </row>
    <row r="10" spans="2:27" x14ac:dyDescent="0.2">
      <c r="B10" s="4">
        <v>7</v>
      </c>
      <c r="C10" s="4">
        <v>782</v>
      </c>
      <c r="D10" s="23">
        <v>63018.356000466862</v>
      </c>
      <c r="E10" s="33">
        <v>0.33705920799911843</v>
      </c>
      <c r="F10" s="5">
        <v>2</v>
      </c>
      <c r="G10" s="23">
        <v>85</v>
      </c>
      <c r="H10" s="33">
        <v>123.18911557444289</v>
      </c>
      <c r="I10" s="23">
        <v>44.949669662735474</v>
      </c>
      <c r="J10" s="5">
        <v>1952.1515279136875</v>
      </c>
      <c r="K10" s="31"/>
      <c r="L10" s="23">
        <v>73517.653096339316</v>
      </c>
      <c r="M10" s="33">
        <v>0.40759670799889142</v>
      </c>
      <c r="N10" s="5">
        <v>4</v>
      </c>
      <c r="O10" s="5">
        <v>85</v>
      </c>
      <c r="P10" s="33">
        <v>23.249182916013499</v>
      </c>
      <c r="Q10" s="5">
        <v>21.206561892618851</v>
      </c>
      <c r="R10" s="5">
        <v>1508.6363526309181</v>
      </c>
      <c r="S10" s="31"/>
      <c r="T10" s="23">
        <v>74665.019384049825</v>
      </c>
      <c r="U10" s="33">
        <v>0.4311073339995346</v>
      </c>
      <c r="V10" s="5">
        <v>2</v>
      </c>
      <c r="W10" s="5">
        <v>60</v>
      </c>
      <c r="X10" s="33">
        <v>65.394019900123837</v>
      </c>
      <c r="Y10" s="5">
        <v>65.74192015063548</v>
      </c>
      <c r="Z10" s="5">
        <v>2141.9050554805481</v>
      </c>
      <c r="AA10" s="35"/>
    </row>
    <row r="11" spans="2:27" x14ac:dyDescent="0.2">
      <c r="B11" s="4">
        <v>8</v>
      </c>
      <c r="C11" s="4">
        <v>802</v>
      </c>
      <c r="D11" s="23">
        <v>60121.598727359109</v>
      </c>
      <c r="E11" s="33">
        <v>0.61121512500176323</v>
      </c>
      <c r="F11" s="5">
        <v>3</v>
      </c>
      <c r="G11" s="23">
        <v>90</v>
      </c>
      <c r="H11" s="33">
        <v>0.70513611271535881</v>
      </c>
      <c r="I11" s="23">
        <v>30.756171655768629</v>
      </c>
      <c r="J11" s="5">
        <v>1547.7258045770077</v>
      </c>
      <c r="K11" s="31"/>
      <c r="L11" s="23">
        <v>70963.0249006831</v>
      </c>
      <c r="M11" s="33">
        <v>0.65973412499806727</v>
      </c>
      <c r="N11" s="5">
        <v>3</v>
      </c>
      <c r="O11" s="5">
        <v>75</v>
      </c>
      <c r="P11" s="33">
        <v>0</v>
      </c>
      <c r="Q11" s="5">
        <v>23.579191057297809</v>
      </c>
      <c r="R11" s="5">
        <v>1444.640560380946</v>
      </c>
      <c r="S11" s="31"/>
      <c r="T11" s="23">
        <v>70429.735350369054</v>
      </c>
      <c r="U11" s="33">
        <v>0.84273608399962541</v>
      </c>
      <c r="V11" s="5">
        <v>2</v>
      </c>
      <c r="W11" s="5">
        <v>70</v>
      </c>
      <c r="X11" s="33">
        <v>149.78357790359581</v>
      </c>
      <c r="Y11" s="5">
        <v>61.235623590446792</v>
      </c>
      <c r="Z11" s="5">
        <v>2172.2857756440858</v>
      </c>
      <c r="AA11" s="35"/>
    </row>
    <row r="12" spans="2:27" x14ac:dyDescent="0.2">
      <c r="B12" s="4">
        <v>9</v>
      </c>
      <c r="C12" s="4">
        <v>866</v>
      </c>
      <c r="D12" s="23">
        <v>61553.961347947421</v>
      </c>
      <c r="E12" s="33">
        <v>0.44995237499824731</v>
      </c>
      <c r="F12" s="5">
        <v>2</v>
      </c>
      <c r="G12" s="23">
        <v>80</v>
      </c>
      <c r="H12" s="33">
        <v>40.960489827448036</v>
      </c>
      <c r="I12" s="23">
        <v>42.616170902290008</v>
      </c>
      <c r="J12" s="5">
        <v>1755.2785520101056</v>
      </c>
      <c r="K12" s="31"/>
      <c r="L12" s="23">
        <v>71121.987583970695</v>
      </c>
      <c r="M12" s="33">
        <v>0.67809245900207316</v>
      </c>
      <c r="N12" s="5">
        <v>3</v>
      </c>
      <c r="O12" s="5">
        <v>75</v>
      </c>
      <c r="P12" s="33">
        <v>0</v>
      </c>
      <c r="Q12" s="5">
        <v>23.416038181984071</v>
      </c>
      <c r="R12" s="5">
        <v>1457.997836944646</v>
      </c>
      <c r="S12" s="31"/>
      <c r="T12" s="23">
        <v>69422.427372996157</v>
      </c>
      <c r="U12" s="33">
        <v>0.79523787499783793</v>
      </c>
      <c r="V12" s="5">
        <v>3</v>
      </c>
      <c r="W12" s="5">
        <v>80</v>
      </c>
      <c r="X12" s="33">
        <v>53.911751000896892</v>
      </c>
      <c r="Y12" s="5">
        <v>47.103017489790084</v>
      </c>
      <c r="Z12" s="5">
        <v>1943.7625679898199</v>
      </c>
      <c r="AA12" s="35"/>
    </row>
    <row r="13" spans="2:27" x14ac:dyDescent="0.2">
      <c r="B13" s="4">
        <v>10</v>
      </c>
      <c r="C13" s="4">
        <v>901</v>
      </c>
      <c r="D13" s="23">
        <v>59889.041175590362</v>
      </c>
      <c r="E13" s="33">
        <v>0.61640387499937788</v>
      </c>
      <c r="F13" s="5">
        <v>3</v>
      </c>
      <c r="G13" s="23">
        <v>90</v>
      </c>
      <c r="H13" s="33">
        <v>0</v>
      </c>
      <c r="I13" s="23">
        <v>30.681587484196626</v>
      </c>
      <c r="J13" s="5">
        <v>1533.1982523729907</v>
      </c>
      <c r="K13" s="31"/>
      <c r="L13" s="23">
        <v>74076.383958670136</v>
      </c>
      <c r="M13" s="33">
        <v>0.51638145800097845</v>
      </c>
      <c r="N13" s="5">
        <v>2</v>
      </c>
      <c r="O13" s="5">
        <v>65</v>
      </c>
      <c r="P13" s="33">
        <v>89.154584368219346</v>
      </c>
      <c r="Q13" s="5">
        <v>28.41714366251696</v>
      </c>
      <c r="R13" s="5">
        <v>1712.409845200219</v>
      </c>
      <c r="S13" s="31"/>
      <c r="T13" s="23">
        <v>68994.59326143346</v>
      </c>
      <c r="U13" s="33">
        <v>0.7496934999981022</v>
      </c>
      <c r="V13" s="5">
        <v>3</v>
      </c>
      <c r="W13" s="5">
        <v>85</v>
      </c>
      <c r="X13" s="33">
        <v>111.47074629116941</v>
      </c>
      <c r="Y13" s="5">
        <v>49.511686385596043</v>
      </c>
      <c r="Z13" s="5">
        <v>2097.1566607196032</v>
      </c>
      <c r="AA13" s="35"/>
    </row>
    <row r="14" spans="2:27" x14ac:dyDescent="0.2">
      <c r="B14" s="46" t="s">
        <v>3</v>
      </c>
      <c r="C14" s="47"/>
      <c r="D14" s="9">
        <f>MIN(D4:D13)</f>
        <v>59889.041175590362</v>
      </c>
      <c r="E14" s="22">
        <f>INDEX(E4:E13, MATCH($D$14, D4:D13, 0))</f>
        <v>0.60692558300070232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30.681587484196626</v>
      </c>
      <c r="J14" s="22">
        <f>INDEX(J4:J13, MATCH($D$14, D4:D13, 0))</f>
        <v>1533.1982523729907</v>
      </c>
      <c r="K14" s="32">
        <f>(D14-$D$15)/$D$15</f>
        <v>0</v>
      </c>
      <c r="L14" s="16">
        <f>MIN(L4:L13)</f>
        <v>70830.525605046569</v>
      </c>
      <c r="M14" s="21">
        <f>INDEX(M4:M13, MATCH($L$14, L4:L13, 0))</f>
        <v>0.89011454199862783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0.84616333525843068</v>
      </c>
      <c r="Q14" s="21">
        <f>INDEX(Q4:Q13, MATCH($L$14, L4:L13, 0))</f>
        <v>23.722532512037741</v>
      </c>
      <c r="R14" s="21">
        <f>INDEX(R4:R13, MATCH($L$14, L4:L13, 0))</f>
        <v>1439.5133783774479</v>
      </c>
      <c r="S14" s="36">
        <f>(L14-$D$15)/$D$15</f>
        <v>0.18269593592885483</v>
      </c>
      <c r="T14" s="38">
        <f>MIN(T4:T13)</f>
        <v>68994.59326143346</v>
      </c>
      <c r="U14" s="39">
        <f>INDEX(U4:U13, MATCH($T$14, T4:T13, 0))</f>
        <v>0.7496934999981022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111.47074629116941</v>
      </c>
      <c r="Y14" s="39">
        <f>INDEX(Y4:Y13, MATCH($T$14, T4:T13, 0))</f>
        <v>49.511686385596043</v>
      </c>
      <c r="Z14" s="39">
        <f>INDEX(Z4:Z13, MATCH($T$14, T4:T13, 0))</f>
        <v>2097.1566607196032</v>
      </c>
      <c r="AA14" s="40">
        <f>(T14-$D$15)/$D$15</f>
        <v>0.1520403717793089</v>
      </c>
    </row>
    <row r="15" spans="2:27" x14ac:dyDescent="0.2">
      <c r="C15" s="1" t="s">
        <v>17</v>
      </c>
      <c r="D15" s="34">
        <v>59889.041175590362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2:C1048576">
    <cfRule type="duplicateValues" dxfId="103" priority="11"/>
    <cfRule type="duplicateValues" dxfId="102" priority="12"/>
  </conditionalFormatting>
  <conditionalFormatting sqref="C14">
    <cfRule type="duplicateValues" dxfId="101" priority="5"/>
    <cfRule type="duplicateValues" dxfId="100" priority="6"/>
  </conditionalFormatting>
  <conditionalFormatting sqref="C18:C31">
    <cfRule type="duplicateValues" dxfId="23" priority="3"/>
    <cfRule type="duplicateValues" dxfId="22" priority="4"/>
  </conditionalFormatting>
  <conditionalFormatting sqref="C17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943C-06BC-C942-8CA2-B6DD488661B3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-0.99968754031387619</v>
      </c>
      <c r="K2" s="28"/>
      <c r="L2" s="1" t="s">
        <v>19</v>
      </c>
      <c r="P2" s="1" t="e">
        <f>(P14-H14)/H14</f>
        <v>#DIV/0!</v>
      </c>
      <c r="R2" s="1">
        <f>(R14-J14)/J14</f>
        <v>7.2128496416866694E-2</v>
      </c>
      <c r="T2" s="1" t="s">
        <v>20</v>
      </c>
      <c r="X2" s="1">
        <f>(X14-P14)/P14</f>
        <v>-1</v>
      </c>
      <c r="Z2" s="1">
        <f>(Z14-R14)/R14</f>
        <v>0.25949592946296546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</v>
      </c>
      <c r="D4" s="23">
        <v>52178.443909618931</v>
      </c>
      <c r="E4" s="33">
        <v>0.18376920800074001</v>
      </c>
      <c r="F4" s="5">
        <v>3</v>
      </c>
      <c r="G4" s="23">
        <v>95</v>
      </c>
      <c r="H4" s="33">
        <v>0</v>
      </c>
      <c r="I4" s="23">
        <v>14.405143637306059</v>
      </c>
      <c r="J4" s="5">
        <v>1038.0841648290098</v>
      </c>
      <c r="K4" s="31"/>
      <c r="L4" s="23">
        <v>69103.015398663352</v>
      </c>
      <c r="M4" s="33">
        <v>0.26716187499914668</v>
      </c>
      <c r="N4" s="5">
        <v>3</v>
      </c>
      <c r="O4" s="5">
        <v>75</v>
      </c>
      <c r="P4" s="33">
        <v>3.6234872625217882</v>
      </c>
      <c r="Q4" s="5">
        <v>13.139017694743011</v>
      </c>
      <c r="R4" s="5">
        <v>1112.959614792285</v>
      </c>
      <c r="S4" s="31"/>
      <c r="T4" s="23">
        <v>60067.175983066038</v>
      </c>
      <c r="U4" s="33">
        <v>0.21602320800229791</v>
      </c>
      <c r="V4" s="5">
        <v>3</v>
      </c>
      <c r="W4" s="5">
        <v>90</v>
      </c>
      <c r="X4" s="33">
        <v>0</v>
      </c>
      <c r="Y4" s="5">
        <v>23.491481445873621</v>
      </c>
      <c r="Z4" s="5">
        <v>1401.768104487553</v>
      </c>
      <c r="AA4" s="35"/>
    </row>
    <row r="5" spans="2:27" x14ac:dyDescent="0.2">
      <c r="B5" s="4">
        <v>2</v>
      </c>
      <c r="C5" s="4">
        <v>113</v>
      </c>
      <c r="D5" s="23">
        <v>52178.443909618931</v>
      </c>
      <c r="E5" s="33">
        <v>0.45628837500044028</v>
      </c>
      <c r="F5" s="5">
        <v>3</v>
      </c>
      <c r="G5" s="23">
        <v>95</v>
      </c>
      <c r="H5" s="33">
        <v>0</v>
      </c>
      <c r="I5" s="23">
        <v>14.405143637306059</v>
      </c>
      <c r="J5" s="5">
        <v>1038.0841648290098</v>
      </c>
      <c r="K5" s="31"/>
      <c r="L5" s="23">
        <v>69126.34243196866</v>
      </c>
      <c r="M5" s="33">
        <v>0.30477662499833968</v>
      </c>
      <c r="N5" s="5">
        <v>3</v>
      </c>
      <c r="O5" s="5">
        <v>70</v>
      </c>
      <c r="P5" s="33">
        <v>0</v>
      </c>
      <c r="Q5" s="5">
        <v>9.0276222796710641</v>
      </c>
      <c r="R5" s="5">
        <v>801.05989137386041</v>
      </c>
      <c r="S5" s="31"/>
      <c r="T5" s="23">
        <v>60067.175983066038</v>
      </c>
      <c r="U5" s="33">
        <v>0.48838470800183131</v>
      </c>
      <c r="V5" s="5">
        <v>3</v>
      </c>
      <c r="W5" s="5">
        <v>90</v>
      </c>
      <c r="X5" s="33">
        <v>0</v>
      </c>
      <c r="Y5" s="5">
        <v>23.491481445873621</v>
      </c>
      <c r="Z5" s="5">
        <v>1401.768104487553</v>
      </c>
      <c r="AA5" s="35"/>
    </row>
    <row r="6" spans="2:27" x14ac:dyDescent="0.2">
      <c r="B6" s="4">
        <v>3</v>
      </c>
      <c r="C6" s="4">
        <v>133</v>
      </c>
      <c r="D6" s="23">
        <v>52178.443909618931</v>
      </c>
      <c r="E6" s="33">
        <v>0.2131307089985057</v>
      </c>
      <c r="F6" s="5">
        <v>3</v>
      </c>
      <c r="G6" s="23">
        <v>95</v>
      </c>
      <c r="H6" s="33">
        <v>0</v>
      </c>
      <c r="I6" s="23">
        <v>14.405143637306059</v>
      </c>
      <c r="J6" s="5">
        <v>1038.0841648290098</v>
      </c>
      <c r="K6" s="31"/>
      <c r="L6" s="23">
        <v>69126.34243196866</v>
      </c>
      <c r="M6" s="33">
        <v>0.27396999999837129</v>
      </c>
      <c r="N6" s="5">
        <v>3</v>
      </c>
      <c r="O6" s="5">
        <v>70</v>
      </c>
      <c r="P6" s="33">
        <v>0</v>
      </c>
      <c r="Q6" s="5">
        <v>9.0276222796710641</v>
      </c>
      <c r="R6" s="5">
        <v>801.05989137386041</v>
      </c>
      <c r="S6" s="31"/>
      <c r="T6" s="23">
        <v>60067.175983066038</v>
      </c>
      <c r="U6" s="33">
        <v>0.31595958300022181</v>
      </c>
      <c r="V6" s="5">
        <v>3</v>
      </c>
      <c r="W6" s="5">
        <v>90</v>
      </c>
      <c r="X6" s="33">
        <v>0</v>
      </c>
      <c r="Y6" s="5">
        <v>23.491481445873621</v>
      </c>
      <c r="Z6" s="5">
        <v>1401.768104487553</v>
      </c>
      <c r="AA6" s="35"/>
    </row>
    <row r="7" spans="2:27" x14ac:dyDescent="0.2">
      <c r="B7" s="4">
        <v>4</v>
      </c>
      <c r="C7" s="4">
        <v>353</v>
      </c>
      <c r="D7" s="23">
        <v>56189.591119473989</v>
      </c>
      <c r="E7" s="33">
        <v>0.27955645899783121</v>
      </c>
      <c r="F7" s="5">
        <v>3</v>
      </c>
      <c r="G7" s="23">
        <v>90</v>
      </c>
      <c r="H7" s="33">
        <v>0</v>
      </c>
      <c r="I7" s="23">
        <v>13.957344894052772</v>
      </c>
      <c r="J7" s="5">
        <v>1033.0791512923252</v>
      </c>
      <c r="K7" s="31"/>
      <c r="L7" s="23">
        <v>69103.015398663352</v>
      </c>
      <c r="M7" s="33">
        <v>0.27304825000101118</v>
      </c>
      <c r="N7" s="5">
        <v>3</v>
      </c>
      <c r="O7" s="5">
        <v>75</v>
      </c>
      <c r="P7" s="33">
        <v>3.6234872625217882</v>
      </c>
      <c r="Q7" s="5">
        <v>13.139017694743011</v>
      </c>
      <c r="R7" s="5">
        <v>1112.959614792285</v>
      </c>
      <c r="S7" s="31"/>
      <c r="T7" s="23">
        <v>60736.606359855352</v>
      </c>
      <c r="U7" s="33">
        <v>0.22539454100115111</v>
      </c>
      <c r="V7" s="5">
        <v>3</v>
      </c>
      <c r="W7" s="5">
        <v>95</v>
      </c>
      <c r="X7" s="33">
        <v>66.97653112310725</v>
      </c>
      <c r="Y7" s="5">
        <v>26.49707749124239</v>
      </c>
      <c r="Z7" s="5">
        <v>1578.256066123794</v>
      </c>
      <c r="AA7" s="35"/>
    </row>
    <row r="8" spans="2:27" x14ac:dyDescent="0.2">
      <c r="B8" s="4">
        <v>5</v>
      </c>
      <c r="C8" s="4">
        <v>454</v>
      </c>
      <c r="D8" s="23">
        <v>52178.443909618931</v>
      </c>
      <c r="E8" s="33">
        <v>0.26581850000002311</v>
      </c>
      <c r="F8" s="5">
        <v>3</v>
      </c>
      <c r="G8" s="23">
        <v>95</v>
      </c>
      <c r="H8" s="33">
        <v>0</v>
      </c>
      <c r="I8" s="23">
        <v>14.405143637306059</v>
      </c>
      <c r="J8" s="5">
        <v>1038.0841648290098</v>
      </c>
      <c r="K8" s="31"/>
      <c r="L8" s="23">
        <v>69103.015398663352</v>
      </c>
      <c r="M8" s="33">
        <v>0.1913464160024887</v>
      </c>
      <c r="N8" s="5">
        <v>3</v>
      </c>
      <c r="O8" s="5">
        <v>75</v>
      </c>
      <c r="P8" s="33">
        <v>3.6234872625217882</v>
      </c>
      <c r="Q8" s="5">
        <v>13.139017694743011</v>
      </c>
      <c r="R8" s="5">
        <v>1112.959614792285</v>
      </c>
      <c r="S8" s="31"/>
      <c r="T8" s="23">
        <v>60067.175983066038</v>
      </c>
      <c r="U8" s="33">
        <v>0.29694854199988191</v>
      </c>
      <c r="V8" s="5">
        <v>3</v>
      </c>
      <c r="W8" s="5">
        <v>90</v>
      </c>
      <c r="X8" s="33">
        <v>0</v>
      </c>
      <c r="Y8" s="5">
        <v>23.491481445873621</v>
      </c>
      <c r="Z8" s="5">
        <v>1401.768104487553</v>
      </c>
      <c r="AA8" s="35"/>
    </row>
    <row r="9" spans="2:27" x14ac:dyDescent="0.2">
      <c r="B9" s="4">
        <v>6</v>
      </c>
      <c r="C9" s="4">
        <v>533</v>
      </c>
      <c r="D9" s="23">
        <v>52178.443909618931</v>
      </c>
      <c r="E9" s="33">
        <v>0.29676495799867553</v>
      </c>
      <c r="F9" s="5">
        <v>3</v>
      </c>
      <c r="G9" s="23">
        <v>95</v>
      </c>
      <c r="H9" s="33">
        <v>0</v>
      </c>
      <c r="I9" s="23">
        <v>14.405143637306059</v>
      </c>
      <c r="J9" s="5">
        <v>1038.0841648290098</v>
      </c>
      <c r="K9" s="31"/>
      <c r="L9" s="23">
        <v>69126.34243196866</v>
      </c>
      <c r="M9" s="33">
        <v>0.35680574999787501</v>
      </c>
      <c r="N9" s="5">
        <v>3</v>
      </c>
      <c r="O9" s="5">
        <v>70</v>
      </c>
      <c r="P9" s="33">
        <v>0</v>
      </c>
      <c r="Q9" s="5">
        <v>9.0276222796710641</v>
      </c>
      <c r="R9" s="5">
        <v>801.05989137386041</v>
      </c>
      <c r="S9" s="31"/>
      <c r="T9" s="23">
        <v>60067.175983066038</v>
      </c>
      <c r="U9" s="33">
        <v>0.26217333300155587</v>
      </c>
      <c r="V9" s="5">
        <v>3</v>
      </c>
      <c r="W9" s="5">
        <v>90</v>
      </c>
      <c r="X9" s="33">
        <v>0</v>
      </c>
      <c r="Y9" s="5">
        <v>23.491481445873621</v>
      </c>
      <c r="Z9" s="5">
        <v>1401.768104487553</v>
      </c>
      <c r="AA9" s="35"/>
    </row>
    <row r="10" spans="2:27" x14ac:dyDescent="0.2">
      <c r="B10" s="4">
        <v>7</v>
      </c>
      <c r="C10" s="4">
        <v>678</v>
      </c>
      <c r="D10" s="23">
        <v>52178.443909618931</v>
      </c>
      <c r="E10" s="33">
        <v>0.29873837500053918</v>
      </c>
      <c r="F10" s="5">
        <v>3</v>
      </c>
      <c r="G10" s="23">
        <v>95</v>
      </c>
      <c r="H10" s="33">
        <v>0</v>
      </c>
      <c r="I10" s="23">
        <v>14.405143637306059</v>
      </c>
      <c r="J10" s="5">
        <v>1038.0841648290098</v>
      </c>
      <c r="K10" s="31"/>
      <c r="L10" s="23">
        <v>69103.015398663352</v>
      </c>
      <c r="M10" s="33">
        <v>0.24243233299785061</v>
      </c>
      <c r="N10" s="5">
        <v>3</v>
      </c>
      <c r="O10" s="5">
        <v>75</v>
      </c>
      <c r="P10" s="33">
        <v>3.6234872625217882</v>
      </c>
      <c r="Q10" s="5">
        <v>13.139017694743011</v>
      </c>
      <c r="R10" s="5">
        <v>1112.959614792285</v>
      </c>
      <c r="S10" s="31"/>
      <c r="T10" s="23">
        <v>60067.175983066038</v>
      </c>
      <c r="U10" s="33">
        <v>0.24681645799864779</v>
      </c>
      <c r="V10" s="5">
        <v>3</v>
      </c>
      <c r="W10" s="5">
        <v>90</v>
      </c>
      <c r="X10" s="33">
        <v>0</v>
      </c>
      <c r="Y10" s="5">
        <v>23.491481445873621</v>
      </c>
      <c r="Z10" s="5">
        <v>1401.768104487553</v>
      </c>
      <c r="AA10" s="35"/>
    </row>
    <row r="11" spans="2:27" x14ac:dyDescent="0.2">
      <c r="B11" s="4">
        <v>8</v>
      </c>
      <c r="C11" s="4">
        <v>885</v>
      </c>
      <c r="D11" s="23">
        <v>52178.443909618931</v>
      </c>
      <c r="E11" s="33">
        <v>0.20190474999981231</v>
      </c>
      <c r="F11" s="5">
        <v>3</v>
      </c>
      <c r="G11" s="23">
        <v>95</v>
      </c>
      <c r="H11" s="33">
        <v>0</v>
      </c>
      <c r="I11" s="23">
        <v>14.405143637306059</v>
      </c>
      <c r="J11" s="5">
        <v>1038.0841648290098</v>
      </c>
      <c r="K11" s="31"/>
      <c r="L11" s="23">
        <v>69126.34243196866</v>
      </c>
      <c r="M11" s="33">
        <v>0.45278854199932539</v>
      </c>
      <c r="N11" s="5">
        <v>3</v>
      </c>
      <c r="O11" s="5">
        <v>70</v>
      </c>
      <c r="P11" s="33">
        <v>0</v>
      </c>
      <c r="Q11" s="5">
        <v>9.0276222796710641</v>
      </c>
      <c r="R11" s="5">
        <v>801.05989137386041</v>
      </c>
      <c r="S11" s="31"/>
      <c r="T11" s="23">
        <v>60067.175983066038</v>
      </c>
      <c r="U11" s="33">
        <v>0.30005625000194408</v>
      </c>
      <c r="V11" s="5">
        <v>3</v>
      </c>
      <c r="W11" s="5">
        <v>90</v>
      </c>
      <c r="X11" s="33">
        <v>0</v>
      </c>
      <c r="Y11" s="5">
        <v>23.491481445873621</v>
      </c>
      <c r="Z11" s="5">
        <v>1401.768104487553</v>
      </c>
      <c r="AA11" s="35"/>
    </row>
    <row r="12" spans="2:27" x14ac:dyDescent="0.2">
      <c r="B12" s="4">
        <v>9</v>
      </c>
      <c r="C12" s="4">
        <v>946</v>
      </c>
      <c r="D12" s="23">
        <v>52178.443909618931</v>
      </c>
      <c r="E12" s="33">
        <v>0.2615132499995525</v>
      </c>
      <c r="F12" s="5">
        <v>3</v>
      </c>
      <c r="G12" s="23">
        <v>95</v>
      </c>
      <c r="H12" s="33">
        <v>0</v>
      </c>
      <c r="I12" s="23">
        <v>14.405143637306059</v>
      </c>
      <c r="J12" s="5">
        <v>1038.0841648290098</v>
      </c>
      <c r="K12" s="31"/>
      <c r="L12" s="23">
        <v>69103.015398663352</v>
      </c>
      <c r="M12" s="33">
        <v>0.26716849999866099</v>
      </c>
      <c r="N12" s="5">
        <v>3</v>
      </c>
      <c r="O12" s="5">
        <v>75</v>
      </c>
      <c r="P12" s="33">
        <v>3.6234872625217882</v>
      </c>
      <c r="Q12" s="5">
        <v>13.139017694743011</v>
      </c>
      <c r="R12" s="5">
        <v>1112.959614792285</v>
      </c>
      <c r="S12" s="31"/>
      <c r="T12" s="23">
        <v>60067.175983066038</v>
      </c>
      <c r="U12" s="33">
        <v>0.32693775000007008</v>
      </c>
      <c r="V12" s="5">
        <v>3</v>
      </c>
      <c r="W12" s="5">
        <v>90</v>
      </c>
      <c r="X12" s="33">
        <v>0</v>
      </c>
      <c r="Y12" s="5">
        <v>23.491481445873621</v>
      </c>
      <c r="Z12" s="5">
        <v>1401.768104487553</v>
      </c>
      <c r="AA12" s="35"/>
    </row>
    <row r="13" spans="2:27" x14ac:dyDescent="0.2">
      <c r="B13" s="4">
        <v>10</v>
      </c>
      <c r="C13" s="4">
        <v>977</v>
      </c>
      <c r="D13" s="23">
        <v>52178.443909618931</v>
      </c>
      <c r="E13" s="33">
        <v>0.19232512500093429</v>
      </c>
      <c r="F13" s="5">
        <v>3</v>
      </c>
      <c r="G13" s="23">
        <v>95</v>
      </c>
      <c r="H13" s="33">
        <v>0</v>
      </c>
      <c r="I13" s="23">
        <v>14.405143637306059</v>
      </c>
      <c r="J13" s="5">
        <v>1038.0841648290098</v>
      </c>
      <c r="K13" s="31"/>
      <c r="L13" s="23">
        <v>69126.34243196866</v>
      </c>
      <c r="M13" s="33">
        <v>0.40694541700213449</v>
      </c>
      <c r="N13" s="5">
        <v>3</v>
      </c>
      <c r="O13" s="5">
        <v>70</v>
      </c>
      <c r="P13" s="33">
        <v>0</v>
      </c>
      <c r="Q13" s="5">
        <v>9.0276222796710641</v>
      </c>
      <c r="R13" s="5">
        <v>801.05989137386041</v>
      </c>
      <c r="S13" s="31"/>
      <c r="T13" s="23">
        <v>60067.175983066038</v>
      </c>
      <c r="U13" s="33">
        <v>0.3647168329989654</v>
      </c>
      <c r="V13" s="5">
        <v>3</v>
      </c>
      <c r="W13" s="5">
        <v>90</v>
      </c>
      <c r="X13" s="33">
        <v>0</v>
      </c>
      <c r="Y13" s="5">
        <v>23.491481445873621</v>
      </c>
      <c r="Z13" s="5">
        <v>1401.768104487553</v>
      </c>
      <c r="AA13" s="35"/>
    </row>
    <row r="14" spans="2:27" x14ac:dyDescent="0.2">
      <c r="B14" s="46" t="s">
        <v>3</v>
      </c>
      <c r="C14" s="47"/>
      <c r="D14" s="9">
        <f>MIN(D4:D13)</f>
        <v>52178.443909618931</v>
      </c>
      <c r="E14" s="22">
        <f>INDEX(E4:E13, MATCH($D$14, D4:D13, 0))</f>
        <v>0.18376920800074001</v>
      </c>
      <c r="F14" s="9">
        <f>INDEX(F4:F13, MATCH($D$14, D4:D13, 0))</f>
        <v>3</v>
      </c>
      <c r="G14" s="9">
        <f>INDEX(G4:G13, MATCH($D$14, D4:D13, 0))</f>
        <v>95</v>
      </c>
      <c r="H14" s="22">
        <f>INDEX(H4:H13, MATCH($D$14, D4:D13, 0))</f>
        <v>0</v>
      </c>
      <c r="I14" s="22">
        <f>INDEX(I4:I13, MATCH($D$14, D4:D13, 0))</f>
        <v>14.405143637306059</v>
      </c>
      <c r="J14" s="22">
        <f>INDEX(J4:J13, MATCH($D$14, D4:D13, 0))</f>
        <v>1038.0841648290098</v>
      </c>
      <c r="K14" s="32">
        <f>(D14-$D$15)/$D$15</f>
        <v>0</v>
      </c>
      <c r="L14" s="16">
        <f>MIN(L4:L13)</f>
        <v>69103.015398663352</v>
      </c>
      <c r="M14" s="21">
        <f>INDEX(M4:M13, MATCH($L$14, L4:L13, 0))</f>
        <v>0.26716187499914668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3.6234872625217882</v>
      </c>
      <c r="Q14" s="21">
        <f>INDEX(Q4:Q13, MATCH($L$14, L4:L13, 0))</f>
        <v>13.139017694743011</v>
      </c>
      <c r="R14" s="21">
        <f>INDEX(R4:R13, MATCH($L$14, L4:L13, 0))</f>
        <v>1112.959614792285</v>
      </c>
      <c r="S14" s="36">
        <f>(L14-$D$15)/$D$15</f>
        <v>0.32435945231253688</v>
      </c>
      <c r="T14" s="38">
        <f>MIN(T4:T13)</f>
        <v>60067.175983066038</v>
      </c>
      <c r="U14" s="39">
        <f>INDEX(U4:U13, MATCH($T$14, T4:T13, 0))</f>
        <v>0.21602320800229791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23.491481445873621</v>
      </c>
      <c r="Z14" s="39">
        <f>INDEX(Z4:Z13, MATCH($T$14, T4:T13, 0))</f>
        <v>1401.768104487553</v>
      </c>
      <c r="AA14" s="40">
        <f>(T14-$D$15)/$D$15</f>
        <v>0.15118756870388086</v>
      </c>
    </row>
    <row r="15" spans="2:27" x14ac:dyDescent="0.2">
      <c r="C15" s="1" t="s">
        <v>17</v>
      </c>
      <c r="D15" s="34">
        <v>52178.443909618931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2:C1048576">
    <cfRule type="duplicateValues" dxfId="97" priority="11"/>
    <cfRule type="duplicateValues" dxfId="96" priority="12"/>
  </conditionalFormatting>
  <conditionalFormatting sqref="C14">
    <cfRule type="duplicateValues" dxfId="95" priority="5"/>
    <cfRule type="duplicateValues" dxfId="94" priority="6"/>
  </conditionalFormatting>
  <conditionalFormatting sqref="C18:C31">
    <cfRule type="duplicateValues" dxfId="19" priority="3"/>
    <cfRule type="duplicateValues" dxfId="18" priority="4"/>
  </conditionalFormatting>
  <conditionalFormatting sqref="C1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6BE5-C5FC-7341-9B68-97177B75124A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0</v>
      </c>
      <c r="T2" s="1" t="s">
        <v>20</v>
      </c>
      <c r="X2" s="1" t="e">
        <f>(X14-P14)/P14</f>
        <v>#DIV/0!</v>
      </c>
      <c r="Z2" s="1">
        <f>(Z14-R14)/R14</f>
        <v>0.25965985406073411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68</v>
      </c>
      <c r="D4" s="23">
        <v>58268.90132046587</v>
      </c>
      <c r="E4" s="33">
        <v>0.38802587499958457</v>
      </c>
      <c r="F4" s="5">
        <v>3</v>
      </c>
      <c r="G4" s="23">
        <v>85</v>
      </c>
      <c r="H4" s="33">
        <v>0</v>
      </c>
      <c r="I4" s="23">
        <v>14.165014476631308</v>
      </c>
      <c r="J4" s="5">
        <v>997.42154960533935</v>
      </c>
      <c r="K4" s="31"/>
      <c r="L4" s="23">
        <v>58268.90132046587</v>
      </c>
      <c r="M4" s="33">
        <v>0.39953570800207672</v>
      </c>
      <c r="N4" s="5">
        <v>3</v>
      </c>
      <c r="O4" s="5">
        <v>85</v>
      </c>
      <c r="P4" s="33">
        <v>0</v>
      </c>
      <c r="Q4" s="5">
        <v>14.16501447663131</v>
      </c>
      <c r="R4" s="5">
        <v>997.42154960533935</v>
      </c>
      <c r="S4" s="31"/>
      <c r="T4" s="23">
        <v>60030.454580276833</v>
      </c>
      <c r="U4" s="33">
        <v>0.42672020799727761</v>
      </c>
      <c r="V4" s="5">
        <v>3</v>
      </c>
      <c r="W4" s="5">
        <v>85</v>
      </c>
      <c r="X4" s="33">
        <v>0</v>
      </c>
      <c r="Y4" s="5">
        <v>23.304856849482601</v>
      </c>
      <c r="Z4" s="5">
        <v>1256.411883612893</v>
      </c>
      <c r="AA4" s="35"/>
    </row>
    <row r="5" spans="2:27" x14ac:dyDescent="0.2">
      <c r="B5" s="4">
        <v>2</v>
      </c>
      <c r="C5" s="4">
        <v>241</v>
      </c>
      <c r="D5" s="23">
        <v>58268.90132046587</v>
      </c>
      <c r="E5" s="33">
        <v>0.2059241249990009</v>
      </c>
      <c r="F5" s="5">
        <v>3</v>
      </c>
      <c r="G5" s="23">
        <v>85</v>
      </c>
      <c r="H5" s="33">
        <v>0</v>
      </c>
      <c r="I5" s="23">
        <v>14.165014476631308</v>
      </c>
      <c r="J5" s="5">
        <v>997.42154960533935</v>
      </c>
      <c r="K5" s="31"/>
      <c r="L5" s="23">
        <v>58268.90132046587</v>
      </c>
      <c r="M5" s="33">
        <v>0.27645112500249519</v>
      </c>
      <c r="N5" s="5">
        <v>3</v>
      </c>
      <c r="O5" s="5">
        <v>85</v>
      </c>
      <c r="P5" s="33">
        <v>0</v>
      </c>
      <c r="Q5" s="5">
        <v>14.16501447663131</v>
      </c>
      <c r="R5" s="5">
        <v>997.42154960533935</v>
      </c>
      <c r="S5" s="31"/>
      <c r="T5" s="23">
        <v>60030.454580276833</v>
      </c>
      <c r="U5" s="33">
        <v>0.23772525000094899</v>
      </c>
      <c r="V5" s="5">
        <v>3</v>
      </c>
      <c r="W5" s="5">
        <v>85</v>
      </c>
      <c r="X5" s="33">
        <v>0</v>
      </c>
      <c r="Y5" s="5">
        <v>23.304856849482601</v>
      </c>
      <c r="Z5" s="5">
        <v>1256.411883612893</v>
      </c>
      <c r="AA5" s="35"/>
    </row>
    <row r="6" spans="2:27" x14ac:dyDescent="0.2">
      <c r="B6" s="4">
        <v>3</v>
      </c>
      <c r="C6" s="4">
        <v>453</v>
      </c>
      <c r="D6" s="23">
        <v>58639.701806899393</v>
      </c>
      <c r="E6" s="33">
        <v>0.193622791000962</v>
      </c>
      <c r="F6" s="5">
        <v>3</v>
      </c>
      <c r="G6" s="23">
        <v>85</v>
      </c>
      <c r="H6" s="33">
        <v>0</v>
      </c>
      <c r="I6" s="23">
        <v>14.26817021704195</v>
      </c>
      <c r="J6" s="5">
        <v>1002.1049406087997</v>
      </c>
      <c r="K6" s="31"/>
      <c r="L6" s="23">
        <v>58268.90132046587</v>
      </c>
      <c r="M6" s="33">
        <v>0.2133908329997212</v>
      </c>
      <c r="N6" s="5">
        <v>3</v>
      </c>
      <c r="O6" s="5">
        <v>85</v>
      </c>
      <c r="P6" s="33">
        <v>0</v>
      </c>
      <c r="Q6" s="5">
        <v>14.16501447663131</v>
      </c>
      <c r="R6" s="5">
        <v>997.42154960533935</v>
      </c>
      <c r="S6" s="31"/>
      <c r="T6" s="23">
        <v>60030.454580276833</v>
      </c>
      <c r="U6" s="33">
        <v>0.53357904099902953</v>
      </c>
      <c r="V6" s="5">
        <v>3</v>
      </c>
      <c r="W6" s="5">
        <v>85</v>
      </c>
      <c r="X6" s="33">
        <v>0</v>
      </c>
      <c r="Y6" s="5">
        <v>23.304856849482601</v>
      </c>
      <c r="Z6" s="5">
        <v>1256.411883612893</v>
      </c>
      <c r="AA6" s="35"/>
    </row>
    <row r="7" spans="2:27" x14ac:dyDescent="0.2">
      <c r="B7" s="4">
        <v>4</v>
      </c>
      <c r="C7" s="4">
        <v>518</v>
      </c>
      <c r="D7" s="23">
        <v>58268.90132046587</v>
      </c>
      <c r="E7" s="33">
        <v>0.18577237499994231</v>
      </c>
      <c r="F7" s="5">
        <v>3</v>
      </c>
      <c r="G7" s="23">
        <v>85</v>
      </c>
      <c r="H7" s="33">
        <v>0</v>
      </c>
      <c r="I7" s="23">
        <v>14.165014476631308</v>
      </c>
      <c r="J7" s="5">
        <v>997.42154960533935</v>
      </c>
      <c r="K7" s="31"/>
      <c r="L7" s="23">
        <v>58268.90132046587</v>
      </c>
      <c r="M7" s="33">
        <v>0.24125825000010079</v>
      </c>
      <c r="N7" s="5">
        <v>3</v>
      </c>
      <c r="O7" s="5">
        <v>85</v>
      </c>
      <c r="P7" s="33">
        <v>0</v>
      </c>
      <c r="Q7" s="5">
        <v>14.16501447663131</v>
      </c>
      <c r="R7" s="5">
        <v>997.42154960533935</v>
      </c>
      <c r="S7" s="31"/>
      <c r="T7" s="23">
        <v>60030.454580276833</v>
      </c>
      <c r="U7" s="33">
        <v>0.2417446250001376</v>
      </c>
      <c r="V7" s="5">
        <v>3</v>
      </c>
      <c r="W7" s="5">
        <v>85</v>
      </c>
      <c r="X7" s="33">
        <v>0</v>
      </c>
      <c r="Y7" s="5">
        <v>23.304856849482601</v>
      </c>
      <c r="Z7" s="5">
        <v>1256.411883612893</v>
      </c>
      <c r="AA7" s="35"/>
    </row>
    <row r="8" spans="2:27" x14ac:dyDescent="0.2">
      <c r="B8" s="4">
        <v>5</v>
      </c>
      <c r="C8" s="4">
        <v>651</v>
      </c>
      <c r="D8" s="23">
        <v>58268.90132046587</v>
      </c>
      <c r="E8" s="33">
        <v>0.46126983300200658</v>
      </c>
      <c r="F8" s="5">
        <v>3</v>
      </c>
      <c r="G8" s="23">
        <v>85</v>
      </c>
      <c r="H8" s="33">
        <v>0</v>
      </c>
      <c r="I8" s="23">
        <v>14.165014476631308</v>
      </c>
      <c r="J8" s="5">
        <v>997.42154960533935</v>
      </c>
      <c r="K8" s="31"/>
      <c r="L8" s="23">
        <v>58268.90132046587</v>
      </c>
      <c r="M8" s="33">
        <v>0.43092683400027448</v>
      </c>
      <c r="N8" s="5">
        <v>3</v>
      </c>
      <c r="O8" s="5">
        <v>85</v>
      </c>
      <c r="P8" s="33">
        <v>0</v>
      </c>
      <c r="Q8" s="5">
        <v>14.16501447663131</v>
      </c>
      <c r="R8" s="5">
        <v>997.42154960533935</v>
      </c>
      <c r="S8" s="31"/>
      <c r="T8" s="23">
        <v>60030.454580276833</v>
      </c>
      <c r="U8" s="33">
        <v>0.24291995800012961</v>
      </c>
      <c r="V8" s="5">
        <v>3</v>
      </c>
      <c r="W8" s="5">
        <v>85</v>
      </c>
      <c r="X8" s="33">
        <v>0</v>
      </c>
      <c r="Y8" s="5">
        <v>23.304856849482601</v>
      </c>
      <c r="Z8" s="5">
        <v>1256.411883612893</v>
      </c>
      <c r="AA8" s="35"/>
    </row>
    <row r="9" spans="2:27" x14ac:dyDescent="0.2">
      <c r="B9" s="4">
        <v>6</v>
      </c>
      <c r="C9" s="4">
        <v>823</v>
      </c>
      <c r="D9" s="23">
        <v>58268.90132046587</v>
      </c>
      <c r="E9" s="33">
        <v>0.37407187500139122</v>
      </c>
      <c r="F9" s="5">
        <v>3</v>
      </c>
      <c r="G9" s="23">
        <v>85</v>
      </c>
      <c r="H9" s="33">
        <v>0</v>
      </c>
      <c r="I9" s="23">
        <v>14.165014476631308</v>
      </c>
      <c r="J9" s="5">
        <v>997.42154960533935</v>
      </c>
      <c r="K9" s="31"/>
      <c r="L9" s="23">
        <v>58268.90132046587</v>
      </c>
      <c r="M9" s="33">
        <v>0.50017250000018976</v>
      </c>
      <c r="N9" s="5">
        <v>3</v>
      </c>
      <c r="O9" s="5">
        <v>85</v>
      </c>
      <c r="P9" s="33">
        <v>0</v>
      </c>
      <c r="Q9" s="5">
        <v>14.16501447663131</v>
      </c>
      <c r="R9" s="5">
        <v>997.42154960533935</v>
      </c>
      <c r="S9" s="31"/>
      <c r="T9" s="23">
        <v>60030.454580276833</v>
      </c>
      <c r="U9" s="33">
        <v>0.40983962499740301</v>
      </c>
      <c r="V9" s="5">
        <v>3</v>
      </c>
      <c r="W9" s="5">
        <v>85</v>
      </c>
      <c r="X9" s="33">
        <v>0</v>
      </c>
      <c r="Y9" s="5">
        <v>23.304856849482601</v>
      </c>
      <c r="Z9" s="5">
        <v>1256.411883612893</v>
      </c>
      <c r="AA9" s="35"/>
    </row>
    <row r="10" spans="2:27" x14ac:dyDescent="0.2">
      <c r="B10" s="4">
        <v>7</v>
      </c>
      <c r="C10" s="4">
        <v>839</v>
      </c>
      <c r="D10" s="23">
        <v>58268.90132046587</v>
      </c>
      <c r="E10" s="33">
        <v>0.25701366600333131</v>
      </c>
      <c r="F10" s="5">
        <v>3</v>
      </c>
      <c r="G10" s="23">
        <v>85</v>
      </c>
      <c r="H10" s="33">
        <v>0</v>
      </c>
      <c r="I10" s="23">
        <v>14.165014476631308</v>
      </c>
      <c r="J10" s="5">
        <v>997.42154960533935</v>
      </c>
      <c r="K10" s="31"/>
      <c r="L10" s="23">
        <v>58268.90132046587</v>
      </c>
      <c r="M10" s="33">
        <v>0.25622116600061418</v>
      </c>
      <c r="N10" s="5">
        <v>3</v>
      </c>
      <c r="O10" s="5">
        <v>85</v>
      </c>
      <c r="P10" s="33">
        <v>0</v>
      </c>
      <c r="Q10" s="5">
        <v>14.16501447663131</v>
      </c>
      <c r="R10" s="5">
        <v>997.42154960533935</v>
      </c>
      <c r="S10" s="31"/>
      <c r="T10" s="23">
        <v>60030.454580276833</v>
      </c>
      <c r="U10" s="33">
        <v>0.26122675000078738</v>
      </c>
      <c r="V10" s="5">
        <v>3</v>
      </c>
      <c r="W10" s="5">
        <v>85</v>
      </c>
      <c r="X10" s="33">
        <v>0</v>
      </c>
      <c r="Y10" s="5">
        <v>23.304856849482601</v>
      </c>
      <c r="Z10" s="5">
        <v>1256.411883612893</v>
      </c>
      <c r="AA10" s="35"/>
    </row>
    <row r="11" spans="2:27" x14ac:dyDescent="0.2">
      <c r="B11" s="4">
        <v>8</v>
      </c>
      <c r="C11" s="4">
        <v>846</v>
      </c>
      <c r="D11" s="23">
        <v>58268.90132046587</v>
      </c>
      <c r="E11" s="33">
        <v>0.22765391700158941</v>
      </c>
      <c r="F11" s="5">
        <v>3</v>
      </c>
      <c r="G11" s="23">
        <v>85</v>
      </c>
      <c r="H11" s="33">
        <v>0</v>
      </c>
      <c r="I11" s="23">
        <v>14.165014476631308</v>
      </c>
      <c r="J11" s="5">
        <v>997.42154960533935</v>
      </c>
      <c r="K11" s="31"/>
      <c r="L11" s="23">
        <v>58268.90132046587</v>
      </c>
      <c r="M11" s="33">
        <v>0.19849212500048449</v>
      </c>
      <c r="N11" s="5">
        <v>3</v>
      </c>
      <c r="O11" s="5">
        <v>85</v>
      </c>
      <c r="P11" s="33">
        <v>0</v>
      </c>
      <c r="Q11" s="5">
        <v>14.16501447663131</v>
      </c>
      <c r="R11" s="5">
        <v>997.42154960533935</v>
      </c>
      <c r="S11" s="31"/>
      <c r="T11" s="23">
        <v>60030.454580276833</v>
      </c>
      <c r="U11" s="33">
        <v>0.25210054100170959</v>
      </c>
      <c r="V11" s="5">
        <v>3</v>
      </c>
      <c r="W11" s="5">
        <v>85</v>
      </c>
      <c r="X11" s="33">
        <v>0</v>
      </c>
      <c r="Y11" s="5">
        <v>23.304856849482601</v>
      </c>
      <c r="Z11" s="5">
        <v>1256.411883612893</v>
      </c>
      <c r="AA11" s="35"/>
    </row>
    <row r="12" spans="2:27" x14ac:dyDescent="0.2">
      <c r="B12" s="4">
        <v>9</v>
      </c>
      <c r="C12" s="4">
        <v>899</v>
      </c>
      <c r="D12" s="23">
        <v>58268.90132046587</v>
      </c>
      <c r="E12" s="33">
        <v>0.23350483299873301</v>
      </c>
      <c r="F12" s="5">
        <v>3</v>
      </c>
      <c r="G12" s="23">
        <v>85</v>
      </c>
      <c r="H12" s="33">
        <v>0</v>
      </c>
      <c r="I12" s="23">
        <v>14.165014476631308</v>
      </c>
      <c r="J12" s="5">
        <v>997.42154960533935</v>
      </c>
      <c r="K12" s="31"/>
      <c r="L12" s="23">
        <v>58429.826783662647</v>
      </c>
      <c r="M12" s="33">
        <v>0.2190453750008601</v>
      </c>
      <c r="N12" s="5">
        <v>3</v>
      </c>
      <c r="O12" s="5">
        <v>85</v>
      </c>
      <c r="P12" s="33">
        <v>0</v>
      </c>
      <c r="Q12" s="5">
        <v>13.84141501510082</v>
      </c>
      <c r="R12" s="5">
        <v>988.12743195828057</v>
      </c>
      <c r="S12" s="31"/>
      <c r="T12" s="23">
        <v>60030.454580276833</v>
      </c>
      <c r="U12" s="33">
        <v>0.22336020800139519</v>
      </c>
      <c r="V12" s="5">
        <v>3</v>
      </c>
      <c r="W12" s="5">
        <v>85</v>
      </c>
      <c r="X12" s="33">
        <v>0</v>
      </c>
      <c r="Y12" s="5">
        <v>23.304856849482601</v>
      </c>
      <c r="Z12" s="5">
        <v>1256.411883612893</v>
      </c>
      <c r="AA12" s="35"/>
    </row>
    <row r="13" spans="2:27" x14ac:dyDescent="0.2">
      <c r="B13" s="4">
        <v>10</v>
      </c>
      <c r="C13" s="4">
        <v>960</v>
      </c>
      <c r="D13" s="23">
        <v>58268.90132046587</v>
      </c>
      <c r="E13" s="33">
        <v>0.45737779200135259</v>
      </c>
      <c r="F13" s="5">
        <v>3</v>
      </c>
      <c r="G13" s="23">
        <v>85</v>
      </c>
      <c r="H13" s="33">
        <v>0</v>
      </c>
      <c r="I13" s="23">
        <v>14.165014476631308</v>
      </c>
      <c r="J13" s="5">
        <v>997.42154960533935</v>
      </c>
      <c r="K13" s="31"/>
      <c r="L13" s="23">
        <v>58268.90132046587</v>
      </c>
      <c r="M13" s="33">
        <v>0.50925187499888125</v>
      </c>
      <c r="N13" s="5">
        <v>3</v>
      </c>
      <c r="O13" s="5">
        <v>85</v>
      </c>
      <c r="P13" s="33">
        <v>0</v>
      </c>
      <c r="Q13" s="5">
        <v>14.16501447663131</v>
      </c>
      <c r="R13" s="5">
        <v>997.42154960533935</v>
      </c>
      <c r="S13" s="31"/>
      <c r="T13" s="23">
        <v>60030.454580276833</v>
      </c>
      <c r="U13" s="33">
        <v>0.42659820900007622</v>
      </c>
      <c r="V13" s="5">
        <v>3</v>
      </c>
      <c r="W13" s="5">
        <v>85</v>
      </c>
      <c r="X13" s="33">
        <v>0</v>
      </c>
      <c r="Y13" s="5">
        <v>23.304856849482601</v>
      </c>
      <c r="Z13" s="5">
        <v>1256.411883612893</v>
      </c>
      <c r="AA13" s="35"/>
    </row>
    <row r="14" spans="2:27" x14ac:dyDescent="0.2">
      <c r="B14" s="46" t="s">
        <v>3</v>
      </c>
      <c r="C14" s="47"/>
      <c r="D14" s="9">
        <f>MIN(D4:D13)</f>
        <v>58268.90132046587</v>
      </c>
      <c r="E14" s="22">
        <f>INDEX(E4:E13, MATCH($D$14, D4:D13, 0))</f>
        <v>0.38802587499958457</v>
      </c>
      <c r="F14" s="9">
        <f>INDEX(F4:F13, MATCH($D$14, D4:D13, 0))</f>
        <v>3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14.165014476631308</v>
      </c>
      <c r="J14" s="22">
        <f>INDEX(J4:J13, MATCH($D$14, D4:D13, 0))</f>
        <v>997.42154960533935</v>
      </c>
      <c r="K14" s="32">
        <f>(D14-$D$15)/$D$15</f>
        <v>0</v>
      </c>
      <c r="L14" s="16">
        <f>MIN(L4:L13)</f>
        <v>58268.90132046587</v>
      </c>
      <c r="M14" s="21">
        <f>INDEX(M4:M13, MATCH($L$14, L4:L13, 0))</f>
        <v>0.39953570800207672</v>
      </c>
      <c r="N14" s="16">
        <f>INDEX(N4:N13, MATCH($L$14, L4:L13, 0))</f>
        <v>3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14.16501447663131</v>
      </c>
      <c r="R14" s="21">
        <f>INDEX(R4:R13, MATCH($L$14, L4:L13, 0))</f>
        <v>997.42154960533935</v>
      </c>
      <c r="S14" s="36">
        <f>(L14-$D$15)/$D$15</f>
        <v>0</v>
      </c>
      <c r="T14" s="38">
        <f>MIN(T4:T13)</f>
        <v>60030.454580276833</v>
      </c>
      <c r="U14" s="39">
        <f>INDEX(U4:U13, MATCH($T$14, T4:T13, 0))</f>
        <v>0.42672020799727761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0</v>
      </c>
      <c r="Y14" s="39">
        <f>INDEX(Y4:Y13, MATCH($T$14, T4:T13, 0))</f>
        <v>23.304856849482601</v>
      </c>
      <c r="Z14" s="39">
        <f>INDEX(Z4:Z13, MATCH($T$14, T4:T13, 0))</f>
        <v>1256.411883612893</v>
      </c>
      <c r="AA14" s="40">
        <f>(T14-$D$15)/$D$15</f>
        <v>3.023144799183387E-2</v>
      </c>
    </row>
    <row r="15" spans="2:27" x14ac:dyDescent="0.2">
      <c r="C15" s="1" t="s">
        <v>17</v>
      </c>
      <c r="D15" s="34">
        <v>58268.90132046587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91" priority="5"/>
    <cfRule type="duplicateValues" dxfId="90" priority="6"/>
  </conditionalFormatting>
  <conditionalFormatting sqref="C15:C16 C32:C1048576 C1:C13">
    <cfRule type="duplicateValues" dxfId="89" priority="13"/>
    <cfRule type="duplicateValues" dxfId="88" priority="14"/>
  </conditionalFormatting>
  <conditionalFormatting sqref="C18:C31">
    <cfRule type="duplicateValues" dxfId="15" priority="3"/>
    <cfRule type="duplicateValues" dxfId="14" priority="4"/>
  </conditionalFormatting>
  <conditionalFormatting sqref="C1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53C4-FF21-AC46-AD57-F379B7C154B1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-0.62314629282444467</v>
      </c>
      <c r="J2" s="28">
        <f>(S14-J14)/J14</f>
        <v>-0.99983162120999902</v>
      </c>
      <c r="K2" s="28"/>
      <c r="L2" s="1" t="s">
        <v>19</v>
      </c>
      <c r="P2" s="1">
        <f>(P14-H14)/H14</f>
        <v>-0.98733316921725378</v>
      </c>
      <c r="R2" s="1">
        <f>(R14-J14)/J14</f>
        <v>-4.0464432288572043E-2</v>
      </c>
      <c r="T2" s="1" t="s">
        <v>20</v>
      </c>
      <c r="X2" s="1">
        <f>(X14-P14)/P14</f>
        <v>63.090371450150798</v>
      </c>
      <c r="Z2" s="1">
        <f>(Z14-R14)/R14</f>
        <v>0.41504631136793346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66</v>
      </c>
      <c r="D4" s="23">
        <v>55731.71449198552</v>
      </c>
      <c r="E4" s="33">
        <v>0.22624583300057571</v>
      </c>
      <c r="F4" s="5">
        <v>3</v>
      </c>
      <c r="G4" s="23">
        <v>100</v>
      </c>
      <c r="H4" s="33">
        <v>38.480897191426017</v>
      </c>
      <c r="I4" s="23">
        <v>22.436576368087241</v>
      </c>
      <c r="J4" s="5">
        <v>1505.6517122281214</v>
      </c>
      <c r="K4" s="31"/>
      <c r="L4" s="23">
        <v>71706.936749771208</v>
      </c>
      <c r="M4" s="33">
        <v>0.54202408299897797</v>
      </c>
      <c r="N4" s="5">
        <v>3</v>
      </c>
      <c r="O4" s="5">
        <v>75</v>
      </c>
      <c r="P4" s="33">
        <v>0.5199264139648524</v>
      </c>
      <c r="Q4" s="5">
        <v>13.44311776961688</v>
      </c>
      <c r="R4" s="5">
        <v>1321.355634321797</v>
      </c>
      <c r="S4" s="31"/>
      <c r="T4" s="23">
        <v>64656.210267570699</v>
      </c>
      <c r="U4" s="33">
        <v>0.29911204100062599</v>
      </c>
      <c r="V4" s="5">
        <v>3</v>
      </c>
      <c r="W4" s="5">
        <v>90</v>
      </c>
      <c r="X4" s="33">
        <v>31.239634685392751</v>
      </c>
      <c r="Y4" s="5">
        <v>43.931825872023921</v>
      </c>
      <c r="Z4" s="5">
        <v>2044.354721467425</v>
      </c>
      <c r="AA4" s="35"/>
    </row>
    <row r="5" spans="2:27" x14ac:dyDescent="0.2">
      <c r="B5" s="4">
        <v>2</v>
      </c>
      <c r="C5" s="4">
        <v>67</v>
      </c>
      <c r="D5" s="23">
        <v>55731.71449198552</v>
      </c>
      <c r="E5" s="33">
        <v>0.3209137500016368</v>
      </c>
      <c r="F5" s="5">
        <v>3</v>
      </c>
      <c r="G5" s="23">
        <v>100</v>
      </c>
      <c r="H5" s="33">
        <v>38.480897191426017</v>
      </c>
      <c r="I5" s="23">
        <v>22.436576368087241</v>
      </c>
      <c r="J5" s="5">
        <v>1505.6517122281214</v>
      </c>
      <c r="K5" s="31"/>
      <c r="L5" s="23">
        <v>72184.776243990054</v>
      </c>
      <c r="M5" s="33">
        <v>0.29061812500003731</v>
      </c>
      <c r="N5" s="5">
        <v>3</v>
      </c>
      <c r="O5" s="5">
        <v>70</v>
      </c>
      <c r="P5" s="33">
        <v>0.55706401496234192</v>
      </c>
      <c r="Q5" s="5">
        <v>13.027386204928829</v>
      </c>
      <c r="R5" s="5">
        <v>1071.892304554287</v>
      </c>
      <c r="S5" s="31"/>
      <c r="T5" s="23">
        <v>64656.210267570699</v>
      </c>
      <c r="U5" s="33">
        <v>0.31947533299899078</v>
      </c>
      <c r="V5" s="5">
        <v>3</v>
      </c>
      <c r="W5" s="5">
        <v>90</v>
      </c>
      <c r="X5" s="33">
        <v>31.239634685392751</v>
      </c>
      <c r="Y5" s="5">
        <v>43.931825872023921</v>
      </c>
      <c r="Z5" s="5">
        <v>2044.354721467425</v>
      </c>
      <c r="AA5" s="35"/>
    </row>
    <row r="6" spans="2:27" x14ac:dyDescent="0.2">
      <c r="B6" s="4">
        <v>3</v>
      </c>
      <c r="C6" s="4">
        <v>141</v>
      </c>
      <c r="D6" s="23">
        <v>55731.71449198552</v>
      </c>
      <c r="E6" s="33">
        <v>0.26264212499881978</v>
      </c>
      <c r="F6" s="5">
        <v>3</v>
      </c>
      <c r="G6" s="23">
        <v>100</v>
      </c>
      <c r="H6" s="33">
        <v>38.480897191426017</v>
      </c>
      <c r="I6" s="23">
        <v>22.436576368087241</v>
      </c>
      <c r="J6" s="5">
        <v>1505.6517122281214</v>
      </c>
      <c r="K6" s="31"/>
      <c r="L6" s="23">
        <v>69860.808354236418</v>
      </c>
      <c r="M6" s="33">
        <v>0.33709241700125858</v>
      </c>
      <c r="N6" s="5">
        <v>3</v>
      </c>
      <c r="O6" s="5">
        <v>80</v>
      </c>
      <c r="P6" s="33">
        <v>0.48743101309204923</v>
      </c>
      <c r="Q6" s="5">
        <v>14.50166876203031</v>
      </c>
      <c r="R6" s="5">
        <v>1444.726370468494</v>
      </c>
      <c r="S6" s="31"/>
      <c r="T6" s="23">
        <v>64656.210267570699</v>
      </c>
      <c r="U6" s="33">
        <v>0.22687941600088379</v>
      </c>
      <c r="V6" s="5">
        <v>3</v>
      </c>
      <c r="W6" s="5">
        <v>90</v>
      </c>
      <c r="X6" s="33">
        <v>31.239634685392751</v>
      </c>
      <c r="Y6" s="5">
        <v>43.931825872023921</v>
      </c>
      <c r="Z6" s="5">
        <v>2044.354721467425</v>
      </c>
      <c r="AA6" s="35"/>
    </row>
    <row r="7" spans="2:27" x14ac:dyDescent="0.2">
      <c r="B7" s="4">
        <v>4</v>
      </c>
      <c r="C7" s="4">
        <v>159</v>
      </c>
      <c r="D7" s="23">
        <v>55731.71449198552</v>
      </c>
      <c r="E7" s="33">
        <v>0.34057854099955881</v>
      </c>
      <c r="F7" s="5">
        <v>3</v>
      </c>
      <c r="G7" s="23">
        <v>100</v>
      </c>
      <c r="H7" s="33">
        <v>38.480897191426017</v>
      </c>
      <c r="I7" s="23">
        <v>22.436576368087241</v>
      </c>
      <c r="J7" s="5">
        <v>1505.6517122281214</v>
      </c>
      <c r="K7" s="31"/>
      <c r="L7" s="23">
        <v>69860.808354236418</v>
      </c>
      <c r="M7" s="33">
        <v>0.29517374999704771</v>
      </c>
      <c r="N7" s="5">
        <v>3</v>
      </c>
      <c r="O7" s="5">
        <v>80</v>
      </c>
      <c r="P7" s="33">
        <v>0.48743101309204923</v>
      </c>
      <c r="Q7" s="5">
        <v>14.50166876203031</v>
      </c>
      <c r="R7" s="5">
        <v>1444.726370468494</v>
      </c>
      <c r="S7" s="31"/>
      <c r="T7" s="23">
        <v>64656.210267570699</v>
      </c>
      <c r="U7" s="33">
        <v>0.45714379099808872</v>
      </c>
      <c r="V7" s="5">
        <v>3</v>
      </c>
      <c r="W7" s="5">
        <v>90</v>
      </c>
      <c r="X7" s="33">
        <v>31.239634685392751</v>
      </c>
      <c r="Y7" s="5">
        <v>43.931825872023921</v>
      </c>
      <c r="Z7" s="5">
        <v>2044.354721467425</v>
      </c>
      <c r="AA7" s="35"/>
    </row>
    <row r="8" spans="2:27" x14ac:dyDescent="0.2">
      <c r="B8" s="4">
        <v>5</v>
      </c>
      <c r="C8" s="4">
        <v>456</v>
      </c>
      <c r="D8" s="23">
        <v>55731.71449198552</v>
      </c>
      <c r="E8" s="33">
        <v>0.25105220800105599</v>
      </c>
      <c r="F8" s="5">
        <v>3</v>
      </c>
      <c r="G8" s="23">
        <v>100</v>
      </c>
      <c r="H8" s="33">
        <v>38.480897191426017</v>
      </c>
      <c r="I8" s="23">
        <v>22.436576368087241</v>
      </c>
      <c r="J8" s="5">
        <v>1505.6517122281214</v>
      </c>
      <c r="K8" s="31"/>
      <c r="L8" s="23">
        <v>69860.808354236418</v>
      </c>
      <c r="M8" s="33">
        <v>0.38526245899993228</v>
      </c>
      <c r="N8" s="5">
        <v>3</v>
      </c>
      <c r="O8" s="5">
        <v>80</v>
      </c>
      <c r="P8" s="33">
        <v>0.48743101309204923</v>
      </c>
      <c r="Q8" s="5">
        <v>14.50166876203031</v>
      </c>
      <c r="R8" s="5">
        <v>1444.726370468494</v>
      </c>
      <c r="S8" s="31"/>
      <c r="T8" s="23">
        <v>64656.210267570699</v>
      </c>
      <c r="U8" s="33">
        <v>0.3086379999986093</v>
      </c>
      <c r="V8" s="5">
        <v>3</v>
      </c>
      <c r="W8" s="5">
        <v>90</v>
      </c>
      <c r="X8" s="33">
        <v>31.239634685392751</v>
      </c>
      <c r="Y8" s="5">
        <v>43.931825872023921</v>
      </c>
      <c r="Z8" s="5">
        <v>2044.354721467425</v>
      </c>
      <c r="AA8" s="35"/>
    </row>
    <row r="9" spans="2:27" x14ac:dyDescent="0.2">
      <c r="B9" s="4">
        <v>6</v>
      </c>
      <c r="C9" s="4">
        <v>487</v>
      </c>
      <c r="D9" s="23">
        <v>55731.71449198552</v>
      </c>
      <c r="E9" s="33">
        <v>0.28355491700131102</v>
      </c>
      <c r="F9" s="5">
        <v>3</v>
      </c>
      <c r="G9" s="23">
        <v>100</v>
      </c>
      <c r="H9" s="33">
        <v>38.480897191426017</v>
      </c>
      <c r="I9" s="23">
        <v>22.436576368087241</v>
      </c>
      <c r="J9" s="5">
        <v>1505.6517122281214</v>
      </c>
      <c r="K9" s="31"/>
      <c r="L9" s="23">
        <v>69860.808354236418</v>
      </c>
      <c r="M9" s="33">
        <v>0.25954195799931767</v>
      </c>
      <c r="N9" s="5">
        <v>3</v>
      </c>
      <c r="O9" s="5">
        <v>80</v>
      </c>
      <c r="P9" s="33">
        <v>0.48743101309204923</v>
      </c>
      <c r="Q9" s="5">
        <v>14.50166876203031</v>
      </c>
      <c r="R9" s="5">
        <v>1444.726370468494</v>
      </c>
      <c r="S9" s="31"/>
      <c r="T9" s="23">
        <v>64656.210267570699</v>
      </c>
      <c r="U9" s="33">
        <v>0.2445308750029653</v>
      </c>
      <c r="V9" s="5">
        <v>3</v>
      </c>
      <c r="W9" s="5">
        <v>90</v>
      </c>
      <c r="X9" s="33">
        <v>31.239634685392751</v>
      </c>
      <c r="Y9" s="5">
        <v>43.931825872023921</v>
      </c>
      <c r="Z9" s="5">
        <v>2044.354721467425</v>
      </c>
      <c r="AA9" s="35"/>
    </row>
    <row r="10" spans="2:27" x14ac:dyDescent="0.2">
      <c r="B10" s="4">
        <v>7</v>
      </c>
      <c r="C10" s="4">
        <v>514</v>
      </c>
      <c r="D10" s="23">
        <v>55731.71449198552</v>
      </c>
      <c r="E10" s="33">
        <v>0.45848716600085032</v>
      </c>
      <c r="F10" s="5">
        <v>3</v>
      </c>
      <c r="G10" s="23">
        <v>100</v>
      </c>
      <c r="H10" s="33">
        <v>38.480897191426017</v>
      </c>
      <c r="I10" s="23">
        <v>22.436576368087241</v>
      </c>
      <c r="J10" s="5">
        <v>1505.6517122281214</v>
      </c>
      <c r="K10" s="31"/>
      <c r="L10" s="23">
        <v>69860.808354236418</v>
      </c>
      <c r="M10" s="33">
        <v>0.23030179099805539</v>
      </c>
      <c r="N10" s="5">
        <v>3</v>
      </c>
      <c r="O10" s="5">
        <v>80</v>
      </c>
      <c r="P10" s="33">
        <v>0.48743101309204923</v>
      </c>
      <c r="Q10" s="5">
        <v>14.50166876203031</v>
      </c>
      <c r="R10" s="5">
        <v>1444.726370468494</v>
      </c>
      <c r="S10" s="31"/>
      <c r="T10" s="23">
        <v>64656.210267570699</v>
      </c>
      <c r="U10" s="33">
        <v>0.33507091700084862</v>
      </c>
      <c r="V10" s="5">
        <v>3</v>
      </c>
      <c r="W10" s="5">
        <v>90</v>
      </c>
      <c r="X10" s="33">
        <v>31.239634685392751</v>
      </c>
      <c r="Y10" s="5">
        <v>43.931825872023921</v>
      </c>
      <c r="Z10" s="5">
        <v>2044.354721467425</v>
      </c>
      <c r="AA10" s="35"/>
    </row>
    <row r="11" spans="2:27" x14ac:dyDescent="0.2">
      <c r="B11" s="4">
        <v>8</v>
      </c>
      <c r="C11" s="4">
        <v>611</v>
      </c>
      <c r="D11" s="23">
        <v>55731.71449198552</v>
      </c>
      <c r="E11" s="33">
        <v>0.32489279099900159</v>
      </c>
      <c r="F11" s="5">
        <v>3</v>
      </c>
      <c r="G11" s="23">
        <v>100</v>
      </c>
      <c r="H11" s="33">
        <v>38.480897191426017</v>
      </c>
      <c r="I11" s="23">
        <v>22.436576368087241</v>
      </c>
      <c r="J11" s="5">
        <v>1505.6517122281214</v>
      </c>
      <c r="K11" s="31"/>
      <c r="L11" s="23">
        <v>69860.808354236418</v>
      </c>
      <c r="M11" s="33">
        <v>0.27735662499981117</v>
      </c>
      <c r="N11" s="5">
        <v>3</v>
      </c>
      <c r="O11" s="5">
        <v>80</v>
      </c>
      <c r="P11" s="33">
        <v>0.48743101309204923</v>
      </c>
      <c r="Q11" s="5">
        <v>14.50166876203031</v>
      </c>
      <c r="R11" s="5">
        <v>1444.726370468494</v>
      </c>
      <c r="S11" s="31"/>
      <c r="T11" s="23">
        <v>64656.210267570699</v>
      </c>
      <c r="U11" s="33">
        <v>0.3257274999996298</v>
      </c>
      <c r="V11" s="5">
        <v>3</v>
      </c>
      <c r="W11" s="5">
        <v>90</v>
      </c>
      <c r="X11" s="33">
        <v>31.239634685392751</v>
      </c>
      <c r="Y11" s="5">
        <v>43.931825872023921</v>
      </c>
      <c r="Z11" s="5">
        <v>2044.354721467425</v>
      </c>
      <c r="AA11" s="35"/>
    </row>
    <row r="12" spans="2:27" x14ac:dyDescent="0.2">
      <c r="B12" s="4">
        <v>9</v>
      </c>
      <c r="C12" s="4">
        <v>670</v>
      </c>
      <c r="D12" s="23">
        <v>55731.71449198552</v>
      </c>
      <c r="E12" s="33">
        <v>0.26647349999984732</v>
      </c>
      <c r="F12" s="5">
        <v>3</v>
      </c>
      <c r="G12" s="23">
        <v>100</v>
      </c>
      <c r="H12" s="33">
        <v>38.480897191426017</v>
      </c>
      <c r="I12" s="23">
        <v>22.436576368087241</v>
      </c>
      <c r="J12" s="5">
        <v>1505.6517122281214</v>
      </c>
      <c r="K12" s="31"/>
      <c r="L12" s="23">
        <v>69860.808354236418</v>
      </c>
      <c r="M12" s="33">
        <v>0.28264854100052622</v>
      </c>
      <c r="N12" s="5">
        <v>3</v>
      </c>
      <c r="O12" s="5">
        <v>80</v>
      </c>
      <c r="P12" s="33">
        <v>0.48743101309204923</v>
      </c>
      <c r="Q12" s="5">
        <v>14.50166876203031</v>
      </c>
      <c r="R12" s="5">
        <v>1444.726370468494</v>
      </c>
      <c r="S12" s="31"/>
      <c r="T12" s="23">
        <v>64656.210267570699</v>
      </c>
      <c r="U12" s="33">
        <v>0.38979166699937201</v>
      </c>
      <c r="V12" s="5">
        <v>3</v>
      </c>
      <c r="W12" s="5">
        <v>90</v>
      </c>
      <c r="X12" s="33">
        <v>31.239634685392751</v>
      </c>
      <c r="Y12" s="5">
        <v>43.931825872023921</v>
      </c>
      <c r="Z12" s="5">
        <v>2044.354721467425</v>
      </c>
      <c r="AA12" s="35"/>
    </row>
    <row r="13" spans="2:27" x14ac:dyDescent="0.2">
      <c r="B13" s="4">
        <v>10</v>
      </c>
      <c r="C13" s="4">
        <v>793</v>
      </c>
      <c r="D13" s="23">
        <v>55731.71449198552</v>
      </c>
      <c r="E13" s="33">
        <v>0.18733070800226409</v>
      </c>
      <c r="F13" s="5">
        <v>3</v>
      </c>
      <c r="G13" s="23">
        <v>100</v>
      </c>
      <c r="H13" s="33">
        <v>38.480897191426017</v>
      </c>
      <c r="I13" s="23">
        <v>22.436576368087241</v>
      </c>
      <c r="J13" s="5">
        <v>1505.6517122281214</v>
      </c>
      <c r="K13" s="31"/>
      <c r="L13" s="23">
        <v>69860.808354236418</v>
      </c>
      <c r="M13" s="33">
        <v>0.2214132920016709</v>
      </c>
      <c r="N13" s="5">
        <v>3</v>
      </c>
      <c r="O13" s="5">
        <v>80</v>
      </c>
      <c r="P13" s="33">
        <v>0.48743101309204923</v>
      </c>
      <c r="Q13" s="5">
        <v>14.50166876203031</v>
      </c>
      <c r="R13" s="5">
        <v>1444.726370468494</v>
      </c>
      <c r="S13" s="31"/>
      <c r="T13" s="23">
        <v>64843.768518595658</v>
      </c>
      <c r="U13" s="33">
        <v>0.22683429199969399</v>
      </c>
      <c r="V13" s="5">
        <v>3</v>
      </c>
      <c r="W13" s="5">
        <v>85</v>
      </c>
      <c r="X13" s="33">
        <v>32.324657634799223</v>
      </c>
      <c r="Y13" s="5">
        <v>39.859864128104512</v>
      </c>
      <c r="Z13" s="5">
        <v>1837.0359625968581</v>
      </c>
      <c r="AA13" s="35"/>
    </row>
    <row r="14" spans="2:27" x14ac:dyDescent="0.2">
      <c r="B14" s="46" t="s">
        <v>3</v>
      </c>
      <c r="C14" s="47"/>
      <c r="D14" s="9">
        <f>MIN(D4:D13)</f>
        <v>55731.71449198552</v>
      </c>
      <c r="E14" s="22">
        <f>INDEX(E4:E13, MATCH($D$14, D4:D13, 0))</f>
        <v>0.22624583300057571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38.480897191426017</v>
      </c>
      <c r="I14" s="22">
        <f>INDEX(I4:I13, MATCH($D$14, D4:D13, 0))</f>
        <v>22.436576368087241</v>
      </c>
      <c r="J14" s="22">
        <f>INDEX(J4:J13, MATCH($D$14, D4:D13, 0))</f>
        <v>1505.6517122281214</v>
      </c>
      <c r="K14" s="32">
        <f>(D14-$D$15)/$D$15</f>
        <v>0</v>
      </c>
      <c r="L14" s="16">
        <f>MIN(L4:L13)</f>
        <v>69860.808354236418</v>
      </c>
      <c r="M14" s="21">
        <f>INDEX(M4:M13, MATCH($L$14, L4:L13, 0))</f>
        <v>0.33709241700125858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0.48743101309204923</v>
      </c>
      <c r="Q14" s="21">
        <f>INDEX(Q4:Q13, MATCH($L$14, L4:L13, 0))</f>
        <v>14.50166876203031</v>
      </c>
      <c r="R14" s="21">
        <f>INDEX(R4:R13, MATCH($L$14, L4:L13, 0))</f>
        <v>1444.726370468494</v>
      </c>
      <c r="S14" s="36">
        <f>(L14-$D$15)/$D$15</f>
        <v>0.25351981346783664</v>
      </c>
      <c r="T14" s="38">
        <f>MIN(T4:T13)</f>
        <v>64656.210267570699</v>
      </c>
      <c r="U14" s="39">
        <f>INDEX(U4:U13, MATCH($T$14, T4:T13, 0))</f>
        <v>0.29911204100062599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31.239634685392751</v>
      </c>
      <c r="Y14" s="39">
        <f>INDEX(Y4:Y13, MATCH($T$14, T4:T13, 0))</f>
        <v>43.931825872023921</v>
      </c>
      <c r="Z14" s="39">
        <f>INDEX(Z4:Z13, MATCH($T$14, T4:T13, 0))</f>
        <v>2044.354721467425</v>
      </c>
      <c r="AA14" s="40">
        <f>(T14-$D$15)/$D$15</f>
        <v>0.16013316397916599</v>
      </c>
    </row>
    <row r="15" spans="2:27" x14ac:dyDescent="0.2">
      <c r="C15" s="1" t="s">
        <v>17</v>
      </c>
      <c r="D15" s="34">
        <v>55731.71449198552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5" priority="5"/>
    <cfRule type="duplicateValues" dxfId="84" priority="6"/>
  </conditionalFormatting>
  <conditionalFormatting sqref="C15:C16 C32:C1048576 C1:C13">
    <cfRule type="duplicateValues" dxfId="83" priority="13"/>
    <cfRule type="duplicateValues" dxfId="82" priority="14"/>
  </conditionalFormatting>
  <conditionalFormatting sqref="C18:C31">
    <cfRule type="duplicateValues" dxfId="11" priority="3"/>
    <cfRule type="duplicateValues" dxfId="10" priority="4"/>
  </conditionalFormatting>
  <conditionalFormatting sqref="C1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5F8B-F395-8D40-A2E4-FBD5AF2E8E5D}">
  <dimension ref="B1:AA17"/>
  <sheetViews>
    <sheetView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1.2735638124495137</v>
      </c>
      <c r="J2" s="28">
        <f>(S14-J14)/J14</f>
        <v>-0.99993149658275882</v>
      </c>
      <c r="K2" s="28"/>
      <c r="L2" s="1" t="s">
        <v>19</v>
      </c>
      <c r="P2" s="1">
        <f>(P14-H14)/H14</f>
        <v>-1</v>
      </c>
      <c r="R2" s="1">
        <f>(R14-J14)/J14</f>
        <v>-0.16852588466477236</v>
      </c>
      <c r="T2" s="1" t="s">
        <v>20</v>
      </c>
      <c r="X2" s="1" t="e">
        <f>(X14-P14)/P14</f>
        <v>#DIV/0!</v>
      </c>
      <c r="Z2" s="1">
        <f>(Z14-R14)/R14</f>
        <v>0.60430730839659563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54</v>
      </c>
      <c r="D4" s="23">
        <v>58186.05671847301</v>
      </c>
      <c r="E4" s="33">
        <v>0.20174441599738199</v>
      </c>
      <c r="F4" s="5">
        <v>3</v>
      </c>
      <c r="G4" s="23">
        <v>90</v>
      </c>
      <c r="H4" s="33">
        <v>0</v>
      </c>
      <c r="I4" s="23">
        <v>14.404209888981788</v>
      </c>
      <c r="J4" s="5">
        <v>1244.0494048927596</v>
      </c>
      <c r="K4" s="31"/>
      <c r="L4" s="23">
        <v>63107.306234856522</v>
      </c>
      <c r="M4" s="33">
        <v>0.19539991599958739</v>
      </c>
      <c r="N4" s="5">
        <v>3</v>
      </c>
      <c r="O4" s="5">
        <v>80</v>
      </c>
      <c r="P4" s="33">
        <v>0</v>
      </c>
      <c r="Q4" s="5">
        <v>12.287801137244029</v>
      </c>
      <c r="R4" s="5">
        <v>1040.1668056709359</v>
      </c>
      <c r="S4" s="31"/>
      <c r="T4" s="23">
        <v>65991.232291357737</v>
      </c>
      <c r="U4" s="33">
        <v>0.19905958300296331</v>
      </c>
      <c r="V4" s="5">
        <v>3</v>
      </c>
      <c r="W4" s="5">
        <v>85</v>
      </c>
      <c r="X4" s="33">
        <v>23.257433261679999</v>
      </c>
      <c r="Y4" s="5">
        <v>25.526128229704501</v>
      </c>
      <c r="Z4" s="5">
        <v>1649.6838998050091</v>
      </c>
      <c r="AA4" s="35"/>
    </row>
    <row r="5" spans="2:27" x14ac:dyDescent="0.2">
      <c r="B5" s="4">
        <v>2</v>
      </c>
      <c r="C5" s="4">
        <v>201</v>
      </c>
      <c r="D5" s="23">
        <v>58126.066672600078</v>
      </c>
      <c r="E5" s="33">
        <v>0.23679520899895579</v>
      </c>
      <c r="F5" s="5">
        <v>3</v>
      </c>
      <c r="G5" s="23">
        <v>90</v>
      </c>
      <c r="H5" s="33">
        <v>5.4046431729599362</v>
      </c>
      <c r="I5" s="23">
        <v>15.286506923409201</v>
      </c>
      <c r="J5" s="5">
        <v>1250.991205242233</v>
      </c>
      <c r="K5" s="31"/>
      <c r="L5" s="23">
        <v>63107.306234856522</v>
      </c>
      <c r="M5" s="33">
        <v>0.25095166599930963</v>
      </c>
      <c r="N5" s="5">
        <v>3</v>
      </c>
      <c r="O5" s="5">
        <v>80</v>
      </c>
      <c r="P5" s="33">
        <v>0</v>
      </c>
      <c r="Q5" s="5">
        <v>12.287801137244029</v>
      </c>
      <c r="R5" s="5">
        <v>1040.1668056709359</v>
      </c>
      <c r="S5" s="31"/>
      <c r="T5" s="23">
        <v>65824.854630825896</v>
      </c>
      <c r="U5" s="33">
        <v>0.24003366699980691</v>
      </c>
      <c r="V5" s="5">
        <v>3</v>
      </c>
      <c r="W5" s="5">
        <v>85</v>
      </c>
      <c r="X5" s="33">
        <v>23.257433261679999</v>
      </c>
      <c r="Y5" s="5">
        <v>26.436155729259809</v>
      </c>
      <c r="Z5" s="5">
        <v>1668.747208289424</v>
      </c>
      <c r="AA5" s="35"/>
    </row>
    <row r="6" spans="2:27" x14ac:dyDescent="0.2">
      <c r="B6" s="4">
        <v>3</v>
      </c>
      <c r="C6" s="4">
        <v>236</v>
      </c>
      <c r="D6" s="23">
        <v>58126.066672600078</v>
      </c>
      <c r="E6" s="33">
        <v>0.20380066700090541</v>
      </c>
      <c r="F6" s="5">
        <v>3</v>
      </c>
      <c r="G6" s="23">
        <v>90</v>
      </c>
      <c r="H6" s="33">
        <v>5.4046431729599362</v>
      </c>
      <c r="I6" s="23">
        <v>15.286506923409201</v>
      </c>
      <c r="J6" s="5">
        <v>1250.991205242233</v>
      </c>
      <c r="K6" s="31"/>
      <c r="L6" s="23">
        <v>63107.306234856522</v>
      </c>
      <c r="M6" s="33">
        <v>0.26012366700160777</v>
      </c>
      <c r="N6" s="5">
        <v>3</v>
      </c>
      <c r="O6" s="5">
        <v>80</v>
      </c>
      <c r="P6" s="33">
        <v>0</v>
      </c>
      <c r="Q6" s="5">
        <v>12.287801137244029</v>
      </c>
      <c r="R6" s="5">
        <v>1040.1668056709359</v>
      </c>
      <c r="S6" s="31"/>
      <c r="T6" s="23">
        <v>65991.232291357737</v>
      </c>
      <c r="U6" s="33">
        <v>0.28290916700279922</v>
      </c>
      <c r="V6" s="5">
        <v>3</v>
      </c>
      <c r="W6" s="5">
        <v>85</v>
      </c>
      <c r="X6" s="33">
        <v>23.257433261679999</v>
      </c>
      <c r="Y6" s="5">
        <v>25.526128229704501</v>
      </c>
      <c r="Z6" s="5">
        <v>1649.6838998050091</v>
      </c>
      <c r="AA6" s="35"/>
    </row>
    <row r="7" spans="2:27" x14ac:dyDescent="0.2">
      <c r="B7" s="4">
        <v>4</v>
      </c>
      <c r="C7" s="4">
        <v>264</v>
      </c>
      <c r="D7" s="23">
        <v>58186.05671847301</v>
      </c>
      <c r="E7" s="33">
        <v>0.2240475840008003</v>
      </c>
      <c r="F7" s="5">
        <v>3</v>
      </c>
      <c r="G7" s="23">
        <v>90</v>
      </c>
      <c r="H7" s="33">
        <v>0</v>
      </c>
      <c r="I7" s="23">
        <v>14.404209888981788</v>
      </c>
      <c r="J7" s="5">
        <v>1244.0494048927596</v>
      </c>
      <c r="K7" s="31"/>
      <c r="L7" s="23">
        <v>63107.306234856522</v>
      </c>
      <c r="M7" s="33">
        <v>0.29847220900046523</v>
      </c>
      <c r="N7" s="5">
        <v>3</v>
      </c>
      <c r="O7" s="5">
        <v>80</v>
      </c>
      <c r="P7" s="33">
        <v>0</v>
      </c>
      <c r="Q7" s="5">
        <v>12.287801137244029</v>
      </c>
      <c r="R7" s="5">
        <v>1040.1668056709359</v>
      </c>
      <c r="S7" s="31"/>
      <c r="T7" s="23">
        <v>65991.232291357737</v>
      </c>
      <c r="U7" s="33">
        <v>0.24201775000256021</v>
      </c>
      <c r="V7" s="5">
        <v>3</v>
      </c>
      <c r="W7" s="5">
        <v>85</v>
      </c>
      <c r="X7" s="33">
        <v>23.257433261679999</v>
      </c>
      <c r="Y7" s="5">
        <v>25.526128229704501</v>
      </c>
      <c r="Z7" s="5">
        <v>1649.6838998050091</v>
      </c>
      <c r="AA7" s="35"/>
    </row>
    <row r="8" spans="2:27" x14ac:dyDescent="0.2">
      <c r="B8" s="4">
        <v>5</v>
      </c>
      <c r="C8" s="4">
        <v>266</v>
      </c>
      <c r="D8" s="23">
        <v>58126.066672600078</v>
      </c>
      <c r="E8" s="33">
        <v>0.40702087499812478</v>
      </c>
      <c r="F8" s="5">
        <v>3</v>
      </c>
      <c r="G8" s="23">
        <v>90</v>
      </c>
      <c r="H8" s="33">
        <v>5.4046431729599362</v>
      </c>
      <c r="I8" s="23">
        <v>15.286506923409201</v>
      </c>
      <c r="J8" s="5">
        <v>1250.991205242233</v>
      </c>
      <c r="K8" s="31"/>
      <c r="L8" s="23">
        <v>63107.306234856522</v>
      </c>
      <c r="M8" s="33">
        <v>0.27145199999722541</v>
      </c>
      <c r="N8" s="5">
        <v>3</v>
      </c>
      <c r="O8" s="5">
        <v>80</v>
      </c>
      <c r="P8" s="33">
        <v>0</v>
      </c>
      <c r="Q8" s="5">
        <v>12.287801137244029</v>
      </c>
      <c r="R8" s="5">
        <v>1040.1668056709359</v>
      </c>
      <c r="S8" s="31"/>
      <c r="T8" s="23">
        <v>66828.99699677137</v>
      </c>
      <c r="U8" s="33">
        <v>0.35865587500302348</v>
      </c>
      <c r="V8" s="5">
        <v>2</v>
      </c>
      <c r="W8" s="5">
        <v>70</v>
      </c>
      <c r="X8" s="33">
        <v>12.856828090701439</v>
      </c>
      <c r="Y8" s="5">
        <v>41.091230951788283</v>
      </c>
      <c r="Z8" s="5">
        <v>1747.088113135155</v>
      </c>
      <c r="AA8" s="35"/>
    </row>
    <row r="9" spans="2:27" x14ac:dyDescent="0.2">
      <c r="B9" s="4">
        <v>6</v>
      </c>
      <c r="C9" s="4">
        <v>443</v>
      </c>
      <c r="D9" s="23">
        <v>58126.066672600078</v>
      </c>
      <c r="E9" s="33">
        <v>0.20080004099872889</v>
      </c>
      <c r="F9" s="5">
        <v>3</v>
      </c>
      <c r="G9" s="23">
        <v>90</v>
      </c>
      <c r="H9" s="33">
        <v>5.4046431729599362</v>
      </c>
      <c r="I9" s="23">
        <v>15.286506923409201</v>
      </c>
      <c r="J9" s="5">
        <v>1250.991205242233</v>
      </c>
      <c r="K9" s="31"/>
      <c r="L9" s="23">
        <v>63107.306234856522</v>
      </c>
      <c r="M9" s="33">
        <v>0.17856712499997229</v>
      </c>
      <c r="N9" s="5">
        <v>3</v>
      </c>
      <c r="O9" s="5">
        <v>80</v>
      </c>
      <c r="P9" s="33">
        <v>0</v>
      </c>
      <c r="Q9" s="5">
        <v>12.287801137244029</v>
      </c>
      <c r="R9" s="5">
        <v>1040.1668056709359</v>
      </c>
      <c r="S9" s="31"/>
      <c r="T9" s="23">
        <v>66931.670249324394</v>
      </c>
      <c r="U9" s="33">
        <v>0.2475723329989705</v>
      </c>
      <c r="V9" s="5">
        <v>3</v>
      </c>
      <c r="W9" s="5">
        <v>85</v>
      </c>
      <c r="X9" s="33">
        <v>61.508172415939264</v>
      </c>
      <c r="Y9" s="5">
        <v>28.21426164673748</v>
      </c>
      <c r="Z9" s="5">
        <v>1720.967634855672</v>
      </c>
      <c r="AA9" s="35"/>
    </row>
    <row r="10" spans="2:27" x14ac:dyDescent="0.2">
      <c r="B10" s="4">
        <v>7</v>
      </c>
      <c r="C10" s="4">
        <v>512</v>
      </c>
      <c r="D10" s="23">
        <v>58186.05671847301</v>
      </c>
      <c r="E10" s="33">
        <v>0.27489595800216188</v>
      </c>
      <c r="F10" s="5">
        <v>3</v>
      </c>
      <c r="G10" s="23">
        <v>90</v>
      </c>
      <c r="H10" s="33">
        <v>0</v>
      </c>
      <c r="I10" s="23">
        <v>14.404209888981788</v>
      </c>
      <c r="J10" s="5">
        <v>1244.0494048927596</v>
      </c>
      <c r="K10" s="31"/>
      <c r="L10" s="23">
        <v>63107.306234856522</v>
      </c>
      <c r="M10" s="33">
        <v>0.249062667000544</v>
      </c>
      <c r="N10" s="5">
        <v>3</v>
      </c>
      <c r="O10" s="5">
        <v>80</v>
      </c>
      <c r="P10" s="33">
        <v>0</v>
      </c>
      <c r="Q10" s="5">
        <v>12.287801137244029</v>
      </c>
      <c r="R10" s="5">
        <v>1040.1668056709359</v>
      </c>
      <c r="S10" s="31"/>
      <c r="T10" s="23">
        <v>65824.854630825896</v>
      </c>
      <c r="U10" s="33">
        <v>0.23644037499980189</v>
      </c>
      <c r="V10" s="5">
        <v>3</v>
      </c>
      <c r="W10" s="5">
        <v>85</v>
      </c>
      <c r="X10" s="33">
        <v>23.257433261679999</v>
      </c>
      <c r="Y10" s="5">
        <v>26.436155729259809</v>
      </c>
      <c r="Z10" s="5">
        <v>1668.747208289424</v>
      </c>
      <c r="AA10" s="35"/>
    </row>
    <row r="11" spans="2:27" x14ac:dyDescent="0.2">
      <c r="B11" s="4">
        <v>8</v>
      </c>
      <c r="C11" s="4">
        <v>611</v>
      </c>
      <c r="D11" s="23">
        <v>58186.05671847301</v>
      </c>
      <c r="E11" s="33">
        <v>0.36210320900136139</v>
      </c>
      <c r="F11" s="5">
        <v>3</v>
      </c>
      <c r="G11" s="23">
        <v>90</v>
      </c>
      <c r="H11" s="33">
        <v>0</v>
      </c>
      <c r="I11" s="23">
        <v>14.404209888981788</v>
      </c>
      <c r="J11" s="5">
        <v>1244.0494048927596</v>
      </c>
      <c r="K11" s="31"/>
      <c r="L11" s="23">
        <v>63107.306234856522</v>
      </c>
      <c r="M11" s="33">
        <v>0.37169229199935222</v>
      </c>
      <c r="N11" s="5">
        <v>3</v>
      </c>
      <c r="O11" s="5">
        <v>80</v>
      </c>
      <c r="P11" s="33">
        <v>0</v>
      </c>
      <c r="Q11" s="5">
        <v>12.287801137244029</v>
      </c>
      <c r="R11" s="5">
        <v>1040.1668056709359</v>
      </c>
      <c r="S11" s="31"/>
      <c r="T11" s="23">
        <v>66828.99699677137</v>
      </c>
      <c r="U11" s="33">
        <v>0.29654491600012989</v>
      </c>
      <c r="V11" s="5">
        <v>2</v>
      </c>
      <c r="W11" s="5">
        <v>70</v>
      </c>
      <c r="X11" s="33">
        <v>12.856828090701439</v>
      </c>
      <c r="Y11" s="5">
        <v>41.091230951788283</v>
      </c>
      <c r="Z11" s="5">
        <v>1747.088113135155</v>
      </c>
      <c r="AA11" s="35"/>
    </row>
    <row r="12" spans="2:27" x14ac:dyDescent="0.2">
      <c r="B12" s="4">
        <v>9</v>
      </c>
      <c r="C12" s="4">
        <v>768</v>
      </c>
      <c r="D12" s="23">
        <v>58126.066672600078</v>
      </c>
      <c r="E12" s="33">
        <v>0.25611441599903628</v>
      </c>
      <c r="F12" s="5">
        <v>3</v>
      </c>
      <c r="G12" s="23">
        <v>90</v>
      </c>
      <c r="H12" s="33">
        <v>5.4046431729599362</v>
      </c>
      <c r="I12" s="23">
        <v>15.286506923409201</v>
      </c>
      <c r="J12" s="5">
        <v>1250.991205242233</v>
      </c>
      <c r="K12" s="31"/>
      <c r="L12" s="23">
        <v>65876.873254236212</v>
      </c>
      <c r="M12" s="33">
        <v>0.25643658400076669</v>
      </c>
      <c r="N12" s="5">
        <v>3</v>
      </c>
      <c r="O12" s="5">
        <v>80</v>
      </c>
      <c r="P12" s="33">
        <v>11.721977332569161</v>
      </c>
      <c r="Q12" s="5">
        <v>12.733763749044019</v>
      </c>
      <c r="R12" s="5">
        <v>1209.7424587182809</v>
      </c>
      <c r="S12" s="31"/>
      <c r="T12" s="23">
        <v>65824.854630825896</v>
      </c>
      <c r="U12" s="33">
        <v>0.27905625000130391</v>
      </c>
      <c r="V12" s="5">
        <v>3</v>
      </c>
      <c r="W12" s="5">
        <v>85</v>
      </c>
      <c r="X12" s="33">
        <v>23.257433261679999</v>
      </c>
      <c r="Y12" s="5">
        <v>26.436155729259809</v>
      </c>
      <c r="Z12" s="5">
        <v>1668.747208289424</v>
      </c>
      <c r="AA12" s="35"/>
    </row>
    <row r="13" spans="2:27" x14ac:dyDescent="0.2">
      <c r="B13" s="4">
        <v>10</v>
      </c>
      <c r="C13" s="4">
        <v>967</v>
      </c>
      <c r="D13" s="23">
        <v>58126.066672600078</v>
      </c>
      <c r="E13" s="33">
        <v>0.17259929200008631</v>
      </c>
      <c r="F13" s="5">
        <v>3</v>
      </c>
      <c r="G13" s="23">
        <v>90</v>
      </c>
      <c r="H13" s="33">
        <v>5.4046431729599362</v>
      </c>
      <c r="I13" s="23">
        <v>15.286506923409201</v>
      </c>
      <c r="J13" s="5">
        <v>1250.991205242233</v>
      </c>
      <c r="K13" s="31"/>
      <c r="L13" s="23">
        <v>63107.306234856522</v>
      </c>
      <c r="M13" s="33">
        <v>0.60522504099935759</v>
      </c>
      <c r="N13" s="5">
        <v>3</v>
      </c>
      <c r="O13" s="5">
        <v>80</v>
      </c>
      <c r="P13" s="33">
        <v>0</v>
      </c>
      <c r="Q13" s="5">
        <v>12.287801137244029</v>
      </c>
      <c r="R13" s="5">
        <v>1040.1668056709359</v>
      </c>
      <c r="S13" s="31"/>
      <c r="T13" s="23">
        <v>66828.99699677137</v>
      </c>
      <c r="U13" s="33">
        <v>0.24217983299968179</v>
      </c>
      <c r="V13" s="5">
        <v>2</v>
      </c>
      <c r="W13" s="5">
        <v>70</v>
      </c>
      <c r="X13" s="33">
        <v>12.856828090701439</v>
      </c>
      <c r="Y13" s="5">
        <v>41.091230951788283</v>
      </c>
      <c r="Z13" s="5">
        <v>1747.088113135155</v>
      </c>
      <c r="AA13" s="35"/>
    </row>
    <row r="14" spans="2:27" x14ac:dyDescent="0.2">
      <c r="B14" s="46" t="s">
        <v>3</v>
      </c>
      <c r="C14" s="47"/>
      <c r="D14" s="9">
        <f>MIN(D4:D13)</f>
        <v>58126.066672600078</v>
      </c>
      <c r="E14" s="22">
        <f>INDEX(E4:E13, MATCH($D$14, D4:D13, 0))</f>
        <v>0.23679520899895579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5.4046431729599362</v>
      </c>
      <c r="I14" s="22">
        <f>INDEX(I4:I13, MATCH($D$14, D4:D13, 0))</f>
        <v>15.286506923409201</v>
      </c>
      <c r="J14" s="22">
        <f>INDEX(J4:J13, MATCH($D$14, D4:D13, 0))</f>
        <v>1250.991205242233</v>
      </c>
      <c r="K14" s="32">
        <f>(D14-$D$15)/$D$15</f>
        <v>0</v>
      </c>
      <c r="L14" s="16">
        <f>MIN(L4:L13)</f>
        <v>63107.306234856522</v>
      </c>
      <c r="M14" s="21">
        <f>INDEX(M4:M13, MATCH($L$14, L4:L13, 0))</f>
        <v>0.19539991599958739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12.287801137244029</v>
      </c>
      <c r="R14" s="21">
        <f>INDEX(R4:R13, MATCH($L$14, L4:L13, 0))</f>
        <v>1040.1668056709359</v>
      </c>
      <c r="S14" s="36">
        <f>(L14-$D$15)/$D$15</f>
        <v>8.5697172497731372E-2</v>
      </c>
      <c r="T14" s="38">
        <f>MIN(T4:T13)</f>
        <v>65824.854630825896</v>
      </c>
      <c r="U14" s="39">
        <f>INDEX(U4:U13, MATCH($T$14, T4:T13, 0))</f>
        <v>0.24003366699980691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23.257433261679999</v>
      </c>
      <c r="Y14" s="39">
        <f>INDEX(Y4:Y13, MATCH($T$14, T4:T13, 0))</f>
        <v>26.436155729259809</v>
      </c>
      <c r="Z14" s="39">
        <f>INDEX(Z4:Z13, MATCH($T$14, T4:T13, 0))</f>
        <v>1668.747208289424</v>
      </c>
      <c r="AA14" s="40">
        <f>(T14-$D$15)/$D$15</f>
        <v>0.13244983531381682</v>
      </c>
    </row>
    <row r="15" spans="2:27" x14ac:dyDescent="0.2">
      <c r="C15" s="1" t="s">
        <v>17</v>
      </c>
      <c r="D15" s="34">
        <v>58126.066672600078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2:C1048576">
    <cfRule type="duplicateValues" dxfId="79" priority="11"/>
    <cfRule type="duplicateValues" dxfId="78" priority="12"/>
  </conditionalFormatting>
  <conditionalFormatting sqref="C14">
    <cfRule type="duplicateValues" dxfId="77" priority="5"/>
    <cfRule type="duplicateValues" dxfId="76" priority="6"/>
  </conditionalFormatting>
  <conditionalFormatting sqref="C18:C31">
    <cfRule type="duplicateValues" dxfId="7" priority="3"/>
    <cfRule type="duplicateValues" dxfId="6" priority="4"/>
  </conditionalFormatting>
  <conditionalFormatting sqref="C1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009-47DA-9A43-A15F-9B31A2FFBA91}">
  <dimension ref="B1:AA17"/>
  <sheetViews>
    <sheetView tabSelected="1" zoomScale="110" zoomScaleNormal="110" workbookViewId="0">
      <selection activeCell="A17" sqref="A17:XFD31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-0.66509739586630101</v>
      </c>
      <c r="J2" s="28">
        <f>(S14-J14)/J14</f>
        <v>-0.99992532242687726</v>
      </c>
      <c r="K2" s="28"/>
      <c r="L2" s="1" t="s">
        <v>19</v>
      </c>
      <c r="P2" s="1">
        <f>(P14-H14)/H14</f>
        <v>-1</v>
      </c>
      <c r="R2" s="1">
        <f>(R14-J14)/J14</f>
        <v>-0.32271818433602245</v>
      </c>
      <c r="T2" s="1" t="s">
        <v>20</v>
      </c>
      <c r="X2" s="1" t="e">
        <f>(X14-P14)/P14</f>
        <v>#DIV/0!</v>
      </c>
      <c r="Z2" s="1">
        <f>(Z14-R14)/R14</f>
        <v>0.47044751069203811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85</v>
      </c>
      <c r="D4" s="23">
        <v>60142.525678491707</v>
      </c>
      <c r="E4" s="33">
        <v>0.27121729200007388</v>
      </c>
      <c r="F4" s="5">
        <v>2</v>
      </c>
      <c r="G4" s="23">
        <v>85</v>
      </c>
      <c r="H4" s="33">
        <v>44.132821139782344</v>
      </c>
      <c r="I4" s="23">
        <v>24.56517273457553</v>
      </c>
      <c r="J4" s="5">
        <v>1690.163793040615</v>
      </c>
      <c r="K4" s="31"/>
      <c r="L4" s="23">
        <v>66959.730017611873</v>
      </c>
      <c r="M4" s="33">
        <v>0.51422216600258253</v>
      </c>
      <c r="N4" s="5">
        <v>3</v>
      </c>
      <c r="O4" s="5">
        <v>75</v>
      </c>
      <c r="P4" s="33">
        <v>0</v>
      </c>
      <c r="Q4" s="5">
        <v>14.51919747319203</v>
      </c>
      <c r="R4" s="5">
        <v>1083.609545327359</v>
      </c>
      <c r="S4" s="31"/>
      <c r="T4" s="23">
        <v>65753.302468418551</v>
      </c>
      <c r="U4" s="33">
        <v>0.38791329100058652</v>
      </c>
      <c r="V4" s="5">
        <v>3</v>
      </c>
      <c r="W4" s="5">
        <v>85</v>
      </c>
      <c r="X4" s="33">
        <v>37.013571314005787</v>
      </c>
      <c r="Y4" s="5">
        <v>28.650652963455379</v>
      </c>
      <c r="Z4" s="5">
        <v>1641.1003621978541</v>
      </c>
      <c r="AA4" s="35"/>
    </row>
    <row r="5" spans="2:27" x14ac:dyDescent="0.2">
      <c r="B5" s="4">
        <v>2</v>
      </c>
      <c r="C5" s="4">
        <v>288</v>
      </c>
      <c r="D5" s="23">
        <v>60556.253004610771</v>
      </c>
      <c r="E5" s="33">
        <v>0.21079708300021591</v>
      </c>
      <c r="F5" s="5">
        <v>3</v>
      </c>
      <c r="G5" s="23">
        <v>95</v>
      </c>
      <c r="H5" s="33">
        <v>39.487261019805253</v>
      </c>
      <c r="I5" s="23">
        <v>14.867814809743711</v>
      </c>
      <c r="J5" s="5">
        <v>1501.8585183819123</v>
      </c>
      <c r="K5" s="31"/>
      <c r="L5" s="23">
        <v>66959.730017611873</v>
      </c>
      <c r="M5" s="33">
        <v>0.25424945899794688</v>
      </c>
      <c r="N5" s="5">
        <v>3</v>
      </c>
      <c r="O5" s="5">
        <v>75</v>
      </c>
      <c r="P5" s="33">
        <v>0</v>
      </c>
      <c r="Q5" s="5">
        <v>14.51919747319203</v>
      </c>
      <c r="R5" s="5">
        <v>1083.609545327359</v>
      </c>
      <c r="S5" s="31"/>
      <c r="T5" s="23">
        <v>65437.671082190551</v>
      </c>
      <c r="U5" s="33">
        <v>0.26644870900054229</v>
      </c>
      <c r="V5" s="5">
        <v>3</v>
      </c>
      <c r="W5" s="5">
        <v>85</v>
      </c>
      <c r="X5" s="33">
        <v>82.358147319903608</v>
      </c>
      <c r="Y5" s="5">
        <v>27.255108663205739</v>
      </c>
      <c r="Z5" s="5">
        <v>1563.463311381611</v>
      </c>
      <c r="AA5" s="35"/>
    </row>
    <row r="6" spans="2:27" x14ac:dyDescent="0.2">
      <c r="B6" s="4">
        <v>3</v>
      </c>
      <c r="C6" s="4">
        <v>400</v>
      </c>
      <c r="D6" s="23">
        <v>59874.493765635503</v>
      </c>
      <c r="E6" s="33">
        <v>0.33431974999984959</v>
      </c>
      <c r="F6" s="5">
        <v>2</v>
      </c>
      <c r="G6" s="23">
        <v>85</v>
      </c>
      <c r="H6" s="33">
        <v>44.132821139782344</v>
      </c>
      <c r="I6" s="23">
        <v>19.62884308837452</v>
      </c>
      <c r="J6" s="5">
        <v>1604.6719286334815</v>
      </c>
      <c r="K6" s="31"/>
      <c r="L6" s="23">
        <v>66913.877529884659</v>
      </c>
      <c r="M6" s="33">
        <v>0.25642141699790949</v>
      </c>
      <c r="N6" s="5">
        <v>3</v>
      </c>
      <c r="O6" s="5">
        <v>75</v>
      </c>
      <c r="P6" s="33">
        <v>0</v>
      </c>
      <c r="Q6" s="5">
        <v>14.523858174161459</v>
      </c>
      <c r="R6" s="5">
        <v>1070.165250025346</v>
      </c>
      <c r="S6" s="31"/>
      <c r="T6" s="23">
        <v>65979.087186106801</v>
      </c>
      <c r="U6" s="33">
        <v>0.40691641600278672</v>
      </c>
      <c r="V6" s="5">
        <v>3</v>
      </c>
      <c r="W6" s="5">
        <v>85</v>
      </c>
      <c r="X6" s="33">
        <v>58.668103338071347</v>
      </c>
      <c r="Y6" s="5">
        <v>28.806228240062499</v>
      </c>
      <c r="Z6" s="5">
        <v>1648.435891912364</v>
      </c>
      <c r="AA6" s="35"/>
    </row>
    <row r="7" spans="2:27" x14ac:dyDescent="0.2">
      <c r="B7" s="4">
        <v>4</v>
      </c>
      <c r="C7" s="4">
        <v>431</v>
      </c>
      <c r="D7" s="23">
        <v>60142.525678491707</v>
      </c>
      <c r="E7" s="33">
        <v>0.2836986660004186</v>
      </c>
      <c r="F7" s="5">
        <v>2</v>
      </c>
      <c r="G7" s="23">
        <v>85</v>
      </c>
      <c r="H7" s="33">
        <v>44.132821139782344</v>
      </c>
      <c r="I7" s="23">
        <v>24.56517273457553</v>
      </c>
      <c r="J7" s="5">
        <v>1690.163793040615</v>
      </c>
      <c r="K7" s="31"/>
      <c r="L7" s="23">
        <v>66950.127715755953</v>
      </c>
      <c r="M7" s="33">
        <v>0.20433341700118041</v>
      </c>
      <c r="N7" s="5">
        <v>3</v>
      </c>
      <c r="O7" s="5">
        <v>75</v>
      </c>
      <c r="P7" s="33">
        <v>0</v>
      </c>
      <c r="Q7" s="5">
        <v>15.18567771181992</v>
      </c>
      <c r="R7" s="5">
        <v>1105.8753171394401</v>
      </c>
      <c r="S7" s="31"/>
      <c r="T7" s="23">
        <v>65286.743470400797</v>
      </c>
      <c r="U7" s="33">
        <v>0.2238260409976647</v>
      </c>
      <c r="V7" s="5">
        <v>3</v>
      </c>
      <c r="W7" s="5">
        <v>85</v>
      </c>
      <c r="X7" s="33">
        <v>72.43308842210493</v>
      </c>
      <c r="Y7" s="5">
        <v>29.164289786312441</v>
      </c>
      <c r="Z7" s="5">
        <v>1598.104583919046</v>
      </c>
      <c r="AA7" s="35"/>
    </row>
    <row r="8" spans="2:27" x14ac:dyDescent="0.2">
      <c r="B8" s="4">
        <v>5</v>
      </c>
      <c r="C8" s="4">
        <v>475</v>
      </c>
      <c r="D8" s="23">
        <v>60556.253004610771</v>
      </c>
      <c r="E8" s="33">
        <v>0.25207624999893602</v>
      </c>
      <c r="F8" s="5">
        <v>3</v>
      </c>
      <c r="G8" s="23">
        <v>95</v>
      </c>
      <c r="H8" s="33">
        <v>39.487261019805253</v>
      </c>
      <c r="I8" s="23">
        <v>14.867814809743711</v>
      </c>
      <c r="J8" s="5">
        <v>1501.8585183819123</v>
      </c>
      <c r="K8" s="31"/>
      <c r="L8" s="23">
        <v>66955.261417703543</v>
      </c>
      <c r="M8" s="33">
        <v>0.22747691699987629</v>
      </c>
      <c r="N8" s="5">
        <v>3</v>
      </c>
      <c r="O8" s="5">
        <v>75</v>
      </c>
      <c r="P8" s="33">
        <v>0</v>
      </c>
      <c r="Q8" s="5">
        <v>13.338189537369839</v>
      </c>
      <c r="R8" s="5">
        <v>1053.8940164524699</v>
      </c>
      <c r="S8" s="31"/>
      <c r="T8" s="23">
        <v>65752.675969438948</v>
      </c>
      <c r="U8" s="33">
        <v>0.2323586250022345</v>
      </c>
      <c r="V8" s="5">
        <v>3</v>
      </c>
      <c r="W8" s="5">
        <v>85</v>
      </c>
      <c r="X8" s="33">
        <v>35.915707829725548</v>
      </c>
      <c r="Y8" s="5">
        <v>27.2445657883938</v>
      </c>
      <c r="Z8" s="5">
        <v>1638.103153083332</v>
      </c>
      <c r="AA8" s="35"/>
    </row>
    <row r="9" spans="2:27" x14ac:dyDescent="0.2">
      <c r="B9" s="4">
        <v>6</v>
      </c>
      <c r="C9" s="4">
        <v>500</v>
      </c>
      <c r="D9" s="23">
        <v>59874.493765635503</v>
      </c>
      <c r="E9" s="33">
        <v>0.38061891599863878</v>
      </c>
      <c r="F9" s="5">
        <v>2</v>
      </c>
      <c r="G9" s="23">
        <v>85</v>
      </c>
      <c r="H9" s="33">
        <v>44.132821139782344</v>
      </c>
      <c r="I9" s="23">
        <v>19.62884308837452</v>
      </c>
      <c r="J9" s="5">
        <v>1604.6719286334815</v>
      </c>
      <c r="K9" s="31"/>
      <c r="L9" s="23">
        <v>67016.468173863861</v>
      </c>
      <c r="M9" s="33">
        <v>0.31460891700044158</v>
      </c>
      <c r="N9" s="5">
        <v>3</v>
      </c>
      <c r="O9" s="5">
        <v>75</v>
      </c>
      <c r="P9" s="33">
        <v>0</v>
      </c>
      <c r="Q9" s="5">
        <v>13.08185098405143</v>
      </c>
      <c r="R9" s="5">
        <v>1037.2441491079151</v>
      </c>
      <c r="S9" s="31"/>
      <c r="T9" s="23">
        <v>67056.33629744756</v>
      </c>
      <c r="U9" s="33">
        <v>0.42492137500084942</v>
      </c>
      <c r="V9" s="5">
        <v>2</v>
      </c>
      <c r="W9" s="5">
        <v>75</v>
      </c>
      <c r="X9" s="33">
        <v>0</v>
      </c>
      <c r="Y9" s="5">
        <v>33.874899140061693</v>
      </c>
      <c r="Z9" s="5">
        <v>1849.592812344255</v>
      </c>
      <c r="AA9" s="35"/>
    </row>
    <row r="10" spans="2:27" x14ac:dyDescent="0.2">
      <c r="B10" s="4">
        <v>7</v>
      </c>
      <c r="C10" s="4">
        <v>565</v>
      </c>
      <c r="D10" s="23">
        <v>59874.493765635503</v>
      </c>
      <c r="E10" s="33">
        <v>0.27129258399872919</v>
      </c>
      <c r="F10" s="5">
        <v>2</v>
      </c>
      <c r="G10" s="23">
        <v>85</v>
      </c>
      <c r="H10" s="33">
        <v>44.132821139782344</v>
      </c>
      <c r="I10" s="23">
        <v>19.62884308837452</v>
      </c>
      <c r="J10" s="5">
        <v>1604.6719286334815</v>
      </c>
      <c r="K10" s="31"/>
      <c r="L10" s="23">
        <v>67062.345798648457</v>
      </c>
      <c r="M10" s="33">
        <v>0.28224833299827878</v>
      </c>
      <c r="N10" s="5">
        <v>3</v>
      </c>
      <c r="O10" s="5">
        <v>75</v>
      </c>
      <c r="P10" s="33">
        <v>5.6638331381631968</v>
      </c>
      <c r="Q10" s="5">
        <v>15.532889186835041</v>
      </c>
      <c r="R10" s="5">
        <v>1105.05132900337</v>
      </c>
      <c r="S10" s="31"/>
      <c r="T10" s="23">
        <v>65419.54623827355</v>
      </c>
      <c r="U10" s="33">
        <v>0.25989037500039558</v>
      </c>
      <c r="V10" s="5">
        <v>3</v>
      </c>
      <c r="W10" s="5">
        <v>85</v>
      </c>
      <c r="X10" s="33">
        <v>38.888560635405959</v>
      </c>
      <c r="Y10" s="5">
        <v>28.83187092664437</v>
      </c>
      <c r="Z10" s="5">
        <v>1626.424977830718</v>
      </c>
      <c r="AA10" s="35"/>
    </row>
    <row r="11" spans="2:27" x14ac:dyDescent="0.2">
      <c r="B11" s="4">
        <v>8</v>
      </c>
      <c r="C11" s="4">
        <v>652</v>
      </c>
      <c r="D11" s="23">
        <v>60112.373199328271</v>
      </c>
      <c r="E11" s="33">
        <v>0.24294183300298761</v>
      </c>
      <c r="F11" s="5">
        <v>3</v>
      </c>
      <c r="G11" s="23">
        <v>85</v>
      </c>
      <c r="H11" s="33">
        <v>0</v>
      </c>
      <c r="I11" s="23">
        <v>15.731997955438322</v>
      </c>
      <c r="J11" s="5">
        <v>1132.1433717409427</v>
      </c>
      <c r="K11" s="31"/>
      <c r="L11" s="23">
        <v>66913.877529884659</v>
      </c>
      <c r="M11" s="33">
        <v>0.54116787500242935</v>
      </c>
      <c r="N11" s="5">
        <v>3</v>
      </c>
      <c r="O11" s="5">
        <v>75</v>
      </c>
      <c r="P11" s="33">
        <v>0</v>
      </c>
      <c r="Q11" s="5">
        <v>14.523858174161459</v>
      </c>
      <c r="R11" s="5">
        <v>1070.165250025346</v>
      </c>
      <c r="S11" s="31"/>
      <c r="T11" s="23">
        <v>65803.909681017249</v>
      </c>
      <c r="U11" s="33">
        <v>0.35214854199875839</v>
      </c>
      <c r="V11" s="5">
        <v>3</v>
      </c>
      <c r="W11" s="5">
        <v>85</v>
      </c>
      <c r="X11" s="33">
        <v>60.150214459891103</v>
      </c>
      <c r="Y11" s="5">
        <v>28.703431738276869</v>
      </c>
      <c r="Z11" s="5">
        <v>1647.2099956451009</v>
      </c>
      <c r="AA11" s="35"/>
    </row>
    <row r="12" spans="2:27" x14ac:dyDescent="0.2">
      <c r="B12" s="4">
        <v>9</v>
      </c>
      <c r="C12" s="4">
        <v>684</v>
      </c>
      <c r="D12" s="23">
        <v>59874.493765635503</v>
      </c>
      <c r="E12" s="33">
        <v>0.64047895799740218</v>
      </c>
      <c r="F12" s="5">
        <v>2</v>
      </c>
      <c r="G12" s="23">
        <v>85</v>
      </c>
      <c r="H12" s="33">
        <v>44.132821139782344</v>
      </c>
      <c r="I12" s="23">
        <v>19.62884308837452</v>
      </c>
      <c r="J12" s="5">
        <v>1604.6719286334815</v>
      </c>
      <c r="K12" s="31"/>
      <c r="L12" s="23">
        <v>67341.563374370526</v>
      </c>
      <c r="M12" s="33">
        <v>0.25802537500203471</v>
      </c>
      <c r="N12" s="5">
        <v>3</v>
      </c>
      <c r="O12" s="5">
        <v>75</v>
      </c>
      <c r="P12" s="33">
        <v>0</v>
      </c>
      <c r="Q12" s="5">
        <v>15.450684347876511</v>
      </c>
      <c r="R12" s="5">
        <v>1128.827271713079</v>
      </c>
      <c r="S12" s="31"/>
      <c r="T12" s="23">
        <v>65437.671082190551</v>
      </c>
      <c r="U12" s="33">
        <v>0.60857170799863525</v>
      </c>
      <c r="V12" s="5">
        <v>3</v>
      </c>
      <c r="W12" s="5">
        <v>85</v>
      </c>
      <c r="X12" s="33">
        <v>82.358147319903608</v>
      </c>
      <c r="Y12" s="5">
        <v>27.255108663205739</v>
      </c>
      <c r="Z12" s="5">
        <v>1563.463311381611</v>
      </c>
      <c r="AA12" s="35"/>
    </row>
    <row r="13" spans="2:27" x14ac:dyDescent="0.2">
      <c r="B13" s="4">
        <v>10</v>
      </c>
      <c r="C13" s="4">
        <v>787</v>
      </c>
      <c r="D13" s="23">
        <v>60556.253004610771</v>
      </c>
      <c r="E13" s="33">
        <v>0.35225741699832719</v>
      </c>
      <c r="F13" s="5">
        <v>3</v>
      </c>
      <c r="G13" s="23">
        <v>95</v>
      </c>
      <c r="H13" s="33">
        <v>39.487261019805253</v>
      </c>
      <c r="I13" s="23">
        <v>14.867814809743711</v>
      </c>
      <c r="J13" s="5">
        <v>1501.8585183819123</v>
      </c>
      <c r="K13" s="31"/>
      <c r="L13" s="23">
        <v>66852.670773724356</v>
      </c>
      <c r="M13" s="33">
        <v>0.39748041599887068</v>
      </c>
      <c r="N13" s="5">
        <v>3</v>
      </c>
      <c r="O13" s="5">
        <v>75</v>
      </c>
      <c r="P13" s="33">
        <v>0</v>
      </c>
      <c r="Q13" s="5">
        <v>14.78019672747987</v>
      </c>
      <c r="R13" s="5">
        <v>1086.8151173699009</v>
      </c>
      <c r="S13" s="31"/>
      <c r="T13" s="23">
        <v>65623.957359515451</v>
      </c>
      <c r="U13" s="33">
        <v>0.63710187499964377</v>
      </c>
      <c r="V13" s="5">
        <v>3</v>
      </c>
      <c r="W13" s="5">
        <v>85</v>
      </c>
      <c r="X13" s="33">
        <v>66.972017323628648</v>
      </c>
      <c r="Y13" s="5">
        <v>27.801656073601041</v>
      </c>
      <c r="Z13" s="5">
        <v>1591.779612378202</v>
      </c>
      <c r="AA13" s="35"/>
    </row>
    <row r="14" spans="2:27" x14ac:dyDescent="0.2">
      <c r="B14" s="46" t="s">
        <v>3</v>
      </c>
      <c r="C14" s="47"/>
      <c r="D14" s="9">
        <f>MIN(D4:D13)</f>
        <v>59874.493765635503</v>
      </c>
      <c r="E14" s="22">
        <f>INDEX(E4:E13, MATCH($D$14, D4:D13, 0))</f>
        <v>0.33431974999984959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44.132821139782344</v>
      </c>
      <c r="I14" s="22">
        <f>INDEX(I4:I13, MATCH($D$14, D4:D13, 0))</f>
        <v>19.62884308837452</v>
      </c>
      <c r="J14" s="22">
        <f>INDEX(J4:J13, MATCH($D$14, D4:D13, 0))</f>
        <v>1604.6719286334815</v>
      </c>
      <c r="K14" s="32">
        <f>(D14-$D$15)/$D$15</f>
        <v>2.9432409759319422E-3</v>
      </c>
      <c r="L14" s="16">
        <f>MIN(L4:L13)</f>
        <v>66852.670773724356</v>
      </c>
      <c r="M14" s="21">
        <f>INDEX(M4:M13, MATCH($L$14, L4:L13, 0))</f>
        <v>0.39748041599887068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14.78019672747987</v>
      </c>
      <c r="R14" s="21">
        <f>INDEX(R4:R13, MATCH($L$14, L4:L13, 0))</f>
        <v>1086.8151173699009</v>
      </c>
      <c r="S14" s="36">
        <f>(L14-$D$15)/$D$15</f>
        <v>0.11983300528844833</v>
      </c>
      <c r="T14" s="38">
        <f>MIN(T4:T13)</f>
        <v>65286.743470400797</v>
      </c>
      <c r="U14" s="39">
        <f>INDEX(U4:U13, MATCH($T$14, T4:T13, 0))</f>
        <v>0.2238260409976647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72.43308842210493</v>
      </c>
      <c r="Y14" s="39">
        <f>INDEX(Y4:Y13, MATCH($T$14, T4:T13, 0))</f>
        <v>29.164289786312441</v>
      </c>
      <c r="Z14" s="39">
        <f>INDEX(Z4:Z13, MATCH($T$14, T4:T13, 0))</f>
        <v>1598.104583919046</v>
      </c>
      <c r="AA14" s="40">
        <f>(T14-$D$15)/$D$15</f>
        <v>9.3602533747836697E-2</v>
      </c>
    </row>
    <row r="15" spans="2:27" x14ac:dyDescent="0.2">
      <c r="C15" s="1" t="s">
        <v>17</v>
      </c>
      <c r="D15" s="34">
        <v>59698.785852899862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2:C1048576">
    <cfRule type="duplicateValues" dxfId="73" priority="11"/>
    <cfRule type="duplicateValues" dxfId="72" priority="12"/>
  </conditionalFormatting>
  <conditionalFormatting sqref="C14">
    <cfRule type="duplicateValues" dxfId="71" priority="5"/>
    <cfRule type="duplicateValues" dxfId="70" priority="6"/>
  </conditionalFormatting>
  <conditionalFormatting sqref="C18:C31">
    <cfRule type="duplicateValues" dxfId="3" priority="3"/>
    <cfRule type="duplicateValues" dxfId="2" priority="4"/>
  </conditionalFormatting>
  <conditionalFormatting sqref="C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6" priority="1"/>
  </conditionalFormatting>
  <conditionalFormatting sqref="L14">
    <cfRule type="duplicateValues" dxfId="6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4" priority="1"/>
  </conditionalFormatting>
  <conditionalFormatting sqref="L14">
    <cfRule type="duplicateValues" dxfId="6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  <cfRule type="duplicateValues" dxfId="55" priority="2"/>
  </conditionalFormatting>
  <conditionalFormatting sqref="L14">
    <cfRule type="duplicateValues" dxfId="5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3" priority="1"/>
  </conditionalFormatting>
  <conditionalFormatting sqref="L14">
    <cfRule type="duplicateValues" dxfId="5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1" priority="1"/>
  </conditionalFormatting>
  <conditionalFormatting sqref="L14">
    <cfRule type="duplicateValues" dxfId="5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results265</vt:lpstr>
      <vt:lpstr>results279</vt:lpstr>
      <vt:lpstr>results306</vt:lpstr>
      <vt:lpstr>results400</vt:lpstr>
      <vt:lpstr>results467</vt:lpstr>
      <vt:lpstr>results653</vt:lpstr>
      <vt:lpstr>results714</vt:lpstr>
      <vt:lpstr>results941</vt:lpstr>
      <vt:lpstr>results980</vt:lpstr>
      <vt:lpstr>results997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2026-10-21T18:10:27Z</dcterms:modified>
</cp:coreProperties>
</file>