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200-5-5/"/>
    </mc:Choice>
  </mc:AlternateContent>
  <xr:revisionPtr revIDLastSave="0" documentId="13_ncr:1_{82829871-0E68-F84B-AF52-A7CC12F86A6A}" xr6:coauthVersionLast="47" xr6:coauthVersionMax="47" xr10:uidLastSave="{00000000-0000-0000-0000-000000000000}"/>
  <bookViews>
    <workbookView xWindow="0" yWindow="760" windowWidth="34560" windowHeight="20540" tabRatio="781" xr2:uid="{41E620E7-D6DF-9342-B452-EA60AB3B07C5}"/>
  </bookViews>
  <sheets>
    <sheet name="Summary" sheetId="67" r:id="rId1"/>
    <sheet name="results105" sheetId="57" r:id="rId2"/>
    <sheet name="results118" sheetId="58" r:id="rId3"/>
    <sheet name="results129" sheetId="59" r:id="rId4"/>
    <sheet name="results223" sheetId="60" r:id="rId5"/>
    <sheet name="results261" sheetId="61" r:id="rId6"/>
    <sheet name="results361" sheetId="62" r:id="rId7"/>
    <sheet name="results469" sheetId="63" r:id="rId8"/>
    <sheet name="results494" sheetId="64" r:id="rId9"/>
    <sheet name="results519" sheetId="65" r:id="rId10"/>
    <sheet name="results963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M11" i="67" a="1"/>
  <c r="H5" i="67" a="1"/>
  <c r="Q7" i="67" a="1"/>
  <c r="W11" i="67" a="1"/>
  <c r="Q4" i="67" a="1"/>
  <c r="M7" i="67" a="1"/>
  <c r="S9" i="67" a="1"/>
  <c r="O5" i="67" a="1"/>
  <c r="U11" i="67" a="1"/>
  <c r="V10" i="67" a="1"/>
  <c r="H6" i="67" a="1"/>
  <c r="M4" i="67" a="1"/>
  <c r="Q11" i="67" a="1"/>
  <c r="K4" i="67" a="1"/>
  <c r="Q9" i="67" a="1"/>
  <c r="O11" i="67" a="1"/>
  <c r="U9" i="67" a="1"/>
  <c r="M10" i="67" a="1"/>
  <c r="K5" i="67" a="1"/>
  <c r="Q10" i="67" a="1"/>
  <c r="M5" i="67" a="1"/>
  <c r="E4" i="67" a="1"/>
  <c r="O10" i="67" a="1"/>
  <c r="Y11" i="67" a="1"/>
  <c r="S12" i="67" a="1"/>
  <c r="K11" i="67" a="1"/>
  <c r="I4" i="67" a="1"/>
  <c r="X8" i="67" a="1"/>
  <c r="I6" i="67" a="1"/>
  <c r="W5" i="67" a="1"/>
  <c r="Q6" i="67" a="1"/>
  <c r="O7" i="67" a="1"/>
  <c r="W4" i="67" a="1"/>
  <c r="C5" i="67" a="1"/>
  <c r="X10" i="67" a="1"/>
  <c r="O9" i="67" a="1"/>
  <c r="K8" i="67" a="1"/>
  <c r="N11" i="67" a="1"/>
  <c r="S4" i="67" a="1"/>
  <c r="K3" i="67" a="1"/>
  <c r="U7" i="67" a="1"/>
  <c r="X9" i="67" a="1"/>
  <c r="E6" i="67" a="1"/>
  <c r="V7" i="67" a="1"/>
  <c r="M3" i="67" a="1"/>
  <c r="P9" i="67" a="1"/>
  <c r="H4" i="67" a="1"/>
  <c r="P11" i="67" a="1"/>
  <c r="O3" i="67" a="1"/>
  <c r="O8" i="67" a="1"/>
  <c r="O12" i="67" a="1"/>
  <c r="V9" i="67" a="1"/>
  <c r="U5" i="67" a="1"/>
  <c r="G3" i="67" a="1"/>
  <c r="F3" i="67" a="1"/>
  <c r="U12" i="67" a="1"/>
  <c r="Y8" i="67" a="1"/>
  <c r="X5" i="67" a="1"/>
  <c r="P8" i="67" a="1"/>
  <c r="N7" i="67" a="1"/>
  <c r="Y6" i="67" a="1"/>
  <c r="U4" i="67" a="1"/>
  <c r="V11" i="67" a="1"/>
  <c r="M9" i="67" a="1"/>
  <c r="V3" i="67" a="1"/>
  <c r="V6" i="67" a="1"/>
  <c r="P6" i="67" a="1"/>
  <c r="K7" i="67" a="1"/>
  <c r="G4" i="67" a="1"/>
  <c r="W9" i="67" a="1"/>
  <c r="Y9" i="67" a="1"/>
  <c r="N10" i="67" a="1"/>
  <c r="S11" i="67" a="1"/>
  <c r="W8" i="67" a="1"/>
  <c r="Q5" i="67" a="1"/>
  <c r="G6" i="67" a="1"/>
  <c r="Y7" i="67" a="1"/>
  <c r="P10" i="67" a="1"/>
  <c r="X12" i="67" a="1"/>
  <c r="V4" i="67" a="1"/>
  <c r="K10" i="67" a="1"/>
  <c r="K12" i="67" a="1"/>
  <c r="M8" i="67" a="1"/>
  <c r="S10" i="67" a="1"/>
  <c r="G5" i="67" a="1"/>
  <c r="X6" i="67" a="1"/>
  <c r="S7" i="67" a="1"/>
  <c r="C6" i="67" a="1"/>
  <c r="X3" i="67" a="1"/>
  <c r="X4" i="67" a="1"/>
  <c r="F5" i="67" a="1"/>
  <c r="I7" i="67" a="1"/>
  <c r="F7" i="67" a="1"/>
  <c r="Y3" i="67" a="1"/>
  <c r="W12" i="67" a="1"/>
  <c r="V12" i="67" a="1"/>
  <c r="W3" i="67" a="1"/>
  <c r="C3" i="67" a="1"/>
  <c r="N8" i="67" a="1"/>
  <c r="S3" i="67" a="1"/>
  <c r="N9" i="67" a="1"/>
  <c r="K6" i="67" a="1"/>
  <c r="O6" i="67" a="1"/>
  <c r="N5" i="67" a="1"/>
  <c r="H7" i="67" a="1"/>
  <c r="E5" i="67" a="1"/>
  <c r="N4" i="67" a="1"/>
  <c r="P4" i="67" a="1"/>
  <c r="Y5" i="67" a="1"/>
  <c r="Q3" i="67" a="1"/>
  <c r="S6" i="67" a="1"/>
  <c r="U3" i="67" a="1"/>
  <c r="I3" i="67" a="1"/>
  <c r="I5" i="67" a="1"/>
  <c r="W6" i="67" a="1"/>
  <c r="C7" i="67" a="1"/>
  <c r="N3" i="67" a="1"/>
  <c r="M12" i="67" a="1"/>
  <c r="G7" i="67" a="1"/>
  <c r="Q8" i="67" a="1"/>
  <c r="X7" i="67" a="1"/>
  <c r="C4" i="67" a="1"/>
  <c r="V5" i="67" a="1"/>
  <c r="K9" i="67" a="1"/>
  <c r="S8" i="67" a="1"/>
  <c r="Y4" i="67" a="1"/>
  <c r="W7" i="67" a="1"/>
  <c r="N6" i="67" a="1"/>
  <c r="Q12" i="67" a="1"/>
  <c r="N12" i="67" a="1"/>
  <c r="F6" i="67" a="1"/>
  <c r="Y10" i="67" a="1"/>
  <c r="P3" i="67" a="1"/>
  <c r="V8" i="67" a="1"/>
  <c r="S5" i="67" a="1"/>
  <c r="U6" i="67" a="1"/>
  <c r="Y12" i="67" a="1"/>
  <c r="U8" i="67" a="1"/>
  <c r="P12" i="67" a="1"/>
  <c r="P7" i="67" a="1"/>
  <c r="E3" i="67" a="1"/>
  <c r="W10" i="67" a="1"/>
  <c r="M6" i="67" a="1"/>
  <c r="X11" i="67" a="1"/>
  <c r="H3" i="67" a="1"/>
  <c r="P5" i="67" a="1"/>
  <c r="F4" i="67" a="1"/>
  <c r="U10" i="67" a="1"/>
  <c r="E7" i="67" a="1"/>
  <c r="O4" i="67" a="1"/>
  <c r="M10" i="67" l="1"/>
  <c r="X10" i="67"/>
  <c r="M5" i="67"/>
  <c r="M8" i="67"/>
  <c r="K8" i="67"/>
  <c r="W8" i="67"/>
  <c r="H4" i="67"/>
  <c r="W3" i="67"/>
  <c r="G5" i="67"/>
  <c r="X5" i="67"/>
  <c r="K4" i="67"/>
  <c r="O12" i="67"/>
  <c r="W6" i="67"/>
  <c r="Q10" i="67"/>
  <c r="U9" i="67"/>
  <c r="V8" i="67"/>
  <c r="X9" i="67"/>
  <c r="G3" i="67"/>
  <c r="H6" i="67"/>
  <c r="V5" i="67"/>
  <c r="V4" i="67"/>
  <c r="P4" i="67"/>
  <c r="E5" i="67"/>
  <c r="I6" i="67"/>
  <c r="H7" i="67"/>
  <c r="W4" i="67"/>
  <c r="S11" i="67"/>
  <c r="Y6" i="67"/>
  <c r="W10" i="67"/>
  <c r="C7" i="67"/>
  <c r="W11" i="67"/>
  <c r="K12" i="67"/>
  <c r="Q7" i="67"/>
  <c r="F7" i="67"/>
  <c r="U3" i="67"/>
  <c r="N3" i="67"/>
  <c r="S6" i="67"/>
  <c r="X4" i="67"/>
  <c r="N12" i="67"/>
  <c r="P12" i="67"/>
  <c r="F3" i="67"/>
  <c r="K9" i="67"/>
  <c r="K11" i="67"/>
  <c r="Y7" i="67"/>
  <c r="M4" i="67"/>
  <c r="Y12" i="67"/>
  <c r="E4" i="67"/>
  <c r="F4" i="67"/>
  <c r="V11" i="67"/>
  <c r="U5" i="67"/>
  <c r="W5" i="67"/>
  <c r="O5" i="67"/>
  <c r="U12" i="67"/>
  <c r="V10" i="67"/>
  <c r="V12" i="67"/>
  <c r="O4" i="67"/>
  <c r="O9" i="67"/>
  <c r="N10" i="67"/>
  <c r="Y10" i="67"/>
  <c r="M11" i="67"/>
  <c r="W12" i="67"/>
  <c r="Y4" i="67"/>
  <c r="I5" i="67"/>
  <c r="K6" i="67"/>
  <c r="P10" i="67"/>
  <c r="U11" i="67"/>
  <c r="Q9" i="67"/>
  <c r="S3" i="67"/>
  <c r="K7" i="67"/>
  <c r="X3" i="67"/>
  <c r="Q4" i="67"/>
  <c r="E6" i="67"/>
  <c r="F6" i="67"/>
  <c r="X11" i="67"/>
  <c r="I3" i="67"/>
  <c r="P9" i="67"/>
  <c r="N5" i="67"/>
  <c r="U7" i="67"/>
  <c r="U8" i="67"/>
  <c r="U10" i="67"/>
  <c r="F5" i="67"/>
  <c r="V6" i="67"/>
  <c r="Q5" i="67"/>
  <c r="S5" i="67"/>
  <c r="S7" i="67"/>
  <c r="V7" i="67"/>
  <c r="Q11" i="67"/>
  <c r="P5" i="67"/>
  <c r="P6" i="67"/>
  <c r="X6" i="67"/>
  <c r="Q6" i="67"/>
  <c r="I4" i="67"/>
  <c r="K5" i="67"/>
  <c r="P3" i="67"/>
  <c r="N7" i="67"/>
  <c r="Q12" i="67"/>
  <c r="E7" i="67"/>
  <c r="O10" i="67"/>
  <c r="Y11" i="67"/>
  <c r="G6" i="67"/>
  <c r="M3" i="67"/>
  <c r="H3" i="67"/>
  <c r="G4" i="67"/>
  <c r="O11" i="67"/>
  <c r="C5" i="67"/>
  <c r="Q3" i="67"/>
  <c r="C3" i="67"/>
  <c r="U6" i="67"/>
  <c r="Q8" i="67"/>
  <c r="M6" i="67"/>
  <c r="W9" i="67"/>
  <c r="N8" i="67"/>
  <c r="C6" i="67"/>
  <c r="O8" i="67"/>
  <c r="M12" i="67"/>
  <c r="N6" i="67"/>
  <c r="M7" i="67"/>
  <c r="S10" i="67"/>
  <c r="S8" i="67"/>
  <c r="V9" i="67"/>
  <c r="O6" i="67"/>
  <c r="C4" i="67"/>
  <c r="P8" i="67"/>
  <c r="P7" i="67"/>
  <c r="G7" i="67"/>
  <c r="S9" i="67"/>
  <c r="I7" i="67"/>
  <c r="E3" i="67"/>
  <c r="Y8" i="67"/>
  <c r="X7" i="67"/>
  <c r="N9" i="67"/>
  <c r="X12" i="67"/>
  <c r="K3" i="67"/>
  <c r="K10" i="67"/>
  <c r="H5" i="67"/>
  <c r="O3" i="67"/>
  <c r="S4" i="67"/>
  <c r="V3" i="67"/>
  <c r="Y3" i="67"/>
  <c r="X8" i="67"/>
  <c r="O7" i="67"/>
  <c r="N4" i="67"/>
  <c r="P11" i="67"/>
  <c r="U4" i="67"/>
  <c r="W7" i="67"/>
  <c r="Y5" i="67"/>
  <c r="M9" i="67"/>
  <c r="S12" i="67"/>
  <c r="Y9" i="67"/>
  <c r="N11" i="6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S16" i="67" l="1"/>
  <c r="K16" i="67"/>
  <c r="U13" i="67"/>
  <c r="N13" i="67"/>
  <c r="X13" i="67"/>
  <c r="Q13" i="67"/>
  <c r="Y13" i="67"/>
  <c r="M13" i="67"/>
  <c r="W13" i="67"/>
  <c r="V13" i="67"/>
  <c r="S13" i="67"/>
  <c r="Z13" i="67" s="1"/>
  <c r="K13" i="67"/>
  <c r="R13" i="67" s="1"/>
  <c r="P13" i="67"/>
  <c r="O13" i="67"/>
  <c r="T14" i="59"/>
  <c r="AA14" i="59" s="1"/>
  <c r="T14" i="58"/>
  <c r="V14" i="58" s="1"/>
  <c r="T14" i="57"/>
  <c r="X14" i="57" s="1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L14" i="57" l="1"/>
  <c r="O14" i="57" s="1"/>
  <c r="T14" i="62"/>
  <c r="V14" i="62" s="1"/>
  <c r="T14" i="61"/>
  <c r="AA14" i="61" s="1"/>
  <c r="T14" i="60"/>
  <c r="Y14" i="60" s="1"/>
  <c r="U14" i="59"/>
  <c r="V14" i="59"/>
  <c r="W14" i="59"/>
  <c r="Y14" i="59"/>
  <c r="X14" i="59"/>
  <c r="Z14" i="59"/>
  <c r="Z14" i="58"/>
  <c r="Y14" i="58"/>
  <c r="AA14" i="58"/>
  <c r="W14" i="58"/>
  <c r="X14" i="58"/>
  <c r="U14" i="58"/>
  <c r="Y14" i="57"/>
  <c r="W14" i="57"/>
  <c r="Z14" i="57"/>
  <c r="AA14" i="57"/>
  <c r="U14" i="57"/>
  <c r="V14" i="57"/>
  <c r="G14" i="26"/>
  <c r="E14" i="26"/>
  <c r="D14" i="26"/>
  <c r="K14" i="26"/>
  <c r="P14" i="25"/>
  <c r="N14" i="25"/>
  <c r="M14" i="25"/>
  <c r="T14" i="25"/>
  <c r="D14" i="25"/>
  <c r="T5" i="67" a="1"/>
  <c r="T4" i="67" a="1"/>
  <c r="T3" i="67" a="1"/>
  <c r="I4" i="23" a="1"/>
  <c r="H4" i="23" a="1"/>
  <c r="T5" i="67" l="1"/>
  <c r="T4" i="67"/>
  <c r="T3" i="67"/>
  <c r="D14" i="66"/>
  <c r="D14" i="65"/>
  <c r="E14" i="65" s="1"/>
  <c r="D14" i="64"/>
  <c r="D14" i="63"/>
  <c r="D14" i="62"/>
  <c r="E14" i="62" s="1"/>
  <c r="D14" i="60"/>
  <c r="E14" i="60" s="1"/>
  <c r="D14" i="61"/>
  <c r="L15" i="61" s="1"/>
  <c r="D14" i="59"/>
  <c r="L15" i="59" s="1"/>
  <c r="D14" i="58"/>
  <c r="D14" i="57"/>
  <c r="T15" i="57" s="1"/>
  <c r="L14" i="61"/>
  <c r="L14" i="66"/>
  <c r="L15" i="66" s="1"/>
  <c r="G14" i="66"/>
  <c r="T15" i="66"/>
  <c r="I14" i="64"/>
  <c r="T15" i="64"/>
  <c r="L15" i="64"/>
  <c r="I14" i="63"/>
  <c r="T15" i="63"/>
  <c r="L15" i="63"/>
  <c r="O14" i="61"/>
  <c r="H14" i="58"/>
  <c r="T15" i="58"/>
  <c r="L15" i="58"/>
  <c r="L14" i="65"/>
  <c r="R14" i="65" s="1"/>
  <c r="L14" i="64"/>
  <c r="S14" i="64" s="1"/>
  <c r="L14" i="63"/>
  <c r="M14" i="63" s="1"/>
  <c r="L14" i="62"/>
  <c r="S14" i="62" s="1"/>
  <c r="L14" i="59"/>
  <c r="M14" i="59" s="1"/>
  <c r="L14" i="58"/>
  <c r="M14" i="58" s="1"/>
  <c r="L14" i="60"/>
  <c r="R14" i="60" s="1"/>
  <c r="T14" i="66"/>
  <c r="Z14" i="66" s="1"/>
  <c r="T14" i="65"/>
  <c r="Y14" i="65" s="1"/>
  <c r="J14" i="64"/>
  <c r="K14" i="64"/>
  <c r="T14" i="64"/>
  <c r="AA14" i="64" s="1"/>
  <c r="H14" i="64"/>
  <c r="E14" i="64"/>
  <c r="G14" i="62"/>
  <c r="G14" i="64"/>
  <c r="K14" i="61"/>
  <c r="F14" i="62"/>
  <c r="M14" i="60"/>
  <c r="P14" i="66"/>
  <c r="I14" i="62"/>
  <c r="H14" i="62"/>
  <c r="H14" i="63"/>
  <c r="J14" i="61"/>
  <c r="Z15" i="61" s="1"/>
  <c r="O14" i="65"/>
  <c r="P14" i="65"/>
  <c r="P14" i="59"/>
  <c r="X2" i="59" s="1"/>
  <c r="M14" i="61"/>
  <c r="P14" i="61"/>
  <c r="N14" i="65"/>
  <c r="Q14" i="65"/>
  <c r="T14" i="63"/>
  <c r="AA14" i="63" s="1"/>
  <c r="I14" i="60"/>
  <c r="I14" i="58"/>
  <c r="G14" i="63"/>
  <c r="G14" i="60"/>
  <c r="H14" i="60"/>
  <c r="R14" i="61"/>
  <c r="N14" i="61"/>
  <c r="I14" i="66"/>
  <c r="K14" i="66"/>
  <c r="E14" i="57"/>
  <c r="F14" i="63"/>
  <c r="G14" i="58"/>
  <c r="K14" i="57"/>
  <c r="E14" i="63"/>
  <c r="K14" i="63"/>
  <c r="F14" i="58"/>
  <c r="J14" i="63"/>
  <c r="E14" i="58"/>
  <c r="M14" i="65"/>
  <c r="J14" i="62"/>
  <c r="F14" i="64"/>
  <c r="K14" i="58"/>
  <c r="J14" i="66"/>
  <c r="S14" i="65"/>
  <c r="O14" i="62"/>
  <c r="N14" i="57"/>
  <c r="S14" i="57"/>
  <c r="M14" i="57"/>
  <c r="R14" i="62"/>
  <c r="N14" i="64"/>
  <c r="P14" i="62"/>
  <c r="E14" i="66"/>
  <c r="F14" i="66"/>
  <c r="M14" i="64"/>
  <c r="N14" i="62"/>
  <c r="Q14" i="61"/>
  <c r="Q14" i="57"/>
  <c r="O14" i="64"/>
  <c r="Q14" i="62"/>
  <c r="J14" i="60"/>
  <c r="R14" i="57"/>
  <c r="Z2" i="57" s="1"/>
  <c r="J14" i="58"/>
  <c r="K14" i="60"/>
  <c r="M14" i="62"/>
  <c r="P14" i="64"/>
  <c r="S14" i="61"/>
  <c r="R14" i="64"/>
  <c r="H14" i="66"/>
  <c r="Q14" i="64"/>
  <c r="P14" i="57"/>
  <c r="X2" i="57" s="1"/>
  <c r="X14" i="62"/>
  <c r="Z14" i="62"/>
  <c r="Y14" i="62"/>
  <c r="U14" i="62"/>
  <c r="AA14" i="62"/>
  <c r="W14" i="62"/>
  <c r="X14" i="61"/>
  <c r="V14" i="61"/>
  <c r="W14" i="61"/>
  <c r="Z14" i="61"/>
  <c r="Y14" i="61"/>
  <c r="U14" i="61"/>
  <c r="X14" i="60"/>
  <c r="V14" i="60"/>
  <c r="AA14" i="60"/>
  <c r="Z14" i="60"/>
  <c r="W14" i="60"/>
  <c r="U14" i="60"/>
  <c r="H4" i="23"/>
  <c r="I4" i="23"/>
  <c r="L11" i="67" a="1"/>
  <c r="L10" i="67" a="1"/>
  <c r="L9" i="67" a="1"/>
  <c r="T8" i="67" a="1"/>
  <c r="L8" i="67" a="1"/>
  <c r="T7" i="67" a="1"/>
  <c r="L7" i="67" a="1"/>
  <c r="T6" i="67" a="1"/>
  <c r="L6" i="67" a="1"/>
  <c r="D6" i="67" a="1"/>
  <c r="L5" i="67" a="1"/>
  <c r="L4" i="67" a="1"/>
  <c r="D4" i="67" a="1"/>
  <c r="L3" i="67" a="1"/>
  <c r="D3" i="67" a="1"/>
  <c r="F12" i="67" a="1"/>
  <c r="H12" i="67" a="1"/>
  <c r="F10" i="67" a="1"/>
  <c r="C11" i="67" a="1"/>
  <c r="C10" i="67" a="1"/>
  <c r="D12" i="67" a="1"/>
  <c r="E10" i="23" a="1"/>
  <c r="H10" i="67" a="1"/>
  <c r="E12" i="67" a="1"/>
  <c r="E9" i="23" a="1"/>
  <c r="G10" i="67" a="1"/>
  <c r="G12" i="67" a="1"/>
  <c r="I9" i="67" a="1"/>
  <c r="G13" i="23" a="1"/>
  <c r="E7" i="23" a="1"/>
  <c r="D8" i="67" a="1"/>
  <c r="E8" i="67" a="1"/>
  <c r="E11" i="23" a="1"/>
  <c r="I8" i="67" a="1"/>
  <c r="D12" i="23" a="1"/>
  <c r="G5" i="23" a="1"/>
  <c r="F12" i="23" a="1"/>
  <c r="D7" i="23" a="1"/>
  <c r="H9" i="67" a="1"/>
  <c r="E10" i="67" a="1"/>
  <c r="F5" i="23" a="1"/>
  <c r="G10" i="23" a="1"/>
  <c r="D8" i="23" a="1"/>
  <c r="F10" i="23" a="1"/>
  <c r="D13" i="23" a="1"/>
  <c r="E6" i="23" a="1"/>
  <c r="D9" i="67" a="1"/>
  <c r="G4" i="23" a="1"/>
  <c r="E8" i="23" a="1"/>
  <c r="D9" i="23" a="1"/>
  <c r="F8" i="23" a="1"/>
  <c r="G6" i="23" a="1"/>
  <c r="I12" i="67" a="1"/>
  <c r="D10" i="67" a="1"/>
  <c r="H8" i="67" a="1"/>
  <c r="D4" i="23" a="1"/>
  <c r="E5" i="23" a="1"/>
  <c r="E9" i="67" a="1"/>
  <c r="F9" i="23" a="1"/>
  <c r="F13" i="23" a="1"/>
  <c r="G9" i="67" a="1"/>
  <c r="C12" i="67" a="1"/>
  <c r="G11" i="23" a="1"/>
  <c r="C9" i="67" a="1"/>
  <c r="G9" i="23" a="1"/>
  <c r="G12" i="23" a="1"/>
  <c r="E4" i="23" a="1"/>
  <c r="F6" i="23" a="1"/>
  <c r="E12" i="23" a="1"/>
  <c r="C8" i="67" a="1"/>
  <c r="F7" i="23" a="1"/>
  <c r="I10" i="67" a="1"/>
  <c r="D6" i="23" a="1"/>
  <c r="G8" i="67" a="1"/>
  <c r="D10" i="23" a="1"/>
  <c r="F9" i="67" a="1"/>
  <c r="D11" i="67" a="1"/>
  <c r="F8" i="67" a="1"/>
  <c r="F4" i="23" a="1"/>
  <c r="D5" i="23" a="1"/>
  <c r="E13" i="23" a="1"/>
  <c r="D11" i="23" a="1"/>
  <c r="G7" i="23" a="1"/>
  <c r="G8" i="23" a="1"/>
  <c r="F11" i="23" a="1"/>
  <c r="L11" i="67" l="1"/>
  <c r="L10" i="67"/>
  <c r="L9" i="67"/>
  <c r="T8" i="67"/>
  <c r="L8" i="67"/>
  <c r="T7" i="67"/>
  <c r="L7" i="67"/>
  <c r="T6" i="67"/>
  <c r="L6" i="67"/>
  <c r="D6" i="67"/>
  <c r="L5" i="67"/>
  <c r="L4" i="67"/>
  <c r="D4" i="67"/>
  <c r="L3" i="67"/>
  <c r="D3" i="67"/>
  <c r="C12" i="67"/>
  <c r="K14" i="65"/>
  <c r="F14" i="65"/>
  <c r="V15" i="65" s="1"/>
  <c r="J14" i="65"/>
  <c r="R2" i="65" s="1"/>
  <c r="L15" i="65"/>
  <c r="T15" i="65"/>
  <c r="G14" i="65"/>
  <c r="H14" i="65"/>
  <c r="P15" i="65" s="1"/>
  <c r="I14" i="65"/>
  <c r="Y15" i="65" s="1"/>
  <c r="C11" i="67"/>
  <c r="C10" i="67"/>
  <c r="C9" i="67"/>
  <c r="L15" i="62"/>
  <c r="T15" i="62"/>
  <c r="K14" i="62"/>
  <c r="C8" i="67"/>
  <c r="H12" i="67"/>
  <c r="G12" i="67"/>
  <c r="E12" i="67"/>
  <c r="D12" i="67"/>
  <c r="I12" i="67"/>
  <c r="F12" i="67"/>
  <c r="Y15" i="66"/>
  <c r="X15" i="66"/>
  <c r="V15" i="66"/>
  <c r="W15" i="66"/>
  <c r="D11" i="67"/>
  <c r="I10" i="67"/>
  <c r="H10" i="67"/>
  <c r="E10" i="67"/>
  <c r="G10" i="67"/>
  <c r="D10" i="67"/>
  <c r="F10" i="67"/>
  <c r="H9" i="67"/>
  <c r="G9" i="67"/>
  <c r="I9" i="67"/>
  <c r="F9" i="67"/>
  <c r="D9" i="67"/>
  <c r="E9" i="67"/>
  <c r="D8" i="67"/>
  <c r="H8" i="67"/>
  <c r="I8" i="67"/>
  <c r="E8" i="67"/>
  <c r="F8" i="67"/>
  <c r="G8" i="67"/>
  <c r="L15" i="60"/>
  <c r="T15" i="60"/>
  <c r="F14" i="60"/>
  <c r="N15" i="60" s="1"/>
  <c r="H14" i="61"/>
  <c r="X15" i="61" s="1"/>
  <c r="F14" i="61"/>
  <c r="V15" i="61" s="1"/>
  <c r="T15" i="61"/>
  <c r="G14" i="61"/>
  <c r="W15" i="61" s="1"/>
  <c r="E14" i="61"/>
  <c r="I14" i="61"/>
  <c r="Y15" i="61" s="1"/>
  <c r="F14" i="59"/>
  <c r="G14" i="59"/>
  <c r="H14" i="59"/>
  <c r="K14" i="59"/>
  <c r="J14" i="59"/>
  <c r="E14" i="59"/>
  <c r="I14" i="59"/>
  <c r="Y15" i="59" s="1"/>
  <c r="T15" i="59"/>
  <c r="L15" i="57"/>
  <c r="I14" i="57"/>
  <c r="G14" i="57"/>
  <c r="F14" i="57"/>
  <c r="H14" i="57"/>
  <c r="J14" i="57"/>
  <c r="J2" i="57" s="1"/>
  <c r="M14" i="66"/>
  <c r="O14" i="66"/>
  <c r="O15" i="66" s="1"/>
  <c r="Q14" i="66"/>
  <c r="N14" i="66"/>
  <c r="N15" i="66" s="1"/>
  <c r="S14" i="66"/>
  <c r="R14" i="66"/>
  <c r="Z2" i="66" s="1"/>
  <c r="Q15" i="66"/>
  <c r="J2" i="66"/>
  <c r="Z15" i="66"/>
  <c r="P15" i="66"/>
  <c r="W15" i="65"/>
  <c r="O15" i="65"/>
  <c r="M15" i="65"/>
  <c r="J2" i="64"/>
  <c r="Z15" i="64"/>
  <c r="R15" i="64"/>
  <c r="N15" i="64"/>
  <c r="V15" i="64"/>
  <c r="X15" i="64"/>
  <c r="P15" i="64"/>
  <c r="M15" i="64"/>
  <c r="O15" i="64"/>
  <c r="W15" i="64"/>
  <c r="Q15" i="64"/>
  <c r="Y15" i="64"/>
  <c r="O15" i="63"/>
  <c r="W15" i="63"/>
  <c r="R15" i="61"/>
  <c r="M15" i="63"/>
  <c r="X15" i="63"/>
  <c r="P15" i="63"/>
  <c r="V15" i="63"/>
  <c r="N15" i="63"/>
  <c r="Z15" i="63"/>
  <c r="R15" i="63"/>
  <c r="Y15" i="63"/>
  <c r="Q15" i="63"/>
  <c r="V15" i="62"/>
  <c r="N15" i="62"/>
  <c r="W15" i="62"/>
  <c r="O15" i="62"/>
  <c r="U15" i="62"/>
  <c r="M15" i="62"/>
  <c r="X15" i="62"/>
  <c r="P15" i="62"/>
  <c r="Q15" i="61"/>
  <c r="M15" i="61"/>
  <c r="Y15" i="62"/>
  <c r="Q15" i="62"/>
  <c r="P15" i="61"/>
  <c r="J2" i="62"/>
  <c r="Z15" i="62"/>
  <c r="R15" i="62"/>
  <c r="N15" i="61"/>
  <c r="O15" i="61"/>
  <c r="X15" i="60"/>
  <c r="P15" i="60"/>
  <c r="W15" i="60"/>
  <c r="O15" i="60"/>
  <c r="U15" i="60"/>
  <c r="M15" i="60"/>
  <c r="Y15" i="60"/>
  <c r="Q15" i="60"/>
  <c r="Z15" i="60"/>
  <c r="R15" i="60"/>
  <c r="U15" i="59"/>
  <c r="M15" i="59"/>
  <c r="R15" i="59"/>
  <c r="Z15" i="59"/>
  <c r="V15" i="59"/>
  <c r="N15" i="59"/>
  <c r="P15" i="59"/>
  <c r="X15" i="59"/>
  <c r="O15" i="59"/>
  <c r="W15" i="59"/>
  <c r="Q15" i="59"/>
  <c r="W15" i="58"/>
  <c r="O15" i="58"/>
  <c r="Z15" i="58"/>
  <c r="R15" i="58"/>
  <c r="U15" i="58"/>
  <c r="M15" i="58"/>
  <c r="V15" i="58"/>
  <c r="N15" i="58"/>
  <c r="Y15" i="58"/>
  <c r="Q15" i="58"/>
  <c r="X15" i="58"/>
  <c r="P15" i="58"/>
  <c r="R15" i="57"/>
  <c r="Z15" i="57"/>
  <c r="M15" i="57"/>
  <c r="U15" i="57"/>
  <c r="O15" i="57"/>
  <c r="W15" i="57"/>
  <c r="N15" i="57"/>
  <c r="V15" i="57"/>
  <c r="P15" i="57"/>
  <c r="X15" i="57"/>
  <c r="Q15" i="57"/>
  <c r="Y15" i="57"/>
  <c r="R14" i="63"/>
  <c r="R2" i="63" s="1"/>
  <c r="N14" i="63"/>
  <c r="Q14" i="63"/>
  <c r="P14" i="63"/>
  <c r="O14" i="63"/>
  <c r="S14" i="63"/>
  <c r="S14" i="59"/>
  <c r="J2" i="59" s="1"/>
  <c r="Q14" i="59"/>
  <c r="N14" i="59"/>
  <c r="R14" i="59"/>
  <c r="O14" i="59"/>
  <c r="Q14" i="58"/>
  <c r="H2" i="58" s="1"/>
  <c r="P14" i="58"/>
  <c r="X2" i="58" s="1"/>
  <c r="O14" i="58"/>
  <c r="R14" i="58"/>
  <c r="Z2" i="58" s="1"/>
  <c r="N14" i="58"/>
  <c r="S14" i="58"/>
  <c r="J2" i="58" s="1"/>
  <c r="O14" i="60"/>
  <c r="N14" i="60"/>
  <c r="S14" i="60"/>
  <c r="Q14" i="60"/>
  <c r="Z2" i="60"/>
  <c r="R2" i="60"/>
  <c r="P14" i="60"/>
  <c r="AA14" i="66"/>
  <c r="U14" i="66"/>
  <c r="X14" i="66"/>
  <c r="X2" i="66" s="1"/>
  <c r="W14" i="66"/>
  <c r="V14" i="66"/>
  <c r="Y14" i="66"/>
  <c r="Z14" i="65"/>
  <c r="Z2" i="65" s="1"/>
  <c r="X14" i="65"/>
  <c r="X2" i="65" s="1"/>
  <c r="R2" i="64"/>
  <c r="U14" i="65"/>
  <c r="AA14" i="65"/>
  <c r="V14" i="65"/>
  <c r="W14" i="65"/>
  <c r="V14" i="64"/>
  <c r="X14" i="64"/>
  <c r="X2" i="64" s="1"/>
  <c r="W14" i="64"/>
  <c r="U14" i="64"/>
  <c r="Y14" i="64"/>
  <c r="Z14" i="64"/>
  <c r="Z2" i="64" s="1"/>
  <c r="H2" i="64"/>
  <c r="P2" i="64"/>
  <c r="H2" i="62"/>
  <c r="H2" i="66"/>
  <c r="X2" i="60"/>
  <c r="J2" i="61"/>
  <c r="Y14" i="63"/>
  <c r="P2" i="60"/>
  <c r="Z14" i="63"/>
  <c r="U14" i="63"/>
  <c r="J2" i="63"/>
  <c r="V14" i="63"/>
  <c r="P2" i="62"/>
  <c r="R2" i="61"/>
  <c r="P2" i="63"/>
  <c r="H2" i="63"/>
  <c r="X2" i="61"/>
  <c r="H2" i="60"/>
  <c r="P2" i="61"/>
  <c r="P2" i="59"/>
  <c r="W14" i="63"/>
  <c r="X14" i="63"/>
  <c r="X2" i="63" s="1"/>
  <c r="H2" i="59"/>
  <c r="R2" i="59"/>
  <c r="Z2" i="61"/>
  <c r="P2" i="58"/>
  <c r="R2" i="62"/>
  <c r="J2" i="60"/>
  <c r="Z2" i="59"/>
  <c r="H2" i="61"/>
  <c r="R2" i="57"/>
  <c r="H2" i="57"/>
  <c r="P2" i="57"/>
  <c r="P2" i="66"/>
  <c r="Z2" i="62"/>
  <c r="X2" i="62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T12" i="67" a="1"/>
  <c r="L12" i="67" a="1"/>
  <c r="T11" i="67" a="1"/>
  <c r="T10" i="67" a="1"/>
  <c r="T9" i="67" a="1"/>
  <c r="D7" i="67" a="1"/>
  <c r="D5" i="67" a="1"/>
  <c r="I11" i="67" a="1"/>
  <c r="G11" i="67" a="1"/>
  <c r="F11" i="67" a="1"/>
  <c r="E11" i="67" a="1"/>
  <c r="H11" i="67" a="1"/>
  <c r="T12" i="67" l="1"/>
  <c r="U15" i="66"/>
  <c r="L12" i="67"/>
  <c r="M15" i="66"/>
  <c r="T11" i="67"/>
  <c r="U15" i="65"/>
  <c r="T10" i="67"/>
  <c r="U15" i="64"/>
  <c r="T9" i="67"/>
  <c r="U15" i="63"/>
  <c r="T13" i="67"/>
  <c r="T16" i="67" s="1"/>
  <c r="D7" i="67"/>
  <c r="U15" i="61"/>
  <c r="D5" i="67"/>
  <c r="L13" i="67"/>
  <c r="L16" i="67" s="1"/>
  <c r="C16" i="67"/>
  <c r="Z15" i="65"/>
  <c r="P2" i="65"/>
  <c r="R15" i="65"/>
  <c r="N15" i="65"/>
  <c r="Q15" i="65"/>
  <c r="H11" i="67"/>
  <c r="H13" i="67" s="1"/>
  <c r="P14" i="67" s="1"/>
  <c r="F11" i="67"/>
  <c r="F13" i="67" s="1"/>
  <c r="N14" i="67" s="1"/>
  <c r="G11" i="67"/>
  <c r="G13" i="67" s="1"/>
  <c r="O14" i="67" s="1"/>
  <c r="I11" i="67"/>
  <c r="I13" i="67" s="1"/>
  <c r="Y14" i="67" s="1"/>
  <c r="E11" i="67"/>
  <c r="E13" i="67" s="1"/>
  <c r="U14" i="67" s="1"/>
  <c r="X15" i="65"/>
  <c r="H2" i="65"/>
  <c r="J2" i="65"/>
  <c r="C13" i="67"/>
  <c r="K14" i="67" s="1"/>
  <c r="V15" i="60"/>
  <c r="R15" i="66"/>
  <c r="R2" i="66"/>
  <c r="Z2" i="63"/>
  <c r="R2" i="58"/>
  <c r="D13" i="67" l="1"/>
  <c r="T14" i="67" s="1"/>
  <c r="D16" i="67"/>
  <c r="W14" i="67"/>
  <c r="V14" i="67"/>
  <c r="S14" i="67"/>
  <c r="J13" i="67"/>
  <c r="M14" i="67"/>
  <c r="L14" i="67"/>
  <c r="X14" i="67"/>
  <c r="Q14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<sst xmlns="http://schemas.openxmlformats.org/spreadsheetml/2006/main" count="677" uniqueCount="22">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</sst>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E979-1A00-4B2B-8068-7DBDF01597A3}">
  <dimension ref="B2:Z16"/>
  <sheetViews>
    <sheetView tabSelected="1" zoomScaleNormal="85" workbookViewId="0">
      <selection activeCell="D5" sqref="D5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6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105</v>
      </c>
      <c r="C3" s="5" cm="1">
        <f t="array" aca="1" ref="C3" ca="1">INDIRECT("'results" &amp; $B3 &amp; "'!D$14")</f>
        <v>2373579.3859409229</v>
      </c>
      <c r="D3" s="33" cm="1">
        <f t="array" aca="1" ref="D3" ca="1">INDIRECT("'results" &amp; $B3 &amp; "'!E$14")</f>
        <v>910.09102552937475</v>
      </c>
      <c r="E3" s="5" cm="1">
        <f t="array" aca="1" ref="E3" ca="1">INDIRECT("'results" &amp; $B3 &amp; "'!F$14")</f>
        <v>10</v>
      </c>
      <c r="F3" s="5" cm="1">
        <f t="array" aca="1" ref="F3" ca="1">INDIRECT("'results" &amp; $B3 &amp; "'!G$14")</f>
        <v>73</v>
      </c>
      <c r="G3" s="5" cm="1">
        <f t="array" aca="1" ref="G3" ca="1">INDIRECT("'results" &amp; $B3 &amp; "'!H$14")</f>
        <v>1461.2016940941685</v>
      </c>
      <c r="H3" s="33" cm="1">
        <f t="array" aca="1" ref="H3" ca="1">INDIRECT("'results" &amp; $B3 &amp; "'!I$14")</f>
        <v>45.158071044444974</v>
      </c>
      <c r="I3" s="5" cm="1">
        <f t="array" aca="1" ref="I3" ca="1">INDIRECT("'results" &amp; $B3 &amp; "'!J$14")</f>
        <v>6933.3352388217691</v>
      </c>
      <c r="J3" s="5"/>
      <c r="K3" s="5" cm="1">
        <f t="array" aca="1" ref="K3" ca="1">INDIRECT("'results" &amp; $B3 &amp; "'!L$14")</f>
        <v>2774432.0975229219</v>
      </c>
      <c r="L3" s="5" cm="1">
        <f t="array" aca="1" ref="L3" ca="1">INDIRECT("'results" &amp; $B3 &amp; "'!M$14")</f>
        <v>652.73745358825704</v>
      </c>
      <c r="M3" s="5" cm="1">
        <f t="array" aca="1" ref="M3" ca="1">INDIRECT("'results" &amp; $B3 &amp; "'!N$14")</f>
        <v>14</v>
      </c>
      <c r="N3" s="5" cm="1">
        <f t="array" aca="1" ref="N3" ca="1">INDIRECT("'results" &amp; $B3 &amp; "'!O$14")</f>
        <v>54</v>
      </c>
      <c r="O3" s="5" cm="1">
        <f t="array" aca="1" ref="O3" ca="1">INDIRECT("'results" &amp; $B3 &amp; "'!P$14")</f>
        <v>1105.2773297913691</v>
      </c>
      <c r="P3" s="5" cm="1">
        <f t="array" aca="1" ref="P3" ca="1">INDIRECT("'results" &amp; $B3 &amp; "'!Q$14")</f>
        <v>22.316099801043315</v>
      </c>
      <c r="Q3" s="5" cm="1">
        <f t="array" aca="1" ref="Q3" ca="1">INDIRECT("'results" &amp; $B3 &amp; "'!R$14")</f>
        <v>5786.3614779247882</v>
      </c>
      <c r="R3" s="5"/>
      <c r="S3" s="5" cm="1">
        <f t="array" aca="1" ref="S3" ca="1">INDIRECT("'results" &amp; $B3 &amp; "'!T$14")</f>
        <v>2857483.5729285558</v>
      </c>
      <c r="T3" s="5" cm="1">
        <f t="array" aca="1" ref="T3" ca="1">INDIRECT("'results" &amp; $B3 &amp; "'!U$14")</f>
        <v>397.55796711765203</v>
      </c>
      <c r="U3" s="5" cm="1">
        <f t="array" aca="1" ref="U3" ca="1">INDIRECT("'results" &amp; $B3 &amp; "'!V$14")</f>
        <v>9</v>
      </c>
      <c r="V3" s="5" cm="1">
        <f t="array" aca="1" ref="V3" ca="1">INDIRECT("'results" &amp; $B3 &amp; "'!W$14")</f>
        <v>53.5</v>
      </c>
      <c r="W3" s="5" cm="1">
        <f t="array" aca="1" ref="W3" ca="1">INDIRECT("'results" &amp; $B3 &amp; "'!X$14")</f>
        <v>1610.3252654056082</v>
      </c>
      <c r="X3" s="5" cm="1">
        <f t="array" aca="1" ref="X3" ca="1">INDIRECT("'results" &amp; $B3 &amp; "'!Y$14")</f>
        <v>51.778146724868989</v>
      </c>
      <c r="Y3" s="5" cm="1">
        <f t="array" aca="1" ref="Y3" ca="1">INDIRECT("'results" &amp; $B3 &amp; "'!Z$14")</f>
        <v>7170.9658052648874</v>
      </c>
      <c r="Z3" s="5"/>
    </row>
    <row r="4" spans="2:26" x14ac:dyDescent="0.2">
      <c r="B4" s="4">
        <v>118</v>
      </c>
      <c r="C4" s="5" cm="1">
        <f t="array" aca="1" ref="C4" ca="1">INDIRECT("'results" &amp; $B4 &amp; "'!D$14")</f>
        <v>2672294.9899196909</v>
      </c>
      <c r="D4" s="33" cm="1">
        <f t="array" aca="1" ref="D4" ca="1">INDIRECT("'results" &amp; $B4 &amp; "'!E$14")</f>
        <v>289.44460305878351</v>
      </c>
      <c r="E4" s="5" cm="1">
        <f t="array" aca="1" ref="E4" ca="1">INDIRECT("'results" &amp; $B4 &amp; "'!F$14")</f>
        <v>10</v>
      </c>
      <c r="F4" s="5" cm="1">
        <f t="array" aca="1" ref="F4" ca="1">INDIRECT("'results" &amp; $B4 &amp; "'!G$14")</f>
        <v>61</v>
      </c>
      <c r="G4" s="5" cm="1">
        <f t="array" aca="1" ref="G4" ca="1">INDIRECT("'results" &amp; $B4 &amp; "'!H$14")</f>
        <v>1601.7594596003573</v>
      </c>
      <c r="H4" s="33" cm="1">
        <f t="array" aca="1" ref="H4" ca="1">INDIRECT("'results" &amp; $B4 &amp; "'!I$14")</f>
        <v>43.982751462897106</v>
      </c>
      <c r="I4" s="5" cm="1">
        <f t="array" aca="1" ref="I4" ca="1">INDIRECT("'results" &amp; $B4 &amp; "'!J$14")</f>
        <v>7089.4580118203676</v>
      </c>
      <c r="J4" s="5"/>
      <c r="K4" s="5" cm="1">
        <f t="array" aca="1" ref="K4" ca="1">INDIRECT("'results" &amp; $B4 &amp; "'!L$14")</f>
        <v>2926426.6268240488</v>
      </c>
      <c r="L4" s="5" cm="1">
        <f t="array" aca="1" ref="L4" ca="1">INDIRECT("'results" &amp; $B4 &amp; "'!M$14")</f>
        <v>380.9035908234963</v>
      </c>
      <c r="M4" s="5" cm="1">
        <f t="array" aca="1" ref="M4" ca="1">INDIRECT("'results" &amp; $B4 &amp; "'!N$14")</f>
        <v>15</v>
      </c>
      <c r="N4" s="5" cm="1">
        <f t="array" aca="1" ref="N4" ca="1">INDIRECT("'results" &amp; $B4 &amp; "'!O$14")</f>
        <v>51</v>
      </c>
      <c r="O4" s="5" cm="1">
        <f t="array" aca="1" ref="O4" ca="1">INDIRECT("'results" &amp; $B4 &amp; "'!P$14")</f>
        <v>1432.9719118313451</v>
      </c>
      <c r="P4" s="5" cm="1">
        <f t="array" aca="1" ref="P4" ca="1">INDIRECT("'results" &amp; $B4 &amp; "'!Q$14")</f>
        <v>23.330251204448594</v>
      </c>
      <c r="Q4" s="5" cm="1">
        <f t="array" aca="1" ref="Q4" ca="1">INDIRECT("'results" &amp; $B4 &amp; "'!R$14")</f>
        <v>6344.8440459052581</v>
      </c>
      <c r="R4" s="5"/>
      <c r="S4" s="5" cm="1">
        <f t="array" aca="1" ref="S4" ca="1">INDIRECT("'results" &amp; $B4 &amp; "'!T$14")</f>
        <v>3034162.7663745098</v>
      </c>
      <c r="T4" s="5" cm="1">
        <f t="array" aca="1" ref="T4" ca="1">INDIRECT("'results" &amp; $B4 &amp; "'!U$14")</f>
        <v>847.26073547057592</v>
      </c>
      <c r="U4" s="5" cm="1">
        <f t="array" aca="1" ref="U4" ca="1">INDIRECT("'results" &amp; $B4 &amp; "'!V$14")</f>
        <v>9</v>
      </c>
      <c r="V4" s="5" cm="1">
        <f t="array" aca="1" ref="V4" ca="1">INDIRECT("'results" &amp; $B4 &amp; "'!W$14")</f>
        <v>46</v>
      </c>
      <c r="W4" s="5" cm="1">
        <f t="array" aca="1" ref="W4" ca="1">INDIRECT("'results" &amp; $B4 &amp; "'!X$14")</f>
        <v>1770.940786236514</v>
      </c>
      <c r="X4" s="5" cm="1">
        <f t="array" aca="1" ref="X4" ca="1">INDIRECT("'results" &amp; $B4 &amp; "'!Y$14")</f>
        <v>49.712909230820976</v>
      </c>
      <c r="Y4" s="5" cm="1">
        <f t="array" aca="1" ref="Y4" ca="1">INDIRECT("'results" &amp; $B4 &amp; "'!Z$14")</f>
        <v>7406.9393990212648</v>
      </c>
      <c r="Z4" s="5"/>
    </row>
    <row r="5" spans="2:26" x14ac:dyDescent="0.2">
      <c r="B5" s="4">
        <v>129</v>
      </c>
      <c r="C5" s="5" cm="1">
        <f t="array" aca="1" ref="C5" ca="1">INDIRECT("'results" &amp; $B5 &amp; "'!D$14")</f>
        <v>2918825.4925321531</v>
      </c>
      <c r="D5" s="33" cm="1">
        <f t="array" aca="1" ref="D5" ca="1">INDIRECT("'results" &amp; $B5 &amp; "'!E$14")</f>
        <v>470.62547747059455</v>
      </c>
      <c r="E5" s="5" cm="1">
        <f t="array" aca="1" ref="E5" ca="1">INDIRECT("'results" &amp; $B5 &amp; "'!F$14")</f>
        <v>10</v>
      </c>
      <c r="F5" s="5" cm="1">
        <f t="array" aca="1" ref="F5" ca="1">INDIRECT("'results" &amp; $B5 &amp; "'!G$14")</f>
        <v>51.5</v>
      </c>
      <c r="G5" s="5" cm="1">
        <f t="array" aca="1" ref="G5" ca="1">INDIRECT("'results" &amp; $B5 &amp; "'!H$14")</f>
        <v>1653.7643261630915</v>
      </c>
      <c r="H5" s="33" cm="1">
        <f t="array" aca="1" ref="H5" ca="1">INDIRECT("'results" &amp; $B5 &amp; "'!I$14")</f>
        <v>38.213650922875601</v>
      </c>
      <c r="I5" s="5" cm="1">
        <f t="array" aca="1" ref="I5" ca="1">INDIRECT("'results" &amp; $B5 &amp; "'!J$14")</f>
        <v>7131.8760344935781</v>
      </c>
      <c r="J5" s="5"/>
      <c r="K5" s="5" cm="1">
        <f t="array" aca="1" ref="K5" ca="1">INDIRECT("'results" &amp; $B5 &amp; "'!L$14")</f>
        <v>3116750.528406031</v>
      </c>
      <c r="L5" s="5" cm="1">
        <f t="array" aca="1" ref="L5" ca="1">INDIRECT("'results" &amp; $B5 &amp; "'!M$14")</f>
        <v>437.27646458825535</v>
      </c>
      <c r="M5" s="5" cm="1">
        <f t="array" aca="1" ref="M5" ca="1">INDIRECT("'results" &amp; $B5 &amp; "'!N$14")</f>
        <v>11</v>
      </c>
      <c r="N5" s="5" cm="1">
        <f t="array" aca="1" ref="N5" ca="1">INDIRECT("'results" &amp; $B5 &amp; "'!O$14")</f>
        <v>41</v>
      </c>
      <c r="O5" s="5" cm="1">
        <f t="array" aca="1" ref="O5" ca="1">INDIRECT("'results" &amp; $B5 &amp; "'!P$14")</f>
        <v>1252.9014080730597</v>
      </c>
      <c r="P5" s="5" cm="1">
        <f t="array" aca="1" ref="P5" ca="1">INDIRECT("'results" &amp; $B5 &amp; "'!Q$14")</f>
        <v>23.335377817237337</v>
      </c>
      <c r="Q5" s="5" cm="1">
        <f t="array" aca="1" ref="Q5" ca="1">INDIRECT("'results" &amp; $B5 &amp; "'!R$14")</f>
        <v>6328.3283822556859</v>
      </c>
      <c r="R5" s="5"/>
      <c r="S5" s="5" cm="1">
        <f t="array" aca="1" ref="S5" ca="1">INDIRECT("'results" &amp; $B5 &amp; "'!T$14")</f>
        <v>3246980.2687912011</v>
      </c>
      <c r="T5" s="5" cm="1">
        <f t="array" aca="1" ref="T5" ca="1">INDIRECT("'results" &amp; $B5 &amp; "'!U$14")</f>
        <v>263.08974658823848</v>
      </c>
      <c r="U5" s="5" cm="1">
        <f t="array" aca="1" ref="U5" ca="1">INDIRECT("'results" &amp; $B5 &amp; "'!V$14")</f>
        <v>7</v>
      </c>
      <c r="V5" s="5" cm="1">
        <f t="array" aca="1" ref="V5" ca="1">INDIRECT("'results" &amp; $B5 &amp; "'!W$14")</f>
        <v>33.5</v>
      </c>
      <c r="W5" s="5" cm="1">
        <f t="array" aca="1" ref="W5" ca="1">INDIRECT("'results" &amp; $B5 &amp; "'!X$14")</f>
        <v>1163.0837283035012</v>
      </c>
      <c r="X5" s="5" cm="1">
        <f t="array" aca="1" ref="X5" ca="1">INDIRECT("'results" &amp; $B5 &amp; "'!Y$14")</f>
        <v>44.700052088978943</v>
      </c>
      <c r="Y5" s="5" cm="1">
        <f t="array" aca="1" ref="Y5" ca="1">INDIRECT("'results" &amp; $B5 &amp; "'!Z$14")</f>
        <v>6609.954346434648</v>
      </c>
      <c r="Z5" s="5"/>
    </row>
    <row r="6" spans="2:26" x14ac:dyDescent="0.2">
      <c r="B6" s="4">
        <v>223</v>
      </c>
      <c r="C6" s="5" cm="1">
        <f t="array" aca="1" ref="C6" ca="1">INDIRECT("'results" &amp; $B6 &amp; "'!D$14")</f>
        <v>2659698.561478063</v>
      </c>
      <c r="D6" s="33" cm="1">
        <f t="array" aca="1" ref="D6" ca="1">INDIRECT("'results" &amp; $B6 &amp; "'!E$14")</f>
        <v>511.96247994119085</v>
      </c>
      <c r="E6" s="5" cm="1">
        <f t="array" aca="1" ref="E6" ca="1">INDIRECT("'results" &amp; $B6 &amp; "'!F$14")</f>
        <v>10</v>
      </c>
      <c r="F6" s="5" cm="1">
        <f t="array" aca="1" ref="F6" ca="1">INDIRECT("'results" &amp; $B6 &amp; "'!G$14")</f>
        <v>62.5</v>
      </c>
      <c r="G6" s="5" cm="1">
        <f t="array" aca="1" ref="G6" ca="1">INDIRECT("'results" &amp; $B6 &amp; "'!H$14")</f>
        <v>1381.0247626587445</v>
      </c>
      <c r="H6" s="33" cm="1">
        <f t="array" aca="1" ref="H6" ca="1">INDIRECT("'results" &amp; $B6 &amp; "'!I$14")</f>
        <v>30.593233413511918</v>
      </c>
      <c r="I6" s="5" cm="1">
        <f t="array" aca="1" ref="I6" ca="1">INDIRECT("'results" &amp; $B6 &amp; "'!J$14")</f>
        <v>6968.5395482405174</v>
      </c>
      <c r="J6" s="5"/>
      <c r="K6" s="5" cm="1">
        <f t="array" aca="1" ref="K6" ca="1">INDIRECT("'results" &amp; $B6 &amp; "'!L$14")</f>
        <v>2841418.561796953</v>
      </c>
      <c r="L6" s="5" cm="1">
        <f t="array" aca="1" ref="L6" ca="1">INDIRECT("'results" &amp; $B6 &amp; "'!M$14")</f>
        <v>335.84554994115882</v>
      </c>
      <c r="M6" s="5" cm="1">
        <f t="array" aca="1" ref="M6" ca="1">INDIRECT("'results" &amp; $B6 &amp; "'!N$14")</f>
        <v>15</v>
      </c>
      <c r="N6" s="5" cm="1">
        <f t="array" aca="1" ref="N6" ca="1">INDIRECT("'results" &amp; $B6 &amp; "'!O$14")</f>
        <v>55.5</v>
      </c>
      <c r="O6" s="5" cm="1">
        <f t="array" aca="1" ref="O6" ca="1">INDIRECT("'results" &amp; $B6 &amp; "'!P$14")</f>
        <v>1208.1095860837233</v>
      </c>
      <c r="P6" s="5" cm="1">
        <f t="array" aca="1" ref="P6" ca="1">INDIRECT("'results" &amp; $B6 &amp; "'!Q$14")</f>
        <v>17.745924172037984</v>
      </c>
      <c r="Q6" s="5" cm="1">
        <f t="array" aca="1" ref="Q6" ca="1">INDIRECT("'results" &amp; $B6 &amp; "'!R$14")</f>
        <v>6356.5336718352246</v>
      </c>
      <c r="R6" s="5"/>
      <c r="S6" s="5" cm="1">
        <f t="array" aca="1" ref="S6" ca="1">INDIRECT("'results" &amp; $B6 &amp; "'!T$14")</f>
        <v>3015736.229077376</v>
      </c>
      <c r="T6" s="5" cm="1">
        <f t="array" aca="1" ref="T6" ca="1">INDIRECT("'results" &amp; $B6 &amp; "'!U$14")</f>
        <v>516.1143608235152</v>
      </c>
      <c r="U6" s="5" cm="1">
        <f t="array" aca="1" ref="U6" ca="1">INDIRECT("'results" &amp; $B6 &amp; "'!V$14")</f>
        <v>8</v>
      </c>
      <c r="V6" s="5" cm="1">
        <f t="array" aca="1" ref="V6" ca="1">INDIRECT("'results" &amp; $B6 &amp; "'!W$14")</f>
        <v>46.5</v>
      </c>
      <c r="W6" s="5" cm="1">
        <f t="array" aca="1" ref="W6" ca="1">INDIRECT("'results" &amp; $B6 &amp; "'!X$14")</f>
        <v>1524.3615068364566</v>
      </c>
      <c r="X6" s="5" cm="1">
        <f t="array" aca="1" ref="X6" ca="1">INDIRECT("'results" &amp; $B6 &amp; "'!Y$14")</f>
        <v>36.397449479933002</v>
      </c>
      <c r="Y6" s="5" cm="1">
        <f t="array" aca="1" ref="Y6" ca="1">INDIRECT("'results" &amp; $B6 &amp; "'!Z$14")</f>
        <v>7014.5143471618239</v>
      </c>
      <c r="Z6" s="5"/>
    </row>
    <row r="7" spans="2:26" x14ac:dyDescent="0.2">
      <c r="B7" s="4">
        <v>261</v>
      </c>
      <c r="C7" s="5" cm="1">
        <f t="array" aca="1" ref="C7" ca="1">INDIRECT("'results" &amp; $B7 &amp; "'!D$14")</f>
        <v>2226486.6637932472</v>
      </c>
      <c r="D7" s="33" cm="1">
        <f t="array" aca="1" ref="D7" ca="1">INDIRECT("'results" &amp; $B7 &amp; "'!E$14")</f>
        <v>765.49967423526527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77.5</v>
      </c>
      <c r="G7" s="5" cm="1">
        <f t="array" aca="1" ref="G7" ca="1">INDIRECT("'results" &amp; $B7 &amp; "'!H$14")</f>
        <v>1378.7905387998885</v>
      </c>
      <c r="H7" s="33" cm="1">
        <f t="array" aca="1" ref="H7" ca="1">INDIRECT("'results" &amp; $B7 &amp; "'!I$14")</f>
        <v>49.568869158743311</v>
      </c>
      <c r="I7" s="5" cm="1">
        <f t="array" aca="1" ref="I7" ca="1">INDIRECT("'results" &amp; $B7 &amp; "'!J$14")</f>
        <v>6713.5399571521421</v>
      </c>
      <c r="J7" s="5"/>
      <c r="K7" s="5" cm="1">
        <f t="array" aca="1" ref="K7" ca="1">INDIRECT("'results" &amp; $B7 &amp; "'!L$14")</f>
        <v>2598992.0407234621</v>
      </c>
      <c r="L7" s="5" cm="1">
        <f t="array" aca="1" ref="L7" ca="1">INDIRECT("'results" &amp; $B7 &amp; "'!M$14")</f>
        <v>915.91005529407119</v>
      </c>
      <c r="M7" s="5" cm="1">
        <f t="array" aca="1" ref="M7" ca="1">INDIRECT("'results" &amp; $B7 &amp; "'!N$14")</f>
        <v>14</v>
      </c>
      <c r="N7" s="5" cm="1">
        <f t="array" aca="1" ref="N7" ca="1">INDIRECT("'results" &amp; $B7 &amp; "'!O$14")</f>
        <v>58.5</v>
      </c>
      <c r="O7" s="5" cm="1">
        <f t="array" aca="1" ref="O7" ca="1">INDIRECT("'results" &amp; $B7 &amp; "'!P$14")</f>
        <v>778.6360401417063</v>
      </c>
      <c r="P7" s="5" cm="1">
        <f t="array" aca="1" ref="P7" ca="1">INDIRECT("'results" &amp; $B7 &amp; "'!Q$14")</f>
        <v>25.388057856521151</v>
      </c>
      <c r="Q7" s="5" cm="1">
        <f t="array" aca="1" ref="Q7" ca="1">INDIRECT("'results" &amp; $B7 &amp; "'!R$14")</f>
        <v>5591.5164567594302</v>
      </c>
      <c r="R7" s="5"/>
      <c r="S7" s="5" cm="1">
        <f t="array" aca="1" ref="S7" ca="1">INDIRECT("'results" &amp; $B7 &amp; "'!T$14")</f>
        <v>2604517.1947076409</v>
      </c>
      <c r="T7" s="5" cm="1">
        <f t="array" aca="1" ref="T7" ca="1">INDIRECT("'results" &amp; $B7 &amp; "'!U$14")</f>
        <v>364.41858658820445</v>
      </c>
      <c r="U7" s="5" cm="1">
        <f t="array" aca="1" ref="U7" ca="1">INDIRECT("'results" &amp; $B7 &amp; "'!V$14")</f>
        <v>10</v>
      </c>
      <c r="V7" s="5" cm="1">
        <f t="array" aca="1" ref="V7" ca="1">INDIRECT("'results" &amp; $B7 &amp; "'!W$14")</f>
        <v>62</v>
      </c>
      <c r="W7" s="5" cm="1">
        <f t="array" aca="1" ref="W7" ca="1">INDIRECT("'results" &amp; $B7 &amp; "'!X$14")</f>
        <v>1385.8491682021227</v>
      </c>
      <c r="X7" s="5" cm="1">
        <f t="array" aca="1" ref="X7" ca="1">INDIRECT("'results" &amp; $B7 &amp; "'!Y$14")</f>
        <v>55.961600619615503</v>
      </c>
      <c r="Y7" s="5" cm="1">
        <f t="array" aca="1" ref="Y7" ca="1">INDIRECT("'results" &amp; $B7 &amp; "'!Z$14")</f>
        <v>6854.2161072841154</v>
      </c>
      <c r="Z7" s="5"/>
    </row>
    <row r="8" spans="2:26" x14ac:dyDescent="0.2">
      <c r="B8" s="4">
        <v>361</v>
      </c>
      <c r="C8" s="5" cm="1">
        <f t="array" aca="1" ref="C8" ca="1">INDIRECT("'results" &amp; $B8 &amp; "'!D$14")</f>
        <v>2561041.661048214</v>
      </c>
      <c r="D8" s="33" cm="1">
        <f t="array" aca="1" ref="D8" ca="1">INDIRECT("'results" &amp; $B8 &amp; "'!E$14")</f>
        <v>384.76916176472406</v>
      </c>
      <c r="E8" s="5" cm="1">
        <f t="array" aca="1" ref="E8" ca="1">INDIRECT("'results" &amp; $B8 &amp; "'!F$14")</f>
        <v>10</v>
      </c>
      <c r="F8" s="5" cm="1">
        <f t="array" aca="1" ref="F8" ca="1">INDIRECT("'results" &amp; $B8 &amp; "'!G$14")</f>
        <v>65.5</v>
      </c>
      <c r="G8" s="5" cm="1">
        <f t="array" aca="1" ref="G8" ca="1">INDIRECT("'results" &amp; $B8 &amp; "'!H$14")</f>
        <v>1436.3749963037724</v>
      </c>
      <c r="H8" s="33" cm="1">
        <f t="array" aca="1" ref="H8" ca="1">INDIRECT("'results" &amp; $B8 &amp; "'!I$14")</f>
        <v>40.989907671005895</v>
      </c>
      <c r="I8" s="5" cm="1">
        <f t="array" aca="1" ref="I8" ca="1">INDIRECT("'results" &amp; $B8 &amp; "'!J$14")</f>
        <v>6988.3709547346289</v>
      </c>
      <c r="J8" s="5"/>
      <c r="K8" s="5" cm="1">
        <f t="array" aca="1" ref="K8" ca="1">INDIRECT("'results" &amp; $B8 &amp; "'!L$14")</f>
        <v>2867931.4074525512</v>
      </c>
      <c r="L8" s="5" cm="1">
        <f t="array" aca="1" ref="L8" ca="1">INDIRECT("'results" &amp; $B8 &amp; "'!M$14")</f>
        <v>1149.7875591765346</v>
      </c>
      <c r="M8" s="5" cm="1">
        <f t="array" aca="1" ref="M8" ca="1">INDIRECT("'results" &amp; $B8 &amp; "'!N$14")</f>
        <v>12</v>
      </c>
      <c r="N8" s="5" cm="1">
        <f t="array" aca="1" ref="N8" ca="1">INDIRECT("'results" &amp; $B8 &amp; "'!O$14")</f>
        <v>51</v>
      </c>
      <c r="O8" s="5" cm="1">
        <f t="array" aca="1" ref="O8" ca="1">INDIRECT("'results" &amp; $B8 &amp; "'!P$14")</f>
        <v>1093.7413416943484</v>
      </c>
      <c r="P8" s="5" cm="1">
        <f t="array" aca="1" ref="P8" ca="1">INDIRECT("'results" &amp; $B8 &amp; "'!Q$14")</f>
        <v>25.538179787941498</v>
      </c>
      <c r="Q8" s="5" cm="1">
        <f t="array" aca="1" ref="Q8" ca="1">INDIRECT("'results" &amp; $B8 &amp; "'!R$14")</f>
        <v>6240.0113971637002</v>
      </c>
      <c r="R8" s="5"/>
      <c r="S8" s="5" cm="1">
        <f t="array" aca="1" ref="S8" ca="1">INDIRECT("'results" &amp; $B8 &amp; "'!T$14")</f>
        <v>2944885.7100795251</v>
      </c>
      <c r="T8" s="5" cm="1">
        <f t="array" aca="1" ref="T8" ca="1">INDIRECT("'results" &amp; $B8 &amp; "'!U$14")</f>
        <v>552.22733899998923</v>
      </c>
      <c r="U8" s="5" cm="1">
        <f t="array" aca="1" ref="U8" ca="1">INDIRECT("'results" &amp; $B8 &amp; "'!V$14")</f>
        <v>9</v>
      </c>
      <c r="V8" s="5" cm="1">
        <f t="array" aca="1" ref="V8" ca="1">INDIRECT("'results" &amp; $B8 &amp; "'!W$14")</f>
        <v>48.5</v>
      </c>
      <c r="W8" s="5" cm="1">
        <f t="array" aca="1" ref="W8" ca="1">INDIRECT("'results" &amp; $B8 &amp; "'!X$14")</f>
        <v>1487.4630410757632</v>
      </c>
      <c r="X8" s="5" cm="1">
        <f t="array" aca="1" ref="X8" ca="1">INDIRECT("'results" &amp; $B8 &amp; "'!Y$14")</f>
        <v>45.856453007774576</v>
      </c>
      <c r="Y8" s="5" cm="1">
        <f t="array" aca="1" ref="Y8" ca="1">INDIRECT("'results" &amp; $B8 &amp; "'!Z$14")</f>
        <v>7019.9314952599361</v>
      </c>
      <c r="Z8" s="5"/>
    </row>
    <row r="9" spans="2:26" x14ac:dyDescent="0.2">
      <c r="B9" s="4">
        <v>469</v>
      </c>
      <c r="C9" s="5" cm="1">
        <f t="array" aca="1" ref="C9" ca="1">INDIRECT("'results" &amp; $B9 &amp; "'!D$14")</f>
        <v>2523661.6622813968</v>
      </c>
      <c r="D9" s="33" cm="1">
        <f t="array" aca="1" ref="D9" ca="1">INDIRECT("'results" &amp; $B9 &amp; "'!E$14")</f>
        <v>809.07374147058715</v>
      </c>
      <c r="E9" s="5" cm="1">
        <f t="array" aca="1" ref="E9" ca="1">INDIRECT("'results" &amp; $B9 &amp; "'!F$14")</f>
        <v>10</v>
      </c>
      <c r="F9" s="5" cm="1">
        <f t="array" aca="1" ref="F9" ca="1">INDIRECT("'results" &amp; $B9 &amp; "'!G$14")</f>
        <v>66.5</v>
      </c>
      <c r="G9" s="5" cm="1">
        <f t="array" aca="1" ref="G9" ca="1">INDIRECT("'results" &amp; $B9 &amp; "'!H$14")</f>
        <v>1430.829142202389</v>
      </c>
      <c r="H9" s="33" cm="1">
        <f t="array" aca="1" ref="H9" ca="1">INDIRECT("'results" &amp; $B9 &amp; "'!I$14")</f>
        <v>46.394334117652235</v>
      </c>
      <c r="I9" s="5" cm="1">
        <f t="array" aca="1" ref="I9" ca="1">INDIRECT("'results" &amp; $B9 &amp; "'!J$14")</f>
        <v>6991.1606090636096</v>
      </c>
      <c r="J9" s="5"/>
      <c r="K9" s="5" cm="1">
        <f t="array" aca="1" ref="K9" ca="1">INDIRECT("'results" &amp; $B9 &amp; "'!L$14")</f>
        <v>2894846.791947437</v>
      </c>
      <c r="L9" s="5" cm="1">
        <f t="array" aca="1" ref="L9" ca="1">INDIRECT("'results" &amp; $B9 &amp; "'!M$14")</f>
        <v>707.35127652940537</v>
      </c>
      <c r="M9" s="5" cm="1">
        <f t="array" aca="1" ref="M9" ca="1">INDIRECT("'results" &amp; $B9 &amp; "'!N$14")</f>
        <v>11</v>
      </c>
      <c r="N9" s="5" cm="1">
        <f t="array" aca="1" ref="N9" ca="1">INDIRECT("'results" &amp; $B9 &amp; "'!O$14")</f>
        <v>48</v>
      </c>
      <c r="O9" s="5" cm="1">
        <f t="array" aca="1" ref="O9" ca="1">INDIRECT("'results" &amp; $B9 &amp; "'!P$14")</f>
        <v>956.50810334411506</v>
      </c>
      <c r="P9" s="5" cm="1">
        <f t="array" aca="1" ref="P9" ca="1">INDIRECT("'results" &amp; $B9 &amp; "'!Q$14")</f>
        <v>28.745353493201183</v>
      </c>
      <c r="Q9" s="5" cm="1">
        <f t="array" aca="1" ref="Q9" ca="1">INDIRECT("'results" &amp; $B9 &amp; "'!R$14")</f>
        <v>6026.8417587804661</v>
      </c>
      <c r="R9" s="5"/>
      <c r="S9" s="5" cm="1">
        <f t="array" aca="1" ref="S9" ca="1">INDIRECT("'results" &amp; $B9 &amp; "'!T$14")</f>
        <v>2960868.932044927</v>
      </c>
      <c r="T9" s="5" cm="1">
        <f t="array" aca="1" ref="T9" ca="1">INDIRECT("'results" &amp; $B9 &amp; "'!U$14")</f>
        <v>583.1322916470441</v>
      </c>
      <c r="U9" s="5" cm="1">
        <f t="array" aca="1" ref="U9" ca="1">INDIRECT("'results" &amp; $B9 &amp; "'!V$14")</f>
        <v>9</v>
      </c>
      <c r="V9" s="5" cm="1">
        <f t="array" aca="1" ref="V9" ca="1">INDIRECT("'results" &amp; $B9 &amp; "'!W$14")</f>
        <v>48</v>
      </c>
      <c r="W9" s="5" cm="1">
        <f t="array" aca="1" ref="W9" ca="1">INDIRECT("'results" &amp; $B9 &amp; "'!X$14")</f>
        <v>1496.1531869279779</v>
      </c>
      <c r="X9" s="5" cm="1">
        <f t="array" aca="1" ref="X9" ca="1">INDIRECT("'results" &amp; $B9 &amp; "'!Y$14")</f>
        <v>52.133652776381098</v>
      </c>
      <c r="Y9" s="5" cm="1">
        <f t="array" aca="1" ref="Y9" ca="1">INDIRECT("'results" &amp; $B9 &amp; "'!Z$14")</f>
        <v>7048.4533913140185</v>
      </c>
      <c r="Z9" s="5"/>
    </row>
    <row r="10" spans="2:26" x14ac:dyDescent="0.2">
      <c r="B10" s="4">
        <v>494</v>
      </c>
      <c r="C10" s="5" cm="1">
        <f t="array" aca="1" ref="C10" ca="1">INDIRECT("'results" &amp; $B10 &amp; "'!D$14")</f>
        <v>2729665.1820683479</v>
      </c>
      <c r="D10" s="33" cm="1">
        <f t="array" aca="1" ref="D10" ca="1">INDIRECT("'results" &amp; $B10 &amp; "'!E$14")</f>
        <v>384.45341294117765</v>
      </c>
      <c r="E10" s="5" cm="1">
        <f t="array" aca="1" ref="E10" ca="1">INDIRECT("'results" &amp; $B10 &amp; "'!F$14")</f>
        <v>9</v>
      </c>
      <c r="F10" s="5" cm="1">
        <f t="array" aca="1" ref="F10" ca="1">INDIRECT("'results" &amp; $B10 &amp; "'!G$14")</f>
        <v>58.5</v>
      </c>
      <c r="G10" s="5" cm="1">
        <f t="array" aca="1" ref="G10" ca="1">INDIRECT("'results" &amp; $B10 &amp; "'!H$14")</f>
        <v>1577.6396600184291</v>
      </c>
      <c r="H10" s="33" cm="1">
        <f t="array" aca="1" ref="H10" ca="1">INDIRECT("'results" &amp; $B10 &amp; "'!I$14")</f>
        <v>37.319391266998892</v>
      </c>
      <c r="I10" s="5" cm="1">
        <f t="array" aca="1" ref="I10" ca="1">INDIRECT("'results" &amp; $B10 &amp; "'!J$14")</f>
        <v>7064.772694611499</v>
      </c>
      <c r="J10" s="5"/>
      <c r="K10" s="5" cm="1">
        <f t="array" aca="1" ref="K10" ca="1">INDIRECT("'results" &amp; $B10 &amp; "'!L$14")</f>
        <v>2950119.2365979361</v>
      </c>
      <c r="L10" s="5" cm="1">
        <f t="array" aca="1" ref="L10" ca="1">INDIRECT("'results" &amp; $B10 &amp; "'!M$14")</f>
        <v>1103.9312994117877</v>
      </c>
      <c r="M10" s="5" cm="1">
        <f t="array" aca="1" ref="M10" ca="1">INDIRECT("'results" &amp; $B10 &amp; "'!N$14")</f>
        <v>15</v>
      </c>
      <c r="N10" s="5" cm="1">
        <f t="array" aca="1" ref="N10" ca="1">INDIRECT("'results" &amp; $B10 &amp; "'!O$14")</f>
        <v>51</v>
      </c>
      <c r="O10" s="5" cm="1">
        <f t="array" aca="1" ref="O10" ca="1">INDIRECT("'results" &amp; $B10 &amp; "'!P$14")</f>
        <v>1347.8680079649196</v>
      </c>
      <c r="P10" s="5" cm="1">
        <f t="array" aca="1" ref="P10" ca="1">INDIRECT("'results" &amp; $B10 &amp; "'!Q$14")</f>
        <v>18.833378962815143</v>
      </c>
      <c r="Q10" s="5" cm="1">
        <f t="array" aca="1" ref="Q10" ca="1">INDIRECT("'results" &amp; $B10 &amp; "'!R$14")</f>
        <v>6517.5572517838882</v>
      </c>
      <c r="R10" s="5"/>
      <c r="S10" s="5" cm="1">
        <f t="array" aca="1" ref="S10" ca="1">INDIRECT("'results" &amp; $B10 &amp; "'!T$14")</f>
        <v>3128449.7399239801</v>
      </c>
      <c r="T10" s="5" cm="1">
        <f t="array" aca="1" ref="T10" ca="1">INDIRECT("'results" &amp; $B10 &amp; "'!U$14")</f>
        <v>482.14934352942851</v>
      </c>
      <c r="U10" s="5" cm="1">
        <f t="array" aca="1" ref="U10" ca="1">INDIRECT("'results" &amp; $B10 &amp; "'!V$14")</f>
        <v>9</v>
      </c>
      <c r="V10" s="5" cm="1">
        <f t="array" aca="1" ref="V10" ca="1">INDIRECT("'results" &amp; $B10 &amp; "'!W$14")</f>
        <v>41.5</v>
      </c>
      <c r="W10" s="5" cm="1">
        <f t="array" aca="1" ref="W10" ca="1">INDIRECT("'results" &amp; $B10 &amp; "'!X$14")</f>
        <v>1498.6550905691647</v>
      </c>
      <c r="X10" s="5" cm="1">
        <f t="array" aca="1" ref="X10" ca="1">INDIRECT("'results" &amp; $B10 &amp; "'!Y$14")</f>
        <v>36.285432428156035</v>
      </c>
      <c r="Y10" s="5" cm="1">
        <f t="array" aca="1" ref="Y10" ca="1">INDIRECT("'results" &amp; $B10 &amp; "'!Z$14")</f>
        <v>7052.757842351718</v>
      </c>
      <c r="Z10" s="5"/>
    </row>
    <row r="11" spans="2:26" x14ac:dyDescent="0.2">
      <c r="B11" s="4">
        <v>519</v>
      </c>
      <c r="C11" s="5" cm="1">
        <f t="array" aca="1" ref="C11" ca="1">INDIRECT("'results" &amp; $B11 &amp; "'!D$14")</f>
        <v>2413740.5741406879</v>
      </c>
      <c r="D11" s="33" cm="1">
        <f t="array" aca="1" ref="D11" ca="1">INDIRECT("'results" &amp; $B11 &amp; "'!E$14")</f>
        <v>239.48745041181718</v>
      </c>
      <c r="E11" s="5" cm="1">
        <f t="array" aca="1" ref="E11" ca="1">INDIRECT("'results" &amp; $B11 &amp; "'!F$14")</f>
        <v>10</v>
      </c>
      <c r="F11" s="5" cm="1">
        <f t="array" aca="1" ref="F11" ca="1">INDIRECT("'results" &amp; $B11 &amp; "'!G$14")</f>
        <v>71</v>
      </c>
      <c r="G11" s="5" cm="1">
        <f t="array" aca="1" ref="G11" ca="1">INDIRECT("'results" &amp; $B11 &amp; "'!H$14")</f>
        <v>1455.4601756558279</v>
      </c>
      <c r="H11" s="33" cm="1">
        <f t="array" aca="1" ref="H11" ca="1">INDIRECT("'results" &amp; $B11 &amp; "'!I$14")</f>
        <v>48.455803786272256</v>
      </c>
      <c r="I11" s="5" cm="1">
        <f t="array" aca="1" ref="I11" ca="1">INDIRECT("'results" &amp; $B11 &amp; "'!J$14")</f>
        <v>6944.1164699606079</v>
      </c>
      <c r="J11" s="5"/>
      <c r="K11" s="5" cm="1">
        <f t="array" aca="1" ref="K11" ca="1">INDIRECT("'results" &amp; $B11 &amp; "'!L$14")</f>
        <v>2785873.1166755478</v>
      </c>
      <c r="L11" s="5" cm="1">
        <f t="array" aca="1" ref="L11" ca="1">INDIRECT("'results" &amp; $B11 &amp; "'!M$14")</f>
        <v>751.69782011762879</v>
      </c>
      <c r="M11" s="5" cm="1">
        <f t="array" aca="1" ref="M11" ca="1">INDIRECT("'results" &amp; $B11 &amp; "'!N$14")</f>
        <v>14</v>
      </c>
      <c r="N11" s="5" cm="1">
        <f t="array" aca="1" ref="N11" ca="1">INDIRECT("'results" &amp; $B11 &amp; "'!O$14")</f>
        <v>53.5</v>
      </c>
      <c r="O11" s="5" cm="1">
        <f t="array" aca="1" ref="O11" ca="1">INDIRECT("'results" &amp; $B11 &amp; "'!P$14")</f>
        <v>1123.2940323673076</v>
      </c>
      <c r="P11" s="5" cm="1">
        <f t="array" aca="1" ref="P11" ca="1">INDIRECT("'results" &amp; $B11 &amp; "'!Q$14")</f>
        <v>23.898461431177356</v>
      </c>
      <c r="Q11" s="5" cm="1">
        <f t="array" aca="1" ref="Q11" ca="1">INDIRECT("'results" &amp; $B11 &amp; "'!R$14")</f>
        <v>5882.2970008331276</v>
      </c>
      <c r="R11" s="5"/>
      <c r="S11" s="5" cm="1">
        <f t="array" aca="1" ref="S11" ca="1">INDIRECT("'results" &amp; $B11 &amp; "'!T$14")</f>
        <v>2818786.9950192571</v>
      </c>
      <c r="T11" s="5" cm="1">
        <f t="array" aca="1" ref="T11" ca="1">INDIRECT("'results" &amp; $B11 &amp; "'!U$14")</f>
        <v>668.39432723532582</v>
      </c>
      <c r="U11" s="5" cm="1">
        <f t="array" aca="1" ref="U11" ca="1">INDIRECT("'results" &amp; $B11 &amp; "'!V$14")</f>
        <v>9</v>
      </c>
      <c r="V11" s="5" cm="1">
        <f t="array" aca="1" ref="V11" ca="1">INDIRECT("'results" &amp; $B11 &amp; "'!W$14")</f>
        <v>53</v>
      </c>
      <c r="W11" s="5" cm="1">
        <f t="array" aca="1" ref="W11" ca="1">INDIRECT("'results" &amp; $B11 &amp; "'!X$14")</f>
        <v>1522.5118852727662</v>
      </c>
      <c r="X11" s="5" cm="1">
        <f t="array" aca="1" ref="X11" ca="1">INDIRECT("'results" &amp; $B11 &amp; "'!Y$14")</f>
        <v>56.574851593273252</v>
      </c>
      <c r="Y11" s="5" cm="1">
        <f t="array" aca="1" ref="Y11" ca="1">INDIRECT("'results" &amp; $B11 &amp; "'!Z$14")</f>
        <v>6951.2358378937361</v>
      </c>
      <c r="Z11" s="5"/>
    </row>
    <row r="12" spans="2:26" x14ac:dyDescent="0.2">
      <c r="B12" s="4">
        <v>963</v>
      </c>
      <c r="C12" s="5" cm="1">
        <f t="array" aca="1" ref="C12" ca="1">INDIRECT("'results" &amp; $B12 &amp; "'!D$14")</f>
        <v>2554646.024397538</v>
      </c>
      <c r="D12" s="33" cm="1">
        <f t="array" aca="1" ref="D12" ca="1">INDIRECT("'results" &amp; $B12 &amp; "'!E$14")</f>
        <v>1087.5792427647259</v>
      </c>
      <c r="E12" s="5" cm="1">
        <f t="array" aca="1" ref="E12" ca="1">INDIRECT("'results" &amp; $B12 &amp; "'!F$14")</f>
        <v>11</v>
      </c>
      <c r="F12" s="5" cm="1">
        <f t="array" aca="1" ref="F12" ca="1">INDIRECT("'results" &amp; $B12 &amp; "'!G$14")</f>
        <v>69.5</v>
      </c>
      <c r="G12" s="5" cm="1">
        <f t="array" aca="1" ref="G12" ca="1">INDIRECT("'results" &amp; $B12 &amp; "'!H$14")</f>
        <v>1739.3298141489445</v>
      </c>
      <c r="H12" s="33" cm="1">
        <f t="array" aca="1" ref="H12" ca="1">INDIRECT("'results" &amp; $B12 &amp; "'!I$14")</f>
        <v>45.403687730162581</v>
      </c>
      <c r="I12" s="5" cm="1">
        <f t="array" aca="1" ref="I12" ca="1">INDIRECT("'results" &amp; $B12 &amp; "'!J$14")</f>
        <v>7306.115883744008</v>
      </c>
      <c r="J12" s="5"/>
      <c r="K12" s="5" cm="1">
        <f t="array" aca="1" ref="K12" ca="1">INDIRECT("'results" &amp; $B12 &amp; "'!L$14")</f>
        <v>2864801.6562733781</v>
      </c>
      <c r="L12" s="5" cm="1">
        <f t="array" aca="1" ref="L12" ca="1">INDIRECT("'results" &amp; $B12 &amp; "'!M$14")</f>
        <v>617.70611058817872</v>
      </c>
      <c r="M12" s="5" cm="1">
        <f t="array" aca="1" ref="M12" ca="1">INDIRECT("'results" &amp; $B12 &amp; "'!N$14")</f>
        <v>14</v>
      </c>
      <c r="N12" s="5" cm="1">
        <f t="array" aca="1" ref="N12" ca="1">INDIRECT("'results" &amp; $B12 &amp; "'!O$14")</f>
        <v>52.5</v>
      </c>
      <c r="O12" s="5" cm="1">
        <f t="array" aca="1" ref="O12" ca="1">INDIRECT("'results" &amp; $B12 &amp; "'!P$14")</f>
        <v>1235.94873446681</v>
      </c>
      <c r="P12" s="5" cm="1">
        <f t="array" aca="1" ref="P12" ca="1">INDIRECT("'results" &amp; $B12 &amp; "'!Q$14")</f>
        <v>24.816270565449454</v>
      </c>
      <c r="Q12" s="5" cm="1">
        <f t="array" aca="1" ref="Q12" ca="1">INDIRECT("'results" &amp; $B12 &amp; "'!R$14")</f>
        <v>6206.8750466492929</v>
      </c>
      <c r="R12" s="5"/>
      <c r="S12" s="5" cm="1">
        <f t="array" aca="1" ref="S12" ca="1">INDIRECT("'results" &amp; $B12 &amp; "'!T$14")</f>
        <v>2966636.718460517</v>
      </c>
      <c r="T12" s="5" cm="1">
        <f t="array" aca="1" ref="T12" ca="1">INDIRECT("'results" &amp; $B12 &amp; "'!U$14")</f>
        <v>920.04529570585476</v>
      </c>
      <c r="U12" s="5" cm="1">
        <f t="array" aca="1" ref="U12" ca="1">INDIRECT("'results" &amp; $B12 &amp; "'!V$14")</f>
        <v>10</v>
      </c>
      <c r="V12" s="5" cm="1">
        <f t="array" aca="1" ref="V12" ca="1">INDIRECT("'results" &amp; $B12 &amp; "'!W$14")</f>
        <v>49</v>
      </c>
      <c r="W12" s="5" cm="1">
        <f t="array" aca="1" ref="W12" ca="1">INDIRECT("'results" &amp; $B12 &amp; "'!X$14")</f>
        <v>1613.0839372833316</v>
      </c>
      <c r="X12" s="5" cm="1">
        <f t="array" aca="1" ref="X12" ca="1">INDIRECT("'results" &amp; $B12 &amp; "'!Y$14")</f>
        <v>47.736475957730399</v>
      </c>
      <c r="Y12" s="5" cm="1">
        <f t="array" aca="1" ref="Y12" ca="1">INDIRECT("'results" &amp; $B12 &amp; "'!Z$14")</f>
        <v>7202.8778761305839</v>
      </c>
      <c r="Z12" s="5"/>
    </row>
    <row r="13" spans="2:26" x14ac:dyDescent="0.2">
      <c r="B13" s="8" t="s">
        <v>3</v>
      </c>
      <c r="C13" s="9">
        <f ca="1">AVERAGE(C3:C12)</f>
        <v>2563364.0197600261</v>
      </c>
      <c r="D13" s="10">
        <f t="shared" ref="D13:I13" ca="1" si="0">AVERAGE(D3:D12)</f>
        <v>585.29862695882412</v>
      </c>
      <c r="E13" s="9">
        <f t="shared" ca="1" si="0"/>
        <v>10</v>
      </c>
      <c r="F13" s="9">
        <f t="shared" ca="1" si="0"/>
        <v>65.650000000000006</v>
      </c>
      <c r="G13" s="9">
        <f t="shared" ca="1" si="0"/>
        <v>1511.6174569645614</v>
      </c>
      <c r="H13" s="10">
        <f t="shared" ca="1" si="0"/>
        <v>42.607970057456477</v>
      </c>
      <c r="I13" s="9">
        <f t="shared" ca="1" si="0"/>
        <v>7013.1285402642734</v>
      </c>
      <c r="J13" s="32" t="e">
        <f ca="1">(C13-$D$15)/$D$15</f>
        <v>#DIV/0!</v>
      </c>
      <c r="K13" s="16">
        <f ca="1">AVERAGE(K3:K12)</f>
        <v>2862159.2064220263</v>
      </c>
      <c r="L13" s="42">
        <f t="shared" ref="L13:Q13" ca="1" si="1">AVERAGE(L3:L12)</f>
        <v>705.31471800587747</v>
      </c>
      <c r="M13" s="16">
        <f t="shared" ca="1" si="1"/>
        <v>13.5</v>
      </c>
      <c r="N13" s="16">
        <f ca="1">AVERAGE(N3:N12)</f>
        <v>51.6</v>
      </c>
      <c r="O13" s="16">
        <f t="shared" ca="1" si="1"/>
        <v>1153.5256495758704</v>
      </c>
      <c r="P13" s="42">
        <f t="shared" ca="1" si="1"/>
        <v>23.394735509187303</v>
      </c>
      <c r="Q13" s="16">
        <f t="shared" ca="1" si="1"/>
        <v>6128.1166489890857</v>
      </c>
      <c r="R13" s="43" t="e">
        <f ca="1">(K13-$D$15)/$D$15</f>
        <v>#DIV/0!</v>
      </c>
      <c r="S13" s="38">
        <f ca="1">AVERAGE(S3:S12)</f>
        <v>2957850.8127407492</v>
      </c>
      <c r="T13" s="44">
        <f t="shared" ref="T13:Y13" ca="1" si="2">AVERAGE(T3:T12)</f>
        <v>559.43899937058291</v>
      </c>
      <c r="U13" s="38">
        <f t="shared" ca="1" si="2"/>
        <v>8.9</v>
      </c>
      <c r="V13" s="38">
        <f t="shared" ca="1" si="2"/>
        <v>48.15</v>
      </c>
      <c r="W13" s="38">
        <f t="shared" ca="1" si="2"/>
        <v>1507.2427596113207</v>
      </c>
      <c r="X13" s="44">
        <f t="shared" ca="1" si="2"/>
        <v>47.713702390753284</v>
      </c>
      <c r="Y13" s="38">
        <f t="shared" ca="1" si="2"/>
        <v>7033.184644811673</v>
      </c>
      <c r="Z13" s="45" t="e">
        <f ca="1">(S13-$D$15)/$D$15</f>
        <v>#DIV/0!</v>
      </c>
    </row>
    <row r="14" spans="2:26" x14ac:dyDescent="0.2">
      <c r="K14" s="46">
        <f ca="1">(K13-C13)/C13</f>
        <v>0.11656369690714953</v>
      </c>
      <c r="L14" s="46">
        <f t="shared" ref="L14:Q14" ca="1" si="3">(L13-D13)/D13</f>
        <v>0.20505103808401126</v>
      </c>
      <c r="M14" s="46">
        <f t="shared" ca="1" si="3"/>
        <v>0.35</v>
      </c>
      <c r="N14" s="46">
        <f t="shared" ca="1" si="3"/>
        <v>-0.21401370906321407</v>
      </c>
      <c r="O14" s="46">
        <f t="shared" ca="1" si="3"/>
        <v>-0.23689314101185732</v>
      </c>
      <c r="P14" s="46">
        <f t="shared" ca="1" si="3"/>
        <v>-0.45093053065800354</v>
      </c>
      <c r="Q14" s="46">
        <f t="shared" ca="1" si="3"/>
        <v>-0.12619359337193015</v>
      </c>
      <c r="S14" s="46">
        <f ca="1">(S13-C13)/C13</f>
        <v>0.15389417575489481</v>
      </c>
      <c r="T14" s="46">
        <f t="shared" ref="T14:Y14" ca="1" si="4">(T13-D13)/D13</f>
        <v>-4.4181937898276395E-2</v>
      </c>
      <c r="U14" s="46">
        <f t="shared" ca="1" si="4"/>
        <v>-0.10999999999999996</v>
      </c>
      <c r="V14" s="46">
        <f ca="1">(V13-F13)/F13</f>
        <v>-0.26656511805026667</v>
      </c>
      <c r="W14" s="46">
        <f t="shared" ca="1" si="4"/>
        <v>-2.8940505635766975E-3</v>
      </c>
      <c r="X14" s="46">
        <f t="shared" ca="1" si="4"/>
        <v>0.11983045252828922</v>
      </c>
      <c r="Y14" s="46">
        <f t="shared" ca="1" si="4"/>
        <v>2.8597942319539831E-3</v>
      </c>
    </row>
    <row r="16" spans="2:26" x14ac:dyDescent="0.2">
      <c r="B16" s="1" t="s">
        <v>21</v>
      </c>
      <c r="C16">
        <f ca="1">_xlfn.STDEV.S(C3:C12)</f>
        <v>196837.39624846811</v>
      </c>
      <c r="D16">
        <f ca="1">D13/1.7</f>
        <v>344.29330997577893</v>
      </c>
      <c r="J16" s="1" t="s">
        <v>21</v>
      </c>
      <c r="K16">
        <f ca="1">_xlfn.STDEV.S(K3:K12)</f>
        <v>133747.4955622461</v>
      </c>
      <c r="L16">
        <f ca="1">L13/1.7</f>
        <v>414.89101059169263</v>
      </c>
      <c r="R16" s="1" t="s">
        <v>21</v>
      </c>
      <c r="S16">
        <f ca="1">_xlfn.STDEV.S(S3:S12)</f>
        <v>175241.24353891678</v>
      </c>
      <c r="T16">
        <f ca="1">T13/1.7</f>
        <v>329.08176433563699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8DEE-4598-4E97-A08C-7779F0999026}">
  <dimension ref="B1:AA17"/>
  <sheetViews>
    <sheetView zoomScale="80" zoomScaleNormal="80" workbookViewId="0">
      <selection activeCell="U20" sqref="U20:U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1.3320312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3" width="11.33203125" style="1" bestFit="1" customWidth="1"/>
    <col min="14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-0.98472757053920779</v>
      </c>
      <c r="J2" s="28" t="e">
        <f>(S14-J14)/J14</f>
        <v>#DIV/0!</v>
      </c>
      <c r="K2" s="28"/>
      <c r="L2" s="1" t="s">
        <v>19</v>
      </c>
      <c r="P2" s="1">
        <f>(P14-H14)/H14</f>
        <v>-0.24358332305619509</v>
      </c>
      <c r="R2" s="1">
        <f>(R14-J14)/J14</f>
        <v>-0.16542886235685528</v>
      </c>
      <c r="T2" s="1" t="s">
        <v>20</v>
      </c>
      <c r="X2" s="1">
        <f>(X14-P14)/P14</f>
        <v>0.45694227322075937</v>
      </c>
      <c r="Z2" s="1">
        <f>(Z14-R14)/R14</f>
        <v>0.23928756138420021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915</v>
      </c>
      <c r="D4" s="23">
        <v>2454750.1513668462</v>
      </c>
      <c r="E4" s="33">
        <v>214.19796776471605</v>
      </c>
      <c r="F4" s="5">
        <v>9</v>
      </c>
      <c r="G4" s="23">
        <v>68</v>
      </c>
      <c r="H4" s="33">
        <v>1208.9020097644141</v>
      </c>
      <c r="I4" s="23">
        <v>44.58898836387867</v>
      </c>
      <c r="J4" s="5">
        <v>6744.3977100422771</v>
      </c>
      <c r="K4" s="31"/>
      <c r="L4" s="23">
        <v>2846365.2256600359</v>
      </c>
      <c r="M4" s="33">
        <v>695.47822900000006</v>
      </c>
      <c r="N4" s="5">
        <v>11</v>
      </c>
      <c r="O4" s="5">
        <v>47</v>
      </c>
      <c r="P4" s="33">
        <v>622.84408266898913</v>
      </c>
      <c r="Q4" s="5">
        <v>23.907013428310833</v>
      </c>
      <c r="R4" s="5">
        <v>5246.4602429127945</v>
      </c>
      <c r="S4" s="35"/>
      <c r="T4" s="23">
        <v>2910602.3746843198</v>
      </c>
      <c r="U4" s="33">
        <v>238.20692258821936</v>
      </c>
      <c r="V4" s="5">
        <v>8</v>
      </c>
      <c r="W4" s="5">
        <v>48.5</v>
      </c>
      <c r="X4" s="33">
        <v>1211.0896841876443</v>
      </c>
      <c r="Y4" s="5">
        <v>50.106215709586422</v>
      </c>
      <c r="Z4" s="5">
        <v>6789.0868043849732</v>
      </c>
      <c r="AA4" s="35"/>
    </row>
    <row r="5" spans="2:27" x14ac:dyDescent="0.2">
      <c r="B5" s="4">
        <v>2</v>
      </c>
      <c r="C5" s="4">
        <v>976</v>
      </c>
      <c r="D5" s="23">
        <v>2373579.3859409229</v>
      </c>
      <c r="E5" s="33">
        <v>910.09102552937475</v>
      </c>
      <c r="F5" s="5">
        <v>10</v>
      </c>
      <c r="G5" s="23">
        <v>73</v>
      </c>
      <c r="H5" s="33">
        <v>1461.2016940941685</v>
      </c>
      <c r="I5" s="23">
        <v>45.158071044444974</v>
      </c>
      <c r="J5" s="5">
        <v>6933.3352388217691</v>
      </c>
      <c r="K5" s="31"/>
      <c r="L5" s="23">
        <v>2780799.5827802061</v>
      </c>
      <c r="M5" s="33">
        <v>1024.4684090587889</v>
      </c>
      <c r="N5" s="5">
        <v>15</v>
      </c>
      <c r="O5" s="5">
        <v>54.5</v>
      </c>
      <c r="P5" s="33">
        <v>1069.1161311660887</v>
      </c>
      <c r="Q5" s="5">
        <v>20.924685711443509</v>
      </c>
      <c r="R5" s="5">
        <v>5746.2682493639868</v>
      </c>
      <c r="S5" s="35"/>
      <c r="T5" s="23">
        <v>2857483.5729285558</v>
      </c>
      <c r="U5" s="33">
        <v>397.55796711765203</v>
      </c>
      <c r="V5" s="5">
        <v>9</v>
      </c>
      <c r="W5" s="5">
        <v>53.5</v>
      </c>
      <c r="X5" s="33">
        <v>1610.3252654056082</v>
      </c>
      <c r="Y5" s="5">
        <v>51.778146724868989</v>
      </c>
      <c r="Z5" s="5">
        <v>7170.9658052648874</v>
      </c>
      <c r="AA5" s="35"/>
    </row>
    <row r="6" spans="2:27" x14ac:dyDescent="0.2">
      <c r="B6" s="4">
        <v>3</v>
      </c>
      <c r="C6" s="4">
        <v>821</v>
      </c>
      <c r="D6" s="23">
        <v>2440858.90432262</v>
      </c>
      <c r="E6" s="33">
        <v>272.58477999999951</v>
      </c>
      <c r="F6" s="5">
        <v>9</v>
      </c>
      <c r="G6" s="23">
        <v>67.5</v>
      </c>
      <c r="H6" s="33">
        <v>1125.7208145542377</v>
      </c>
      <c r="I6" s="23">
        <v>44.140109340597519</v>
      </c>
      <c r="J6" s="5">
        <v>6654.4958887711309</v>
      </c>
      <c r="K6" s="31"/>
      <c r="L6" s="23">
        <v>2774432.0975229219</v>
      </c>
      <c r="M6" s="33">
        <v>652.73745358825704</v>
      </c>
      <c r="N6" s="5">
        <v>14</v>
      </c>
      <c r="O6" s="5">
        <v>54</v>
      </c>
      <c r="P6" s="33">
        <v>1105.2773297913691</v>
      </c>
      <c r="Q6" s="5">
        <v>22.316099801043315</v>
      </c>
      <c r="R6" s="5">
        <v>5786.3614779247882</v>
      </c>
      <c r="S6" s="35"/>
      <c r="T6" s="23">
        <v>2885700.2131182952</v>
      </c>
      <c r="U6" s="33">
        <v>738.12787517645006</v>
      </c>
      <c r="V6" s="5">
        <v>9</v>
      </c>
      <c r="W6" s="5">
        <v>50.5</v>
      </c>
      <c r="X6" s="33">
        <v>1473.8160294434829</v>
      </c>
      <c r="Y6" s="5">
        <v>48.778866933004664</v>
      </c>
      <c r="Z6" s="5">
        <v>6835.7972715308051</v>
      </c>
      <c r="AA6" s="35"/>
    </row>
    <row r="7" spans="2:27" x14ac:dyDescent="0.2">
      <c r="B7" s="4">
        <v>4</v>
      </c>
      <c r="C7" s="4">
        <v>777</v>
      </c>
      <c r="D7" s="23">
        <v>2429853.557272986</v>
      </c>
      <c r="E7" s="33">
        <v>354.18488964705512</v>
      </c>
      <c r="F7" s="5">
        <v>10</v>
      </c>
      <c r="G7" s="23">
        <v>72</v>
      </c>
      <c r="H7" s="33">
        <v>1534.7896507177056</v>
      </c>
      <c r="I7" s="23">
        <v>44.309950748125502</v>
      </c>
      <c r="J7" s="5">
        <v>6967.3874730729849</v>
      </c>
      <c r="K7" s="31"/>
      <c r="L7" s="23">
        <v>2799038.1114252638</v>
      </c>
      <c r="M7" s="33">
        <v>785.72667770587645</v>
      </c>
      <c r="N7" s="5">
        <v>15</v>
      </c>
      <c r="O7" s="5">
        <v>54.5</v>
      </c>
      <c r="P7" s="33">
        <v>1209.4773240518584</v>
      </c>
      <c r="Q7" s="5">
        <v>21.77637612345389</v>
      </c>
      <c r="R7" s="5">
        <v>5852.7189293524461</v>
      </c>
      <c r="S7" s="35"/>
      <c r="T7" s="23">
        <v>2863152.3033776321</v>
      </c>
      <c r="U7" s="33">
        <v>852.36906758821169</v>
      </c>
      <c r="V7" s="5">
        <v>9</v>
      </c>
      <c r="W7" s="5">
        <v>53</v>
      </c>
      <c r="X7" s="33">
        <v>1596.1831583040293</v>
      </c>
      <c r="Y7" s="5">
        <v>51.626105033248628</v>
      </c>
      <c r="Z7" s="5">
        <v>7072.895318307621</v>
      </c>
      <c r="AA7" s="35"/>
    </row>
    <row r="8" spans="2:27" x14ac:dyDescent="0.2">
      <c r="B8" s="4">
        <v>5</v>
      </c>
      <c r="C8" s="4">
        <v>787</v>
      </c>
      <c r="D8" s="23">
        <v>2400328.9688708652</v>
      </c>
      <c r="E8" s="33">
        <v>240.93552699997363</v>
      </c>
      <c r="F8" s="5">
        <v>9</v>
      </c>
      <c r="G8" s="23">
        <v>71</v>
      </c>
      <c r="H8" s="33">
        <v>1411.5477209831654</v>
      </c>
      <c r="I8" s="23">
        <v>47.315614746434967</v>
      </c>
      <c r="J8" s="5">
        <v>6866.4445559931728</v>
      </c>
      <c r="K8" s="31"/>
      <c r="L8" s="23">
        <v>2845776.1350864889</v>
      </c>
      <c r="M8" s="33">
        <v>1651.7003889412017</v>
      </c>
      <c r="N8" s="5">
        <v>11</v>
      </c>
      <c r="O8" s="5">
        <v>47</v>
      </c>
      <c r="P8" s="33">
        <v>676.74843707611353</v>
      </c>
      <c r="Q8" s="5">
        <v>24.343802620549674</v>
      </c>
      <c r="R8" s="5">
        <v>5360.2372504663426</v>
      </c>
      <c r="S8" s="35"/>
      <c r="T8" s="23">
        <v>3017303.1229930678</v>
      </c>
      <c r="U8" s="33">
        <v>315.4248805294115</v>
      </c>
      <c r="V8" s="5">
        <v>7</v>
      </c>
      <c r="W8" s="5">
        <v>44</v>
      </c>
      <c r="X8" s="33">
        <v>1374.9688343917762</v>
      </c>
      <c r="Y8" s="5">
        <v>50.265019654083531</v>
      </c>
      <c r="Z8" s="5">
        <v>6979.3261882045272</v>
      </c>
      <c r="AA8" s="35"/>
    </row>
    <row r="9" spans="2:27" x14ac:dyDescent="0.2">
      <c r="B9" s="4">
        <v>6</v>
      </c>
      <c r="C9" s="4">
        <v>442</v>
      </c>
      <c r="D9" s="23">
        <v>2417433.537470147</v>
      </c>
      <c r="E9" s="33">
        <v>587.01338664710738</v>
      </c>
      <c r="F9" s="5">
        <v>10</v>
      </c>
      <c r="G9" s="23">
        <v>70.5</v>
      </c>
      <c r="H9" s="33">
        <v>1279.0713878598863</v>
      </c>
      <c r="I9" s="23">
        <v>41.83495177852938</v>
      </c>
      <c r="J9" s="5">
        <v>6771.3217633750446</v>
      </c>
      <c r="K9" s="31"/>
      <c r="L9" s="23">
        <v>2890911.834807782</v>
      </c>
      <c r="M9" s="33">
        <v>462.55260882351331</v>
      </c>
      <c r="N9" s="5">
        <v>10</v>
      </c>
      <c r="O9" s="5">
        <v>44.5</v>
      </c>
      <c r="P9" s="33">
        <v>489.19679349683349</v>
      </c>
      <c r="Q9" s="5">
        <v>23.804550288127892</v>
      </c>
      <c r="R9" s="5">
        <v>5313.3356210703996</v>
      </c>
      <c r="S9" s="35"/>
      <c r="T9" s="23">
        <v>2867654.2431402481</v>
      </c>
      <c r="U9" s="33">
        <v>663.70095317645769</v>
      </c>
      <c r="V9" s="5">
        <v>9</v>
      </c>
      <c r="W9" s="5">
        <v>51</v>
      </c>
      <c r="X9" s="33">
        <v>1395.8869559576963</v>
      </c>
      <c r="Y9" s="5">
        <v>47.498873152732592</v>
      </c>
      <c r="Z9" s="5">
        <v>6822.3088293170304</v>
      </c>
      <c r="AA9" s="35"/>
    </row>
    <row r="10" spans="2:27" x14ac:dyDescent="0.2">
      <c r="B10" s="4">
        <v>7</v>
      </c>
      <c r="C10" s="4">
        <v>459</v>
      </c>
      <c r="D10" s="23">
        <v>2440922.6950627142</v>
      </c>
      <c r="E10" s="33">
        <v>281.06853129410678</v>
      </c>
      <c r="F10" s="5">
        <v>9</v>
      </c>
      <c r="G10" s="23">
        <v>69.5</v>
      </c>
      <c r="H10" s="33">
        <v>1349.3766654770416</v>
      </c>
      <c r="I10" s="23">
        <v>46.349700283225452</v>
      </c>
      <c r="J10" s="5">
        <v>6852.5695068605446</v>
      </c>
      <c r="K10" s="31"/>
      <c r="L10" s="23">
        <v>2790322.2334075868</v>
      </c>
      <c r="M10" s="33">
        <v>597.53900111762471</v>
      </c>
      <c r="N10" s="5">
        <v>13</v>
      </c>
      <c r="O10" s="5">
        <v>51.5</v>
      </c>
      <c r="P10" s="33">
        <v>984.00058535578739</v>
      </c>
      <c r="Q10" s="5">
        <v>23.173384022873375</v>
      </c>
      <c r="R10" s="5">
        <v>5607.4070885483552</v>
      </c>
      <c r="S10" s="35"/>
      <c r="T10" s="23">
        <v>2861598.3506934848</v>
      </c>
      <c r="U10" s="33">
        <v>620.03695417647521</v>
      </c>
      <c r="V10" s="5">
        <v>9</v>
      </c>
      <c r="W10" s="5">
        <v>53</v>
      </c>
      <c r="X10" s="33">
        <v>1700.6819001683712</v>
      </c>
      <c r="Y10" s="5">
        <v>50.518657271568607</v>
      </c>
      <c r="Z10" s="5">
        <v>7068.7360151441171</v>
      </c>
      <c r="AA10" s="35"/>
    </row>
    <row r="11" spans="2:27" x14ac:dyDescent="0.2">
      <c r="B11" s="4">
        <v>8</v>
      </c>
      <c r="C11" s="4">
        <v>216</v>
      </c>
      <c r="D11" s="23">
        <v>2418849.7507068119</v>
      </c>
      <c r="E11" s="33">
        <v>267.8830913529622</v>
      </c>
      <c r="F11" s="5">
        <v>9</v>
      </c>
      <c r="G11" s="23">
        <v>70</v>
      </c>
      <c r="H11" s="33">
        <v>1408.9399288405268</v>
      </c>
      <c r="I11" s="23">
        <v>46.711227710942744</v>
      </c>
      <c r="J11" s="5">
        <v>6829.7196466888763</v>
      </c>
      <c r="K11" s="31"/>
      <c r="L11" s="23">
        <v>2784387.7545335861</v>
      </c>
      <c r="M11" s="33">
        <v>496.89368570586396</v>
      </c>
      <c r="N11" s="5">
        <v>14</v>
      </c>
      <c r="O11" s="5">
        <v>52.5</v>
      </c>
      <c r="P11" s="33">
        <v>889.49159304355294</v>
      </c>
      <c r="Q11" s="5">
        <v>21.515273778412588</v>
      </c>
      <c r="R11" s="5">
        <v>5566.0234219443573</v>
      </c>
      <c r="S11" s="35"/>
      <c r="T11" s="23">
        <v>3011936.1851337142</v>
      </c>
      <c r="U11" s="33">
        <v>337.085281647057</v>
      </c>
      <c r="V11" s="5">
        <v>8</v>
      </c>
      <c r="W11" s="5">
        <v>45</v>
      </c>
      <c r="X11" s="33">
        <v>1379.4479857868273</v>
      </c>
      <c r="Y11" s="5">
        <v>46.464836590921109</v>
      </c>
      <c r="Z11" s="5">
        <v>6955.4570202632149</v>
      </c>
      <c r="AA11" s="35"/>
    </row>
    <row r="12" spans="2:27" x14ac:dyDescent="0.2">
      <c r="B12" s="4">
        <v>9</v>
      </c>
      <c r="C12" s="4">
        <v>262</v>
      </c>
      <c r="D12" s="23">
        <v>2383689.6213520248</v>
      </c>
      <c r="E12" s="33">
        <v>460.60690347057329</v>
      </c>
      <c r="F12" s="5">
        <v>10</v>
      </c>
      <c r="G12" s="23">
        <v>72</v>
      </c>
      <c r="H12" s="33">
        <v>1388.2651155114208</v>
      </c>
      <c r="I12" s="23">
        <v>44.089179052005477</v>
      </c>
      <c r="J12" s="5">
        <v>6817.663631168808</v>
      </c>
      <c r="K12" s="31"/>
      <c r="L12" s="23">
        <v>2833022.2068635519</v>
      </c>
      <c r="M12" s="33">
        <v>345.17053088234906</v>
      </c>
      <c r="N12" s="5">
        <v>12</v>
      </c>
      <c r="O12" s="5">
        <v>48.5</v>
      </c>
      <c r="P12" s="33">
        <v>662.56540737923604</v>
      </c>
      <c r="Q12" s="5">
        <v>22.33258184208962</v>
      </c>
      <c r="R12" s="5">
        <v>5396.2437823747114</v>
      </c>
      <c r="S12" s="35"/>
      <c r="T12" s="23">
        <v>2887236.4491369762</v>
      </c>
      <c r="U12" s="33">
        <v>271.27799311765773</v>
      </c>
      <c r="V12" s="5">
        <v>8</v>
      </c>
      <c r="W12" s="5">
        <v>49.5</v>
      </c>
      <c r="X12" s="33">
        <v>1291.4296643017801</v>
      </c>
      <c r="Y12" s="5">
        <v>51.028199951889768</v>
      </c>
      <c r="Z12" s="5">
        <v>6836.1688490403239</v>
      </c>
      <c r="AA12" s="35"/>
    </row>
    <row r="13" spans="2:27" x14ac:dyDescent="0.2">
      <c r="B13" s="4">
        <v>10</v>
      </c>
      <c r="C13" s="4">
        <v>989</v>
      </c>
      <c r="D13" s="23">
        <v>2577031.8541553891</v>
      </c>
      <c r="E13" s="33">
        <v>271.39450105879564</v>
      </c>
      <c r="F13" s="5">
        <v>9</v>
      </c>
      <c r="G13" s="23">
        <v>66.5</v>
      </c>
      <c r="H13" s="33">
        <v>1575.2302948972929</v>
      </c>
      <c r="I13" s="23">
        <v>43.762499603910392</v>
      </c>
      <c r="J13" s="5">
        <v>7164.3082551497964</v>
      </c>
      <c r="K13" s="31"/>
      <c r="L13" s="23">
        <v>2838465.2670140672</v>
      </c>
      <c r="M13" s="33">
        <v>924.4817635882647</v>
      </c>
      <c r="N13" s="5">
        <v>12</v>
      </c>
      <c r="O13" s="5">
        <v>48</v>
      </c>
      <c r="P13" s="33">
        <v>711.24659148699732</v>
      </c>
      <c r="Q13" s="5">
        <v>22.283997331786679</v>
      </c>
      <c r="R13" s="5">
        <v>5342.2407702323644</v>
      </c>
      <c r="S13" s="35"/>
      <c r="T13" s="23">
        <v>2863684.009277021</v>
      </c>
      <c r="U13" s="33">
        <v>425.0162031764836</v>
      </c>
      <c r="V13" s="5">
        <v>9</v>
      </c>
      <c r="W13" s="5">
        <v>52.5</v>
      </c>
      <c r="X13" s="33">
        <v>1541.9167484059487</v>
      </c>
      <c r="Y13" s="5">
        <v>51.707578945298465</v>
      </c>
      <c r="Z13" s="5">
        <v>7026.7830143088622</v>
      </c>
      <c r="AA13" s="35"/>
    </row>
    <row r="14" spans="2:27" x14ac:dyDescent="0.2">
      <c r="B14" s="47" t="s">
        <v>3</v>
      </c>
      <c r="C14" s="48"/>
      <c r="D14" s="9">
        <f>MIN(D4:D13)</f>
        <v>2373579.3859409229</v>
      </c>
      <c r="E14" s="22">
        <f>INDEX(E4:E13, MATCH($D$14, D4:D13, 0))</f>
        <v>910.09102552937475</v>
      </c>
      <c r="F14" s="9">
        <f>INDEX(F4:F13, MATCH($D$14, D4:D13, 0))</f>
        <v>10</v>
      </c>
      <c r="G14" s="9">
        <f>INDEX(G4:G13, MATCH($D$14, D4:D13, 0))</f>
        <v>73</v>
      </c>
      <c r="H14" s="22">
        <f>INDEX(H4:H13, MATCH($D$14, D4:D13, 0))</f>
        <v>1461.2016940941685</v>
      </c>
      <c r="I14" s="22">
        <f>INDEX(I4:I13, MATCH($D$14, D4:D13, 0))</f>
        <v>45.158071044444974</v>
      </c>
      <c r="J14" s="22">
        <f>INDEX(J4:J13, MATCH($D$14, D4:D13, 0))</f>
        <v>6933.3352388217691</v>
      </c>
      <c r="K14" s="32" t="e">
        <f>(D14-$D$15)/$D$15</f>
        <v>#DIV/0!</v>
      </c>
      <c r="L14" s="16">
        <f>MIN(L4:L13)</f>
        <v>2774432.0975229219</v>
      </c>
      <c r="M14" s="21">
        <f>INDEX(M4:M13, MATCH($L$14, L4:L13, 0))</f>
        <v>652.73745358825704</v>
      </c>
      <c r="N14" s="16">
        <f>INDEX(N4:N13, MATCH($L$14, L4:L13, 0))</f>
        <v>14</v>
      </c>
      <c r="O14" s="16">
        <f>INDEX(O4:O13, MATCH($L$14, L4:L13, 0))</f>
        <v>54</v>
      </c>
      <c r="P14" s="21">
        <f>INDEX(P4:P13, MATCH($L$14, L4:L13, 0))</f>
        <v>1105.2773297913691</v>
      </c>
      <c r="Q14" s="21">
        <f>INDEX(Q4:Q13, MATCH($L$14, L4:L13, 0))</f>
        <v>22.316099801043315</v>
      </c>
      <c r="R14" s="21">
        <f>INDEX(R4:R13, MATCH($L$14, L4:L13, 0))</f>
        <v>5786.3614779247882</v>
      </c>
      <c r="S14" s="36" t="e">
        <f>(L14-$D$15)/$D$15</f>
        <v>#DIV/0!</v>
      </c>
      <c r="T14" s="38">
        <f>MIN(T4:T13)</f>
        <v>2857483.5729285558</v>
      </c>
      <c r="U14" s="39">
        <f>INDEX(U4:U13, MATCH($T$14, T4:T13, 0))</f>
        <v>397.55796711765203</v>
      </c>
      <c r="V14" s="38">
        <f>INDEX(V4:V13, MATCH($T$14, T4:T13, 0))</f>
        <v>9</v>
      </c>
      <c r="W14" s="38">
        <f>INDEX(W4:W13, MATCH($T$14, T4:T13, 0))</f>
        <v>53.5</v>
      </c>
      <c r="X14" s="39">
        <f>INDEX(X4:X13, MATCH($T$14, T4:T13, 0))</f>
        <v>1610.3252654056082</v>
      </c>
      <c r="Y14" s="39">
        <f>INDEX(Y4:Y13, MATCH($T$14, T4:T13, 0))</f>
        <v>51.778146724868989</v>
      </c>
      <c r="Z14" s="39">
        <f>INDEX(Z4:Z13, MATCH($T$14, T4:T13, 0))</f>
        <v>7170.9658052648874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0.1688811058759237</v>
      </c>
      <c r="M15" s="41">
        <f t="shared" ref="M15:R15" si="0">(M14-E14)/E14</f>
        <v>-0.28277783729536532</v>
      </c>
      <c r="N15" s="41">
        <f t="shared" si="0"/>
        <v>0.4</v>
      </c>
      <c r="O15" s="41">
        <f t="shared" si="0"/>
        <v>-0.26027397260273971</v>
      </c>
      <c r="P15" s="41">
        <f t="shared" si="0"/>
        <v>-0.24358332305619509</v>
      </c>
      <c r="Q15" s="41">
        <f t="shared" si="0"/>
        <v>-0.50582256316750973</v>
      </c>
      <c r="R15" s="41">
        <f t="shared" si="0"/>
        <v>-0.16542886235685528</v>
      </c>
      <c r="T15" s="41">
        <f>(T14-D14)/D14</f>
        <v>0.20387107751856631</v>
      </c>
      <c r="U15" s="41">
        <f t="shared" ref="U15:Y15" si="1">(U14-E14)/E14</f>
        <v>-0.56316680863169322</v>
      </c>
      <c r="V15" s="41">
        <f t="shared" si="1"/>
        <v>-0.1</v>
      </c>
      <c r="W15" s="41">
        <f t="shared" si="1"/>
        <v>-0.26712328767123289</v>
      </c>
      <c r="X15" s="41">
        <f t="shared" si="1"/>
        <v>0.10205543280859987</v>
      </c>
      <c r="Y15" s="41">
        <f t="shared" si="1"/>
        <v>0.14659784014929422</v>
      </c>
      <c r="Z15" s="41">
        <f>(Z14-J14)/J14</f>
        <v>3.4273629971410501E-2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107" priority="3"/>
    <cfRule type="duplicateValues" dxfId="106" priority="4"/>
  </conditionalFormatting>
  <conditionalFormatting sqref="C14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0588-3D00-4A9E-A735-04DA52F6332B}">
  <dimension ref="B1:AA17"/>
  <sheetViews>
    <sheetView zoomScale="90" zoomScaleNormal="90" workbookViewId="0">
      <selection activeCell="U29" sqref="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-0.98543461000675503</v>
      </c>
      <c r="J2" s="28" t="e">
        <f>(S14-J14)/J14</f>
        <v>#DIV/0!</v>
      </c>
      <c r="K2" s="28"/>
      <c r="L2" s="1" t="s">
        <v>19</v>
      </c>
      <c r="P2" s="1">
        <f>(P14-H14)/H14</f>
        <v>-0.10537633897359665</v>
      </c>
      <c r="R2" s="1">
        <f>(R14-J14)/J14</f>
        <v>-0.10503115536809762</v>
      </c>
      <c r="T2" s="1" t="s">
        <v>20</v>
      </c>
      <c r="X2" s="1">
        <f>(X14-P14)/P14</f>
        <v>0.23585170903541508</v>
      </c>
      <c r="Z2" s="1">
        <f>(Z14-R14)/R14</f>
        <v>0.16739502900807249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844</v>
      </c>
      <c r="D4" s="23">
        <v>2759274.5787872602</v>
      </c>
      <c r="E4" s="33">
        <v>270.51408600000502</v>
      </c>
      <c r="F4" s="5">
        <v>10</v>
      </c>
      <c r="G4" s="23">
        <v>57.5</v>
      </c>
      <c r="H4" s="33">
        <v>1547.5414034320027</v>
      </c>
      <c r="I4" s="23">
        <v>38.943812778986604</v>
      </c>
      <c r="J4" s="5">
        <v>7035.4373698339923</v>
      </c>
      <c r="K4" s="31"/>
      <c r="L4" s="23">
        <v>2957576.2091856971</v>
      </c>
      <c r="M4" s="33">
        <v>976.38751864700362</v>
      </c>
      <c r="N4" s="5">
        <v>13</v>
      </c>
      <c r="O4" s="5">
        <v>46.5</v>
      </c>
      <c r="P4" s="33">
        <v>1087.9039338276505</v>
      </c>
      <c r="Q4" s="5">
        <v>24.482788118533996</v>
      </c>
      <c r="R4" s="5">
        <v>6008.3337324552413</v>
      </c>
      <c r="S4" s="35"/>
      <c r="T4" s="23">
        <v>3059160.7141385288</v>
      </c>
      <c r="U4" s="33">
        <v>211.32056829409998</v>
      </c>
      <c r="V4" s="5">
        <v>8</v>
      </c>
      <c r="W4" s="5">
        <v>42</v>
      </c>
      <c r="X4" s="33">
        <v>1382.6901801302051</v>
      </c>
      <c r="Y4" s="5">
        <v>49.23468491279715</v>
      </c>
      <c r="Z4" s="5">
        <v>7018.3419156592445</v>
      </c>
      <c r="AA4" s="35"/>
    </row>
    <row r="5" spans="2:27" x14ac:dyDescent="0.2">
      <c r="B5" s="4">
        <v>2</v>
      </c>
      <c r="C5" s="4">
        <v>547</v>
      </c>
      <c r="D5" s="23">
        <v>2672294.9899196909</v>
      </c>
      <c r="E5" s="33">
        <v>289.44460305878351</v>
      </c>
      <c r="F5" s="5">
        <v>10</v>
      </c>
      <c r="G5" s="23">
        <v>61</v>
      </c>
      <c r="H5" s="33">
        <v>1601.7594596003573</v>
      </c>
      <c r="I5" s="23">
        <v>43.982751462897106</v>
      </c>
      <c r="J5" s="5">
        <v>7089.4580118203676</v>
      </c>
      <c r="K5" s="31"/>
      <c r="L5" s="23">
        <v>2958003.7419703389</v>
      </c>
      <c r="M5" s="33">
        <v>1097.1425409411654</v>
      </c>
      <c r="N5" s="5">
        <v>14</v>
      </c>
      <c r="O5" s="5">
        <v>49</v>
      </c>
      <c r="P5" s="33">
        <v>1345.9893702305976</v>
      </c>
      <c r="Q5" s="5">
        <v>23.584349545746957</v>
      </c>
      <c r="R5" s="5">
        <v>6299.9781293862397</v>
      </c>
      <c r="S5" s="35"/>
      <c r="T5" s="23">
        <v>3057216.931683043</v>
      </c>
      <c r="U5" s="33">
        <v>254.40910829409188</v>
      </c>
      <c r="V5" s="5">
        <v>8</v>
      </c>
      <c r="W5" s="5">
        <v>42.5</v>
      </c>
      <c r="X5" s="33">
        <v>1475.2978828595553</v>
      </c>
      <c r="Y5" s="5">
        <v>49.910613448286071</v>
      </c>
      <c r="Z5" s="5">
        <v>7076.4251572579969</v>
      </c>
      <c r="AA5" s="35"/>
    </row>
    <row r="6" spans="2:27" x14ac:dyDescent="0.2">
      <c r="B6" s="4">
        <v>3</v>
      </c>
      <c r="C6" s="4">
        <v>255</v>
      </c>
      <c r="D6" s="23">
        <v>2695252.0433992059</v>
      </c>
      <c r="E6" s="33">
        <v>328.5570668823579</v>
      </c>
      <c r="F6" s="5">
        <v>10</v>
      </c>
      <c r="G6" s="23">
        <v>60.5</v>
      </c>
      <c r="H6" s="33">
        <v>1609.7414269078536</v>
      </c>
      <c r="I6" s="23">
        <v>42.278234636645195</v>
      </c>
      <c r="J6" s="5">
        <v>7171.4620003177533</v>
      </c>
      <c r="K6" s="31"/>
      <c r="L6" s="23">
        <v>3036916.2640224011</v>
      </c>
      <c r="M6" s="33">
        <v>464.92676488233406</v>
      </c>
      <c r="N6" s="5">
        <v>10</v>
      </c>
      <c r="O6" s="5">
        <v>41</v>
      </c>
      <c r="P6" s="33">
        <v>915.41902435894076</v>
      </c>
      <c r="Q6" s="5">
        <v>25.988704252585826</v>
      </c>
      <c r="R6" s="5">
        <v>5764.9646578235697</v>
      </c>
      <c r="S6" s="35"/>
      <c r="T6" s="23">
        <v>3057922.4236473478</v>
      </c>
      <c r="U6" s="33">
        <v>343.65922594117689</v>
      </c>
      <c r="V6" s="5">
        <v>8</v>
      </c>
      <c r="W6" s="5">
        <v>43</v>
      </c>
      <c r="X6" s="33">
        <v>1548.466983938079</v>
      </c>
      <c r="Y6" s="5">
        <v>50.706746733521996</v>
      </c>
      <c r="Z6" s="5">
        <v>7176.9350932209281</v>
      </c>
      <c r="AA6" s="35"/>
    </row>
    <row r="7" spans="2:27" x14ac:dyDescent="0.2">
      <c r="B7" s="4">
        <v>4</v>
      </c>
      <c r="C7" s="4">
        <v>214</v>
      </c>
      <c r="D7" s="23">
        <v>2707240.9063827419</v>
      </c>
      <c r="E7" s="33">
        <v>541.18303776465302</v>
      </c>
      <c r="F7" s="5">
        <v>10</v>
      </c>
      <c r="G7" s="23">
        <v>60.5</v>
      </c>
      <c r="H7" s="33">
        <v>1739.2990908481127</v>
      </c>
      <c r="I7" s="23">
        <v>43.449639732686776</v>
      </c>
      <c r="J7" s="5">
        <v>7224.9480863731296</v>
      </c>
      <c r="K7" s="31"/>
      <c r="L7" s="23">
        <v>2986137.532537051</v>
      </c>
      <c r="M7" s="33">
        <v>495.13405964702974</v>
      </c>
      <c r="N7" s="5">
        <v>14</v>
      </c>
      <c r="O7" s="5">
        <v>46.5</v>
      </c>
      <c r="P7" s="33">
        <v>1082.1915109889139</v>
      </c>
      <c r="Q7" s="5">
        <v>22.692730989523948</v>
      </c>
      <c r="R7" s="5">
        <v>5942.0744059201224</v>
      </c>
      <c r="S7" s="35"/>
      <c r="T7" s="23">
        <v>3091817.9939897559</v>
      </c>
      <c r="U7" s="33">
        <v>359.18555205883047</v>
      </c>
      <c r="V7" s="5">
        <v>9</v>
      </c>
      <c r="W7" s="5">
        <v>42.5</v>
      </c>
      <c r="X7" s="33">
        <v>1527.80266258393</v>
      </c>
      <c r="Y7" s="5">
        <v>42.842814425274696</v>
      </c>
      <c r="Z7" s="5">
        <v>7170.3311793403018</v>
      </c>
      <c r="AA7" s="35"/>
    </row>
    <row r="8" spans="2:27" x14ac:dyDescent="0.2">
      <c r="B8" s="4">
        <v>5</v>
      </c>
      <c r="C8" s="4">
        <v>855</v>
      </c>
      <c r="D8" s="23">
        <v>2694953.1624808861</v>
      </c>
      <c r="E8" s="33">
        <v>243.60116294119507</v>
      </c>
      <c r="F8" s="5">
        <v>10</v>
      </c>
      <c r="G8" s="23">
        <v>61.5</v>
      </c>
      <c r="H8" s="33">
        <v>1704.8780736672545</v>
      </c>
      <c r="I8" s="23">
        <v>43.072418155503243</v>
      </c>
      <c r="J8" s="5">
        <v>7317.1831842490019</v>
      </c>
      <c r="K8" s="31"/>
      <c r="L8" s="23">
        <v>2926426.6268240488</v>
      </c>
      <c r="M8" s="33">
        <v>380.9035908234963</v>
      </c>
      <c r="N8" s="5">
        <v>15</v>
      </c>
      <c r="O8" s="5">
        <v>51</v>
      </c>
      <c r="P8" s="33">
        <v>1432.9719118313451</v>
      </c>
      <c r="Q8" s="5">
        <v>23.330251204448594</v>
      </c>
      <c r="R8" s="5">
        <v>6344.8440459052581</v>
      </c>
      <c r="S8" s="35"/>
      <c r="T8" s="23">
        <v>3042830.8874767511</v>
      </c>
      <c r="U8" s="33">
        <v>317.13831547058788</v>
      </c>
      <c r="V8" s="5">
        <v>10</v>
      </c>
      <c r="W8" s="5">
        <v>45</v>
      </c>
      <c r="X8" s="33">
        <v>1555.6975222369604</v>
      </c>
      <c r="Y8" s="5">
        <v>42.389756958105004</v>
      </c>
      <c r="Z8" s="5">
        <v>7013.6182224421955</v>
      </c>
      <c r="AA8" s="35"/>
    </row>
    <row r="9" spans="2:27" x14ac:dyDescent="0.2">
      <c r="B9" s="4">
        <v>6</v>
      </c>
      <c r="C9" s="4">
        <v>680</v>
      </c>
      <c r="D9" s="23">
        <v>2727401.736783972</v>
      </c>
      <c r="E9" s="33">
        <v>381.69067711761113</v>
      </c>
      <c r="F9" s="5">
        <v>10</v>
      </c>
      <c r="G9" s="23">
        <v>59</v>
      </c>
      <c r="H9" s="33">
        <v>1576.9245356619811</v>
      </c>
      <c r="I9" s="23">
        <v>40.250805774319844</v>
      </c>
      <c r="J9" s="5">
        <v>7163.752375834385</v>
      </c>
      <c r="K9" s="31"/>
      <c r="L9" s="23">
        <v>2939081.091652371</v>
      </c>
      <c r="M9" s="33">
        <v>1354.6557757059143</v>
      </c>
      <c r="N9" s="5">
        <v>14</v>
      </c>
      <c r="O9" s="5">
        <v>48.5</v>
      </c>
      <c r="P9" s="33">
        <v>1200.5691178464201</v>
      </c>
      <c r="Q9" s="5">
        <v>24.116762029725443</v>
      </c>
      <c r="R9" s="5">
        <v>6071.4158254992299</v>
      </c>
      <c r="S9" s="35"/>
      <c r="T9" s="23">
        <v>3046859.3934059902</v>
      </c>
      <c r="U9" s="33">
        <v>293.81550205881734</v>
      </c>
      <c r="V9" s="5">
        <v>8</v>
      </c>
      <c r="W9" s="5">
        <v>43</v>
      </c>
      <c r="X9" s="33">
        <v>1449.2556087976222</v>
      </c>
      <c r="Y9" s="5">
        <v>49.905563379729685</v>
      </c>
      <c r="Z9" s="5">
        <v>7043.9766152424936</v>
      </c>
      <c r="AA9" s="35"/>
    </row>
    <row r="10" spans="2:27" x14ac:dyDescent="0.2">
      <c r="B10" s="4">
        <v>7</v>
      </c>
      <c r="C10" s="4">
        <v>529</v>
      </c>
      <c r="D10" s="23">
        <v>2709141.7749718358</v>
      </c>
      <c r="E10" s="33">
        <v>349.79266923530412</v>
      </c>
      <c r="F10" s="5">
        <v>10</v>
      </c>
      <c r="G10" s="23">
        <v>60</v>
      </c>
      <c r="H10" s="33">
        <v>1690.5516024390306</v>
      </c>
      <c r="I10" s="23">
        <v>43.173761794754597</v>
      </c>
      <c r="J10" s="5">
        <v>7190.9339058395981</v>
      </c>
      <c r="K10" s="31"/>
      <c r="L10" s="23">
        <v>3008182.606035525</v>
      </c>
      <c r="M10" s="33">
        <v>686.42035152941173</v>
      </c>
      <c r="N10" s="5">
        <v>12</v>
      </c>
      <c r="O10" s="5">
        <v>45</v>
      </c>
      <c r="P10" s="33">
        <v>1217.680885933913</v>
      </c>
      <c r="Q10" s="5">
        <v>24.769307313869508</v>
      </c>
      <c r="R10" s="5">
        <v>6118.1322710043987</v>
      </c>
      <c r="S10" s="35"/>
      <c r="T10" s="23">
        <v>3067828.2889160849</v>
      </c>
      <c r="U10" s="33">
        <v>663.93634147058708</v>
      </c>
      <c r="V10" s="5">
        <v>10</v>
      </c>
      <c r="W10" s="5">
        <v>45</v>
      </c>
      <c r="X10" s="33">
        <v>1583.9506491678569</v>
      </c>
      <c r="Y10" s="5">
        <v>41.573437438728561</v>
      </c>
      <c r="Z10" s="5">
        <v>7176.7612591201714</v>
      </c>
      <c r="AA10" s="35"/>
    </row>
    <row r="11" spans="2:27" x14ac:dyDescent="0.2">
      <c r="B11" s="4">
        <v>8</v>
      </c>
      <c r="C11" s="4">
        <v>780</v>
      </c>
      <c r="D11" s="23">
        <v>2696353.204478669</v>
      </c>
      <c r="E11" s="33">
        <v>300.73189058820441</v>
      </c>
      <c r="F11" s="5">
        <v>9</v>
      </c>
      <c r="G11" s="23">
        <v>58</v>
      </c>
      <c r="H11" s="33">
        <v>1385.8287691784321</v>
      </c>
      <c r="I11" s="23">
        <v>43.041412516139054</v>
      </c>
      <c r="J11" s="5">
        <v>6858.216885522228</v>
      </c>
      <c r="K11" s="31"/>
      <c r="L11" s="23">
        <v>2964328.0056625442</v>
      </c>
      <c r="M11" s="33">
        <v>418.67882447057019</v>
      </c>
      <c r="N11" s="5">
        <v>13</v>
      </c>
      <c r="O11" s="5">
        <v>46</v>
      </c>
      <c r="P11" s="33">
        <v>1109.9734702664744</v>
      </c>
      <c r="Q11" s="5">
        <v>22.88457615683679</v>
      </c>
      <c r="R11" s="5">
        <v>5854.0335754094149</v>
      </c>
      <c r="S11" s="35"/>
      <c r="T11" s="23">
        <v>3055085.096212856</v>
      </c>
      <c r="U11" s="33">
        <v>339.68422111764085</v>
      </c>
      <c r="V11" s="5">
        <v>10</v>
      </c>
      <c r="W11" s="5">
        <v>45.5</v>
      </c>
      <c r="X11" s="33">
        <v>1728.3944765164674</v>
      </c>
      <c r="Y11" s="5">
        <v>43.800924413148394</v>
      </c>
      <c r="Z11" s="5">
        <v>7308.7880772319004</v>
      </c>
      <c r="AA11" s="35"/>
    </row>
    <row r="12" spans="2:27" x14ac:dyDescent="0.2">
      <c r="B12" s="4">
        <v>9</v>
      </c>
      <c r="C12" s="4">
        <v>698</v>
      </c>
      <c r="D12" s="23">
        <v>2674878.2648468772</v>
      </c>
      <c r="E12" s="33">
        <v>873.39098152937356</v>
      </c>
      <c r="F12" s="5">
        <v>10</v>
      </c>
      <c r="G12" s="23">
        <v>62</v>
      </c>
      <c r="H12" s="33">
        <v>1732.2178041515576</v>
      </c>
      <c r="I12" s="23">
        <v>44.114652497340543</v>
      </c>
      <c r="J12" s="5">
        <v>7301.4168258645623</v>
      </c>
      <c r="K12" s="31"/>
      <c r="L12" s="23">
        <v>3006444.2129924078</v>
      </c>
      <c r="M12" s="33">
        <v>674.6829420000123</v>
      </c>
      <c r="N12" s="5">
        <v>11</v>
      </c>
      <c r="O12" s="5">
        <v>42.5</v>
      </c>
      <c r="P12" s="33">
        <v>903.42587866030033</v>
      </c>
      <c r="Q12" s="5">
        <v>25.095777552085334</v>
      </c>
      <c r="R12" s="5">
        <v>5793.3915174640706</v>
      </c>
      <c r="S12" s="35"/>
      <c r="T12" s="23">
        <v>3070228.3499106881</v>
      </c>
      <c r="U12" s="33">
        <v>330.17428276471463</v>
      </c>
      <c r="V12" s="5">
        <v>9</v>
      </c>
      <c r="W12" s="5">
        <v>44.5</v>
      </c>
      <c r="X12" s="33">
        <v>1729.1563555087739</v>
      </c>
      <c r="Y12" s="5">
        <v>46.570169306438771</v>
      </c>
      <c r="Z12" s="5">
        <v>7353.6371610013293</v>
      </c>
      <c r="AA12" s="35"/>
    </row>
    <row r="13" spans="2:27" x14ac:dyDescent="0.2">
      <c r="B13" s="4">
        <v>10</v>
      </c>
      <c r="C13" s="4">
        <v>396</v>
      </c>
      <c r="D13" s="23">
        <v>2725718.414557185</v>
      </c>
      <c r="E13" s="33">
        <v>838.74999200000775</v>
      </c>
      <c r="F13" s="5">
        <v>10</v>
      </c>
      <c r="G13" s="23">
        <v>60.5</v>
      </c>
      <c r="H13" s="33">
        <v>1790.4946119956319</v>
      </c>
      <c r="I13" s="23">
        <v>41.948831557472303</v>
      </c>
      <c r="J13" s="5">
        <v>7369.5426241308414</v>
      </c>
      <c r="K13" s="31"/>
      <c r="L13" s="23">
        <v>2941281.624834395</v>
      </c>
      <c r="M13" s="33">
        <v>327.21398499999742</v>
      </c>
      <c r="N13" s="5">
        <v>16</v>
      </c>
      <c r="O13" s="5">
        <v>51.5</v>
      </c>
      <c r="P13" s="33">
        <v>1355.2676386773528</v>
      </c>
      <c r="Q13" s="5">
        <v>22.394713870128488</v>
      </c>
      <c r="R13" s="5">
        <v>6429.4678630743501</v>
      </c>
      <c r="S13" s="35"/>
      <c r="T13" s="23">
        <v>3034162.7663745098</v>
      </c>
      <c r="U13" s="33">
        <v>847.26073547057592</v>
      </c>
      <c r="V13" s="5">
        <v>9</v>
      </c>
      <c r="W13" s="5">
        <v>46</v>
      </c>
      <c r="X13" s="33">
        <v>1770.940786236514</v>
      </c>
      <c r="Y13" s="5">
        <v>49.712909230820976</v>
      </c>
      <c r="Z13" s="5">
        <v>7406.9393990212648</v>
      </c>
      <c r="AA13" s="35"/>
    </row>
    <row r="14" spans="2:27" x14ac:dyDescent="0.2">
      <c r="B14" s="47" t="s">
        <v>3</v>
      </c>
      <c r="C14" s="48"/>
      <c r="D14" s="9">
        <f>MIN(D4:D13)</f>
        <v>2672294.9899196909</v>
      </c>
      <c r="E14" s="22">
        <f>INDEX(E4:E13, MATCH($D$14, D4:D13, 0))</f>
        <v>289.44460305878351</v>
      </c>
      <c r="F14" s="9">
        <f>INDEX(F4:F13, MATCH($D$14, D4:D13, 0))</f>
        <v>10</v>
      </c>
      <c r="G14" s="9">
        <f>INDEX(G4:G13, MATCH($D$14, D4:D13, 0))</f>
        <v>61</v>
      </c>
      <c r="H14" s="22">
        <f>INDEX(H4:H13, MATCH($D$14, D4:D13, 0))</f>
        <v>1601.7594596003573</v>
      </c>
      <c r="I14" s="22">
        <f>INDEX(I4:I13, MATCH($D$14, D4:D13, 0))</f>
        <v>43.982751462897106</v>
      </c>
      <c r="J14" s="22">
        <f>INDEX(J4:J13, MATCH($D$14, D4:D13, 0))</f>
        <v>7089.4580118203676</v>
      </c>
      <c r="K14" s="32" t="e">
        <f>(D14-$D$15)/$D$15</f>
        <v>#DIV/0!</v>
      </c>
      <c r="L14" s="16">
        <f>MIN(L4:L13)</f>
        <v>2926426.6268240488</v>
      </c>
      <c r="M14" s="21">
        <f>INDEX(M4:M13, MATCH($L$14, L4:L13, 0))</f>
        <v>380.9035908234963</v>
      </c>
      <c r="N14" s="16">
        <f>INDEX(N4:N13, MATCH($L$14, L4:L13, 0))</f>
        <v>15</v>
      </c>
      <c r="O14" s="16">
        <f>INDEX(O4:O13, MATCH($L$14, L4:L13, 0))</f>
        <v>51</v>
      </c>
      <c r="P14" s="21">
        <f>INDEX(P4:P13, MATCH($L$14, L4:L13, 0))</f>
        <v>1432.9719118313451</v>
      </c>
      <c r="Q14" s="21">
        <f>INDEX(Q4:Q13, MATCH($L$14, L4:L13, 0))</f>
        <v>23.330251204448594</v>
      </c>
      <c r="R14" s="21">
        <f>INDEX(R4:R13, MATCH($L$14, L4:L13, 0))</f>
        <v>6344.8440459052581</v>
      </c>
      <c r="S14" s="36" t="e">
        <f>(L14-$D$15)/$D$15</f>
        <v>#DIV/0!</v>
      </c>
      <c r="T14" s="38">
        <f>MIN(T4:T13)</f>
        <v>3034162.7663745098</v>
      </c>
      <c r="U14" s="39">
        <f>INDEX(U4:U13, MATCH($T$14, T4:T13, 0))</f>
        <v>847.26073547057592</v>
      </c>
      <c r="V14" s="38">
        <f>INDEX(V4:V13, MATCH($T$14, T4:T13, 0))</f>
        <v>9</v>
      </c>
      <c r="W14" s="38">
        <f>INDEX(W4:W13, MATCH($T$14, T4:T13, 0))</f>
        <v>46</v>
      </c>
      <c r="X14" s="39">
        <f>INDEX(X4:X13, MATCH($T$14, T4:T13, 0))</f>
        <v>1770.940786236514</v>
      </c>
      <c r="Y14" s="39">
        <f>INDEX(Y4:Y13, MATCH($T$14, T4:T13, 0))</f>
        <v>49.712909230820976</v>
      </c>
      <c r="Z14" s="39">
        <f>INDEX(Z4:Z13, MATCH($T$14, T4:T13, 0))</f>
        <v>7406.9393990212648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9.5098646617600854E-2</v>
      </c>
      <c r="M15" s="41">
        <f t="shared" ref="M15:R15" si="0">(M14-E14)/E14</f>
        <v>0.31598097459132213</v>
      </c>
      <c r="N15" s="41">
        <f t="shared" si="0"/>
        <v>0.5</v>
      </c>
      <c r="O15" s="41">
        <f t="shared" si="0"/>
        <v>-0.16393442622950818</v>
      </c>
      <c r="P15" s="41">
        <f t="shared" si="0"/>
        <v>-0.10537633897359665</v>
      </c>
      <c r="Q15" s="41">
        <f t="shared" si="0"/>
        <v>-0.46955907876455871</v>
      </c>
      <c r="R15" s="41">
        <f t="shared" si="0"/>
        <v>-0.10503115536809762</v>
      </c>
      <c r="T15" s="41">
        <f>(T14-D14)/D14</f>
        <v>0.13541460722706139</v>
      </c>
      <c r="U15" s="41">
        <f t="shared" ref="U15:Y15" si="1">(U14-E14)/E14</f>
        <v>1.9271947948482049</v>
      </c>
      <c r="V15" s="41">
        <f t="shared" si="1"/>
        <v>-0.1</v>
      </c>
      <c r="W15" s="41">
        <f t="shared" si="1"/>
        <v>-0.24590163934426229</v>
      </c>
      <c r="X15" s="41">
        <f t="shared" si="1"/>
        <v>0.10562218042300046</v>
      </c>
      <c r="Y15" s="41">
        <f t="shared" si="1"/>
        <v>0.1302819304689864</v>
      </c>
      <c r="Z15" s="41">
        <f>(Z14-J14)/J14</f>
        <v>4.4782180340380798E-2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103" priority="7"/>
    <cfRule type="duplicateValues" dxfId="102" priority="8"/>
  </conditionalFormatting>
  <conditionalFormatting sqref="C14">
    <cfRule type="duplicateValues" dxfId="101" priority="5"/>
    <cfRule type="duplicateValues" dxfId="100" priority="6"/>
  </conditionalFormatting>
  <conditionalFormatting sqref="C15">
    <cfRule type="duplicateValues" dxfId="99" priority="3"/>
    <cfRule type="duplicateValues" dxfId="98" priority="4"/>
  </conditionalFormatting>
  <conditionalFormatting sqref="C20:C34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6576-30AB-40DD-B909-D04ED04C4C7F}">
  <dimension ref="B1:AA17"/>
  <sheetViews>
    <sheetView zoomScale="90" zoomScaleNormal="90" workbookViewId="0">
      <selection activeCell="U20" sqref="U20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-0.98588953852247019</v>
      </c>
      <c r="J2" s="28" t="e">
        <f>(S14-J14)/J14</f>
        <v>#DIV/0!</v>
      </c>
      <c r="K2" s="28"/>
      <c r="L2" s="1" t="s">
        <v>19</v>
      </c>
      <c r="P2" s="1">
        <f>(P14-H14)/H14</f>
        <v>-0.24239422253113677</v>
      </c>
      <c r="R2" s="1">
        <f>(R14-J14)/J14</f>
        <v>-0.11266988494352743</v>
      </c>
      <c r="T2" s="1" t="s">
        <v>20</v>
      </c>
      <c r="X2" s="1">
        <f>(X14-P14)/P14</f>
        <v>-7.1687747488205389E-2</v>
      </c>
      <c r="Z2" s="1">
        <f>(Z14-R14)/R14</f>
        <v>4.4502425785714131E-2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861</v>
      </c>
      <c r="D4" s="23">
        <v>3075248.4837641129</v>
      </c>
      <c r="E4" s="33">
        <v>403.81276370587705</v>
      </c>
      <c r="F4" s="5">
        <v>9</v>
      </c>
      <c r="G4" s="23">
        <v>45</v>
      </c>
      <c r="H4" s="33">
        <v>1584.9315288265595</v>
      </c>
      <c r="I4" s="23">
        <v>29.249587360126586</v>
      </c>
      <c r="J4" s="5">
        <v>7074.7330372293263</v>
      </c>
      <c r="K4" s="31"/>
      <c r="L4" s="23">
        <v>3176816.7268839302</v>
      </c>
      <c r="M4" s="33">
        <v>682.36726594116419</v>
      </c>
      <c r="N4" s="5">
        <v>10</v>
      </c>
      <c r="O4" s="5">
        <v>38.5</v>
      </c>
      <c r="P4" s="33">
        <v>1113.3627886215756</v>
      </c>
      <c r="Q4" s="5">
        <v>21.549174575831834</v>
      </c>
      <c r="R4" s="5">
        <v>6426.5018117799927</v>
      </c>
      <c r="S4" s="35"/>
      <c r="T4" s="23">
        <v>3282501.3576572868</v>
      </c>
      <c r="U4" s="33">
        <v>198.80293841179292</v>
      </c>
      <c r="V4" s="5">
        <v>7</v>
      </c>
      <c r="W4" s="5">
        <v>33.5</v>
      </c>
      <c r="X4" s="33">
        <v>1428.5509299422015</v>
      </c>
      <c r="Y4" s="5">
        <v>42.8233031574999</v>
      </c>
      <c r="Z4" s="5">
        <v>6943.4257690366458</v>
      </c>
      <c r="AA4" s="35"/>
    </row>
    <row r="5" spans="2:27" x14ac:dyDescent="0.2">
      <c r="B5" s="4">
        <v>2</v>
      </c>
      <c r="C5" s="4">
        <v>17</v>
      </c>
      <c r="D5" s="23">
        <v>2997501.433429942</v>
      </c>
      <c r="E5" s="33">
        <v>181.77349452942829</v>
      </c>
      <c r="F5" s="5">
        <v>8</v>
      </c>
      <c r="G5" s="23">
        <v>47</v>
      </c>
      <c r="H5" s="33">
        <v>1407.1025133939049</v>
      </c>
      <c r="I5" s="23">
        <v>37.116463633633458</v>
      </c>
      <c r="J5" s="5">
        <v>7094.1060930799822</v>
      </c>
      <c r="K5" s="31"/>
      <c r="L5" s="23">
        <v>3184848.0658838321</v>
      </c>
      <c r="M5" s="33">
        <v>312.74932123535751</v>
      </c>
      <c r="N5" s="5">
        <v>8</v>
      </c>
      <c r="O5" s="5">
        <v>36.5</v>
      </c>
      <c r="P5" s="33">
        <v>1095.6878213361579</v>
      </c>
      <c r="Q5" s="5">
        <v>26.798821919914133</v>
      </c>
      <c r="R5" s="5">
        <v>6285.521340312378</v>
      </c>
      <c r="S5" s="35"/>
      <c r="T5" s="23">
        <v>3358004.9311394109</v>
      </c>
      <c r="U5" s="33">
        <v>204.33797358822849</v>
      </c>
      <c r="V5" s="5">
        <v>6</v>
      </c>
      <c r="W5" s="5">
        <v>28.5</v>
      </c>
      <c r="X5" s="33">
        <v>974.47382771019625</v>
      </c>
      <c r="Y5" s="5">
        <v>47.300455420400908</v>
      </c>
      <c r="Z5" s="5">
        <v>6721.4748478832198</v>
      </c>
      <c r="AA5" s="35"/>
    </row>
    <row r="6" spans="2:27" x14ac:dyDescent="0.2">
      <c r="B6" s="4">
        <v>3</v>
      </c>
      <c r="C6" s="4">
        <v>543</v>
      </c>
      <c r="D6" s="23">
        <v>2942885.020305587</v>
      </c>
      <c r="E6" s="33">
        <v>388.77410076469567</v>
      </c>
      <c r="F6" s="5">
        <v>10</v>
      </c>
      <c r="G6" s="23">
        <v>50</v>
      </c>
      <c r="H6" s="33">
        <v>1439.5833293357143</v>
      </c>
      <c r="I6" s="23">
        <v>31.60985411631766</v>
      </c>
      <c r="J6" s="5">
        <v>6973.6910495977363</v>
      </c>
      <c r="K6" s="31"/>
      <c r="L6" s="23">
        <v>3191472.0298014958</v>
      </c>
      <c r="M6" s="33">
        <v>315.57563241174006</v>
      </c>
      <c r="N6" s="5">
        <v>10</v>
      </c>
      <c r="O6" s="5">
        <v>39</v>
      </c>
      <c r="P6" s="33">
        <v>1234.2180725499102</v>
      </c>
      <c r="Q6" s="5">
        <v>21.78558724557562</v>
      </c>
      <c r="R6" s="5">
        <v>6592.5259516988517</v>
      </c>
      <c r="S6" s="35"/>
      <c r="T6" s="23">
        <v>3293479.4989967272</v>
      </c>
      <c r="U6" s="33">
        <v>211.23804652940154</v>
      </c>
      <c r="V6" s="5">
        <v>6</v>
      </c>
      <c r="W6" s="5">
        <v>31</v>
      </c>
      <c r="X6" s="33">
        <v>933.0315160396392</v>
      </c>
      <c r="Y6" s="5">
        <v>42.826675443158649</v>
      </c>
      <c r="Z6" s="5">
        <v>6551.000598798827</v>
      </c>
      <c r="AA6" s="35"/>
    </row>
    <row r="7" spans="2:27" x14ac:dyDescent="0.2">
      <c r="B7" s="4">
        <v>4</v>
      </c>
      <c r="C7" s="4">
        <v>873</v>
      </c>
      <c r="D7" s="23">
        <v>3014216.2153563821</v>
      </c>
      <c r="E7" s="33">
        <v>521.37470788233372</v>
      </c>
      <c r="F7" s="5">
        <v>8</v>
      </c>
      <c r="G7" s="23">
        <v>45.5</v>
      </c>
      <c r="H7" s="33">
        <v>1280.0119850863759</v>
      </c>
      <c r="I7" s="23">
        <v>34.223515062231684</v>
      </c>
      <c r="J7" s="5">
        <v>6933.897324457881</v>
      </c>
      <c r="K7" s="31"/>
      <c r="L7" s="23">
        <v>3197928.8487043348</v>
      </c>
      <c r="M7" s="33">
        <v>374.52799405882081</v>
      </c>
      <c r="N7" s="5">
        <v>8</v>
      </c>
      <c r="O7" s="5">
        <v>36</v>
      </c>
      <c r="P7" s="33">
        <v>1046.7197095364079</v>
      </c>
      <c r="Q7" s="5">
        <v>24.261058264467501</v>
      </c>
      <c r="R7" s="5">
        <v>6209.8427697087682</v>
      </c>
      <c r="S7" s="35"/>
      <c r="T7" s="23">
        <v>3279002.71119182</v>
      </c>
      <c r="U7" s="33">
        <v>215.70047099999258</v>
      </c>
      <c r="V7" s="5">
        <v>7</v>
      </c>
      <c r="W7" s="5">
        <v>33</v>
      </c>
      <c r="X7" s="33">
        <v>1161.5665383853905</v>
      </c>
      <c r="Y7" s="5">
        <v>40.124161388378312</v>
      </c>
      <c r="Z7" s="5">
        <v>6787.7066723097523</v>
      </c>
      <c r="AA7" s="35"/>
    </row>
    <row r="8" spans="2:27" x14ac:dyDescent="0.2">
      <c r="B8" s="4">
        <v>5</v>
      </c>
      <c r="C8" s="4">
        <v>46</v>
      </c>
      <c r="D8" s="23">
        <v>2918825.4925321531</v>
      </c>
      <c r="E8" s="33">
        <v>470.62547747059455</v>
      </c>
      <c r="F8" s="5">
        <v>10</v>
      </c>
      <c r="G8" s="23">
        <v>51.5</v>
      </c>
      <c r="H8" s="33">
        <v>1653.7643261630915</v>
      </c>
      <c r="I8" s="23">
        <v>38.213650922875601</v>
      </c>
      <c r="J8" s="5">
        <v>7131.8760344935781</v>
      </c>
      <c r="K8" s="31"/>
      <c r="L8" s="23">
        <v>3177933.3984154561</v>
      </c>
      <c r="M8" s="33">
        <v>365.93483423533411</v>
      </c>
      <c r="N8" s="5">
        <v>9</v>
      </c>
      <c r="O8" s="5">
        <v>36.5</v>
      </c>
      <c r="P8" s="33">
        <v>1088.8580136453922</v>
      </c>
      <c r="Q8" s="5">
        <v>24.602560974019028</v>
      </c>
      <c r="R8" s="5">
        <v>6088.6499673220615</v>
      </c>
      <c r="S8" s="35"/>
      <c r="T8" s="23">
        <v>3330648.230495879</v>
      </c>
      <c r="U8" s="33">
        <v>372.84897441174564</v>
      </c>
      <c r="V8" s="5">
        <v>7</v>
      </c>
      <c r="W8" s="5">
        <v>32.5</v>
      </c>
      <c r="X8" s="33">
        <v>1542.4199108354378</v>
      </c>
      <c r="Y8" s="5">
        <v>37.266100142292643</v>
      </c>
      <c r="Z8" s="5">
        <v>7017.4760428013396</v>
      </c>
      <c r="AA8" s="35"/>
    </row>
    <row r="9" spans="2:27" x14ac:dyDescent="0.2">
      <c r="B9" s="4">
        <v>6</v>
      </c>
      <c r="C9" s="4">
        <v>124</v>
      </c>
      <c r="D9" s="23">
        <v>3005520.458601207</v>
      </c>
      <c r="E9" s="33">
        <v>1048.9778049411389</v>
      </c>
      <c r="F9" s="5">
        <v>9</v>
      </c>
      <c r="G9" s="23">
        <v>48.5</v>
      </c>
      <c r="H9" s="33">
        <v>1645.8989413959457</v>
      </c>
      <c r="I9" s="23">
        <v>32.338592956845652</v>
      </c>
      <c r="J9" s="5">
        <v>7254.1929333992712</v>
      </c>
      <c r="K9" s="31"/>
      <c r="L9" s="23">
        <v>3141787.2283785921</v>
      </c>
      <c r="M9" s="33">
        <v>365.26620247058901</v>
      </c>
      <c r="N9" s="5">
        <v>10</v>
      </c>
      <c r="O9" s="5">
        <v>39.5</v>
      </c>
      <c r="P9" s="33">
        <v>1207.924882191626</v>
      </c>
      <c r="Q9" s="5">
        <v>22.312706166169477</v>
      </c>
      <c r="R9" s="5">
        <v>6270.0923352590926</v>
      </c>
      <c r="S9" s="35"/>
      <c r="T9" s="23">
        <v>3246980.2687912011</v>
      </c>
      <c r="U9" s="33">
        <v>263.08974658823848</v>
      </c>
      <c r="V9" s="5">
        <v>7</v>
      </c>
      <c r="W9" s="5">
        <v>33.5</v>
      </c>
      <c r="X9" s="33">
        <v>1163.0837283035012</v>
      </c>
      <c r="Y9" s="5">
        <v>44.700052088978943</v>
      </c>
      <c r="Z9" s="5">
        <v>6609.954346434648</v>
      </c>
      <c r="AA9" s="35"/>
    </row>
    <row r="10" spans="2:27" x14ac:dyDescent="0.2">
      <c r="B10" s="4">
        <v>7</v>
      </c>
      <c r="C10" s="4">
        <v>878</v>
      </c>
      <c r="D10" s="23">
        <v>2958250.330347097</v>
      </c>
      <c r="E10" s="33">
        <v>534.56629952943115</v>
      </c>
      <c r="F10" s="5">
        <v>9</v>
      </c>
      <c r="G10" s="23">
        <v>49</v>
      </c>
      <c r="H10" s="33">
        <v>1433.4338094110792</v>
      </c>
      <c r="I10" s="23">
        <v>34.03722034265752</v>
      </c>
      <c r="J10" s="5">
        <v>7027.3335049592151</v>
      </c>
      <c r="K10" s="31"/>
      <c r="L10" s="23">
        <v>3116750.528406031</v>
      </c>
      <c r="M10" s="33">
        <v>437.27646458825535</v>
      </c>
      <c r="N10" s="5">
        <v>11</v>
      </c>
      <c r="O10" s="5">
        <v>41</v>
      </c>
      <c r="P10" s="33">
        <v>1252.9014080730597</v>
      </c>
      <c r="Q10" s="5">
        <v>23.335377817237337</v>
      </c>
      <c r="R10" s="5">
        <v>6328.3283822556859</v>
      </c>
      <c r="S10" s="35"/>
      <c r="T10" s="23">
        <v>3341088.193108364</v>
      </c>
      <c r="U10" s="33">
        <v>252.42198652943927</v>
      </c>
      <c r="V10" s="5">
        <v>6</v>
      </c>
      <c r="W10" s="5">
        <v>31</v>
      </c>
      <c r="X10" s="33">
        <v>1340.9340434979322</v>
      </c>
      <c r="Y10" s="5">
        <v>39.725477170638179</v>
      </c>
      <c r="Z10" s="5">
        <v>7010.3903224202668</v>
      </c>
      <c r="AA10" s="35"/>
    </row>
    <row r="11" spans="2:27" x14ac:dyDescent="0.2">
      <c r="B11" s="4">
        <v>8</v>
      </c>
      <c r="C11" s="4">
        <v>331</v>
      </c>
      <c r="D11" s="23">
        <v>2980991.1553132348</v>
      </c>
      <c r="E11" s="33">
        <v>270.2036336470423</v>
      </c>
      <c r="F11" s="5">
        <v>9</v>
      </c>
      <c r="G11" s="23">
        <v>48</v>
      </c>
      <c r="H11" s="33">
        <v>1403.3706862089884</v>
      </c>
      <c r="I11" s="23">
        <v>33.816040643091824</v>
      </c>
      <c r="J11" s="5">
        <v>6998.9033758058222</v>
      </c>
      <c r="K11" s="31"/>
      <c r="L11" s="23">
        <v>3318001.229449755</v>
      </c>
      <c r="M11" s="33">
        <v>316.45965129410956</v>
      </c>
      <c r="N11" s="5">
        <v>8</v>
      </c>
      <c r="O11" s="5">
        <v>30.5</v>
      </c>
      <c r="P11" s="33">
        <v>776.86216975512968</v>
      </c>
      <c r="Q11" s="5">
        <v>23.107703417509985</v>
      </c>
      <c r="R11" s="5">
        <v>5989.5840070507111</v>
      </c>
      <c r="S11" s="35"/>
      <c r="T11" s="23">
        <v>3295456.9792999672</v>
      </c>
      <c r="U11" s="33">
        <v>294.88809170591753</v>
      </c>
      <c r="V11" s="5">
        <v>6</v>
      </c>
      <c r="W11" s="5">
        <v>31</v>
      </c>
      <c r="X11" s="33">
        <v>986.66298626835601</v>
      </c>
      <c r="Y11" s="5">
        <v>43.733219473150406</v>
      </c>
      <c r="Z11" s="5">
        <v>6587.258529570564</v>
      </c>
      <c r="AA11" s="35"/>
    </row>
    <row r="12" spans="2:27" x14ac:dyDescent="0.2">
      <c r="B12" s="4">
        <v>9</v>
      </c>
      <c r="C12" s="4">
        <v>934</v>
      </c>
      <c r="D12" s="23">
        <v>3004483.7423220761</v>
      </c>
      <c r="E12" s="33">
        <v>726.2670251764082</v>
      </c>
      <c r="F12" s="5">
        <v>10</v>
      </c>
      <c r="G12" s="23">
        <v>49.5</v>
      </c>
      <c r="H12" s="33">
        <v>1724.3017031753745</v>
      </c>
      <c r="I12" s="23">
        <v>30.961739255356161</v>
      </c>
      <c r="J12" s="5">
        <v>7339.3936064581676</v>
      </c>
      <c r="K12" s="31"/>
      <c r="L12" s="23">
        <v>3177665.9342940841</v>
      </c>
      <c r="M12" s="33">
        <v>942.92464917648942</v>
      </c>
      <c r="N12" s="5">
        <v>9</v>
      </c>
      <c r="O12" s="5">
        <v>38</v>
      </c>
      <c r="P12" s="33">
        <v>1332.5102886027873</v>
      </c>
      <c r="Q12" s="5">
        <v>22.51798520108197</v>
      </c>
      <c r="R12" s="5">
        <v>6302.9989211503371</v>
      </c>
      <c r="S12" s="35"/>
      <c r="T12" s="23">
        <v>3301594.183075415</v>
      </c>
      <c r="U12" s="33">
        <v>350.59073511764461</v>
      </c>
      <c r="V12" s="5">
        <v>8</v>
      </c>
      <c r="W12" s="5">
        <v>33</v>
      </c>
      <c r="X12" s="33">
        <v>1292.8957419891985</v>
      </c>
      <c r="Y12" s="5">
        <v>33.148587795771604</v>
      </c>
      <c r="Z12" s="5">
        <v>6748.3072247766368</v>
      </c>
      <c r="AA12" s="35"/>
    </row>
    <row r="13" spans="2:27" x14ac:dyDescent="0.2">
      <c r="B13" s="4">
        <v>10</v>
      </c>
      <c r="C13" s="4">
        <v>956</v>
      </c>
      <c r="D13" s="23">
        <v>2969640.625645129</v>
      </c>
      <c r="E13" s="33">
        <v>271.16541200002439</v>
      </c>
      <c r="F13" s="5">
        <v>9</v>
      </c>
      <c r="G13" s="23">
        <v>48</v>
      </c>
      <c r="H13" s="33">
        <v>1406.9369616835356</v>
      </c>
      <c r="I13" s="23">
        <v>34.442057520319537</v>
      </c>
      <c r="J13" s="5">
        <v>6993.0461814090122</v>
      </c>
      <c r="K13" s="31"/>
      <c r="L13" s="23">
        <v>3242697.79263609</v>
      </c>
      <c r="M13" s="33">
        <v>417.75800017646844</v>
      </c>
      <c r="N13" s="5">
        <v>6</v>
      </c>
      <c r="O13" s="5">
        <v>31.5</v>
      </c>
      <c r="P13" s="33">
        <v>687.36167085011277</v>
      </c>
      <c r="Q13" s="5">
        <v>26.603183904848052</v>
      </c>
      <c r="R13" s="5">
        <v>5885.2970491510141</v>
      </c>
      <c r="S13" s="35"/>
      <c r="T13" s="23">
        <v>3339873.9744469221</v>
      </c>
      <c r="U13" s="33">
        <v>280.62399758820362</v>
      </c>
      <c r="V13" s="5">
        <v>6</v>
      </c>
      <c r="W13" s="5">
        <v>30.5</v>
      </c>
      <c r="X13" s="33">
        <v>1214.5892297125893</v>
      </c>
      <c r="Y13" s="5">
        <v>38.660144579146341</v>
      </c>
      <c r="Z13" s="5">
        <v>6875.707261343111</v>
      </c>
      <c r="AA13" s="35"/>
    </row>
    <row r="14" spans="2:27" x14ac:dyDescent="0.2">
      <c r="B14" s="47" t="s">
        <v>3</v>
      </c>
      <c r="C14" s="48"/>
      <c r="D14" s="9">
        <f>MIN(D4:D13)</f>
        <v>2918825.4925321531</v>
      </c>
      <c r="E14" s="22">
        <f>INDEX(E4:E13, MATCH($D$14, D4:D13, 0))</f>
        <v>470.62547747059455</v>
      </c>
      <c r="F14" s="9">
        <f>INDEX(F4:F13, MATCH($D$14, D4:D13, 0))</f>
        <v>10</v>
      </c>
      <c r="G14" s="9">
        <f>INDEX(G4:G13, MATCH($D$14, D4:D13, 0))</f>
        <v>51.5</v>
      </c>
      <c r="H14" s="22">
        <f>INDEX(H4:H13, MATCH($D$14, D4:D13, 0))</f>
        <v>1653.7643261630915</v>
      </c>
      <c r="I14" s="22">
        <f>INDEX(I4:I13, MATCH($D$14, D4:D13, 0))</f>
        <v>38.213650922875601</v>
      </c>
      <c r="J14" s="22">
        <f>INDEX(J4:J13, MATCH($D$14, D4:D13, 0))</f>
        <v>7131.8760344935781</v>
      </c>
      <c r="K14" s="32" t="e">
        <f>(D14-$D$15)/$D$15</f>
        <v>#DIV/0!</v>
      </c>
      <c r="L14" s="16">
        <f>MIN(L4:L13)</f>
        <v>3116750.528406031</v>
      </c>
      <c r="M14" s="21">
        <f>INDEX(M4:M13, MATCH($L$14, L4:L13, 0))</f>
        <v>437.27646458825535</v>
      </c>
      <c r="N14" s="16">
        <f>INDEX(N4:N13, MATCH($L$14, L4:L13, 0))</f>
        <v>11</v>
      </c>
      <c r="O14" s="16">
        <f>INDEX(O4:O13, MATCH($L$14, L4:L13, 0))</f>
        <v>41</v>
      </c>
      <c r="P14" s="21">
        <f>INDEX(P4:P13, MATCH($L$14, L4:L13, 0))</f>
        <v>1252.9014080730597</v>
      </c>
      <c r="Q14" s="21">
        <f>INDEX(Q4:Q13, MATCH($L$14, L4:L13, 0))</f>
        <v>23.335377817237337</v>
      </c>
      <c r="R14" s="21">
        <f>INDEX(R4:R13, MATCH($L$14, L4:L13, 0))</f>
        <v>6328.3283822556859</v>
      </c>
      <c r="S14" s="36" t="e">
        <f>(L14-$D$15)/$D$15</f>
        <v>#DIV/0!</v>
      </c>
      <c r="T14" s="38">
        <f>MIN(T4:T13)</f>
        <v>3246980.2687912011</v>
      </c>
      <c r="U14" s="39">
        <f>INDEX(U4:U13, MATCH($T$14, T4:T13, 0))</f>
        <v>263.08974658823848</v>
      </c>
      <c r="V14" s="38">
        <f>INDEX(V4:V13, MATCH($T$14, T4:T13, 0))</f>
        <v>7</v>
      </c>
      <c r="W14" s="38">
        <f>INDEX(W4:W13, MATCH($T$14, T4:T13, 0))</f>
        <v>33.5</v>
      </c>
      <c r="X14" s="39">
        <f>INDEX(X4:X13, MATCH($T$14, T4:T13, 0))</f>
        <v>1163.0837283035012</v>
      </c>
      <c r="Y14" s="39">
        <f>INDEX(Y4:Y13, MATCH($T$14, T4:T13, 0))</f>
        <v>44.700052088978943</v>
      </c>
      <c r="Z14" s="39">
        <f>INDEX(Z4:Z13, MATCH($T$14, T4:T13, 0))</f>
        <v>6609.954346434648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6.7809821580725252E-2</v>
      </c>
      <c r="M15" s="41">
        <f t="shared" ref="M15:R15" si="0">(M14-E14)/E14</f>
        <v>-7.086104445848429E-2</v>
      </c>
      <c r="N15" s="41">
        <f t="shared" si="0"/>
        <v>0.1</v>
      </c>
      <c r="O15" s="41">
        <f t="shared" si="0"/>
        <v>-0.20388349514563106</v>
      </c>
      <c r="P15" s="41">
        <f t="shared" si="0"/>
        <v>-0.24239422253113677</v>
      </c>
      <c r="Q15" s="41">
        <f t="shared" si="0"/>
        <v>-0.38934445535356516</v>
      </c>
      <c r="R15" s="41">
        <f t="shared" si="0"/>
        <v>-0.11266988494352743</v>
      </c>
      <c r="T15" s="41">
        <f>(T14-D14)/D14</f>
        <v>0.11242699404217055</v>
      </c>
      <c r="U15" s="41">
        <f t="shared" ref="U15:Y15" si="1">(U14-E14)/E14</f>
        <v>-0.44097852924956288</v>
      </c>
      <c r="V15" s="41">
        <f t="shared" si="1"/>
        <v>-0.3</v>
      </c>
      <c r="W15" s="41">
        <f t="shared" si="1"/>
        <v>-0.34951456310679613</v>
      </c>
      <c r="X15" s="41">
        <f t="shared" si="1"/>
        <v>-0.29670527420193016</v>
      </c>
      <c r="Y15" s="41">
        <f t="shared" si="1"/>
        <v>0.16974042022821817</v>
      </c>
      <c r="Z15" s="41">
        <f>(Z14-J14)/J14</f>
        <v>-7.3181542350797588E-2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97" priority="7"/>
    <cfRule type="duplicateValues" dxfId="96" priority="8"/>
  </conditionalFormatting>
  <conditionalFormatting sqref="C14">
    <cfRule type="duplicateValues" dxfId="95" priority="5"/>
    <cfRule type="duplicateValues" dxfId="94" priority="6"/>
  </conditionalFormatting>
  <conditionalFormatting sqref="C15">
    <cfRule type="duplicateValues" dxfId="93" priority="3"/>
    <cfRule type="duplicateValues" dxfId="92" priority="4"/>
  </conditionalFormatting>
  <conditionalFormatting sqref="C20:C34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7A39-E6EF-4827-BE89-9119209BBD63}">
  <dimension ref="B1:AA17"/>
  <sheetViews>
    <sheetView zoomScale="90" zoomScaleNormal="9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-0.98715017670076122</v>
      </c>
      <c r="J2" s="28" t="e">
        <f>(S14-J14)/J14</f>
        <v>#DIV/0!</v>
      </c>
      <c r="K2" s="28"/>
      <c r="L2" s="1" t="s">
        <v>19</v>
      </c>
      <c r="P2" s="1">
        <f>(P14-H14)/H14</f>
        <v>-0.12520787552145365</v>
      </c>
      <c r="R2" s="1">
        <f>(R14-J14)/J14</f>
        <v>-8.7824123285605502E-2</v>
      </c>
      <c r="T2" s="1" t="s">
        <v>20</v>
      </c>
      <c r="X2" s="1">
        <f>(X14-P14)/P14</f>
        <v>0.26177420028419229</v>
      </c>
      <c r="Z2" s="1">
        <f>(Z14-R14)/R14</f>
        <v>0.10351249742324273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</v>
      </c>
      <c r="D4" s="23">
        <v>2700584.682136883</v>
      </c>
      <c r="E4" s="33">
        <v>466.45409423529225</v>
      </c>
      <c r="F4" s="5">
        <v>9</v>
      </c>
      <c r="G4" s="23">
        <v>59</v>
      </c>
      <c r="H4" s="33">
        <v>1206.9462682434803</v>
      </c>
      <c r="I4" s="23">
        <v>31.439110590680098</v>
      </c>
      <c r="J4" s="5">
        <v>6834.0499407871721</v>
      </c>
      <c r="K4" s="31"/>
      <c r="L4" s="23">
        <v>2903412.718582043</v>
      </c>
      <c r="M4" s="33">
        <v>1314.3438199999989</v>
      </c>
      <c r="N4" s="5">
        <v>10</v>
      </c>
      <c r="O4" s="5">
        <v>47.5</v>
      </c>
      <c r="P4" s="33">
        <v>931.40089817088881</v>
      </c>
      <c r="Q4" s="5">
        <v>21.212650131603183</v>
      </c>
      <c r="R4" s="5">
        <v>5898.5263008432712</v>
      </c>
      <c r="S4" s="35"/>
      <c r="T4" s="23">
        <v>3086863.1366032008</v>
      </c>
      <c r="U4" s="33">
        <v>136.46330182358406</v>
      </c>
      <c r="V4" s="5">
        <v>6</v>
      </c>
      <c r="W4" s="5">
        <v>40</v>
      </c>
      <c r="X4" s="33">
        <v>1052.6513965879626</v>
      </c>
      <c r="Y4" s="5">
        <v>39.272021825096786</v>
      </c>
      <c r="Z4" s="5">
        <v>6627.8197814905725</v>
      </c>
      <c r="AA4" s="35"/>
    </row>
    <row r="5" spans="2:27" x14ac:dyDescent="0.2">
      <c r="B5" s="4">
        <v>2</v>
      </c>
      <c r="C5" s="4">
        <v>263</v>
      </c>
      <c r="D5" s="23">
        <v>2694486.215828503</v>
      </c>
      <c r="E5" s="33">
        <v>351.92512882352975</v>
      </c>
      <c r="F5" s="5">
        <v>10</v>
      </c>
      <c r="G5" s="23">
        <v>61.5</v>
      </c>
      <c r="H5" s="33">
        <v>1384.0022811687584</v>
      </c>
      <c r="I5" s="23">
        <v>30.045622093797611</v>
      </c>
      <c r="J5" s="5">
        <v>7012.0408376749583</v>
      </c>
      <c r="K5" s="31"/>
      <c r="L5" s="23">
        <v>2940238.7980362861</v>
      </c>
      <c r="M5" s="33">
        <v>540.78836917644367</v>
      </c>
      <c r="N5" s="5">
        <v>12</v>
      </c>
      <c r="O5" s="5">
        <v>49</v>
      </c>
      <c r="P5" s="33">
        <v>1181.8133889803592</v>
      </c>
      <c r="Q5" s="5">
        <v>19.744328327405416</v>
      </c>
      <c r="R5" s="5">
        <v>6244.5675729472514</v>
      </c>
      <c r="S5" s="35"/>
      <c r="T5" s="23">
        <v>3049129.3787601758</v>
      </c>
      <c r="U5" s="33">
        <v>358.41923141180922</v>
      </c>
      <c r="V5" s="5">
        <v>8</v>
      </c>
      <c r="W5" s="5">
        <v>44</v>
      </c>
      <c r="X5" s="33">
        <v>1269.2369375422284</v>
      </c>
      <c r="Y5" s="5">
        <v>33.631111437327981</v>
      </c>
      <c r="Z5" s="5">
        <v>6815.1407483790526</v>
      </c>
      <c r="AA5" s="35"/>
    </row>
    <row r="6" spans="2:27" x14ac:dyDescent="0.2">
      <c r="B6" s="4">
        <v>3</v>
      </c>
      <c r="C6" s="4">
        <v>294</v>
      </c>
      <c r="D6" s="23">
        <v>2660743.9011181151</v>
      </c>
      <c r="E6" s="33">
        <v>522.69859529408518</v>
      </c>
      <c r="F6" s="5">
        <v>10</v>
      </c>
      <c r="G6" s="23">
        <v>63</v>
      </c>
      <c r="H6" s="33">
        <v>1430.0357706328602</v>
      </c>
      <c r="I6" s="23">
        <v>30.403748930697407</v>
      </c>
      <c r="J6" s="5">
        <v>7043.769166658366</v>
      </c>
      <c r="K6" s="31"/>
      <c r="L6" s="23">
        <v>2918861.4632231002</v>
      </c>
      <c r="M6" s="33">
        <v>559.23684935297763</v>
      </c>
      <c r="N6" s="5">
        <v>14</v>
      </c>
      <c r="O6" s="5">
        <v>50</v>
      </c>
      <c r="P6" s="33">
        <v>984.26753084486609</v>
      </c>
      <c r="Q6" s="5">
        <v>17.282123231584524</v>
      </c>
      <c r="R6" s="5">
        <v>6097.7558082791638</v>
      </c>
      <c r="S6" s="35"/>
      <c r="T6" s="23">
        <v>3071050.9015697902</v>
      </c>
      <c r="U6" s="33">
        <v>310.91162929414116</v>
      </c>
      <c r="V6" s="5">
        <v>7</v>
      </c>
      <c r="W6" s="5">
        <v>42</v>
      </c>
      <c r="X6" s="33">
        <v>1103.8450170366839</v>
      </c>
      <c r="Y6" s="5">
        <v>35.240055607254369</v>
      </c>
      <c r="Z6" s="5">
        <v>6839.7274894325528</v>
      </c>
      <c r="AA6" s="35"/>
    </row>
    <row r="7" spans="2:27" x14ac:dyDescent="0.2">
      <c r="B7" s="4">
        <v>4</v>
      </c>
      <c r="C7" s="4">
        <v>503</v>
      </c>
      <c r="D7" s="23">
        <v>2702974.3081945712</v>
      </c>
      <c r="E7" s="33">
        <v>227.5647617647123</v>
      </c>
      <c r="F7" s="5">
        <v>10</v>
      </c>
      <c r="G7" s="23">
        <v>60</v>
      </c>
      <c r="H7" s="33">
        <v>1232.25945454674</v>
      </c>
      <c r="I7" s="23">
        <v>28.672284780162563</v>
      </c>
      <c r="J7" s="5">
        <v>6879.7759172112046</v>
      </c>
      <c r="K7" s="31"/>
      <c r="L7" s="23">
        <v>2931319.3776712371</v>
      </c>
      <c r="M7" s="33">
        <v>507.17188499998031</v>
      </c>
      <c r="N7" s="5">
        <v>11</v>
      </c>
      <c r="O7" s="5">
        <v>46</v>
      </c>
      <c r="P7" s="33">
        <v>836.28386102472837</v>
      </c>
      <c r="Q7" s="5">
        <v>18.453274611643359</v>
      </c>
      <c r="R7" s="5">
        <v>5714.7893188452035</v>
      </c>
      <c r="S7" s="35"/>
      <c r="T7" s="23">
        <v>3039573.7755499859</v>
      </c>
      <c r="U7" s="33">
        <v>658.28723200001127</v>
      </c>
      <c r="V7" s="5">
        <v>8</v>
      </c>
      <c r="W7" s="5">
        <v>45.5</v>
      </c>
      <c r="X7" s="33">
        <v>1333.466316703295</v>
      </c>
      <c r="Y7" s="5">
        <v>33.817787915986081</v>
      </c>
      <c r="Z7" s="5">
        <v>7010.5888972630828</v>
      </c>
      <c r="AA7" s="35"/>
    </row>
    <row r="8" spans="2:27" x14ac:dyDescent="0.2">
      <c r="B8" s="4">
        <v>5</v>
      </c>
      <c r="C8" s="4">
        <v>530</v>
      </c>
      <c r="D8" s="23">
        <v>2659698.561478063</v>
      </c>
      <c r="E8" s="33">
        <v>511.96247994119085</v>
      </c>
      <c r="F8" s="5">
        <v>10</v>
      </c>
      <c r="G8" s="23">
        <v>62.5</v>
      </c>
      <c r="H8" s="33">
        <v>1381.0247626587445</v>
      </c>
      <c r="I8" s="23">
        <v>30.593233413511918</v>
      </c>
      <c r="J8" s="5">
        <v>6968.5395482405174</v>
      </c>
      <c r="K8" s="31"/>
      <c r="L8" s="23">
        <v>2902546.1269540312</v>
      </c>
      <c r="M8" s="33">
        <v>1235.2384047646428</v>
      </c>
      <c r="N8" s="5">
        <v>12</v>
      </c>
      <c r="O8" s="5">
        <v>50</v>
      </c>
      <c r="P8" s="33">
        <v>1038.4118013281247</v>
      </c>
      <c r="Q8" s="5">
        <v>18.80162315134104</v>
      </c>
      <c r="R8" s="5">
        <v>6149.779185686898</v>
      </c>
      <c r="S8" s="35"/>
      <c r="T8" s="23">
        <v>3047417.2892070021</v>
      </c>
      <c r="U8" s="33">
        <v>443.9285985882367</v>
      </c>
      <c r="V8" s="5">
        <v>8</v>
      </c>
      <c r="W8" s="5">
        <v>44.5</v>
      </c>
      <c r="X8" s="33">
        <v>1298.4320780256157</v>
      </c>
      <c r="Y8" s="5">
        <v>34.400118321161045</v>
      </c>
      <c r="Z8" s="5">
        <v>6942.8305904909139</v>
      </c>
      <c r="AA8" s="35"/>
    </row>
    <row r="9" spans="2:27" x14ac:dyDescent="0.2">
      <c r="B9" s="4">
        <v>6</v>
      </c>
      <c r="C9" s="4">
        <v>612</v>
      </c>
      <c r="D9" s="23">
        <v>2699500.7617034558</v>
      </c>
      <c r="E9" s="33">
        <v>194.94984488235789</v>
      </c>
      <c r="F9" s="5">
        <v>9</v>
      </c>
      <c r="G9" s="23">
        <v>60</v>
      </c>
      <c r="H9" s="33">
        <v>1318.3174853029293</v>
      </c>
      <c r="I9" s="23">
        <v>32.491357886827323</v>
      </c>
      <c r="J9" s="5">
        <v>6991.1445145159914</v>
      </c>
      <c r="K9" s="31"/>
      <c r="L9" s="23">
        <v>2902611.3771578521</v>
      </c>
      <c r="M9" s="33">
        <v>498.39573705883919</v>
      </c>
      <c r="N9" s="5">
        <v>13</v>
      </c>
      <c r="O9" s="5">
        <v>51.5</v>
      </c>
      <c r="P9" s="33">
        <v>1173.5176853510375</v>
      </c>
      <c r="Q9" s="5">
        <v>18.351027066085233</v>
      </c>
      <c r="R9" s="5">
        <v>6331.22626715145</v>
      </c>
      <c r="S9" s="35"/>
      <c r="T9" s="23">
        <v>3015736.229077376</v>
      </c>
      <c r="U9" s="33">
        <v>516.1143608235152</v>
      </c>
      <c r="V9" s="5">
        <v>8</v>
      </c>
      <c r="W9" s="5">
        <v>46.5</v>
      </c>
      <c r="X9" s="33">
        <v>1524.3615068364566</v>
      </c>
      <c r="Y9" s="5">
        <v>36.397449479933002</v>
      </c>
      <c r="Z9" s="5">
        <v>7014.5143471618239</v>
      </c>
      <c r="AA9" s="35"/>
    </row>
    <row r="10" spans="2:27" x14ac:dyDescent="0.2">
      <c r="B10" s="4">
        <v>7</v>
      </c>
      <c r="C10" s="4">
        <v>694</v>
      </c>
      <c r="D10" s="23">
        <v>2713995.1281709322</v>
      </c>
      <c r="E10" s="33">
        <v>260.87726535289278</v>
      </c>
      <c r="F10" s="5">
        <v>9</v>
      </c>
      <c r="G10" s="23">
        <v>59</v>
      </c>
      <c r="H10" s="33">
        <v>1212.8737811613037</v>
      </c>
      <c r="I10" s="23">
        <v>30.833132795882705</v>
      </c>
      <c r="J10" s="5">
        <v>6931.6972442837823</v>
      </c>
      <c r="K10" s="31"/>
      <c r="L10" s="23">
        <v>2947641.5700931242</v>
      </c>
      <c r="M10" s="33">
        <v>396.48167641176019</v>
      </c>
      <c r="N10" s="5">
        <v>10</v>
      </c>
      <c r="O10" s="5">
        <v>45.5</v>
      </c>
      <c r="P10" s="33">
        <v>752.76869357842997</v>
      </c>
      <c r="Q10" s="5">
        <v>20.236005360277741</v>
      </c>
      <c r="R10" s="5">
        <v>5951.9017188116095</v>
      </c>
      <c r="S10" s="35"/>
      <c r="T10" s="23">
        <v>3041449.033145078</v>
      </c>
      <c r="U10" s="33">
        <v>853.37641064700767</v>
      </c>
      <c r="V10" s="5">
        <v>8</v>
      </c>
      <c r="W10" s="5">
        <v>45.5</v>
      </c>
      <c r="X10" s="33">
        <v>1393.4040361938455</v>
      </c>
      <c r="Y10" s="5">
        <v>34.60210083695835</v>
      </c>
      <c r="Z10" s="5">
        <v>7091.9599482420881</v>
      </c>
      <c r="AA10" s="35"/>
    </row>
    <row r="11" spans="2:27" x14ac:dyDescent="0.2">
      <c r="B11" s="4">
        <v>8</v>
      </c>
      <c r="C11" s="4">
        <v>733</v>
      </c>
      <c r="D11" s="23">
        <v>2672721.9277377529</v>
      </c>
      <c r="E11" s="33">
        <v>857.14629064711232</v>
      </c>
      <c r="F11" s="5">
        <v>10</v>
      </c>
      <c r="G11" s="23">
        <v>62</v>
      </c>
      <c r="H11" s="33">
        <v>1359.9670582464764</v>
      </c>
      <c r="I11" s="23">
        <v>30.613616746728525</v>
      </c>
      <c r="J11" s="5">
        <v>7009.9251604176161</v>
      </c>
      <c r="K11" s="31"/>
      <c r="L11" s="23">
        <v>2865798.3971577222</v>
      </c>
      <c r="M11" s="33">
        <v>572.6688694706022</v>
      </c>
      <c r="N11" s="5">
        <v>13</v>
      </c>
      <c r="O11" s="5">
        <v>52.5</v>
      </c>
      <c r="P11" s="33">
        <v>1158.3846806031547</v>
      </c>
      <c r="Q11" s="5">
        <v>18.62862750472738</v>
      </c>
      <c r="R11" s="5">
        <v>6196.7284572538829</v>
      </c>
      <c r="S11" s="35"/>
      <c r="T11" s="23">
        <v>3082076.5244090948</v>
      </c>
      <c r="U11" s="33">
        <v>217.7554992352859</v>
      </c>
      <c r="V11" s="5">
        <v>6</v>
      </c>
      <c r="W11" s="5">
        <v>40</v>
      </c>
      <c r="X11" s="33">
        <v>1009.4448972136388</v>
      </c>
      <c r="Y11" s="5">
        <v>40.037889866893856</v>
      </c>
      <c r="Z11" s="5">
        <v>6655.2901277945957</v>
      </c>
      <c r="AA11" s="35"/>
    </row>
    <row r="12" spans="2:27" x14ac:dyDescent="0.2">
      <c r="B12" s="4">
        <v>9</v>
      </c>
      <c r="C12" s="4">
        <v>824</v>
      </c>
      <c r="D12" s="23">
        <v>2668552.8917477001</v>
      </c>
      <c r="E12" s="33">
        <v>627.95375270584123</v>
      </c>
      <c r="F12" s="5">
        <v>10</v>
      </c>
      <c r="G12" s="23">
        <v>62.5</v>
      </c>
      <c r="H12" s="33">
        <v>1377.1263885547178</v>
      </c>
      <c r="I12" s="23">
        <v>30.490826615296452</v>
      </c>
      <c r="J12" s="5">
        <v>6986.2946158561754</v>
      </c>
      <c r="K12" s="31"/>
      <c r="L12" s="23">
        <v>2927580.147445288</v>
      </c>
      <c r="M12" s="33">
        <v>470.9136634117321</v>
      </c>
      <c r="N12" s="5">
        <v>11</v>
      </c>
      <c r="O12" s="5">
        <v>47.5</v>
      </c>
      <c r="P12" s="33">
        <v>840.40723834562687</v>
      </c>
      <c r="Q12" s="5">
        <v>19.505531979445394</v>
      </c>
      <c r="R12" s="5">
        <v>6088.8934014325278</v>
      </c>
      <c r="S12" s="35"/>
      <c r="T12" s="23">
        <v>3070195.4890824989</v>
      </c>
      <c r="U12" s="33">
        <v>369.52840570586403</v>
      </c>
      <c r="V12" s="5">
        <v>7</v>
      </c>
      <c r="W12" s="5">
        <v>42</v>
      </c>
      <c r="X12" s="33">
        <v>1104.7617978411299</v>
      </c>
      <c r="Y12" s="5">
        <v>35.755540358187815</v>
      </c>
      <c r="Z12" s="5">
        <v>6777.8072857641428</v>
      </c>
      <c r="AA12" s="35"/>
    </row>
    <row r="13" spans="2:27" x14ac:dyDescent="0.2">
      <c r="B13" s="4">
        <v>10</v>
      </c>
      <c r="C13" s="4">
        <v>840</v>
      </c>
      <c r="D13" s="23">
        <v>2698985.6883369652</v>
      </c>
      <c r="E13" s="33">
        <v>246.52232470593469</v>
      </c>
      <c r="F13" s="5">
        <v>9</v>
      </c>
      <c r="G13" s="23">
        <v>59.5</v>
      </c>
      <c r="H13" s="33">
        <v>1277.8860798925766</v>
      </c>
      <c r="I13" s="23">
        <v>31.992364119065662</v>
      </c>
      <c r="J13" s="5">
        <v>6944.0064645205393</v>
      </c>
      <c r="K13" s="31"/>
      <c r="L13" s="23">
        <v>2841418.561796953</v>
      </c>
      <c r="M13" s="33">
        <v>335.84554994115882</v>
      </c>
      <c r="N13" s="5">
        <v>15</v>
      </c>
      <c r="O13" s="5">
        <v>55.5</v>
      </c>
      <c r="P13" s="33">
        <v>1208.1095860837233</v>
      </c>
      <c r="Q13" s="5">
        <v>17.745924172037984</v>
      </c>
      <c r="R13" s="5">
        <v>6356.5336718352246</v>
      </c>
      <c r="S13" s="35"/>
      <c r="T13" s="23">
        <v>3058990.278541767</v>
      </c>
      <c r="U13" s="33">
        <v>451.23633335289713</v>
      </c>
      <c r="V13" s="5">
        <v>8</v>
      </c>
      <c r="W13" s="5">
        <v>45</v>
      </c>
      <c r="X13" s="33">
        <v>1473.5549763276356</v>
      </c>
      <c r="Y13" s="5">
        <v>33.931271026569902</v>
      </c>
      <c r="Z13" s="5">
        <v>7165.78822380167</v>
      </c>
      <c r="AA13" s="35"/>
    </row>
    <row r="14" spans="2:27" x14ac:dyDescent="0.2">
      <c r="B14" s="47" t="s">
        <v>3</v>
      </c>
      <c r="C14" s="48"/>
      <c r="D14" s="9">
        <f>MIN(D4:D13)</f>
        <v>2659698.561478063</v>
      </c>
      <c r="E14" s="22">
        <f>INDEX(E4:E13, MATCH($D$14, D4:D13, 0))</f>
        <v>511.96247994119085</v>
      </c>
      <c r="F14" s="9">
        <f>INDEX(F4:F13, MATCH($D$14, D4:D13, 0))</f>
        <v>10</v>
      </c>
      <c r="G14" s="9">
        <f>INDEX(G4:G13, MATCH($D$14, D4:D13, 0))</f>
        <v>62.5</v>
      </c>
      <c r="H14" s="22">
        <f>INDEX(H4:H13, MATCH($D$14, D4:D13, 0))</f>
        <v>1381.0247626587445</v>
      </c>
      <c r="I14" s="22">
        <f>INDEX(I4:I13, MATCH($D$14, D4:D13, 0))</f>
        <v>30.593233413511918</v>
      </c>
      <c r="J14" s="22">
        <f>INDEX(J4:J13, MATCH($D$14, D4:D13, 0))</f>
        <v>6968.5395482405174</v>
      </c>
      <c r="K14" s="32" t="e">
        <f>(D14-$D$15)/$D$15</f>
        <v>#DIV/0!</v>
      </c>
      <c r="L14" s="16">
        <f>MIN(L4:L13)</f>
        <v>2841418.561796953</v>
      </c>
      <c r="M14" s="21">
        <f>INDEX(M4:M13, MATCH($L$14, L4:L13, 0))</f>
        <v>335.84554994115882</v>
      </c>
      <c r="N14" s="16">
        <f>INDEX(N4:N13, MATCH($L$14, L4:L13, 0))</f>
        <v>15</v>
      </c>
      <c r="O14" s="16">
        <f>INDEX(O4:O13, MATCH($L$14, L4:L13, 0))</f>
        <v>55.5</v>
      </c>
      <c r="P14" s="21">
        <f>INDEX(P4:P13, MATCH($L$14, L4:L13, 0))</f>
        <v>1208.1095860837233</v>
      </c>
      <c r="Q14" s="21">
        <f>INDEX(Q4:Q13, MATCH($L$14, L4:L13, 0))</f>
        <v>17.745924172037984</v>
      </c>
      <c r="R14" s="21">
        <f>INDEX(R4:R13, MATCH($L$14, L4:L13, 0))</f>
        <v>6356.5336718352246</v>
      </c>
      <c r="S14" s="36" t="e">
        <f>(L14-$D$15)/$D$15</f>
        <v>#DIV/0!</v>
      </c>
      <c r="T14" s="38">
        <f>MIN(T4:T13)</f>
        <v>3015736.229077376</v>
      </c>
      <c r="U14" s="39">
        <f>INDEX(U4:U13, MATCH($T$14, T4:T13, 0))</f>
        <v>516.1143608235152</v>
      </c>
      <c r="V14" s="38">
        <f>INDEX(V4:V13, MATCH($T$14, T4:T13, 0))</f>
        <v>8</v>
      </c>
      <c r="W14" s="38">
        <f>INDEX(W4:W13, MATCH($T$14, T4:T13, 0))</f>
        <v>46.5</v>
      </c>
      <c r="X14" s="39">
        <f>INDEX(X4:X13, MATCH($T$14, T4:T13, 0))</f>
        <v>1524.3615068364566</v>
      </c>
      <c r="Y14" s="39">
        <f>INDEX(Y4:Y13, MATCH($T$14, T4:T13, 0))</f>
        <v>36.397449479933002</v>
      </c>
      <c r="Z14" s="39">
        <f>INDEX(Z4:Z13, MATCH($T$14, T4:T13, 0))</f>
        <v>7014.5143471618239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6.832353220430494E-2</v>
      </c>
      <c r="M15" s="41">
        <f t="shared" ref="M15:R15" si="0">(M14-E14)/E14</f>
        <v>-0.34400358795875546</v>
      </c>
      <c r="N15" s="41">
        <f t="shared" si="0"/>
        <v>0.5</v>
      </c>
      <c r="O15" s="41">
        <f t="shared" si="0"/>
        <v>-0.112</v>
      </c>
      <c r="P15" s="41">
        <f t="shared" si="0"/>
        <v>-0.12520787552145365</v>
      </c>
      <c r="Q15" s="41">
        <f t="shared" si="0"/>
        <v>-0.41993956859099912</v>
      </c>
      <c r="R15" s="41">
        <f t="shared" si="0"/>
        <v>-8.7824123285605502E-2</v>
      </c>
      <c r="T15" s="41">
        <f>(T14-D14)/D14</f>
        <v>0.13386391704534129</v>
      </c>
      <c r="U15" s="41">
        <f t="shared" ref="U15:Y15" si="1">(U14-E14)/E14</f>
        <v>8.1097366408594551E-3</v>
      </c>
      <c r="V15" s="41">
        <f t="shared" si="1"/>
        <v>-0.2</v>
      </c>
      <c r="W15" s="41">
        <f t="shared" si="1"/>
        <v>-0.25600000000000001</v>
      </c>
      <c r="X15" s="41">
        <f t="shared" si="1"/>
        <v>0.10379013327882737</v>
      </c>
      <c r="Y15" s="41">
        <f t="shared" si="1"/>
        <v>0.18972221693498972</v>
      </c>
      <c r="Z15" s="41">
        <f>(Z14-J14)/J14</f>
        <v>6.5974798023374429E-3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91" priority="7"/>
    <cfRule type="duplicateValues" dxfId="90" priority="8"/>
  </conditionalFormatting>
  <conditionalFormatting sqref="C14">
    <cfRule type="duplicateValues" dxfId="89" priority="5"/>
    <cfRule type="duplicateValues" dxfId="88" priority="6"/>
  </conditionalFormatting>
  <conditionalFormatting sqref="C15">
    <cfRule type="duplicateValues" dxfId="87" priority="3"/>
    <cfRule type="duplicateValues" dxfId="86" priority="4"/>
  </conditionalFormatting>
  <conditionalFormatting sqref="C20:C34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1C07-DB1D-4657-A517-C2509CD24F7B}">
  <dimension ref="B1:AA17"/>
  <sheetViews>
    <sheetView zoomScale="90" zoomScaleNormal="9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0.3320312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-0.98158671883648185</v>
      </c>
      <c r="J2" s="28" t="e">
        <f>(S14-J14)/J14</f>
        <v>#DIV/0!</v>
      </c>
      <c r="K2" s="28"/>
      <c r="L2" s="1" t="s">
        <v>19</v>
      </c>
      <c r="P2" s="1">
        <f>(P14-H14)/H14</f>
        <v>-0.43527604938496461</v>
      </c>
      <c r="R2" s="1">
        <f>(R14-J14)/J14</f>
        <v>-0.16712844602904098</v>
      </c>
      <c r="T2" s="1" t="s">
        <v>20</v>
      </c>
      <c r="X2" s="1">
        <f>(X14-P14)/P14</f>
        <v>0.77984205296984177</v>
      </c>
      <c r="Z2" s="1">
        <f>(Z14-R14)/R14</f>
        <v>0.22582418567296578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615</v>
      </c>
      <c r="D4" s="23">
        <v>2301318.6319492762</v>
      </c>
      <c r="E4" s="33">
        <v>298.28798911760236</v>
      </c>
      <c r="F4" s="5">
        <v>9</v>
      </c>
      <c r="G4" s="23">
        <v>73</v>
      </c>
      <c r="H4" s="33">
        <v>1226.5549592088728</v>
      </c>
      <c r="I4" s="23">
        <v>50.954520144117915</v>
      </c>
      <c r="J4" s="5">
        <v>6629.7739698197865</v>
      </c>
      <c r="K4" s="31"/>
      <c r="L4" s="23">
        <v>2652874.1737684449</v>
      </c>
      <c r="M4" s="33">
        <v>831.59484964699527</v>
      </c>
      <c r="N4" s="5">
        <v>11</v>
      </c>
      <c r="O4" s="5">
        <v>52.5</v>
      </c>
      <c r="P4" s="33">
        <v>556.10936310688055</v>
      </c>
      <c r="Q4" s="5">
        <v>26.846406972042846</v>
      </c>
      <c r="R4" s="5">
        <v>5130.4591216303124</v>
      </c>
      <c r="S4" s="35"/>
      <c r="T4" s="23">
        <v>2643782.538504533</v>
      </c>
      <c r="U4" s="33">
        <v>283.46083611770371</v>
      </c>
      <c r="V4" s="5">
        <v>9</v>
      </c>
      <c r="W4" s="5">
        <v>60</v>
      </c>
      <c r="X4" s="33">
        <v>1410.9206194187761</v>
      </c>
      <c r="Y4" s="5">
        <v>58.30046367663585</v>
      </c>
      <c r="Z4" s="5">
        <v>6898.4839496343402</v>
      </c>
      <c r="AA4" s="35"/>
    </row>
    <row r="5" spans="2:27" x14ac:dyDescent="0.2">
      <c r="B5" s="4">
        <v>2</v>
      </c>
      <c r="C5" s="4">
        <v>462</v>
      </c>
      <c r="D5" s="23">
        <v>2259179.898638478</v>
      </c>
      <c r="E5" s="33">
        <v>703.11846429413652</v>
      </c>
      <c r="F5" s="5">
        <v>10</v>
      </c>
      <c r="G5" s="23">
        <v>77</v>
      </c>
      <c r="H5" s="33">
        <v>1407.1274716544312</v>
      </c>
      <c r="I5" s="23">
        <v>49.535659381890163</v>
      </c>
      <c r="J5" s="5">
        <v>6783.4279838605862</v>
      </c>
      <c r="K5" s="31"/>
      <c r="L5" s="23">
        <v>2639606.1201109421</v>
      </c>
      <c r="M5" s="33">
        <v>1560.8100355293959</v>
      </c>
      <c r="N5" s="5">
        <v>13</v>
      </c>
      <c r="O5" s="5">
        <v>55</v>
      </c>
      <c r="P5" s="33">
        <v>703.88964582045344</v>
      </c>
      <c r="Q5" s="5">
        <v>24.779470137437553</v>
      </c>
      <c r="R5" s="5">
        <v>5212.1081271021849</v>
      </c>
      <c r="S5" s="35"/>
      <c r="T5" s="23">
        <v>2620981.384930646</v>
      </c>
      <c r="U5" s="33">
        <v>289.58940947058551</v>
      </c>
      <c r="V5" s="5">
        <v>9</v>
      </c>
      <c r="W5" s="5">
        <v>61</v>
      </c>
      <c r="X5" s="33">
        <v>1524.5695421496534</v>
      </c>
      <c r="Y5" s="5">
        <v>60.697191817730328</v>
      </c>
      <c r="Z5" s="5">
        <v>6851.9111212690314</v>
      </c>
      <c r="AA5" s="35"/>
    </row>
    <row r="6" spans="2:27" x14ac:dyDescent="0.2">
      <c r="B6" s="4">
        <v>3</v>
      </c>
      <c r="C6" s="4">
        <v>445</v>
      </c>
      <c r="D6" s="23">
        <v>2226486.6637932472</v>
      </c>
      <c r="E6" s="33">
        <v>765.49967423526527</v>
      </c>
      <c r="F6" s="5">
        <v>10</v>
      </c>
      <c r="G6" s="23">
        <v>77.5</v>
      </c>
      <c r="H6" s="33">
        <v>1378.7905387998885</v>
      </c>
      <c r="I6" s="23">
        <v>49.568869158743311</v>
      </c>
      <c r="J6" s="5">
        <v>6713.5399571521421</v>
      </c>
      <c r="K6" s="31"/>
      <c r="L6" s="23">
        <v>2631116.5306812469</v>
      </c>
      <c r="M6" s="33">
        <v>1087.4203827058871</v>
      </c>
      <c r="N6" s="5">
        <v>12</v>
      </c>
      <c r="O6" s="5">
        <v>55</v>
      </c>
      <c r="P6" s="33">
        <v>736.21705373343889</v>
      </c>
      <c r="Q6" s="5">
        <v>27.07489272548251</v>
      </c>
      <c r="R6" s="5">
        <v>5277.3380574876819</v>
      </c>
      <c r="S6" s="35"/>
      <c r="T6" s="23">
        <v>2604517.1947076409</v>
      </c>
      <c r="U6" s="33">
        <v>364.41858658820445</v>
      </c>
      <c r="V6" s="5">
        <v>10</v>
      </c>
      <c r="W6" s="5">
        <v>62</v>
      </c>
      <c r="X6" s="33">
        <v>1385.8491682021227</v>
      </c>
      <c r="Y6" s="5">
        <v>55.961600619615503</v>
      </c>
      <c r="Z6" s="5">
        <v>6854.2161072841154</v>
      </c>
      <c r="AA6" s="35"/>
    </row>
    <row r="7" spans="2:27" x14ac:dyDescent="0.2">
      <c r="B7" s="4">
        <v>4</v>
      </c>
      <c r="C7" s="4">
        <v>442</v>
      </c>
      <c r="D7" s="23">
        <v>2283871.8064067182</v>
      </c>
      <c r="E7" s="33">
        <v>181.716586941141</v>
      </c>
      <c r="F7" s="5">
        <v>9</v>
      </c>
      <c r="G7" s="23">
        <v>75</v>
      </c>
      <c r="H7" s="33">
        <v>1322.6533752085643</v>
      </c>
      <c r="I7" s="23">
        <v>53.123061159429447</v>
      </c>
      <c r="J7" s="5">
        <v>6773.4886008756584</v>
      </c>
      <c r="K7" s="31"/>
      <c r="L7" s="23">
        <v>2629992.4516456202</v>
      </c>
      <c r="M7" s="33">
        <v>562.94786105884293</v>
      </c>
      <c r="N7" s="5">
        <v>17</v>
      </c>
      <c r="O7" s="5">
        <v>60.5</v>
      </c>
      <c r="P7" s="33">
        <v>923.88005759307214</v>
      </c>
      <c r="Q7" s="5">
        <v>21.461262900869521</v>
      </c>
      <c r="R7" s="5">
        <v>5638.7753092348676</v>
      </c>
      <c r="S7" s="35"/>
      <c r="T7" s="23">
        <v>2644017.414383499</v>
      </c>
      <c r="U7" s="33">
        <v>178.69936258819726</v>
      </c>
      <c r="V7" s="5">
        <v>9</v>
      </c>
      <c r="W7" s="5">
        <v>60.5</v>
      </c>
      <c r="X7" s="33">
        <v>1413.2322852854174</v>
      </c>
      <c r="Y7" s="5">
        <v>57.757524025833995</v>
      </c>
      <c r="Z7" s="5">
        <v>6937.1890934057592</v>
      </c>
      <c r="AA7" s="35"/>
    </row>
    <row r="8" spans="2:27" x14ac:dyDescent="0.2">
      <c r="B8" s="4">
        <v>5</v>
      </c>
      <c r="C8" s="4">
        <v>564</v>
      </c>
      <c r="D8" s="23">
        <v>2238820.8867840748</v>
      </c>
      <c r="E8" s="33">
        <v>353.01475917653403</v>
      </c>
      <c r="F8" s="5">
        <v>10</v>
      </c>
      <c r="G8" s="23">
        <v>77.5</v>
      </c>
      <c r="H8" s="33">
        <v>1356.2186372447322</v>
      </c>
      <c r="I8" s="23">
        <v>50.87594673268184</v>
      </c>
      <c r="J8" s="5">
        <v>6741.5545831988056</v>
      </c>
      <c r="K8" s="31"/>
      <c r="L8" s="23">
        <v>2721089.7561732908</v>
      </c>
      <c r="M8" s="33">
        <v>1155.6876078823252</v>
      </c>
      <c r="N8" s="5">
        <v>13</v>
      </c>
      <c r="O8" s="5">
        <v>53.5</v>
      </c>
      <c r="P8" s="33">
        <v>846.77439527354738</v>
      </c>
      <c r="Q8" s="5">
        <v>24.008216278965577</v>
      </c>
      <c r="R8" s="5">
        <v>5530.0673454772786</v>
      </c>
      <c r="S8" s="35"/>
      <c r="T8" s="23">
        <v>2641274.5315289181</v>
      </c>
      <c r="U8" s="33">
        <v>562.05573994118504</v>
      </c>
      <c r="V8" s="5">
        <v>9</v>
      </c>
      <c r="W8" s="5">
        <v>59.5</v>
      </c>
      <c r="X8" s="33">
        <v>1295.7992825749252</v>
      </c>
      <c r="Y8" s="5">
        <v>56.062912505423554</v>
      </c>
      <c r="Z8" s="5">
        <v>6797.6104733067596</v>
      </c>
      <c r="AA8" s="35"/>
    </row>
    <row r="9" spans="2:27" x14ac:dyDescent="0.2">
      <c r="B9" s="4">
        <v>6</v>
      </c>
      <c r="C9" s="4">
        <v>96</v>
      </c>
      <c r="D9" s="23">
        <v>2280516.4367851731</v>
      </c>
      <c r="E9" s="33">
        <v>161.01820641176718</v>
      </c>
      <c r="F9" s="5">
        <v>10</v>
      </c>
      <c r="G9" s="23">
        <v>76</v>
      </c>
      <c r="H9" s="33">
        <v>1325.6762348502259</v>
      </c>
      <c r="I9" s="23">
        <v>48.259249372711892</v>
      </c>
      <c r="J9" s="5">
        <v>6763.8628243401927</v>
      </c>
      <c r="K9" s="31"/>
      <c r="L9" s="23">
        <v>2598992.0407234621</v>
      </c>
      <c r="M9" s="33">
        <v>915.91005529407119</v>
      </c>
      <c r="N9" s="5">
        <v>14</v>
      </c>
      <c r="O9" s="5">
        <v>58.5</v>
      </c>
      <c r="P9" s="33">
        <v>778.6360401417063</v>
      </c>
      <c r="Q9" s="5">
        <v>25.388057856521151</v>
      </c>
      <c r="R9" s="5">
        <v>5591.5164567594302</v>
      </c>
      <c r="S9" s="35"/>
      <c r="T9" s="23">
        <v>2654873.6967261811</v>
      </c>
      <c r="U9" s="33">
        <v>245.68512258825226</v>
      </c>
      <c r="V9" s="5">
        <v>8</v>
      </c>
      <c r="W9" s="5">
        <v>58.5</v>
      </c>
      <c r="X9" s="33">
        <v>1304.9704050962246</v>
      </c>
      <c r="Y9" s="5">
        <v>61.706228954187154</v>
      </c>
      <c r="Z9" s="5">
        <v>6811.561905791852</v>
      </c>
      <c r="AA9" s="35"/>
    </row>
    <row r="10" spans="2:27" x14ac:dyDescent="0.2">
      <c r="B10" s="4">
        <v>7</v>
      </c>
      <c r="C10" s="4">
        <v>221</v>
      </c>
      <c r="D10" s="23">
        <v>2277783.6777379331</v>
      </c>
      <c r="E10" s="33">
        <v>533.37597529410709</v>
      </c>
      <c r="F10" s="5">
        <v>9</v>
      </c>
      <c r="G10" s="23">
        <v>74.5</v>
      </c>
      <c r="H10" s="33">
        <v>1303.1024776047541</v>
      </c>
      <c r="I10" s="23">
        <v>52.207053763712651</v>
      </c>
      <c r="J10" s="5">
        <v>6726.2933284618457</v>
      </c>
      <c r="K10" s="31"/>
      <c r="L10" s="23">
        <v>2662752.1643198482</v>
      </c>
      <c r="M10" s="33">
        <v>759.05641505885058</v>
      </c>
      <c r="N10" s="5">
        <v>12</v>
      </c>
      <c r="O10" s="5">
        <v>53.5</v>
      </c>
      <c r="P10" s="33">
        <v>628.61246580351394</v>
      </c>
      <c r="Q10" s="5">
        <v>26.671540755565275</v>
      </c>
      <c r="R10" s="5">
        <v>5246.6253209363076</v>
      </c>
      <c r="S10" s="35"/>
      <c r="T10" s="23">
        <v>2615211.2535089809</v>
      </c>
      <c r="U10" s="33">
        <v>427.29952129412112</v>
      </c>
      <c r="V10" s="5">
        <v>9</v>
      </c>
      <c r="W10" s="5">
        <v>60.5</v>
      </c>
      <c r="X10" s="33">
        <v>1379.5552430836524</v>
      </c>
      <c r="Y10" s="5">
        <v>60.20812910093467</v>
      </c>
      <c r="Z10" s="5">
        <v>6820.4765954775148</v>
      </c>
      <c r="AA10" s="35"/>
    </row>
    <row r="11" spans="2:27" x14ac:dyDescent="0.2">
      <c r="B11" s="4">
        <v>8</v>
      </c>
      <c r="C11" s="4">
        <v>965</v>
      </c>
      <c r="D11" s="23">
        <v>2276177.6296130442</v>
      </c>
      <c r="E11" s="33">
        <v>432.2255342353053</v>
      </c>
      <c r="F11" s="5">
        <v>10</v>
      </c>
      <c r="G11" s="23">
        <v>75.5</v>
      </c>
      <c r="H11" s="33">
        <v>1272.553636355424</v>
      </c>
      <c r="I11" s="23">
        <v>49.569304736245712</v>
      </c>
      <c r="J11" s="5">
        <v>6737.9217752150553</v>
      </c>
      <c r="K11" s="31"/>
      <c r="L11" s="23">
        <v>2718728.6285817749</v>
      </c>
      <c r="M11" s="33">
        <v>612.30159517644711</v>
      </c>
      <c r="N11" s="5">
        <v>12</v>
      </c>
      <c r="O11" s="5">
        <v>51.5</v>
      </c>
      <c r="P11" s="33">
        <v>611.68210388047419</v>
      </c>
      <c r="Q11" s="5">
        <v>24.26970506344691</v>
      </c>
      <c r="R11" s="5">
        <v>5244.4862014146493</v>
      </c>
      <c r="S11" s="35"/>
      <c r="T11" s="23">
        <v>2642328.4739502599</v>
      </c>
      <c r="U11" s="33">
        <v>939.60093611762295</v>
      </c>
      <c r="V11" s="5">
        <v>9</v>
      </c>
      <c r="W11" s="5">
        <v>60</v>
      </c>
      <c r="X11" s="33">
        <v>1381.8718277586847</v>
      </c>
      <c r="Y11" s="5">
        <v>57.424282309382647</v>
      </c>
      <c r="Z11" s="5">
        <v>6867.0338289272731</v>
      </c>
      <c r="AA11" s="35"/>
    </row>
    <row r="12" spans="2:27" x14ac:dyDescent="0.2">
      <c r="B12" s="4">
        <v>9</v>
      </c>
      <c r="C12" s="4">
        <v>905</v>
      </c>
      <c r="D12" s="23">
        <v>2281037.9614523719</v>
      </c>
      <c r="E12" s="33">
        <v>346.50712317643303</v>
      </c>
      <c r="F12" s="5">
        <v>9</v>
      </c>
      <c r="G12" s="23">
        <v>75.5</v>
      </c>
      <c r="H12" s="33">
        <v>1343.081263798535</v>
      </c>
      <c r="I12" s="23">
        <v>53.29305870034954</v>
      </c>
      <c r="J12" s="5">
        <v>6782.4389824160571</v>
      </c>
      <c r="K12" s="31"/>
      <c r="L12" s="23">
        <v>2674378.7021681811</v>
      </c>
      <c r="M12" s="33">
        <v>280.59229005881423</v>
      </c>
      <c r="N12" s="5">
        <v>17</v>
      </c>
      <c r="O12" s="5">
        <v>58.5</v>
      </c>
      <c r="P12" s="33">
        <v>964.24886537906934</v>
      </c>
      <c r="Q12" s="5">
        <v>20.418751307420901</v>
      </c>
      <c r="R12" s="5">
        <v>5551.8688911843446</v>
      </c>
      <c r="S12" s="35"/>
      <c r="T12" s="23">
        <v>2655988.8735403912</v>
      </c>
      <c r="U12" s="33">
        <v>202.2539085294257</v>
      </c>
      <c r="V12" s="5">
        <v>8</v>
      </c>
      <c r="W12" s="5">
        <v>57.5</v>
      </c>
      <c r="X12" s="33">
        <v>1313.0521869695297</v>
      </c>
      <c r="Y12" s="5">
        <v>62.955285993960992</v>
      </c>
      <c r="Z12" s="5">
        <v>6685.3715393909988</v>
      </c>
      <c r="AA12" s="35"/>
    </row>
    <row r="13" spans="2:27" x14ac:dyDescent="0.2">
      <c r="B13" s="4">
        <v>10</v>
      </c>
      <c r="C13" s="4">
        <v>952</v>
      </c>
      <c r="D13" s="23">
        <v>2261892.6317750169</v>
      </c>
      <c r="E13" s="33">
        <v>321.52348394122197</v>
      </c>
      <c r="F13" s="5">
        <v>11</v>
      </c>
      <c r="G13" s="23">
        <v>77</v>
      </c>
      <c r="H13" s="33">
        <v>1375.9731964733671</v>
      </c>
      <c r="I13" s="23">
        <v>45.402795221749017</v>
      </c>
      <c r="J13" s="5">
        <v>6753.5812547628639</v>
      </c>
      <c r="K13" s="31"/>
      <c r="L13" s="23">
        <v>2653773.2842505099</v>
      </c>
      <c r="M13" s="33">
        <v>386.76003852941318</v>
      </c>
      <c r="N13" s="5">
        <v>14</v>
      </c>
      <c r="O13" s="5">
        <v>57</v>
      </c>
      <c r="P13" s="33">
        <v>911.81230162569273</v>
      </c>
      <c r="Q13" s="5">
        <v>23.674502716184513</v>
      </c>
      <c r="R13" s="5">
        <v>5563.9717473254623</v>
      </c>
      <c r="S13" s="35"/>
      <c r="T13" s="23">
        <v>2617615.7550072009</v>
      </c>
      <c r="U13" s="33">
        <v>673.5147640000182</v>
      </c>
      <c r="V13" s="5">
        <v>9</v>
      </c>
      <c r="W13" s="5">
        <v>60</v>
      </c>
      <c r="X13" s="33">
        <v>1439.7632069684109</v>
      </c>
      <c r="Y13" s="5">
        <v>57.950891362840594</v>
      </c>
      <c r="Z13" s="5">
        <v>6656.7709930757601</v>
      </c>
      <c r="AA13" s="35"/>
    </row>
    <row r="14" spans="2:27" x14ac:dyDescent="0.2">
      <c r="B14" s="47" t="s">
        <v>3</v>
      </c>
      <c r="C14" s="48"/>
      <c r="D14" s="9">
        <f>MIN(D4:D13)</f>
        <v>2226486.6637932472</v>
      </c>
      <c r="E14" s="22">
        <f>INDEX(E4:E13, MATCH($D$14, D4:D13, 0))</f>
        <v>765.49967423526527</v>
      </c>
      <c r="F14" s="9">
        <f>INDEX(F4:F13, MATCH($D$14, D4:D13, 0))</f>
        <v>10</v>
      </c>
      <c r="G14" s="9">
        <f>INDEX(G4:G13, MATCH($D$14, D4:D13, 0))</f>
        <v>77.5</v>
      </c>
      <c r="H14" s="22">
        <f>INDEX(H4:H13, MATCH($D$14, D4:D13, 0))</f>
        <v>1378.7905387998885</v>
      </c>
      <c r="I14" s="22">
        <f>INDEX(I4:I13, MATCH($D$14, D4:D13, 0))</f>
        <v>49.568869158743311</v>
      </c>
      <c r="J14" s="22">
        <f>INDEX(J4:J13, MATCH($D$14, D4:D13, 0))</f>
        <v>6713.5399571521421</v>
      </c>
      <c r="K14" s="32" t="e">
        <f>(D14-$D$15)/$D$15</f>
        <v>#DIV/0!</v>
      </c>
      <c r="L14" s="16">
        <f>MIN(L4:L13)</f>
        <v>2598992.0407234621</v>
      </c>
      <c r="M14" s="21">
        <f>INDEX(M4:M13, MATCH($L$14, L4:L13, 0))</f>
        <v>915.91005529407119</v>
      </c>
      <c r="N14" s="16">
        <f>INDEX(N4:N13, MATCH($L$14, L4:L13, 0))</f>
        <v>14</v>
      </c>
      <c r="O14" s="16">
        <f>INDEX(O4:O13, MATCH($L$14, L4:L13, 0))</f>
        <v>58.5</v>
      </c>
      <c r="P14" s="21">
        <f>INDEX(P4:P13, MATCH($L$14, L4:L13, 0))</f>
        <v>778.6360401417063</v>
      </c>
      <c r="Q14" s="21">
        <f>INDEX(Q4:Q13, MATCH($L$14, L4:L13, 0))</f>
        <v>25.388057856521151</v>
      </c>
      <c r="R14" s="21">
        <f>INDEX(R4:R13, MATCH($L$14, L4:L13, 0))</f>
        <v>5591.5164567594302</v>
      </c>
      <c r="S14" s="36" t="e">
        <f>(L14-$D$15)/$D$15</f>
        <v>#DIV/0!</v>
      </c>
      <c r="T14" s="38">
        <f>MIN(T4:T13)</f>
        <v>2604517.1947076409</v>
      </c>
      <c r="U14" s="39">
        <f>INDEX(U4:U13, MATCH($T$14, T4:T13, 0))</f>
        <v>364.41858658820445</v>
      </c>
      <c r="V14" s="38">
        <f>INDEX(V4:V13, MATCH($T$14, T4:T13, 0))</f>
        <v>10</v>
      </c>
      <c r="W14" s="38">
        <f>INDEX(W4:W13, MATCH($T$14, T4:T13, 0))</f>
        <v>62</v>
      </c>
      <c r="X14" s="39">
        <f>INDEX(X4:X13, MATCH($T$14, T4:T13, 0))</f>
        <v>1385.8491682021227</v>
      </c>
      <c r="Y14" s="39">
        <f>INDEX(Y4:Y13, MATCH($T$14, T4:T13, 0))</f>
        <v>55.961600619615503</v>
      </c>
      <c r="Z14" s="39">
        <f>INDEX(Z4:Z13, MATCH($T$14, T4:T13, 0))</f>
        <v>6854.2161072841154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0.16730635893213955</v>
      </c>
      <c r="M15" s="41">
        <f t="shared" ref="M15:R15" si="0">(M14-E14)/E14</f>
        <v>0.19648653829809398</v>
      </c>
      <c r="N15" s="41">
        <f t="shared" si="0"/>
        <v>0.4</v>
      </c>
      <c r="O15" s="41">
        <f t="shared" si="0"/>
        <v>-0.24516129032258063</v>
      </c>
      <c r="P15" s="41">
        <f t="shared" si="0"/>
        <v>-0.43527604938496461</v>
      </c>
      <c r="Q15" s="41">
        <f t="shared" si="0"/>
        <v>-0.48782253282364779</v>
      </c>
      <c r="R15" s="41">
        <f t="shared" si="0"/>
        <v>-0.16712844602904098</v>
      </c>
      <c r="T15" s="41">
        <f>(T14-D14)/D14</f>
        <v>0.16978791611998528</v>
      </c>
      <c r="U15" s="41">
        <f t="shared" ref="U15:Y15" si="1">(U14-E14)/E14</f>
        <v>-0.52394677770142895</v>
      </c>
      <c r="V15" s="41">
        <f t="shared" si="1"/>
        <v>0</v>
      </c>
      <c r="W15" s="41">
        <f t="shared" si="1"/>
        <v>-0.2</v>
      </c>
      <c r="X15" s="41">
        <f t="shared" si="1"/>
        <v>5.11943562390415E-3</v>
      </c>
      <c r="Y15" s="41">
        <f t="shared" si="1"/>
        <v>0.12896665930383841</v>
      </c>
      <c r="Z15" s="41">
        <f>(Z14-J14)/J14</f>
        <v>2.0954094416628401E-2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85" priority="7"/>
    <cfRule type="duplicateValues" dxfId="84" priority="8"/>
  </conditionalFormatting>
  <conditionalFormatting sqref="C14">
    <cfRule type="duplicateValues" dxfId="83" priority="5"/>
    <cfRule type="duplicateValues" dxfId="82" priority="6"/>
  </conditionalFormatting>
  <conditionalFormatting sqref="C15">
    <cfRule type="duplicateValues" dxfId="81" priority="3"/>
    <cfRule type="duplicateValues" dxfId="80" priority="4"/>
  </conditionalFormatting>
  <conditionalFormatting sqref="C20:C34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213D-BB91-4C0B-8D71-784306167D4A}">
  <dimension ref="B1:AA17"/>
  <sheetViews>
    <sheetView zoomScale="90" zoomScaleNormal="9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-0.9822203951936932</v>
      </c>
      <c r="J2" s="28" t="e">
        <f>(S14-J14)/J14</f>
        <v>#DIV/0!</v>
      </c>
      <c r="K2" s="28"/>
      <c r="L2" s="1" t="s">
        <v>19</v>
      </c>
      <c r="P2" s="1">
        <f>(P14-H14)/H14</f>
        <v>-0.23854053119214971</v>
      </c>
      <c r="R2" s="1">
        <f>(R14-J14)/J14</f>
        <v>-0.10708641004008441</v>
      </c>
      <c r="T2" s="1" t="s">
        <v>20</v>
      </c>
      <c r="X2" s="1">
        <f>(X14-P14)/P14</f>
        <v>0.35997697478591084</v>
      </c>
      <c r="Z2" s="1">
        <f>(Z14-R14)/R14</f>
        <v>0.12498696692296692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311</v>
      </c>
      <c r="D4" s="23">
        <v>2627721.6721921521</v>
      </c>
      <c r="E4" s="33">
        <v>325.25972794118229</v>
      </c>
      <c r="F4" s="5">
        <v>9</v>
      </c>
      <c r="G4" s="23">
        <v>65</v>
      </c>
      <c r="H4" s="33">
        <v>1702.170272626558</v>
      </c>
      <c r="I4" s="23">
        <v>45.080998599973832</v>
      </c>
      <c r="J4" s="5">
        <v>7346.0373016260264</v>
      </c>
      <c r="K4" s="31"/>
      <c r="L4" s="23">
        <v>2869380.2760002138</v>
      </c>
      <c r="M4" s="33">
        <v>826.16536852937884</v>
      </c>
      <c r="N4" s="5">
        <v>12</v>
      </c>
      <c r="O4" s="5">
        <v>51</v>
      </c>
      <c r="P4" s="33">
        <v>1166.5530904308332</v>
      </c>
      <c r="Q4" s="5">
        <v>24.668958498403914</v>
      </c>
      <c r="R4" s="5">
        <v>6259.0372875042403</v>
      </c>
      <c r="S4" s="35"/>
      <c r="T4" s="23">
        <v>3017703.7992117261</v>
      </c>
      <c r="U4" s="33">
        <v>223.08018182356406</v>
      </c>
      <c r="V4" s="5">
        <v>7</v>
      </c>
      <c r="W4" s="5">
        <v>44.5</v>
      </c>
      <c r="X4" s="33">
        <v>1369.6065546104192</v>
      </c>
      <c r="Y4" s="5">
        <v>53.385138745025813</v>
      </c>
      <c r="Z4" s="5">
        <v>7034.1347587993168</v>
      </c>
      <c r="AA4" s="35"/>
    </row>
    <row r="5" spans="2:27" x14ac:dyDescent="0.2">
      <c r="B5" s="4">
        <v>2</v>
      </c>
      <c r="C5" s="4">
        <v>678</v>
      </c>
      <c r="D5" s="23">
        <v>2594120.584474294</v>
      </c>
      <c r="E5" s="33">
        <v>627.2944062940694</v>
      </c>
      <c r="F5" s="5">
        <v>10</v>
      </c>
      <c r="G5" s="23">
        <v>66</v>
      </c>
      <c r="H5" s="33">
        <v>1616.5088516209441</v>
      </c>
      <c r="I5" s="23">
        <v>40.585543442565935</v>
      </c>
      <c r="J5" s="5">
        <v>7177.2863759718275</v>
      </c>
      <c r="K5" s="31"/>
      <c r="L5" s="23">
        <v>2980175.1227597832</v>
      </c>
      <c r="M5" s="33">
        <v>742.71300552940181</v>
      </c>
      <c r="N5" s="5">
        <v>9</v>
      </c>
      <c r="O5" s="5">
        <v>43</v>
      </c>
      <c r="P5" s="33">
        <v>870.51483658719053</v>
      </c>
      <c r="Q5" s="5">
        <v>26.408038107736861</v>
      </c>
      <c r="R5" s="5">
        <v>5895.4829047479498</v>
      </c>
      <c r="S5" s="35"/>
      <c r="T5" s="23">
        <v>2948710.0610450911</v>
      </c>
      <c r="U5" s="33">
        <v>269.33546229409433</v>
      </c>
      <c r="V5" s="5">
        <v>10</v>
      </c>
      <c r="W5" s="5">
        <v>50</v>
      </c>
      <c r="X5" s="33">
        <v>1556.1121923516164</v>
      </c>
      <c r="Y5" s="5">
        <v>42.227598944987029</v>
      </c>
      <c r="Z5" s="5">
        <v>7131.3549889899778</v>
      </c>
      <c r="AA5" s="35"/>
    </row>
    <row r="6" spans="2:27" x14ac:dyDescent="0.2">
      <c r="B6" s="4">
        <v>3</v>
      </c>
      <c r="C6" s="4">
        <v>754</v>
      </c>
      <c r="D6" s="23">
        <v>2773152.7901075911</v>
      </c>
      <c r="E6" s="33">
        <v>289.68265535296217</v>
      </c>
      <c r="F6" s="5">
        <v>9</v>
      </c>
      <c r="G6" s="23">
        <v>58</v>
      </c>
      <c r="H6" s="33">
        <v>1589.6559742691547</v>
      </c>
      <c r="I6" s="23">
        <v>38.541507187262454</v>
      </c>
      <c r="J6" s="5">
        <v>7188.5666936469406</v>
      </c>
      <c r="K6" s="31"/>
      <c r="L6" s="23">
        <v>3019843.4906474808</v>
      </c>
      <c r="M6" s="33">
        <v>722.37549741177236</v>
      </c>
      <c r="N6" s="5">
        <v>8</v>
      </c>
      <c r="O6" s="5">
        <v>38.5</v>
      </c>
      <c r="P6" s="33">
        <v>448.9320129528964</v>
      </c>
      <c r="Q6" s="5">
        <v>25.33468116579002</v>
      </c>
      <c r="R6" s="5">
        <v>5332.6323913667957</v>
      </c>
      <c r="S6" s="35"/>
      <c r="T6" s="23">
        <v>3011871.6070150509</v>
      </c>
      <c r="U6" s="33">
        <v>395.55417135296227</v>
      </c>
      <c r="V6" s="5">
        <v>8</v>
      </c>
      <c r="W6" s="5">
        <v>44.5</v>
      </c>
      <c r="X6" s="33">
        <v>1447.9075340633615</v>
      </c>
      <c r="Y6" s="5">
        <v>44.374347194201704</v>
      </c>
      <c r="Z6" s="5">
        <v>6784.8365233399318</v>
      </c>
      <c r="AA6" s="35"/>
    </row>
    <row r="7" spans="2:27" x14ac:dyDescent="0.2">
      <c r="B7" s="4">
        <v>4</v>
      </c>
      <c r="C7" s="4">
        <v>675</v>
      </c>
      <c r="D7" s="23">
        <v>2662679.084573376</v>
      </c>
      <c r="E7" s="33">
        <v>253.67858394117587</v>
      </c>
      <c r="F7" s="5">
        <v>9</v>
      </c>
      <c r="G7" s="23">
        <v>61.5</v>
      </c>
      <c r="H7" s="33">
        <v>1481.7027673394296</v>
      </c>
      <c r="I7" s="23">
        <v>41.693301518153561</v>
      </c>
      <c r="J7" s="5">
        <v>7051.318568593063</v>
      </c>
      <c r="K7" s="31"/>
      <c r="L7" s="23">
        <v>2983713.6067912611</v>
      </c>
      <c r="M7" s="33">
        <v>381.72063811764343</v>
      </c>
      <c r="N7" s="5">
        <v>9</v>
      </c>
      <c r="O7" s="5">
        <v>43.5</v>
      </c>
      <c r="P7" s="33">
        <v>931.87302759339116</v>
      </c>
      <c r="Q7" s="5">
        <v>25.571756875723093</v>
      </c>
      <c r="R7" s="5">
        <v>5948.4287660199016</v>
      </c>
      <c r="S7" s="35"/>
      <c r="T7" s="23">
        <v>2989863.405036543</v>
      </c>
      <c r="U7" s="33">
        <v>558.43781411764212</v>
      </c>
      <c r="V7" s="5">
        <v>9</v>
      </c>
      <c r="W7" s="5">
        <v>48</v>
      </c>
      <c r="X7" s="33">
        <v>1661.072565375428</v>
      </c>
      <c r="Y7" s="5">
        <v>47.347168717757661</v>
      </c>
      <c r="Z7" s="5">
        <v>7273.1508502396237</v>
      </c>
      <c r="AA7" s="35"/>
    </row>
    <row r="8" spans="2:27" x14ac:dyDescent="0.2">
      <c r="B8" s="4">
        <v>5</v>
      </c>
      <c r="C8" s="4">
        <v>142</v>
      </c>
      <c r="D8" s="23">
        <v>2622282.1939354292</v>
      </c>
      <c r="E8" s="33">
        <v>274.22160305884012</v>
      </c>
      <c r="F8" s="5">
        <v>9</v>
      </c>
      <c r="G8" s="23">
        <v>63.5</v>
      </c>
      <c r="H8" s="33">
        <v>1557.9960500569789</v>
      </c>
      <c r="I8" s="23">
        <v>43.878940578462903</v>
      </c>
      <c r="J8" s="5">
        <v>7101.5343895421684</v>
      </c>
      <c r="K8" s="31"/>
      <c r="L8" s="23">
        <v>2962989.0498291911</v>
      </c>
      <c r="M8" s="33">
        <v>262.2876735882121</v>
      </c>
      <c r="N8" s="5">
        <v>9</v>
      </c>
      <c r="O8" s="5">
        <v>41.5</v>
      </c>
      <c r="P8" s="33">
        <v>549.81648186391078</v>
      </c>
      <c r="Q8" s="5">
        <v>26.050598864029382</v>
      </c>
      <c r="R8" s="5">
        <v>5478.4096712064229</v>
      </c>
      <c r="S8" s="35"/>
      <c r="T8" s="23">
        <v>3016978.546181709</v>
      </c>
      <c r="U8" s="33">
        <v>311.47110505878709</v>
      </c>
      <c r="V8" s="5">
        <v>9</v>
      </c>
      <c r="W8" s="5">
        <v>46</v>
      </c>
      <c r="X8" s="33">
        <v>1596.3699001200739</v>
      </c>
      <c r="Y8" s="5">
        <v>43.576944968339141</v>
      </c>
      <c r="Z8" s="5">
        <v>7038.892415994057</v>
      </c>
      <c r="AA8" s="35"/>
    </row>
    <row r="9" spans="2:27" x14ac:dyDescent="0.2">
      <c r="B9" s="4">
        <v>6</v>
      </c>
      <c r="C9" s="4">
        <v>90</v>
      </c>
      <c r="D9" s="23">
        <v>2563105.5681996718</v>
      </c>
      <c r="E9" s="33">
        <v>440.12916152947582</v>
      </c>
      <c r="F9" s="5">
        <v>9</v>
      </c>
      <c r="G9" s="23">
        <v>66.5</v>
      </c>
      <c r="H9" s="33">
        <v>1641.2300707071631</v>
      </c>
      <c r="I9" s="23">
        <v>47.483908500162649</v>
      </c>
      <c r="J9" s="5">
        <v>7224.122387502769</v>
      </c>
      <c r="K9" s="31"/>
      <c r="L9" s="23">
        <v>2961629.6366020311</v>
      </c>
      <c r="M9" s="33">
        <v>889.25702435293181</v>
      </c>
      <c r="N9" s="5">
        <v>10</v>
      </c>
      <c r="O9" s="5">
        <v>45.5</v>
      </c>
      <c r="P9" s="33">
        <v>1036.3746765169883</v>
      </c>
      <c r="Q9" s="5">
        <v>26.657691339529787</v>
      </c>
      <c r="R9" s="5">
        <v>6187.0048764223093</v>
      </c>
      <c r="S9" s="35"/>
      <c r="T9" s="23">
        <v>2995033.115079185</v>
      </c>
      <c r="U9" s="33">
        <v>620.66622047055057</v>
      </c>
      <c r="V9" s="5">
        <v>8</v>
      </c>
      <c r="W9" s="5">
        <v>46</v>
      </c>
      <c r="X9" s="33">
        <v>1430.2830146999374</v>
      </c>
      <c r="Y9" s="5">
        <v>51.716696313445198</v>
      </c>
      <c r="Z9" s="5">
        <v>7128.139605409986</v>
      </c>
      <c r="AA9" s="35"/>
    </row>
    <row r="10" spans="2:27" x14ac:dyDescent="0.2">
      <c r="B10" s="4">
        <v>7</v>
      </c>
      <c r="C10" s="4">
        <v>993</v>
      </c>
      <c r="D10" s="23">
        <v>2639430.2280275039</v>
      </c>
      <c r="E10" s="33">
        <v>1020.5809378823236</v>
      </c>
      <c r="F10" s="5">
        <v>10</v>
      </c>
      <c r="G10" s="23">
        <v>64.5</v>
      </c>
      <c r="H10" s="33">
        <v>1667.4560745979823</v>
      </c>
      <c r="I10" s="23">
        <v>39.988825350887979</v>
      </c>
      <c r="J10" s="5">
        <v>7169.5343565468247</v>
      </c>
      <c r="K10" s="31"/>
      <c r="L10" s="23">
        <v>2867931.4074525512</v>
      </c>
      <c r="M10" s="33">
        <v>1149.7875591765346</v>
      </c>
      <c r="N10" s="5">
        <v>12</v>
      </c>
      <c r="O10" s="5">
        <v>51</v>
      </c>
      <c r="P10" s="33">
        <v>1093.7413416943484</v>
      </c>
      <c r="Q10" s="5">
        <v>25.538179787941498</v>
      </c>
      <c r="R10" s="5">
        <v>6240.0113971637002</v>
      </c>
      <c r="S10" s="35"/>
      <c r="T10" s="23">
        <v>2989271.5940683209</v>
      </c>
      <c r="U10" s="33">
        <v>340.56484123527565</v>
      </c>
      <c r="V10" s="5">
        <v>9</v>
      </c>
      <c r="W10" s="5">
        <v>48</v>
      </c>
      <c r="X10" s="33">
        <v>1676.6970430323302</v>
      </c>
      <c r="Y10" s="5">
        <v>47.249533812366302</v>
      </c>
      <c r="Z10" s="5">
        <v>7292.5412736372173</v>
      </c>
      <c r="AA10" s="35"/>
    </row>
    <row r="11" spans="2:27" x14ac:dyDescent="0.2">
      <c r="B11" s="4">
        <v>8</v>
      </c>
      <c r="C11" s="4">
        <v>846</v>
      </c>
      <c r="D11" s="23">
        <v>2616631.119973937</v>
      </c>
      <c r="E11" s="33">
        <v>446.93257882348809</v>
      </c>
      <c r="F11" s="5">
        <v>10</v>
      </c>
      <c r="G11" s="23">
        <v>64.5</v>
      </c>
      <c r="H11" s="33">
        <v>1656.5825708129485</v>
      </c>
      <c r="I11" s="23">
        <v>42.206192772713372</v>
      </c>
      <c r="J11" s="5">
        <v>7095.4466061523235</v>
      </c>
      <c r="K11" s="31"/>
      <c r="L11" s="23">
        <v>2977166.6043429119</v>
      </c>
      <c r="M11" s="33">
        <v>1330.4331608235095</v>
      </c>
      <c r="N11" s="5">
        <v>8</v>
      </c>
      <c r="O11" s="5">
        <v>42</v>
      </c>
      <c r="P11" s="33">
        <v>737.45068710336659</v>
      </c>
      <c r="Q11" s="5">
        <v>29.798372286742108</v>
      </c>
      <c r="R11" s="5">
        <v>5872.961659353241</v>
      </c>
      <c r="S11" s="35"/>
      <c r="T11" s="23">
        <v>3006270.3804113902</v>
      </c>
      <c r="U11" s="33">
        <v>542.82992017647143</v>
      </c>
      <c r="V11" s="5">
        <v>8</v>
      </c>
      <c r="W11" s="5">
        <v>45</v>
      </c>
      <c r="X11" s="33">
        <v>1348.1148989166384</v>
      </c>
      <c r="Y11" s="5">
        <v>47.668780342822508</v>
      </c>
      <c r="Z11" s="5">
        <v>6958.9671733802352</v>
      </c>
      <c r="AA11" s="35"/>
    </row>
    <row r="12" spans="2:27" x14ac:dyDescent="0.2">
      <c r="B12" s="4">
        <v>9</v>
      </c>
      <c r="C12" s="4">
        <v>583</v>
      </c>
      <c r="D12" s="23">
        <v>2661180.3963339771</v>
      </c>
      <c r="E12" s="33">
        <v>366.39134147060651</v>
      </c>
      <c r="F12" s="5">
        <v>10</v>
      </c>
      <c r="G12" s="23">
        <v>62.5</v>
      </c>
      <c r="H12" s="33">
        <v>1623.1759305289104</v>
      </c>
      <c r="I12" s="23">
        <v>38.444540790098515</v>
      </c>
      <c r="J12" s="5">
        <v>7068.1784855833685</v>
      </c>
      <c r="K12" s="31"/>
      <c r="L12" s="23">
        <v>3024564.5445368062</v>
      </c>
      <c r="M12" s="33">
        <v>621.6574728823789</v>
      </c>
      <c r="N12" s="5">
        <v>12</v>
      </c>
      <c r="O12" s="5">
        <v>46</v>
      </c>
      <c r="P12" s="33">
        <v>1183.0327598283134</v>
      </c>
      <c r="Q12" s="5">
        <v>22.313815716206125</v>
      </c>
      <c r="R12" s="5">
        <v>6401.9919548309044</v>
      </c>
      <c r="S12" s="35"/>
      <c r="T12" s="23">
        <v>2951352.745447753</v>
      </c>
      <c r="U12" s="33">
        <v>438.24031323530056</v>
      </c>
      <c r="V12" s="5">
        <v>10</v>
      </c>
      <c r="W12" s="5">
        <v>50.5</v>
      </c>
      <c r="X12" s="33">
        <v>1718.1799004463658</v>
      </c>
      <c r="Y12" s="5">
        <v>43.307665970395838</v>
      </c>
      <c r="Z12" s="5">
        <v>7276.3815862591364</v>
      </c>
      <c r="AA12" s="35"/>
    </row>
    <row r="13" spans="2:27" x14ac:dyDescent="0.2">
      <c r="B13" s="4">
        <v>10</v>
      </c>
      <c r="C13" s="4">
        <v>908</v>
      </c>
      <c r="D13" s="23">
        <v>2561041.661048214</v>
      </c>
      <c r="E13" s="33">
        <v>384.76916176472406</v>
      </c>
      <c r="F13" s="5">
        <v>10</v>
      </c>
      <c r="G13" s="23">
        <v>65.5</v>
      </c>
      <c r="H13" s="33">
        <v>1436.3749963037724</v>
      </c>
      <c r="I13" s="23">
        <v>40.989907671005895</v>
      </c>
      <c r="J13" s="5">
        <v>6988.3709547346289</v>
      </c>
      <c r="K13" s="31"/>
      <c r="L13" s="23">
        <v>2868237.4602322089</v>
      </c>
      <c r="M13" s="33">
        <v>467.27161911768184</v>
      </c>
      <c r="N13" s="5">
        <v>14</v>
      </c>
      <c r="O13" s="5">
        <v>53.5</v>
      </c>
      <c r="P13" s="33">
        <v>1277.0845426350982</v>
      </c>
      <c r="Q13" s="5">
        <v>23.218880515756382</v>
      </c>
      <c r="R13" s="5">
        <v>6399.1921601106069</v>
      </c>
      <c r="S13" s="35"/>
      <c r="T13" s="23">
        <v>2944885.7100795251</v>
      </c>
      <c r="U13" s="33">
        <v>552.22733899998923</v>
      </c>
      <c r="V13" s="5">
        <v>9</v>
      </c>
      <c r="W13" s="5">
        <v>48.5</v>
      </c>
      <c r="X13" s="33">
        <v>1487.4630410757632</v>
      </c>
      <c r="Y13" s="5">
        <v>45.856453007774576</v>
      </c>
      <c r="Z13" s="5">
        <v>7019.9314952599361</v>
      </c>
      <c r="AA13" s="35"/>
    </row>
    <row r="14" spans="2:27" x14ac:dyDescent="0.2">
      <c r="B14" s="47" t="s">
        <v>3</v>
      </c>
      <c r="C14" s="48"/>
      <c r="D14" s="9">
        <f>MIN(D4:D13)</f>
        <v>2561041.661048214</v>
      </c>
      <c r="E14" s="22">
        <f>INDEX(E4:E13, MATCH($D$14, D4:D13, 0))</f>
        <v>384.76916176472406</v>
      </c>
      <c r="F14" s="9">
        <f>INDEX(F4:F13, MATCH($D$14, D4:D13, 0))</f>
        <v>10</v>
      </c>
      <c r="G14" s="9">
        <f>INDEX(G4:G13, MATCH($D$14, D4:D13, 0))</f>
        <v>65.5</v>
      </c>
      <c r="H14" s="22">
        <f>INDEX(H4:H13, MATCH($D$14, D4:D13, 0))</f>
        <v>1436.3749963037724</v>
      </c>
      <c r="I14" s="22">
        <f>INDEX(I4:I13, MATCH($D$14, D4:D13, 0))</f>
        <v>40.989907671005895</v>
      </c>
      <c r="J14" s="22">
        <f>INDEX(J4:J13, MATCH($D$14, D4:D13, 0))</f>
        <v>6988.3709547346289</v>
      </c>
      <c r="K14" s="32" t="e">
        <f>(D14-$D$15)/$D$15</f>
        <v>#DIV/0!</v>
      </c>
      <c r="L14" s="16">
        <f>MIN(L4:L13)</f>
        <v>2867931.4074525512</v>
      </c>
      <c r="M14" s="21">
        <f>INDEX(M4:M13, MATCH($L$14, L4:L13, 0))</f>
        <v>1149.7875591765346</v>
      </c>
      <c r="N14" s="16">
        <f>INDEX(N4:N13, MATCH($L$14, L4:L13, 0))</f>
        <v>12</v>
      </c>
      <c r="O14" s="16">
        <f>INDEX(O4:O13, MATCH($L$14, L4:L13, 0))</f>
        <v>51</v>
      </c>
      <c r="P14" s="21">
        <f>INDEX(P4:P13, MATCH($L$14, L4:L13, 0))</f>
        <v>1093.7413416943484</v>
      </c>
      <c r="Q14" s="21">
        <f>INDEX(Q4:Q13, MATCH($L$14, L4:L13, 0))</f>
        <v>25.538179787941498</v>
      </c>
      <c r="R14" s="21">
        <f>INDEX(R4:R13, MATCH($L$14, L4:L13, 0))</f>
        <v>6240.0113971637002</v>
      </c>
      <c r="S14" s="36" t="e">
        <f>(L14-$D$15)/$D$15</f>
        <v>#DIV/0!</v>
      </c>
      <c r="T14" s="38">
        <f>MIN(T4:T13)</f>
        <v>2944885.7100795251</v>
      </c>
      <c r="U14" s="39">
        <f>INDEX(U4:U13, MATCH($T$14, T4:T13, 0))</f>
        <v>552.22733899998923</v>
      </c>
      <c r="V14" s="38">
        <f>INDEX(V4:V13, MATCH($T$14, T4:T13, 0))</f>
        <v>9</v>
      </c>
      <c r="W14" s="38">
        <f>INDEX(W4:W13, MATCH($T$14, T4:T13, 0))</f>
        <v>48.5</v>
      </c>
      <c r="X14" s="39">
        <f>INDEX(X4:X13, MATCH($T$14, T4:T13, 0))</f>
        <v>1487.4630410757632</v>
      </c>
      <c r="Y14" s="39">
        <f>INDEX(Y4:Y13, MATCH($T$14, T4:T13, 0))</f>
        <v>45.856453007774576</v>
      </c>
      <c r="Z14" s="39">
        <f>INDEX(Z4:Z13, MATCH($T$14, T4:T13, 0))</f>
        <v>7019.9314952599361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0.11983004848063647</v>
      </c>
      <c r="M15" s="41">
        <f t="shared" ref="M15:R15" si="0">(M14-E14)/E14</f>
        <v>1.9882528888310407</v>
      </c>
      <c r="N15" s="41">
        <f t="shared" si="0"/>
        <v>0.2</v>
      </c>
      <c r="O15" s="41">
        <f t="shared" si="0"/>
        <v>-0.22137404580152673</v>
      </c>
      <c r="P15" s="41">
        <f t="shared" si="0"/>
        <v>-0.23854053119214971</v>
      </c>
      <c r="Q15" s="41">
        <f t="shared" si="0"/>
        <v>-0.37696420316638418</v>
      </c>
      <c r="R15" s="41">
        <f t="shared" si="0"/>
        <v>-0.10708641004008441</v>
      </c>
      <c r="T15" s="41">
        <f>(T14-D14)/D14</f>
        <v>0.14987809642823494</v>
      </c>
      <c r="U15" s="41">
        <f t="shared" ref="U15:Y15" si="1">(U14-E14)/E14</f>
        <v>0.43521725199396649</v>
      </c>
      <c r="V15" s="41">
        <f t="shared" si="1"/>
        <v>-0.1</v>
      </c>
      <c r="W15" s="41">
        <f t="shared" si="1"/>
        <v>-0.25954198473282442</v>
      </c>
      <c r="X15" s="41">
        <f t="shared" si="1"/>
        <v>3.5567344811386847E-2</v>
      </c>
      <c r="Y15" s="41">
        <f t="shared" si="1"/>
        <v>0.11872545251452271</v>
      </c>
      <c r="Z15" s="41">
        <f>(Z14-J14)/J14</f>
        <v>4.5161512933031929E-3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79" priority="7"/>
    <cfRule type="duplicateValues" dxfId="78" priority="8"/>
  </conditionalFormatting>
  <conditionalFormatting sqref="C14">
    <cfRule type="duplicateValues" dxfId="77" priority="5"/>
    <cfRule type="duplicateValues" dxfId="76" priority="6"/>
  </conditionalFormatting>
  <conditionalFormatting sqref="C15">
    <cfRule type="duplicateValues" dxfId="75" priority="3"/>
    <cfRule type="duplicateValues" dxfId="74" priority="4"/>
  </conditionalFormatting>
  <conditionalFormatting sqref="C20:C34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A1FE-65BB-4D97-AFFD-34BD630C910C}">
  <dimension ref="B1:AA17"/>
  <sheetViews>
    <sheetView zoomScale="90" zoomScaleNormal="9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-0.97991000277716234</v>
      </c>
      <c r="J2" s="28" t="e">
        <f>(S14-J14)/J14</f>
        <v>#DIV/0!</v>
      </c>
      <c r="K2" s="28"/>
      <c r="L2" s="1" t="s">
        <v>19</v>
      </c>
      <c r="P2" s="1">
        <f>(P14-H14)/H14</f>
        <v>-0.33150082345134524</v>
      </c>
      <c r="R2" s="1">
        <f>(R14-J14)/J14</f>
        <v>-0.13793401470894023</v>
      </c>
      <c r="T2" s="1" t="s">
        <v>20</v>
      </c>
      <c r="X2" s="1">
        <f>(X14-P14)/P14</f>
        <v>0.56418244832131781</v>
      </c>
      <c r="Z2" s="1">
        <f>(Z14-R14)/R14</f>
        <v>0.16951027974895361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935</v>
      </c>
      <c r="D4" s="23">
        <v>2530744.729074711</v>
      </c>
      <c r="E4" s="33">
        <v>335.37199300001652</v>
      </c>
      <c r="F4" s="5">
        <v>10</v>
      </c>
      <c r="G4" s="23">
        <v>67</v>
      </c>
      <c r="H4" s="33">
        <v>1505.6785328924525</v>
      </c>
      <c r="I4" s="23">
        <v>46.852047369285629</v>
      </c>
      <c r="J4" s="5">
        <v>7087.4982956425301</v>
      </c>
      <c r="K4" s="31"/>
      <c r="L4" s="23">
        <v>2997540.5626294678</v>
      </c>
      <c r="M4" s="33">
        <v>310.89734194115465</v>
      </c>
      <c r="N4" s="5">
        <v>8</v>
      </c>
      <c r="O4" s="5">
        <v>40</v>
      </c>
      <c r="P4" s="33">
        <v>556.12619486967446</v>
      </c>
      <c r="Q4" s="5">
        <v>31.138071155920791</v>
      </c>
      <c r="R4" s="5">
        <v>5576.7797653128609</v>
      </c>
      <c r="S4" s="35"/>
      <c r="T4" s="23">
        <v>3131682.964994547</v>
      </c>
      <c r="U4" s="33">
        <v>254.22408758826995</v>
      </c>
      <c r="V4" s="5">
        <v>7</v>
      </c>
      <c r="W4" s="5">
        <v>39</v>
      </c>
      <c r="X4" s="33">
        <v>1278.6100417743075</v>
      </c>
      <c r="Y4" s="5">
        <v>50.324620162252373</v>
      </c>
      <c r="Z4" s="5">
        <v>6882.3411379552999</v>
      </c>
      <c r="AA4" s="35"/>
    </row>
    <row r="5" spans="2:27" x14ac:dyDescent="0.2">
      <c r="B5" s="4">
        <v>2</v>
      </c>
      <c r="C5" s="4">
        <v>67</v>
      </c>
      <c r="D5" s="23">
        <v>2536330.7692103558</v>
      </c>
      <c r="E5" s="33">
        <v>350.32281547058921</v>
      </c>
      <c r="F5" s="5">
        <v>9</v>
      </c>
      <c r="G5" s="23">
        <v>64.5</v>
      </c>
      <c r="H5" s="33">
        <v>1384.2879351509289</v>
      </c>
      <c r="I5" s="23">
        <v>49.78917504875308</v>
      </c>
      <c r="J5" s="5">
        <v>6884.2796028691164</v>
      </c>
      <c r="K5" s="31"/>
      <c r="L5" s="23">
        <v>2964888.362442689</v>
      </c>
      <c r="M5" s="33">
        <v>858.02821776466703</v>
      </c>
      <c r="N5" s="5">
        <v>10</v>
      </c>
      <c r="O5" s="5">
        <v>45</v>
      </c>
      <c r="P5" s="33">
        <v>969.48968757106206</v>
      </c>
      <c r="Q5" s="5">
        <v>28.744569207294592</v>
      </c>
      <c r="R5" s="5">
        <v>6041.0553692686681</v>
      </c>
      <c r="S5" s="35"/>
      <c r="T5" s="23">
        <v>3163935.0267375181</v>
      </c>
      <c r="U5" s="33">
        <v>376.94342458826105</v>
      </c>
      <c r="V5" s="5">
        <v>7</v>
      </c>
      <c r="W5" s="5">
        <v>39.5</v>
      </c>
      <c r="X5" s="33">
        <v>1583.8442187856972</v>
      </c>
      <c r="Y5" s="5">
        <v>50.255800710917853</v>
      </c>
      <c r="Z5" s="5">
        <v>7368.707128558025</v>
      </c>
      <c r="AA5" s="35"/>
    </row>
    <row r="6" spans="2:27" x14ac:dyDescent="0.2">
      <c r="B6" s="4">
        <v>3</v>
      </c>
      <c r="C6" s="4">
        <v>215</v>
      </c>
      <c r="D6" s="23">
        <v>2686670.936801726</v>
      </c>
      <c r="E6" s="33">
        <v>970.43913588236001</v>
      </c>
      <c r="F6" s="5">
        <v>9</v>
      </c>
      <c r="G6" s="23">
        <v>59.5</v>
      </c>
      <c r="H6" s="33">
        <v>1356.5720360744983</v>
      </c>
      <c r="I6" s="23">
        <v>44.618467622256659</v>
      </c>
      <c r="J6" s="5">
        <v>7030.0123810153464</v>
      </c>
      <c r="K6" s="31"/>
      <c r="L6" s="23">
        <v>2963410.3741547102</v>
      </c>
      <c r="M6" s="33">
        <v>610.06000464706767</v>
      </c>
      <c r="N6" s="5">
        <v>12</v>
      </c>
      <c r="O6" s="5">
        <v>46.5</v>
      </c>
      <c r="P6" s="33">
        <v>979.01935929305944</v>
      </c>
      <c r="Q6" s="5">
        <v>24.68928640943037</v>
      </c>
      <c r="R6" s="5">
        <v>6033.4308066071117</v>
      </c>
      <c r="S6" s="35"/>
      <c r="T6" s="23">
        <v>3015516.1334523619</v>
      </c>
      <c r="U6" s="33">
        <v>419.49284270590664</v>
      </c>
      <c r="V6" s="5">
        <v>8</v>
      </c>
      <c r="W6" s="5">
        <v>45</v>
      </c>
      <c r="X6" s="33">
        <v>1448.1473640125678</v>
      </c>
      <c r="Y6" s="5">
        <v>53.890769201860451</v>
      </c>
      <c r="Z6" s="5">
        <v>7037.1640864499805</v>
      </c>
      <c r="AA6" s="35"/>
    </row>
    <row r="7" spans="2:27" x14ac:dyDescent="0.2">
      <c r="B7" s="4">
        <v>4</v>
      </c>
      <c r="C7" s="4">
        <v>96</v>
      </c>
      <c r="D7" s="23">
        <v>2540710.724197065</v>
      </c>
      <c r="E7" s="33">
        <v>257.24839335293785</v>
      </c>
      <c r="F7" s="5">
        <v>9</v>
      </c>
      <c r="G7" s="23">
        <v>65.5</v>
      </c>
      <c r="H7" s="33">
        <v>1461.1201607845651</v>
      </c>
      <c r="I7" s="23">
        <v>51.442521909632042</v>
      </c>
      <c r="J7" s="5">
        <v>7033.2681016349225</v>
      </c>
      <c r="K7" s="31"/>
      <c r="L7" s="23">
        <v>2894846.791947437</v>
      </c>
      <c r="M7" s="33">
        <v>707.35127652940537</v>
      </c>
      <c r="N7" s="5">
        <v>11</v>
      </c>
      <c r="O7" s="5">
        <v>48</v>
      </c>
      <c r="P7" s="33">
        <v>956.50810334411506</v>
      </c>
      <c r="Q7" s="5">
        <v>28.745353493201183</v>
      </c>
      <c r="R7" s="5">
        <v>6026.8417587804661</v>
      </c>
      <c r="S7" s="35"/>
      <c r="T7" s="23">
        <v>2991684.7096867119</v>
      </c>
      <c r="U7" s="33">
        <v>476.75598505884409</v>
      </c>
      <c r="V7" s="5">
        <v>8</v>
      </c>
      <c r="W7" s="5">
        <v>46</v>
      </c>
      <c r="X7" s="33">
        <v>1477.6479135268924</v>
      </c>
      <c r="Y7" s="5">
        <v>57.54141480912098</v>
      </c>
      <c r="Z7" s="5">
        <v>7087.0562032021899</v>
      </c>
      <c r="AA7" s="35"/>
    </row>
    <row r="8" spans="2:27" x14ac:dyDescent="0.2">
      <c r="B8" s="4">
        <v>5</v>
      </c>
      <c r="C8" s="4">
        <v>693</v>
      </c>
      <c r="D8" s="23">
        <v>2525067.4567057169</v>
      </c>
      <c r="E8" s="33">
        <v>450.50063247059694</v>
      </c>
      <c r="F8" s="5">
        <v>10</v>
      </c>
      <c r="G8" s="23">
        <v>67</v>
      </c>
      <c r="H8" s="33">
        <v>1467.14640537885</v>
      </c>
      <c r="I8" s="23">
        <v>46.75263697664338</v>
      </c>
      <c r="J8" s="5">
        <v>7025.3543537453697</v>
      </c>
      <c r="K8" s="31"/>
      <c r="L8" s="23">
        <v>3029374.578694338</v>
      </c>
      <c r="M8" s="33">
        <v>1300.6994013529384</v>
      </c>
      <c r="N8" s="5">
        <v>10</v>
      </c>
      <c r="O8" s="5">
        <v>44.5</v>
      </c>
      <c r="P8" s="33">
        <v>1164.7834785252046</v>
      </c>
      <c r="Q8" s="5">
        <v>28.910043917193217</v>
      </c>
      <c r="R8" s="5">
        <v>6558.9510218889227</v>
      </c>
      <c r="S8" s="35"/>
      <c r="T8" s="23">
        <v>3007098.9063114398</v>
      </c>
      <c r="U8" s="33">
        <v>230.13655688230165</v>
      </c>
      <c r="V8" s="5">
        <v>8</v>
      </c>
      <c r="W8" s="5">
        <v>44.5</v>
      </c>
      <c r="X8" s="33">
        <v>1262.8054611447715</v>
      </c>
      <c r="Y8" s="5">
        <v>51.892386448279545</v>
      </c>
      <c r="Z8" s="5">
        <v>6834.3740264731487</v>
      </c>
      <c r="AA8" s="35"/>
    </row>
    <row r="9" spans="2:27" x14ac:dyDescent="0.2">
      <c r="B9" s="4">
        <v>6</v>
      </c>
      <c r="C9" s="4">
        <v>714</v>
      </c>
      <c r="D9" s="23">
        <v>2523661.6622813968</v>
      </c>
      <c r="E9" s="33">
        <v>809.07374147058715</v>
      </c>
      <c r="F9" s="5">
        <v>10</v>
      </c>
      <c r="G9" s="23">
        <v>66.5</v>
      </c>
      <c r="H9" s="33">
        <v>1430.829142202389</v>
      </c>
      <c r="I9" s="23">
        <v>46.394334117652235</v>
      </c>
      <c r="J9" s="5">
        <v>6991.1606090636096</v>
      </c>
      <c r="K9" s="31"/>
      <c r="L9" s="23">
        <v>3056367.9971743822</v>
      </c>
      <c r="M9" s="33">
        <v>570.72895988233063</v>
      </c>
      <c r="N9" s="5">
        <v>8</v>
      </c>
      <c r="O9" s="5">
        <v>41.5</v>
      </c>
      <c r="P9" s="33">
        <v>1047.0907964142707</v>
      </c>
      <c r="Q9" s="5">
        <v>31.349388255576255</v>
      </c>
      <c r="R9" s="5">
        <v>6389.2556340121173</v>
      </c>
      <c r="S9" s="35"/>
      <c r="T9" s="23">
        <v>2963592.0472512268</v>
      </c>
      <c r="U9" s="33">
        <v>515.65814423532333</v>
      </c>
      <c r="V9" s="5">
        <v>9</v>
      </c>
      <c r="W9" s="5">
        <v>48</v>
      </c>
      <c r="X9" s="33">
        <v>1519.0148851492606</v>
      </c>
      <c r="Y9" s="5">
        <v>52.839563190786322</v>
      </c>
      <c r="Z9" s="5">
        <v>7114.3676654059955</v>
      </c>
      <c r="AA9" s="35"/>
    </row>
    <row r="10" spans="2:27" x14ac:dyDescent="0.2">
      <c r="B10" s="4">
        <v>7</v>
      </c>
      <c r="C10" s="4">
        <v>672</v>
      </c>
      <c r="D10" s="23">
        <v>2535999.6455330048</v>
      </c>
      <c r="E10" s="33">
        <v>288.06605282356031</v>
      </c>
      <c r="F10" s="5">
        <v>9</v>
      </c>
      <c r="G10" s="23">
        <v>63.5</v>
      </c>
      <c r="H10" s="33">
        <v>1264.0997860200637</v>
      </c>
      <c r="I10" s="23">
        <v>49.109594398507241</v>
      </c>
      <c r="J10" s="5">
        <v>6786.9996895592431</v>
      </c>
      <c r="K10" s="31"/>
      <c r="L10" s="23">
        <v>3043694.3806348108</v>
      </c>
      <c r="M10" s="33">
        <v>1170.9261510000042</v>
      </c>
      <c r="N10" s="5">
        <v>9</v>
      </c>
      <c r="O10" s="5">
        <v>42.5</v>
      </c>
      <c r="P10" s="33">
        <v>1012.854219651566</v>
      </c>
      <c r="Q10" s="5">
        <v>30.358067560781983</v>
      </c>
      <c r="R10" s="5">
        <v>6328.2006300516423</v>
      </c>
      <c r="S10" s="35"/>
      <c r="T10" s="23">
        <v>2967255.8507799841</v>
      </c>
      <c r="U10" s="33">
        <v>242.18817529412371</v>
      </c>
      <c r="V10" s="5">
        <v>9</v>
      </c>
      <c r="W10" s="5">
        <v>47.5</v>
      </c>
      <c r="X10" s="33">
        <v>1531.1380766325735</v>
      </c>
      <c r="Y10" s="5">
        <v>53.481871497412293</v>
      </c>
      <c r="Z10" s="5">
        <v>7053.2776636718372</v>
      </c>
      <c r="AA10" s="35"/>
    </row>
    <row r="11" spans="2:27" x14ac:dyDescent="0.2">
      <c r="B11" s="4">
        <v>8</v>
      </c>
      <c r="C11" s="4">
        <v>376</v>
      </c>
      <c r="D11" s="23">
        <v>2527915.667921443</v>
      </c>
      <c r="E11" s="33">
        <v>336.55027770587958</v>
      </c>
      <c r="F11" s="5">
        <v>10</v>
      </c>
      <c r="G11" s="23">
        <v>65.5</v>
      </c>
      <c r="H11" s="33">
        <v>1358.3387823553278</v>
      </c>
      <c r="I11" s="23">
        <v>45.565936291334722</v>
      </c>
      <c r="J11" s="5">
        <v>6880.2615141997021</v>
      </c>
      <c r="K11" s="31"/>
      <c r="L11" s="23">
        <v>3085797.1575834318</v>
      </c>
      <c r="M11" s="33">
        <v>450.89799758827536</v>
      </c>
      <c r="N11" s="5">
        <v>9</v>
      </c>
      <c r="O11" s="5">
        <v>42</v>
      </c>
      <c r="P11" s="33">
        <v>1221.9727460732122</v>
      </c>
      <c r="Q11" s="5">
        <v>29.497842197532844</v>
      </c>
      <c r="R11" s="5">
        <v>6516.6812603759699</v>
      </c>
      <c r="S11" s="35"/>
      <c r="T11" s="23">
        <v>3010029.587757885</v>
      </c>
      <c r="U11" s="33">
        <v>212.18301464700801</v>
      </c>
      <c r="V11" s="5">
        <v>7</v>
      </c>
      <c r="W11" s="5">
        <v>43.5</v>
      </c>
      <c r="X11" s="33">
        <v>1284.8514353553489</v>
      </c>
      <c r="Y11" s="5">
        <v>61.576805819795062</v>
      </c>
      <c r="Z11" s="5">
        <v>6881.6915862739124</v>
      </c>
      <c r="AA11" s="35"/>
    </row>
    <row r="12" spans="2:27" x14ac:dyDescent="0.2">
      <c r="B12" s="4">
        <v>9</v>
      </c>
      <c r="C12" s="4">
        <v>901</v>
      </c>
      <c r="D12" s="23">
        <v>2527184.8208883218</v>
      </c>
      <c r="E12" s="33">
        <v>412.17387441175936</v>
      </c>
      <c r="F12" s="5">
        <v>10</v>
      </c>
      <c r="G12" s="23">
        <v>66</v>
      </c>
      <c r="H12" s="33">
        <v>1366.2355327307084</v>
      </c>
      <c r="I12" s="23">
        <v>45.687170624255607</v>
      </c>
      <c r="J12" s="5">
        <v>6947.3660165975998</v>
      </c>
      <c r="K12" s="31"/>
      <c r="L12" s="23">
        <v>3011370.176552631</v>
      </c>
      <c r="M12" s="33">
        <v>784.06886264709237</v>
      </c>
      <c r="N12" s="5">
        <v>8</v>
      </c>
      <c r="O12" s="5">
        <v>40.5</v>
      </c>
      <c r="P12" s="33">
        <v>772.94608587374194</v>
      </c>
      <c r="Q12" s="5">
        <v>33.107297240086261</v>
      </c>
      <c r="R12" s="5">
        <v>5735.5169560370596</v>
      </c>
      <c r="S12" s="35"/>
      <c r="T12" s="23">
        <v>3155283.126086758</v>
      </c>
      <c r="U12" s="33">
        <v>534.93255323531821</v>
      </c>
      <c r="V12" s="5">
        <v>7</v>
      </c>
      <c r="W12" s="5">
        <v>39.5</v>
      </c>
      <c r="X12" s="33">
        <v>1567.2043059909229</v>
      </c>
      <c r="Y12" s="5">
        <v>56.782261974471332</v>
      </c>
      <c r="Z12" s="5">
        <v>7260.367062185418</v>
      </c>
      <c r="AA12" s="35"/>
    </row>
    <row r="13" spans="2:27" x14ac:dyDescent="0.2">
      <c r="B13" s="4">
        <v>10</v>
      </c>
      <c r="C13" s="4">
        <v>138</v>
      </c>
      <c r="D13" s="23">
        <v>2540430.3009436969</v>
      </c>
      <c r="E13" s="33">
        <v>217.22913847058354</v>
      </c>
      <c r="F13" s="5">
        <v>9</v>
      </c>
      <c r="G13" s="23">
        <v>66</v>
      </c>
      <c r="H13" s="33">
        <v>1524.1822302934629</v>
      </c>
      <c r="I13" s="23">
        <v>51.986090096454681</v>
      </c>
      <c r="J13" s="5">
        <v>7078.5514113933496</v>
      </c>
      <c r="K13" s="31"/>
      <c r="L13" s="23">
        <v>2995236.7492660652</v>
      </c>
      <c r="M13" s="33">
        <v>421.54601370587068</v>
      </c>
      <c r="N13" s="5">
        <v>10</v>
      </c>
      <c r="O13" s="5">
        <v>44</v>
      </c>
      <c r="P13" s="33">
        <v>1067.0429723589991</v>
      </c>
      <c r="Q13" s="5">
        <v>26.992370031686399</v>
      </c>
      <c r="R13" s="5">
        <v>5975.3503511047602</v>
      </c>
      <c r="S13" s="35"/>
      <c r="T13" s="23">
        <v>2960868.932044927</v>
      </c>
      <c r="U13" s="33">
        <v>583.1322916470441</v>
      </c>
      <c r="V13" s="5">
        <v>9</v>
      </c>
      <c r="W13" s="5">
        <v>48</v>
      </c>
      <c r="X13" s="33">
        <v>1496.1531869279779</v>
      </c>
      <c r="Y13" s="5">
        <v>52.133652776381098</v>
      </c>
      <c r="Z13" s="5">
        <v>7048.4533913140185</v>
      </c>
      <c r="AA13" s="35"/>
    </row>
    <row r="14" spans="2:27" x14ac:dyDescent="0.2">
      <c r="B14" s="47" t="s">
        <v>3</v>
      </c>
      <c r="C14" s="48"/>
      <c r="D14" s="9">
        <f>MIN(D4:D13)</f>
        <v>2523661.6622813968</v>
      </c>
      <c r="E14" s="22">
        <f>INDEX(E4:E13, MATCH($D$14, D4:D13, 0))</f>
        <v>809.07374147058715</v>
      </c>
      <c r="F14" s="9">
        <f>INDEX(F4:F13, MATCH($D$14, D4:D13, 0))</f>
        <v>10</v>
      </c>
      <c r="G14" s="9">
        <f>INDEX(G4:G13, MATCH($D$14, D4:D13, 0))</f>
        <v>66.5</v>
      </c>
      <c r="H14" s="22">
        <f>INDEX(H4:H13, MATCH($D$14, D4:D13, 0))</f>
        <v>1430.829142202389</v>
      </c>
      <c r="I14" s="22">
        <f>INDEX(I4:I13, MATCH($D$14, D4:D13, 0))</f>
        <v>46.394334117652235</v>
      </c>
      <c r="J14" s="22">
        <f>INDEX(J4:J13, MATCH($D$14, D4:D13, 0))</f>
        <v>6991.1606090636096</v>
      </c>
      <c r="K14" s="32" t="e">
        <f>(D14-$D$15)/$D$15</f>
        <v>#DIV/0!</v>
      </c>
      <c r="L14" s="16">
        <f>MIN(L4:L13)</f>
        <v>2894846.791947437</v>
      </c>
      <c r="M14" s="21">
        <f>INDEX(M4:M13, MATCH($L$14, L4:L13, 0))</f>
        <v>707.35127652940537</v>
      </c>
      <c r="N14" s="16">
        <f>INDEX(N4:N13, MATCH($L$14, L4:L13, 0))</f>
        <v>11</v>
      </c>
      <c r="O14" s="16">
        <f>INDEX(O4:O13, MATCH($L$14, L4:L13, 0))</f>
        <v>48</v>
      </c>
      <c r="P14" s="21">
        <f>INDEX(P4:P13, MATCH($L$14, L4:L13, 0))</f>
        <v>956.50810334411506</v>
      </c>
      <c r="Q14" s="21">
        <f>INDEX(Q4:Q13, MATCH($L$14, L4:L13, 0))</f>
        <v>28.745353493201183</v>
      </c>
      <c r="R14" s="21">
        <f>INDEX(R4:R13, MATCH($L$14, L4:L13, 0))</f>
        <v>6026.8417587804661</v>
      </c>
      <c r="S14" s="36" t="e">
        <f>(L14-$D$15)/$D$15</f>
        <v>#DIV/0!</v>
      </c>
      <c r="T14" s="38">
        <f>MIN(T4:T13)</f>
        <v>2960868.932044927</v>
      </c>
      <c r="U14" s="39">
        <f>INDEX(U4:U13, MATCH($T$14, T4:T13, 0))</f>
        <v>583.1322916470441</v>
      </c>
      <c r="V14" s="38">
        <f>INDEX(V4:V13, MATCH($T$14, T4:T13, 0))</f>
        <v>9</v>
      </c>
      <c r="W14" s="38">
        <f>INDEX(W4:W13, MATCH($T$14, T4:T13, 0))</f>
        <v>48</v>
      </c>
      <c r="X14" s="39">
        <f>INDEX(X4:X13, MATCH($T$14, T4:T13, 0))</f>
        <v>1496.1531869279779</v>
      </c>
      <c r="Y14" s="39">
        <f>INDEX(Y4:Y13, MATCH($T$14, T4:T13, 0))</f>
        <v>52.133652776381098</v>
      </c>
      <c r="Z14" s="39">
        <f>INDEX(Z4:Z13, MATCH($T$14, T4:T13, 0))</f>
        <v>7048.4533913140185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0.14708197030282097</v>
      </c>
      <c r="M15" s="41">
        <f t="shared" ref="M15:R15" si="0">(M14-E14)/E14</f>
        <v>-0.12572706259912622</v>
      </c>
      <c r="N15" s="41">
        <f t="shared" si="0"/>
        <v>0.1</v>
      </c>
      <c r="O15" s="41">
        <f t="shared" si="0"/>
        <v>-0.2781954887218045</v>
      </c>
      <c r="P15" s="41">
        <f t="shared" si="0"/>
        <v>-0.33150082345134524</v>
      </c>
      <c r="Q15" s="41">
        <f t="shared" si="0"/>
        <v>-0.38041241371618101</v>
      </c>
      <c r="R15" s="41">
        <f t="shared" si="0"/>
        <v>-0.13793401470894023</v>
      </c>
      <c r="T15" s="41">
        <f>(T14-D14)/D14</f>
        <v>0.17324321889024288</v>
      </c>
      <c r="U15" s="41">
        <f t="shared" ref="U15:Y15" si="1">(U14-E14)/E14</f>
        <v>-0.27925940274970212</v>
      </c>
      <c r="V15" s="41">
        <f t="shared" si="1"/>
        <v>-0.1</v>
      </c>
      <c r="W15" s="41">
        <f t="shared" si="1"/>
        <v>-0.2781954887218045</v>
      </c>
      <c r="X15" s="41">
        <f t="shared" si="1"/>
        <v>4.5654678674659617E-2</v>
      </c>
      <c r="Y15" s="41">
        <f t="shared" si="1"/>
        <v>0.12370731831551715</v>
      </c>
      <c r="Z15" s="41">
        <f>(Z14-J14)/J14</f>
        <v>8.1950316198046314E-3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73" priority="7"/>
    <cfRule type="duplicateValues" dxfId="72" priority="8"/>
  </conditionalFormatting>
  <conditionalFormatting sqref="C14">
    <cfRule type="duplicateValues" dxfId="71" priority="5"/>
    <cfRule type="duplicateValues" dxfId="70" priority="6"/>
  </conditionalFormatting>
  <conditionalFormatting sqref="C15">
    <cfRule type="duplicateValues" dxfId="69" priority="3"/>
    <cfRule type="duplicateValues" dxfId="68" priority="4"/>
  </conditionalFormatting>
  <conditionalFormatting sqref="C20:C34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1F69-81D9-46B7-A6EE-53536E12242F}">
  <dimension ref="B1:AA17"/>
  <sheetViews>
    <sheetView zoomScale="90" zoomScaleNormal="9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-0.98806230634275816</v>
      </c>
      <c r="J2" s="28" t="e">
        <f>(S14-J14)/J14</f>
        <v>#DIV/0!</v>
      </c>
      <c r="K2" s="28"/>
      <c r="L2" s="1" t="s">
        <v>19</v>
      </c>
      <c r="P2" s="1">
        <f>(P14-H14)/H14</f>
        <v>-0.1456426697911648</v>
      </c>
      <c r="R2" s="1">
        <f>(R14-J14)/J14</f>
        <v>-7.7456907176219184E-2</v>
      </c>
      <c r="T2" s="1" t="s">
        <v>20</v>
      </c>
      <c r="X2" s="1">
        <f>(X14-P14)/P14</f>
        <v>0.1118708076111334</v>
      </c>
      <c r="Z2" s="1">
        <f>(Z14-R14)/R14</f>
        <v>8.2116745567726718E-2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646</v>
      </c>
      <c r="D4" s="23">
        <v>2740076.8768148548</v>
      </c>
      <c r="E4" s="33">
        <v>411.10899823532878</v>
      </c>
      <c r="F4" s="5">
        <v>9</v>
      </c>
      <c r="G4" s="23">
        <v>58.5</v>
      </c>
      <c r="H4" s="33">
        <v>1611.4992486577028</v>
      </c>
      <c r="I4" s="23">
        <v>36.473271230808386</v>
      </c>
      <c r="J4" s="5">
        <v>7199.1654722423418</v>
      </c>
      <c r="K4" s="31"/>
      <c r="L4" s="23">
        <v>2985626.298187105</v>
      </c>
      <c r="M4" s="33">
        <v>578.82536794113764</v>
      </c>
      <c r="N4" s="5">
        <v>14</v>
      </c>
      <c r="O4" s="5">
        <v>49.5</v>
      </c>
      <c r="P4" s="33">
        <v>1463.8342258576567</v>
      </c>
      <c r="Q4" s="5">
        <v>19.390823006988306</v>
      </c>
      <c r="R4" s="5">
        <v>6469.1544578618432</v>
      </c>
      <c r="S4" s="35"/>
      <c r="T4" s="23">
        <v>3135729.255183836</v>
      </c>
      <c r="U4" s="33">
        <v>334.79533952934776</v>
      </c>
      <c r="V4" s="5">
        <v>9</v>
      </c>
      <c r="W4" s="5">
        <v>42</v>
      </c>
      <c r="X4" s="33">
        <v>1665.408996437362</v>
      </c>
      <c r="Y4" s="5">
        <v>37.715749847221929</v>
      </c>
      <c r="Z4" s="5">
        <v>7191.0374263291806</v>
      </c>
      <c r="AA4" s="35"/>
    </row>
    <row r="5" spans="2:27" x14ac:dyDescent="0.2">
      <c r="B5" s="4">
        <v>2</v>
      </c>
      <c r="C5" s="4">
        <v>713</v>
      </c>
      <c r="D5" s="23">
        <v>2776589.0367895169</v>
      </c>
      <c r="E5" s="33">
        <v>226.81523823528553</v>
      </c>
      <c r="F5" s="5">
        <v>9</v>
      </c>
      <c r="G5" s="23">
        <v>57.5</v>
      </c>
      <c r="H5" s="33">
        <v>1591.9191775277047</v>
      </c>
      <c r="I5" s="23">
        <v>34.300580112172945</v>
      </c>
      <c r="J5" s="5">
        <v>7198.0857448367778</v>
      </c>
      <c r="K5" s="31"/>
      <c r="L5" s="23">
        <v>3005266.1573536042</v>
      </c>
      <c r="M5" s="33">
        <v>523.26317635296357</v>
      </c>
      <c r="N5" s="5">
        <v>11</v>
      </c>
      <c r="O5" s="5">
        <v>45.5</v>
      </c>
      <c r="P5" s="33">
        <v>1133.3944224920683</v>
      </c>
      <c r="Q5" s="5">
        <v>22.479984171568791</v>
      </c>
      <c r="R5" s="5">
        <v>6417.1704573217203</v>
      </c>
      <c r="S5" s="35"/>
      <c r="T5" s="23">
        <v>3134861.9821427171</v>
      </c>
      <c r="U5" s="33">
        <v>345.49682494122811</v>
      </c>
      <c r="V5" s="5">
        <v>8</v>
      </c>
      <c r="W5" s="5">
        <v>40.5</v>
      </c>
      <c r="X5" s="33">
        <v>1516.1908719901016</v>
      </c>
      <c r="Y5" s="5">
        <v>40.484063814829661</v>
      </c>
      <c r="Z5" s="5">
        <v>7022.5781849150744</v>
      </c>
      <c r="AA5" s="35"/>
    </row>
    <row r="6" spans="2:27" x14ac:dyDescent="0.2">
      <c r="B6" s="4">
        <v>3</v>
      </c>
      <c r="C6" s="4">
        <v>146</v>
      </c>
      <c r="D6" s="23">
        <v>2742034.1726025618</v>
      </c>
      <c r="E6" s="33">
        <v>160.75658105882158</v>
      </c>
      <c r="F6" s="5">
        <v>9</v>
      </c>
      <c r="G6" s="23">
        <v>59.5</v>
      </c>
      <c r="H6" s="33">
        <v>1728.8747212849923</v>
      </c>
      <c r="I6" s="23">
        <v>37.260530176166178</v>
      </c>
      <c r="J6" s="5">
        <v>7331.0105377360942</v>
      </c>
      <c r="K6" s="31"/>
      <c r="L6" s="23">
        <v>3016222.9663859992</v>
      </c>
      <c r="M6" s="33">
        <v>286.50648441172535</v>
      </c>
      <c r="N6" s="5">
        <v>10</v>
      </c>
      <c r="O6" s="5">
        <v>42.5</v>
      </c>
      <c r="P6" s="33">
        <v>863.37145808731827</v>
      </c>
      <c r="Q6" s="5">
        <v>21.664893480560391</v>
      </c>
      <c r="R6" s="5">
        <v>5965.0195285944101</v>
      </c>
      <c r="S6" s="35"/>
      <c r="T6" s="23">
        <v>3128449.7399239801</v>
      </c>
      <c r="U6" s="33">
        <v>482.14934352942851</v>
      </c>
      <c r="V6" s="5">
        <v>9</v>
      </c>
      <c r="W6" s="5">
        <v>41.5</v>
      </c>
      <c r="X6" s="33">
        <v>1498.6550905691647</v>
      </c>
      <c r="Y6" s="5">
        <v>36.285432428156035</v>
      </c>
      <c r="Z6" s="5">
        <v>7052.757842351718</v>
      </c>
      <c r="AA6" s="35"/>
    </row>
    <row r="7" spans="2:27" x14ac:dyDescent="0.2">
      <c r="B7" s="4">
        <v>4</v>
      </c>
      <c r="C7" s="4">
        <v>896</v>
      </c>
      <c r="D7" s="23">
        <v>2729665.1820683479</v>
      </c>
      <c r="E7" s="33">
        <v>384.45341294117765</v>
      </c>
      <c r="F7" s="5">
        <v>9</v>
      </c>
      <c r="G7" s="23">
        <v>58.5</v>
      </c>
      <c r="H7" s="33">
        <v>1577.6396600184291</v>
      </c>
      <c r="I7" s="23">
        <v>37.319391266998892</v>
      </c>
      <c r="J7" s="5">
        <v>7064.772694611499</v>
      </c>
      <c r="K7" s="31"/>
      <c r="L7" s="23">
        <v>2955529.721775969</v>
      </c>
      <c r="M7" s="33">
        <v>413.06833199999187</v>
      </c>
      <c r="N7" s="5">
        <v>15</v>
      </c>
      <c r="O7" s="5">
        <v>51</v>
      </c>
      <c r="P7" s="33">
        <v>1366.8072923508207</v>
      </c>
      <c r="Q7" s="5">
        <v>18.173432487542993</v>
      </c>
      <c r="R7" s="5">
        <v>6455.3393503904972</v>
      </c>
      <c r="S7" s="35"/>
      <c r="T7" s="23">
        <v>3161203.9278215799</v>
      </c>
      <c r="U7" s="33">
        <v>517.66908582354733</v>
      </c>
      <c r="V7" s="5">
        <v>8</v>
      </c>
      <c r="W7" s="5">
        <v>39.5</v>
      </c>
      <c r="X7" s="33">
        <v>1372.2142045112143</v>
      </c>
      <c r="Y7" s="5">
        <v>35.987539134037121</v>
      </c>
      <c r="Z7" s="5">
        <v>6955.8744119864441</v>
      </c>
      <c r="AA7" s="35"/>
    </row>
    <row r="8" spans="2:27" x14ac:dyDescent="0.2">
      <c r="B8" s="4">
        <v>5</v>
      </c>
      <c r="C8" s="4">
        <v>348</v>
      </c>
      <c r="D8" s="23">
        <v>2730967.6144363121</v>
      </c>
      <c r="E8" s="33">
        <v>451.69135758824484</v>
      </c>
      <c r="F8" s="5">
        <v>10</v>
      </c>
      <c r="G8" s="23">
        <v>61</v>
      </c>
      <c r="H8" s="33">
        <v>1716.6694470992752</v>
      </c>
      <c r="I8" s="23">
        <v>34.460565992972114</v>
      </c>
      <c r="J8" s="5">
        <v>7290.158185178132</v>
      </c>
      <c r="K8" s="31"/>
      <c r="L8" s="23">
        <v>2998006.2087930422</v>
      </c>
      <c r="M8" s="33">
        <v>636.62793817649174</v>
      </c>
      <c r="N8" s="5">
        <v>10</v>
      </c>
      <c r="O8" s="5">
        <v>44</v>
      </c>
      <c r="P8" s="33">
        <v>1075.0915520848325</v>
      </c>
      <c r="Q8" s="5">
        <v>21.806369937721939</v>
      </c>
      <c r="R8" s="5">
        <v>6146.4891668318369</v>
      </c>
      <c r="S8" s="35"/>
      <c r="T8" s="23">
        <v>3194046.449374225</v>
      </c>
      <c r="U8" s="33">
        <v>236.57655858825072</v>
      </c>
      <c r="V8" s="5">
        <v>8</v>
      </c>
      <c r="W8" s="5">
        <v>38.5</v>
      </c>
      <c r="X8" s="33">
        <v>1445.2932755157203</v>
      </c>
      <c r="Y8" s="5">
        <v>39.565231687696397</v>
      </c>
      <c r="Z8" s="5">
        <v>7198.8273976755709</v>
      </c>
      <c r="AA8" s="35"/>
    </row>
    <row r="9" spans="2:27" x14ac:dyDescent="0.2">
      <c r="B9" s="4">
        <v>6</v>
      </c>
      <c r="C9" s="4">
        <v>148</v>
      </c>
      <c r="D9" s="23">
        <v>2741473.609735508</v>
      </c>
      <c r="E9" s="33">
        <v>148.82773558821475</v>
      </c>
      <c r="F9" s="5">
        <v>9</v>
      </c>
      <c r="G9" s="23">
        <v>59.5</v>
      </c>
      <c r="H9" s="33">
        <v>1655.2323610421943</v>
      </c>
      <c r="I9" s="23">
        <v>36.279476468582537</v>
      </c>
      <c r="J9" s="5">
        <v>7249.0777947993429</v>
      </c>
      <c r="K9" s="31"/>
      <c r="L9" s="23">
        <v>2993688.1290986491</v>
      </c>
      <c r="M9" s="33">
        <v>668.98376082350944</v>
      </c>
      <c r="N9" s="5">
        <v>13</v>
      </c>
      <c r="O9" s="5">
        <v>48</v>
      </c>
      <c r="P9" s="33">
        <v>1292.2750572263981</v>
      </c>
      <c r="Q9" s="5">
        <v>19.820295172368795</v>
      </c>
      <c r="R9" s="5">
        <v>6546.3182004568052</v>
      </c>
      <c r="S9" s="35"/>
      <c r="T9" s="23">
        <v>3133212.4351915051</v>
      </c>
      <c r="U9" s="33">
        <v>251.44600517650628</v>
      </c>
      <c r="V9" s="5">
        <v>8</v>
      </c>
      <c r="W9" s="5">
        <v>40.5</v>
      </c>
      <c r="X9" s="33">
        <v>1451.9635201760921</v>
      </c>
      <c r="Y9" s="5">
        <v>38.97376818981747</v>
      </c>
      <c r="Z9" s="5">
        <v>6994.950699567049</v>
      </c>
      <c r="AA9" s="35"/>
    </row>
    <row r="10" spans="2:27" x14ac:dyDescent="0.2">
      <c r="B10" s="4">
        <v>7</v>
      </c>
      <c r="C10" s="4">
        <v>926</v>
      </c>
      <c r="D10" s="23">
        <v>2738168.4825184038</v>
      </c>
      <c r="E10" s="33">
        <v>248.27801647061918</v>
      </c>
      <c r="F10" s="5">
        <v>10</v>
      </c>
      <c r="G10" s="23">
        <v>60</v>
      </c>
      <c r="H10" s="33">
        <v>1702.8327785101901</v>
      </c>
      <c r="I10" s="23">
        <v>34.444896610048602</v>
      </c>
      <c r="J10" s="5">
        <v>7239.2805275512992</v>
      </c>
      <c r="K10" s="31"/>
      <c r="L10" s="23">
        <v>2969204.434749512</v>
      </c>
      <c r="M10" s="33">
        <v>1001.7771850588647</v>
      </c>
      <c r="N10" s="5">
        <v>12</v>
      </c>
      <c r="O10" s="5">
        <v>47.5</v>
      </c>
      <c r="P10" s="33">
        <v>1172.4677070189846</v>
      </c>
      <c r="Q10" s="5">
        <v>21.02842657050876</v>
      </c>
      <c r="R10" s="5">
        <v>6392.325821983748</v>
      </c>
      <c r="S10" s="35"/>
      <c r="T10" s="23">
        <v>3136007.1027044579</v>
      </c>
      <c r="U10" s="33">
        <v>447.54190205884004</v>
      </c>
      <c r="V10" s="5">
        <v>9</v>
      </c>
      <c r="W10" s="5">
        <v>42</v>
      </c>
      <c r="X10" s="33">
        <v>1633.6720295434234</v>
      </c>
      <c r="Y10" s="5">
        <v>37.015356845748961</v>
      </c>
      <c r="Z10" s="5">
        <v>7234.1395052062526</v>
      </c>
      <c r="AA10" s="35"/>
    </row>
    <row r="11" spans="2:27" x14ac:dyDescent="0.2">
      <c r="B11" s="4">
        <v>8</v>
      </c>
      <c r="C11" s="4">
        <v>812</v>
      </c>
      <c r="D11" s="23">
        <v>2817338.4966399111</v>
      </c>
      <c r="E11" s="33">
        <v>162.64269782353526</v>
      </c>
      <c r="F11" s="5">
        <v>8</v>
      </c>
      <c r="G11" s="23">
        <v>54.5</v>
      </c>
      <c r="H11" s="33">
        <v>1627.9513995260552</v>
      </c>
      <c r="I11" s="23">
        <v>37.067709881058335</v>
      </c>
      <c r="J11" s="5">
        <v>7238.0299737499899</v>
      </c>
      <c r="K11" s="31"/>
      <c r="L11" s="23">
        <v>2964669.358097754</v>
      </c>
      <c r="M11" s="33">
        <v>523.7104308822959</v>
      </c>
      <c r="N11" s="5">
        <v>12</v>
      </c>
      <c r="O11" s="5">
        <v>48.5</v>
      </c>
      <c r="P11" s="33">
        <v>1303.2321804421497</v>
      </c>
      <c r="Q11" s="5">
        <v>21.90062575560205</v>
      </c>
      <c r="R11" s="5">
        <v>6524.7833651273568</v>
      </c>
      <c r="S11" s="35"/>
      <c r="T11" s="23">
        <v>3128647.18557993</v>
      </c>
      <c r="U11" s="33">
        <v>845.91543388231128</v>
      </c>
      <c r="V11" s="5">
        <v>9</v>
      </c>
      <c r="W11" s="5">
        <v>42</v>
      </c>
      <c r="X11" s="33">
        <v>1606.4447151888392</v>
      </c>
      <c r="Y11" s="5">
        <v>36.902083471761053</v>
      </c>
      <c r="Z11" s="5">
        <v>7161.7457713942413</v>
      </c>
      <c r="AA11" s="35"/>
    </row>
    <row r="12" spans="2:27" x14ac:dyDescent="0.2">
      <c r="B12" s="4">
        <v>9</v>
      </c>
      <c r="C12" s="4">
        <v>289</v>
      </c>
      <c r="D12" s="23">
        <v>2737985.6992913792</v>
      </c>
      <c r="E12" s="33">
        <v>477.33740394113261</v>
      </c>
      <c r="F12" s="5">
        <v>10</v>
      </c>
      <c r="G12" s="23">
        <v>60</v>
      </c>
      <c r="H12" s="33">
        <v>1697.2746774994607</v>
      </c>
      <c r="I12" s="23">
        <v>34.340529344615121</v>
      </c>
      <c r="J12" s="5">
        <v>7224.3964425458007</v>
      </c>
      <c r="K12" s="31"/>
      <c r="L12" s="23">
        <v>2950119.2365979361</v>
      </c>
      <c r="M12" s="33">
        <v>1103.9312994117877</v>
      </c>
      <c r="N12" s="5">
        <v>15</v>
      </c>
      <c r="O12" s="5">
        <v>51</v>
      </c>
      <c r="P12" s="33">
        <v>1347.8680079649196</v>
      </c>
      <c r="Q12" s="5">
        <v>18.833378962815143</v>
      </c>
      <c r="R12" s="5">
        <v>6517.5572517838882</v>
      </c>
      <c r="S12" s="35"/>
      <c r="T12" s="23">
        <v>3151707.7923745592</v>
      </c>
      <c r="U12" s="33">
        <v>444.74669588236685</v>
      </c>
      <c r="V12" s="5">
        <v>9</v>
      </c>
      <c r="W12" s="5">
        <v>40.5</v>
      </c>
      <c r="X12" s="33">
        <v>1463.0960660643566</v>
      </c>
      <c r="Y12" s="5">
        <v>35.549663630732361</v>
      </c>
      <c r="Z12" s="5">
        <v>6977.5256117272429</v>
      </c>
      <c r="AA12" s="35"/>
    </row>
    <row r="13" spans="2:27" x14ac:dyDescent="0.2">
      <c r="B13" s="4">
        <v>10</v>
      </c>
      <c r="C13" s="4">
        <v>908</v>
      </c>
      <c r="D13" s="23">
        <v>2781760.8035043562</v>
      </c>
      <c r="E13" s="33">
        <v>733.47750158822998</v>
      </c>
      <c r="F13" s="5">
        <v>10</v>
      </c>
      <c r="G13" s="23">
        <v>59</v>
      </c>
      <c r="H13" s="33">
        <v>1891.8301732769696</v>
      </c>
      <c r="I13" s="23">
        <v>34.021718379950244</v>
      </c>
      <c r="J13" s="5">
        <v>7360.1285537674039</v>
      </c>
      <c r="K13" s="31"/>
      <c r="L13" s="23">
        <v>2974207.0381208509</v>
      </c>
      <c r="M13" s="33">
        <v>664.48435788234588</v>
      </c>
      <c r="N13" s="5">
        <v>12</v>
      </c>
      <c r="O13" s="5">
        <v>48</v>
      </c>
      <c r="P13" s="33">
        <v>1309.9005437048547</v>
      </c>
      <c r="Q13" s="5">
        <v>21.190042101795509</v>
      </c>
      <c r="R13" s="5">
        <v>6475.8888998469183</v>
      </c>
      <c r="S13" s="35"/>
      <c r="T13" s="23">
        <v>3131877.143584372</v>
      </c>
      <c r="U13" s="33">
        <v>237.76047458824263</v>
      </c>
      <c r="V13" s="5">
        <v>9</v>
      </c>
      <c r="W13" s="5">
        <v>41.5</v>
      </c>
      <c r="X13" s="33">
        <v>1614.9499020639475</v>
      </c>
      <c r="Y13" s="5">
        <v>37.268892604369377</v>
      </c>
      <c r="Z13" s="5">
        <v>7100.6922864198423</v>
      </c>
      <c r="AA13" s="35"/>
    </row>
    <row r="14" spans="2:27" x14ac:dyDescent="0.2">
      <c r="B14" s="47" t="s">
        <v>3</v>
      </c>
      <c r="C14" s="48"/>
      <c r="D14" s="9">
        <f>MIN(D4:D13)</f>
        <v>2729665.1820683479</v>
      </c>
      <c r="E14" s="22">
        <f>INDEX(E4:E13, MATCH($D$14, D4:D13, 0))</f>
        <v>384.45341294117765</v>
      </c>
      <c r="F14" s="9">
        <f>INDEX(F4:F13, MATCH($D$14, D4:D13, 0))</f>
        <v>9</v>
      </c>
      <c r="G14" s="9">
        <f>INDEX(G4:G13, MATCH($D$14, D4:D13, 0))</f>
        <v>58.5</v>
      </c>
      <c r="H14" s="22">
        <f>INDEX(H4:H13, MATCH($D$14, D4:D13, 0))</f>
        <v>1577.6396600184291</v>
      </c>
      <c r="I14" s="22">
        <f>INDEX(I4:I13, MATCH($D$14, D4:D13, 0))</f>
        <v>37.319391266998892</v>
      </c>
      <c r="J14" s="22">
        <f>INDEX(J4:J13, MATCH($D$14, D4:D13, 0))</f>
        <v>7064.772694611499</v>
      </c>
      <c r="K14" s="32" t="e">
        <f>(D14-$D$15)/$D$15</f>
        <v>#DIV/0!</v>
      </c>
      <c r="L14" s="16">
        <f>MIN(L4:L13)</f>
        <v>2950119.2365979361</v>
      </c>
      <c r="M14" s="21">
        <f>INDEX(M4:M13, MATCH($L$14, L4:L13, 0))</f>
        <v>1103.9312994117877</v>
      </c>
      <c r="N14" s="16">
        <f>INDEX(N4:N13, MATCH($L$14, L4:L13, 0))</f>
        <v>15</v>
      </c>
      <c r="O14" s="16">
        <f>INDEX(O4:O13, MATCH($L$14, L4:L13, 0))</f>
        <v>51</v>
      </c>
      <c r="P14" s="21">
        <f>INDEX(P4:P13, MATCH($L$14, L4:L13, 0))</f>
        <v>1347.8680079649196</v>
      </c>
      <c r="Q14" s="21">
        <f>INDEX(Q4:Q13, MATCH($L$14, L4:L13, 0))</f>
        <v>18.833378962815143</v>
      </c>
      <c r="R14" s="21">
        <f>INDEX(R4:R13, MATCH($L$14, L4:L13, 0))</f>
        <v>6517.5572517838882</v>
      </c>
      <c r="S14" s="36" t="e">
        <f>(L14-$D$15)/$D$15</f>
        <v>#DIV/0!</v>
      </c>
      <c r="T14" s="38">
        <f>MIN(T4:T13)</f>
        <v>3128449.7399239801</v>
      </c>
      <c r="U14" s="39">
        <f>INDEX(U4:U13, MATCH($T$14, T4:T13, 0))</f>
        <v>482.14934352942851</v>
      </c>
      <c r="V14" s="38">
        <f>INDEX(V4:V13, MATCH($T$14, T4:T13, 0))</f>
        <v>9</v>
      </c>
      <c r="W14" s="38">
        <f>INDEX(W4:W13, MATCH($T$14, T4:T13, 0))</f>
        <v>41.5</v>
      </c>
      <c r="X14" s="39">
        <f>INDEX(X4:X13, MATCH($T$14, T4:T13, 0))</f>
        <v>1498.6550905691647</v>
      </c>
      <c r="Y14" s="39">
        <f>INDEX(Y4:Y13, MATCH($T$14, T4:T13, 0))</f>
        <v>36.285432428156035</v>
      </c>
      <c r="Z14" s="39">
        <f>INDEX(Z4:Z13, MATCH($T$14, T4:T13, 0))</f>
        <v>7052.757842351718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8.0762305933266013E-2</v>
      </c>
      <c r="M15" s="41">
        <f t="shared" ref="M15:R15" si="0">(M14-E14)/E14</f>
        <v>1.8714306135726566</v>
      </c>
      <c r="N15" s="41">
        <f t="shared" si="0"/>
        <v>0.66666666666666663</v>
      </c>
      <c r="O15" s="41">
        <f t="shared" si="0"/>
        <v>-0.12820512820512819</v>
      </c>
      <c r="P15" s="41">
        <f t="shared" si="0"/>
        <v>-0.1456426697911648</v>
      </c>
      <c r="Q15" s="41">
        <f t="shared" si="0"/>
        <v>-0.49534602994799426</v>
      </c>
      <c r="R15" s="41">
        <f t="shared" si="0"/>
        <v>-7.7456907176219184E-2</v>
      </c>
      <c r="T15" s="41">
        <f>(T14-D14)/D14</f>
        <v>0.1460928470184982</v>
      </c>
      <c r="U15" s="41">
        <f t="shared" ref="U15:Y15" si="1">(U14-E14)/E14</f>
        <v>0.25411643465680089</v>
      </c>
      <c r="V15" s="41">
        <f t="shared" si="1"/>
        <v>0</v>
      </c>
      <c r="W15" s="41">
        <f t="shared" si="1"/>
        <v>-0.29059829059829062</v>
      </c>
      <c r="X15" s="41">
        <f t="shared" si="1"/>
        <v>-5.0065025272210621E-2</v>
      </c>
      <c r="Y15" s="41">
        <f t="shared" si="1"/>
        <v>-2.7705672674172864E-2</v>
      </c>
      <c r="Z15" s="41">
        <f>(Z14-J14)/J14</f>
        <v>-1.7006707475450843E-3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67" priority="7"/>
    <cfRule type="duplicateValues" dxfId="66" priority="8"/>
  </conditionalFormatting>
  <conditionalFormatting sqref="C14">
    <cfRule type="duplicateValues" dxfId="65" priority="5"/>
    <cfRule type="duplicateValues" dxfId="64" priority="6"/>
  </conditionalFormatting>
  <conditionalFormatting sqref="C15">
    <cfRule type="duplicateValues" dxfId="63" priority="3"/>
    <cfRule type="duplicateValues" dxfId="62" priority="4"/>
  </conditionalFormatting>
  <conditionalFormatting sqref="C20:C34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5391-79AC-41F5-B6B3-40D74C6A566F}">
  <dimension ref="B1:AA17"/>
  <sheetViews>
    <sheetView zoomScale="90" zoomScaleNormal="9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-0.98358013373989517</v>
      </c>
      <c r="J2" s="28" t="e">
        <f>(S14-J14)/J14</f>
        <v>#DIV/0!</v>
      </c>
      <c r="K2" s="28"/>
      <c r="L2" s="1" t="s">
        <v>19</v>
      </c>
      <c r="P2" s="1">
        <f>(P14-H14)/H14</f>
        <v>-0.22822070218365595</v>
      </c>
      <c r="R2" s="1">
        <f>(R14-J14)/J14</f>
        <v>-0.15290922520104328</v>
      </c>
      <c r="T2" s="1" t="s">
        <v>20</v>
      </c>
      <c r="X2" s="1">
        <f>(X14-P14)/P14</f>
        <v>0.35539924668176082</v>
      </c>
      <c r="Z2" s="1">
        <f>(Z14-R14)/R14</f>
        <v>0.18172133044441846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586</v>
      </c>
      <c r="D4" s="23">
        <v>2478775.6029873351</v>
      </c>
      <c r="E4" s="33">
        <v>298.19809635293063</v>
      </c>
      <c r="F4" s="5">
        <v>10</v>
      </c>
      <c r="G4" s="23">
        <v>68</v>
      </c>
      <c r="H4" s="33">
        <v>1376.4947330558264</v>
      </c>
      <c r="I4" s="23">
        <v>43.336842621260068</v>
      </c>
      <c r="J4" s="5">
        <v>6843.2704267864856</v>
      </c>
      <c r="K4" s="31"/>
      <c r="L4" s="23">
        <v>2785873.1166755478</v>
      </c>
      <c r="M4" s="33">
        <v>751.69782011762879</v>
      </c>
      <c r="N4" s="5">
        <v>14</v>
      </c>
      <c r="O4" s="5">
        <v>53.5</v>
      </c>
      <c r="P4" s="33">
        <v>1123.2940323673076</v>
      </c>
      <c r="Q4" s="5">
        <v>23.898461431177356</v>
      </c>
      <c r="R4" s="5">
        <v>5882.2970008331276</v>
      </c>
      <c r="S4" s="35"/>
      <c r="T4" s="23">
        <v>2907526.8231870648</v>
      </c>
      <c r="U4" s="33">
        <v>252.50349070589223</v>
      </c>
      <c r="V4" s="5">
        <v>8</v>
      </c>
      <c r="W4" s="5">
        <v>46.5</v>
      </c>
      <c r="X4" s="33">
        <v>1029.9420767620074</v>
      </c>
      <c r="Y4" s="5">
        <v>48.487761429993952</v>
      </c>
      <c r="Z4" s="5">
        <v>6500.2770976846859</v>
      </c>
      <c r="AA4" s="35"/>
    </row>
    <row r="5" spans="2:27" x14ac:dyDescent="0.2">
      <c r="B5" s="4">
        <v>2</v>
      </c>
      <c r="C5" s="4">
        <v>73</v>
      </c>
      <c r="D5" s="23">
        <v>2482438.403855742</v>
      </c>
      <c r="E5" s="33">
        <v>384.78416664703917</v>
      </c>
      <c r="F5" s="5">
        <v>10</v>
      </c>
      <c r="G5" s="23">
        <v>68.5</v>
      </c>
      <c r="H5" s="33">
        <v>1453.2878257860059</v>
      </c>
      <c r="I5" s="23">
        <v>43.146456270817723</v>
      </c>
      <c r="J5" s="5">
        <v>6946.4460792477494</v>
      </c>
      <c r="K5" s="31"/>
      <c r="L5" s="23">
        <v>2837044.3886229829</v>
      </c>
      <c r="M5" s="33">
        <v>345.30017547062874</v>
      </c>
      <c r="N5" s="5">
        <v>12</v>
      </c>
      <c r="O5" s="5">
        <v>51</v>
      </c>
      <c r="P5" s="33">
        <v>1091.5321585340746</v>
      </c>
      <c r="Q5" s="5">
        <v>25.971802574473912</v>
      </c>
      <c r="R5" s="5">
        <v>5921.6607220691885</v>
      </c>
      <c r="S5" s="35"/>
      <c r="T5" s="23">
        <v>2903806.1306915549</v>
      </c>
      <c r="U5" s="33">
        <v>272.82058452940817</v>
      </c>
      <c r="V5" s="5">
        <v>9</v>
      </c>
      <c r="W5" s="5">
        <v>48.5</v>
      </c>
      <c r="X5" s="33">
        <v>1254.3434126859459</v>
      </c>
      <c r="Y5" s="5">
        <v>46.850433059031523</v>
      </c>
      <c r="Z5" s="5">
        <v>6700.7087655108053</v>
      </c>
      <c r="AA5" s="35"/>
    </row>
    <row r="6" spans="2:27" x14ac:dyDescent="0.2">
      <c r="B6" s="4">
        <v>3</v>
      </c>
      <c r="C6" s="4">
        <v>829</v>
      </c>
      <c r="D6" s="23">
        <v>2417702.6863238849</v>
      </c>
      <c r="E6" s="33">
        <v>319.58946376470578</v>
      </c>
      <c r="F6" s="5">
        <v>10</v>
      </c>
      <c r="G6" s="23">
        <v>72.5</v>
      </c>
      <c r="H6" s="33">
        <v>1641.3891959578195</v>
      </c>
      <c r="I6" s="23">
        <v>49.880880370881606</v>
      </c>
      <c r="J6" s="5">
        <v>7148.5781334260419</v>
      </c>
      <c r="K6" s="31"/>
      <c r="L6" s="23">
        <v>2921097.0345403668</v>
      </c>
      <c r="M6" s="33">
        <v>946.65555423529645</v>
      </c>
      <c r="N6" s="5">
        <v>9</v>
      </c>
      <c r="O6" s="5">
        <v>43</v>
      </c>
      <c r="P6" s="33">
        <v>664.58194965662426</v>
      </c>
      <c r="Q6" s="5">
        <v>28.37692556163098</v>
      </c>
      <c r="R6" s="5">
        <v>5415.2725496294115</v>
      </c>
      <c r="S6" s="35"/>
      <c r="T6" s="23">
        <v>2905878.2091876711</v>
      </c>
      <c r="U6" s="33">
        <v>356.51078035294847</v>
      </c>
      <c r="V6" s="5">
        <v>8</v>
      </c>
      <c r="W6" s="5">
        <v>47</v>
      </c>
      <c r="X6" s="33">
        <v>1084.6691068267548</v>
      </c>
      <c r="Y6" s="5">
        <v>48.708558597336207</v>
      </c>
      <c r="Z6" s="5">
        <v>6541.1026740973084</v>
      </c>
      <c r="AA6" s="35"/>
    </row>
    <row r="7" spans="2:27" x14ac:dyDescent="0.2">
      <c r="B7" s="4">
        <v>4</v>
      </c>
      <c r="C7" s="4">
        <v>662</v>
      </c>
      <c r="D7" s="23">
        <v>2475472.4701325749</v>
      </c>
      <c r="E7" s="33">
        <v>625.47114847056707</v>
      </c>
      <c r="F7" s="5">
        <v>10</v>
      </c>
      <c r="G7" s="23">
        <v>68.5</v>
      </c>
      <c r="H7" s="33">
        <v>1436.9949715029009</v>
      </c>
      <c r="I7" s="23">
        <v>43.852388549524832</v>
      </c>
      <c r="J7" s="5">
        <v>6931.8893349834316</v>
      </c>
      <c r="K7" s="31"/>
      <c r="L7" s="23">
        <v>2821216.3518853588</v>
      </c>
      <c r="M7" s="33">
        <v>1146.4955977646989</v>
      </c>
      <c r="N7" s="5">
        <v>11</v>
      </c>
      <c r="O7" s="5">
        <v>48.5</v>
      </c>
      <c r="P7" s="33">
        <v>814.13567210291569</v>
      </c>
      <c r="Q7" s="5">
        <v>28.096094792069742</v>
      </c>
      <c r="R7" s="5">
        <v>5584.6993752956951</v>
      </c>
      <c r="S7" s="35"/>
      <c r="T7" s="23">
        <v>2884006.068912426</v>
      </c>
      <c r="U7" s="33">
        <v>489.20150888234599</v>
      </c>
      <c r="V7" s="5">
        <v>10</v>
      </c>
      <c r="W7" s="5">
        <v>51</v>
      </c>
      <c r="X7" s="33">
        <v>1395.9108329876703</v>
      </c>
      <c r="Y7" s="5">
        <v>44.212274454917818</v>
      </c>
      <c r="Z7" s="5">
        <v>6855.7543018359347</v>
      </c>
      <c r="AA7" s="35"/>
    </row>
    <row r="8" spans="2:27" x14ac:dyDescent="0.2">
      <c r="B8" s="4">
        <v>5</v>
      </c>
      <c r="C8" s="4">
        <v>739</v>
      </c>
      <c r="D8" s="23">
        <v>2480524.3540814291</v>
      </c>
      <c r="E8" s="33">
        <v>255.25039988234366</v>
      </c>
      <c r="F8" s="5">
        <v>10</v>
      </c>
      <c r="G8" s="23">
        <v>67</v>
      </c>
      <c r="H8" s="33">
        <v>1281.8658654457447</v>
      </c>
      <c r="I8" s="23">
        <v>42.634584298315374</v>
      </c>
      <c r="J8" s="5">
        <v>6745.722661317548</v>
      </c>
      <c r="K8" s="31"/>
      <c r="L8" s="23">
        <v>2887855.7495305808</v>
      </c>
      <c r="M8" s="33">
        <v>338.14397952943932</v>
      </c>
      <c r="N8" s="5">
        <v>10</v>
      </c>
      <c r="O8" s="5">
        <v>46</v>
      </c>
      <c r="P8" s="33">
        <v>827.98962438095941</v>
      </c>
      <c r="Q8" s="5">
        <v>26.211740571151175</v>
      </c>
      <c r="R8" s="5">
        <v>5612.6656744778311</v>
      </c>
      <c r="S8" s="35"/>
      <c r="T8" s="23">
        <v>2843421.7825620729</v>
      </c>
      <c r="U8" s="33">
        <v>220.39853241178207</v>
      </c>
      <c r="V8" s="5">
        <v>9</v>
      </c>
      <c r="W8" s="5">
        <v>52</v>
      </c>
      <c r="X8" s="33">
        <v>1465.2521068035314</v>
      </c>
      <c r="Y8" s="5">
        <v>53.013720189968865</v>
      </c>
      <c r="Z8" s="5">
        <v>6928.9748236007163</v>
      </c>
      <c r="AA8" s="35"/>
    </row>
    <row r="9" spans="2:27" x14ac:dyDescent="0.2">
      <c r="B9" s="4">
        <v>6</v>
      </c>
      <c r="C9" s="4">
        <v>486</v>
      </c>
      <c r="D9" s="23">
        <v>2485280.7942073201</v>
      </c>
      <c r="E9" s="33">
        <v>143.14863317646089</v>
      </c>
      <c r="F9" s="5">
        <v>10</v>
      </c>
      <c r="G9" s="23">
        <v>69</v>
      </c>
      <c r="H9" s="33">
        <v>1518.6493810163302</v>
      </c>
      <c r="I9" s="23">
        <v>43.939222875836556</v>
      </c>
      <c r="J9" s="5">
        <v>7030.9183909356561</v>
      </c>
      <c r="K9" s="31"/>
      <c r="L9" s="23">
        <v>2841674.996702658</v>
      </c>
      <c r="M9" s="33">
        <v>648.29262052943409</v>
      </c>
      <c r="N9" s="5">
        <v>13</v>
      </c>
      <c r="O9" s="5">
        <v>50.5</v>
      </c>
      <c r="P9" s="33">
        <v>981.9694170748445</v>
      </c>
      <c r="Q9" s="5">
        <v>23.311135598784062</v>
      </c>
      <c r="R9" s="5">
        <v>5814.3749609347178</v>
      </c>
      <c r="S9" s="35"/>
      <c r="T9" s="23">
        <v>2818786.9950192571</v>
      </c>
      <c r="U9" s="33">
        <v>668.39432723532582</v>
      </c>
      <c r="V9" s="5">
        <v>9</v>
      </c>
      <c r="W9" s="5">
        <v>53</v>
      </c>
      <c r="X9" s="33">
        <v>1522.5118852727662</v>
      </c>
      <c r="Y9" s="5">
        <v>56.574851593273252</v>
      </c>
      <c r="Z9" s="5">
        <v>6951.2358378937361</v>
      </c>
      <c r="AA9" s="35"/>
    </row>
    <row r="10" spans="2:27" x14ac:dyDescent="0.2">
      <c r="B10" s="4">
        <v>7</v>
      </c>
      <c r="C10" s="4">
        <v>850</v>
      </c>
      <c r="D10" s="23">
        <v>2479850.8202787782</v>
      </c>
      <c r="E10" s="33">
        <v>384.65941035291456</v>
      </c>
      <c r="F10" s="5">
        <v>10</v>
      </c>
      <c r="G10" s="23">
        <v>69</v>
      </c>
      <c r="H10" s="33">
        <v>1465.345934409959</v>
      </c>
      <c r="I10" s="23">
        <v>43.303993482147483</v>
      </c>
      <c r="J10" s="5">
        <v>6978.1043061039854</v>
      </c>
      <c r="K10" s="31"/>
      <c r="L10" s="23">
        <v>2809344.3637442719</v>
      </c>
      <c r="M10" s="33">
        <v>840.08026623530054</v>
      </c>
      <c r="N10" s="5">
        <v>13</v>
      </c>
      <c r="O10" s="5">
        <v>52.5</v>
      </c>
      <c r="P10" s="33">
        <v>1108.5836743390528</v>
      </c>
      <c r="Q10" s="5">
        <v>25.111894975132138</v>
      </c>
      <c r="R10" s="5">
        <v>5905.2999586318856</v>
      </c>
      <c r="S10" s="35"/>
      <c r="T10" s="23">
        <v>2853405.7159895352</v>
      </c>
      <c r="U10" s="33">
        <v>307.3513345294358</v>
      </c>
      <c r="V10" s="5">
        <v>9</v>
      </c>
      <c r="W10" s="5">
        <v>50.5</v>
      </c>
      <c r="X10" s="33">
        <v>1287.6510442770873</v>
      </c>
      <c r="Y10" s="5">
        <v>52.029737913571694</v>
      </c>
      <c r="Z10" s="5">
        <v>6679.1900875842166</v>
      </c>
      <c r="AA10" s="35"/>
    </row>
    <row r="11" spans="2:27" x14ac:dyDescent="0.2">
      <c r="B11" s="4">
        <v>8</v>
      </c>
      <c r="C11" s="4">
        <v>453</v>
      </c>
      <c r="D11" s="23">
        <v>2475468.149156935</v>
      </c>
      <c r="E11" s="33">
        <v>141.38792435296205</v>
      </c>
      <c r="F11" s="5">
        <v>10</v>
      </c>
      <c r="G11" s="23">
        <v>68</v>
      </c>
      <c r="H11" s="33">
        <v>1390.8586956540371</v>
      </c>
      <c r="I11" s="23">
        <v>43.090446252730928</v>
      </c>
      <c r="J11" s="5">
        <v>6855.5492158086927</v>
      </c>
      <c r="K11" s="31"/>
      <c r="L11" s="23">
        <v>2801953.671026214</v>
      </c>
      <c r="M11" s="33">
        <v>709.02635923525179</v>
      </c>
      <c r="N11" s="5">
        <v>15</v>
      </c>
      <c r="O11" s="5">
        <v>54</v>
      </c>
      <c r="P11" s="33">
        <v>1146.3571789396901</v>
      </c>
      <c r="Q11" s="5">
        <v>23.251335173263033</v>
      </c>
      <c r="R11" s="5">
        <v>5945.9887254041951</v>
      </c>
      <c r="S11" s="35"/>
      <c r="T11" s="23">
        <v>2819531.3400060749</v>
      </c>
      <c r="U11" s="33">
        <v>633.31841970588471</v>
      </c>
      <c r="V11" s="5">
        <v>9</v>
      </c>
      <c r="W11" s="5">
        <v>53</v>
      </c>
      <c r="X11" s="33">
        <v>1468.1878725524434</v>
      </c>
      <c r="Y11" s="5">
        <v>56.579700337971047</v>
      </c>
      <c r="Z11" s="5">
        <v>6950.2929049799322</v>
      </c>
      <c r="AA11" s="35"/>
    </row>
    <row r="12" spans="2:27" x14ac:dyDescent="0.2">
      <c r="B12" s="4">
        <v>9</v>
      </c>
      <c r="C12" s="4">
        <v>441</v>
      </c>
      <c r="D12" s="23">
        <v>2483901.1055441829</v>
      </c>
      <c r="E12" s="33">
        <v>196.17892552940995</v>
      </c>
      <c r="F12" s="5">
        <v>10</v>
      </c>
      <c r="G12" s="23">
        <v>68</v>
      </c>
      <c r="H12" s="33">
        <v>1436.2664659332208</v>
      </c>
      <c r="I12" s="23">
        <v>43.313340334703625</v>
      </c>
      <c r="J12" s="5">
        <v>6913.384733183032</v>
      </c>
      <c r="K12" s="31"/>
      <c r="L12" s="23">
        <v>2849670.7931641671</v>
      </c>
      <c r="M12" s="33">
        <v>1056.9282052353001</v>
      </c>
      <c r="N12" s="5">
        <v>12</v>
      </c>
      <c r="O12" s="5">
        <v>48</v>
      </c>
      <c r="P12" s="33">
        <v>756.38593480155794</v>
      </c>
      <c r="Q12" s="5">
        <v>24.889771580665851</v>
      </c>
      <c r="R12" s="5">
        <v>5465.9437819148843</v>
      </c>
      <c r="S12" s="35"/>
      <c r="T12" s="23">
        <v>2876200.744609578</v>
      </c>
      <c r="U12" s="33">
        <v>268.77698588232948</v>
      </c>
      <c r="V12" s="5">
        <v>10</v>
      </c>
      <c r="W12" s="5">
        <v>51.5</v>
      </c>
      <c r="X12" s="33">
        <v>1505.2683993755084</v>
      </c>
      <c r="Y12" s="5">
        <v>46.108827107772342</v>
      </c>
      <c r="Z12" s="5">
        <v>6892.8105615896093</v>
      </c>
      <c r="AA12" s="35"/>
    </row>
    <row r="13" spans="2:27" x14ac:dyDescent="0.2">
      <c r="B13" s="4">
        <v>10</v>
      </c>
      <c r="C13" s="4">
        <v>922</v>
      </c>
      <c r="D13" s="23">
        <v>2413740.5741406879</v>
      </c>
      <c r="E13" s="33">
        <v>239.48745041181718</v>
      </c>
      <c r="F13" s="5">
        <v>10</v>
      </c>
      <c r="G13" s="23">
        <v>71</v>
      </c>
      <c r="H13" s="33">
        <v>1455.4601756558279</v>
      </c>
      <c r="I13" s="23">
        <v>48.455803786272256</v>
      </c>
      <c r="J13" s="5">
        <v>6944.1164699606079</v>
      </c>
      <c r="K13" s="31"/>
      <c r="L13" s="23">
        <v>2832919.5787511989</v>
      </c>
      <c r="M13" s="33">
        <v>405.12508358820071</v>
      </c>
      <c r="N13" s="5">
        <v>12</v>
      </c>
      <c r="O13" s="5">
        <v>49.5</v>
      </c>
      <c r="P13" s="33">
        <v>898.49948264443321</v>
      </c>
      <c r="Q13" s="5">
        <v>25.415860766521352</v>
      </c>
      <c r="R13" s="5">
        <v>5682.2080705250937</v>
      </c>
      <c r="S13" s="35"/>
      <c r="T13" s="23">
        <v>2884584.8865109971</v>
      </c>
      <c r="U13" s="33">
        <v>732.23966711762296</v>
      </c>
      <c r="V13" s="5">
        <v>9</v>
      </c>
      <c r="W13" s="5">
        <v>49.5</v>
      </c>
      <c r="X13" s="33">
        <v>1314.0296905449097</v>
      </c>
      <c r="Y13" s="5">
        <v>46.615627951314494</v>
      </c>
      <c r="Z13" s="5">
        <v>6751.8975867508661</v>
      </c>
      <c r="AA13" s="35"/>
    </row>
    <row r="14" spans="2:27" x14ac:dyDescent="0.2">
      <c r="B14" s="47" t="s">
        <v>3</v>
      </c>
      <c r="C14" s="48"/>
      <c r="D14" s="9">
        <f>MIN(D4:D13)</f>
        <v>2413740.5741406879</v>
      </c>
      <c r="E14" s="22">
        <f>INDEX(E4:E13, MATCH($D$14, D4:D13, 0))</f>
        <v>239.48745041181718</v>
      </c>
      <c r="F14" s="9">
        <f>INDEX(F4:F13, MATCH($D$14, D4:D13, 0))</f>
        <v>10</v>
      </c>
      <c r="G14" s="9">
        <f>INDEX(G4:G13, MATCH($D$14, D4:D13, 0))</f>
        <v>71</v>
      </c>
      <c r="H14" s="22">
        <f>INDEX(H4:H13, MATCH($D$14, D4:D13, 0))</f>
        <v>1455.4601756558279</v>
      </c>
      <c r="I14" s="22">
        <f>INDEX(I4:I13, MATCH($D$14, D4:D13, 0))</f>
        <v>48.455803786272256</v>
      </c>
      <c r="J14" s="22">
        <f>INDEX(J4:J13, MATCH($D$14, D4:D13, 0))</f>
        <v>6944.1164699606079</v>
      </c>
      <c r="K14" s="32" t="e">
        <f>(D14-$D$15)/$D$15</f>
        <v>#DIV/0!</v>
      </c>
      <c r="L14" s="16">
        <f>MIN(L4:L13)</f>
        <v>2785873.1166755478</v>
      </c>
      <c r="M14" s="21">
        <f>INDEX(M4:M13, MATCH($L$14, L4:L13, 0))</f>
        <v>751.69782011762879</v>
      </c>
      <c r="N14" s="16">
        <f>INDEX(N4:N13, MATCH($L$14, L4:L13, 0))</f>
        <v>14</v>
      </c>
      <c r="O14" s="16">
        <f>INDEX(O4:O13, MATCH($L$14, L4:L13, 0))</f>
        <v>53.5</v>
      </c>
      <c r="P14" s="21">
        <f>INDEX(P4:P13, MATCH($L$14, L4:L13, 0))</f>
        <v>1123.2940323673076</v>
      </c>
      <c r="Q14" s="21">
        <f>INDEX(Q4:Q13, MATCH($L$14, L4:L13, 0))</f>
        <v>23.898461431177356</v>
      </c>
      <c r="R14" s="21">
        <f>INDEX(R4:R13, MATCH($L$14, L4:L13, 0))</f>
        <v>5882.2970008331276</v>
      </c>
      <c r="S14" s="36" t="e">
        <f>(L14-$D$15)/$D$15</f>
        <v>#DIV/0!</v>
      </c>
      <c r="T14" s="38">
        <f>MIN(T4:T13)</f>
        <v>2818786.9950192571</v>
      </c>
      <c r="U14" s="39">
        <f>INDEX(U4:U13, MATCH($T$14, T4:T13, 0))</f>
        <v>668.39432723532582</v>
      </c>
      <c r="V14" s="38">
        <f>INDEX(V4:V13, MATCH($T$14, T4:T13, 0))</f>
        <v>9</v>
      </c>
      <c r="W14" s="38">
        <f>INDEX(W4:W13, MATCH($T$14, T4:T13, 0))</f>
        <v>53</v>
      </c>
      <c r="X14" s="39">
        <f>INDEX(X4:X13, MATCH($T$14, T4:T13, 0))</f>
        <v>1522.5118852727662</v>
      </c>
      <c r="Y14" s="39">
        <f>INDEX(Y4:Y13, MATCH($T$14, T4:T13, 0))</f>
        <v>56.574851593273252</v>
      </c>
      <c r="Z14" s="39">
        <f>INDEX(Z4:Z13, MATCH($T$14, T4:T13, 0))</f>
        <v>6951.2358378937361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0.15417255131792371</v>
      </c>
      <c r="M15" s="41">
        <f t="shared" ref="M15:R15" si="0">(M14-E14)/E14</f>
        <v>2.1387774967958713</v>
      </c>
      <c r="N15" s="41">
        <f t="shared" si="0"/>
        <v>0.4</v>
      </c>
      <c r="O15" s="41">
        <f t="shared" si="0"/>
        <v>-0.24647887323943662</v>
      </c>
      <c r="P15" s="41">
        <f t="shared" si="0"/>
        <v>-0.22822070218365595</v>
      </c>
      <c r="Q15" s="41">
        <f t="shared" si="0"/>
        <v>-0.50679878231742603</v>
      </c>
      <c r="R15" s="41">
        <f t="shared" si="0"/>
        <v>-0.15290922520104328</v>
      </c>
      <c r="T15" s="41">
        <f>(T14-D14)/D14</f>
        <v>0.16780859766703349</v>
      </c>
      <c r="U15" s="41">
        <f t="shared" ref="U15:Y15" si="1">(U14-E14)/E14</f>
        <v>1.7909367529946563</v>
      </c>
      <c r="V15" s="41">
        <f t="shared" si="1"/>
        <v>-0.1</v>
      </c>
      <c r="W15" s="41">
        <f t="shared" si="1"/>
        <v>-0.25352112676056338</v>
      </c>
      <c r="X15" s="41">
        <f t="shared" si="1"/>
        <v>4.6069078864851051E-2</v>
      </c>
      <c r="Y15" s="41">
        <f t="shared" si="1"/>
        <v>0.16755573476424632</v>
      </c>
      <c r="Z15" s="41">
        <f>(Z14-J14)/J14</f>
        <v>1.0252374026163975E-3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61" priority="7"/>
    <cfRule type="duplicateValues" dxfId="60" priority="8"/>
  </conditionalFormatting>
  <conditionalFormatting sqref="C14">
    <cfRule type="duplicateValues" dxfId="59" priority="5"/>
    <cfRule type="duplicateValues" dxfId="58" priority="6"/>
  </conditionalFormatting>
  <conditionalFormatting sqref="C15">
    <cfRule type="duplicateValues" dxfId="57" priority="3"/>
    <cfRule type="duplicateValues" dxfId="56" priority="4"/>
  </conditionalFormatting>
  <conditionalFormatting sqref="C20:C34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F9BC-4882-4F21-8327-7D5E49874035}">
  <dimension ref="B1:AA17"/>
  <sheetViews>
    <sheetView zoomScale="90" zoomScaleNormal="90" workbookViewId="0">
      <selection activeCell="U20" sqref="U20:U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-0.98573228012101199</v>
      </c>
      <c r="J2" s="28" t="e">
        <f>(S14-J14)/J14</f>
        <v>#DIV/0!</v>
      </c>
      <c r="K2" s="28"/>
      <c r="L2" s="1" t="s">
        <v>19</v>
      </c>
      <c r="P2" s="1">
        <f>(P14-H14)/H14</f>
        <v>-0.28941094183936544</v>
      </c>
      <c r="R2" s="1">
        <f>(R14-J14)/J14</f>
        <v>-0.15045488664373755</v>
      </c>
      <c r="T2" s="1" t="s">
        <v>20</v>
      </c>
      <c r="X2" s="1">
        <f>(X14-P14)/P14</f>
        <v>0.30513822483035125</v>
      </c>
      <c r="Z2" s="1">
        <f>(Z14-R14)/R14</f>
        <v>0.16046767850095051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496</v>
      </c>
      <c r="D4" s="23">
        <v>2600665.5865755891</v>
      </c>
      <c r="E4" s="33">
        <v>279.33642729411503</v>
      </c>
      <c r="F4" s="5">
        <v>10</v>
      </c>
      <c r="G4" s="23">
        <v>64.5</v>
      </c>
      <c r="H4" s="33">
        <v>1406.8267823478002</v>
      </c>
      <c r="I4" s="23">
        <v>42.626531932446184</v>
      </c>
      <c r="J4" s="5">
        <v>7025.0769991742236</v>
      </c>
      <c r="K4" s="31"/>
      <c r="L4" s="23">
        <v>2910822.7783384621</v>
      </c>
      <c r="M4" s="33">
        <v>749.74491411765302</v>
      </c>
      <c r="N4" s="5">
        <v>11</v>
      </c>
      <c r="O4" s="5">
        <v>48</v>
      </c>
      <c r="P4" s="33">
        <v>1113.3907027612511</v>
      </c>
      <c r="Q4" s="5">
        <v>27.671377312532357</v>
      </c>
      <c r="R4" s="5">
        <v>6032.8514708704924</v>
      </c>
      <c r="S4" s="35"/>
      <c r="T4" s="23">
        <v>2981434.5099426731</v>
      </c>
      <c r="U4" s="33">
        <v>278.13072947059379</v>
      </c>
      <c r="V4" s="5">
        <v>10</v>
      </c>
      <c r="W4" s="5">
        <v>47.5</v>
      </c>
      <c r="X4" s="33">
        <v>1511.7474822070051</v>
      </c>
      <c r="Y4" s="5">
        <v>46.198265761329246</v>
      </c>
      <c r="Z4" s="5">
        <v>7015.7011561650197</v>
      </c>
      <c r="AA4" s="35"/>
    </row>
    <row r="5" spans="2:27" x14ac:dyDescent="0.2">
      <c r="B5" s="4">
        <v>2</v>
      </c>
      <c r="C5" s="4">
        <v>681</v>
      </c>
      <c r="D5" s="23">
        <v>2599933.5659765061</v>
      </c>
      <c r="E5" s="33">
        <v>402.56344858824059</v>
      </c>
      <c r="F5" s="5">
        <v>10</v>
      </c>
      <c r="G5" s="23">
        <v>65</v>
      </c>
      <c r="H5" s="33">
        <v>1554.1934427628353</v>
      </c>
      <c r="I5" s="23">
        <v>44.836559319786332</v>
      </c>
      <c r="J5" s="5">
        <v>7145.9432515512126</v>
      </c>
      <c r="K5" s="31"/>
      <c r="L5" s="23">
        <v>2891218.1700091409</v>
      </c>
      <c r="M5" s="33">
        <v>1205.3058460588318</v>
      </c>
      <c r="N5" s="5">
        <v>13</v>
      </c>
      <c r="O5" s="5">
        <v>51</v>
      </c>
      <c r="P5" s="33">
        <v>1234.9000110030611</v>
      </c>
      <c r="Q5" s="5">
        <v>26.158265261985257</v>
      </c>
      <c r="R5" s="5">
        <v>6295.2992683431403</v>
      </c>
      <c r="S5" s="35"/>
      <c r="T5" s="23">
        <v>3021707.006084695</v>
      </c>
      <c r="U5" s="33">
        <v>468.03502570591212</v>
      </c>
      <c r="V5" s="5">
        <v>8</v>
      </c>
      <c r="W5" s="5">
        <v>44</v>
      </c>
      <c r="X5" s="33">
        <v>1304.33237579454</v>
      </c>
      <c r="Y5" s="5">
        <v>50.654973453326164</v>
      </c>
      <c r="Z5" s="5">
        <v>6860.6499593874087</v>
      </c>
      <c r="AA5" s="35"/>
    </row>
    <row r="6" spans="2:27" x14ac:dyDescent="0.2">
      <c r="B6" s="4">
        <v>3</v>
      </c>
      <c r="C6" s="4">
        <v>80</v>
      </c>
      <c r="D6" s="23">
        <v>2717072.0230340669</v>
      </c>
      <c r="E6" s="33">
        <v>377.41253617651051</v>
      </c>
      <c r="F6" s="5">
        <v>10</v>
      </c>
      <c r="G6" s="23">
        <v>60.5</v>
      </c>
      <c r="H6" s="33">
        <v>1578.2557416545053</v>
      </c>
      <c r="I6" s="23">
        <v>40.105975888011706</v>
      </c>
      <c r="J6" s="5">
        <v>7094.9442795437972</v>
      </c>
      <c r="K6" s="31"/>
      <c r="L6" s="23">
        <v>2958663.601612593</v>
      </c>
      <c r="M6" s="33">
        <v>1316.6571520588718</v>
      </c>
      <c r="N6" s="5">
        <v>9</v>
      </c>
      <c r="O6" s="5">
        <v>42</v>
      </c>
      <c r="P6" s="33">
        <v>667.50971715681044</v>
      </c>
      <c r="Q6" s="5">
        <v>28.151610184916283</v>
      </c>
      <c r="R6" s="5">
        <v>5432.5995488611134</v>
      </c>
      <c r="S6" s="35"/>
      <c r="T6" s="23">
        <v>2967819.384270574</v>
      </c>
      <c r="U6" s="33">
        <v>632.11075347060705</v>
      </c>
      <c r="V6" s="5">
        <v>10</v>
      </c>
      <c r="W6" s="5">
        <v>49</v>
      </c>
      <c r="X6" s="33">
        <v>1643.0992250071508</v>
      </c>
      <c r="Y6" s="5">
        <v>48.588984952802392</v>
      </c>
      <c r="Z6" s="5">
        <v>7210.3879097944346</v>
      </c>
      <c r="AA6" s="35"/>
    </row>
    <row r="7" spans="2:27" x14ac:dyDescent="0.2">
      <c r="B7" s="4">
        <v>4</v>
      </c>
      <c r="C7" s="4">
        <v>866</v>
      </c>
      <c r="D7" s="23">
        <v>2583023.0035494799</v>
      </c>
      <c r="E7" s="33">
        <v>232.46655294116971</v>
      </c>
      <c r="F7" s="5">
        <v>10</v>
      </c>
      <c r="G7" s="23">
        <v>64.5</v>
      </c>
      <c r="H7" s="33">
        <v>1481.0811681263624</v>
      </c>
      <c r="I7" s="23">
        <v>43.804677113185598</v>
      </c>
      <c r="J7" s="5">
        <v>6915.2678249953997</v>
      </c>
      <c r="K7" s="31"/>
      <c r="L7" s="23">
        <v>2967683.1364805782</v>
      </c>
      <c r="M7" s="33">
        <v>448.54735335294049</v>
      </c>
      <c r="N7" s="5">
        <v>11</v>
      </c>
      <c r="O7" s="5">
        <v>46</v>
      </c>
      <c r="P7" s="33">
        <v>1127.9761411434167</v>
      </c>
      <c r="Q7" s="5">
        <v>25.871375816984063</v>
      </c>
      <c r="R7" s="5">
        <v>6041.7706534856434</v>
      </c>
      <c r="S7" s="35"/>
      <c r="T7" s="23">
        <v>3011565.653201303</v>
      </c>
      <c r="U7" s="33">
        <v>645.92179111766586</v>
      </c>
      <c r="V7" s="5">
        <v>10</v>
      </c>
      <c r="W7" s="5">
        <v>47</v>
      </c>
      <c r="X7" s="33">
        <v>1606.9492075718219</v>
      </c>
      <c r="Y7" s="5">
        <v>47.056162254304894</v>
      </c>
      <c r="Z7" s="5">
        <v>7217.2576451196246</v>
      </c>
      <c r="AA7" s="35"/>
    </row>
    <row r="8" spans="2:27" x14ac:dyDescent="0.2">
      <c r="B8" s="4">
        <v>5</v>
      </c>
      <c r="C8" s="4">
        <v>561</v>
      </c>
      <c r="D8" s="23">
        <v>2614738.3883646391</v>
      </c>
      <c r="E8" s="33">
        <v>221.67155076468859</v>
      </c>
      <c r="F8" s="5">
        <v>10</v>
      </c>
      <c r="G8" s="23">
        <v>64</v>
      </c>
      <c r="H8" s="33">
        <v>1526.8270593968195</v>
      </c>
      <c r="I8" s="23">
        <v>42.961328689213829</v>
      </c>
      <c r="J8" s="5">
        <v>7100.1739778706778</v>
      </c>
      <c r="K8" s="31"/>
      <c r="L8" s="23">
        <v>2914888.2907324359</v>
      </c>
      <c r="M8" s="33">
        <v>940.69946835296889</v>
      </c>
      <c r="N8" s="5">
        <v>12</v>
      </c>
      <c r="O8" s="5">
        <v>47</v>
      </c>
      <c r="P8" s="33">
        <v>1014.0215818797982</v>
      </c>
      <c r="Q8" s="5">
        <v>25.509210217926675</v>
      </c>
      <c r="R8" s="5">
        <v>5711.6676660948697</v>
      </c>
      <c r="S8" s="35"/>
      <c r="T8" s="23">
        <v>2966636.718460517</v>
      </c>
      <c r="U8" s="33">
        <v>920.04529570585476</v>
      </c>
      <c r="V8" s="5">
        <v>10</v>
      </c>
      <c r="W8" s="5">
        <v>49</v>
      </c>
      <c r="X8" s="33">
        <v>1613.0839372833316</v>
      </c>
      <c r="Y8" s="5">
        <v>47.736475957730399</v>
      </c>
      <c r="Z8" s="5">
        <v>7202.8778761305839</v>
      </c>
      <c r="AA8" s="35"/>
    </row>
    <row r="9" spans="2:27" x14ac:dyDescent="0.2">
      <c r="B9" s="4">
        <v>6</v>
      </c>
      <c r="C9" s="4">
        <v>779</v>
      </c>
      <c r="D9" s="23">
        <v>2554646.024397538</v>
      </c>
      <c r="E9" s="33">
        <v>1087.5792427647259</v>
      </c>
      <c r="F9" s="5">
        <v>11</v>
      </c>
      <c r="G9" s="23">
        <v>69.5</v>
      </c>
      <c r="H9" s="33">
        <v>1739.3298141489445</v>
      </c>
      <c r="I9" s="23">
        <v>45.403687730162581</v>
      </c>
      <c r="J9" s="5">
        <v>7306.115883744008</v>
      </c>
      <c r="K9" s="31"/>
      <c r="L9" s="23">
        <v>2864801.6562733781</v>
      </c>
      <c r="M9" s="33">
        <v>617.70611058817872</v>
      </c>
      <c r="N9" s="5">
        <v>14</v>
      </c>
      <c r="O9" s="5">
        <v>52.5</v>
      </c>
      <c r="P9" s="33">
        <v>1235.94873446681</v>
      </c>
      <c r="Q9" s="5">
        <v>24.816270565449454</v>
      </c>
      <c r="R9" s="5">
        <v>6206.8750466492929</v>
      </c>
      <c r="S9" s="35"/>
      <c r="T9" s="23">
        <v>2966956.0245699449</v>
      </c>
      <c r="U9" s="33">
        <v>724.34526758823176</v>
      </c>
      <c r="V9" s="5">
        <v>10</v>
      </c>
      <c r="W9" s="5">
        <v>49.5</v>
      </c>
      <c r="X9" s="33">
        <v>1694.1504133187382</v>
      </c>
      <c r="Y9" s="5">
        <v>48.507331450458871</v>
      </c>
      <c r="Z9" s="5">
        <v>7300.2016541106295</v>
      </c>
      <c r="AA9" s="35"/>
    </row>
    <row r="10" spans="2:27" x14ac:dyDescent="0.2">
      <c r="B10" s="4">
        <v>7</v>
      </c>
      <c r="C10" s="4">
        <v>276</v>
      </c>
      <c r="D10" s="23">
        <v>2617769.7981675188</v>
      </c>
      <c r="E10" s="33">
        <v>196.20623041177171</v>
      </c>
      <c r="F10" s="5">
        <v>10</v>
      </c>
      <c r="G10" s="23">
        <v>64.5</v>
      </c>
      <c r="H10" s="33">
        <v>1515.5839173341217</v>
      </c>
      <c r="I10" s="23">
        <v>43.36657126531675</v>
      </c>
      <c r="J10" s="5">
        <v>7148.7531380284836</v>
      </c>
      <c r="K10" s="31"/>
      <c r="L10" s="23">
        <v>2943410.5886541172</v>
      </c>
      <c r="M10" s="33">
        <v>613.46935629406414</v>
      </c>
      <c r="N10" s="5">
        <v>11</v>
      </c>
      <c r="O10" s="5">
        <v>45.5</v>
      </c>
      <c r="P10" s="33">
        <v>937.05091126007733</v>
      </c>
      <c r="Q10" s="5">
        <v>25.596014434723223</v>
      </c>
      <c r="R10" s="5">
        <v>5799.7142516426402</v>
      </c>
      <c r="S10" s="35"/>
      <c r="T10" s="23">
        <v>2970429.793104365</v>
      </c>
      <c r="U10" s="33">
        <v>507.60819805888735</v>
      </c>
      <c r="V10" s="5">
        <v>10</v>
      </c>
      <c r="W10" s="5">
        <v>48</v>
      </c>
      <c r="X10" s="33">
        <v>1471.8323551965143</v>
      </c>
      <c r="Y10" s="5">
        <v>47.997490810866346</v>
      </c>
      <c r="Z10" s="5">
        <v>7063.2185949640416</v>
      </c>
      <c r="AA10" s="35"/>
    </row>
    <row r="11" spans="2:27" x14ac:dyDescent="0.2">
      <c r="B11" s="4">
        <v>8</v>
      </c>
      <c r="C11" s="4">
        <v>822</v>
      </c>
      <c r="D11" s="23">
        <v>2611909.438635306</v>
      </c>
      <c r="E11" s="33">
        <v>338.8477741764612</v>
      </c>
      <c r="F11" s="5">
        <v>10</v>
      </c>
      <c r="G11" s="23">
        <v>65.5</v>
      </c>
      <c r="H11" s="33">
        <v>1629.8727643271773</v>
      </c>
      <c r="I11" s="23">
        <v>46.602315062086561</v>
      </c>
      <c r="J11" s="5">
        <v>7265.5476055092595</v>
      </c>
      <c r="K11" s="31"/>
      <c r="L11" s="23">
        <v>2902731.26736486</v>
      </c>
      <c r="M11" s="33">
        <v>1441.8738748824142</v>
      </c>
      <c r="N11" s="5">
        <v>13</v>
      </c>
      <c r="O11" s="5">
        <v>50.5</v>
      </c>
      <c r="P11" s="33">
        <v>1207.1204730600682</v>
      </c>
      <c r="Q11" s="5">
        <v>24.975922017350868</v>
      </c>
      <c r="R11" s="5">
        <v>6287.2814519980557</v>
      </c>
      <c r="S11" s="35"/>
      <c r="T11" s="23">
        <v>2996118.271263774</v>
      </c>
      <c r="U11" s="33">
        <v>533.85211088235815</v>
      </c>
      <c r="V11" s="5">
        <v>10</v>
      </c>
      <c r="W11" s="5">
        <v>48</v>
      </c>
      <c r="X11" s="33">
        <v>1675.6690266129056</v>
      </c>
      <c r="Y11" s="5">
        <v>45.831827463882</v>
      </c>
      <c r="Z11" s="5">
        <v>7165.1699462848965</v>
      </c>
      <c r="AA11" s="35"/>
    </row>
    <row r="12" spans="2:27" x14ac:dyDescent="0.2">
      <c r="B12" s="4">
        <v>9</v>
      </c>
      <c r="C12" s="4">
        <v>951</v>
      </c>
      <c r="D12" s="23">
        <v>2821822.1604748238</v>
      </c>
      <c r="E12" s="33">
        <v>321.14763952942349</v>
      </c>
      <c r="F12" s="5">
        <v>10</v>
      </c>
      <c r="G12" s="23">
        <v>56.5</v>
      </c>
      <c r="H12" s="33">
        <v>1649.3136963141765</v>
      </c>
      <c r="I12" s="23">
        <v>37.836578284288848</v>
      </c>
      <c r="J12" s="5">
        <v>7196.6308473455001</v>
      </c>
      <c r="K12" s="31"/>
      <c r="L12" s="23">
        <v>2865163.3492384758</v>
      </c>
      <c r="M12" s="33">
        <v>547.80870129409084</v>
      </c>
      <c r="N12" s="5">
        <v>15</v>
      </c>
      <c r="O12" s="5">
        <v>53</v>
      </c>
      <c r="P12" s="33">
        <v>1264.5764861392754</v>
      </c>
      <c r="Q12" s="5">
        <v>23.16944113466478</v>
      </c>
      <c r="R12" s="5">
        <v>6165.3456110557618</v>
      </c>
      <c r="S12" s="35"/>
      <c r="T12" s="23">
        <v>2985996.148564843</v>
      </c>
      <c r="U12" s="33">
        <v>732.57007711765596</v>
      </c>
      <c r="V12" s="5">
        <v>10</v>
      </c>
      <c r="W12" s="5">
        <v>48</v>
      </c>
      <c r="X12" s="33">
        <v>1584.2311552320086</v>
      </c>
      <c r="Y12" s="5">
        <v>45.035045229571978</v>
      </c>
      <c r="Z12" s="5">
        <v>7038.4520729537553</v>
      </c>
      <c r="AA12" s="35"/>
    </row>
    <row r="13" spans="2:27" x14ac:dyDescent="0.2">
      <c r="B13" s="4">
        <v>10</v>
      </c>
      <c r="C13" s="4">
        <v>223</v>
      </c>
      <c r="D13" s="23">
        <v>2610349.093315979</v>
      </c>
      <c r="E13" s="33">
        <v>189.90421335295065</v>
      </c>
      <c r="F13" s="5">
        <v>10</v>
      </c>
      <c r="G13" s="23">
        <v>64</v>
      </c>
      <c r="H13" s="33">
        <v>1479.6194257677626</v>
      </c>
      <c r="I13" s="23">
        <v>45.27951209712208</v>
      </c>
      <c r="J13" s="5">
        <v>7081.0528007665407</v>
      </c>
      <c r="K13" s="31"/>
      <c r="L13" s="23">
        <v>2870590.699696295</v>
      </c>
      <c r="M13" s="33">
        <v>1074.7920707058547</v>
      </c>
      <c r="N13" s="5">
        <v>13</v>
      </c>
      <c r="O13" s="5">
        <v>50.5</v>
      </c>
      <c r="P13" s="33">
        <v>1119.7496062612661</v>
      </c>
      <c r="Q13" s="5">
        <v>25.444636148219519</v>
      </c>
      <c r="R13" s="5">
        <v>6009.4848862885337</v>
      </c>
      <c r="S13" s="35"/>
      <c r="T13" s="23">
        <v>2976786.9366369429</v>
      </c>
      <c r="U13" s="33">
        <v>370.90134705882519</v>
      </c>
      <c r="V13" s="5">
        <v>10</v>
      </c>
      <c r="W13" s="5">
        <v>48</v>
      </c>
      <c r="X13" s="33">
        <v>1500.3126824280964</v>
      </c>
      <c r="Y13" s="5">
        <v>44.953975328868822</v>
      </c>
      <c r="Z13" s="5">
        <v>7073.45425093223</v>
      </c>
      <c r="AA13" s="35"/>
    </row>
    <row r="14" spans="2:27" x14ac:dyDescent="0.2">
      <c r="B14" s="47" t="s">
        <v>3</v>
      </c>
      <c r="C14" s="48"/>
      <c r="D14" s="9">
        <f>MIN(D4:D13)</f>
        <v>2554646.024397538</v>
      </c>
      <c r="E14" s="22">
        <f>INDEX(E4:E13, MATCH($D$14, D4:D13, 0))</f>
        <v>1087.5792427647259</v>
      </c>
      <c r="F14" s="9">
        <f>INDEX(F4:F13, MATCH($D$14, D4:D13, 0))</f>
        <v>11</v>
      </c>
      <c r="G14" s="9">
        <f>INDEX(G4:G13, MATCH($D$14, D4:D13, 0))</f>
        <v>69.5</v>
      </c>
      <c r="H14" s="22">
        <f>INDEX(H4:H13, MATCH($D$14, D4:D13, 0))</f>
        <v>1739.3298141489445</v>
      </c>
      <c r="I14" s="22">
        <f>INDEX(I4:I13, MATCH($D$14, D4:D13, 0))</f>
        <v>45.403687730162581</v>
      </c>
      <c r="J14" s="22">
        <f>INDEX(J4:J13, MATCH($D$14, D4:D13, 0))</f>
        <v>7306.115883744008</v>
      </c>
      <c r="K14" s="32" t="e">
        <f>(D14-$D$15)/$D$15</f>
        <v>#DIV/0!</v>
      </c>
      <c r="L14" s="16">
        <f>MIN(L4:L13)</f>
        <v>2864801.6562733781</v>
      </c>
      <c r="M14" s="21">
        <f>INDEX(M4:M13, MATCH($L$14, L4:L13, 0))</f>
        <v>617.70611058817872</v>
      </c>
      <c r="N14" s="16">
        <f>INDEX(N4:N13, MATCH($L$14, L4:L13, 0))</f>
        <v>14</v>
      </c>
      <c r="O14" s="16">
        <f>INDEX(O4:O13, MATCH($L$14, L4:L13, 0))</f>
        <v>52.5</v>
      </c>
      <c r="P14" s="21">
        <f>INDEX(P4:P13, MATCH($L$14, L4:L13, 0))</f>
        <v>1235.94873446681</v>
      </c>
      <c r="Q14" s="21">
        <f>INDEX(Q4:Q13, MATCH($L$14, L4:L13, 0))</f>
        <v>24.816270565449454</v>
      </c>
      <c r="R14" s="21">
        <f>INDEX(R4:R13, MATCH($L$14, L4:L13, 0))</f>
        <v>6206.8750466492929</v>
      </c>
      <c r="S14" s="36" t="e">
        <f>(L14-$D$15)/$D$15</f>
        <v>#DIV/0!</v>
      </c>
      <c r="T14" s="38">
        <f>MIN(T4:T13)</f>
        <v>2966636.718460517</v>
      </c>
      <c r="U14" s="39">
        <f>INDEX(U4:U13, MATCH($T$14, T4:T13, 0))</f>
        <v>920.04529570585476</v>
      </c>
      <c r="V14" s="38">
        <f>INDEX(V4:V13, MATCH($T$14, T4:T13, 0))</f>
        <v>10</v>
      </c>
      <c r="W14" s="38">
        <f>INDEX(W4:W13, MATCH($T$14, T4:T13, 0))</f>
        <v>49</v>
      </c>
      <c r="X14" s="39">
        <f>INDEX(X4:X13, MATCH($T$14, T4:T13, 0))</f>
        <v>1613.0839372833316</v>
      </c>
      <c r="Y14" s="39">
        <f>INDEX(Y4:Y13, MATCH($T$14, T4:T13, 0))</f>
        <v>47.736475957730399</v>
      </c>
      <c r="Z14" s="39">
        <f>INDEX(Z4:Z13, MATCH($T$14, T4:T13, 0))</f>
        <v>7202.8778761305839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0.12140845695011072</v>
      </c>
      <c r="M15" s="41">
        <f t="shared" ref="M15:R15" si="0">(M14-E14)/E14</f>
        <v>-0.43203576686705303</v>
      </c>
      <c r="N15" s="41">
        <f t="shared" si="0"/>
        <v>0.27272727272727271</v>
      </c>
      <c r="O15" s="41">
        <f t="shared" si="0"/>
        <v>-0.2446043165467626</v>
      </c>
      <c r="P15" s="41">
        <f t="shared" si="0"/>
        <v>-0.28941094183936544</v>
      </c>
      <c r="Q15" s="41">
        <f t="shared" si="0"/>
        <v>-0.45343050738666085</v>
      </c>
      <c r="R15" s="41">
        <f t="shared" si="0"/>
        <v>-0.15045488664373755</v>
      </c>
      <c r="T15" s="41">
        <f>(T14-D14)/D14</f>
        <v>0.16127114681578583</v>
      </c>
      <c r="U15" s="41">
        <f t="shared" ref="U15:Y15" si="1">(U14-E14)/E14</f>
        <v>-0.15404297955612367</v>
      </c>
      <c r="V15" s="41">
        <f t="shared" si="1"/>
        <v>-9.0909090909090912E-2</v>
      </c>
      <c r="W15" s="41">
        <f t="shared" si="1"/>
        <v>-0.29496402877697842</v>
      </c>
      <c r="X15" s="41">
        <f t="shared" si="1"/>
        <v>-7.2583058048358184E-2</v>
      </c>
      <c r="Y15" s="41">
        <f t="shared" si="1"/>
        <v>5.1378827231650166E-2</v>
      </c>
      <c r="Z15" s="41">
        <f>(Z14-J14)/J14</f>
        <v>-1.4130354521631257E-2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5:C1048576">
    <cfRule type="duplicateValues" dxfId="55" priority="7"/>
    <cfRule type="duplicateValues" dxfId="54" priority="8"/>
  </conditionalFormatting>
  <conditionalFormatting sqref="C14">
    <cfRule type="duplicateValues" dxfId="53" priority="5"/>
    <cfRule type="duplicateValues" dxfId="52" priority="6"/>
  </conditionalFormatting>
  <conditionalFormatting sqref="C15">
    <cfRule type="duplicateValues" dxfId="51" priority="3"/>
    <cfRule type="duplicateValues" dxfId="50" priority="4"/>
  </conditionalFormatting>
  <conditionalFormatting sqref="C20:C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results105</vt:lpstr>
      <vt:lpstr>results118</vt:lpstr>
      <vt:lpstr>results129</vt:lpstr>
      <vt:lpstr>results223</vt:lpstr>
      <vt:lpstr>results261</vt:lpstr>
      <vt:lpstr>results361</vt:lpstr>
      <vt:lpstr>results469</vt:lpstr>
      <vt:lpstr>results494</vt:lpstr>
      <vt:lpstr>results519</vt:lpstr>
      <vt:lpstr>results963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2026-10-20T18:10:13Z</dcterms:modified>
</cp:coreProperties>
</file>