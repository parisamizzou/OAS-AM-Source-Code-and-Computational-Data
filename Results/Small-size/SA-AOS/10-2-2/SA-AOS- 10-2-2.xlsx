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Small/SA-AOS/10-2-2/"/>
    </mc:Choice>
  </mc:AlternateContent>
  <xr:revisionPtr revIDLastSave="0" documentId="13_ncr:1_{C5045D04-1F85-D14F-BCB3-3B0B99033288}" xr6:coauthVersionLast="47" xr6:coauthVersionMax="47" xr10:uidLastSave="{00000000-0000-0000-0000-000000000000}"/>
  <bookViews>
    <workbookView xWindow="0" yWindow="760" windowWidth="34560" windowHeight="20520" xr2:uid="{41E620E7-D6DF-9342-B452-EA60AB3B07C5}"/>
  </bookViews>
  <sheets>
    <sheet name="Summary" sheetId="67" r:id="rId1"/>
    <sheet name="results39" sheetId="57" r:id="rId2"/>
    <sheet name="results214" sheetId="58" r:id="rId3"/>
    <sheet name="results238" sheetId="59" r:id="rId4"/>
    <sheet name="results300" sheetId="60" r:id="rId5"/>
    <sheet name="results306" sheetId="63" r:id="rId6"/>
    <sheet name="results426" sheetId="61" r:id="rId7"/>
    <sheet name="results430" sheetId="64" r:id="rId8"/>
    <sheet name="results553" sheetId="65" r:id="rId9"/>
    <sheet name="results728" sheetId="66" r:id="rId10"/>
    <sheet name="results783" sheetId="6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4" i="57" l="1"/>
  <c r="D14" i="61"/>
  <c r="H14" i="61" s="1"/>
  <c r="D14" i="62"/>
  <c r="H14" i="62" s="1"/>
  <c r="D14" i="66"/>
  <c r="I14" i="66" s="1"/>
  <c r="G14" i="65"/>
  <c r="F14" i="65"/>
  <c r="E14" i="65"/>
  <c r="D14" i="65"/>
  <c r="D14" i="64"/>
  <c r="E14" i="64" s="1"/>
  <c r="D14" i="63"/>
  <c r="J14" i="63" s="1"/>
  <c r="D14" i="60"/>
  <c r="D14" i="59"/>
  <c r="F14" i="59" s="1"/>
  <c r="D14" i="58"/>
  <c r="I14" i="58" s="1"/>
  <c r="I14" i="57"/>
  <c r="H14" i="57"/>
  <c r="G14" i="57"/>
  <c r="F14" i="57"/>
  <c r="D14" i="57"/>
  <c r="J14" i="57" s="1"/>
  <c r="E14" i="61" l="1"/>
  <c r="I14" i="61"/>
  <c r="J14" i="61"/>
  <c r="G14" i="61"/>
  <c r="F14" i="61"/>
  <c r="E14" i="62"/>
  <c r="J14" i="62"/>
  <c r="I14" i="62"/>
  <c r="F14" i="62"/>
  <c r="G14" i="62"/>
  <c r="J14" i="66"/>
  <c r="G14" i="66"/>
  <c r="H14" i="66"/>
  <c r="E14" i="66"/>
  <c r="F14" i="66"/>
  <c r="I14" i="65"/>
  <c r="H14" i="65"/>
  <c r="J14" i="65"/>
  <c r="F14" i="64"/>
  <c r="G14" i="64"/>
  <c r="H14" i="64"/>
  <c r="J14" i="64"/>
  <c r="I14" i="64"/>
  <c r="H14" i="63"/>
  <c r="F14" i="63"/>
  <c r="I14" i="63"/>
  <c r="G14" i="63"/>
  <c r="E14" i="63"/>
  <c r="F14" i="60"/>
  <c r="G14" i="60"/>
  <c r="J14" i="60"/>
  <c r="H14" i="60"/>
  <c r="E14" i="60"/>
  <c r="I14" i="60"/>
  <c r="I14" i="59"/>
  <c r="G14" i="59"/>
  <c r="E14" i="59"/>
  <c r="H14" i="59"/>
  <c r="J14" i="59"/>
  <c r="F14" i="58"/>
  <c r="J14" i="58"/>
  <c r="H14" i="58"/>
  <c r="E14" i="58"/>
  <c r="G14" i="58"/>
  <c r="K14" i="57"/>
  <c r="E14" i="57"/>
  <c r="E8" i="67" a="1"/>
  <c r="H12" i="67" a="1"/>
  <c r="C3" i="67" a="1"/>
  <c r="H10" i="67" a="1"/>
  <c r="D7" i="67" a="1"/>
  <c r="F6" i="67" a="1"/>
  <c r="G5" i="67" a="1"/>
  <c r="H4" i="67" a="1"/>
  <c r="D9" i="67" a="1"/>
  <c r="F5" i="67" a="1"/>
  <c r="D6" i="67" a="1"/>
  <c r="G7" i="67" a="1"/>
  <c r="G11" i="67" a="1"/>
  <c r="C12" i="67" a="1"/>
  <c r="E11" i="67" a="1"/>
  <c r="F9" i="67" a="1"/>
  <c r="E4" i="67" a="1"/>
  <c r="F4" i="67" a="1"/>
  <c r="H6" i="67" a="1"/>
  <c r="C8" i="67" a="1"/>
  <c r="E10" i="67" a="1"/>
  <c r="G6" i="67" a="1"/>
  <c r="E7" i="67" a="1"/>
  <c r="G4" i="67" a="1"/>
  <c r="E9" i="67" a="1"/>
  <c r="E3" i="67" a="1"/>
  <c r="H8" i="67" a="1"/>
  <c r="H11" i="67" a="1"/>
  <c r="I11" i="67" a="1"/>
  <c r="I3" i="67" a="1"/>
  <c r="H3" i="67" a="1"/>
  <c r="F12" i="67" a="1"/>
  <c r="C6" i="67" a="1"/>
  <c r="C5" i="67" a="1"/>
  <c r="F10" i="67" a="1"/>
  <c r="H5" i="67" a="1"/>
  <c r="D8" i="67" a="1"/>
  <c r="C9" i="67" a="1"/>
  <c r="C7" i="67" a="1"/>
  <c r="I6" i="67" a="1"/>
  <c r="D10" i="67" a="1"/>
  <c r="I4" i="67" a="1"/>
  <c r="H9" i="67" a="1"/>
  <c r="G9" i="67" a="1"/>
  <c r="I12" i="67" a="1"/>
  <c r="F7" i="67" a="1"/>
  <c r="G10" i="67" a="1"/>
  <c r="G8" i="67" a="1"/>
  <c r="G3" i="67" a="1"/>
  <c r="D12" i="67" a="1"/>
  <c r="D5" i="67" a="1"/>
  <c r="I5" i="67" a="1"/>
  <c r="I9" i="67" a="1"/>
  <c r="E5" i="67" a="1"/>
  <c r="H7" i="67" a="1"/>
  <c r="C11" i="67" a="1"/>
  <c r="I8" i="67" a="1"/>
  <c r="C10" i="67" a="1"/>
  <c r="F11" i="67" a="1"/>
  <c r="D11" i="67" a="1"/>
  <c r="G12" i="67" a="1"/>
  <c r="D4" i="67" a="1"/>
  <c r="F3" i="67" a="1"/>
  <c r="E12" i="67" a="1"/>
  <c r="C4" i="67" a="1"/>
  <c r="I10" i="67" a="1"/>
  <c r="E6" i="67" a="1"/>
  <c r="I7" i="67" a="1"/>
  <c r="D3" i="67" a="1"/>
  <c r="F8" i="67" a="1"/>
  <c r="F3" i="67" l="1"/>
  <c r="E11" i="67"/>
  <c r="G11" i="67"/>
  <c r="I6" i="67"/>
  <c r="C4" i="67"/>
  <c r="D3" i="67"/>
  <c r="F5" i="67"/>
  <c r="E9" i="67"/>
  <c r="C3" i="67"/>
  <c r="D8" i="67"/>
  <c r="H10" i="67"/>
  <c r="C5" i="67"/>
  <c r="E6" i="67"/>
  <c r="E5" i="67"/>
  <c r="I7" i="67"/>
  <c r="I3" i="67"/>
  <c r="H6" i="67"/>
  <c r="G10" i="67"/>
  <c r="H9" i="67"/>
  <c r="E8" i="67"/>
  <c r="C9" i="67"/>
  <c r="I5" i="67"/>
  <c r="G3" i="67"/>
  <c r="D10" i="67"/>
  <c r="F9" i="67"/>
  <c r="D6" i="67"/>
  <c r="H4" i="67"/>
  <c r="F4" i="67"/>
  <c r="G9" i="67"/>
  <c r="G8" i="67"/>
  <c r="H3" i="67"/>
  <c r="H5" i="67"/>
  <c r="E3" i="67"/>
  <c r="D11" i="67"/>
  <c r="E10" i="67"/>
  <c r="I4" i="67"/>
  <c r="I9" i="67"/>
  <c r="C7" i="67"/>
  <c r="C6" i="67"/>
  <c r="F7" i="67"/>
  <c r="I8" i="67"/>
  <c r="C12" i="67"/>
  <c r="G6" i="67"/>
  <c r="D4" i="67"/>
  <c r="E4" i="67"/>
  <c r="H12" i="67"/>
  <c r="D12" i="67"/>
  <c r="H7" i="67"/>
  <c r="H8" i="67"/>
  <c r="G12" i="67"/>
  <c r="H11" i="67"/>
  <c r="I10" i="67"/>
  <c r="C11" i="67"/>
  <c r="F8" i="67"/>
  <c r="F12" i="67"/>
  <c r="C8" i="67"/>
  <c r="G4" i="67"/>
  <c r="D5" i="67"/>
  <c r="F11" i="67"/>
  <c r="G7" i="67"/>
  <c r="D7" i="67"/>
  <c r="G5" i="67"/>
  <c r="F6" i="67"/>
  <c r="D9" i="67"/>
  <c r="E7" i="67"/>
  <c r="C10" i="67"/>
  <c r="E12" i="67"/>
  <c r="I12" i="67"/>
  <c r="I11" i="67"/>
  <c r="F10" i="67"/>
  <c r="C17" i="67" l="1"/>
  <c r="E13" i="67"/>
  <c r="C13" i="67"/>
  <c r="G13" i="67"/>
  <c r="H13" i="67"/>
  <c r="I13" i="67"/>
  <c r="D13" i="67"/>
  <c r="F13" i="67"/>
  <c r="L14" i="62" l="1"/>
  <c r="Q14" i="62" s="1"/>
  <c r="L14" i="66"/>
  <c r="L14" i="65"/>
  <c r="L14" i="64"/>
  <c r="L14" i="61"/>
  <c r="R14" i="61" s="1"/>
  <c r="L14" i="63"/>
  <c r="L14" i="60"/>
  <c r="L14" i="59"/>
  <c r="L14" i="58"/>
  <c r="L14" i="57"/>
  <c r="T14" i="62"/>
  <c r="X14" i="62" s="1"/>
  <c r="T14" i="66"/>
  <c r="Z14" i="66" s="1"/>
  <c r="T14" i="65"/>
  <c r="T14" i="64"/>
  <c r="T14" i="61"/>
  <c r="T14" i="63"/>
  <c r="T14" i="60"/>
  <c r="T14" i="59"/>
  <c r="T14" i="58"/>
  <c r="AA14" i="61"/>
  <c r="Z14" i="61"/>
  <c r="Y14" i="61"/>
  <c r="V14" i="61"/>
  <c r="U14" i="61"/>
  <c r="X14" i="61"/>
  <c r="W14" i="61"/>
  <c r="O14" i="61"/>
  <c r="S14" i="61"/>
  <c r="Q14" i="61"/>
  <c r="N14" i="61"/>
  <c r="P14" i="61"/>
  <c r="M14" i="61"/>
  <c r="O14" i="62"/>
  <c r="N14" i="62"/>
  <c r="M14" i="62"/>
  <c r="R14" i="62"/>
  <c r="S14" i="62"/>
  <c r="P14" i="62"/>
  <c r="AA14" i="62"/>
  <c r="Z14" i="62"/>
  <c r="Y14" i="62"/>
  <c r="AA14" i="66"/>
  <c r="Y14" i="66"/>
  <c r="U14" i="66"/>
  <c r="X14" i="66"/>
  <c r="V14" i="66"/>
  <c r="W14" i="66"/>
  <c r="O14" i="66"/>
  <c r="N14" i="66"/>
  <c r="S14" i="66"/>
  <c r="M14" i="66"/>
  <c r="R14" i="66"/>
  <c r="P14" i="66"/>
  <c r="Q14" i="66"/>
  <c r="AA14" i="65"/>
  <c r="Z14" i="65"/>
  <c r="Y14" i="65"/>
  <c r="X14" i="65"/>
  <c r="W14" i="65"/>
  <c r="V14" i="65"/>
  <c r="U14" i="65"/>
  <c r="N14" i="65"/>
  <c r="M14" i="65"/>
  <c r="S14" i="65"/>
  <c r="R14" i="65"/>
  <c r="Q14" i="65"/>
  <c r="P14" i="65"/>
  <c r="O14" i="65"/>
  <c r="AA14" i="64"/>
  <c r="Z14" i="64"/>
  <c r="U14" i="64"/>
  <c r="Y14" i="64"/>
  <c r="X14" i="64"/>
  <c r="W14" i="64"/>
  <c r="V14" i="64"/>
  <c r="O14" i="64"/>
  <c r="N14" i="64"/>
  <c r="P14" i="64"/>
  <c r="M14" i="64"/>
  <c r="R14" i="64"/>
  <c r="S14" i="64"/>
  <c r="Q14" i="64"/>
  <c r="O14" i="63"/>
  <c r="N14" i="63"/>
  <c r="R14" i="63"/>
  <c r="M14" i="63"/>
  <c r="S14" i="63"/>
  <c r="Q14" i="63"/>
  <c r="P14" i="63"/>
  <c r="AA14" i="63"/>
  <c r="Z14" i="63"/>
  <c r="Y14" i="63"/>
  <c r="X14" i="63"/>
  <c r="W14" i="63"/>
  <c r="V14" i="63"/>
  <c r="U14" i="63"/>
  <c r="M14" i="60"/>
  <c r="O14" i="60"/>
  <c r="N14" i="60"/>
  <c r="S14" i="60"/>
  <c r="Q14" i="60"/>
  <c r="P14" i="60"/>
  <c r="R14" i="60"/>
  <c r="AA14" i="60"/>
  <c r="Z14" i="60"/>
  <c r="Y14" i="60"/>
  <c r="X14" i="60"/>
  <c r="W14" i="60"/>
  <c r="V14" i="60"/>
  <c r="U14" i="60"/>
  <c r="AA14" i="59"/>
  <c r="Z14" i="59"/>
  <c r="V14" i="59"/>
  <c r="U14" i="59"/>
  <c r="Y14" i="59"/>
  <c r="X14" i="59"/>
  <c r="W14" i="59"/>
  <c r="O14" i="59"/>
  <c r="P14" i="59"/>
  <c r="N14" i="59"/>
  <c r="S14" i="59"/>
  <c r="M14" i="59"/>
  <c r="R14" i="59"/>
  <c r="Q14" i="59"/>
  <c r="O14" i="58"/>
  <c r="R14" i="58"/>
  <c r="N14" i="58"/>
  <c r="Q14" i="58"/>
  <c r="P14" i="58"/>
  <c r="M14" i="58"/>
  <c r="V14" i="58"/>
  <c r="Z14" i="58"/>
  <c r="Y14" i="58"/>
  <c r="U14" i="58"/>
  <c r="X14" i="58"/>
  <c r="W14" i="58"/>
  <c r="O14" i="57"/>
  <c r="N14" i="57"/>
  <c r="M14" i="57"/>
  <c r="S14" i="57"/>
  <c r="R14" i="57"/>
  <c r="Q14" i="57"/>
  <c r="P14" i="57"/>
  <c r="T14" i="57"/>
  <c r="M6" i="67" a="1"/>
  <c r="Q7" i="67" a="1"/>
  <c r="O5" i="67" a="1"/>
  <c r="X4" i="67" a="1"/>
  <c r="L4" i="67" a="1"/>
  <c r="W9" i="67" a="1"/>
  <c r="V10" i="67" a="1"/>
  <c r="Y5" i="67" a="1"/>
  <c r="Y11" i="67" a="1"/>
  <c r="W12" i="67" a="1"/>
  <c r="M10" i="67" a="1"/>
  <c r="L11" i="67" a="1"/>
  <c r="V6" i="67" a="1"/>
  <c r="K5" i="67" a="1"/>
  <c r="M7" i="67" a="1"/>
  <c r="X5" i="67" a="1"/>
  <c r="K4" i="67" a="1"/>
  <c r="K12" i="67" a="1"/>
  <c r="T10" i="67" a="1"/>
  <c r="Y8" i="67" a="1"/>
  <c r="U4" i="67" a="1"/>
  <c r="M8" i="67" a="1"/>
  <c r="K3" i="67" a="1"/>
  <c r="L8" i="67" a="1"/>
  <c r="V8" i="67" a="1"/>
  <c r="T12" i="67" a="1"/>
  <c r="T7" i="67" a="1"/>
  <c r="N9" i="67" a="1"/>
  <c r="O12" i="67" a="1"/>
  <c r="M11" i="67" a="1"/>
  <c r="S9" i="67" a="1"/>
  <c r="X12" i="67" a="1"/>
  <c r="Y9" i="67" a="1"/>
  <c r="M5" i="67" a="1"/>
  <c r="P3" i="67" a="1"/>
  <c r="W4" i="67" a="1"/>
  <c r="K6" i="67" a="1"/>
  <c r="P7" i="67" a="1"/>
  <c r="L7" i="67" a="1"/>
  <c r="U6" i="67" a="1"/>
  <c r="O4" i="67" a="1"/>
  <c r="X11" i="67" a="1"/>
  <c r="Q9" i="67" a="1"/>
  <c r="N10" i="67" a="1"/>
  <c r="Q11" i="67" a="1"/>
  <c r="O6" i="67" a="1"/>
  <c r="W11" i="67" a="1"/>
  <c r="Y4" i="67" a="1"/>
  <c r="P12" i="67" a="1"/>
  <c r="Q3" i="67" a="1"/>
  <c r="W8" i="67" a="1"/>
  <c r="L6" i="67" a="1"/>
  <c r="M12" i="67" a="1"/>
  <c r="T5" i="67" a="1"/>
  <c r="X8" i="67" a="1"/>
  <c r="O3" i="67" a="1"/>
  <c r="S8" i="67" a="1"/>
  <c r="U9" i="67" a="1"/>
  <c r="X6" i="67" a="1"/>
  <c r="T6" i="67" a="1"/>
  <c r="U5" i="67" a="1"/>
  <c r="P5" i="67" a="1"/>
  <c r="S6" i="67" a="1"/>
  <c r="K11" i="67" a="1"/>
  <c r="Q12" i="67" a="1"/>
  <c r="P10" i="67" a="1"/>
  <c r="U12" i="67" a="1"/>
  <c r="M3" i="67" a="1"/>
  <c r="Q8" i="67" a="1"/>
  <c r="Y6" i="67" a="1"/>
  <c r="N5" i="67" a="1"/>
  <c r="P11" i="67" a="1"/>
  <c r="W10" i="67" a="1"/>
  <c r="O7" i="67" a="1"/>
  <c r="P9" i="67" a="1"/>
  <c r="N8" i="67" a="1"/>
  <c r="Y12" i="67" a="1"/>
  <c r="K8" i="67" a="1"/>
  <c r="U8" i="67" a="1"/>
  <c r="N12" i="67" a="1"/>
  <c r="Q4" i="67" a="1"/>
  <c r="O8" i="67" a="1"/>
  <c r="W6" i="67" a="1"/>
  <c r="Y10" i="67" a="1"/>
  <c r="V4" i="67" a="1"/>
  <c r="V5" i="67" a="1"/>
  <c r="T9" i="67" a="1"/>
  <c r="L5" i="67" a="1"/>
  <c r="L10" i="67" a="1"/>
  <c r="X10" i="67" a="1"/>
  <c r="Q5" i="67" a="1"/>
  <c r="X7" i="67" a="1"/>
  <c r="K7" i="67" a="1"/>
  <c r="Y7" i="67" a="1"/>
  <c r="O11" i="67" a="1"/>
  <c r="V12" i="67" a="1"/>
  <c r="S11" i="67" a="1"/>
  <c r="S7" i="67" a="1"/>
  <c r="S4" i="67" a="1"/>
  <c r="M4" i="67" a="1"/>
  <c r="S12" i="67" a="1"/>
  <c r="K9" i="67" a="1"/>
  <c r="N3" i="67" a="1"/>
  <c r="Q6" i="67" a="1"/>
  <c r="K10" i="67" a="1"/>
  <c r="X9" i="67" a="1"/>
  <c r="U7" i="67" a="1"/>
  <c r="O9" i="67" a="1"/>
  <c r="N4" i="67" a="1"/>
  <c r="L3" i="67" a="1"/>
  <c r="V7" i="67" a="1"/>
  <c r="P8" i="67" a="1"/>
  <c r="S5" i="67" a="1"/>
  <c r="P6" i="67" a="1"/>
  <c r="T4" i="67" a="1"/>
  <c r="Q10" i="67" a="1"/>
  <c r="O10" i="67" a="1"/>
  <c r="L12" i="67" a="1"/>
  <c r="S3" i="67" a="1"/>
  <c r="T8" i="67" a="1"/>
  <c r="N7" i="67" a="1"/>
  <c r="N11" i="67" a="1"/>
  <c r="V9" i="67" a="1"/>
  <c r="N6" i="67" a="1"/>
  <c r="U10" i="67" a="1"/>
  <c r="M9" i="67" a="1"/>
  <c r="P4" i="67" a="1"/>
  <c r="W5" i="67" a="1"/>
  <c r="W7" i="67" a="1"/>
  <c r="L9" i="67" a="1"/>
  <c r="S10" i="67" a="1"/>
  <c r="V14" i="62" l="1"/>
  <c r="W14" i="62"/>
  <c r="U14" i="62"/>
  <c r="W14" i="57"/>
  <c r="U14" i="57"/>
  <c r="Z14" i="57"/>
  <c r="Y14" i="57"/>
  <c r="X14" i="57"/>
  <c r="V14" i="57"/>
  <c r="M12" i="67"/>
  <c r="L8" i="67"/>
  <c r="Y4" i="67"/>
  <c r="Q12" i="67"/>
  <c r="W7" i="67"/>
  <c r="N7" i="67"/>
  <c r="L10" i="67"/>
  <c r="Q11" i="67"/>
  <c r="U10" i="67"/>
  <c r="V12" i="67"/>
  <c r="V9" i="67"/>
  <c r="O12" i="67"/>
  <c r="U7" i="67"/>
  <c r="L7" i="67"/>
  <c r="O10" i="67"/>
  <c r="K11" i="67"/>
  <c r="V10" i="67"/>
  <c r="T12" i="67"/>
  <c r="Y9" i="67"/>
  <c r="O4" i="67"/>
  <c r="S5" i="67"/>
  <c r="N3" i="67"/>
  <c r="K7" i="67"/>
  <c r="P10" i="67"/>
  <c r="L5" i="67"/>
  <c r="T10" i="67"/>
  <c r="W12" i="67"/>
  <c r="T9" i="67"/>
  <c r="Q4" i="67"/>
  <c r="W6" i="67"/>
  <c r="L3" i="67"/>
  <c r="P12" i="67"/>
  <c r="T7" i="67"/>
  <c r="K3" i="67"/>
  <c r="U9" i="67"/>
  <c r="L4" i="67"/>
  <c r="U6" i="67"/>
  <c r="O6" i="67"/>
  <c r="V8" i="67"/>
  <c r="W4" i="67"/>
  <c r="N9" i="67"/>
  <c r="O11" i="67"/>
  <c r="O5" i="67"/>
  <c r="Y8" i="67"/>
  <c r="S9" i="67"/>
  <c r="K4" i="67"/>
  <c r="Y6" i="67"/>
  <c r="Q6" i="67"/>
  <c r="V7" i="67"/>
  <c r="Y12" i="67"/>
  <c r="V6" i="67"/>
  <c r="N8" i="67"/>
  <c r="X7" i="67"/>
  <c r="L9" i="67"/>
  <c r="P5" i="67"/>
  <c r="Q8" i="67"/>
  <c r="Y7" i="67"/>
  <c r="P8" i="67"/>
  <c r="T4" i="67"/>
  <c r="O9" i="67"/>
  <c r="M5" i="67"/>
  <c r="T8" i="67"/>
  <c r="W11" i="67"/>
  <c r="O8" i="67"/>
  <c r="T6" i="67"/>
  <c r="M6" i="67"/>
  <c r="N5" i="67"/>
  <c r="X8" i="67"/>
  <c r="Y11" i="67"/>
  <c r="V5" i="67"/>
  <c r="X6" i="67"/>
  <c r="N6" i="67"/>
  <c r="Q9" i="67"/>
  <c r="S10" i="67"/>
  <c r="W9" i="67"/>
  <c r="K8" i="67"/>
  <c r="U4" i="67"/>
  <c r="O7" i="67"/>
  <c r="P9" i="67"/>
  <c r="L11" i="67"/>
  <c r="K5" i="67"/>
  <c r="U8" i="67"/>
  <c r="X11" i="67"/>
  <c r="T5" i="67"/>
  <c r="S6" i="67"/>
  <c r="L6" i="67"/>
  <c r="O3" i="67"/>
  <c r="P6" i="67"/>
  <c r="M9" i="67"/>
  <c r="V4" i="67"/>
  <c r="K9" i="67"/>
  <c r="N11" i="67"/>
  <c r="X10" i="67"/>
  <c r="W8" i="67"/>
  <c r="Q7" i="67"/>
  <c r="S8" i="67"/>
  <c r="S11" i="67"/>
  <c r="U5" i="67"/>
  <c r="P3" i="67"/>
  <c r="K6" i="67"/>
  <c r="M8" i="67"/>
  <c r="Q10" i="67"/>
  <c r="X9" i="67"/>
  <c r="P7" i="67"/>
  <c r="W5" i="67"/>
  <c r="L12" i="67"/>
  <c r="X4" i="67"/>
  <c r="M10" i="67"/>
  <c r="P11" i="67"/>
  <c r="Y10" i="67"/>
  <c r="N12" i="67"/>
  <c r="S4" i="67"/>
  <c r="M7" i="67"/>
  <c r="N10" i="67"/>
  <c r="M11" i="67"/>
  <c r="W10" i="67"/>
  <c r="U12" i="67"/>
  <c r="S3" i="67"/>
  <c r="N4" i="67"/>
  <c r="X5" i="67"/>
  <c r="Q3" i="67"/>
  <c r="X12" i="67"/>
  <c r="K12" i="67"/>
  <c r="Q5" i="67"/>
  <c r="M4" i="67"/>
  <c r="K10" i="67"/>
  <c r="S12" i="67"/>
  <c r="S7" i="67"/>
  <c r="P4" i="67"/>
  <c r="Y5" i="67"/>
  <c r="M3" i="67"/>
  <c r="V11" i="67" a="1"/>
  <c r="U11" i="67" a="1"/>
  <c r="V3" i="67" a="1"/>
  <c r="U3" i="67" a="1"/>
  <c r="Y3" i="67" a="1"/>
  <c r="X3" i="67" a="1"/>
  <c r="W3" i="67" a="1"/>
  <c r="T11" i="67" a="1"/>
  <c r="T3" i="67" a="1"/>
  <c r="S17" i="67" l="1"/>
  <c r="K17" i="67"/>
  <c r="P13" i="67"/>
  <c r="O13" i="67"/>
  <c r="L13" i="67"/>
  <c r="M13" i="67"/>
  <c r="K13" i="67"/>
  <c r="N13" i="67"/>
  <c r="Q13" i="67"/>
  <c r="T11" i="67"/>
  <c r="V11" i="67"/>
  <c r="U11" i="67"/>
  <c r="W3" i="67"/>
  <c r="W13" i="67" s="1"/>
  <c r="X3" i="67"/>
  <c r="X13" i="67" s="1"/>
  <c r="Y3" i="67"/>
  <c r="Y13" i="67" s="1"/>
  <c r="U3" i="67"/>
  <c r="T3" i="67"/>
  <c r="V3" i="67"/>
  <c r="S13" i="67"/>
  <c r="U13" i="67" l="1"/>
  <c r="T13" i="67"/>
  <c r="V13" i="67"/>
  <c r="Z13" i="6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<sst xmlns="http://schemas.openxmlformats.org/spreadsheetml/2006/main" count="342" uniqueCount="16">
  <si>
    <t>Obj</t>
  </si>
  <si>
    <t>Gap%</t>
  </si>
  <si>
    <t>Average</t>
  </si>
  <si>
    <t>Seed</t>
  </si>
  <si>
    <t>Time (sec)</t>
  </si>
  <si>
    <t>Instance</t>
  </si>
  <si>
    <t>Ave Completion time</t>
  </si>
  <si>
    <t>Ave Tardiness</t>
  </si>
  <si>
    <t># Batches</t>
  </si>
  <si>
    <t>N</t>
  </si>
  <si>
    <t>Acceptance Rate (%)</t>
  </si>
  <si>
    <t>Average Batch Utilization (%)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</si>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</sst>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2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4" xfId="1" applyFon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6E530-F97C-1A4C-93FD-7D3385A15133}">
  <dimension ref="B1:Z17"/>
  <sheetViews>
    <sheetView tabSelected="1" zoomScaleNormal="85" workbookViewId="0">
      <selection activeCell="R13" sqref="R13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1" spans="2:26" x14ac:dyDescent="0.2">
      <c r="B1" s="1" t="s">
        <v>12</v>
      </c>
      <c r="K1" t="s">
        <v>13</v>
      </c>
      <c r="S1" t="s">
        <v>14</v>
      </c>
    </row>
    <row r="2" spans="2:26" x14ac:dyDescent="0.2">
      <c r="B2" s="16" t="s">
        <v>3</v>
      </c>
      <c r="C2" s="6" t="s">
        <v>0</v>
      </c>
      <c r="D2" s="6" t="s">
        <v>4</v>
      </c>
      <c r="E2" s="6" t="s">
        <v>8</v>
      </c>
      <c r="F2" s="6" t="s">
        <v>10</v>
      </c>
      <c r="G2" s="6" t="s">
        <v>7</v>
      </c>
      <c r="H2" s="6" t="s">
        <v>11</v>
      </c>
      <c r="I2" s="6" t="s">
        <v>6</v>
      </c>
      <c r="J2" s="6" t="s">
        <v>1</v>
      </c>
      <c r="K2" s="9" t="s">
        <v>0</v>
      </c>
      <c r="L2" s="9" t="s">
        <v>4</v>
      </c>
      <c r="M2" s="9" t="s">
        <v>8</v>
      </c>
      <c r="N2" s="9" t="s">
        <v>10</v>
      </c>
      <c r="O2" s="9" t="s">
        <v>7</v>
      </c>
      <c r="P2" s="9" t="s">
        <v>11</v>
      </c>
      <c r="Q2" s="9" t="s">
        <v>6</v>
      </c>
      <c r="R2" s="9" t="s">
        <v>1</v>
      </c>
      <c r="S2" s="23" t="s">
        <v>0</v>
      </c>
      <c r="T2" s="23" t="s">
        <v>4</v>
      </c>
      <c r="U2" s="23" t="s">
        <v>8</v>
      </c>
      <c r="V2" s="23" t="s">
        <v>10</v>
      </c>
      <c r="W2" s="23" t="s">
        <v>7</v>
      </c>
      <c r="X2" s="23" t="s">
        <v>11</v>
      </c>
      <c r="Y2" s="23" t="s">
        <v>6</v>
      </c>
      <c r="Z2" s="23" t="s">
        <v>1</v>
      </c>
    </row>
    <row r="3" spans="2:26" x14ac:dyDescent="0.2">
      <c r="B3" s="4">
        <v>39</v>
      </c>
      <c r="C3" s="5" cm="1">
        <f t="array" aca="1" ref="C3" ca="1">INDIRECT("'results" &amp; $B3 &amp; "'!D$14")</f>
        <v>31311.151091069481</v>
      </c>
      <c r="D3" s="19" cm="1">
        <f t="array" aca="1" ref="D3" ca="1">INDIRECT("'results" &amp; $B3 &amp; "'!E$14")</f>
        <v>2.1283173329975398</v>
      </c>
      <c r="E3" s="5" cm="1">
        <f t="array" aca="1" ref="E3" ca="1">INDIRECT("'results" &amp; $B3 &amp; "'!F$14")</f>
        <v>2</v>
      </c>
      <c r="F3" s="5" cm="1">
        <f t="array" aca="1" ref="F3" ca="1">INDIRECT("'results" &amp; $B3 &amp; "'!G$14")</f>
        <v>90</v>
      </c>
      <c r="G3" s="5" cm="1">
        <f t="array" aca="1" ref="G3" ca="1">INDIRECT("'results" &amp; $B3 &amp; "'!H$14")</f>
        <v>0</v>
      </c>
      <c r="H3" s="19" cm="1">
        <f t="array" aca="1" ref="H3" ca="1">INDIRECT("'results" &amp; $B3 &amp; "'!I$14")</f>
        <v>14.888298331143236</v>
      </c>
      <c r="I3" s="5" cm="1">
        <f t="array" aca="1" ref="I3" ca="1">INDIRECT("'results" &amp; $B3 &amp; "'!J$14")</f>
        <v>1038.6774334332017</v>
      </c>
      <c r="J3" s="5"/>
      <c r="K3" s="5" cm="1">
        <f t="array" aca="1" ref="K3" ca="1">INDIRECT("'results" &amp; $B3 &amp; "'!L$14")</f>
        <v>34862.388120325981</v>
      </c>
      <c r="L3" s="5" cm="1">
        <f t="array" aca="1" ref="L3" ca="1">INDIRECT("'results" &amp; $B3 &amp; "'!M$14")</f>
        <v>1.679926958000578</v>
      </c>
      <c r="M3" s="5" cm="1">
        <f t="array" aca="1" ref="M3" ca="1">INDIRECT("'results" &amp; $B3 &amp; "'!N$14")</f>
        <v>2</v>
      </c>
      <c r="N3" s="5" cm="1">
        <f t="array" aca="1" ref="N3" ca="1">INDIRECT("'results" &amp; $B3 &amp; "'!O$14")</f>
        <v>80</v>
      </c>
      <c r="O3" s="5" cm="1">
        <f t="array" aca="1" ref="O3" ca="1">INDIRECT("'results" &amp; $B3 &amp; "'!P$14")</f>
        <v>0</v>
      </c>
      <c r="P3" s="5" cm="1">
        <f t="array" aca="1" ref="P3" ca="1">INDIRECT("'results" &amp; $B3 &amp; "'!Q$14")</f>
        <v>11.133357619680783</v>
      </c>
      <c r="Q3" s="5" cm="1">
        <f t="array" aca="1" ref="Q3" ca="1">INDIRECT("'results" &amp; $B3 &amp; "'!R$14")</f>
        <v>880.04797206743456</v>
      </c>
      <c r="R3" s="5"/>
      <c r="S3" s="5" cm="1">
        <f t="array" aca="1" ref="S3" ca="1">INDIRECT("'results" &amp; $B3 &amp; "'!T$14")</f>
        <v>33221.833647106687</v>
      </c>
      <c r="T3" s="5" cm="1">
        <f t="array" aca="1" ref="T3" ca="1">INDIRECT("'results" &amp; $B3 &amp; "'!U$14")</f>
        <v>1.971434874998522</v>
      </c>
      <c r="U3" s="5" cm="1">
        <f t="array" aca="1" ref="U3" ca="1">INDIRECT("'results" &amp; $B3 &amp; "'!V$14")</f>
        <v>2</v>
      </c>
      <c r="V3" s="5" cm="1">
        <f t="array" aca="1" ref="V3" ca="1">INDIRECT("'results" &amp; $B3 &amp; "'!W$14")</f>
        <v>90</v>
      </c>
      <c r="W3" s="5" cm="1">
        <f t="array" aca="1" ref="W3" ca="1">INDIRECT("'results" &amp; $B3 &amp; "'!X$14")</f>
        <v>0</v>
      </c>
      <c r="X3" s="5" cm="1">
        <f t="array" aca="1" ref="X3" ca="1">INDIRECT("'results" &amp; $B3 &amp; "'!Y$14")</f>
        <v>27.868969755429312</v>
      </c>
      <c r="Y3" s="5" cm="1">
        <f t="array" aca="1" ref="Y3" ca="1">INDIRECT("'results" &amp; $B3 &amp; "'!Z$14")</f>
        <v>1536.4647964205021</v>
      </c>
      <c r="Z3" s="5"/>
    </row>
    <row r="4" spans="2:26" x14ac:dyDescent="0.2">
      <c r="B4" s="4">
        <v>214</v>
      </c>
      <c r="C4" s="5" cm="1">
        <f t="array" aca="1" ref="C4" ca="1">INDIRECT("'results" &amp; $B4 &amp; "'!D$14")</f>
        <v>37238.625256724103</v>
      </c>
      <c r="D4" s="19" cm="1">
        <f t="array" aca="1" ref="D4" ca="1">INDIRECT("'results" &amp; $B4 &amp; "'!E$14")</f>
        <v>1.9670108749996871</v>
      </c>
      <c r="E4" s="5" cm="1">
        <f t="array" aca="1" ref="E4" ca="1">INDIRECT("'results" &amp; $B4 &amp; "'!F$14")</f>
        <v>2</v>
      </c>
      <c r="F4" s="5" cm="1">
        <f t="array" aca="1" ref="F4" ca="1">INDIRECT("'results" &amp; $B4 &amp; "'!G$14")</f>
        <v>90</v>
      </c>
      <c r="G4" s="5" cm="1">
        <f t="array" aca="1" ref="G4" ca="1">INDIRECT("'results" &amp; $B4 &amp; "'!H$14")</f>
        <v>107.74864228395739</v>
      </c>
      <c r="H4" s="19" cm="1">
        <f t="array" aca="1" ref="H4" ca="1">INDIRECT("'results" &amp; $B4 &amp; "'!I$14")</f>
        <v>19.629370357093762</v>
      </c>
      <c r="I4" s="5" cm="1">
        <f t="array" aca="1" ref="I4" ca="1">INDIRECT("'results" &amp; $B4 &amp; "'!J$14")</f>
        <v>1580.9462713284502</v>
      </c>
      <c r="J4" s="5"/>
      <c r="K4" s="5" cm="1">
        <f t="array" aca="1" ref="K4" ca="1">INDIRECT("'results" &amp; $B4 &amp; "'!L$14")</f>
        <v>39202.534728084232</v>
      </c>
      <c r="L4" s="5" cm="1">
        <f t="array" aca="1" ref="L4" ca="1">INDIRECT("'results" &amp; $B4 &amp; "'!M$14")</f>
        <v>1.8405866250031979</v>
      </c>
      <c r="M4" s="5" cm="1">
        <f t="array" aca="1" ref="M4" ca="1">INDIRECT("'results" &amp; $B4 &amp; "'!N$14")</f>
        <v>2</v>
      </c>
      <c r="N4" s="5" cm="1">
        <f t="array" aca="1" ref="N4" ca="1">INDIRECT("'results" &amp; $B4 &amp; "'!O$14")</f>
        <v>80</v>
      </c>
      <c r="O4" s="5" cm="1">
        <f t="array" aca="1" ref="O4" ca="1">INDIRECT("'results" &amp; $B4 &amp; "'!P$14")</f>
        <v>58.743822733682215</v>
      </c>
      <c r="P4" s="5" cm="1">
        <f t="array" aca="1" ref="P4" ca="1">INDIRECT("'results" &amp; $B4 &amp; "'!Q$14")</f>
        <v>17.160451755170229</v>
      </c>
      <c r="Q4" s="5" cm="1">
        <f t="array" aca="1" ref="Q4" ca="1">INDIRECT("'results" &amp; $B4 &amp; "'!R$14")</f>
        <v>1515.9967897556051</v>
      </c>
      <c r="R4" s="5"/>
      <c r="S4" s="5" cm="1">
        <f t="array" aca="1" ref="S4" ca="1">INDIRECT("'results" &amp; $B4 &amp; "'!T$14")</f>
        <v>42207.190034795349</v>
      </c>
      <c r="T4" s="5" cm="1">
        <f t="array" aca="1" ref="T4" ca="1">INDIRECT("'results" &amp; $B4 &amp; "'!U$14")</f>
        <v>1.951261707999947</v>
      </c>
      <c r="U4" s="5" cm="1">
        <f t="array" aca="1" ref="U4" ca="1">INDIRECT("'results" &amp; $B4 &amp; "'!V$14")</f>
        <v>2</v>
      </c>
      <c r="V4" s="5" cm="1">
        <f t="array" aca="1" ref="V4" ca="1">INDIRECT("'results" &amp; $B4 &amp; "'!W$14")</f>
        <v>80</v>
      </c>
      <c r="W4" s="5" cm="1">
        <f t="array" aca="1" ref="W4" ca="1">INDIRECT("'results" &amp; $B4 &amp; "'!X$14")</f>
        <v>225.25493734608449</v>
      </c>
      <c r="X4" s="5" cm="1">
        <f t="array" aca="1" ref="X4" ca="1">INDIRECT("'results" &amp; $B4 &amp; "'!Y$14")</f>
        <v>35.731942654115628</v>
      </c>
      <c r="Y4" s="5" cm="1">
        <f t="array" aca="1" ref="Y4" ca="1">INDIRECT("'results" &amp; $B4 &amp; "'!Z$14")</f>
        <v>2101.737233657052</v>
      </c>
      <c r="Z4" s="5"/>
    </row>
    <row r="5" spans="2:26" x14ac:dyDescent="0.2">
      <c r="B5" s="4">
        <v>238</v>
      </c>
      <c r="C5" s="5" cm="1">
        <f t="array" aca="1" ref="C5" ca="1">INDIRECT("'results" &amp; $B5 &amp; "'!D$14")</f>
        <v>24939.0405076553</v>
      </c>
      <c r="D5" s="19" cm="1">
        <f t="array" aca="1" ref="D5" ca="1">INDIRECT("'results" &amp; $B5 &amp; "'!E$14")</f>
        <v>1.4768953340026201</v>
      </c>
      <c r="E5" s="5" cm="1">
        <f t="array" aca="1" ref="E5" ca="1">INDIRECT("'results" &amp; $B5 &amp; "'!F$14")</f>
        <v>1</v>
      </c>
      <c r="F5" s="5" cm="1">
        <f t="array" aca="1" ref="F5" ca="1">INDIRECT("'results" &amp; $B5 &amp; "'!G$14")</f>
        <v>80</v>
      </c>
      <c r="G5" s="5" cm="1">
        <f t="array" aca="1" ref="G5" ca="1">INDIRECT("'results" &amp; $B5 &amp; "'!H$14")</f>
        <v>0</v>
      </c>
      <c r="H5" s="19" cm="1">
        <f t="array" aca="1" ref="H5" ca="1">INDIRECT("'results" &amp; $B5 &amp; "'!I$14")</f>
        <v>26.590698262776179</v>
      </c>
      <c r="I5" s="5" cm="1">
        <f t="array" aca="1" ref="I5" ca="1">INDIRECT("'results" &amp; $B5 &amp; "'!J$14")</f>
        <v>867.36419337133805</v>
      </c>
      <c r="J5" s="5"/>
      <c r="K5" s="5" cm="1">
        <f t="array" aca="1" ref="K5" ca="1">INDIRECT("'results" &amp; $B5 &amp; "'!L$14")</f>
        <v>36911.715000306664</v>
      </c>
      <c r="L5" s="5" cm="1">
        <f t="array" aca="1" ref="L5" ca="1">INDIRECT("'results" &amp; $B5 &amp; "'!M$14")</f>
        <v>1.8123274589997891</v>
      </c>
      <c r="M5" s="5" cm="1">
        <f t="array" aca="1" ref="M5" ca="1">INDIRECT("'results" &amp; $B5 &amp; "'!N$14")</f>
        <v>1</v>
      </c>
      <c r="N5" s="5" cm="1">
        <f t="array" aca="1" ref="N5" ca="1">INDIRECT("'results" &amp; $B5 &amp; "'!O$14")</f>
        <v>50</v>
      </c>
      <c r="O5" s="5" cm="1">
        <f t="array" aca="1" ref="O5" ca="1">INDIRECT("'results" &amp; $B5 &amp; "'!P$14")</f>
        <v>0</v>
      </c>
      <c r="P5" s="5" cm="1">
        <f t="array" aca="1" ref="P5" ca="1">INDIRECT("'results" &amp; $B5 &amp; "'!Q$14")</f>
        <v>19.277597402597401</v>
      </c>
      <c r="Q5" s="5" cm="1">
        <f t="array" aca="1" ref="Q5" ca="1">INDIRECT("'results" &amp; $B5 &amp; "'!R$14")</f>
        <v>748.43562194276672</v>
      </c>
      <c r="R5" s="5"/>
      <c r="S5" s="5" cm="1">
        <f t="array" aca="1" ref="S5" ca="1">INDIRECT("'results" &amp; $B5 &amp; "'!T$14")</f>
        <v>26338.41045300895</v>
      </c>
      <c r="T5" s="5" cm="1">
        <f t="array" aca="1" ref="T5" ca="1">INDIRECT("'results" &amp; $B5 &amp; "'!U$14")</f>
        <v>2.466876499998762</v>
      </c>
      <c r="U5" s="5" cm="1">
        <f t="array" aca="1" ref="U5" ca="1">INDIRECT("'results" &amp; $B5 &amp; "'!V$14")</f>
        <v>1</v>
      </c>
      <c r="V5" s="5" cm="1">
        <f t="array" aca="1" ref="V5" ca="1">INDIRECT("'results" &amp; $B5 &amp; "'!W$14")</f>
        <v>80</v>
      </c>
      <c r="W5" s="5" cm="1">
        <f t="array" aca="1" ref="W5" ca="1">INDIRECT("'results" &amp; $B5 &amp; "'!X$14")</f>
        <v>0</v>
      </c>
      <c r="X5" s="5" cm="1">
        <f t="array" aca="1" ref="X5" ca="1">INDIRECT("'results" &amp; $B5 &amp; "'!Y$14")</f>
        <v>58.207129080952598</v>
      </c>
      <c r="Y5" s="5" cm="1">
        <f t="array" aca="1" ref="Y5" ca="1">INDIRECT("'results" &amp; $B5 &amp; "'!Z$14")</f>
        <v>1388.0277809479683</v>
      </c>
      <c r="Z5" s="5"/>
    </row>
    <row r="6" spans="2:26" x14ac:dyDescent="0.2">
      <c r="B6" s="4">
        <v>300</v>
      </c>
      <c r="C6" s="5" cm="1">
        <f t="array" aca="1" ref="C6" ca="1">INDIRECT("'results" &amp; $B6 &amp; "'!D$14")</f>
        <v>35458.564955876369</v>
      </c>
      <c r="D6" s="19" cm="1">
        <f t="array" aca="1" ref="D6" ca="1">INDIRECT("'results" &amp; $B6 &amp; "'!E$14")</f>
        <v>0.98289862499950686</v>
      </c>
      <c r="E6" s="5" cm="1">
        <f t="array" aca="1" ref="E6" ca="1">INDIRECT("'results" &amp; $B6 &amp; "'!F$14")</f>
        <v>1</v>
      </c>
      <c r="F6" s="5" cm="1">
        <f t="array" aca="1" ref="F6" ca="1">INDIRECT("'results" &amp; $B6 &amp; "'!G$14")</f>
        <v>60</v>
      </c>
      <c r="G6" s="5" cm="1">
        <f t="array" aca="1" ref="G6" ca="1">INDIRECT("'results" &amp; $B6 &amp; "'!H$14")</f>
        <v>0</v>
      </c>
      <c r="H6" s="19" cm="1">
        <f t="array" aca="1" ref="H6" ca="1">INDIRECT("'results" &amp; $B6 &amp; "'!I$14")</f>
        <v>19.3425422705314</v>
      </c>
      <c r="I6" s="5" cm="1">
        <f t="array" aca="1" ref="I6" ca="1">INDIRECT("'results" &amp; $B6 &amp; "'!J$14")</f>
        <v>1115.055683699775</v>
      </c>
      <c r="J6" s="5"/>
      <c r="K6" s="5" cm="1">
        <f t="array" aca="1" ref="K6" ca="1">INDIRECT("'results" &amp; $B6 &amp; "'!L$14")</f>
        <v>38734.577953540087</v>
      </c>
      <c r="L6" s="5" cm="1">
        <f t="array" aca="1" ref="L6" ca="1">INDIRECT("'results" &amp; $B6 &amp; "'!M$14")</f>
        <v>1.3979652909983999</v>
      </c>
      <c r="M6" s="5" cm="1">
        <f t="array" aca="1" ref="M6" ca="1">INDIRECT("'results" &amp; $B6 &amp; "'!N$14")</f>
        <v>1</v>
      </c>
      <c r="N6" s="5" cm="1">
        <f t="array" aca="1" ref="N6" ca="1">INDIRECT("'results" &amp; $B6 &amp; "'!O$14")</f>
        <v>50</v>
      </c>
      <c r="O6" s="5" cm="1">
        <f t="array" aca="1" ref="O6" ca="1">INDIRECT("'results" &amp; $B6 &amp; "'!P$14")</f>
        <v>0</v>
      </c>
      <c r="P6" s="5" cm="1">
        <f t="array" aca="1" ref="P6" ca="1">INDIRECT("'results" &amp; $B6 &amp; "'!Q$14")</f>
        <v>15.105195981554679</v>
      </c>
      <c r="Q6" s="5" cm="1">
        <f t="array" aca="1" ref="Q6" ca="1">INDIRECT("'results" &amp; $B6 &amp; "'!R$14")</f>
        <v>984.07083521492643</v>
      </c>
      <c r="R6" s="5"/>
      <c r="S6" s="5" cm="1">
        <f t="array" aca="1" ref="S6" ca="1">INDIRECT("'results" &amp; $B6 &amp; "'!T$14")</f>
        <v>38048.561439988429</v>
      </c>
      <c r="T6" s="5" cm="1">
        <f t="array" aca="1" ref="T6" ca="1">INDIRECT("'results" &amp; $B6 &amp; "'!U$14")</f>
        <v>0.99208191599973361</v>
      </c>
      <c r="U6" s="5" cm="1">
        <f t="array" aca="1" ref="U6" ca="1">INDIRECT("'results" &amp; $B6 &amp; "'!V$14")</f>
        <v>1</v>
      </c>
      <c r="V6" s="5" cm="1">
        <f t="array" aca="1" ref="V6" ca="1">INDIRECT("'results" &amp; $B6 &amp; "'!W$14")</f>
        <v>60</v>
      </c>
      <c r="W6" s="5" cm="1">
        <f t="array" aca="1" ref="W6" ca="1">INDIRECT("'results" &amp; $B6 &amp; "'!X$14")</f>
        <v>63.438185107664538</v>
      </c>
      <c r="X6" s="5" cm="1">
        <f t="array" aca="1" ref="X6" ca="1">INDIRECT("'results" &amp; $B6 &amp; "'!Y$14")</f>
        <v>41.445896036810481</v>
      </c>
      <c r="Y6" s="5" cm="1">
        <f t="array" aca="1" ref="Y6" ca="1">INDIRECT("'results" &amp; $B6 &amp; "'!Z$14")</f>
        <v>1798.314555322994</v>
      </c>
      <c r="Z6" s="5"/>
    </row>
    <row r="7" spans="2:26" x14ac:dyDescent="0.2">
      <c r="B7" s="4">
        <v>306</v>
      </c>
      <c r="C7" s="5" cm="1">
        <f t="array" aca="1" ref="C7" ca="1">INDIRECT("'results" &amp; $B7 &amp; "'!D$14")</f>
        <v>36478.280036822282</v>
      </c>
      <c r="D7" s="19" cm="1">
        <f t="array" aca="1" ref="D7" ca="1">INDIRECT("'results" &amp; $B7 &amp; "'!E$14")</f>
        <v>1.9470133340000759</v>
      </c>
      <c r="E7" s="5" cm="1">
        <f t="array" aca="1" ref="E7" ca="1">INDIRECT("'results" &amp; $B7 &amp; "'!F$14")</f>
        <v>2</v>
      </c>
      <c r="F7" s="5" cm="1">
        <f t="array" aca="1" ref="F7" ca="1">INDIRECT("'results" &amp; $B7 &amp; "'!G$14")</f>
        <v>80</v>
      </c>
      <c r="G7" s="5" cm="1">
        <f t="array" aca="1" ref="G7" ca="1">INDIRECT("'results" &amp; $B7 &amp; "'!H$14")</f>
        <v>0</v>
      </c>
      <c r="H7" s="19" cm="1">
        <f t="array" aca="1" ref="H7" ca="1">INDIRECT("'results" &amp; $B7 &amp; "'!I$14")</f>
        <v>15.086424262183236</v>
      </c>
      <c r="I7" s="5" cm="1">
        <f t="array" aca="1" ref="I7" ca="1">INDIRECT("'results" &amp; $B7 &amp; "'!J$14")</f>
        <v>1107.8121057873232</v>
      </c>
      <c r="J7" s="5"/>
      <c r="K7" s="5" cm="1">
        <f t="array" aca="1" ref="K7" ca="1">INDIRECT("'results" &amp; $B7 &amp; "'!L$14")</f>
        <v>36478.280036822282</v>
      </c>
      <c r="L7" s="5" cm="1">
        <f t="array" aca="1" ref="L7" ca="1">INDIRECT("'results" &amp; $B7 &amp; "'!M$14")</f>
        <v>2.035675458999322</v>
      </c>
      <c r="M7" s="5" cm="1">
        <f t="array" aca="1" ref="M7" ca="1">INDIRECT("'results" &amp; $B7 &amp; "'!N$14")</f>
        <v>2</v>
      </c>
      <c r="N7" s="5" cm="1">
        <f t="array" aca="1" ref="N7" ca="1">INDIRECT("'results" &amp; $B7 &amp; "'!O$14")</f>
        <v>80</v>
      </c>
      <c r="O7" s="5" cm="1">
        <f t="array" aca="1" ref="O7" ca="1">INDIRECT("'results" &amp; $B7 &amp; "'!P$14")</f>
        <v>0</v>
      </c>
      <c r="P7" s="5" cm="1">
        <f t="array" aca="1" ref="P7" ca="1">INDIRECT("'results" &amp; $B7 &amp; "'!Q$14")</f>
        <v>15.086424262183236</v>
      </c>
      <c r="Q7" s="5" cm="1">
        <f t="array" aca="1" ref="Q7" ca="1">INDIRECT("'results" &amp; $B7 &amp; "'!R$14")</f>
        <v>1107.8121057873232</v>
      </c>
      <c r="R7" s="5"/>
      <c r="S7" s="5" cm="1">
        <f t="array" aca="1" ref="S7" ca="1">INDIRECT("'results" &amp; $B7 &amp; "'!T$14")</f>
        <v>37036.227648630411</v>
      </c>
      <c r="T7" s="5" cm="1">
        <f t="array" aca="1" ref="T7" ca="1">INDIRECT("'results" &amp; $B7 &amp; "'!U$14")</f>
        <v>2.0040709590030019</v>
      </c>
      <c r="U7" s="5" cm="1">
        <f t="array" aca="1" ref="U7" ca="1">INDIRECT("'results" &amp; $B7 &amp; "'!V$14")</f>
        <v>2</v>
      </c>
      <c r="V7" s="5" cm="1">
        <f t="array" aca="1" ref="V7" ca="1">INDIRECT("'results" &amp; $B7 &amp; "'!W$14")</f>
        <v>80</v>
      </c>
      <c r="W7" s="5" cm="1">
        <f t="array" aca="1" ref="W7" ca="1">INDIRECT("'results" &amp; $B7 &amp; "'!X$14")</f>
        <v>0</v>
      </c>
      <c r="X7" s="5" cm="1">
        <f t="array" aca="1" ref="X7" ca="1">INDIRECT("'results" &amp; $B7 &amp; "'!Y$14")</f>
        <v>20.803039178121509</v>
      </c>
      <c r="Y7" s="5" cm="1">
        <f t="array" aca="1" ref="Y7" ca="1">INDIRECT("'results" &amp; $B7 &amp; "'!Z$14")</f>
        <v>1306.0454213515131</v>
      </c>
      <c r="Z7" s="5"/>
    </row>
    <row r="8" spans="2:26" x14ac:dyDescent="0.2">
      <c r="B8" s="4">
        <v>430</v>
      </c>
      <c r="C8" s="5" cm="1">
        <f t="array" aca="1" ref="C8" ca="1">INDIRECT("'results" &amp; $B8 &amp; "'!D$14")</f>
        <v>31547.611761693519</v>
      </c>
      <c r="D8" s="19" cm="1">
        <f t="array" aca="1" ref="D8" ca="1">INDIRECT("'results" &amp; $B8 &amp; "'!E$14")</f>
        <v>2.1343616670019401</v>
      </c>
      <c r="E8" s="5" cm="1">
        <f t="array" aca="1" ref="E8" ca="1">INDIRECT("'results" &amp; $B8 &amp; "'!F$14")</f>
        <v>2</v>
      </c>
      <c r="F8" s="5" cm="1">
        <f t="array" aca="1" ref="F8" ca="1">INDIRECT("'results" &amp; $B8 &amp; "'!G$14")</f>
        <v>90</v>
      </c>
      <c r="G8" s="5" cm="1">
        <f t="array" aca="1" ref="G8" ca="1">INDIRECT("'results" &amp; $B8 &amp; "'!H$14")</f>
        <v>0</v>
      </c>
      <c r="H8" s="19" cm="1">
        <f t="array" aca="1" ref="H8" ca="1">INDIRECT("'results" &amp; $B8 &amp; "'!I$14")</f>
        <v>10.812395354427663</v>
      </c>
      <c r="I8" s="5" cm="1">
        <f t="array" aca="1" ref="I8" ca="1">INDIRECT("'results" &amp; $B8 &amp; "'!J$14")</f>
        <v>984.51478134749721</v>
      </c>
      <c r="J8" s="5"/>
      <c r="K8" s="5" cm="1">
        <f t="array" aca="1" ref="K8" ca="1">INDIRECT("'results" &amp; $B8 &amp; "'!L$14")</f>
        <v>31547.611761693519</v>
      </c>
      <c r="L8" s="5" cm="1">
        <f t="array" aca="1" ref="L8" ca="1">INDIRECT("'results" &amp; $B8 &amp; "'!M$14")</f>
        <v>2.1821146670008602</v>
      </c>
      <c r="M8" s="5" cm="1">
        <f t="array" aca="1" ref="M8" ca="1">INDIRECT("'results" &amp; $B8 &amp; "'!N$14")</f>
        <v>2</v>
      </c>
      <c r="N8" s="5" cm="1">
        <f t="array" aca="1" ref="N8" ca="1">INDIRECT("'results" &amp; $B8 &amp; "'!O$14")</f>
        <v>90</v>
      </c>
      <c r="O8" s="5" cm="1">
        <f t="array" aca="1" ref="O8" ca="1">INDIRECT("'results" &amp; $B8 &amp; "'!P$14")</f>
        <v>0</v>
      </c>
      <c r="P8" s="5" cm="1">
        <f t="array" aca="1" ref="P8" ca="1">INDIRECT("'results" &amp; $B8 &amp; "'!Q$14")</f>
        <v>10.812395354427663</v>
      </c>
      <c r="Q8" s="5" cm="1">
        <f t="array" aca="1" ref="Q8" ca="1">INDIRECT("'results" &amp; $B8 &amp; "'!R$14")</f>
        <v>984.51478134749721</v>
      </c>
      <c r="R8" s="5"/>
      <c r="S8" s="5" cm="1">
        <f t="array" aca="1" ref="S8" ca="1">INDIRECT("'results" &amp; $B8 &amp; "'!T$14")</f>
        <v>32366.689611354512</v>
      </c>
      <c r="T8" s="5" cm="1">
        <f t="array" aca="1" ref="T8" ca="1">INDIRECT("'results" &amp; $B8 &amp; "'!U$14")</f>
        <v>2.097516375000851</v>
      </c>
      <c r="U8" s="5" cm="1">
        <f t="array" aca="1" ref="U8" ca="1">INDIRECT("'results" &amp; $B8 &amp; "'!V$14")</f>
        <v>2</v>
      </c>
      <c r="V8" s="5" cm="1">
        <f t="array" aca="1" ref="V8" ca="1">INDIRECT("'results" &amp; $B8 &amp; "'!W$14")</f>
        <v>90</v>
      </c>
      <c r="W8" s="5" cm="1">
        <f t="array" aca="1" ref="W8" ca="1">INDIRECT("'results" &amp; $B8 &amp; "'!X$14")</f>
        <v>0</v>
      </c>
      <c r="X8" s="5" cm="1">
        <f t="array" aca="1" ref="X8" ca="1">INDIRECT("'results" &amp; $B8 &amp; "'!Y$14")</f>
        <v>20.263802997188016</v>
      </c>
      <c r="Y8" s="5" cm="1">
        <f t="array" aca="1" ref="Y8" ca="1">INDIRECT("'results" &amp; $B8 &amp; "'!Z$14")</f>
        <v>1292.3454329707502</v>
      </c>
      <c r="Z8" s="5"/>
    </row>
    <row r="9" spans="2:26" x14ac:dyDescent="0.2">
      <c r="B9" s="4">
        <v>553</v>
      </c>
      <c r="C9" s="5" cm="1">
        <f t="array" aca="1" ref="C9" ca="1">INDIRECT("'results" &amp; $B9 &amp; "'!D$14")</f>
        <v>35751.253238267462</v>
      </c>
      <c r="D9" s="19" cm="1">
        <f t="array" aca="1" ref="D9" ca="1">INDIRECT("'results" &amp; $B9 &amp; "'!E$14")</f>
        <v>1.9290288340016559</v>
      </c>
      <c r="E9" s="5" cm="1">
        <f t="array" aca="1" ref="E9" ca="1">INDIRECT("'results" &amp; $B9 &amp; "'!F$14")</f>
        <v>2</v>
      </c>
      <c r="F9" s="5" cm="1">
        <f t="array" aca="1" ref="F9" ca="1">INDIRECT("'results" &amp; $B9 &amp; "'!G$14")</f>
        <v>80</v>
      </c>
      <c r="G9" s="5" cm="1">
        <f t="array" aca="1" ref="G9" ca="1">INDIRECT("'results" &amp; $B9 &amp; "'!H$14")</f>
        <v>0</v>
      </c>
      <c r="H9" s="19" cm="1">
        <f t="array" aca="1" ref="H9" ca="1">INDIRECT("'results" &amp; $B9 &amp; "'!I$14")</f>
        <v>20.86494463270185</v>
      </c>
      <c r="I9" s="5" cm="1">
        <f t="array" aca="1" ref="I9" ca="1">INDIRECT("'results" &amp; $B9 &amp; "'!J$14")</f>
        <v>1279.50848356661</v>
      </c>
      <c r="J9" s="5"/>
      <c r="K9" s="5" cm="1">
        <f t="array" aca="1" ref="K9" ca="1">INDIRECT("'results" &amp; $B9 &amp; "'!L$14")</f>
        <v>35751.253238267462</v>
      </c>
      <c r="L9" s="5" cm="1">
        <f t="array" aca="1" ref="L9" ca="1">INDIRECT("'results" &amp; $B9 &amp; "'!M$14")</f>
        <v>1.947592792002979</v>
      </c>
      <c r="M9" s="5" cm="1">
        <f t="array" aca="1" ref="M9" ca="1">INDIRECT("'results" &amp; $B9 &amp; "'!N$14")</f>
        <v>2</v>
      </c>
      <c r="N9" s="5" cm="1">
        <f t="array" aca="1" ref="N9" ca="1">INDIRECT("'results" &amp; $B9 &amp; "'!O$14")</f>
        <v>80</v>
      </c>
      <c r="O9" s="5" cm="1">
        <f t="array" aca="1" ref="O9" ca="1">INDIRECT("'results" &amp; $B9 &amp; "'!P$14")</f>
        <v>0</v>
      </c>
      <c r="P9" s="5" cm="1">
        <f t="array" aca="1" ref="P9" ca="1">INDIRECT("'results" &amp; $B9 &amp; "'!Q$14")</f>
        <v>20.86494463270185</v>
      </c>
      <c r="Q9" s="5" cm="1">
        <f t="array" aca="1" ref="Q9" ca="1">INDIRECT("'results" &amp; $B9 &amp; "'!R$14")</f>
        <v>1279.50848356661</v>
      </c>
      <c r="R9" s="5"/>
      <c r="S9" s="5" cm="1">
        <f t="array" aca="1" ref="S9" ca="1">INDIRECT("'results" &amp; $B9 &amp; "'!T$14")</f>
        <v>35391.76141106624</v>
      </c>
      <c r="T9" s="5" cm="1">
        <f t="array" aca="1" ref="T9" ca="1">INDIRECT("'results" &amp; $B9 &amp; "'!U$14")</f>
        <v>1.835079791999306</v>
      </c>
      <c r="U9" s="5" cm="1">
        <f t="array" aca="1" ref="U9" ca="1">INDIRECT("'results" &amp; $B9 &amp; "'!V$14")</f>
        <v>2</v>
      </c>
      <c r="V9" s="5" cm="1">
        <f t="array" aca="1" ref="V9" ca="1">INDIRECT("'results" &amp; $B9 &amp; "'!W$14")</f>
        <v>80</v>
      </c>
      <c r="W9" s="5" cm="1">
        <f t="array" aca="1" ref="W9" ca="1">INDIRECT("'results" &amp; $B9 &amp; "'!X$14")</f>
        <v>9.3464872830475088</v>
      </c>
      <c r="X9" s="5" cm="1">
        <f t="array" aca="1" ref="X9" ca="1">INDIRECT("'results" &amp; $B9 &amp; "'!Y$14")</f>
        <v>29.841478166494007</v>
      </c>
      <c r="Y9" s="5" cm="1">
        <f t="array" aca="1" ref="Y9" ca="1">INDIRECT("'results" &amp; $B9 &amp; "'!Z$14")</f>
        <v>1449.3984110135975</v>
      </c>
      <c r="Z9" s="5"/>
    </row>
    <row r="10" spans="2:26" x14ac:dyDescent="0.2">
      <c r="B10" s="4">
        <v>728</v>
      </c>
      <c r="C10" s="5" cm="1">
        <f t="array" aca="1" ref="C10" ca="1">INDIRECT("'results" &amp; $B10 &amp; "'!D$14")</f>
        <v>31061.09774511425</v>
      </c>
      <c r="D10" s="19" cm="1">
        <f t="array" aca="1" ref="D10" ca="1">INDIRECT("'results" &amp; $B10 &amp; "'!E$14")</f>
        <v>2.1786037919991941</v>
      </c>
      <c r="E10" s="5" cm="1">
        <f t="array" aca="1" ref="E10" ca="1">INDIRECT("'results" &amp; $B10 &amp; "'!F$14")</f>
        <v>2</v>
      </c>
      <c r="F10" s="5" cm="1">
        <f t="array" aca="1" ref="F10" ca="1">INDIRECT("'results" &amp; $B10 &amp; "'!G$14")</f>
        <v>90</v>
      </c>
      <c r="G10" s="5" cm="1">
        <f t="array" aca="1" ref="G10" ca="1">INDIRECT("'results" &amp; $B10 &amp; "'!H$14")</f>
        <v>0</v>
      </c>
      <c r="H10" s="19" cm="1">
        <f t="array" aca="1" ref="H10" ca="1">INDIRECT("'results" &amp; $B10 &amp; "'!I$14")</f>
        <v>13.183244048077043</v>
      </c>
      <c r="I10" s="5" cm="1">
        <f t="array" aca="1" ref="I10" ca="1">INDIRECT("'results" &amp; $B10 &amp; "'!J$14")</f>
        <v>958.78548353669146</v>
      </c>
      <c r="J10" s="5"/>
      <c r="K10" s="5" cm="1">
        <f t="array" aca="1" ref="K10" ca="1">INDIRECT("'results" &amp; $B10 &amp; "'!L$14")</f>
        <v>34739.81972142875</v>
      </c>
      <c r="L10" s="5" cm="1">
        <f t="array" aca="1" ref="L10" ca="1">INDIRECT("'results" &amp; $B10 &amp; "'!M$14")</f>
        <v>2.0999169580027228</v>
      </c>
      <c r="M10" s="5" cm="1">
        <f t="array" aca="1" ref="M10" ca="1">INDIRECT("'results" &amp; $B10 &amp; "'!N$14")</f>
        <v>2</v>
      </c>
      <c r="N10" s="5" cm="1">
        <f t="array" aca="1" ref="N10" ca="1">INDIRECT("'results" &amp; $B10 &amp; "'!O$14")</f>
        <v>80</v>
      </c>
      <c r="O10" s="5" cm="1">
        <f t="array" aca="1" ref="O10" ca="1">INDIRECT("'results" &amp; $B10 &amp; "'!P$14")</f>
        <v>0</v>
      </c>
      <c r="P10" s="5" cm="1">
        <f t="array" aca="1" ref="P10" ca="1">INDIRECT("'results" &amp; $B10 &amp; "'!Q$14")</f>
        <v>9.6630991878573553</v>
      </c>
      <c r="Q10" s="5" cm="1">
        <f t="array" aca="1" ref="Q10" ca="1">INDIRECT("'results" &amp; $B10 &amp; "'!R$14")</f>
        <v>796.00954314276976</v>
      </c>
      <c r="R10" s="5"/>
      <c r="S10" s="5" cm="1">
        <f t="array" aca="1" ref="S10" ca="1">INDIRECT("'results" &amp; $B10 &amp; "'!T$14")</f>
        <v>32434.62438905118</v>
      </c>
      <c r="T10" s="5" cm="1">
        <f t="array" aca="1" ref="T10" ca="1">INDIRECT("'results" &amp; $B10 &amp; "'!U$14")</f>
        <v>2.1783299580019961</v>
      </c>
      <c r="U10" s="5" cm="1">
        <f t="array" aca="1" ref="U10" ca="1">INDIRECT("'results" &amp; $B10 &amp; "'!V$14")</f>
        <v>2</v>
      </c>
      <c r="V10" s="5" cm="1">
        <f t="array" aca="1" ref="V10" ca="1">INDIRECT("'results" &amp; $B10 &amp; "'!W$14")</f>
        <v>90</v>
      </c>
      <c r="W10" s="5" cm="1">
        <f t="array" aca="1" ref="W10" ca="1">INDIRECT("'results" &amp; $B10 &amp; "'!X$14")</f>
        <v>7.1844996243205008</v>
      </c>
      <c r="X10" s="5" cm="1">
        <f t="array" aca="1" ref="X10" ca="1">INDIRECT("'results" &amp; $B10 &amp; "'!Y$14")</f>
        <v>28.050126428881097</v>
      </c>
      <c r="Y10" s="5" cm="1">
        <f t="array" aca="1" ref="Y10" ca="1">INDIRECT("'results" &amp; $B10 &amp; "'!Z$14")</f>
        <v>1399.3725847214919</v>
      </c>
      <c r="Z10" s="5"/>
    </row>
    <row r="11" spans="2:26" x14ac:dyDescent="0.2">
      <c r="B11" s="4">
        <v>783</v>
      </c>
      <c r="C11" s="5" cm="1">
        <f t="array" aca="1" ref="C11" ca="1">INDIRECT("'results" &amp; $B11 &amp; "'!D$14")</f>
        <v>35136.628870788947</v>
      </c>
      <c r="D11" s="19" cm="1">
        <f t="array" aca="1" ref="D11" ca="1">INDIRECT("'results" &amp; $B11 &amp; "'!E$14")</f>
        <v>2.2436322079993261</v>
      </c>
      <c r="E11" s="5" cm="1">
        <f t="array" aca="1" ref="E11" ca="1">INDIRECT("'results" &amp; $B11 &amp; "'!F$14")</f>
        <v>2</v>
      </c>
      <c r="F11" s="5" cm="1">
        <f t="array" aca="1" ref="F11" ca="1">INDIRECT("'results" &amp; $B11 &amp; "'!G$14")</f>
        <v>90</v>
      </c>
      <c r="G11" s="5" cm="1">
        <f t="array" aca="1" ref="G11" ca="1">INDIRECT("'results" &amp; $B11 &amp; "'!H$14")</f>
        <v>0</v>
      </c>
      <c r="H11" s="19" cm="1">
        <f t="array" aca="1" ref="H11" ca="1">INDIRECT("'results" &amp; $B11 &amp; "'!I$14")</f>
        <v>10.529784830598903</v>
      </c>
      <c r="I11" s="5" cm="1">
        <f t="array" aca="1" ref="I11" ca="1">INDIRECT("'results" &amp; $B11 &amp; "'!J$14")</f>
        <v>1189.3345680789398</v>
      </c>
      <c r="J11" s="5"/>
      <c r="K11" s="5" cm="1">
        <f t="array" aca="1" ref="K11" ca="1">INDIRECT("'results" &amp; $B11 &amp; "'!L$14")</f>
        <v>35136.628870788947</v>
      </c>
      <c r="L11" s="5" cm="1">
        <f t="array" aca="1" ref="L11" ca="1">INDIRECT("'results" &amp; $B11 &amp; "'!M$14")</f>
        <v>2.07600979199924</v>
      </c>
      <c r="M11" s="5" cm="1">
        <f t="array" aca="1" ref="M11" ca="1">INDIRECT("'results" &amp; $B11 &amp; "'!N$14")</f>
        <v>2</v>
      </c>
      <c r="N11" s="5" cm="1">
        <f t="array" aca="1" ref="N11" ca="1">INDIRECT("'results" &amp; $B11 &amp; "'!O$14")</f>
        <v>90</v>
      </c>
      <c r="O11" s="5" cm="1">
        <f t="array" aca="1" ref="O11" ca="1">INDIRECT("'results" &amp; $B11 &amp; "'!P$14")</f>
        <v>0</v>
      </c>
      <c r="P11" s="5" cm="1">
        <f t="array" aca="1" ref="P11" ca="1">INDIRECT("'results" &amp; $B11 &amp; "'!Q$14")</f>
        <v>10.529784830598903</v>
      </c>
      <c r="Q11" s="5" cm="1">
        <f t="array" aca="1" ref="Q11" ca="1">INDIRECT("'results" &amp; $B11 &amp; "'!R$14")</f>
        <v>1189.3345680789398</v>
      </c>
      <c r="R11" s="5"/>
      <c r="S11" s="5" cm="1">
        <f t="array" aca="1" ref="S11" ca="1">INDIRECT("'results" &amp; $B11 &amp; "'!T$14")</f>
        <v>38332.240756066138</v>
      </c>
      <c r="T11" s="5" cm="1">
        <f t="array" aca="1" ref="T11" ca="1">INDIRECT("'results" &amp; $B11 &amp; "'!U$14")</f>
        <v>1.9596515000012</v>
      </c>
      <c r="U11" s="5" cm="1">
        <f t="array" aca="1" ref="U11" ca="1">INDIRECT("'results" &amp; $B11 &amp; "'!V$14")</f>
        <v>2</v>
      </c>
      <c r="V11" s="5" cm="1">
        <f t="array" aca="1" ref="V11" ca="1">INDIRECT("'results" &amp; $B11 &amp; "'!W$14")</f>
        <v>90</v>
      </c>
      <c r="W11" s="5" cm="1">
        <f t="array" aca="1" ref="W11" ca="1">INDIRECT("'results" &amp; $B11 &amp; "'!X$14")</f>
        <v>12.3119623762286</v>
      </c>
      <c r="X11" s="5" cm="1">
        <f t="array" aca="1" ref="X11" ca="1">INDIRECT("'results" &amp; $B11 &amp; "'!Y$14")</f>
        <v>16.291683238792071</v>
      </c>
      <c r="Y11" s="5" cm="1">
        <f t="array" aca="1" ref="Y11" ca="1">INDIRECT("'results" &amp; $B11 &amp; "'!Z$14")</f>
        <v>1604.7234856381435</v>
      </c>
      <c r="Z11" s="5"/>
    </row>
    <row r="12" spans="2:26" x14ac:dyDescent="0.2">
      <c r="B12" s="4">
        <v>426</v>
      </c>
      <c r="C12" s="5" cm="1">
        <f t="array" aca="1" ref="C12" ca="1">INDIRECT("'results" &amp; $B12 &amp; "'!D$14")</f>
        <v>31368.006478364801</v>
      </c>
      <c r="D12" s="19" cm="1">
        <f t="array" aca="1" ref="D12" ca="1">INDIRECT("'results" &amp; $B12 &amp; "'!E$14")</f>
        <v>1.8317137080011889</v>
      </c>
      <c r="E12" s="5" cm="1">
        <f t="array" aca="1" ref="E12" ca="1">INDIRECT("'results" &amp; $B12 &amp; "'!F$14")</f>
        <v>2</v>
      </c>
      <c r="F12" s="5" cm="1">
        <f t="array" aca="1" ref="F12" ca="1">INDIRECT("'results" &amp; $B12 &amp; "'!G$14")</f>
        <v>100</v>
      </c>
      <c r="G12" s="5" cm="1">
        <f t="array" aca="1" ref="G12" ca="1">INDIRECT("'results" &amp; $B12 &amp; "'!H$14")</f>
        <v>0</v>
      </c>
      <c r="H12" s="19" cm="1">
        <f t="array" aca="1" ref="H12" ca="1">INDIRECT("'results" &amp; $B12 &amp; "'!I$14")</f>
        <v>15.3792402241814</v>
      </c>
      <c r="I12" s="5" cm="1">
        <f t="array" aca="1" ref="I12" ca="1">INDIRECT("'results" &amp; $B12 &amp; "'!J$14")</f>
        <v>1307.9545749568497</v>
      </c>
      <c r="J12" s="5"/>
      <c r="K12" s="5" cm="1">
        <f t="array" aca="1" ref="K12" ca="1">INDIRECT("'results" &amp; $B12 &amp; "'!L$14")</f>
        <v>31368.006478364801</v>
      </c>
      <c r="L12" s="5" cm="1">
        <f t="array" aca="1" ref="L12" ca="1">INDIRECT("'results" &amp; $B12 &amp; "'!M$14")</f>
        <v>1.6353662080000499</v>
      </c>
      <c r="M12" s="5" cm="1">
        <f t="array" aca="1" ref="M12" ca="1">INDIRECT("'results" &amp; $B12 &amp; "'!N$14")</f>
        <v>2</v>
      </c>
      <c r="N12" s="5" cm="1">
        <f t="array" aca="1" ref="N12" ca="1">INDIRECT("'results" &amp; $B12 &amp; "'!O$14")</f>
        <v>100</v>
      </c>
      <c r="O12" s="5" cm="1">
        <f t="array" aca="1" ref="O12" ca="1">INDIRECT("'results" &amp; $B12 &amp; "'!P$14")</f>
        <v>0</v>
      </c>
      <c r="P12" s="5" cm="1">
        <f t="array" aca="1" ref="P12" ca="1">INDIRECT("'results" &amp; $B12 &amp; "'!Q$14")</f>
        <v>15.3792402241814</v>
      </c>
      <c r="Q12" s="5" cm="1">
        <f t="array" aca="1" ref="Q12" ca="1">INDIRECT("'results" &amp; $B12 &amp; "'!R$14")</f>
        <v>1307.9545749568497</v>
      </c>
      <c r="R12" s="5"/>
      <c r="S12" s="5" cm="1">
        <f t="array" aca="1" ref="S12" ca="1">INDIRECT("'results" &amp; $B12 &amp; "'!T$14")</f>
        <v>36482.328673121578</v>
      </c>
      <c r="T12" s="5" cm="1">
        <f t="array" aca="1" ref="T12" ca="1">INDIRECT("'results" &amp; $B12 &amp; "'!U$14")</f>
        <v>2.2382519169987058</v>
      </c>
      <c r="U12" s="5" cm="1">
        <f t="array" aca="1" ref="U12" ca="1">INDIRECT("'results" &amp; $B12 &amp; "'!V$14")</f>
        <v>2</v>
      </c>
      <c r="V12" s="5" cm="1">
        <f t="array" aca="1" ref="V12" ca="1">INDIRECT("'results" &amp; $B12 &amp; "'!W$14")</f>
        <v>90</v>
      </c>
      <c r="W12" s="5" cm="1">
        <f t="array" aca="1" ref="W12" ca="1">INDIRECT("'results" &amp; $B12 &amp; "'!X$14")</f>
        <v>0</v>
      </c>
      <c r="X12" s="5" cm="1">
        <f t="array" aca="1" ref="X12" ca="1">INDIRECT("'results" &amp; $B12 &amp; "'!Y$14")</f>
        <v>26.671604641941475</v>
      </c>
      <c r="Y12" s="5" cm="1">
        <f t="array" aca="1" ref="Y12" ca="1">INDIRECT("'results" &amp; $B12 &amp; "'!Z$14")</f>
        <v>1701.783122619624</v>
      </c>
      <c r="Z12" s="5"/>
    </row>
    <row r="13" spans="2:26" x14ac:dyDescent="0.2">
      <c r="B13" s="6" t="s">
        <v>2</v>
      </c>
      <c r="C13" s="7">
        <f ca="1">AVERAGE(C3:C12)</f>
        <v>33029.025994237651</v>
      </c>
      <c r="D13" s="8">
        <f t="shared" ref="D13:I13" ca="1" si="0">AVERAGE(D3:D12)</f>
        <v>1.8819475710002735</v>
      </c>
      <c r="E13" s="7">
        <f t="shared" ca="1" si="0"/>
        <v>1.8</v>
      </c>
      <c r="F13" s="7">
        <f t="shared" ca="1" si="0"/>
        <v>85</v>
      </c>
      <c r="G13" s="7">
        <f t="shared" ca="1" si="0"/>
        <v>10.774864228395739</v>
      </c>
      <c r="H13" s="8">
        <f t="shared" ca="1" si="0"/>
        <v>16.630694257371466</v>
      </c>
      <c r="I13" s="7">
        <f t="shared" ca="1" si="0"/>
        <v>1142.9953579106677</v>
      </c>
      <c r="J13" s="18"/>
      <c r="K13" s="10">
        <f ca="1">AVERAGE(K3:K12)</f>
        <v>35473.281590962273</v>
      </c>
      <c r="L13" s="27">
        <f t="shared" ref="L13:Q13" ca="1" si="1">AVERAGE(L3:L12)</f>
        <v>1.870748220900714</v>
      </c>
      <c r="M13" s="10">
        <f t="shared" ca="1" si="1"/>
        <v>1.8</v>
      </c>
      <c r="N13" s="10">
        <f ca="1">AVERAGE(N3:N12)</f>
        <v>78</v>
      </c>
      <c r="O13" s="10">
        <f t="shared" ca="1" si="1"/>
        <v>5.8743822733682212</v>
      </c>
      <c r="P13" s="27">
        <f t="shared" ca="1" si="1"/>
        <v>14.501249125095351</v>
      </c>
      <c r="Q13" s="10">
        <f t="shared" ca="1" si="1"/>
        <v>1079.3685275860723</v>
      </c>
      <c r="R13" s="28"/>
      <c r="S13" s="24">
        <f ca="1">AVERAGE(S3:S12)</f>
        <v>35185.98680641895</v>
      </c>
      <c r="T13" s="29">
        <f t="shared" ref="T13:Y13" ca="1" si="2">AVERAGE(T3:T12)</f>
        <v>1.9694555500002024</v>
      </c>
      <c r="U13" s="24">
        <f t="shared" ca="1" si="2"/>
        <v>1.8</v>
      </c>
      <c r="V13" s="24">
        <f t="shared" ca="1" si="2"/>
        <v>83</v>
      </c>
      <c r="W13" s="24">
        <f t="shared" ca="1" si="2"/>
        <v>31.753607173734565</v>
      </c>
      <c r="X13" s="29">
        <f t="shared" ca="1" si="2"/>
        <v>30.517567217872617</v>
      </c>
      <c r="Y13" s="24">
        <f t="shared" ca="1" si="2"/>
        <v>1557.8212824663638</v>
      </c>
      <c r="Z13" s="30" t="e">
        <f ca="1">(S13-$D$15)/$D$15</f>
        <v>#DIV/0!</v>
      </c>
    </row>
    <row r="14" spans="2:26" x14ac:dyDescent="0.2">
      <c r="K14" s="31"/>
      <c r="L14" s="31"/>
      <c r="M14" s="31"/>
      <c r="N14" s="31"/>
      <c r="O14" s="31"/>
      <c r="P14" s="31"/>
      <c r="Q14" s="31"/>
      <c r="S14" s="31"/>
      <c r="T14" s="31"/>
      <c r="U14" s="31"/>
      <c r="V14" s="31"/>
      <c r="W14" s="31"/>
      <c r="X14" s="31"/>
      <c r="Y14" s="31"/>
    </row>
    <row r="17" spans="2:19" x14ac:dyDescent="0.2">
      <c r="B17" s="1" t="s">
        <v>15</v>
      </c>
      <c r="C17">
        <f ca="1">_xlfn.STDEV.S(C3:C12)</f>
        <v>3720.7903122672956</v>
      </c>
      <c r="J17" s="1" t="s">
        <v>15</v>
      </c>
      <c r="K17">
        <f ca="1">_xlfn.STDEV.S(K3:K12)</f>
        <v>2603.1695055231526</v>
      </c>
      <c r="R17" s="1" t="s">
        <v>15</v>
      </c>
      <c r="S17">
        <f ca="1">_xlfn.STDEV.S(S3:S12)</f>
        <v>4348.5976744554582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7E1B-FBA7-494B-B751-D5F8E658763D}">
  <dimension ref="B1:AA18"/>
  <sheetViews>
    <sheetView zoomScale="118" zoomScaleNormal="120" workbookViewId="0">
      <selection activeCell="A15" sqref="A15:XFD1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9</v>
      </c>
    </row>
    <row r="2" spans="2:27" x14ac:dyDescent="0.2">
      <c r="B2" s="1" t="s">
        <v>12</v>
      </c>
      <c r="D2" s="15">
        <v>10</v>
      </c>
      <c r="H2" s="14"/>
      <c r="J2" s="14"/>
      <c r="K2" s="14"/>
      <c r="L2" s="1" t="s">
        <v>13</v>
      </c>
      <c r="T2" s="1" t="s">
        <v>14</v>
      </c>
    </row>
    <row r="3" spans="2:27" x14ac:dyDescent="0.2">
      <c r="B3" s="6" t="s">
        <v>5</v>
      </c>
      <c r="C3" s="6" t="s">
        <v>3</v>
      </c>
      <c r="D3" s="6" t="s">
        <v>0</v>
      </c>
      <c r="E3" s="6" t="s">
        <v>4</v>
      </c>
      <c r="F3" s="6" t="s">
        <v>8</v>
      </c>
      <c r="G3" s="6" t="s">
        <v>10</v>
      </c>
      <c r="H3" s="6" t="s">
        <v>7</v>
      </c>
      <c r="I3" s="6" t="s">
        <v>11</v>
      </c>
      <c r="J3" s="6" t="s">
        <v>6</v>
      </c>
      <c r="K3" s="6" t="s">
        <v>1</v>
      </c>
      <c r="L3" s="9" t="s">
        <v>0</v>
      </c>
      <c r="M3" s="9" t="s">
        <v>4</v>
      </c>
      <c r="N3" s="9" t="s">
        <v>8</v>
      </c>
      <c r="O3" s="9" t="s">
        <v>10</v>
      </c>
      <c r="P3" s="9" t="s">
        <v>7</v>
      </c>
      <c r="Q3" s="9" t="s">
        <v>11</v>
      </c>
      <c r="R3" s="9" t="s">
        <v>6</v>
      </c>
      <c r="S3" s="9" t="s">
        <v>1</v>
      </c>
      <c r="T3" s="23" t="s">
        <v>0</v>
      </c>
      <c r="U3" s="23" t="s">
        <v>4</v>
      </c>
      <c r="V3" s="23" t="s">
        <v>8</v>
      </c>
      <c r="W3" s="23" t="s">
        <v>10</v>
      </c>
      <c r="X3" s="23" t="s">
        <v>7</v>
      </c>
      <c r="Y3" s="23" t="s">
        <v>11</v>
      </c>
      <c r="Z3" s="23" t="s">
        <v>6</v>
      </c>
      <c r="AA3" s="23" t="s">
        <v>1</v>
      </c>
    </row>
    <row r="4" spans="2:27" x14ac:dyDescent="0.2">
      <c r="B4" s="4">
        <v>1</v>
      </c>
      <c r="C4" s="4">
        <v>167</v>
      </c>
      <c r="D4" s="13">
        <v>31311.151091069481</v>
      </c>
      <c r="E4" s="19">
        <v>2.1283173329975398</v>
      </c>
      <c r="F4" s="5">
        <v>2</v>
      </c>
      <c r="G4" s="13">
        <v>90</v>
      </c>
      <c r="H4" s="19">
        <v>0</v>
      </c>
      <c r="I4" s="13">
        <v>14.888298331143236</v>
      </c>
      <c r="J4" s="5">
        <v>1038.6774334332017</v>
      </c>
      <c r="K4" s="17"/>
      <c r="L4" s="13">
        <v>34862.388120325981</v>
      </c>
      <c r="M4" s="19">
        <v>1.679926958000578</v>
      </c>
      <c r="N4" s="5">
        <v>2</v>
      </c>
      <c r="O4" s="5">
        <v>80</v>
      </c>
      <c r="P4" s="19">
        <v>0</v>
      </c>
      <c r="Q4" s="5">
        <v>11.133357619680783</v>
      </c>
      <c r="R4" s="5">
        <v>880.04797206743456</v>
      </c>
      <c r="S4" s="21"/>
      <c r="T4" s="13">
        <v>33221.833647106687</v>
      </c>
      <c r="U4" s="19">
        <v>1.971434874998522</v>
      </c>
      <c r="V4" s="5">
        <v>2</v>
      </c>
      <c r="W4" s="5">
        <v>90</v>
      </c>
      <c r="X4" s="19">
        <v>0</v>
      </c>
      <c r="Y4" s="5">
        <v>27.868969755429312</v>
      </c>
      <c r="Z4" s="5">
        <v>1536.4647964205021</v>
      </c>
      <c r="AA4" s="21"/>
    </row>
    <row r="5" spans="2:27" x14ac:dyDescent="0.2">
      <c r="B5" s="4">
        <v>2</v>
      </c>
      <c r="C5" s="4">
        <v>327</v>
      </c>
      <c r="D5" s="13">
        <v>31311.151091069481</v>
      </c>
      <c r="E5" s="19">
        <v>2.1285833750007441</v>
      </c>
      <c r="F5" s="5">
        <v>2</v>
      </c>
      <c r="G5" s="13">
        <v>90</v>
      </c>
      <c r="H5" s="19">
        <v>0</v>
      </c>
      <c r="I5" s="13">
        <v>14.888298331143236</v>
      </c>
      <c r="J5" s="5">
        <v>1038.6774334332017</v>
      </c>
      <c r="K5" s="17"/>
      <c r="L5" s="13">
        <v>34862.388120325981</v>
      </c>
      <c r="M5" s="19">
        <v>1.6804579169984211</v>
      </c>
      <c r="N5" s="5">
        <v>2</v>
      </c>
      <c r="O5" s="5">
        <v>80</v>
      </c>
      <c r="P5" s="19">
        <v>0</v>
      </c>
      <c r="Q5" s="5">
        <v>11.133357619680783</v>
      </c>
      <c r="R5" s="5">
        <v>880.04797206743456</v>
      </c>
      <c r="S5" s="21"/>
      <c r="T5" s="13">
        <v>33221.833647106687</v>
      </c>
      <c r="U5" s="19">
        <v>1.989908999999898</v>
      </c>
      <c r="V5" s="5">
        <v>2</v>
      </c>
      <c r="W5" s="5">
        <v>90</v>
      </c>
      <c r="X5" s="19">
        <v>0</v>
      </c>
      <c r="Y5" s="5">
        <v>27.868969755429312</v>
      </c>
      <c r="Z5" s="5">
        <v>1536.4647964205021</v>
      </c>
      <c r="AA5" s="21"/>
    </row>
    <row r="6" spans="2:27" x14ac:dyDescent="0.2">
      <c r="B6" s="4">
        <v>3</v>
      </c>
      <c r="C6" s="4">
        <v>420</v>
      </c>
      <c r="D6" s="13">
        <v>31311.151091069481</v>
      </c>
      <c r="E6" s="19">
        <v>2.0542954169977752</v>
      </c>
      <c r="F6" s="5">
        <v>2</v>
      </c>
      <c r="G6" s="13">
        <v>90</v>
      </c>
      <c r="H6" s="19">
        <v>0</v>
      </c>
      <c r="I6" s="13">
        <v>14.888298331143236</v>
      </c>
      <c r="J6" s="5">
        <v>1038.6774334332017</v>
      </c>
      <c r="K6" s="17"/>
      <c r="L6" s="13">
        <v>34862.388120325981</v>
      </c>
      <c r="M6" s="19">
        <v>1.870964334000746</v>
      </c>
      <c r="N6" s="5">
        <v>2</v>
      </c>
      <c r="O6" s="5">
        <v>80</v>
      </c>
      <c r="P6" s="19">
        <v>0</v>
      </c>
      <c r="Q6" s="5">
        <v>11.133357619680783</v>
      </c>
      <c r="R6" s="5">
        <v>880.04797206743456</v>
      </c>
      <c r="S6" s="21"/>
      <c r="T6" s="13">
        <v>33221.833647106687</v>
      </c>
      <c r="U6" s="19">
        <v>2.0034171250008508</v>
      </c>
      <c r="V6" s="5">
        <v>2</v>
      </c>
      <c r="W6" s="5">
        <v>90</v>
      </c>
      <c r="X6" s="19">
        <v>0</v>
      </c>
      <c r="Y6" s="5">
        <v>27.868969755429312</v>
      </c>
      <c r="Z6" s="5">
        <v>1536.4647964205021</v>
      </c>
      <c r="AA6" s="21"/>
    </row>
    <row r="7" spans="2:27" x14ac:dyDescent="0.2">
      <c r="B7" s="4">
        <v>4</v>
      </c>
      <c r="C7" s="4">
        <v>481</v>
      </c>
      <c r="D7" s="13">
        <v>31311.151091069481</v>
      </c>
      <c r="E7" s="19">
        <v>2.1513494170030749</v>
      </c>
      <c r="F7" s="5">
        <v>2</v>
      </c>
      <c r="G7" s="13">
        <v>90</v>
      </c>
      <c r="H7" s="19">
        <v>0</v>
      </c>
      <c r="I7" s="13">
        <v>14.888298331143236</v>
      </c>
      <c r="J7" s="5">
        <v>1038.6774334332017</v>
      </c>
      <c r="K7" s="17"/>
      <c r="L7" s="13">
        <v>34862.388120325981</v>
      </c>
      <c r="M7" s="19">
        <v>1.857127791998209</v>
      </c>
      <c r="N7" s="5">
        <v>2</v>
      </c>
      <c r="O7" s="5">
        <v>80</v>
      </c>
      <c r="P7" s="19">
        <v>0</v>
      </c>
      <c r="Q7" s="5">
        <v>11.133357619680783</v>
      </c>
      <c r="R7" s="5">
        <v>880.04797206743456</v>
      </c>
      <c r="S7" s="21"/>
      <c r="T7" s="13">
        <v>33221.833647106687</v>
      </c>
      <c r="U7" s="19">
        <v>1.990826542001741</v>
      </c>
      <c r="V7" s="5">
        <v>2</v>
      </c>
      <c r="W7" s="5">
        <v>90</v>
      </c>
      <c r="X7" s="19">
        <v>0</v>
      </c>
      <c r="Y7" s="5">
        <v>27.868969755429312</v>
      </c>
      <c r="Z7" s="5">
        <v>1536.4647964205021</v>
      </c>
      <c r="AA7" s="21"/>
    </row>
    <row r="8" spans="2:27" x14ac:dyDescent="0.2">
      <c r="B8" s="4">
        <v>5</v>
      </c>
      <c r="C8" s="4">
        <v>558</v>
      </c>
      <c r="D8" s="13">
        <v>31311.151091069481</v>
      </c>
      <c r="E8" s="19">
        <v>2.1456655420006432</v>
      </c>
      <c r="F8" s="5">
        <v>2</v>
      </c>
      <c r="G8" s="13">
        <v>90</v>
      </c>
      <c r="H8" s="19">
        <v>0</v>
      </c>
      <c r="I8" s="13">
        <v>14.888298331143236</v>
      </c>
      <c r="J8" s="5">
        <v>1038.6774334332017</v>
      </c>
      <c r="K8" s="17"/>
      <c r="L8" s="13">
        <v>34862.388120325981</v>
      </c>
      <c r="M8" s="19">
        <v>1.8523005829993049</v>
      </c>
      <c r="N8" s="5">
        <v>2</v>
      </c>
      <c r="O8" s="5">
        <v>80</v>
      </c>
      <c r="P8" s="19">
        <v>0</v>
      </c>
      <c r="Q8" s="5">
        <v>11.133357619680783</v>
      </c>
      <c r="R8" s="5">
        <v>880.04797206743456</v>
      </c>
      <c r="S8" s="21"/>
      <c r="T8" s="13">
        <v>33221.833647106687</v>
      </c>
      <c r="U8" s="19">
        <v>2.0292019999978952</v>
      </c>
      <c r="V8" s="5">
        <v>2</v>
      </c>
      <c r="W8" s="5">
        <v>90</v>
      </c>
      <c r="X8" s="19">
        <v>0</v>
      </c>
      <c r="Y8" s="5">
        <v>27.868969755429312</v>
      </c>
      <c r="Z8" s="5">
        <v>1536.4647964205021</v>
      </c>
      <c r="AA8" s="21"/>
    </row>
    <row r="9" spans="2:27" x14ac:dyDescent="0.2">
      <c r="B9" s="4">
        <v>6</v>
      </c>
      <c r="C9" s="4">
        <v>673</v>
      </c>
      <c r="D9" s="13">
        <v>31311.151091069481</v>
      </c>
      <c r="E9" s="19">
        <v>2.1297941660013748</v>
      </c>
      <c r="F9" s="5">
        <v>2</v>
      </c>
      <c r="G9" s="13">
        <v>90</v>
      </c>
      <c r="H9" s="19">
        <v>0</v>
      </c>
      <c r="I9" s="13">
        <v>14.888298331143236</v>
      </c>
      <c r="J9" s="5">
        <v>1038.6774334332017</v>
      </c>
      <c r="K9" s="17"/>
      <c r="L9" s="13">
        <v>34862.388120325981</v>
      </c>
      <c r="M9" s="19">
        <v>1.694211582998832</v>
      </c>
      <c r="N9" s="5">
        <v>2</v>
      </c>
      <c r="O9" s="5">
        <v>80</v>
      </c>
      <c r="P9" s="19">
        <v>0</v>
      </c>
      <c r="Q9" s="5">
        <v>11.133357619680783</v>
      </c>
      <c r="R9" s="5">
        <v>880.04797206743456</v>
      </c>
      <c r="S9" s="21"/>
      <c r="T9" s="13">
        <v>33221.833647106687</v>
      </c>
      <c r="U9" s="19">
        <v>2.035666959000082</v>
      </c>
      <c r="V9" s="5">
        <v>2</v>
      </c>
      <c r="W9" s="5">
        <v>90</v>
      </c>
      <c r="X9" s="19">
        <v>0</v>
      </c>
      <c r="Y9" s="5">
        <v>27.868969755429312</v>
      </c>
      <c r="Z9" s="5">
        <v>1536.4647964205021</v>
      </c>
      <c r="AA9" s="21"/>
    </row>
    <row r="10" spans="2:27" x14ac:dyDescent="0.2">
      <c r="B10" s="4">
        <v>7</v>
      </c>
      <c r="C10" s="4">
        <v>765</v>
      </c>
      <c r="D10" s="13">
        <v>31311.151091069481</v>
      </c>
      <c r="E10" s="19">
        <v>2.1579700000002049</v>
      </c>
      <c r="F10" s="5">
        <v>2</v>
      </c>
      <c r="G10" s="13">
        <v>90</v>
      </c>
      <c r="H10" s="19">
        <v>0</v>
      </c>
      <c r="I10" s="13">
        <v>14.888298331143236</v>
      </c>
      <c r="J10" s="5">
        <v>1038.6774334332017</v>
      </c>
      <c r="K10" s="17"/>
      <c r="L10" s="13">
        <v>34862.388120325981</v>
      </c>
      <c r="M10" s="19">
        <v>1.676878041998862</v>
      </c>
      <c r="N10" s="5">
        <v>2</v>
      </c>
      <c r="O10" s="5">
        <v>80</v>
      </c>
      <c r="P10" s="19">
        <v>0</v>
      </c>
      <c r="Q10" s="5">
        <v>11.133357619680783</v>
      </c>
      <c r="R10" s="5">
        <v>880.04797206743456</v>
      </c>
      <c r="S10" s="21"/>
      <c r="T10" s="13">
        <v>33221.833647106687</v>
      </c>
      <c r="U10" s="19">
        <v>2.02459195800111</v>
      </c>
      <c r="V10" s="5">
        <v>2</v>
      </c>
      <c r="W10" s="5">
        <v>90</v>
      </c>
      <c r="X10" s="19">
        <v>0</v>
      </c>
      <c r="Y10" s="5">
        <v>27.868969755429312</v>
      </c>
      <c r="Z10" s="5">
        <v>1536.4647964205021</v>
      </c>
      <c r="AA10" s="21"/>
    </row>
    <row r="11" spans="2:27" x14ac:dyDescent="0.2">
      <c r="B11" s="4">
        <v>8</v>
      </c>
      <c r="C11" s="4">
        <v>838</v>
      </c>
      <c r="D11" s="13">
        <v>31311.151091069481</v>
      </c>
      <c r="E11" s="19">
        <v>2.1522047500002368</v>
      </c>
      <c r="F11" s="5">
        <v>2</v>
      </c>
      <c r="G11" s="13">
        <v>90</v>
      </c>
      <c r="H11" s="19">
        <v>0</v>
      </c>
      <c r="I11" s="13">
        <v>14.888298331143236</v>
      </c>
      <c r="J11" s="5">
        <v>1038.6774334332017</v>
      </c>
      <c r="K11" s="17"/>
      <c r="L11" s="13">
        <v>34862.388120325981</v>
      </c>
      <c r="M11" s="19">
        <v>1.674069958000473</v>
      </c>
      <c r="N11" s="5">
        <v>2</v>
      </c>
      <c r="O11" s="5">
        <v>80</v>
      </c>
      <c r="P11" s="19">
        <v>0</v>
      </c>
      <c r="Q11" s="5">
        <v>11.133357619680783</v>
      </c>
      <c r="R11" s="5">
        <v>880.04797206743456</v>
      </c>
      <c r="S11" s="21"/>
      <c r="T11" s="13">
        <v>33221.833647106687</v>
      </c>
      <c r="U11" s="19">
        <v>2.0350306250002181</v>
      </c>
      <c r="V11" s="5">
        <v>2</v>
      </c>
      <c r="W11" s="5">
        <v>90</v>
      </c>
      <c r="X11" s="19">
        <v>0</v>
      </c>
      <c r="Y11" s="5">
        <v>27.868969755429312</v>
      </c>
      <c r="Z11" s="5">
        <v>1536.4647964205021</v>
      </c>
      <c r="AA11" s="21"/>
    </row>
    <row r="12" spans="2:27" x14ac:dyDescent="0.2">
      <c r="B12" s="4">
        <v>9</v>
      </c>
      <c r="C12" s="4">
        <v>863</v>
      </c>
      <c r="D12" s="13">
        <v>31311.151091069481</v>
      </c>
      <c r="E12" s="19">
        <v>2.1124986670001822</v>
      </c>
      <c r="F12" s="5">
        <v>2</v>
      </c>
      <c r="G12" s="13">
        <v>90</v>
      </c>
      <c r="H12" s="19">
        <v>0</v>
      </c>
      <c r="I12" s="13">
        <v>14.888298331143236</v>
      </c>
      <c r="J12" s="5">
        <v>1038.6774334332017</v>
      </c>
      <c r="K12" s="17"/>
      <c r="L12" s="13">
        <v>34862.388120325981</v>
      </c>
      <c r="M12" s="19">
        <v>1.868612832997314</v>
      </c>
      <c r="N12" s="5">
        <v>2</v>
      </c>
      <c r="O12" s="5">
        <v>80</v>
      </c>
      <c r="P12" s="19">
        <v>0</v>
      </c>
      <c r="Q12" s="5">
        <v>11.133357619680783</v>
      </c>
      <c r="R12" s="5">
        <v>880.04797206743456</v>
      </c>
      <c r="S12" s="21"/>
      <c r="T12" s="13">
        <v>33221.833647106687</v>
      </c>
      <c r="U12" s="19">
        <v>2.0412800829981279</v>
      </c>
      <c r="V12" s="5">
        <v>2</v>
      </c>
      <c r="W12" s="5">
        <v>90</v>
      </c>
      <c r="X12" s="19">
        <v>0</v>
      </c>
      <c r="Y12" s="5">
        <v>27.868969755429312</v>
      </c>
      <c r="Z12" s="5">
        <v>1536.4647964205021</v>
      </c>
      <c r="AA12" s="21"/>
    </row>
    <row r="13" spans="2:27" x14ac:dyDescent="0.2">
      <c r="B13" s="4">
        <v>10</v>
      </c>
      <c r="C13" s="4">
        <v>939</v>
      </c>
      <c r="D13" s="13">
        <v>31311.151091069481</v>
      </c>
      <c r="E13" s="19">
        <v>2.1382039579984848</v>
      </c>
      <c r="F13" s="5">
        <v>2</v>
      </c>
      <c r="G13" s="13">
        <v>90</v>
      </c>
      <c r="H13" s="19">
        <v>0</v>
      </c>
      <c r="I13" s="13">
        <v>14.888298331143236</v>
      </c>
      <c r="J13" s="5">
        <v>1038.6774334332017</v>
      </c>
      <c r="K13" s="17"/>
      <c r="L13" s="13">
        <v>34862.388120325981</v>
      </c>
      <c r="M13" s="19">
        <v>1.6802218329976311</v>
      </c>
      <c r="N13" s="5">
        <v>2</v>
      </c>
      <c r="O13" s="5">
        <v>80</v>
      </c>
      <c r="P13" s="19">
        <v>0</v>
      </c>
      <c r="Q13" s="5">
        <v>11.133357619680783</v>
      </c>
      <c r="R13" s="5">
        <v>880.04797206743456</v>
      </c>
      <c r="S13" s="21"/>
      <c r="T13" s="13">
        <v>33221.833647106687</v>
      </c>
      <c r="U13" s="19">
        <v>2.0699249999997851</v>
      </c>
      <c r="V13" s="5">
        <v>2</v>
      </c>
      <c r="W13" s="5">
        <v>90</v>
      </c>
      <c r="X13" s="19">
        <v>0</v>
      </c>
      <c r="Y13" s="5">
        <v>27.868969755429312</v>
      </c>
      <c r="Z13" s="5">
        <v>1536.4647964205021</v>
      </c>
      <c r="AA13" s="21"/>
    </row>
    <row r="14" spans="2:27" x14ac:dyDescent="0.2">
      <c r="B14" s="33" t="s">
        <v>2</v>
      </c>
      <c r="C14" s="34"/>
      <c r="D14" s="7">
        <f>MIN(D4:D13)</f>
        <v>31311.151091069481</v>
      </c>
      <c r="E14" s="12">
        <f>INDEX(E4:E13, MATCH($D$14, D4:D13, 0))</f>
        <v>2.1283173329975398</v>
      </c>
      <c r="F14" s="7">
        <f>INDEX(F4:F13, MATCH($D$14, D4:D13, 0))</f>
        <v>2</v>
      </c>
      <c r="G14" s="7">
        <f>INDEX(G4:G13, MATCH($D$14, D4:D13, 0))</f>
        <v>90</v>
      </c>
      <c r="H14" s="12">
        <f>INDEX(H4:H13, MATCH($D$14, D4:D13, 0))</f>
        <v>0</v>
      </c>
      <c r="I14" s="12">
        <f>INDEX(I4:I13, MATCH($D$14, D4:D13, 0))</f>
        <v>14.888298331143236</v>
      </c>
      <c r="J14" s="12">
        <f>INDEX(J4:J13, MATCH($D$14, D4:D13, 0))</f>
        <v>1038.6774334332017</v>
      </c>
      <c r="K14" s="18" t="e">
        <f>(D14-$D$15)/$D$15</f>
        <v>#DIV/0!</v>
      </c>
      <c r="L14" s="10">
        <f>MIN(L4:L13)</f>
        <v>34862.388120325981</v>
      </c>
      <c r="M14" s="11">
        <f>INDEX(M4:M13, MATCH($L$14, L4:L13, 0))</f>
        <v>1.679926958000578</v>
      </c>
      <c r="N14" s="10">
        <f>INDEX(N4:N13, MATCH($L$14, L4:L13, 0))</f>
        <v>2</v>
      </c>
      <c r="O14" s="10">
        <f>INDEX(O4:O13, MATCH($L$14, L4:L13, 0))</f>
        <v>80</v>
      </c>
      <c r="P14" s="11">
        <f>INDEX(P4:P13, MATCH($L$14, L4:L13, 0))</f>
        <v>0</v>
      </c>
      <c r="Q14" s="11">
        <f>INDEX(Q4:Q13, MATCH($L$14, L4:L13, 0))</f>
        <v>11.133357619680783</v>
      </c>
      <c r="R14" s="11">
        <f>INDEX(R4:R13, MATCH($L$14, L4:L13, 0))</f>
        <v>880.04797206743456</v>
      </c>
      <c r="S14" s="22" t="e">
        <f>(L14-$D$15)/$D$15</f>
        <v>#DIV/0!</v>
      </c>
      <c r="T14" s="24">
        <f>MIN(T4:T13)</f>
        <v>33221.833647106687</v>
      </c>
      <c r="U14" s="25">
        <f>INDEX(U4:U13, MATCH($T$14, T4:T13, 0))</f>
        <v>1.971434874998522</v>
      </c>
      <c r="V14" s="24">
        <f>INDEX(V4:V13, MATCH($T$14, T4:T13, 0))</f>
        <v>2</v>
      </c>
      <c r="W14" s="24">
        <f>INDEX(W4:W13, MATCH($T$14, T4:T13, 0))</f>
        <v>90</v>
      </c>
      <c r="X14" s="25">
        <f>INDEX(X4:X13, MATCH($T$14, T4:T13, 0))</f>
        <v>0</v>
      </c>
      <c r="Y14" s="25">
        <f>INDEX(Y4:Y13, MATCH($T$14, T4:T13, 0))</f>
        <v>27.868969755429312</v>
      </c>
      <c r="Z14" s="25">
        <f>INDEX(Z4:Z13, MATCH($T$14, T4:T13, 0))</f>
        <v>1536.4647964205021</v>
      </c>
      <c r="AA14" s="26" t="e">
        <f>(T14-$D$15)/$D$15</f>
        <v>#DIV/0!</v>
      </c>
    </row>
    <row r="15" spans="2:27" x14ac:dyDescent="0.2">
      <c r="D15" s="20"/>
      <c r="E15" s="3"/>
      <c r="F15" s="3"/>
      <c r="G15" s="3"/>
      <c r="H15" s="3"/>
      <c r="I15" s="3"/>
      <c r="J15" s="3"/>
      <c r="K15" s="3"/>
      <c r="L15" s="32"/>
      <c r="M15" s="32"/>
      <c r="N15" s="32"/>
      <c r="O15" s="32"/>
      <c r="P15" s="32"/>
      <c r="Q15" s="32"/>
      <c r="R15" s="32"/>
      <c r="T15" s="32"/>
      <c r="U15" s="32"/>
      <c r="V15" s="32"/>
      <c r="W15" s="32"/>
      <c r="X15" s="32"/>
      <c r="Y15" s="32"/>
      <c r="Z15" s="32"/>
    </row>
    <row r="16" spans="2:27" x14ac:dyDescent="0.2">
      <c r="D16" s="2"/>
    </row>
    <row r="17" spans="4:4" x14ac:dyDescent="0.2">
      <c r="D17" s="2"/>
    </row>
    <row r="18" spans="4:4" x14ac:dyDescent="0.2">
      <c r="D18" s="2"/>
    </row>
  </sheetData>
  <mergeCells count="1">
    <mergeCell ref="B14:C14"/>
  </mergeCells>
  <conditionalFormatting sqref="C1:C13 C15:C16 C24:C1048576">
    <cfRule type="duplicateValues" dxfId="113" priority="11"/>
    <cfRule type="duplicateValues" dxfId="112" priority="12"/>
  </conditionalFormatting>
  <conditionalFormatting sqref="C14">
    <cfRule type="duplicateValues" dxfId="111" priority="1"/>
    <cfRule type="duplicateValues" dxfId="110" priority="2"/>
  </conditionalFormatting>
  <conditionalFormatting sqref="C17">
    <cfRule type="duplicateValues" dxfId="109" priority="5"/>
    <cfRule type="duplicateValues" dxfId="108" priority="6"/>
  </conditionalFormatting>
  <conditionalFormatting sqref="C18:C23">
    <cfRule type="duplicateValues" dxfId="107" priority="7"/>
    <cfRule type="duplicateValues" dxfId="106" priority="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0226-F3A8-7444-B709-4B0364F07109}">
  <dimension ref="B1:AA17"/>
  <sheetViews>
    <sheetView zoomScale="118" zoomScaleNormal="120" workbookViewId="0">
      <selection activeCell="A2" sqref="A2:XFD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9</v>
      </c>
    </row>
    <row r="2" spans="2:27" x14ac:dyDescent="0.2">
      <c r="B2" s="1" t="s">
        <v>12</v>
      </c>
      <c r="D2" s="15">
        <v>10</v>
      </c>
      <c r="H2" s="14"/>
      <c r="J2" s="14"/>
      <c r="K2" s="14"/>
      <c r="L2" s="1" t="s">
        <v>13</v>
      </c>
      <c r="T2" s="1" t="s">
        <v>14</v>
      </c>
    </row>
    <row r="3" spans="2:27" x14ac:dyDescent="0.2">
      <c r="B3" s="6" t="s">
        <v>5</v>
      </c>
      <c r="C3" s="6" t="s">
        <v>3</v>
      </c>
      <c r="D3" s="6" t="s">
        <v>0</v>
      </c>
      <c r="E3" s="6" t="s">
        <v>4</v>
      </c>
      <c r="F3" s="6" t="s">
        <v>8</v>
      </c>
      <c r="G3" s="6" t="s">
        <v>10</v>
      </c>
      <c r="H3" s="6" t="s">
        <v>7</v>
      </c>
      <c r="I3" s="6" t="s">
        <v>11</v>
      </c>
      <c r="J3" s="6" t="s">
        <v>6</v>
      </c>
      <c r="K3" s="6" t="s">
        <v>1</v>
      </c>
      <c r="L3" s="9" t="s">
        <v>0</v>
      </c>
      <c r="M3" s="9" t="s">
        <v>4</v>
      </c>
      <c r="N3" s="9" t="s">
        <v>8</v>
      </c>
      <c r="O3" s="9" t="s">
        <v>10</v>
      </c>
      <c r="P3" s="9" t="s">
        <v>7</v>
      </c>
      <c r="Q3" s="9" t="s">
        <v>11</v>
      </c>
      <c r="R3" s="9" t="s">
        <v>6</v>
      </c>
      <c r="S3" s="9" t="s">
        <v>1</v>
      </c>
      <c r="T3" s="23" t="s">
        <v>0</v>
      </c>
      <c r="U3" s="23" t="s">
        <v>4</v>
      </c>
      <c r="V3" s="23" t="s">
        <v>8</v>
      </c>
      <c r="W3" s="23" t="s">
        <v>10</v>
      </c>
      <c r="X3" s="23" t="s">
        <v>7</v>
      </c>
      <c r="Y3" s="23" t="s">
        <v>11</v>
      </c>
      <c r="Z3" s="23" t="s">
        <v>6</v>
      </c>
      <c r="AA3" s="23" t="s">
        <v>1</v>
      </c>
    </row>
    <row r="4" spans="2:27" x14ac:dyDescent="0.2">
      <c r="B4" s="4">
        <v>1</v>
      </c>
      <c r="C4" s="4">
        <v>22</v>
      </c>
      <c r="D4" s="13">
        <v>37238.625256724103</v>
      </c>
      <c r="E4" s="19">
        <v>1.9670108749996871</v>
      </c>
      <c r="F4" s="5">
        <v>2</v>
      </c>
      <c r="G4" s="13">
        <v>90</v>
      </c>
      <c r="H4" s="19">
        <v>107.74864228395739</v>
      </c>
      <c r="I4" s="13">
        <v>19.629370357093762</v>
      </c>
      <c r="J4" s="5">
        <v>1580.9462713284502</v>
      </c>
      <c r="K4" s="17"/>
      <c r="L4" s="13">
        <v>39202.534728084232</v>
      </c>
      <c r="M4" s="19">
        <v>1.8405866250031979</v>
      </c>
      <c r="N4" s="5">
        <v>2</v>
      </c>
      <c r="O4" s="5">
        <v>80</v>
      </c>
      <c r="P4" s="19">
        <v>58.743822733682215</v>
      </c>
      <c r="Q4" s="5">
        <v>17.160451755170229</v>
      </c>
      <c r="R4" s="5">
        <v>1515.9967897556051</v>
      </c>
      <c r="S4" s="21"/>
      <c r="T4" s="13">
        <v>42207.190034795349</v>
      </c>
      <c r="U4" s="19">
        <v>1.951261707999947</v>
      </c>
      <c r="V4" s="5">
        <v>2</v>
      </c>
      <c r="W4" s="5">
        <v>80</v>
      </c>
      <c r="X4" s="19">
        <v>225.25493734608449</v>
      </c>
      <c r="Y4" s="5">
        <v>35.731942654115628</v>
      </c>
      <c r="Z4" s="5">
        <v>2101.737233657052</v>
      </c>
      <c r="AA4" s="21"/>
    </row>
    <row r="5" spans="2:27" x14ac:dyDescent="0.2">
      <c r="B5" s="4">
        <v>2</v>
      </c>
      <c r="C5" s="4">
        <v>48</v>
      </c>
      <c r="D5" s="13">
        <v>37238.625256724103</v>
      </c>
      <c r="E5" s="19">
        <v>1.9142639159981629</v>
      </c>
      <c r="F5" s="5">
        <v>2</v>
      </c>
      <c r="G5" s="13">
        <v>90</v>
      </c>
      <c r="H5" s="19">
        <v>107.74864228395739</v>
      </c>
      <c r="I5" s="13">
        <v>19.629370357093762</v>
      </c>
      <c r="J5" s="5">
        <v>1580.9462713284502</v>
      </c>
      <c r="K5" s="17"/>
      <c r="L5" s="13">
        <v>39202.534728084232</v>
      </c>
      <c r="M5" s="19">
        <v>2.0111792089992382</v>
      </c>
      <c r="N5" s="5">
        <v>2</v>
      </c>
      <c r="O5" s="5">
        <v>80</v>
      </c>
      <c r="P5" s="19">
        <v>58.743822733682215</v>
      </c>
      <c r="Q5" s="5">
        <v>17.160451755170229</v>
      </c>
      <c r="R5" s="5">
        <v>1515.9967897556051</v>
      </c>
      <c r="S5" s="21"/>
      <c r="T5" s="13">
        <v>42207.190034795349</v>
      </c>
      <c r="U5" s="19">
        <v>1.9565917079999049</v>
      </c>
      <c r="V5" s="5">
        <v>2</v>
      </c>
      <c r="W5" s="5">
        <v>80</v>
      </c>
      <c r="X5" s="19">
        <v>225.25493734608449</v>
      </c>
      <c r="Y5" s="5">
        <v>35.731942654115628</v>
      </c>
      <c r="Z5" s="5">
        <v>2101.737233657052</v>
      </c>
      <c r="AA5" s="21"/>
    </row>
    <row r="6" spans="2:27" x14ac:dyDescent="0.2">
      <c r="B6" s="4">
        <v>3</v>
      </c>
      <c r="C6" s="4">
        <v>291</v>
      </c>
      <c r="D6" s="13">
        <v>37238.625256724103</v>
      </c>
      <c r="E6" s="19">
        <v>2.0264238330019002</v>
      </c>
      <c r="F6" s="5">
        <v>2</v>
      </c>
      <c r="G6" s="13">
        <v>90</v>
      </c>
      <c r="H6" s="19">
        <v>107.74864228395739</v>
      </c>
      <c r="I6" s="13">
        <v>19.629370357093762</v>
      </c>
      <c r="J6" s="5">
        <v>1580.9462713284502</v>
      </c>
      <c r="K6" s="17"/>
      <c r="L6" s="13">
        <v>39202.534728084232</v>
      </c>
      <c r="M6" s="19">
        <v>1.835875916000077</v>
      </c>
      <c r="N6" s="5">
        <v>2</v>
      </c>
      <c r="O6" s="5">
        <v>80</v>
      </c>
      <c r="P6" s="19">
        <v>58.743822733682215</v>
      </c>
      <c r="Q6" s="5">
        <v>17.160451755170229</v>
      </c>
      <c r="R6" s="5">
        <v>1515.9967897556051</v>
      </c>
      <c r="S6" s="21"/>
      <c r="T6" s="13">
        <v>42207.190034795349</v>
      </c>
      <c r="U6" s="19">
        <v>2.1424252920005529</v>
      </c>
      <c r="V6" s="5">
        <v>2</v>
      </c>
      <c r="W6" s="5">
        <v>80</v>
      </c>
      <c r="X6" s="19">
        <v>225.25493734608449</v>
      </c>
      <c r="Y6" s="5">
        <v>35.731942654115628</v>
      </c>
      <c r="Z6" s="5">
        <v>2101.737233657052</v>
      </c>
      <c r="AA6" s="21"/>
    </row>
    <row r="7" spans="2:27" x14ac:dyDescent="0.2">
      <c r="B7" s="4">
        <v>4</v>
      </c>
      <c r="C7" s="4">
        <v>555</v>
      </c>
      <c r="D7" s="13">
        <v>37238.625256724103</v>
      </c>
      <c r="E7" s="19">
        <v>1.95233279200329</v>
      </c>
      <c r="F7" s="5">
        <v>2</v>
      </c>
      <c r="G7" s="13">
        <v>90</v>
      </c>
      <c r="H7" s="19">
        <v>107.74864228395739</v>
      </c>
      <c r="I7" s="13">
        <v>19.629370357093762</v>
      </c>
      <c r="J7" s="5">
        <v>1580.9462713284502</v>
      </c>
      <c r="K7" s="17"/>
      <c r="L7" s="13">
        <v>39202.534728084232</v>
      </c>
      <c r="M7" s="19">
        <v>1.882358000002569</v>
      </c>
      <c r="N7" s="5">
        <v>2</v>
      </c>
      <c r="O7" s="5">
        <v>80</v>
      </c>
      <c r="P7" s="19">
        <v>58.743822733682215</v>
      </c>
      <c r="Q7" s="5">
        <v>17.160451755170229</v>
      </c>
      <c r="R7" s="5">
        <v>1515.9967897556051</v>
      </c>
      <c r="S7" s="21"/>
      <c r="T7" s="13">
        <v>42207.190034795349</v>
      </c>
      <c r="U7" s="19">
        <v>2.1200821250022268</v>
      </c>
      <c r="V7" s="5">
        <v>2</v>
      </c>
      <c r="W7" s="5">
        <v>80</v>
      </c>
      <c r="X7" s="19">
        <v>225.25493734608449</v>
      </c>
      <c r="Y7" s="5">
        <v>35.731942654115628</v>
      </c>
      <c r="Z7" s="5">
        <v>2101.737233657052</v>
      </c>
      <c r="AA7" s="21"/>
    </row>
    <row r="8" spans="2:27" x14ac:dyDescent="0.2">
      <c r="B8" s="4">
        <v>5</v>
      </c>
      <c r="C8" s="4">
        <v>639</v>
      </c>
      <c r="D8" s="13">
        <v>37238.625256724103</v>
      </c>
      <c r="E8" s="19">
        <v>1.952211625000928</v>
      </c>
      <c r="F8" s="5">
        <v>2</v>
      </c>
      <c r="G8" s="13">
        <v>90</v>
      </c>
      <c r="H8" s="19">
        <v>107.74864228395739</v>
      </c>
      <c r="I8" s="13">
        <v>19.629370357093762</v>
      </c>
      <c r="J8" s="5">
        <v>1580.9462713284502</v>
      </c>
      <c r="K8" s="17"/>
      <c r="L8" s="13">
        <v>39202.534728084232</v>
      </c>
      <c r="M8" s="19">
        <v>2.0847100419996418</v>
      </c>
      <c r="N8" s="5">
        <v>2</v>
      </c>
      <c r="O8" s="5">
        <v>80</v>
      </c>
      <c r="P8" s="19">
        <v>58.743822733682215</v>
      </c>
      <c r="Q8" s="5">
        <v>17.160451755170229</v>
      </c>
      <c r="R8" s="5">
        <v>1515.9967897556051</v>
      </c>
      <c r="S8" s="21"/>
      <c r="T8" s="13">
        <v>42207.190034795349</v>
      </c>
      <c r="U8" s="19">
        <v>2.1334896250009479</v>
      </c>
      <c r="V8" s="5">
        <v>2</v>
      </c>
      <c r="W8" s="5">
        <v>80</v>
      </c>
      <c r="X8" s="19">
        <v>225.25493734608449</v>
      </c>
      <c r="Y8" s="5">
        <v>35.731942654115628</v>
      </c>
      <c r="Z8" s="5">
        <v>2101.737233657052</v>
      </c>
      <c r="AA8" s="21"/>
    </row>
    <row r="9" spans="2:27" x14ac:dyDescent="0.2">
      <c r="B9" s="4">
        <v>6</v>
      </c>
      <c r="C9" s="4">
        <v>633</v>
      </c>
      <c r="D9" s="13">
        <v>37238.625256724103</v>
      </c>
      <c r="E9" s="19">
        <v>1.91780108400053</v>
      </c>
      <c r="F9" s="5">
        <v>2</v>
      </c>
      <c r="G9" s="13">
        <v>90</v>
      </c>
      <c r="H9" s="19">
        <v>107.74864228395739</v>
      </c>
      <c r="I9" s="13">
        <v>19.629370357093762</v>
      </c>
      <c r="J9" s="5">
        <v>1580.9462713284502</v>
      </c>
      <c r="K9" s="17"/>
      <c r="L9" s="13">
        <v>39202.534728084232</v>
      </c>
      <c r="M9" s="19">
        <v>2.063392125000973</v>
      </c>
      <c r="N9" s="5">
        <v>2</v>
      </c>
      <c r="O9" s="5">
        <v>80</v>
      </c>
      <c r="P9" s="19">
        <v>58.743822733682215</v>
      </c>
      <c r="Q9" s="5">
        <v>17.160451755170229</v>
      </c>
      <c r="R9" s="5">
        <v>1515.9967897556051</v>
      </c>
      <c r="S9" s="21"/>
      <c r="T9" s="13">
        <v>42207.190034795349</v>
      </c>
      <c r="U9" s="19">
        <v>2.1242427920005871</v>
      </c>
      <c r="V9" s="5">
        <v>2</v>
      </c>
      <c r="W9" s="5">
        <v>80</v>
      </c>
      <c r="X9" s="19">
        <v>225.25493734608449</v>
      </c>
      <c r="Y9" s="5">
        <v>35.731942654115628</v>
      </c>
      <c r="Z9" s="5">
        <v>2101.737233657052</v>
      </c>
      <c r="AA9" s="21"/>
    </row>
    <row r="10" spans="2:27" x14ac:dyDescent="0.2">
      <c r="B10" s="4">
        <v>7</v>
      </c>
      <c r="C10" s="4">
        <v>828</v>
      </c>
      <c r="D10" s="13">
        <v>37238.625256724103</v>
      </c>
      <c r="E10" s="19">
        <v>1.9731421670003331</v>
      </c>
      <c r="F10" s="5">
        <v>2</v>
      </c>
      <c r="G10" s="13">
        <v>90</v>
      </c>
      <c r="H10" s="19">
        <v>107.74864228395739</v>
      </c>
      <c r="I10" s="13">
        <v>19.629370357093762</v>
      </c>
      <c r="J10" s="5">
        <v>1580.9462713284502</v>
      </c>
      <c r="K10" s="17"/>
      <c r="L10" s="13">
        <v>39202.534728084232</v>
      </c>
      <c r="M10" s="19">
        <v>1.9004640000021029</v>
      </c>
      <c r="N10" s="5">
        <v>2</v>
      </c>
      <c r="O10" s="5">
        <v>80</v>
      </c>
      <c r="P10" s="19">
        <v>58.743822733682215</v>
      </c>
      <c r="Q10" s="5">
        <v>17.160451755170229</v>
      </c>
      <c r="R10" s="5">
        <v>1515.9967897556051</v>
      </c>
      <c r="S10" s="21"/>
      <c r="T10" s="13">
        <v>42207.190034795349</v>
      </c>
      <c r="U10" s="19">
        <v>2.1420966249970661</v>
      </c>
      <c r="V10" s="5">
        <v>2</v>
      </c>
      <c r="W10" s="5">
        <v>80</v>
      </c>
      <c r="X10" s="19">
        <v>225.25493734608449</v>
      </c>
      <c r="Y10" s="5">
        <v>35.731942654115628</v>
      </c>
      <c r="Z10" s="5">
        <v>2101.737233657052</v>
      </c>
      <c r="AA10" s="21"/>
    </row>
    <row r="11" spans="2:27" x14ac:dyDescent="0.2">
      <c r="B11" s="4">
        <v>8</v>
      </c>
      <c r="C11" s="4">
        <v>880</v>
      </c>
      <c r="D11" s="13">
        <v>37238.625256724103</v>
      </c>
      <c r="E11" s="19">
        <v>2.0109874580011819</v>
      </c>
      <c r="F11" s="5">
        <v>2</v>
      </c>
      <c r="G11" s="13">
        <v>90</v>
      </c>
      <c r="H11" s="19">
        <v>107.74864228395739</v>
      </c>
      <c r="I11" s="13">
        <v>19.629370357093762</v>
      </c>
      <c r="J11" s="5">
        <v>1580.9462713284502</v>
      </c>
      <c r="K11" s="17"/>
      <c r="L11" s="13">
        <v>39202.534728084232</v>
      </c>
      <c r="M11" s="19">
        <v>2.0934294999970011</v>
      </c>
      <c r="N11" s="5">
        <v>2</v>
      </c>
      <c r="O11" s="5">
        <v>80</v>
      </c>
      <c r="P11" s="19">
        <v>58.743822733682215</v>
      </c>
      <c r="Q11" s="5">
        <v>17.160451755170229</v>
      </c>
      <c r="R11" s="5">
        <v>1515.9967897556051</v>
      </c>
      <c r="S11" s="21"/>
      <c r="T11" s="13">
        <v>42207.190034795349</v>
      </c>
      <c r="U11" s="19">
        <v>2.1509194579994069</v>
      </c>
      <c r="V11" s="5">
        <v>2</v>
      </c>
      <c r="W11" s="5">
        <v>80</v>
      </c>
      <c r="X11" s="19">
        <v>225.25493734608449</v>
      </c>
      <c r="Y11" s="5">
        <v>35.731942654115628</v>
      </c>
      <c r="Z11" s="5">
        <v>2101.737233657052</v>
      </c>
      <c r="AA11" s="21"/>
    </row>
    <row r="12" spans="2:27" x14ac:dyDescent="0.2">
      <c r="B12" s="4">
        <v>9</v>
      </c>
      <c r="C12" s="4">
        <v>919</v>
      </c>
      <c r="D12" s="13">
        <v>37238.625256724103</v>
      </c>
      <c r="E12" s="19">
        <v>1.999126875001821</v>
      </c>
      <c r="F12" s="5">
        <v>2</v>
      </c>
      <c r="G12" s="13">
        <v>90</v>
      </c>
      <c r="H12" s="19">
        <v>107.74864228395739</v>
      </c>
      <c r="I12" s="13">
        <v>19.629370357093762</v>
      </c>
      <c r="J12" s="5">
        <v>1580.9462713284502</v>
      </c>
      <c r="K12" s="17"/>
      <c r="L12" s="13">
        <v>39202.534728084232</v>
      </c>
      <c r="M12" s="19">
        <v>2.089798249999149</v>
      </c>
      <c r="N12" s="5">
        <v>2</v>
      </c>
      <c r="O12" s="5">
        <v>80</v>
      </c>
      <c r="P12" s="19">
        <v>58.743822733682215</v>
      </c>
      <c r="Q12" s="5">
        <v>17.160451755170229</v>
      </c>
      <c r="R12" s="5">
        <v>1515.9967897556051</v>
      </c>
      <c r="S12" s="21"/>
      <c r="T12" s="13">
        <v>42207.190034795349</v>
      </c>
      <c r="U12" s="19">
        <v>2.1338352919992758</v>
      </c>
      <c r="V12" s="5">
        <v>2</v>
      </c>
      <c r="W12" s="5">
        <v>80</v>
      </c>
      <c r="X12" s="19">
        <v>225.25493734608449</v>
      </c>
      <c r="Y12" s="5">
        <v>35.731942654115628</v>
      </c>
      <c r="Z12" s="5">
        <v>2101.737233657052</v>
      </c>
      <c r="AA12" s="21"/>
    </row>
    <row r="13" spans="2:27" x14ac:dyDescent="0.2">
      <c r="B13" s="4">
        <v>10</v>
      </c>
      <c r="C13" s="4">
        <v>987</v>
      </c>
      <c r="D13" s="13">
        <v>37238.625256724103</v>
      </c>
      <c r="E13" s="19">
        <v>1.976719249996677</v>
      </c>
      <c r="F13" s="5">
        <v>2</v>
      </c>
      <c r="G13" s="13">
        <v>90</v>
      </c>
      <c r="H13" s="19">
        <v>107.74864228395739</v>
      </c>
      <c r="I13" s="13">
        <v>19.629370357093762</v>
      </c>
      <c r="J13" s="5">
        <v>1580.9462713284502</v>
      </c>
      <c r="K13" s="17"/>
      <c r="L13" s="13">
        <v>39202.534728084232</v>
      </c>
      <c r="M13" s="19">
        <v>2.1527100420025822</v>
      </c>
      <c r="N13" s="5">
        <v>2</v>
      </c>
      <c r="O13" s="5">
        <v>80</v>
      </c>
      <c r="P13" s="19">
        <v>58.743822733682215</v>
      </c>
      <c r="Q13" s="5">
        <v>17.160451755170229</v>
      </c>
      <c r="R13" s="5">
        <v>1515.9967897556051</v>
      </c>
      <c r="S13" s="21"/>
      <c r="T13" s="13">
        <v>42207.190034795349</v>
      </c>
      <c r="U13" s="19">
        <v>2.062090750001516</v>
      </c>
      <c r="V13" s="5">
        <v>2</v>
      </c>
      <c r="W13" s="5">
        <v>80</v>
      </c>
      <c r="X13" s="19">
        <v>225.25493734608449</v>
      </c>
      <c r="Y13" s="5">
        <v>35.731942654115628</v>
      </c>
      <c r="Z13" s="5">
        <v>2101.737233657052</v>
      </c>
      <c r="AA13" s="21"/>
    </row>
    <row r="14" spans="2:27" x14ac:dyDescent="0.2">
      <c r="B14" s="33" t="s">
        <v>2</v>
      </c>
      <c r="C14" s="34"/>
      <c r="D14" s="7">
        <f>MIN(D4:D13)</f>
        <v>37238.625256724103</v>
      </c>
      <c r="E14" s="12">
        <f>INDEX(E4:E13, MATCH($D$14, D4:D13, 0))</f>
        <v>1.9670108749996871</v>
      </c>
      <c r="F14" s="7">
        <f>INDEX(F4:F13, MATCH($D$14, D4:D13, 0))</f>
        <v>2</v>
      </c>
      <c r="G14" s="7">
        <f>INDEX(G4:G13, MATCH($D$14, D4:D13, 0))</f>
        <v>90</v>
      </c>
      <c r="H14" s="12">
        <f>INDEX(H4:H13, MATCH($D$14, D4:D13, 0))</f>
        <v>107.74864228395739</v>
      </c>
      <c r="I14" s="12">
        <f>INDEX(I4:I13, MATCH($D$14, D4:D13, 0))</f>
        <v>19.629370357093762</v>
      </c>
      <c r="J14" s="12">
        <f>INDEX(J4:J13, MATCH($D$14, D4:D13, 0))</f>
        <v>1580.9462713284502</v>
      </c>
      <c r="K14" s="18"/>
      <c r="L14" s="10">
        <f>MIN(L4:L13)</f>
        <v>39202.534728084232</v>
      </c>
      <c r="M14" s="11">
        <f>INDEX(M4:M13, MATCH($L$14, L4:L13, 0))</f>
        <v>1.8405866250031979</v>
      </c>
      <c r="N14" s="10">
        <f>INDEX(N4:N13, MATCH($L$14, L4:L13, 0))</f>
        <v>2</v>
      </c>
      <c r="O14" s="10">
        <f>INDEX(O4:O13, MATCH($L$14, L4:L13, 0))</f>
        <v>80</v>
      </c>
      <c r="P14" s="11">
        <f>INDEX(P4:P13, MATCH($L$14, L4:L13, 0))</f>
        <v>58.743822733682215</v>
      </c>
      <c r="Q14" s="11">
        <f>INDEX(Q4:Q13, MATCH($L$14, L4:L13, 0))</f>
        <v>17.160451755170229</v>
      </c>
      <c r="R14" s="11">
        <f>INDEX(R4:R13, MATCH($L$14, L4:L13, 0))</f>
        <v>1515.9967897556051</v>
      </c>
      <c r="S14" s="22"/>
      <c r="T14" s="24">
        <f>MIN(T4:T13)</f>
        <v>42207.190034795349</v>
      </c>
      <c r="U14" s="25">
        <f>INDEX(U4:U13, MATCH($T$14, T4:T13, 0))</f>
        <v>1.951261707999947</v>
      </c>
      <c r="V14" s="24">
        <f>INDEX(V4:V13, MATCH($T$14, T4:T13, 0))</f>
        <v>2</v>
      </c>
      <c r="W14" s="24">
        <f>INDEX(W4:W13, MATCH($T$14, T4:T13, 0))</f>
        <v>80</v>
      </c>
      <c r="X14" s="25">
        <f>INDEX(X4:X13, MATCH($T$14, T4:T13, 0))</f>
        <v>225.25493734608449</v>
      </c>
      <c r="Y14" s="25">
        <f>INDEX(Y4:Y13, MATCH($T$14, T4:T13, 0))</f>
        <v>35.731942654115628</v>
      </c>
      <c r="Z14" s="25">
        <f>INDEX(Z4:Z13, MATCH($T$14, T4:T13, 0))</f>
        <v>2101.737233657052</v>
      </c>
      <c r="AA14" s="26"/>
    </row>
    <row r="15" spans="2:27" x14ac:dyDescent="0.2">
      <c r="D15" s="20"/>
      <c r="E15" s="3"/>
      <c r="F15" s="3"/>
      <c r="G15" s="3"/>
      <c r="H15" s="3"/>
      <c r="I15" s="3"/>
      <c r="J15" s="3"/>
      <c r="K15" s="3"/>
      <c r="L15" s="32"/>
      <c r="M15" s="32"/>
      <c r="N15" s="32"/>
      <c r="O15" s="32"/>
      <c r="P15" s="32"/>
      <c r="Q15" s="32"/>
      <c r="R15" s="32"/>
      <c r="T15" s="32"/>
      <c r="U15" s="32"/>
      <c r="V15" s="32"/>
      <c r="W15" s="32"/>
      <c r="X15" s="32"/>
      <c r="Y15" s="32"/>
      <c r="Z15" s="32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24:C1048576">
    <cfRule type="duplicateValues" dxfId="105" priority="13"/>
    <cfRule type="duplicateValues" dxfId="104" priority="14"/>
  </conditionalFormatting>
  <conditionalFormatting sqref="C14">
    <cfRule type="duplicateValues" dxfId="103" priority="1"/>
    <cfRule type="duplicateValues" dxfId="102" priority="2"/>
  </conditionalFormatting>
  <conditionalFormatting sqref="C15">
    <cfRule type="duplicateValues" dxfId="101" priority="5"/>
    <cfRule type="duplicateValues" dxfId="100" priority="6"/>
  </conditionalFormatting>
  <conditionalFormatting sqref="C17">
    <cfRule type="duplicateValues" dxfId="99" priority="7"/>
    <cfRule type="duplicateValues" dxfId="98" priority="8"/>
  </conditionalFormatting>
  <conditionalFormatting sqref="C18:C23">
    <cfRule type="duplicateValues" dxfId="97" priority="9"/>
    <cfRule type="duplicateValues" dxfId="96" priority="1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6E65-E52E-784F-AD6B-2DE1DDF150E7}">
  <dimension ref="B1:AA17"/>
  <sheetViews>
    <sheetView topLeftCell="B1" zoomScale="118" zoomScaleNormal="120" workbookViewId="0">
      <selection activeCell="B2" sqref="A2:XFD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9</v>
      </c>
    </row>
    <row r="2" spans="2:27" x14ac:dyDescent="0.2">
      <c r="B2" s="1" t="s">
        <v>12</v>
      </c>
      <c r="D2" s="15">
        <v>10</v>
      </c>
      <c r="H2" s="14"/>
      <c r="J2" s="14"/>
      <c r="K2" s="14"/>
      <c r="L2" s="1" t="s">
        <v>13</v>
      </c>
      <c r="T2" s="1" t="s">
        <v>14</v>
      </c>
    </row>
    <row r="3" spans="2:27" x14ac:dyDescent="0.2">
      <c r="B3" s="6" t="s">
        <v>5</v>
      </c>
      <c r="C3" s="6" t="s">
        <v>3</v>
      </c>
      <c r="D3" s="6" t="s">
        <v>0</v>
      </c>
      <c r="E3" s="6" t="s">
        <v>4</v>
      </c>
      <c r="F3" s="6" t="s">
        <v>8</v>
      </c>
      <c r="G3" s="6" t="s">
        <v>10</v>
      </c>
      <c r="H3" s="6" t="s">
        <v>7</v>
      </c>
      <c r="I3" s="6" t="s">
        <v>11</v>
      </c>
      <c r="J3" s="6" t="s">
        <v>6</v>
      </c>
      <c r="K3" s="6" t="s">
        <v>1</v>
      </c>
      <c r="L3" s="9" t="s">
        <v>0</v>
      </c>
      <c r="M3" s="9" t="s">
        <v>4</v>
      </c>
      <c r="N3" s="9" t="s">
        <v>8</v>
      </c>
      <c r="O3" s="9" t="s">
        <v>10</v>
      </c>
      <c r="P3" s="9" t="s">
        <v>7</v>
      </c>
      <c r="Q3" s="9" t="s">
        <v>11</v>
      </c>
      <c r="R3" s="9" t="s">
        <v>6</v>
      </c>
      <c r="S3" s="9" t="s">
        <v>1</v>
      </c>
      <c r="T3" s="23" t="s">
        <v>0</v>
      </c>
      <c r="U3" s="23" t="s">
        <v>4</v>
      </c>
      <c r="V3" s="23" t="s">
        <v>8</v>
      </c>
      <c r="W3" s="23" t="s">
        <v>10</v>
      </c>
      <c r="X3" s="23" t="s">
        <v>7</v>
      </c>
      <c r="Y3" s="23" t="s">
        <v>11</v>
      </c>
      <c r="Z3" s="23" t="s">
        <v>6</v>
      </c>
      <c r="AA3" s="23" t="s">
        <v>1</v>
      </c>
    </row>
    <row r="4" spans="2:27" x14ac:dyDescent="0.2">
      <c r="B4" s="4">
        <v>1</v>
      </c>
      <c r="C4" s="4">
        <v>930</v>
      </c>
      <c r="D4" s="13">
        <v>24939.0405076553</v>
      </c>
      <c r="E4" s="19">
        <v>1.4768953340026201</v>
      </c>
      <c r="F4" s="5">
        <v>1</v>
      </c>
      <c r="G4" s="13">
        <v>80</v>
      </c>
      <c r="H4" s="19">
        <v>0</v>
      </c>
      <c r="I4" s="13">
        <v>26.590698262776179</v>
      </c>
      <c r="J4" s="5">
        <v>867.36419337133805</v>
      </c>
      <c r="K4" s="17"/>
      <c r="L4" s="13">
        <v>37415.309334914942</v>
      </c>
      <c r="M4" s="19">
        <v>1.553594791999785</v>
      </c>
      <c r="N4" s="5">
        <v>2</v>
      </c>
      <c r="O4" s="5">
        <v>70</v>
      </c>
      <c r="P4" s="19">
        <v>0</v>
      </c>
      <c r="Q4" s="5">
        <v>12.338801401301403</v>
      </c>
      <c r="R4" s="5">
        <v>689.0890822328173</v>
      </c>
      <c r="S4" s="21"/>
      <c r="T4" s="13">
        <v>26338.41045300895</v>
      </c>
      <c r="U4" s="19">
        <v>2.466876499998762</v>
      </c>
      <c r="V4" s="5">
        <v>1</v>
      </c>
      <c r="W4" s="5">
        <v>80</v>
      </c>
      <c r="X4" s="19">
        <v>0</v>
      </c>
      <c r="Y4" s="5">
        <v>58.207129080952598</v>
      </c>
      <c r="Z4" s="5">
        <v>1388.0277809479683</v>
      </c>
      <c r="AA4" s="21"/>
    </row>
    <row r="5" spans="2:27" x14ac:dyDescent="0.2">
      <c r="B5" s="4">
        <v>2</v>
      </c>
      <c r="C5" s="4">
        <v>313</v>
      </c>
      <c r="D5" s="13">
        <v>24939.0405076553</v>
      </c>
      <c r="E5" s="19">
        <v>2.6141333329978811</v>
      </c>
      <c r="F5" s="5">
        <v>1</v>
      </c>
      <c r="G5" s="13">
        <v>80</v>
      </c>
      <c r="H5" s="19">
        <v>0</v>
      </c>
      <c r="I5" s="13">
        <v>26.590698262776179</v>
      </c>
      <c r="J5" s="5">
        <v>867.36419337133805</v>
      </c>
      <c r="K5" s="17"/>
      <c r="L5" s="13">
        <v>36911.715000306664</v>
      </c>
      <c r="M5" s="19">
        <v>1.8123274589997891</v>
      </c>
      <c r="N5" s="5">
        <v>1</v>
      </c>
      <c r="O5" s="5">
        <v>50</v>
      </c>
      <c r="P5" s="19">
        <v>0</v>
      </c>
      <c r="Q5" s="5">
        <v>19.277597402597401</v>
      </c>
      <c r="R5" s="5">
        <v>748.43562194276672</v>
      </c>
      <c r="S5" s="21"/>
      <c r="T5" s="13">
        <v>26553.703915267131</v>
      </c>
      <c r="U5" s="19">
        <v>1.478349167002307</v>
      </c>
      <c r="V5" s="5">
        <v>2</v>
      </c>
      <c r="W5" s="5">
        <v>100</v>
      </c>
      <c r="X5" s="19">
        <v>0</v>
      </c>
      <c r="Y5" s="5">
        <v>34.543130419602619</v>
      </c>
      <c r="Z5" s="5">
        <v>1245.4695447670224</v>
      </c>
      <c r="AA5" s="21"/>
    </row>
    <row r="6" spans="2:27" x14ac:dyDescent="0.2">
      <c r="B6" s="4">
        <v>3</v>
      </c>
      <c r="C6" s="4">
        <v>639</v>
      </c>
      <c r="D6" s="13">
        <v>24939.0405076553</v>
      </c>
      <c r="E6" s="19">
        <v>1.896678166998754</v>
      </c>
      <c r="F6" s="5">
        <v>1</v>
      </c>
      <c r="G6" s="13">
        <v>80</v>
      </c>
      <c r="H6" s="19">
        <v>0</v>
      </c>
      <c r="I6" s="13">
        <v>26.590698262776179</v>
      </c>
      <c r="J6" s="5">
        <v>867.36419337133805</v>
      </c>
      <c r="K6" s="17"/>
      <c r="L6" s="13">
        <v>36911.715000306664</v>
      </c>
      <c r="M6" s="19">
        <v>2.1611377910012379</v>
      </c>
      <c r="N6" s="5">
        <v>1</v>
      </c>
      <c r="O6" s="5">
        <v>50</v>
      </c>
      <c r="P6" s="19">
        <v>0</v>
      </c>
      <c r="Q6" s="5">
        <v>19.277597402597401</v>
      </c>
      <c r="R6" s="5">
        <v>748.43562194276672</v>
      </c>
      <c r="S6" s="21"/>
      <c r="T6" s="13">
        <v>26553.703915267131</v>
      </c>
      <c r="U6" s="19">
        <v>1.493301082999096</v>
      </c>
      <c r="V6" s="5">
        <v>2</v>
      </c>
      <c r="W6" s="5">
        <v>100</v>
      </c>
      <c r="X6" s="19">
        <v>0</v>
      </c>
      <c r="Y6" s="5">
        <v>34.543130419602619</v>
      </c>
      <c r="Z6" s="5">
        <v>1245.4695447670224</v>
      </c>
      <c r="AA6" s="21"/>
    </row>
    <row r="7" spans="2:27" x14ac:dyDescent="0.2">
      <c r="B7" s="4">
        <v>4</v>
      </c>
      <c r="C7" s="4">
        <v>335</v>
      </c>
      <c r="D7" s="13">
        <v>25442.634842263589</v>
      </c>
      <c r="E7" s="19">
        <v>1.5221331669999929</v>
      </c>
      <c r="F7" s="5">
        <v>2</v>
      </c>
      <c r="G7" s="13">
        <v>100</v>
      </c>
      <c r="H7" s="19">
        <v>0</v>
      </c>
      <c r="I7" s="13">
        <v>15.995351831390792</v>
      </c>
      <c r="J7" s="5">
        <v>802.03590128865915</v>
      </c>
      <c r="K7" s="17"/>
      <c r="L7" s="13">
        <v>36911.715000306664</v>
      </c>
      <c r="M7" s="19">
        <v>1.7855640419984411</v>
      </c>
      <c r="N7" s="5">
        <v>1</v>
      </c>
      <c r="O7" s="5">
        <v>50</v>
      </c>
      <c r="P7" s="19">
        <v>0</v>
      </c>
      <c r="Q7" s="5">
        <v>19.277597402597401</v>
      </c>
      <c r="R7" s="5">
        <v>748.43562194276672</v>
      </c>
      <c r="S7" s="21"/>
      <c r="T7" s="13">
        <v>26338.41045300895</v>
      </c>
      <c r="U7" s="19">
        <v>2.1754275000021148</v>
      </c>
      <c r="V7" s="5">
        <v>1</v>
      </c>
      <c r="W7" s="5">
        <v>80</v>
      </c>
      <c r="X7" s="19">
        <v>0</v>
      </c>
      <c r="Y7" s="5">
        <v>58.207129080952598</v>
      </c>
      <c r="Z7" s="5">
        <v>1388.0277809479683</v>
      </c>
      <c r="AA7" s="21"/>
    </row>
    <row r="8" spans="2:27" x14ac:dyDescent="0.2">
      <c r="B8" s="4">
        <v>5</v>
      </c>
      <c r="C8" s="4">
        <v>353</v>
      </c>
      <c r="D8" s="13">
        <v>25442.634842263589</v>
      </c>
      <c r="E8" s="19">
        <v>1.5607838340001761</v>
      </c>
      <c r="F8" s="5">
        <v>2</v>
      </c>
      <c r="G8" s="13">
        <v>100</v>
      </c>
      <c r="H8" s="19">
        <v>0</v>
      </c>
      <c r="I8" s="13">
        <v>15.995351831390792</v>
      </c>
      <c r="J8" s="5">
        <v>802.03590128865915</v>
      </c>
      <c r="K8" s="17"/>
      <c r="L8" s="13">
        <v>37415.309334914942</v>
      </c>
      <c r="M8" s="19">
        <v>1.5862292500023609</v>
      </c>
      <c r="N8" s="5">
        <v>2</v>
      </c>
      <c r="O8" s="5">
        <v>70</v>
      </c>
      <c r="P8" s="19">
        <v>0</v>
      </c>
      <c r="Q8" s="5">
        <v>12.338801401301403</v>
      </c>
      <c r="R8" s="5">
        <v>689.0890822328173</v>
      </c>
      <c r="S8" s="21"/>
      <c r="T8" s="13">
        <v>26553.703915267131</v>
      </c>
      <c r="U8" s="19">
        <v>1.6018923330011601</v>
      </c>
      <c r="V8" s="5">
        <v>2</v>
      </c>
      <c r="W8" s="5">
        <v>100</v>
      </c>
      <c r="X8" s="19">
        <v>0</v>
      </c>
      <c r="Y8" s="5">
        <v>34.543130419602619</v>
      </c>
      <c r="Z8" s="5">
        <v>1245.4695447670224</v>
      </c>
      <c r="AA8" s="21"/>
    </row>
    <row r="9" spans="2:27" x14ac:dyDescent="0.2">
      <c r="B9" s="4">
        <v>6</v>
      </c>
      <c r="C9" s="4">
        <v>994</v>
      </c>
      <c r="D9" s="13">
        <v>25442.634842263589</v>
      </c>
      <c r="E9" s="19">
        <v>1.4897177089987961</v>
      </c>
      <c r="F9" s="5">
        <v>2</v>
      </c>
      <c r="G9" s="13">
        <v>100</v>
      </c>
      <c r="H9" s="19">
        <v>0</v>
      </c>
      <c r="I9" s="13">
        <v>15.995351831390792</v>
      </c>
      <c r="J9" s="5">
        <v>802.03590128865915</v>
      </c>
      <c r="K9" s="17"/>
      <c r="L9" s="13">
        <v>36911.715000306664</v>
      </c>
      <c r="M9" s="19">
        <v>2.3083184159986558</v>
      </c>
      <c r="N9" s="5">
        <v>1</v>
      </c>
      <c r="O9" s="5">
        <v>50</v>
      </c>
      <c r="P9" s="19">
        <v>0</v>
      </c>
      <c r="Q9" s="5">
        <v>19.277597402597401</v>
      </c>
      <c r="R9" s="5">
        <v>748.43562194276672</v>
      </c>
      <c r="S9" s="21"/>
      <c r="T9" s="13">
        <v>26338.41045300895</v>
      </c>
      <c r="U9" s="19">
        <v>2.048464625000634</v>
      </c>
      <c r="V9" s="5">
        <v>1</v>
      </c>
      <c r="W9" s="5">
        <v>80</v>
      </c>
      <c r="X9" s="19">
        <v>0</v>
      </c>
      <c r="Y9" s="5">
        <v>58.207129080952598</v>
      </c>
      <c r="Z9" s="5">
        <v>1388.0277809479683</v>
      </c>
      <c r="AA9" s="21"/>
    </row>
    <row r="10" spans="2:27" x14ac:dyDescent="0.2">
      <c r="B10" s="4">
        <v>7</v>
      </c>
      <c r="C10" s="4">
        <v>718</v>
      </c>
      <c r="D10" s="13">
        <v>24939.0405076553</v>
      </c>
      <c r="E10" s="19">
        <v>1.327966458000446</v>
      </c>
      <c r="F10" s="5">
        <v>1</v>
      </c>
      <c r="G10" s="13">
        <v>80</v>
      </c>
      <c r="H10" s="19">
        <v>0</v>
      </c>
      <c r="I10" s="13">
        <v>26.590698262776179</v>
      </c>
      <c r="J10" s="5">
        <v>867.36419337133805</v>
      </c>
      <c r="K10" s="17"/>
      <c r="L10" s="13">
        <v>36911.715000306664</v>
      </c>
      <c r="M10" s="19">
        <v>1.782698207996873</v>
      </c>
      <c r="N10" s="5">
        <v>1</v>
      </c>
      <c r="O10" s="5">
        <v>50</v>
      </c>
      <c r="P10" s="19">
        <v>0</v>
      </c>
      <c r="Q10" s="5">
        <v>19.277597402597401</v>
      </c>
      <c r="R10" s="5">
        <v>748.43562194276672</v>
      </c>
      <c r="S10" s="21"/>
      <c r="T10" s="13">
        <v>26553.703915267131</v>
      </c>
      <c r="U10" s="19">
        <v>1.598267334000411</v>
      </c>
      <c r="V10" s="5">
        <v>2</v>
      </c>
      <c r="W10" s="5">
        <v>100</v>
      </c>
      <c r="X10" s="19">
        <v>0</v>
      </c>
      <c r="Y10" s="5">
        <v>34.543130419602619</v>
      </c>
      <c r="Z10" s="5">
        <v>1245.4695447670224</v>
      </c>
      <c r="AA10" s="21"/>
    </row>
    <row r="11" spans="2:27" x14ac:dyDescent="0.2">
      <c r="B11" s="4">
        <v>8</v>
      </c>
      <c r="C11" s="4">
        <v>771</v>
      </c>
      <c r="D11" s="13">
        <v>24939.0405076553</v>
      </c>
      <c r="E11" s="19">
        <v>1.3438029589997309</v>
      </c>
      <c r="F11" s="5">
        <v>1</v>
      </c>
      <c r="G11" s="13">
        <v>80</v>
      </c>
      <c r="H11" s="19">
        <v>0</v>
      </c>
      <c r="I11" s="13">
        <v>26.590698262776179</v>
      </c>
      <c r="J11" s="5">
        <v>867.36419337133805</v>
      </c>
      <c r="K11" s="17"/>
      <c r="L11" s="13">
        <v>36911.715000306664</v>
      </c>
      <c r="M11" s="19">
        <v>1.707321624999167</v>
      </c>
      <c r="N11" s="5">
        <v>1</v>
      </c>
      <c r="O11" s="5">
        <v>50</v>
      </c>
      <c r="P11" s="19">
        <v>0</v>
      </c>
      <c r="Q11" s="5">
        <v>19.277597402597401</v>
      </c>
      <c r="R11" s="5">
        <v>748.43562194276672</v>
      </c>
      <c r="S11" s="21"/>
      <c r="T11" s="13">
        <v>26338.41045300895</v>
      </c>
      <c r="U11" s="19">
        <v>2.7495831669984909</v>
      </c>
      <c r="V11" s="5">
        <v>1</v>
      </c>
      <c r="W11" s="5">
        <v>80</v>
      </c>
      <c r="X11" s="19">
        <v>0</v>
      </c>
      <c r="Y11" s="5">
        <v>58.207129080952598</v>
      </c>
      <c r="Z11" s="5">
        <v>1388.0277809479683</v>
      </c>
      <c r="AA11" s="21"/>
    </row>
    <row r="12" spans="2:27" x14ac:dyDescent="0.2">
      <c r="B12" s="4">
        <v>9</v>
      </c>
      <c r="C12" s="4">
        <v>911</v>
      </c>
      <c r="D12" s="13">
        <v>24939.0405076553</v>
      </c>
      <c r="E12" s="19">
        <v>2.1554692080026139</v>
      </c>
      <c r="F12" s="5">
        <v>1</v>
      </c>
      <c r="G12" s="13">
        <v>80</v>
      </c>
      <c r="H12" s="19">
        <v>0</v>
      </c>
      <c r="I12" s="13">
        <v>26.590698262776179</v>
      </c>
      <c r="J12" s="5">
        <v>867.36419337133805</v>
      </c>
      <c r="K12" s="17"/>
      <c r="L12" s="13">
        <v>36911.715000306664</v>
      </c>
      <c r="M12" s="19">
        <v>2.0942119579995051</v>
      </c>
      <c r="N12" s="5">
        <v>1</v>
      </c>
      <c r="O12" s="5">
        <v>50</v>
      </c>
      <c r="P12" s="19">
        <v>0</v>
      </c>
      <c r="Q12" s="5">
        <v>19.277597402597401</v>
      </c>
      <c r="R12" s="5">
        <v>748.43562194276672</v>
      </c>
      <c r="S12" s="21"/>
      <c r="T12" s="13">
        <v>26553.703915267131</v>
      </c>
      <c r="U12" s="19">
        <v>1.5834728330009971</v>
      </c>
      <c r="V12" s="5">
        <v>2</v>
      </c>
      <c r="W12" s="5">
        <v>100</v>
      </c>
      <c r="X12" s="19">
        <v>0</v>
      </c>
      <c r="Y12" s="5">
        <v>34.543130419602619</v>
      </c>
      <c r="Z12" s="5">
        <v>1245.4695447670224</v>
      </c>
      <c r="AA12" s="21"/>
    </row>
    <row r="13" spans="2:27" x14ac:dyDescent="0.2">
      <c r="B13" s="4">
        <v>10</v>
      </c>
      <c r="C13" s="4">
        <v>890</v>
      </c>
      <c r="D13" s="13">
        <v>24939.0405076553</v>
      </c>
      <c r="E13" s="19">
        <v>1.51977716699912</v>
      </c>
      <c r="F13" s="5">
        <v>1</v>
      </c>
      <c r="G13" s="13">
        <v>80</v>
      </c>
      <c r="H13" s="19">
        <v>0</v>
      </c>
      <c r="I13" s="13">
        <v>26.590698262776179</v>
      </c>
      <c r="J13" s="5">
        <v>867.36419337133805</v>
      </c>
      <c r="K13" s="17"/>
      <c r="L13" s="13">
        <v>36911.715000306664</v>
      </c>
      <c r="M13" s="19">
        <v>1.750946416999795</v>
      </c>
      <c r="N13" s="5">
        <v>1</v>
      </c>
      <c r="O13" s="5">
        <v>50</v>
      </c>
      <c r="P13" s="19">
        <v>0</v>
      </c>
      <c r="Q13" s="5">
        <v>19.277597402597401</v>
      </c>
      <c r="R13" s="5">
        <v>748.43562194276672</v>
      </c>
      <c r="S13" s="21"/>
      <c r="T13" s="13">
        <v>26553.703915267131</v>
      </c>
      <c r="U13" s="19">
        <v>1.581260292001389</v>
      </c>
      <c r="V13" s="5">
        <v>2</v>
      </c>
      <c r="W13" s="5">
        <v>100</v>
      </c>
      <c r="X13" s="19">
        <v>0</v>
      </c>
      <c r="Y13" s="5">
        <v>34.543130419602619</v>
      </c>
      <c r="Z13" s="5">
        <v>1245.4695447670224</v>
      </c>
      <c r="AA13" s="21"/>
    </row>
    <row r="14" spans="2:27" x14ac:dyDescent="0.2">
      <c r="B14" s="33" t="s">
        <v>2</v>
      </c>
      <c r="C14" s="34"/>
      <c r="D14" s="7">
        <f>MIN(D4:D13)</f>
        <v>24939.0405076553</v>
      </c>
      <c r="E14" s="12">
        <f>INDEX(E4:E13, MATCH($D$14, D4:D13, 0))</f>
        <v>1.4768953340026201</v>
      </c>
      <c r="F14" s="7">
        <f>INDEX(F4:F13, MATCH($D$14, D4:D13, 0))</f>
        <v>1</v>
      </c>
      <c r="G14" s="7">
        <f>INDEX(G4:G13, MATCH($D$14, D4:D13, 0))</f>
        <v>80</v>
      </c>
      <c r="H14" s="12">
        <f>INDEX(H4:H13, MATCH($D$14, D4:D13, 0))</f>
        <v>0</v>
      </c>
      <c r="I14" s="12">
        <f>INDEX(I4:I13, MATCH($D$14, D4:D13, 0))</f>
        <v>26.590698262776179</v>
      </c>
      <c r="J14" s="12">
        <f>INDEX(J4:J13, MATCH($D$14, D4:D13, 0))</f>
        <v>867.36419337133805</v>
      </c>
      <c r="K14" s="18"/>
      <c r="L14" s="10">
        <f>MIN(L4:L13)</f>
        <v>36911.715000306664</v>
      </c>
      <c r="M14" s="11">
        <f>INDEX(M4:M13, MATCH($L$14, L4:L13, 0))</f>
        <v>1.8123274589997891</v>
      </c>
      <c r="N14" s="10">
        <f>INDEX(N4:N13, MATCH($L$14, L4:L13, 0))</f>
        <v>1</v>
      </c>
      <c r="O14" s="10">
        <f>INDEX(O4:O13, MATCH($L$14, L4:L13, 0))</f>
        <v>50</v>
      </c>
      <c r="P14" s="11">
        <f>INDEX(P4:P13, MATCH($L$14, L4:L13, 0))</f>
        <v>0</v>
      </c>
      <c r="Q14" s="11">
        <f>INDEX(Q4:Q13, MATCH($L$14, L4:L13, 0))</f>
        <v>19.277597402597401</v>
      </c>
      <c r="R14" s="11">
        <f>INDEX(R4:R13, MATCH($L$14, L4:L13, 0))</f>
        <v>748.43562194276672</v>
      </c>
      <c r="S14" s="22" t="e">
        <f>(L14-$D$15)/$D$15</f>
        <v>#DIV/0!</v>
      </c>
      <c r="T14" s="24">
        <f>MIN(T4:T13)</f>
        <v>26338.41045300895</v>
      </c>
      <c r="U14" s="25">
        <f>INDEX(U4:U13, MATCH($T$14, T4:T13, 0))</f>
        <v>2.466876499998762</v>
      </c>
      <c r="V14" s="24">
        <f>INDEX(V4:V13, MATCH($T$14, T4:T13, 0))</f>
        <v>1</v>
      </c>
      <c r="W14" s="24">
        <f>INDEX(W4:W13, MATCH($T$14, T4:T13, 0))</f>
        <v>80</v>
      </c>
      <c r="X14" s="25">
        <f>INDEX(X4:X13, MATCH($T$14, T4:T13, 0))</f>
        <v>0</v>
      </c>
      <c r="Y14" s="25">
        <f>INDEX(Y4:Y13, MATCH($T$14, T4:T13, 0))</f>
        <v>58.207129080952598</v>
      </c>
      <c r="Z14" s="25">
        <f>INDEX(Z4:Z13, MATCH($T$14, T4:T13, 0))</f>
        <v>1388.0277809479683</v>
      </c>
      <c r="AA14" s="26" t="e">
        <f>(T14-$D$15)/$D$15</f>
        <v>#DIV/0!</v>
      </c>
    </row>
    <row r="15" spans="2:27" x14ac:dyDescent="0.2">
      <c r="D15" s="20"/>
      <c r="E15" s="3"/>
      <c r="F15" s="3"/>
      <c r="G15" s="3"/>
      <c r="H15" s="3"/>
      <c r="I15" s="3"/>
      <c r="J15" s="3"/>
      <c r="K15" s="3"/>
      <c r="L15" s="32"/>
      <c r="M15" s="32"/>
      <c r="N15" s="32"/>
      <c r="O15" s="32"/>
      <c r="P15" s="32"/>
      <c r="Q15" s="32"/>
      <c r="R15" s="32"/>
      <c r="T15" s="32"/>
      <c r="U15" s="32"/>
      <c r="V15" s="32"/>
      <c r="W15" s="32"/>
      <c r="X15" s="32"/>
      <c r="Y15" s="32"/>
      <c r="Z15" s="32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24:C1048576 C3:C13">
    <cfRule type="duplicateValues" dxfId="95" priority="15"/>
    <cfRule type="duplicateValues" dxfId="94" priority="16"/>
  </conditionalFormatting>
  <conditionalFormatting sqref="C14">
    <cfRule type="duplicateValues" dxfId="93" priority="3"/>
    <cfRule type="duplicateValues" dxfId="92" priority="4"/>
  </conditionalFormatting>
  <conditionalFormatting sqref="C15">
    <cfRule type="duplicateValues" dxfId="91" priority="7"/>
    <cfRule type="duplicateValues" dxfId="90" priority="8"/>
  </conditionalFormatting>
  <conditionalFormatting sqref="C17">
    <cfRule type="duplicateValues" dxfId="89" priority="9"/>
    <cfRule type="duplicateValues" dxfId="88" priority="10"/>
  </conditionalFormatting>
  <conditionalFormatting sqref="C18:C23">
    <cfRule type="duplicateValues" dxfId="87" priority="11"/>
    <cfRule type="duplicateValues" dxfId="86" priority="12"/>
  </conditionalFormatting>
  <conditionalFormatting sqref="C2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5B9F5-46ED-6645-828A-BFF137638E4B}">
  <dimension ref="B1:AA17"/>
  <sheetViews>
    <sheetView zoomScale="118" zoomScaleNormal="120" workbookViewId="0">
      <selection activeCell="A2" sqref="A2:XFD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9</v>
      </c>
    </row>
    <row r="2" spans="2:27" x14ac:dyDescent="0.2">
      <c r="B2" s="1" t="s">
        <v>12</v>
      </c>
      <c r="D2" s="15">
        <v>10</v>
      </c>
      <c r="H2" s="14"/>
      <c r="J2" s="14"/>
      <c r="K2" s="14"/>
      <c r="L2" s="1" t="s">
        <v>13</v>
      </c>
      <c r="T2" s="1" t="s">
        <v>14</v>
      </c>
    </row>
    <row r="3" spans="2:27" x14ac:dyDescent="0.2">
      <c r="B3" s="6" t="s">
        <v>5</v>
      </c>
      <c r="C3" s="6" t="s">
        <v>3</v>
      </c>
      <c r="D3" s="6" t="s">
        <v>0</v>
      </c>
      <c r="E3" s="6" t="s">
        <v>4</v>
      </c>
      <c r="F3" s="6" t="s">
        <v>8</v>
      </c>
      <c r="G3" s="6" t="s">
        <v>10</v>
      </c>
      <c r="H3" s="6" t="s">
        <v>7</v>
      </c>
      <c r="I3" s="6" t="s">
        <v>11</v>
      </c>
      <c r="J3" s="6" t="s">
        <v>6</v>
      </c>
      <c r="K3" s="6" t="s">
        <v>1</v>
      </c>
      <c r="L3" s="9" t="s">
        <v>0</v>
      </c>
      <c r="M3" s="9" t="s">
        <v>4</v>
      </c>
      <c r="N3" s="9" t="s">
        <v>8</v>
      </c>
      <c r="O3" s="9" t="s">
        <v>10</v>
      </c>
      <c r="P3" s="9" t="s">
        <v>7</v>
      </c>
      <c r="Q3" s="9" t="s">
        <v>11</v>
      </c>
      <c r="R3" s="9" t="s">
        <v>6</v>
      </c>
      <c r="S3" s="9" t="s">
        <v>1</v>
      </c>
      <c r="T3" s="23" t="s">
        <v>0</v>
      </c>
      <c r="U3" s="23" t="s">
        <v>4</v>
      </c>
      <c r="V3" s="23" t="s">
        <v>8</v>
      </c>
      <c r="W3" s="23" t="s">
        <v>10</v>
      </c>
      <c r="X3" s="23" t="s">
        <v>7</v>
      </c>
      <c r="Y3" s="23" t="s">
        <v>11</v>
      </c>
      <c r="Z3" s="23" t="s">
        <v>6</v>
      </c>
      <c r="AA3" s="23" t="s">
        <v>1</v>
      </c>
    </row>
    <row r="4" spans="2:27" x14ac:dyDescent="0.2">
      <c r="B4" s="4">
        <v>1</v>
      </c>
      <c r="C4" s="4">
        <v>292</v>
      </c>
      <c r="D4" s="13">
        <v>35458.564955876369</v>
      </c>
      <c r="E4" s="19">
        <v>0.98289862499950686</v>
      </c>
      <c r="F4" s="5">
        <v>1</v>
      </c>
      <c r="G4" s="13">
        <v>60</v>
      </c>
      <c r="H4" s="19">
        <v>0</v>
      </c>
      <c r="I4" s="13">
        <v>19.3425422705314</v>
      </c>
      <c r="J4" s="5">
        <v>1115.055683699775</v>
      </c>
      <c r="K4" s="17"/>
      <c r="L4" s="13">
        <v>38734.577953540087</v>
      </c>
      <c r="M4" s="19">
        <v>1.3979652909983999</v>
      </c>
      <c r="N4" s="5">
        <v>1</v>
      </c>
      <c r="O4" s="5">
        <v>50</v>
      </c>
      <c r="P4" s="19">
        <v>0</v>
      </c>
      <c r="Q4" s="5">
        <v>15.105195981554679</v>
      </c>
      <c r="R4" s="5">
        <v>984.07083521492643</v>
      </c>
      <c r="S4" s="21"/>
      <c r="T4" s="13">
        <v>38048.561439988429</v>
      </c>
      <c r="U4" s="19">
        <v>0.99208191599973361</v>
      </c>
      <c r="V4" s="5">
        <v>1</v>
      </c>
      <c r="W4" s="5">
        <v>60</v>
      </c>
      <c r="X4" s="19">
        <v>63.438185107664538</v>
      </c>
      <c r="Y4" s="5">
        <v>41.445896036810481</v>
      </c>
      <c r="Z4" s="5">
        <v>1798.314555322994</v>
      </c>
      <c r="AA4" s="21"/>
    </row>
    <row r="5" spans="2:27" x14ac:dyDescent="0.2">
      <c r="B5" s="4">
        <v>2</v>
      </c>
      <c r="C5" s="4">
        <v>632</v>
      </c>
      <c r="D5" s="13">
        <v>35458.564955876369</v>
      </c>
      <c r="E5" s="19">
        <v>0.97932387499895412</v>
      </c>
      <c r="F5" s="5">
        <v>1</v>
      </c>
      <c r="G5" s="13">
        <v>60</v>
      </c>
      <c r="H5" s="19">
        <v>0</v>
      </c>
      <c r="I5" s="13">
        <v>19.3425422705314</v>
      </c>
      <c r="J5" s="5">
        <v>1115.055683699775</v>
      </c>
      <c r="K5" s="17"/>
      <c r="L5" s="13">
        <v>38734.577953540087</v>
      </c>
      <c r="M5" s="19">
        <v>1.399865084000339</v>
      </c>
      <c r="N5" s="5">
        <v>1</v>
      </c>
      <c r="O5" s="5">
        <v>50</v>
      </c>
      <c r="P5" s="19">
        <v>0</v>
      </c>
      <c r="Q5" s="5">
        <v>15.105195981554679</v>
      </c>
      <c r="R5" s="5">
        <v>984.07083521492643</v>
      </c>
      <c r="S5" s="21"/>
      <c r="T5" s="13">
        <v>38048.561439988429</v>
      </c>
      <c r="U5" s="19">
        <v>0.99699370799862663</v>
      </c>
      <c r="V5" s="5">
        <v>1</v>
      </c>
      <c r="W5" s="5">
        <v>60</v>
      </c>
      <c r="X5" s="19">
        <v>63.438185107664538</v>
      </c>
      <c r="Y5" s="5">
        <v>41.445896036810481</v>
      </c>
      <c r="Z5" s="5">
        <v>1798.314555322994</v>
      </c>
      <c r="AA5" s="21"/>
    </row>
    <row r="6" spans="2:27" x14ac:dyDescent="0.2">
      <c r="B6" s="4">
        <v>3</v>
      </c>
      <c r="C6" s="4">
        <v>308</v>
      </c>
      <c r="D6" s="13">
        <v>35458.564955876369</v>
      </c>
      <c r="E6" s="19">
        <v>0.96300141699975939</v>
      </c>
      <c r="F6" s="5">
        <v>1</v>
      </c>
      <c r="G6" s="13">
        <v>60</v>
      </c>
      <c r="H6" s="19">
        <v>0</v>
      </c>
      <c r="I6" s="13">
        <v>19.3425422705314</v>
      </c>
      <c r="J6" s="5">
        <v>1115.055683699775</v>
      </c>
      <c r="K6" s="17"/>
      <c r="L6" s="13">
        <v>38734.577953540087</v>
      </c>
      <c r="M6" s="19">
        <v>1.410857333001331</v>
      </c>
      <c r="N6" s="5">
        <v>1</v>
      </c>
      <c r="O6" s="5">
        <v>50</v>
      </c>
      <c r="P6" s="19">
        <v>0</v>
      </c>
      <c r="Q6" s="5">
        <v>15.105195981554679</v>
      </c>
      <c r="R6" s="5">
        <v>984.07083521492643</v>
      </c>
      <c r="S6" s="21"/>
      <c r="T6" s="13">
        <v>38048.561439988429</v>
      </c>
      <c r="U6" s="19">
        <v>1.003206375000445</v>
      </c>
      <c r="V6" s="5">
        <v>1</v>
      </c>
      <c r="W6" s="5">
        <v>60</v>
      </c>
      <c r="X6" s="19">
        <v>63.438185107664538</v>
      </c>
      <c r="Y6" s="5">
        <v>41.445896036810481</v>
      </c>
      <c r="Z6" s="5">
        <v>1798.314555322994</v>
      </c>
      <c r="AA6" s="21"/>
    </row>
    <row r="7" spans="2:27" x14ac:dyDescent="0.2">
      <c r="B7" s="4">
        <v>4</v>
      </c>
      <c r="C7" s="4">
        <v>357</v>
      </c>
      <c r="D7" s="13">
        <v>35458.564955876369</v>
      </c>
      <c r="E7" s="19">
        <v>0.9877692499976547</v>
      </c>
      <c r="F7" s="5">
        <v>1</v>
      </c>
      <c r="G7" s="13">
        <v>60</v>
      </c>
      <c r="H7" s="19">
        <v>0</v>
      </c>
      <c r="I7" s="13">
        <v>19.3425422705314</v>
      </c>
      <c r="J7" s="5">
        <v>1115.055683699775</v>
      </c>
      <c r="K7" s="17"/>
      <c r="L7" s="13">
        <v>38734.577953540087</v>
      </c>
      <c r="M7" s="19">
        <v>1.415540750000218</v>
      </c>
      <c r="N7" s="5">
        <v>1</v>
      </c>
      <c r="O7" s="5">
        <v>50</v>
      </c>
      <c r="P7" s="19">
        <v>0</v>
      </c>
      <c r="Q7" s="5">
        <v>15.105195981554679</v>
      </c>
      <c r="R7" s="5">
        <v>984.07083521492643</v>
      </c>
      <c r="S7" s="21"/>
      <c r="T7" s="13">
        <v>38048.561439988429</v>
      </c>
      <c r="U7" s="19">
        <v>1.0858049159978691</v>
      </c>
      <c r="V7" s="5">
        <v>1</v>
      </c>
      <c r="W7" s="5">
        <v>60</v>
      </c>
      <c r="X7" s="19">
        <v>63.438185107664538</v>
      </c>
      <c r="Y7" s="5">
        <v>41.445896036810481</v>
      </c>
      <c r="Z7" s="5">
        <v>1798.314555322994</v>
      </c>
      <c r="AA7" s="21"/>
    </row>
    <row r="8" spans="2:27" x14ac:dyDescent="0.2">
      <c r="B8" s="4">
        <v>5</v>
      </c>
      <c r="C8" s="4">
        <v>523</v>
      </c>
      <c r="D8" s="13">
        <v>35458.564955876369</v>
      </c>
      <c r="E8" s="19">
        <v>0.98712350000278093</v>
      </c>
      <c r="F8" s="5">
        <v>1</v>
      </c>
      <c r="G8" s="13">
        <v>60</v>
      </c>
      <c r="H8" s="19">
        <v>0</v>
      </c>
      <c r="I8" s="13">
        <v>19.3425422705314</v>
      </c>
      <c r="J8" s="5">
        <v>1115.055683699775</v>
      </c>
      <c r="K8" s="17"/>
      <c r="L8" s="13">
        <v>38734.577953540087</v>
      </c>
      <c r="M8" s="19">
        <v>1.4111726669980269</v>
      </c>
      <c r="N8" s="5">
        <v>1</v>
      </c>
      <c r="O8" s="5">
        <v>50</v>
      </c>
      <c r="P8" s="19">
        <v>0</v>
      </c>
      <c r="Q8" s="5">
        <v>15.105195981554679</v>
      </c>
      <c r="R8" s="5">
        <v>984.07083521492643</v>
      </c>
      <c r="S8" s="21"/>
      <c r="T8" s="13">
        <v>38048.561439988429</v>
      </c>
      <c r="U8" s="19">
        <v>1.0706297500000801</v>
      </c>
      <c r="V8" s="5">
        <v>1</v>
      </c>
      <c r="W8" s="5">
        <v>60</v>
      </c>
      <c r="X8" s="19">
        <v>63.438185107664538</v>
      </c>
      <c r="Y8" s="5">
        <v>41.445896036810481</v>
      </c>
      <c r="Z8" s="5">
        <v>1798.314555322994</v>
      </c>
      <c r="AA8" s="21"/>
    </row>
    <row r="9" spans="2:27" x14ac:dyDescent="0.2">
      <c r="B9" s="4">
        <v>6</v>
      </c>
      <c r="C9" s="4">
        <v>532</v>
      </c>
      <c r="D9" s="13">
        <v>35458.564955876369</v>
      </c>
      <c r="E9" s="19">
        <v>0.95736050000050454</v>
      </c>
      <c r="F9" s="5">
        <v>1</v>
      </c>
      <c r="G9" s="13">
        <v>60</v>
      </c>
      <c r="H9" s="19">
        <v>0</v>
      </c>
      <c r="I9" s="13">
        <v>19.3425422705314</v>
      </c>
      <c r="J9" s="5">
        <v>1115.055683699775</v>
      </c>
      <c r="K9" s="17"/>
      <c r="L9" s="13">
        <v>38734.577953540087</v>
      </c>
      <c r="M9" s="19">
        <v>1.430761583000276</v>
      </c>
      <c r="N9" s="5">
        <v>1</v>
      </c>
      <c r="O9" s="5">
        <v>50</v>
      </c>
      <c r="P9" s="19">
        <v>0</v>
      </c>
      <c r="Q9" s="5">
        <v>15.105195981554679</v>
      </c>
      <c r="R9" s="5">
        <v>984.07083521492643</v>
      </c>
      <c r="S9" s="21"/>
      <c r="T9" s="13">
        <v>38048.561439988429</v>
      </c>
      <c r="U9" s="19">
        <v>1.072689707998506</v>
      </c>
      <c r="V9" s="5">
        <v>1</v>
      </c>
      <c r="W9" s="5">
        <v>60</v>
      </c>
      <c r="X9" s="19">
        <v>63.438185107664538</v>
      </c>
      <c r="Y9" s="5">
        <v>41.445896036810481</v>
      </c>
      <c r="Z9" s="5">
        <v>1798.314555322994</v>
      </c>
      <c r="AA9" s="21"/>
    </row>
    <row r="10" spans="2:27" x14ac:dyDescent="0.2">
      <c r="B10" s="4">
        <v>7</v>
      </c>
      <c r="C10" s="4">
        <v>586</v>
      </c>
      <c r="D10" s="13">
        <v>35458.564955876369</v>
      </c>
      <c r="E10" s="19">
        <v>0.96587150000050315</v>
      </c>
      <c r="F10" s="5">
        <v>1</v>
      </c>
      <c r="G10" s="13">
        <v>60</v>
      </c>
      <c r="H10" s="19">
        <v>0</v>
      </c>
      <c r="I10" s="13">
        <v>19.3425422705314</v>
      </c>
      <c r="J10" s="5">
        <v>1115.055683699775</v>
      </c>
      <c r="K10" s="17"/>
      <c r="L10" s="13">
        <v>38734.577953540087</v>
      </c>
      <c r="M10" s="19">
        <v>1.4489533339983609</v>
      </c>
      <c r="N10" s="5">
        <v>1</v>
      </c>
      <c r="O10" s="5">
        <v>50</v>
      </c>
      <c r="P10" s="19">
        <v>0</v>
      </c>
      <c r="Q10" s="5">
        <v>15.105195981554679</v>
      </c>
      <c r="R10" s="5">
        <v>984.07083521492643</v>
      </c>
      <c r="S10" s="21"/>
      <c r="T10" s="13">
        <v>38048.561439988429</v>
      </c>
      <c r="U10" s="19">
        <v>1.070029540998803</v>
      </c>
      <c r="V10" s="5">
        <v>1</v>
      </c>
      <c r="W10" s="5">
        <v>60</v>
      </c>
      <c r="X10" s="19">
        <v>63.438185107664538</v>
      </c>
      <c r="Y10" s="5">
        <v>41.445896036810481</v>
      </c>
      <c r="Z10" s="5">
        <v>1798.314555322994</v>
      </c>
      <c r="AA10" s="21"/>
    </row>
    <row r="11" spans="2:27" x14ac:dyDescent="0.2">
      <c r="B11" s="4">
        <v>8</v>
      </c>
      <c r="C11" s="4">
        <v>748</v>
      </c>
      <c r="D11" s="13">
        <v>35458.564955876369</v>
      </c>
      <c r="E11" s="19">
        <v>0.99472941600106424</v>
      </c>
      <c r="F11" s="5">
        <v>1</v>
      </c>
      <c r="G11" s="13">
        <v>60</v>
      </c>
      <c r="H11" s="19">
        <v>0</v>
      </c>
      <c r="I11" s="13">
        <v>19.3425422705314</v>
      </c>
      <c r="J11" s="5">
        <v>1115.055683699775</v>
      </c>
      <c r="K11" s="17"/>
      <c r="L11" s="13">
        <v>38734.577953540087</v>
      </c>
      <c r="M11" s="19">
        <v>1.437125250002282</v>
      </c>
      <c r="N11" s="5">
        <v>1</v>
      </c>
      <c r="O11" s="5">
        <v>50</v>
      </c>
      <c r="P11" s="19">
        <v>0</v>
      </c>
      <c r="Q11" s="5">
        <v>15.105195981554679</v>
      </c>
      <c r="R11" s="5">
        <v>984.07083521492643</v>
      </c>
      <c r="S11" s="21"/>
      <c r="T11" s="13">
        <v>38048.561439988429</v>
      </c>
      <c r="U11" s="19">
        <v>1.0832202919991689</v>
      </c>
      <c r="V11" s="5">
        <v>1</v>
      </c>
      <c r="W11" s="5">
        <v>60</v>
      </c>
      <c r="X11" s="19">
        <v>63.438185107664538</v>
      </c>
      <c r="Y11" s="5">
        <v>41.445896036810481</v>
      </c>
      <c r="Z11" s="5">
        <v>1798.314555322994</v>
      </c>
      <c r="AA11" s="21"/>
    </row>
    <row r="12" spans="2:27" x14ac:dyDescent="0.2">
      <c r="B12" s="4">
        <v>9</v>
      </c>
      <c r="C12" s="4">
        <v>998</v>
      </c>
      <c r="D12" s="13">
        <v>35458.564955876369</v>
      </c>
      <c r="E12" s="19">
        <v>0.97755312499793945</v>
      </c>
      <c r="F12" s="5">
        <v>1</v>
      </c>
      <c r="G12" s="13">
        <v>60</v>
      </c>
      <c r="H12" s="19">
        <v>0</v>
      </c>
      <c r="I12" s="13">
        <v>19.3425422705314</v>
      </c>
      <c r="J12" s="5">
        <v>1115.055683699775</v>
      </c>
      <c r="K12" s="17"/>
      <c r="L12" s="13">
        <v>38734.577953540087</v>
      </c>
      <c r="M12" s="19">
        <v>1.4682577919993489</v>
      </c>
      <c r="N12" s="5">
        <v>1</v>
      </c>
      <c r="O12" s="5">
        <v>50</v>
      </c>
      <c r="P12" s="19">
        <v>0</v>
      </c>
      <c r="Q12" s="5">
        <v>15.105195981554679</v>
      </c>
      <c r="R12" s="5">
        <v>984.07083521492643</v>
      </c>
      <c r="S12" s="21"/>
      <c r="T12" s="13">
        <v>38048.561439988429</v>
      </c>
      <c r="U12" s="19">
        <v>1.068584750002628</v>
      </c>
      <c r="V12" s="5">
        <v>1</v>
      </c>
      <c r="W12" s="5">
        <v>60</v>
      </c>
      <c r="X12" s="19">
        <v>63.438185107664538</v>
      </c>
      <c r="Y12" s="5">
        <v>41.445896036810481</v>
      </c>
      <c r="Z12" s="5">
        <v>1798.314555322994</v>
      </c>
      <c r="AA12" s="21"/>
    </row>
    <row r="13" spans="2:27" x14ac:dyDescent="0.2">
      <c r="B13" s="4">
        <v>10</v>
      </c>
      <c r="C13" s="4">
        <v>733</v>
      </c>
      <c r="D13" s="13">
        <v>35458.564955876369</v>
      </c>
      <c r="E13" s="19">
        <v>0.95843954199881409</v>
      </c>
      <c r="F13" s="5">
        <v>1</v>
      </c>
      <c r="G13" s="13">
        <v>60</v>
      </c>
      <c r="H13" s="19">
        <v>0</v>
      </c>
      <c r="I13" s="13">
        <v>19.3425422705314</v>
      </c>
      <c r="J13" s="5">
        <v>1115.055683699775</v>
      </c>
      <c r="K13" s="17"/>
      <c r="L13" s="13">
        <v>38734.577953540087</v>
      </c>
      <c r="M13" s="19">
        <v>1.4002273330006569</v>
      </c>
      <c r="N13" s="5">
        <v>1</v>
      </c>
      <c r="O13" s="5">
        <v>50</v>
      </c>
      <c r="P13" s="19">
        <v>0</v>
      </c>
      <c r="Q13" s="5">
        <v>15.105195981554679</v>
      </c>
      <c r="R13" s="5">
        <v>984.07083521492643</v>
      </c>
      <c r="S13" s="21"/>
      <c r="T13" s="13">
        <v>38048.561439988429</v>
      </c>
      <c r="U13" s="19">
        <v>1.08876116600004</v>
      </c>
      <c r="V13" s="5">
        <v>1</v>
      </c>
      <c r="W13" s="5">
        <v>60</v>
      </c>
      <c r="X13" s="19">
        <v>63.438185107664538</v>
      </c>
      <c r="Y13" s="5">
        <v>41.445896036810481</v>
      </c>
      <c r="Z13" s="5">
        <v>1798.314555322994</v>
      </c>
      <c r="AA13" s="21"/>
    </row>
    <row r="14" spans="2:27" x14ac:dyDescent="0.2">
      <c r="B14" s="33" t="s">
        <v>2</v>
      </c>
      <c r="C14" s="34"/>
      <c r="D14" s="7">
        <f>MIN(D4:D13)</f>
        <v>35458.564955876369</v>
      </c>
      <c r="E14" s="12">
        <f>INDEX(E4:E13, MATCH($D$14, D4:D13, 0))</f>
        <v>0.98289862499950686</v>
      </c>
      <c r="F14" s="7">
        <f>INDEX(F4:F13, MATCH($D$14, D4:D13, 0))</f>
        <v>1</v>
      </c>
      <c r="G14" s="7">
        <f>INDEX(G4:G13, MATCH($D$14, D4:D13, 0))</f>
        <v>60</v>
      </c>
      <c r="H14" s="12">
        <f>INDEX(H4:H13, MATCH($D$14, D4:D13, 0))</f>
        <v>0</v>
      </c>
      <c r="I14" s="12">
        <f>INDEX(I4:I13, MATCH($D$14, D4:D13, 0))</f>
        <v>19.3425422705314</v>
      </c>
      <c r="J14" s="12">
        <f>INDEX(J4:J13, MATCH($D$14, D4:D13, 0))</f>
        <v>1115.055683699775</v>
      </c>
      <c r="K14" s="18"/>
      <c r="L14" s="10">
        <f>MIN(L4:L13)</f>
        <v>38734.577953540087</v>
      </c>
      <c r="M14" s="11">
        <f>INDEX(M4:M13, MATCH($L$14, L4:L13, 0))</f>
        <v>1.3979652909983999</v>
      </c>
      <c r="N14" s="10">
        <f>INDEX(N4:N13, MATCH($L$14, L4:L13, 0))</f>
        <v>1</v>
      </c>
      <c r="O14" s="10">
        <f>INDEX(O4:O13, MATCH($L$14, L4:L13, 0))</f>
        <v>50</v>
      </c>
      <c r="P14" s="11">
        <f>INDEX(P4:P13, MATCH($L$14, L4:L13, 0))</f>
        <v>0</v>
      </c>
      <c r="Q14" s="11">
        <f>INDEX(Q4:Q13, MATCH($L$14, L4:L13, 0))</f>
        <v>15.105195981554679</v>
      </c>
      <c r="R14" s="11">
        <f>INDEX(R4:R13, MATCH($L$14, L4:L13, 0))</f>
        <v>984.07083521492643</v>
      </c>
      <c r="S14" s="22" t="e">
        <f>(L14-$D$15)/$D$15</f>
        <v>#DIV/0!</v>
      </c>
      <c r="T14" s="24">
        <f>MIN(T4:T13)</f>
        <v>38048.561439988429</v>
      </c>
      <c r="U14" s="25">
        <f>INDEX(U4:U13, MATCH($T$14, T4:T13, 0))</f>
        <v>0.99208191599973361</v>
      </c>
      <c r="V14" s="24">
        <f>INDEX(V4:V13, MATCH($T$14, T4:T13, 0))</f>
        <v>1</v>
      </c>
      <c r="W14" s="24">
        <f>INDEX(W4:W13, MATCH($T$14, T4:T13, 0))</f>
        <v>60</v>
      </c>
      <c r="X14" s="25">
        <f>INDEX(X4:X13, MATCH($T$14, T4:T13, 0))</f>
        <v>63.438185107664538</v>
      </c>
      <c r="Y14" s="25">
        <f>INDEX(Y4:Y13, MATCH($T$14, T4:T13, 0))</f>
        <v>41.445896036810481</v>
      </c>
      <c r="Z14" s="25">
        <f>INDEX(Z4:Z13, MATCH($T$14, T4:T13, 0))</f>
        <v>1798.314555322994</v>
      </c>
      <c r="AA14" s="26" t="e">
        <f>(T14-$D$15)/$D$15</f>
        <v>#DIV/0!</v>
      </c>
    </row>
    <row r="15" spans="2:27" x14ac:dyDescent="0.2">
      <c r="D15" s="20"/>
      <c r="E15" s="3"/>
      <c r="F15" s="3"/>
      <c r="G15" s="3"/>
      <c r="H15" s="3"/>
      <c r="I15" s="3"/>
      <c r="J15" s="3"/>
      <c r="K15" s="3"/>
      <c r="L15" s="32"/>
      <c r="M15" s="32"/>
      <c r="N15" s="32"/>
      <c r="O15" s="32"/>
      <c r="P15" s="32"/>
      <c r="Q15" s="32"/>
      <c r="R15" s="32"/>
      <c r="T15" s="32"/>
      <c r="U15" s="32"/>
      <c r="V15" s="32"/>
      <c r="W15" s="32"/>
      <c r="X15" s="32"/>
      <c r="Y15" s="32"/>
      <c r="Z15" s="32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85" priority="3"/>
    <cfRule type="duplicateValues" dxfId="84" priority="4"/>
  </conditionalFormatting>
  <conditionalFormatting sqref="C15">
    <cfRule type="duplicateValues" dxfId="83" priority="7"/>
    <cfRule type="duplicateValues" dxfId="82" priority="8"/>
  </conditionalFormatting>
  <conditionalFormatting sqref="C16 C1 C24:C1048576 C3:C13">
    <cfRule type="duplicateValues" dxfId="81" priority="15"/>
    <cfRule type="duplicateValues" dxfId="80" priority="16"/>
  </conditionalFormatting>
  <conditionalFormatting sqref="C17">
    <cfRule type="duplicateValues" dxfId="79" priority="9"/>
    <cfRule type="duplicateValues" dxfId="78" priority="10"/>
  </conditionalFormatting>
  <conditionalFormatting sqref="C18:C23">
    <cfRule type="duplicateValues" dxfId="77" priority="11"/>
    <cfRule type="duplicateValues" dxfId="76" priority="12"/>
  </conditionalFormatting>
  <conditionalFormatting sqref="C2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C95F-7475-3045-87C8-2E3EDAD0A9C9}">
  <dimension ref="B1:AA17"/>
  <sheetViews>
    <sheetView topLeftCell="C1" zoomScale="118" zoomScaleNormal="120" workbookViewId="0">
      <selection activeCell="K4" sqref="K4:K19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9</v>
      </c>
    </row>
    <row r="2" spans="2:27" x14ac:dyDescent="0.2">
      <c r="B2" s="1" t="s">
        <v>12</v>
      </c>
      <c r="D2" s="15">
        <v>10</v>
      </c>
      <c r="H2" s="14"/>
      <c r="J2" s="14"/>
      <c r="K2" s="14"/>
      <c r="L2" s="1" t="s">
        <v>13</v>
      </c>
      <c r="T2" s="1" t="s">
        <v>14</v>
      </c>
    </row>
    <row r="3" spans="2:27" x14ac:dyDescent="0.2">
      <c r="B3" s="6" t="s">
        <v>5</v>
      </c>
      <c r="C3" s="6" t="s">
        <v>3</v>
      </c>
      <c r="D3" s="6" t="s">
        <v>0</v>
      </c>
      <c r="E3" s="6" t="s">
        <v>4</v>
      </c>
      <c r="F3" s="6" t="s">
        <v>8</v>
      </c>
      <c r="G3" s="6" t="s">
        <v>10</v>
      </c>
      <c r="H3" s="6" t="s">
        <v>7</v>
      </c>
      <c r="I3" s="6" t="s">
        <v>11</v>
      </c>
      <c r="J3" s="6" t="s">
        <v>6</v>
      </c>
      <c r="K3" s="6" t="s">
        <v>1</v>
      </c>
      <c r="L3" s="9" t="s">
        <v>0</v>
      </c>
      <c r="M3" s="9" t="s">
        <v>4</v>
      </c>
      <c r="N3" s="9" t="s">
        <v>8</v>
      </c>
      <c r="O3" s="9" t="s">
        <v>10</v>
      </c>
      <c r="P3" s="9" t="s">
        <v>7</v>
      </c>
      <c r="Q3" s="9" t="s">
        <v>11</v>
      </c>
      <c r="R3" s="9" t="s">
        <v>6</v>
      </c>
      <c r="S3" s="9" t="s">
        <v>1</v>
      </c>
      <c r="T3" s="23" t="s">
        <v>0</v>
      </c>
      <c r="U3" s="23" t="s">
        <v>4</v>
      </c>
      <c r="V3" s="23" t="s">
        <v>8</v>
      </c>
      <c r="W3" s="23" t="s">
        <v>10</v>
      </c>
      <c r="X3" s="23" t="s">
        <v>7</v>
      </c>
      <c r="Y3" s="23" t="s">
        <v>11</v>
      </c>
      <c r="Z3" s="23" t="s">
        <v>6</v>
      </c>
      <c r="AA3" s="23" t="s">
        <v>1</v>
      </c>
    </row>
    <row r="4" spans="2:27" x14ac:dyDescent="0.2">
      <c r="B4" s="4">
        <v>1</v>
      </c>
      <c r="C4" s="4">
        <v>23</v>
      </c>
      <c r="D4" s="13">
        <v>36478.280036822282</v>
      </c>
      <c r="E4" s="19">
        <v>1.9470133340000759</v>
      </c>
      <c r="F4" s="5">
        <v>2</v>
      </c>
      <c r="G4" s="13">
        <v>80</v>
      </c>
      <c r="H4" s="19">
        <v>0</v>
      </c>
      <c r="I4" s="13">
        <v>15.086424262183236</v>
      </c>
      <c r="J4" s="5">
        <v>1107.8121057873232</v>
      </c>
      <c r="K4" s="17"/>
      <c r="L4" s="13">
        <v>36478.280036822282</v>
      </c>
      <c r="M4" s="19">
        <v>2.035675458999322</v>
      </c>
      <c r="N4" s="5">
        <v>2</v>
      </c>
      <c r="O4" s="5">
        <v>80</v>
      </c>
      <c r="P4" s="19">
        <v>0</v>
      </c>
      <c r="Q4" s="5">
        <v>15.086424262183236</v>
      </c>
      <c r="R4" s="5">
        <v>1107.8121057873232</v>
      </c>
      <c r="S4" s="21"/>
      <c r="T4" s="13">
        <v>37036.227648630411</v>
      </c>
      <c r="U4" s="19">
        <v>2.0040709590030019</v>
      </c>
      <c r="V4" s="5">
        <v>2</v>
      </c>
      <c r="W4" s="5">
        <v>80</v>
      </c>
      <c r="X4" s="19">
        <v>0</v>
      </c>
      <c r="Y4" s="5">
        <v>20.803039178121509</v>
      </c>
      <c r="Z4" s="5">
        <v>1306.0454213515131</v>
      </c>
      <c r="AA4" s="21"/>
    </row>
    <row r="5" spans="2:27" x14ac:dyDescent="0.2">
      <c r="B5" s="4">
        <v>2</v>
      </c>
      <c r="C5" s="4">
        <v>82</v>
      </c>
      <c r="D5" s="13">
        <v>36478.280036822282</v>
      </c>
      <c r="E5" s="19">
        <v>2.036036541001522</v>
      </c>
      <c r="F5" s="5">
        <v>2</v>
      </c>
      <c r="G5" s="13">
        <v>80</v>
      </c>
      <c r="H5" s="19">
        <v>0</v>
      </c>
      <c r="I5" s="13">
        <v>15.086424262183236</v>
      </c>
      <c r="J5" s="5">
        <v>1107.8121057873232</v>
      </c>
      <c r="K5" s="17"/>
      <c r="L5" s="13">
        <v>36478.280036822282</v>
      </c>
      <c r="M5" s="19">
        <v>2.0519221249996922</v>
      </c>
      <c r="N5" s="5">
        <v>2</v>
      </c>
      <c r="O5" s="5">
        <v>80</v>
      </c>
      <c r="P5" s="19">
        <v>0</v>
      </c>
      <c r="Q5" s="5">
        <v>15.086424262183236</v>
      </c>
      <c r="R5" s="5">
        <v>1107.8121057873232</v>
      </c>
      <c r="S5" s="21"/>
      <c r="T5" s="13">
        <v>37036.227648630411</v>
      </c>
      <c r="U5" s="19">
        <v>2.0123579589999281</v>
      </c>
      <c r="V5" s="5">
        <v>2</v>
      </c>
      <c r="W5" s="5">
        <v>80</v>
      </c>
      <c r="X5" s="19">
        <v>0</v>
      </c>
      <c r="Y5" s="5">
        <v>20.803039178121509</v>
      </c>
      <c r="Z5" s="5">
        <v>1306.0454213515131</v>
      </c>
      <c r="AA5" s="21"/>
    </row>
    <row r="6" spans="2:27" x14ac:dyDescent="0.2">
      <c r="B6" s="4">
        <v>3</v>
      </c>
      <c r="C6" s="4">
        <v>191</v>
      </c>
      <c r="D6" s="13">
        <v>36478.280036822282</v>
      </c>
      <c r="E6" s="19">
        <v>2.0578436249998049</v>
      </c>
      <c r="F6" s="5">
        <v>2</v>
      </c>
      <c r="G6" s="13">
        <v>80</v>
      </c>
      <c r="H6" s="19">
        <v>0</v>
      </c>
      <c r="I6" s="13">
        <v>15.086424262183236</v>
      </c>
      <c r="J6" s="5">
        <v>1107.8121057873232</v>
      </c>
      <c r="K6" s="17"/>
      <c r="L6" s="13">
        <v>36478.280036822282</v>
      </c>
      <c r="M6" s="19">
        <v>2.1442114580022462</v>
      </c>
      <c r="N6" s="5">
        <v>2</v>
      </c>
      <c r="O6" s="5">
        <v>80</v>
      </c>
      <c r="P6" s="19">
        <v>0</v>
      </c>
      <c r="Q6" s="5">
        <v>15.086424262183236</v>
      </c>
      <c r="R6" s="5">
        <v>1107.8121057873232</v>
      </c>
      <c r="S6" s="21"/>
      <c r="T6" s="13">
        <v>37036.227648630411</v>
      </c>
      <c r="U6" s="19">
        <v>2.056875875001424</v>
      </c>
      <c r="V6" s="5">
        <v>2</v>
      </c>
      <c r="W6" s="5">
        <v>80</v>
      </c>
      <c r="X6" s="19">
        <v>0</v>
      </c>
      <c r="Y6" s="5">
        <v>20.803039178121509</v>
      </c>
      <c r="Z6" s="5">
        <v>1306.0454213515131</v>
      </c>
      <c r="AA6" s="21"/>
    </row>
    <row r="7" spans="2:27" x14ac:dyDescent="0.2">
      <c r="B7" s="4">
        <v>4</v>
      </c>
      <c r="C7" s="4">
        <v>199</v>
      </c>
      <c r="D7" s="13">
        <v>36478.280036822282</v>
      </c>
      <c r="E7" s="19">
        <v>2.0140013750024082</v>
      </c>
      <c r="F7" s="5">
        <v>2</v>
      </c>
      <c r="G7" s="13">
        <v>80</v>
      </c>
      <c r="H7" s="19">
        <v>0</v>
      </c>
      <c r="I7" s="13">
        <v>15.086424262183236</v>
      </c>
      <c r="J7" s="5">
        <v>1107.8121057873232</v>
      </c>
      <c r="K7" s="17"/>
      <c r="L7" s="13">
        <v>36478.280036822282</v>
      </c>
      <c r="M7" s="19">
        <v>2.117428041001403</v>
      </c>
      <c r="N7" s="5">
        <v>2</v>
      </c>
      <c r="O7" s="5">
        <v>80</v>
      </c>
      <c r="P7" s="19">
        <v>0</v>
      </c>
      <c r="Q7" s="5">
        <v>15.086424262183236</v>
      </c>
      <c r="R7" s="5">
        <v>1107.8121057873232</v>
      </c>
      <c r="S7" s="21"/>
      <c r="T7" s="13">
        <v>37036.227648630411</v>
      </c>
      <c r="U7" s="19">
        <v>2.0644247919990448</v>
      </c>
      <c r="V7" s="5">
        <v>2</v>
      </c>
      <c r="W7" s="5">
        <v>80</v>
      </c>
      <c r="X7" s="19">
        <v>0</v>
      </c>
      <c r="Y7" s="5">
        <v>20.803039178121509</v>
      </c>
      <c r="Z7" s="5">
        <v>1306.0454213515131</v>
      </c>
      <c r="AA7" s="21"/>
    </row>
    <row r="8" spans="2:27" x14ac:dyDescent="0.2">
      <c r="B8" s="4">
        <v>5</v>
      </c>
      <c r="C8" s="4">
        <v>216</v>
      </c>
      <c r="D8" s="13">
        <v>36478.280036822282</v>
      </c>
      <c r="E8" s="19">
        <v>2.0267434580018739</v>
      </c>
      <c r="F8" s="5">
        <v>2</v>
      </c>
      <c r="G8" s="13">
        <v>80</v>
      </c>
      <c r="H8" s="19">
        <v>0</v>
      </c>
      <c r="I8" s="13">
        <v>15.086424262183236</v>
      </c>
      <c r="J8" s="5">
        <v>1107.8121057873232</v>
      </c>
      <c r="K8" s="17"/>
      <c r="L8" s="13">
        <v>36478.280036822282</v>
      </c>
      <c r="M8" s="19">
        <v>2.109012791999703</v>
      </c>
      <c r="N8" s="5">
        <v>2</v>
      </c>
      <c r="O8" s="5">
        <v>80</v>
      </c>
      <c r="P8" s="19">
        <v>0</v>
      </c>
      <c r="Q8" s="5">
        <v>15.086424262183236</v>
      </c>
      <c r="R8" s="5">
        <v>1107.8121057873232</v>
      </c>
      <c r="S8" s="21"/>
      <c r="T8" s="13">
        <v>37036.227648630411</v>
      </c>
      <c r="U8" s="19">
        <v>2.0595498750008119</v>
      </c>
      <c r="V8" s="5">
        <v>2</v>
      </c>
      <c r="W8" s="5">
        <v>80</v>
      </c>
      <c r="X8" s="19">
        <v>0</v>
      </c>
      <c r="Y8" s="5">
        <v>20.803039178121509</v>
      </c>
      <c r="Z8" s="5">
        <v>1306.0454213515131</v>
      </c>
      <c r="AA8" s="21"/>
    </row>
    <row r="9" spans="2:27" x14ac:dyDescent="0.2">
      <c r="B9" s="4">
        <v>6</v>
      </c>
      <c r="C9" s="4">
        <v>489</v>
      </c>
      <c r="D9" s="13">
        <v>36478.280036822282</v>
      </c>
      <c r="E9" s="19">
        <v>2.042562791997625</v>
      </c>
      <c r="F9" s="5">
        <v>2</v>
      </c>
      <c r="G9" s="13">
        <v>80</v>
      </c>
      <c r="H9" s="19">
        <v>0</v>
      </c>
      <c r="I9" s="13">
        <v>15.086424262183236</v>
      </c>
      <c r="J9" s="5">
        <v>1107.8121057873232</v>
      </c>
      <c r="K9" s="17"/>
      <c r="L9" s="13">
        <v>36478.280036822282</v>
      </c>
      <c r="M9" s="19">
        <v>2.121689375002461</v>
      </c>
      <c r="N9" s="5">
        <v>2</v>
      </c>
      <c r="O9" s="5">
        <v>80</v>
      </c>
      <c r="P9" s="19">
        <v>0</v>
      </c>
      <c r="Q9" s="5">
        <v>15.086424262183236</v>
      </c>
      <c r="R9" s="5">
        <v>1107.8121057873232</v>
      </c>
      <c r="S9" s="21"/>
      <c r="T9" s="13">
        <v>37036.227648630411</v>
      </c>
      <c r="U9" s="19">
        <v>2.074073374998989</v>
      </c>
      <c r="V9" s="5">
        <v>2</v>
      </c>
      <c r="W9" s="5">
        <v>80</v>
      </c>
      <c r="X9" s="19">
        <v>0</v>
      </c>
      <c r="Y9" s="5">
        <v>20.803039178121509</v>
      </c>
      <c r="Z9" s="5">
        <v>1306.0454213515131</v>
      </c>
      <c r="AA9" s="21"/>
    </row>
    <row r="10" spans="2:27" x14ac:dyDescent="0.2">
      <c r="B10" s="4">
        <v>7</v>
      </c>
      <c r="C10" s="4">
        <v>508</v>
      </c>
      <c r="D10" s="13">
        <v>36478.280036822282</v>
      </c>
      <c r="E10" s="19">
        <v>2.06372195899894</v>
      </c>
      <c r="F10" s="5">
        <v>2</v>
      </c>
      <c r="G10" s="13">
        <v>80</v>
      </c>
      <c r="H10" s="19">
        <v>0</v>
      </c>
      <c r="I10" s="13">
        <v>15.086424262183236</v>
      </c>
      <c r="J10" s="5">
        <v>1107.8121057873232</v>
      </c>
      <c r="K10" s="17"/>
      <c r="L10" s="13">
        <v>36478.280036822282</v>
      </c>
      <c r="M10" s="19">
        <v>2.122588082998845</v>
      </c>
      <c r="N10" s="5">
        <v>2</v>
      </c>
      <c r="O10" s="5">
        <v>80</v>
      </c>
      <c r="P10" s="19">
        <v>0</v>
      </c>
      <c r="Q10" s="5">
        <v>15.086424262183236</v>
      </c>
      <c r="R10" s="5">
        <v>1107.8121057873232</v>
      </c>
      <c r="S10" s="21"/>
      <c r="T10" s="13">
        <v>37036.227648630411</v>
      </c>
      <c r="U10" s="19">
        <v>2.0644075409982179</v>
      </c>
      <c r="V10" s="5">
        <v>2</v>
      </c>
      <c r="W10" s="5">
        <v>80</v>
      </c>
      <c r="X10" s="19">
        <v>0</v>
      </c>
      <c r="Y10" s="5">
        <v>20.803039178121509</v>
      </c>
      <c r="Z10" s="5">
        <v>1306.0454213515131</v>
      </c>
      <c r="AA10" s="21"/>
    </row>
    <row r="11" spans="2:27" x14ac:dyDescent="0.2">
      <c r="B11" s="4">
        <v>8</v>
      </c>
      <c r="C11" s="4">
        <v>630</v>
      </c>
      <c r="D11" s="13">
        <v>36478.280036822282</v>
      </c>
      <c r="E11" s="19">
        <v>2.0296930420008721</v>
      </c>
      <c r="F11" s="5">
        <v>2</v>
      </c>
      <c r="G11" s="13">
        <v>80</v>
      </c>
      <c r="H11" s="19">
        <v>0</v>
      </c>
      <c r="I11" s="13">
        <v>15.086424262183236</v>
      </c>
      <c r="J11" s="5">
        <v>1107.8121057873232</v>
      </c>
      <c r="K11" s="17"/>
      <c r="L11" s="13">
        <v>36478.280036822282</v>
      </c>
      <c r="M11" s="19">
        <v>2.115122499999416</v>
      </c>
      <c r="N11" s="5">
        <v>2</v>
      </c>
      <c r="O11" s="5">
        <v>80</v>
      </c>
      <c r="P11" s="19">
        <v>0</v>
      </c>
      <c r="Q11" s="5">
        <v>15.086424262183236</v>
      </c>
      <c r="R11" s="5">
        <v>1107.8121057873232</v>
      </c>
      <c r="S11" s="21"/>
      <c r="T11" s="13">
        <v>37036.227648630411</v>
      </c>
      <c r="U11" s="19">
        <v>2.0732368749995662</v>
      </c>
      <c r="V11" s="5">
        <v>2</v>
      </c>
      <c r="W11" s="5">
        <v>80</v>
      </c>
      <c r="X11" s="19">
        <v>0</v>
      </c>
      <c r="Y11" s="5">
        <v>20.803039178121509</v>
      </c>
      <c r="Z11" s="5">
        <v>1306.0454213515131</v>
      </c>
      <c r="AA11" s="21"/>
    </row>
    <row r="12" spans="2:27" x14ac:dyDescent="0.2">
      <c r="B12" s="4">
        <v>9</v>
      </c>
      <c r="C12" s="4">
        <v>754</v>
      </c>
      <c r="D12" s="13">
        <v>36478.280036822282</v>
      </c>
      <c r="E12" s="19">
        <v>2.1023960829988941</v>
      </c>
      <c r="F12" s="5">
        <v>2</v>
      </c>
      <c r="G12" s="13">
        <v>80</v>
      </c>
      <c r="H12" s="19">
        <v>0</v>
      </c>
      <c r="I12" s="13">
        <v>15.086424262183236</v>
      </c>
      <c r="J12" s="5">
        <v>1107.8121057873232</v>
      </c>
      <c r="K12" s="17"/>
      <c r="L12" s="13">
        <v>36478.280036822282</v>
      </c>
      <c r="M12" s="19">
        <v>2.1427236250019628</v>
      </c>
      <c r="N12" s="5">
        <v>2</v>
      </c>
      <c r="O12" s="5">
        <v>80</v>
      </c>
      <c r="P12" s="19">
        <v>0</v>
      </c>
      <c r="Q12" s="5">
        <v>15.086424262183236</v>
      </c>
      <c r="R12" s="5">
        <v>1107.8121057873232</v>
      </c>
      <c r="S12" s="21"/>
      <c r="T12" s="13">
        <v>37036.227648630411</v>
      </c>
      <c r="U12" s="19">
        <v>2.050383084002533</v>
      </c>
      <c r="V12" s="5">
        <v>2</v>
      </c>
      <c r="W12" s="5">
        <v>80</v>
      </c>
      <c r="X12" s="19">
        <v>0</v>
      </c>
      <c r="Y12" s="5">
        <v>20.803039178121509</v>
      </c>
      <c r="Z12" s="5">
        <v>1306.0454213515131</v>
      </c>
      <c r="AA12" s="21"/>
    </row>
    <row r="13" spans="2:27" x14ac:dyDescent="0.2">
      <c r="B13" s="4">
        <v>10</v>
      </c>
      <c r="C13" s="4">
        <v>922</v>
      </c>
      <c r="D13" s="13">
        <v>36478.280036822282</v>
      </c>
      <c r="E13" s="19">
        <v>2.047178790999169</v>
      </c>
      <c r="F13" s="5">
        <v>2</v>
      </c>
      <c r="G13" s="13">
        <v>80</v>
      </c>
      <c r="H13" s="19">
        <v>0</v>
      </c>
      <c r="I13" s="13">
        <v>15.086424262183236</v>
      </c>
      <c r="J13" s="5">
        <v>1107.8121057873232</v>
      </c>
      <c r="K13" s="17"/>
      <c r="L13" s="13">
        <v>36478.280036822282</v>
      </c>
      <c r="M13" s="19">
        <v>2.405397041002288</v>
      </c>
      <c r="N13" s="5">
        <v>2</v>
      </c>
      <c r="O13" s="5">
        <v>80</v>
      </c>
      <c r="P13" s="19">
        <v>0</v>
      </c>
      <c r="Q13" s="5">
        <v>15.086424262183236</v>
      </c>
      <c r="R13" s="5">
        <v>1107.8121057873232</v>
      </c>
      <c r="S13" s="21"/>
      <c r="T13" s="13">
        <v>37036.227648630411</v>
      </c>
      <c r="U13" s="19">
        <v>2.0171942090019002</v>
      </c>
      <c r="V13" s="5">
        <v>2</v>
      </c>
      <c r="W13" s="5">
        <v>80</v>
      </c>
      <c r="X13" s="19">
        <v>0</v>
      </c>
      <c r="Y13" s="5">
        <v>20.803039178121509</v>
      </c>
      <c r="Z13" s="5">
        <v>1306.0454213515131</v>
      </c>
      <c r="AA13" s="21"/>
    </row>
    <row r="14" spans="2:27" x14ac:dyDescent="0.2">
      <c r="B14" s="33" t="s">
        <v>2</v>
      </c>
      <c r="C14" s="34"/>
      <c r="D14" s="7">
        <f>MIN(D4:D13)</f>
        <v>36478.280036822282</v>
      </c>
      <c r="E14" s="12">
        <f>INDEX(E4:E13, MATCH($D$14, D4:D13, 0))</f>
        <v>1.9470133340000759</v>
      </c>
      <c r="F14" s="7">
        <f>INDEX(F4:F13, MATCH($D$14, D4:D13, 0))</f>
        <v>2</v>
      </c>
      <c r="G14" s="7">
        <f>INDEX(G4:G13, MATCH($D$14, D4:D13, 0))</f>
        <v>80</v>
      </c>
      <c r="H14" s="12">
        <f>INDEX(H4:H13, MATCH($D$14, D4:D13, 0))</f>
        <v>0</v>
      </c>
      <c r="I14" s="12">
        <f>INDEX(I4:I13, MATCH($D$14, D4:D13, 0))</f>
        <v>15.086424262183236</v>
      </c>
      <c r="J14" s="12">
        <f>INDEX(J4:J13, MATCH($D$14, D4:D13, 0))</f>
        <v>1107.8121057873232</v>
      </c>
      <c r="K14" s="18"/>
      <c r="L14" s="10">
        <f>MIN(L4:L13)</f>
        <v>36478.280036822282</v>
      </c>
      <c r="M14" s="11">
        <f>INDEX(M4:M13, MATCH($L$14, L4:L13, 0))</f>
        <v>2.035675458999322</v>
      </c>
      <c r="N14" s="10">
        <f>INDEX(N4:N13, MATCH($L$14, L4:L13, 0))</f>
        <v>2</v>
      </c>
      <c r="O14" s="10">
        <f>INDEX(O4:O13, MATCH($L$14, L4:L13, 0))</f>
        <v>80</v>
      </c>
      <c r="P14" s="11">
        <f>INDEX(P4:P13, MATCH($L$14, L4:L13, 0))</f>
        <v>0</v>
      </c>
      <c r="Q14" s="11">
        <f>INDEX(Q4:Q13, MATCH($L$14, L4:L13, 0))</f>
        <v>15.086424262183236</v>
      </c>
      <c r="R14" s="11">
        <f>INDEX(R4:R13, MATCH($L$14, L4:L13, 0))</f>
        <v>1107.8121057873232</v>
      </c>
      <c r="S14" s="22" t="e">
        <f>(L14-$D$15)/$D$15</f>
        <v>#DIV/0!</v>
      </c>
      <c r="T14" s="24">
        <f>MIN(T4:T13)</f>
        <v>37036.227648630411</v>
      </c>
      <c r="U14" s="25">
        <f>INDEX(U4:U13, MATCH($T$14, T4:T13, 0))</f>
        <v>2.0040709590030019</v>
      </c>
      <c r="V14" s="24">
        <f>INDEX(V4:V13, MATCH($T$14, T4:T13, 0))</f>
        <v>2</v>
      </c>
      <c r="W14" s="24">
        <f>INDEX(W4:W13, MATCH($T$14, T4:T13, 0))</f>
        <v>80</v>
      </c>
      <c r="X14" s="25">
        <f>INDEX(X4:X13, MATCH($T$14, T4:T13, 0))</f>
        <v>0</v>
      </c>
      <c r="Y14" s="25">
        <f>INDEX(Y4:Y13, MATCH($T$14, T4:T13, 0))</f>
        <v>20.803039178121509</v>
      </c>
      <c r="Z14" s="25">
        <f>INDEX(Z4:Z13, MATCH($T$14, T4:T13, 0))</f>
        <v>1306.0454213515131</v>
      </c>
      <c r="AA14" s="26" t="e">
        <f>(T14-$D$15)/$D$15</f>
        <v>#DIV/0!</v>
      </c>
    </row>
    <row r="15" spans="2:27" x14ac:dyDescent="0.2">
      <c r="D15" s="20"/>
      <c r="E15" s="3"/>
      <c r="F15" s="3"/>
      <c r="G15" s="3"/>
      <c r="H15" s="3"/>
      <c r="I15" s="3"/>
      <c r="J15" s="3"/>
      <c r="K15" s="3"/>
      <c r="L15" s="32"/>
      <c r="M15" s="32"/>
      <c r="N15" s="32"/>
      <c r="O15" s="32"/>
      <c r="P15" s="32"/>
      <c r="Q15" s="32"/>
      <c r="R15" s="32"/>
      <c r="T15" s="32"/>
      <c r="U15" s="32"/>
      <c r="V15" s="32"/>
      <c r="W15" s="32"/>
      <c r="X15" s="32"/>
      <c r="Y15" s="32"/>
      <c r="Z15" s="32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24:C1048576 C3:C13">
    <cfRule type="duplicateValues" dxfId="75" priority="15"/>
    <cfRule type="duplicateValues" dxfId="74" priority="16"/>
  </conditionalFormatting>
  <conditionalFormatting sqref="C14">
    <cfRule type="duplicateValues" dxfId="73" priority="3"/>
    <cfRule type="duplicateValues" dxfId="72" priority="4"/>
  </conditionalFormatting>
  <conditionalFormatting sqref="C15">
    <cfRule type="duplicateValues" dxfId="71" priority="7"/>
    <cfRule type="duplicateValues" dxfId="70" priority="8"/>
  </conditionalFormatting>
  <conditionalFormatting sqref="C17">
    <cfRule type="duplicateValues" dxfId="69" priority="9"/>
    <cfRule type="duplicateValues" dxfId="68" priority="10"/>
  </conditionalFormatting>
  <conditionalFormatting sqref="C18:C23">
    <cfRule type="duplicateValues" dxfId="67" priority="11"/>
    <cfRule type="duplicateValues" dxfId="66" priority="12"/>
  </conditionalFormatting>
  <conditionalFormatting sqref="C2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72E8-899D-0A4D-8DF6-31FA96CE22B1}">
  <dimension ref="B1:AA17"/>
  <sheetViews>
    <sheetView zoomScale="118" zoomScaleNormal="120" workbookViewId="0">
      <selection activeCell="A2" sqref="A2:XFD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9</v>
      </c>
    </row>
    <row r="2" spans="2:27" x14ac:dyDescent="0.2">
      <c r="B2" s="1" t="s">
        <v>12</v>
      </c>
      <c r="D2" s="15">
        <v>10</v>
      </c>
      <c r="H2" s="14"/>
      <c r="J2" s="14"/>
      <c r="K2" s="14"/>
      <c r="L2" s="1" t="s">
        <v>13</v>
      </c>
      <c r="T2" s="1" t="s">
        <v>14</v>
      </c>
    </row>
    <row r="3" spans="2:27" x14ac:dyDescent="0.2">
      <c r="B3" s="6" t="s">
        <v>5</v>
      </c>
      <c r="C3" s="6" t="s">
        <v>3</v>
      </c>
      <c r="D3" s="6" t="s">
        <v>0</v>
      </c>
      <c r="E3" s="6" t="s">
        <v>4</v>
      </c>
      <c r="F3" s="6" t="s">
        <v>8</v>
      </c>
      <c r="G3" s="6" t="s">
        <v>10</v>
      </c>
      <c r="H3" s="6" t="s">
        <v>7</v>
      </c>
      <c r="I3" s="6" t="s">
        <v>11</v>
      </c>
      <c r="J3" s="6" t="s">
        <v>6</v>
      </c>
      <c r="K3" s="6" t="s">
        <v>1</v>
      </c>
      <c r="L3" s="9" t="s">
        <v>0</v>
      </c>
      <c r="M3" s="9" t="s">
        <v>4</v>
      </c>
      <c r="N3" s="9" t="s">
        <v>8</v>
      </c>
      <c r="O3" s="9" t="s">
        <v>10</v>
      </c>
      <c r="P3" s="9" t="s">
        <v>7</v>
      </c>
      <c r="Q3" s="9" t="s">
        <v>11</v>
      </c>
      <c r="R3" s="9" t="s">
        <v>6</v>
      </c>
      <c r="S3" s="9" t="s">
        <v>1</v>
      </c>
      <c r="T3" s="23" t="s">
        <v>0</v>
      </c>
      <c r="U3" s="23" t="s">
        <v>4</v>
      </c>
      <c r="V3" s="23" t="s">
        <v>8</v>
      </c>
      <c r="W3" s="23" t="s">
        <v>10</v>
      </c>
      <c r="X3" s="23" t="s">
        <v>7</v>
      </c>
      <c r="Y3" s="23" t="s">
        <v>11</v>
      </c>
      <c r="Z3" s="23" t="s">
        <v>6</v>
      </c>
      <c r="AA3" s="23" t="s">
        <v>1</v>
      </c>
    </row>
    <row r="4" spans="2:27" x14ac:dyDescent="0.2">
      <c r="B4" s="4">
        <v>1</v>
      </c>
      <c r="C4" s="4">
        <v>60</v>
      </c>
      <c r="D4" s="13">
        <v>31368.006478364801</v>
      </c>
      <c r="E4" s="19">
        <v>1.8317137080011889</v>
      </c>
      <c r="F4" s="5">
        <v>2</v>
      </c>
      <c r="G4" s="13">
        <v>100</v>
      </c>
      <c r="H4" s="19">
        <v>0</v>
      </c>
      <c r="I4" s="13">
        <v>15.3792402241814</v>
      </c>
      <c r="J4" s="5">
        <v>1307.9545749568497</v>
      </c>
      <c r="K4" s="17"/>
      <c r="L4" s="13">
        <v>31368.006478364801</v>
      </c>
      <c r="M4" s="19">
        <v>1.6353662080000499</v>
      </c>
      <c r="N4" s="5">
        <v>2</v>
      </c>
      <c r="O4" s="5">
        <v>100</v>
      </c>
      <c r="P4" s="19">
        <v>0</v>
      </c>
      <c r="Q4" s="5">
        <v>15.3792402241814</v>
      </c>
      <c r="R4" s="5">
        <v>1307.9545749568497</v>
      </c>
      <c r="S4" s="21"/>
      <c r="T4" s="13">
        <v>36482.328673121578</v>
      </c>
      <c r="U4" s="19">
        <v>2.2382519169987058</v>
      </c>
      <c r="V4" s="5">
        <v>2</v>
      </c>
      <c r="W4" s="5">
        <v>90</v>
      </c>
      <c r="X4" s="19">
        <v>0</v>
      </c>
      <c r="Y4" s="5">
        <v>26.671604641941475</v>
      </c>
      <c r="Z4" s="5">
        <v>1701.783122619624</v>
      </c>
      <c r="AA4" s="21"/>
    </row>
    <row r="5" spans="2:27" x14ac:dyDescent="0.2">
      <c r="B5" s="4">
        <v>2</v>
      </c>
      <c r="C5" s="4">
        <v>83</v>
      </c>
      <c r="D5" s="13">
        <v>31368.006478364801</v>
      </c>
      <c r="E5" s="19">
        <v>1.6352986249985411</v>
      </c>
      <c r="F5" s="5">
        <v>2</v>
      </c>
      <c r="G5" s="13">
        <v>100</v>
      </c>
      <c r="H5" s="19">
        <v>0</v>
      </c>
      <c r="I5" s="13">
        <v>15.3792402241814</v>
      </c>
      <c r="J5" s="5">
        <v>1307.9545749568497</v>
      </c>
      <c r="K5" s="17"/>
      <c r="L5" s="13">
        <v>31368.006478364801</v>
      </c>
      <c r="M5" s="19">
        <v>1.626926207998622</v>
      </c>
      <c r="N5" s="5">
        <v>2</v>
      </c>
      <c r="O5" s="5">
        <v>100</v>
      </c>
      <c r="P5" s="19">
        <v>0</v>
      </c>
      <c r="Q5" s="5">
        <v>15.3792402241814</v>
      </c>
      <c r="R5" s="5">
        <v>1307.9545749568497</v>
      </c>
      <c r="S5" s="21"/>
      <c r="T5" s="13">
        <v>36482.328673121578</v>
      </c>
      <c r="U5" s="19">
        <v>2.2673839999988559</v>
      </c>
      <c r="V5" s="5">
        <v>2</v>
      </c>
      <c r="W5" s="5">
        <v>90</v>
      </c>
      <c r="X5" s="19">
        <v>0</v>
      </c>
      <c r="Y5" s="5">
        <v>26.671604641941475</v>
      </c>
      <c r="Z5" s="5">
        <v>1701.783122619624</v>
      </c>
      <c r="AA5" s="21"/>
    </row>
    <row r="6" spans="2:27" x14ac:dyDescent="0.2">
      <c r="B6" s="4">
        <v>3</v>
      </c>
      <c r="C6" s="4">
        <v>465</v>
      </c>
      <c r="D6" s="13">
        <v>31368.006478364801</v>
      </c>
      <c r="E6" s="19">
        <v>1.937557458000811</v>
      </c>
      <c r="F6" s="5">
        <v>2</v>
      </c>
      <c r="G6" s="13">
        <v>100</v>
      </c>
      <c r="H6" s="19">
        <v>0</v>
      </c>
      <c r="I6" s="13">
        <v>15.3792402241814</v>
      </c>
      <c r="J6" s="5">
        <v>1307.9545749568497</v>
      </c>
      <c r="K6" s="17"/>
      <c r="L6" s="13">
        <v>31368.006478364801</v>
      </c>
      <c r="M6" s="19">
        <v>1.836701374999393</v>
      </c>
      <c r="N6" s="5">
        <v>2</v>
      </c>
      <c r="O6" s="5">
        <v>100</v>
      </c>
      <c r="P6" s="19">
        <v>0</v>
      </c>
      <c r="Q6" s="5">
        <v>15.3792402241814</v>
      </c>
      <c r="R6" s="5">
        <v>1307.9545749568497</v>
      </c>
      <c r="S6" s="21"/>
      <c r="T6" s="13">
        <v>36482.328673121578</v>
      </c>
      <c r="U6" s="19">
        <v>2.2492832499992801</v>
      </c>
      <c r="V6" s="5">
        <v>2</v>
      </c>
      <c r="W6" s="5">
        <v>90</v>
      </c>
      <c r="X6" s="19">
        <v>0</v>
      </c>
      <c r="Y6" s="5">
        <v>26.671604641941475</v>
      </c>
      <c r="Z6" s="5">
        <v>1701.783122619624</v>
      </c>
      <c r="AA6" s="21"/>
    </row>
    <row r="7" spans="2:27" x14ac:dyDescent="0.2">
      <c r="B7" s="4">
        <v>4</v>
      </c>
      <c r="C7" s="4">
        <v>601</v>
      </c>
      <c r="D7" s="13">
        <v>31368.006478364801</v>
      </c>
      <c r="E7" s="19">
        <v>1.867922917001124</v>
      </c>
      <c r="F7" s="5">
        <v>2</v>
      </c>
      <c r="G7" s="13">
        <v>100</v>
      </c>
      <c r="H7" s="19">
        <v>0</v>
      </c>
      <c r="I7" s="13">
        <v>15.3792402241814</v>
      </c>
      <c r="J7" s="5">
        <v>1307.9545749568497</v>
      </c>
      <c r="K7" s="17"/>
      <c r="L7" s="13">
        <v>31368.006478364801</v>
      </c>
      <c r="M7" s="19">
        <v>1.8664065419980029</v>
      </c>
      <c r="N7" s="5">
        <v>2</v>
      </c>
      <c r="O7" s="5">
        <v>100</v>
      </c>
      <c r="P7" s="19">
        <v>0</v>
      </c>
      <c r="Q7" s="5">
        <v>15.3792402241814</v>
      </c>
      <c r="R7" s="5">
        <v>1307.9545749568497</v>
      </c>
      <c r="S7" s="21"/>
      <c r="T7" s="13">
        <v>36482.328673121578</v>
      </c>
      <c r="U7" s="19">
        <v>2.312387499998295</v>
      </c>
      <c r="V7" s="5">
        <v>2</v>
      </c>
      <c r="W7" s="5">
        <v>90</v>
      </c>
      <c r="X7" s="19">
        <v>0</v>
      </c>
      <c r="Y7" s="5">
        <v>26.671604641941475</v>
      </c>
      <c r="Z7" s="5">
        <v>1701.783122619624</v>
      </c>
      <c r="AA7" s="21"/>
    </row>
    <row r="8" spans="2:27" x14ac:dyDescent="0.2">
      <c r="B8" s="4">
        <v>5</v>
      </c>
      <c r="C8" s="4">
        <v>634</v>
      </c>
      <c r="D8" s="13">
        <v>31368.006478364801</v>
      </c>
      <c r="E8" s="19">
        <v>2.0639439580008911</v>
      </c>
      <c r="F8" s="5">
        <v>2</v>
      </c>
      <c r="G8" s="13">
        <v>100</v>
      </c>
      <c r="H8" s="19">
        <v>0</v>
      </c>
      <c r="I8" s="13">
        <v>15.3792402241814</v>
      </c>
      <c r="J8" s="5">
        <v>1307.9545749568497</v>
      </c>
      <c r="K8" s="17"/>
      <c r="L8" s="13">
        <v>31368.006478364801</v>
      </c>
      <c r="M8" s="19">
        <v>1.871130499999708</v>
      </c>
      <c r="N8" s="5">
        <v>2</v>
      </c>
      <c r="O8" s="5">
        <v>100</v>
      </c>
      <c r="P8" s="19">
        <v>0</v>
      </c>
      <c r="Q8" s="5">
        <v>15.3792402241814</v>
      </c>
      <c r="R8" s="5">
        <v>1307.9545749568497</v>
      </c>
      <c r="S8" s="21"/>
      <c r="T8" s="13">
        <v>36482.328673121578</v>
      </c>
      <c r="U8" s="19">
        <v>2.2671822500014969</v>
      </c>
      <c r="V8" s="5">
        <v>2</v>
      </c>
      <c r="W8" s="5">
        <v>90</v>
      </c>
      <c r="X8" s="19">
        <v>0</v>
      </c>
      <c r="Y8" s="5">
        <v>26.671604641941475</v>
      </c>
      <c r="Z8" s="5">
        <v>1701.783122619624</v>
      </c>
      <c r="AA8" s="21"/>
    </row>
    <row r="9" spans="2:27" x14ac:dyDescent="0.2">
      <c r="B9" s="4">
        <v>6</v>
      </c>
      <c r="C9" s="4">
        <v>775</v>
      </c>
      <c r="D9" s="13">
        <v>31368.006478364801</v>
      </c>
      <c r="E9" s="19">
        <v>2.1014624169984022</v>
      </c>
      <c r="F9" s="5">
        <v>2</v>
      </c>
      <c r="G9" s="13">
        <v>100</v>
      </c>
      <c r="H9" s="19">
        <v>0</v>
      </c>
      <c r="I9" s="13">
        <v>15.3792402241814</v>
      </c>
      <c r="J9" s="5">
        <v>1307.9545749568497</v>
      </c>
      <c r="K9" s="17"/>
      <c r="L9" s="13">
        <v>31368.006478364801</v>
      </c>
      <c r="M9" s="19">
        <v>1.8442939159976961</v>
      </c>
      <c r="N9" s="5">
        <v>2</v>
      </c>
      <c r="O9" s="5">
        <v>100</v>
      </c>
      <c r="P9" s="19">
        <v>0</v>
      </c>
      <c r="Q9" s="5">
        <v>15.3792402241814</v>
      </c>
      <c r="R9" s="5">
        <v>1307.9545749568497</v>
      </c>
      <c r="S9" s="21"/>
      <c r="T9" s="13">
        <v>36482.328673121578</v>
      </c>
      <c r="U9" s="19">
        <v>2.2990682499985269</v>
      </c>
      <c r="V9" s="5">
        <v>2</v>
      </c>
      <c r="W9" s="5">
        <v>90</v>
      </c>
      <c r="X9" s="19">
        <v>0</v>
      </c>
      <c r="Y9" s="5">
        <v>26.671604641941475</v>
      </c>
      <c r="Z9" s="5">
        <v>1701.783122619624</v>
      </c>
      <c r="AA9" s="21"/>
    </row>
    <row r="10" spans="2:27" x14ac:dyDescent="0.2">
      <c r="B10" s="4">
        <v>7</v>
      </c>
      <c r="C10" s="4">
        <v>867</v>
      </c>
      <c r="D10" s="13">
        <v>31368.006478364801</v>
      </c>
      <c r="E10" s="19">
        <v>1.688585583000531</v>
      </c>
      <c r="F10" s="5">
        <v>2</v>
      </c>
      <c r="G10" s="13">
        <v>100</v>
      </c>
      <c r="H10" s="19">
        <v>0</v>
      </c>
      <c r="I10" s="13">
        <v>15.3792402241814</v>
      </c>
      <c r="J10" s="5">
        <v>1307.9545749568497</v>
      </c>
      <c r="K10" s="17"/>
      <c r="L10" s="13">
        <v>31368.006478364801</v>
      </c>
      <c r="M10" s="19">
        <v>1.6845399999983779</v>
      </c>
      <c r="N10" s="5">
        <v>2</v>
      </c>
      <c r="O10" s="5">
        <v>100</v>
      </c>
      <c r="P10" s="19">
        <v>0</v>
      </c>
      <c r="Q10" s="5">
        <v>15.3792402241814</v>
      </c>
      <c r="R10" s="5">
        <v>1307.9545749568497</v>
      </c>
      <c r="S10" s="21"/>
      <c r="T10" s="13">
        <v>36482.328673121578</v>
      </c>
      <c r="U10" s="19">
        <v>2.3260886250027402</v>
      </c>
      <c r="V10" s="5">
        <v>2</v>
      </c>
      <c r="W10" s="5">
        <v>90</v>
      </c>
      <c r="X10" s="19">
        <v>0</v>
      </c>
      <c r="Y10" s="5">
        <v>26.671604641941475</v>
      </c>
      <c r="Z10" s="5">
        <v>1701.783122619624</v>
      </c>
      <c r="AA10" s="21"/>
    </row>
    <row r="11" spans="2:27" x14ac:dyDescent="0.2">
      <c r="B11" s="4">
        <v>8</v>
      </c>
      <c r="C11" s="4">
        <v>900</v>
      </c>
      <c r="D11" s="13">
        <v>31368.006478364801</v>
      </c>
      <c r="E11" s="19">
        <v>1.847986666998622</v>
      </c>
      <c r="F11" s="5">
        <v>2</v>
      </c>
      <c r="G11" s="13">
        <v>100</v>
      </c>
      <c r="H11" s="19">
        <v>0</v>
      </c>
      <c r="I11" s="13">
        <v>15.3792402241814</v>
      </c>
      <c r="J11" s="5">
        <v>1307.9545749568497</v>
      </c>
      <c r="K11" s="17"/>
      <c r="L11" s="13">
        <v>31368.006478364801</v>
      </c>
      <c r="M11" s="19">
        <v>1.8767707080005489</v>
      </c>
      <c r="N11" s="5">
        <v>2</v>
      </c>
      <c r="O11" s="5">
        <v>100</v>
      </c>
      <c r="P11" s="19">
        <v>0</v>
      </c>
      <c r="Q11" s="5">
        <v>15.3792402241814</v>
      </c>
      <c r="R11" s="5">
        <v>1307.9545749568497</v>
      </c>
      <c r="S11" s="21"/>
      <c r="T11" s="13">
        <v>36482.328673121578</v>
      </c>
      <c r="U11" s="19">
        <v>2.3178930840003891</v>
      </c>
      <c r="V11" s="5">
        <v>2</v>
      </c>
      <c r="W11" s="5">
        <v>90</v>
      </c>
      <c r="X11" s="19">
        <v>0</v>
      </c>
      <c r="Y11" s="5">
        <v>26.671604641941475</v>
      </c>
      <c r="Z11" s="5">
        <v>1701.783122619624</v>
      </c>
      <c r="AA11" s="21"/>
    </row>
    <row r="12" spans="2:27" x14ac:dyDescent="0.2">
      <c r="B12" s="4">
        <v>9</v>
      </c>
      <c r="C12" s="4">
        <v>908</v>
      </c>
      <c r="D12" s="13">
        <v>31368.006478364801</v>
      </c>
      <c r="E12" s="19">
        <v>1.747128832997987</v>
      </c>
      <c r="F12" s="5">
        <v>2</v>
      </c>
      <c r="G12" s="13">
        <v>100</v>
      </c>
      <c r="H12" s="19">
        <v>0</v>
      </c>
      <c r="I12" s="13">
        <v>15.3792402241814</v>
      </c>
      <c r="J12" s="5">
        <v>1307.9545749568497</v>
      </c>
      <c r="K12" s="17"/>
      <c r="L12" s="13">
        <v>31368.006478364801</v>
      </c>
      <c r="M12" s="19">
        <v>1.674411834002967</v>
      </c>
      <c r="N12" s="5">
        <v>2</v>
      </c>
      <c r="O12" s="5">
        <v>100</v>
      </c>
      <c r="P12" s="19">
        <v>0</v>
      </c>
      <c r="Q12" s="5">
        <v>15.3792402241814</v>
      </c>
      <c r="R12" s="5">
        <v>1307.9545749568497</v>
      </c>
      <c r="S12" s="21"/>
      <c r="T12" s="13">
        <v>36482.328673121578</v>
      </c>
      <c r="U12" s="19">
        <v>2.3276037499999802</v>
      </c>
      <c r="V12" s="5">
        <v>2</v>
      </c>
      <c r="W12" s="5">
        <v>90</v>
      </c>
      <c r="X12" s="19">
        <v>0</v>
      </c>
      <c r="Y12" s="5">
        <v>26.671604641941475</v>
      </c>
      <c r="Z12" s="5">
        <v>1701.783122619624</v>
      </c>
      <c r="AA12" s="21"/>
    </row>
    <row r="13" spans="2:27" x14ac:dyDescent="0.2">
      <c r="B13" s="4">
        <v>10</v>
      </c>
      <c r="C13" s="4">
        <v>964</v>
      </c>
      <c r="D13" s="13">
        <v>31368.006478364801</v>
      </c>
      <c r="E13" s="19">
        <v>1.878973124999902</v>
      </c>
      <c r="F13" s="5">
        <v>2</v>
      </c>
      <c r="G13" s="13">
        <v>100</v>
      </c>
      <c r="H13" s="19">
        <v>0</v>
      </c>
      <c r="I13" s="13">
        <v>15.3792402241814</v>
      </c>
      <c r="J13" s="5">
        <v>1307.9545749568497</v>
      </c>
      <c r="K13" s="17"/>
      <c r="L13" s="13">
        <v>31368.006478364801</v>
      </c>
      <c r="M13" s="19">
        <v>1.8666466249997029</v>
      </c>
      <c r="N13" s="5">
        <v>2</v>
      </c>
      <c r="O13" s="5">
        <v>100</v>
      </c>
      <c r="P13" s="19">
        <v>0</v>
      </c>
      <c r="Q13" s="5">
        <v>15.3792402241814</v>
      </c>
      <c r="R13" s="5">
        <v>1307.9545749568497</v>
      </c>
      <c r="S13" s="21"/>
      <c r="T13" s="13">
        <v>36482.328673121578</v>
      </c>
      <c r="U13" s="19">
        <v>2.347572499998932</v>
      </c>
      <c r="V13" s="5">
        <v>2</v>
      </c>
      <c r="W13" s="5">
        <v>90</v>
      </c>
      <c r="X13" s="19">
        <v>0</v>
      </c>
      <c r="Y13" s="5">
        <v>26.671604641941475</v>
      </c>
      <c r="Z13" s="5">
        <v>1701.783122619624</v>
      </c>
      <c r="AA13" s="21"/>
    </row>
    <row r="14" spans="2:27" x14ac:dyDescent="0.2">
      <c r="B14" s="33" t="s">
        <v>2</v>
      </c>
      <c r="C14" s="34"/>
      <c r="D14" s="7">
        <f>MIN(D4:D13)</f>
        <v>31368.006478364801</v>
      </c>
      <c r="E14" s="12">
        <f>INDEX(E4:E13, MATCH($D$14, D4:D13, 0))</f>
        <v>1.8317137080011889</v>
      </c>
      <c r="F14" s="7">
        <f>INDEX(F4:F13, MATCH($D$14, D4:D13, 0))</f>
        <v>2</v>
      </c>
      <c r="G14" s="7">
        <f>INDEX(G4:G13, MATCH($D$14, D4:D13, 0))</f>
        <v>100</v>
      </c>
      <c r="H14" s="12">
        <f>INDEX(H4:H13, MATCH($D$14, D4:D13, 0))</f>
        <v>0</v>
      </c>
      <c r="I14" s="12">
        <f>INDEX(I4:I13, MATCH($D$14, D4:D13, 0))</f>
        <v>15.3792402241814</v>
      </c>
      <c r="J14" s="12">
        <f>INDEX(J4:J13, MATCH($D$14, D4:D13, 0))</f>
        <v>1307.9545749568497</v>
      </c>
      <c r="K14" s="18"/>
      <c r="L14" s="10">
        <f>MIN(L4:L13)</f>
        <v>31368.006478364801</v>
      </c>
      <c r="M14" s="11">
        <f>INDEX(M4:M13, MATCH($L$14, L4:L13, 0))</f>
        <v>1.6353662080000499</v>
      </c>
      <c r="N14" s="10">
        <f>INDEX(N4:N13, MATCH($L$14, L4:L13, 0))</f>
        <v>2</v>
      </c>
      <c r="O14" s="10">
        <f>INDEX(O4:O13, MATCH($L$14, L4:L13, 0))</f>
        <v>100</v>
      </c>
      <c r="P14" s="11">
        <f>INDEX(P4:P13, MATCH($L$14, L4:L13, 0))</f>
        <v>0</v>
      </c>
      <c r="Q14" s="11">
        <f>INDEX(Q4:Q13, MATCH($L$14, L4:L13, 0))</f>
        <v>15.3792402241814</v>
      </c>
      <c r="R14" s="11">
        <f>INDEX(R4:R13, MATCH($L$14, L4:L13, 0))</f>
        <v>1307.9545749568497</v>
      </c>
      <c r="S14" s="22" t="e">
        <f>(L14-$D$15)/$D$15</f>
        <v>#DIV/0!</v>
      </c>
      <c r="T14" s="24">
        <f>MIN(T4:T13)</f>
        <v>36482.328673121578</v>
      </c>
      <c r="U14" s="25">
        <f>INDEX(U4:U13, MATCH($T$14, T4:T13, 0))</f>
        <v>2.2382519169987058</v>
      </c>
      <c r="V14" s="24">
        <f>INDEX(V4:V13, MATCH($T$14, T4:T13, 0))</f>
        <v>2</v>
      </c>
      <c r="W14" s="24">
        <f>INDEX(W4:W13, MATCH($T$14, T4:T13, 0))</f>
        <v>90</v>
      </c>
      <c r="X14" s="25">
        <f>INDEX(X4:X13, MATCH($T$14, T4:T13, 0))</f>
        <v>0</v>
      </c>
      <c r="Y14" s="25">
        <f>INDEX(Y4:Y13, MATCH($T$14, T4:T13, 0))</f>
        <v>26.671604641941475</v>
      </c>
      <c r="Z14" s="25">
        <f>INDEX(Z4:Z13, MATCH($T$14, T4:T13, 0))</f>
        <v>1701.783122619624</v>
      </c>
      <c r="AA14" s="26" t="e">
        <f>(T14-$D$15)/$D$15</f>
        <v>#DIV/0!</v>
      </c>
    </row>
    <row r="15" spans="2:27" x14ac:dyDescent="0.2">
      <c r="D15" s="20"/>
      <c r="E15" s="3"/>
      <c r="F15" s="3"/>
      <c r="G15" s="3"/>
      <c r="H15" s="3"/>
      <c r="I15" s="3"/>
      <c r="J15" s="3"/>
      <c r="K15" s="3"/>
      <c r="L15" s="32"/>
      <c r="M15" s="32"/>
      <c r="N15" s="32"/>
      <c r="O15" s="32"/>
      <c r="P15" s="32"/>
      <c r="Q15" s="32"/>
      <c r="R15" s="32"/>
      <c r="T15" s="32"/>
      <c r="U15" s="32"/>
      <c r="V15" s="32"/>
      <c r="W15" s="32"/>
      <c r="X15" s="32"/>
      <c r="Y15" s="32"/>
      <c r="Z15" s="32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24:C1048576 C3:C13">
    <cfRule type="duplicateValues" dxfId="65" priority="15"/>
    <cfRule type="duplicateValues" dxfId="64" priority="16"/>
  </conditionalFormatting>
  <conditionalFormatting sqref="C14">
    <cfRule type="duplicateValues" dxfId="63" priority="3"/>
    <cfRule type="duplicateValues" dxfId="62" priority="4"/>
  </conditionalFormatting>
  <conditionalFormatting sqref="C15">
    <cfRule type="duplicateValues" dxfId="61" priority="7"/>
    <cfRule type="duplicateValues" dxfId="60" priority="8"/>
  </conditionalFormatting>
  <conditionalFormatting sqref="C17">
    <cfRule type="duplicateValues" dxfId="59" priority="9"/>
    <cfRule type="duplicateValues" dxfId="58" priority="10"/>
  </conditionalFormatting>
  <conditionalFormatting sqref="C18:C23">
    <cfRule type="duplicateValues" dxfId="57" priority="11"/>
    <cfRule type="duplicateValues" dxfId="56" priority="12"/>
  </conditionalFormatting>
  <conditionalFormatting sqref="C2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A6EC2-2681-4147-ABF4-10DD003852DA}">
  <dimension ref="B1:AA17"/>
  <sheetViews>
    <sheetView zoomScale="118" zoomScaleNormal="120" workbookViewId="0">
      <selection activeCell="A2" sqref="A2:XFD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9</v>
      </c>
    </row>
    <row r="2" spans="2:27" x14ac:dyDescent="0.2">
      <c r="B2" s="1" t="s">
        <v>12</v>
      </c>
      <c r="D2" s="15">
        <v>10</v>
      </c>
      <c r="H2" s="14"/>
      <c r="J2" s="14"/>
      <c r="K2" s="14"/>
      <c r="L2" s="1" t="s">
        <v>13</v>
      </c>
      <c r="T2" s="1" t="s">
        <v>14</v>
      </c>
    </row>
    <row r="3" spans="2:27" x14ac:dyDescent="0.2">
      <c r="B3" s="6" t="s">
        <v>5</v>
      </c>
      <c r="C3" s="6" t="s">
        <v>3</v>
      </c>
      <c r="D3" s="6" t="s">
        <v>0</v>
      </c>
      <c r="E3" s="6" t="s">
        <v>4</v>
      </c>
      <c r="F3" s="6" t="s">
        <v>8</v>
      </c>
      <c r="G3" s="6" t="s">
        <v>10</v>
      </c>
      <c r="H3" s="6" t="s">
        <v>7</v>
      </c>
      <c r="I3" s="6" t="s">
        <v>11</v>
      </c>
      <c r="J3" s="6" t="s">
        <v>6</v>
      </c>
      <c r="K3" s="6" t="s">
        <v>1</v>
      </c>
      <c r="L3" s="9" t="s">
        <v>0</v>
      </c>
      <c r="M3" s="9" t="s">
        <v>4</v>
      </c>
      <c r="N3" s="9" t="s">
        <v>8</v>
      </c>
      <c r="O3" s="9" t="s">
        <v>10</v>
      </c>
      <c r="P3" s="9" t="s">
        <v>7</v>
      </c>
      <c r="Q3" s="9" t="s">
        <v>11</v>
      </c>
      <c r="R3" s="9" t="s">
        <v>6</v>
      </c>
      <c r="S3" s="9" t="s">
        <v>1</v>
      </c>
      <c r="T3" s="23" t="s">
        <v>0</v>
      </c>
      <c r="U3" s="23" t="s">
        <v>4</v>
      </c>
      <c r="V3" s="23" t="s">
        <v>8</v>
      </c>
      <c r="W3" s="23" t="s">
        <v>10</v>
      </c>
      <c r="X3" s="23" t="s">
        <v>7</v>
      </c>
      <c r="Y3" s="23" t="s">
        <v>11</v>
      </c>
      <c r="Z3" s="23" t="s">
        <v>6</v>
      </c>
      <c r="AA3" s="23" t="s">
        <v>1</v>
      </c>
    </row>
    <row r="4" spans="2:27" x14ac:dyDescent="0.2">
      <c r="B4" s="4">
        <v>1</v>
      </c>
      <c r="C4" s="4">
        <v>10</v>
      </c>
      <c r="D4" s="13">
        <v>31547.611761693519</v>
      </c>
      <c r="E4" s="19">
        <v>2.1343616670019401</v>
      </c>
      <c r="F4" s="5">
        <v>2</v>
      </c>
      <c r="G4" s="13">
        <v>90</v>
      </c>
      <c r="H4" s="19">
        <v>0</v>
      </c>
      <c r="I4" s="13">
        <v>10.812395354427663</v>
      </c>
      <c r="J4" s="5">
        <v>984.51478134749721</v>
      </c>
      <c r="K4" s="17"/>
      <c r="L4" s="13">
        <v>31547.611761693519</v>
      </c>
      <c r="M4" s="19">
        <v>2.1821146670008602</v>
      </c>
      <c r="N4" s="5">
        <v>2</v>
      </c>
      <c r="O4" s="5">
        <v>90</v>
      </c>
      <c r="P4" s="19">
        <v>0</v>
      </c>
      <c r="Q4" s="5">
        <v>10.812395354427663</v>
      </c>
      <c r="R4" s="5">
        <v>984.51478134749721</v>
      </c>
      <c r="S4" s="21"/>
      <c r="T4" s="13">
        <v>32366.689611354512</v>
      </c>
      <c r="U4" s="19">
        <v>2.097516375000851</v>
      </c>
      <c r="V4" s="5">
        <v>2</v>
      </c>
      <c r="W4" s="5">
        <v>90</v>
      </c>
      <c r="X4" s="19">
        <v>0</v>
      </c>
      <c r="Y4" s="5">
        <v>20.263802997188016</v>
      </c>
      <c r="Z4" s="5">
        <v>1292.3454329707502</v>
      </c>
      <c r="AA4" s="21"/>
    </row>
    <row r="5" spans="2:27" x14ac:dyDescent="0.2">
      <c r="B5" s="4">
        <v>2</v>
      </c>
      <c r="C5" s="4">
        <v>13</v>
      </c>
      <c r="D5" s="13">
        <v>31547.611761693519</v>
      </c>
      <c r="E5" s="19">
        <v>2.2556851670015021</v>
      </c>
      <c r="F5" s="5">
        <v>2</v>
      </c>
      <c r="G5" s="13">
        <v>90</v>
      </c>
      <c r="H5" s="19">
        <v>0</v>
      </c>
      <c r="I5" s="13">
        <v>10.812395354427663</v>
      </c>
      <c r="J5" s="5">
        <v>984.51478134749721</v>
      </c>
      <c r="K5" s="17"/>
      <c r="L5" s="13">
        <v>31547.611761693519</v>
      </c>
      <c r="M5" s="19">
        <v>2.1792468749990799</v>
      </c>
      <c r="N5" s="5">
        <v>2</v>
      </c>
      <c r="O5" s="5">
        <v>90</v>
      </c>
      <c r="P5" s="19">
        <v>0</v>
      </c>
      <c r="Q5" s="5">
        <v>10.812395354427663</v>
      </c>
      <c r="R5" s="5">
        <v>984.51478134749721</v>
      </c>
      <c r="S5" s="21"/>
      <c r="T5" s="13">
        <v>32366.689611354512</v>
      </c>
      <c r="U5" s="19">
        <v>2.105433791999531</v>
      </c>
      <c r="V5" s="5">
        <v>2</v>
      </c>
      <c r="W5" s="5">
        <v>90</v>
      </c>
      <c r="X5" s="19">
        <v>0</v>
      </c>
      <c r="Y5" s="5">
        <v>20.263802997188016</v>
      </c>
      <c r="Z5" s="5">
        <v>1292.3454329707502</v>
      </c>
      <c r="AA5" s="21"/>
    </row>
    <row r="6" spans="2:27" x14ac:dyDescent="0.2">
      <c r="B6" s="4">
        <v>3</v>
      </c>
      <c r="C6" s="4">
        <v>34</v>
      </c>
      <c r="D6" s="13">
        <v>31547.611761693519</v>
      </c>
      <c r="E6" s="19">
        <v>2.200545750001766</v>
      </c>
      <c r="F6" s="5">
        <v>2</v>
      </c>
      <c r="G6" s="13">
        <v>90</v>
      </c>
      <c r="H6" s="19">
        <v>0</v>
      </c>
      <c r="I6" s="13">
        <v>10.812395354427663</v>
      </c>
      <c r="J6" s="5">
        <v>984.51478134749721</v>
      </c>
      <c r="K6" s="17"/>
      <c r="L6" s="13">
        <v>31547.611761693519</v>
      </c>
      <c r="M6" s="19">
        <v>2.2469187500028061</v>
      </c>
      <c r="N6" s="5">
        <v>2</v>
      </c>
      <c r="O6" s="5">
        <v>90</v>
      </c>
      <c r="P6" s="19">
        <v>0</v>
      </c>
      <c r="Q6" s="5">
        <v>10.812395354427663</v>
      </c>
      <c r="R6" s="5">
        <v>984.51478134749721</v>
      </c>
      <c r="S6" s="21"/>
      <c r="T6" s="13">
        <v>32366.689611354512</v>
      </c>
      <c r="U6" s="19">
        <v>2.1398369590024231</v>
      </c>
      <c r="V6" s="5">
        <v>2</v>
      </c>
      <c r="W6" s="5">
        <v>90</v>
      </c>
      <c r="X6" s="19">
        <v>0</v>
      </c>
      <c r="Y6" s="5">
        <v>20.263802997188016</v>
      </c>
      <c r="Z6" s="5">
        <v>1292.3454329707502</v>
      </c>
      <c r="AA6" s="21"/>
    </row>
    <row r="7" spans="2:27" x14ac:dyDescent="0.2">
      <c r="B7" s="4">
        <v>4</v>
      </c>
      <c r="C7" s="4">
        <v>438</v>
      </c>
      <c r="D7" s="13">
        <v>31547.611761693519</v>
      </c>
      <c r="E7" s="19">
        <v>2.2098352089997211</v>
      </c>
      <c r="F7" s="5">
        <v>2</v>
      </c>
      <c r="G7" s="13">
        <v>90</v>
      </c>
      <c r="H7" s="19">
        <v>0</v>
      </c>
      <c r="I7" s="13">
        <v>10.812395354427663</v>
      </c>
      <c r="J7" s="5">
        <v>984.51478134749721</v>
      </c>
      <c r="K7" s="17"/>
      <c r="L7" s="13">
        <v>31547.611761693519</v>
      </c>
      <c r="M7" s="19">
        <v>2.2505396250016929</v>
      </c>
      <c r="N7" s="5">
        <v>2</v>
      </c>
      <c r="O7" s="5">
        <v>90</v>
      </c>
      <c r="P7" s="19">
        <v>0</v>
      </c>
      <c r="Q7" s="5">
        <v>10.812395354427663</v>
      </c>
      <c r="R7" s="5">
        <v>984.51478134749721</v>
      </c>
      <c r="S7" s="21"/>
      <c r="T7" s="13">
        <v>32366.689611354512</v>
      </c>
      <c r="U7" s="19">
        <v>2.1200037090020492</v>
      </c>
      <c r="V7" s="5">
        <v>2</v>
      </c>
      <c r="W7" s="5">
        <v>90</v>
      </c>
      <c r="X7" s="19">
        <v>0</v>
      </c>
      <c r="Y7" s="5">
        <v>20.263802997188016</v>
      </c>
      <c r="Z7" s="5">
        <v>1292.3454329707502</v>
      </c>
      <c r="AA7" s="21"/>
    </row>
    <row r="8" spans="2:27" x14ac:dyDescent="0.2">
      <c r="B8" s="4">
        <v>5</v>
      </c>
      <c r="C8" s="4">
        <v>529</v>
      </c>
      <c r="D8" s="13">
        <v>31547.611761693519</v>
      </c>
      <c r="E8" s="19">
        <v>2.241800290998071</v>
      </c>
      <c r="F8" s="5">
        <v>2</v>
      </c>
      <c r="G8" s="13">
        <v>90</v>
      </c>
      <c r="H8" s="19">
        <v>0</v>
      </c>
      <c r="I8" s="13">
        <v>10.812395354427663</v>
      </c>
      <c r="J8" s="5">
        <v>984.51478134749721</v>
      </c>
      <c r="K8" s="17"/>
      <c r="L8" s="13">
        <v>31547.611761693519</v>
      </c>
      <c r="M8" s="19">
        <v>2.2440029579993279</v>
      </c>
      <c r="N8" s="5">
        <v>2</v>
      </c>
      <c r="O8" s="5">
        <v>90</v>
      </c>
      <c r="P8" s="19">
        <v>0</v>
      </c>
      <c r="Q8" s="5">
        <v>10.812395354427663</v>
      </c>
      <c r="R8" s="5">
        <v>984.51478134749721</v>
      </c>
      <c r="S8" s="21"/>
      <c r="T8" s="13">
        <v>32366.689611354512</v>
      </c>
      <c r="U8" s="19">
        <v>2.121723249998468</v>
      </c>
      <c r="V8" s="5">
        <v>2</v>
      </c>
      <c r="W8" s="5">
        <v>90</v>
      </c>
      <c r="X8" s="19">
        <v>0</v>
      </c>
      <c r="Y8" s="5">
        <v>20.263802997188016</v>
      </c>
      <c r="Z8" s="5">
        <v>1292.3454329707502</v>
      </c>
      <c r="AA8" s="21"/>
    </row>
    <row r="9" spans="2:27" x14ac:dyDescent="0.2">
      <c r="B9" s="4">
        <v>6</v>
      </c>
      <c r="C9" s="4">
        <v>788</v>
      </c>
      <c r="D9" s="13">
        <v>31547.611761693519</v>
      </c>
      <c r="E9" s="19">
        <v>2.167974625001079</v>
      </c>
      <c r="F9" s="5">
        <v>2</v>
      </c>
      <c r="G9" s="13">
        <v>90</v>
      </c>
      <c r="H9" s="19">
        <v>0</v>
      </c>
      <c r="I9" s="13">
        <v>10.812395354427663</v>
      </c>
      <c r="J9" s="5">
        <v>984.51478134749721</v>
      </c>
      <c r="K9" s="17"/>
      <c r="L9" s="13">
        <v>31547.611761693519</v>
      </c>
      <c r="M9" s="19">
        <v>2.2530749580000702</v>
      </c>
      <c r="N9" s="5">
        <v>2</v>
      </c>
      <c r="O9" s="5">
        <v>90</v>
      </c>
      <c r="P9" s="19">
        <v>0</v>
      </c>
      <c r="Q9" s="5">
        <v>10.812395354427663</v>
      </c>
      <c r="R9" s="5">
        <v>984.51478134749721</v>
      </c>
      <c r="S9" s="21"/>
      <c r="T9" s="13">
        <v>32366.689611354512</v>
      </c>
      <c r="U9" s="19">
        <v>2.1204574159964982</v>
      </c>
      <c r="V9" s="5">
        <v>2</v>
      </c>
      <c r="W9" s="5">
        <v>90</v>
      </c>
      <c r="X9" s="19">
        <v>0</v>
      </c>
      <c r="Y9" s="5">
        <v>20.263802997188016</v>
      </c>
      <c r="Z9" s="5">
        <v>1292.3454329707502</v>
      </c>
      <c r="AA9" s="21"/>
    </row>
    <row r="10" spans="2:27" x14ac:dyDescent="0.2">
      <c r="B10" s="4">
        <v>7</v>
      </c>
      <c r="C10" s="4">
        <v>899</v>
      </c>
      <c r="D10" s="13">
        <v>31547.611761693519</v>
      </c>
      <c r="E10" s="19">
        <v>2.1996822500004778</v>
      </c>
      <c r="F10" s="5">
        <v>2</v>
      </c>
      <c r="G10" s="13">
        <v>90</v>
      </c>
      <c r="H10" s="19">
        <v>0</v>
      </c>
      <c r="I10" s="13">
        <v>10.812395354427663</v>
      </c>
      <c r="J10" s="5">
        <v>984.51478134749721</v>
      </c>
      <c r="K10" s="17"/>
      <c r="L10" s="13">
        <v>31547.611761693519</v>
      </c>
      <c r="M10" s="19">
        <v>2.262377333001496</v>
      </c>
      <c r="N10" s="5">
        <v>2</v>
      </c>
      <c r="O10" s="5">
        <v>90</v>
      </c>
      <c r="P10" s="19">
        <v>0</v>
      </c>
      <c r="Q10" s="5">
        <v>10.812395354427663</v>
      </c>
      <c r="R10" s="5">
        <v>984.51478134749721</v>
      </c>
      <c r="S10" s="21"/>
      <c r="T10" s="13">
        <v>32366.689611354512</v>
      </c>
      <c r="U10" s="19">
        <v>2.118457458000194</v>
      </c>
      <c r="V10" s="5">
        <v>2</v>
      </c>
      <c r="W10" s="5">
        <v>90</v>
      </c>
      <c r="X10" s="19">
        <v>0</v>
      </c>
      <c r="Y10" s="5">
        <v>20.263802997188016</v>
      </c>
      <c r="Z10" s="5">
        <v>1292.3454329707502</v>
      </c>
      <c r="AA10" s="21"/>
    </row>
    <row r="11" spans="2:27" x14ac:dyDescent="0.2">
      <c r="B11" s="4">
        <v>8</v>
      </c>
      <c r="C11" s="4">
        <v>937</v>
      </c>
      <c r="D11" s="13">
        <v>31547.611761693519</v>
      </c>
      <c r="E11" s="19">
        <v>2.1714074170013191</v>
      </c>
      <c r="F11" s="5">
        <v>2</v>
      </c>
      <c r="G11" s="13">
        <v>90</v>
      </c>
      <c r="H11" s="19">
        <v>0</v>
      </c>
      <c r="I11" s="13">
        <v>10.812395354427663</v>
      </c>
      <c r="J11" s="5">
        <v>984.51478134749721</v>
      </c>
      <c r="K11" s="17"/>
      <c r="L11" s="13">
        <v>31547.611761693519</v>
      </c>
      <c r="M11" s="19">
        <v>2.2429040000024538</v>
      </c>
      <c r="N11" s="5">
        <v>2</v>
      </c>
      <c r="O11" s="5">
        <v>90</v>
      </c>
      <c r="P11" s="19">
        <v>0</v>
      </c>
      <c r="Q11" s="5">
        <v>10.812395354427663</v>
      </c>
      <c r="R11" s="5">
        <v>984.51478134749721</v>
      </c>
      <c r="S11" s="21"/>
      <c r="T11" s="13">
        <v>32366.689611354512</v>
      </c>
      <c r="U11" s="19">
        <v>2.1192366249997581</v>
      </c>
      <c r="V11" s="5">
        <v>2</v>
      </c>
      <c r="W11" s="5">
        <v>90</v>
      </c>
      <c r="X11" s="19">
        <v>0</v>
      </c>
      <c r="Y11" s="5">
        <v>20.263802997188016</v>
      </c>
      <c r="Z11" s="5">
        <v>1292.3454329707502</v>
      </c>
      <c r="AA11" s="21"/>
    </row>
    <row r="12" spans="2:27" x14ac:dyDescent="0.2">
      <c r="B12" s="4">
        <v>9</v>
      </c>
      <c r="C12" s="4">
        <v>955</v>
      </c>
      <c r="D12" s="13">
        <v>31547.611761693519</v>
      </c>
      <c r="E12" s="19">
        <v>2.2287772919989952</v>
      </c>
      <c r="F12" s="5">
        <v>2</v>
      </c>
      <c r="G12" s="13">
        <v>90</v>
      </c>
      <c r="H12" s="19">
        <v>0</v>
      </c>
      <c r="I12" s="13">
        <v>10.812395354427663</v>
      </c>
      <c r="J12" s="5">
        <v>984.51478134749721</v>
      </c>
      <c r="K12" s="17"/>
      <c r="L12" s="13">
        <v>31547.611761693519</v>
      </c>
      <c r="M12" s="19">
        <v>2.2721235829994839</v>
      </c>
      <c r="N12" s="5">
        <v>2</v>
      </c>
      <c r="O12" s="5">
        <v>90</v>
      </c>
      <c r="P12" s="19">
        <v>0</v>
      </c>
      <c r="Q12" s="5">
        <v>10.812395354427663</v>
      </c>
      <c r="R12" s="5">
        <v>984.51478134749721</v>
      </c>
      <c r="S12" s="21"/>
      <c r="T12" s="13">
        <v>32366.689611354512</v>
      </c>
      <c r="U12" s="19">
        <v>2.1275368330025231</v>
      </c>
      <c r="V12" s="5">
        <v>2</v>
      </c>
      <c r="W12" s="5">
        <v>90</v>
      </c>
      <c r="X12" s="19">
        <v>0</v>
      </c>
      <c r="Y12" s="5">
        <v>20.263802997188016</v>
      </c>
      <c r="Z12" s="5">
        <v>1292.3454329707502</v>
      </c>
      <c r="AA12" s="21"/>
    </row>
    <row r="13" spans="2:27" x14ac:dyDescent="0.2">
      <c r="B13" s="4">
        <v>10</v>
      </c>
      <c r="C13" s="4">
        <v>997</v>
      </c>
      <c r="D13" s="13">
        <v>31547.611761693519</v>
      </c>
      <c r="E13" s="19">
        <v>2.1968600410000358</v>
      </c>
      <c r="F13" s="5">
        <v>2</v>
      </c>
      <c r="G13" s="13">
        <v>90</v>
      </c>
      <c r="H13" s="19">
        <v>0</v>
      </c>
      <c r="I13" s="13">
        <v>10.812395354427663</v>
      </c>
      <c r="J13" s="5">
        <v>984.51478134749721</v>
      </c>
      <c r="K13" s="17"/>
      <c r="L13" s="13">
        <v>31547.611761693519</v>
      </c>
      <c r="M13" s="19">
        <v>2.2489167919993629</v>
      </c>
      <c r="N13" s="5">
        <v>2</v>
      </c>
      <c r="O13" s="5">
        <v>90</v>
      </c>
      <c r="P13" s="19">
        <v>0</v>
      </c>
      <c r="Q13" s="5">
        <v>10.812395354427663</v>
      </c>
      <c r="R13" s="5">
        <v>984.51478134749721</v>
      </c>
      <c r="S13" s="21"/>
      <c r="T13" s="13">
        <v>32366.689611354512</v>
      </c>
      <c r="U13" s="19">
        <v>2.1117392499982088</v>
      </c>
      <c r="V13" s="5">
        <v>2</v>
      </c>
      <c r="W13" s="5">
        <v>90</v>
      </c>
      <c r="X13" s="19">
        <v>0</v>
      </c>
      <c r="Y13" s="5">
        <v>20.263802997188016</v>
      </c>
      <c r="Z13" s="5">
        <v>1292.3454329707502</v>
      </c>
      <c r="AA13" s="21"/>
    </row>
    <row r="14" spans="2:27" x14ac:dyDescent="0.2">
      <c r="B14" s="33" t="s">
        <v>2</v>
      </c>
      <c r="C14" s="34"/>
      <c r="D14" s="7">
        <f>MIN(D4:D13)</f>
        <v>31547.611761693519</v>
      </c>
      <c r="E14" s="12">
        <f>INDEX(E4:E13, MATCH($D$14, D4:D13, 0))</f>
        <v>2.1343616670019401</v>
      </c>
      <c r="F14" s="7">
        <f>INDEX(F4:F13, MATCH($D$14, D4:D13, 0))</f>
        <v>2</v>
      </c>
      <c r="G14" s="7">
        <f>INDEX(G4:G13, MATCH($D$14, D4:D13, 0))</f>
        <v>90</v>
      </c>
      <c r="H14" s="12">
        <f>INDEX(H4:H13, MATCH($D$14, D4:D13, 0))</f>
        <v>0</v>
      </c>
      <c r="I14" s="12">
        <f>INDEX(I4:I13, MATCH($D$14, D4:D13, 0))</f>
        <v>10.812395354427663</v>
      </c>
      <c r="J14" s="12">
        <f>INDEX(J4:J13, MATCH($D$14, D4:D13, 0))</f>
        <v>984.51478134749721</v>
      </c>
      <c r="K14" s="18"/>
      <c r="L14" s="10">
        <f>MIN(L4:L13)</f>
        <v>31547.611761693519</v>
      </c>
      <c r="M14" s="11">
        <f>INDEX(M4:M13, MATCH($L$14, L4:L13, 0))</f>
        <v>2.1821146670008602</v>
      </c>
      <c r="N14" s="10">
        <f>INDEX(N4:N13, MATCH($L$14, L4:L13, 0))</f>
        <v>2</v>
      </c>
      <c r="O14" s="10">
        <f>INDEX(O4:O13, MATCH($L$14, L4:L13, 0))</f>
        <v>90</v>
      </c>
      <c r="P14" s="11">
        <f>INDEX(P4:P13, MATCH($L$14, L4:L13, 0))</f>
        <v>0</v>
      </c>
      <c r="Q14" s="11">
        <f>INDEX(Q4:Q13, MATCH($L$14, L4:L13, 0))</f>
        <v>10.812395354427663</v>
      </c>
      <c r="R14" s="11">
        <f>INDEX(R4:R13, MATCH($L$14, L4:L13, 0))</f>
        <v>984.51478134749721</v>
      </c>
      <c r="S14" s="22" t="e">
        <f>(L14-$D$15)/$D$15</f>
        <v>#DIV/0!</v>
      </c>
      <c r="T14" s="24">
        <f>MIN(T4:T13)</f>
        <v>32366.689611354512</v>
      </c>
      <c r="U14" s="25">
        <f>INDEX(U4:U13, MATCH($T$14, T4:T13, 0))</f>
        <v>2.097516375000851</v>
      </c>
      <c r="V14" s="24">
        <f>INDEX(V4:V13, MATCH($T$14, T4:T13, 0))</f>
        <v>2</v>
      </c>
      <c r="W14" s="24">
        <f>INDEX(W4:W13, MATCH($T$14, T4:T13, 0))</f>
        <v>90</v>
      </c>
      <c r="X14" s="25">
        <f>INDEX(X4:X13, MATCH($T$14, T4:T13, 0))</f>
        <v>0</v>
      </c>
      <c r="Y14" s="25">
        <f>INDEX(Y4:Y13, MATCH($T$14, T4:T13, 0))</f>
        <v>20.263802997188016</v>
      </c>
      <c r="Z14" s="25">
        <f>INDEX(Z4:Z13, MATCH($T$14, T4:T13, 0))</f>
        <v>1292.3454329707502</v>
      </c>
      <c r="AA14" s="26" t="e">
        <f>(T14-$D$15)/$D$15</f>
        <v>#DIV/0!</v>
      </c>
    </row>
    <row r="15" spans="2:27" x14ac:dyDescent="0.2">
      <c r="D15" s="20"/>
      <c r="E15" s="3"/>
      <c r="F15" s="3"/>
      <c r="G15" s="3"/>
      <c r="H15" s="3"/>
      <c r="I15" s="3"/>
      <c r="J15" s="3"/>
      <c r="K15" s="3"/>
      <c r="L15" s="32"/>
      <c r="M15" s="32"/>
      <c r="N15" s="32"/>
      <c r="O15" s="32"/>
      <c r="P15" s="32"/>
      <c r="Q15" s="32"/>
      <c r="R15" s="32"/>
      <c r="T15" s="32"/>
      <c r="U15" s="32"/>
      <c r="V15" s="32"/>
      <c r="W15" s="32"/>
      <c r="X15" s="32"/>
      <c r="Y15" s="32"/>
      <c r="Z15" s="32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24:C1048576 C3:C13">
    <cfRule type="duplicateValues" dxfId="55" priority="15"/>
    <cfRule type="duplicateValues" dxfId="54" priority="16"/>
  </conditionalFormatting>
  <conditionalFormatting sqref="C14">
    <cfRule type="duplicateValues" dxfId="53" priority="3"/>
    <cfRule type="duplicateValues" dxfId="52" priority="4"/>
  </conditionalFormatting>
  <conditionalFormatting sqref="C15">
    <cfRule type="duplicateValues" dxfId="51" priority="7"/>
    <cfRule type="duplicateValues" dxfId="50" priority="8"/>
  </conditionalFormatting>
  <conditionalFormatting sqref="C17">
    <cfRule type="duplicateValues" dxfId="49" priority="9"/>
    <cfRule type="duplicateValues" dxfId="48" priority="10"/>
  </conditionalFormatting>
  <conditionalFormatting sqref="C18:C23">
    <cfRule type="duplicateValues" dxfId="47" priority="11"/>
    <cfRule type="duplicateValues" dxfId="46" priority="12"/>
  </conditionalFormatting>
  <conditionalFormatting sqref="C2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41844-D74E-BA48-B8E4-A68E157474A8}">
  <dimension ref="B1:AA17"/>
  <sheetViews>
    <sheetView topLeftCell="B1" zoomScale="118" zoomScaleNormal="120" workbookViewId="0">
      <selection activeCell="K4" sqref="K4:K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9</v>
      </c>
    </row>
    <row r="2" spans="2:27" x14ac:dyDescent="0.2">
      <c r="B2" s="1" t="s">
        <v>12</v>
      </c>
      <c r="D2" s="15">
        <v>10</v>
      </c>
      <c r="H2" s="14"/>
      <c r="J2" s="14"/>
      <c r="K2" s="14"/>
      <c r="L2" s="1" t="s">
        <v>13</v>
      </c>
      <c r="T2" s="1" t="s">
        <v>14</v>
      </c>
    </row>
    <row r="3" spans="2:27" x14ac:dyDescent="0.2">
      <c r="B3" s="6" t="s">
        <v>5</v>
      </c>
      <c r="C3" s="6" t="s">
        <v>3</v>
      </c>
      <c r="D3" s="6" t="s">
        <v>0</v>
      </c>
      <c r="E3" s="6" t="s">
        <v>4</v>
      </c>
      <c r="F3" s="6" t="s">
        <v>8</v>
      </c>
      <c r="G3" s="6" t="s">
        <v>10</v>
      </c>
      <c r="H3" s="6" t="s">
        <v>7</v>
      </c>
      <c r="I3" s="6" t="s">
        <v>11</v>
      </c>
      <c r="J3" s="6" t="s">
        <v>6</v>
      </c>
      <c r="K3" s="6" t="s">
        <v>1</v>
      </c>
      <c r="L3" s="9" t="s">
        <v>0</v>
      </c>
      <c r="M3" s="9" t="s">
        <v>4</v>
      </c>
      <c r="N3" s="9" t="s">
        <v>8</v>
      </c>
      <c r="O3" s="9" t="s">
        <v>10</v>
      </c>
      <c r="P3" s="9" t="s">
        <v>7</v>
      </c>
      <c r="Q3" s="9" t="s">
        <v>11</v>
      </c>
      <c r="R3" s="9" t="s">
        <v>6</v>
      </c>
      <c r="S3" s="9" t="s">
        <v>1</v>
      </c>
      <c r="T3" s="23" t="s">
        <v>0</v>
      </c>
      <c r="U3" s="23" t="s">
        <v>4</v>
      </c>
      <c r="V3" s="23" t="s">
        <v>8</v>
      </c>
      <c r="W3" s="23" t="s">
        <v>10</v>
      </c>
      <c r="X3" s="23" t="s">
        <v>7</v>
      </c>
      <c r="Y3" s="23" t="s">
        <v>11</v>
      </c>
      <c r="Z3" s="23" t="s">
        <v>6</v>
      </c>
      <c r="AA3" s="23" t="s">
        <v>1</v>
      </c>
    </row>
    <row r="4" spans="2:27" x14ac:dyDescent="0.2">
      <c r="B4" s="4">
        <v>1</v>
      </c>
      <c r="C4" s="4">
        <v>389</v>
      </c>
      <c r="D4" s="13">
        <v>35751.253238267462</v>
      </c>
      <c r="E4" s="19">
        <v>1.9290288340016559</v>
      </c>
      <c r="F4" s="5">
        <v>2</v>
      </c>
      <c r="G4" s="13">
        <v>80</v>
      </c>
      <c r="H4" s="19">
        <v>0</v>
      </c>
      <c r="I4" s="13">
        <v>20.86494463270185</v>
      </c>
      <c r="J4" s="5">
        <v>1279.50848356661</v>
      </c>
      <c r="K4" s="17"/>
      <c r="L4" s="13">
        <v>35751.253238267462</v>
      </c>
      <c r="M4" s="19">
        <v>1.947592792002979</v>
      </c>
      <c r="N4" s="5">
        <v>2</v>
      </c>
      <c r="O4" s="5">
        <v>80</v>
      </c>
      <c r="P4" s="19">
        <v>0</v>
      </c>
      <c r="Q4" s="5">
        <v>20.86494463270185</v>
      </c>
      <c r="R4" s="5">
        <v>1279.50848356661</v>
      </c>
      <c r="S4" s="21"/>
      <c r="T4" s="13">
        <v>35391.76141106624</v>
      </c>
      <c r="U4" s="19">
        <v>1.835079791999306</v>
      </c>
      <c r="V4" s="5">
        <v>2</v>
      </c>
      <c r="W4" s="5">
        <v>80</v>
      </c>
      <c r="X4" s="19">
        <v>9.3464872830475088</v>
      </c>
      <c r="Y4" s="5">
        <v>29.841478166494007</v>
      </c>
      <c r="Z4" s="5">
        <v>1449.3984110135975</v>
      </c>
      <c r="AA4" s="21"/>
    </row>
    <row r="5" spans="2:27" x14ac:dyDescent="0.2">
      <c r="B5" s="4">
        <v>2</v>
      </c>
      <c r="C5" s="4">
        <v>558</v>
      </c>
      <c r="D5" s="13">
        <v>35751.253238267462</v>
      </c>
      <c r="E5" s="19">
        <v>1.9135001249996999</v>
      </c>
      <c r="F5" s="5">
        <v>2</v>
      </c>
      <c r="G5" s="13">
        <v>80</v>
      </c>
      <c r="H5" s="19">
        <v>0</v>
      </c>
      <c r="I5" s="13">
        <v>20.86494463270185</v>
      </c>
      <c r="J5" s="5">
        <v>1279.50848356661</v>
      </c>
      <c r="K5" s="17"/>
      <c r="L5" s="13">
        <v>35751.253238267462</v>
      </c>
      <c r="M5" s="19">
        <v>1.9579720420006199</v>
      </c>
      <c r="N5" s="5">
        <v>2</v>
      </c>
      <c r="O5" s="5">
        <v>80</v>
      </c>
      <c r="P5" s="19">
        <v>0</v>
      </c>
      <c r="Q5" s="5">
        <v>20.86494463270185</v>
      </c>
      <c r="R5" s="5">
        <v>1279.50848356661</v>
      </c>
      <c r="S5" s="21"/>
      <c r="T5" s="13">
        <v>35391.76141106624</v>
      </c>
      <c r="U5" s="19">
        <v>1.866497625000193</v>
      </c>
      <c r="V5" s="5">
        <v>2</v>
      </c>
      <c r="W5" s="5">
        <v>80</v>
      </c>
      <c r="X5" s="19">
        <v>9.3464872830475088</v>
      </c>
      <c r="Y5" s="5">
        <v>29.841478166494007</v>
      </c>
      <c r="Z5" s="5">
        <v>1449.3984110135975</v>
      </c>
      <c r="AA5" s="21"/>
    </row>
    <row r="6" spans="2:27" x14ac:dyDescent="0.2">
      <c r="B6" s="4">
        <v>3</v>
      </c>
      <c r="C6" s="4">
        <v>59</v>
      </c>
      <c r="D6" s="13">
        <v>35751.253238267462</v>
      </c>
      <c r="E6" s="19">
        <v>2.0280514590012899</v>
      </c>
      <c r="F6" s="5">
        <v>2</v>
      </c>
      <c r="G6" s="13">
        <v>80</v>
      </c>
      <c r="H6" s="19">
        <v>0</v>
      </c>
      <c r="I6" s="13">
        <v>20.86494463270185</v>
      </c>
      <c r="J6" s="5">
        <v>1279.50848356661</v>
      </c>
      <c r="K6" s="17"/>
      <c r="L6" s="13">
        <v>35751.253238267462</v>
      </c>
      <c r="M6" s="19">
        <v>1.9843880419975899</v>
      </c>
      <c r="N6" s="5">
        <v>2</v>
      </c>
      <c r="O6" s="5">
        <v>80</v>
      </c>
      <c r="P6" s="19">
        <v>0</v>
      </c>
      <c r="Q6" s="5">
        <v>20.86494463270185</v>
      </c>
      <c r="R6" s="5">
        <v>1279.50848356661</v>
      </c>
      <c r="S6" s="21"/>
      <c r="T6" s="13">
        <v>35391.76141106624</v>
      </c>
      <c r="U6" s="19">
        <v>1.8104513750004121</v>
      </c>
      <c r="V6" s="5">
        <v>2</v>
      </c>
      <c r="W6" s="5">
        <v>80</v>
      </c>
      <c r="X6" s="19">
        <v>9.3464872830475088</v>
      </c>
      <c r="Y6" s="5">
        <v>29.841478166494007</v>
      </c>
      <c r="Z6" s="5">
        <v>1449.3984110135975</v>
      </c>
      <c r="AA6" s="21"/>
    </row>
    <row r="7" spans="2:27" x14ac:dyDescent="0.2">
      <c r="B7" s="4">
        <v>4</v>
      </c>
      <c r="C7" s="4">
        <v>75</v>
      </c>
      <c r="D7" s="13">
        <v>35751.253238267462</v>
      </c>
      <c r="E7" s="19">
        <v>1.9162766250010459</v>
      </c>
      <c r="F7" s="5">
        <v>2</v>
      </c>
      <c r="G7" s="13">
        <v>80</v>
      </c>
      <c r="H7" s="19">
        <v>0</v>
      </c>
      <c r="I7" s="13">
        <v>20.86494463270185</v>
      </c>
      <c r="J7" s="5">
        <v>1279.50848356661</v>
      </c>
      <c r="K7" s="17"/>
      <c r="L7" s="13">
        <v>35751.253238267462</v>
      </c>
      <c r="M7" s="19">
        <v>2.0278237079983228</v>
      </c>
      <c r="N7" s="5">
        <v>2</v>
      </c>
      <c r="O7" s="5">
        <v>80</v>
      </c>
      <c r="P7" s="19">
        <v>0</v>
      </c>
      <c r="Q7" s="5">
        <v>20.86494463270185</v>
      </c>
      <c r="R7" s="5">
        <v>1279.50848356661</v>
      </c>
      <c r="S7" s="21"/>
      <c r="T7" s="13">
        <v>35391.76141106624</v>
      </c>
      <c r="U7" s="19">
        <v>1.880470832998981</v>
      </c>
      <c r="V7" s="5">
        <v>2</v>
      </c>
      <c r="W7" s="5">
        <v>80</v>
      </c>
      <c r="X7" s="19">
        <v>9.3464872830475088</v>
      </c>
      <c r="Y7" s="5">
        <v>29.841478166494007</v>
      </c>
      <c r="Z7" s="5">
        <v>1449.3984110135975</v>
      </c>
      <c r="AA7" s="21"/>
    </row>
    <row r="8" spans="2:27" x14ac:dyDescent="0.2">
      <c r="B8" s="4">
        <v>5</v>
      </c>
      <c r="C8" s="4">
        <v>245</v>
      </c>
      <c r="D8" s="13">
        <v>35751.253238267462</v>
      </c>
      <c r="E8" s="19">
        <v>1.7560579590026459</v>
      </c>
      <c r="F8" s="5">
        <v>2</v>
      </c>
      <c r="G8" s="13">
        <v>80</v>
      </c>
      <c r="H8" s="19">
        <v>0</v>
      </c>
      <c r="I8" s="13">
        <v>20.86494463270185</v>
      </c>
      <c r="J8" s="5">
        <v>1279.50848356661</v>
      </c>
      <c r="K8" s="17"/>
      <c r="L8" s="13">
        <v>35751.253238267462</v>
      </c>
      <c r="M8" s="19">
        <v>1.8437989999983979</v>
      </c>
      <c r="N8" s="5">
        <v>2</v>
      </c>
      <c r="O8" s="5">
        <v>80</v>
      </c>
      <c r="P8" s="19">
        <v>0</v>
      </c>
      <c r="Q8" s="5">
        <v>20.86494463270185</v>
      </c>
      <c r="R8" s="5">
        <v>1279.50848356661</v>
      </c>
      <c r="S8" s="21"/>
      <c r="T8" s="13">
        <v>35391.76141106624</v>
      </c>
      <c r="U8" s="19">
        <v>1.8723335830000001</v>
      </c>
      <c r="V8" s="5">
        <v>2</v>
      </c>
      <c r="W8" s="5">
        <v>80</v>
      </c>
      <c r="X8" s="19">
        <v>9.3464872830475088</v>
      </c>
      <c r="Y8" s="5">
        <v>29.841478166494007</v>
      </c>
      <c r="Z8" s="5">
        <v>1449.3984110135975</v>
      </c>
      <c r="AA8" s="21"/>
    </row>
    <row r="9" spans="2:27" x14ac:dyDescent="0.2">
      <c r="B9" s="4">
        <v>6</v>
      </c>
      <c r="C9" s="4">
        <v>473</v>
      </c>
      <c r="D9" s="13">
        <v>35751.253238267462</v>
      </c>
      <c r="E9" s="19">
        <v>1.982860459000221</v>
      </c>
      <c r="F9" s="5">
        <v>2</v>
      </c>
      <c r="G9" s="13">
        <v>80</v>
      </c>
      <c r="H9" s="19">
        <v>0</v>
      </c>
      <c r="I9" s="13">
        <v>20.86494463270185</v>
      </c>
      <c r="J9" s="5">
        <v>1279.50848356661</v>
      </c>
      <c r="K9" s="17"/>
      <c r="L9" s="13">
        <v>35751.253238267462</v>
      </c>
      <c r="M9" s="19">
        <v>2.014470333000645</v>
      </c>
      <c r="N9" s="5">
        <v>2</v>
      </c>
      <c r="O9" s="5">
        <v>80</v>
      </c>
      <c r="P9" s="19">
        <v>0</v>
      </c>
      <c r="Q9" s="5">
        <v>20.86494463270185</v>
      </c>
      <c r="R9" s="5">
        <v>1279.50848356661</v>
      </c>
      <c r="S9" s="21"/>
      <c r="T9" s="13">
        <v>35391.76141106624</v>
      </c>
      <c r="U9" s="19">
        <v>1.8991927079987361</v>
      </c>
      <c r="V9" s="5">
        <v>2</v>
      </c>
      <c r="W9" s="5">
        <v>80</v>
      </c>
      <c r="X9" s="19">
        <v>9.3464872830475088</v>
      </c>
      <c r="Y9" s="5">
        <v>29.841478166494007</v>
      </c>
      <c r="Z9" s="5">
        <v>1449.3984110135975</v>
      </c>
      <c r="AA9" s="21"/>
    </row>
    <row r="10" spans="2:27" x14ac:dyDescent="0.2">
      <c r="B10" s="4">
        <v>7</v>
      </c>
      <c r="C10" s="4">
        <v>517</v>
      </c>
      <c r="D10" s="13">
        <v>35751.253238267462</v>
      </c>
      <c r="E10" s="19">
        <v>2.060940833001951</v>
      </c>
      <c r="F10" s="5">
        <v>2</v>
      </c>
      <c r="G10" s="13">
        <v>80</v>
      </c>
      <c r="H10" s="19">
        <v>0</v>
      </c>
      <c r="I10" s="13">
        <v>20.86494463270185</v>
      </c>
      <c r="J10" s="5">
        <v>1279.50848356661</v>
      </c>
      <c r="K10" s="17"/>
      <c r="L10" s="13">
        <v>35751.253238267462</v>
      </c>
      <c r="M10" s="19">
        <v>2.0041276250012738</v>
      </c>
      <c r="N10" s="5">
        <v>2</v>
      </c>
      <c r="O10" s="5">
        <v>80</v>
      </c>
      <c r="P10" s="19">
        <v>0</v>
      </c>
      <c r="Q10" s="5">
        <v>20.86494463270185</v>
      </c>
      <c r="R10" s="5">
        <v>1279.50848356661</v>
      </c>
      <c r="S10" s="21"/>
      <c r="T10" s="13">
        <v>35391.76141106624</v>
      </c>
      <c r="U10" s="19">
        <v>1.882218250000733</v>
      </c>
      <c r="V10" s="5">
        <v>2</v>
      </c>
      <c r="W10" s="5">
        <v>80</v>
      </c>
      <c r="X10" s="19">
        <v>9.3464872830475088</v>
      </c>
      <c r="Y10" s="5">
        <v>29.841478166494007</v>
      </c>
      <c r="Z10" s="5">
        <v>1449.3984110135975</v>
      </c>
      <c r="AA10" s="21"/>
    </row>
    <row r="11" spans="2:27" x14ac:dyDescent="0.2">
      <c r="B11" s="4">
        <v>8</v>
      </c>
      <c r="C11" s="4">
        <v>668</v>
      </c>
      <c r="D11" s="13">
        <v>35751.253238267462</v>
      </c>
      <c r="E11" s="19">
        <v>1.9467715419996241</v>
      </c>
      <c r="F11" s="5">
        <v>2</v>
      </c>
      <c r="G11" s="13">
        <v>80</v>
      </c>
      <c r="H11" s="19">
        <v>0</v>
      </c>
      <c r="I11" s="13">
        <v>20.86494463270185</v>
      </c>
      <c r="J11" s="5">
        <v>1279.50848356661</v>
      </c>
      <c r="K11" s="17"/>
      <c r="L11" s="13">
        <v>35751.253238267462</v>
      </c>
      <c r="M11" s="19">
        <v>2.02299016699908</v>
      </c>
      <c r="N11" s="5">
        <v>2</v>
      </c>
      <c r="O11" s="5">
        <v>80</v>
      </c>
      <c r="P11" s="19">
        <v>0</v>
      </c>
      <c r="Q11" s="5">
        <v>20.86494463270185</v>
      </c>
      <c r="R11" s="5">
        <v>1279.50848356661</v>
      </c>
      <c r="S11" s="21"/>
      <c r="T11" s="13">
        <v>35391.76141106624</v>
      </c>
      <c r="U11" s="19">
        <v>1.87967099999878</v>
      </c>
      <c r="V11" s="5">
        <v>2</v>
      </c>
      <c r="W11" s="5">
        <v>80</v>
      </c>
      <c r="X11" s="19">
        <v>9.3464872830475088</v>
      </c>
      <c r="Y11" s="5">
        <v>29.841478166494007</v>
      </c>
      <c r="Z11" s="5">
        <v>1449.3984110135975</v>
      </c>
      <c r="AA11" s="21"/>
    </row>
    <row r="12" spans="2:27" x14ac:dyDescent="0.2">
      <c r="B12" s="4">
        <v>9</v>
      </c>
      <c r="C12" s="4">
        <v>877</v>
      </c>
      <c r="D12" s="13">
        <v>35751.253238267462</v>
      </c>
      <c r="E12" s="19">
        <v>1.989648124999803</v>
      </c>
      <c r="F12" s="5">
        <v>2</v>
      </c>
      <c r="G12" s="13">
        <v>80</v>
      </c>
      <c r="H12" s="19">
        <v>0</v>
      </c>
      <c r="I12" s="13">
        <v>20.86494463270185</v>
      </c>
      <c r="J12" s="5">
        <v>1279.50848356661</v>
      </c>
      <c r="K12" s="17"/>
      <c r="L12" s="13">
        <v>35751.253238267462</v>
      </c>
      <c r="M12" s="19">
        <v>2.003748167000595</v>
      </c>
      <c r="N12" s="5">
        <v>2</v>
      </c>
      <c r="O12" s="5">
        <v>80</v>
      </c>
      <c r="P12" s="19">
        <v>0</v>
      </c>
      <c r="Q12" s="5">
        <v>20.86494463270185</v>
      </c>
      <c r="R12" s="5">
        <v>1279.50848356661</v>
      </c>
      <c r="S12" s="21"/>
      <c r="T12" s="13">
        <v>35391.76141106624</v>
      </c>
      <c r="U12" s="19">
        <v>1.89928320800027</v>
      </c>
      <c r="V12" s="5">
        <v>2</v>
      </c>
      <c r="W12" s="5">
        <v>80</v>
      </c>
      <c r="X12" s="19">
        <v>9.3464872830475088</v>
      </c>
      <c r="Y12" s="5">
        <v>29.841478166494007</v>
      </c>
      <c r="Z12" s="5">
        <v>1449.3984110135975</v>
      </c>
      <c r="AA12" s="21"/>
    </row>
    <row r="13" spans="2:27" x14ac:dyDescent="0.2">
      <c r="B13" s="4">
        <v>10</v>
      </c>
      <c r="C13" s="4">
        <v>768</v>
      </c>
      <c r="D13" s="13">
        <v>35751.253238267462</v>
      </c>
      <c r="E13" s="19">
        <v>1.975573624997196</v>
      </c>
      <c r="F13" s="5">
        <v>2</v>
      </c>
      <c r="G13" s="13">
        <v>80</v>
      </c>
      <c r="H13" s="19">
        <v>0</v>
      </c>
      <c r="I13" s="13">
        <v>20.86494463270185</v>
      </c>
      <c r="J13" s="5">
        <v>1279.50848356661</v>
      </c>
      <c r="K13" s="17"/>
      <c r="L13" s="13">
        <v>35751.253238267462</v>
      </c>
      <c r="M13" s="19">
        <v>2.0133496250018652</v>
      </c>
      <c r="N13" s="5">
        <v>2</v>
      </c>
      <c r="O13" s="5">
        <v>80</v>
      </c>
      <c r="P13" s="19">
        <v>0</v>
      </c>
      <c r="Q13" s="5">
        <v>20.86494463270185</v>
      </c>
      <c r="R13" s="5">
        <v>1279.50848356661</v>
      </c>
      <c r="S13" s="21"/>
      <c r="T13" s="13">
        <v>35391.76141106624</v>
      </c>
      <c r="U13" s="19">
        <v>1.712606790999416</v>
      </c>
      <c r="V13" s="5">
        <v>2</v>
      </c>
      <c r="W13" s="5">
        <v>80</v>
      </c>
      <c r="X13" s="19">
        <v>9.3464872830475088</v>
      </c>
      <c r="Y13" s="5">
        <v>29.841478166494007</v>
      </c>
      <c r="Z13" s="5">
        <v>1449.3984110135975</v>
      </c>
      <c r="AA13" s="21"/>
    </row>
    <row r="14" spans="2:27" x14ac:dyDescent="0.2">
      <c r="B14" s="33" t="s">
        <v>2</v>
      </c>
      <c r="C14" s="34"/>
      <c r="D14" s="7">
        <f>MIN(D4:D13)</f>
        <v>35751.253238267462</v>
      </c>
      <c r="E14" s="12">
        <f>INDEX(E4:E13, MATCH($D$14, D4:D13, 0))</f>
        <v>1.9290288340016559</v>
      </c>
      <c r="F14" s="7">
        <f>INDEX(F4:F13, MATCH($D$14, D4:D13, 0))</f>
        <v>2</v>
      </c>
      <c r="G14" s="7">
        <f>INDEX(G4:G13, MATCH($D$14, D4:D13, 0))</f>
        <v>80</v>
      </c>
      <c r="H14" s="12">
        <f>INDEX(H4:H13, MATCH($D$14, D4:D13, 0))</f>
        <v>0</v>
      </c>
      <c r="I14" s="12">
        <f>INDEX(I4:I13, MATCH($D$14, D4:D13, 0))</f>
        <v>20.86494463270185</v>
      </c>
      <c r="J14" s="12">
        <f>INDEX(J4:J13, MATCH($D$14, D4:D13, 0))</f>
        <v>1279.50848356661</v>
      </c>
      <c r="K14" s="18"/>
      <c r="L14" s="10">
        <f>MIN(L4:L13)</f>
        <v>35751.253238267462</v>
      </c>
      <c r="M14" s="11">
        <f>INDEX(M4:M13, MATCH($L$14, L4:L13, 0))</f>
        <v>1.947592792002979</v>
      </c>
      <c r="N14" s="10">
        <f>INDEX(N4:N13, MATCH($L$14, L4:L13, 0))</f>
        <v>2</v>
      </c>
      <c r="O14" s="10">
        <f>INDEX(O4:O13, MATCH($L$14, L4:L13, 0))</f>
        <v>80</v>
      </c>
      <c r="P14" s="11">
        <f>INDEX(P4:P13, MATCH($L$14, L4:L13, 0))</f>
        <v>0</v>
      </c>
      <c r="Q14" s="11">
        <f>INDEX(Q4:Q13, MATCH($L$14, L4:L13, 0))</f>
        <v>20.86494463270185</v>
      </c>
      <c r="R14" s="11">
        <f>INDEX(R4:R13, MATCH($L$14, L4:L13, 0))</f>
        <v>1279.50848356661</v>
      </c>
      <c r="S14" s="22" t="e">
        <f>(L14-$D$15)/$D$15</f>
        <v>#DIV/0!</v>
      </c>
      <c r="T14" s="24">
        <f>MIN(T4:T13)</f>
        <v>35391.76141106624</v>
      </c>
      <c r="U14" s="25">
        <f>INDEX(U4:U13, MATCH($T$14, T4:T13, 0))</f>
        <v>1.835079791999306</v>
      </c>
      <c r="V14" s="24">
        <f>INDEX(V4:V13, MATCH($T$14, T4:T13, 0))</f>
        <v>2</v>
      </c>
      <c r="W14" s="24">
        <f>INDEX(W4:W13, MATCH($T$14, T4:T13, 0))</f>
        <v>80</v>
      </c>
      <c r="X14" s="25">
        <f>INDEX(X4:X13, MATCH($T$14, T4:T13, 0))</f>
        <v>9.3464872830475088</v>
      </c>
      <c r="Y14" s="25">
        <f>INDEX(Y4:Y13, MATCH($T$14, T4:T13, 0))</f>
        <v>29.841478166494007</v>
      </c>
      <c r="Z14" s="25">
        <f>INDEX(Z4:Z13, MATCH($T$14, T4:T13, 0))</f>
        <v>1449.3984110135975</v>
      </c>
      <c r="AA14" s="26" t="e">
        <f>(T14-$D$15)/$D$15</f>
        <v>#DIV/0!</v>
      </c>
    </row>
    <row r="15" spans="2:27" x14ac:dyDescent="0.2">
      <c r="D15" s="20"/>
      <c r="E15" s="3"/>
      <c r="F15" s="3"/>
      <c r="G15" s="3"/>
      <c r="H15" s="3"/>
      <c r="I15" s="3"/>
      <c r="J15" s="3"/>
      <c r="K15" s="3"/>
      <c r="L15" s="32"/>
      <c r="M15" s="32"/>
      <c r="N15" s="32"/>
      <c r="O15" s="32"/>
      <c r="P15" s="32"/>
      <c r="Q15" s="32"/>
      <c r="R15" s="32"/>
      <c r="T15" s="32"/>
      <c r="U15" s="32"/>
      <c r="V15" s="32"/>
      <c r="W15" s="32"/>
      <c r="X15" s="32"/>
      <c r="Y15" s="32"/>
      <c r="Z15" s="32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45" priority="3"/>
    <cfRule type="duplicateValues" dxfId="44" priority="4"/>
  </conditionalFormatting>
  <conditionalFormatting sqref="C15">
    <cfRule type="duplicateValues" dxfId="43" priority="7"/>
    <cfRule type="duplicateValues" dxfId="42" priority="8"/>
  </conditionalFormatting>
  <conditionalFormatting sqref="C16 C1 C24:C1048576 C3:C13">
    <cfRule type="duplicateValues" dxfId="41" priority="15"/>
    <cfRule type="duplicateValues" dxfId="40" priority="16"/>
  </conditionalFormatting>
  <conditionalFormatting sqref="C17">
    <cfRule type="duplicateValues" dxfId="39" priority="9"/>
    <cfRule type="duplicateValues" dxfId="38" priority="10"/>
  </conditionalFormatting>
  <conditionalFormatting sqref="C18:C23">
    <cfRule type="duplicateValues" dxfId="37" priority="11"/>
    <cfRule type="duplicateValues" dxfId="36" priority="12"/>
  </conditionalFormatting>
  <conditionalFormatting sqref="C2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F67C4-B1A6-4E46-92BF-8F1373DF03B3}">
  <dimension ref="B1:AA17"/>
  <sheetViews>
    <sheetView zoomScale="118" zoomScaleNormal="120" workbookViewId="0">
      <selection activeCell="K4" sqref="K4:K18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9</v>
      </c>
    </row>
    <row r="2" spans="2:27" x14ac:dyDescent="0.2">
      <c r="B2" s="1" t="s">
        <v>12</v>
      </c>
      <c r="D2" s="15">
        <v>10</v>
      </c>
      <c r="H2" s="14"/>
      <c r="J2" s="14"/>
      <c r="K2" s="14"/>
      <c r="L2" s="1" t="s">
        <v>13</v>
      </c>
      <c r="T2" s="1" t="s">
        <v>14</v>
      </c>
    </row>
    <row r="3" spans="2:27" x14ac:dyDescent="0.2">
      <c r="B3" s="6" t="s">
        <v>5</v>
      </c>
      <c r="C3" s="6" t="s">
        <v>3</v>
      </c>
      <c r="D3" s="6" t="s">
        <v>0</v>
      </c>
      <c r="E3" s="6" t="s">
        <v>4</v>
      </c>
      <c r="F3" s="6" t="s">
        <v>8</v>
      </c>
      <c r="G3" s="6" t="s">
        <v>10</v>
      </c>
      <c r="H3" s="6" t="s">
        <v>7</v>
      </c>
      <c r="I3" s="6" t="s">
        <v>11</v>
      </c>
      <c r="J3" s="6" t="s">
        <v>6</v>
      </c>
      <c r="K3" s="6" t="s">
        <v>1</v>
      </c>
      <c r="L3" s="9" t="s">
        <v>0</v>
      </c>
      <c r="M3" s="9" t="s">
        <v>4</v>
      </c>
      <c r="N3" s="9" t="s">
        <v>8</v>
      </c>
      <c r="O3" s="9" t="s">
        <v>10</v>
      </c>
      <c r="P3" s="9" t="s">
        <v>7</v>
      </c>
      <c r="Q3" s="9" t="s">
        <v>11</v>
      </c>
      <c r="R3" s="9" t="s">
        <v>6</v>
      </c>
      <c r="S3" s="9" t="s">
        <v>1</v>
      </c>
      <c r="T3" s="23" t="s">
        <v>0</v>
      </c>
      <c r="U3" s="23" t="s">
        <v>4</v>
      </c>
      <c r="V3" s="23" t="s">
        <v>8</v>
      </c>
      <c r="W3" s="23" t="s">
        <v>10</v>
      </c>
      <c r="X3" s="23" t="s">
        <v>7</v>
      </c>
      <c r="Y3" s="23" t="s">
        <v>11</v>
      </c>
      <c r="Z3" s="23" t="s">
        <v>6</v>
      </c>
      <c r="AA3" s="23" t="s">
        <v>1</v>
      </c>
    </row>
    <row r="4" spans="2:27" x14ac:dyDescent="0.2">
      <c r="B4" s="4">
        <v>1</v>
      </c>
      <c r="C4" s="4">
        <v>141</v>
      </c>
      <c r="D4" s="13">
        <v>31061.09774511425</v>
      </c>
      <c r="E4" s="19">
        <v>2.1786037919991941</v>
      </c>
      <c r="F4" s="5">
        <v>2</v>
      </c>
      <c r="G4" s="13">
        <v>90</v>
      </c>
      <c r="H4" s="19">
        <v>0</v>
      </c>
      <c r="I4" s="13">
        <v>13.183244048077043</v>
      </c>
      <c r="J4" s="5">
        <v>958.78548353669146</v>
      </c>
      <c r="K4" s="17"/>
      <c r="L4" s="13">
        <v>34739.81972142875</v>
      </c>
      <c r="M4" s="19">
        <v>2.0999169580027228</v>
      </c>
      <c r="N4" s="5">
        <v>2</v>
      </c>
      <c r="O4" s="5">
        <v>80</v>
      </c>
      <c r="P4" s="19">
        <v>0</v>
      </c>
      <c r="Q4" s="5">
        <v>9.6630991878573553</v>
      </c>
      <c r="R4" s="5">
        <v>796.00954314276976</v>
      </c>
      <c r="S4" s="21"/>
      <c r="T4" s="13">
        <v>32434.62438905118</v>
      </c>
      <c r="U4" s="19">
        <v>2.1783299580019961</v>
      </c>
      <c r="V4" s="5">
        <v>2</v>
      </c>
      <c r="W4" s="5">
        <v>90</v>
      </c>
      <c r="X4" s="19">
        <v>7.1844996243205008</v>
      </c>
      <c r="Y4" s="5">
        <v>28.050126428881097</v>
      </c>
      <c r="Z4" s="5">
        <v>1399.3725847214919</v>
      </c>
      <c r="AA4" s="21"/>
    </row>
    <row r="5" spans="2:27" x14ac:dyDescent="0.2">
      <c r="B5" s="4">
        <v>2</v>
      </c>
      <c r="C5" s="4">
        <v>325</v>
      </c>
      <c r="D5" s="13">
        <v>31061.09774511425</v>
      </c>
      <c r="E5" s="19">
        <v>2.4433239580030199</v>
      </c>
      <c r="F5" s="5">
        <v>2</v>
      </c>
      <c r="G5" s="13">
        <v>90</v>
      </c>
      <c r="H5" s="19">
        <v>0</v>
      </c>
      <c r="I5" s="13">
        <v>13.183244048077043</v>
      </c>
      <c r="J5" s="5">
        <v>958.78548353669146</v>
      </c>
      <c r="K5" s="17"/>
      <c r="L5" s="13">
        <v>34739.81972142875</v>
      </c>
      <c r="M5" s="19">
        <v>2.106307499998366</v>
      </c>
      <c r="N5" s="5">
        <v>2</v>
      </c>
      <c r="O5" s="5">
        <v>80</v>
      </c>
      <c r="P5" s="19">
        <v>0</v>
      </c>
      <c r="Q5" s="5">
        <v>9.6630991878573553</v>
      </c>
      <c r="R5" s="5">
        <v>796.00954314276976</v>
      </c>
      <c r="S5" s="21"/>
      <c r="T5" s="13">
        <v>32434.62438905118</v>
      </c>
      <c r="U5" s="19">
        <v>2.1307746249985939</v>
      </c>
      <c r="V5" s="5">
        <v>2</v>
      </c>
      <c r="W5" s="5">
        <v>90</v>
      </c>
      <c r="X5" s="19">
        <v>7.1844996243205008</v>
      </c>
      <c r="Y5" s="5">
        <v>28.050126428881097</v>
      </c>
      <c r="Z5" s="5">
        <v>1399.3725847214919</v>
      </c>
      <c r="AA5" s="21"/>
    </row>
    <row r="6" spans="2:27" x14ac:dyDescent="0.2">
      <c r="B6" s="4">
        <v>3</v>
      </c>
      <c r="C6" s="4">
        <v>533</v>
      </c>
      <c r="D6" s="13">
        <v>31061.09774511425</v>
      </c>
      <c r="E6" s="19">
        <v>2.2294666250018049</v>
      </c>
      <c r="F6" s="5">
        <v>2</v>
      </c>
      <c r="G6" s="13">
        <v>90</v>
      </c>
      <c r="H6" s="19">
        <v>0</v>
      </c>
      <c r="I6" s="13">
        <v>13.183244048077043</v>
      </c>
      <c r="J6" s="5">
        <v>958.78548353669146</v>
      </c>
      <c r="K6" s="17"/>
      <c r="L6" s="13">
        <v>34739.81972142875</v>
      </c>
      <c r="M6" s="19">
        <v>2.1117187499985448</v>
      </c>
      <c r="N6" s="5">
        <v>2</v>
      </c>
      <c r="O6" s="5">
        <v>80</v>
      </c>
      <c r="P6" s="19">
        <v>0</v>
      </c>
      <c r="Q6" s="5">
        <v>9.6630991878573553</v>
      </c>
      <c r="R6" s="5">
        <v>796.00954314276976</v>
      </c>
      <c r="S6" s="21"/>
      <c r="T6" s="13">
        <v>32434.62438905118</v>
      </c>
      <c r="U6" s="19">
        <v>1.9505287079991831</v>
      </c>
      <c r="V6" s="5">
        <v>2</v>
      </c>
      <c r="W6" s="5">
        <v>90</v>
      </c>
      <c r="X6" s="19">
        <v>7.1844996243205008</v>
      </c>
      <c r="Y6" s="5">
        <v>28.050126428881097</v>
      </c>
      <c r="Z6" s="5">
        <v>1399.3725847214919</v>
      </c>
      <c r="AA6" s="21"/>
    </row>
    <row r="7" spans="2:27" x14ac:dyDescent="0.2">
      <c r="B7" s="4">
        <v>4</v>
      </c>
      <c r="C7" s="4">
        <v>550</v>
      </c>
      <c r="D7" s="13">
        <v>31061.09774511425</v>
      </c>
      <c r="E7" s="19">
        <v>2.215109541000857</v>
      </c>
      <c r="F7" s="5">
        <v>2</v>
      </c>
      <c r="G7" s="13">
        <v>90</v>
      </c>
      <c r="H7" s="19">
        <v>0</v>
      </c>
      <c r="I7" s="13">
        <v>13.183244048077043</v>
      </c>
      <c r="J7" s="5">
        <v>958.78548353669146</v>
      </c>
      <c r="K7" s="17"/>
      <c r="L7" s="13">
        <v>34739.81972142875</v>
      </c>
      <c r="M7" s="19">
        <v>2.1121889169990031</v>
      </c>
      <c r="N7" s="5">
        <v>2</v>
      </c>
      <c r="O7" s="5">
        <v>80</v>
      </c>
      <c r="P7" s="19">
        <v>0</v>
      </c>
      <c r="Q7" s="5">
        <v>9.6630991878573553</v>
      </c>
      <c r="R7" s="5">
        <v>796.00954314276976</v>
      </c>
      <c r="S7" s="21"/>
      <c r="T7" s="13">
        <v>32434.62438905118</v>
      </c>
      <c r="U7" s="19">
        <v>2.13564750000296</v>
      </c>
      <c r="V7" s="5">
        <v>2</v>
      </c>
      <c r="W7" s="5">
        <v>90</v>
      </c>
      <c r="X7" s="19">
        <v>7.1844996243205008</v>
      </c>
      <c r="Y7" s="5">
        <v>28.050126428881097</v>
      </c>
      <c r="Z7" s="5">
        <v>1399.3725847214919</v>
      </c>
      <c r="AA7" s="21"/>
    </row>
    <row r="8" spans="2:27" x14ac:dyDescent="0.2">
      <c r="B8" s="4">
        <v>5</v>
      </c>
      <c r="C8" s="4">
        <v>581</v>
      </c>
      <c r="D8" s="13">
        <v>31061.09774511425</v>
      </c>
      <c r="E8" s="19">
        <v>2.131423708000511</v>
      </c>
      <c r="F8" s="5">
        <v>2</v>
      </c>
      <c r="G8" s="13">
        <v>90</v>
      </c>
      <c r="H8" s="19">
        <v>0</v>
      </c>
      <c r="I8" s="13">
        <v>13.183244048077043</v>
      </c>
      <c r="J8" s="5">
        <v>958.78548353669146</v>
      </c>
      <c r="K8" s="17"/>
      <c r="L8" s="13">
        <v>34739.81972142875</v>
      </c>
      <c r="M8" s="19">
        <v>2.1279361670021899</v>
      </c>
      <c r="N8" s="5">
        <v>2</v>
      </c>
      <c r="O8" s="5">
        <v>80</v>
      </c>
      <c r="P8" s="19">
        <v>0</v>
      </c>
      <c r="Q8" s="5">
        <v>9.6630991878573553</v>
      </c>
      <c r="R8" s="5">
        <v>796.00954314276976</v>
      </c>
      <c r="S8" s="21"/>
      <c r="T8" s="13">
        <v>32434.62438905118</v>
      </c>
      <c r="U8" s="19">
        <v>2.1552954170001608</v>
      </c>
      <c r="V8" s="5">
        <v>2</v>
      </c>
      <c r="W8" s="5">
        <v>90</v>
      </c>
      <c r="X8" s="19">
        <v>7.1844996243205008</v>
      </c>
      <c r="Y8" s="5">
        <v>28.050126428881097</v>
      </c>
      <c r="Z8" s="5">
        <v>1399.3725847214919</v>
      </c>
      <c r="AA8" s="21"/>
    </row>
    <row r="9" spans="2:27" x14ac:dyDescent="0.2">
      <c r="B9" s="4">
        <v>6</v>
      </c>
      <c r="C9" s="4">
        <v>628</v>
      </c>
      <c r="D9" s="13">
        <v>31061.09774511425</v>
      </c>
      <c r="E9" s="19">
        <v>2.297465583000303</v>
      </c>
      <c r="F9" s="5">
        <v>2</v>
      </c>
      <c r="G9" s="13">
        <v>90</v>
      </c>
      <c r="H9" s="19">
        <v>0</v>
      </c>
      <c r="I9" s="13">
        <v>13.183244048077043</v>
      </c>
      <c r="J9" s="5">
        <v>958.78548353669146</v>
      </c>
      <c r="K9" s="17"/>
      <c r="L9" s="13">
        <v>47670.805360167047</v>
      </c>
      <c r="M9" s="19">
        <v>1.680131708999397</v>
      </c>
      <c r="N9" s="5">
        <v>2</v>
      </c>
      <c r="O9" s="5">
        <v>50</v>
      </c>
      <c r="P9" s="19">
        <v>0</v>
      </c>
      <c r="Q9" s="5">
        <v>7.4979405053951123</v>
      </c>
      <c r="R9" s="5">
        <v>771.70894244914075</v>
      </c>
      <c r="S9" s="21"/>
      <c r="T9" s="13">
        <v>32434.62438905118</v>
      </c>
      <c r="U9" s="19">
        <v>2.1362473330009379</v>
      </c>
      <c r="V9" s="5">
        <v>2</v>
      </c>
      <c r="W9" s="5">
        <v>90</v>
      </c>
      <c r="X9" s="19">
        <v>7.1844996243205008</v>
      </c>
      <c r="Y9" s="5">
        <v>28.050126428881097</v>
      </c>
      <c r="Z9" s="5">
        <v>1399.3725847214919</v>
      </c>
      <c r="AA9" s="21"/>
    </row>
    <row r="10" spans="2:27" x14ac:dyDescent="0.2">
      <c r="B10" s="4">
        <v>7</v>
      </c>
      <c r="C10" s="4">
        <v>689</v>
      </c>
      <c r="D10" s="13">
        <v>31061.09774511425</v>
      </c>
      <c r="E10" s="19">
        <v>2.2319139999999611</v>
      </c>
      <c r="F10" s="5">
        <v>2</v>
      </c>
      <c r="G10" s="13">
        <v>90</v>
      </c>
      <c r="H10" s="19">
        <v>0</v>
      </c>
      <c r="I10" s="13">
        <v>13.183244048077043</v>
      </c>
      <c r="J10" s="5">
        <v>958.78548353669146</v>
      </c>
      <c r="K10" s="17"/>
      <c r="L10" s="13">
        <v>34739.81972142875</v>
      </c>
      <c r="M10" s="19">
        <v>2.109204749998753</v>
      </c>
      <c r="N10" s="5">
        <v>2</v>
      </c>
      <c r="O10" s="5">
        <v>80</v>
      </c>
      <c r="P10" s="19">
        <v>0</v>
      </c>
      <c r="Q10" s="5">
        <v>9.6630991878573553</v>
      </c>
      <c r="R10" s="5">
        <v>796.00954314276976</v>
      </c>
      <c r="S10" s="21"/>
      <c r="T10" s="13">
        <v>32434.62438905118</v>
      </c>
      <c r="U10" s="19">
        <v>2.1335491669997282</v>
      </c>
      <c r="V10" s="5">
        <v>2</v>
      </c>
      <c r="W10" s="5">
        <v>90</v>
      </c>
      <c r="X10" s="19">
        <v>7.1844996243205008</v>
      </c>
      <c r="Y10" s="5">
        <v>28.050126428881097</v>
      </c>
      <c r="Z10" s="5">
        <v>1399.3725847214919</v>
      </c>
      <c r="AA10" s="21"/>
    </row>
    <row r="11" spans="2:27" x14ac:dyDescent="0.2">
      <c r="B11" s="4">
        <v>8</v>
      </c>
      <c r="C11" s="4">
        <v>793</v>
      </c>
      <c r="D11" s="13">
        <v>31061.09774511425</v>
      </c>
      <c r="E11" s="19">
        <v>2.2691949170002772</v>
      </c>
      <c r="F11" s="5">
        <v>2</v>
      </c>
      <c r="G11" s="13">
        <v>90</v>
      </c>
      <c r="H11" s="19">
        <v>0</v>
      </c>
      <c r="I11" s="13">
        <v>13.183244048077043</v>
      </c>
      <c r="J11" s="5">
        <v>958.78548353669146</v>
      </c>
      <c r="K11" s="17"/>
      <c r="L11" s="13">
        <v>34739.81972142875</v>
      </c>
      <c r="M11" s="19">
        <v>2.1217147089992072</v>
      </c>
      <c r="N11" s="5">
        <v>2</v>
      </c>
      <c r="O11" s="5">
        <v>80</v>
      </c>
      <c r="P11" s="19">
        <v>0</v>
      </c>
      <c r="Q11" s="5">
        <v>9.6630991878573553</v>
      </c>
      <c r="R11" s="5">
        <v>796.00954314276976</v>
      </c>
      <c r="S11" s="21"/>
      <c r="T11" s="13">
        <v>32434.62438905118</v>
      </c>
      <c r="U11" s="19">
        <v>2.1543828329995449</v>
      </c>
      <c r="V11" s="5">
        <v>2</v>
      </c>
      <c r="W11" s="5">
        <v>90</v>
      </c>
      <c r="X11" s="19">
        <v>7.1844996243205008</v>
      </c>
      <c r="Y11" s="5">
        <v>28.050126428881097</v>
      </c>
      <c r="Z11" s="5">
        <v>1399.3725847214919</v>
      </c>
      <c r="AA11" s="21"/>
    </row>
    <row r="12" spans="2:27" x14ac:dyDescent="0.2">
      <c r="B12" s="4">
        <v>9</v>
      </c>
      <c r="C12" s="4">
        <v>856</v>
      </c>
      <c r="D12" s="13">
        <v>31061.09774511425</v>
      </c>
      <c r="E12" s="19">
        <v>2.6251951250014831</v>
      </c>
      <c r="F12" s="5">
        <v>2</v>
      </c>
      <c r="G12" s="13">
        <v>90</v>
      </c>
      <c r="H12" s="19">
        <v>0</v>
      </c>
      <c r="I12" s="13">
        <v>13.183244048077043</v>
      </c>
      <c r="J12" s="5">
        <v>958.78548353669146</v>
      </c>
      <c r="K12" s="17"/>
      <c r="L12" s="13">
        <v>34739.81972142875</v>
      </c>
      <c r="M12" s="19">
        <v>2.0869521249987879</v>
      </c>
      <c r="N12" s="5">
        <v>2</v>
      </c>
      <c r="O12" s="5">
        <v>80</v>
      </c>
      <c r="P12" s="19">
        <v>0</v>
      </c>
      <c r="Q12" s="5">
        <v>9.6630991878573553</v>
      </c>
      <c r="R12" s="5">
        <v>796.00954314276976</v>
      </c>
      <c r="S12" s="21"/>
      <c r="T12" s="13">
        <v>32434.62438905118</v>
      </c>
      <c r="U12" s="19">
        <v>2.165883790999942</v>
      </c>
      <c r="V12" s="5">
        <v>2</v>
      </c>
      <c r="W12" s="5">
        <v>90</v>
      </c>
      <c r="X12" s="19">
        <v>7.1844996243205008</v>
      </c>
      <c r="Y12" s="5">
        <v>28.050126428881097</v>
      </c>
      <c r="Z12" s="5">
        <v>1399.3725847214919</v>
      </c>
      <c r="AA12" s="21"/>
    </row>
    <row r="13" spans="2:27" x14ac:dyDescent="0.2">
      <c r="B13" s="4">
        <v>10</v>
      </c>
      <c r="C13" s="4">
        <v>863</v>
      </c>
      <c r="D13" s="13">
        <v>31061.09774511425</v>
      </c>
      <c r="E13" s="19">
        <v>2.1327513340002038</v>
      </c>
      <c r="F13" s="5">
        <v>2</v>
      </c>
      <c r="G13" s="13">
        <v>90</v>
      </c>
      <c r="H13" s="19">
        <v>0</v>
      </c>
      <c r="I13" s="13">
        <v>13.183244048077043</v>
      </c>
      <c r="J13" s="5">
        <v>958.78548353669146</v>
      </c>
      <c r="K13" s="17"/>
      <c r="L13" s="13">
        <v>34739.81972142875</v>
      </c>
      <c r="M13" s="19">
        <v>2.103010167000321</v>
      </c>
      <c r="N13" s="5">
        <v>2</v>
      </c>
      <c r="O13" s="5">
        <v>80</v>
      </c>
      <c r="P13" s="19">
        <v>0</v>
      </c>
      <c r="Q13" s="5">
        <v>9.6630991878573553</v>
      </c>
      <c r="R13" s="5">
        <v>796.00954314276976</v>
      </c>
      <c r="S13" s="21"/>
      <c r="T13" s="13">
        <v>32434.62438905118</v>
      </c>
      <c r="U13" s="19">
        <v>2.1039199580009149</v>
      </c>
      <c r="V13" s="5">
        <v>2</v>
      </c>
      <c r="W13" s="5">
        <v>90</v>
      </c>
      <c r="X13" s="19">
        <v>7.1844996243205008</v>
      </c>
      <c r="Y13" s="5">
        <v>28.050126428881097</v>
      </c>
      <c r="Z13" s="5">
        <v>1399.3725847214919</v>
      </c>
      <c r="AA13" s="21"/>
    </row>
    <row r="14" spans="2:27" x14ac:dyDescent="0.2">
      <c r="B14" s="33" t="s">
        <v>2</v>
      </c>
      <c r="C14" s="34"/>
      <c r="D14" s="7">
        <f>MIN(D4:D13)</f>
        <v>31061.09774511425</v>
      </c>
      <c r="E14" s="12">
        <f>INDEX(E4:E13, MATCH($D$14, D4:D13, 0))</f>
        <v>2.1786037919991941</v>
      </c>
      <c r="F14" s="7">
        <f>INDEX(F4:F13, MATCH($D$14, D4:D13, 0))</f>
        <v>2</v>
      </c>
      <c r="G14" s="7">
        <f>INDEX(G4:G13, MATCH($D$14, D4:D13, 0))</f>
        <v>90</v>
      </c>
      <c r="H14" s="12">
        <f>INDEX(H4:H13, MATCH($D$14, D4:D13, 0))</f>
        <v>0</v>
      </c>
      <c r="I14" s="12">
        <f>INDEX(I4:I13, MATCH($D$14, D4:D13, 0))</f>
        <v>13.183244048077043</v>
      </c>
      <c r="J14" s="12">
        <f>INDEX(J4:J13, MATCH($D$14, D4:D13, 0))</f>
        <v>958.78548353669146</v>
      </c>
      <c r="K14" s="18"/>
      <c r="L14" s="10">
        <f>MIN(L4:L13)</f>
        <v>34739.81972142875</v>
      </c>
      <c r="M14" s="11">
        <f>INDEX(M4:M13, MATCH($L$14, L4:L13, 0))</f>
        <v>2.0999169580027228</v>
      </c>
      <c r="N14" s="10">
        <f>INDEX(N4:N13, MATCH($L$14, L4:L13, 0))</f>
        <v>2</v>
      </c>
      <c r="O14" s="10">
        <f>INDEX(O4:O13, MATCH($L$14, L4:L13, 0))</f>
        <v>80</v>
      </c>
      <c r="P14" s="11">
        <f>INDEX(P4:P13, MATCH($L$14, L4:L13, 0))</f>
        <v>0</v>
      </c>
      <c r="Q14" s="11">
        <f>INDEX(Q4:Q13, MATCH($L$14, L4:L13, 0))</f>
        <v>9.6630991878573553</v>
      </c>
      <c r="R14" s="11">
        <f>INDEX(R4:R13, MATCH($L$14, L4:L13, 0))</f>
        <v>796.00954314276976</v>
      </c>
      <c r="S14" s="22" t="e">
        <f>(L14-$D$15)/$D$15</f>
        <v>#DIV/0!</v>
      </c>
      <c r="T14" s="24">
        <f>MIN(T4:T13)</f>
        <v>32434.62438905118</v>
      </c>
      <c r="U14" s="25">
        <f>INDEX(U4:U13, MATCH($T$14, T4:T13, 0))</f>
        <v>2.1783299580019961</v>
      </c>
      <c r="V14" s="24">
        <f>INDEX(V4:V13, MATCH($T$14, T4:T13, 0))</f>
        <v>2</v>
      </c>
      <c r="W14" s="24">
        <f>INDEX(W4:W13, MATCH($T$14, T4:T13, 0))</f>
        <v>90</v>
      </c>
      <c r="X14" s="25">
        <f>INDEX(X4:X13, MATCH($T$14, T4:T13, 0))</f>
        <v>7.1844996243205008</v>
      </c>
      <c r="Y14" s="25">
        <f>INDEX(Y4:Y13, MATCH($T$14, T4:T13, 0))</f>
        <v>28.050126428881097</v>
      </c>
      <c r="Z14" s="25">
        <f>INDEX(Z4:Z13, MATCH($T$14, T4:T13, 0))</f>
        <v>1399.3725847214919</v>
      </c>
      <c r="AA14" s="26" t="e">
        <f>(T14-$D$15)/$D$15</f>
        <v>#DIV/0!</v>
      </c>
    </row>
    <row r="15" spans="2:27" x14ac:dyDescent="0.2">
      <c r="D15" s="20"/>
      <c r="E15" s="3"/>
      <c r="F15" s="3"/>
      <c r="G15" s="3"/>
      <c r="H15" s="3"/>
      <c r="I15" s="3"/>
      <c r="J15" s="3"/>
      <c r="K15" s="3"/>
      <c r="L15" s="32"/>
      <c r="M15" s="32"/>
      <c r="N15" s="32"/>
      <c r="O15" s="32"/>
      <c r="P15" s="32"/>
      <c r="Q15" s="32"/>
      <c r="R15" s="32"/>
      <c r="T15" s="32"/>
      <c r="U15" s="32"/>
      <c r="V15" s="32"/>
      <c r="W15" s="32"/>
      <c r="X15" s="32"/>
      <c r="Y15" s="32"/>
      <c r="Z15" s="32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24:C1048576 C3:C13">
    <cfRule type="duplicateValues" dxfId="35" priority="15"/>
    <cfRule type="duplicateValues" dxfId="34" priority="16"/>
  </conditionalFormatting>
  <conditionalFormatting sqref="C14">
    <cfRule type="duplicateValues" dxfId="33" priority="3"/>
    <cfRule type="duplicateValues" dxfId="32" priority="4"/>
  </conditionalFormatting>
  <conditionalFormatting sqref="C15">
    <cfRule type="duplicateValues" dxfId="31" priority="7"/>
    <cfRule type="duplicateValues" dxfId="30" priority="8"/>
  </conditionalFormatting>
  <conditionalFormatting sqref="C17">
    <cfRule type="duplicateValues" dxfId="29" priority="9"/>
    <cfRule type="duplicateValues" dxfId="28" priority="10"/>
  </conditionalFormatting>
  <conditionalFormatting sqref="C18:C23">
    <cfRule type="duplicateValues" dxfId="27" priority="11"/>
    <cfRule type="duplicateValues" dxfId="26" priority="12"/>
  </conditionalFormatting>
  <conditionalFormatting sqref="C2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1236-BCA1-0249-ACC4-F8A93842565C}">
  <dimension ref="B1:AA17"/>
  <sheetViews>
    <sheetView zoomScale="118" zoomScaleNormal="120" workbookViewId="0">
      <selection activeCell="K4" sqref="K4:K19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9</v>
      </c>
    </row>
    <row r="2" spans="2:27" x14ac:dyDescent="0.2">
      <c r="B2" s="1" t="s">
        <v>12</v>
      </c>
      <c r="D2" s="15">
        <v>10</v>
      </c>
      <c r="H2" s="14"/>
      <c r="J2" s="14"/>
      <c r="K2" s="14"/>
      <c r="L2" s="1" t="s">
        <v>13</v>
      </c>
      <c r="T2" s="1" t="s">
        <v>14</v>
      </c>
    </row>
    <row r="3" spans="2:27" x14ac:dyDescent="0.2">
      <c r="B3" s="6" t="s">
        <v>5</v>
      </c>
      <c r="C3" s="6" t="s">
        <v>3</v>
      </c>
      <c r="D3" s="6" t="s">
        <v>0</v>
      </c>
      <c r="E3" s="6" t="s">
        <v>4</v>
      </c>
      <c r="F3" s="6" t="s">
        <v>8</v>
      </c>
      <c r="G3" s="6" t="s">
        <v>10</v>
      </c>
      <c r="H3" s="6" t="s">
        <v>7</v>
      </c>
      <c r="I3" s="6" t="s">
        <v>11</v>
      </c>
      <c r="J3" s="6" t="s">
        <v>6</v>
      </c>
      <c r="K3" s="6" t="s">
        <v>1</v>
      </c>
      <c r="L3" s="9" t="s">
        <v>0</v>
      </c>
      <c r="M3" s="9" t="s">
        <v>4</v>
      </c>
      <c r="N3" s="9" t="s">
        <v>8</v>
      </c>
      <c r="O3" s="9" t="s">
        <v>10</v>
      </c>
      <c r="P3" s="9" t="s">
        <v>7</v>
      </c>
      <c r="Q3" s="9" t="s">
        <v>11</v>
      </c>
      <c r="R3" s="9" t="s">
        <v>6</v>
      </c>
      <c r="S3" s="9" t="s">
        <v>1</v>
      </c>
      <c r="T3" s="23" t="s">
        <v>0</v>
      </c>
      <c r="U3" s="23" t="s">
        <v>4</v>
      </c>
      <c r="V3" s="23" t="s">
        <v>8</v>
      </c>
      <c r="W3" s="23" t="s">
        <v>10</v>
      </c>
      <c r="X3" s="23" t="s">
        <v>7</v>
      </c>
      <c r="Y3" s="23" t="s">
        <v>11</v>
      </c>
      <c r="Z3" s="23" t="s">
        <v>6</v>
      </c>
      <c r="AA3" s="23" t="s">
        <v>1</v>
      </c>
    </row>
    <row r="4" spans="2:27" x14ac:dyDescent="0.2">
      <c r="B4" s="4">
        <v>1</v>
      </c>
      <c r="C4" s="4">
        <v>18</v>
      </c>
      <c r="D4" s="13">
        <v>38356.495501791382</v>
      </c>
      <c r="E4" s="19">
        <v>1.1952889999993199</v>
      </c>
      <c r="F4" s="5">
        <v>1</v>
      </c>
      <c r="G4" s="13">
        <v>60</v>
      </c>
      <c r="H4" s="19">
        <v>0</v>
      </c>
      <c r="I4" s="13">
        <v>16.059757236227821</v>
      </c>
      <c r="J4" s="5">
        <v>1456.501641142421</v>
      </c>
      <c r="K4" s="17"/>
      <c r="L4" s="13">
        <v>38745.570317917329</v>
      </c>
      <c r="M4" s="19">
        <v>1.557428999996773</v>
      </c>
      <c r="N4" s="5">
        <v>1</v>
      </c>
      <c r="O4" s="5">
        <v>60</v>
      </c>
      <c r="P4" s="19">
        <v>0</v>
      </c>
      <c r="Q4" s="5">
        <v>11.7625175070028</v>
      </c>
      <c r="R4" s="5">
        <v>1450.5587819616378</v>
      </c>
      <c r="S4" s="21"/>
      <c r="T4" s="13">
        <v>40751.157836095903</v>
      </c>
      <c r="U4" s="19">
        <v>1.218635207998886</v>
      </c>
      <c r="V4" s="5">
        <v>1</v>
      </c>
      <c r="W4" s="5">
        <v>60</v>
      </c>
      <c r="X4" s="19">
        <v>10.82880891053234</v>
      </c>
      <c r="Y4" s="5">
        <v>24.865482934126849</v>
      </c>
      <c r="Z4" s="5">
        <v>1928.972853463194</v>
      </c>
      <c r="AA4" s="21"/>
    </row>
    <row r="5" spans="2:27" x14ac:dyDescent="0.2">
      <c r="B5" s="4">
        <v>2</v>
      </c>
      <c r="C5" s="4">
        <v>23</v>
      </c>
      <c r="D5" s="13">
        <v>38356.495501791382</v>
      </c>
      <c r="E5" s="19">
        <v>1.395548834003421</v>
      </c>
      <c r="F5" s="5">
        <v>1</v>
      </c>
      <c r="G5" s="13">
        <v>60</v>
      </c>
      <c r="H5" s="19">
        <v>0</v>
      </c>
      <c r="I5" s="13">
        <v>16.059757236227821</v>
      </c>
      <c r="J5" s="5">
        <v>1456.501641142421</v>
      </c>
      <c r="K5" s="17"/>
      <c r="L5" s="13">
        <v>40775.23665821871</v>
      </c>
      <c r="M5" s="19">
        <v>1.535156375000952</v>
      </c>
      <c r="N5" s="5">
        <v>1</v>
      </c>
      <c r="O5" s="5">
        <v>50</v>
      </c>
      <c r="P5" s="19">
        <v>0</v>
      </c>
      <c r="Q5" s="5">
        <v>11.76470588235294</v>
      </c>
      <c r="R5" s="5">
        <v>1226.050660750265</v>
      </c>
      <c r="S5" s="21"/>
      <c r="T5" s="13">
        <v>40751.157836095903</v>
      </c>
      <c r="U5" s="19">
        <v>1.3393699169973841</v>
      </c>
      <c r="V5" s="5">
        <v>1</v>
      </c>
      <c r="W5" s="5">
        <v>60</v>
      </c>
      <c r="X5" s="19">
        <v>10.82880891053234</v>
      </c>
      <c r="Y5" s="5">
        <v>24.865482934126849</v>
      </c>
      <c r="Z5" s="5">
        <v>1928.972853463194</v>
      </c>
      <c r="AA5" s="21"/>
    </row>
    <row r="6" spans="2:27" x14ac:dyDescent="0.2">
      <c r="B6" s="4">
        <v>3</v>
      </c>
      <c r="C6" s="4">
        <v>87</v>
      </c>
      <c r="D6" s="13">
        <v>35136.628870788947</v>
      </c>
      <c r="E6" s="19">
        <v>2.2436322079993261</v>
      </c>
      <c r="F6" s="5">
        <v>2</v>
      </c>
      <c r="G6" s="13">
        <v>90</v>
      </c>
      <c r="H6" s="19">
        <v>0</v>
      </c>
      <c r="I6" s="13">
        <v>10.529784830598903</v>
      </c>
      <c r="J6" s="5">
        <v>1189.3345680789398</v>
      </c>
      <c r="K6" s="17"/>
      <c r="L6" s="13">
        <v>35136.628870788947</v>
      </c>
      <c r="M6" s="19">
        <v>2.07600979199924</v>
      </c>
      <c r="N6" s="5">
        <v>2</v>
      </c>
      <c r="O6" s="5">
        <v>90</v>
      </c>
      <c r="P6" s="19">
        <v>0</v>
      </c>
      <c r="Q6" s="5">
        <v>10.529784830598903</v>
      </c>
      <c r="R6" s="5">
        <v>1189.3345680789398</v>
      </c>
      <c r="S6" s="21"/>
      <c r="T6" s="13">
        <v>38332.240756066138</v>
      </c>
      <c r="U6" s="19">
        <v>1.9596515000012</v>
      </c>
      <c r="V6" s="5">
        <v>2</v>
      </c>
      <c r="W6" s="5">
        <v>90</v>
      </c>
      <c r="X6" s="19">
        <v>12.3119623762286</v>
      </c>
      <c r="Y6" s="5">
        <v>16.291683238792071</v>
      </c>
      <c r="Z6" s="5">
        <v>1604.7234856381435</v>
      </c>
      <c r="AA6" s="21"/>
    </row>
    <row r="7" spans="2:27" x14ac:dyDescent="0.2">
      <c r="B7" s="4">
        <v>4</v>
      </c>
      <c r="C7" s="4">
        <v>124</v>
      </c>
      <c r="D7" s="13">
        <v>35136.628870788947</v>
      </c>
      <c r="E7" s="19">
        <v>2.4330939169994958</v>
      </c>
      <c r="F7" s="5">
        <v>2</v>
      </c>
      <c r="G7" s="13">
        <v>90</v>
      </c>
      <c r="H7" s="19">
        <v>0</v>
      </c>
      <c r="I7" s="13">
        <v>10.529784830598903</v>
      </c>
      <c r="J7" s="5">
        <v>1189.3345680789398</v>
      </c>
      <c r="K7" s="17"/>
      <c r="L7" s="13">
        <v>35136.628870788947</v>
      </c>
      <c r="M7" s="19">
        <v>2.1244617500015011</v>
      </c>
      <c r="N7" s="5">
        <v>2</v>
      </c>
      <c r="O7" s="5">
        <v>90</v>
      </c>
      <c r="P7" s="19">
        <v>0</v>
      </c>
      <c r="Q7" s="5">
        <v>10.529784830598903</v>
      </c>
      <c r="R7" s="5">
        <v>1189.3345680789398</v>
      </c>
      <c r="S7" s="21"/>
      <c r="T7" s="13">
        <v>38332.240756066138</v>
      </c>
      <c r="U7" s="19">
        <v>1.964502582999557</v>
      </c>
      <c r="V7" s="5">
        <v>2</v>
      </c>
      <c r="W7" s="5">
        <v>90</v>
      </c>
      <c r="X7" s="19">
        <v>12.3119623762286</v>
      </c>
      <c r="Y7" s="5">
        <v>16.291683238792071</v>
      </c>
      <c r="Z7" s="5">
        <v>1604.7234856381435</v>
      </c>
      <c r="AA7" s="21"/>
    </row>
    <row r="8" spans="2:27" x14ac:dyDescent="0.2">
      <c r="B8" s="4">
        <v>5</v>
      </c>
      <c r="C8" s="4">
        <v>319</v>
      </c>
      <c r="D8" s="13">
        <v>35136.628870788947</v>
      </c>
      <c r="E8" s="19">
        <v>2.1331949169980362</v>
      </c>
      <c r="F8" s="5">
        <v>2</v>
      </c>
      <c r="G8" s="13">
        <v>90</v>
      </c>
      <c r="H8" s="19">
        <v>0</v>
      </c>
      <c r="I8" s="13">
        <v>10.529784830598903</v>
      </c>
      <c r="J8" s="5">
        <v>1189.3345680789398</v>
      </c>
      <c r="K8" s="17"/>
      <c r="L8" s="13">
        <v>35136.628870788947</v>
      </c>
      <c r="M8" s="19">
        <v>2.1203395000011369</v>
      </c>
      <c r="N8" s="5">
        <v>2</v>
      </c>
      <c r="O8" s="5">
        <v>90</v>
      </c>
      <c r="P8" s="19">
        <v>0</v>
      </c>
      <c r="Q8" s="5">
        <v>10.529784830598903</v>
      </c>
      <c r="R8" s="5">
        <v>1189.3345680789398</v>
      </c>
      <c r="S8" s="21"/>
      <c r="T8" s="13">
        <v>38332.240756066138</v>
      </c>
      <c r="U8" s="19">
        <v>1.967697416999727</v>
      </c>
      <c r="V8" s="5">
        <v>2</v>
      </c>
      <c r="W8" s="5">
        <v>90</v>
      </c>
      <c r="X8" s="19">
        <v>12.3119623762286</v>
      </c>
      <c r="Y8" s="5">
        <v>16.291683238792071</v>
      </c>
      <c r="Z8" s="5">
        <v>1604.7234856381435</v>
      </c>
      <c r="AA8" s="21"/>
    </row>
    <row r="9" spans="2:27" x14ac:dyDescent="0.2">
      <c r="B9" s="4">
        <v>6</v>
      </c>
      <c r="C9" s="4">
        <v>355</v>
      </c>
      <c r="D9" s="13">
        <v>35136.628870788947</v>
      </c>
      <c r="E9" s="19">
        <v>2.3071709579999151</v>
      </c>
      <c r="F9" s="5">
        <v>2</v>
      </c>
      <c r="G9" s="13">
        <v>90</v>
      </c>
      <c r="H9" s="19">
        <v>0</v>
      </c>
      <c r="I9" s="13">
        <v>10.529784830598903</v>
      </c>
      <c r="J9" s="5">
        <v>1189.3345680789398</v>
      </c>
      <c r="K9" s="17"/>
      <c r="L9" s="13">
        <v>35136.628870788947</v>
      </c>
      <c r="M9" s="19">
        <v>2.1150239999988121</v>
      </c>
      <c r="N9" s="5">
        <v>2</v>
      </c>
      <c r="O9" s="5">
        <v>90</v>
      </c>
      <c r="P9" s="19">
        <v>0</v>
      </c>
      <c r="Q9" s="5">
        <v>10.529784830598903</v>
      </c>
      <c r="R9" s="5">
        <v>1189.3345680789398</v>
      </c>
      <c r="S9" s="21"/>
      <c r="T9" s="13">
        <v>38332.240756066138</v>
      </c>
      <c r="U9" s="19">
        <v>1.961522375000641</v>
      </c>
      <c r="V9" s="5">
        <v>2</v>
      </c>
      <c r="W9" s="5">
        <v>90</v>
      </c>
      <c r="X9" s="19">
        <v>12.3119623762286</v>
      </c>
      <c r="Y9" s="5">
        <v>16.291683238792071</v>
      </c>
      <c r="Z9" s="5">
        <v>1604.7234856381435</v>
      </c>
      <c r="AA9" s="21"/>
    </row>
    <row r="10" spans="2:27" x14ac:dyDescent="0.2">
      <c r="B10" s="4">
        <v>7</v>
      </c>
      <c r="C10" s="4">
        <v>478</v>
      </c>
      <c r="D10" s="13">
        <v>35136.628870788947</v>
      </c>
      <c r="E10" s="19">
        <v>2.0778244579996681</v>
      </c>
      <c r="F10" s="5">
        <v>2</v>
      </c>
      <c r="G10" s="13">
        <v>90</v>
      </c>
      <c r="H10" s="19">
        <v>0</v>
      </c>
      <c r="I10" s="13">
        <v>10.529784830598903</v>
      </c>
      <c r="J10" s="5">
        <v>1189.3345680789398</v>
      </c>
      <c r="K10" s="17"/>
      <c r="L10" s="13">
        <v>35136.628870788947</v>
      </c>
      <c r="M10" s="19">
        <v>2.117136791999656</v>
      </c>
      <c r="N10" s="5">
        <v>2</v>
      </c>
      <c r="O10" s="5">
        <v>90</v>
      </c>
      <c r="P10" s="19">
        <v>0</v>
      </c>
      <c r="Q10" s="5">
        <v>10.529784830598903</v>
      </c>
      <c r="R10" s="5">
        <v>1189.3345680789398</v>
      </c>
      <c r="S10" s="21"/>
      <c r="T10" s="13">
        <v>38332.240756066138</v>
      </c>
      <c r="U10" s="19">
        <v>1.957989582999289</v>
      </c>
      <c r="V10" s="5">
        <v>2</v>
      </c>
      <c r="W10" s="5">
        <v>90</v>
      </c>
      <c r="X10" s="19">
        <v>12.3119623762286</v>
      </c>
      <c r="Y10" s="5">
        <v>16.291683238792071</v>
      </c>
      <c r="Z10" s="5">
        <v>1604.7234856381435</v>
      </c>
      <c r="AA10" s="21"/>
    </row>
    <row r="11" spans="2:27" x14ac:dyDescent="0.2">
      <c r="B11" s="4">
        <v>8</v>
      </c>
      <c r="C11" s="4">
        <v>610</v>
      </c>
      <c r="D11" s="13">
        <v>38356.495501791382</v>
      </c>
      <c r="E11" s="19">
        <v>1.2606140829993819</v>
      </c>
      <c r="F11" s="5">
        <v>1</v>
      </c>
      <c r="G11" s="13">
        <v>60</v>
      </c>
      <c r="H11" s="19">
        <v>0</v>
      </c>
      <c r="I11" s="13">
        <v>16.059757236227821</v>
      </c>
      <c r="J11" s="5">
        <v>1456.501641142421</v>
      </c>
      <c r="K11" s="17"/>
      <c r="L11" s="13">
        <v>40775.23665821871</v>
      </c>
      <c r="M11" s="19">
        <v>1.5973236249992619</v>
      </c>
      <c r="N11" s="5">
        <v>1</v>
      </c>
      <c r="O11" s="5">
        <v>50</v>
      </c>
      <c r="P11" s="19">
        <v>0</v>
      </c>
      <c r="Q11" s="5">
        <v>11.76470588235294</v>
      </c>
      <c r="R11" s="5">
        <v>1226.050660750265</v>
      </c>
      <c r="S11" s="21"/>
      <c r="T11" s="13">
        <v>40751.157836095903</v>
      </c>
      <c r="U11" s="19">
        <v>1.2538955419986451</v>
      </c>
      <c r="V11" s="5">
        <v>1</v>
      </c>
      <c r="W11" s="5">
        <v>60</v>
      </c>
      <c r="X11" s="19">
        <v>10.82880891053234</v>
      </c>
      <c r="Y11" s="5">
        <v>24.865482934126849</v>
      </c>
      <c r="Z11" s="5">
        <v>1928.972853463194</v>
      </c>
      <c r="AA11" s="21"/>
    </row>
    <row r="12" spans="2:27" x14ac:dyDescent="0.2">
      <c r="B12" s="4">
        <v>9</v>
      </c>
      <c r="C12" s="4">
        <v>622</v>
      </c>
      <c r="D12" s="13">
        <v>35136.628870788947</v>
      </c>
      <c r="E12" s="19">
        <v>1.915256583000883</v>
      </c>
      <c r="F12" s="5">
        <v>2</v>
      </c>
      <c r="G12" s="13">
        <v>90</v>
      </c>
      <c r="H12" s="19">
        <v>0</v>
      </c>
      <c r="I12" s="13">
        <v>10.529784830598903</v>
      </c>
      <c r="J12" s="5">
        <v>1189.3345680789398</v>
      </c>
      <c r="K12" s="17"/>
      <c r="L12" s="13">
        <v>35136.628870788947</v>
      </c>
      <c r="M12" s="19">
        <v>1.932504874999722</v>
      </c>
      <c r="N12" s="5">
        <v>2</v>
      </c>
      <c r="O12" s="5">
        <v>90</v>
      </c>
      <c r="P12" s="19">
        <v>0</v>
      </c>
      <c r="Q12" s="5">
        <v>10.529784830598903</v>
      </c>
      <c r="R12" s="5">
        <v>1189.3345680789398</v>
      </c>
      <c r="S12" s="21"/>
      <c r="T12" s="13">
        <v>38332.240756066138</v>
      </c>
      <c r="U12" s="19">
        <v>1.792380833998322</v>
      </c>
      <c r="V12" s="5">
        <v>2</v>
      </c>
      <c r="W12" s="5">
        <v>90</v>
      </c>
      <c r="X12" s="19">
        <v>12.3119623762286</v>
      </c>
      <c r="Y12" s="5">
        <v>16.291683238792071</v>
      </c>
      <c r="Z12" s="5">
        <v>1604.7234856381435</v>
      </c>
      <c r="AA12" s="21"/>
    </row>
    <row r="13" spans="2:27" x14ac:dyDescent="0.2">
      <c r="B13" s="4">
        <v>10</v>
      </c>
      <c r="C13" s="4">
        <v>985</v>
      </c>
      <c r="D13" s="13">
        <v>35136.628870788947</v>
      </c>
      <c r="E13" s="19">
        <v>2.2220342079999682</v>
      </c>
      <c r="F13" s="5">
        <v>2</v>
      </c>
      <c r="G13" s="13">
        <v>90</v>
      </c>
      <c r="H13" s="19">
        <v>0</v>
      </c>
      <c r="I13" s="13">
        <v>10.529784830598903</v>
      </c>
      <c r="J13" s="5">
        <v>1189.3345680789398</v>
      </c>
      <c r="K13" s="17"/>
      <c r="L13" s="13">
        <v>35136.628870788947</v>
      </c>
      <c r="M13" s="19">
        <v>2.1177708340001118</v>
      </c>
      <c r="N13" s="5">
        <v>2</v>
      </c>
      <c r="O13" s="5">
        <v>90</v>
      </c>
      <c r="P13" s="19">
        <v>0</v>
      </c>
      <c r="Q13" s="5">
        <v>10.529784830598903</v>
      </c>
      <c r="R13" s="5">
        <v>1189.3345680789398</v>
      </c>
      <c r="S13" s="21"/>
      <c r="T13" s="13">
        <v>38332.240756066138</v>
      </c>
      <c r="U13" s="19">
        <v>1.96627508399979</v>
      </c>
      <c r="V13" s="5">
        <v>2</v>
      </c>
      <c r="W13" s="5">
        <v>90</v>
      </c>
      <c r="X13" s="19">
        <v>12.3119623762286</v>
      </c>
      <c r="Y13" s="5">
        <v>16.291683238792071</v>
      </c>
      <c r="Z13" s="5">
        <v>1604.7234856381435</v>
      </c>
      <c r="AA13" s="21"/>
    </row>
    <row r="14" spans="2:27" x14ac:dyDescent="0.2">
      <c r="B14" s="33" t="s">
        <v>2</v>
      </c>
      <c r="C14" s="34"/>
      <c r="D14" s="7">
        <f>MIN(D4:D13)</f>
        <v>35136.628870788947</v>
      </c>
      <c r="E14" s="12">
        <f>INDEX(E4:E13, MATCH($D$14, D4:D13, 0))</f>
        <v>2.2436322079993261</v>
      </c>
      <c r="F14" s="7">
        <f>INDEX(F4:F13, MATCH($D$14, D4:D13, 0))</f>
        <v>2</v>
      </c>
      <c r="G14" s="7">
        <f>INDEX(G4:G13, MATCH($D$14, D4:D13, 0))</f>
        <v>90</v>
      </c>
      <c r="H14" s="12">
        <f>INDEX(H4:H13, MATCH($D$14, D4:D13, 0))</f>
        <v>0</v>
      </c>
      <c r="I14" s="12">
        <f>INDEX(I4:I13, MATCH($D$14, D4:D13, 0))</f>
        <v>10.529784830598903</v>
      </c>
      <c r="J14" s="12">
        <f>INDEX(J4:J13, MATCH($D$14, D4:D13, 0))</f>
        <v>1189.3345680789398</v>
      </c>
      <c r="K14" s="18"/>
      <c r="L14" s="10">
        <f>MIN(L4:L13)</f>
        <v>35136.628870788947</v>
      </c>
      <c r="M14" s="11">
        <f>INDEX(M4:M13, MATCH($L$14, L4:L13, 0))</f>
        <v>2.07600979199924</v>
      </c>
      <c r="N14" s="10">
        <f>INDEX(N4:N13, MATCH($L$14, L4:L13, 0))</f>
        <v>2</v>
      </c>
      <c r="O14" s="10">
        <f>INDEX(O4:O13, MATCH($L$14, L4:L13, 0))</f>
        <v>90</v>
      </c>
      <c r="P14" s="11">
        <f>INDEX(P4:P13, MATCH($L$14, L4:L13, 0))</f>
        <v>0</v>
      </c>
      <c r="Q14" s="11">
        <f>INDEX(Q4:Q13, MATCH($L$14, L4:L13, 0))</f>
        <v>10.529784830598903</v>
      </c>
      <c r="R14" s="11">
        <f>INDEX(R4:R13, MATCH($L$14, L4:L13, 0))</f>
        <v>1189.3345680789398</v>
      </c>
      <c r="S14" s="22" t="e">
        <f>(L14-$D$15)/$D$15</f>
        <v>#DIV/0!</v>
      </c>
      <c r="T14" s="24">
        <f>MIN(T4:T13)</f>
        <v>38332.240756066138</v>
      </c>
      <c r="U14" s="25">
        <f>INDEX(U4:U13, MATCH($T$14, T4:T13, 0))</f>
        <v>1.9596515000012</v>
      </c>
      <c r="V14" s="24">
        <f>INDEX(V4:V13, MATCH($T$14, T4:T13, 0))</f>
        <v>2</v>
      </c>
      <c r="W14" s="24">
        <f>INDEX(W4:W13, MATCH($T$14, T4:T13, 0))</f>
        <v>90</v>
      </c>
      <c r="X14" s="25">
        <f>INDEX(X4:X13, MATCH($T$14, T4:T13, 0))</f>
        <v>12.3119623762286</v>
      </c>
      <c r="Y14" s="25">
        <f>INDEX(Y4:Y13, MATCH($T$14, T4:T13, 0))</f>
        <v>16.291683238792071</v>
      </c>
      <c r="Z14" s="25">
        <f>INDEX(Z4:Z13, MATCH($T$14, T4:T13, 0))</f>
        <v>1604.7234856381435</v>
      </c>
      <c r="AA14" s="26" t="e">
        <f>(T14-$D$15)/$D$15</f>
        <v>#DIV/0!</v>
      </c>
    </row>
    <row r="15" spans="2:27" x14ac:dyDescent="0.2">
      <c r="D15" s="20"/>
      <c r="E15" s="3"/>
      <c r="F15" s="3"/>
      <c r="G15" s="3"/>
      <c r="H15" s="3"/>
      <c r="I15" s="3"/>
      <c r="J15" s="3"/>
      <c r="K15" s="3"/>
      <c r="L15" s="32"/>
      <c r="M15" s="32"/>
      <c r="N15" s="32"/>
      <c r="O15" s="32"/>
      <c r="P15" s="32"/>
      <c r="Q15" s="32"/>
      <c r="R15" s="32"/>
      <c r="T15" s="32"/>
      <c r="U15" s="32"/>
      <c r="V15" s="32"/>
      <c r="W15" s="32"/>
      <c r="X15" s="32"/>
      <c r="Y15" s="32"/>
      <c r="Z15" s="32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24:C1048576 C3:C13">
    <cfRule type="duplicateValues" dxfId="25" priority="15"/>
    <cfRule type="duplicateValues" dxfId="24" priority="16"/>
  </conditionalFormatting>
  <conditionalFormatting sqref="C14">
    <cfRule type="duplicateValues" dxfId="23" priority="3"/>
    <cfRule type="duplicateValues" dxfId="22" priority="4"/>
  </conditionalFormatting>
  <conditionalFormatting sqref="C15">
    <cfRule type="duplicateValues" dxfId="21" priority="7"/>
    <cfRule type="duplicateValues" dxfId="20" priority="8"/>
  </conditionalFormatting>
  <conditionalFormatting sqref="C17">
    <cfRule type="duplicateValues" dxfId="19" priority="9"/>
    <cfRule type="duplicateValues" dxfId="18" priority="10"/>
  </conditionalFormatting>
  <conditionalFormatting sqref="C18:C23">
    <cfRule type="duplicateValues" dxfId="17" priority="11"/>
    <cfRule type="duplicateValues" dxfId="16" priority="12"/>
  </conditionalFormatting>
  <conditionalFormatting sqref="C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results39</vt:lpstr>
      <vt:lpstr>results214</vt:lpstr>
      <vt:lpstr>results238</vt:lpstr>
      <vt:lpstr>results300</vt:lpstr>
      <vt:lpstr>results306</vt:lpstr>
      <vt:lpstr>results426</vt:lpstr>
      <vt:lpstr>results430</vt:lpstr>
      <vt:lpstr>results553</vt:lpstr>
      <vt:lpstr>results728</vt:lpstr>
      <vt:lpstr>results783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2026-10-15T20:56:06Z</dcterms:modified>
</cp:coreProperties>
</file>