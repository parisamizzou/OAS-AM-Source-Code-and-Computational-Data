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00-10-10/"/>
    </mc:Choice>
  </mc:AlternateContent>
  <xr:revisionPtr revIDLastSave="0" documentId="13_ncr:1_{883C5C89-E69B-5941-B97D-BED81A8AD1B3}" xr6:coauthVersionLast="47" xr6:coauthVersionMax="47" xr10:uidLastSave="{00000000-0000-0000-0000-000000000000}"/>
  <bookViews>
    <workbookView xWindow="0" yWindow="760" windowWidth="34560" windowHeight="20520" activeTab="10" xr2:uid="{41E620E7-D6DF-9342-B452-EA60AB3B07C5}"/>
  </bookViews>
  <sheets>
    <sheet name="Summary" sheetId="67" r:id="rId1"/>
    <sheet name="results40" sheetId="57" r:id="rId2"/>
    <sheet name="results271" sheetId="58" r:id="rId3"/>
    <sheet name="results421" sheetId="59" r:id="rId4"/>
    <sheet name="results465" sheetId="62" r:id="rId5"/>
    <sheet name="results611" sheetId="63" r:id="rId6"/>
    <sheet name="results614" sheetId="64" r:id="rId7"/>
    <sheet name="results688" sheetId="60" r:id="rId8"/>
    <sheet name="results735" sheetId="61" r:id="rId9"/>
    <sheet name="results850" sheetId="65" r:id="rId10"/>
    <sheet name="results901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66" l="1"/>
  <c r="Q15" i="66"/>
  <c r="P15" i="66"/>
  <c r="O15" i="66"/>
  <c r="N15" i="66"/>
  <c r="M15" i="66"/>
  <c r="L15" i="66"/>
  <c r="R15" i="65"/>
  <c r="Q15" i="65"/>
  <c r="P15" i="65"/>
  <c r="O15" i="65"/>
  <c r="N15" i="65"/>
  <c r="M15" i="65"/>
  <c r="L15" i="65"/>
  <c r="R15" i="61"/>
  <c r="Q15" i="61"/>
  <c r="P15" i="61"/>
  <c r="O15" i="61"/>
  <c r="N15" i="61"/>
  <c r="M15" i="61"/>
  <c r="L15" i="61"/>
  <c r="R15" i="60"/>
  <c r="Q15" i="60"/>
  <c r="P15" i="60"/>
  <c r="O15" i="60"/>
  <c r="N15" i="60"/>
  <c r="M15" i="60"/>
  <c r="L15" i="60"/>
  <c r="R15" i="64"/>
  <c r="Q15" i="64"/>
  <c r="P15" i="64"/>
  <c r="O15" i="64"/>
  <c r="N15" i="64"/>
  <c r="M15" i="64"/>
  <c r="L15" i="64"/>
  <c r="R15" i="63"/>
  <c r="Q15" i="63"/>
  <c r="P15" i="63"/>
  <c r="O15" i="63"/>
  <c r="N15" i="63"/>
  <c r="M15" i="63"/>
  <c r="L15" i="63"/>
  <c r="R15" i="62"/>
  <c r="Q15" i="62"/>
  <c r="P15" i="62"/>
  <c r="O15" i="62"/>
  <c r="N15" i="62"/>
  <c r="M15" i="62"/>
  <c r="L15" i="62"/>
  <c r="R15" i="59"/>
  <c r="Q15" i="59"/>
  <c r="P15" i="59"/>
  <c r="O15" i="59"/>
  <c r="N15" i="59"/>
  <c r="M15" i="59"/>
  <c r="L15" i="59"/>
  <c r="R15" i="58"/>
  <c r="Q15" i="58"/>
  <c r="P15" i="58"/>
  <c r="O15" i="58"/>
  <c r="N15" i="58"/>
  <c r="M15" i="58"/>
  <c r="L15" i="58"/>
  <c r="U15" i="57"/>
  <c r="V15" i="57"/>
  <c r="W15" i="57"/>
  <c r="X15" i="57"/>
  <c r="Y15" i="57"/>
  <c r="Z15" i="57"/>
  <c r="T15" i="57"/>
  <c r="O6" i="67" a="1"/>
  <c r="L11" i="67" a="1"/>
  <c r="H5" i="67" a="1"/>
  <c r="Q4" i="67" a="1"/>
  <c r="V8" i="67" a="1"/>
  <c r="G7" i="67" a="1"/>
  <c r="Y4" i="67" a="1"/>
  <c r="U10" i="67" a="1"/>
  <c r="O12" i="67" a="1"/>
  <c r="T5" i="67" a="1"/>
  <c r="K11" i="67" a="1"/>
  <c r="V10" i="67" a="1"/>
  <c r="X9" i="67" a="1"/>
  <c r="F9" i="67" a="1"/>
  <c r="I3" i="67" a="1"/>
  <c r="I11" i="67" a="1"/>
  <c r="S10" i="67" a="1"/>
  <c r="O10" i="67" a="1"/>
  <c r="F12" i="67" a="1"/>
  <c r="K5" i="67" a="1"/>
  <c r="Q9" i="67" a="1"/>
  <c r="T8" i="67" a="1"/>
  <c r="T4" i="67" a="1"/>
  <c r="Y10" i="67" a="1"/>
  <c r="U9" i="67" a="1"/>
  <c r="W8" i="67" a="1"/>
  <c r="K8" i="67" a="1"/>
  <c r="L9" i="67" a="1"/>
  <c r="T7" i="67" a="1"/>
  <c r="M4" i="67" a="1"/>
  <c r="V6" i="67" a="1"/>
  <c r="F11" i="67" a="1"/>
  <c r="G6" i="67" a="1"/>
  <c r="P12" i="67" a="1"/>
  <c r="G12" i="67" a="1"/>
  <c r="Q11" i="67" a="1"/>
  <c r="Y9" i="67" a="1"/>
  <c r="K3" i="67" a="1"/>
  <c r="O11" i="67" a="1"/>
  <c r="X10" i="67" a="1"/>
  <c r="E3" i="67" a="1"/>
  <c r="S4" i="67" a="1"/>
  <c r="Y12" i="67" a="1"/>
  <c r="W9" i="67" a="1"/>
  <c r="H8" i="67" a="1"/>
  <c r="U11" i="67" a="1"/>
  <c r="T3" i="67" a="1"/>
  <c r="M5" i="67" a="1"/>
  <c r="Y11" i="67" a="1"/>
  <c r="C3" i="67" a="1"/>
  <c r="N11" i="67" a="1"/>
  <c r="S6" i="67" a="1"/>
  <c r="H7" i="67" a="1"/>
  <c r="M8" i="67" a="1"/>
  <c r="D8" i="67" a="1"/>
  <c r="U3" i="67" a="1"/>
  <c r="C9" i="67" a="1"/>
  <c r="C8" i="67" a="1"/>
  <c r="U12" i="67" a="1"/>
  <c r="M3" i="67" a="1"/>
  <c r="N12" i="67" a="1"/>
  <c r="K12" i="67" a="1"/>
  <c r="D5" i="67" a="1"/>
  <c r="X4" i="67" a="1"/>
  <c r="V4" i="67" a="1"/>
  <c r="U4" i="67" a="1"/>
  <c r="X3" i="67" a="1"/>
  <c r="D7" i="67" a="1"/>
  <c r="Q6" i="67" a="1"/>
  <c r="X12" i="67" a="1"/>
  <c r="M6" i="67" a="1"/>
  <c r="X6" i="67" a="1"/>
  <c r="V11" i="67" a="1"/>
  <c r="H11" i="67" a="1"/>
  <c r="C10" i="67" a="1"/>
  <c r="Y7" i="67" a="1"/>
  <c r="P11" i="67" a="1"/>
  <c r="D11" i="67" a="1"/>
  <c r="I5" i="67" a="1"/>
  <c r="M11" i="67" a="1"/>
  <c r="P6" i="67" a="1"/>
  <c r="G9" i="67" a="1"/>
  <c r="W4" i="67" a="1"/>
  <c r="N3" i="67" a="1"/>
  <c r="P3" i="67" a="1"/>
  <c r="P7" i="67" a="1"/>
  <c r="Q10" i="67" a="1"/>
  <c r="X5" i="67" a="1"/>
  <c r="C6" i="67" a="1"/>
  <c r="L6" i="67" a="1"/>
  <c r="C11" i="67" a="1"/>
  <c r="D10" i="67" a="1"/>
  <c r="E5" i="67" a="1"/>
  <c r="M7" i="67" a="1"/>
  <c r="W7" i="67" a="1"/>
  <c r="D9" i="67" a="1"/>
  <c r="D12" i="67" a="1"/>
  <c r="O7" i="67" a="1"/>
  <c r="M9" i="67" a="1"/>
  <c r="C7" i="67" a="1"/>
  <c r="Q3" i="67" a="1"/>
  <c r="E10" i="67" a="1"/>
  <c r="D3" i="67" a="1"/>
  <c r="W5" i="67" a="1"/>
  <c r="H9" i="67" a="1"/>
  <c r="X11" i="67" a="1"/>
  <c r="P8" i="67" a="1"/>
  <c r="G5" i="67" a="1"/>
  <c r="V7" i="67" a="1"/>
  <c r="H6" i="67" a="1"/>
  <c r="X8" i="67" a="1"/>
  <c r="T12" i="67" a="1"/>
  <c r="E9" i="67" a="1"/>
  <c r="W11" i="67" a="1"/>
  <c r="T10" i="67" a="1"/>
  <c r="F5" i="67" a="1"/>
  <c r="V3" i="67" a="1"/>
  <c r="K10" i="67" a="1"/>
  <c r="D4" i="67" a="1"/>
  <c r="F6" i="67" a="1"/>
  <c r="K7" i="67" a="1"/>
  <c r="S9" i="67" a="1"/>
  <c r="V5" i="67" a="1"/>
  <c r="U8" i="67" a="1"/>
  <c r="S12" i="67" a="1"/>
  <c r="P4" i="67" a="1"/>
  <c r="F7" i="67" a="1"/>
  <c r="P10" i="67" a="1"/>
  <c r="I12" i="67" a="1"/>
  <c r="W12" i="67" a="1"/>
  <c r="Y6" i="67" a="1"/>
  <c r="E11" i="67" a="1"/>
  <c r="P9" i="67" a="1"/>
  <c r="K4" i="67" a="1"/>
  <c r="Q5" i="67" a="1"/>
  <c r="N9" i="67" a="1"/>
  <c r="Q8" i="67" a="1"/>
  <c r="U7" i="67" a="1"/>
  <c r="O9" i="67" a="1"/>
  <c r="I6" i="67" a="1"/>
  <c r="F8" i="67" a="1"/>
  <c r="I7" i="67" a="1"/>
  <c r="L4" i="67" a="1"/>
  <c r="Q7" i="67" a="1"/>
  <c r="P5" i="67" a="1"/>
  <c r="U6" i="67" a="1"/>
  <c r="F3" i="67" a="1"/>
  <c r="N6" i="67" a="1"/>
  <c r="G11" i="67" a="1"/>
  <c r="N5" i="67" a="1"/>
  <c r="W10" i="67" a="1"/>
  <c r="N10" i="67" a="1"/>
  <c r="K9" i="67" a="1"/>
  <c r="M10" i="67" a="1"/>
  <c r="D6" i="67" a="1"/>
  <c r="F10" i="67" a="1"/>
  <c r="N8" i="67" a="1"/>
  <c r="L3" i="67" a="1"/>
  <c r="W6" i="67" a="1"/>
  <c r="N4" i="67" a="1"/>
  <c r="I8" i="67" a="1"/>
  <c r="H3" i="67" a="1"/>
  <c r="S5" i="67" a="1"/>
  <c r="G3" i="67" a="1"/>
  <c r="W3" i="67" a="1"/>
  <c r="S7" i="67" a="1"/>
  <c r="G4" i="67" a="1"/>
  <c r="H10" i="67" a="1"/>
  <c r="H4" i="67" a="1"/>
  <c r="C5" i="67" a="1"/>
  <c r="O5" i="67" a="1"/>
  <c r="E6" i="67" a="1"/>
  <c r="E4" i="67" a="1"/>
  <c r="V12" i="67" a="1"/>
  <c r="Q12" i="67" a="1"/>
  <c r="I4" i="67" a="1"/>
  <c r="S11" i="67" a="1"/>
  <c r="M12" i="67" a="1"/>
  <c r="L10" i="67" a="1"/>
  <c r="L12" i="67" a="1"/>
  <c r="Y5" i="67" a="1"/>
  <c r="Y3" i="67" a="1"/>
  <c r="E12" i="67" a="1"/>
  <c r="G8" i="67" a="1"/>
  <c r="T9" i="67" a="1"/>
  <c r="O4" i="67" a="1"/>
  <c r="K6" i="67" a="1"/>
  <c r="T11" i="67" a="1"/>
  <c r="U5" i="67" a="1"/>
  <c r="L7" i="67" a="1"/>
  <c r="O3" i="67" a="1"/>
  <c r="X7" i="67" a="1"/>
  <c r="Y8" i="67" a="1"/>
  <c r="H12" i="67" a="1"/>
  <c r="L8" i="67" a="1"/>
  <c r="N7" i="67" a="1"/>
  <c r="E7" i="67" a="1"/>
  <c r="I9" i="67" a="1"/>
  <c r="C12" i="67" a="1"/>
  <c r="I10" i="67" a="1"/>
  <c r="S8" i="67" a="1"/>
  <c r="T6" i="67" a="1"/>
  <c r="E8" i="67" a="1"/>
  <c r="C4" i="67" a="1"/>
  <c r="S3" i="67" a="1"/>
  <c r="V9" i="67" a="1"/>
  <c r="L5" i="67" a="1"/>
  <c r="O8" i="67" a="1"/>
  <c r="G10" i="67" a="1"/>
  <c r="F4" i="67" a="1"/>
  <c r="G11" i="67" l="1"/>
  <c r="M7" i="67"/>
  <c r="E4" i="67"/>
  <c r="T7" i="67"/>
  <c r="V8" i="67"/>
  <c r="U11" i="67"/>
  <c r="I8" i="67"/>
  <c r="F9" i="67"/>
  <c r="O10" i="67"/>
  <c r="D12" i="67"/>
  <c r="E6" i="67"/>
  <c r="N7" i="67"/>
  <c r="M11" i="67"/>
  <c r="L3" i="67"/>
  <c r="L11" i="67"/>
  <c r="U12" i="67"/>
  <c r="E10" i="67"/>
  <c r="E3" i="67"/>
  <c r="X12" i="67"/>
  <c r="S6" i="67"/>
  <c r="O6" i="67"/>
  <c r="K4" i="67"/>
  <c r="O4" i="67"/>
  <c r="G5" i="67"/>
  <c r="P7" i="67"/>
  <c r="I11" i="67"/>
  <c r="F5" i="67"/>
  <c r="O3" i="67"/>
  <c r="I3" i="67"/>
  <c r="U4" i="67"/>
  <c r="C4" i="67"/>
  <c r="Y4" i="67"/>
  <c r="H6" i="67"/>
  <c r="X11" i="67"/>
  <c r="H9" i="67"/>
  <c r="F10" i="67"/>
  <c r="U8" i="67"/>
  <c r="H5" i="67"/>
  <c r="P10" i="67"/>
  <c r="Q5" i="67"/>
  <c r="V9" i="67"/>
  <c r="Q8" i="67"/>
  <c r="W12" i="67"/>
  <c r="E5" i="67"/>
  <c r="C7" i="67"/>
  <c r="Q9" i="67"/>
  <c r="T11" i="67"/>
  <c r="D3" i="67"/>
  <c r="X9" i="67"/>
  <c r="N5" i="67"/>
  <c r="N3" i="67"/>
  <c r="S10" i="67"/>
  <c r="U5" i="67"/>
  <c r="K6" i="67"/>
  <c r="P11" i="67"/>
  <c r="U6" i="67"/>
  <c r="O8" i="67"/>
  <c r="X6" i="67"/>
  <c r="S5" i="67"/>
  <c r="X4" i="67"/>
  <c r="H7" i="67"/>
  <c r="Y10" i="67"/>
  <c r="L9" i="67"/>
  <c r="G7" i="67"/>
  <c r="S7" i="67"/>
  <c r="U7" i="67"/>
  <c r="F8" i="67"/>
  <c r="W11" i="67"/>
  <c r="C8" i="67"/>
  <c r="P3" i="67"/>
  <c r="Q11" i="67"/>
  <c r="L12" i="67"/>
  <c r="W9" i="67"/>
  <c r="W8" i="67"/>
  <c r="S12" i="67"/>
  <c r="H8" i="67"/>
  <c r="G12" i="67"/>
  <c r="Y12" i="67"/>
  <c r="Y9" i="67"/>
  <c r="N12" i="67"/>
  <c r="V5" i="67"/>
  <c r="T10" i="67"/>
  <c r="K9" i="67"/>
  <c r="L6" i="67"/>
  <c r="D4" i="67"/>
  <c r="I6" i="67"/>
  <c r="U3" i="67"/>
  <c r="L10" i="67"/>
  <c r="N6" i="67"/>
  <c r="V6" i="67"/>
  <c r="Y3" i="67"/>
  <c r="Y6" i="67"/>
  <c r="Y7" i="67"/>
  <c r="Y5" i="67"/>
  <c r="W7" i="67"/>
  <c r="P6" i="67"/>
  <c r="K3" i="67"/>
  <c r="G10" i="67"/>
  <c r="Q3" i="67"/>
  <c r="D7" i="67"/>
  <c r="N10" i="67"/>
  <c r="H10" i="67"/>
  <c r="K8" i="67"/>
  <c r="L7" i="67"/>
  <c r="Q6" i="67"/>
  <c r="V7" i="67"/>
  <c r="H11" i="67"/>
  <c r="E11" i="67"/>
  <c r="X8" i="67"/>
  <c r="S9" i="67"/>
  <c r="G9" i="67"/>
  <c r="M8" i="67"/>
  <c r="F12" i="67"/>
  <c r="M9" i="67"/>
  <c r="F4" i="67"/>
  <c r="T4" i="67"/>
  <c r="G8" i="67"/>
  <c r="Y8" i="67"/>
  <c r="Q4" i="67"/>
  <c r="N8" i="67"/>
  <c r="S4" i="67"/>
  <c r="I5" i="67"/>
  <c r="K5" i="67"/>
  <c r="F7" i="67"/>
  <c r="T9" i="67"/>
  <c r="M10" i="67"/>
  <c r="D9" i="67"/>
  <c r="P8" i="67"/>
  <c r="O7" i="67"/>
  <c r="M6" i="67"/>
  <c r="X5" i="67"/>
  <c r="I10" i="67"/>
  <c r="C11" i="67"/>
  <c r="G6" i="67"/>
  <c r="X3" i="67"/>
  <c r="U10" i="67"/>
  <c r="N9" i="67"/>
  <c r="D8" i="67"/>
  <c r="O11" i="67"/>
  <c r="N11" i="67"/>
  <c r="X10" i="67"/>
  <c r="W10" i="67"/>
  <c r="S3" i="67"/>
  <c r="G4" i="67"/>
  <c r="Q7" i="67"/>
  <c r="D11" i="67"/>
  <c r="I4" i="67"/>
  <c r="U9" i="67"/>
  <c r="V10" i="67"/>
  <c r="D10" i="67"/>
  <c r="L8" i="67"/>
  <c r="V11" i="67"/>
  <c r="F3" i="67"/>
  <c r="V3" i="67"/>
  <c r="P4" i="67"/>
  <c r="C3" i="67"/>
  <c r="I9" i="67"/>
  <c r="T12" i="67"/>
  <c r="I12" i="67"/>
  <c r="C5" i="67"/>
  <c r="E7" i="67"/>
  <c r="Q10" i="67"/>
  <c r="W6" i="67"/>
  <c r="M4" i="67"/>
  <c r="D5" i="67"/>
  <c r="M5" i="67"/>
  <c r="O5" i="67"/>
  <c r="D6" i="67"/>
  <c r="C10" i="67"/>
  <c r="O9" i="67"/>
  <c r="W5" i="67"/>
  <c r="H12" i="67"/>
  <c r="K12" i="67"/>
  <c r="F11" i="67"/>
  <c r="C12" i="67"/>
  <c r="M3" i="67"/>
  <c r="Q12" i="67"/>
  <c r="P12" i="67"/>
  <c r="T3" i="67"/>
  <c r="V4" i="67"/>
  <c r="K7" i="67"/>
  <c r="Y11" i="67"/>
  <c r="E9" i="67"/>
  <c r="E8" i="67"/>
  <c r="O12" i="67"/>
  <c r="S11" i="67"/>
  <c r="C9" i="67"/>
  <c r="M12" i="67"/>
  <c r="L5" i="67"/>
  <c r="N4" i="67"/>
  <c r="X7" i="67"/>
  <c r="K11" i="67"/>
  <c r="T5" i="67"/>
  <c r="K10" i="67"/>
  <c r="V12" i="67"/>
  <c r="H3" i="67"/>
  <c r="S8" i="67"/>
  <c r="E12" i="67"/>
  <c r="W4" i="67"/>
  <c r="L4" i="67"/>
  <c r="C6" i="67"/>
  <c r="W3" i="67"/>
  <c r="P9" i="67"/>
  <c r="H4" i="67"/>
  <c r="G3" i="67"/>
  <c r="P5" i="67"/>
  <c r="F6" i="67"/>
  <c r="T6" i="67"/>
  <c r="I7" i="67"/>
  <c r="T8" i="67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C16" i="67" l="1"/>
  <c r="S16" i="67"/>
  <c r="K16" i="67"/>
  <c r="F13" i="67"/>
  <c r="M13" i="67"/>
  <c r="C13" i="67"/>
  <c r="J13" i="67" s="1"/>
  <c r="D13" i="67"/>
  <c r="T13" i="67"/>
  <c r="S13" i="67"/>
  <c r="W13" i="67"/>
  <c r="V13" i="67"/>
  <c r="P13" i="67"/>
  <c r="I13" i="67"/>
  <c r="E13" i="67"/>
  <c r="H13" i="67"/>
  <c r="O13" i="67"/>
  <c r="X13" i="67"/>
  <c r="Q13" i="67"/>
  <c r="U13" i="67"/>
  <c r="N13" i="67"/>
  <c r="L13" i="67"/>
  <c r="Y13" i="67"/>
  <c r="G13" i="67"/>
  <c r="K13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X14" i="67" l="1"/>
  <c r="N14" i="67"/>
  <c r="V14" i="67"/>
  <c r="T14" i="67"/>
  <c r="M14" i="67"/>
  <c r="L14" i="67"/>
  <c r="P14" i="67"/>
  <c r="Y14" i="67"/>
  <c r="Z13" i="67"/>
  <c r="S14" i="67"/>
  <c r="U14" i="67"/>
  <c r="R13" i="67"/>
  <c r="K14" i="67"/>
  <c r="O14" i="67"/>
  <c r="W14" i="67"/>
  <c r="Q14" i="67"/>
  <c r="T14" i="64"/>
  <c r="T15" i="64" s="1"/>
  <c r="T14" i="60"/>
  <c r="T15" i="60" s="1"/>
  <c r="T14" i="61"/>
  <c r="T15" i="61" s="1"/>
  <c r="T14" i="65"/>
  <c r="T15" i="65" s="1"/>
  <c r="T14" i="66"/>
  <c r="T15" i="66" s="1"/>
  <c r="T14" i="63"/>
  <c r="T15" i="63" s="1"/>
  <c r="T14" i="62"/>
  <c r="T15" i="62" s="1"/>
  <c r="T14" i="59"/>
  <c r="T15" i="59" s="1"/>
  <c r="T14" i="58"/>
  <c r="T15" i="58" s="1"/>
  <c r="T14" i="57"/>
  <c r="L14" i="62"/>
  <c r="L14" i="59"/>
  <c r="L14" i="58"/>
  <c r="L14" i="57"/>
  <c r="L15" i="57" s="1"/>
  <c r="L14" i="60"/>
  <c r="L14" i="61"/>
  <c r="L14" i="65"/>
  <c r="L14" i="66"/>
  <c r="L14" i="64"/>
  <c r="L14" i="63"/>
  <c r="D14" i="66"/>
  <c r="D14" i="65"/>
  <c r="J14" i="65" s="1"/>
  <c r="D14" i="61"/>
  <c r="AA14" i="66"/>
  <c r="V14" i="66"/>
  <c r="V15" i="66" s="1"/>
  <c r="Z14" i="66"/>
  <c r="Z15" i="66" s="1"/>
  <c r="Y14" i="66"/>
  <c r="Y15" i="66" s="1"/>
  <c r="X14" i="66"/>
  <c r="X15" i="66" s="1"/>
  <c r="W14" i="66"/>
  <c r="W15" i="66" s="1"/>
  <c r="I14" i="66"/>
  <c r="G14" i="66"/>
  <c r="K14" i="66"/>
  <c r="J14" i="66"/>
  <c r="H14" i="66"/>
  <c r="F14" i="66"/>
  <c r="E14" i="66"/>
  <c r="AA14" i="65"/>
  <c r="Z14" i="65"/>
  <c r="Z15" i="65" s="1"/>
  <c r="Y14" i="65"/>
  <c r="Y15" i="65" s="1"/>
  <c r="U14" i="65"/>
  <c r="U15" i="65" s="1"/>
  <c r="V14" i="65"/>
  <c r="V15" i="65" s="1"/>
  <c r="O14" i="65"/>
  <c r="N14" i="65"/>
  <c r="M14" i="65"/>
  <c r="Q14" i="65"/>
  <c r="P14" i="65"/>
  <c r="S14" i="65"/>
  <c r="R14" i="65"/>
  <c r="K14" i="65"/>
  <c r="E14" i="65"/>
  <c r="G14" i="65"/>
  <c r="F14" i="65"/>
  <c r="H14" i="65"/>
  <c r="D14" i="60"/>
  <c r="D14" i="64"/>
  <c r="D14" i="63"/>
  <c r="D14" i="62"/>
  <c r="D14" i="59"/>
  <c r="D14" i="58"/>
  <c r="D14" i="57"/>
  <c r="AA14" i="64"/>
  <c r="Z14" i="64"/>
  <c r="Z15" i="64" s="1"/>
  <c r="Y14" i="64"/>
  <c r="Y15" i="64" s="1"/>
  <c r="X14" i="64"/>
  <c r="X15" i="64" s="1"/>
  <c r="W14" i="64"/>
  <c r="W15" i="64" s="1"/>
  <c r="V14" i="64"/>
  <c r="V15" i="64" s="1"/>
  <c r="U14" i="64"/>
  <c r="U15" i="64" s="1"/>
  <c r="V14" i="61"/>
  <c r="V15" i="61" s="1"/>
  <c r="U14" i="61"/>
  <c r="U15" i="61" s="1"/>
  <c r="W14" i="61"/>
  <c r="W15" i="61" s="1"/>
  <c r="X14" i="61"/>
  <c r="X15" i="61" s="1"/>
  <c r="Z14" i="61"/>
  <c r="Z15" i="61" s="1"/>
  <c r="AA14" i="61"/>
  <c r="Y14" i="61"/>
  <c r="Y15" i="61" s="1"/>
  <c r="J14" i="61"/>
  <c r="I14" i="61"/>
  <c r="H14" i="61"/>
  <c r="G14" i="61"/>
  <c r="E14" i="61"/>
  <c r="F14" i="61"/>
  <c r="K14" i="61"/>
  <c r="O14" i="64"/>
  <c r="N14" i="64"/>
  <c r="S14" i="64"/>
  <c r="R14" i="64"/>
  <c r="Q14" i="64"/>
  <c r="S14" i="63"/>
  <c r="R14" i="63"/>
  <c r="Q14" i="63"/>
  <c r="M14" i="63"/>
  <c r="N14" i="63"/>
  <c r="O14" i="63"/>
  <c r="P14" i="63"/>
  <c r="O14" i="62"/>
  <c r="N14" i="62"/>
  <c r="M14" i="62"/>
  <c r="P14" i="62"/>
  <c r="R14" i="62"/>
  <c r="S14" i="62"/>
  <c r="Q14" i="62"/>
  <c r="K14" i="64"/>
  <c r="E14" i="64"/>
  <c r="J14" i="64"/>
  <c r="I14" i="64"/>
  <c r="H14" i="64"/>
  <c r="G14" i="64"/>
  <c r="F14" i="64"/>
  <c r="K14" i="62"/>
  <c r="J14" i="62"/>
  <c r="I14" i="62"/>
  <c r="H14" i="62"/>
  <c r="G14" i="62"/>
  <c r="E14" i="62"/>
  <c r="F14" i="62"/>
  <c r="U14" i="63"/>
  <c r="U15" i="63" s="1"/>
  <c r="AA14" i="63"/>
  <c r="Y14" i="63"/>
  <c r="Y15" i="63" s="1"/>
  <c r="Z14" i="63"/>
  <c r="Z15" i="63" s="1"/>
  <c r="V14" i="63"/>
  <c r="V15" i="63" s="1"/>
  <c r="X14" i="63"/>
  <c r="X15" i="63" s="1"/>
  <c r="W14" i="63"/>
  <c r="W15" i="63" s="1"/>
  <c r="AA14" i="62"/>
  <c r="Z14" i="62"/>
  <c r="Z15" i="62" s="1"/>
  <c r="Y14" i="62"/>
  <c r="Y15" i="62" s="1"/>
  <c r="X14" i="62"/>
  <c r="X15" i="62" s="1"/>
  <c r="W14" i="62"/>
  <c r="W15" i="62" s="1"/>
  <c r="V14" i="62"/>
  <c r="V15" i="62" s="1"/>
  <c r="U14" i="62"/>
  <c r="U15" i="62" s="1"/>
  <c r="I14" i="63"/>
  <c r="H14" i="63"/>
  <c r="G14" i="63"/>
  <c r="F14" i="63"/>
  <c r="E14" i="63"/>
  <c r="K14" i="63"/>
  <c r="J14" i="63"/>
  <c r="Q14" i="61"/>
  <c r="S14" i="61"/>
  <c r="R14" i="61"/>
  <c r="P14" i="61"/>
  <c r="O14" i="61"/>
  <c r="N14" i="61"/>
  <c r="M14" i="61"/>
  <c r="AA14" i="60"/>
  <c r="Z14" i="60"/>
  <c r="Z15" i="60" s="1"/>
  <c r="Y14" i="60"/>
  <c r="Y15" i="60" s="1"/>
  <c r="X14" i="60"/>
  <c r="X15" i="60" s="1"/>
  <c r="W14" i="60"/>
  <c r="W15" i="60" s="1"/>
  <c r="V14" i="60"/>
  <c r="V15" i="60" s="1"/>
  <c r="U14" i="60"/>
  <c r="U15" i="60" s="1"/>
  <c r="O14" i="60"/>
  <c r="N14" i="60"/>
  <c r="M14" i="60"/>
  <c r="P14" i="60"/>
  <c r="S14" i="60"/>
  <c r="R14" i="60"/>
  <c r="Q14" i="60"/>
  <c r="U14" i="59"/>
  <c r="U15" i="59" s="1"/>
  <c r="V14" i="59"/>
  <c r="V15" i="59" s="1"/>
  <c r="Y14" i="59"/>
  <c r="Y15" i="59" s="1"/>
  <c r="X14" i="59"/>
  <c r="X15" i="59" s="1"/>
  <c r="W14" i="59"/>
  <c r="W15" i="59" s="1"/>
  <c r="AA14" i="59"/>
  <c r="Z14" i="59"/>
  <c r="Z15" i="59" s="1"/>
  <c r="J14" i="60"/>
  <c r="K14" i="60"/>
  <c r="G14" i="60"/>
  <c r="I14" i="60"/>
  <c r="F14" i="60"/>
  <c r="E14" i="60"/>
  <c r="H14" i="60"/>
  <c r="I14" i="59"/>
  <c r="H14" i="59"/>
  <c r="G14" i="59"/>
  <c r="F14" i="59"/>
  <c r="E14" i="59"/>
  <c r="K14" i="59"/>
  <c r="J14" i="59"/>
  <c r="S14" i="59"/>
  <c r="R14" i="59"/>
  <c r="P14" i="59"/>
  <c r="Q14" i="59"/>
  <c r="M14" i="59"/>
  <c r="O14" i="59"/>
  <c r="N14" i="59"/>
  <c r="N14" i="58"/>
  <c r="M14" i="58"/>
  <c r="P14" i="58"/>
  <c r="S14" i="58"/>
  <c r="Q14" i="58"/>
  <c r="O14" i="58"/>
  <c r="R14" i="58"/>
  <c r="J14" i="58"/>
  <c r="I14" i="58"/>
  <c r="H14" i="58"/>
  <c r="E14" i="58"/>
  <c r="G14" i="58"/>
  <c r="F14" i="58"/>
  <c r="K14" i="58"/>
  <c r="AA14" i="58"/>
  <c r="Z14" i="58"/>
  <c r="Z15" i="58" s="1"/>
  <c r="Y14" i="58"/>
  <c r="Y15" i="58" s="1"/>
  <c r="X14" i="58"/>
  <c r="X15" i="58" s="1"/>
  <c r="W14" i="58"/>
  <c r="W15" i="58" s="1"/>
  <c r="V14" i="58"/>
  <c r="V15" i="58" s="1"/>
  <c r="U14" i="58"/>
  <c r="U15" i="58" s="1"/>
  <c r="O14" i="57"/>
  <c r="O15" i="57" s="1"/>
  <c r="Q14" i="57"/>
  <c r="Q15" i="57" s="1"/>
  <c r="N14" i="57"/>
  <c r="N15" i="57" s="1"/>
  <c r="M14" i="57"/>
  <c r="M15" i="57" s="1"/>
  <c r="R14" i="57"/>
  <c r="R15" i="57" s="1"/>
  <c r="S14" i="57"/>
  <c r="P14" i="57"/>
  <c r="P15" i="57" s="1"/>
  <c r="J14" i="57"/>
  <c r="H14" i="57"/>
  <c r="G14" i="57"/>
  <c r="E14" i="57"/>
  <c r="I14" i="57"/>
  <c r="K14" i="57"/>
  <c r="F14" i="57"/>
  <c r="AA14" i="57"/>
  <c r="Z14" i="57"/>
  <c r="Y14" i="57"/>
  <c r="V14" i="57"/>
  <c r="U14" i="57"/>
  <c r="X14" i="57"/>
  <c r="W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W14" i="65" l="1"/>
  <c r="W15" i="65" s="1"/>
  <c r="X14" i="65"/>
  <c r="X15" i="65" s="1"/>
  <c r="U14" i="66"/>
  <c r="U15" i="66" s="1"/>
  <c r="S14" i="66"/>
  <c r="J2" i="66" s="1"/>
  <c r="Q14" i="66"/>
  <c r="P14" i="66"/>
  <c r="M14" i="66"/>
  <c r="R14" i="66"/>
  <c r="N14" i="66"/>
  <c r="O14" i="66"/>
  <c r="P14" i="64"/>
  <c r="M14" i="64"/>
  <c r="X2" i="66"/>
  <c r="I14" i="65"/>
  <c r="P2" i="65"/>
  <c r="H2" i="65"/>
  <c r="R2" i="65"/>
  <c r="Z2" i="65"/>
  <c r="J2" i="65"/>
  <c r="R2" i="61"/>
  <c r="J2" i="61"/>
  <c r="X2" i="62"/>
  <c r="Z2" i="59"/>
  <c r="Z2" i="62"/>
  <c r="J2" i="62"/>
  <c r="R2" i="62"/>
  <c r="Z2" i="63"/>
  <c r="X2" i="64"/>
  <c r="Z2" i="60"/>
  <c r="P2" i="61"/>
  <c r="J2" i="59"/>
  <c r="P2" i="63"/>
  <c r="X2" i="59"/>
  <c r="H2" i="63"/>
  <c r="H2" i="64"/>
  <c r="X2" i="63"/>
  <c r="Z2" i="61"/>
  <c r="X2" i="58"/>
  <c r="J2" i="60"/>
  <c r="X2" i="61"/>
  <c r="H2" i="61"/>
  <c r="H2" i="62"/>
  <c r="R2" i="63"/>
  <c r="J2" i="63"/>
  <c r="P2" i="62"/>
  <c r="R2" i="64"/>
  <c r="J2" i="64"/>
  <c r="Z2" i="64"/>
  <c r="P2" i="64"/>
  <c r="P2" i="60"/>
  <c r="X2" i="60"/>
  <c r="H2" i="59"/>
  <c r="P2" i="59"/>
  <c r="H2" i="60"/>
  <c r="R2" i="59"/>
  <c r="R2" i="60"/>
  <c r="H2" i="58"/>
  <c r="R2" i="58"/>
  <c r="Z2" i="58"/>
  <c r="J2" i="58"/>
  <c r="P2" i="58"/>
  <c r="X2" i="57"/>
  <c r="R2" i="57"/>
  <c r="P2" i="57"/>
  <c r="J2" i="57"/>
  <c r="H2" i="57"/>
  <c r="Z2" i="57"/>
  <c r="G14" i="26"/>
  <c r="E14" i="26"/>
  <c r="D14" i="26"/>
  <c r="K14" i="26"/>
  <c r="P14" i="25"/>
  <c r="N14" i="25"/>
  <c r="M14" i="25"/>
  <c r="T14" i="25"/>
  <c r="D14" i="25"/>
  <c r="I4" i="23" a="1"/>
  <c r="H4" i="23" a="1"/>
  <c r="X2" i="65" l="1"/>
  <c r="R2" i="66"/>
  <c r="Z2" i="66"/>
  <c r="H2" i="66"/>
  <c r="P2" i="66"/>
  <c r="H4" i="23"/>
  <c r="I4" i="23"/>
  <c r="G6" i="23" a="1"/>
  <c r="E9" i="23" a="1"/>
  <c r="F7" i="23" a="1"/>
  <c r="E4" i="23" a="1"/>
  <c r="F11" i="23" a="1"/>
  <c r="F4" i="23" a="1"/>
  <c r="D12" i="23" a="1"/>
  <c r="G8" i="23" a="1"/>
  <c r="F5" i="23" a="1"/>
  <c r="E11" i="23" a="1"/>
  <c r="E8" i="23" a="1"/>
  <c r="G13" i="23" a="1"/>
  <c r="F10" i="23" a="1"/>
  <c r="D13" i="23" a="1"/>
  <c r="G4" i="23" a="1"/>
  <c r="E6" i="23" a="1"/>
  <c r="F6" i="23" a="1"/>
  <c r="D4" i="23" a="1"/>
  <c r="D8" i="23" a="1"/>
  <c r="D11" i="23" a="1"/>
  <c r="F12" i="23" a="1"/>
  <c r="G11" i="23" a="1"/>
  <c r="G5" i="23" a="1"/>
  <c r="G10" i="23" a="1"/>
  <c r="F13" i="23" a="1"/>
  <c r="E12" i="23" a="1"/>
  <c r="D5" i="23" a="1"/>
  <c r="E13" i="23" a="1"/>
  <c r="D7" i="23" a="1"/>
  <c r="E10" i="23" a="1"/>
  <c r="D6" i="23" a="1"/>
  <c r="E5" i="23" a="1"/>
  <c r="E7" i="23" a="1"/>
  <c r="G7" i="23" a="1"/>
  <c r="G9" i="23" a="1"/>
  <c r="F9" i="23" a="1"/>
  <c r="F8" i="23" a="1"/>
  <c r="G12" i="23" a="1"/>
  <c r="D10" i="23" a="1"/>
  <c r="D9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<sst xmlns="http://schemas.openxmlformats.org/spreadsheetml/2006/main" count="677" uniqueCount="22">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</sst>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8E51-B34E-AA4F-B293-FEE036DF1A1F}">
  <dimension ref="B2:Z16"/>
  <sheetViews>
    <sheetView topLeftCell="N1" zoomScale="135" zoomScaleNormal="85" workbookViewId="0">
      <selection activeCell="N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40</v>
      </c>
      <c r="C3" s="5" cm="1">
        <f t="array" aca="1" ref="C3" ca="1">INDIRECT("'results" &amp; $B3 &amp; "'!D$14")</f>
        <v>716668.26001710631</v>
      </c>
      <c r="D3" s="33" cm="1">
        <f t="array" aca="1" ref="D3" ca="1">INDIRECT("'results" &amp; $B3 &amp; "'!E$14")</f>
        <v>35.765603167004883</v>
      </c>
      <c r="E3" s="5" cm="1">
        <f t="array" aca="1" ref="E3" ca="1">INDIRECT("'results" &amp; $B3 &amp; "'!F$14")</f>
        <v>10</v>
      </c>
      <c r="F3" s="5" cm="1">
        <f t="array" aca="1" ref="F3" ca="1">INDIRECT("'results" &amp; $B3 &amp; "'!G$14")</f>
        <v>91</v>
      </c>
      <c r="G3" s="5" cm="1">
        <f t="array" aca="1" ref="G3" ca="1">INDIRECT("'results" &amp; $B3 &amp; "'!H$14")</f>
        <v>111.5420679947196</v>
      </c>
      <c r="H3" s="33" cm="1">
        <f t="array" aca="1" ref="H3" ca="1">INDIRECT("'results" &amp; $B3 &amp; "'!I$14")</f>
        <v>36.981643930929394</v>
      </c>
      <c r="I3" s="5" cm="1">
        <f t="array" aca="1" ref="I3" ca="1">INDIRECT("'results" &amp; $B3 &amp; "'!J$14")</f>
        <v>4378.7415466094699</v>
      </c>
      <c r="J3" s="5"/>
      <c r="K3" s="5" cm="1">
        <f t="array" aca="1" ref="K3" ca="1">INDIRECT("'results" &amp; $B3 &amp; "'!L$14")</f>
        <v>954442.90509794804</v>
      </c>
      <c r="L3" s="5" cm="1">
        <f t="array" aca="1" ref="L3" ca="1">INDIRECT("'results" &amp; $B3 &amp; "'!M$14")</f>
        <v>85.004437790994416</v>
      </c>
      <c r="M3" s="5" cm="1">
        <f t="array" aca="1" ref="M3" ca="1">INDIRECT("'results" &amp; $B3 &amp; "'!N$14")</f>
        <v>17</v>
      </c>
      <c r="N3" s="5" cm="1">
        <f t="array" aca="1" ref="N3" ca="1">INDIRECT("'results" &amp; $B3 &amp; "'!O$14")</f>
        <v>82</v>
      </c>
      <c r="O3" s="5" cm="1">
        <f t="array" aca="1" ref="O3" ca="1">INDIRECT("'results" &amp; $B3 &amp; "'!P$14")</f>
        <v>84.676180633148903</v>
      </c>
      <c r="P3" s="5" cm="1">
        <f t="array" aca="1" ref="P3" ca="1">INDIRECT("'results" &amp; $B3 &amp; "'!Q$14")</f>
        <v>19.25158248189603</v>
      </c>
      <c r="Q3" s="5" cm="1">
        <f t="array" aca="1" ref="Q3" ca="1">INDIRECT("'results" &amp; $B3 &amp; "'!R$14")</f>
        <v>3756.6769158399115</v>
      </c>
      <c r="R3" s="5"/>
      <c r="S3" s="5" cm="1">
        <f t="array" aca="1" ref="S3" ca="1">INDIRECT("'results" &amp; $B3 &amp; "'!T$14")</f>
        <v>899542.55492107</v>
      </c>
      <c r="T3" s="5" cm="1">
        <f t="array" aca="1" ref="T3" ca="1">INDIRECT("'results" &amp; $B3 &amp; "'!U$14")</f>
        <v>89.239183790996321</v>
      </c>
      <c r="U3" s="5" cm="1">
        <f t="array" aca="1" ref="U3" ca="1">INDIRECT("'results" &amp; $B3 &amp; "'!V$14")</f>
        <v>11</v>
      </c>
      <c r="V3" s="5" cm="1">
        <f t="array" aca="1" ref="V3" ca="1">INDIRECT("'results" &amp; $B3 &amp; "'!W$14")</f>
        <v>88</v>
      </c>
      <c r="W3" s="5" cm="1">
        <f t="array" aca="1" ref="W3" ca="1">INDIRECT("'results" &amp; $B3 &amp; "'!X$14")</f>
        <v>695.00804991044299</v>
      </c>
      <c r="X3" s="5" cm="1">
        <f t="array" aca="1" ref="X3" ca="1">INDIRECT("'results" &amp; $B3 &amp; "'!Y$14")</f>
        <v>61.84222347611621</v>
      </c>
      <c r="Y3" s="5" cm="1">
        <f t="array" aca="1" ref="Y3" ca="1">INDIRECT("'results" &amp; $B3 &amp; "'!Z$14")</f>
        <v>6011.7125487058101</v>
      </c>
      <c r="Z3" s="5"/>
    </row>
    <row r="4" spans="2:26" x14ac:dyDescent="0.2">
      <c r="B4" s="4">
        <v>271</v>
      </c>
      <c r="C4" s="5" cm="1">
        <f t="array" aca="1" ref="C4" ca="1">INDIRECT("'results" &amp; $B4 &amp; "'!D$14")</f>
        <v>723697.73466980807</v>
      </c>
      <c r="D4" s="33" cm="1">
        <f t="array" aca="1" ref="D4" ca="1">INDIRECT("'results" &amp; $B4 &amp; "'!E$14")</f>
        <v>44.426902166997017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93</v>
      </c>
      <c r="G4" s="5" cm="1">
        <f t="array" aca="1" ref="G4" ca="1">INDIRECT("'results" &amp; $B4 &amp; "'!H$14")</f>
        <v>110.33690245281598</v>
      </c>
      <c r="H4" s="33" cm="1">
        <f t="array" aca="1" ref="H4" ca="1">INDIRECT("'results" &amp; $B4 &amp; "'!I$14")</f>
        <v>33.071076228134977</v>
      </c>
      <c r="I4" s="5" cm="1">
        <f t="array" aca="1" ref="I4" ca="1">INDIRECT("'results" &amp; $B4 &amp; "'!J$14")</f>
        <v>4461.530859961641</v>
      </c>
      <c r="J4" s="5"/>
      <c r="K4" s="5" cm="1">
        <f t="array" aca="1" ref="K4" ca="1">INDIRECT("'results" &amp; $B4 &amp; "'!L$14")</f>
        <v>937766.23370606708</v>
      </c>
      <c r="L4" s="5" cm="1">
        <f t="array" aca="1" ref="L4" ca="1">INDIRECT("'results" &amp; $B4 &amp; "'!M$14")</f>
        <v>68.117523667009664</v>
      </c>
      <c r="M4" s="5" cm="1">
        <f t="array" aca="1" ref="M4" ca="1">INDIRECT("'results" &amp; $B4 &amp; "'!N$14")</f>
        <v>21</v>
      </c>
      <c r="N4" s="5" cm="1">
        <f t="array" aca="1" ref="N4" ca="1">INDIRECT("'results" &amp; $B4 &amp; "'!O$14")</f>
        <v>90</v>
      </c>
      <c r="O4" s="5" cm="1">
        <f t="array" aca="1" ref="O4" ca="1">INDIRECT("'results" &amp; $B4 &amp; "'!P$14")</f>
        <v>100.40531977108344</v>
      </c>
      <c r="P4" s="5" cm="1">
        <f t="array" aca="1" ref="P4" ca="1">INDIRECT("'results" &amp; $B4 &amp; "'!Q$14")</f>
        <v>16.850586853410544</v>
      </c>
      <c r="Q4" s="5" cm="1">
        <f t="array" aca="1" ref="Q4" ca="1">INDIRECT("'results" &amp; $B4 &amp; "'!R$14")</f>
        <v>4110.8539355987314</v>
      </c>
      <c r="R4" s="5"/>
      <c r="S4" s="5" cm="1">
        <f t="array" aca="1" ref="S4" ca="1">INDIRECT("'results" &amp; $B4 &amp; "'!T$14")</f>
        <v>882149.82199536753</v>
      </c>
      <c r="T4" s="5" cm="1">
        <f t="array" aca="1" ref="T4" ca="1">INDIRECT("'results" &amp; $B4 &amp; "'!U$14")</f>
        <v>114.9830127909954</v>
      </c>
      <c r="U4" s="5" cm="1">
        <f t="array" aca="1" ref="U4" ca="1">INDIRECT("'results" &amp; $B4 &amp; "'!V$14")</f>
        <v>14</v>
      </c>
      <c r="V4" s="5" cm="1">
        <f t="array" aca="1" ref="V4" ca="1">INDIRECT("'results" &amp; $B4 &amp; "'!W$14")</f>
        <v>92</v>
      </c>
      <c r="W4" s="5" cm="1">
        <f t="array" aca="1" ref="W4" ca="1">INDIRECT("'results" &amp; $B4 &amp; "'!X$14")</f>
        <v>530.16194575989255</v>
      </c>
      <c r="X4" s="5" cm="1">
        <f t="array" aca="1" ref="X4" ca="1">INDIRECT("'results" &amp; $B4 &amp; "'!Y$14")</f>
        <v>47.960728990914092</v>
      </c>
      <c r="Y4" s="5" cm="1">
        <f t="array" aca="1" ref="Y4" ca="1">INDIRECT("'results" &amp; $B4 &amp; "'!Z$14")</f>
        <v>5683.2862729253011</v>
      </c>
      <c r="Z4" s="5"/>
    </row>
    <row r="5" spans="2:26" x14ac:dyDescent="0.2">
      <c r="B5" s="4">
        <v>421</v>
      </c>
      <c r="C5" s="5" cm="1">
        <f t="array" aca="1" ref="C5" ca="1">INDIRECT("'results" &amp; $B5 &amp; "'!D$14")</f>
        <v>746883.48351933307</v>
      </c>
      <c r="D5" s="33" cm="1">
        <f t="array" aca="1" ref="D5" ca="1">INDIRECT("'results" &amp; $B5 &amp; "'!E$14")</f>
        <v>46.529617291998868</v>
      </c>
      <c r="E5" s="5" cm="1">
        <f t="array" aca="1" ref="E5" ca="1">INDIRECT("'results" &amp; $B5 &amp; "'!F$14")</f>
        <v>11</v>
      </c>
      <c r="F5" s="5" cm="1">
        <f t="array" aca="1" ref="F5" ca="1">INDIRECT("'results" &amp; $B5 &amp; "'!G$14")</f>
        <v>94</v>
      </c>
      <c r="G5" s="5" cm="1">
        <f t="array" aca="1" ref="G5" ca="1">INDIRECT("'results" &amp; $B5 &amp; "'!H$14")</f>
        <v>151.40726774032493</v>
      </c>
      <c r="H5" s="33" cm="1">
        <f t="array" aca="1" ref="H5" ca="1">INDIRECT("'results" &amp; $B5 &amp; "'!I$14")</f>
        <v>31.076468812490877</v>
      </c>
      <c r="I5" s="5" cm="1">
        <f t="array" aca="1" ref="I5" ca="1">INDIRECT("'results" &amp; $B5 &amp; "'!J$14")</f>
        <v>4722.4927700850794</v>
      </c>
      <c r="J5" s="5"/>
      <c r="K5" s="5" cm="1">
        <f t="array" aca="1" ref="K5" ca="1">INDIRECT("'results" &amp; $B5 &amp; "'!L$14")</f>
        <v>958459.67830361286</v>
      </c>
      <c r="L5" s="5" cm="1">
        <f t="array" aca="1" ref="L5" ca="1">INDIRECT("'results" &amp; $B5 &amp; "'!M$14")</f>
        <v>158.81667095801089</v>
      </c>
      <c r="M5" s="5" cm="1">
        <f t="array" aca="1" ref="M5" ca="1">INDIRECT("'results" &amp; $B5 &amp; "'!N$14")</f>
        <v>19</v>
      </c>
      <c r="N5" s="5" cm="1">
        <f t="array" aca="1" ref="N5" ca="1">INDIRECT("'results" &amp; $B5 &amp; "'!O$14")</f>
        <v>87</v>
      </c>
      <c r="O5" s="5" cm="1">
        <f t="array" aca="1" ref="O5" ca="1">INDIRECT("'results" &amp; $B5 &amp; "'!P$14")</f>
        <v>109.18392201185475</v>
      </c>
      <c r="P5" s="5" cm="1">
        <f t="array" aca="1" ref="P5" ca="1">INDIRECT("'results" &amp; $B5 &amp; "'!Q$14")</f>
        <v>16.246501053271942</v>
      </c>
      <c r="Q5" s="5" cm="1">
        <f t="array" aca="1" ref="Q5" ca="1">INDIRECT("'results" &amp; $B5 &amp; "'!R$14")</f>
        <v>4115.5040087745301</v>
      </c>
      <c r="R5" s="5"/>
      <c r="S5" s="5" cm="1">
        <f t="array" aca="1" ref="S5" ca="1">INDIRECT("'results" &amp; $B5 &amp; "'!T$14")</f>
        <v>947498.21208686871</v>
      </c>
      <c r="T5" s="5" cm="1">
        <f t="array" aca="1" ref="T5" ca="1">INDIRECT("'results" &amp; $B5 &amp; "'!U$14")</f>
        <v>92.801010958995903</v>
      </c>
      <c r="U5" s="5" cm="1">
        <f t="array" aca="1" ref="U5" ca="1">INDIRECT("'results" &amp; $B5 &amp; "'!V$14")</f>
        <v>13</v>
      </c>
      <c r="V5" s="5" cm="1">
        <f t="array" aca="1" ref="V5" ca="1">INDIRECT("'results" &amp; $B5 &amp; "'!W$14")</f>
        <v>89</v>
      </c>
      <c r="W5" s="5" cm="1">
        <f t="array" aca="1" ref="W5" ca="1">INDIRECT("'results" &amp; $B5 &amp; "'!X$14")</f>
        <v>687.46193347850192</v>
      </c>
      <c r="X5" s="5" cm="1">
        <f t="array" aca="1" ref="X5" ca="1">INDIRECT("'results" &amp; $B5 &amp; "'!Y$14")</f>
        <v>44.916322249971735</v>
      </c>
      <c r="Y5" s="5" cm="1">
        <f t="array" aca="1" ref="Y5" ca="1">INDIRECT("'results" &amp; $B5 &amp; "'!Z$14")</f>
        <v>5829.4037650636483</v>
      </c>
      <c r="Z5" s="5"/>
    </row>
    <row r="6" spans="2:26" x14ac:dyDescent="0.2">
      <c r="B6" s="4">
        <v>465</v>
      </c>
      <c r="C6" s="5" cm="1">
        <f t="array" aca="1" ref="C6" ca="1">INDIRECT("'results" &amp; $B6 &amp; "'!D$14")</f>
        <v>753959.88880145166</v>
      </c>
      <c r="D6" s="33" cm="1">
        <f t="array" aca="1" ref="D6" ca="1">INDIRECT("'results" &amp; $B6 &amp; "'!E$14")</f>
        <v>42.16535066600045</v>
      </c>
      <c r="E6" s="5" cm="1">
        <f t="array" aca="1" ref="E6" ca="1">INDIRECT("'results" &amp; $B6 &amp; "'!F$14")</f>
        <v>11</v>
      </c>
      <c r="F6" s="5" cm="1">
        <f t="array" aca="1" ref="F6" ca="1">INDIRECT("'results" &amp; $B6 &amp; "'!G$14")</f>
        <v>92</v>
      </c>
      <c r="G6" s="5" cm="1">
        <f t="array" aca="1" ref="G6" ca="1">INDIRECT("'results" &amp; $B6 &amp; "'!H$14")</f>
        <v>116.32362340640475</v>
      </c>
      <c r="H6" s="33" cm="1">
        <f t="array" aca="1" ref="H6" ca="1">INDIRECT("'results" &amp; $B6 &amp; "'!I$14")</f>
        <v>32.134333692996364</v>
      </c>
      <c r="I6" s="5" cm="1">
        <f t="array" aca="1" ref="I6" ca="1">INDIRECT("'results" &amp; $B6 &amp; "'!J$14")</f>
        <v>4504.4035895479983</v>
      </c>
      <c r="J6" s="5"/>
      <c r="K6" s="5" cm="1">
        <f t="array" aca="1" ref="K6" ca="1">INDIRECT("'results" &amp; $B6 &amp; "'!L$14")</f>
        <v>957035.32869964442</v>
      </c>
      <c r="L6" s="5" cm="1">
        <f t="array" aca="1" ref="L6" ca="1">INDIRECT("'results" &amp; $B6 &amp; "'!M$14")</f>
        <v>59.971445083996507</v>
      </c>
      <c r="M6" s="5" cm="1">
        <f t="array" aca="1" ref="M6" ca="1">INDIRECT("'results" &amp; $B6 &amp; "'!N$14")</f>
        <v>17</v>
      </c>
      <c r="N6" s="5" cm="1">
        <f t="array" aca="1" ref="N6" ca="1">INDIRECT("'results" &amp; $B6 &amp; "'!O$14")</f>
        <v>84</v>
      </c>
      <c r="O6" s="5" cm="1">
        <f t="array" aca="1" ref="O6" ca="1">INDIRECT("'results" &amp; $B6 &amp; "'!P$14")</f>
        <v>113.78547725076056</v>
      </c>
      <c r="P6" s="5" cm="1">
        <f t="array" aca="1" ref="P6" ca="1">INDIRECT("'results" &amp; $B6 &amp; "'!Q$14")</f>
        <v>18.334023122207352</v>
      </c>
      <c r="Q6" s="5" cm="1">
        <f t="array" aca="1" ref="Q6" ca="1">INDIRECT("'results" &amp; $B6 &amp; "'!R$14")</f>
        <v>4017.2543993367899</v>
      </c>
      <c r="R6" s="5"/>
      <c r="S6" s="5" cm="1">
        <f t="array" aca="1" ref="S6" ca="1">INDIRECT("'results" &amp; $B6 &amp; "'!T$14")</f>
        <v>940181.6106669415</v>
      </c>
      <c r="T6" s="5" cm="1">
        <f t="array" aca="1" ref="T6" ca="1">INDIRECT("'results" &amp; $B6 &amp; "'!U$14")</f>
        <v>115.4990058750118</v>
      </c>
      <c r="U6" s="5" cm="1">
        <f t="array" aca="1" ref="U6" ca="1">INDIRECT("'results" &amp; $B6 &amp; "'!V$14")</f>
        <v>13</v>
      </c>
      <c r="V6" s="5" cm="1">
        <f t="array" aca="1" ref="V6" ca="1">INDIRECT("'results" &amp; $B6 &amp; "'!W$14")</f>
        <v>87</v>
      </c>
      <c r="W6" s="5" cm="1">
        <f t="array" aca="1" ref="W6" ca="1">INDIRECT("'results" &amp; $B6 &amp; "'!X$14")</f>
        <v>480.9621293652641</v>
      </c>
      <c r="X6" s="5" cm="1">
        <f t="array" aca="1" ref="X6" ca="1">INDIRECT("'results" &amp; $B6 &amp; "'!Y$14")</f>
        <v>44.627318517020278</v>
      </c>
      <c r="Y6" s="5" cm="1">
        <f t="array" aca="1" ref="Y6" ca="1">INDIRECT("'results" &amp; $B6 &amp; "'!Z$14")</f>
        <v>5523.7865466329149</v>
      </c>
      <c r="Z6" s="5"/>
    </row>
    <row r="7" spans="2:26" x14ac:dyDescent="0.2">
      <c r="B7" s="4">
        <v>611</v>
      </c>
      <c r="C7" s="5" cm="1">
        <f t="array" aca="1" ref="C7" ca="1">INDIRECT("'results" &amp; $B7 &amp; "'!D$14")</f>
        <v>710223.02850057522</v>
      </c>
      <c r="D7" s="33" cm="1">
        <f t="array" aca="1" ref="D7" ca="1">INDIRECT("'results" &amp; $B7 &amp; "'!E$14")</f>
        <v>47.319117082995938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91</v>
      </c>
      <c r="G7" s="5" cm="1">
        <f t="array" aca="1" ref="G7" ca="1">INDIRECT("'results" &amp; $B7 &amp; "'!H$14")</f>
        <v>18.479919503241316</v>
      </c>
      <c r="H7" s="33" cm="1">
        <f t="array" aca="1" ref="H7" ca="1">INDIRECT("'results" &amp; $B7 &amp; "'!I$14")</f>
        <v>33.923350608283698</v>
      </c>
      <c r="I7" s="5" cm="1">
        <f t="array" aca="1" ref="I7" ca="1">INDIRECT("'results" &amp; $B7 &amp; "'!J$14")</f>
        <v>4211.2101301103658</v>
      </c>
      <c r="J7" s="5"/>
      <c r="K7" s="5" cm="1">
        <f t="array" aca="1" ref="K7" ca="1">INDIRECT("'results" &amp; $B7 &amp; "'!L$14")</f>
        <v>988004.25167339703</v>
      </c>
      <c r="L7" s="5" cm="1">
        <f t="array" aca="1" ref="L7" ca="1">INDIRECT("'results" &amp; $B7 &amp; "'!M$14")</f>
        <v>57.566250000003492</v>
      </c>
      <c r="M7" s="5" cm="1">
        <f t="array" aca="1" ref="M7" ca="1">INDIRECT("'results" &amp; $B7 &amp; "'!N$14")</f>
        <v>17</v>
      </c>
      <c r="N7" s="5" cm="1">
        <f t="array" aca="1" ref="N7" ca="1">INDIRECT("'results" &amp; $B7 &amp; "'!O$14")</f>
        <v>79</v>
      </c>
      <c r="O7" s="5" cm="1">
        <f t="array" aca="1" ref="O7" ca="1">INDIRECT("'results" &amp; $B7 &amp; "'!P$14")</f>
        <v>24.534410776343964</v>
      </c>
      <c r="P7" s="5" cm="1">
        <f t="array" aca="1" ref="P7" ca="1">INDIRECT("'results" &amp; $B7 &amp; "'!Q$14")</f>
        <v>17.122703169345279</v>
      </c>
      <c r="Q7" s="5" cm="1">
        <f t="array" aca="1" ref="Q7" ca="1">INDIRECT("'results" &amp; $B7 &amp; "'!R$14")</f>
        <v>3487.4994328346661</v>
      </c>
      <c r="R7" s="5"/>
      <c r="S7" s="5" cm="1">
        <f t="array" aca="1" ref="S7" ca="1">INDIRECT("'results" &amp; $B7 &amp; "'!T$14")</f>
        <v>866213.35773673689</v>
      </c>
      <c r="T7" s="5" cm="1">
        <f t="array" aca="1" ref="T7" ca="1">INDIRECT("'results" &amp; $B7 &amp; "'!U$14")</f>
        <v>64.446523708989844</v>
      </c>
      <c r="U7" s="5" cm="1">
        <f t="array" aca="1" ref="U7" ca="1">INDIRECT("'results" &amp; $B7 &amp; "'!V$14")</f>
        <v>13</v>
      </c>
      <c r="V7" s="5" cm="1">
        <f t="array" aca="1" ref="V7" ca="1">INDIRECT("'results" &amp; $B7 &amp; "'!W$14")</f>
        <v>91</v>
      </c>
      <c r="W7" s="5" cm="1">
        <f t="array" aca="1" ref="W7" ca="1">INDIRECT("'results" &amp; $B7 &amp; "'!X$14")</f>
        <v>452.01728389340525</v>
      </c>
      <c r="X7" s="5" cm="1">
        <f t="array" aca="1" ref="X7" ca="1">INDIRECT("'results" &amp; $B7 &amp; "'!Y$14")</f>
        <v>47.785684810462982</v>
      </c>
      <c r="Y7" s="5" cm="1">
        <f t="array" aca="1" ref="Y7" ca="1">INDIRECT("'results" &amp; $B7 &amp; "'!Z$14")</f>
        <v>5476.6516871782596</v>
      </c>
      <c r="Z7" s="5"/>
    </row>
    <row r="8" spans="2:26" x14ac:dyDescent="0.2">
      <c r="B8" s="4">
        <v>614</v>
      </c>
      <c r="C8" s="5" cm="1">
        <f t="array" aca="1" ref="C8" ca="1">INDIRECT("'results" &amp; $B8 &amp; "'!D$14")</f>
        <v>733456.93078387226</v>
      </c>
      <c r="D8" s="33" cm="1">
        <f t="array" aca="1" ref="D8" ca="1">INDIRECT("'results" &amp; $B8 &amp; "'!E$14")</f>
        <v>59.236493832999258</v>
      </c>
      <c r="E8" s="5" cm="1">
        <f t="array" aca="1" ref="E8" ca="1">INDIRECT("'results" &amp; $B8 &amp; "'!F$14")</f>
        <v>12</v>
      </c>
      <c r="F8" s="5" cm="1">
        <f t="array" aca="1" ref="F8" ca="1">INDIRECT("'results" &amp; $B8 &amp; "'!G$14")</f>
        <v>93</v>
      </c>
      <c r="G8" s="5" cm="1">
        <f t="array" aca="1" ref="G8" ca="1">INDIRECT("'results" &amp; $B8 &amp; "'!H$14")</f>
        <v>48.721269671759721</v>
      </c>
      <c r="H8" s="33" cm="1">
        <f t="array" aca="1" ref="H8" ca="1">INDIRECT("'results" &amp; $B8 &amp; "'!I$14")</f>
        <v>29.479485726536605</v>
      </c>
      <c r="I8" s="5" cm="1">
        <f t="array" aca="1" ref="I8" ca="1">INDIRECT("'results" &amp; $B8 &amp; "'!J$14")</f>
        <v>4420.0507782568002</v>
      </c>
      <c r="J8" s="5"/>
      <c r="K8" s="5" cm="1">
        <f t="array" aca="1" ref="K8" ca="1">INDIRECT("'results" &amp; $B8 &amp; "'!L$14")</f>
        <v>982273.2812711345</v>
      </c>
      <c r="L8" s="5" cm="1">
        <f t="array" aca="1" ref="L8" ca="1">INDIRECT("'results" &amp; $B8 &amp; "'!M$14")</f>
        <v>87.698620417009806</v>
      </c>
      <c r="M8" s="5" cm="1">
        <f t="array" aca="1" ref="M8" ca="1">INDIRECT("'results" &amp; $B8 &amp; "'!N$14")</f>
        <v>19</v>
      </c>
      <c r="N8" s="5" cm="1">
        <f t="array" aca="1" ref="N8" ca="1">INDIRECT("'results" &amp; $B8 &amp; "'!O$14")</f>
        <v>85</v>
      </c>
      <c r="O8" s="5" cm="1">
        <f t="array" aca="1" ref="O8" ca="1">INDIRECT("'results" &amp; $B8 &amp; "'!P$14")</f>
        <v>89.664079728965135</v>
      </c>
      <c r="P8" s="5" cm="1">
        <f t="array" aca="1" ref="P8" ca="1">INDIRECT("'results" &amp; $B8 &amp; "'!Q$14")</f>
        <v>16.236276175864727</v>
      </c>
      <c r="Q8" s="5" cm="1">
        <f t="array" aca="1" ref="Q8" ca="1">INDIRECT("'results" &amp; $B8 &amp; "'!R$14")</f>
        <v>4102.1307605648826</v>
      </c>
      <c r="R8" s="5"/>
      <c r="S8" s="5" cm="1">
        <f t="array" aca="1" ref="S8" ca="1">INDIRECT("'results" &amp; $B8 &amp; "'!T$14")</f>
        <v>964566.11524039262</v>
      </c>
      <c r="T8" s="5" cm="1">
        <f t="array" aca="1" ref="T8" ca="1">INDIRECT("'results" &amp; $B8 &amp; "'!U$14")</f>
        <v>110.2669328750053</v>
      </c>
      <c r="U8" s="5" cm="1">
        <f t="array" aca="1" ref="U8" ca="1">INDIRECT("'results" &amp; $B8 &amp; "'!V$14")</f>
        <v>14</v>
      </c>
      <c r="V8" s="5" cm="1">
        <f t="array" aca="1" ref="V8" ca="1">INDIRECT("'results" &amp; $B8 &amp; "'!W$14")</f>
        <v>89</v>
      </c>
      <c r="W8" s="5" cm="1">
        <f t="array" aca="1" ref="W8" ca="1">INDIRECT("'results" &amp; $B8 &amp; "'!X$14")</f>
        <v>753.7212999970227</v>
      </c>
      <c r="X8" s="5" cm="1">
        <f t="array" aca="1" ref="X8" ca="1">INDIRECT("'results" &amp; $B8 &amp; "'!Y$14")</f>
        <v>47.612111563198233</v>
      </c>
      <c r="Y8" s="5" cm="1">
        <f t="array" aca="1" ref="Y8" ca="1">INDIRECT("'results" &amp; $B8 &amp; "'!Z$14")</f>
        <v>6029.4227747554532</v>
      </c>
      <c r="Z8" s="5"/>
    </row>
    <row r="9" spans="2:26" x14ac:dyDescent="0.2">
      <c r="B9" s="4">
        <v>688</v>
      </c>
      <c r="C9" s="5" cm="1">
        <f t="array" aca="1" ref="C9" ca="1">INDIRECT("'results" &amp; $B9 &amp; "'!D$14")</f>
        <v>667729.96077578666</v>
      </c>
      <c r="D9" s="33" cm="1">
        <f t="array" aca="1" ref="D9" ca="1">INDIRECT("'results" &amp; $B9 &amp; "'!E$14")</f>
        <v>30.808862332996799</v>
      </c>
      <c r="E9" s="5" cm="1">
        <f t="array" aca="1" ref="E9" ca="1">INDIRECT("'results" &amp; $B9 &amp; "'!F$14")</f>
        <v>10</v>
      </c>
      <c r="F9" s="5" cm="1">
        <f t="array" aca="1" ref="F9" ca="1">INDIRECT("'results" &amp; $B9 &amp; "'!G$14")</f>
        <v>94</v>
      </c>
      <c r="G9" s="5" cm="1">
        <f t="array" aca="1" ref="G9" ca="1">INDIRECT("'results" &amp; $B9 &amp; "'!H$14")</f>
        <v>34.535479664900087</v>
      </c>
      <c r="H9" s="33" cm="1">
        <f t="array" aca="1" ref="H9" ca="1">INDIRECT("'results" &amp; $B9 &amp; "'!I$14")</f>
        <v>34.158062214754153</v>
      </c>
      <c r="I9" s="5" cm="1">
        <f t="array" aca="1" ref="I9" ca="1">INDIRECT("'results" &amp; $B9 &amp; "'!J$14")</f>
        <v>4228.5654271567601</v>
      </c>
      <c r="J9" s="5"/>
      <c r="K9" s="5" cm="1">
        <f t="array" aca="1" ref="K9" ca="1">INDIRECT("'results" &amp; $B9 &amp; "'!L$14")</f>
        <v>961134.77782097226</v>
      </c>
      <c r="L9" s="5" cm="1">
        <f t="array" aca="1" ref="L9" ca="1">INDIRECT("'results" &amp; $B9 &amp; "'!M$14")</f>
        <v>118.6308803749998</v>
      </c>
      <c r="M9" s="5" cm="1">
        <f t="array" aca="1" ref="M9" ca="1">INDIRECT("'results" &amp; $B9 &amp; "'!N$14")</f>
        <v>19</v>
      </c>
      <c r="N9" s="5" cm="1">
        <f t="array" aca="1" ref="N9" ca="1">INDIRECT("'results" &amp; $B9 &amp; "'!O$14")</f>
        <v>86</v>
      </c>
      <c r="O9" s="5" cm="1">
        <f t="array" aca="1" ref="O9" ca="1">INDIRECT("'results" &amp; $B9 &amp; "'!P$14")</f>
        <v>116.35019711886378</v>
      </c>
      <c r="P9" s="5" cm="1">
        <f t="array" aca="1" ref="P9" ca="1">INDIRECT("'results" &amp; $B9 &amp; "'!Q$14")</f>
        <v>16.135895882560835</v>
      </c>
      <c r="Q9" s="5" cm="1">
        <f t="array" aca="1" ref="Q9" ca="1">INDIRECT("'results" &amp; $B9 &amp; "'!R$14")</f>
        <v>4009.4437752520485</v>
      </c>
      <c r="R9" s="5"/>
      <c r="S9" s="5" cm="1">
        <f t="array" aca="1" ref="S9" ca="1">INDIRECT("'results" &amp; $B9 &amp; "'!T$14")</f>
        <v>857288.52589422988</v>
      </c>
      <c r="T9" s="5" cm="1">
        <f t="array" aca="1" ref="T9" ca="1">INDIRECT("'results" &amp; $B9 &amp; "'!U$14")</f>
        <v>48.948779917001957</v>
      </c>
      <c r="U9" s="5" cm="1">
        <f t="array" aca="1" ref="U9" ca="1">INDIRECT("'results" &amp; $B9 &amp; "'!V$14")</f>
        <v>12</v>
      </c>
      <c r="V9" s="5" cm="1">
        <f t="array" aca="1" ref="V9" ca="1">INDIRECT("'results" &amp; $B9 &amp; "'!W$14")</f>
        <v>91</v>
      </c>
      <c r="W9" s="5" cm="1">
        <f t="array" aca="1" ref="W9" ca="1">INDIRECT("'results" &amp; $B9 &amp; "'!X$14")</f>
        <v>566.65473823991636</v>
      </c>
      <c r="X9" s="5" cm="1">
        <f t="array" aca="1" ref="X9" ca="1">INDIRECT("'results" &amp; $B9 &amp; "'!Y$14")</f>
        <v>56.048966405576586</v>
      </c>
      <c r="Y9" s="5" cm="1">
        <f t="array" aca="1" ref="Y9" ca="1">INDIRECT("'results" &amp; $B9 &amp; "'!Z$14")</f>
        <v>5626.1102867622394</v>
      </c>
      <c r="Z9" s="5"/>
    </row>
    <row r="10" spans="2:26" x14ac:dyDescent="0.2">
      <c r="B10" s="4">
        <v>735</v>
      </c>
      <c r="C10" s="5" cm="1">
        <f t="array" aca="1" ref="C10" ca="1">INDIRECT("'results" &amp; $B10 &amp; "'!D$14")</f>
        <v>741829.75604481541</v>
      </c>
      <c r="D10" s="33" cm="1">
        <f t="array" aca="1" ref="D10" ca="1">INDIRECT("'results" &amp; $B10 &amp; "'!E$14")</f>
        <v>35.2207830829866</v>
      </c>
      <c r="E10" s="5" cm="1">
        <f t="array" aca="1" ref="E10" ca="1">INDIRECT("'results" &amp; $B10 &amp; "'!F$14")</f>
        <v>12</v>
      </c>
      <c r="F10" s="5" cm="1">
        <f t="array" aca="1" ref="F10" ca="1">INDIRECT("'results" &amp; $B10 &amp; "'!G$14")</f>
        <v>93</v>
      </c>
      <c r="G10" s="5" cm="1">
        <f t="array" aca="1" ref="G10" ca="1">INDIRECT("'results" &amp; $B10 &amp; "'!H$14")</f>
        <v>120.98526369858243</v>
      </c>
      <c r="H10" s="33" cm="1">
        <f t="array" aca="1" ref="H10" ca="1">INDIRECT("'results" &amp; $B10 &amp; "'!I$14")</f>
        <v>27.044415950040218</v>
      </c>
      <c r="I10" s="5" cm="1">
        <f t="array" aca="1" ref="I10" ca="1">INDIRECT("'results" &amp; $B10 &amp; "'!J$14")</f>
        <v>4196.6970772776094</v>
      </c>
      <c r="J10" s="5"/>
      <c r="K10" s="5" cm="1">
        <f t="array" aca="1" ref="K10" ca="1">INDIRECT("'results" &amp; $B10 &amp; "'!L$14")</f>
        <v>1048057.600099679</v>
      </c>
      <c r="L10" s="5" cm="1">
        <f t="array" aca="1" ref="L10" ca="1">INDIRECT("'results" &amp; $B10 &amp; "'!M$14")</f>
        <v>131.64983358400059</v>
      </c>
      <c r="M10" s="5" cm="1">
        <f t="array" aca="1" ref="M10" ca="1">INDIRECT("'results" &amp; $B10 &amp; "'!N$14")</f>
        <v>22</v>
      </c>
      <c r="N10" s="5" cm="1">
        <f t="array" aca="1" ref="N10" ca="1">INDIRECT("'results" &amp; $B10 &amp; "'!O$14")</f>
        <v>85</v>
      </c>
      <c r="O10" s="5" cm="1">
        <f t="array" aca="1" ref="O10" ca="1">INDIRECT("'results" &amp; $B10 &amp; "'!P$14")</f>
        <v>147.28264923836451</v>
      </c>
      <c r="P10" s="5" cm="1">
        <f t="array" aca="1" ref="P10" ca="1">INDIRECT("'results" &amp; $B10 &amp; "'!Q$14")</f>
        <v>13.200005457436912</v>
      </c>
      <c r="Q10" s="5" cm="1">
        <f t="array" aca="1" ref="Q10" ca="1">INDIRECT("'results" &amp; $B10 &amp; "'!R$14")</f>
        <v>3938.6191752865993</v>
      </c>
      <c r="R10" s="5"/>
      <c r="S10" s="5" cm="1">
        <f t="array" aca="1" ref="S10" ca="1">INDIRECT("'results" &amp; $B10 &amp; "'!T$14")</f>
        <v>973450.99385794683</v>
      </c>
      <c r="T10" s="5" cm="1">
        <f t="array" aca="1" ref="T10" ca="1">INDIRECT("'results" &amp; $B10 &amp; "'!U$14")</f>
        <v>113.26376158399221</v>
      </c>
      <c r="U10" s="5" cm="1">
        <f t="array" aca="1" ref="U10" ca="1">INDIRECT("'results" &amp; $B10 &amp; "'!V$14")</f>
        <v>14</v>
      </c>
      <c r="V10" s="5" cm="1">
        <f t="array" aca="1" ref="V10" ca="1">INDIRECT("'results" &amp; $B10 &amp; "'!W$14")</f>
        <v>89</v>
      </c>
      <c r="W10" s="5" cm="1">
        <f t="array" aca="1" ref="W10" ca="1">INDIRECT("'results" &amp; $B10 &amp; "'!X$14")</f>
        <v>773.93095854451644</v>
      </c>
      <c r="X10" s="5" cm="1">
        <f t="array" aca="1" ref="X10" ca="1">INDIRECT("'results" &amp; $B10 &amp; "'!Y$14")</f>
        <v>46.133455089979122</v>
      </c>
      <c r="Y10" s="5" cm="1">
        <f t="array" aca="1" ref="Y10" ca="1">INDIRECT("'results" &amp; $B10 &amp; "'!Z$14")</f>
        <v>5792.711976816383</v>
      </c>
      <c r="Z10" s="5"/>
    </row>
    <row r="11" spans="2:26" x14ac:dyDescent="0.2">
      <c r="B11" s="4">
        <v>850</v>
      </c>
      <c r="C11" s="5" cm="1">
        <f t="array" aca="1" ref="C11" ca="1">INDIRECT("'results" &amp; $B11 &amp; "'!D$14")</f>
        <v>727913.11591335363</v>
      </c>
      <c r="D11" s="33" cm="1">
        <f t="array" aca="1" ref="D11" ca="1">INDIRECT("'results" &amp; $B11 &amp; "'!E$14")</f>
        <v>59.182423457998077</v>
      </c>
      <c r="E11" s="5" cm="1">
        <f t="array" aca="1" ref="E11" ca="1">INDIRECT("'results" &amp; $B11 &amp; "'!F$14")</f>
        <v>12</v>
      </c>
      <c r="F11" s="5" cm="1">
        <f t="array" aca="1" ref="F11" ca="1">INDIRECT("'results" &amp; $B11 &amp; "'!G$14")</f>
        <v>96</v>
      </c>
      <c r="G11" s="5" cm="1">
        <f t="array" aca="1" ref="G11" ca="1">INDIRECT("'results" &amp; $B11 &amp; "'!H$14")</f>
        <v>209.75079066585022</v>
      </c>
      <c r="H11" s="33" cm="1">
        <f t="array" aca="1" ref="H11" ca="1">INDIRECT("'results" &amp; $B11 &amp; "'!I$14")</f>
        <v>29.945262408076093</v>
      </c>
      <c r="I11" s="5" cm="1">
        <f t="array" aca="1" ref="I11" ca="1">INDIRECT("'results" &amp; $B11 &amp; "'!J$14")</f>
        <v>4591.3616655558617</v>
      </c>
      <c r="J11" s="5"/>
      <c r="K11" s="5" cm="1">
        <f t="array" aca="1" ref="K11" ca="1">INDIRECT("'results" &amp; $B11 &amp; "'!L$14")</f>
        <v>994160.49820602988</v>
      </c>
      <c r="L11" s="5" cm="1">
        <f t="array" aca="1" ref="L11" ca="1">INDIRECT("'results" &amp; $B11 &amp; "'!M$14")</f>
        <v>64.323233624993009</v>
      </c>
      <c r="M11" s="5" cm="1">
        <f t="array" aca="1" ref="M11" ca="1">INDIRECT("'results" &amp; $B11 &amp; "'!N$14")</f>
        <v>20</v>
      </c>
      <c r="N11" s="5" cm="1">
        <f t="array" aca="1" ref="N11" ca="1">INDIRECT("'results" &amp; $B11 &amp; "'!O$14")</f>
        <v>87</v>
      </c>
      <c r="O11" s="5" cm="1">
        <f t="array" aca="1" ref="O11" ca="1">INDIRECT("'results" &amp; $B11 &amp; "'!P$14")</f>
        <v>244.69125805433879</v>
      </c>
      <c r="P11" s="5" cm="1">
        <f t="array" aca="1" ref="P11" ca="1">INDIRECT("'results" &amp; $B11 &amp; "'!Q$14")</f>
        <v>15.81076540936294</v>
      </c>
      <c r="Q11" s="5" cm="1">
        <f t="array" aca="1" ref="Q11" ca="1">INDIRECT("'results" &amp; $B11 &amp; "'!R$14")</f>
        <v>4177.2275836184563</v>
      </c>
      <c r="R11" s="5"/>
      <c r="S11" s="5" cm="1">
        <f t="array" aca="1" ref="S11" ca="1">INDIRECT("'results" &amp; $B11 &amp; "'!T$14")</f>
        <v>903104.78681603947</v>
      </c>
      <c r="T11" s="5" cm="1">
        <f t="array" aca="1" ref="T11" ca="1">INDIRECT("'results" &amp; $B11 &amp; "'!U$14")</f>
        <v>50.810453665995738</v>
      </c>
      <c r="U11" s="5" cm="1">
        <f t="array" aca="1" ref="U11" ca="1">INDIRECT("'results" &amp; $B11 &amp; "'!V$14")</f>
        <v>14</v>
      </c>
      <c r="V11" s="5" cm="1">
        <f t="array" aca="1" ref="V11" ca="1">INDIRECT("'results" &amp; $B11 &amp; "'!W$14")</f>
        <v>92</v>
      </c>
      <c r="W11" s="5" cm="1">
        <f t="array" aca="1" ref="W11" ca="1">INDIRECT("'results" &amp; $B11 &amp; "'!X$14")</f>
        <v>730.61879349669459</v>
      </c>
      <c r="X11" s="5" cm="1">
        <f t="array" aca="1" ref="X11" ca="1">INDIRECT("'results" &amp; $B11 &amp; "'!Y$14")</f>
        <v>46.671025990530474</v>
      </c>
      <c r="Y11" s="5" cm="1">
        <f t="array" aca="1" ref="Y11" ca="1">INDIRECT("'results" &amp; $B11 &amp; "'!Z$14")</f>
        <v>5682.8667029509115</v>
      </c>
      <c r="Z11" s="5"/>
    </row>
    <row r="12" spans="2:26" x14ac:dyDescent="0.2">
      <c r="B12" s="4">
        <v>901</v>
      </c>
      <c r="C12" s="5" cm="1">
        <f t="array" aca="1" ref="C12" ca="1">INDIRECT("'results" &amp; $B12 &amp; "'!D$14")</f>
        <v>695173.46523946885</v>
      </c>
      <c r="D12" s="33" cm="1">
        <f t="array" aca="1" ref="D12" ca="1">INDIRECT("'results" &amp; $B12 &amp; "'!E$14")</f>
        <v>30.864398749996329</v>
      </c>
      <c r="E12" s="5" cm="1">
        <f t="array" aca="1" ref="E12" ca="1">INDIRECT("'results" &amp; $B12 &amp; "'!F$14")</f>
        <v>10</v>
      </c>
      <c r="F12" s="5" cm="1">
        <f t="array" aca="1" ref="F12" ca="1">INDIRECT("'results" &amp; $B12 &amp; "'!G$14")</f>
        <v>93</v>
      </c>
      <c r="G12" s="5" cm="1">
        <f t="array" aca="1" ref="G12" ca="1">INDIRECT("'results" &amp; $B12 &amp; "'!H$14")</f>
        <v>70.955693018952559</v>
      </c>
      <c r="H12" s="33" cm="1">
        <f t="array" aca="1" ref="H12" ca="1">INDIRECT("'results" &amp; $B12 &amp; "'!I$14")</f>
        <v>31.836320482389361</v>
      </c>
      <c r="I12" s="5" cm="1">
        <f t="array" aca="1" ref="I12" ca="1">INDIRECT("'results" &amp; $B12 &amp; "'!J$14")</f>
        <v>4340.5707438966301</v>
      </c>
      <c r="J12" s="5"/>
      <c r="K12" s="5" cm="1">
        <f t="array" aca="1" ref="K12" ca="1">INDIRECT("'results" &amp; $B12 &amp; "'!L$14")</f>
        <v>901033.1077538</v>
      </c>
      <c r="L12" s="5" cm="1">
        <f t="array" aca="1" ref="L12" ca="1">INDIRECT("'results" &amp; $B12 &amp; "'!M$14")</f>
        <v>125.3436221250013</v>
      </c>
      <c r="M12" s="5" cm="1">
        <f t="array" aca="1" ref="M12" ca="1">INDIRECT("'results" &amp; $B12 &amp; "'!N$14")</f>
        <v>18</v>
      </c>
      <c r="N12" s="5" cm="1">
        <f t="array" aca="1" ref="N12" ca="1">INDIRECT("'results" &amp; $B12 &amp; "'!O$14")</f>
        <v>87</v>
      </c>
      <c r="O12" s="5" cm="1">
        <f t="array" aca="1" ref="O12" ca="1">INDIRECT("'results" &amp; $B12 &amp; "'!P$14")</f>
        <v>64.508824067661138</v>
      </c>
      <c r="P12" s="5" cm="1">
        <f t="array" aca="1" ref="P12" ca="1">INDIRECT("'results" &amp; $B12 &amp; "'!Q$14")</f>
        <v>15.72492101513777</v>
      </c>
      <c r="Q12" s="5" cm="1">
        <f t="array" aca="1" ref="Q12" ca="1">INDIRECT("'results" &amp; $B12 &amp; "'!R$14")</f>
        <v>3733.0069684756882</v>
      </c>
      <c r="R12" s="5"/>
      <c r="S12" s="5" cm="1">
        <f t="array" aca="1" ref="S12" ca="1">INDIRECT("'results" &amp; $B12 &amp; "'!T$14")</f>
        <v>881994.09547793854</v>
      </c>
      <c r="T12" s="5" cm="1">
        <f t="array" aca="1" ref="T12" ca="1">INDIRECT("'results" &amp; $B12 &amp; "'!U$14")</f>
        <v>65.009240875006071</v>
      </c>
      <c r="U12" s="5" cm="1">
        <f t="array" aca="1" ref="U12" ca="1">INDIRECT("'results" &amp; $B12 &amp; "'!V$14")</f>
        <v>14</v>
      </c>
      <c r="V12" s="5" cm="1">
        <f t="array" aca="1" ref="V12" ca="1">INDIRECT("'results" &amp; $B12 &amp; "'!W$14")</f>
        <v>93</v>
      </c>
      <c r="W12" s="5" cm="1">
        <f t="array" aca="1" ref="W12" ca="1">INDIRECT("'results" &amp; $B12 &amp; "'!X$14")</f>
        <v>587.97039974078257</v>
      </c>
      <c r="X12" s="5" cm="1">
        <f t="array" aca="1" ref="X12" ca="1">INDIRECT("'results" &amp; $B12 &amp; "'!Y$14")</f>
        <v>45.549090333444646</v>
      </c>
      <c r="Y12" s="5" cm="1">
        <f t="array" aca="1" ref="Y12" ca="1">INDIRECT("'results" &amp; $B12 &amp; "'!Z$14")</f>
        <v>5749.1472087455222</v>
      </c>
      <c r="Z12" s="5"/>
    </row>
    <row r="13" spans="2:26" x14ac:dyDescent="0.2">
      <c r="B13" s="8" t="s">
        <v>3</v>
      </c>
      <c r="C13" s="9">
        <f ca="1">AVERAGE(C3:C12)</f>
        <v>721753.56242655718</v>
      </c>
      <c r="D13" s="10">
        <f t="shared" ref="D13:I13" ca="1" si="0">AVERAGE(D3:D12)</f>
        <v>43.151955183197423</v>
      </c>
      <c r="E13" s="9">
        <f t="shared" ca="1" si="0"/>
        <v>10.9</v>
      </c>
      <c r="F13" s="9">
        <f t="shared" ca="1" si="0"/>
        <v>93</v>
      </c>
      <c r="G13" s="9">
        <f t="shared" ca="1" si="0"/>
        <v>99.303827781755146</v>
      </c>
      <c r="H13" s="10">
        <f t="shared" ca="1" si="0"/>
        <v>31.965042005463168</v>
      </c>
      <c r="I13" s="9">
        <f t="shared" ca="1" si="0"/>
        <v>4405.5624588458213</v>
      </c>
      <c r="J13" s="32" t="e">
        <f ca="1">(C13-$D$15)/$D$15</f>
        <v>#DIV/0!</v>
      </c>
      <c r="K13" s="16">
        <f ca="1">AVERAGE(K3:K12)</f>
        <v>968236.76626322861</v>
      </c>
      <c r="L13" s="42">
        <f t="shared" ref="L13:Q13" ca="1" si="1">AVERAGE(L3:L12)</f>
        <v>95.712251762601952</v>
      </c>
      <c r="M13" s="16">
        <f t="shared" ca="1" si="1"/>
        <v>18.899999999999999</v>
      </c>
      <c r="N13" s="16">
        <f ca="1">AVERAGE(N3:N12)</f>
        <v>85.2</v>
      </c>
      <c r="O13" s="16">
        <f t="shared" ca="1" si="1"/>
        <v>109.50823186513848</v>
      </c>
      <c r="P13" s="42">
        <f t="shared" ca="1" si="1"/>
        <v>16.491326062049431</v>
      </c>
      <c r="Q13" s="16">
        <f t="shared" ca="1" si="1"/>
        <v>3944.8216955582307</v>
      </c>
      <c r="R13" s="43" t="e">
        <f ca="1">(K13-$D$15)/$D$15</f>
        <v>#DIV/0!</v>
      </c>
      <c r="S13" s="38">
        <f ca="1">AVERAGE(S3:S12)</f>
        <v>911599.00746935303</v>
      </c>
      <c r="T13" s="44">
        <f t="shared" ref="T13:Y13" ca="1" si="2">AVERAGE(T3:T12)</f>
        <v>86.52679060419905</v>
      </c>
      <c r="U13" s="38">
        <f t="shared" ca="1" si="2"/>
        <v>13.2</v>
      </c>
      <c r="V13" s="38">
        <f t="shared" ca="1" si="2"/>
        <v>90.1</v>
      </c>
      <c r="W13" s="38">
        <f t="shared" ca="1" si="2"/>
        <v>625.85075324264403</v>
      </c>
      <c r="X13" s="44">
        <f t="shared" ca="1" si="2"/>
        <v>48.914692742721442</v>
      </c>
      <c r="Y13" s="38">
        <f t="shared" ca="1" si="2"/>
        <v>5740.5099770536444</v>
      </c>
      <c r="Z13" s="45" t="e">
        <f ca="1">(S13-$D$15)/$D$15</f>
        <v>#DIV/0!</v>
      </c>
    </row>
    <row r="14" spans="2:26" x14ac:dyDescent="0.2">
      <c r="K14" s="46">
        <f ca="1">(K13-C13)/C13</f>
        <v>0.34150604398541168</v>
      </c>
      <c r="L14" s="46">
        <f t="shared" ref="L14:Q14" ca="1" si="3">(L13-D13)/D13</f>
        <v>1.2180281601671328</v>
      </c>
      <c r="M14" s="46">
        <f t="shared" ca="1" si="3"/>
        <v>0.73394495412844019</v>
      </c>
      <c r="N14" s="46">
        <f t="shared" ca="1" si="3"/>
        <v>-8.3870967741935448E-2</v>
      </c>
      <c r="O14" s="46">
        <f t="shared" ca="1" si="3"/>
        <v>0.1027594233911109</v>
      </c>
      <c r="P14" s="46">
        <f t="shared" ca="1" si="3"/>
        <v>-0.4840824529737553</v>
      </c>
      <c r="Q14" s="46">
        <f t="shared" ca="1" si="3"/>
        <v>-0.10458159828434177</v>
      </c>
      <c r="S14" s="46">
        <f ca="1">(S13-C13)/C13</f>
        <v>0.26303360998251224</v>
      </c>
      <c r="T14" s="46">
        <f t="shared" ref="T14:Y14" ca="1" si="4">(T13-D13)/D13</f>
        <v>1.0051650090212132</v>
      </c>
      <c r="U14" s="46">
        <f t="shared" ca="1" si="4"/>
        <v>0.21100917431192651</v>
      </c>
      <c r="V14" s="46">
        <f ca="1">(V13-F13)/F13</f>
        <v>-3.1182795698924792E-2</v>
      </c>
      <c r="W14" s="46">
        <f t="shared" ca="1" si="4"/>
        <v>5.3023829717632509</v>
      </c>
      <c r="X14" s="46">
        <f t="shared" ca="1" si="4"/>
        <v>0.53025585683139087</v>
      </c>
      <c r="Y14" s="46">
        <f t="shared" ca="1" si="4"/>
        <v>0.30301409426789866</v>
      </c>
    </row>
    <row r="16" spans="2:26" x14ac:dyDescent="0.2">
      <c r="B16" s="1" t="s">
        <v>21</v>
      </c>
      <c r="C16">
        <f ca="1">_xlfn.STDEV.S(C3:C12)</f>
        <v>25893.730029741608</v>
      </c>
      <c r="J16" s="1" t="s">
        <v>21</v>
      </c>
      <c r="K16">
        <f ca="1">_xlfn.STDEV.S(K3:K12)</f>
        <v>38783.931659483926</v>
      </c>
      <c r="R16" s="1" t="s">
        <v>21</v>
      </c>
      <c r="S16">
        <f ca="1">_xlfn.STDEV.S(S3:S12)</f>
        <v>41776.656966666946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3938-C164-364B-9B76-20BC4D931ED7}">
  <dimension ref="B1:AA17"/>
  <sheetViews>
    <sheetView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-0.82740518597156198</v>
      </c>
      <c r="J2" s="28" t="e">
        <f>(S14-J14)/J14</f>
        <v>#DIV/0!</v>
      </c>
      <c r="K2" s="28"/>
      <c r="L2" s="1" t="s">
        <v>19</v>
      </c>
      <c r="P2" s="1">
        <f>(P14-H14)/H14</f>
        <v>-0.24085878847828543</v>
      </c>
      <c r="R2" s="1">
        <f>(R14-J14)/J14</f>
        <v>-0.14206470606862673</v>
      </c>
      <c r="T2" s="1" t="s">
        <v>20</v>
      </c>
      <c r="X2" s="1">
        <f>(X14-P14)/P14</f>
        <v>7.2078341832810811</v>
      </c>
      <c r="Z2" s="1">
        <f>(Z14-R14)/R14</f>
        <v>0.60027404096360026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12</v>
      </c>
      <c r="D4" s="23">
        <v>736621.27185052086</v>
      </c>
      <c r="E4" s="33">
        <v>31.584698582999408</v>
      </c>
      <c r="F4" s="5">
        <v>10</v>
      </c>
      <c r="G4" s="23">
        <v>91</v>
      </c>
      <c r="H4" s="33">
        <v>132.66318985524177</v>
      </c>
      <c r="I4" s="23">
        <v>36.179491632732365</v>
      </c>
      <c r="J4" s="5">
        <v>4566.5513522392876</v>
      </c>
      <c r="K4" s="31"/>
      <c r="L4" s="23">
        <v>954442.90509794804</v>
      </c>
      <c r="M4" s="33">
        <v>85.004437790994416</v>
      </c>
      <c r="N4" s="5">
        <v>17</v>
      </c>
      <c r="O4" s="5">
        <v>82</v>
      </c>
      <c r="P4" s="33">
        <v>84.676180633148903</v>
      </c>
      <c r="Q4" s="5">
        <v>19.25158248189603</v>
      </c>
      <c r="R4" s="5">
        <v>3756.6769158399115</v>
      </c>
      <c r="S4" s="35"/>
      <c r="T4" s="23">
        <v>899542.55492107</v>
      </c>
      <c r="U4" s="33">
        <v>89.239183790996321</v>
      </c>
      <c r="V4" s="5">
        <v>11</v>
      </c>
      <c r="W4" s="5">
        <v>88</v>
      </c>
      <c r="X4" s="33">
        <v>695.00804991044299</v>
      </c>
      <c r="Y4" s="5">
        <v>61.84222347611621</v>
      </c>
      <c r="Z4" s="5">
        <v>6011.7125487058101</v>
      </c>
      <c r="AA4" s="35"/>
    </row>
    <row r="5" spans="2:27" x14ac:dyDescent="0.2">
      <c r="B5" s="4">
        <v>2</v>
      </c>
      <c r="C5" s="4">
        <v>63</v>
      </c>
      <c r="D5" s="23">
        <v>731908.95737263223</v>
      </c>
      <c r="E5" s="33">
        <v>39.741530541999957</v>
      </c>
      <c r="F5" s="5">
        <v>10</v>
      </c>
      <c r="G5" s="23">
        <v>91</v>
      </c>
      <c r="H5" s="33">
        <v>129.47324947894597</v>
      </c>
      <c r="I5" s="23">
        <v>37.188134394753334</v>
      </c>
      <c r="J5" s="5">
        <v>4542.6481491810591</v>
      </c>
      <c r="K5" s="31"/>
      <c r="L5" s="23">
        <v>962084.1652737793</v>
      </c>
      <c r="M5" s="33">
        <v>79.008721124992007</v>
      </c>
      <c r="N5" s="5">
        <v>16</v>
      </c>
      <c r="O5" s="5">
        <v>81</v>
      </c>
      <c r="P5" s="33">
        <v>191.0788802582675</v>
      </c>
      <c r="Q5" s="5">
        <v>19.837687345287915</v>
      </c>
      <c r="R5" s="5">
        <v>3794.8322428698411</v>
      </c>
      <c r="S5" s="35"/>
      <c r="T5" s="23">
        <v>903318.01942064473</v>
      </c>
      <c r="U5" s="33">
        <v>80.545101667012204</v>
      </c>
      <c r="V5" s="5">
        <v>13</v>
      </c>
      <c r="W5" s="5">
        <v>89</v>
      </c>
      <c r="X5" s="33">
        <v>625.74852256287431</v>
      </c>
      <c r="Y5" s="5">
        <v>54.089366229444025</v>
      </c>
      <c r="Z5" s="5">
        <v>5844.8764516315478</v>
      </c>
      <c r="AA5" s="35"/>
    </row>
    <row r="6" spans="2:27" x14ac:dyDescent="0.2">
      <c r="B6" s="4">
        <v>3</v>
      </c>
      <c r="C6" s="4">
        <v>208</v>
      </c>
      <c r="D6" s="23">
        <v>731908.95737263223</v>
      </c>
      <c r="E6" s="33">
        <v>37.254083290994458</v>
      </c>
      <c r="F6" s="5">
        <v>10</v>
      </c>
      <c r="G6" s="23">
        <v>91</v>
      </c>
      <c r="H6" s="33">
        <v>129.47324947894597</v>
      </c>
      <c r="I6" s="23">
        <v>37.188134394753334</v>
      </c>
      <c r="J6" s="5">
        <v>4542.6481491810591</v>
      </c>
      <c r="K6" s="31"/>
      <c r="L6" s="23">
        <v>972825.60560211784</v>
      </c>
      <c r="M6" s="33">
        <v>82.15277029099525</v>
      </c>
      <c r="N6" s="5">
        <v>16</v>
      </c>
      <c r="O6" s="5">
        <v>80</v>
      </c>
      <c r="P6" s="33">
        <v>63.777952836527994</v>
      </c>
      <c r="Q6" s="5">
        <v>19.887218227572816</v>
      </c>
      <c r="R6" s="5">
        <v>3856.1692498096636</v>
      </c>
      <c r="S6" s="35"/>
      <c r="T6" s="23">
        <v>933032.49330638791</v>
      </c>
      <c r="U6" s="33">
        <v>36.811235749992193</v>
      </c>
      <c r="V6" s="5">
        <v>11</v>
      </c>
      <c r="W6" s="5">
        <v>86</v>
      </c>
      <c r="X6" s="33">
        <v>734.75930384169806</v>
      </c>
      <c r="Y6" s="5">
        <v>56.662427200961105</v>
      </c>
      <c r="Z6" s="5">
        <v>5948.6719088077753</v>
      </c>
      <c r="AA6" s="35"/>
    </row>
    <row r="7" spans="2:27" x14ac:dyDescent="0.2">
      <c r="B7" s="4">
        <v>4</v>
      </c>
      <c r="C7" s="4">
        <v>405</v>
      </c>
      <c r="D7" s="23">
        <v>741897.03180778632</v>
      </c>
      <c r="E7" s="33">
        <v>30.82635216700146</v>
      </c>
      <c r="F7" s="5">
        <v>11</v>
      </c>
      <c r="G7" s="23">
        <v>91</v>
      </c>
      <c r="H7" s="33">
        <v>105.14391922294941</v>
      </c>
      <c r="I7" s="23">
        <v>33.316453747867655</v>
      </c>
      <c r="J7" s="5">
        <v>4441.5151082047169</v>
      </c>
      <c r="K7" s="31"/>
      <c r="L7" s="23">
        <v>977511.74978581548</v>
      </c>
      <c r="M7" s="33">
        <v>75.730799041994032</v>
      </c>
      <c r="N7" s="5">
        <v>16</v>
      </c>
      <c r="O7" s="5">
        <v>79</v>
      </c>
      <c r="P7" s="33">
        <v>29.591510144592519</v>
      </c>
      <c r="Q7" s="5">
        <v>19.293557182604353</v>
      </c>
      <c r="R7" s="5">
        <v>3748.5606226241193</v>
      </c>
      <c r="S7" s="35"/>
      <c r="T7" s="23">
        <v>968792.58214837767</v>
      </c>
      <c r="U7" s="33">
        <v>56.324390291993041</v>
      </c>
      <c r="V7" s="5">
        <v>12</v>
      </c>
      <c r="W7" s="5">
        <v>85</v>
      </c>
      <c r="X7" s="33">
        <v>700.2160732016074</v>
      </c>
      <c r="Y7" s="5">
        <v>54.717181163625845</v>
      </c>
      <c r="Z7" s="5">
        <v>6002.9115115807599</v>
      </c>
      <c r="AA7" s="35"/>
    </row>
    <row r="8" spans="2:27" x14ac:dyDescent="0.2">
      <c r="B8" s="4">
        <v>5</v>
      </c>
      <c r="C8" s="4">
        <v>443</v>
      </c>
      <c r="D8" s="23">
        <v>736621.27185052086</v>
      </c>
      <c r="E8" s="33">
        <v>33.856819749998976</v>
      </c>
      <c r="F8" s="5">
        <v>10</v>
      </c>
      <c r="G8" s="23">
        <v>91</v>
      </c>
      <c r="H8" s="33">
        <v>132.66318985524177</v>
      </c>
      <c r="I8" s="23">
        <v>36.179491632732365</v>
      </c>
      <c r="J8" s="5">
        <v>4566.5513522392876</v>
      </c>
      <c r="K8" s="31"/>
      <c r="L8" s="23">
        <v>970341.37060826318</v>
      </c>
      <c r="M8" s="33">
        <v>78.212226457995712</v>
      </c>
      <c r="N8" s="5">
        <v>18</v>
      </c>
      <c r="O8" s="5">
        <v>82</v>
      </c>
      <c r="P8" s="33">
        <v>50.975370183926159</v>
      </c>
      <c r="Q8" s="5">
        <v>18.555332425771031</v>
      </c>
      <c r="R8" s="5">
        <v>3793.2616507104449</v>
      </c>
      <c r="S8" s="35"/>
      <c r="T8" s="23">
        <v>944222.7586567566</v>
      </c>
      <c r="U8" s="33">
        <v>59.891867208003532</v>
      </c>
      <c r="V8" s="5">
        <v>11</v>
      </c>
      <c r="W8" s="5">
        <v>87</v>
      </c>
      <c r="X8" s="33">
        <v>809.07993300026817</v>
      </c>
      <c r="Y8" s="5">
        <v>59.690268751825712</v>
      </c>
      <c r="Z8" s="5">
        <v>6221.5920697832389</v>
      </c>
      <c r="AA8" s="35"/>
    </row>
    <row r="9" spans="2:27" x14ac:dyDescent="0.2">
      <c r="B9" s="4">
        <v>6</v>
      </c>
      <c r="C9" s="4">
        <v>519</v>
      </c>
      <c r="D9" s="23">
        <v>759482.16488554503</v>
      </c>
      <c r="E9" s="33">
        <v>40.206803124994622</v>
      </c>
      <c r="F9" s="5">
        <v>10</v>
      </c>
      <c r="G9" s="23">
        <v>91</v>
      </c>
      <c r="H9" s="33">
        <v>194.81184899602971</v>
      </c>
      <c r="I9" s="23">
        <v>37.238321708738695</v>
      </c>
      <c r="J9" s="5">
        <v>4791.1444861577202</v>
      </c>
      <c r="K9" s="31"/>
      <c r="L9" s="23">
        <v>974295.86720726034</v>
      </c>
      <c r="M9" s="33">
        <v>112.7331245409878</v>
      </c>
      <c r="N9" s="5">
        <v>18</v>
      </c>
      <c r="O9" s="5">
        <v>83</v>
      </c>
      <c r="P9" s="33">
        <v>134.44278355679953</v>
      </c>
      <c r="Q9" s="5">
        <v>18.260082330501071</v>
      </c>
      <c r="R9" s="5">
        <v>3930.7554070856218</v>
      </c>
      <c r="S9" s="35"/>
      <c r="T9" s="23">
        <v>911463.55301581731</v>
      </c>
      <c r="U9" s="33">
        <v>45.323317208007211</v>
      </c>
      <c r="V9" s="5">
        <v>12</v>
      </c>
      <c r="W9" s="5">
        <v>87</v>
      </c>
      <c r="X9" s="33">
        <v>633.84847320012727</v>
      </c>
      <c r="Y9" s="5">
        <v>57.573684875766787</v>
      </c>
      <c r="Z9" s="5">
        <v>5818.5862118327195</v>
      </c>
      <c r="AA9" s="35"/>
    </row>
    <row r="10" spans="2:27" x14ac:dyDescent="0.2">
      <c r="B10" s="4">
        <v>7</v>
      </c>
      <c r="C10" s="4">
        <v>618</v>
      </c>
      <c r="D10" s="23">
        <v>716668.26001710631</v>
      </c>
      <c r="E10" s="33">
        <v>35.765603167004883</v>
      </c>
      <c r="F10" s="5">
        <v>10</v>
      </c>
      <c r="G10" s="23">
        <v>91</v>
      </c>
      <c r="H10" s="33">
        <v>111.5420679947196</v>
      </c>
      <c r="I10" s="23">
        <v>36.981643930929394</v>
      </c>
      <c r="J10" s="5">
        <v>4378.7415466094699</v>
      </c>
      <c r="K10" s="31"/>
      <c r="L10" s="23">
        <v>984721.5164244714</v>
      </c>
      <c r="M10" s="33">
        <v>69.84890512500715</v>
      </c>
      <c r="N10" s="5">
        <v>16</v>
      </c>
      <c r="O10" s="5">
        <v>79</v>
      </c>
      <c r="P10" s="33">
        <v>51.803686716113333</v>
      </c>
      <c r="Q10" s="5">
        <v>19.598195801412533</v>
      </c>
      <c r="R10" s="5">
        <v>3810.8473331158393</v>
      </c>
      <c r="S10" s="35"/>
      <c r="T10" s="23">
        <v>911320.90844865656</v>
      </c>
      <c r="U10" s="33">
        <v>45.397819290999912</v>
      </c>
      <c r="V10" s="5">
        <v>12</v>
      </c>
      <c r="W10" s="5">
        <v>88</v>
      </c>
      <c r="X10" s="33">
        <v>740.04354890638194</v>
      </c>
      <c r="Y10" s="5">
        <v>54.824061507683041</v>
      </c>
      <c r="Z10" s="5">
        <v>5831.4268007750352</v>
      </c>
      <c r="AA10" s="35"/>
    </row>
    <row r="11" spans="2:27" x14ac:dyDescent="0.2">
      <c r="B11" s="4">
        <v>8</v>
      </c>
      <c r="C11" s="4">
        <v>642</v>
      </c>
      <c r="D11" s="23">
        <v>730428.34931305016</v>
      </c>
      <c r="E11" s="33">
        <v>30.31353487500019</v>
      </c>
      <c r="F11" s="5">
        <v>10</v>
      </c>
      <c r="G11" s="23">
        <v>91</v>
      </c>
      <c r="H11" s="33">
        <v>129.47324947894597</v>
      </c>
      <c r="I11" s="23">
        <v>37.143002481489546</v>
      </c>
      <c r="J11" s="5">
        <v>4525.4930401934444</v>
      </c>
      <c r="K11" s="31"/>
      <c r="L11" s="23">
        <v>961707.25726743578</v>
      </c>
      <c r="M11" s="33">
        <v>101.14670366699281</v>
      </c>
      <c r="N11" s="5">
        <v>16</v>
      </c>
      <c r="O11" s="5">
        <v>80</v>
      </c>
      <c r="P11" s="33">
        <v>46.327259083428622</v>
      </c>
      <c r="Q11" s="5">
        <v>20.135939208308557</v>
      </c>
      <c r="R11" s="5">
        <v>3740.4074234150562</v>
      </c>
      <c r="S11" s="35"/>
      <c r="T11" s="23">
        <v>922861.90274445736</v>
      </c>
      <c r="U11" s="33">
        <v>44.272055457986433</v>
      </c>
      <c r="V11" s="5">
        <v>12</v>
      </c>
      <c r="W11" s="5">
        <v>89</v>
      </c>
      <c r="X11" s="33">
        <v>801.33179468872743</v>
      </c>
      <c r="Y11" s="5">
        <v>57.352727291738724</v>
      </c>
      <c r="Z11" s="5">
        <v>6141.978487618313</v>
      </c>
      <c r="AA11" s="35"/>
    </row>
    <row r="12" spans="2:27" x14ac:dyDescent="0.2">
      <c r="B12" s="4">
        <v>9</v>
      </c>
      <c r="C12" s="4">
        <v>774</v>
      </c>
      <c r="D12" s="23">
        <v>732272.07721065951</v>
      </c>
      <c r="E12" s="33">
        <v>59.696119874999567</v>
      </c>
      <c r="F12" s="5">
        <v>12</v>
      </c>
      <c r="G12" s="23">
        <v>91</v>
      </c>
      <c r="H12" s="33">
        <v>70.576649983747032</v>
      </c>
      <c r="I12" s="23">
        <v>30.580135868532881</v>
      </c>
      <c r="J12" s="5">
        <v>4150.444155720098</v>
      </c>
      <c r="K12" s="31"/>
      <c r="L12" s="23">
        <v>993090.69510554173</v>
      </c>
      <c r="M12" s="33">
        <v>122.2975050419918</v>
      </c>
      <c r="N12" s="5">
        <v>16</v>
      </c>
      <c r="O12" s="5">
        <v>80</v>
      </c>
      <c r="P12" s="33">
        <v>139.77317968376701</v>
      </c>
      <c r="Q12" s="5">
        <v>19.78623819521794</v>
      </c>
      <c r="R12" s="5">
        <v>4046.7435700273563</v>
      </c>
      <c r="S12" s="35"/>
      <c r="T12" s="23">
        <v>925164.7568538934</v>
      </c>
      <c r="U12" s="33">
        <v>83.436632499986445</v>
      </c>
      <c r="V12" s="5">
        <v>12</v>
      </c>
      <c r="W12" s="5">
        <v>85</v>
      </c>
      <c r="X12" s="33">
        <v>499.60242910883056</v>
      </c>
      <c r="Y12" s="5">
        <v>53.038620930647816</v>
      </c>
      <c r="Z12" s="5">
        <v>5614.0661474094168</v>
      </c>
      <c r="AA12" s="35"/>
    </row>
    <row r="13" spans="2:27" x14ac:dyDescent="0.2">
      <c r="B13" s="4">
        <v>10</v>
      </c>
      <c r="C13" s="4">
        <v>853</v>
      </c>
      <c r="D13" s="23">
        <v>743828.15702084289</v>
      </c>
      <c r="E13" s="33">
        <v>34.837968790998268</v>
      </c>
      <c r="F13" s="5">
        <v>11</v>
      </c>
      <c r="G13" s="23">
        <v>91</v>
      </c>
      <c r="H13" s="33">
        <v>115.94973877826509</v>
      </c>
      <c r="I13" s="23">
        <v>34.338913019573518</v>
      </c>
      <c r="J13" s="5">
        <v>4464.2691823848663</v>
      </c>
      <c r="K13" s="31"/>
      <c r="L13" s="23">
        <v>966268.92395372665</v>
      </c>
      <c r="M13" s="33">
        <v>68.570616999990307</v>
      </c>
      <c r="N13" s="5">
        <v>18</v>
      </c>
      <c r="O13" s="5">
        <v>83</v>
      </c>
      <c r="P13" s="33">
        <v>102.99297142976975</v>
      </c>
      <c r="Q13" s="5">
        <v>18.570471962546726</v>
      </c>
      <c r="R13" s="5">
        <v>3880.0249594936818</v>
      </c>
      <c r="S13" s="35"/>
      <c r="T13" s="23">
        <v>917034.62886632897</v>
      </c>
      <c r="U13" s="33">
        <v>42.440640625005472</v>
      </c>
      <c r="V13" s="5">
        <v>11</v>
      </c>
      <c r="W13" s="5">
        <v>89</v>
      </c>
      <c r="X13" s="33">
        <v>841.2106629037645</v>
      </c>
      <c r="Y13" s="5">
        <v>62.268955554177367</v>
      </c>
      <c r="Z13" s="5">
        <v>6284.5282446674119</v>
      </c>
      <c r="AA13" s="35"/>
    </row>
    <row r="14" spans="2:27" x14ac:dyDescent="0.2">
      <c r="B14" s="47" t="s">
        <v>3</v>
      </c>
      <c r="C14" s="48"/>
      <c r="D14" s="9">
        <f>MIN(D4:D13)</f>
        <v>716668.26001710631</v>
      </c>
      <c r="E14" s="22">
        <f>INDEX(E4:E13, MATCH($D$14, D4:D13, 0))</f>
        <v>35.765603167004883</v>
      </c>
      <c r="F14" s="9">
        <f>INDEX(F4:F13, MATCH($D$14, D4:D13, 0))</f>
        <v>10</v>
      </c>
      <c r="G14" s="9">
        <f>INDEX(G4:G13, MATCH($D$14, D4:D13, 0))</f>
        <v>91</v>
      </c>
      <c r="H14" s="22">
        <f>INDEX(H4:H13, MATCH($D$14, D4:D13, 0))</f>
        <v>111.5420679947196</v>
      </c>
      <c r="I14" s="22">
        <f>INDEX(I4:I13, MATCH($D$14, D4:D13, 0))</f>
        <v>36.981643930929394</v>
      </c>
      <c r="J14" s="22">
        <f>INDEX(J4:J13, MATCH($D$14, D4:D13, 0))</f>
        <v>4378.7415466094699</v>
      </c>
      <c r="K14" s="32" t="e">
        <f>(D14-$D$15)/$D$15</f>
        <v>#DIV/0!</v>
      </c>
      <c r="L14" s="16">
        <f>MIN(L4:L13)</f>
        <v>954442.90509794804</v>
      </c>
      <c r="M14" s="21">
        <f>INDEX(M4:M13, MATCH($L$14, L4:L13, 0))</f>
        <v>85.004437790994416</v>
      </c>
      <c r="N14" s="16">
        <f>INDEX(N4:N13, MATCH($L$14, L4:L13, 0))</f>
        <v>17</v>
      </c>
      <c r="O14" s="16">
        <f>INDEX(O4:O13, MATCH($L$14, L4:L13, 0))</f>
        <v>82</v>
      </c>
      <c r="P14" s="21">
        <f>INDEX(P4:P13, MATCH($L$14, L4:L13, 0))</f>
        <v>84.676180633148903</v>
      </c>
      <c r="Q14" s="21">
        <f>INDEX(Q4:Q13, MATCH($L$14, L4:L13, 0))</f>
        <v>19.25158248189603</v>
      </c>
      <c r="R14" s="21">
        <f>INDEX(R4:R13, MATCH($L$14, L4:L13, 0))</f>
        <v>3756.6769158399115</v>
      </c>
      <c r="S14" s="36" t="e">
        <f>(L14-$D$15)/$D$15</f>
        <v>#DIV/0!</v>
      </c>
      <c r="T14" s="38">
        <f>MIN(T4:T13)</f>
        <v>899542.55492107</v>
      </c>
      <c r="U14" s="39">
        <f>INDEX(U4:U13, MATCH($T$14, T4:T13, 0))</f>
        <v>89.239183790996321</v>
      </c>
      <c r="V14" s="38">
        <f>INDEX(V4:V13, MATCH($T$14, T4:T13, 0))</f>
        <v>11</v>
      </c>
      <c r="W14" s="38">
        <f>INDEX(W4:W13, MATCH($T$14, T4:T13, 0))</f>
        <v>88</v>
      </c>
      <c r="X14" s="39">
        <f>INDEX(X4:X13, MATCH($T$14, T4:T13, 0))</f>
        <v>695.00804991044299</v>
      </c>
      <c r="Y14" s="39">
        <f>INDEX(Y4:Y13, MATCH($T$14, T4:T13, 0))</f>
        <v>61.84222347611621</v>
      </c>
      <c r="Z14" s="39">
        <f>INDEX(Z4:Z13, MATCH($T$14, T4:T13, 0))</f>
        <v>6011.7125487058101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0.33177783689648294</v>
      </c>
      <c r="M15" s="41">
        <f t="shared" ref="M15:P15" si="0">(M14-E14)/E14</f>
        <v>1.3767091916239291</v>
      </c>
      <c r="N15" s="41">
        <f t="shared" si="0"/>
        <v>0.7</v>
      </c>
      <c r="O15" s="41">
        <f t="shared" si="0"/>
        <v>-9.8901098901098897E-2</v>
      </c>
      <c r="P15" s="41">
        <f t="shared" si="0"/>
        <v>-0.24085878847828543</v>
      </c>
      <c r="Q15" s="41">
        <f>(Q14-I14)/I14</f>
        <v>-0.47942869933385857</v>
      </c>
      <c r="R15" s="41">
        <f t="shared" ref="R15" si="1">(R14-J14)/J14</f>
        <v>-0.14206470606862673</v>
      </c>
      <c r="T15" s="41">
        <f>(T14-D14)/D14</f>
        <v>0.25517286742906492</v>
      </c>
      <c r="U15" s="41">
        <f t="shared" ref="U15:Z15" si="2">(U14-E14)/E14</f>
        <v>1.4951119480440591</v>
      </c>
      <c r="V15" s="41">
        <f t="shared" si="2"/>
        <v>0.1</v>
      </c>
      <c r="W15" s="41">
        <f t="shared" si="2"/>
        <v>-3.2967032967032968E-2</v>
      </c>
      <c r="X15" s="41">
        <f t="shared" si="2"/>
        <v>5.2309051858653426</v>
      </c>
      <c r="Y15" s="41">
        <f t="shared" si="2"/>
        <v>0.67224106077109269</v>
      </c>
      <c r="Z15" s="41">
        <f t="shared" si="2"/>
        <v>0.37293157970485286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89" priority="3"/>
    <cfRule type="duplicateValues" dxfId="88" priority="4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36A2-4705-C942-9711-27D11B29656B}">
  <dimension ref="B1:AA17"/>
  <sheetViews>
    <sheetView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-0.84728058810046381</v>
      </c>
      <c r="J2" s="28" t="e">
        <f>(S14-J14)/J14</f>
        <v>#DIV/0!</v>
      </c>
      <c r="K2" s="28"/>
      <c r="L2" s="1" t="s">
        <v>19</v>
      </c>
      <c r="P2" s="1">
        <f>(P14-H14)/H14</f>
        <v>-9.0011432811244976E-2</v>
      </c>
      <c r="R2" s="1">
        <f>(R14-J14)/J14</f>
        <v>-7.8600134207280736E-2</v>
      </c>
      <c r="T2" s="1" t="s">
        <v>20</v>
      </c>
      <c r="X2" s="1">
        <f>(X14-P14)/P14</f>
        <v>4.2802176913396801</v>
      </c>
      <c r="Z2" s="1">
        <f>(Z14-R14)/R14</f>
        <v>0.38250746972783173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82</v>
      </c>
      <c r="D4" s="23">
        <v>759783.08946829767</v>
      </c>
      <c r="E4" s="33">
        <v>32.947759416994813</v>
      </c>
      <c r="F4" s="5">
        <v>11</v>
      </c>
      <c r="G4" s="23">
        <v>93</v>
      </c>
      <c r="H4" s="33">
        <v>95.214272875554897</v>
      </c>
      <c r="I4" s="23">
        <v>32.958366363773081</v>
      </c>
      <c r="J4" s="5">
        <v>4823.0912555246459</v>
      </c>
      <c r="K4" s="31"/>
      <c r="L4" s="23">
        <v>946984.38766450412</v>
      </c>
      <c r="M4" s="33">
        <v>68.482538999989629</v>
      </c>
      <c r="N4" s="5">
        <v>19</v>
      </c>
      <c r="O4" s="5">
        <v>87</v>
      </c>
      <c r="P4" s="33">
        <v>72.991270890159598</v>
      </c>
      <c r="Q4" s="5">
        <v>17.788246861442349</v>
      </c>
      <c r="R4" s="5">
        <v>4104.4272653134121</v>
      </c>
      <c r="S4" s="35"/>
      <c r="T4" s="23">
        <v>889565.58347206947</v>
      </c>
      <c r="U4" s="33">
        <v>52.719266208005138</v>
      </c>
      <c r="V4" s="5">
        <v>13</v>
      </c>
      <c r="W4" s="5">
        <v>91</v>
      </c>
      <c r="X4" s="33">
        <v>570.99508906049766</v>
      </c>
      <c r="Y4" s="5">
        <v>49.906679478552512</v>
      </c>
      <c r="Z4" s="5">
        <v>5740.3059480849925</v>
      </c>
      <c r="AA4" s="35"/>
    </row>
    <row r="5" spans="2:27" x14ac:dyDescent="0.2">
      <c r="B5" s="4">
        <v>2</v>
      </c>
      <c r="C5" s="4">
        <v>191</v>
      </c>
      <c r="D5" s="23">
        <v>733543.3024742289</v>
      </c>
      <c r="E5" s="33">
        <v>30.511820625004479</v>
      </c>
      <c r="F5" s="5">
        <v>11</v>
      </c>
      <c r="G5" s="23">
        <v>93</v>
      </c>
      <c r="H5" s="33">
        <v>110.33690245281598</v>
      </c>
      <c r="I5" s="23">
        <v>35.289493443285266</v>
      </c>
      <c r="J5" s="5">
        <v>4611.4181985158948</v>
      </c>
      <c r="K5" s="31"/>
      <c r="L5" s="23">
        <v>965147.26138626901</v>
      </c>
      <c r="M5" s="33">
        <v>80.100231375006842</v>
      </c>
      <c r="N5" s="5">
        <v>18</v>
      </c>
      <c r="O5" s="5">
        <v>86</v>
      </c>
      <c r="P5" s="33">
        <v>135.13616647445687</v>
      </c>
      <c r="Q5" s="5">
        <v>18.80454434631757</v>
      </c>
      <c r="R5" s="5">
        <v>4348.9925144318668</v>
      </c>
      <c r="S5" s="35"/>
      <c r="T5" s="23">
        <v>889565.58347206947</v>
      </c>
      <c r="U5" s="33">
        <v>43.820445417004521</v>
      </c>
      <c r="V5" s="5">
        <v>13</v>
      </c>
      <c r="W5" s="5">
        <v>91</v>
      </c>
      <c r="X5" s="33">
        <v>570.99508906049766</v>
      </c>
      <c r="Y5" s="5">
        <v>49.906679478552512</v>
      </c>
      <c r="Z5" s="5">
        <v>5740.3059480849925</v>
      </c>
      <c r="AA5" s="35"/>
    </row>
    <row r="6" spans="2:27" x14ac:dyDescent="0.2">
      <c r="B6" s="4">
        <v>3</v>
      </c>
      <c r="C6" s="4">
        <v>280</v>
      </c>
      <c r="D6" s="23">
        <v>749386.05097851017</v>
      </c>
      <c r="E6" s="33">
        <v>29.37266779200581</v>
      </c>
      <c r="F6" s="5">
        <v>10</v>
      </c>
      <c r="G6" s="23">
        <v>93</v>
      </c>
      <c r="H6" s="33">
        <v>145.87401078851121</v>
      </c>
      <c r="I6" s="23">
        <v>38.664982568898985</v>
      </c>
      <c r="J6" s="5">
        <v>4950.8629963016729</v>
      </c>
      <c r="K6" s="31"/>
      <c r="L6" s="23">
        <v>981753.34878662904</v>
      </c>
      <c r="M6" s="33">
        <v>58.571993791993009</v>
      </c>
      <c r="N6" s="5">
        <v>17</v>
      </c>
      <c r="O6" s="5">
        <v>83</v>
      </c>
      <c r="P6" s="33">
        <v>157.49312095895627</v>
      </c>
      <c r="Q6" s="5">
        <v>19.407097739708927</v>
      </c>
      <c r="R6" s="5">
        <v>4175.1617633298738</v>
      </c>
      <c r="S6" s="35"/>
      <c r="T6" s="23">
        <v>942344.3691882611</v>
      </c>
      <c r="U6" s="33">
        <v>42.347970999995603</v>
      </c>
      <c r="V6" s="5">
        <v>13</v>
      </c>
      <c r="W6" s="5">
        <v>90</v>
      </c>
      <c r="X6" s="33">
        <v>754.77151579405279</v>
      </c>
      <c r="Y6" s="5">
        <v>46.021750154961445</v>
      </c>
      <c r="Z6" s="5">
        <v>5903.4007554525015</v>
      </c>
      <c r="AA6" s="35"/>
    </row>
    <row r="7" spans="2:27" x14ac:dyDescent="0.2">
      <c r="B7" s="4">
        <v>4</v>
      </c>
      <c r="C7" s="4">
        <v>373</v>
      </c>
      <c r="D7" s="23">
        <v>723697.73466980807</v>
      </c>
      <c r="E7" s="33">
        <v>44.426902166997017</v>
      </c>
      <c r="F7" s="5">
        <v>11</v>
      </c>
      <c r="G7" s="23">
        <v>93</v>
      </c>
      <c r="H7" s="33">
        <v>110.33690245281598</v>
      </c>
      <c r="I7" s="23">
        <v>33.071076228134977</v>
      </c>
      <c r="J7" s="5">
        <v>4461.530859961641</v>
      </c>
      <c r="K7" s="31"/>
      <c r="L7" s="23">
        <v>944411.22447563289</v>
      </c>
      <c r="M7" s="33">
        <v>123.2157732499909</v>
      </c>
      <c r="N7" s="5">
        <v>19</v>
      </c>
      <c r="O7" s="5">
        <v>88</v>
      </c>
      <c r="P7" s="33">
        <v>135.30904972521708</v>
      </c>
      <c r="Q7" s="5">
        <v>18.484717221934279</v>
      </c>
      <c r="R7" s="5">
        <v>4238.4325219962711</v>
      </c>
      <c r="S7" s="35"/>
      <c r="T7" s="23">
        <v>905138.67035665805</v>
      </c>
      <c r="U7" s="33">
        <v>42.271173667002593</v>
      </c>
      <c r="V7" s="5">
        <v>13</v>
      </c>
      <c r="W7" s="5">
        <v>92</v>
      </c>
      <c r="X7" s="33">
        <v>725.74634153521777</v>
      </c>
      <c r="Y7" s="5">
        <v>50.852271747773941</v>
      </c>
      <c r="Z7" s="5">
        <v>5971.6979432816597</v>
      </c>
      <c r="AA7" s="35"/>
    </row>
    <row r="8" spans="2:27" x14ac:dyDescent="0.2">
      <c r="B8" s="4">
        <v>5</v>
      </c>
      <c r="C8" s="4">
        <v>385</v>
      </c>
      <c r="D8" s="23">
        <v>745158.06698042993</v>
      </c>
      <c r="E8" s="33">
        <v>41.399954332999187</v>
      </c>
      <c r="F8" s="5">
        <v>11</v>
      </c>
      <c r="G8" s="23">
        <v>93</v>
      </c>
      <c r="H8" s="33">
        <v>106.64393437359135</v>
      </c>
      <c r="I8" s="23">
        <v>34.233339942346475</v>
      </c>
      <c r="J8" s="5">
        <v>4700.0575234420812</v>
      </c>
      <c r="K8" s="31"/>
      <c r="L8" s="23">
        <v>955561.2562217121</v>
      </c>
      <c r="M8" s="33">
        <v>72.832993374991929</v>
      </c>
      <c r="N8" s="5">
        <v>18</v>
      </c>
      <c r="O8" s="5">
        <v>86</v>
      </c>
      <c r="P8" s="33">
        <v>105.80222824518309</v>
      </c>
      <c r="Q8" s="5">
        <v>19.200793144934931</v>
      </c>
      <c r="R8" s="5">
        <v>4245.0217547081438</v>
      </c>
      <c r="S8" s="35"/>
      <c r="T8" s="23">
        <v>892259.58510063053</v>
      </c>
      <c r="U8" s="33">
        <v>77.330645791007555</v>
      </c>
      <c r="V8" s="5">
        <v>14</v>
      </c>
      <c r="W8" s="5">
        <v>91</v>
      </c>
      <c r="X8" s="33">
        <v>528.88140163058381</v>
      </c>
      <c r="Y8" s="5">
        <v>47.114311946633784</v>
      </c>
      <c r="Z8" s="5">
        <v>5622.4141503783121</v>
      </c>
      <c r="AA8" s="35"/>
    </row>
    <row r="9" spans="2:27" x14ac:dyDescent="0.2">
      <c r="B9" s="4">
        <v>6</v>
      </c>
      <c r="C9" s="4">
        <v>503</v>
      </c>
      <c r="D9" s="23">
        <v>723697.73466980807</v>
      </c>
      <c r="E9" s="33">
        <v>34.69108158400195</v>
      </c>
      <c r="F9" s="5">
        <v>11</v>
      </c>
      <c r="G9" s="23">
        <v>93</v>
      </c>
      <c r="H9" s="33">
        <v>110.33690245281598</v>
      </c>
      <c r="I9" s="23">
        <v>33.071076228134977</v>
      </c>
      <c r="J9" s="5">
        <v>4461.530859961641</v>
      </c>
      <c r="K9" s="31"/>
      <c r="L9" s="23">
        <v>949395.56161012873</v>
      </c>
      <c r="M9" s="33">
        <v>76.580632458004402</v>
      </c>
      <c r="N9" s="5">
        <v>19</v>
      </c>
      <c r="O9" s="5">
        <v>88</v>
      </c>
      <c r="P9" s="33">
        <v>110.34338353306285</v>
      </c>
      <c r="Q9" s="5">
        <v>18.838016396889081</v>
      </c>
      <c r="R9" s="5">
        <v>4309.7111080638606</v>
      </c>
      <c r="S9" s="35"/>
      <c r="T9" s="23">
        <v>905293.3679496746</v>
      </c>
      <c r="U9" s="33">
        <v>99.138519500003895</v>
      </c>
      <c r="V9" s="5">
        <v>14</v>
      </c>
      <c r="W9" s="5">
        <v>91</v>
      </c>
      <c r="X9" s="33">
        <v>609.41194940185653</v>
      </c>
      <c r="Y9" s="5">
        <v>45.597053089944609</v>
      </c>
      <c r="Z9" s="5">
        <v>5647.3803914995242</v>
      </c>
      <c r="AA9" s="35"/>
    </row>
    <row r="10" spans="2:27" x14ac:dyDescent="0.2">
      <c r="B10" s="4">
        <v>7</v>
      </c>
      <c r="C10" s="4">
        <v>594</v>
      </c>
      <c r="D10" s="23">
        <v>733543.3024742289</v>
      </c>
      <c r="E10" s="33">
        <v>36.617962207994417</v>
      </c>
      <c r="F10" s="5">
        <v>11</v>
      </c>
      <c r="G10" s="23">
        <v>93</v>
      </c>
      <c r="H10" s="33">
        <v>110.33690245281598</v>
      </c>
      <c r="I10" s="23">
        <v>35.289493443285266</v>
      </c>
      <c r="J10" s="5">
        <v>4611.4181985158948</v>
      </c>
      <c r="K10" s="31"/>
      <c r="L10" s="23">
        <v>945520.08055893308</v>
      </c>
      <c r="M10" s="33">
        <v>75.345832207996864</v>
      </c>
      <c r="N10" s="5">
        <v>18</v>
      </c>
      <c r="O10" s="5">
        <v>87</v>
      </c>
      <c r="P10" s="33">
        <v>95.579933807355786</v>
      </c>
      <c r="Q10" s="5">
        <v>18.913257600214287</v>
      </c>
      <c r="R10" s="5">
        <v>4306.9654386364746</v>
      </c>
      <c r="S10" s="35"/>
      <c r="T10" s="23">
        <v>882149.82199536753</v>
      </c>
      <c r="U10" s="33">
        <v>114.9830127909954</v>
      </c>
      <c r="V10" s="5">
        <v>14</v>
      </c>
      <c r="W10" s="5">
        <v>92</v>
      </c>
      <c r="X10" s="33">
        <v>530.16194575989255</v>
      </c>
      <c r="Y10" s="5">
        <v>47.960728990914092</v>
      </c>
      <c r="Z10" s="5">
        <v>5683.2862729253011</v>
      </c>
      <c r="AA10" s="35"/>
    </row>
    <row r="11" spans="2:27" x14ac:dyDescent="0.2">
      <c r="B11" s="4">
        <v>8</v>
      </c>
      <c r="C11" s="4">
        <v>596</v>
      </c>
      <c r="D11" s="23">
        <v>757487.63876426069</v>
      </c>
      <c r="E11" s="33">
        <v>33.603780375000497</v>
      </c>
      <c r="F11" s="5">
        <v>11</v>
      </c>
      <c r="G11" s="23">
        <v>93</v>
      </c>
      <c r="H11" s="33">
        <v>146.82680865151426</v>
      </c>
      <c r="I11" s="23">
        <v>35.208252416027499</v>
      </c>
      <c r="J11" s="5">
        <v>4827.9519499969192</v>
      </c>
      <c r="K11" s="31"/>
      <c r="L11" s="23">
        <v>937766.23370606708</v>
      </c>
      <c r="M11" s="33">
        <v>68.117523667009664</v>
      </c>
      <c r="N11" s="5">
        <v>21</v>
      </c>
      <c r="O11" s="5">
        <v>90</v>
      </c>
      <c r="P11" s="33">
        <v>100.40531977108344</v>
      </c>
      <c r="Q11" s="5">
        <v>16.850586853410544</v>
      </c>
      <c r="R11" s="5">
        <v>4110.8539355987314</v>
      </c>
      <c r="S11" s="35"/>
      <c r="T11" s="23">
        <v>927213.53548192885</v>
      </c>
      <c r="U11" s="33">
        <v>52.563206999999238</v>
      </c>
      <c r="V11" s="5">
        <v>12</v>
      </c>
      <c r="W11" s="5">
        <v>90</v>
      </c>
      <c r="X11" s="33">
        <v>701.6295697200942</v>
      </c>
      <c r="Y11" s="5">
        <v>49.220367217221387</v>
      </c>
      <c r="Z11" s="5">
        <v>5997.7869613474277</v>
      </c>
      <c r="AA11" s="35"/>
    </row>
    <row r="12" spans="2:27" x14ac:dyDescent="0.2">
      <c r="B12" s="4">
        <v>9</v>
      </c>
      <c r="C12" s="4">
        <v>775</v>
      </c>
      <c r="D12" s="23">
        <v>759928.10482464137</v>
      </c>
      <c r="E12" s="33">
        <v>26.533602707997488</v>
      </c>
      <c r="F12" s="5">
        <v>10</v>
      </c>
      <c r="G12" s="23">
        <v>93</v>
      </c>
      <c r="H12" s="33">
        <v>155.54073765963281</v>
      </c>
      <c r="I12" s="23">
        <v>38.422701787430256</v>
      </c>
      <c r="J12" s="5">
        <v>5052.947364799852</v>
      </c>
      <c r="K12" s="31"/>
      <c r="L12" s="23">
        <v>944766.41043427552</v>
      </c>
      <c r="M12" s="33">
        <v>55.0103680829925</v>
      </c>
      <c r="N12" s="5">
        <v>19</v>
      </c>
      <c r="O12" s="5">
        <v>88</v>
      </c>
      <c r="P12" s="33">
        <v>47.071807113630037</v>
      </c>
      <c r="Q12" s="5">
        <v>18.886876918205544</v>
      </c>
      <c r="R12" s="5">
        <v>4307.5507773926047</v>
      </c>
      <c r="S12" s="35"/>
      <c r="T12" s="23">
        <v>928333.20728615345</v>
      </c>
      <c r="U12" s="33">
        <v>53.650932000004097</v>
      </c>
      <c r="V12" s="5">
        <v>12</v>
      </c>
      <c r="W12" s="5">
        <v>89</v>
      </c>
      <c r="X12" s="33">
        <v>620.92225446524787</v>
      </c>
      <c r="Y12" s="5">
        <v>52.185894852839333</v>
      </c>
      <c r="Z12" s="5">
        <v>5977.8414571774074</v>
      </c>
      <c r="AA12" s="35"/>
    </row>
    <row r="13" spans="2:27" x14ac:dyDescent="0.2">
      <c r="B13" s="4">
        <v>10</v>
      </c>
      <c r="C13" s="4">
        <v>972</v>
      </c>
      <c r="D13" s="23">
        <v>737430.46615931089</v>
      </c>
      <c r="E13" s="33">
        <v>30.993342125002531</v>
      </c>
      <c r="F13" s="5">
        <v>11</v>
      </c>
      <c r="G13" s="23">
        <v>93</v>
      </c>
      <c r="H13" s="33">
        <v>123.47457234329578</v>
      </c>
      <c r="I13" s="23">
        <v>32.906820635426008</v>
      </c>
      <c r="J13" s="5">
        <v>4580.8844944415005</v>
      </c>
      <c r="K13" s="31"/>
      <c r="L13" s="23">
        <v>958284.4499943346</v>
      </c>
      <c r="M13" s="33">
        <v>116.18707745800199</v>
      </c>
      <c r="N13" s="5">
        <v>18</v>
      </c>
      <c r="O13" s="5">
        <v>86</v>
      </c>
      <c r="P13" s="33">
        <v>104.73957967429968</v>
      </c>
      <c r="Q13" s="5">
        <v>18.788113209414536</v>
      </c>
      <c r="R13" s="5">
        <v>4269.3307604715374</v>
      </c>
      <c r="S13" s="35"/>
      <c r="T13" s="23">
        <v>917017.7072206568</v>
      </c>
      <c r="U13" s="33">
        <v>112.6139944170136</v>
      </c>
      <c r="V13" s="5">
        <v>14</v>
      </c>
      <c r="W13" s="5">
        <v>92</v>
      </c>
      <c r="X13" s="33">
        <v>748.65596808406747</v>
      </c>
      <c r="Y13" s="5">
        <v>46.466309326832651</v>
      </c>
      <c r="Z13" s="5">
        <v>5877.3423289659622</v>
      </c>
      <c r="AA13" s="35"/>
    </row>
    <row r="14" spans="2:27" x14ac:dyDescent="0.2">
      <c r="B14" s="47" t="s">
        <v>3</v>
      </c>
      <c r="C14" s="48"/>
      <c r="D14" s="9">
        <f>MIN(D4:D13)</f>
        <v>723697.73466980807</v>
      </c>
      <c r="E14" s="22">
        <f>INDEX(E4:E13, MATCH($D$14, D4:D13, 0))</f>
        <v>44.426902166997017</v>
      </c>
      <c r="F14" s="9">
        <f>INDEX(F4:F13, MATCH($D$14, D4:D13, 0))</f>
        <v>11</v>
      </c>
      <c r="G14" s="9">
        <f>INDEX(G4:G13, MATCH($D$14, D4:D13, 0))</f>
        <v>93</v>
      </c>
      <c r="H14" s="22">
        <f>INDEX(H4:H13, MATCH($D$14, D4:D13, 0))</f>
        <v>110.33690245281598</v>
      </c>
      <c r="I14" s="22">
        <f>INDEX(I4:I13, MATCH($D$14, D4:D13, 0))</f>
        <v>33.071076228134977</v>
      </c>
      <c r="J14" s="22">
        <f>INDEX(J4:J13, MATCH($D$14, D4:D13, 0))</f>
        <v>4461.530859961641</v>
      </c>
      <c r="K14" s="32" t="e">
        <f>(D14-$D$15)/$D$15</f>
        <v>#DIV/0!</v>
      </c>
      <c r="L14" s="16">
        <f>MIN(L4:L13)</f>
        <v>937766.23370606708</v>
      </c>
      <c r="M14" s="21">
        <f>INDEX(M4:M13, MATCH($L$14, L4:L13, 0))</f>
        <v>68.117523667009664</v>
      </c>
      <c r="N14" s="16">
        <f>INDEX(N4:N13, MATCH($L$14, L4:L13, 0))</f>
        <v>21</v>
      </c>
      <c r="O14" s="16">
        <f>INDEX(O4:O13, MATCH($L$14, L4:L13, 0))</f>
        <v>90</v>
      </c>
      <c r="P14" s="21">
        <f>INDEX(P4:P13, MATCH($L$14, L4:L13, 0))</f>
        <v>100.40531977108344</v>
      </c>
      <c r="Q14" s="21">
        <f>INDEX(Q4:Q13, MATCH($L$14, L4:L13, 0))</f>
        <v>16.850586853410544</v>
      </c>
      <c r="R14" s="21">
        <f>INDEX(R4:R13, MATCH($L$14, L4:L13, 0))</f>
        <v>4110.8539355987314</v>
      </c>
      <c r="S14" s="36" t="e">
        <f>(L14-$D$15)/$D$15</f>
        <v>#DIV/0!</v>
      </c>
      <c r="T14" s="38">
        <f>MIN(T4:T13)</f>
        <v>882149.82199536753</v>
      </c>
      <c r="U14" s="39">
        <f>INDEX(U4:U13, MATCH($T$14, T4:T13, 0))</f>
        <v>114.9830127909954</v>
      </c>
      <c r="V14" s="38">
        <f>INDEX(V4:V13, MATCH($T$14, T4:T13, 0))</f>
        <v>14</v>
      </c>
      <c r="W14" s="38">
        <f>INDEX(W4:W13, MATCH($T$14, T4:T13, 0))</f>
        <v>92</v>
      </c>
      <c r="X14" s="39">
        <f>INDEX(X4:X13, MATCH($T$14, T4:T13, 0))</f>
        <v>530.16194575989255</v>
      </c>
      <c r="Y14" s="39">
        <f>INDEX(Y4:Y13, MATCH($T$14, T4:T13, 0))</f>
        <v>47.960728990914092</v>
      </c>
      <c r="Z14" s="39">
        <f>INDEX(Z4:Z13, MATCH($T$14, T4:T13, 0))</f>
        <v>5683.2862729253011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0.29579821627316438</v>
      </c>
      <c r="M15" s="41">
        <f t="shared" ref="M15:P15" si="0">(M14-E14)/E14</f>
        <v>0.53324945797394507</v>
      </c>
      <c r="N15" s="41">
        <f t="shared" si="0"/>
        <v>0.90909090909090906</v>
      </c>
      <c r="O15" s="41">
        <f t="shared" si="0"/>
        <v>-3.2258064516129031E-2</v>
      </c>
      <c r="P15" s="41">
        <f t="shared" si="0"/>
        <v>-9.0011432811244976E-2</v>
      </c>
      <c r="Q15" s="41">
        <f>(Q14-I14)/I14</f>
        <v>-0.49047358673271629</v>
      </c>
      <c r="R15" s="41">
        <f t="shared" ref="R15" si="1">(R14-J14)/J14</f>
        <v>-7.8600134207280736E-2</v>
      </c>
      <c r="T15" s="41">
        <f>(T14-D14)/D14</f>
        <v>0.21894788353573372</v>
      </c>
      <c r="U15" s="41">
        <f t="shared" ref="U15:Z15" si="2">(U14-E14)/E14</f>
        <v>1.5881393296067292</v>
      </c>
      <c r="V15" s="41">
        <f t="shared" si="2"/>
        <v>0.27272727272727271</v>
      </c>
      <c r="W15" s="41">
        <f t="shared" si="2"/>
        <v>-1.0752688172043012E-2</v>
      </c>
      <c r="X15" s="41">
        <f t="shared" si="2"/>
        <v>3.8049377313869113</v>
      </c>
      <c r="Y15" s="41">
        <f t="shared" si="2"/>
        <v>0.45023187815435683</v>
      </c>
      <c r="Z15" s="41">
        <f t="shared" si="2"/>
        <v>0.27384219706465607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85" priority="5"/>
    <cfRule type="duplicateValues" dxfId="84" priority="6"/>
  </conditionalFormatting>
  <conditionalFormatting sqref="C14">
    <cfRule type="duplicateValues" dxfId="83" priority="3"/>
    <cfRule type="duplicateValues" dxfId="82" priority="4"/>
  </conditionalFormatting>
  <conditionalFormatting sqref="C15">
    <cfRule type="duplicateValues" dxfId="81" priority="1"/>
    <cfRule type="duplicateValues" dxfId="8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C9D9-FDC4-D445-8F50-65740BEC98BE}">
  <dimension ref="B1:AA17"/>
  <sheetViews>
    <sheetView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-0.89269668955960602</v>
      </c>
      <c r="J2" s="28" t="e">
        <f>(S14-J14)/J14</f>
        <v>#DIV/0!</v>
      </c>
      <c r="K2" s="28"/>
      <c r="L2" s="1" t="s">
        <v>19</v>
      </c>
      <c r="P2" s="1">
        <f>(P14-H14)/H14</f>
        <v>-0.27887264831227554</v>
      </c>
      <c r="R2" s="1">
        <f>(R14-J14)/J14</f>
        <v>-0.12853143262718303</v>
      </c>
      <c r="T2" s="1" t="s">
        <v>20</v>
      </c>
      <c r="X2" s="1">
        <f>(X14-P14)/P14</f>
        <v>5.2963659924568391</v>
      </c>
      <c r="Z2" s="1">
        <f>(Z14-R14)/R14</f>
        <v>0.41644954120685318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103</v>
      </c>
      <c r="D4" s="23">
        <v>752206.88562267506</v>
      </c>
      <c r="E4" s="33">
        <v>37.047979750001097</v>
      </c>
      <c r="F4" s="5">
        <v>10</v>
      </c>
      <c r="G4" s="23">
        <v>94</v>
      </c>
      <c r="H4" s="33">
        <v>259.40699572820881</v>
      </c>
      <c r="I4" s="23">
        <v>34.248925829565835</v>
      </c>
      <c r="J4" s="5">
        <v>4907.3383673782291</v>
      </c>
      <c r="K4" s="31"/>
      <c r="L4" s="23">
        <v>958735.66336426768</v>
      </c>
      <c r="M4" s="33">
        <v>103.33584345900449</v>
      </c>
      <c r="N4" s="5">
        <v>20</v>
      </c>
      <c r="O4" s="5">
        <v>88</v>
      </c>
      <c r="P4" s="33">
        <v>113.11912488499588</v>
      </c>
      <c r="Q4" s="5">
        <v>15.959580084878729</v>
      </c>
      <c r="R4" s="5">
        <v>4100.1231967333179</v>
      </c>
      <c r="S4" s="35"/>
      <c r="T4" s="23">
        <v>947498.21208686871</v>
      </c>
      <c r="U4" s="33">
        <v>92.801010958995903</v>
      </c>
      <c r="V4" s="5">
        <v>13</v>
      </c>
      <c r="W4" s="5">
        <v>89</v>
      </c>
      <c r="X4" s="33">
        <v>687.46193347850192</v>
      </c>
      <c r="Y4" s="5">
        <v>44.916322249971735</v>
      </c>
      <c r="Z4" s="5">
        <v>5829.4037650636483</v>
      </c>
      <c r="AA4" s="35"/>
    </row>
    <row r="5" spans="2:27" x14ac:dyDescent="0.2">
      <c r="B5" s="4">
        <v>2</v>
      </c>
      <c r="C5" s="4">
        <v>172</v>
      </c>
      <c r="D5" s="23">
        <v>752284.70560345345</v>
      </c>
      <c r="E5" s="33">
        <v>26.806796999997459</v>
      </c>
      <c r="F5" s="5">
        <v>10</v>
      </c>
      <c r="G5" s="23">
        <v>94</v>
      </c>
      <c r="H5" s="33">
        <v>271.08616616499489</v>
      </c>
      <c r="I5" s="23">
        <v>33.471875640324384</v>
      </c>
      <c r="J5" s="5">
        <v>4887.6606836347692</v>
      </c>
      <c r="K5" s="31"/>
      <c r="L5" s="23">
        <v>980098.84926162427</v>
      </c>
      <c r="M5" s="33">
        <v>60.610258832995903</v>
      </c>
      <c r="N5" s="5">
        <v>17</v>
      </c>
      <c r="O5" s="5">
        <v>84</v>
      </c>
      <c r="P5" s="33">
        <v>141.58668468999025</v>
      </c>
      <c r="Q5" s="5">
        <v>17.010603842983443</v>
      </c>
      <c r="R5" s="5">
        <v>4209.1148563189008</v>
      </c>
      <c r="S5" s="35"/>
      <c r="T5" s="23">
        <v>987499.2499906678</v>
      </c>
      <c r="U5" s="33">
        <v>69.886363291996531</v>
      </c>
      <c r="V5" s="5">
        <v>13</v>
      </c>
      <c r="W5" s="5">
        <v>89</v>
      </c>
      <c r="X5" s="33">
        <v>922.89115533875361</v>
      </c>
      <c r="Y5" s="5">
        <v>44.034547729757954</v>
      </c>
      <c r="Z5" s="5">
        <v>6048.2386221990073</v>
      </c>
      <c r="AA5" s="35"/>
    </row>
    <row r="6" spans="2:27" x14ac:dyDescent="0.2">
      <c r="B6" s="4">
        <v>3</v>
      </c>
      <c r="C6" s="4">
        <v>423</v>
      </c>
      <c r="D6" s="23">
        <v>752284.70560345345</v>
      </c>
      <c r="E6" s="33">
        <v>37.184931417003099</v>
      </c>
      <c r="F6" s="5">
        <v>10</v>
      </c>
      <c r="G6" s="23">
        <v>94</v>
      </c>
      <c r="H6" s="33">
        <v>271.08616616499489</v>
      </c>
      <c r="I6" s="23">
        <v>33.471875640324384</v>
      </c>
      <c r="J6" s="5">
        <v>4887.6606836347692</v>
      </c>
      <c r="K6" s="31"/>
      <c r="L6" s="23">
        <v>983378.4061285106</v>
      </c>
      <c r="M6" s="33">
        <v>212.0352026670007</v>
      </c>
      <c r="N6" s="5">
        <v>19</v>
      </c>
      <c r="O6" s="5">
        <v>87</v>
      </c>
      <c r="P6" s="33">
        <v>252.49697758170217</v>
      </c>
      <c r="Q6" s="5">
        <v>16.314905624795873</v>
      </c>
      <c r="R6" s="5">
        <v>4267.6695293658877</v>
      </c>
      <c r="S6" s="35"/>
      <c r="T6" s="23">
        <v>988574.73935880116</v>
      </c>
      <c r="U6" s="33">
        <v>40.800856709000072</v>
      </c>
      <c r="V6" s="5">
        <v>12</v>
      </c>
      <c r="W6" s="5">
        <v>86</v>
      </c>
      <c r="X6" s="33">
        <v>713.22225514576894</v>
      </c>
      <c r="Y6" s="5">
        <v>45.840096877740557</v>
      </c>
      <c r="Z6" s="5">
        <v>5917.0296840040601</v>
      </c>
      <c r="AA6" s="35"/>
    </row>
    <row r="7" spans="2:27" x14ac:dyDescent="0.2">
      <c r="B7" s="4">
        <v>4</v>
      </c>
      <c r="C7" s="4">
        <v>467</v>
      </c>
      <c r="D7" s="23">
        <v>746883.48351933307</v>
      </c>
      <c r="E7" s="33">
        <v>46.529617291998868</v>
      </c>
      <c r="F7" s="5">
        <v>11</v>
      </c>
      <c r="G7" s="23">
        <v>94</v>
      </c>
      <c r="H7" s="33">
        <v>151.40726774032493</v>
      </c>
      <c r="I7" s="23">
        <v>31.076468812490877</v>
      </c>
      <c r="J7" s="5">
        <v>4722.4927700850794</v>
      </c>
      <c r="K7" s="31"/>
      <c r="L7" s="23">
        <v>988901.25657736638</v>
      </c>
      <c r="M7" s="33">
        <v>127.4737220840034</v>
      </c>
      <c r="N7" s="5">
        <v>19</v>
      </c>
      <c r="O7" s="5">
        <v>86</v>
      </c>
      <c r="P7" s="33">
        <v>162.40353002032725</v>
      </c>
      <c r="Q7" s="5">
        <v>15.649519068943272</v>
      </c>
      <c r="R7" s="5">
        <v>4158.7821866029963</v>
      </c>
      <c r="S7" s="35"/>
      <c r="T7" s="23">
        <v>951882.33504235267</v>
      </c>
      <c r="U7" s="33">
        <v>86.993788541993126</v>
      </c>
      <c r="V7" s="5">
        <v>14</v>
      </c>
      <c r="W7" s="5">
        <v>90</v>
      </c>
      <c r="X7" s="33">
        <v>729.36776527132156</v>
      </c>
      <c r="Y7" s="5">
        <v>42.385773131656343</v>
      </c>
      <c r="Z7" s="5">
        <v>5811.3333270840976</v>
      </c>
      <c r="AA7" s="35"/>
    </row>
    <row r="8" spans="2:27" x14ac:dyDescent="0.2">
      <c r="B8" s="4">
        <v>5</v>
      </c>
      <c r="C8" s="4">
        <v>699</v>
      </c>
      <c r="D8" s="23">
        <v>813246.97118421167</v>
      </c>
      <c r="E8" s="33">
        <v>31.267109290994991</v>
      </c>
      <c r="F8" s="5">
        <v>11</v>
      </c>
      <c r="G8" s="23">
        <v>94</v>
      </c>
      <c r="H8" s="33">
        <v>398.0843651311543</v>
      </c>
      <c r="I8" s="23">
        <v>31.438830446246275</v>
      </c>
      <c r="J8" s="5">
        <v>5228.1452131205942</v>
      </c>
      <c r="K8" s="31"/>
      <c r="L8" s="23">
        <v>1007908.143526689</v>
      </c>
      <c r="M8" s="33">
        <v>115.057923750006</v>
      </c>
      <c r="N8" s="5">
        <v>19</v>
      </c>
      <c r="O8" s="5">
        <v>85</v>
      </c>
      <c r="P8" s="33">
        <v>204.38237698260349</v>
      </c>
      <c r="Q8" s="5">
        <v>15.789894289335788</v>
      </c>
      <c r="R8" s="5">
        <v>4286.2838234381825</v>
      </c>
      <c r="S8" s="35"/>
      <c r="T8" s="23">
        <v>975464.2236889177</v>
      </c>
      <c r="U8" s="33">
        <v>97.302873042004649</v>
      </c>
      <c r="V8" s="5">
        <v>12</v>
      </c>
      <c r="W8" s="5">
        <v>87</v>
      </c>
      <c r="X8" s="33">
        <v>792.11700809233196</v>
      </c>
      <c r="Y8" s="5">
        <v>47.430151431873497</v>
      </c>
      <c r="Z8" s="5">
        <v>5964.4741286067538</v>
      </c>
      <c r="AA8" s="35"/>
    </row>
    <row r="9" spans="2:27" x14ac:dyDescent="0.2">
      <c r="B9" s="4">
        <v>6</v>
      </c>
      <c r="C9" s="4">
        <v>754</v>
      </c>
      <c r="D9" s="23">
        <v>762865.31338372827</v>
      </c>
      <c r="E9" s="33">
        <v>30.170362959004709</v>
      </c>
      <c r="F9" s="5">
        <v>11</v>
      </c>
      <c r="G9" s="23">
        <v>94</v>
      </c>
      <c r="H9" s="33">
        <v>196.25334855631894</v>
      </c>
      <c r="I9" s="23">
        <v>30.344507190373712</v>
      </c>
      <c r="J9" s="5">
        <v>4832.2379841451766</v>
      </c>
      <c r="K9" s="31"/>
      <c r="L9" s="23">
        <v>990139.69304892502</v>
      </c>
      <c r="M9" s="33">
        <v>85.125409750005929</v>
      </c>
      <c r="N9" s="5">
        <v>18</v>
      </c>
      <c r="O9" s="5">
        <v>83</v>
      </c>
      <c r="P9" s="33">
        <v>135.77529568706953</v>
      </c>
      <c r="Q9" s="5">
        <v>16.060857848667499</v>
      </c>
      <c r="R9" s="5">
        <v>3954.1094856012496</v>
      </c>
      <c r="S9" s="35"/>
      <c r="T9" s="23">
        <v>999901.50908016786</v>
      </c>
      <c r="U9" s="33">
        <v>89.461727041998529</v>
      </c>
      <c r="V9" s="5">
        <v>12</v>
      </c>
      <c r="W9" s="5">
        <v>85</v>
      </c>
      <c r="X9" s="33">
        <v>640.90426683965302</v>
      </c>
      <c r="Y9" s="5">
        <v>42.492154434582069</v>
      </c>
      <c r="Z9" s="5">
        <v>5856.9575551134367</v>
      </c>
      <c r="AA9" s="35"/>
    </row>
    <row r="10" spans="2:27" x14ac:dyDescent="0.2">
      <c r="B10" s="4">
        <v>7</v>
      </c>
      <c r="C10" s="4">
        <v>819</v>
      </c>
      <c r="D10" s="23">
        <v>767092.47963556042</v>
      </c>
      <c r="E10" s="33">
        <v>29.79555137500574</v>
      </c>
      <c r="F10" s="5">
        <v>10</v>
      </c>
      <c r="G10" s="23">
        <v>94</v>
      </c>
      <c r="H10" s="33">
        <v>266.32812239583808</v>
      </c>
      <c r="I10" s="23">
        <v>33.791560311019737</v>
      </c>
      <c r="J10" s="5">
        <v>5043.9515558864305</v>
      </c>
      <c r="K10" s="31"/>
      <c r="L10" s="23">
        <v>958459.67830361286</v>
      </c>
      <c r="M10" s="33">
        <v>158.81667095801089</v>
      </c>
      <c r="N10" s="5">
        <v>19</v>
      </c>
      <c r="O10" s="5">
        <v>87</v>
      </c>
      <c r="P10" s="33">
        <v>109.18392201185475</v>
      </c>
      <c r="Q10" s="5">
        <v>16.246501053271942</v>
      </c>
      <c r="R10" s="5">
        <v>4115.5040087745301</v>
      </c>
      <c r="S10" s="35"/>
      <c r="T10" s="23">
        <v>974739.57549218286</v>
      </c>
      <c r="U10" s="33">
        <v>85.285271000000648</v>
      </c>
      <c r="V10" s="5">
        <v>13</v>
      </c>
      <c r="W10" s="5">
        <v>88</v>
      </c>
      <c r="X10" s="33">
        <v>860.1725940679371</v>
      </c>
      <c r="Y10" s="5">
        <v>45.161364151857079</v>
      </c>
      <c r="Z10" s="5">
        <v>5882.3400707754035</v>
      </c>
      <c r="AA10" s="35"/>
    </row>
    <row r="11" spans="2:27" x14ac:dyDescent="0.2">
      <c r="B11" s="4">
        <v>8</v>
      </c>
      <c r="C11" s="4">
        <v>823</v>
      </c>
      <c r="D11" s="23">
        <v>770214.05881194491</v>
      </c>
      <c r="E11" s="33">
        <v>29.39318266700138</v>
      </c>
      <c r="F11" s="5">
        <v>12</v>
      </c>
      <c r="G11" s="23">
        <v>94</v>
      </c>
      <c r="H11" s="33">
        <v>225.24281879543827</v>
      </c>
      <c r="I11" s="23">
        <v>28.562381598384079</v>
      </c>
      <c r="J11" s="5">
        <v>4708.1931443830945</v>
      </c>
      <c r="K11" s="31"/>
      <c r="L11" s="23">
        <v>1016603.320209652</v>
      </c>
      <c r="M11" s="33">
        <v>115.9483720840071</v>
      </c>
      <c r="N11" s="5">
        <v>17</v>
      </c>
      <c r="O11" s="5">
        <v>80</v>
      </c>
      <c r="P11" s="33">
        <v>81.254863180982696</v>
      </c>
      <c r="Q11" s="5">
        <v>16.458984836577834</v>
      </c>
      <c r="R11" s="5">
        <v>3971.0571780536557</v>
      </c>
      <c r="S11" s="35"/>
      <c r="T11" s="23">
        <v>959613.24200987106</v>
      </c>
      <c r="U11" s="33">
        <v>59.684622416010818</v>
      </c>
      <c r="V11" s="5">
        <v>12</v>
      </c>
      <c r="W11" s="5">
        <v>88</v>
      </c>
      <c r="X11" s="33">
        <v>769.57189055749257</v>
      </c>
      <c r="Y11" s="5">
        <v>47.639905448665637</v>
      </c>
      <c r="Z11" s="5">
        <v>5909.5436973681262</v>
      </c>
      <c r="AA11" s="35"/>
    </row>
    <row r="12" spans="2:27" x14ac:dyDescent="0.2">
      <c r="B12" s="4">
        <v>9</v>
      </c>
      <c r="C12" s="4">
        <v>843</v>
      </c>
      <c r="D12" s="23">
        <v>747822.14256507996</v>
      </c>
      <c r="E12" s="33">
        <v>30.170363124998399</v>
      </c>
      <c r="F12" s="5">
        <v>11</v>
      </c>
      <c r="G12" s="23">
        <v>94</v>
      </c>
      <c r="H12" s="33">
        <v>206.63487583332579</v>
      </c>
      <c r="I12" s="23">
        <v>31.658764579386016</v>
      </c>
      <c r="J12" s="5">
        <v>4713.0421335900601</v>
      </c>
      <c r="K12" s="31"/>
      <c r="L12" s="23">
        <v>983698.83722299302</v>
      </c>
      <c r="M12" s="33">
        <v>105.7115117499925</v>
      </c>
      <c r="N12" s="5">
        <v>19</v>
      </c>
      <c r="O12" s="5">
        <v>87</v>
      </c>
      <c r="P12" s="33">
        <v>225.76883818714705</v>
      </c>
      <c r="Q12" s="5">
        <v>16.363219738355273</v>
      </c>
      <c r="R12" s="5">
        <v>4353.768101149325</v>
      </c>
      <c r="S12" s="35"/>
      <c r="T12" s="23">
        <v>985867.79942736798</v>
      </c>
      <c r="U12" s="33">
        <v>37.9838227500004</v>
      </c>
      <c r="V12" s="5">
        <v>12</v>
      </c>
      <c r="W12" s="5">
        <v>88</v>
      </c>
      <c r="X12" s="33">
        <v>916.03806633400154</v>
      </c>
      <c r="Y12" s="5">
        <v>47.29880404661403</v>
      </c>
      <c r="Z12" s="5">
        <v>6106.0467361307146</v>
      </c>
      <c r="AA12" s="35"/>
    </row>
    <row r="13" spans="2:27" x14ac:dyDescent="0.2">
      <c r="B13" s="4">
        <v>10</v>
      </c>
      <c r="C13" s="4">
        <v>908</v>
      </c>
      <c r="D13" s="23">
        <v>750668.83302432473</v>
      </c>
      <c r="E13" s="33">
        <v>40.055976959003601</v>
      </c>
      <c r="F13" s="5">
        <v>11</v>
      </c>
      <c r="G13" s="23">
        <v>94</v>
      </c>
      <c r="H13" s="33">
        <v>173.06750532413628</v>
      </c>
      <c r="I13" s="23">
        <v>30.870017514594192</v>
      </c>
      <c r="J13" s="5">
        <v>4743.45369624665</v>
      </c>
      <c r="K13" s="31"/>
      <c r="L13" s="23">
        <v>969371.92586212233</v>
      </c>
      <c r="M13" s="33">
        <v>78.396249416997307</v>
      </c>
      <c r="N13" s="5">
        <v>19</v>
      </c>
      <c r="O13" s="5">
        <v>88</v>
      </c>
      <c r="P13" s="33">
        <v>256.5762744983582</v>
      </c>
      <c r="Q13" s="5">
        <v>16.608746367897847</v>
      </c>
      <c r="R13" s="5">
        <v>4324.0510215893628</v>
      </c>
      <c r="S13" s="35"/>
      <c r="T13" s="23">
        <v>976346.90309302101</v>
      </c>
      <c r="U13" s="33">
        <v>49.646469832994633</v>
      </c>
      <c r="V13" s="5">
        <v>13</v>
      </c>
      <c r="W13" s="5">
        <v>90</v>
      </c>
      <c r="X13" s="33">
        <v>912.95793842103694</v>
      </c>
      <c r="Y13" s="5">
        <v>46.18900015073261</v>
      </c>
      <c r="Z13" s="5">
        <v>6150.1510885625794</v>
      </c>
      <c r="AA13" s="35"/>
    </row>
    <row r="14" spans="2:27" x14ac:dyDescent="0.2">
      <c r="B14" s="47" t="s">
        <v>3</v>
      </c>
      <c r="C14" s="48"/>
      <c r="D14" s="9">
        <f>MIN(D4:D13)</f>
        <v>746883.48351933307</v>
      </c>
      <c r="E14" s="22">
        <f>INDEX(E4:E13, MATCH($D$14, D4:D13, 0))</f>
        <v>46.529617291998868</v>
      </c>
      <c r="F14" s="9">
        <f>INDEX(F4:F13, MATCH($D$14, D4:D13, 0))</f>
        <v>11</v>
      </c>
      <c r="G14" s="9">
        <f>INDEX(G4:G13, MATCH($D$14, D4:D13, 0))</f>
        <v>94</v>
      </c>
      <c r="H14" s="22">
        <f>INDEX(H4:H13, MATCH($D$14, D4:D13, 0))</f>
        <v>151.40726774032493</v>
      </c>
      <c r="I14" s="22">
        <f>INDEX(I4:I13, MATCH($D$14, D4:D13, 0))</f>
        <v>31.076468812490877</v>
      </c>
      <c r="J14" s="22">
        <f>INDEX(J4:J13, MATCH($D$14, D4:D13, 0))</f>
        <v>4722.4927700850794</v>
      </c>
      <c r="K14" s="32" t="e">
        <f>(D14-$D$15)/$D$15</f>
        <v>#DIV/0!</v>
      </c>
      <c r="L14" s="16">
        <f>MIN(L4:L13)</f>
        <v>958459.67830361286</v>
      </c>
      <c r="M14" s="21">
        <f>INDEX(M4:M13, MATCH($L$14, L4:L13, 0))</f>
        <v>158.81667095801089</v>
      </c>
      <c r="N14" s="16">
        <f>INDEX(N4:N13, MATCH($L$14, L4:L13, 0))</f>
        <v>19</v>
      </c>
      <c r="O14" s="16">
        <f>INDEX(O4:O13, MATCH($L$14, L4:L13, 0))</f>
        <v>87</v>
      </c>
      <c r="P14" s="21">
        <f>INDEX(P4:P13, MATCH($L$14, L4:L13, 0))</f>
        <v>109.18392201185475</v>
      </c>
      <c r="Q14" s="21">
        <f>INDEX(Q4:Q13, MATCH($L$14, L4:L13, 0))</f>
        <v>16.246501053271942</v>
      </c>
      <c r="R14" s="21">
        <f>INDEX(R4:R13, MATCH($L$14, L4:L13, 0))</f>
        <v>4115.5040087745301</v>
      </c>
      <c r="S14" s="36" t="e">
        <f>(L14-$D$15)/$D$15</f>
        <v>#DIV/0!</v>
      </c>
      <c r="T14" s="38">
        <f>MIN(T4:T13)</f>
        <v>947498.21208686871</v>
      </c>
      <c r="U14" s="39">
        <f>INDEX(U4:U13, MATCH($T$14, T4:T13, 0))</f>
        <v>92.801010958995903</v>
      </c>
      <c r="V14" s="38">
        <f>INDEX(V4:V13, MATCH($T$14, T4:T13, 0))</f>
        <v>13</v>
      </c>
      <c r="W14" s="38">
        <f>INDEX(W4:W13, MATCH($T$14, T4:T13, 0))</f>
        <v>89</v>
      </c>
      <c r="X14" s="39">
        <f>INDEX(X4:X13, MATCH($T$14, T4:T13, 0))</f>
        <v>687.46193347850192</v>
      </c>
      <c r="Y14" s="39">
        <f>INDEX(Y4:Y13, MATCH($T$14, T4:T13, 0))</f>
        <v>44.916322249971735</v>
      </c>
      <c r="Z14" s="39">
        <f>INDEX(Z4:Z13, MATCH($T$14, T4:T13, 0))</f>
        <v>5829.4037650636483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0.28327871676493321</v>
      </c>
      <c r="M15" s="41">
        <f t="shared" ref="M15:P15" si="0">(M14-E14)/E14</f>
        <v>2.4132382813584985</v>
      </c>
      <c r="N15" s="41">
        <f t="shared" si="0"/>
        <v>0.72727272727272729</v>
      </c>
      <c r="O15" s="41">
        <f t="shared" si="0"/>
        <v>-7.4468085106382975E-2</v>
      </c>
      <c r="P15" s="41">
        <f t="shared" si="0"/>
        <v>-0.27887264831227554</v>
      </c>
      <c r="Q15" s="41">
        <f>(Q14-I14)/I14</f>
        <v>-0.47720890840912328</v>
      </c>
      <c r="R15" s="41">
        <f t="shared" ref="R15" si="1">(R14-J14)/J14</f>
        <v>-0.12853143262718303</v>
      </c>
      <c r="T15" s="41">
        <f>(T14-D14)/D14</f>
        <v>0.26860244334529154</v>
      </c>
      <c r="U15" s="41">
        <f t="shared" ref="U15:Z15" si="2">(U14-E14)/E14</f>
        <v>0.99445033851490039</v>
      </c>
      <c r="V15" s="41">
        <f t="shared" si="2"/>
        <v>0.18181818181818182</v>
      </c>
      <c r="W15" s="41">
        <f t="shared" si="2"/>
        <v>-5.3191489361702128E-2</v>
      </c>
      <c r="X15" s="41">
        <f t="shared" si="2"/>
        <v>3.5404817333970504</v>
      </c>
      <c r="Y15" s="41">
        <f t="shared" si="2"/>
        <v>0.4453483283762944</v>
      </c>
      <c r="Z15" s="41">
        <f t="shared" si="2"/>
        <v>0.23439125243142023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79" priority="5"/>
    <cfRule type="duplicateValues" dxfId="78" priority="6"/>
  </conditionalFormatting>
  <conditionalFormatting sqref="C14">
    <cfRule type="duplicateValues" dxfId="77" priority="3"/>
    <cfRule type="duplicateValues" dxfId="76" priority="4"/>
  </conditionalFormatting>
  <conditionalFormatting sqref="C15">
    <cfRule type="duplicateValues" dxfId="75" priority="1"/>
    <cfRule type="duplicateValues" dxfId="7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1A8E-EA51-1448-8393-64612A5B3E5A}">
  <dimension ref="B1:AA17"/>
  <sheetViews>
    <sheetView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-0.84238779204673664</v>
      </c>
      <c r="J2" s="28" t="e">
        <f>(S14-J14)/J14</f>
        <v>#DIV/0!</v>
      </c>
      <c r="K2" s="28"/>
      <c r="L2" s="1" t="s">
        <v>19</v>
      </c>
      <c r="P2" s="1">
        <f>(P14-H14)/H14</f>
        <v>-2.1819696475380214E-2</v>
      </c>
      <c r="R2" s="1">
        <f>(R14-J14)/J14</f>
        <v>-0.10814954311411784</v>
      </c>
      <c r="T2" s="1" t="s">
        <v>20</v>
      </c>
      <c r="X2" s="1">
        <f>(X14-P14)/P14</f>
        <v>3.226920174578336</v>
      </c>
      <c r="Z2" s="1">
        <f>(Z14-R14)/R14</f>
        <v>0.37501537058366008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96</v>
      </c>
      <c r="D4" s="23">
        <v>774658.90057101462</v>
      </c>
      <c r="E4" s="33">
        <v>34.804033584005083</v>
      </c>
      <c r="F4" s="5">
        <v>11</v>
      </c>
      <c r="G4" s="23">
        <v>92</v>
      </c>
      <c r="H4" s="33">
        <v>120.30049047082478</v>
      </c>
      <c r="I4" s="23">
        <v>32.282676521000639</v>
      </c>
      <c r="J4" s="5">
        <v>4736.0254191194663</v>
      </c>
      <c r="K4" s="31"/>
      <c r="L4" s="23">
        <v>980906.24925046531</v>
      </c>
      <c r="M4" s="33">
        <v>110.6111049579922</v>
      </c>
      <c r="N4" s="5">
        <v>18</v>
      </c>
      <c r="O4" s="5">
        <v>85</v>
      </c>
      <c r="P4" s="33">
        <v>183.38315138277622</v>
      </c>
      <c r="Q4" s="5">
        <v>17.715655620199325</v>
      </c>
      <c r="R4" s="5">
        <v>4173.0351062799773</v>
      </c>
      <c r="S4" s="35"/>
      <c r="T4" s="23">
        <v>983301.59648510418</v>
      </c>
      <c r="U4" s="33">
        <v>41.594893708999727</v>
      </c>
      <c r="V4" s="5">
        <v>11</v>
      </c>
      <c r="W4" s="5">
        <v>83</v>
      </c>
      <c r="X4" s="33">
        <v>497.10090657775601</v>
      </c>
      <c r="Y4" s="5">
        <v>47.438819228855706</v>
      </c>
      <c r="Z4" s="5">
        <v>5714.6153232089246</v>
      </c>
      <c r="AA4" s="35"/>
    </row>
    <row r="5" spans="2:27" x14ac:dyDescent="0.2">
      <c r="B5" s="4">
        <v>2</v>
      </c>
      <c r="C5" s="4">
        <v>174</v>
      </c>
      <c r="D5" s="23">
        <v>783097.89378209948</v>
      </c>
      <c r="E5" s="33">
        <v>66.907776082996861</v>
      </c>
      <c r="F5" s="5">
        <v>12</v>
      </c>
      <c r="G5" s="23">
        <v>92</v>
      </c>
      <c r="H5" s="33">
        <v>216.5927155986322</v>
      </c>
      <c r="I5" s="23">
        <v>29.8155561298131</v>
      </c>
      <c r="J5" s="5">
        <v>4560.4161826908457</v>
      </c>
      <c r="K5" s="31"/>
      <c r="L5" s="23">
        <v>962885.57468387694</v>
      </c>
      <c r="M5" s="33">
        <v>60.37665754200134</v>
      </c>
      <c r="N5" s="5">
        <v>17</v>
      </c>
      <c r="O5" s="5">
        <v>84</v>
      </c>
      <c r="P5" s="33">
        <v>166.09206820647682</v>
      </c>
      <c r="Q5" s="5">
        <v>18.296617040518406</v>
      </c>
      <c r="R5" s="5">
        <v>4026.7050442490117</v>
      </c>
      <c r="S5" s="35"/>
      <c r="T5" s="23">
        <v>953276.06971473142</v>
      </c>
      <c r="U5" s="33">
        <v>75.603323584000464</v>
      </c>
      <c r="V5" s="5">
        <v>12</v>
      </c>
      <c r="W5" s="5">
        <v>89</v>
      </c>
      <c r="X5" s="33">
        <v>753.49700503687541</v>
      </c>
      <c r="Y5" s="5">
        <v>50.173842227685356</v>
      </c>
      <c r="Z5" s="5">
        <v>6034.4917138195597</v>
      </c>
      <c r="AA5" s="35"/>
    </row>
    <row r="6" spans="2:27" x14ac:dyDescent="0.2">
      <c r="B6" s="4">
        <v>3</v>
      </c>
      <c r="C6" s="4">
        <v>188</v>
      </c>
      <c r="D6" s="23">
        <v>769636.36044727452</v>
      </c>
      <c r="E6" s="33">
        <v>40.770217792000039</v>
      </c>
      <c r="F6" s="5">
        <v>12</v>
      </c>
      <c r="G6" s="23">
        <v>92</v>
      </c>
      <c r="H6" s="33">
        <v>170.81008744609233</v>
      </c>
      <c r="I6" s="23">
        <v>29.763520996181622</v>
      </c>
      <c r="J6" s="5">
        <v>4440.953036701947</v>
      </c>
      <c r="K6" s="31"/>
      <c r="L6" s="23">
        <v>966550.19895315683</v>
      </c>
      <c r="M6" s="33">
        <v>60.88087095800438</v>
      </c>
      <c r="N6" s="5">
        <v>17</v>
      </c>
      <c r="O6" s="5">
        <v>83</v>
      </c>
      <c r="P6" s="33">
        <v>139.12115680330299</v>
      </c>
      <c r="Q6" s="5">
        <v>18.299025156174174</v>
      </c>
      <c r="R6" s="5">
        <v>3944.8735540813404</v>
      </c>
      <c r="S6" s="35"/>
      <c r="T6" s="23">
        <v>948870.83232874889</v>
      </c>
      <c r="U6" s="33">
        <v>58.200881249998929</v>
      </c>
      <c r="V6" s="5">
        <v>11</v>
      </c>
      <c r="W6" s="5">
        <v>84</v>
      </c>
      <c r="X6" s="33">
        <v>415.40136611231156</v>
      </c>
      <c r="Y6" s="5">
        <v>48.431119115356587</v>
      </c>
      <c r="Z6" s="5">
        <v>5522.4092010116492</v>
      </c>
      <c r="AA6" s="35"/>
    </row>
    <row r="7" spans="2:27" x14ac:dyDescent="0.2">
      <c r="B7" s="4">
        <v>4</v>
      </c>
      <c r="C7" s="4">
        <v>448</v>
      </c>
      <c r="D7" s="23">
        <v>753959.88880145166</v>
      </c>
      <c r="E7" s="33">
        <v>42.16535066600045</v>
      </c>
      <c r="F7" s="5">
        <v>11</v>
      </c>
      <c r="G7" s="23">
        <v>92</v>
      </c>
      <c r="H7" s="33">
        <v>116.32362340640475</v>
      </c>
      <c r="I7" s="23">
        <v>32.134333692996364</v>
      </c>
      <c r="J7" s="5">
        <v>4504.4035895479983</v>
      </c>
      <c r="K7" s="31"/>
      <c r="L7" s="23">
        <v>968981.83643569518</v>
      </c>
      <c r="M7" s="33">
        <v>84.543423041992355</v>
      </c>
      <c r="N7" s="5">
        <v>16</v>
      </c>
      <c r="O7" s="5">
        <v>81</v>
      </c>
      <c r="P7" s="33">
        <v>82.315288132173308</v>
      </c>
      <c r="Q7" s="5">
        <v>18.700614640611729</v>
      </c>
      <c r="R7" s="5">
        <v>3840.6191926873398</v>
      </c>
      <c r="S7" s="35"/>
      <c r="T7" s="23">
        <v>981900.73097506573</v>
      </c>
      <c r="U7" s="33">
        <v>36.581306457999737</v>
      </c>
      <c r="V7" s="5">
        <v>11</v>
      </c>
      <c r="W7" s="5">
        <v>83</v>
      </c>
      <c r="X7" s="33">
        <v>562.4852923284767</v>
      </c>
      <c r="Y7" s="5">
        <v>48.328690285853376</v>
      </c>
      <c r="Z7" s="5">
        <v>5706.124844437807</v>
      </c>
      <c r="AA7" s="35"/>
    </row>
    <row r="8" spans="2:27" x14ac:dyDescent="0.2">
      <c r="B8" s="4">
        <v>5</v>
      </c>
      <c r="C8" s="4">
        <v>641</v>
      </c>
      <c r="D8" s="23">
        <v>789073.29028901691</v>
      </c>
      <c r="E8" s="33">
        <v>32.176398582996633</v>
      </c>
      <c r="F8" s="5">
        <v>11</v>
      </c>
      <c r="G8" s="23">
        <v>92</v>
      </c>
      <c r="H8" s="33">
        <v>125.15622279142866</v>
      </c>
      <c r="I8" s="23">
        <v>31.872691923568279</v>
      </c>
      <c r="J8" s="5">
        <v>4866.4476206757909</v>
      </c>
      <c r="K8" s="31"/>
      <c r="L8" s="23">
        <v>990328.62144866539</v>
      </c>
      <c r="M8" s="33">
        <v>99.796811916996376</v>
      </c>
      <c r="N8" s="5">
        <v>16</v>
      </c>
      <c r="O8" s="5">
        <v>82</v>
      </c>
      <c r="P8" s="33">
        <v>130.05638690595293</v>
      </c>
      <c r="Q8" s="5">
        <v>19.045052331841017</v>
      </c>
      <c r="R8" s="5">
        <v>4288.1310681546893</v>
      </c>
      <c r="S8" s="35"/>
      <c r="T8" s="23">
        <v>980755.04328229756</v>
      </c>
      <c r="U8" s="33">
        <v>40.887066125011188</v>
      </c>
      <c r="V8" s="5">
        <v>11</v>
      </c>
      <c r="W8" s="5">
        <v>85</v>
      </c>
      <c r="X8" s="33">
        <v>692.86471303554788</v>
      </c>
      <c r="Y8" s="5">
        <v>49.997666501107091</v>
      </c>
      <c r="Z8" s="5">
        <v>5863.7595748753174</v>
      </c>
      <c r="AA8" s="35"/>
    </row>
    <row r="9" spans="2:27" x14ac:dyDescent="0.2">
      <c r="B9" s="4">
        <v>6</v>
      </c>
      <c r="C9" s="4">
        <v>653</v>
      </c>
      <c r="D9" s="23">
        <v>791349.34964308981</v>
      </c>
      <c r="E9" s="33">
        <v>38.046304041999967</v>
      </c>
      <c r="F9" s="5">
        <v>11</v>
      </c>
      <c r="G9" s="23">
        <v>92</v>
      </c>
      <c r="H9" s="33">
        <v>124.62749589323342</v>
      </c>
      <c r="I9" s="23">
        <v>31.883441356971719</v>
      </c>
      <c r="J9" s="5">
        <v>4892.0753098048554</v>
      </c>
      <c r="K9" s="31"/>
      <c r="L9" s="23">
        <v>971639.71374129038</v>
      </c>
      <c r="M9" s="33">
        <v>133.91534095798849</v>
      </c>
      <c r="N9" s="5">
        <v>17</v>
      </c>
      <c r="O9" s="5">
        <v>83</v>
      </c>
      <c r="P9" s="33">
        <v>128.43560695296213</v>
      </c>
      <c r="Q9" s="5">
        <v>18.465599512012766</v>
      </c>
      <c r="R9" s="5">
        <v>4014.8549006396247</v>
      </c>
      <c r="S9" s="35"/>
      <c r="T9" s="23">
        <v>1001774.853498528</v>
      </c>
      <c r="U9" s="33">
        <v>67.827068208993296</v>
      </c>
      <c r="V9" s="5">
        <v>11</v>
      </c>
      <c r="W9" s="5">
        <v>86</v>
      </c>
      <c r="X9" s="33">
        <v>770.82182448984986</v>
      </c>
      <c r="Y9" s="5">
        <v>50.222301152551616</v>
      </c>
      <c r="Z9" s="5">
        <v>6263.4729078068431</v>
      </c>
      <c r="AA9" s="35"/>
    </row>
    <row r="10" spans="2:27" x14ac:dyDescent="0.2">
      <c r="B10" s="4">
        <v>7</v>
      </c>
      <c r="C10" s="4">
        <v>787</v>
      </c>
      <c r="D10" s="23">
        <v>753959.88880145166</v>
      </c>
      <c r="E10" s="33">
        <v>37.261638291995041</v>
      </c>
      <c r="F10" s="5">
        <v>11</v>
      </c>
      <c r="G10" s="23">
        <v>92</v>
      </c>
      <c r="H10" s="33">
        <v>116.32362340640475</v>
      </c>
      <c r="I10" s="23">
        <v>32.134333692996364</v>
      </c>
      <c r="J10" s="5">
        <v>4504.4035895479983</v>
      </c>
      <c r="K10" s="31"/>
      <c r="L10" s="23">
        <v>979064.18459448137</v>
      </c>
      <c r="M10" s="33">
        <v>60.348931417000131</v>
      </c>
      <c r="N10" s="5">
        <v>18</v>
      </c>
      <c r="O10" s="5">
        <v>84</v>
      </c>
      <c r="P10" s="33">
        <v>172.49520407958966</v>
      </c>
      <c r="Q10" s="5">
        <v>17.712327317351825</v>
      </c>
      <c r="R10" s="5">
        <v>4012.5024217970149</v>
      </c>
      <c r="S10" s="35"/>
      <c r="T10" s="23">
        <v>1016701.388537409</v>
      </c>
      <c r="U10" s="33">
        <v>39.678480374990613</v>
      </c>
      <c r="V10" s="5">
        <v>11</v>
      </c>
      <c r="W10" s="5">
        <v>85</v>
      </c>
      <c r="X10" s="33">
        <v>809.99366462594082</v>
      </c>
      <c r="Y10" s="5">
        <v>49.587157796799666</v>
      </c>
      <c r="Z10" s="5">
        <v>6180.6641631611747</v>
      </c>
      <c r="AA10" s="35"/>
    </row>
    <row r="11" spans="2:27" x14ac:dyDescent="0.2">
      <c r="B11" s="4">
        <v>8</v>
      </c>
      <c r="C11" s="4">
        <v>858</v>
      </c>
      <c r="D11" s="23">
        <v>753959.88880145166</v>
      </c>
      <c r="E11" s="33">
        <v>50.586266207996232</v>
      </c>
      <c r="F11" s="5">
        <v>11</v>
      </c>
      <c r="G11" s="23">
        <v>92</v>
      </c>
      <c r="H11" s="33">
        <v>116.32362340640475</v>
      </c>
      <c r="I11" s="23">
        <v>32.134333692996364</v>
      </c>
      <c r="J11" s="5">
        <v>4504.4035895479983</v>
      </c>
      <c r="K11" s="31"/>
      <c r="L11" s="23">
        <v>995990.20171004883</v>
      </c>
      <c r="M11" s="33">
        <v>67.37628629199753</v>
      </c>
      <c r="N11" s="5">
        <v>18</v>
      </c>
      <c r="O11" s="5">
        <v>85</v>
      </c>
      <c r="P11" s="33">
        <v>239.92056908888753</v>
      </c>
      <c r="Q11" s="5">
        <v>17.805469288168588</v>
      </c>
      <c r="R11" s="5">
        <v>4303.6612741682084</v>
      </c>
      <c r="S11" s="35"/>
      <c r="T11" s="23">
        <v>940181.6106669415</v>
      </c>
      <c r="U11" s="33">
        <v>115.4990058750118</v>
      </c>
      <c r="V11" s="5">
        <v>13</v>
      </c>
      <c r="W11" s="5">
        <v>87</v>
      </c>
      <c r="X11" s="33">
        <v>480.9621293652641</v>
      </c>
      <c r="Y11" s="5">
        <v>44.627318517020278</v>
      </c>
      <c r="Z11" s="5">
        <v>5523.7865466329149</v>
      </c>
      <c r="AA11" s="35"/>
    </row>
    <row r="12" spans="2:27" x14ac:dyDescent="0.2">
      <c r="B12" s="4">
        <v>9</v>
      </c>
      <c r="C12" s="4">
        <v>885</v>
      </c>
      <c r="D12" s="23">
        <v>783061.84367200907</v>
      </c>
      <c r="E12" s="33">
        <v>52.164901874995849</v>
      </c>
      <c r="F12" s="5">
        <v>12</v>
      </c>
      <c r="G12" s="23">
        <v>92</v>
      </c>
      <c r="H12" s="33">
        <v>216.5927155986322</v>
      </c>
      <c r="I12" s="23">
        <v>29.858054315875645</v>
      </c>
      <c r="J12" s="5">
        <v>4561.5789428861954</v>
      </c>
      <c r="K12" s="31"/>
      <c r="L12" s="23">
        <v>976991.03955745336</v>
      </c>
      <c r="M12" s="33">
        <v>103.52290016699411</v>
      </c>
      <c r="N12" s="5">
        <v>18</v>
      </c>
      <c r="O12" s="5">
        <v>85</v>
      </c>
      <c r="P12" s="33">
        <v>242.98014770288205</v>
      </c>
      <c r="Q12" s="5">
        <v>17.44824199304103</v>
      </c>
      <c r="R12" s="5">
        <v>4134.0826613770751</v>
      </c>
      <c r="S12" s="35"/>
      <c r="T12" s="23">
        <v>993109.32739206008</v>
      </c>
      <c r="U12" s="33">
        <v>89.178426416998263</v>
      </c>
      <c r="V12" s="5">
        <v>10</v>
      </c>
      <c r="W12" s="5">
        <v>84</v>
      </c>
      <c r="X12" s="33">
        <v>626.93073195333</v>
      </c>
      <c r="Y12" s="5">
        <v>52.8085161392316</v>
      </c>
      <c r="Z12" s="5">
        <v>6108.3986224006085</v>
      </c>
      <c r="AA12" s="35"/>
    </row>
    <row r="13" spans="2:27" x14ac:dyDescent="0.2">
      <c r="B13" s="4">
        <v>10</v>
      </c>
      <c r="C13" s="4">
        <v>951</v>
      </c>
      <c r="D13" s="23">
        <v>753959.88880145166</v>
      </c>
      <c r="E13" s="33">
        <v>30.464166249999831</v>
      </c>
      <c r="F13" s="5">
        <v>11</v>
      </c>
      <c r="G13" s="23">
        <v>92</v>
      </c>
      <c r="H13" s="33">
        <v>116.32362340640475</v>
      </c>
      <c r="I13" s="23">
        <v>32.134333692996364</v>
      </c>
      <c r="J13" s="5">
        <v>4504.4035895479983</v>
      </c>
      <c r="K13" s="31"/>
      <c r="L13" s="23">
        <v>957035.32869964442</v>
      </c>
      <c r="M13" s="33">
        <v>59.971445083996507</v>
      </c>
      <c r="N13" s="5">
        <v>17</v>
      </c>
      <c r="O13" s="5">
        <v>84</v>
      </c>
      <c r="P13" s="33">
        <v>113.78547725076056</v>
      </c>
      <c r="Q13" s="5">
        <v>18.334023122207352</v>
      </c>
      <c r="R13" s="5">
        <v>4017.2543993367899</v>
      </c>
      <c r="S13" s="35"/>
      <c r="T13" s="23">
        <v>980210.93094330409</v>
      </c>
      <c r="U13" s="33">
        <v>58.12818650000554</v>
      </c>
      <c r="V13" s="5">
        <v>12</v>
      </c>
      <c r="W13" s="5">
        <v>87</v>
      </c>
      <c r="X13" s="33">
        <v>754.71286879669276</v>
      </c>
      <c r="Y13" s="5">
        <v>48.313530536093566</v>
      </c>
      <c r="Z13" s="5">
        <v>6019.1429358446139</v>
      </c>
      <c r="AA13" s="35"/>
    </row>
    <row r="14" spans="2:27" x14ac:dyDescent="0.2">
      <c r="B14" s="47" t="s">
        <v>3</v>
      </c>
      <c r="C14" s="48"/>
      <c r="D14" s="9">
        <f>MIN(D4:D13)</f>
        <v>753959.88880145166</v>
      </c>
      <c r="E14" s="22">
        <f>INDEX(E4:E13, MATCH($D$14, D4:D13, 0))</f>
        <v>42.16535066600045</v>
      </c>
      <c r="F14" s="9">
        <f>INDEX(F4:F13, MATCH($D$14, D4:D13, 0))</f>
        <v>11</v>
      </c>
      <c r="G14" s="9">
        <f>INDEX(G4:G13, MATCH($D$14, D4:D13, 0))</f>
        <v>92</v>
      </c>
      <c r="H14" s="22">
        <f>INDEX(H4:H13, MATCH($D$14, D4:D13, 0))</f>
        <v>116.32362340640475</v>
      </c>
      <c r="I14" s="22">
        <f>INDEX(I4:I13, MATCH($D$14, D4:D13, 0))</f>
        <v>32.134333692996364</v>
      </c>
      <c r="J14" s="22">
        <f>INDEX(J4:J13, MATCH($D$14, D4:D13, 0))</f>
        <v>4504.4035895479983</v>
      </c>
      <c r="K14" s="32" t="e">
        <f>(D14-$D$15)/$D$15</f>
        <v>#DIV/0!</v>
      </c>
      <c r="L14" s="16">
        <f>MIN(L4:L13)</f>
        <v>957035.32869964442</v>
      </c>
      <c r="M14" s="21">
        <f>INDEX(M4:M13, MATCH($L$14, L4:L13, 0))</f>
        <v>59.971445083996507</v>
      </c>
      <c r="N14" s="16">
        <f>INDEX(N4:N13, MATCH($L$14, L4:L13, 0))</f>
        <v>17</v>
      </c>
      <c r="O14" s="16">
        <f>INDEX(O4:O13, MATCH($L$14, L4:L13, 0))</f>
        <v>84</v>
      </c>
      <c r="P14" s="21">
        <f>INDEX(P4:P13, MATCH($L$14, L4:L13, 0))</f>
        <v>113.78547725076056</v>
      </c>
      <c r="Q14" s="21">
        <f>INDEX(Q4:Q13, MATCH($L$14, L4:L13, 0))</f>
        <v>18.334023122207352</v>
      </c>
      <c r="R14" s="21">
        <f>INDEX(R4:R13, MATCH($L$14, L4:L13, 0))</f>
        <v>4017.2543993367899</v>
      </c>
      <c r="S14" s="36" t="e">
        <f>(L14-$D$15)/$D$15</f>
        <v>#DIV/0!</v>
      </c>
      <c r="T14" s="38">
        <f>MIN(T4:T13)</f>
        <v>940181.6106669415</v>
      </c>
      <c r="U14" s="39">
        <f>INDEX(U4:U13, MATCH($T$14, T4:T13, 0))</f>
        <v>115.4990058750118</v>
      </c>
      <c r="V14" s="38">
        <f>INDEX(V4:V13, MATCH($T$14, T4:T13, 0))</f>
        <v>13</v>
      </c>
      <c r="W14" s="38">
        <f>INDEX(W4:W13, MATCH($T$14, T4:T13, 0))</f>
        <v>87</v>
      </c>
      <c r="X14" s="39">
        <f>INDEX(X4:X13, MATCH($T$14, T4:T13, 0))</f>
        <v>480.9621293652641</v>
      </c>
      <c r="Y14" s="39">
        <f>INDEX(Y4:Y13, MATCH($T$14, T4:T13, 0))</f>
        <v>44.627318517020278</v>
      </c>
      <c r="Z14" s="39">
        <f>INDEX(Z4:Z13, MATCH($T$14, T4:T13, 0))</f>
        <v>5523.7865466329149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0.26934515073609017</v>
      </c>
      <c r="M15" s="41">
        <f t="shared" ref="M15:P15" si="0">(M14-E14)/E14</f>
        <v>0.42229209852993821</v>
      </c>
      <c r="N15" s="41">
        <f t="shared" si="0"/>
        <v>0.54545454545454541</v>
      </c>
      <c r="O15" s="41">
        <f t="shared" si="0"/>
        <v>-8.6956521739130432E-2</v>
      </c>
      <c r="P15" s="41">
        <f t="shared" si="0"/>
        <v>-2.1819696475380214E-2</v>
      </c>
      <c r="Q15" s="41">
        <f>(Q14-I14)/I14</f>
        <v>-0.42945687633152235</v>
      </c>
      <c r="R15" s="41">
        <f t="shared" ref="R15" si="1">(R14-J14)/J14</f>
        <v>-0.10814954311411784</v>
      </c>
      <c r="T15" s="41">
        <f>(T14-D14)/D14</f>
        <v>0.24699155038807324</v>
      </c>
      <c r="U15" s="41">
        <f t="shared" ref="U15:Z15" si="2">(U14-E14)/E14</f>
        <v>1.7391923475248865</v>
      </c>
      <c r="V15" s="41">
        <f t="shared" si="2"/>
        <v>0.18181818181818182</v>
      </c>
      <c r="W15" s="41">
        <f t="shared" si="2"/>
        <v>-5.434782608695652E-2</v>
      </c>
      <c r="X15" s="41">
        <f t="shared" si="2"/>
        <v>3.1346900593433755</v>
      </c>
      <c r="Y15" s="41">
        <f t="shared" si="2"/>
        <v>0.38877373165346646</v>
      </c>
      <c r="Z15" s="41">
        <f t="shared" si="2"/>
        <v>0.2263080864801478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73" priority="5"/>
    <cfRule type="duplicateValues" dxfId="72" priority="6"/>
  </conditionalFormatting>
  <conditionalFormatting sqref="C14">
    <cfRule type="duplicateValues" dxfId="71" priority="3"/>
    <cfRule type="duplicateValues" dxfId="70" priority="4"/>
  </conditionalFormatting>
  <conditionalFormatting sqref="C15">
    <cfRule type="duplicateValues" dxfId="69" priority="1"/>
    <cfRule type="duplicateValues" dxfId="68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C081-1D28-C34B-911C-43DA42D8AD44}">
  <dimension ref="B1:AA17"/>
  <sheetViews>
    <sheetView topLeftCell="F1" zoomScale="110" zoomScaleNormal="11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-7.344276221863337E-2</v>
      </c>
      <c r="J2" s="28" t="e">
        <f>(S14-J14)/J14</f>
        <v>#DIV/0!</v>
      </c>
      <c r="K2" s="28"/>
      <c r="L2" s="1" t="s">
        <v>19</v>
      </c>
      <c r="P2" s="1">
        <f>(P14-H14)/H14</f>
        <v>0.32762541373844789</v>
      </c>
      <c r="R2" s="1">
        <f>(R14-J14)/J14</f>
        <v>-0.17185338059982605</v>
      </c>
      <c r="T2" s="1" t="s">
        <v>20</v>
      </c>
      <c r="X2" s="1">
        <f>(X14-P14)/P14</f>
        <v>17.423808422138244</v>
      </c>
      <c r="Z2" s="1">
        <f>(Z14-R14)/R14</f>
        <v>0.57036633056218033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727703.94148560916</v>
      </c>
      <c r="E4" s="33">
        <v>65.90354208300414</v>
      </c>
      <c r="F4" s="5">
        <v>11</v>
      </c>
      <c r="G4" s="23">
        <v>91</v>
      </c>
      <c r="H4" s="33">
        <v>38.176005675279654</v>
      </c>
      <c r="I4" s="23">
        <v>30.618946813827936</v>
      </c>
      <c r="J4" s="5">
        <v>4129.8418182117375</v>
      </c>
      <c r="K4" s="31"/>
      <c r="L4" s="23">
        <v>1019171.227848256</v>
      </c>
      <c r="M4" s="33">
        <v>126.584496083</v>
      </c>
      <c r="N4" s="5">
        <v>19</v>
      </c>
      <c r="O4" s="5">
        <v>81</v>
      </c>
      <c r="P4" s="33">
        <v>75.484681633034938</v>
      </c>
      <c r="Q4" s="5">
        <v>15.666411546389336</v>
      </c>
      <c r="R4" s="5">
        <v>3752.2688347204275</v>
      </c>
      <c r="S4" s="35"/>
      <c r="T4" s="23">
        <v>933544.50295287697</v>
      </c>
      <c r="U4" s="33">
        <v>45.689776957995491</v>
      </c>
      <c r="V4" s="5">
        <v>10</v>
      </c>
      <c r="W4" s="5">
        <v>85</v>
      </c>
      <c r="X4" s="33">
        <v>473.53254322127236</v>
      </c>
      <c r="Y4" s="5">
        <v>54.561607377307169</v>
      </c>
      <c r="Z4" s="5">
        <v>5748.5745797442605</v>
      </c>
      <c r="AA4" s="35"/>
    </row>
    <row r="5" spans="2:27" x14ac:dyDescent="0.2">
      <c r="B5" s="4">
        <v>2</v>
      </c>
      <c r="C5" s="4">
        <v>286</v>
      </c>
      <c r="D5" s="23">
        <v>710223.02850057522</v>
      </c>
      <c r="E5" s="33">
        <v>47.319117082995938</v>
      </c>
      <c r="F5" s="5">
        <v>10</v>
      </c>
      <c r="G5" s="23">
        <v>91</v>
      </c>
      <c r="H5" s="33">
        <v>18.479919503241316</v>
      </c>
      <c r="I5" s="23">
        <v>33.923350608283698</v>
      </c>
      <c r="J5" s="5">
        <v>4211.2101301103658</v>
      </c>
      <c r="K5" s="31"/>
      <c r="L5" s="23">
        <v>991448.75559751701</v>
      </c>
      <c r="M5" s="33">
        <v>58.516998166989652</v>
      </c>
      <c r="N5" s="5">
        <v>19</v>
      </c>
      <c r="O5" s="5">
        <v>83</v>
      </c>
      <c r="P5" s="33">
        <v>96.369703992592747</v>
      </c>
      <c r="Q5" s="5">
        <v>15.918024695966455</v>
      </c>
      <c r="R5" s="5">
        <v>3771.1008860133629</v>
      </c>
      <c r="S5" s="35"/>
      <c r="T5" s="23">
        <v>898043.64068750676</v>
      </c>
      <c r="U5" s="33">
        <v>49.190741416008677</v>
      </c>
      <c r="V5" s="5">
        <v>12</v>
      </c>
      <c r="W5" s="5">
        <v>90</v>
      </c>
      <c r="X5" s="33">
        <v>627.53877954124528</v>
      </c>
      <c r="Y5" s="5">
        <v>52.75412025350699</v>
      </c>
      <c r="Z5" s="5">
        <v>5820.5017046685889</v>
      </c>
      <c r="AA5" s="35"/>
    </row>
    <row r="6" spans="2:27" x14ac:dyDescent="0.2">
      <c r="B6" s="4">
        <v>3</v>
      </c>
      <c r="C6" s="4">
        <v>361</v>
      </c>
      <c r="D6" s="23">
        <v>721299.02781579434</v>
      </c>
      <c r="E6" s="33">
        <v>53.586307833000319</v>
      </c>
      <c r="F6" s="5">
        <v>11</v>
      </c>
      <c r="G6" s="23">
        <v>91</v>
      </c>
      <c r="H6" s="33">
        <v>43.265366880573417</v>
      </c>
      <c r="I6" s="23">
        <v>31.406757309820446</v>
      </c>
      <c r="J6" s="5">
        <v>4117.8185116922532</v>
      </c>
      <c r="K6" s="31"/>
      <c r="L6" s="23">
        <v>1001129.311469613</v>
      </c>
      <c r="M6" s="33">
        <v>63.299550708004972</v>
      </c>
      <c r="N6" s="5">
        <v>20</v>
      </c>
      <c r="O6" s="5">
        <v>83</v>
      </c>
      <c r="P6" s="33">
        <v>103.20973277213712</v>
      </c>
      <c r="Q6" s="5">
        <v>15.272289657487226</v>
      </c>
      <c r="R6" s="5">
        <v>3695.7273284272987</v>
      </c>
      <c r="S6" s="35"/>
      <c r="T6" s="23">
        <v>956136.74589012866</v>
      </c>
      <c r="U6" s="33">
        <v>44.439086124999449</v>
      </c>
      <c r="V6" s="5">
        <v>12</v>
      </c>
      <c r="W6" s="5">
        <v>86</v>
      </c>
      <c r="X6" s="33">
        <v>563.08801471982042</v>
      </c>
      <c r="Y6" s="5">
        <v>48.117700492922239</v>
      </c>
      <c r="Z6" s="5">
        <v>5743.9677415206661</v>
      </c>
      <c r="AA6" s="35"/>
    </row>
    <row r="7" spans="2:27" x14ac:dyDescent="0.2">
      <c r="B7" s="4">
        <v>4</v>
      </c>
      <c r="C7" s="4">
        <v>440</v>
      </c>
      <c r="D7" s="23">
        <v>737320.84622179111</v>
      </c>
      <c r="E7" s="33">
        <v>41.871196916996269</v>
      </c>
      <c r="F7" s="5">
        <v>11</v>
      </c>
      <c r="G7" s="23">
        <v>91</v>
      </c>
      <c r="H7" s="33">
        <v>45.210572300194471</v>
      </c>
      <c r="I7" s="23">
        <v>32.000062947017888</v>
      </c>
      <c r="J7" s="5">
        <v>4309.2488256454935</v>
      </c>
      <c r="K7" s="31"/>
      <c r="L7" s="23">
        <v>1005717.294783741</v>
      </c>
      <c r="M7" s="33">
        <v>53.842320583004039</v>
      </c>
      <c r="N7" s="5">
        <v>19</v>
      </c>
      <c r="O7" s="5">
        <v>81</v>
      </c>
      <c r="P7" s="33">
        <v>60.976919949926554</v>
      </c>
      <c r="Q7" s="5">
        <v>15.755892973935426</v>
      </c>
      <c r="R7" s="5">
        <v>3643.3866491033841</v>
      </c>
      <c r="S7" s="35"/>
      <c r="T7" s="23">
        <v>871496.55982329685</v>
      </c>
      <c r="U7" s="33">
        <v>53.879110417008633</v>
      </c>
      <c r="V7" s="5">
        <v>13</v>
      </c>
      <c r="W7" s="5">
        <v>91</v>
      </c>
      <c r="X7" s="33">
        <v>503.60992157298455</v>
      </c>
      <c r="Y7" s="5">
        <v>48.116799263534936</v>
      </c>
      <c r="Z7" s="5">
        <v>5508.1766025462393</v>
      </c>
      <c r="AA7" s="35"/>
    </row>
    <row r="8" spans="2:27" x14ac:dyDescent="0.2">
      <c r="B8" s="4">
        <v>5</v>
      </c>
      <c r="C8" s="4">
        <v>474</v>
      </c>
      <c r="D8" s="23">
        <v>716598.22316783539</v>
      </c>
      <c r="E8" s="33">
        <v>48.587607250003202</v>
      </c>
      <c r="F8" s="5">
        <v>10</v>
      </c>
      <c r="G8" s="23">
        <v>91</v>
      </c>
      <c r="H8" s="33">
        <v>38.812597275096635</v>
      </c>
      <c r="I8" s="23">
        <v>35.208590583221692</v>
      </c>
      <c r="J8" s="5">
        <v>4283.55788315054</v>
      </c>
      <c r="K8" s="31"/>
      <c r="L8" s="23">
        <v>1021960.3166196831</v>
      </c>
      <c r="M8" s="33">
        <v>101.8697312920121</v>
      </c>
      <c r="N8" s="5">
        <v>16</v>
      </c>
      <c r="O8" s="5">
        <v>76</v>
      </c>
      <c r="P8" s="33">
        <v>27.328858233371715</v>
      </c>
      <c r="Q8" s="5">
        <v>17.266356504505303</v>
      </c>
      <c r="R8" s="5">
        <v>3579.8404655253476</v>
      </c>
      <c r="S8" s="35"/>
      <c r="T8" s="23">
        <v>893053.03713826602</v>
      </c>
      <c r="U8" s="33">
        <v>48.162089874997037</v>
      </c>
      <c r="V8" s="5">
        <v>13</v>
      </c>
      <c r="W8" s="5">
        <v>91</v>
      </c>
      <c r="X8" s="33">
        <v>611.52775461141425</v>
      </c>
      <c r="Y8" s="5">
        <v>49.209394710975388</v>
      </c>
      <c r="Z8" s="5">
        <v>5709.1193791596879</v>
      </c>
      <c r="AA8" s="35"/>
    </row>
    <row r="9" spans="2:27" x14ac:dyDescent="0.2">
      <c r="B9" s="4">
        <v>6</v>
      </c>
      <c r="C9" s="4">
        <v>479</v>
      </c>
      <c r="D9" s="23">
        <v>710223.02850057522</v>
      </c>
      <c r="E9" s="33">
        <v>41.771125875005957</v>
      </c>
      <c r="F9" s="5">
        <v>10</v>
      </c>
      <c r="G9" s="23">
        <v>91</v>
      </c>
      <c r="H9" s="33">
        <v>18.479919503241316</v>
      </c>
      <c r="I9" s="23">
        <v>33.923350608283698</v>
      </c>
      <c r="J9" s="5">
        <v>4211.2101301103658</v>
      </c>
      <c r="K9" s="31"/>
      <c r="L9" s="23">
        <v>988004.25167339703</v>
      </c>
      <c r="M9" s="33">
        <v>57.566250000003492</v>
      </c>
      <c r="N9" s="5">
        <v>17</v>
      </c>
      <c r="O9" s="5">
        <v>79</v>
      </c>
      <c r="P9" s="33">
        <v>24.534410776343964</v>
      </c>
      <c r="Q9" s="5">
        <v>17.122703169345279</v>
      </c>
      <c r="R9" s="5">
        <v>3487.4994328346661</v>
      </c>
      <c r="S9" s="35"/>
      <c r="T9" s="23">
        <v>917296.74211766978</v>
      </c>
      <c r="U9" s="33">
        <v>46.542272416991182</v>
      </c>
      <c r="V9" s="5">
        <v>13</v>
      </c>
      <c r="W9" s="5">
        <v>90</v>
      </c>
      <c r="X9" s="33">
        <v>582.39435427700664</v>
      </c>
      <c r="Y9" s="5">
        <v>47.204035322469494</v>
      </c>
      <c r="Z9" s="5">
        <v>5767.1664523875743</v>
      </c>
      <c r="AA9" s="35"/>
    </row>
    <row r="10" spans="2:27" x14ac:dyDescent="0.2">
      <c r="B10" s="4">
        <v>7</v>
      </c>
      <c r="C10" s="4">
        <v>587</v>
      </c>
      <c r="D10" s="23">
        <v>710223.02850057522</v>
      </c>
      <c r="E10" s="33">
        <v>52.352839374987518</v>
      </c>
      <c r="F10" s="5">
        <v>10</v>
      </c>
      <c r="G10" s="23">
        <v>91</v>
      </c>
      <c r="H10" s="33">
        <v>18.479919503241316</v>
      </c>
      <c r="I10" s="23">
        <v>33.923350608283698</v>
      </c>
      <c r="J10" s="5">
        <v>4211.2101301103658</v>
      </c>
      <c r="K10" s="31"/>
      <c r="L10" s="23">
        <v>997315.35444039037</v>
      </c>
      <c r="M10" s="33">
        <v>169.78044933400821</v>
      </c>
      <c r="N10" s="5">
        <v>18</v>
      </c>
      <c r="O10" s="5">
        <v>81</v>
      </c>
      <c r="P10" s="33">
        <v>59.662253545922169</v>
      </c>
      <c r="Q10" s="5">
        <v>16.856328769175164</v>
      </c>
      <c r="R10" s="5">
        <v>3751.4958574842399</v>
      </c>
      <c r="S10" s="35"/>
      <c r="T10" s="23">
        <v>907375.8049289867</v>
      </c>
      <c r="U10" s="33">
        <v>146.1110056670004</v>
      </c>
      <c r="V10" s="5">
        <v>14</v>
      </c>
      <c r="W10" s="5">
        <v>90</v>
      </c>
      <c r="X10" s="33">
        <v>595.75609490643444</v>
      </c>
      <c r="Y10" s="5">
        <v>45.595248021512823</v>
      </c>
      <c r="Z10" s="5">
        <v>5554.4961577515942</v>
      </c>
      <c r="AA10" s="35"/>
    </row>
    <row r="11" spans="2:27" x14ac:dyDescent="0.2">
      <c r="B11" s="4">
        <v>8</v>
      </c>
      <c r="C11" s="4">
        <v>919</v>
      </c>
      <c r="D11" s="23">
        <v>716598.22316783539</v>
      </c>
      <c r="E11" s="33">
        <v>58.78258820901101</v>
      </c>
      <c r="F11" s="5">
        <v>10</v>
      </c>
      <c r="G11" s="23">
        <v>91</v>
      </c>
      <c r="H11" s="33">
        <v>38.812597275096635</v>
      </c>
      <c r="I11" s="23">
        <v>35.208590583221692</v>
      </c>
      <c r="J11" s="5">
        <v>4283.55788315054</v>
      </c>
      <c r="K11" s="31"/>
      <c r="L11" s="23">
        <v>992621.45217735355</v>
      </c>
      <c r="M11" s="33">
        <v>96.678400165998028</v>
      </c>
      <c r="N11" s="5">
        <v>18</v>
      </c>
      <c r="O11" s="5">
        <v>81</v>
      </c>
      <c r="P11" s="33">
        <v>43.096264350978963</v>
      </c>
      <c r="Q11" s="5">
        <v>16.408429260014639</v>
      </c>
      <c r="R11" s="5">
        <v>3664.5160936841858</v>
      </c>
      <c r="S11" s="35"/>
      <c r="T11" s="23">
        <v>866213.35773673689</v>
      </c>
      <c r="U11" s="33">
        <v>64.446523708989844</v>
      </c>
      <c r="V11" s="5">
        <v>13</v>
      </c>
      <c r="W11" s="5">
        <v>91</v>
      </c>
      <c r="X11" s="33">
        <v>452.01728389340525</v>
      </c>
      <c r="Y11" s="5">
        <v>47.785684810462982</v>
      </c>
      <c r="Z11" s="5">
        <v>5476.6516871782596</v>
      </c>
      <c r="AA11" s="35"/>
    </row>
    <row r="12" spans="2:27" x14ac:dyDescent="0.2">
      <c r="B12" s="4">
        <v>9</v>
      </c>
      <c r="C12" s="4">
        <v>981</v>
      </c>
      <c r="D12" s="23">
        <v>734610.27985923737</v>
      </c>
      <c r="E12" s="33">
        <v>60.413177999987973</v>
      </c>
      <c r="F12" s="5">
        <v>11</v>
      </c>
      <c r="G12" s="23">
        <v>91</v>
      </c>
      <c r="H12" s="33">
        <v>27.585239540840981</v>
      </c>
      <c r="I12" s="23">
        <v>30.387653410044706</v>
      </c>
      <c r="J12" s="5">
        <v>4238.4774383714694</v>
      </c>
      <c r="K12" s="31"/>
      <c r="L12" s="23">
        <v>1032777.105853794</v>
      </c>
      <c r="M12" s="33">
        <v>78.876742832988384</v>
      </c>
      <c r="N12" s="5">
        <v>18</v>
      </c>
      <c r="O12" s="5">
        <v>82</v>
      </c>
      <c r="P12" s="33">
        <v>267.3224797180111</v>
      </c>
      <c r="Q12" s="5">
        <v>16.544088842308295</v>
      </c>
      <c r="R12" s="5">
        <v>4208.0927969061195</v>
      </c>
      <c r="S12" s="35"/>
      <c r="T12" s="23">
        <v>884418.2626283823</v>
      </c>
      <c r="U12" s="33">
        <v>64.376983916008612</v>
      </c>
      <c r="V12" s="5">
        <v>14</v>
      </c>
      <c r="W12" s="5">
        <v>91</v>
      </c>
      <c r="X12" s="33">
        <v>454.11779052927352</v>
      </c>
      <c r="Y12" s="5">
        <v>46.157661538254665</v>
      </c>
      <c r="Z12" s="5">
        <v>5522.2571246457874</v>
      </c>
      <c r="AA12" s="35"/>
    </row>
    <row r="13" spans="2:27" x14ac:dyDescent="0.2">
      <c r="B13" s="4">
        <v>10</v>
      </c>
      <c r="C13" s="4">
        <v>987</v>
      </c>
      <c r="D13" s="23">
        <v>723285.79573915619</v>
      </c>
      <c r="E13" s="33">
        <v>34.133114458003547</v>
      </c>
      <c r="F13" s="5">
        <v>11</v>
      </c>
      <c r="G13" s="23">
        <v>91</v>
      </c>
      <c r="H13" s="33">
        <v>39.48200337011837</v>
      </c>
      <c r="I13" s="23">
        <v>32.250925001778043</v>
      </c>
      <c r="J13" s="5">
        <v>4157.9684077112952</v>
      </c>
      <c r="K13" s="31"/>
      <c r="L13" s="23">
        <v>994350.50613687932</v>
      </c>
      <c r="M13" s="33">
        <v>202.91292800000519</v>
      </c>
      <c r="N13" s="5">
        <v>17</v>
      </c>
      <c r="O13" s="5">
        <v>79</v>
      </c>
      <c r="P13" s="33">
        <v>27.758088666496683</v>
      </c>
      <c r="Q13" s="5">
        <v>16.799458552309915</v>
      </c>
      <c r="R13" s="5">
        <v>3526.4153360830469</v>
      </c>
      <c r="S13" s="35"/>
      <c r="T13" s="23">
        <v>893053.03713826602</v>
      </c>
      <c r="U13" s="33">
        <v>48.183113874998533</v>
      </c>
      <c r="V13" s="5">
        <v>13</v>
      </c>
      <c r="W13" s="5">
        <v>91</v>
      </c>
      <c r="X13" s="33">
        <v>611.52775461141425</v>
      </c>
      <c r="Y13" s="5">
        <v>49.209394710975388</v>
      </c>
      <c r="Z13" s="5">
        <v>5709.1193791596879</v>
      </c>
      <c r="AA13" s="35"/>
    </row>
    <row r="14" spans="2:27" x14ac:dyDescent="0.2">
      <c r="B14" s="47" t="s">
        <v>3</v>
      </c>
      <c r="C14" s="48"/>
      <c r="D14" s="9">
        <f>MIN(D4:D13)</f>
        <v>710223.02850057522</v>
      </c>
      <c r="E14" s="22">
        <f>INDEX(E4:E13, MATCH($D$14, D4:D13, 0))</f>
        <v>47.319117082995938</v>
      </c>
      <c r="F14" s="9">
        <f>INDEX(F4:F13, MATCH($D$14, D4:D13, 0))</f>
        <v>10</v>
      </c>
      <c r="G14" s="9">
        <f>INDEX(G4:G13, MATCH($D$14, D4:D13, 0))</f>
        <v>91</v>
      </c>
      <c r="H14" s="22">
        <f>INDEX(H4:H13, MATCH($D$14, D4:D13, 0))</f>
        <v>18.479919503241316</v>
      </c>
      <c r="I14" s="22">
        <f>INDEX(I4:I13, MATCH($D$14, D4:D13, 0))</f>
        <v>33.923350608283698</v>
      </c>
      <c r="J14" s="22">
        <f>INDEX(J4:J13, MATCH($D$14, D4:D13, 0))</f>
        <v>4211.2101301103658</v>
      </c>
      <c r="K14" s="32" t="e">
        <f>(D14-$D$15)/$D$15</f>
        <v>#DIV/0!</v>
      </c>
      <c r="L14" s="16">
        <f>MIN(L4:L13)</f>
        <v>988004.25167339703</v>
      </c>
      <c r="M14" s="21">
        <f>INDEX(M4:M13, MATCH($L$14, L4:L13, 0))</f>
        <v>57.566250000003492</v>
      </c>
      <c r="N14" s="16">
        <f>INDEX(N4:N13, MATCH($L$14, L4:L13, 0))</f>
        <v>17</v>
      </c>
      <c r="O14" s="16">
        <f>INDEX(O4:O13, MATCH($L$14, L4:L13, 0))</f>
        <v>79</v>
      </c>
      <c r="P14" s="21">
        <f>INDEX(P4:P13, MATCH($L$14, L4:L13, 0))</f>
        <v>24.534410776343964</v>
      </c>
      <c r="Q14" s="21">
        <f>INDEX(Q4:Q13, MATCH($L$14, L4:L13, 0))</f>
        <v>17.122703169345279</v>
      </c>
      <c r="R14" s="21">
        <f>INDEX(R4:R13, MATCH($L$14, L4:L13, 0))</f>
        <v>3487.4994328346661</v>
      </c>
      <c r="S14" s="36" t="e">
        <f>(L14-$D$15)/$D$15</f>
        <v>#DIV/0!</v>
      </c>
      <c r="T14" s="38">
        <f>MIN(T4:T13)</f>
        <v>866213.35773673689</v>
      </c>
      <c r="U14" s="39">
        <f>INDEX(U4:U13, MATCH($T$14, T4:T13, 0))</f>
        <v>64.446523708989844</v>
      </c>
      <c r="V14" s="38">
        <f>INDEX(V4:V13, MATCH($T$14, T4:T13, 0))</f>
        <v>13</v>
      </c>
      <c r="W14" s="38">
        <f>INDEX(W4:W13, MATCH($T$14, T4:T13, 0))</f>
        <v>91</v>
      </c>
      <c r="X14" s="39">
        <f>INDEX(X4:X13, MATCH($T$14, T4:T13, 0))</f>
        <v>452.01728389340525</v>
      </c>
      <c r="Y14" s="39">
        <f>INDEX(Y4:Y13, MATCH($T$14, T4:T13, 0))</f>
        <v>47.785684810462982</v>
      </c>
      <c r="Z14" s="39">
        <f>INDEX(Z4:Z13, MATCH($T$14, T4:T13, 0))</f>
        <v>5476.6516871782596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0.391118299499911</v>
      </c>
      <c r="M15" s="41">
        <f t="shared" ref="M15:P15" si="0">(M14-E14)/E14</f>
        <v>0.2165537640745594</v>
      </c>
      <c r="N15" s="41">
        <f t="shared" si="0"/>
        <v>0.7</v>
      </c>
      <c r="O15" s="41">
        <f t="shared" si="0"/>
        <v>-0.13186813186813187</v>
      </c>
      <c r="P15" s="41">
        <f t="shared" si="0"/>
        <v>0.32762541373844789</v>
      </c>
      <c r="Q15" s="41">
        <f>(Q14-I14)/I14</f>
        <v>-0.49525318512717587</v>
      </c>
      <c r="R15" s="41">
        <f t="shared" ref="R15" si="1">(R14-J14)/J14</f>
        <v>-0.17185338059982605</v>
      </c>
      <c r="T15" s="41">
        <f>(T14-D14)/D14</f>
        <v>0.21963569607914413</v>
      </c>
      <c r="U15" s="41">
        <f t="shared" ref="U15:Z15" si="2">(U14-E14)/E14</f>
        <v>0.36195532972335653</v>
      </c>
      <c r="V15" s="41">
        <f t="shared" si="2"/>
        <v>0.3</v>
      </c>
      <c r="W15" s="41">
        <f t="shared" si="2"/>
        <v>0</v>
      </c>
      <c r="X15" s="41">
        <f t="shared" si="2"/>
        <v>23.459916279079188</v>
      </c>
      <c r="Y15" s="41">
        <f t="shared" si="2"/>
        <v>0.4086369404440332</v>
      </c>
      <c r="Z15" s="41">
        <f t="shared" si="2"/>
        <v>0.3004935678749257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67" priority="5"/>
    <cfRule type="duplicateValues" dxfId="66" priority="6"/>
  </conditionalFormatting>
  <conditionalFormatting sqref="C14">
    <cfRule type="duplicateValues" dxfId="65" priority="3"/>
    <cfRule type="duplicateValues" dxfId="64" priority="4"/>
  </conditionalFormatting>
  <conditionalFormatting sqref="C15">
    <cfRule type="duplicateValues" dxfId="63" priority="1"/>
    <cfRule type="duplicateValues" dxfId="62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81E7-46E7-1E45-B5E1-EFF0CB55F08D}">
  <dimension ref="B1:AA17"/>
  <sheetViews>
    <sheetView topLeftCell="H1"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-0.6667517844824199</v>
      </c>
      <c r="J2" s="28" t="e">
        <f>(S14-J14)/J14</f>
        <v>#DIV/0!</v>
      </c>
      <c r="K2" s="28"/>
      <c r="L2" s="1" t="s">
        <v>19</v>
      </c>
      <c r="P2" s="1">
        <f>(P14-H14)/H14</f>
        <v>0.84034776460140304</v>
      </c>
      <c r="R2" s="1">
        <f>(R14-J14)/J14</f>
        <v>-7.1926779496705312E-2</v>
      </c>
      <c r="T2" s="1" t="s">
        <v>20</v>
      </c>
      <c r="X2" s="1">
        <f>(X14-P14)/P14</f>
        <v>7.4060562744340546</v>
      </c>
      <c r="Z2" s="1">
        <f>(Z14-R14)/R14</f>
        <v>0.4698270549340493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52</v>
      </c>
      <c r="D4" s="23">
        <v>743436.53151951847</v>
      </c>
      <c r="E4" s="33">
        <v>35.604323291991022</v>
      </c>
      <c r="F4" s="5">
        <v>12</v>
      </c>
      <c r="G4" s="23">
        <v>93</v>
      </c>
      <c r="H4" s="33">
        <v>68.365891288534556</v>
      </c>
      <c r="I4" s="23">
        <v>29.51394941082842</v>
      </c>
      <c r="J4" s="5">
        <v>4495.6712922894758</v>
      </c>
      <c r="K4" s="31"/>
      <c r="L4" s="23">
        <v>1020981.570057269</v>
      </c>
      <c r="M4" s="33">
        <v>57.648943292006152</v>
      </c>
      <c r="N4" s="5">
        <v>19</v>
      </c>
      <c r="O4" s="5">
        <v>85</v>
      </c>
      <c r="P4" s="33">
        <v>244.0631632339809</v>
      </c>
      <c r="Q4" s="5">
        <v>16.558494278189961</v>
      </c>
      <c r="R4" s="5">
        <v>4496.9906449776563</v>
      </c>
      <c r="S4" s="35"/>
      <c r="T4" s="23">
        <v>964566.11524039262</v>
      </c>
      <c r="U4" s="33">
        <v>110.2669328750053</v>
      </c>
      <c r="V4" s="5">
        <v>14</v>
      </c>
      <c r="W4" s="5">
        <v>89</v>
      </c>
      <c r="X4" s="33">
        <v>753.7212999970227</v>
      </c>
      <c r="Y4" s="5">
        <v>47.612111563198233</v>
      </c>
      <c r="Z4" s="5">
        <v>6029.4227747554532</v>
      </c>
      <c r="AA4" s="35"/>
    </row>
    <row r="5" spans="2:27" x14ac:dyDescent="0.2">
      <c r="B5" s="4">
        <v>2</v>
      </c>
      <c r="C5" s="4">
        <v>63</v>
      </c>
      <c r="D5" s="23">
        <v>766343.09396670642</v>
      </c>
      <c r="E5" s="33">
        <v>39.328096708995872</v>
      </c>
      <c r="F5" s="5">
        <v>11</v>
      </c>
      <c r="G5" s="23">
        <v>93</v>
      </c>
      <c r="H5" s="33">
        <v>211.0554113621962</v>
      </c>
      <c r="I5" s="23">
        <v>32.453652662421163</v>
      </c>
      <c r="J5" s="5">
        <v>4833.9955112579382</v>
      </c>
      <c r="K5" s="31"/>
      <c r="L5" s="23">
        <v>990185.74987639673</v>
      </c>
      <c r="M5" s="33">
        <v>59.564096374990193</v>
      </c>
      <c r="N5" s="5">
        <v>20</v>
      </c>
      <c r="O5" s="5">
        <v>87</v>
      </c>
      <c r="P5" s="33">
        <v>169.70609583887602</v>
      </c>
      <c r="Q5" s="5">
        <v>15.89857326461267</v>
      </c>
      <c r="R5" s="5">
        <v>4287.8481681139501</v>
      </c>
      <c r="S5" s="35"/>
      <c r="T5" s="23">
        <v>1007768.081991828</v>
      </c>
      <c r="U5" s="33">
        <v>54.540231125007267</v>
      </c>
      <c r="V5" s="5">
        <v>11</v>
      </c>
      <c r="W5" s="5">
        <v>82</v>
      </c>
      <c r="X5" s="33">
        <v>590.11601823572664</v>
      </c>
      <c r="Y5" s="5">
        <v>51.169362620103421</v>
      </c>
      <c r="Z5" s="5">
        <v>5942.3275478249971</v>
      </c>
      <c r="AA5" s="35"/>
    </row>
    <row r="6" spans="2:27" x14ac:dyDescent="0.2">
      <c r="B6" s="4">
        <v>3</v>
      </c>
      <c r="C6" s="4">
        <v>107</v>
      </c>
      <c r="D6" s="23">
        <v>773117.66070412495</v>
      </c>
      <c r="E6" s="33">
        <v>32.80829033300688</v>
      </c>
      <c r="F6" s="5">
        <v>10</v>
      </c>
      <c r="G6" s="23">
        <v>93</v>
      </c>
      <c r="H6" s="33">
        <v>229.00910920390982</v>
      </c>
      <c r="I6" s="23">
        <v>34.878724462659783</v>
      </c>
      <c r="J6" s="5">
        <v>5076.3299935469504</v>
      </c>
      <c r="K6" s="31"/>
      <c r="L6" s="23">
        <v>1023801.550849559</v>
      </c>
      <c r="M6" s="33">
        <v>60.023152041001588</v>
      </c>
      <c r="N6" s="5">
        <v>20</v>
      </c>
      <c r="O6" s="5">
        <v>87</v>
      </c>
      <c r="P6" s="33">
        <v>295.82734472272841</v>
      </c>
      <c r="Q6" s="5">
        <v>15.951182328331081</v>
      </c>
      <c r="R6" s="5">
        <v>4576.579809805381</v>
      </c>
      <c r="S6" s="35"/>
      <c r="T6" s="23">
        <v>970167.05834954395</v>
      </c>
      <c r="U6" s="33">
        <v>62.247424833010882</v>
      </c>
      <c r="V6" s="5">
        <v>13</v>
      </c>
      <c r="W6" s="5">
        <v>87</v>
      </c>
      <c r="X6" s="33">
        <v>657.68255861942941</v>
      </c>
      <c r="Y6" s="5">
        <v>47.605429418320227</v>
      </c>
      <c r="Z6" s="5">
        <v>5927.3048520297007</v>
      </c>
      <c r="AA6" s="35"/>
    </row>
    <row r="7" spans="2:27" x14ac:dyDescent="0.2">
      <c r="B7" s="4">
        <v>4</v>
      </c>
      <c r="C7" s="4">
        <v>185</v>
      </c>
      <c r="D7" s="23">
        <v>746621.02842539363</v>
      </c>
      <c r="E7" s="33">
        <v>40.946708457995562</v>
      </c>
      <c r="F7" s="5">
        <v>11</v>
      </c>
      <c r="G7" s="23">
        <v>93</v>
      </c>
      <c r="H7" s="33">
        <v>146.78136390661615</v>
      </c>
      <c r="I7" s="23">
        <v>32.170417557249436</v>
      </c>
      <c r="J7" s="5">
        <v>4658.5318830019996</v>
      </c>
      <c r="K7" s="31"/>
      <c r="L7" s="23">
        <v>1001981.637055404</v>
      </c>
      <c r="M7" s="33">
        <v>101.14257829199779</v>
      </c>
      <c r="N7" s="5">
        <v>18</v>
      </c>
      <c r="O7" s="5">
        <v>84</v>
      </c>
      <c r="P7" s="33">
        <v>213.30770907015341</v>
      </c>
      <c r="Q7" s="5">
        <v>16.799320215741393</v>
      </c>
      <c r="R7" s="5">
        <v>4274.1185795528418</v>
      </c>
      <c r="S7" s="35"/>
      <c r="T7" s="23">
        <v>1021331.2754066749</v>
      </c>
      <c r="U7" s="33">
        <v>56.754178750008577</v>
      </c>
      <c r="V7" s="5">
        <v>11</v>
      </c>
      <c r="W7" s="5">
        <v>81</v>
      </c>
      <c r="X7" s="33">
        <v>526.56928639407192</v>
      </c>
      <c r="Y7" s="5">
        <v>47.226399287832209</v>
      </c>
      <c r="Z7" s="5">
        <v>5868.8734730320366</v>
      </c>
      <c r="AA7" s="35"/>
    </row>
    <row r="8" spans="2:27" x14ac:dyDescent="0.2">
      <c r="B8" s="4">
        <v>5</v>
      </c>
      <c r="C8" s="4">
        <v>217</v>
      </c>
      <c r="D8" s="23">
        <v>763999.9070316971</v>
      </c>
      <c r="E8" s="33">
        <v>56.04628229199443</v>
      </c>
      <c r="F8" s="5">
        <v>11</v>
      </c>
      <c r="G8" s="23">
        <v>93</v>
      </c>
      <c r="H8" s="33">
        <v>174.24594766402726</v>
      </c>
      <c r="I8" s="23">
        <v>32.583645157947899</v>
      </c>
      <c r="J8" s="5">
        <v>4823.7478316954048</v>
      </c>
      <c r="K8" s="31"/>
      <c r="L8" s="23">
        <v>996418.60652724898</v>
      </c>
      <c r="M8" s="33">
        <v>82.564041957986774</v>
      </c>
      <c r="N8" s="5">
        <v>19</v>
      </c>
      <c r="O8" s="5">
        <v>84</v>
      </c>
      <c r="P8" s="33">
        <v>77.233705415324721</v>
      </c>
      <c r="Q8" s="5">
        <v>16.316020014005449</v>
      </c>
      <c r="R8" s="5">
        <v>4070.6757623458134</v>
      </c>
      <c r="S8" s="35"/>
      <c r="T8" s="23">
        <v>1028857.23959187</v>
      </c>
      <c r="U8" s="33">
        <v>82.314986458004569</v>
      </c>
      <c r="V8" s="5">
        <v>14</v>
      </c>
      <c r="W8" s="5">
        <v>87</v>
      </c>
      <c r="X8" s="33">
        <v>826.53873540655991</v>
      </c>
      <c r="Y8" s="5">
        <v>44.837394017644961</v>
      </c>
      <c r="Z8" s="5">
        <v>6274.3968131602196</v>
      </c>
      <c r="AA8" s="35"/>
    </row>
    <row r="9" spans="2:27" x14ac:dyDescent="0.2">
      <c r="B9" s="4">
        <v>6</v>
      </c>
      <c r="C9" s="4">
        <v>561</v>
      </c>
      <c r="D9" s="23">
        <v>733456.93078387226</v>
      </c>
      <c r="E9" s="33">
        <v>59.236493832999258</v>
      </c>
      <c r="F9" s="5">
        <v>12</v>
      </c>
      <c r="G9" s="23">
        <v>93</v>
      </c>
      <c r="H9" s="33">
        <v>48.721269671759721</v>
      </c>
      <c r="I9" s="23">
        <v>29.479485726536605</v>
      </c>
      <c r="J9" s="5">
        <v>4420.0507782568002</v>
      </c>
      <c r="K9" s="31"/>
      <c r="L9" s="23">
        <v>1042840.3553473511</v>
      </c>
      <c r="M9" s="33">
        <v>71.290483415999915</v>
      </c>
      <c r="N9" s="5">
        <v>18</v>
      </c>
      <c r="O9" s="5">
        <v>83</v>
      </c>
      <c r="P9" s="33">
        <v>177.68050862851089</v>
      </c>
      <c r="Q9" s="5">
        <v>16.36437580231798</v>
      </c>
      <c r="R9" s="5">
        <v>4590.1848305949306</v>
      </c>
      <c r="S9" s="35"/>
      <c r="T9" s="23">
        <v>971070.3838823454</v>
      </c>
      <c r="U9" s="33">
        <v>40.104357707998133</v>
      </c>
      <c r="V9" s="5">
        <v>12</v>
      </c>
      <c r="W9" s="5">
        <v>87</v>
      </c>
      <c r="X9" s="33">
        <v>760.54480739207952</v>
      </c>
      <c r="Y9" s="5">
        <v>51.540060268995383</v>
      </c>
      <c r="Z9" s="5">
        <v>6084.0873984442169</v>
      </c>
      <c r="AA9" s="35"/>
    </row>
    <row r="10" spans="2:27" x14ac:dyDescent="0.2">
      <c r="B10" s="4">
        <v>7</v>
      </c>
      <c r="C10" s="4">
        <v>574</v>
      </c>
      <c r="D10" s="23">
        <v>736968.70997654041</v>
      </c>
      <c r="E10" s="33">
        <v>56.130826458000229</v>
      </c>
      <c r="F10" s="5">
        <v>11</v>
      </c>
      <c r="G10" s="23">
        <v>93</v>
      </c>
      <c r="H10" s="33">
        <v>126.69748049364915</v>
      </c>
      <c r="I10" s="23">
        <v>32.084478070349235</v>
      </c>
      <c r="J10" s="5">
        <v>4580.9995858073544</v>
      </c>
      <c r="K10" s="31"/>
      <c r="L10" s="23">
        <v>982273.2812711345</v>
      </c>
      <c r="M10" s="33">
        <v>87.698620417009806</v>
      </c>
      <c r="N10" s="5">
        <v>19</v>
      </c>
      <c r="O10" s="5">
        <v>85</v>
      </c>
      <c r="P10" s="33">
        <v>89.664079728965135</v>
      </c>
      <c r="Q10" s="5">
        <v>16.236276175864727</v>
      </c>
      <c r="R10" s="5">
        <v>4102.1307605648826</v>
      </c>
      <c r="S10" s="35"/>
      <c r="T10" s="23">
        <v>969938.79211654677</v>
      </c>
      <c r="U10" s="33">
        <v>39.872615165993921</v>
      </c>
      <c r="V10" s="5">
        <v>12</v>
      </c>
      <c r="W10" s="5">
        <v>88</v>
      </c>
      <c r="X10" s="33">
        <v>787.45947364335336</v>
      </c>
      <c r="Y10" s="5">
        <v>51.182447789043529</v>
      </c>
      <c r="Z10" s="5">
        <v>6159.2358320800267</v>
      </c>
      <c r="AA10" s="35"/>
    </row>
    <row r="11" spans="2:27" x14ac:dyDescent="0.2">
      <c r="B11" s="4">
        <v>8</v>
      </c>
      <c r="C11" s="4">
        <v>805</v>
      </c>
      <c r="D11" s="23">
        <v>736968.70997654041</v>
      </c>
      <c r="E11" s="33">
        <v>33.787238916003837</v>
      </c>
      <c r="F11" s="5">
        <v>11</v>
      </c>
      <c r="G11" s="23">
        <v>93</v>
      </c>
      <c r="H11" s="33">
        <v>126.69748049364915</v>
      </c>
      <c r="I11" s="23">
        <v>32.084478070349235</v>
      </c>
      <c r="J11" s="5">
        <v>4580.9995858073544</v>
      </c>
      <c r="K11" s="31"/>
      <c r="L11" s="23">
        <v>1002726.218521098</v>
      </c>
      <c r="M11" s="33">
        <v>67.735724458005279</v>
      </c>
      <c r="N11" s="5">
        <v>19</v>
      </c>
      <c r="O11" s="5">
        <v>85</v>
      </c>
      <c r="P11" s="33">
        <v>88.939038522358956</v>
      </c>
      <c r="Q11" s="5">
        <v>15.872058932033422</v>
      </c>
      <c r="R11" s="5">
        <v>4334.8057173374564</v>
      </c>
      <c r="S11" s="35"/>
      <c r="T11" s="23">
        <v>988009.82537622331</v>
      </c>
      <c r="U11" s="33">
        <v>99.510470291003003</v>
      </c>
      <c r="V11" s="5">
        <v>14</v>
      </c>
      <c r="W11" s="5">
        <v>88</v>
      </c>
      <c r="X11" s="33">
        <v>824.84261575562482</v>
      </c>
      <c r="Y11" s="5">
        <v>47.175656048492847</v>
      </c>
      <c r="Z11" s="5">
        <v>6024.963918287388</v>
      </c>
      <c r="AA11" s="35"/>
    </row>
    <row r="12" spans="2:27" x14ac:dyDescent="0.2">
      <c r="B12" s="4">
        <v>9</v>
      </c>
      <c r="C12" s="4">
        <v>970</v>
      </c>
      <c r="D12" s="23">
        <v>781047.53024100757</v>
      </c>
      <c r="E12" s="33">
        <v>30.696904500000532</v>
      </c>
      <c r="F12" s="5">
        <v>11</v>
      </c>
      <c r="G12" s="23">
        <v>93</v>
      </c>
      <c r="H12" s="33">
        <v>263.84664642663955</v>
      </c>
      <c r="I12" s="23">
        <v>32.558844080886395</v>
      </c>
      <c r="J12" s="5">
        <v>4939.0721736474152</v>
      </c>
      <c r="K12" s="31"/>
      <c r="L12" s="23">
        <v>985938.93729328923</v>
      </c>
      <c r="M12" s="33">
        <v>59.161900042003253</v>
      </c>
      <c r="N12" s="5">
        <v>19</v>
      </c>
      <c r="O12" s="5">
        <v>85</v>
      </c>
      <c r="P12" s="33">
        <v>75.731605033728442</v>
      </c>
      <c r="Q12" s="5">
        <v>16.414756665166575</v>
      </c>
      <c r="R12" s="5">
        <v>4166.3266926665556</v>
      </c>
      <c r="S12" s="35"/>
      <c r="T12" s="23">
        <v>982307.48961170809</v>
      </c>
      <c r="U12" s="33">
        <v>90.187719291992835</v>
      </c>
      <c r="V12" s="5">
        <v>13</v>
      </c>
      <c r="W12" s="5">
        <v>86</v>
      </c>
      <c r="X12" s="33">
        <v>705.08222247536366</v>
      </c>
      <c r="Y12" s="5">
        <v>47.687468063735302</v>
      </c>
      <c r="Z12" s="5">
        <v>5905.6725525158499</v>
      </c>
      <c r="AA12" s="35"/>
    </row>
    <row r="13" spans="2:27" x14ac:dyDescent="0.2">
      <c r="B13" s="4">
        <v>10</v>
      </c>
      <c r="C13" s="4">
        <v>993</v>
      </c>
      <c r="D13" s="23">
        <v>746851.46268968505</v>
      </c>
      <c r="E13" s="33">
        <v>38.021385041996837</v>
      </c>
      <c r="F13" s="5">
        <v>11</v>
      </c>
      <c r="G13" s="23">
        <v>93</v>
      </c>
      <c r="H13" s="33">
        <v>143.32937371608608</v>
      </c>
      <c r="I13" s="23">
        <v>32.20769144320753</v>
      </c>
      <c r="J13" s="5">
        <v>4661.9689703440117</v>
      </c>
      <c r="K13" s="31"/>
      <c r="L13" s="23">
        <v>997819.66183098371</v>
      </c>
      <c r="M13" s="33">
        <v>130.33669295800789</v>
      </c>
      <c r="N13" s="5">
        <v>20</v>
      </c>
      <c r="O13" s="5">
        <v>87</v>
      </c>
      <c r="P13" s="33">
        <v>151.44820877567588</v>
      </c>
      <c r="Q13" s="5">
        <v>16.1620796781778</v>
      </c>
      <c r="R13" s="5">
        <v>4393.3987482130651</v>
      </c>
      <c r="S13" s="35"/>
      <c r="T13" s="23">
        <v>982337.24733186525</v>
      </c>
      <c r="U13" s="33">
        <v>69.8550202500046</v>
      </c>
      <c r="V13" s="5">
        <v>13</v>
      </c>
      <c r="W13" s="5">
        <v>86</v>
      </c>
      <c r="X13" s="33">
        <v>721.29541489464816</v>
      </c>
      <c r="Y13" s="5">
        <v>47.620310030718123</v>
      </c>
      <c r="Z13" s="5">
        <v>5907.4588519380814</v>
      </c>
      <c r="AA13" s="35"/>
    </row>
    <row r="14" spans="2:27" x14ac:dyDescent="0.2">
      <c r="B14" s="47" t="s">
        <v>3</v>
      </c>
      <c r="C14" s="48"/>
      <c r="D14" s="9">
        <f>MIN(D4:D13)</f>
        <v>733456.93078387226</v>
      </c>
      <c r="E14" s="22">
        <f>INDEX(E4:E13, MATCH($D$14, D4:D13, 0))</f>
        <v>59.236493832999258</v>
      </c>
      <c r="F14" s="9">
        <f>INDEX(F4:F13, MATCH($D$14, D4:D13, 0))</f>
        <v>12</v>
      </c>
      <c r="G14" s="9">
        <f>INDEX(G4:G13, MATCH($D$14, D4:D13, 0))</f>
        <v>93</v>
      </c>
      <c r="H14" s="22">
        <f>INDEX(H4:H13, MATCH($D$14, D4:D13, 0))</f>
        <v>48.721269671759721</v>
      </c>
      <c r="I14" s="22">
        <f>INDEX(I4:I13, MATCH($D$14, D4:D13, 0))</f>
        <v>29.479485726536605</v>
      </c>
      <c r="J14" s="22">
        <f>INDEX(J4:J13, MATCH($D$14, D4:D13, 0))</f>
        <v>4420.0507782568002</v>
      </c>
      <c r="K14" s="32" t="e">
        <f>(D14-$D$15)/$D$15</f>
        <v>#DIV/0!</v>
      </c>
      <c r="L14" s="16">
        <f>MIN(L4:L13)</f>
        <v>982273.2812711345</v>
      </c>
      <c r="M14" s="21">
        <f>INDEX(M4:M13, MATCH($L$14, L4:L13, 0))</f>
        <v>87.698620417009806</v>
      </c>
      <c r="N14" s="16">
        <f>INDEX(N4:N13, MATCH($L$14, L4:L13, 0))</f>
        <v>19</v>
      </c>
      <c r="O14" s="16">
        <f>INDEX(O4:O13, MATCH($L$14, L4:L13, 0))</f>
        <v>85</v>
      </c>
      <c r="P14" s="21">
        <f>INDEX(P4:P13, MATCH($L$14, L4:L13, 0))</f>
        <v>89.664079728965135</v>
      </c>
      <c r="Q14" s="21">
        <f>INDEX(Q4:Q13, MATCH($L$14, L4:L13, 0))</f>
        <v>16.236276175864727</v>
      </c>
      <c r="R14" s="21">
        <f>INDEX(R4:R13, MATCH($L$14, L4:L13, 0))</f>
        <v>4102.1307605648826</v>
      </c>
      <c r="S14" s="36" t="e">
        <f>(L14-$D$15)/$D$15</f>
        <v>#DIV/0!</v>
      </c>
      <c r="T14" s="38">
        <f>MIN(T4:T13)</f>
        <v>964566.11524039262</v>
      </c>
      <c r="U14" s="39">
        <f>INDEX(U4:U13, MATCH($T$14, T4:T13, 0))</f>
        <v>110.2669328750053</v>
      </c>
      <c r="V14" s="38">
        <f>INDEX(V4:V13, MATCH($T$14, T4:T13, 0))</f>
        <v>14</v>
      </c>
      <c r="W14" s="38">
        <f>INDEX(W4:W13, MATCH($T$14, T4:T13, 0))</f>
        <v>89</v>
      </c>
      <c r="X14" s="39">
        <f>INDEX(X4:X13, MATCH($T$14, T4:T13, 0))</f>
        <v>753.7212999970227</v>
      </c>
      <c r="Y14" s="39">
        <f>INDEX(Y4:Y13, MATCH($T$14, T4:T13, 0))</f>
        <v>47.612111563198233</v>
      </c>
      <c r="Z14" s="39">
        <f>INDEX(Z4:Z13, MATCH($T$14, T4:T13, 0))</f>
        <v>6029.4227747554532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0.33923784757387609</v>
      </c>
      <c r="M15" s="41">
        <f t="shared" ref="M15:P15" si="0">(M14-E14)/E14</f>
        <v>0.48048297159942588</v>
      </c>
      <c r="N15" s="41">
        <f t="shared" si="0"/>
        <v>0.58333333333333337</v>
      </c>
      <c r="O15" s="41">
        <f t="shared" si="0"/>
        <v>-8.6021505376344093E-2</v>
      </c>
      <c r="P15" s="41">
        <f t="shared" si="0"/>
        <v>0.84034776460140304</v>
      </c>
      <c r="Q15" s="41">
        <f>(Q14-I14)/I14</f>
        <v>-0.44923475509447958</v>
      </c>
      <c r="R15" s="41">
        <f t="shared" ref="R15" si="1">(R14-J14)/J14</f>
        <v>-7.1926779496705312E-2</v>
      </c>
      <c r="T15" s="41">
        <f>(T14-D14)/D14</f>
        <v>0.31509578102905855</v>
      </c>
      <c r="U15" s="41">
        <f t="shared" ref="U15:Z15" si="2">(U14-E14)/E14</f>
        <v>0.86146960665619576</v>
      </c>
      <c r="V15" s="41">
        <f t="shared" si="2"/>
        <v>0.16666666666666666</v>
      </c>
      <c r="W15" s="41">
        <f t="shared" si="2"/>
        <v>-4.3010752688172046E-2</v>
      </c>
      <c r="X15" s="41">
        <f t="shared" si="2"/>
        <v>14.47006687376831</v>
      </c>
      <c r="Y15" s="41">
        <f t="shared" si="2"/>
        <v>0.6150930177299242</v>
      </c>
      <c r="Z15" s="41">
        <f t="shared" si="2"/>
        <v>0.36410712845551618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61" priority="5"/>
    <cfRule type="duplicateValues" dxfId="60" priority="6"/>
  </conditionalFormatting>
  <conditionalFormatting sqref="C14">
    <cfRule type="duplicateValues" dxfId="59" priority="3"/>
    <cfRule type="duplicateValues" dxfId="58" priority="4"/>
  </conditionalFormatting>
  <conditionalFormatting sqref="C15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BA4A-DE2A-A041-9275-29A2B8F0771E}">
  <dimension ref="B1:AA17"/>
  <sheetViews>
    <sheetView topLeftCell="G1"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-0.53277336700898792</v>
      </c>
      <c r="J2" s="28" t="e">
        <f>(S14-J14)/J14</f>
        <v>#DIV/0!</v>
      </c>
      <c r="K2" s="28"/>
      <c r="L2" s="1" t="s">
        <v>19</v>
      </c>
      <c r="P2" s="1">
        <f>(P14-H14)/H14</f>
        <v>2.3690048103520489</v>
      </c>
      <c r="R2" s="1">
        <f>(R14-J14)/J14</f>
        <v>-5.1819383116899417E-2</v>
      </c>
      <c r="T2" s="1" t="s">
        <v>20</v>
      </c>
      <c r="X2" s="1">
        <f>(X14-P14)/P14</f>
        <v>3.870251639204529</v>
      </c>
      <c r="Z2" s="1">
        <f>(Z14-R14)/R14</f>
        <v>0.40321466071900741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184</v>
      </c>
      <c r="D4" s="23">
        <v>699606.56567005371</v>
      </c>
      <c r="E4" s="33">
        <v>33.820942416001337</v>
      </c>
      <c r="F4" s="5">
        <v>10</v>
      </c>
      <c r="G4" s="23">
        <v>94</v>
      </c>
      <c r="H4" s="33">
        <v>66.276197921113393</v>
      </c>
      <c r="I4" s="23">
        <v>35.688153227312853</v>
      </c>
      <c r="J4" s="5">
        <v>4570.2808547774021</v>
      </c>
      <c r="K4" s="31"/>
      <c r="L4" s="23">
        <v>999956.53446734441</v>
      </c>
      <c r="M4" s="33">
        <v>68.932163334000506</v>
      </c>
      <c r="N4" s="5">
        <v>18</v>
      </c>
      <c r="O4" s="5">
        <v>83</v>
      </c>
      <c r="P4" s="33">
        <v>163.08648139555288</v>
      </c>
      <c r="Q4" s="5">
        <v>15.846204676649753</v>
      </c>
      <c r="R4" s="5">
        <v>3973.5477886136555</v>
      </c>
      <c r="S4" s="35"/>
      <c r="T4" s="23">
        <v>877454.37685630366</v>
      </c>
      <c r="U4" s="33">
        <v>49.70712116600771</v>
      </c>
      <c r="V4" s="5">
        <v>14</v>
      </c>
      <c r="W4" s="5">
        <v>92</v>
      </c>
      <c r="X4" s="33">
        <v>635.70835196913276</v>
      </c>
      <c r="Y4" s="5">
        <v>49.958167202155735</v>
      </c>
      <c r="Z4" s="5">
        <v>5590.2381438906214</v>
      </c>
      <c r="AA4" s="35"/>
    </row>
    <row r="5" spans="2:27" x14ac:dyDescent="0.2">
      <c r="B5" s="4">
        <v>2</v>
      </c>
      <c r="C5" s="4">
        <v>313</v>
      </c>
      <c r="D5" s="23">
        <v>736675.9543711124</v>
      </c>
      <c r="E5" s="33">
        <v>31.742981290997701</v>
      </c>
      <c r="F5" s="5">
        <v>11</v>
      </c>
      <c r="G5" s="23">
        <v>94</v>
      </c>
      <c r="H5" s="33">
        <v>210.50044075120317</v>
      </c>
      <c r="I5" s="23">
        <v>30.62358151275636</v>
      </c>
      <c r="J5" s="5">
        <v>4619.7336805477471</v>
      </c>
      <c r="K5" s="31"/>
      <c r="L5" s="23">
        <v>982707.32968670549</v>
      </c>
      <c r="M5" s="33">
        <v>100.1736382499948</v>
      </c>
      <c r="N5" s="5">
        <v>18</v>
      </c>
      <c r="O5" s="5">
        <v>83</v>
      </c>
      <c r="P5" s="33">
        <v>68.266301820065038</v>
      </c>
      <c r="Q5" s="5">
        <v>15.830551927607043</v>
      </c>
      <c r="R5" s="5">
        <v>3872.8059581569296</v>
      </c>
      <c r="S5" s="35"/>
      <c r="T5" s="23">
        <v>862788.02718338487</v>
      </c>
      <c r="U5" s="33">
        <v>65.165024040994467</v>
      </c>
      <c r="V5" s="5">
        <v>12</v>
      </c>
      <c r="W5" s="5">
        <v>90</v>
      </c>
      <c r="X5" s="33">
        <v>501.62816350341893</v>
      </c>
      <c r="Y5" s="5">
        <v>53.647836070497988</v>
      </c>
      <c r="Z5" s="5">
        <v>5521.1137450639344</v>
      </c>
      <c r="AA5" s="35"/>
    </row>
    <row r="6" spans="2:27" x14ac:dyDescent="0.2">
      <c r="B6" s="4">
        <v>3</v>
      </c>
      <c r="C6" s="4">
        <v>370</v>
      </c>
      <c r="D6" s="23">
        <v>667729.96077578666</v>
      </c>
      <c r="E6" s="33">
        <v>30.808862332996799</v>
      </c>
      <c r="F6" s="5">
        <v>10</v>
      </c>
      <c r="G6" s="23">
        <v>94</v>
      </c>
      <c r="H6" s="33">
        <v>34.535479664900087</v>
      </c>
      <c r="I6" s="23">
        <v>34.158062214754153</v>
      </c>
      <c r="J6" s="5">
        <v>4228.5654271567601</v>
      </c>
      <c r="K6" s="31"/>
      <c r="L6" s="23">
        <v>1007178.73084465</v>
      </c>
      <c r="M6" s="33">
        <v>116.1853650830017</v>
      </c>
      <c r="N6" s="5">
        <v>18</v>
      </c>
      <c r="O6" s="5">
        <v>82</v>
      </c>
      <c r="P6" s="33">
        <v>106.14101635962963</v>
      </c>
      <c r="Q6" s="5">
        <v>15.867599463527926</v>
      </c>
      <c r="R6" s="5">
        <v>3963.1656611022922</v>
      </c>
      <c r="S6" s="35"/>
      <c r="T6" s="23">
        <v>916413.63978375844</v>
      </c>
      <c r="U6" s="33">
        <v>67.313439834004384</v>
      </c>
      <c r="V6" s="5">
        <v>13</v>
      </c>
      <c r="W6" s="5">
        <v>91</v>
      </c>
      <c r="X6" s="33">
        <v>857.49371316481688</v>
      </c>
      <c r="Y6" s="5">
        <v>51.508311213798478</v>
      </c>
      <c r="Z6" s="5">
        <v>5832.1895785964398</v>
      </c>
      <c r="AA6" s="35"/>
    </row>
    <row r="7" spans="2:27" x14ac:dyDescent="0.2">
      <c r="B7" s="4">
        <v>4</v>
      </c>
      <c r="C7" s="4">
        <v>372</v>
      </c>
      <c r="D7" s="23">
        <v>690861.92168758286</v>
      </c>
      <c r="E7" s="33">
        <v>30.715510416994221</v>
      </c>
      <c r="F7" s="5">
        <v>10</v>
      </c>
      <c r="G7" s="23">
        <v>94</v>
      </c>
      <c r="H7" s="33">
        <v>49.402662107859456</v>
      </c>
      <c r="I7" s="23">
        <v>34.925565839407874</v>
      </c>
      <c r="J7" s="5">
        <v>4474.8773623956977</v>
      </c>
      <c r="K7" s="31"/>
      <c r="L7" s="23">
        <v>961134.77782097226</v>
      </c>
      <c r="M7" s="33">
        <v>118.6308803749998</v>
      </c>
      <c r="N7" s="5">
        <v>19</v>
      </c>
      <c r="O7" s="5">
        <v>86</v>
      </c>
      <c r="P7" s="33">
        <v>116.35019711886378</v>
      </c>
      <c r="Q7" s="5">
        <v>16.135895882560835</v>
      </c>
      <c r="R7" s="5">
        <v>4009.4437752520485</v>
      </c>
      <c r="S7" s="35"/>
      <c r="T7" s="23">
        <v>898124.61164590321</v>
      </c>
      <c r="U7" s="33">
        <v>53.492701583993039</v>
      </c>
      <c r="V7" s="5">
        <v>14</v>
      </c>
      <c r="W7" s="5">
        <v>91</v>
      </c>
      <c r="X7" s="33">
        <v>637.15813930112245</v>
      </c>
      <c r="Y7" s="5">
        <v>48.71049355519483</v>
      </c>
      <c r="Z7" s="5">
        <v>5622.3385348314423</v>
      </c>
      <c r="AA7" s="35"/>
    </row>
    <row r="8" spans="2:27" x14ac:dyDescent="0.2">
      <c r="B8" s="4">
        <v>5</v>
      </c>
      <c r="C8" s="4">
        <v>406</v>
      </c>
      <c r="D8" s="23">
        <v>704511.09527552174</v>
      </c>
      <c r="E8" s="33">
        <v>33.503137457999401</v>
      </c>
      <c r="F8" s="5">
        <v>10</v>
      </c>
      <c r="G8" s="23">
        <v>94</v>
      </c>
      <c r="H8" s="33">
        <v>135.83352196555248</v>
      </c>
      <c r="I8" s="23">
        <v>35.959852634191591</v>
      </c>
      <c r="J8" s="5">
        <v>4593.1246607292651</v>
      </c>
      <c r="K8" s="31"/>
      <c r="L8" s="23">
        <v>981251.17548932123</v>
      </c>
      <c r="M8" s="33">
        <v>141.25182562498961</v>
      </c>
      <c r="N8" s="5">
        <v>19</v>
      </c>
      <c r="O8" s="5">
        <v>85</v>
      </c>
      <c r="P8" s="33">
        <v>132.05901235981227</v>
      </c>
      <c r="Q8" s="5">
        <v>15.373180083330558</v>
      </c>
      <c r="R8" s="5">
        <v>3946.1581152313133</v>
      </c>
      <c r="S8" s="35"/>
      <c r="T8" s="23">
        <v>861176.59370125271</v>
      </c>
      <c r="U8" s="33">
        <v>86.053646540996851</v>
      </c>
      <c r="V8" s="5">
        <v>13</v>
      </c>
      <c r="W8" s="5">
        <v>91</v>
      </c>
      <c r="X8" s="33">
        <v>521.25600663974535</v>
      </c>
      <c r="Y8" s="5">
        <v>52.827640636660732</v>
      </c>
      <c r="Z8" s="5">
        <v>5526.6082046358606</v>
      </c>
      <c r="AA8" s="35"/>
    </row>
    <row r="9" spans="2:27" x14ac:dyDescent="0.2">
      <c r="B9" s="4">
        <v>6</v>
      </c>
      <c r="C9" s="4">
        <v>450</v>
      </c>
      <c r="D9" s="23">
        <v>667729.96077578666</v>
      </c>
      <c r="E9" s="33">
        <v>30.364667499990901</v>
      </c>
      <c r="F9" s="5">
        <v>10</v>
      </c>
      <c r="G9" s="23">
        <v>94</v>
      </c>
      <c r="H9" s="33">
        <v>34.535479664900087</v>
      </c>
      <c r="I9" s="23">
        <v>34.158062214754153</v>
      </c>
      <c r="J9" s="5">
        <v>4228.5654271567601</v>
      </c>
      <c r="K9" s="31"/>
      <c r="L9" s="23">
        <v>991267.3397740596</v>
      </c>
      <c r="M9" s="33">
        <v>67.391081958005088</v>
      </c>
      <c r="N9" s="5">
        <v>18</v>
      </c>
      <c r="O9" s="5">
        <v>84</v>
      </c>
      <c r="P9" s="33">
        <v>180.09020762845688</v>
      </c>
      <c r="Q9" s="5">
        <v>15.971182033294419</v>
      </c>
      <c r="R9" s="5">
        <v>4066.4592565348453</v>
      </c>
      <c r="S9" s="35"/>
      <c r="T9" s="23">
        <v>877454.37685630366</v>
      </c>
      <c r="U9" s="33">
        <v>100.0928746249992</v>
      </c>
      <c r="V9" s="5">
        <v>14</v>
      </c>
      <c r="W9" s="5">
        <v>92</v>
      </c>
      <c r="X9" s="33">
        <v>635.70835196913276</v>
      </c>
      <c r="Y9" s="5">
        <v>49.958167202155735</v>
      </c>
      <c r="Z9" s="5">
        <v>5590.2381438906214</v>
      </c>
      <c r="AA9" s="35"/>
    </row>
    <row r="10" spans="2:27" x14ac:dyDescent="0.2">
      <c r="B10" s="4">
        <v>7</v>
      </c>
      <c r="C10" s="4">
        <v>529</v>
      </c>
      <c r="D10" s="23">
        <v>684790.28594333271</v>
      </c>
      <c r="E10" s="33">
        <v>31.139362542002349</v>
      </c>
      <c r="F10" s="5">
        <v>10</v>
      </c>
      <c r="G10" s="23">
        <v>94</v>
      </c>
      <c r="H10" s="33">
        <v>29.15503408027184</v>
      </c>
      <c r="I10" s="23">
        <v>33.327252731651086</v>
      </c>
      <c r="J10" s="5">
        <v>4398.3941591075436</v>
      </c>
      <c r="K10" s="31"/>
      <c r="L10" s="23">
        <v>997134.40952030732</v>
      </c>
      <c r="M10" s="33">
        <v>70.150754291986232</v>
      </c>
      <c r="N10" s="5">
        <v>19</v>
      </c>
      <c r="O10" s="5">
        <v>84</v>
      </c>
      <c r="P10" s="33">
        <v>246.79140135147836</v>
      </c>
      <c r="Q10" s="5">
        <v>15.764032444760447</v>
      </c>
      <c r="R10" s="5">
        <v>3913.380090900439</v>
      </c>
      <c r="S10" s="35"/>
      <c r="T10" s="23">
        <v>857288.52589422988</v>
      </c>
      <c r="U10" s="33">
        <v>48.948779917001957</v>
      </c>
      <c r="V10" s="5">
        <v>12</v>
      </c>
      <c r="W10" s="5">
        <v>91</v>
      </c>
      <c r="X10" s="33">
        <v>566.65473823991636</v>
      </c>
      <c r="Y10" s="5">
        <v>56.048966405576586</v>
      </c>
      <c r="Z10" s="5">
        <v>5626.1102867622394</v>
      </c>
      <c r="AA10" s="35"/>
    </row>
    <row r="11" spans="2:27" x14ac:dyDescent="0.2">
      <c r="B11" s="4">
        <v>8</v>
      </c>
      <c r="C11" s="4">
        <v>699</v>
      </c>
      <c r="D11" s="23">
        <v>687816.38701247179</v>
      </c>
      <c r="E11" s="33">
        <v>29.994528208000698</v>
      </c>
      <c r="F11" s="5">
        <v>10</v>
      </c>
      <c r="G11" s="23">
        <v>94</v>
      </c>
      <c r="H11" s="33">
        <v>61.504193075098684</v>
      </c>
      <c r="I11" s="23">
        <v>34.237906156529938</v>
      </c>
      <c r="J11" s="5">
        <v>4405.4361961613859</v>
      </c>
      <c r="K11" s="31"/>
      <c r="L11" s="23">
        <v>966584.16586493119</v>
      </c>
      <c r="M11" s="33">
        <v>121.581396374997</v>
      </c>
      <c r="N11" s="5">
        <v>19</v>
      </c>
      <c r="O11" s="5">
        <v>86</v>
      </c>
      <c r="P11" s="33">
        <v>178.35561595165711</v>
      </c>
      <c r="Q11" s="5">
        <v>15.803733085311295</v>
      </c>
      <c r="R11" s="5">
        <v>3975.2808198843172</v>
      </c>
      <c r="S11" s="35"/>
      <c r="T11" s="23">
        <v>857288.52589422988</v>
      </c>
      <c r="U11" s="33">
        <v>50.061386874993332</v>
      </c>
      <c r="V11" s="5">
        <v>12</v>
      </c>
      <c r="W11" s="5">
        <v>91</v>
      </c>
      <c r="X11" s="33">
        <v>566.65473823991636</v>
      </c>
      <c r="Y11" s="5">
        <v>56.048966405576586</v>
      </c>
      <c r="Z11" s="5">
        <v>5626.1102867622394</v>
      </c>
      <c r="AA11" s="35"/>
    </row>
    <row r="12" spans="2:27" x14ac:dyDescent="0.2">
      <c r="B12" s="4">
        <v>9</v>
      </c>
      <c r="C12" s="4">
        <v>781</v>
      </c>
      <c r="D12" s="23">
        <v>667729.96077578666</v>
      </c>
      <c r="E12" s="33">
        <v>28.505917916001639</v>
      </c>
      <c r="F12" s="5">
        <v>10</v>
      </c>
      <c r="G12" s="23">
        <v>94</v>
      </c>
      <c r="H12" s="33">
        <v>34.535479664900087</v>
      </c>
      <c r="I12" s="23">
        <v>34.158062214754153</v>
      </c>
      <c r="J12" s="5">
        <v>4228.5654271567601</v>
      </c>
      <c r="K12" s="31"/>
      <c r="L12" s="23">
        <v>976109.46741371555</v>
      </c>
      <c r="M12" s="33">
        <v>97.103539624993573</v>
      </c>
      <c r="N12" s="5">
        <v>21</v>
      </c>
      <c r="O12" s="5">
        <v>87</v>
      </c>
      <c r="P12" s="33">
        <v>95.377130621516159</v>
      </c>
      <c r="Q12" s="5">
        <v>14.701382356718366</v>
      </c>
      <c r="R12" s="5">
        <v>3929.3285262105937</v>
      </c>
      <c r="S12" s="35"/>
      <c r="T12" s="23">
        <v>862788.02718338487</v>
      </c>
      <c r="U12" s="33">
        <v>43.683972791011911</v>
      </c>
      <c r="V12" s="5">
        <v>12</v>
      </c>
      <c r="W12" s="5">
        <v>90</v>
      </c>
      <c r="X12" s="33">
        <v>501.62816350341893</v>
      </c>
      <c r="Y12" s="5">
        <v>53.647836070497988</v>
      </c>
      <c r="Z12" s="5">
        <v>5521.1137450639344</v>
      </c>
      <c r="AA12" s="35"/>
    </row>
    <row r="13" spans="2:27" x14ac:dyDescent="0.2">
      <c r="B13" s="4">
        <v>10</v>
      </c>
      <c r="C13" s="4">
        <v>874</v>
      </c>
      <c r="D13" s="23">
        <v>684790.28594333271</v>
      </c>
      <c r="E13" s="33">
        <v>30.43488854099996</v>
      </c>
      <c r="F13" s="5">
        <v>10</v>
      </c>
      <c r="G13" s="23">
        <v>94</v>
      </c>
      <c r="H13" s="33">
        <v>29.15503408027184</v>
      </c>
      <c r="I13" s="23">
        <v>33.327252731651086</v>
      </c>
      <c r="J13" s="5">
        <v>4398.3941591075436</v>
      </c>
      <c r="K13" s="31"/>
      <c r="L13" s="23">
        <v>1011907.5158120811</v>
      </c>
      <c r="M13" s="33">
        <v>87.382867208987591</v>
      </c>
      <c r="N13" s="5">
        <v>17</v>
      </c>
      <c r="O13" s="5">
        <v>80</v>
      </c>
      <c r="P13" s="33">
        <v>78.708597866027631</v>
      </c>
      <c r="Q13" s="5">
        <v>16.522580154455913</v>
      </c>
      <c r="R13" s="5">
        <v>3864.949480726511</v>
      </c>
      <c r="S13" s="35"/>
      <c r="T13" s="23">
        <v>881880.2856388191</v>
      </c>
      <c r="U13" s="33">
        <v>49.841897999998757</v>
      </c>
      <c r="V13" s="5">
        <v>12</v>
      </c>
      <c r="W13" s="5">
        <v>90</v>
      </c>
      <c r="X13" s="33">
        <v>639.81987704699145</v>
      </c>
      <c r="Y13" s="5">
        <v>53.92212282206382</v>
      </c>
      <c r="Z13" s="5">
        <v>5634.1547524969737</v>
      </c>
      <c r="AA13" s="35"/>
    </row>
    <row r="14" spans="2:27" x14ac:dyDescent="0.2">
      <c r="B14" s="47" t="s">
        <v>3</v>
      </c>
      <c r="C14" s="48"/>
      <c r="D14" s="9">
        <f>MIN(D4:D13)</f>
        <v>667729.96077578666</v>
      </c>
      <c r="E14" s="22">
        <f>INDEX(E4:E13, MATCH($D$14, D4:D13, 0))</f>
        <v>30.808862332996799</v>
      </c>
      <c r="F14" s="9">
        <f>INDEX(F4:F13, MATCH($D$14, D4:D13, 0))</f>
        <v>10</v>
      </c>
      <c r="G14" s="9">
        <f>INDEX(G4:G13, MATCH($D$14, D4:D13, 0))</f>
        <v>94</v>
      </c>
      <c r="H14" s="22">
        <f>INDEX(H4:H13, MATCH($D$14, D4:D13, 0))</f>
        <v>34.535479664900087</v>
      </c>
      <c r="I14" s="22">
        <f>INDEX(I4:I13, MATCH($D$14, D4:D13, 0))</f>
        <v>34.158062214754153</v>
      </c>
      <c r="J14" s="22">
        <f>INDEX(J4:J13, MATCH($D$14, D4:D13, 0))</f>
        <v>4228.5654271567601</v>
      </c>
      <c r="K14" s="32" t="e">
        <f>(D14-$D$15)/$D$15</f>
        <v>#DIV/0!</v>
      </c>
      <c r="L14" s="16">
        <f>MIN(L4:L13)</f>
        <v>961134.77782097226</v>
      </c>
      <c r="M14" s="21">
        <f>INDEX(M4:M13, MATCH($L$14, L4:L13, 0))</f>
        <v>118.6308803749998</v>
      </c>
      <c r="N14" s="16">
        <f>INDEX(N4:N13, MATCH($L$14, L4:L13, 0))</f>
        <v>19</v>
      </c>
      <c r="O14" s="16">
        <f>INDEX(O4:O13, MATCH($L$14, L4:L13, 0))</f>
        <v>86</v>
      </c>
      <c r="P14" s="21">
        <f>INDEX(P4:P13, MATCH($L$14, L4:L13, 0))</f>
        <v>116.35019711886378</v>
      </c>
      <c r="Q14" s="21">
        <f>INDEX(Q4:Q13, MATCH($L$14, L4:L13, 0))</f>
        <v>16.135895882560835</v>
      </c>
      <c r="R14" s="21">
        <f>INDEX(R4:R13, MATCH($L$14, L4:L13, 0))</f>
        <v>4009.4437752520485</v>
      </c>
      <c r="S14" s="36" t="e">
        <f>(L14-$D$15)/$D$15</f>
        <v>#DIV/0!</v>
      </c>
      <c r="T14" s="38">
        <f>MIN(T4:T13)</f>
        <v>857288.52589422988</v>
      </c>
      <c r="U14" s="39">
        <f>INDEX(U4:U13, MATCH($T$14, T4:T13, 0))</f>
        <v>48.948779917001957</v>
      </c>
      <c r="V14" s="38">
        <f>INDEX(V4:V13, MATCH($T$14, T4:T13, 0))</f>
        <v>12</v>
      </c>
      <c r="W14" s="38">
        <f>INDEX(W4:W13, MATCH($T$14, T4:T13, 0))</f>
        <v>91</v>
      </c>
      <c r="X14" s="39">
        <f>INDEX(X4:X13, MATCH($T$14, T4:T13, 0))</f>
        <v>566.65473823991636</v>
      </c>
      <c r="Y14" s="39">
        <f>INDEX(Y4:Y13, MATCH($T$14, T4:T13, 0))</f>
        <v>56.048966405576586</v>
      </c>
      <c r="Z14" s="39">
        <f>INDEX(Z4:Z13, MATCH($T$14, T4:T13, 0))</f>
        <v>5626.1102867622394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0.43940639821567984</v>
      </c>
      <c r="M15" s="41">
        <f t="shared" ref="M15:P15" si="0">(M14-E14)/E14</f>
        <v>2.8505440120696757</v>
      </c>
      <c r="N15" s="41">
        <f t="shared" si="0"/>
        <v>0.9</v>
      </c>
      <c r="O15" s="41">
        <f t="shared" si="0"/>
        <v>-8.5106382978723402E-2</v>
      </c>
      <c r="P15" s="41">
        <f t="shared" si="0"/>
        <v>2.3690048103520489</v>
      </c>
      <c r="Q15" s="41">
        <f>(Q14-I14)/I14</f>
        <v>-0.52761091126559478</v>
      </c>
      <c r="R15" s="41">
        <f t="shared" ref="R15" si="1">(R14-J14)/J14</f>
        <v>-5.1819383116899417E-2</v>
      </c>
      <c r="T15" s="41">
        <f>(T14-D14)/D14</f>
        <v>0.2838850676974401</v>
      </c>
      <c r="U15" s="41">
        <f t="shared" ref="U15:Z15" si="2">(U14-E14)/E14</f>
        <v>0.58878894611363197</v>
      </c>
      <c r="V15" s="41">
        <f t="shared" si="2"/>
        <v>0.2</v>
      </c>
      <c r="W15" s="41">
        <f t="shared" si="2"/>
        <v>-3.1914893617021274E-2</v>
      </c>
      <c r="X15" s="41">
        <f t="shared" si="2"/>
        <v>15.407901200105011</v>
      </c>
      <c r="Y15" s="41">
        <f t="shared" si="2"/>
        <v>0.64087078632250183</v>
      </c>
      <c r="Z15" s="41">
        <f t="shared" si="2"/>
        <v>0.33050094261995916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55" priority="5"/>
    <cfRule type="duplicateValues" dxfId="54" priority="6"/>
  </conditionalFormatting>
  <conditionalFormatting sqref="C14">
    <cfRule type="duplicateValues" dxfId="53" priority="3"/>
    <cfRule type="duplicateValues" dxfId="52" priority="4"/>
  </conditionalFormatting>
  <conditionalFormatting sqref="C15">
    <cfRule type="duplicateValues" dxfId="51" priority="1"/>
    <cfRule type="duplicateValues" dxfId="5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8CBD-3E62-5C4F-92EB-871407C0F607}">
  <dimension ref="B1:AA17"/>
  <sheetViews>
    <sheetView topLeftCell="E1"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-0.89089575826091638</v>
      </c>
      <c r="J2" s="28" t="e">
        <f>(S14-J14)/J14</f>
        <v>#DIV/0!</v>
      </c>
      <c r="K2" s="28"/>
      <c r="L2" s="1" t="s">
        <v>19</v>
      </c>
      <c r="P2" s="1">
        <f>(P14-H14)/H14</f>
        <v>0.21736023657640058</v>
      </c>
      <c r="R2" s="1">
        <f>(R14-J14)/J14</f>
        <v>-6.1495480192824595E-2</v>
      </c>
      <c r="T2" s="1" t="s">
        <v>20</v>
      </c>
      <c r="X2" s="1">
        <f>(X14-P14)/P14</f>
        <v>4.2547327369972461</v>
      </c>
      <c r="Z2" s="1">
        <f>(Z14-R14)/R14</f>
        <v>0.4707469087551141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</v>
      </c>
      <c r="D4" s="23">
        <v>741829.75604481541</v>
      </c>
      <c r="E4" s="33">
        <v>35.2207830829866</v>
      </c>
      <c r="F4" s="5">
        <v>12</v>
      </c>
      <c r="G4" s="23">
        <v>93</v>
      </c>
      <c r="H4" s="33">
        <v>120.98526369858243</v>
      </c>
      <c r="I4" s="23">
        <v>27.044415950040218</v>
      </c>
      <c r="J4" s="5">
        <v>4196.6970772776094</v>
      </c>
      <c r="K4" s="31"/>
      <c r="L4" s="23">
        <v>1054709.4775756749</v>
      </c>
      <c r="M4" s="33">
        <v>112.92098795800121</v>
      </c>
      <c r="N4" s="5">
        <v>21</v>
      </c>
      <c r="O4" s="5">
        <v>83</v>
      </c>
      <c r="P4" s="33">
        <v>159.11139811158191</v>
      </c>
      <c r="Q4" s="5">
        <v>13.355938323225917</v>
      </c>
      <c r="R4" s="5">
        <v>3849.3396576616806</v>
      </c>
      <c r="S4" s="35"/>
      <c r="T4" s="23">
        <v>1050019.6942338729</v>
      </c>
      <c r="U4" s="33">
        <v>40.779128458001651</v>
      </c>
      <c r="V4" s="5">
        <v>12</v>
      </c>
      <c r="W4" s="5">
        <v>81</v>
      </c>
      <c r="X4" s="33">
        <v>623.06559683942203</v>
      </c>
      <c r="Y4" s="5">
        <v>45.790016564774589</v>
      </c>
      <c r="Z4" s="5">
        <v>5740.464954865075</v>
      </c>
      <c r="AA4" s="35"/>
    </row>
    <row r="5" spans="2:27" x14ac:dyDescent="0.2">
      <c r="B5" s="4">
        <v>2</v>
      </c>
      <c r="C5" s="4">
        <v>83</v>
      </c>
      <c r="D5" s="23">
        <v>753516.43861893017</v>
      </c>
      <c r="E5" s="33">
        <v>55.39981566699862</v>
      </c>
      <c r="F5" s="5">
        <v>11</v>
      </c>
      <c r="G5" s="23">
        <v>93</v>
      </c>
      <c r="H5" s="33">
        <v>195.62150781151391</v>
      </c>
      <c r="I5" s="23">
        <v>30.532079889489566</v>
      </c>
      <c r="J5" s="5">
        <v>4480.8711987848837</v>
      </c>
      <c r="K5" s="31"/>
      <c r="L5" s="23">
        <v>1051725.484386405</v>
      </c>
      <c r="M5" s="33">
        <v>81.064706707998994</v>
      </c>
      <c r="N5" s="5">
        <v>22</v>
      </c>
      <c r="O5" s="5">
        <v>85</v>
      </c>
      <c r="P5" s="33">
        <v>215.55921601031508</v>
      </c>
      <c r="Q5" s="5">
        <v>13.351337563187808</v>
      </c>
      <c r="R5" s="5">
        <v>3936.7720337509295</v>
      </c>
      <c r="S5" s="35"/>
      <c r="T5" s="23">
        <v>1034157.765890679</v>
      </c>
      <c r="U5" s="33">
        <v>93.870571999999811</v>
      </c>
      <c r="V5" s="5">
        <v>12</v>
      </c>
      <c r="W5" s="5">
        <v>82</v>
      </c>
      <c r="X5" s="33">
        <v>566.14107800300042</v>
      </c>
      <c r="Y5" s="5">
        <v>46.848853561881924</v>
      </c>
      <c r="Z5" s="5">
        <v>5702.6932690496133</v>
      </c>
      <c r="AA5" s="35"/>
    </row>
    <row r="6" spans="2:27" x14ac:dyDescent="0.2">
      <c r="B6" s="4">
        <v>3</v>
      </c>
      <c r="C6" s="4">
        <v>245</v>
      </c>
      <c r="D6" s="23">
        <v>752192.14613224671</v>
      </c>
      <c r="E6" s="33">
        <v>55.2097832080035</v>
      </c>
      <c r="F6" s="5">
        <v>11</v>
      </c>
      <c r="G6" s="23">
        <v>93</v>
      </c>
      <c r="H6" s="33">
        <v>138.10763815681844</v>
      </c>
      <c r="I6" s="23">
        <v>30.321341438914942</v>
      </c>
      <c r="J6" s="5">
        <v>4508.5900617579046</v>
      </c>
      <c r="K6" s="31"/>
      <c r="L6" s="23">
        <v>1087729.4067142981</v>
      </c>
      <c r="M6" s="33">
        <v>103.9655137079972</v>
      </c>
      <c r="N6" s="5">
        <v>19</v>
      </c>
      <c r="O6" s="5">
        <v>79</v>
      </c>
      <c r="P6" s="33">
        <v>220.779100639169</v>
      </c>
      <c r="Q6" s="5">
        <v>13.890453686971329</v>
      </c>
      <c r="R6" s="5">
        <v>3926.3124804805111</v>
      </c>
      <c r="S6" s="35"/>
      <c r="T6" s="23">
        <v>1074471.1376783201</v>
      </c>
      <c r="U6" s="33">
        <v>85.921744167004363</v>
      </c>
      <c r="V6" s="5">
        <v>11</v>
      </c>
      <c r="W6" s="5">
        <v>76</v>
      </c>
      <c r="X6" s="33">
        <v>452.31302241133017</v>
      </c>
      <c r="Y6" s="5">
        <v>48.879759465865284</v>
      </c>
      <c r="Z6" s="5">
        <v>5560.3736010884286</v>
      </c>
      <c r="AA6" s="35"/>
    </row>
    <row r="7" spans="2:27" x14ac:dyDescent="0.2">
      <c r="B7" s="4">
        <v>4</v>
      </c>
      <c r="C7" s="4">
        <v>246</v>
      </c>
      <c r="D7" s="23">
        <v>742749.41018709214</v>
      </c>
      <c r="E7" s="33">
        <v>73.030983749995357</v>
      </c>
      <c r="F7" s="5">
        <v>12</v>
      </c>
      <c r="G7" s="23">
        <v>93</v>
      </c>
      <c r="H7" s="33">
        <v>122.94805718744024</v>
      </c>
      <c r="I7" s="23">
        <v>26.844778121197027</v>
      </c>
      <c r="J7" s="5">
        <v>4199.7132926628346</v>
      </c>
      <c r="K7" s="31"/>
      <c r="L7" s="23">
        <v>1048057.600099679</v>
      </c>
      <c r="M7" s="33">
        <v>131.64983358400059</v>
      </c>
      <c r="N7" s="5">
        <v>22</v>
      </c>
      <c r="O7" s="5">
        <v>85</v>
      </c>
      <c r="P7" s="33">
        <v>147.28264923836451</v>
      </c>
      <c r="Q7" s="5">
        <v>13.200005457436912</v>
      </c>
      <c r="R7" s="5">
        <v>3938.6191752865993</v>
      </c>
      <c r="S7" s="35"/>
      <c r="T7" s="23">
        <v>983386.86856074515</v>
      </c>
      <c r="U7" s="33">
        <v>70.03246325001237</v>
      </c>
      <c r="V7" s="5">
        <v>12</v>
      </c>
      <c r="W7" s="5">
        <v>83</v>
      </c>
      <c r="X7" s="33">
        <v>427.78616741063115</v>
      </c>
      <c r="Y7" s="5">
        <v>47.324986913410164</v>
      </c>
      <c r="Z7" s="5">
        <v>5453.2573051068948</v>
      </c>
      <c r="AA7" s="35"/>
    </row>
    <row r="8" spans="2:27" x14ac:dyDescent="0.2">
      <c r="B8" s="4">
        <v>5</v>
      </c>
      <c r="C8" s="4">
        <v>437</v>
      </c>
      <c r="D8" s="23">
        <v>753516.43861893017</v>
      </c>
      <c r="E8" s="33">
        <v>47.784970459004398</v>
      </c>
      <c r="F8" s="5">
        <v>11</v>
      </c>
      <c r="G8" s="23">
        <v>93</v>
      </c>
      <c r="H8" s="33">
        <v>195.62150781151391</v>
      </c>
      <c r="I8" s="23">
        <v>30.532079889489566</v>
      </c>
      <c r="J8" s="5">
        <v>4480.8711987848837</v>
      </c>
      <c r="K8" s="31"/>
      <c r="L8" s="23">
        <v>1071360.896575877</v>
      </c>
      <c r="M8" s="33">
        <v>67.606753458007006</v>
      </c>
      <c r="N8" s="5">
        <v>21</v>
      </c>
      <c r="O8" s="5">
        <v>82</v>
      </c>
      <c r="P8" s="33">
        <v>139.75066865029598</v>
      </c>
      <c r="Q8" s="5">
        <v>13.490610481110014</v>
      </c>
      <c r="R8" s="5">
        <v>3889.5230716654569</v>
      </c>
      <c r="S8" s="35"/>
      <c r="T8" s="23">
        <v>1060390.901855089</v>
      </c>
      <c r="U8" s="33">
        <v>57.217803708001163</v>
      </c>
      <c r="V8" s="5">
        <v>12</v>
      </c>
      <c r="W8" s="5">
        <v>80</v>
      </c>
      <c r="X8" s="33">
        <v>569.67724529080101</v>
      </c>
      <c r="Y8" s="5">
        <v>46.12427341232992</v>
      </c>
      <c r="Z8" s="5">
        <v>5754.4332712869564</v>
      </c>
      <c r="AA8" s="35"/>
    </row>
    <row r="9" spans="2:27" x14ac:dyDescent="0.2">
      <c r="B9" s="4">
        <v>6</v>
      </c>
      <c r="C9" s="4">
        <v>581</v>
      </c>
      <c r="D9" s="23">
        <v>742918.39375110739</v>
      </c>
      <c r="E9" s="33">
        <v>41.360987042004133</v>
      </c>
      <c r="F9" s="5">
        <v>11</v>
      </c>
      <c r="G9" s="23">
        <v>93</v>
      </c>
      <c r="H9" s="33">
        <v>148.69120221747409</v>
      </c>
      <c r="I9" s="23">
        <v>30.54330534669873</v>
      </c>
      <c r="J9" s="5">
        <v>4406.7235889337917</v>
      </c>
      <c r="K9" s="31"/>
      <c r="L9" s="23">
        <v>1075447.8757910959</v>
      </c>
      <c r="M9" s="33">
        <v>56.540494417000453</v>
      </c>
      <c r="N9" s="5">
        <v>20</v>
      </c>
      <c r="O9" s="5">
        <v>82</v>
      </c>
      <c r="P9" s="33">
        <v>134.3716365378304</v>
      </c>
      <c r="Q9" s="5">
        <v>14.207979014387993</v>
      </c>
      <c r="R9" s="5">
        <v>4160.8739599261335</v>
      </c>
      <c r="S9" s="35"/>
      <c r="T9" s="23">
        <v>973928.50245301519</v>
      </c>
      <c r="U9" s="33">
        <v>57.039429583004683</v>
      </c>
      <c r="V9" s="5">
        <v>14</v>
      </c>
      <c r="W9" s="5">
        <v>89</v>
      </c>
      <c r="X9" s="33">
        <v>831.60993700811957</v>
      </c>
      <c r="Y9" s="5">
        <v>47.127770011735429</v>
      </c>
      <c r="Z9" s="5">
        <v>5867.970627486764</v>
      </c>
      <c r="AA9" s="35"/>
    </row>
    <row r="10" spans="2:27" x14ac:dyDescent="0.2">
      <c r="B10" s="4">
        <v>7</v>
      </c>
      <c r="C10" s="4">
        <v>679</v>
      </c>
      <c r="D10" s="23">
        <v>774832.18744118954</v>
      </c>
      <c r="E10" s="33">
        <v>30.254905000008879</v>
      </c>
      <c r="F10" s="5">
        <v>11</v>
      </c>
      <c r="G10" s="23">
        <v>93</v>
      </c>
      <c r="H10" s="33">
        <v>231.30686157276398</v>
      </c>
      <c r="I10" s="23">
        <v>29.22546119011945</v>
      </c>
      <c r="J10" s="5">
        <v>4646.631252189115</v>
      </c>
      <c r="K10" s="31"/>
      <c r="L10" s="23">
        <v>1087920.296365042</v>
      </c>
      <c r="M10" s="33">
        <v>61.752898749997257</v>
      </c>
      <c r="N10" s="5">
        <v>21</v>
      </c>
      <c r="O10" s="5">
        <v>84</v>
      </c>
      <c r="P10" s="33">
        <v>287.7405426971643</v>
      </c>
      <c r="Q10" s="5">
        <v>13.649427598712501</v>
      </c>
      <c r="R10" s="5">
        <v>4307.5552414909534</v>
      </c>
      <c r="S10" s="35"/>
      <c r="T10" s="23">
        <v>974860.9433983413</v>
      </c>
      <c r="U10" s="33">
        <v>121.0975573750038</v>
      </c>
      <c r="V10" s="5">
        <v>13</v>
      </c>
      <c r="W10" s="5">
        <v>86</v>
      </c>
      <c r="X10" s="33">
        <v>596.6291580859006</v>
      </c>
      <c r="Y10" s="5">
        <v>47.519743004653705</v>
      </c>
      <c r="Z10" s="5">
        <v>5614.6187444671796</v>
      </c>
      <c r="AA10" s="35"/>
    </row>
    <row r="11" spans="2:27" x14ac:dyDescent="0.2">
      <c r="B11" s="4">
        <v>8</v>
      </c>
      <c r="C11" s="4">
        <v>853</v>
      </c>
      <c r="D11" s="23">
        <v>772247.89726099232</v>
      </c>
      <c r="E11" s="33">
        <v>53.172536874990328</v>
      </c>
      <c r="F11" s="5">
        <v>12</v>
      </c>
      <c r="G11" s="23">
        <v>93</v>
      </c>
      <c r="H11" s="33">
        <v>247.83733430162238</v>
      </c>
      <c r="I11" s="23">
        <v>26.667707894137251</v>
      </c>
      <c r="J11" s="5">
        <v>4420.4633489364187</v>
      </c>
      <c r="K11" s="31"/>
      <c r="L11" s="23">
        <v>1064283.8448868359</v>
      </c>
      <c r="M11" s="33">
        <v>132.53593541699229</v>
      </c>
      <c r="N11" s="5">
        <v>22</v>
      </c>
      <c r="O11" s="5">
        <v>87</v>
      </c>
      <c r="P11" s="33">
        <v>335.42832920344233</v>
      </c>
      <c r="Q11" s="5">
        <v>13.408466581254531</v>
      </c>
      <c r="R11" s="5">
        <v>4336.4108990424338</v>
      </c>
      <c r="S11" s="35"/>
      <c r="T11" s="23">
        <v>1013822.466372662</v>
      </c>
      <c r="U11" s="33">
        <v>73.386733625011402</v>
      </c>
      <c r="V11" s="5">
        <v>14</v>
      </c>
      <c r="W11" s="5">
        <v>89</v>
      </c>
      <c r="X11" s="33">
        <v>909.61953012925642</v>
      </c>
      <c r="Y11" s="5">
        <v>48.287633884903514</v>
      </c>
      <c r="Z11" s="5">
        <v>6129.5996968667941</v>
      </c>
      <c r="AA11" s="35"/>
    </row>
    <row r="12" spans="2:27" x14ac:dyDescent="0.2">
      <c r="B12" s="4">
        <v>9</v>
      </c>
      <c r="C12" s="4">
        <v>881</v>
      </c>
      <c r="D12" s="23">
        <v>768621.70755125117</v>
      </c>
      <c r="E12" s="33">
        <v>31.961402750006531</v>
      </c>
      <c r="F12" s="5">
        <v>12</v>
      </c>
      <c r="G12" s="23">
        <v>93</v>
      </c>
      <c r="H12" s="33">
        <v>191.22046452326862</v>
      </c>
      <c r="I12" s="23">
        <v>26.877974125609395</v>
      </c>
      <c r="J12" s="5">
        <v>4442.2061635328864</v>
      </c>
      <c r="K12" s="31"/>
      <c r="L12" s="23">
        <v>1074490.903750241</v>
      </c>
      <c r="M12" s="33">
        <v>58.866052791010588</v>
      </c>
      <c r="N12" s="5">
        <v>20</v>
      </c>
      <c r="O12" s="5">
        <v>82</v>
      </c>
      <c r="P12" s="33">
        <v>162.64353955704433</v>
      </c>
      <c r="Q12" s="5">
        <v>13.970576611011108</v>
      </c>
      <c r="R12" s="5">
        <v>4104.8912091580351</v>
      </c>
      <c r="S12" s="35"/>
      <c r="T12" s="23">
        <v>973450.99385794683</v>
      </c>
      <c r="U12" s="33">
        <v>113.26376158399221</v>
      </c>
      <c r="V12" s="5">
        <v>14</v>
      </c>
      <c r="W12" s="5">
        <v>89</v>
      </c>
      <c r="X12" s="33">
        <v>773.93095854451644</v>
      </c>
      <c r="Y12" s="5">
        <v>46.133455089979122</v>
      </c>
      <c r="Z12" s="5">
        <v>5792.711976816383</v>
      </c>
      <c r="AA12" s="35"/>
    </row>
    <row r="13" spans="2:27" x14ac:dyDescent="0.2">
      <c r="B13" s="4">
        <v>10</v>
      </c>
      <c r="C13" s="4">
        <v>889</v>
      </c>
      <c r="D13" s="23">
        <v>777070.75994672475</v>
      </c>
      <c r="E13" s="33">
        <v>87.105731749994447</v>
      </c>
      <c r="F13" s="5">
        <v>12</v>
      </c>
      <c r="G13" s="23">
        <v>93</v>
      </c>
      <c r="H13" s="33">
        <v>158.514169516452</v>
      </c>
      <c r="I13" s="23">
        <v>26.400052616860293</v>
      </c>
      <c r="J13" s="5">
        <v>4509.7930053579385</v>
      </c>
      <c r="K13" s="31"/>
      <c r="L13" s="23">
        <v>1083167.027784779</v>
      </c>
      <c r="M13" s="33">
        <v>76.406102207998629</v>
      </c>
      <c r="N13" s="5">
        <v>20</v>
      </c>
      <c r="O13" s="5">
        <v>82</v>
      </c>
      <c r="P13" s="33">
        <v>70.264310477247491</v>
      </c>
      <c r="Q13" s="5">
        <v>14.04485410041004</v>
      </c>
      <c r="R13" s="5">
        <v>4213.2693279823707</v>
      </c>
      <c r="S13" s="35"/>
      <c r="T13" s="23">
        <v>1093724.4747789821</v>
      </c>
      <c r="U13" s="33">
        <v>82.299045041989302</v>
      </c>
      <c r="V13" s="5">
        <v>12</v>
      </c>
      <c r="W13" s="5">
        <v>82</v>
      </c>
      <c r="X13" s="33">
        <v>886.81834385623472</v>
      </c>
      <c r="Y13" s="5">
        <v>47.226891801434242</v>
      </c>
      <c r="Z13" s="5">
        <v>6251.7756371701835</v>
      </c>
      <c r="AA13" s="35"/>
    </row>
    <row r="14" spans="2:27" x14ac:dyDescent="0.2">
      <c r="B14" s="47" t="s">
        <v>3</v>
      </c>
      <c r="C14" s="48"/>
      <c r="D14" s="9">
        <f>MIN(D4:D13)</f>
        <v>741829.75604481541</v>
      </c>
      <c r="E14" s="22">
        <f>INDEX(E4:E13, MATCH($D$14, D4:D13, 0))</f>
        <v>35.2207830829866</v>
      </c>
      <c r="F14" s="9">
        <f>INDEX(F4:F13, MATCH($D$14, D4:D13, 0))</f>
        <v>12</v>
      </c>
      <c r="G14" s="9">
        <f>INDEX(G4:G13, MATCH($D$14, D4:D13, 0))</f>
        <v>93</v>
      </c>
      <c r="H14" s="22">
        <f>INDEX(H4:H13, MATCH($D$14, D4:D13, 0))</f>
        <v>120.98526369858243</v>
      </c>
      <c r="I14" s="22">
        <f>INDEX(I4:I13, MATCH($D$14, D4:D13, 0))</f>
        <v>27.044415950040218</v>
      </c>
      <c r="J14" s="22">
        <f>INDEX(J4:J13, MATCH($D$14, D4:D13, 0))</f>
        <v>4196.6970772776094</v>
      </c>
      <c r="K14" s="32" t="e">
        <f>(D14-$D$15)/$D$15</f>
        <v>#DIV/0!</v>
      </c>
      <c r="L14" s="16">
        <f>MIN(L4:L13)</f>
        <v>1048057.600099679</v>
      </c>
      <c r="M14" s="21">
        <f>INDEX(M4:M13, MATCH($L$14, L4:L13, 0))</f>
        <v>131.64983358400059</v>
      </c>
      <c r="N14" s="16">
        <f>INDEX(N4:N13, MATCH($L$14, L4:L13, 0))</f>
        <v>22</v>
      </c>
      <c r="O14" s="16">
        <f>INDEX(O4:O13, MATCH($L$14, L4:L13, 0))</f>
        <v>85</v>
      </c>
      <c r="P14" s="21">
        <f>INDEX(P4:P13, MATCH($L$14, L4:L13, 0))</f>
        <v>147.28264923836451</v>
      </c>
      <c r="Q14" s="21">
        <f>INDEX(Q4:Q13, MATCH($L$14, L4:L13, 0))</f>
        <v>13.200005457436912</v>
      </c>
      <c r="R14" s="21">
        <f>INDEX(R4:R13, MATCH($L$14, L4:L13, 0))</f>
        <v>3938.6191752865993</v>
      </c>
      <c r="S14" s="36" t="e">
        <f>(L14-$D$15)/$D$15</f>
        <v>#DIV/0!</v>
      </c>
      <c r="T14" s="38">
        <f>MIN(T4:T13)</f>
        <v>973450.99385794683</v>
      </c>
      <c r="U14" s="39">
        <f>INDEX(U4:U13, MATCH($T$14, T4:T13, 0))</f>
        <v>113.26376158399221</v>
      </c>
      <c r="V14" s="38">
        <f>INDEX(V4:V13, MATCH($T$14, T4:T13, 0))</f>
        <v>14</v>
      </c>
      <c r="W14" s="38">
        <f>INDEX(W4:W13, MATCH($T$14, T4:T13, 0))</f>
        <v>89</v>
      </c>
      <c r="X14" s="39">
        <f>INDEX(X4:X13, MATCH($T$14, T4:T13, 0))</f>
        <v>773.93095854451644</v>
      </c>
      <c r="Y14" s="39">
        <f>INDEX(Y4:Y13, MATCH($T$14, T4:T13, 0))</f>
        <v>46.133455089979122</v>
      </c>
      <c r="Z14" s="39">
        <f>INDEX(Z4:Z13, MATCH($T$14, T4:T13, 0))</f>
        <v>5792.711976816383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0.412800701993361</v>
      </c>
      <c r="M15" s="41">
        <f t="shared" ref="M15:P15" si="0">(M14-E14)/E14</f>
        <v>2.7378451601660738</v>
      </c>
      <c r="N15" s="41">
        <f t="shared" si="0"/>
        <v>0.83333333333333337</v>
      </c>
      <c r="O15" s="41">
        <f t="shared" si="0"/>
        <v>-8.6021505376344093E-2</v>
      </c>
      <c r="P15" s="41">
        <f t="shared" si="0"/>
        <v>0.21736023657640058</v>
      </c>
      <c r="Q15" s="41">
        <f>(Q14-I14)/I14</f>
        <v>-0.51191382791103379</v>
      </c>
      <c r="R15" s="41">
        <f t="shared" ref="R15" si="1">(R14-J14)/J14</f>
        <v>-6.1495480192824595E-2</v>
      </c>
      <c r="T15" s="41">
        <f>(T14-D14)/D14</f>
        <v>0.31222964019137933</v>
      </c>
      <c r="U15" s="41">
        <f t="shared" ref="U15:Z15" si="2">(U14-E14)/E14</f>
        <v>2.2158217867309222</v>
      </c>
      <c r="V15" s="41">
        <f t="shared" si="2"/>
        <v>0.16666666666666666</v>
      </c>
      <c r="W15" s="41">
        <f t="shared" si="2"/>
        <v>-4.3010752688172046E-2</v>
      </c>
      <c r="X15" s="41">
        <f t="shared" si="2"/>
        <v>5.3969026878567234</v>
      </c>
      <c r="Y15" s="41">
        <f t="shared" si="2"/>
        <v>0.7058403174689567</v>
      </c>
      <c r="Z15" s="41">
        <f t="shared" si="2"/>
        <v>0.38030262135910603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49" priority="5"/>
    <cfRule type="duplicateValues" dxfId="48" priority="6"/>
  </conditionalFormatting>
  <conditionalFormatting sqref="C14">
    <cfRule type="duplicateValues" dxfId="47" priority="3"/>
    <cfRule type="duplicateValues" dxfId="46" priority="4"/>
  </conditionalFormatting>
  <conditionalFormatting sqref="C15">
    <cfRule type="duplicateValues" dxfId="45" priority="1"/>
    <cfRule type="duplicateValues" dxfId="4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6C75-4800-9345-82AD-63D984FDD60E}">
  <dimension ref="B1:AA17"/>
  <sheetViews>
    <sheetView topLeftCell="D1"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-0.92462118803379978</v>
      </c>
      <c r="J2" s="28" t="e">
        <f>(S14-J14)/J14</f>
        <v>#DIV/0!</v>
      </c>
      <c r="K2" s="28"/>
      <c r="L2" s="1" t="s">
        <v>19</v>
      </c>
      <c r="P2" s="1">
        <f>(P14-H14)/H14</f>
        <v>0.16658086140019149</v>
      </c>
      <c r="R2" s="1">
        <f>(R14-J14)/J14</f>
        <v>-9.0198531961491107E-2</v>
      </c>
      <c r="T2" s="1" t="s">
        <v>20</v>
      </c>
      <c r="X2" s="1">
        <f>(X14-P14)/P14</f>
        <v>1.9858802447876804</v>
      </c>
      <c r="Z2" s="1">
        <f>(Z14-R14)/R14</f>
        <v>0.36043981066222386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</v>
      </c>
      <c r="D4" s="23">
        <v>727913.11591335363</v>
      </c>
      <c r="E4" s="33">
        <v>59.182423457998077</v>
      </c>
      <c r="F4" s="5">
        <v>12</v>
      </c>
      <c r="G4" s="23">
        <v>96</v>
      </c>
      <c r="H4" s="33">
        <v>209.75079066585022</v>
      </c>
      <c r="I4" s="23">
        <v>29.945262408076093</v>
      </c>
      <c r="J4" s="5">
        <v>4591.3616655558617</v>
      </c>
      <c r="K4" s="31"/>
      <c r="L4" s="23">
        <v>996117.8210528132</v>
      </c>
      <c r="M4" s="33">
        <v>51.396726083999972</v>
      </c>
      <c r="N4" s="5">
        <v>19</v>
      </c>
      <c r="O4" s="5">
        <v>85</v>
      </c>
      <c r="P4" s="33">
        <v>178.34719783798565</v>
      </c>
      <c r="Q4" s="5">
        <v>16.55409355118265</v>
      </c>
      <c r="R4" s="5">
        <v>4139.4620419937128</v>
      </c>
      <c r="S4" s="35"/>
      <c r="T4" s="23">
        <v>954771.19477756531</v>
      </c>
      <c r="U4" s="33">
        <v>80.012695874989731</v>
      </c>
      <c r="V4" s="5">
        <v>11</v>
      </c>
      <c r="W4" s="5">
        <v>88</v>
      </c>
      <c r="X4" s="33">
        <v>726.53293091367743</v>
      </c>
      <c r="Y4" s="5">
        <v>51.68843705402049</v>
      </c>
      <c r="Z4" s="5">
        <v>6109.5220800328279</v>
      </c>
      <c r="AA4" s="35"/>
    </row>
    <row r="5" spans="2:27" x14ac:dyDescent="0.2">
      <c r="B5" s="4">
        <v>2</v>
      </c>
      <c r="C5" s="4">
        <v>159</v>
      </c>
      <c r="D5" s="23">
        <v>748749.24286850798</v>
      </c>
      <c r="E5" s="33">
        <v>29.800242333993079</v>
      </c>
      <c r="F5" s="5">
        <v>12</v>
      </c>
      <c r="G5" s="23">
        <v>96</v>
      </c>
      <c r="H5" s="33">
        <v>261.831888961939</v>
      </c>
      <c r="I5" s="23">
        <v>31.658620036518773</v>
      </c>
      <c r="J5" s="5">
        <v>4815.0499016048607</v>
      </c>
      <c r="K5" s="31"/>
      <c r="L5" s="23">
        <v>1036749.774214503</v>
      </c>
      <c r="M5" s="33">
        <v>60.153437708009733</v>
      </c>
      <c r="N5" s="5">
        <v>20</v>
      </c>
      <c r="O5" s="5">
        <v>86</v>
      </c>
      <c r="P5" s="33">
        <v>334.10677641439673</v>
      </c>
      <c r="Q5" s="5">
        <v>15.394542972821153</v>
      </c>
      <c r="R5" s="5">
        <v>4440.7711337310757</v>
      </c>
      <c r="S5" s="35"/>
      <c r="T5" s="23">
        <v>927478.11390315741</v>
      </c>
      <c r="U5" s="33">
        <v>39.938575416992528</v>
      </c>
      <c r="V5" s="5">
        <v>12</v>
      </c>
      <c r="W5" s="5">
        <v>89</v>
      </c>
      <c r="X5" s="33">
        <v>675.8750380550207</v>
      </c>
      <c r="Y5" s="5">
        <v>48.770232355112505</v>
      </c>
      <c r="Z5" s="5">
        <v>5788.7609058820099</v>
      </c>
      <c r="AA5" s="35"/>
    </row>
    <row r="6" spans="2:27" x14ac:dyDescent="0.2">
      <c r="B6" s="4">
        <v>3</v>
      </c>
      <c r="C6" s="4">
        <v>206</v>
      </c>
      <c r="D6" s="23">
        <v>774450.73289941007</v>
      </c>
      <c r="E6" s="33">
        <v>35.157165042008273</v>
      </c>
      <c r="F6" s="5">
        <v>12</v>
      </c>
      <c r="G6" s="23">
        <v>96</v>
      </c>
      <c r="H6" s="33">
        <v>258.84418079668899</v>
      </c>
      <c r="I6" s="23">
        <v>29.853877681395137</v>
      </c>
      <c r="J6" s="5">
        <v>5007.2251810820198</v>
      </c>
      <c r="K6" s="31"/>
      <c r="L6" s="23">
        <v>1013657.734076632</v>
      </c>
      <c r="M6" s="33">
        <v>101.4665462499979</v>
      </c>
      <c r="N6" s="5">
        <v>19</v>
      </c>
      <c r="O6" s="5">
        <v>84</v>
      </c>
      <c r="P6" s="33">
        <v>255.33531473550877</v>
      </c>
      <c r="Q6" s="5">
        <v>15.955228872513338</v>
      </c>
      <c r="R6" s="5">
        <v>4112.9315090584432</v>
      </c>
      <c r="S6" s="35"/>
      <c r="T6" s="23">
        <v>925556.43650073581</v>
      </c>
      <c r="U6" s="33">
        <v>67.337162083989824</v>
      </c>
      <c r="V6" s="5">
        <v>13</v>
      </c>
      <c r="W6" s="5">
        <v>91</v>
      </c>
      <c r="X6" s="33">
        <v>779.7989018382317</v>
      </c>
      <c r="Y6" s="5">
        <v>46.394713057316885</v>
      </c>
      <c r="Z6" s="5">
        <v>5930.2621576941574</v>
      </c>
      <c r="AA6" s="35"/>
    </row>
    <row r="7" spans="2:27" x14ac:dyDescent="0.2">
      <c r="B7" s="4">
        <v>4</v>
      </c>
      <c r="C7" s="4">
        <v>580</v>
      </c>
      <c r="D7" s="23">
        <v>767748.45588413673</v>
      </c>
      <c r="E7" s="33">
        <v>31.779579249996459</v>
      </c>
      <c r="F7" s="5">
        <v>12</v>
      </c>
      <c r="G7" s="23">
        <v>96</v>
      </c>
      <c r="H7" s="33">
        <v>338.84663713240519</v>
      </c>
      <c r="I7" s="23">
        <v>30.359521834926309</v>
      </c>
      <c r="J7" s="5">
        <v>4916.7704353312956</v>
      </c>
      <c r="K7" s="31"/>
      <c r="L7" s="23">
        <v>1016953.376360163</v>
      </c>
      <c r="M7" s="33">
        <v>63.021240583009792</v>
      </c>
      <c r="N7" s="5">
        <v>20</v>
      </c>
      <c r="O7" s="5">
        <v>86</v>
      </c>
      <c r="P7" s="33">
        <v>229.71658598527549</v>
      </c>
      <c r="Q7" s="5">
        <v>15.778068015008424</v>
      </c>
      <c r="R7" s="5">
        <v>4261.1921347203079</v>
      </c>
      <c r="S7" s="35"/>
      <c r="T7" s="23">
        <v>921871.01931196393</v>
      </c>
      <c r="U7" s="33">
        <v>109.51096545900511</v>
      </c>
      <c r="V7" s="5">
        <v>13</v>
      </c>
      <c r="W7" s="5">
        <v>90</v>
      </c>
      <c r="X7" s="33">
        <v>687.67126397323023</v>
      </c>
      <c r="Y7" s="5">
        <v>46.827222162170727</v>
      </c>
      <c r="Z7" s="5">
        <v>5757.3605721698641</v>
      </c>
      <c r="AA7" s="35"/>
    </row>
    <row r="8" spans="2:27" x14ac:dyDescent="0.2">
      <c r="B8" s="4">
        <v>5</v>
      </c>
      <c r="C8" s="4">
        <v>648</v>
      </c>
      <c r="D8" s="23">
        <v>734080.26264836849</v>
      </c>
      <c r="E8" s="33">
        <v>29.89051395798742</v>
      </c>
      <c r="F8" s="5">
        <v>11</v>
      </c>
      <c r="G8" s="23">
        <v>96</v>
      </c>
      <c r="H8" s="33">
        <v>351.00340715444008</v>
      </c>
      <c r="I8" s="23">
        <v>33.010399485843969</v>
      </c>
      <c r="J8" s="5">
        <v>4771.5711773998955</v>
      </c>
      <c r="K8" s="31"/>
      <c r="L8" s="23">
        <v>1036125.736633323</v>
      </c>
      <c r="M8" s="33">
        <v>138.20018095799611</v>
      </c>
      <c r="N8" s="5">
        <v>20</v>
      </c>
      <c r="O8" s="5">
        <v>86</v>
      </c>
      <c r="P8" s="33">
        <v>284.25085758106763</v>
      </c>
      <c r="Q8" s="5">
        <v>16.140731293308377</v>
      </c>
      <c r="R8" s="5">
        <v>4473.0859119060215</v>
      </c>
      <c r="S8" s="35"/>
      <c r="T8" s="23">
        <v>915529.08391879639</v>
      </c>
      <c r="U8" s="33">
        <v>59.962899291989743</v>
      </c>
      <c r="V8" s="5">
        <v>13</v>
      </c>
      <c r="W8" s="5">
        <v>92</v>
      </c>
      <c r="X8" s="33">
        <v>832.1863752182486</v>
      </c>
      <c r="Y8" s="5">
        <v>48.651932958385231</v>
      </c>
      <c r="Z8" s="5">
        <v>5937.9911798851163</v>
      </c>
      <c r="AA8" s="35"/>
    </row>
    <row r="9" spans="2:27" x14ac:dyDescent="0.2">
      <c r="B9" s="4">
        <v>6</v>
      </c>
      <c r="C9" s="4">
        <v>844</v>
      </c>
      <c r="D9" s="23">
        <v>740194.97284269554</v>
      </c>
      <c r="E9" s="33">
        <v>29.408577665992201</v>
      </c>
      <c r="F9" s="5">
        <v>10</v>
      </c>
      <c r="G9" s="23">
        <v>96</v>
      </c>
      <c r="H9" s="33">
        <v>362.49676630738753</v>
      </c>
      <c r="I9" s="23">
        <v>36.032401423135958</v>
      </c>
      <c r="J9" s="5">
        <v>5026.5636372871832</v>
      </c>
      <c r="K9" s="31"/>
      <c r="L9" s="23">
        <v>1025014.165109801</v>
      </c>
      <c r="M9" s="33">
        <v>64.007060957999784</v>
      </c>
      <c r="N9" s="5">
        <v>20</v>
      </c>
      <c r="O9" s="5">
        <v>86</v>
      </c>
      <c r="P9" s="33">
        <v>214.75963016612667</v>
      </c>
      <c r="Q9" s="5">
        <v>15.550466849686028</v>
      </c>
      <c r="R9" s="5">
        <v>4342.8173175239308</v>
      </c>
      <c r="S9" s="35"/>
      <c r="T9" s="23">
        <v>903441.85368593549</v>
      </c>
      <c r="U9" s="33">
        <v>101.7626206249988</v>
      </c>
      <c r="V9" s="5">
        <v>13</v>
      </c>
      <c r="W9" s="5">
        <v>90</v>
      </c>
      <c r="X9" s="33">
        <v>626.6760635454134</v>
      </c>
      <c r="Y9" s="5">
        <v>46.96954380435421</v>
      </c>
      <c r="Z9" s="5">
        <v>5580.4505606454441</v>
      </c>
      <c r="AA9" s="35"/>
    </row>
    <row r="10" spans="2:27" x14ac:dyDescent="0.2">
      <c r="B10" s="4">
        <v>7</v>
      </c>
      <c r="C10" s="4">
        <v>900</v>
      </c>
      <c r="D10" s="23">
        <v>773051.65578538377</v>
      </c>
      <c r="E10" s="33">
        <v>39.872592917003203</v>
      </c>
      <c r="F10" s="5">
        <v>13</v>
      </c>
      <c r="G10" s="23">
        <v>96</v>
      </c>
      <c r="H10" s="33">
        <v>400.61629807369962</v>
      </c>
      <c r="I10" s="23">
        <v>28.797078717911997</v>
      </c>
      <c r="J10" s="5">
        <v>4749.6526567643641</v>
      </c>
      <c r="K10" s="31"/>
      <c r="L10" s="23">
        <v>1009005.407009382</v>
      </c>
      <c r="M10" s="33">
        <v>103.8670698329952</v>
      </c>
      <c r="N10" s="5">
        <v>19</v>
      </c>
      <c r="O10" s="5">
        <v>85</v>
      </c>
      <c r="P10" s="33">
        <v>250.61506948742488</v>
      </c>
      <c r="Q10" s="5">
        <v>16.627824678453614</v>
      </c>
      <c r="R10" s="5">
        <v>4241.3719045360322</v>
      </c>
      <c r="S10" s="35"/>
      <c r="T10" s="23">
        <v>974250.94399090332</v>
      </c>
      <c r="U10" s="33">
        <v>112.66265933300021</v>
      </c>
      <c r="V10" s="5">
        <v>16</v>
      </c>
      <c r="W10" s="5">
        <v>92</v>
      </c>
      <c r="X10" s="33">
        <v>924.45043670031362</v>
      </c>
      <c r="Y10" s="5">
        <v>39.423955354014943</v>
      </c>
      <c r="Z10" s="5">
        <v>5858.1141778557721</v>
      </c>
      <c r="AA10" s="35"/>
    </row>
    <row r="11" spans="2:27" x14ac:dyDescent="0.2">
      <c r="B11" s="4">
        <v>8</v>
      </c>
      <c r="C11" s="4">
        <v>916</v>
      </c>
      <c r="D11" s="23">
        <v>766183.28645214031</v>
      </c>
      <c r="E11" s="33">
        <v>32.735644624990528</v>
      </c>
      <c r="F11" s="5">
        <v>11</v>
      </c>
      <c r="G11" s="23">
        <v>96</v>
      </c>
      <c r="H11" s="33">
        <v>366.91080259180347</v>
      </c>
      <c r="I11" s="23">
        <v>32.839703767581106</v>
      </c>
      <c r="J11" s="5">
        <v>5066.9582511990748</v>
      </c>
      <c r="K11" s="31"/>
      <c r="L11" s="23">
        <v>1024942.483085279</v>
      </c>
      <c r="M11" s="33">
        <v>128.21406033300451</v>
      </c>
      <c r="N11" s="5">
        <v>18</v>
      </c>
      <c r="O11" s="5">
        <v>83</v>
      </c>
      <c r="P11" s="33">
        <v>248.5840772382526</v>
      </c>
      <c r="Q11" s="5">
        <v>16.716264381560379</v>
      </c>
      <c r="R11" s="5">
        <v>4270.4852401947082</v>
      </c>
      <c r="S11" s="35"/>
      <c r="T11" s="23">
        <v>1015885.877651264</v>
      </c>
      <c r="U11" s="33">
        <v>83.503916542002116</v>
      </c>
      <c r="V11" s="5">
        <v>15</v>
      </c>
      <c r="W11" s="5">
        <v>93</v>
      </c>
      <c r="X11" s="33">
        <v>1199.4871928525131</v>
      </c>
      <c r="Y11" s="5">
        <v>45.421762416163411</v>
      </c>
      <c r="Z11" s="5">
        <v>6535.3615225495405</v>
      </c>
      <c r="AA11" s="35"/>
    </row>
    <row r="12" spans="2:27" x14ac:dyDescent="0.2">
      <c r="B12" s="4">
        <v>9</v>
      </c>
      <c r="C12" s="4">
        <v>983</v>
      </c>
      <c r="D12" s="23">
        <v>735431.69668529497</v>
      </c>
      <c r="E12" s="33">
        <v>60.056659084002597</v>
      </c>
      <c r="F12" s="5">
        <v>13</v>
      </c>
      <c r="G12" s="23">
        <v>96</v>
      </c>
      <c r="H12" s="33">
        <v>197.74627230402487</v>
      </c>
      <c r="I12" s="23">
        <v>28.963518913233422</v>
      </c>
      <c r="J12" s="5">
        <v>4501.1926635922036</v>
      </c>
      <c r="K12" s="31"/>
      <c r="L12" s="23">
        <v>1002737.746375606</v>
      </c>
      <c r="M12" s="33">
        <v>129.0083555840101</v>
      </c>
      <c r="N12" s="5">
        <v>19</v>
      </c>
      <c r="O12" s="5">
        <v>85</v>
      </c>
      <c r="P12" s="33">
        <v>213.07213703405307</v>
      </c>
      <c r="Q12" s="5">
        <v>16.620297354707198</v>
      </c>
      <c r="R12" s="5">
        <v>4161.4138256255255</v>
      </c>
      <c r="S12" s="35"/>
      <c r="T12" s="23">
        <v>926378.38581758854</v>
      </c>
      <c r="U12" s="33">
        <v>91.257601791992784</v>
      </c>
      <c r="V12" s="5">
        <v>14</v>
      </c>
      <c r="W12" s="5">
        <v>93</v>
      </c>
      <c r="X12" s="33">
        <v>881.0512829403317</v>
      </c>
      <c r="Y12" s="5">
        <v>47.37484134883703</v>
      </c>
      <c r="Z12" s="5">
        <v>5968.6845451388581</v>
      </c>
      <c r="AA12" s="35"/>
    </row>
    <row r="13" spans="2:27" x14ac:dyDescent="0.2">
      <c r="B13" s="4">
        <v>10</v>
      </c>
      <c r="C13" s="4">
        <v>994</v>
      </c>
      <c r="D13" s="23">
        <v>734351.91437056963</v>
      </c>
      <c r="E13" s="33">
        <v>35.477391082997201</v>
      </c>
      <c r="F13" s="5">
        <v>12</v>
      </c>
      <c r="G13" s="23">
        <v>96</v>
      </c>
      <c r="H13" s="33">
        <v>244.55170028863481</v>
      </c>
      <c r="I13" s="23">
        <v>29.577312204487466</v>
      </c>
      <c r="J13" s="5">
        <v>4624.0330775868661</v>
      </c>
      <c r="K13" s="31"/>
      <c r="L13" s="23">
        <v>994160.49820602988</v>
      </c>
      <c r="M13" s="33">
        <v>64.323233624993009</v>
      </c>
      <c r="N13" s="5">
        <v>20</v>
      </c>
      <c r="O13" s="5">
        <v>87</v>
      </c>
      <c r="P13" s="33">
        <v>244.69125805433879</v>
      </c>
      <c r="Q13" s="5">
        <v>15.81076540936294</v>
      </c>
      <c r="R13" s="5">
        <v>4177.2275836184563</v>
      </c>
      <c r="S13" s="35"/>
      <c r="T13" s="23">
        <v>903104.78681603947</v>
      </c>
      <c r="U13" s="33">
        <v>50.810453665995738</v>
      </c>
      <c r="V13" s="5">
        <v>14</v>
      </c>
      <c r="W13" s="5">
        <v>92</v>
      </c>
      <c r="X13" s="33">
        <v>730.61879349669459</v>
      </c>
      <c r="Y13" s="5">
        <v>46.671025990530474</v>
      </c>
      <c r="Z13" s="5">
        <v>5682.8667029509115</v>
      </c>
      <c r="AA13" s="35"/>
    </row>
    <row r="14" spans="2:27" x14ac:dyDescent="0.2">
      <c r="B14" s="47" t="s">
        <v>3</v>
      </c>
      <c r="C14" s="48"/>
      <c r="D14" s="9">
        <f>MIN(D4:D13)</f>
        <v>727913.11591335363</v>
      </c>
      <c r="E14" s="22">
        <f>INDEX(E4:E13, MATCH($D$14, D4:D13, 0))</f>
        <v>59.182423457998077</v>
      </c>
      <c r="F14" s="9">
        <f>INDEX(F4:F13, MATCH($D$14, D4:D13, 0))</f>
        <v>12</v>
      </c>
      <c r="G14" s="9">
        <f>INDEX(G4:G13, MATCH($D$14, D4:D13, 0))</f>
        <v>96</v>
      </c>
      <c r="H14" s="22">
        <f>INDEX(H4:H13, MATCH($D$14, D4:D13, 0))</f>
        <v>209.75079066585022</v>
      </c>
      <c r="I14" s="22">
        <f>INDEX(I4:I13, MATCH($D$14, D4:D13, 0))</f>
        <v>29.945262408076093</v>
      </c>
      <c r="J14" s="22">
        <f>INDEX(J4:J13, MATCH($D$14, D4:D13, 0))</f>
        <v>4591.3616655558617</v>
      </c>
      <c r="K14" s="32" t="e">
        <f>(D14-$D$15)/$D$15</f>
        <v>#DIV/0!</v>
      </c>
      <c r="L14" s="16">
        <f>MIN(L4:L13)</f>
        <v>994160.49820602988</v>
      </c>
      <c r="M14" s="21">
        <f>INDEX(M4:M13, MATCH($L$14, L4:L13, 0))</f>
        <v>64.323233624993009</v>
      </c>
      <c r="N14" s="16">
        <f>INDEX(N4:N13, MATCH($L$14, L4:L13, 0))</f>
        <v>20</v>
      </c>
      <c r="O14" s="16">
        <f>INDEX(O4:O13, MATCH($L$14, L4:L13, 0))</f>
        <v>87</v>
      </c>
      <c r="P14" s="21">
        <f>INDEX(P4:P13, MATCH($L$14, L4:L13, 0))</f>
        <v>244.69125805433879</v>
      </c>
      <c r="Q14" s="21">
        <f>INDEX(Q4:Q13, MATCH($L$14, L4:L13, 0))</f>
        <v>15.81076540936294</v>
      </c>
      <c r="R14" s="21">
        <f>INDEX(R4:R13, MATCH($L$14, L4:L13, 0))</f>
        <v>4177.2275836184563</v>
      </c>
      <c r="S14" s="36" t="e">
        <f>(L14-$D$15)/$D$15</f>
        <v>#DIV/0!</v>
      </c>
      <c r="T14" s="38">
        <f>MIN(T4:T13)</f>
        <v>903104.78681603947</v>
      </c>
      <c r="U14" s="39">
        <f>INDEX(U4:U13, MATCH($T$14, T4:T13, 0))</f>
        <v>50.810453665995738</v>
      </c>
      <c r="V14" s="38">
        <f>INDEX(V4:V13, MATCH($T$14, T4:T13, 0))</f>
        <v>14</v>
      </c>
      <c r="W14" s="38">
        <f>INDEX(W4:W13, MATCH($T$14, T4:T13, 0))</f>
        <v>92</v>
      </c>
      <c r="X14" s="39">
        <f>INDEX(X4:X13, MATCH($T$14, T4:T13, 0))</f>
        <v>730.61879349669459</v>
      </c>
      <c r="Y14" s="39">
        <f>INDEX(Y4:Y13, MATCH($T$14, T4:T13, 0))</f>
        <v>46.671025990530474</v>
      </c>
      <c r="Z14" s="39">
        <f>INDEX(Z4:Z13, MATCH($T$14, T4:T13, 0))</f>
        <v>5682.8667029509115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0.36576807928319943</v>
      </c>
      <c r="M15" s="41">
        <f t="shared" ref="M15:P15" si="0">(M14-E14)/E14</f>
        <v>8.6863799530672789E-2</v>
      </c>
      <c r="N15" s="41">
        <f t="shared" si="0"/>
        <v>0.66666666666666663</v>
      </c>
      <c r="O15" s="41">
        <f t="shared" si="0"/>
        <v>-9.375E-2</v>
      </c>
      <c r="P15" s="41">
        <f t="shared" si="0"/>
        <v>0.16658086140019149</v>
      </c>
      <c r="Q15" s="41">
        <f>(Q14-I14)/I14</f>
        <v>-0.47201112503529596</v>
      </c>
      <c r="R15" s="41">
        <f t="shared" ref="R15" si="1">(R14-J14)/J14</f>
        <v>-9.0198531961491107E-2</v>
      </c>
      <c r="T15" s="41">
        <f>(T14-D14)/D14</f>
        <v>0.24067662344957608</v>
      </c>
      <c r="U15" s="41">
        <f t="shared" ref="U15:Z15" si="2">(U14-E14)/E14</f>
        <v>-0.14146040839209548</v>
      </c>
      <c r="V15" s="41">
        <f t="shared" si="2"/>
        <v>0.16666666666666666</v>
      </c>
      <c r="W15" s="41">
        <f t="shared" si="2"/>
        <v>-4.1666666666666664E-2</v>
      </c>
      <c r="X15" s="41">
        <f t="shared" si="2"/>
        <v>2.4832707480022269</v>
      </c>
      <c r="Y15" s="41">
        <f t="shared" si="2"/>
        <v>0.55854456556518672</v>
      </c>
      <c r="Z15" s="41">
        <f t="shared" si="2"/>
        <v>0.23773013691852235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43" priority="5"/>
    <cfRule type="duplicateValues" dxfId="42" priority="6"/>
  </conditionalFormatting>
  <conditionalFormatting sqref="C14">
    <cfRule type="duplicateValues" dxfId="41" priority="3"/>
    <cfRule type="duplicateValues" dxfId="40" priority="4"/>
  </conditionalFormatting>
  <conditionalFormatting sqref="C15">
    <cfRule type="duplicateValues" dxfId="39" priority="1"/>
    <cfRule type="duplicateValues" dxfId="38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C80B-8D60-0344-8F90-355A676994B0}">
  <dimension ref="B1:AA17"/>
  <sheetViews>
    <sheetView tabSelected="1" zoomScale="118" zoomScaleNormal="120" workbookViewId="0">
      <selection activeCell="M4" sqref="M4:M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-0.77838394149800527</v>
      </c>
      <c r="J2" s="28" t="e">
        <f>(S14-J14)/J14</f>
        <v>#DIV/0!</v>
      </c>
      <c r="K2" s="28"/>
      <c r="L2" s="1" t="s">
        <v>19</v>
      </c>
      <c r="P2" s="1">
        <f>(P14-H14)/H14</f>
        <v>-9.0857670145923816E-2</v>
      </c>
      <c r="R2" s="1">
        <f>(R14-J14)/J14</f>
        <v>-0.13997324574775113</v>
      </c>
      <c r="T2" s="1" t="s">
        <v>20</v>
      </c>
      <c r="X2" s="1">
        <f>(X14-P14)/P14</f>
        <v>8.1145732113188132</v>
      </c>
      <c r="Z2" s="1">
        <f>(Z14-R14)/R14</f>
        <v>0.54008477811470357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</v>
      </c>
      <c r="D4" s="23">
        <v>716347.36453994922</v>
      </c>
      <c r="E4" s="33">
        <v>32.403330417000689</v>
      </c>
      <c r="F4" s="5">
        <v>11</v>
      </c>
      <c r="G4" s="23">
        <v>93</v>
      </c>
      <c r="H4" s="33">
        <v>79.34774061211651</v>
      </c>
      <c r="I4" s="23">
        <v>28.495535721701302</v>
      </c>
      <c r="J4" s="5">
        <v>4364.5205055046854</v>
      </c>
      <c r="K4" s="31"/>
      <c r="L4" s="23">
        <v>909047.84206896904</v>
      </c>
      <c r="M4" s="33">
        <v>69.669636708989856</v>
      </c>
      <c r="N4" s="5">
        <v>18</v>
      </c>
      <c r="O4" s="5">
        <v>87</v>
      </c>
      <c r="P4" s="33">
        <v>63.728263919648732</v>
      </c>
      <c r="Q4" s="5">
        <v>15.614137563765452</v>
      </c>
      <c r="R4" s="5">
        <v>3847.5698373242431</v>
      </c>
      <c r="S4" s="35"/>
      <c r="T4" s="23">
        <v>900412.4123836247</v>
      </c>
      <c r="U4" s="33">
        <v>66.314481791996513</v>
      </c>
      <c r="V4" s="5">
        <v>12</v>
      </c>
      <c r="W4" s="5">
        <v>91</v>
      </c>
      <c r="X4" s="33">
        <v>639.70186817218223</v>
      </c>
      <c r="Y4" s="5">
        <v>50.436868656558829</v>
      </c>
      <c r="Z4" s="5">
        <v>5972.6782982051809</v>
      </c>
      <c r="AA4" s="35"/>
    </row>
    <row r="5" spans="2:27" x14ac:dyDescent="0.2">
      <c r="B5" s="4">
        <v>2</v>
      </c>
      <c r="C5" s="4">
        <v>272</v>
      </c>
      <c r="D5" s="23">
        <v>706439.10718241299</v>
      </c>
      <c r="E5" s="33">
        <v>34.578117166995071</v>
      </c>
      <c r="F5" s="5">
        <v>10</v>
      </c>
      <c r="G5" s="23">
        <v>93</v>
      </c>
      <c r="H5" s="33">
        <v>70.955693018952559</v>
      </c>
      <c r="I5" s="23">
        <v>31.611459016085881</v>
      </c>
      <c r="J5" s="5">
        <v>4456.2292468177611</v>
      </c>
      <c r="K5" s="31"/>
      <c r="L5" s="23">
        <v>901033.1077538</v>
      </c>
      <c r="M5" s="33">
        <v>125.3436221250013</v>
      </c>
      <c r="N5" s="5">
        <v>18</v>
      </c>
      <c r="O5" s="5">
        <v>87</v>
      </c>
      <c r="P5" s="33">
        <v>64.508824067661138</v>
      </c>
      <c r="Q5" s="5">
        <v>15.72492101513777</v>
      </c>
      <c r="R5" s="5">
        <v>3733.0069684756882</v>
      </c>
      <c r="S5" s="35"/>
      <c r="T5" s="23">
        <v>884733.67751634843</v>
      </c>
      <c r="U5" s="33">
        <v>100.2476713750075</v>
      </c>
      <c r="V5" s="5">
        <v>12</v>
      </c>
      <c r="W5" s="5">
        <v>91</v>
      </c>
      <c r="X5" s="33">
        <v>541.52777167348711</v>
      </c>
      <c r="Y5" s="5">
        <v>48.678861483592364</v>
      </c>
      <c r="Z5" s="5">
        <v>5823.641064790344</v>
      </c>
      <c r="AA5" s="35"/>
    </row>
    <row r="6" spans="2:27" x14ac:dyDescent="0.2">
      <c r="B6" s="4">
        <v>3</v>
      </c>
      <c r="C6" s="4">
        <v>430</v>
      </c>
      <c r="D6" s="23">
        <v>704716.66315935785</v>
      </c>
      <c r="E6" s="33">
        <v>50.062683915995883</v>
      </c>
      <c r="F6" s="5">
        <v>10</v>
      </c>
      <c r="G6" s="23">
        <v>93</v>
      </c>
      <c r="H6" s="33">
        <v>70.955693018952559</v>
      </c>
      <c r="I6" s="23">
        <v>31.19168213315637</v>
      </c>
      <c r="J6" s="5">
        <v>4426.8829257969919</v>
      </c>
      <c r="K6" s="31"/>
      <c r="L6" s="23">
        <v>905590.11050586402</v>
      </c>
      <c r="M6" s="33">
        <v>117.9669283749972</v>
      </c>
      <c r="N6" s="5">
        <v>18</v>
      </c>
      <c r="O6" s="5">
        <v>87</v>
      </c>
      <c r="P6" s="33">
        <v>43.845480623276465</v>
      </c>
      <c r="Q6" s="5">
        <v>15.516945742511394</v>
      </c>
      <c r="R6" s="5">
        <v>3790.3196975618666</v>
      </c>
      <c r="S6" s="35"/>
      <c r="T6" s="23">
        <v>895322.49921912781</v>
      </c>
      <c r="U6" s="33">
        <v>45.270513208000921</v>
      </c>
      <c r="V6" s="5">
        <v>12</v>
      </c>
      <c r="W6" s="5">
        <v>91</v>
      </c>
      <c r="X6" s="33">
        <v>565.478672282562</v>
      </c>
      <c r="Y6" s="5">
        <v>49.908231119495703</v>
      </c>
      <c r="Z6" s="5">
        <v>5981.3312820479259</v>
      </c>
      <c r="AA6" s="35"/>
    </row>
    <row r="7" spans="2:27" x14ac:dyDescent="0.2">
      <c r="B7" s="4">
        <v>4</v>
      </c>
      <c r="C7" s="4">
        <v>434</v>
      </c>
      <c r="D7" s="23">
        <v>726214.41569436737</v>
      </c>
      <c r="E7" s="33">
        <v>27.930444583995271</v>
      </c>
      <c r="F7" s="5">
        <v>10</v>
      </c>
      <c r="G7" s="23">
        <v>93</v>
      </c>
      <c r="H7" s="33">
        <v>135.69015240965319</v>
      </c>
      <c r="I7" s="23">
        <v>31.964197411623179</v>
      </c>
      <c r="J7" s="5">
        <v>4627.5751808510522</v>
      </c>
      <c r="K7" s="31"/>
      <c r="L7" s="23">
        <v>901926.68144870317</v>
      </c>
      <c r="M7" s="33">
        <v>76.382202082997537</v>
      </c>
      <c r="N7" s="5">
        <v>18</v>
      </c>
      <c r="O7" s="5">
        <v>87</v>
      </c>
      <c r="P7" s="33">
        <v>32.111650927722401</v>
      </c>
      <c r="Q7" s="5">
        <v>15.710499988363097</v>
      </c>
      <c r="R7" s="5">
        <v>3759.2164855654505</v>
      </c>
      <c r="S7" s="35"/>
      <c r="T7" s="23">
        <v>891253.34627896501</v>
      </c>
      <c r="U7" s="33">
        <v>66.593354041993734</v>
      </c>
      <c r="V7" s="5">
        <v>12</v>
      </c>
      <c r="W7" s="5">
        <v>91</v>
      </c>
      <c r="X7" s="33">
        <v>632.97312818472483</v>
      </c>
      <c r="Y7" s="5">
        <v>49.178400368393426</v>
      </c>
      <c r="Z7" s="5">
        <v>5842.037312933413</v>
      </c>
      <c r="AA7" s="35"/>
    </row>
    <row r="8" spans="2:27" x14ac:dyDescent="0.2">
      <c r="B8" s="4">
        <v>5</v>
      </c>
      <c r="C8" s="4">
        <v>500</v>
      </c>
      <c r="D8" s="23">
        <v>697453.41936432105</v>
      </c>
      <c r="E8" s="33">
        <v>61.144240709007143</v>
      </c>
      <c r="F8" s="5">
        <v>11</v>
      </c>
      <c r="G8" s="23">
        <v>93</v>
      </c>
      <c r="H8" s="33">
        <v>9.8840504042321999</v>
      </c>
      <c r="I8" s="23">
        <v>28.467628395030655</v>
      </c>
      <c r="J8" s="5">
        <v>4208.5236860494206</v>
      </c>
      <c r="K8" s="31"/>
      <c r="L8" s="23">
        <v>916184.3822631347</v>
      </c>
      <c r="M8" s="33">
        <v>106.2534592079901</v>
      </c>
      <c r="N8" s="5">
        <v>17</v>
      </c>
      <c r="O8" s="5">
        <v>86</v>
      </c>
      <c r="P8" s="33">
        <v>40.583402140138944</v>
      </c>
      <c r="Q8" s="5">
        <v>16.423041857398427</v>
      </c>
      <c r="R8" s="5">
        <v>3943.008208875618</v>
      </c>
      <c r="S8" s="35"/>
      <c r="T8" s="23">
        <v>901254.01196032495</v>
      </c>
      <c r="U8" s="33">
        <v>39.277773207999417</v>
      </c>
      <c r="V8" s="5">
        <v>11</v>
      </c>
      <c r="W8" s="5">
        <v>89</v>
      </c>
      <c r="X8" s="33">
        <v>558.83695501303021</v>
      </c>
      <c r="Y8" s="5">
        <v>50.491028151128219</v>
      </c>
      <c r="Z8" s="5">
        <v>5880.8927198675219</v>
      </c>
      <c r="AA8" s="35"/>
    </row>
    <row r="9" spans="2:27" x14ac:dyDescent="0.2">
      <c r="B9" s="4">
        <v>6</v>
      </c>
      <c r="C9" s="4">
        <v>568</v>
      </c>
      <c r="D9" s="23">
        <v>699027.72543707653</v>
      </c>
      <c r="E9" s="33">
        <v>31.503071458995692</v>
      </c>
      <c r="F9" s="5">
        <v>10</v>
      </c>
      <c r="G9" s="23">
        <v>93</v>
      </c>
      <c r="H9" s="33">
        <v>70.955693018952559</v>
      </c>
      <c r="I9" s="23">
        <v>31.201528509462378</v>
      </c>
      <c r="J9" s="5">
        <v>4365.3849608614182</v>
      </c>
      <c r="K9" s="31"/>
      <c r="L9" s="23">
        <v>902375.97116136155</v>
      </c>
      <c r="M9" s="33">
        <v>75.46704058299656</v>
      </c>
      <c r="N9" s="5">
        <v>18</v>
      </c>
      <c r="O9" s="5">
        <v>87</v>
      </c>
      <c r="P9" s="33">
        <v>66.095739924296993</v>
      </c>
      <c r="Q9" s="5">
        <v>16.142172486003769</v>
      </c>
      <c r="R9" s="5">
        <v>3781.5775872383047</v>
      </c>
      <c r="S9" s="35"/>
      <c r="T9" s="23">
        <v>881994.09547793854</v>
      </c>
      <c r="U9" s="33">
        <v>65.009240875006071</v>
      </c>
      <c r="V9" s="5">
        <v>14</v>
      </c>
      <c r="W9" s="5">
        <v>93</v>
      </c>
      <c r="X9" s="33">
        <v>587.97039974078257</v>
      </c>
      <c r="Y9" s="5">
        <v>45.549090333444646</v>
      </c>
      <c r="Z9" s="5">
        <v>5749.1472087455222</v>
      </c>
      <c r="AA9" s="35"/>
    </row>
    <row r="10" spans="2:27" x14ac:dyDescent="0.2">
      <c r="B10" s="4">
        <v>7</v>
      </c>
      <c r="C10" s="4">
        <v>610</v>
      </c>
      <c r="D10" s="23">
        <v>695173.46523946885</v>
      </c>
      <c r="E10" s="33">
        <v>30.864398749996329</v>
      </c>
      <c r="F10" s="5">
        <v>10</v>
      </c>
      <c r="G10" s="23">
        <v>93</v>
      </c>
      <c r="H10" s="33">
        <v>70.955693018952559</v>
      </c>
      <c r="I10" s="23">
        <v>31.836320482389361</v>
      </c>
      <c r="J10" s="5">
        <v>4340.5707438966301</v>
      </c>
      <c r="K10" s="31"/>
      <c r="L10" s="23">
        <v>910200.5560658006</v>
      </c>
      <c r="M10" s="33">
        <v>55.137672083001227</v>
      </c>
      <c r="N10" s="5">
        <v>18</v>
      </c>
      <c r="O10" s="5">
        <v>87</v>
      </c>
      <c r="P10" s="33">
        <v>78.334163421885179</v>
      </c>
      <c r="Q10" s="5">
        <v>15.704721513612672</v>
      </c>
      <c r="R10" s="5">
        <v>3820.1384554246115</v>
      </c>
      <c r="S10" s="35"/>
      <c r="T10" s="23">
        <v>915386.86907061026</v>
      </c>
      <c r="U10" s="33">
        <v>38.476141042003292</v>
      </c>
      <c r="V10" s="5">
        <v>12</v>
      </c>
      <c r="W10" s="5">
        <v>89</v>
      </c>
      <c r="X10" s="33">
        <v>571.58369196610715</v>
      </c>
      <c r="Y10" s="5">
        <v>48.006136713450026</v>
      </c>
      <c r="Z10" s="5">
        <v>5852.1028691852589</v>
      </c>
      <c r="AA10" s="35"/>
    </row>
    <row r="11" spans="2:27" x14ac:dyDescent="0.2">
      <c r="B11" s="4">
        <v>8</v>
      </c>
      <c r="C11" s="4">
        <v>674</v>
      </c>
      <c r="D11" s="23">
        <v>731826.43692086404</v>
      </c>
      <c r="E11" s="33">
        <v>32.863725000002887</v>
      </c>
      <c r="F11" s="5">
        <v>11</v>
      </c>
      <c r="G11" s="23">
        <v>93</v>
      </c>
      <c r="H11" s="33">
        <v>54.289331759826901</v>
      </c>
      <c r="I11" s="23">
        <v>28.567240531431931</v>
      </c>
      <c r="J11" s="5">
        <v>4522.4559815444345</v>
      </c>
      <c r="K11" s="31"/>
      <c r="L11" s="23">
        <v>908554.46513456991</v>
      </c>
      <c r="M11" s="33">
        <v>55.445594999997411</v>
      </c>
      <c r="N11" s="5">
        <v>19</v>
      </c>
      <c r="O11" s="5">
        <v>88</v>
      </c>
      <c r="P11" s="33">
        <v>127.14289502614969</v>
      </c>
      <c r="Q11" s="5">
        <v>15.149036850602561</v>
      </c>
      <c r="R11" s="5">
        <v>3754.1884274960908</v>
      </c>
      <c r="S11" s="35"/>
      <c r="T11" s="23">
        <v>896824.70980255026</v>
      </c>
      <c r="U11" s="33">
        <v>65.032204417002504</v>
      </c>
      <c r="V11" s="5">
        <v>13</v>
      </c>
      <c r="W11" s="5">
        <v>92</v>
      </c>
      <c r="X11" s="33">
        <v>656.50756009230565</v>
      </c>
      <c r="Y11" s="5">
        <v>47.232742113553577</v>
      </c>
      <c r="Z11" s="5">
        <v>5891.7996032127667</v>
      </c>
      <c r="AA11" s="35"/>
    </row>
    <row r="12" spans="2:27" x14ac:dyDescent="0.2">
      <c r="B12" s="4">
        <v>9</v>
      </c>
      <c r="C12" s="4">
        <v>726</v>
      </c>
      <c r="D12" s="23">
        <v>698184.03271345585</v>
      </c>
      <c r="E12" s="33">
        <v>51.249693083009333</v>
      </c>
      <c r="F12" s="5">
        <v>11</v>
      </c>
      <c r="G12" s="23">
        <v>93</v>
      </c>
      <c r="H12" s="33">
        <v>21.41068352559406</v>
      </c>
      <c r="I12" s="23">
        <v>28.737096102069355</v>
      </c>
      <c r="J12" s="5">
        <v>4200.4256201271673</v>
      </c>
      <c r="K12" s="31"/>
      <c r="L12" s="23">
        <v>931072.95732339472</v>
      </c>
      <c r="M12" s="33">
        <v>74.381018083993695</v>
      </c>
      <c r="N12" s="5">
        <v>18</v>
      </c>
      <c r="O12" s="5">
        <v>87</v>
      </c>
      <c r="P12" s="33">
        <v>52.227330600542103</v>
      </c>
      <c r="Q12" s="5">
        <v>15.63136790295532</v>
      </c>
      <c r="R12" s="5">
        <v>4083.0085731379872</v>
      </c>
      <c r="S12" s="35"/>
      <c r="T12" s="23">
        <v>903801.85201073624</v>
      </c>
      <c r="U12" s="33">
        <v>37.979685124999378</v>
      </c>
      <c r="V12" s="5">
        <v>11</v>
      </c>
      <c r="W12" s="5">
        <v>90</v>
      </c>
      <c r="X12" s="33">
        <v>626.94025704494049</v>
      </c>
      <c r="Y12" s="5">
        <v>52.487151143072396</v>
      </c>
      <c r="Z12" s="5">
        <v>6004.2630420010973</v>
      </c>
      <c r="AA12" s="35"/>
    </row>
    <row r="13" spans="2:27" x14ac:dyDescent="0.2">
      <c r="B13" s="4">
        <v>10</v>
      </c>
      <c r="C13" s="4">
        <v>763</v>
      </c>
      <c r="D13" s="23">
        <v>699027.72543707653</v>
      </c>
      <c r="E13" s="33">
        <v>36.93278033399838</v>
      </c>
      <c r="F13" s="5">
        <v>10</v>
      </c>
      <c r="G13" s="23">
        <v>93</v>
      </c>
      <c r="H13" s="33">
        <v>70.955693018952559</v>
      </c>
      <c r="I13" s="23">
        <v>31.201528509462378</v>
      </c>
      <c r="J13" s="5">
        <v>4365.3849608614182</v>
      </c>
      <c r="K13" s="31"/>
      <c r="L13" s="23">
        <v>903652.7126706792</v>
      </c>
      <c r="M13" s="33">
        <v>160.30146845799749</v>
      </c>
      <c r="N13" s="5">
        <v>18</v>
      </c>
      <c r="O13" s="5">
        <v>87</v>
      </c>
      <c r="P13" s="33">
        <v>59.362401422398229</v>
      </c>
      <c r="Q13" s="5">
        <v>15.612625543795353</v>
      </c>
      <c r="R13" s="5">
        <v>3795.587494869214</v>
      </c>
      <c r="S13" s="35"/>
      <c r="T13" s="23">
        <v>905211.44791439991</v>
      </c>
      <c r="U13" s="33">
        <v>74.296079333988018</v>
      </c>
      <c r="V13" s="5">
        <v>13</v>
      </c>
      <c r="W13" s="5">
        <v>91</v>
      </c>
      <c r="X13" s="33">
        <v>605.89344802523203</v>
      </c>
      <c r="Y13" s="5">
        <v>46.508572612143482</v>
      </c>
      <c r="Z13" s="5">
        <v>5858.4939884824007</v>
      </c>
      <c r="AA13" s="35"/>
    </row>
    <row r="14" spans="2:27" x14ac:dyDescent="0.2">
      <c r="B14" s="47" t="s">
        <v>3</v>
      </c>
      <c r="C14" s="48"/>
      <c r="D14" s="9">
        <f>MIN(D4:D13)</f>
        <v>695173.46523946885</v>
      </c>
      <c r="E14" s="22">
        <f>INDEX(E4:E13, MATCH($D$14, D4:D13, 0))</f>
        <v>30.864398749996329</v>
      </c>
      <c r="F14" s="9">
        <f>INDEX(F4:F13, MATCH($D$14, D4:D13, 0))</f>
        <v>10</v>
      </c>
      <c r="G14" s="9">
        <f>INDEX(G4:G13, MATCH($D$14, D4:D13, 0))</f>
        <v>93</v>
      </c>
      <c r="H14" s="22">
        <f>INDEX(H4:H13, MATCH($D$14, D4:D13, 0))</f>
        <v>70.955693018952559</v>
      </c>
      <c r="I14" s="22">
        <f>INDEX(I4:I13, MATCH($D$14, D4:D13, 0))</f>
        <v>31.836320482389361</v>
      </c>
      <c r="J14" s="22">
        <f>INDEX(J4:J13, MATCH($D$14, D4:D13, 0))</f>
        <v>4340.5707438966301</v>
      </c>
      <c r="K14" s="32" t="e">
        <f>(D14-$D$15)/$D$15</f>
        <v>#DIV/0!</v>
      </c>
      <c r="L14" s="16">
        <f>MIN(L4:L13)</f>
        <v>901033.1077538</v>
      </c>
      <c r="M14" s="21">
        <f>INDEX(M4:M13, MATCH($L$14, L4:L13, 0))</f>
        <v>125.3436221250013</v>
      </c>
      <c r="N14" s="16">
        <f>INDEX(N4:N13, MATCH($L$14, L4:L13, 0))</f>
        <v>18</v>
      </c>
      <c r="O14" s="16">
        <f>INDEX(O4:O13, MATCH($L$14, L4:L13, 0))</f>
        <v>87</v>
      </c>
      <c r="P14" s="21">
        <f>INDEX(P4:P13, MATCH($L$14, L4:L13, 0))</f>
        <v>64.508824067661138</v>
      </c>
      <c r="Q14" s="21">
        <f>INDEX(Q4:Q13, MATCH($L$14, L4:L13, 0))</f>
        <v>15.72492101513777</v>
      </c>
      <c r="R14" s="21">
        <f>INDEX(R4:R13, MATCH($L$14, L4:L13, 0))</f>
        <v>3733.0069684756882</v>
      </c>
      <c r="S14" s="36" t="e">
        <f>(L14-$D$15)/$D$15</f>
        <v>#DIV/0!</v>
      </c>
      <c r="T14" s="38">
        <f>MIN(T4:T13)</f>
        <v>881994.09547793854</v>
      </c>
      <c r="U14" s="39">
        <f>INDEX(U4:U13, MATCH($T$14, T4:T13, 0))</f>
        <v>65.009240875006071</v>
      </c>
      <c r="V14" s="38">
        <f>INDEX(V4:V13, MATCH($T$14, T4:T13, 0))</f>
        <v>14</v>
      </c>
      <c r="W14" s="38">
        <f>INDEX(W4:W13, MATCH($T$14, T4:T13, 0))</f>
        <v>93</v>
      </c>
      <c r="X14" s="39">
        <f>INDEX(X4:X13, MATCH($T$14, T4:T13, 0))</f>
        <v>587.97039974078257</v>
      </c>
      <c r="Y14" s="39">
        <f>INDEX(Y4:Y13, MATCH($T$14, T4:T13, 0))</f>
        <v>45.549090333444646</v>
      </c>
      <c r="Z14" s="39">
        <f>INDEX(Z4:Z13, MATCH($T$14, T4:T13, 0))</f>
        <v>5749.1472087455222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0.29612701405888381</v>
      </c>
      <c r="M15" s="41">
        <f t="shared" ref="M15:P15" si="0">(M14-E14)/E14</f>
        <v>3.0611068804642181</v>
      </c>
      <c r="N15" s="41">
        <f t="shared" si="0"/>
        <v>0.8</v>
      </c>
      <c r="O15" s="41">
        <f t="shared" si="0"/>
        <v>-6.4516129032258063E-2</v>
      </c>
      <c r="P15" s="41">
        <f t="shared" si="0"/>
        <v>-9.0857670145923816E-2</v>
      </c>
      <c r="Q15" s="41">
        <f>(Q14-I14)/I14</f>
        <v>-0.50606977260967712</v>
      </c>
      <c r="R15" s="41">
        <f t="shared" ref="R15" si="1">(R14-J14)/J14</f>
        <v>-0.13997324574775113</v>
      </c>
      <c r="T15" s="41">
        <f>(T14-D14)/D14</f>
        <v>0.26873958742673665</v>
      </c>
      <c r="U15" s="41">
        <f t="shared" ref="U15:Z15" si="2">(U14-E14)/E14</f>
        <v>1.106285672421006</v>
      </c>
      <c r="V15" s="41">
        <f t="shared" si="2"/>
        <v>0.4</v>
      </c>
      <c r="W15" s="41">
        <f t="shared" si="2"/>
        <v>0</v>
      </c>
      <c r="X15" s="41">
        <f t="shared" si="2"/>
        <v>7.2864443249639343</v>
      </c>
      <c r="Y15" s="41">
        <f t="shared" si="2"/>
        <v>0.43072722108827449</v>
      </c>
      <c r="Z15" s="41">
        <f t="shared" si="2"/>
        <v>0.32451411299528332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37" priority="5"/>
    <cfRule type="duplicateValues" dxfId="36" priority="6"/>
  </conditionalFormatting>
  <conditionalFormatting sqref="C14">
    <cfRule type="duplicateValues" dxfId="35" priority="3"/>
    <cfRule type="duplicateValues" dxfId="34" priority="4"/>
  </conditionalFormatting>
  <conditionalFormatting sqref="C15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0" priority="1"/>
  </conditionalFormatting>
  <conditionalFormatting sqref="L14">
    <cfRule type="duplicateValues" dxfId="29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28" priority="1"/>
  </conditionalFormatting>
  <conditionalFormatting sqref="L14">
    <cfRule type="duplicateValues" dxfId="27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6" priority="1"/>
  </conditionalFormatting>
  <conditionalFormatting sqref="L14">
    <cfRule type="duplicateValues" dxfId="25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4" priority="1"/>
  </conditionalFormatting>
  <conditionalFormatting sqref="L14">
    <cfRule type="duplicateValues" dxfId="23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2" priority="1"/>
  </conditionalFormatting>
  <conditionalFormatting sqref="L14">
    <cfRule type="duplicateValues" dxfId="21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0" priority="1"/>
    <cfRule type="duplicateValues" dxfId="19" priority="2"/>
  </conditionalFormatting>
  <conditionalFormatting sqref="L14">
    <cfRule type="duplicateValues" dxfId="18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5" priority="1"/>
  </conditionalFormatting>
  <conditionalFormatting sqref="L14">
    <cfRule type="duplicateValues" dxfId="14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3" priority="1"/>
  </conditionalFormatting>
  <conditionalFormatting sqref="L14">
    <cfRule type="duplicateValues" dxfId="12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11" priority="1"/>
  </conditionalFormatting>
  <conditionalFormatting sqref="L14">
    <cfRule type="duplicateValues" dxfId="10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9" priority="1"/>
  </conditionalFormatting>
  <conditionalFormatting sqref="L14">
    <cfRule type="duplicateValues" dxfId="8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7" priority="1"/>
  </conditionalFormatting>
  <conditionalFormatting sqref="L14">
    <cfRule type="duplicateValues" dxfId="6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" priority="1"/>
  </conditionalFormatting>
  <conditionalFormatting sqref="L14">
    <cfRule type="duplicateValues" dxfId="4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" priority="1"/>
  </conditionalFormatting>
  <conditionalFormatting sqref="L14">
    <cfRule type="duplicateValues" dxfId="2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" priority="1"/>
  </conditionalFormatting>
  <conditionalFormatting sqref="L1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results40</vt:lpstr>
      <vt:lpstr>results271</vt:lpstr>
      <vt:lpstr>results421</vt:lpstr>
      <vt:lpstr>results465</vt:lpstr>
      <vt:lpstr>results611</vt:lpstr>
      <vt:lpstr>results614</vt:lpstr>
      <vt:lpstr>results688</vt:lpstr>
      <vt:lpstr>results735</vt:lpstr>
      <vt:lpstr>results850</vt:lpstr>
      <vt:lpstr>results901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2026-10-16T20:02:08Z</dcterms:modified>
</cp:coreProperties>
</file>