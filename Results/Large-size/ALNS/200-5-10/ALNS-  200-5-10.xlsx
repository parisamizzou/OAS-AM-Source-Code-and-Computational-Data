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200-5-10/"/>
    </mc:Choice>
  </mc:AlternateContent>
  <xr:revisionPtr revIDLastSave="0" documentId="13_ncr:1_{D1BC89A3-A958-A04E-9C03-4EFFFA4CA3C0}" xr6:coauthVersionLast="47" xr6:coauthVersionMax="47" xr10:uidLastSave="{00000000-0000-0000-0000-000000000000}"/>
  <bookViews>
    <workbookView xWindow="0" yWindow="760" windowWidth="34560" windowHeight="20500" tabRatio="773" activeTab="10" xr2:uid="{41E620E7-D6DF-9342-B452-EA60AB3B07C5}"/>
  </bookViews>
  <sheets>
    <sheet name="Summary" sheetId="68" r:id="rId1"/>
    <sheet name="results158" sheetId="58" r:id="rId2"/>
    <sheet name="results174" sheetId="69" r:id="rId3"/>
    <sheet name="results242" sheetId="70" r:id="rId4"/>
    <sheet name="results315" sheetId="71" r:id="rId5"/>
    <sheet name="results465" sheetId="72" r:id="rId6"/>
    <sheet name="results712" sheetId="76" r:id="rId7"/>
    <sheet name="results858" sheetId="77" r:id="rId8"/>
    <sheet name="results945" sheetId="78" r:id="rId9"/>
    <sheet name="results965" sheetId="73" r:id="rId10"/>
    <sheet name="results971" sheetId="7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8" l="1"/>
  <c r="I14" i="58" s="1"/>
  <c r="D14" i="69"/>
  <c r="J14" i="69" s="1"/>
  <c r="D14" i="70"/>
  <c r="I14" i="70" s="1"/>
  <c r="D14" i="71"/>
  <c r="K14" i="71" s="1"/>
  <c r="D14" i="72"/>
  <c r="K14" i="72" s="1"/>
  <c r="D14" i="76"/>
  <c r="J14" i="76" s="1"/>
  <c r="D14" i="77"/>
  <c r="K14" i="77" s="1"/>
  <c r="D14" i="78"/>
  <c r="K14" i="78" s="1"/>
  <c r="D14" i="73"/>
  <c r="J14" i="73" s="1"/>
  <c r="T14" i="74"/>
  <c r="AA14" i="74" s="1"/>
  <c r="D14" i="74"/>
  <c r="J14" i="74" s="1"/>
  <c r="K14" i="58" l="1"/>
  <c r="E14" i="58"/>
  <c r="H14" i="58"/>
  <c r="J14" i="58"/>
  <c r="G14" i="58"/>
  <c r="F14" i="58"/>
  <c r="F14" i="69"/>
  <c r="H14" i="69"/>
  <c r="I14" i="69"/>
  <c r="K14" i="69"/>
  <c r="G14" i="69"/>
  <c r="E14" i="69"/>
  <c r="G14" i="70"/>
  <c r="E14" i="70"/>
  <c r="F14" i="70"/>
  <c r="K14" i="70"/>
  <c r="J14" i="70"/>
  <c r="H14" i="70"/>
  <c r="E14" i="71"/>
  <c r="F14" i="71"/>
  <c r="G14" i="71"/>
  <c r="H14" i="71"/>
  <c r="I14" i="71"/>
  <c r="J14" i="71"/>
  <c r="E14" i="72"/>
  <c r="F14" i="72"/>
  <c r="G14" i="72"/>
  <c r="H14" i="72"/>
  <c r="I14" i="72"/>
  <c r="J14" i="72"/>
  <c r="E14" i="76"/>
  <c r="F14" i="76"/>
  <c r="G14" i="76"/>
  <c r="H14" i="76"/>
  <c r="I14" i="76"/>
  <c r="K14" i="76"/>
  <c r="G14" i="77"/>
  <c r="F14" i="77"/>
  <c r="H14" i="77"/>
  <c r="J14" i="77"/>
  <c r="E14" i="77"/>
  <c r="I14" i="77"/>
  <c r="E14" i="78"/>
  <c r="G14" i="78"/>
  <c r="F14" i="78"/>
  <c r="H14" i="78"/>
  <c r="J14" i="78"/>
  <c r="I14" i="78"/>
  <c r="E14" i="73"/>
  <c r="G14" i="73"/>
  <c r="K14" i="73"/>
  <c r="I14" i="73"/>
  <c r="F14" i="73"/>
  <c r="H14" i="73"/>
  <c r="I14" i="74"/>
  <c r="W14" i="74"/>
  <c r="G14" i="74"/>
  <c r="X14" i="74"/>
  <c r="E14" i="74"/>
  <c r="F14" i="74"/>
  <c r="H14" i="74"/>
  <c r="K14" i="74"/>
  <c r="U14" i="74"/>
  <c r="V14" i="74"/>
  <c r="Y14" i="74"/>
  <c r="Z14" i="74"/>
  <c r="L14" i="74" l="1"/>
  <c r="N14" i="74" s="1"/>
  <c r="L14" i="73"/>
  <c r="S14" i="73" s="1"/>
  <c r="L14" i="78"/>
  <c r="O14" i="78" s="1"/>
  <c r="L14" i="77"/>
  <c r="P14" i="77" s="1"/>
  <c r="L14" i="76"/>
  <c r="L14" i="72"/>
  <c r="M14" i="72" s="1"/>
  <c r="L14" i="71"/>
  <c r="Q14" i="71" s="1"/>
  <c r="L14" i="70"/>
  <c r="L14" i="69"/>
  <c r="T14" i="69"/>
  <c r="T14" i="70"/>
  <c r="T14" i="71"/>
  <c r="T14" i="72"/>
  <c r="T14" i="76"/>
  <c r="U14" i="76" s="1"/>
  <c r="T14" i="77"/>
  <c r="Y14" i="77" s="1"/>
  <c r="T14" i="78"/>
  <c r="X14" i="78" s="1"/>
  <c r="T14" i="73"/>
  <c r="Z14" i="73" s="1"/>
  <c r="O14" i="69"/>
  <c r="M14" i="69"/>
  <c r="P14" i="69"/>
  <c r="N14" i="69"/>
  <c r="S14" i="69"/>
  <c r="Q14" i="69"/>
  <c r="R14" i="69"/>
  <c r="AA14" i="69"/>
  <c r="Z14" i="69"/>
  <c r="V14" i="69"/>
  <c r="Y14" i="69"/>
  <c r="X14" i="69"/>
  <c r="U14" i="69"/>
  <c r="W14" i="69"/>
  <c r="M14" i="70"/>
  <c r="R14" i="70"/>
  <c r="Q14" i="70"/>
  <c r="O14" i="70"/>
  <c r="S14" i="70"/>
  <c r="P14" i="70"/>
  <c r="N14" i="70"/>
  <c r="AA14" i="70"/>
  <c r="Z14" i="70"/>
  <c r="Y14" i="70"/>
  <c r="X14" i="70"/>
  <c r="V14" i="70"/>
  <c r="U14" i="70"/>
  <c r="W14" i="70"/>
  <c r="AA14" i="71"/>
  <c r="W14" i="71"/>
  <c r="Z14" i="71"/>
  <c r="V14" i="71"/>
  <c r="Y14" i="71"/>
  <c r="U14" i="71"/>
  <c r="X14" i="71"/>
  <c r="M14" i="71"/>
  <c r="R14" i="71"/>
  <c r="P14" i="71"/>
  <c r="N14" i="71"/>
  <c r="S14" i="72"/>
  <c r="R14" i="72"/>
  <c r="Q14" i="72"/>
  <c r="P14" i="72"/>
  <c r="O14" i="72"/>
  <c r="N14" i="72"/>
  <c r="AA14" i="72"/>
  <c r="Z14" i="72"/>
  <c r="Y14" i="72"/>
  <c r="X14" i="72"/>
  <c r="W14" i="72"/>
  <c r="V14" i="72"/>
  <c r="U14" i="72"/>
  <c r="S14" i="76"/>
  <c r="R14" i="76"/>
  <c r="Q14" i="76"/>
  <c r="P14" i="76"/>
  <c r="N14" i="76"/>
  <c r="M14" i="76"/>
  <c r="O14" i="76"/>
  <c r="V14" i="76"/>
  <c r="O14" i="77"/>
  <c r="M14" i="77"/>
  <c r="P14" i="78"/>
  <c r="AA14" i="78"/>
  <c r="Z14" i="78"/>
  <c r="Y14" i="78"/>
  <c r="U14" i="78"/>
  <c r="W14" i="78"/>
  <c r="V14" i="78"/>
  <c r="U6" i="68" a="1"/>
  <c r="K4" i="68" a="1"/>
  <c r="G7" i="68" a="1"/>
  <c r="L8" i="68" a="1"/>
  <c r="H4" i="68" a="1"/>
  <c r="I6" i="68" a="1"/>
  <c r="Y4" i="68" a="1"/>
  <c r="C9" i="68" a="1"/>
  <c r="D6" i="68" a="1"/>
  <c r="W6" i="68" a="1"/>
  <c r="D8" i="68" a="1"/>
  <c r="I4" i="68" a="1"/>
  <c r="W5" i="68" a="1"/>
  <c r="Q6" i="68" a="1"/>
  <c r="D12" i="68" a="1"/>
  <c r="S10" i="68" a="1"/>
  <c r="I10" i="68" a="1"/>
  <c r="G12" i="68" a="1"/>
  <c r="K9" i="68" a="1"/>
  <c r="T6" i="68" a="1"/>
  <c r="T4" i="68" a="1"/>
  <c r="C6" i="68" a="1"/>
  <c r="Y11" i="68" a="1"/>
  <c r="K6" i="68" a="1"/>
  <c r="I8" i="68" a="1"/>
  <c r="I5" i="68" a="1"/>
  <c r="K5" i="68" a="1"/>
  <c r="V12" i="68" a="1"/>
  <c r="U7" i="68" a="1"/>
  <c r="L5" i="68" a="1"/>
  <c r="F6" i="68" a="1"/>
  <c r="O4" i="68" a="1"/>
  <c r="T5" i="68" a="1"/>
  <c r="D4" i="68" a="1"/>
  <c r="D7" i="68" a="1"/>
  <c r="D10" i="68" a="1"/>
  <c r="X5" i="68" a="1"/>
  <c r="L7" i="68" a="1"/>
  <c r="Q7" i="68" a="1"/>
  <c r="E10" i="68" a="1"/>
  <c r="U12" i="68" a="1"/>
  <c r="K10" i="68" a="1"/>
  <c r="I7" i="68" a="1"/>
  <c r="E12" i="68" a="1"/>
  <c r="O8" i="68" a="1"/>
  <c r="W4" i="68" a="1"/>
  <c r="X7" i="68" a="1"/>
  <c r="V10" i="68" a="1"/>
  <c r="N7" i="68" a="1"/>
  <c r="H12" i="68" a="1"/>
  <c r="I12" i="68" a="1"/>
  <c r="T12" i="68" a="1"/>
  <c r="N10" i="68" a="1"/>
  <c r="F4" i="68" a="1"/>
  <c r="V6" i="68" a="1"/>
  <c r="S5" i="68" a="1"/>
  <c r="N8" i="68" a="1"/>
  <c r="S6" i="68" a="1"/>
  <c r="T10" i="68" a="1"/>
  <c r="K12" i="68" a="1"/>
  <c r="G4" i="68" a="1"/>
  <c r="O7" i="68" a="1"/>
  <c r="U4" i="68" a="1"/>
  <c r="C10" i="68" a="1"/>
  <c r="V7" i="68" a="1"/>
  <c r="Y5" i="68" a="1"/>
  <c r="Q5" i="68" a="1"/>
  <c r="P4" i="68" a="1"/>
  <c r="V5" i="68" a="1"/>
  <c r="U5" i="68" a="1"/>
  <c r="S11" i="68" a="1"/>
  <c r="G6" i="68" a="1"/>
  <c r="W10" i="68" a="1"/>
  <c r="X12" i="68" a="1"/>
  <c r="W7" i="68" a="1"/>
  <c r="E11" i="68" a="1"/>
  <c r="C8" i="68" a="1"/>
  <c r="O10" i="68" a="1"/>
  <c r="T7" i="68" a="1"/>
  <c r="O5" i="68" a="1"/>
  <c r="N4" i="68" a="1"/>
  <c r="G8" i="68" a="1"/>
  <c r="F8" i="68" a="1"/>
  <c r="C12" i="68" a="1"/>
  <c r="D5" i="68" a="1"/>
  <c r="M12" i="68" a="1"/>
  <c r="Y7" i="68" a="1"/>
  <c r="S7" i="68" a="1"/>
  <c r="D11" i="68" a="1"/>
  <c r="K11" i="68" a="1"/>
  <c r="W12" i="68" a="1"/>
  <c r="E4" i="68" a="1"/>
  <c r="E5" i="68" a="1"/>
  <c r="H9" i="68" a="1"/>
  <c r="L6" i="68" a="1"/>
  <c r="S8" i="68" a="1"/>
  <c r="V4" i="68" a="1"/>
  <c r="F11" i="68" a="1"/>
  <c r="M5" i="68" a="1"/>
  <c r="I11" i="68" a="1"/>
  <c r="K8" i="68" a="1"/>
  <c r="U8" i="68" a="1"/>
  <c r="F7" i="68" a="1"/>
  <c r="G5" i="68" a="1"/>
  <c r="H7" i="68" a="1"/>
  <c r="Y6" i="68" a="1"/>
  <c r="K7" i="68" a="1"/>
  <c r="L4" i="68" a="1"/>
  <c r="N5" i="68" a="1"/>
  <c r="P5" i="68" a="1"/>
  <c r="Y12" i="68" a="1"/>
  <c r="M8" i="68" a="1"/>
  <c r="G11" i="68" a="1"/>
  <c r="G10" i="68" a="1"/>
  <c r="E7" i="68" a="1"/>
  <c r="S9" i="68" a="1"/>
  <c r="Y10" i="68" a="1"/>
  <c r="H11" i="68" a="1"/>
  <c r="M4" i="68" a="1"/>
  <c r="S12" i="68" a="1"/>
  <c r="S4" i="68" a="1"/>
  <c r="C5" i="68" a="1"/>
  <c r="C11" i="68" a="1"/>
  <c r="M6" i="68" a="1"/>
  <c r="H8" i="68" a="1"/>
  <c r="H6" i="68" a="1"/>
  <c r="G9" i="68" a="1"/>
  <c r="H10" i="68" a="1"/>
  <c r="T8" i="68" a="1"/>
  <c r="C7" i="68" a="1"/>
  <c r="X4" i="68" a="1"/>
  <c r="F5" i="68" a="1"/>
  <c r="P7" i="68" a="1"/>
  <c r="M7" i="68" a="1"/>
  <c r="X6" i="68" a="1"/>
  <c r="E6" i="68" a="1"/>
  <c r="X10" i="68" a="1"/>
  <c r="C4" i="68" a="1"/>
  <c r="H5" i="68" a="1"/>
  <c r="Q8" i="68" a="1"/>
  <c r="E8" i="68" a="1"/>
  <c r="Q4" i="68" a="1"/>
  <c r="O6" i="68" a="1"/>
  <c r="P6" i="68" a="1"/>
  <c r="F10" i="68" a="1"/>
  <c r="K12" i="68" l="1"/>
  <c r="R14" i="74"/>
  <c r="S14" i="74"/>
  <c r="M14" i="74"/>
  <c r="P14" i="74"/>
  <c r="X2" i="74" s="1"/>
  <c r="O14" i="74"/>
  <c r="Q14" i="74"/>
  <c r="H2" i="74" s="1"/>
  <c r="M14" i="73"/>
  <c r="P14" i="73"/>
  <c r="O14" i="73"/>
  <c r="R14" i="73"/>
  <c r="Q14" i="73"/>
  <c r="N14" i="73"/>
  <c r="K11" i="68"/>
  <c r="N14" i="78"/>
  <c r="Q14" i="78"/>
  <c r="R14" i="78"/>
  <c r="S14" i="78"/>
  <c r="M14" i="78"/>
  <c r="K10" i="68"/>
  <c r="Q14" i="77"/>
  <c r="S14" i="77"/>
  <c r="R14" i="77"/>
  <c r="N14" i="77"/>
  <c r="K9" i="68"/>
  <c r="K8" i="68"/>
  <c r="K7" i="68"/>
  <c r="O14" i="71"/>
  <c r="S14" i="71"/>
  <c r="K6" i="68"/>
  <c r="K5" i="68"/>
  <c r="K4" i="68"/>
  <c r="L14" i="58"/>
  <c r="Q14" i="58" s="1"/>
  <c r="T14" i="58"/>
  <c r="S4" i="68"/>
  <c r="S5" i="68"/>
  <c r="S6" i="68"/>
  <c r="S7" i="68"/>
  <c r="W14" i="76"/>
  <c r="X14" i="76"/>
  <c r="AA14" i="76"/>
  <c r="Y14" i="76"/>
  <c r="Z14" i="76"/>
  <c r="S8" i="68"/>
  <c r="V14" i="77"/>
  <c r="AA14" i="77"/>
  <c r="U14" i="77"/>
  <c r="Z14" i="77"/>
  <c r="W14" i="77"/>
  <c r="X14" i="77"/>
  <c r="S9" i="68"/>
  <c r="S10" i="68"/>
  <c r="S11" i="68"/>
  <c r="W14" i="73"/>
  <c r="AA14" i="73"/>
  <c r="Y14" i="73"/>
  <c r="V14" i="73"/>
  <c r="X14" i="73"/>
  <c r="U14" i="73"/>
  <c r="R14" i="58"/>
  <c r="S14" i="58"/>
  <c r="P14" i="58"/>
  <c r="N14" i="58"/>
  <c r="O14" i="58"/>
  <c r="M14" i="58"/>
  <c r="AA14" i="58"/>
  <c r="U14" i="58"/>
  <c r="Z14" i="58"/>
  <c r="V14" i="58"/>
  <c r="Y14" i="58"/>
  <c r="X14" i="58"/>
  <c r="W14" i="58"/>
  <c r="S12" i="68"/>
  <c r="C8" i="68"/>
  <c r="P2" i="77"/>
  <c r="H2" i="77"/>
  <c r="C9" i="68"/>
  <c r="Z2" i="78"/>
  <c r="C10" i="68"/>
  <c r="C11" i="68"/>
  <c r="C12" i="68"/>
  <c r="Y12" i="68"/>
  <c r="I12" i="68"/>
  <c r="U12" i="68"/>
  <c r="T12" i="68"/>
  <c r="V12" i="68"/>
  <c r="H12" i="68"/>
  <c r="G12" i="68"/>
  <c r="W12" i="68"/>
  <c r="X12" i="68"/>
  <c r="E12" i="68"/>
  <c r="D12" i="68"/>
  <c r="M12" i="68"/>
  <c r="J2" i="74"/>
  <c r="I11" i="68"/>
  <c r="E11" i="68"/>
  <c r="D11" i="68"/>
  <c r="Y11" i="68"/>
  <c r="H11" i="68"/>
  <c r="F11" i="68"/>
  <c r="G11" i="68"/>
  <c r="J2" i="73"/>
  <c r="X10" i="68"/>
  <c r="Y10" i="68"/>
  <c r="G10" i="68"/>
  <c r="T10" i="68"/>
  <c r="O10" i="68"/>
  <c r="V10" i="68"/>
  <c r="W10" i="68"/>
  <c r="I10" i="68"/>
  <c r="H10" i="68"/>
  <c r="N10" i="68"/>
  <c r="D10" i="68"/>
  <c r="E10" i="68"/>
  <c r="F10" i="68"/>
  <c r="J2" i="78"/>
  <c r="H9" i="68"/>
  <c r="G9" i="68"/>
  <c r="J2" i="77"/>
  <c r="D8" i="68"/>
  <c r="L8" i="68"/>
  <c r="G8" i="68"/>
  <c r="E8" i="68"/>
  <c r="H8" i="68"/>
  <c r="M8" i="68"/>
  <c r="N8" i="68"/>
  <c r="Q8" i="68"/>
  <c r="I8" i="68"/>
  <c r="U8" i="68"/>
  <c r="O8" i="68"/>
  <c r="T8" i="68"/>
  <c r="F8" i="68"/>
  <c r="J2" i="76"/>
  <c r="C7" i="68"/>
  <c r="C6" i="68"/>
  <c r="C5" i="68"/>
  <c r="C4" i="68"/>
  <c r="F7" i="68"/>
  <c r="H7" i="68"/>
  <c r="I7" i="68"/>
  <c r="V7" i="68"/>
  <c r="D7" i="68"/>
  <c r="G7" i="68"/>
  <c r="P7" i="68"/>
  <c r="Y7" i="68"/>
  <c r="T7" i="68"/>
  <c r="U7" i="68"/>
  <c r="Q7" i="68"/>
  <c r="W7" i="68"/>
  <c r="E7" i="68"/>
  <c r="L7" i="68"/>
  <c r="O7" i="68"/>
  <c r="X7" i="68"/>
  <c r="M7" i="68"/>
  <c r="N7" i="68"/>
  <c r="J2" i="72"/>
  <c r="P6" i="68"/>
  <c r="U6" i="68"/>
  <c r="D6" i="68"/>
  <c r="Q6" i="68"/>
  <c r="V6" i="68"/>
  <c r="T6" i="68"/>
  <c r="L6" i="68"/>
  <c r="M6" i="68"/>
  <c r="W6" i="68"/>
  <c r="X6" i="68"/>
  <c r="E6" i="68"/>
  <c r="O6" i="68"/>
  <c r="G6" i="68"/>
  <c r="Y6" i="68"/>
  <c r="H6" i="68"/>
  <c r="F6" i="68"/>
  <c r="I6" i="68"/>
  <c r="J2" i="71"/>
  <c r="R2" i="76"/>
  <c r="G5" i="68"/>
  <c r="L5" i="68"/>
  <c r="P5" i="68"/>
  <c r="Y5" i="68"/>
  <c r="O5" i="68"/>
  <c r="H5" i="68"/>
  <c r="M5" i="68"/>
  <c r="D5" i="68"/>
  <c r="N5" i="68"/>
  <c r="E5" i="68"/>
  <c r="T5" i="68"/>
  <c r="V5" i="68"/>
  <c r="I5" i="68"/>
  <c r="F5" i="68"/>
  <c r="U5" i="68"/>
  <c r="W5" i="68"/>
  <c r="Q5" i="68"/>
  <c r="X5" i="68"/>
  <c r="J2" i="70"/>
  <c r="W4" i="68"/>
  <c r="X4" i="68"/>
  <c r="Y4" i="68"/>
  <c r="D4" i="68"/>
  <c r="G4" i="68"/>
  <c r="M4" i="68"/>
  <c r="N4" i="68"/>
  <c r="Q4" i="68"/>
  <c r="L4" i="68"/>
  <c r="T4" i="68"/>
  <c r="U4" i="68"/>
  <c r="E4" i="68"/>
  <c r="F4" i="68"/>
  <c r="H4" i="68"/>
  <c r="P4" i="68"/>
  <c r="O4" i="68"/>
  <c r="V4" i="68"/>
  <c r="I4" i="68"/>
  <c r="J2" i="69"/>
  <c r="P2" i="78"/>
  <c r="Z2" i="69"/>
  <c r="H2" i="76"/>
  <c r="X2" i="78"/>
  <c r="P2" i="76"/>
  <c r="Z2" i="73"/>
  <c r="R2" i="72"/>
  <c r="X2" i="76"/>
  <c r="H2" i="78"/>
  <c r="Z2" i="76"/>
  <c r="P2" i="72"/>
  <c r="H2" i="72"/>
  <c r="R2" i="74"/>
  <c r="X2" i="72"/>
  <c r="Z2" i="72"/>
  <c r="X2" i="70"/>
  <c r="P2" i="73"/>
  <c r="R2" i="73"/>
  <c r="R2" i="70"/>
  <c r="Z2" i="74"/>
  <c r="X2" i="71"/>
  <c r="H2" i="73"/>
  <c r="Z2" i="71"/>
  <c r="H2" i="70"/>
  <c r="P2" i="70"/>
  <c r="R2" i="71"/>
  <c r="X2" i="69"/>
  <c r="Z2" i="70"/>
  <c r="P2" i="71"/>
  <c r="H2" i="71"/>
  <c r="R2" i="69"/>
  <c r="H2" i="69"/>
  <c r="P2" i="69"/>
  <c r="N6" i="68" a="1"/>
  <c r="Y8" i="68" a="1"/>
  <c r="L12" i="68" a="1"/>
  <c r="L11" i="68" a="1"/>
  <c r="T9" i="68" a="1"/>
  <c r="V8" i="68" a="1"/>
  <c r="U9" i="68" a="1"/>
  <c r="Q9" i="68" a="1"/>
  <c r="I9" i="68" a="1"/>
  <c r="O12" i="68" a="1"/>
  <c r="O9" i="68" a="1"/>
  <c r="D9" i="68" a="1"/>
  <c r="V9" i="68" a="1"/>
  <c r="N12" i="68" a="1"/>
  <c r="M9" i="68" a="1"/>
  <c r="X11" i="68" a="1"/>
  <c r="P9" i="68" a="1"/>
  <c r="Q10" i="68" a="1"/>
  <c r="Q11" i="68" a="1"/>
  <c r="W9" i="68" a="1"/>
  <c r="F12" i="68" a="1"/>
  <c r="F9" i="68" a="1"/>
  <c r="U10" i="68" a="1"/>
  <c r="P12" i="68" a="1"/>
  <c r="K3" i="68" a="1"/>
  <c r="C3" i="68" a="1"/>
  <c r="P8" i="68" a="1"/>
  <c r="N9" i="68" a="1"/>
  <c r="M11" i="68" a="1"/>
  <c r="E9" i="68" a="1"/>
  <c r="P11" i="68" a="1"/>
  <c r="W8" i="68" a="1"/>
  <c r="V11" i="68" a="1"/>
  <c r="S3" i="68" a="1"/>
  <c r="X8" i="68" a="1"/>
  <c r="P10" i="68" a="1"/>
  <c r="Y9" i="68" a="1"/>
  <c r="O11" i="68" a="1"/>
  <c r="M10" i="68" a="1"/>
  <c r="Q12" i="68" a="1"/>
  <c r="L10" i="68" a="1"/>
  <c r="T11" i="68" a="1"/>
  <c r="N11" i="68" a="1"/>
  <c r="W11" i="68" a="1"/>
  <c r="L9" i="68" a="1"/>
  <c r="X9" i="68" a="1"/>
  <c r="U11" i="68" a="1"/>
  <c r="P2" i="74" l="1"/>
  <c r="P12" i="68"/>
  <c r="N12" i="68"/>
  <c r="O12" i="68"/>
  <c r="L12" i="68"/>
  <c r="Q12" i="68"/>
  <c r="P11" i="68"/>
  <c r="Q11" i="68"/>
  <c r="N11" i="68"/>
  <c r="M11" i="68"/>
  <c r="O11" i="68"/>
  <c r="L11" i="68"/>
  <c r="X2" i="73"/>
  <c r="P10" i="68"/>
  <c r="M10" i="68"/>
  <c r="L10" i="68"/>
  <c r="N6" i="68"/>
  <c r="K3" i="68"/>
  <c r="S3" i="68"/>
  <c r="Y8" i="68"/>
  <c r="X8" i="68"/>
  <c r="W8" i="68"/>
  <c r="V8" i="68"/>
  <c r="T11" i="68"/>
  <c r="W11" i="68"/>
  <c r="U11" i="68"/>
  <c r="X11" i="68"/>
  <c r="V11" i="68"/>
  <c r="P8" i="68"/>
  <c r="X2" i="77"/>
  <c r="R2" i="78"/>
  <c r="D9" i="68"/>
  <c r="Q9" i="68"/>
  <c r="F9" i="68"/>
  <c r="N9" i="68"/>
  <c r="M9" i="68"/>
  <c r="P9" i="68"/>
  <c r="O9" i="68"/>
  <c r="E9" i="68"/>
  <c r="Y9" i="68"/>
  <c r="W9" i="68"/>
  <c r="T9" i="68"/>
  <c r="I9" i="68"/>
  <c r="X9" i="68"/>
  <c r="U9" i="68"/>
  <c r="L9" i="68"/>
  <c r="V9" i="68"/>
  <c r="Z2" i="77"/>
  <c r="R2" i="77"/>
  <c r="U10" i="68"/>
  <c r="Q10" i="68"/>
  <c r="F12" i="68"/>
  <c r="C3" i="68"/>
  <c r="I3" i="68" a="1"/>
  <c r="M3" i="68" a="1"/>
  <c r="P3" i="68" a="1"/>
  <c r="O3" i="68" a="1"/>
  <c r="U3" i="68" a="1"/>
  <c r="W3" i="68" a="1"/>
  <c r="T3" i="68" a="1"/>
  <c r="N3" i="68" a="1"/>
  <c r="X3" i="68" a="1"/>
  <c r="L3" i="68" a="1"/>
  <c r="Y3" i="68" a="1"/>
  <c r="G3" i="68" a="1"/>
  <c r="H3" i="68" a="1"/>
  <c r="E3" i="68" a="1"/>
  <c r="F3" i="68" a="1"/>
  <c r="Q3" i="68" a="1"/>
  <c r="D3" i="68" a="1"/>
  <c r="V3" i="68" a="1"/>
  <c r="S13" i="68" l="1"/>
  <c r="Z13" i="68" s="1"/>
  <c r="S16" i="68"/>
  <c r="K13" i="68"/>
  <c r="R13" i="68" s="1"/>
  <c r="K16" i="68"/>
  <c r="C13" i="68"/>
  <c r="J13" i="68" s="1"/>
  <c r="C16" i="68"/>
  <c r="L3" i="68"/>
  <c r="L13" i="68" s="1"/>
  <c r="L16" i="68" s="1"/>
  <c r="X3" i="68"/>
  <c r="X13" i="68" s="1"/>
  <c r="M3" i="68"/>
  <c r="M13" i="68" s="1"/>
  <c r="O3" i="68"/>
  <c r="O13" i="68" s="1"/>
  <c r="W3" i="68"/>
  <c r="W13" i="68" s="1"/>
  <c r="E3" i="68"/>
  <c r="E13" i="68" s="1"/>
  <c r="F3" i="68"/>
  <c r="F13" i="68" s="1"/>
  <c r="N3" i="68"/>
  <c r="N13" i="68" s="1"/>
  <c r="P3" i="68"/>
  <c r="P13" i="68" s="1"/>
  <c r="G3" i="68"/>
  <c r="G13" i="68" s="1"/>
  <c r="Y3" i="68"/>
  <c r="Y13" i="68" s="1"/>
  <c r="Q3" i="68"/>
  <c r="Q13" i="68" s="1"/>
  <c r="H3" i="68"/>
  <c r="H13" i="68" s="1"/>
  <c r="T3" i="68"/>
  <c r="T13" i="68" s="1"/>
  <c r="T16" i="68" s="1"/>
  <c r="I3" i="68"/>
  <c r="I13" i="68" s="1"/>
  <c r="U3" i="68"/>
  <c r="U13" i="68" s="1"/>
  <c r="D3" i="68"/>
  <c r="D13" i="68" s="1"/>
  <c r="D16" i="68" s="1"/>
  <c r="V3" i="68"/>
  <c r="V13" i="68" s="1"/>
  <c r="J2" i="58"/>
  <c r="R2" i="58"/>
  <c r="H2" i="58"/>
  <c r="Z2" i="58"/>
  <c r="P2" i="58"/>
  <c r="X2" i="58"/>
  <c r="S14" i="68" l="1"/>
  <c r="K14" i="68"/>
  <c r="V14" i="68"/>
  <c r="U14" i="68"/>
  <c r="N14" i="68"/>
  <c r="T14" i="68"/>
  <c r="Q14" i="68"/>
  <c r="Y14" i="68"/>
  <c r="P14" i="68"/>
  <c r="W14" i="68"/>
  <c r="O14" i="68"/>
  <c r="M14" i="68"/>
  <c r="X14" i="68"/>
  <c r="L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F10" i="23" a="1"/>
  <c r="G4" i="23" a="1"/>
  <c r="E4" i="23" a="1"/>
  <c r="E12" i="23" a="1"/>
  <c r="D12" i="23" a="1"/>
  <c r="G7" i="23" a="1"/>
  <c r="G12" i="23" a="1"/>
  <c r="F4" i="23" a="1"/>
  <c r="G8" i="23" a="1"/>
  <c r="E8" i="23" a="1"/>
  <c r="E10" i="23" a="1"/>
  <c r="D13" i="23" a="1"/>
  <c r="F9" i="23" a="1"/>
  <c r="D9" i="23" a="1"/>
  <c r="G5" i="23" a="1"/>
  <c r="D8" i="23" a="1"/>
  <c r="D7" i="23" a="1"/>
  <c r="E13" i="23" a="1"/>
  <c r="E11" i="23" a="1"/>
  <c r="E6" i="23" a="1"/>
  <c r="F12" i="23" a="1"/>
  <c r="D5" i="23" a="1"/>
  <c r="F7" i="23" a="1"/>
  <c r="G6" i="23" a="1"/>
  <c r="F8" i="23" a="1"/>
  <c r="G9" i="23" a="1"/>
  <c r="F6" i="23" a="1"/>
  <c r="G10" i="23" a="1"/>
  <c r="D11" i="23" a="1"/>
  <c r="G13" i="23" a="1"/>
  <c r="D10" i="23" a="1"/>
  <c r="E7" i="23" a="1"/>
  <c r="G11" i="23" a="1"/>
  <c r="F11" i="23" a="1"/>
  <c r="E9" i="23" a="1"/>
  <c r="E5" i="23" a="1"/>
  <c r="D4" i="23" a="1"/>
  <c r="F5" i="23" a="1"/>
  <c r="F13" i="23" a="1"/>
  <c r="D6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<sst xmlns="http://schemas.openxmlformats.org/spreadsheetml/2006/main" count="677" uniqueCount="22">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</sst>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zoomScale="111" zoomScaleNormal="85" workbookViewId="0">
      <selection activeCell="A16" sqref="A16:XFD16"/>
    </sheetView>
  </sheetViews>
  <sheetFormatPr baseColWidth="10" defaultColWidth="11.5" defaultRowHeight="16" x14ac:dyDescent="0.2"/>
  <cols>
    <col min="1" max="1" width="3.5" customWidth="1"/>
    <col min="2" max="2" width="11.6640625" style="1" bestFit="1" customWidth="1"/>
    <col min="3" max="4" width="9.6640625" bestFit="1" customWidth="1"/>
    <col min="5" max="5" width="9.33203125" bestFit="1" customWidth="1"/>
    <col min="6" max="6" width="18.5" bestFit="1" customWidth="1"/>
    <col min="7" max="7" width="19.5" bestFit="1" customWidth="1"/>
    <col min="8" max="8" width="25" bestFit="1" customWidth="1"/>
    <col min="9" max="9" width="18.1640625" bestFit="1" customWidth="1"/>
    <col min="10" max="10" width="11.6640625" bestFit="1" customWidth="1"/>
    <col min="11" max="11" width="8.5" bestFit="1" customWidth="1"/>
    <col min="12" max="12" width="9.33203125" bestFit="1" customWidth="1"/>
    <col min="13" max="13" width="9" bestFit="1" customWidth="1"/>
    <col min="14" max="14" width="17.83203125" bestFit="1" customWidth="1"/>
    <col min="15" max="15" width="12.33203125" bestFit="1" customWidth="1"/>
    <col min="16" max="16" width="24" bestFit="1" customWidth="1"/>
    <col min="17" max="17" width="17.5" bestFit="1" customWidth="1"/>
    <col min="18" max="18" width="7.33203125" bestFit="1" customWidth="1"/>
    <col min="19" max="19" width="8.5" bestFit="1" customWidth="1"/>
    <col min="20" max="20" width="9.33203125" bestFit="1" customWidth="1"/>
    <col min="21" max="21" width="9" bestFit="1" customWidth="1"/>
    <col min="22" max="22" width="17.83203125" bestFit="1" customWidth="1"/>
    <col min="23" max="23" width="12.33203125" bestFit="1" customWidth="1"/>
    <col min="24" max="24" width="24" bestFit="1" customWidth="1"/>
    <col min="25" max="25" width="17.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158</v>
      </c>
      <c r="C3" s="5" cm="1">
        <f t="array" aca="1" ref="C3" ca="1">INDIRECT("'results" &amp; $B3 &amp; "'!D$14")</f>
        <v>2654324.4085821752</v>
      </c>
      <c r="D3" s="33" cm="1">
        <f t="array" aca="1" ref="D3" ca="1">INDIRECT("'results" &amp; $B3 &amp; "'!E$14")</f>
        <v>359.39923076926226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62.5</v>
      </c>
      <c r="G3" s="5" cm="1">
        <f t="array" aca="1" ref="G3" ca="1">INDIRECT("'results" &amp; $B3 &amp; "'!H$14")</f>
        <v>1591.3403416553072</v>
      </c>
      <c r="H3" s="33" cm="1">
        <f t="array" aca="1" ref="H3" ca="1">INDIRECT("'results" &amp; $B3 &amp; "'!I$14")</f>
        <v>43.556476069065852</v>
      </c>
      <c r="I3" s="5" cm="1">
        <f t="array" aca="1" ref="I3" ca="1">INDIRECT("'results" &amp; $B3 &amp; "'!J$14")</f>
        <v>6966.3759152564107</v>
      </c>
      <c r="J3" s="5"/>
      <c r="K3" s="5" cm="1">
        <f t="array" aca="1" ref="K3" ca="1">INDIRECT("'results" &amp; $B3 &amp; "'!L$14")</f>
        <v>3214479.5919303992</v>
      </c>
      <c r="L3" s="5" cm="1">
        <f t="array" aca="1" ref="L3" ca="1">INDIRECT("'results" &amp; $B3 &amp; "'!M$14")</f>
        <v>321.41769230768728</v>
      </c>
      <c r="M3" s="5" cm="1">
        <f t="array" aca="1" ref="M3" ca="1">INDIRECT("'results" &amp; $B3 &amp; "'!N$14")</f>
        <v>12</v>
      </c>
      <c r="N3" s="5" cm="1">
        <f t="array" aca="1" ref="N3" ca="1">INDIRECT("'results" &amp; $B3 &amp; "'!O$14")</f>
        <v>35.5</v>
      </c>
      <c r="O3" s="5" cm="1">
        <f t="array" aca="1" ref="O3" ca="1">INDIRECT("'results" &amp; $B3 &amp; "'!P$14")</f>
        <v>829.0877419972328</v>
      </c>
      <c r="P3" s="5" cm="1">
        <f t="array" aca="1" ref="P3" ca="1">INDIRECT("'results" &amp; $B3 &amp; "'!Q$14")</f>
        <v>21.052328761228953</v>
      </c>
      <c r="Q3" s="5" cm="1">
        <f t="array" aca="1" ref="Q3" ca="1">INDIRECT("'results" &amp; $B3 &amp; "'!R$14")</f>
        <v>5493.8283424598758</v>
      </c>
      <c r="R3" s="5"/>
      <c r="S3" s="5" cm="1">
        <f t="array" aca="1" ref="S3" ca="1">INDIRECT("'results" &amp; $B3 &amp; "'!T$14")</f>
        <v>3075640.7721933508</v>
      </c>
      <c r="T3" s="5" cm="1">
        <f t="array" aca="1" ref="T3" ca="1">INDIRECT("'results" &amp; $B3 &amp; "'!U$14")</f>
        <v>497.06769230766577</v>
      </c>
      <c r="U3" s="5" cm="1">
        <f t="array" aca="1" ref="U3" ca="1">INDIRECT("'results" &amp; $B3 &amp; "'!V$14")</f>
        <v>7</v>
      </c>
      <c r="V3" s="5" cm="1">
        <f t="array" aca="1" ref="V3" ca="1">INDIRECT("'results" &amp; $B3 &amp; "'!W$14")</f>
        <v>41</v>
      </c>
      <c r="W3" s="5" cm="1">
        <f t="array" aca="1" ref="W3" ca="1">INDIRECT("'results" &amp; $B3 &amp; "'!X$14")</f>
        <v>1297.4789938035904</v>
      </c>
      <c r="X3" s="5" cm="1">
        <f t="array" aca="1" ref="X3" ca="1">INDIRECT("'results" &amp; $B3 &amp; "'!Y$14")</f>
        <v>64.926312207081864</v>
      </c>
      <c r="Y3" s="5" cm="1">
        <f t="array" aca="1" ref="Y3" ca="1">INDIRECT("'results" &amp; $B3 &amp; "'!Z$14")</f>
        <v>7045.902915750683</v>
      </c>
      <c r="Z3" s="5"/>
    </row>
    <row r="4" spans="2:26" x14ac:dyDescent="0.2">
      <c r="B4" s="4">
        <v>174</v>
      </c>
      <c r="C4" s="5" cm="1">
        <f t="array" aca="1" ref="C4" ca="1">INDIRECT("'results" &amp; $B4 &amp; "'!D$14")</f>
        <v>2734905.0228198008</v>
      </c>
      <c r="D4" s="33" cm="1">
        <f t="array" aca="1" ref="D4" ca="1">INDIRECT("'results" &amp; $B4 &amp; "'!E$14")</f>
        <v>576.83923076918848</v>
      </c>
      <c r="E4" s="5" cm="1">
        <f t="array" aca="1" ref="E4" ca="1">INDIRECT("'results" &amp; $B4 &amp; "'!F$14")</f>
        <v>9</v>
      </c>
      <c r="F4" s="5" cm="1">
        <f t="array" aca="1" ref="F4" ca="1">INDIRECT("'results" &amp; $B4 &amp; "'!G$14")</f>
        <v>60.5</v>
      </c>
      <c r="G4" s="5" cm="1">
        <f t="array" aca="1" ref="G4" ca="1">INDIRECT("'results" &amp; $B4 &amp; "'!H$14")</f>
        <v>1679.1234501255476</v>
      </c>
      <c r="H4" s="33" cm="1">
        <f t="array" aca="1" ref="H4" ca="1">INDIRECT("'results" &amp; $B4 &amp; "'!I$14")</f>
        <v>48.648208634907441</v>
      </c>
      <c r="I4" s="5" cm="1">
        <f t="array" aca="1" ref="I4" ca="1">INDIRECT("'results" &amp; $B4 &amp; "'!J$14")</f>
        <v>7214.1276304614985</v>
      </c>
      <c r="J4" s="5"/>
      <c r="K4" s="5" cm="1">
        <f t="array" aca="1" ref="K4" ca="1">INDIRECT("'results" &amp; $B4 &amp; "'!L$14")</f>
        <v>3116311.4813169432</v>
      </c>
      <c r="L4" s="5" cm="1">
        <f t="array" aca="1" ref="L4" ca="1">INDIRECT("'results" &amp; $B4 &amp; "'!M$14")</f>
        <v>676.85076923082727</v>
      </c>
      <c r="M4" s="5" cm="1">
        <f t="array" aca="1" ref="M4" ca="1">INDIRECT("'results" &amp; $B4 &amp; "'!N$14")</f>
        <v>10</v>
      </c>
      <c r="N4" s="5" cm="1">
        <f t="array" aca="1" ref="N4" ca="1">INDIRECT("'results" &amp; $B4 &amp; "'!O$14")</f>
        <v>35.5</v>
      </c>
      <c r="O4" s="5" cm="1">
        <f t="array" aca="1" ref="O4" ca="1">INDIRECT("'results" &amp; $B4 &amp; "'!P$14")</f>
        <v>281.37712945412875</v>
      </c>
      <c r="P4" s="5" cm="1">
        <f t="array" aca="1" ref="P4" ca="1">INDIRECT("'results" &amp; $B4 &amp; "'!Q$14")</f>
        <v>23.653904625043083</v>
      </c>
      <c r="Q4" s="5" cm="1">
        <f t="array" aca="1" ref="Q4" ca="1">INDIRECT("'results" &amp; $B4 &amp; "'!R$14")</f>
        <v>4891.9715026341437</v>
      </c>
      <c r="R4" s="5"/>
      <c r="S4" s="5" cm="1">
        <f t="array" aca="1" ref="S4" ca="1">INDIRECT("'results" &amp; $B4 &amp; "'!T$14")</f>
        <v>3094968.1412456548</v>
      </c>
      <c r="T4" s="5" cm="1">
        <f t="array" aca="1" ref="T4" ca="1">INDIRECT("'results" &amp; $B4 &amp; "'!U$14")</f>
        <v>412.65615384613807</v>
      </c>
      <c r="U4" s="5" cm="1">
        <f t="array" aca="1" ref="U4" ca="1">INDIRECT("'results" &amp; $B4 &amp; "'!V$14")</f>
        <v>5</v>
      </c>
      <c r="V4" s="5" cm="1">
        <f t="array" aca="1" ref="V4" ca="1">INDIRECT("'results" &amp; $B4 &amp; "'!W$14")</f>
        <v>35.5</v>
      </c>
      <c r="W4" s="5" cm="1">
        <f t="array" aca="1" ref="W4" ca="1">INDIRECT("'results" &amp; $B4 &amp; "'!X$14")</f>
        <v>631.71089638895785</v>
      </c>
      <c r="X4" s="5" cm="1">
        <f t="array" aca="1" ref="X4" ca="1">INDIRECT("'results" &amp; $B4 &amp; "'!Y$14")</f>
        <v>72.434247090732526</v>
      </c>
      <c r="Y4" s="5" cm="1">
        <f t="array" aca="1" ref="Y4" ca="1">INDIRECT("'results" &amp; $B4 &amp; "'!Z$14")</f>
        <v>6205.0557415241183</v>
      </c>
      <c r="Z4" s="5"/>
    </row>
    <row r="5" spans="2:26" x14ac:dyDescent="0.2">
      <c r="B5" s="4">
        <v>242</v>
      </c>
      <c r="C5" s="5" cm="1">
        <f t="array" aca="1" ref="C5" ca="1">INDIRECT("'results" &amp; $B5 &amp; "'!D$14")</f>
        <v>2646159.4544653222</v>
      </c>
      <c r="D5" s="33" cm="1">
        <f t="array" aca="1" ref="D5" ca="1">INDIRECT("'results" &amp; $B5 &amp; "'!E$14")</f>
        <v>386.21384615391992</v>
      </c>
      <c r="E5" s="5" cm="1">
        <f t="array" aca="1" ref="E5" ca="1">INDIRECT("'results" &amp; $B5 &amp; "'!F$14")</f>
        <v>9</v>
      </c>
      <c r="F5" s="5" cm="1">
        <f t="array" aca="1" ref="F5" ca="1">INDIRECT("'results" &amp; $B5 &amp; "'!G$14")</f>
        <v>61.5</v>
      </c>
      <c r="G5" s="5" cm="1">
        <f t="array" aca="1" ref="G5" ca="1">INDIRECT("'results" &amp; $B5 &amp; "'!H$14")</f>
        <v>1546.0366401033648</v>
      </c>
      <c r="H5" s="33" cm="1">
        <f t="array" aca="1" ref="H5" ca="1">INDIRECT("'results" &amp; $B5 &amp; "'!I$14")</f>
        <v>47.482404303921577</v>
      </c>
      <c r="I5" s="5" cm="1">
        <f t="array" aca="1" ref="I5" ca="1">INDIRECT("'results" &amp; $B5 &amp; "'!J$14")</f>
        <v>6811.6397337999251</v>
      </c>
      <c r="J5" s="5"/>
      <c r="K5" s="5" cm="1">
        <f t="array" aca="1" ref="K5" ca="1">INDIRECT("'results" &amp; $B5 &amp; "'!L$14")</f>
        <v>3185119.4557134821</v>
      </c>
      <c r="L5" s="5" cm="1">
        <f t="array" aca="1" ref="L5" ca="1">INDIRECT("'results" &amp; $B5 &amp; "'!M$14")</f>
        <v>299.14692307688085</v>
      </c>
      <c r="M5" s="5" cm="1">
        <f t="array" aca="1" ref="M5" ca="1">INDIRECT("'results" &amp; $B5 &amp; "'!N$14")</f>
        <v>8</v>
      </c>
      <c r="N5" s="5" cm="1">
        <f t="array" aca="1" ref="N5" ca="1">INDIRECT("'results" &amp; $B5 &amp; "'!O$14")</f>
        <v>32</v>
      </c>
      <c r="O5" s="5" cm="1">
        <f t="array" aca="1" ref="O5" ca="1">INDIRECT("'results" &amp; $B5 &amp; "'!P$14")</f>
        <v>316.63389480697015</v>
      </c>
      <c r="P5" s="5" cm="1">
        <f t="array" aca="1" ref="P5" ca="1">INDIRECT("'results" &amp; $B5 &amp; "'!Q$14")</f>
        <v>28.060334954040417</v>
      </c>
      <c r="Q5" s="5" cm="1">
        <f t="array" aca="1" ref="Q5" ca="1">INDIRECT("'results" &amp; $B5 &amp; "'!R$14")</f>
        <v>4802.1990432987795</v>
      </c>
      <c r="R5" s="5"/>
      <c r="S5" s="5" cm="1">
        <f t="array" aca="1" ref="S5" ca="1">INDIRECT("'results" &amp; $B5 &amp; "'!T$14")</f>
        <v>3159757.3699895809</v>
      </c>
      <c r="T5" s="5" cm="1">
        <f t="array" aca="1" ref="T5" ca="1">INDIRECT("'results" &amp; $B5 &amp; "'!U$14")</f>
        <v>334.00307692309769</v>
      </c>
      <c r="U5" s="5" cm="1">
        <f t="array" aca="1" ref="U5" ca="1">INDIRECT("'results" &amp; $B5 &amp; "'!V$14")</f>
        <v>8</v>
      </c>
      <c r="V5" s="5" cm="1">
        <f t="array" aca="1" ref="V5" ca="1">INDIRECT("'results" &amp; $B5 &amp; "'!W$14")</f>
        <v>41.5</v>
      </c>
      <c r="W5" s="5" cm="1">
        <f t="array" aca="1" ref="W5" ca="1">INDIRECT("'results" &amp; $B5 &amp; "'!X$14")</f>
        <v>1833.6593220244843</v>
      </c>
      <c r="X5" s="5" cm="1">
        <f t="array" aca="1" ref="X5" ca="1">INDIRECT("'results" &amp; $B5 &amp; "'!Y$14")</f>
        <v>68.049788124440354</v>
      </c>
      <c r="Y5" s="5" cm="1">
        <f t="array" aca="1" ref="Y5" ca="1">INDIRECT("'results" &amp; $B5 &amp; "'!Z$14")</f>
        <v>7441.2095910504504</v>
      </c>
      <c r="Z5" s="5"/>
    </row>
    <row r="6" spans="2:26" x14ac:dyDescent="0.2">
      <c r="B6" s="4">
        <v>315</v>
      </c>
      <c r="C6" s="5" cm="1">
        <f t="array" aca="1" ref="C6" ca="1">INDIRECT("'results" &amp; $B6 &amp; "'!D$14")</f>
        <v>2862963.9859135891</v>
      </c>
      <c r="D6" s="33" cm="1">
        <f t="array" aca="1" ref="D6" ca="1">INDIRECT("'results" &amp; $B6 &amp; "'!E$14")</f>
        <v>320.07230769233922</v>
      </c>
      <c r="E6" s="5" cm="1">
        <f t="array" aca="1" ref="E6" ca="1">INDIRECT("'results" &amp; $B6 &amp; "'!F$14")</f>
        <v>7</v>
      </c>
      <c r="F6" s="5" cm="1">
        <f t="array" aca="1" ref="F6" ca="1">INDIRECT("'results" &amp; $B6 &amp; "'!G$14")</f>
        <v>49.5</v>
      </c>
      <c r="G6" s="5" cm="1">
        <f t="array" aca="1" ref="G6" ca="1">INDIRECT("'results" &amp; $B6 &amp; "'!H$14")</f>
        <v>1189.5176486382932</v>
      </c>
      <c r="H6" s="33" cm="1">
        <f t="array" aca="1" ref="H6" ca="1">INDIRECT("'results" &amp; $B6 &amp; "'!I$14")</f>
        <v>53.211742361272954</v>
      </c>
      <c r="I6" s="5" cm="1">
        <f t="array" aca="1" ref="I6" ca="1">INDIRECT("'results" &amp; $B6 &amp; "'!J$14")</f>
        <v>6732.2141757641893</v>
      </c>
      <c r="J6" s="5"/>
      <c r="K6" s="5" cm="1">
        <f t="array" aca="1" ref="K6" ca="1">INDIRECT("'results" &amp; $B6 &amp; "'!L$14")</f>
        <v>3292693.4029249428</v>
      </c>
      <c r="L6" s="5" cm="1">
        <f t="array" aca="1" ref="L6" ca="1">INDIRECT("'results" &amp; $B6 &amp; "'!M$14")</f>
        <v>219.54307692313489</v>
      </c>
      <c r="M6" s="5" cm="1">
        <f t="array" aca="1" ref="M6" ca="1">INDIRECT("'results" &amp; $B6 &amp; "'!N$14")</f>
        <v>11</v>
      </c>
      <c r="N6" s="5" cm="1">
        <f t="array" aca="1" ref="N6" ca="1">INDIRECT("'results" &amp; $B6 &amp; "'!O$14")</f>
        <v>35.5</v>
      </c>
      <c r="O6" s="5" cm="1">
        <f t="array" aca="1" ref="O6" ca="1">INDIRECT("'results" &amp; $B6 &amp; "'!P$14")</f>
        <v>1502.4482008190323</v>
      </c>
      <c r="P6" s="5" cm="1">
        <f t="array" aca="1" ref="P6" ca="1">INDIRECT("'results" &amp; $B6 &amp; "'!Q$14")</f>
        <v>23.734082770928172</v>
      </c>
      <c r="Q6" s="5" cm="1">
        <f t="array" aca="1" ref="Q6" ca="1">INDIRECT("'results" &amp; $B6 &amp; "'!R$14")</f>
        <v>6511.6978254326095</v>
      </c>
      <c r="R6" s="5"/>
      <c r="S6" s="5" cm="1">
        <f t="array" aca="1" ref="S6" ca="1">INDIRECT("'results" &amp; $B6 &amp; "'!T$14")</f>
        <v>3203619.868595989</v>
      </c>
      <c r="T6" s="5" cm="1">
        <f t="array" aca="1" ref="T6" ca="1">INDIRECT("'results" &amp; $B6 &amp; "'!U$14")</f>
        <v>678.93076923075841</v>
      </c>
      <c r="U6" s="5" cm="1">
        <f t="array" aca="1" ref="U6" ca="1">INDIRECT("'results" &amp; $B6 &amp; "'!V$14")</f>
        <v>6</v>
      </c>
      <c r="V6" s="5" cm="1">
        <f t="array" aca="1" ref="V6" ca="1">INDIRECT("'results" &amp; $B6 &amp; "'!W$14")</f>
        <v>33.5</v>
      </c>
      <c r="W6" s="5" cm="1">
        <f t="array" aca="1" ref="W6" ca="1">INDIRECT("'results" &amp; $B6 &amp; "'!X$14")</f>
        <v>906.81209402611705</v>
      </c>
      <c r="X6" s="5" cm="1">
        <f t="array" aca="1" ref="X6" ca="1">INDIRECT("'results" &amp; $B6 &amp; "'!Y$14")</f>
        <v>61.977896711471864</v>
      </c>
      <c r="Y6" s="5" cm="1">
        <f t="array" aca="1" ref="Y6" ca="1">INDIRECT("'results" &amp; $B6 &amp; "'!Z$14")</f>
        <v>6502.931195508907</v>
      </c>
      <c r="Z6" s="5"/>
    </row>
    <row r="7" spans="2:26" x14ac:dyDescent="0.2">
      <c r="B7" s="4">
        <v>465</v>
      </c>
      <c r="C7" s="5" cm="1">
        <f t="array" aca="1" ref="C7" ca="1">INDIRECT("'results" &amp; $B7 &amp; "'!D$14")</f>
        <v>2727903.0109417448</v>
      </c>
      <c r="D7" s="33" cm="1">
        <f t="array" aca="1" ref="D7" ca="1">INDIRECT("'results" &amp; $B7 &amp; "'!E$14")</f>
        <v>406.80230769230269</v>
      </c>
      <c r="E7" s="5" cm="1">
        <f t="array" aca="1" ref="E7" ca="1">INDIRECT("'results" &amp; $B7 &amp; "'!F$14")</f>
        <v>8</v>
      </c>
      <c r="F7" s="5" cm="1">
        <f t="array" aca="1" ref="F7" ca="1">INDIRECT("'results" &amp; $B7 &amp; "'!G$14")</f>
        <v>57.5</v>
      </c>
      <c r="G7" s="5" cm="1">
        <f t="array" aca="1" ref="G7" ca="1">INDIRECT("'results" &amp; $B7 &amp; "'!H$14")</f>
        <v>1556.9492961743315</v>
      </c>
      <c r="H7" s="33" cm="1">
        <f t="array" aca="1" ref="H7" ca="1">INDIRECT("'results" &amp; $B7 &amp; "'!I$14")</f>
        <v>54.280012699259167</v>
      </c>
      <c r="I7" s="5" cm="1">
        <f t="array" aca="1" ref="I7" ca="1">INDIRECT("'results" &amp; $B7 &amp; "'!J$14")</f>
        <v>6992.2245244003861</v>
      </c>
      <c r="J7" s="5"/>
      <c r="K7" s="5" cm="1">
        <f t="array" aca="1" ref="K7" ca="1">INDIRECT("'results" &amp; $B7 &amp; "'!L$14")</f>
        <v>2950439.7063127812</v>
      </c>
      <c r="L7" s="5" cm="1">
        <f t="array" aca="1" ref="L7" ca="1">INDIRECT("'results" &amp; $B7 &amp; "'!M$14")</f>
        <v>388.37769230765008</v>
      </c>
      <c r="M7" s="5" cm="1">
        <f t="array" aca="1" ref="M7" ca="1">INDIRECT("'results" &amp; $B7 &amp; "'!N$14")</f>
        <v>14</v>
      </c>
      <c r="N7" s="5" cm="1">
        <f t="array" aca="1" ref="N7" ca="1">INDIRECT("'results" &amp; $B7 &amp; "'!O$14")</f>
        <v>53</v>
      </c>
      <c r="O7" s="5" cm="1">
        <f t="array" aca="1" ref="O7" ca="1">INDIRECT("'results" &amp; $B7 &amp; "'!P$14")</f>
        <v>1656.2441028126768</v>
      </c>
      <c r="P7" s="5" cm="1">
        <f t="array" aca="1" ref="P7" ca="1">INDIRECT("'results" &amp; $B7 &amp; "'!Q$14")</f>
        <v>26.002683413293056</v>
      </c>
      <c r="Q7" s="5" cm="1">
        <f t="array" aca="1" ref="Q7" ca="1">INDIRECT("'results" &amp; $B7 &amp; "'!R$14")</f>
        <v>6846.6143642978504</v>
      </c>
      <c r="R7" s="5"/>
      <c r="S7" s="5" cm="1">
        <f t="array" aca="1" ref="S7" ca="1">INDIRECT("'results" &amp; $B7 &amp; "'!T$14")</f>
        <v>3094538.1985094352</v>
      </c>
      <c r="T7" s="5" cm="1">
        <f t="array" aca="1" ref="T7" ca="1">INDIRECT("'results" &amp; $B7 &amp; "'!U$14")</f>
        <v>317.68076923075841</v>
      </c>
      <c r="U7" s="5" cm="1">
        <f t="array" aca="1" ref="U7" ca="1">INDIRECT("'results" &amp; $B7 &amp; "'!V$14")</f>
        <v>6</v>
      </c>
      <c r="V7" s="5" cm="1">
        <f t="array" aca="1" ref="V7" ca="1">INDIRECT("'results" &amp; $B7 &amp; "'!W$14")</f>
        <v>39.5</v>
      </c>
      <c r="W7" s="5" cm="1">
        <f t="array" aca="1" ref="W7" ca="1">INDIRECT("'results" &amp; $B7 &amp; "'!X$14")</f>
        <v>1317.727318843758</v>
      </c>
      <c r="X7" s="5" cm="1">
        <f t="array" aca="1" ref="X7" ca="1">INDIRECT("'results" &amp; $B7 &amp; "'!Y$14")</f>
        <v>76.847424148098554</v>
      </c>
      <c r="Y7" s="5" cm="1">
        <f t="array" aca="1" ref="Y7" ca="1">INDIRECT("'results" &amp; $B7 &amp; "'!Z$14")</f>
        <v>6958.0926828998954</v>
      </c>
      <c r="Z7" s="5"/>
    </row>
    <row r="8" spans="2:26" x14ac:dyDescent="0.2">
      <c r="B8" s="4">
        <v>712</v>
      </c>
      <c r="C8" s="5" cm="1">
        <f t="array" aca="1" ref="C8" ca="1">INDIRECT("'results" &amp; $B8 &amp; "'!D$14")</f>
        <v>2456189.3626541882</v>
      </c>
      <c r="D8" s="33" cm="1">
        <f t="array" aca="1" ref="D8" ca="1">INDIRECT("'results" &amp; $B8 &amp; "'!E$14")</f>
        <v>356.55076923072698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70.5</v>
      </c>
      <c r="G8" s="5" cm="1">
        <f t="array" aca="1" ref="G8" ca="1">INDIRECT("'results" &amp; $B8 &amp; "'!H$14")</f>
        <v>1700.5258842717653</v>
      </c>
      <c r="H8" s="33" cm="1">
        <f t="array" aca="1" ref="H8" ca="1">INDIRECT("'results" &amp; $B8 &amp; "'!I$14")</f>
        <v>47.032509618327921</v>
      </c>
      <c r="I8" s="5" cm="1">
        <f t="array" aca="1" ref="I8" ca="1">INDIRECT("'results" &amp; $B8 &amp; "'!J$14")</f>
        <v>7033.4874639494947</v>
      </c>
      <c r="J8" s="5"/>
      <c r="K8" s="5" cm="1">
        <f t="array" aca="1" ref="K8" ca="1">INDIRECT("'results" &amp; $B8 &amp; "'!L$14")</f>
        <v>2999467.942843115</v>
      </c>
      <c r="L8" s="5" cm="1">
        <f t="array" aca="1" ref="L8" ca="1">INDIRECT("'results" &amp; $B8 &amp; "'!M$14")</f>
        <v>479.96384615383039</v>
      </c>
      <c r="M8" s="5" cm="1">
        <f t="array" aca="1" ref="M8" ca="1">INDIRECT("'results" &amp; $B8 &amp; "'!N$14")</f>
        <v>11</v>
      </c>
      <c r="N8" s="5" cm="1">
        <f t="array" aca="1" ref="N8" ca="1">INDIRECT("'results" &amp; $B8 &amp; "'!O$14")</f>
        <v>40.5</v>
      </c>
      <c r="O8" s="5" cm="1">
        <f t="array" aca="1" ref="O8" ca="1">INDIRECT("'results" &amp; $B8 &amp; "'!P$14")</f>
        <v>680.62644675855074</v>
      </c>
      <c r="P8" s="5" cm="1">
        <f t="array" aca="1" ref="P8" ca="1">INDIRECT("'results" &amp; $B8 &amp; "'!Q$14")</f>
        <v>22.323881106873344</v>
      </c>
      <c r="Q8" s="5" cm="1">
        <f t="array" aca="1" ref="Q8" ca="1">INDIRECT("'results" &amp; $B8 &amp; "'!R$14")</f>
        <v>4982.6820193816247</v>
      </c>
      <c r="R8" s="5"/>
      <c r="S8" s="5" cm="1">
        <f t="array" aca="1" ref="S8" ca="1">INDIRECT("'results" &amp; $B8 &amp; "'!T$14")</f>
        <v>3040211.4263982628</v>
      </c>
      <c r="T8" s="5" cm="1">
        <f t="array" aca="1" ref="T8" ca="1">INDIRECT("'results" &amp; $B8 &amp; "'!U$14")</f>
        <v>196.93538461534237</v>
      </c>
      <c r="U8" s="5" cm="1">
        <f t="array" aca="1" ref="U8" ca="1">INDIRECT("'results" &amp; $B8 &amp; "'!V$14")</f>
        <v>7</v>
      </c>
      <c r="V8" s="5" cm="1">
        <f t="array" aca="1" ref="V8" ca="1">INDIRECT("'results" &amp; $B8 &amp; "'!W$14")</f>
        <v>43.5</v>
      </c>
      <c r="W8" s="5" cm="1">
        <f t="array" aca="1" ref="W8" ca="1">INDIRECT("'results" &amp; $B8 &amp; "'!X$14")</f>
        <v>1774.3307465180244</v>
      </c>
      <c r="X8" s="5" cm="1">
        <f t="array" aca="1" ref="X8" ca="1">INDIRECT("'results" &amp; $B8 &amp; "'!Y$14")</f>
        <v>66.422355277750157</v>
      </c>
      <c r="Y8" s="5" cm="1">
        <f t="array" aca="1" ref="Y8" ca="1">INDIRECT("'results" &amp; $B8 &amp; "'!Z$14")</f>
        <v>7255.3493465997026</v>
      </c>
      <c r="Z8" s="5"/>
    </row>
    <row r="9" spans="2:26" x14ac:dyDescent="0.2">
      <c r="B9" s="4">
        <v>858</v>
      </c>
      <c r="C9" s="5" cm="1">
        <f t="array" aca="1" ref="C9" ca="1">INDIRECT("'results" &amp; $B9 &amp; "'!D$14")</f>
        <v>2541031.9718895899</v>
      </c>
      <c r="D9" s="33" cm="1">
        <f t="array" aca="1" ref="D9" ca="1">INDIRECT("'results" &amp; $B9 &amp; "'!E$14")</f>
        <v>331.75538461538963</v>
      </c>
      <c r="E9" s="5" cm="1">
        <f t="array" aca="1" ref="E9" ca="1">INDIRECT("'results" &amp; $B9 &amp; "'!F$14")</f>
        <v>11</v>
      </c>
      <c r="F9" s="5" cm="1">
        <f t="array" aca="1" ref="F9" ca="1">INDIRECT("'results" &amp; $B9 &amp; "'!G$14")</f>
        <v>67.5</v>
      </c>
      <c r="G9" s="5" cm="1">
        <f t="array" aca="1" ref="G9" ca="1">INDIRECT("'results" &amp; $B9 &amp; "'!H$14")</f>
        <v>1619.8937610245214</v>
      </c>
      <c r="H9" s="33" cm="1">
        <f t="array" aca="1" ref="H9" ca="1">INDIRECT("'results" &amp; $B9 &amp; "'!I$14")</f>
        <v>45.575506105076123</v>
      </c>
      <c r="I9" s="5" cm="1">
        <f t="array" aca="1" ref="I9" ca="1">INDIRECT("'results" &amp; $B9 &amp; "'!J$14")</f>
        <v>7078.5473697171083</v>
      </c>
      <c r="J9" s="5"/>
      <c r="K9" s="5" cm="1">
        <f t="array" aca="1" ref="K9" ca="1">INDIRECT("'results" &amp; $B9 &amp; "'!L$14")</f>
        <v>3094047.9930781042</v>
      </c>
      <c r="L9" s="5" cm="1">
        <f t="array" aca="1" ref="L9" ca="1">INDIRECT("'results" &amp; $B9 &amp; "'!M$14")</f>
        <v>960.07230769224998</v>
      </c>
      <c r="M9" s="5" cm="1">
        <f t="array" aca="1" ref="M9" ca="1">INDIRECT("'results" &amp; $B9 &amp; "'!N$14")</f>
        <v>9</v>
      </c>
      <c r="N9" s="5" cm="1">
        <f t="array" aca="1" ref="N9" ca="1">INDIRECT("'results" &amp; $B9 &amp; "'!O$14")</f>
        <v>37</v>
      </c>
      <c r="O9" s="5" cm="1">
        <f t="array" aca="1" ref="O9" ca="1">INDIRECT("'results" &amp; $B9 &amp; "'!P$14")</f>
        <v>521.31988025739497</v>
      </c>
      <c r="P9" s="5" cm="1">
        <f t="array" aca="1" ref="P9" ca="1">INDIRECT("'results" &amp; $B9 &amp; "'!Q$14")</f>
        <v>28.920068583681086</v>
      </c>
      <c r="Q9" s="5" cm="1">
        <f t="array" aca="1" ref="Q9" ca="1">INDIRECT("'results" &amp; $B9 &amp; "'!R$14")</f>
        <v>5527.9245540517832</v>
      </c>
      <c r="R9" s="5"/>
      <c r="S9" s="5" cm="1">
        <f t="array" aca="1" ref="S9" ca="1">INDIRECT("'results" &amp; $B9 &amp; "'!T$14")</f>
        <v>3050920.4337106911</v>
      </c>
      <c r="T9" s="5" cm="1">
        <f t="array" aca="1" ref="T9" ca="1">INDIRECT("'results" &amp; $B9 &amp; "'!U$14")</f>
        <v>511.74230769231843</v>
      </c>
      <c r="U9" s="5" cm="1">
        <f t="array" aca="1" ref="U9" ca="1">INDIRECT("'results" &amp; $B9 &amp; "'!V$14")</f>
        <v>7</v>
      </c>
      <c r="V9" s="5" cm="1">
        <f t="array" aca="1" ref="V9" ca="1">INDIRECT("'results" &amp; $B9 &amp; "'!W$14")</f>
        <v>42</v>
      </c>
      <c r="W9" s="5" cm="1">
        <f t="array" aca="1" ref="W9" ca="1">INDIRECT("'results" &amp; $B9 &amp; "'!X$14")</f>
        <v>1233.7301144799364</v>
      </c>
      <c r="X9" s="5" cm="1">
        <f t="array" aca="1" ref="X9" ca="1">INDIRECT("'results" &amp; $B9 &amp; "'!Y$14")</f>
        <v>67.79088257851123</v>
      </c>
      <c r="Y9" s="5" cm="1">
        <f t="array" aca="1" ref="Y9" ca="1">INDIRECT("'results" &amp; $B9 &amp; "'!Z$14")</f>
        <v>6998.313439882294</v>
      </c>
      <c r="Z9" s="5"/>
    </row>
    <row r="10" spans="2:26" x14ac:dyDescent="0.2">
      <c r="B10" s="4">
        <v>945</v>
      </c>
      <c r="C10" s="5" cm="1">
        <f t="array" aca="1" ref="C10" ca="1">INDIRECT("'results" &amp; $B10 &amp; "'!D$14")</f>
        <v>2741827.763524577</v>
      </c>
      <c r="D10" s="33" cm="1">
        <f t="array" aca="1" ref="D10" ca="1">INDIRECT("'results" &amp; $B10 &amp; "'!E$14")</f>
        <v>331.35769230770308</v>
      </c>
      <c r="E10" s="5" cm="1">
        <f t="array" aca="1" ref="E10" ca="1">INDIRECT("'results" &amp; $B10 &amp; "'!F$14")</f>
        <v>8</v>
      </c>
      <c r="F10" s="5" cm="1">
        <f t="array" aca="1" ref="F10" ca="1">INDIRECT("'results" &amp; $B10 &amp; "'!G$14")</f>
        <v>57</v>
      </c>
      <c r="G10" s="5" cm="1">
        <f t="array" aca="1" ref="G10" ca="1">INDIRECT("'results" &amp; $B10 &amp; "'!H$14")</f>
        <v>1458.7988362706999</v>
      </c>
      <c r="H10" s="33" cm="1">
        <f t="array" aca="1" ref="H10" ca="1">INDIRECT("'results" &amp; $B10 &amp; "'!I$14")</f>
        <v>46.337191488174746</v>
      </c>
      <c r="I10" s="5" cm="1">
        <f t="array" aca="1" ref="I10" ca="1">INDIRECT("'results" &amp; $B10 &amp; "'!J$14")</f>
        <v>6986.3862579036022</v>
      </c>
      <c r="J10" s="5"/>
      <c r="K10" s="5" cm="1">
        <f t="array" aca="1" ref="K10" ca="1">INDIRECT("'results" &amp; $B10 &amp; "'!L$14")</f>
        <v>3201636.9888318251</v>
      </c>
      <c r="L10" s="5" cm="1">
        <f t="array" aca="1" ref="L10" ca="1">INDIRECT("'results" &amp; $B10 &amp; "'!M$14")</f>
        <v>432.7646153846469</v>
      </c>
      <c r="M10" s="5" cm="1">
        <f t="array" aca="1" ref="M10" ca="1">INDIRECT("'results" &amp; $B10 &amp; "'!N$14")</f>
        <v>10</v>
      </c>
      <c r="N10" s="5" cm="1">
        <f t="array" aca="1" ref="N10" ca="1">INDIRECT("'results" &amp; $B10 &amp; "'!O$14")</f>
        <v>35.5</v>
      </c>
      <c r="O10" s="5" cm="1">
        <f t="array" aca="1" ref="O10" ca="1">INDIRECT("'results" &amp; $B10 &amp; "'!P$14")</f>
        <v>825.43449401462567</v>
      </c>
      <c r="P10" s="5" cm="1">
        <f t="array" aca="1" ref="P10" ca="1">INDIRECT("'results" &amp; $B10 &amp; "'!Q$14")</f>
        <v>20.59508291481437</v>
      </c>
      <c r="Q10" s="5" cm="1">
        <f t="array" aca="1" ref="Q10" ca="1">INDIRECT("'results" &amp; $B10 &amp; "'!R$14")</f>
        <v>5740.6858819990948</v>
      </c>
      <c r="R10" s="5"/>
      <c r="S10" s="5" cm="1">
        <f t="array" aca="1" ref="S10" ca="1">INDIRECT("'results" &amp; $B10 &amp; "'!T$14")</f>
        <v>3179945.3766589682</v>
      </c>
      <c r="T10" s="5" cm="1">
        <f t="array" aca="1" ref="T10" ca="1">INDIRECT("'results" &amp; $B10 &amp; "'!U$14")</f>
        <v>601.74307692303466</v>
      </c>
      <c r="U10" s="5" cm="1">
        <f t="array" aca="1" ref="U10" ca="1">INDIRECT("'results" &amp; $B10 &amp; "'!V$14")</f>
        <v>6</v>
      </c>
      <c r="V10" s="5" cm="1">
        <f t="array" aca="1" ref="V10" ca="1">INDIRECT("'results" &amp; $B10 &amp; "'!W$14")</f>
        <v>36.5</v>
      </c>
      <c r="W10" s="5" cm="1">
        <f t="array" aca="1" ref="W10" ca="1">INDIRECT("'results" &amp; $B10 &amp; "'!X$14")</f>
        <v>1324.9082079701193</v>
      </c>
      <c r="X10" s="5" cm="1">
        <f t="array" aca="1" ref="X10" ca="1">INDIRECT("'results" &amp; $B10 &amp; "'!Y$14")</f>
        <v>60.456033798667868</v>
      </c>
      <c r="Y10" s="5" cm="1">
        <f t="array" aca="1" ref="Y10" ca="1">INDIRECT("'results" &amp; $B10 &amp; "'!Z$14")</f>
        <v>6921.3988158759539</v>
      </c>
      <c r="Z10" s="5"/>
    </row>
    <row r="11" spans="2:26" x14ac:dyDescent="0.2">
      <c r="B11" s="4">
        <v>965</v>
      </c>
      <c r="C11" s="5" cm="1">
        <f t="array" aca="1" ref="C11" ca="1">INDIRECT("'results" &amp; $B11 &amp; "'!D$14")</f>
        <v>2682632.7359057618</v>
      </c>
      <c r="D11" s="33" cm="1">
        <f t="array" aca="1" ref="D11" ca="1">INDIRECT("'results" &amp; $B11 &amp; "'!E$14")</f>
        <v>791.62230769226073</v>
      </c>
      <c r="E11" s="5" cm="1">
        <f t="array" aca="1" ref="E11" ca="1">INDIRECT("'results" &amp; $B11 &amp; "'!F$14")</f>
        <v>9</v>
      </c>
      <c r="F11" s="5" cm="1">
        <f t="array" aca="1" ref="F11" ca="1">INDIRECT("'results" &amp; $B11 &amp; "'!G$14")</f>
        <v>60.5</v>
      </c>
      <c r="G11" s="5" cm="1">
        <f t="array" aca="1" ref="G11" ca="1">INDIRECT("'results" &amp; $B11 &amp; "'!H$14")</f>
        <v>1524.9929737273058</v>
      </c>
      <c r="H11" s="33" cm="1">
        <f t="array" aca="1" ref="H11" ca="1">INDIRECT("'results" &amp; $B11 &amp; "'!I$14")</f>
        <v>45.062518652596083</v>
      </c>
      <c r="I11" s="5" cm="1">
        <f t="array" aca="1" ref="I11" ca="1">INDIRECT("'results" &amp; $B11 &amp; "'!J$14")</f>
        <v>7058.5507512109152</v>
      </c>
      <c r="J11" s="5"/>
      <c r="K11" s="5" cm="1">
        <f t="array" aca="1" ref="K11" ca="1">INDIRECT("'results" &amp; $B11 &amp; "'!L$14")</f>
        <v>3313561.4943661839</v>
      </c>
      <c r="L11" s="5" cm="1">
        <f t="array" aca="1" ref="L11" ca="1">INDIRECT("'results" &amp; $B11 &amp; "'!M$14")</f>
        <v>390.89000000000499</v>
      </c>
      <c r="M11" s="5" cm="1">
        <f t="array" aca="1" ref="M11" ca="1">INDIRECT("'results" &amp; $B11 &amp; "'!N$14")</f>
        <v>16</v>
      </c>
      <c r="N11" s="5" cm="1">
        <f t="array" aca="1" ref="N11" ca="1">INDIRECT("'results" &amp; $B11 &amp; "'!O$14")</f>
        <v>42.5</v>
      </c>
      <c r="O11" s="5" cm="1">
        <f t="array" aca="1" ref="O11" ca="1">INDIRECT("'results" &amp; $B11 &amp; "'!P$14")</f>
        <v>1854.4411293889393</v>
      </c>
      <c r="P11" s="5" cm="1">
        <f t="array" aca="1" ref="P11" ca="1">INDIRECT("'results" &amp; $B11 &amp; "'!Q$14")</f>
        <v>17.229833586249793</v>
      </c>
      <c r="Q11" s="5" cm="1">
        <f t="array" aca="1" ref="Q11" ca="1">INDIRECT("'results" &amp; $B11 &amp; "'!R$14")</f>
        <v>7142.0730199254294</v>
      </c>
      <c r="R11" s="5"/>
      <c r="S11" s="5" cm="1">
        <f t="array" aca="1" ref="S11" ca="1">INDIRECT("'results" &amp; $B11 &amp; "'!T$14")</f>
        <v>3127033.8352908292</v>
      </c>
      <c r="T11" s="5" cm="1">
        <f t="array" aca="1" ref="T11" ca="1">INDIRECT("'results" &amp; $B11 &amp; "'!U$14")</f>
        <v>227.3438461538619</v>
      </c>
      <c r="U11" s="5" cm="1">
        <f t="array" aca="1" ref="U11" ca="1">INDIRECT("'results" &amp; $B11 &amp; "'!V$14")</f>
        <v>6</v>
      </c>
      <c r="V11" s="5" cm="1">
        <f t="array" aca="1" ref="V11" ca="1">INDIRECT("'results" &amp; $B11 &amp; "'!W$14")</f>
        <v>38</v>
      </c>
      <c r="W11" s="5" cm="1">
        <f t="array" aca="1" ref="W11" ca="1">INDIRECT("'results" &amp; $B11 &amp; "'!X$14")</f>
        <v>999.5033388122614</v>
      </c>
      <c r="X11" s="5" cm="1">
        <f t="array" aca="1" ref="X11" ca="1">INDIRECT("'results" &amp; $B11 &amp; "'!Y$14")</f>
        <v>63.638887012747411</v>
      </c>
      <c r="Y11" s="5" cm="1">
        <f t="array" aca="1" ref="Y11" ca="1">INDIRECT("'results" &amp; $B11 &amp; "'!Z$14")</f>
        <v>6857.2749185335933</v>
      </c>
      <c r="Z11" s="5"/>
    </row>
    <row r="12" spans="2:26" x14ac:dyDescent="0.2">
      <c r="B12" s="4">
        <v>971</v>
      </c>
      <c r="C12" s="5" cm="1">
        <f t="array" aca="1" ref="C12" ca="1">INDIRECT("'results" &amp; $B12 &amp; "'!D$14")</f>
        <v>2437253.8030720912</v>
      </c>
      <c r="D12" s="33" cm="1">
        <f t="array" aca="1" ref="D12" ca="1">INDIRECT("'results" &amp; $B12 &amp; "'!E$14")</f>
        <v>238.14923076926229</v>
      </c>
      <c r="E12" s="5" cm="1">
        <f t="array" aca="1" ref="E12" ca="1">INDIRECT("'results" &amp; $B12 &amp; "'!F$14")</f>
        <v>9</v>
      </c>
      <c r="F12" s="5" cm="1">
        <f t="array" aca="1" ref="F12" ca="1">INDIRECT("'results" &amp; $B12 &amp; "'!G$14")</f>
        <v>70.5</v>
      </c>
      <c r="G12" s="5" cm="1">
        <f t="array" aca="1" ref="G12" ca="1">INDIRECT("'results" &amp; $B12 &amp; "'!H$14")</f>
        <v>1604.0175932379545</v>
      </c>
      <c r="H12" s="33" cm="1">
        <f t="array" aca="1" ref="H12" ca="1">INDIRECT("'results" &amp; $B12 &amp; "'!I$14")</f>
        <v>63.763820418776199</v>
      </c>
      <c r="I12" s="5" cm="1">
        <f t="array" aca="1" ref="I12" ca="1">INDIRECT("'results" &amp; $B12 &amp; "'!J$14")</f>
        <v>7011.3992434874708</v>
      </c>
      <c r="J12" s="5"/>
      <c r="K12" s="5" cm="1">
        <f t="array" aca="1" ref="K12" ca="1">INDIRECT("'results" &amp; $B12 &amp; "'!L$14")</f>
        <v>3115723.2677239138</v>
      </c>
      <c r="L12" s="5" cm="1">
        <f t="array" aca="1" ref="L12" ca="1">INDIRECT("'results" &amp; $B12 &amp; "'!M$14")</f>
        <v>443.18461538462611</v>
      </c>
      <c r="M12" s="5" cm="1">
        <f t="array" aca="1" ref="M12" ca="1">INDIRECT("'results" &amp; $B12 &amp; "'!N$14")</f>
        <v>13</v>
      </c>
      <c r="N12" s="5" cm="1">
        <f t="array" aca="1" ref="N12" ca="1">INDIRECT("'results" &amp; $B12 &amp; "'!O$14")</f>
        <v>39.5</v>
      </c>
      <c r="O12" s="5" cm="1">
        <f t="array" aca="1" ref="O12" ca="1">INDIRECT("'results" &amp; $B12 &amp; "'!P$14")</f>
        <v>842.88117490187506</v>
      </c>
      <c r="P12" s="5" cm="1">
        <f t="array" aca="1" ref="P12" ca="1">INDIRECT("'results" &amp; $B12 &amp; "'!Q$14")</f>
        <v>22.795359873635544</v>
      </c>
      <c r="Q12" s="5" cm="1">
        <f t="array" aca="1" ref="Q12" ca="1">INDIRECT("'results" &amp; $B12 &amp; "'!R$14")</f>
        <v>5539.5079302689737</v>
      </c>
      <c r="R12" s="5"/>
      <c r="S12" s="5" cm="1">
        <f t="array" aca="1" ref="S12" ca="1">INDIRECT("'results" &amp; $B12 &amp; "'!T$14")</f>
        <v>3037792.3135108468</v>
      </c>
      <c r="T12" s="5" cm="1">
        <f t="array" aca="1" ref="T12" ca="1">INDIRECT("'results" &amp; $B12 &amp; "'!U$14")</f>
        <v>482.06692307686001</v>
      </c>
      <c r="U12" s="5" cm="1">
        <f t="array" aca="1" ref="U12" ca="1">INDIRECT("'results" &amp; $B12 &amp; "'!V$14")</f>
        <v>7</v>
      </c>
      <c r="V12" s="5" cm="1">
        <f t="array" aca="1" ref="V12" ca="1">INDIRECT("'results" &amp; $B12 &amp; "'!W$14")</f>
        <v>41</v>
      </c>
      <c r="W12" s="5" cm="1">
        <f t="array" aca="1" ref="W12" ca="1">INDIRECT("'results" &amp; $B12 &amp; "'!X$14")</f>
        <v>1151.4601945261822</v>
      </c>
      <c r="X12" s="5" cm="1">
        <f t="array" aca="1" ref="X12" ca="1">INDIRECT("'results" &amp; $B12 &amp; "'!Y$14")</f>
        <v>72.575120108959922</v>
      </c>
      <c r="Y12" s="5" cm="1">
        <f t="array" aca="1" ref="Y12" ca="1">INDIRECT("'results" &amp; $B12 &amp; "'!Z$14")</f>
        <v>6625.0370228192514</v>
      </c>
      <c r="Z12" s="5"/>
    </row>
    <row r="13" spans="2:26" x14ac:dyDescent="0.2">
      <c r="B13" s="8" t="s">
        <v>3</v>
      </c>
      <c r="C13" s="9">
        <f ca="1">AVERAGE(C3:C12)</f>
        <v>2648519.1519768843</v>
      </c>
      <c r="D13" s="10">
        <f t="shared" ref="D13:I13" ca="1" si="0">AVERAGE(D3:D12)</f>
        <v>409.87623076923546</v>
      </c>
      <c r="E13" s="9">
        <f t="shared" ca="1" si="0"/>
        <v>9</v>
      </c>
      <c r="F13" s="9">
        <f t="shared" ca="1" si="0"/>
        <v>61.75</v>
      </c>
      <c r="G13" s="9">
        <f t="shared" ca="1" si="0"/>
        <v>1547.1196425229093</v>
      </c>
      <c r="H13" s="10">
        <f t="shared" ca="1" si="0"/>
        <v>49.495039035137808</v>
      </c>
      <c r="I13" s="9">
        <f t="shared" ca="1" si="0"/>
        <v>6988.4953065951004</v>
      </c>
      <c r="J13" s="32" t="e">
        <f ca="1">(C13-$D$15)/$D$15</f>
        <v>#DIV/0!</v>
      </c>
      <c r="K13" s="16">
        <f ca="1">AVERAGE(K3:K12)</f>
        <v>3148348.1325041694</v>
      </c>
      <c r="L13" s="41">
        <f t="shared" ref="L13:Q13" ca="1" si="1">AVERAGE(L3:L12)</f>
        <v>461.22115384615392</v>
      </c>
      <c r="M13" s="16">
        <f t="shared" ca="1" si="1"/>
        <v>11.4</v>
      </c>
      <c r="N13" s="16">
        <f ca="1">AVERAGE(N3:N12)</f>
        <v>38.65</v>
      </c>
      <c r="O13" s="16">
        <f t="shared" ca="1" si="1"/>
        <v>931.04941952114257</v>
      </c>
      <c r="P13" s="41">
        <f t="shared" ca="1" si="1"/>
        <v>23.43675605897878</v>
      </c>
      <c r="Q13" s="16">
        <f t="shared" ca="1" si="1"/>
        <v>5747.9184483750169</v>
      </c>
      <c r="R13" s="42" t="e">
        <f ca="1">(K13-$D$15)/$D$15</f>
        <v>#DIV/0!</v>
      </c>
      <c r="S13" s="38">
        <f ca="1">AVERAGE(S3:S12)</f>
        <v>3106442.7736103609</v>
      </c>
      <c r="T13" s="43">
        <f t="shared" ref="T13:Y13" ca="1" si="2">AVERAGE(T3:T12)</f>
        <v>426.01699999998357</v>
      </c>
      <c r="U13" s="38">
        <f t="shared" ca="1" si="2"/>
        <v>6.5</v>
      </c>
      <c r="V13" s="38">
        <f t="shared" ca="1" si="2"/>
        <v>39.200000000000003</v>
      </c>
      <c r="W13" s="38">
        <f t="shared" ca="1" si="2"/>
        <v>1247.132122739343</v>
      </c>
      <c r="X13" s="43">
        <f t="shared" ca="1" si="2"/>
        <v>67.511894705846174</v>
      </c>
      <c r="Y13" s="38">
        <f t="shared" ca="1" si="2"/>
        <v>6881.0565670444848</v>
      </c>
      <c r="Z13" s="44" t="e">
        <f ca="1">(S13-$D$15)/$D$15</f>
        <v>#DIV/0!</v>
      </c>
    </row>
    <row r="14" spans="2:26" x14ac:dyDescent="0.2">
      <c r="K14" s="45">
        <f ca="1">(K13-C13)/C13</f>
        <v>0.18872016845874309</v>
      </c>
      <c r="L14" s="45">
        <f t="shared" ref="L14:Q14" ca="1" si="3">(L13-D13)/D13</f>
        <v>0.12526933552735384</v>
      </c>
      <c r="M14" s="45">
        <f t="shared" ca="1" si="3"/>
        <v>0.26666666666666672</v>
      </c>
      <c r="N14" s="45">
        <f t="shared" ca="1" si="3"/>
        <v>-0.37408906882591098</v>
      </c>
      <c r="O14" s="45">
        <f t="shared" ca="1" si="3"/>
        <v>-0.39820464175422954</v>
      </c>
      <c r="P14" s="45">
        <f t="shared" ca="1" si="3"/>
        <v>-0.52648272400915941</v>
      </c>
      <c r="Q14" s="45">
        <f t="shared" ca="1" si="3"/>
        <v>-0.17751701958636804</v>
      </c>
      <c r="S14" s="45">
        <f ca="1">(S13-C13)/C13</f>
        <v>0.17289798387588673</v>
      </c>
      <c r="T14" s="45">
        <f t="shared" ref="T14:Y14" ca="1" si="4">(T13-D13)/D13</f>
        <v>3.9379617599332138E-2</v>
      </c>
      <c r="U14" s="45">
        <f t="shared" ca="1" si="4"/>
        <v>-0.27777777777777779</v>
      </c>
      <c r="V14" s="45">
        <f ca="1">(V13-F13)/F13</f>
        <v>-0.36518218623481774</v>
      </c>
      <c r="W14" s="45">
        <f t="shared" ca="1" si="4"/>
        <v>-0.19390065999961872</v>
      </c>
      <c r="X14" s="45">
        <f t="shared" ca="1" si="4"/>
        <v>0.36401336420641539</v>
      </c>
      <c r="Y14" s="45">
        <f t="shared" ca="1" si="4"/>
        <v>-1.5373658396711624E-2</v>
      </c>
    </row>
    <row r="16" spans="2:26" x14ac:dyDescent="0.2">
      <c r="B16" s="1" t="s">
        <v>21</v>
      </c>
      <c r="C16">
        <f ca="1">_xlfn.STDEV.S(C3:C12)</f>
        <v>134510.50959084864</v>
      </c>
      <c r="D16">
        <f ca="1">D13/1.3</f>
        <v>315.28940828402727</v>
      </c>
      <c r="J16" s="1" t="s">
        <v>21</v>
      </c>
      <c r="K16">
        <f ca="1">_xlfn.STDEV.S(K3:K12)</f>
        <v>116937.06967124918</v>
      </c>
      <c r="L16">
        <f ca="1">L13/1.3</f>
        <v>354.78550295857991</v>
      </c>
      <c r="R16" s="1" t="s">
        <v>21</v>
      </c>
      <c r="S16">
        <f ca="1">_xlfn.STDEV.S(S3:S12)</f>
        <v>59176.586111068238</v>
      </c>
      <c r="T16">
        <f ca="1">T13/1.3</f>
        <v>327.70538461537194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41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-0.9867706937289541</v>
      </c>
      <c r="J2" s="28">
        <f>(S14-J14)/J14</f>
        <v>-0.99996464572569566</v>
      </c>
      <c r="K2" s="28"/>
      <c r="L2" s="1" t="s">
        <v>19</v>
      </c>
      <c r="P2" s="1">
        <f>(P14-H14)/H14</f>
        <v>-0.47900036196228246</v>
      </c>
      <c r="R2" s="1">
        <f>(R14-J14)/J14</f>
        <v>-0.21137928683573418</v>
      </c>
      <c r="T2" s="1" t="s">
        <v>20</v>
      </c>
      <c r="X2" s="1">
        <f>(X14-P14)/P14</f>
        <v>0.56494774687902805</v>
      </c>
      <c r="Z2" s="1">
        <f>(Z14-R14)/R14</f>
        <v>0.28251238963827213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462</v>
      </c>
      <c r="D4" s="23">
        <v>3042605.9968022392</v>
      </c>
      <c r="E4" s="33">
        <v>141.8384615384723</v>
      </c>
      <c r="F4" s="5">
        <v>5</v>
      </c>
      <c r="G4" s="23">
        <v>38</v>
      </c>
      <c r="H4" s="33">
        <v>559.85303739724952</v>
      </c>
      <c r="I4" s="23">
        <v>58.052976859982017</v>
      </c>
      <c r="J4" s="5">
        <v>6056.3387087893179</v>
      </c>
      <c r="K4" s="31"/>
      <c r="L4" s="23">
        <v>3422429.784016605</v>
      </c>
      <c r="M4" s="33">
        <v>281.29846153843499</v>
      </c>
      <c r="N4" s="5">
        <v>24</v>
      </c>
      <c r="O4" s="5">
        <v>40</v>
      </c>
      <c r="P4" s="33">
        <v>1383.1571439928923</v>
      </c>
      <c r="Q4" s="5">
        <v>11.26259620524811</v>
      </c>
      <c r="R4" s="5">
        <v>6443.5628590739761</v>
      </c>
      <c r="S4" s="31"/>
      <c r="T4" s="23">
        <v>3362487.8191535091</v>
      </c>
      <c r="U4" s="33">
        <v>250.84153846156997</v>
      </c>
      <c r="V4" s="5">
        <v>7</v>
      </c>
      <c r="W4" s="5">
        <v>31.5</v>
      </c>
      <c r="X4" s="33">
        <v>1809.4632236145853</v>
      </c>
      <c r="Y4" s="5">
        <v>53.256547873850018</v>
      </c>
      <c r="Z4" s="5">
        <v>7239.1131707047298</v>
      </c>
      <c r="AA4" s="35"/>
    </row>
    <row r="5" spans="2:27" x14ac:dyDescent="0.2">
      <c r="B5" s="4">
        <v>2</v>
      </c>
      <c r="C5" s="4">
        <v>4</v>
      </c>
      <c r="D5" s="23">
        <v>2905958.922859862</v>
      </c>
      <c r="E5" s="33">
        <v>364.72384615380389</v>
      </c>
      <c r="F5" s="5">
        <v>7</v>
      </c>
      <c r="G5" s="23">
        <v>46.5</v>
      </c>
      <c r="H5" s="33">
        <v>1234.0169578223938</v>
      </c>
      <c r="I5" s="23">
        <v>54.568515575552873</v>
      </c>
      <c r="J5" s="5">
        <v>6389.5636275016777</v>
      </c>
      <c r="K5" s="31"/>
      <c r="L5" s="23">
        <v>3363415.996047209</v>
      </c>
      <c r="M5" s="33">
        <v>405.34846153844575</v>
      </c>
      <c r="N5" s="5">
        <v>13</v>
      </c>
      <c r="O5" s="5">
        <v>34</v>
      </c>
      <c r="P5" s="33">
        <v>1358.8161867653753</v>
      </c>
      <c r="Q5" s="5">
        <v>17.853259818967921</v>
      </c>
      <c r="R5" s="5">
        <v>6142.4743902083337</v>
      </c>
      <c r="S5" s="31"/>
      <c r="T5" s="23">
        <v>3161615.466616903</v>
      </c>
      <c r="U5" s="33">
        <v>243.76230769235502</v>
      </c>
      <c r="V5" s="5">
        <v>6</v>
      </c>
      <c r="W5" s="5">
        <v>37.5</v>
      </c>
      <c r="X5" s="33">
        <v>1312.4627935994351</v>
      </c>
      <c r="Y5" s="5">
        <v>68.320828382436147</v>
      </c>
      <c r="Z5" s="5">
        <v>7135.2773187219245</v>
      </c>
      <c r="AA5" s="35"/>
    </row>
    <row r="6" spans="2:27" x14ac:dyDescent="0.2">
      <c r="B6" s="4">
        <v>3</v>
      </c>
      <c r="C6" s="4">
        <v>204</v>
      </c>
      <c r="D6" s="23">
        <v>2670537.7289275839</v>
      </c>
      <c r="E6" s="33">
        <v>427.31923076924153</v>
      </c>
      <c r="F6" s="5">
        <v>13</v>
      </c>
      <c r="G6" s="23">
        <v>66.5</v>
      </c>
      <c r="H6" s="33">
        <v>1889.6075952244466</v>
      </c>
      <c r="I6" s="23">
        <v>37.431956658878633</v>
      </c>
      <c r="J6" s="5">
        <v>7179.1874187474923</v>
      </c>
      <c r="K6" s="31"/>
      <c r="L6" s="23">
        <v>3214479.5919303992</v>
      </c>
      <c r="M6" s="33">
        <v>321.41769230768728</v>
      </c>
      <c r="N6" s="5">
        <v>12</v>
      </c>
      <c r="O6" s="5">
        <v>35.5</v>
      </c>
      <c r="P6" s="33">
        <v>829.0877419972328</v>
      </c>
      <c r="Q6" s="5">
        <v>21.052328761228953</v>
      </c>
      <c r="R6" s="5">
        <v>5493.8283424598758</v>
      </c>
      <c r="S6" s="31"/>
      <c r="T6" s="23">
        <v>3177517.703849385</v>
      </c>
      <c r="U6" s="33">
        <v>435.13230769232342</v>
      </c>
      <c r="V6" s="5">
        <v>16</v>
      </c>
      <c r="W6" s="5">
        <v>52.5</v>
      </c>
      <c r="X6" s="33">
        <v>2809.6948050474043</v>
      </c>
      <c r="Y6" s="5">
        <v>38.927803640498865</v>
      </c>
      <c r="Z6" s="5">
        <v>8140.2527566456301</v>
      </c>
      <c r="AA6" s="35"/>
    </row>
    <row r="7" spans="2:27" x14ac:dyDescent="0.2">
      <c r="B7" s="4">
        <v>4</v>
      </c>
      <c r="C7" s="4">
        <v>523</v>
      </c>
      <c r="D7" s="23">
        <v>2768482.888042903</v>
      </c>
      <c r="E7" s="33">
        <v>526.2261538461853</v>
      </c>
      <c r="F7" s="5">
        <v>8</v>
      </c>
      <c r="G7" s="23">
        <v>56</v>
      </c>
      <c r="H7" s="33">
        <v>1601.946200114495</v>
      </c>
      <c r="I7" s="23">
        <v>46.371264509380168</v>
      </c>
      <c r="J7" s="5">
        <v>6873.4775607444199</v>
      </c>
      <c r="K7" s="31"/>
      <c r="L7" s="23">
        <v>3447114.61207075</v>
      </c>
      <c r="M7" s="33">
        <v>305.30076923081657</v>
      </c>
      <c r="N7" s="5">
        <v>7</v>
      </c>
      <c r="O7" s="5">
        <v>21.5</v>
      </c>
      <c r="P7" s="33">
        <v>163.35450230113949</v>
      </c>
      <c r="Q7" s="5">
        <v>23.632161326441491</v>
      </c>
      <c r="R7" s="5">
        <v>4336.1293660235087</v>
      </c>
      <c r="S7" s="31"/>
      <c r="T7" s="23">
        <v>3200062.497461034</v>
      </c>
      <c r="U7" s="33">
        <v>423.16076923072194</v>
      </c>
      <c r="V7" s="5">
        <v>5</v>
      </c>
      <c r="W7" s="5">
        <v>33</v>
      </c>
      <c r="X7" s="33">
        <v>771.53646842456351</v>
      </c>
      <c r="Y7" s="5">
        <v>66.564549487314508</v>
      </c>
      <c r="Z7" s="5">
        <v>6586.9970215050917</v>
      </c>
      <c r="AA7" s="35"/>
    </row>
    <row r="8" spans="2:27" x14ac:dyDescent="0.2">
      <c r="B8" s="4">
        <v>5</v>
      </c>
      <c r="C8" s="4">
        <v>489</v>
      </c>
      <c r="D8" s="23">
        <v>2828037.2763441778</v>
      </c>
      <c r="E8" s="33">
        <v>336.05769230769232</v>
      </c>
      <c r="F8" s="5">
        <v>9</v>
      </c>
      <c r="G8" s="23">
        <v>57</v>
      </c>
      <c r="H8" s="33">
        <v>1867.2798672498404</v>
      </c>
      <c r="I8" s="23">
        <v>44.722365185272487</v>
      </c>
      <c r="J8" s="5">
        <v>7295.6180518378496</v>
      </c>
      <c r="K8" s="31"/>
      <c r="L8" s="23">
        <v>3228790.895913532</v>
      </c>
      <c r="M8" s="33">
        <v>631.65846153842995</v>
      </c>
      <c r="N8" s="5">
        <v>7</v>
      </c>
      <c r="O8" s="5">
        <v>33</v>
      </c>
      <c r="P8" s="33">
        <v>823.95615221866865</v>
      </c>
      <c r="Q8" s="5">
        <v>30.908356696788253</v>
      </c>
      <c r="R8" s="5">
        <v>6047.7577056910523</v>
      </c>
      <c r="S8" s="31"/>
      <c r="T8" s="23">
        <v>3084526.5029299879</v>
      </c>
      <c r="U8" s="33">
        <v>447.93307692313994</v>
      </c>
      <c r="V8" s="5">
        <v>8</v>
      </c>
      <c r="W8" s="5">
        <v>42</v>
      </c>
      <c r="X8" s="33">
        <v>1430.4627409108193</v>
      </c>
      <c r="Y8" s="5">
        <v>63.950647005959802</v>
      </c>
      <c r="Z8" s="5">
        <v>7061.8310723434661</v>
      </c>
      <c r="AA8" s="35"/>
    </row>
    <row r="9" spans="2:27" x14ac:dyDescent="0.2">
      <c r="B9" s="4">
        <v>6</v>
      </c>
      <c r="C9" s="4">
        <v>73</v>
      </c>
      <c r="D9" s="23">
        <v>2749555.8302678391</v>
      </c>
      <c r="E9" s="33">
        <v>918.90615384613841</v>
      </c>
      <c r="F9" s="5">
        <v>12</v>
      </c>
      <c r="G9" s="23">
        <v>65.5</v>
      </c>
      <c r="H9" s="33">
        <v>2129.6590797640783</v>
      </c>
      <c r="I9" s="23">
        <v>42.392797884044612</v>
      </c>
      <c r="J9" s="5">
        <v>7491.4146281794501</v>
      </c>
      <c r="K9" s="31"/>
      <c r="L9" s="23">
        <v>3515268.5213239789</v>
      </c>
      <c r="M9" s="33">
        <v>545.13230769223389</v>
      </c>
      <c r="N9" s="5">
        <v>10</v>
      </c>
      <c r="O9" s="5">
        <v>24.5</v>
      </c>
      <c r="P9" s="33">
        <v>938.73822926529908</v>
      </c>
      <c r="Q9" s="5">
        <v>18.483357591093707</v>
      </c>
      <c r="R9" s="5">
        <v>5691.7488113157851</v>
      </c>
      <c r="S9" s="31"/>
      <c r="T9" s="23">
        <v>3913128.4575711661</v>
      </c>
      <c r="U9" s="33">
        <v>392.21153846153845</v>
      </c>
      <c r="V9" s="5">
        <v>21</v>
      </c>
      <c r="W9" s="5">
        <v>43</v>
      </c>
      <c r="X9" s="33">
        <v>5438.6126816004098</v>
      </c>
      <c r="Y9" s="5">
        <v>31.388266401732078</v>
      </c>
      <c r="Z9" s="5">
        <v>11024.811857087741</v>
      </c>
      <c r="AA9" s="35"/>
    </row>
    <row r="10" spans="2:27" x14ac:dyDescent="0.2">
      <c r="B10" s="4">
        <v>7</v>
      </c>
      <c r="C10" s="4">
        <v>979</v>
      </c>
      <c r="D10" s="23">
        <v>2726258.9029287118</v>
      </c>
      <c r="E10" s="33">
        <v>395.78076923077998</v>
      </c>
      <c r="F10" s="5">
        <v>10</v>
      </c>
      <c r="G10" s="23">
        <v>63.5</v>
      </c>
      <c r="H10" s="33">
        <v>1943.1361053420892</v>
      </c>
      <c r="I10" s="23">
        <v>44.462787367170044</v>
      </c>
      <c r="J10" s="5">
        <v>7526.4963137444765</v>
      </c>
      <c r="K10" s="31"/>
      <c r="L10" s="23">
        <v>3225411.657267286</v>
      </c>
      <c r="M10" s="33">
        <v>440.72153846160148</v>
      </c>
      <c r="N10" s="5">
        <v>13</v>
      </c>
      <c r="O10" s="5">
        <v>40</v>
      </c>
      <c r="P10" s="33">
        <v>1362.7560606877032</v>
      </c>
      <c r="Q10" s="5">
        <v>21.930468395052326</v>
      </c>
      <c r="R10" s="5">
        <v>6477.7786636626861</v>
      </c>
      <c r="S10" s="31"/>
      <c r="T10" s="23">
        <v>3126536.582960932</v>
      </c>
      <c r="U10" s="33">
        <v>339.61538461538458</v>
      </c>
      <c r="V10" s="5">
        <v>6</v>
      </c>
      <c r="W10" s="5">
        <v>37</v>
      </c>
      <c r="X10" s="33">
        <v>934.08263033645903</v>
      </c>
      <c r="Y10" s="5">
        <v>69.589215693038014</v>
      </c>
      <c r="Z10" s="5">
        <v>6667.9591914933899</v>
      </c>
      <c r="AA10" s="35"/>
    </row>
    <row r="11" spans="2:27" x14ac:dyDescent="0.2">
      <c r="B11" s="4">
        <v>8</v>
      </c>
      <c r="C11" s="4">
        <v>353</v>
      </c>
      <c r="D11" s="23">
        <v>2654324.4085821752</v>
      </c>
      <c r="E11" s="33">
        <v>359.39923076926226</v>
      </c>
      <c r="F11" s="5">
        <v>10</v>
      </c>
      <c r="G11" s="23">
        <v>62.5</v>
      </c>
      <c r="H11" s="33">
        <v>1591.3403416553072</v>
      </c>
      <c r="I11" s="23">
        <v>43.556476069065852</v>
      </c>
      <c r="J11" s="5">
        <v>6966.3759152564107</v>
      </c>
      <c r="K11" s="31"/>
      <c r="L11" s="23">
        <v>3214716.7191648162</v>
      </c>
      <c r="M11" s="33">
        <v>494.57923076921497</v>
      </c>
      <c r="N11" s="5">
        <v>11</v>
      </c>
      <c r="O11" s="5">
        <v>38</v>
      </c>
      <c r="P11" s="33">
        <v>1303.5011246188228</v>
      </c>
      <c r="Q11" s="5">
        <v>24.391688961501192</v>
      </c>
      <c r="R11" s="5">
        <v>6337.0888010365989</v>
      </c>
      <c r="S11" s="31"/>
      <c r="T11" s="23">
        <v>3075640.7721933508</v>
      </c>
      <c r="U11" s="33">
        <v>497.06769230766577</v>
      </c>
      <c r="V11" s="5">
        <v>7</v>
      </c>
      <c r="W11" s="5">
        <v>41</v>
      </c>
      <c r="X11" s="33">
        <v>1297.4789938035904</v>
      </c>
      <c r="Y11" s="5">
        <v>64.926312207081864</v>
      </c>
      <c r="Z11" s="5">
        <v>7045.902915750683</v>
      </c>
      <c r="AA11" s="35"/>
    </row>
    <row r="12" spans="2:27" x14ac:dyDescent="0.2">
      <c r="B12" s="4">
        <v>9</v>
      </c>
      <c r="C12" s="4">
        <v>380</v>
      </c>
      <c r="D12" s="23">
        <v>2750771.2338935868</v>
      </c>
      <c r="E12" s="33">
        <v>224.41076923081144</v>
      </c>
      <c r="F12" s="5">
        <v>8</v>
      </c>
      <c r="G12" s="23">
        <v>57</v>
      </c>
      <c r="H12" s="33">
        <v>1319.745967266555</v>
      </c>
      <c r="I12" s="23">
        <v>48.2181970557561</v>
      </c>
      <c r="J12" s="5">
        <v>6999.4741793675967</v>
      </c>
      <c r="K12" s="31"/>
      <c r="L12" s="23">
        <v>3371816.1934714848</v>
      </c>
      <c r="M12" s="33">
        <v>770.56538461537389</v>
      </c>
      <c r="N12" s="5">
        <v>8</v>
      </c>
      <c r="O12" s="5">
        <v>26.5</v>
      </c>
      <c r="P12" s="33">
        <v>709.28232291475274</v>
      </c>
      <c r="Q12" s="5">
        <v>25.814031727452953</v>
      </c>
      <c r="R12" s="5">
        <v>5214.8565926097272</v>
      </c>
      <c r="S12" s="31"/>
      <c r="T12" s="23">
        <v>3155275.464577788</v>
      </c>
      <c r="U12" s="33">
        <v>453.16076923081147</v>
      </c>
      <c r="V12" s="5">
        <v>5</v>
      </c>
      <c r="W12" s="5">
        <v>33.5</v>
      </c>
      <c r="X12" s="33">
        <v>652.05301026334564</v>
      </c>
      <c r="Y12" s="5">
        <v>75.669906586014051</v>
      </c>
      <c r="Z12" s="5">
        <v>6338.8973459312174</v>
      </c>
      <c r="AA12" s="35"/>
    </row>
    <row r="13" spans="2:27" x14ac:dyDescent="0.2">
      <c r="B13" s="4">
        <v>10</v>
      </c>
      <c r="C13" s="4">
        <v>19</v>
      </c>
      <c r="D13" s="23">
        <v>2668791.1647239979</v>
      </c>
      <c r="E13" s="33">
        <v>425.54076923075348</v>
      </c>
      <c r="F13" s="5">
        <v>10</v>
      </c>
      <c r="G13" s="23">
        <v>63</v>
      </c>
      <c r="H13" s="33">
        <v>1727.5693289864798</v>
      </c>
      <c r="I13" s="23">
        <v>43.334443247234255</v>
      </c>
      <c r="J13" s="5">
        <v>7072.4075947783995</v>
      </c>
      <c r="K13" s="31"/>
      <c r="L13" s="23">
        <v>3282397.1025617099</v>
      </c>
      <c r="M13" s="33">
        <v>361.74307692312425</v>
      </c>
      <c r="N13" s="5">
        <v>7</v>
      </c>
      <c r="O13" s="5">
        <v>28.5</v>
      </c>
      <c r="P13" s="33">
        <v>402.97202145222627</v>
      </c>
      <c r="Q13" s="5">
        <v>26.406497544259203</v>
      </c>
      <c r="R13" s="5">
        <v>5194.1975150480594</v>
      </c>
      <c r="S13" s="31"/>
      <c r="T13" s="23">
        <v>3171807.5532092121</v>
      </c>
      <c r="U13" s="33">
        <v>485.74538461532654</v>
      </c>
      <c r="V13" s="5">
        <v>5</v>
      </c>
      <c r="W13" s="5">
        <v>33.5</v>
      </c>
      <c r="X13" s="33">
        <v>664.76546008877085</v>
      </c>
      <c r="Y13" s="5">
        <v>75.160288201008527</v>
      </c>
      <c r="Z13" s="5">
        <v>6330.0124126800993</v>
      </c>
      <c r="AA13" s="35"/>
    </row>
    <row r="14" spans="2:27" x14ac:dyDescent="0.2">
      <c r="B14" s="46" t="s">
        <v>3</v>
      </c>
      <c r="C14" s="47"/>
      <c r="D14" s="9">
        <f>MIN(D4:D13)</f>
        <v>2654324.4085821752</v>
      </c>
      <c r="E14" s="22">
        <f>INDEX(E4:E13, MATCH($D$14, D4:D13, 0))</f>
        <v>359.39923076926226</v>
      </c>
      <c r="F14" s="9">
        <f>INDEX(F4:F13, MATCH($D$14, D4:D13, 0))</f>
        <v>10</v>
      </c>
      <c r="G14" s="9">
        <f>INDEX(G4:G13, MATCH($D$14, D4:D13, 0))</f>
        <v>62.5</v>
      </c>
      <c r="H14" s="22">
        <f>INDEX(H4:H13, MATCH($D$14, D4:D13, 0))</f>
        <v>1591.3403416553072</v>
      </c>
      <c r="I14" s="22">
        <f>INDEX(I4:I13, MATCH($D$14, D4:D13, 0))</f>
        <v>43.556476069065852</v>
      </c>
      <c r="J14" s="22">
        <f>INDEX(J4:J13, MATCH($D$14, D4:D13, 0))</f>
        <v>6966.3759152564107</v>
      </c>
      <c r="K14" s="32">
        <f>(D14-$D$15)/$D$15</f>
        <v>2.9112478363474428E-2</v>
      </c>
      <c r="L14" s="16">
        <f>MIN(L4:L13)</f>
        <v>3214479.5919303992</v>
      </c>
      <c r="M14" s="21">
        <f>INDEX(M4:M13, MATCH($L$14, L4:L13, 0))</f>
        <v>321.41769230768728</v>
      </c>
      <c r="N14" s="16">
        <f>INDEX(N4:N13, MATCH($L$14, L4:L13, 0))</f>
        <v>12</v>
      </c>
      <c r="O14" s="16">
        <f>INDEX(O4:O13, MATCH($L$14, L4:L13, 0))</f>
        <v>35.5</v>
      </c>
      <c r="P14" s="21">
        <f>INDEX(P4:P13, MATCH($L$14, L4:L13, 0))</f>
        <v>829.0877419972328</v>
      </c>
      <c r="Q14" s="21">
        <f>INDEX(Q4:Q13, MATCH($L$14, L4:L13, 0))</f>
        <v>21.052328761228953</v>
      </c>
      <c r="R14" s="21">
        <f>INDEX(R4:R13, MATCH($L$14, L4:L13, 0))</f>
        <v>5493.8283424598758</v>
      </c>
      <c r="S14" s="36">
        <f>(L14-$D$15)/$D$15</f>
        <v>0.24629116501525358</v>
      </c>
      <c r="T14" s="38">
        <f>MIN(T4:T13)</f>
        <v>3075640.7721933508</v>
      </c>
      <c r="U14" s="39">
        <f>INDEX(U4:U13, MATCH($T$14, T4:T13, 0))</f>
        <v>497.06769230766577</v>
      </c>
      <c r="V14" s="38">
        <f>INDEX(V4:V13, MATCH($T$14, T4:T13, 0))</f>
        <v>7</v>
      </c>
      <c r="W14" s="38">
        <f>INDEX(W4:W13, MATCH($T$14, T4:T13, 0))</f>
        <v>41</v>
      </c>
      <c r="X14" s="39">
        <f>INDEX(X4:X13, MATCH($T$14, T4:T13, 0))</f>
        <v>1297.4789938035904</v>
      </c>
      <c r="Y14" s="39">
        <f>INDEX(Y4:Y13, MATCH($T$14, T4:T13, 0))</f>
        <v>64.926312207081864</v>
      </c>
      <c r="Z14" s="39">
        <f>INDEX(Z4:Z13, MATCH($T$14, T4:T13, 0))</f>
        <v>7045.902915750683</v>
      </c>
      <c r="AA14" s="40">
        <f>(T14-$D$15)/$D$15</f>
        <v>0.19246173805799097</v>
      </c>
    </row>
    <row r="15" spans="2:27" x14ac:dyDescent="0.2">
      <c r="C15" s="1" t="s">
        <v>17</v>
      </c>
      <c r="D15" s="34">
        <v>2579236.443428576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</sheetData>
  <mergeCells count="1">
    <mergeCell ref="B14:C14"/>
  </mergeCells>
  <conditionalFormatting sqref="C1:C13 C15:C1048576">
    <cfRule type="duplicateValues" dxfId="89" priority="5"/>
    <cfRule type="duplicateValues" dxfId="88" priority="6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5D7D-E65E-49F5-8E33-FFAB0FE9669B}">
  <dimension ref="B1:AA41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-0.9859129448622288</v>
      </c>
      <c r="J2" s="28" t="e">
        <f>(S14-J14)/J14</f>
        <v>#DIV/0!</v>
      </c>
      <c r="K2" s="28"/>
      <c r="L2" s="1" t="s">
        <v>19</v>
      </c>
      <c r="P2" s="1">
        <f>(P14-H14)/H14</f>
        <v>-0.83242618079505093</v>
      </c>
      <c r="R2" s="1">
        <f>(R14-J14)/J14</f>
        <v>-0.32189008107121653</v>
      </c>
      <c r="T2" s="1" t="s">
        <v>20</v>
      </c>
      <c r="X2" s="1">
        <f>(X14-P14)/P14</f>
        <v>1.2450683806977352</v>
      </c>
      <c r="Z2" s="1">
        <f>(Z14-R14)/R14</f>
        <v>0.26841616681187286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396</v>
      </c>
      <c r="D4" s="23">
        <v>2734905.0228198008</v>
      </c>
      <c r="E4" s="33">
        <v>576.83923076918848</v>
      </c>
      <c r="F4" s="5">
        <v>9</v>
      </c>
      <c r="G4" s="23">
        <v>60.5</v>
      </c>
      <c r="H4" s="33">
        <v>1679.1234501255476</v>
      </c>
      <c r="I4" s="23">
        <v>48.648208634907441</v>
      </c>
      <c r="J4" s="5">
        <v>7214.1276304614985</v>
      </c>
      <c r="K4" s="31"/>
      <c r="L4" s="23">
        <v>3441827.5646349471</v>
      </c>
      <c r="M4" s="33">
        <v>728.70230769237071</v>
      </c>
      <c r="N4" s="5">
        <v>5</v>
      </c>
      <c r="O4" s="5">
        <v>20</v>
      </c>
      <c r="P4" s="33">
        <v>40.15325692014742</v>
      </c>
      <c r="Q4" s="5">
        <v>26.016195897731983</v>
      </c>
      <c r="R4" s="5">
        <v>3879.5028061844619</v>
      </c>
      <c r="S4" s="31"/>
      <c r="T4" s="23">
        <v>3208997.3036492388</v>
      </c>
      <c r="U4" s="33">
        <v>176.15384615384616</v>
      </c>
      <c r="V4" s="5">
        <v>5</v>
      </c>
      <c r="W4" s="5">
        <v>34.5</v>
      </c>
      <c r="X4" s="33">
        <v>1232.0258141524853</v>
      </c>
      <c r="Y4" s="5">
        <v>73.223986953811476</v>
      </c>
      <c r="Z4" s="5">
        <v>6940.2019886462631</v>
      </c>
      <c r="AA4" s="35"/>
    </row>
    <row r="5" spans="2:27" x14ac:dyDescent="0.2">
      <c r="B5" s="4">
        <v>2</v>
      </c>
      <c r="C5" s="4">
        <v>941</v>
      </c>
      <c r="D5" s="23">
        <v>3055808.7607360212</v>
      </c>
      <c r="E5" s="33">
        <v>458.12538461535809</v>
      </c>
      <c r="F5" s="5">
        <v>17</v>
      </c>
      <c r="G5" s="23">
        <v>62</v>
      </c>
      <c r="H5" s="33">
        <v>2737.7145143274947</v>
      </c>
      <c r="I5" s="23">
        <v>28.068358143627229</v>
      </c>
      <c r="J5" s="5">
        <v>8234.7157065949123</v>
      </c>
      <c r="K5" s="31"/>
      <c r="L5" s="23">
        <v>3744998.4325856091</v>
      </c>
      <c r="M5" s="33">
        <v>337.80000000001075</v>
      </c>
      <c r="N5" s="5">
        <v>31</v>
      </c>
      <c r="O5" s="5">
        <v>62</v>
      </c>
      <c r="P5" s="33">
        <v>4483.2840305461359</v>
      </c>
      <c r="Q5" s="5">
        <v>15.895929218818214</v>
      </c>
      <c r="R5" s="5">
        <v>9795.870124477744</v>
      </c>
      <c r="S5" s="31"/>
      <c r="T5" s="23">
        <v>3458596.0370102841</v>
      </c>
      <c r="U5" s="33">
        <v>269.71153846153845</v>
      </c>
      <c r="V5" s="5">
        <v>13</v>
      </c>
      <c r="W5" s="5">
        <v>30</v>
      </c>
      <c r="X5" s="33">
        <v>1423.3899969065208</v>
      </c>
      <c r="Y5" s="5">
        <v>20.047656739952679</v>
      </c>
      <c r="Z5" s="5">
        <v>6404.8480459306329</v>
      </c>
      <c r="AA5" s="35"/>
    </row>
    <row r="6" spans="2:27" x14ac:dyDescent="0.2">
      <c r="B6" s="4">
        <v>3</v>
      </c>
      <c r="C6" s="4">
        <v>7</v>
      </c>
      <c r="D6" s="23">
        <v>2909727.7709470629</v>
      </c>
      <c r="E6" s="33">
        <v>717.21153846153845</v>
      </c>
      <c r="F6" s="5">
        <v>6</v>
      </c>
      <c r="G6" s="23">
        <v>47</v>
      </c>
      <c r="H6" s="33">
        <v>1118.4374897016646</v>
      </c>
      <c r="I6" s="23">
        <v>60.560065291014972</v>
      </c>
      <c r="J6" s="5">
        <v>6769.8481383486951</v>
      </c>
      <c r="K6" s="31"/>
      <c r="L6" s="23">
        <v>3332224.9819059311</v>
      </c>
      <c r="M6" s="33">
        <v>539.17076923078503</v>
      </c>
      <c r="N6" s="5">
        <v>8</v>
      </c>
      <c r="O6" s="5">
        <v>26.5</v>
      </c>
      <c r="P6" s="33">
        <v>404.15450736543039</v>
      </c>
      <c r="Q6" s="5">
        <v>24.470032690026358</v>
      </c>
      <c r="R6" s="5">
        <v>4617.0761007948058</v>
      </c>
      <c r="S6" s="31"/>
      <c r="T6" s="23">
        <v>3108199.3199599111</v>
      </c>
      <c r="U6" s="33">
        <v>373.06461538456807</v>
      </c>
      <c r="V6" s="5">
        <v>5</v>
      </c>
      <c r="W6" s="5">
        <v>35.5</v>
      </c>
      <c r="X6" s="33">
        <v>701.33173881322989</v>
      </c>
      <c r="Y6" s="5">
        <v>74.501500020793983</v>
      </c>
      <c r="Z6" s="5">
        <v>6332.4345367288133</v>
      </c>
      <c r="AA6" s="35"/>
    </row>
    <row r="7" spans="2:27" x14ac:dyDescent="0.2">
      <c r="B7" s="4">
        <v>4</v>
      </c>
      <c r="C7" s="4">
        <v>556</v>
      </c>
      <c r="D7" s="23">
        <v>2772265.379940744</v>
      </c>
      <c r="E7" s="33">
        <v>734.26615384613308</v>
      </c>
      <c r="F7" s="5">
        <v>10</v>
      </c>
      <c r="G7" s="23">
        <v>59</v>
      </c>
      <c r="H7" s="33">
        <v>1712.1911368473088</v>
      </c>
      <c r="I7" s="23">
        <v>42.796385420468042</v>
      </c>
      <c r="J7" s="5">
        <v>7113.1014881405308</v>
      </c>
      <c r="K7" s="31"/>
      <c r="L7" s="23">
        <v>3336161.944029944</v>
      </c>
      <c r="M7" s="33">
        <v>543.26923076923072</v>
      </c>
      <c r="N7" s="5">
        <v>7</v>
      </c>
      <c r="O7" s="5">
        <v>27</v>
      </c>
      <c r="P7" s="33">
        <v>550.91553838591926</v>
      </c>
      <c r="Q7" s="5">
        <v>28.752862946661484</v>
      </c>
      <c r="R7" s="5">
        <v>5183.0664514335176</v>
      </c>
      <c r="S7" s="31"/>
      <c r="T7" s="23">
        <v>3094968.1412456548</v>
      </c>
      <c r="U7" s="33">
        <v>412.65615384613807</v>
      </c>
      <c r="V7" s="5">
        <v>5</v>
      </c>
      <c r="W7" s="5">
        <v>35.5</v>
      </c>
      <c r="X7" s="33">
        <v>631.71089638895785</v>
      </c>
      <c r="Y7" s="5">
        <v>72.434247090732526</v>
      </c>
      <c r="Z7" s="5">
        <v>6205.0557415241183</v>
      </c>
      <c r="AA7" s="35"/>
    </row>
    <row r="8" spans="2:27" x14ac:dyDescent="0.2">
      <c r="B8" s="4">
        <v>5</v>
      </c>
      <c r="C8" s="4">
        <v>24</v>
      </c>
      <c r="D8" s="23">
        <v>2850402.008103386</v>
      </c>
      <c r="E8" s="33">
        <v>524.03846153846155</v>
      </c>
      <c r="F8" s="5">
        <v>5</v>
      </c>
      <c r="G8" s="23">
        <v>45.5</v>
      </c>
      <c r="H8" s="33">
        <v>660.7172877418617</v>
      </c>
      <c r="I8" s="23">
        <v>65.696791522323139</v>
      </c>
      <c r="J8" s="5">
        <v>6167.8458282100719</v>
      </c>
      <c r="K8" s="31"/>
      <c r="L8" s="23">
        <v>3259612.2800842668</v>
      </c>
      <c r="M8" s="33">
        <v>399.89230769229692</v>
      </c>
      <c r="N8" s="5">
        <v>6</v>
      </c>
      <c r="O8" s="5">
        <v>27</v>
      </c>
      <c r="P8" s="33">
        <v>129.44155451179998</v>
      </c>
      <c r="Q8" s="5">
        <v>29.346099825877427</v>
      </c>
      <c r="R8" s="5">
        <v>4367.6638399272515</v>
      </c>
      <c r="S8" s="31"/>
      <c r="T8" s="23">
        <v>3112206.6590385758</v>
      </c>
      <c r="U8" s="33">
        <v>280.80538461540038</v>
      </c>
      <c r="V8" s="5">
        <v>7</v>
      </c>
      <c r="W8" s="5">
        <v>40</v>
      </c>
      <c r="X8" s="33">
        <v>1311.746908209403</v>
      </c>
      <c r="Y8" s="5">
        <v>68.598848793004919</v>
      </c>
      <c r="Z8" s="5">
        <v>6935.7902318215274</v>
      </c>
      <c r="AA8" s="35"/>
    </row>
    <row r="9" spans="2:27" x14ac:dyDescent="0.2">
      <c r="B9" s="4">
        <v>6</v>
      </c>
      <c r="C9" s="4">
        <v>738</v>
      </c>
      <c r="D9" s="23">
        <v>2932096.3447041949</v>
      </c>
      <c r="E9" s="33">
        <v>556.0099999999735</v>
      </c>
      <c r="F9" s="5">
        <v>10</v>
      </c>
      <c r="G9" s="23">
        <v>52</v>
      </c>
      <c r="H9" s="33">
        <v>1634.4342218557879</v>
      </c>
      <c r="I9" s="23">
        <v>39.37858145824454</v>
      </c>
      <c r="J9" s="5">
        <v>7160.3261163774041</v>
      </c>
      <c r="K9" s="31"/>
      <c r="L9" s="23">
        <v>3409636.765577375</v>
      </c>
      <c r="M9" s="33">
        <v>413.05230769230269</v>
      </c>
      <c r="N9" s="5">
        <v>23</v>
      </c>
      <c r="O9" s="5">
        <v>42.5</v>
      </c>
      <c r="P9" s="33">
        <v>1859.1455612062452</v>
      </c>
      <c r="Q9" s="5">
        <v>13.520113802388366</v>
      </c>
      <c r="R9" s="5">
        <v>6789.5410113478583</v>
      </c>
      <c r="S9" s="31"/>
      <c r="T9" s="23">
        <v>3262906.071272722</v>
      </c>
      <c r="U9" s="33">
        <v>492.90846153851953</v>
      </c>
      <c r="V9" s="5">
        <v>9</v>
      </c>
      <c r="W9" s="5">
        <v>35.5</v>
      </c>
      <c r="X9" s="33">
        <v>1393.4803448116934</v>
      </c>
      <c r="Y9" s="5">
        <v>47.193496056022134</v>
      </c>
      <c r="Z9" s="5">
        <v>6840.3012548244169</v>
      </c>
      <c r="AA9" s="35"/>
    </row>
    <row r="10" spans="2:27" x14ac:dyDescent="0.2">
      <c r="B10" s="4">
        <v>7</v>
      </c>
      <c r="C10" s="4">
        <v>574</v>
      </c>
      <c r="D10" s="23">
        <v>3029099.4019242022</v>
      </c>
      <c r="E10" s="33">
        <v>260.27615384610652</v>
      </c>
      <c r="F10" s="5">
        <v>12</v>
      </c>
      <c r="G10" s="23">
        <v>51.5</v>
      </c>
      <c r="H10" s="33">
        <v>1942.7548051911001</v>
      </c>
      <c r="I10" s="23">
        <v>36.170823393873839</v>
      </c>
      <c r="J10" s="5">
        <v>7315.9765031452671</v>
      </c>
      <c r="K10" s="31"/>
      <c r="L10" s="23">
        <v>3585429.7892967961</v>
      </c>
      <c r="M10" s="33">
        <v>653.2207692307062</v>
      </c>
      <c r="N10" s="5">
        <v>10</v>
      </c>
      <c r="O10" s="5">
        <v>21.5</v>
      </c>
      <c r="P10" s="33">
        <v>1041.6538860478006</v>
      </c>
      <c r="Q10" s="5">
        <v>21.233660508043645</v>
      </c>
      <c r="R10" s="5">
        <v>5644.805836295156</v>
      </c>
      <c r="S10" s="31"/>
      <c r="T10" s="23">
        <v>4092092.1931446772</v>
      </c>
      <c r="U10" s="33">
        <v>342.85999999999495</v>
      </c>
      <c r="V10" s="5">
        <v>22</v>
      </c>
      <c r="W10" s="5">
        <v>40.5</v>
      </c>
      <c r="X10" s="33">
        <v>6682.4764517928679</v>
      </c>
      <c r="Y10" s="5">
        <v>34.178516569517868</v>
      </c>
      <c r="Z10" s="5">
        <v>12017.983749790134</v>
      </c>
      <c r="AA10" s="35"/>
    </row>
    <row r="11" spans="2:27" x14ac:dyDescent="0.2">
      <c r="B11" s="4">
        <v>8</v>
      </c>
      <c r="C11" s="4">
        <v>60</v>
      </c>
      <c r="D11" s="23">
        <v>3435732.9671283951</v>
      </c>
      <c r="E11" s="33">
        <v>198.16076923081144</v>
      </c>
      <c r="F11" s="5">
        <v>16</v>
      </c>
      <c r="G11" s="23">
        <v>43</v>
      </c>
      <c r="H11" s="33">
        <v>2989.7850331417649</v>
      </c>
      <c r="I11" s="23">
        <v>24.523705284969111</v>
      </c>
      <c r="J11" s="5">
        <v>8083.9571416307581</v>
      </c>
      <c r="K11" s="31"/>
      <c r="L11" s="23">
        <v>3815368.3201792981</v>
      </c>
      <c r="M11" s="33">
        <v>881.35769230770302</v>
      </c>
      <c r="N11" s="5">
        <v>33</v>
      </c>
      <c r="O11" s="5">
        <v>51</v>
      </c>
      <c r="P11" s="33">
        <v>3898.5618132081522</v>
      </c>
      <c r="Q11" s="5">
        <v>12.792055879063961</v>
      </c>
      <c r="R11" s="5">
        <v>8937.3210537166469</v>
      </c>
      <c r="S11" s="31"/>
      <c r="T11" s="23">
        <v>3835723.9501102841</v>
      </c>
      <c r="U11" s="33">
        <v>539.43538461534229</v>
      </c>
      <c r="V11" s="5">
        <v>18</v>
      </c>
      <c r="W11" s="5">
        <v>28</v>
      </c>
      <c r="X11" s="33">
        <v>3844.5553891381323</v>
      </c>
      <c r="Y11" s="5">
        <v>28.907355746720139</v>
      </c>
      <c r="Z11" s="5">
        <v>9113.4635107521572</v>
      </c>
      <c r="AA11" s="35"/>
    </row>
    <row r="12" spans="2:27" x14ac:dyDescent="0.2">
      <c r="B12" s="4">
        <v>9</v>
      </c>
      <c r="C12" s="4">
        <v>406</v>
      </c>
      <c r="D12" s="23">
        <v>2762731.8039742699</v>
      </c>
      <c r="E12" s="33">
        <v>441.3346153846046</v>
      </c>
      <c r="F12" s="5">
        <v>7</v>
      </c>
      <c r="G12" s="23">
        <v>50.5</v>
      </c>
      <c r="H12" s="33">
        <v>886.24181419242939</v>
      </c>
      <c r="I12" s="23">
        <v>54.129967060666232</v>
      </c>
      <c r="J12" s="5">
        <v>6150.807111106491</v>
      </c>
      <c r="K12" s="31"/>
      <c r="L12" s="23">
        <v>3116311.4813169432</v>
      </c>
      <c r="M12" s="33">
        <v>676.85076923082727</v>
      </c>
      <c r="N12" s="5">
        <v>10</v>
      </c>
      <c r="O12" s="5">
        <v>35.5</v>
      </c>
      <c r="P12" s="33">
        <v>281.37712945412875</v>
      </c>
      <c r="Q12" s="5">
        <v>23.653904625043083</v>
      </c>
      <c r="R12" s="5">
        <v>4891.9715026341437</v>
      </c>
      <c r="S12" s="31"/>
      <c r="T12" s="23">
        <v>3122994.4604432001</v>
      </c>
      <c r="U12" s="33">
        <v>597.58384615379885</v>
      </c>
      <c r="V12" s="5">
        <v>8</v>
      </c>
      <c r="W12" s="5">
        <v>41.5</v>
      </c>
      <c r="X12" s="33">
        <v>1617.3242034888704</v>
      </c>
      <c r="Y12" s="5">
        <v>52.188573764086762</v>
      </c>
      <c r="Z12" s="5">
        <v>7121.2214015758336</v>
      </c>
      <c r="AA12" s="35"/>
    </row>
    <row r="13" spans="2:27" x14ac:dyDescent="0.2">
      <c r="B13" s="4">
        <v>10</v>
      </c>
      <c r="C13" s="4">
        <v>519</v>
      </c>
      <c r="D13" s="23">
        <v>2902605.8144084392</v>
      </c>
      <c r="E13" s="33">
        <v>618.36538461538464</v>
      </c>
      <c r="F13" s="5">
        <v>6</v>
      </c>
      <c r="G13" s="23">
        <v>46</v>
      </c>
      <c r="H13" s="33">
        <v>917.75815864282094</v>
      </c>
      <c r="I13" s="23">
        <v>54.503700005253421</v>
      </c>
      <c r="J13" s="5">
        <v>6519.4312452617878</v>
      </c>
      <c r="K13" s="31"/>
      <c r="L13" s="23">
        <v>3218589.5560651831</v>
      </c>
      <c r="M13" s="33">
        <v>651.51461538464685</v>
      </c>
      <c r="N13" s="5">
        <v>9</v>
      </c>
      <c r="O13" s="5">
        <v>32.5</v>
      </c>
      <c r="P13" s="33">
        <v>431.26996949040984</v>
      </c>
      <c r="Q13" s="5">
        <v>25.565935809596635</v>
      </c>
      <c r="R13" s="5">
        <v>5413.1846513373166</v>
      </c>
      <c r="S13" s="31"/>
      <c r="T13" s="23">
        <v>3332383.077001329</v>
      </c>
      <c r="U13" s="33">
        <v>528.34076923076418</v>
      </c>
      <c r="V13" s="5">
        <v>5</v>
      </c>
      <c r="W13" s="5">
        <v>30.5</v>
      </c>
      <c r="X13" s="33">
        <v>1474.6131373519802</v>
      </c>
      <c r="Y13" s="5">
        <v>72.264783597046545</v>
      </c>
      <c r="Z13" s="5">
        <v>7229.3096955185147</v>
      </c>
      <c r="AA13" s="35"/>
    </row>
    <row r="14" spans="2:27" x14ac:dyDescent="0.2">
      <c r="B14" s="46" t="s">
        <v>3</v>
      </c>
      <c r="C14" s="47"/>
      <c r="D14" s="9">
        <f>MIN(D4:D13)</f>
        <v>2734905.0228198008</v>
      </c>
      <c r="E14" s="22">
        <f>INDEX(E4:E13, MATCH($D$14, D4:D13, 0))</f>
        <v>576.83923076918848</v>
      </c>
      <c r="F14" s="9">
        <f>INDEX(F4:F13, MATCH($D$14, D4:D13, 0))</f>
        <v>9</v>
      </c>
      <c r="G14" s="9">
        <f>INDEX(G4:G13, MATCH($D$14, D4:D13, 0))</f>
        <v>60.5</v>
      </c>
      <c r="H14" s="22">
        <f>INDEX(H4:H13, MATCH($D$14, D4:D13, 0))</f>
        <v>1679.1234501255476</v>
      </c>
      <c r="I14" s="22">
        <f>INDEX(I4:I13, MATCH($D$14, D4:D13, 0))</f>
        <v>48.648208634907441</v>
      </c>
      <c r="J14" s="22">
        <f>INDEX(J4:J13, MATCH($D$14, D4:D13, 0))</f>
        <v>7214.1276304614985</v>
      </c>
      <c r="K14" s="32" t="e">
        <f>(D14-$D$15)/$D$15</f>
        <v>#DIV/0!</v>
      </c>
      <c r="L14" s="16">
        <f>MIN(L4:L13)</f>
        <v>3116311.4813169432</v>
      </c>
      <c r="M14" s="21">
        <f>INDEX(M4:M13, MATCH($L$14, L4:L13, 0))</f>
        <v>676.85076923082727</v>
      </c>
      <c r="N14" s="16">
        <f>INDEX(N4:N13, MATCH($L$14, L4:L13, 0))</f>
        <v>10</v>
      </c>
      <c r="O14" s="16">
        <f>INDEX(O4:O13, MATCH($L$14, L4:L13, 0))</f>
        <v>35.5</v>
      </c>
      <c r="P14" s="21">
        <f>INDEX(P4:P13, MATCH($L$14, L4:L13, 0))</f>
        <v>281.37712945412875</v>
      </c>
      <c r="Q14" s="21">
        <f>INDEX(Q4:Q13, MATCH($L$14, L4:L13, 0))</f>
        <v>23.653904625043083</v>
      </c>
      <c r="R14" s="21">
        <f>INDEX(R4:R13, MATCH($L$14, L4:L13, 0))</f>
        <v>4891.9715026341437</v>
      </c>
      <c r="S14" s="36" t="e">
        <f>(L14-$D$15)/$D$15</f>
        <v>#DIV/0!</v>
      </c>
      <c r="T14" s="38">
        <f>MIN(T4:T13)</f>
        <v>3094968.1412456548</v>
      </c>
      <c r="U14" s="39">
        <f>INDEX(U4:U13, MATCH($T$14, T4:T13, 0))</f>
        <v>412.65615384613807</v>
      </c>
      <c r="V14" s="38">
        <f>INDEX(V4:V13, MATCH($T$14, T4:T13, 0))</f>
        <v>5</v>
      </c>
      <c r="W14" s="38">
        <f>INDEX(W4:W13, MATCH($T$14, T4:T13, 0))</f>
        <v>35.5</v>
      </c>
      <c r="X14" s="39">
        <f>INDEX(X4:X13, MATCH($T$14, T4:T13, 0))</f>
        <v>631.71089638895785</v>
      </c>
      <c r="Y14" s="39">
        <f>INDEX(Y4:Y13, MATCH($T$14, T4:T13, 0))</f>
        <v>72.434247090732526</v>
      </c>
      <c r="Z14" s="39">
        <f>INDEX(Z4:Z13, MATCH($T$14, T4:T13, 0))</f>
        <v>6205.0557415241183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</sheetData>
  <mergeCells count="1">
    <mergeCell ref="B14:C14"/>
  </mergeCells>
  <conditionalFormatting sqref="C1:C13 C15:C16 C42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7:C41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AA4A-D7D6-4D4E-8170-3487C5779A02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-0.98185014880878607</v>
      </c>
      <c r="J2" s="28" t="e">
        <f>(S14-J14)/J14</f>
        <v>#DIV/0!</v>
      </c>
      <c r="K2" s="28"/>
      <c r="L2" s="1" t="s">
        <v>19</v>
      </c>
      <c r="P2" s="1">
        <f>(P14-H14)/H14</f>
        <v>-0.79519638371196644</v>
      </c>
      <c r="R2" s="1">
        <f>(R14-J14)/J14</f>
        <v>-0.29500102310610071</v>
      </c>
      <c r="T2" s="1" t="s">
        <v>20</v>
      </c>
      <c r="X2" s="1">
        <f>(X14-P14)/P14</f>
        <v>4.7911024438566185</v>
      </c>
      <c r="Z2" s="1">
        <f>(Z14-R14)/R14</f>
        <v>0.54954210018309713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411</v>
      </c>
      <c r="D4" s="23">
        <v>2655509.206984892</v>
      </c>
      <c r="E4" s="33">
        <v>746.35769230770302</v>
      </c>
      <c r="F4" s="5">
        <v>10</v>
      </c>
      <c r="G4" s="23">
        <v>62</v>
      </c>
      <c r="H4" s="33">
        <v>1432.8892823237711</v>
      </c>
      <c r="I4" s="23">
        <v>42.061933484893686</v>
      </c>
      <c r="J4" s="5">
        <v>6860.6973167659607</v>
      </c>
      <c r="K4" s="31"/>
      <c r="L4" s="23">
        <v>3345274.2861354691</v>
      </c>
      <c r="M4" s="33">
        <v>430.93769230772381</v>
      </c>
      <c r="N4" s="5">
        <v>8</v>
      </c>
      <c r="O4" s="5">
        <v>27</v>
      </c>
      <c r="P4" s="33">
        <v>262.73415259732508</v>
      </c>
      <c r="Q4" s="5">
        <v>26.925145185121998</v>
      </c>
      <c r="R4" s="5">
        <v>5162.2764153837297</v>
      </c>
      <c r="S4" s="31"/>
      <c r="T4" s="23">
        <v>3190365.1871643621</v>
      </c>
      <c r="U4" s="33">
        <v>305.81769230766577</v>
      </c>
      <c r="V4" s="5">
        <v>7</v>
      </c>
      <c r="W4" s="5">
        <v>36.5</v>
      </c>
      <c r="X4" s="33">
        <v>1468.4983096383014</v>
      </c>
      <c r="Y4" s="5">
        <v>63.940926077487894</v>
      </c>
      <c r="Z4" s="5">
        <v>6947.5611249149242</v>
      </c>
      <c r="AA4" s="35"/>
    </row>
    <row r="5" spans="2:27" x14ac:dyDescent="0.2">
      <c r="B5" s="4">
        <v>2</v>
      </c>
      <c r="C5" s="4">
        <v>718</v>
      </c>
      <c r="D5" s="23">
        <v>2747335.9466665499</v>
      </c>
      <c r="E5" s="33">
        <v>267.92076923069544</v>
      </c>
      <c r="F5" s="5">
        <v>9</v>
      </c>
      <c r="G5" s="23">
        <v>58</v>
      </c>
      <c r="H5" s="33">
        <v>1475.5724969480973</v>
      </c>
      <c r="I5" s="23">
        <v>49.007217054084578</v>
      </c>
      <c r="J5" s="5">
        <v>6994.3493055770141</v>
      </c>
      <c r="K5" s="31"/>
      <c r="L5" s="23">
        <v>3335819.0211002519</v>
      </c>
      <c r="M5" s="33">
        <v>933.43769230763462</v>
      </c>
      <c r="N5" s="5">
        <v>13</v>
      </c>
      <c r="O5" s="5">
        <v>32</v>
      </c>
      <c r="P5" s="33">
        <v>830.11546428493375</v>
      </c>
      <c r="Q5" s="5">
        <v>18.32846317343995</v>
      </c>
      <c r="R5" s="5">
        <v>5424.7182670785087</v>
      </c>
      <c r="S5" s="31"/>
      <c r="T5" s="23">
        <v>3212278.140744613</v>
      </c>
      <c r="U5" s="33">
        <v>356.97153846160154</v>
      </c>
      <c r="V5" s="5">
        <v>11</v>
      </c>
      <c r="W5" s="5">
        <v>46</v>
      </c>
      <c r="X5" s="33">
        <v>2337.6475147669739</v>
      </c>
      <c r="Y5" s="5">
        <v>51.676069631872402</v>
      </c>
      <c r="Z5" s="5">
        <v>8006.2564971409565</v>
      </c>
      <c r="AA5" s="35"/>
    </row>
    <row r="6" spans="2:27" x14ac:dyDescent="0.2">
      <c r="B6" s="4">
        <v>3</v>
      </c>
      <c r="C6" s="4">
        <v>931</v>
      </c>
      <c r="D6" s="23">
        <v>2935876.9305994539</v>
      </c>
      <c r="E6" s="33">
        <v>367.96923076921996</v>
      </c>
      <c r="F6" s="5">
        <v>9</v>
      </c>
      <c r="G6" s="23">
        <v>52</v>
      </c>
      <c r="H6" s="33">
        <v>1620.3707912944833</v>
      </c>
      <c r="I6" s="23">
        <v>43.62497511980802</v>
      </c>
      <c r="J6" s="5">
        <v>7373.1067196869253</v>
      </c>
      <c r="K6" s="31"/>
      <c r="L6" s="23">
        <v>3279926.7066765851</v>
      </c>
      <c r="M6" s="33">
        <v>338.47384615389348</v>
      </c>
      <c r="N6" s="5">
        <v>14</v>
      </c>
      <c r="O6" s="5">
        <v>39.5</v>
      </c>
      <c r="P6" s="33">
        <v>1551.5939108772111</v>
      </c>
      <c r="Q6" s="5">
        <v>21.148405244602163</v>
      </c>
      <c r="R6" s="5">
        <v>6552.9546297211309</v>
      </c>
      <c r="S6" s="31"/>
      <c r="T6" s="23">
        <v>3311680.3818593482</v>
      </c>
      <c r="U6" s="33">
        <v>342.90846153843</v>
      </c>
      <c r="V6" s="5">
        <v>7</v>
      </c>
      <c r="W6" s="5">
        <v>35</v>
      </c>
      <c r="X6" s="33">
        <v>1955.0318915936971</v>
      </c>
      <c r="Y6" s="5">
        <v>62.6004347508498</v>
      </c>
      <c r="Z6" s="5">
        <v>7655.0880108627889</v>
      </c>
      <c r="AA6" s="35"/>
    </row>
    <row r="7" spans="2:27" x14ac:dyDescent="0.2">
      <c r="B7" s="4">
        <v>4</v>
      </c>
      <c r="C7" s="4">
        <v>95</v>
      </c>
      <c r="D7" s="23">
        <v>2971485.6937537631</v>
      </c>
      <c r="E7" s="33">
        <v>223.94230769230768</v>
      </c>
      <c r="F7" s="5">
        <v>12</v>
      </c>
      <c r="G7" s="23">
        <v>84</v>
      </c>
      <c r="H7" s="33">
        <v>3903.4469950750617</v>
      </c>
      <c r="I7" s="23">
        <v>53.938278298104905</v>
      </c>
      <c r="J7" s="5">
        <v>9638.6103932922542</v>
      </c>
      <c r="K7" s="31"/>
      <c r="L7" s="23">
        <v>3414028.6117618671</v>
      </c>
      <c r="M7" s="33">
        <v>504.88000000003149</v>
      </c>
      <c r="N7" s="5">
        <v>9</v>
      </c>
      <c r="O7" s="5">
        <v>26</v>
      </c>
      <c r="P7" s="33">
        <v>533.56068841285037</v>
      </c>
      <c r="Q7" s="5">
        <v>22.95391934467925</v>
      </c>
      <c r="R7" s="5">
        <v>5223.2898573263965</v>
      </c>
      <c r="S7" s="31"/>
      <c r="T7" s="23">
        <v>3568612.248452506</v>
      </c>
      <c r="U7" s="33">
        <v>374.43461538462617</v>
      </c>
      <c r="V7" s="5">
        <v>16</v>
      </c>
      <c r="W7" s="5">
        <v>43</v>
      </c>
      <c r="X7" s="33">
        <v>3871.3450536374553</v>
      </c>
      <c r="Y7" s="5">
        <v>32.790248746261149</v>
      </c>
      <c r="Z7" s="5">
        <v>9201.5704872886672</v>
      </c>
      <c r="AA7" s="35"/>
    </row>
    <row r="8" spans="2:27" x14ac:dyDescent="0.2">
      <c r="B8" s="4">
        <v>5</v>
      </c>
      <c r="C8" s="4">
        <v>611</v>
      </c>
      <c r="D8" s="23">
        <v>2853635.2218556111</v>
      </c>
      <c r="E8" s="33">
        <v>248.48615384615886</v>
      </c>
      <c r="F8" s="5">
        <v>7</v>
      </c>
      <c r="G8" s="23">
        <v>54</v>
      </c>
      <c r="H8" s="33">
        <v>1650.0041311870566</v>
      </c>
      <c r="I8" s="23">
        <v>58.845104624565174</v>
      </c>
      <c r="J8" s="5">
        <v>7292.222941384257</v>
      </c>
      <c r="K8" s="31"/>
      <c r="L8" s="23">
        <v>3470407.3439688832</v>
      </c>
      <c r="M8" s="33">
        <v>419.38769230771305</v>
      </c>
      <c r="N8" s="5">
        <v>5</v>
      </c>
      <c r="O8" s="5">
        <v>20.5</v>
      </c>
      <c r="P8" s="33">
        <v>202.93628014920205</v>
      </c>
      <c r="Q8" s="5">
        <v>25.550144729313072</v>
      </c>
      <c r="R8" s="5">
        <v>4816.9536510238504</v>
      </c>
      <c r="S8" s="31"/>
      <c r="T8" s="23">
        <v>3193748.6640521381</v>
      </c>
      <c r="U8" s="33">
        <v>272.98076923076923</v>
      </c>
      <c r="V8" s="5">
        <v>5</v>
      </c>
      <c r="W8" s="5">
        <v>34.5</v>
      </c>
      <c r="X8" s="33">
        <v>1003.7403569382029</v>
      </c>
      <c r="Y8" s="5">
        <v>74.093451054529339</v>
      </c>
      <c r="Z8" s="5">
        <v>6717.6827341532762</v>
      </c>
      <c r="AA8" s="35"/>
    </row>
    <row r="9" spans="2:27" x14ac:dyDescent="0.2">
      <c r="B9" s="4">
        <v>6</v>
      </c>
      <c r="C9" s="4">
        <v>459</v>
      </c>
      <c r="D9" s="23">
        <v>2742819.1226316439</v>
      </c>
      <c r="E9" s="33">
        <v>459.95230769228118</v>
      </c>
      <c r="F9" s="5">
        <v>9</v>
      </c>
      <c r="G9" s="23">
        <v>60</v>
      </c>
      <c r="H9" s="33">
        <v>1685.4269327181169</v>
      </c>
      <c r="I9" s="23">
        <v>49.180200943699965</v>
      </c>
      <c r="J9" s="5">
        <v>7198.4560253914678</v>
      </c>
      <c r="K9" s="31"/>
      <c r="L9" s="23">
        <v>3185119.4557134821</v>
      </c>
      <c r="M9" s="33">
        <v>299.14692307688085</v>
      </c>
      <c r="N9" s="5">
        <v>8</v>
      </c>
      <c r="O9" s="5">
        <v>32</v>
      </c>
      <c r="P9" s="33">
        <v>316.63389480697015</v>
      </c>
      <c r="Q9" s="5">
        <v>28.060334954040417</v>
      </c>
      <c r="R9" s="5">
        <v>4802.1990432987795</v>
      </c>
      <c r="S9" s="31"/>
      <c r="T9" s="23">
        <v>3242935.805105946</v>
      </c>
      <c r="U9" s="33">
        <v>305.92538461536884</v>
      </c>
      <c r="V9" s="5">
        <v>5</v>
      </c>
      <c r="W9" s="5">
        <v>31.5</v>
      </c>
      <c r="X9" s="33">
        <v>775.24125381707074</v>
      </c>
      <c r="Y9" s="5">
        <v>70.647099428580489</v>
      </c>
      <c r="Z9" s="5">
        <v>6517.0007281380595</v>
      </c>
      <c r="AA9" s="35"/>
    </row>
    <row r="10" spans="2:27" x14ac:dyDescent="0.2">
      <c r="B10" s="4">
        <v>7</v>
      </c>
      <c r="C10" s="4">
        <v>783</v>
      </c>
      <c r="D10" s="23">
        <v>2646159.4544653222</v>
      </c>
      <c r="E10" s="33">
        <v>386.21384615391992</v>
      </c>
      <c r="F10" s="5">
        <v>9</v>
      </c>
      <c r="G10" s="23">
        <v>61.5</v>
      </c>
      <c r="H10" s="33">
        <v>1546.0366401033648</v>
      </c>
      <c r="I10" s="23">
        <v>47.482404303921577</v>
      </c>
      <c r="J10" s="5">
        <v>6811.6397337999251</v>
      </c>
      <c r="K10" s="31"/>
      <c r="L10" s="23">
        <v>3506363.8094496159</v>
      </c>
      <c r="M10" s="33">
        <v>1068.8699999999685</v>
      </c>
      <c r="N10" s="5">
        <v>4</v>
      </c>
      <c r="O10" s="5">
        <v>17.5</v>
      </c>
      <c r="P10" s="33">
        <v>0</v>
      </c>
      <c r="Q10" s="5">
        <v>28.617417281654802</v>
      </c>
      <c r="R10" s="5">
        <v>3968.3657713669891</v>
      </c>
      <c r="S10" s="31"/>
      <c r="T10" s="23">
        <v>3252155.2584156939</v>
      </c>
      <c r="U10" s="33">
        <v>395.55307692301886</v>
      </c>
      <c r="V10" s="5">
        <v>6</v>
      </c>
      <c r="W10" s="5">
        <v>34.5</v>
      </c>
      <c r="X10" s="33">
        <v>1447.3735379838574</v>
      </c>
      <c r="Y10" s="5">
        <v>69.439241210833927</v>
      </c>
      <c r="Z10" s="5">
        <v>7224.820401388517</v>
      </c>
      <c r="AA10" s="35"/>
    </row>
    <row r="11" spans="2:27" x14ac:dyDescent="0.2">
      <c r="B11" s="4">
        <v>8</v>
      </c>
      <c r="C11" s="4">
        <v>736</v>
      </c>
      <c r="D11" s="23">
        <v>2804792.8102337131</v>
      </c>
      <c r="E11" s="33">
        <v>305.85307692302956</v>
      </c>
      <c r="F11" s="5">
        <v>10</v>
      </c>
      <c r="G11" s="23">
        <v>60.5</v>
      </c>
      <c r="H11" s="33">
        <v>1921.2620207470325</v>
      </c>
      <c r="I11" s="23">
        <v>47.905435385876402</v>
      </c>
      <c r="J11" s="5">
        <v>7479.6647289515504</v>
      </c>
      <c r="K11" s="31"/>
      <c r="L11" s="23">
        <v>3568002.2146927929</v>
      </c>
      <c r="M11" s="33">
        <v>812.48846153845079</v>
      </c>
      <c r="N11" s="5">
        <v>5</v>
      </c>
      <c r="O11" s="5">
        <v>16</v>
      </c>
      <c r="P11" s="33">
        <v>0</v>
      </c>
      <c r="Q11" s="5">
        <v>23.797504078837033</v>
      </c>
      <c r="R11" s="5">
        <v>3704.1831373461018</v>
      </c>
      <c r="S11" s="31"/>
      <c r="T11" s="23">
        <v>3163300.4115408459</v>
      </c>
      <c r="U11" s="33">
        <v>590.76923076923072</v>
      </c>
      <c r="V11" s="5">
        <v>6</v>
      </c>
      <c r="W11" s="5">
        <v>34.5</v>
      </c>
      <c r="X11" s="33">
        <v>749.29298235267083</v>
      </c>
      <c r="Y11" s="5">
        <v>61.790628106561407</v>
      </c>
      <c r="Z11" s="5">
        <v>6242.5538876342762</v>
      </c>
      <c r="AA11" s="35"/>
    </row>
    <row r="12" spans="2:27" x14ac:dyDescent="0.2">
      <c r="B12" s="4">
        <v>9</v>
      </c>
      <c r="C12" s="4">
        <v>135</v>
      </c>
      <c r="D12" s="23">
        <v>2674149.6323116128</v>
      </c>
      <c r="E12" s="33">
        <v>392.19923076927296</v>
      </c>
      <c r="F12" s="5">
        <v>9</v>
      </c>
      <c r="G12" s="23">
        <v>62</v>
      </c>
      <c r="H12" s="33">
        <v>1406.1204622112591</v>
      </c>
      <c r="I12" s="23">
        <v>48.1253472275747</v>
      </c>
      <c r="J12" s="5">
        <v>7051.3422947774798</v>
      </c>
      <c r="K12" s="31"/>
      <c r="L12" s="23">
        <v>3277149.6512552379</v>
      </c>
      <c r="M12" s="33">
        <v>560.56538461537389</v>
      </c>
      <c r="N12" s="5">
        <v>8</v>
      </c>
      <c r="O12" s="5">
        <v>32</v>
      </c>
      <c r="P12" s="33">
        <v>840.66303382457272</v>
      </c>
      <c r="Q12" s="5">
        <v>27.383257312271024</v>
      </c>
      <c r="R12" s="5">
        <v>5907.6129904403142</v>
      </c>
      <c r="S12" s="31"/>
      <c r="T12" s="23">
        <v>3303988.2080223118</v>
      </c>
      <c r="U12" s="33">
        <v>795.74538461532688</v>
      </c>
      <c r="V12" s="5">
        <v>5</v>
      </c>
      <c r="W12" s="5">
        <v>30.5</v>
      </c>
      <c r="X12" s="33">
        <v>1024.6568437995659</v>
      </c>
      <c r="Y12" s="5">
        <v>70.094438730266646</v>
      </c>
      <c r="Z12" s="5">
        <v>6952.2065912389944</v>
      </c>
      <c r="AA12" s="35"/>
    </row>
    <row r="13" spans="2:27" x14ac:dyDescent="0.2">
      <c r="B13" s="4">
        <v>10</v>
      </c>
      <c r="C13" s="4">
        <v>35</v>
      </c>
      <c r="D13" s="23">
        <v>2951873.2491393662</v>
      </c>
      <c r="E13" s="33">
        <v>307.81230769227614</v>
      </c>
      <c r="F13" s="5">
        <v>12</v>
      </c>
      <c r="G13" s="23">
        <v>51.5</v>
      </c>
      <c r="H13" s="33">
        <v>1540.5232942146747</v>
      </c>
      <c r="I13" s="23">
        <v>30.249694098756009</v>
      </c>
      <c r="J13" s="5">
        <v>6771.8056764010207</v>
      </c>
      <c r="K13" s="31"/>
      <c r="L13" s="23">
        <v>3286983.5833789571</v>
      </c>
      <c r="M13" s="33">
        <v>432.28307692307192</v>
      </c>
      <c r="N13" s="5">
        <v>7</v>
      </c>
      <c r="O13" s="5">
        <v>28</v>
      </c>
      <c r="P13" s="33">
        <v>302.47078690226095</v>
      </c>
      <c r="Q13" s="5">
        <v>27.313604376622767</v>
      </c>
      <c r="R13" s="5">
        <v>4966.6466368854453</v>
      </c>
      <c r="S13" s="31"/>
      <c r="T13" s="23">
        <v>3159757.3699895809</v>
      </c>
      <c r="U13" s="33">
        <v>334.00307692309769</v>
      </c>
      <c r="V13" s="5">
        <v>8</v>
      </c>
      <c r="W13" s="5">
        <v>41.5</v>
      </c>
      <c r="X13" s="33">
        <v>1833.6593220244843</v>
      </c>
      <c r="Y13" s="5">
        <v>68.049788124440354</v>
      </c>
      <c r="Z13" s="5">
        <v>7441.2095910504504</v>
      </c>
      <c r="AA13" s="35"/>
    </row>
    <row r="14" spans="2:27" x14ac:dyDescent="0.2">
      <c r="B14" s="46" t="s">
        <v>3</v>
      </c>
      <c r="C14" s="47"/>
      <c r="D14" s="9">
        <f>MIN(D4:D13)</f>
        <v>2646159.4544653222</v>
      </c>
      <c r="E14" s="22">
        <f>INDEX(E4:E13, MATCH($D$14, D4:D13, 0))</f>
        <v>386.21384615391992</v>
      </c>
      <c r="F14" s="9">
        <f>INDEX(F4:F13, MATCH($D$14, D4:D13, 0))</f>
        <v>9</v>
      </c>
      <c r="G14" s="9">
        <f>INDEX(G4:G13, MATCH($D$14, D4:D13, 0))</f>
        <v>61.5</v>
      </c>
      <c r="H14" s="22">
        <f>INDEX(H4:H13, MATCH($D$14, D4:D13, 0))</f>
        <v>1546.0366401033648</v>
      </c>
      <c r="I14" s="22">
        <f>INDEX(I4:I13, MATCH($D$14, D4:D13, 0))</f>
        <v>47.482404303921577</v>
      </c>
      <c r="J14" s="22">
        <f>INDEX(J4:J13, MATCH($D$14, D4:D13, 0))</f>
        <v>6811.6397337999251</v>
      </c>
      <c r="K14" s="32" t="e">
        <f>(D14-$D$15)/$D$15</f>
        <v>#DIV/0!</v>
      </c>
      <c r="L14" s="16">
        <f>MIN(L4:L13)</f>
        <v>3185119.4557134821</v>
      </c>
      <c r="M14" s="21">
        <f>INDEX(M4:M13, MATCH($L$14, L4:L13, 0))</f>
        <v>299.14692307688085</v>
      </c>
      <c r="N14" s="16">
        <f>INDEX(N4:N13, MATCH($L$14, L4:L13, 0))</f>
        <v>8</v>
      </c>
      <c r="O14" s="16">
        <f>INDEX(O4:O13, MATCH($L$14, L4:L13, 0))</f>
        <v>32</v>
      </c>
      <c r="P14" s="21">
        <f>INDEX(P4:P13, MATCH($L$14, L4:L13, 0))</f>
        <v>316.63389480697015</v>
      </c>
      <c r="Q14" s="21">
        <f>INDEX(Q4:Q13, MATCH($L$14, L4:L13, 0))</f>
        <v>28.060334954040417</v>
      </c>
      <c r="R14" s="21">
        <f>INDEX(R4:R13, MATCH($L$14, L4:L13, 0))</f>
        <v>4802.1990432987795</v>
      </c>
      <c r="S14" s="36" t="e">
        <f>(L14-$D$15)/$D$15</f>
        <v>#DIV/0!</v>
      </c>
      <c r="T14" s="38">
        <f>MIN(T4:T13)</f>
        <v>3159757.3699895809</v>
      </c>
      <c r="U14" s="39">
        <f>INDEX(U4:U13, MATCH($T$14, T4:T13, 0))</f>
        <v>334.00307692309769</v>
      </c>
      <c r="V14" s="38">
        <f>INDEX(V4:V13, MATCH($T$14, T4:T13, 0))</f>
        <v>8</v>
      </c>
      <c r="W14" s="38">
        <f>INDEX(W4:W13, MATCH($T$14, T4:T13, 0))</f>
        <v>41.5</v>
      </c>
      <c r="X14" s="39">
        <f>INDEX(X4:X13, MATCH($T$14, T4:T13, 0))</f>
        <v>1833.6593220244843</v>
      </c>
      <c r="Y14" s="39">
        <f>INDEX(Y4:Y13, MATCH($T$14, T4:T13, 0))</f>
        <v>68.049788124440354</v>
      </c>
      <c r="Z14" s="39">
        <f>INDEX(Z4:Z13, MATCH($T$14, T4:T13, 0))</f>
        <v>7441.2095910504504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81" priority="7"/>
    <cfRule type="duplicateValues" dxfId="80" priority="8"/>
  </conditionalFormatting>
  <conditionalFormatting sqref="C14">
    <cfRule type="duplicateValues" dxfId="79" priority="3"/>
    <cfRule type="duplicateValues" dxfId="78" priority="4"/>
  </conditionalFormatting>
  <conditionalFormatting sqref="C17:C41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4581-7E5F-44D9-B6AC-F3E8EE286E95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-0.98004730505840087</v>
      </c>
      <c r="J2" s="28" t="e">
        <f>(S14-J14)/J14</f>
        <v>#DIV/0!</v>
      </c>
      <c r="K2" s="28"/>
      <c r="L2" s="1" t="s">
        <v>19</v>
      </c>
      <c r="P2" s="1">
        <f>(P14-H14)/H14</f>
        <v>0.2630734840621895</v>
      </c>
      <c r="R2" s="1">
        <f>(R14-J14)/J14</f>
        <v>-3.2755397343927857E-2</v>
      </c>
      <c r="T2" s="1" t="s">
        <v>20</v>
      </c>
      <c r="X2" s="1">
        <f>(X14-P14)/P14</f>
        <v>-0.39644368868638202</v>
      </c>
      <c r="Z2" s="1">
        <f>(Z14-R14)/R14</f>
        <v>-1.3462894253880938E-3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726</v>
      </c>
      <c r="D4" s="23">
        <v>2984138.0583900362</v>
      </c>
      <c r="E4" s="33">
        <v>217.94538461540537</v>
      </c>
      <c r="F4" s="5">
        <v>6</v>
      </c>
      <c r="G4" s="23">
        <v>43.5</v>
      </c>
      <c r="H4" s="33">
        <v>1067.3067527890266</v>
      </c>
      <c r="I4" s="23">
        <v>57.616442809843569</v>
      </c>
      <c r="J4" s="5">
        <v>6687.9191070410343</v>
      </c>
      <c r="K4" s="31"/>
      <c r="L4" s="23">
        <v>3537848.9215509761</v>
      </c>
      <c r="M4" s="33">
        <v>393.25769230768151</v>
      </c>
      <c r="N4" s="5">
        <v>6</v>
      </c>
      <c r="O4" s="5">
        <v>18.5</v>
      </c>
      <c r="P4" s="33">
        <v>434.29307572548811</v>
      </c>
      <c r="Q4" s="5">
        <v>25.102941206876263</v>
      </c>
      <c r="R4" s="5">
        <v>4495.0058464059457</v>
      </c>
      <c r="S4" s="31"/>
      <c r="T4" s="23">
        <v>5032398.2440404724</v>
      </c>
      <c r="U4" s="33">
        <v>258.69000000001574</v>
      </c>
      <c r="V4" s="5">
        <v>28</v>
      </c>
      <c r="W4" s="5">
        <v>87.5</v>
      </c>
      <c r="X4" s="33">
        <v>10406.074518136864</v>
      </c>
      <c r="Y4" s="5">
        <v>51.517695359201582</v>
      </c>
      <c r="Z4" s="5">
        <v>16041.015142978255</v>
      </c>
      <c r="AA4" s="35"/>
    </row>
    <row r="5" spans="2:27" x14ac:dyDescent="0.2">
      <c r="B5" s="4">
        <v>2</v>
      </c>
      <c r="C5" s="4">
        <v>275</v>
      </c>
      <c r="D5" s="23">
        <v>2862963.9859135891</v>
      </c>
      <c r="E5" s="33">
        <v>320.07230769233922</v>
      </c>
      <c r="F5" s="5">
        <v>7</v>
      </c>
      <c r="G5" s="23">
        <v>49.5</v>
      </c>
      <c r="H5" s="33">
        <v>1189.5176486382932</v>
      </c>
      <c r="I5" s="23">
        <v>53.211742361272954</v>
      </c>
      <c r="J5" s="5">
        <v>6732.2141757641893</v>
      </c>
      <c r="K5" s="31"/>
      <c r="L5" s="23">
        <v>3428152.1429860839</v>
      </c>
      <c r="M5" s="33">
        <v>506.85076923073768</v>
      </c>
      <c r="N5" s="5">
        <v>5</v>
      </c>
      <c r="O5" s="5">
        <v>22</v>
      </c>
      <c r="P5" s="33">
        <v>84.950873153332182</v>
      </c>
      <c r="Q5" s="5">
        <v>26.854712985068982</v>
      </c>
      <c r="R5" s="5">
        <v>5197.1164960721399</v>
      </c>
      <c r="S5" s="31"/>
      <c r="T5" s="23">
        <v>3218111.2078702152</v>
      </c>
      <c r="U5" s="33">
        <v>304.02615384610652</v>
      </c>
      <c r="V5" s="5">
        <v>6</v>
      </c>
      <c r="W5" s="5">
        <v>34</v>
      </c>
      <c r="X5" s="33">
        <v>1175.7319973700246</v>
      </c>
      <c r="Y5" s="5">
        <v>58.08574391451279</v>
      </c>
      <c r="Z5" s="5">
        <v>6695.2358054950582</v>
      </c>
      <c r="AA5" s="35"/>
    </row>
    <row r="6" spans="2:27" x14ac:dyDescent="0.2">
      <c r="B6" s="4">
        <v>3</v>
      </c>
      <c r="C6" s="4">
        <v>80</v>
      </c>
      <c r="D6" s="23">
        <v>3004334.938006626</v>
      </c>
      <c r="E6" s="33">
        <v>465.9130769231034</v>
      </c>
      <c r="F6" s="5">
        <v>8</v>
      </c>
      <c r="G6" s="23">
        <v>45</v>
      </c>
      <c r="H6" s="33">
        <v>1450.9712992922323</v>
      </c>
      <c r="I6" s="23">
        <v>47.447550895004454</v>
      </c>
      <c r="J6" s="5">
        <v>6676.3686371217764</v>
      </c>
      <c r="K6" s="31"/>
      <c r="L6" s="23">
        <v>3933952.730458932</v>
      </c>
      <c r="M6" s="33">
        <v>525.80538461540038</v>
      </c>
      <c r="N6" s="5">
        <v>21</v>
      </c>
      <c r="O6" s="5">
        <v>25.5</v>
      </c>
      <c r="P6" s="33">
        <v>3132.3882384340959</v>
      </c>
      <c r="Q6" s="5">
        <v>8.9930027046472478</v>
      </c>
      <c r="R6" s="5">
        <v>8366.7231232969643</v>
      </c>
      <c r="S6" s="31"/>
      <c r="T6" s="23">
        <v>3484701.5785408318</v>
      </c>
      <c r="U6" s="33">
        <v>387.24769230770806</v>
      </c>
      <c r="V6" s="5">
        <v>5</v>
      </c>
      <c r="W6" s="5">
        <v>25.5</v>
      </c>
      <c r="X6" s="33">
        <v>1649.9167607796551</v>
      </c>
      <c r="Y6" s="5">
        <v>55.325932278736651</v>
      </c>
      <c r="Z6" s="5">
        <v>7551.550627839596</v>
      </c>
      <c r="AA6" s="35"/>
    </row>
    <row r="7" spans="2:27" x14ac:dyDescent="0.2">
      <c r="B7" s="4">
        <v>4</v>
      </c>
      <c r="C7" s="4">
        <v>960</v>
      </c>
      <c r="D7" s="23">
        <v>2993077.1320915068</v>
      </c>
      <c r="E7" s="33">
        <v>192.40384615384616</v>
      </c>
      <c r="F7" s="5">
        <v>6</v>
      </c>
      <c r="G7" s="23">
        <v>42.5</v>
      </c>
      <c r="H7" s="33">
        <v>941.75226036887977</v>
      </c>
      <c r="I7" s="23">
        <v>54.228706588671514</v>
      </c>
      <c r="J7" s="5">
        <v>6518.2180198857614</v>
      </c>
      <c r="K7" s="31"/>
      <c r="L7" s="23">
        <v>3292693.4029249428</v>
      </c>
      <c r="M7" s="33">
        <v>219.54307692313489</v>
      </c>
      <c r="N7" s="5">
        <v>11</v>
      </c>
      <c r="O7" s="5">
        <v>35.5</v>
      </c>
      <c r="P7" s="33">
        <v>1502.4482008190323</v>
      </c>
      <c r="Q7" s="5">
        <v>23.734082770928172</v>
      </c>
      <c r="R7" s="5">
        <v>6511.6978254326095</v>
      </c>
      <c r="S7" s="31"/>
      <c r="T7" s="23">
        <v>3235368.5331288669</v>
      </c>
      <c r="U7" s="33">
        <v>443.77384615381465</v>
      </c>
      <c r="V7" s="5">
        <v>6</v>
      </c>
      <c r="W7" s="5">
        <v>33</v>
      </c>
      <c r="X7" s="33">
        <v>1140.1023025078327</v>
      </c>
      <c r="Y7" s="5">
        <v>61.884824619932971</v>
      </c>
      <c r="Z7" s="5">
        <v>6678.7537679352545</v>
      </c>
      <c r="AA7" s="35"/>
    </row>
    <row r="8" spans="2:27" x14ac:dyDescent="0.2">
      <c r="B8" s="4">
        <v>5</v>
      </c>
      <c r="C8" s="4">
        <v>832</v>
      </c>
      <c r="D8" s="23">
        <v>3094609.789719007</v>
      </c>
      <c r="E8" s="33">
        <v>231.91076923081144</v>
      </c>
      <c r="F8" s="5">
        <v>17</v>
      </c>
      <c r="G8" s="23">
        <v>62</v>
      </c>
      <c r="H8" s="33">
        <v>2869.8810051512792</v>
      </c>
      <c r="I8" s="23">
        <v>28.808647889001303</v>
      </c>
      <c r="J8" s="5">
        <v>8359.9160719419815</v>
      </c>
      <c r="K8" s="31"/>
      <c r="L8" s="23">
        <v>3504398.2891902528</v>
      </c>
      <c r="M8" s="33">
        <v>495.57692307692304</v>
      </c>
      <c r="N8" s="5">
        <v>13</v>
      </c>
      <c r="O8" s="5">
        <v>32.5</v>
      </c>
      <c r="P8" s="33">
        <v>2082.2657963548663</v>
      </c>
      <c r="Q8" s="5">
        <v>18.313237755619092</v>
      </c>
      <c r="R8" s="5">
        <v>7332.0462201619448</v>
      </c>
      <c r="S8" s="31"/>
      <c r="T8" s="23">
        <v>5776732.7810719674</v>
      </c>
      <c r="U8" s="33">
        <v>244.35076923073771</v>
      </c>
      <c r="V8" s="5">
        <v>26</v>
      </c>
      <c r="W8" s="5">
        <v>89</v>
      </c>
      <c r="X8" s="33">
        <v>12504.682208037611</v>
      </c>
      <c r="Y8" s="5">
        <v>54.955779226742195</v>
      </c>
      <c r="Z8" s="5">
        <v>18286.825541693914</v>
      </c>
      <c r="AA8" s="35"/>
    </row>
    <row r="9" spans="2:27" x14ac:dyDescent="0.2">
      <c r="B9" s="4">
        <v>6</v>
      </c>
      <c r="C9" s="4">
        <v>950</v>
      </c>
      <c r="D9" s="23">
        <v>3076893.76860845</v>
      </c>
      <c r="E9" s="33">
        <v>393.44999999998919</v>
      </c>
      <c r="F9" s="5">
        <v>7</v>
      </c>
      <c r="G9" s="23">
        <v>47</v>
      </c>
      <c r="H9" s="33">
        <v>1993.3840317502081</v>
      </c>
      <c r="I9" s="23">
        <v>52.240711172152416</v>
      </c>
      <c r="J9" s="5">
        <v>7640.4583657129324</v>
      </c>
      <c r="K9" s="31"/>
      <c r="L9" s="23">
        <v>3635209.8413078259</v>
      </c>
      <c r="M9" s="33">
        <v>305.60153846154344</v>
      </c>
      <c r="N9" s="5">
        <v>4</v>
      </c>
      <c r="O9" s="5">
        <v>13</v>
      </c>
      <c r="P9" s="33">
        <v>3.2348849687369134</v>
      </c>
      <c r="Q9" s="5">
        <v>24.492914499836353</v>
      </c>
      <c r="R9" s="5">
        <v>3608.5595064818731</v>
      </c>
      <c r="S9" s="31"/>
      <c r="T9" s="23">
        <v>3203619.868595989</v>
      </c>
      <c r="U9" s="33">
        <v>678.93076923075841</v>
      </c>
      <c r="V9" s="5">
        <v>6</v>
      </c>
      <c r="W9" s="5">
        <v>33.5</v>
      </c>
      <c r="X9" s="33">
        <v>906.81209402611705</v>
      </c>
      <c r="Y9" s="5">
        <v>61.977896711471864</v>
      </c>
      <c r="Z9" s="5">
        <v>6502.931195508907</v>
      </c>
      <c r="AA9" s="35"/>
    </row>
    <row r="10" spans="2:27" x14ac:dyDescent="0.2">
      <c r="B10" s="4">
        <v>7</v>
      </c>
      <c r="C10" s="4">
        <v>78</v>
      </c>
      <c r="D10" s="23">
        <v>2929854.4229890029</v>
      </c>
      <c r="E10" s="33">
        <v>316.68307692305035</v>
      </c>
      <c r="F10" s="5">
        <v>6</v>
      </c>
      <c r="G10" s="23">
        <v>47.5</v>
      </c>
      <c r="H10" s="33">
        <v>1324.1287847536275</v>
      </c>
      <c r="I10" s="23">
        <v>61.58194030511094</v>
      </c>
      <c r="J10" s="5">
        <v>6975.4162890051157</v>
      </c>
      <c r="K10" s="31"/>
      <c r="L10" s="23">
        <v>3389468.5831397148</v>
      </c>
      <c r="M10" s="33">
        <v>329.19461538468914</v>
      </c>
      <c r="N10" s="5">
        <v>8</v>
      </c>
      <c r="O10" s="5">
        <v>26</v>
      </c>
      <c r="P10" s="33">
        <v>628.56730914916636</v>
      </c>
      <c r="Q10" s="5">
        <v>22.752238296611043</v>
      </c>
      <c r="R10" s="5">
        <v>5322.246752599036</v>
      </c>
      <c r="S10" s="31"/>
      <c r="T10" s="23">
        <v>3379440.7514133039</v>
      </c>
      <c r="U10" s="33">
        <v>383.31769230766577</v>
      </c>
      <c r="V10" s="5">
        <v>6</v>
      </c>
      <c r="W10" s="5">
        <v>28</v>
      </c>
      <c r="X10" s="33">
        <v>1225.9503189540105</v>
      </c>
      <c r="Y10" s="5">
        <v>54.790420859461477</v>
      </c>
      <c r="Z10" s="5">
        <v>6677.7781590431096</v>
      </c>
      <c r="AA10" s="35"/>
    </row>
    <row r="11" spans="2:27" x14ac:dyDescent="0.2">
      <c r="B11" s="4">
        <v>8</v>
      </c>
      <c r="C11" s="4">
        <v>250</v>
      </c>
      <c r="D11" s="23">
        <v>2950214.651565413</v>
      </c>
      <c r="E11" s="33">
        <v>328.73769230773451</v>
      </c>
      <c r="F11" s="5">
        <v>9</v>
      </c>
      <c r="G11" s="23">
        <v>50</v>
      </c>
      <c r="H11" s="33">
        <v>1458.8336280006226</v>
      </c>
      <c r="I11" s="23">
        <v>43.321447037150641</v>
      </c>
      <c r="J11" s="5">
        <v>7024.8427962764727</v>
      </c>
      <c r="K11" s="31"/>
      <c r="L11" s="23">
        <v>3369538.620432816</v>
      </c>
      <c r="M11" s="33">
        <v>586.62307692306615</v>
      </c>
      <c r="N11" s="5">
        <v>7</v>
      </c>
      <c r="O11" s="5">
        <v>26.5</v>
      </c>
      <c r="P11" s="33">
        <v>810.5886691538808</v>
      </c>
      <c r="Q11" s="5">
        <v>22.927296188377092</v>
      </c>
      <c r="R11" s="5">
        <v>5373.1241327776524</v>
      </c>
      <c r="S11" s="31"/>
      <c r="T11" s="23">
        <v>3208114.094654053</v>
      </c>
      <c r="U11" s="33">
        <v>270.81692307694959</v>
      </c>
      <c r="V11" s="5">
        <v>7</v>
      </c>
      <c r="W11" s="5">
        <v>35</v>
      </c>
      <c r="X11" s="33">
        <v>1398.2996007114798</v>
      </c>
      <c r="Y11" s="5">
        <v>57.218008111645737</v>
      </c>
      <c r="Z11" s="5">
        <v>6736.3932243510681</v>
      </c>
      <c r="AA11" s="35"/>
    </row>
    <row r="12" spans="2:27" x14ac:dyDescent="0.2">
      <c r="B12" s="4">
        <v>9</v>
      </c>
      <c r="C12" s="4">
        <v>330</v>
      </c>
      <c r="D12" s="23">
        <v>3432558.9999498562</v>
      </c>
      <c r="E12" s="33">
        <v>224.71153846153845</v>
      </c>
      <c r="F12" s="5">
        <v>8</v>
      </c>
      <c r="G12" s="23">
        <v>32.5</v>
      </c>
      <c r="H12" s="33">
        <v>1804.9600520753058</v>
      </c>
      <c r="I12" s="23">
        <v>36.193641381231089</v>
      </c>
      <c r="J12" s="5">
        <v>7728.8689704181079</v>
      </c>
      <c r="K12" s="31"/>
      <c r="L12" s="23">
        <v>4021915.6615188629</v>
      </c>
      <c r="M12" s="33">
        <v>317.61999999996846</v>
      </c>
      <c r="N12" s="5">
        <v>33</v>
      </c>
      <c r="O12" s="5">
        <v>40.5</v>
      </c>
      <c r="P12" s="33">
        <v>4319.0743668772166</v>
      </c>
      <c r="Q12" s="5">
        <v>10.567772689659268</v>
      </c>
      <c r="R12" s="5">
        <v>9435.1598038598331</v>
      </c>
      <c r="S12" s="31"/>
      <c r="T12" s="23">
        <v>3411860.3701679269</v>
      </c>
      <c r="U12" s="33">
        <v>441.76692307693884</v>
      </c>
      <c r="V12" s="5">
        <v>16</v>
      </c>
      <c r="W12" s="5">
        <v>44</v>
      </c>
      <c r="X12" s="33">
        <v>2800.5600241824854</v>
      </c>
      <c r="Y12" s="5">
        <v>33.153920792980664</v>
      </c>
      <c r="Z12" s="5">
        <v>8572.2952207183771</v>
      </c>
      <c r="AA12" s="35"/>
    </row>
    <row r="13" spans="2:27" x14ac:dyDescent="0.2">
      <c r="B13" s="4">
        <v>10</v>
      </c>
      <c r="C13" s="4">
        <v>489</v>
      </c>
      <c r="D13" s="23">
        <v>3007981.3729132558</v>
      </c>
      <c r="E13" s="33">
        <v>285.98538461544257</v>
      </c>
      <c r="F13" s="5">
        <v>5</v>
      </c>
      <c r="G13" s="23">
        <v>40</v>
      </c>
      <c r="H13" s="33">
        <v>665.9138128103375</v>
      </c>
      <c r="I13" s="23">
        <v>58.329974001445478</v>
      </c>
      <c r="J13" s="5">
        <v>6375.8042933365414</v>
      </c>
      <c r="K13" s="31"/>
      <c r="L13" s="23">
        <v>3293736.5155862351</v>
      </c>
      <c r="M13" s="33">
        <v>992.90846153842995</v>
      </c>
      <c r="N13" s="5">
        <v>8</v>
      </c>
      <c r="O13" s="5">
        <v>31</v>
      </c>
      <c r="P13" s="33">
        <v>781.39494506143478</v>
      </c>
      <c r="Q13" s="5">
        <v>23.495748662737533</v>
      </c>
      <c r="R13" s="5">
        <v>5882.3918092790582</v>
      </c>
      <c r="S13" s="31"/>
      <c r="T13" s="23">
        <v>3207270.4877398941</v>
      </c>
      <c r="U13" s="33">
        <v>432.62000000005804</v>
      </c>
      <c r="V13" s="5">
        <v>6</v>
      </c>
      <c r="W13" s="5">
        <v>35</v>
      </c>
      <c r="X13" s="33">
        <v>1298.2282459153612</v>
      </c>
      <c r="Y13" s="5">
        <v>64.005297893257094</v>
      </c>
      <c r="Z13" s="5">
        <v>6882.2076621950546</v>
      </c>
      <c r="AA13" s="35"/>
    </row>
    <row r="14" spans="2:27" x14ac:dyDescent="0.2">
      <c r="B14" s="46" t="s">
        <v>3</v>
      </c>
      <c r="C14" s="47"/>
      <c r="D14" s="9">
        <f>MIN(D4:D13)</f>
        <v>2862963.9859135891</v>
      </c>
      <c r="E14" s="22">
        <f>INDEX(E4:E13, MATCH($D$14, D4:D13, 0))</f>
        <v>320.07230769233922</v>
      </c>
      <c r="F14" s="9">
        <f>INDEX(F4:F13, MATCH($D$14, D4:D13, 0))</f>
        <v>7</v>
      </c>
      <c r="G14" s="9">
        <f>INDEX(G4:G13, MATCH($D$14, D4:D13, 0))</f>
        <v>49.5</v>
      </c>
      <c r="H14" s="22">
        <f>INDEX(H4:H13, MATCH($D$14, D4:D13, 0))</f>
        <v>1189.5176486382932</v>
      </c>
      <c r="I14" s="22">
        <f>INDEX(I4:I13, MATCH($D$14, D4:D13, 0))</f>
        <v>53.211742361272954</v>
      </c>
      <c r="J14" s="22">
        <f>INDEX(J4:J13, MATCH($D$14, D4:D13, 0))</f>
        <v>6732.2141757641893</v>
      </c>
      <c r="K14" s="32" t="e">
        <f>(D14-$D$15)/$D$15</f>
        <v>#DIV/0!</v>
      </c>
      <c r="L14" s="16">
        <f>MIN(L4:L13)</f>
        <v>3292693.4029249428</v>
      </c>
      <c r="M14" s="21">
        <f>INDEX(M4:M13, MATCH($L$14, L4:L13, 0))</f>
        <v>219.54307692313489</v>
      </c>
      <c r="N14" s="16">
        <f>INDEX(N4:N13, MATCH($L$14, L4:L13, 0))</f>
        <v>11</v>
      </c>
      <c r="O14" s="16">
        <f>INDEX(O4:O13, MATCH($L$14, L4:L13, 0))</f>
        <v>35.5</v>
      </c>
      <c r="P14" s="21">
        <f>INDEX(P4:P13, MATCH($L$14, L4:L13, 0))</f>
        <v>1502.4482008190323</v>
      </c>
      <c r="Q14" s="21">
        <f>INDEX(Q4:Q13, MATCH($L$14, L4:L13, 0))</f>
        <v>23.734082770928172</v>
      </c>
      <c r="R14" s="21">
        <f>INDEX(R4:R13, MATCH($L$14, L4:L13, 0))</f>
        <v>6511.6978254326095</v>
      </c>
      <c r="S14" s="36" t="e">
        <f>(L14-$D$15)/$D$15</f>
        <v>#DIV/0!</v>
      </c>
      <c r="T14" s="38">
        <f>MIN(T4:T13)</f>
        <v>3203619.868595989</v>
      </c>
      <c r="U14" s="39">
        <f>INDEX(U4:U13, MATCH($T$14, T4:T13, 0))</f>
        <v>678.93076923075841</v>
      </c>
      <c r="V14" s="38">
        <f>INDEX(V4:V13, MATCH($T$14, T4:T13, 0))</f>
        <v>6</v>
      </c>
      <c r="W14" s="38">
        <f>INDEX(W4:W13, MATCH($T$14, T4:T13, 0))</f>
        <v>33.5</v>
      </c>
      <c r="X14" s="39">
        <f>INDEX(X4:X13, MATCH($T$14, T4:T13, 0))</f>
        <v>906.81209402611705</v>
      </c>
      <c r="Y14" s="39">
        <f>INDEX(Y4:Y13, MATCH($T$14, T4:T13, 0))</f>
        <v>61.977896711471864</v>
      </c>
      <c r="Z14" s="39">
        <f>INDEX(Z4:Z13, MATCH($T$14, T4:T13, 0))</f>
        <v>6502.931195508907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77" priority="7"/>
    <cfRule type="duplicateValues" dxfId="76" priority="8"/>
  </conditionalFormatting>
  <conditionalFormatting sqref="C14">
    <cfRule type="duplicateValues" dxfId="75" priority="3"/>
    <cfRule type="duplicateValues" dxfId="74" priority="4"/>
  </conditionalFormatting>
  <conditionalFormatting sqref="C17:C41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9047-F7F8-4E6E-AF4F-4C056FEA68D4}">
  <dimension ref="B1:AA17"/>
  <sheetViews>
    <sheetView zoomScale="70" zoomScaleNormal="70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-0.98329895297349401</v>
      </c>
      <c r="J2" s="28" t="e">
        <f>(S14-J14)/J14</f>
        <v>#DIV/0!</v>
      </c>
      <c r="K2" s="28"/>
      <c r="L2" s="1" t="s">
        <v>19</v>
      </c>
      <c r="P2" s="1">
        <f>(P14-H14)/H14</f>
        <v>6.3775234609327505E-2</v>
      </c>
      <c r="R2" s="1">
        <f>(R14-J14)/J14</f>
        <v>-2.0824583019954213E-2</v>
      </c>
      <c r="T2" s="1" t="s">
        <v>20</v>
      </c>
      <c r="X2" s="1">
        <f>(X14-P14)/P14</f>
        <v>-0.20438821994538175</v>
      </c>
      <c r="Z2" s="1">
        <f>(Z14-R14)/R14</f>
        <v>1.6282254654702982E-2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488</v>
      </c>
      <c r="D4" s="23">
        <v>2904607.8878632719</v>
      </c>
      <c r="E4" s="33">
        <v>405.18076923075847</v>
      </c>
      <c r="F4" s="5">
        <v>12</v>
      </c>
      <c r="G4" s="23">
        <v>83</v>
      </c>
      <c r="H4" s="33">
        <v>3806.822197718529</v>
      </c>
      <c r="I4" s="23">
        <v>55.385848235810023</v>
      </c>
      <c r="J4" s="5">
        <v>9417.5831824445286</v>
      </c>
      <c r="K4" s="31"/>
      <c r="L4" s="23">
        <v>3202079.9007799169</v>
      </c>
      <c r="M4" s="33">
        <v>513.2207692307062</v>
      </c>
      <c r="N4" s="5">
        <v>11</v>
      </c>
      <c r="O4" s="5">
        <v>38</v>
      </c>
      <c r="P4" s="33">
        <v>1256.8687375893539</v>
      </c>
      <c r="Q4" s="5">
        <v>23.965657591932903</v>
      </c>
      <c r="R4" s="5">
        <v>5951.5822277055768</v>
      </c>
      <c r="S4" s="31"/>
      <c r="T4" s="23">
        <v>3214931.6119651021</v>
      </c>
      <c r="U4" s="33">
        <v>153.58153846150691</v>
      </c>
      <c r="V4" s="5">
        <v>6</v>
      </c>
      <c r="W4" s="5">
        <v>34.5</v>
      </c>
      <c r="X4" s="33">
        <v>1277.3012735351042</v>
      </c>
      <c r="Y4" s="5">
        <v>75.867239120166246</v>
      </c>
      <c r="Z4" s="5">
        <v>6901.2142395519231</v>
      </c>
      <c r="AA4" s="35"/>
    </row>
    <row r="5" spans="2:27" x14ac:dyDescent="0.2">
      <c r="B5" s="4">
        <v>2</v>
      </c>
      <c r="C5" s="4">
        <v>634</v>
      </c>
      <c r="D5" s="23">
        <v>2824085.2440481489</v>
      </c>
      <c r="E5" s="33">
        <v>533.19692307698108</v>
      </c>
      <c r="F5" s="5">
        <v>8</v>
      </c>
      <c r="G5" s="23">
        <v>52</v>
      </c>
      <c r="H5" s="33">
        <v>1312.6031080918474</v>
      </c>
      <c r="I5" s="23">
        <v>50.494192640366144</v>
      </c>
      <c r="J5" s="5">
        <v>6911.4279484825902</v>
      </c>
      <c r="K5" s="31"/>
      <c r="L5" s="23">
        <v>3222579.7621109439</v>
      </c>
      <c r="M5" s="33">
        <v>514.25461538458387</v>
      </c>
      <c r="N5" s="5">
        <v>18</v>
      </c>
      <c r="O5" s="5">
        <v>46</v>
      </c>
      <c r="P5" s="33">
        <v>1908.7816490838536</v>
      </c>
      <c r="Q5" s="5">
        <v>19.587083312203703</v>
      </c>
      <c r="R5" s="5">
        <v>6778.5023423487555</v>
      </c>
      <c r="S5" s="31"/>
      <c r="T5" s="23">
        <v>3292220.4490940599</v>
      </c>
      <c r="U5" s="33">
        <v>262.09153846157</v>
      </c>
      <c r="V5" s="5">
        <v>5</v>
      </c>
      <c r="W5" s="5">
        <v>29.5</v>
      </c>
      <c r="X5" s="33">
        <v>1034.5980262308422</v>
      </c>
      <c r="Y5" s="5">
        <v>83.799134686211474</v>
      </c>
      <c r="Z5" s="5">
        <v>6707.0136240013708</v>
      </c>
      <c r="AA5" s="35"/>
    </row>
    <row r="6" spans="2:27" x14ac:dyDescent="0.2">
      <c r="B6" s="4">
        <v>3</v>
      </c>
      <c r="C6" s="4">
        <v>37</v>
      </c>
      <c r="D6" s="23">
        <v>2739954.9609170398</v>
      </c>
      <c r="E6" s="33">
        <v>206.8746153845523</v>
      </c>
      <c r="F6" s="5">
        <v>10</v>
      </c>
      <c r="G6" s="23">
        <v>60</v>
      </c>
      <c r="H6" s="33">
        <v>1724.5315110549093</v>
      </c>
      <c r="I6" s="23">
        <v>41.998979840503175</v>
      </c>
      <c r="J6" s="5">
        <v>7240.2179581615892</v>
      </c>
      <c r="K6" s="31"/>
      <c r="L6" s="23">
        <v>3225360.0824855892</v>
      </c>
      <c r="M6" s="33">
        <v>341.40615384613807</v>
      </c>
      <c r="N6" s="5">
        <v>7</v>
      </c>
      <c r="O6" s="5">
        <v>33</v>
      </c>
      <c r="P6" s="33">
        <v>764.87529677267332</v>
      </c>
      <c r="Q6" s="5">
        <v>32.655941090408497</v>
      </c>
      <c r="R6" s="5">
        <v>6141.6260637586811</v>
      </c>
      <c r="S6" s="31"/>
      <c r="T6" s="23">
        <v>3154407.0393076958</v>
      </c>
      <c r="U6" s="33">
        <v>300.81769230766577</v>
      </c>
      <c r="V6" s="5">
        <v>9</v>
      </c>
      <c r="W6" s="5">
        <v>43.5</v>
      </c>
      <c r="X6" s="33">
        <v>2055.2674203135466</v>
      </c>
      <c r="Y6" s="5">
        <v>50.742554062732694</v>
      </c>
      <c r="Z6" s="5">
        <v>7583.3010491783953</v>
      </c>
      <c r="AA6" s="35"/>
    </row>
    <row r="7" spans="2:27" x14ac:dyDescent="0.2">
      <c r="B7" s="4">
        <v>4</v>
      </c>
      <c r="C7" s="4">
        <v>616</v>
      </c>
      <c r="D7" s="23">
        <v>2822729.7810028568</v>
      </c>
      <c r="E7" s="33">
        <v>243.63000000003152</v>
      </c>
      <c r="F7" s="5">
        <v>13</v>
      </c>
      <c r="G7" s="23">
        <v>63.5</v>
      </c>
      <c r="H7" s="33">
        <v>2232.7255189797324</v>
      </c>
      <c r="I7" s="23">
        <v>37.679948438733113</v>
      </c>
      <c r="J7" s="5">
        <v>7604.1021727300413</v>
      </c>
      <c r="K7" s="31"/>
      <c r="L7" s="23">
        <v>2950439.7063127812</v>
      </c>
      <c r="M7" s="33">
        <v>388.37769230765008</v>
      </c>
      <c r="N7" s="5">
        <v>14</v>
      </c>
      <c r="O7" s="5">
        <v>53</v>
      </c>
      <c r="P7" s="33">
        <v>1656.2441028126768</v>
      </c>
      <c r="Q7" s="5">
        <v>26.002683413293056</v>
      </c>
      <c r="R7" s="5">
        <v>6846.6143642978504</v>
      </c>
      <c r="S7" s="31"/>
      <c r="T7" s="23">
        <v>3116799.425359664</v>
      </c>
      <c r="U7" s="33">
        <v>350.69769230769731</v>
      </c>
      <c r="V7" s="5">
        <v>9</v>
      </c>
      <c r="W7" s="5">
        <v>44.5</v>
      </c>
      <c r="X7" s="33">
        <v>1946.6132514503358</v>
      </c>
      <c r="Y7" s="5">
        <v>55.068561892728233</v>
      </c>
      <c r="Z7" s="5">
        <v>7654.1199357714049</v>
      </c>
      <c r="AA7" s="35"/>
    </row>
    <row r="8" spans="2:27" x14ac:dyDescent="0.2">
      <c r="B8" s="4">
        <v>5</v>
      </c>
      <c r="C8" s="4">
        <v>839</v>
      </c>
      <c r="D8" s="23">
        <v>2872253.100825185</v>
      </c>
      <c r="E8" s="33">
        <v>273.32923076921497</v>
      </c>
      <c r="F8" s="5">
        <v>9</v>
      </c>
      <c r="G8" s="23">
        <v>55.5</v>
      </c>
      <c r="H8" s="33">
        <v>1850.0081260497448</v>
      </c>
      <c r="I8" s="23">
        <v>45.733904202431951</v>
      </c>
      <c r="J8" s="5">
        <v>7342.4502732052106</v>
      </c>
      <c r="K8" s="31"/>
      <c r="L8" s="23">
        <v>3145332.9065768002</v>
      </c>
      <c r="M8" s="33">
        <v>596.68307692313999</v>
      </c>
      <c r="N8" s="5">
        <v>16</v>
      </c>
      <c r="O8" s="5">
        <v>46</v>
      </c>
      <c r="P8" s="33">
        <v>1588.9316864238403</v>
      </c>
      <c r="Q8" s="5">
        <v>22.0318089073393</v>
      </c>
      <c r="R8" s="5">
        <v>6660.3387069748305</v>
      </c>
      <c r="S8" s="31"/>
      <c r="T8" s="23">
        <v>3110287.1206745538</v>
      </c>
      <c r="U8" s="33">
        <v>211.09384615377235</v>
      </c>
      <c r="V8" s="5">
        <v>11</v>
      </c>
      <c r="W8" s="5">
        <v>48.5</v>
      </c>
      <c r="X8" s="33">
        <v>2126.7330775445103</v>
      </c>
      <c r="Y8" s="5">
        <v>50.381096188277041</v>
      </c>
      <c r="Z8" s="5">
        <v>7725.0487550588987</v>
      </c>
      <c r="AA8" s="35"/>
    </row>
    <row r="9" spans="2:27" x14ac:dyDescent="0.2">
      <c r="B9" s="4">
        <v>6</v>
      </c>
      <c r="C9" s="4">
        <v>889</v>
      </c>
      <c r="D9" s="23">
        <v>2727903.0109417448</v>
      </c>
      <c r="E9" s="33">
        <v>406.80230769230269</v>
      </c>
      <c r="F9" s="5">
        <v>8</v>
      </c>
      <c r="G9" s="23">
        <v>57.5</v>
      </c>
      <c r="H9" s="33">
        <v>1556.9492961743315</v>
      </c>
      <c r="I9" s="23">
        <v>54.280012699259167</v>
      </c>
      <c r="J9" s="5">
        <v>6992.2245244003861</v>
      </c>
      <c r="K9" s="31"/>
      <c r="L9" s="23">
        <v>3265193.192341499</v>
      </c>
      <c r="M9" s="33">
        <v>517.07923076921497</v>
      </c>
      <c r="N9" s="5">
        <v>9</v>
      </c>
      <c r="O9" s="5">
        <v>31.5</v>
      </c>
      <c r="P9" s="33">
        <v>683.6383320474805</v>
      </c>
      <c r="Q9" s="5">
        <v>25.282670479497629</v>
      </c>
      <c r="R9" s="5">
        <v>5629.7097066080305</v>
      </c>
      <c r="S9" s="31"/>
      <c r="T9" s="23">
        <v>3215135.7443695618</v>
      </c>
      <c r="U9" s="33">
        <v>180.57692307692307</v>
      </c>
      <c r="V9" s="5">
        <v>5</v>
      </c>
      <c r="W9" s="5">
        <v>34</v>
      </c>
      <c r="X9" s="33">
        <v>1305.2169601848593</v>
      </c>
      <c r="Y9" s="5">
        <v>82.038648112518814</v>
      </c>
      <c r="Z9" s="5">
        <v>6987.5954749817238</v>
      </c>
      <c r="AA9" s="35"/>
    </row>
    <row r="10" spans="2:27" x14ac:dyDescent="0.2">
      <c r="B10" s="4">
        <v>7</v>
      </c>
      <c r="C10" s="4">
        <v>983</v>
      </c>
      <c r="D10" s="23">
        <v>3109572.65900918</v>
      </c>
      <c r="E10" s="33">
        <v>249.56692307694962</v>
      </c>
      <c r="F10" s="5">
        <v>16</v>
      </c>
      <c r="G10" s="23">
        <v>46</v>
      </c>
      <c r="H10" s="33">
        <v>1323.8147577338668</v>
      </c>
      <c r="I10" s="23">
        <v>22.925106481815625</v>
      </c>
      <c r="J10" s="5">
        <v>6564.9744925816685</v>
      </c>
      <c r="K10" s="31"/>
      <c r="L10" s="23">
        <v>3334945.0460672011</v>
      </c>
      <c r="M10" s="33">
        <v>413.26923076923077</v>
      </c>
      <c r="N10" s="5">
        <v>11</v>
      </c>
      <c r="O10" s="5">
        <v>32</v>
      </c>
      <c r="P10" s="33">
        <v>882.44931060725207</v>
      </c>
      <c r="Q10" s="5">
        <v>20.906575123938907</v>
      </c>
      <c r="R10" s="5">
        <v>5918.16894580382</v>
      </c>
      <c r="S10" s="31"/>
      <c r="T10" s="23">
        <v>3094538.1985094352</v>
      </c>
      <c r="U10" s="33">
        <v>317.68076923075841</v>
      </c>
      <c r="V10" s="5">
        <v>6</v>
      </c>
      <c r="W10" s="5">
        <v>39.5</v>
      </c>
      <c r="X10" s="33">
        <v>1317.727318843758</v>
      </c>
      <c r="Y10" s="5">
        <v>76.847424148098554</v>
      </c>
      <c r="Z10" s="5">
        <v>6958.0926828998954</v>
      </c>
      <c r="AA10" s="35"/>
    </row>
    <row r="11" spans="2:27" x14ac:dyDescent="0.2">
      <c r="B11" s="4">
        <v>8</v>
      </c>
      <c r="C11" s="4">
        <v>135</v>
      </c>
      <c r="D11" s="23">
        <v>2825718.1261979332</v>
      </c>
      <c r="E11" s="33">
        <v>256.44230769230768</v>
      </c>
      <c r="F11" s="5">
        <v>6</v>
      </c>
      <c r="G11" s="23">
        <v>49.5</v>
      </c>
      <c r="H11" s="33">
        <v>1133.3830488016933</v>
      </c>
      <c r="I11" s="23">
        <v>66.769380482156535</v>
      </c>
      <c r="J11" s="5">
        <v>6732.2856604980461</v>
      </c>
      <c r="K11" s="31"/>
      <c r="L11" s="23">
        <v>3095490.8872182351</v>
      </c>
      <c r="M11" s="33">
        <v>494.1469230768808</v>
      </c>
      <c r="N11" s="5">
        <v>9</v>
      </c>
      <c r="O11" s="5">
        <v>38.5</v>
      </c>
      <c r="P11" s="33">
        <v>885.02367252992246</v>
      </c>
      <c r="Q11" s="5">
        <v>31.018402550991667</v>
      </c>
      <c r="R11" s="5">
        <v>5813.1954031630257</v>
      </c>
      <c r="S11" s="31"/>
      <c r="T11" s="23">
        <v>3222717.999449532</v>
      </c>
      <c r="U11" s="33">
        <v>606.89846153845656</v>
      </c>
      <c r="V11" s="5">
        <v>5</v>
      </c>
      <c r="W11" s="5">
        <v>33.5</v>
      </c>
      <c r="X11" s="33">
        <v>1377.6915967982993</v>
      </c>
      <c r="Y11" s="5">
        <v>83.076732873846026</v>
      </c>
      <c r="Z11" s="5">
        <v>6982.4866565672437</v>
      </c>
      <c r="AA11" s="35"/>
    </row>
    <row r="12" spans="2:27" x14ac:dyDescent="0.2">
      <c r="B12" s="4">
        <v>9</v>
      </c>
      <c r="C12" s="4">
        <v>728</v>
      </c>
      <c r="D12" s="23">
        <v>2838909.9481133758</v>
      </c>
      <c r="E12" s="33">
        <v>621.79076923075343</v>
      </c>
      <c r="F12" s="5">
        <v>7</v>
      </c>
      <c r="G12" s="23">
        <v>52.5</v>
      </c>
      <c r="H12" s="33">
        <v>1505.1058806695983</v>
      </c>
      <c r="I12" s="23">
        <v>55.195018327297134</v>
      </c>
      <c r="J12" s="5">
        <v>7091.3588683705875</v>
      </c>
      <c r="K12" s="31"/>
      <c r="L12" s="23">
        <v>3088703.7166817738</v>
      </c>
      <c r="M12" s="33">
        <v>308.71384615383039</v>
      </c>
      <c r="N12" s="5">
        <v>14</v>
      </c>
      <c r="O12" s="5">
        <v>49</v>
      </c>
      <c r="P12" s="33">
        <v>1936.729177244421</v>
      </c>
      <c r="Q12" s="5">
        <v>25.046815041584271</v>
      </c>
      <c r="R12" s="5">
        <v>7056.9706319729094</v>
      </c>
      <c r="S12" s="31"/>
      <c r="T12" s="23">
        <v>3357137.4067322058</v>
      </c>
      <c r="U12" s="33">
        <v>1014.1469230768807</v>
      </c>
      <c r="V12" s="5">
        <v>6</v>
      </c>
      <c r="W12" s="5">
        <v>30.5</v>
      </c>
      <c r="X12" s="33">
        <v>1617.3874770082973</v>
      </c>
      <c r="Y12" s="5">
        <v>65.995738545515408</v>
      </c>
      <c r="Z12" s="5">
        <v>7399.4658139752373</v>
      </c>
      <c r="AA12" s="35"/>
    </row>
    <row r="13" spans="2:27" x14ac:dyDescent="0.2">
      <c r="B13" s="4">
        <v>10</v>
      </c>
      <c r="C13" s="4">
        <v>240</v>
      </c>
      <c r="D13" s="23">
        <v>2826244.2691381001</v>
      </c>
      <c r="E13" s="33">
        <v>369.31538461537383</v>
      </c>
      <c r="F13" s="5">
        <v>6</v>
      </c>
      <c r="G13" s="23">
        <v>49</v>
      </c>
      <c r="H13" s="33">
        <v>1064.31542253165</v>
      </c>
      <c r="I13" s="23">
        <v>67.362459089013129</v>
      </c>
      <c r="J13" s="5">
        <v>6621.6049672556665</v>
      </c>
      <c r="K13" s="31"/>
      <c r="L13" s="23">
        <v>3087818.3764961399</v>
      </c>
      <c r="M13" s="33">
        <v>614.23076923076917</v>
      </c>
      <c r="N13" s="5">
        <v>13</v>
      </c>
      <c r="O13" s="5">
        <v>46</v>
      </c>
      <c r="P13" s="33">
        <v>1481.0782662695422</v>
      </c>
      <c r="Q13" s="5">
        <v>25.581516187183702</v>
      </c>
      <c r="R13" s="5">
        <v>6629.4195647924234</v>
      </c>
      <c r="S13" s="31"/>
      <c r="T13" s="23">
        <v>3133189.2488670279</v>
      </c>
      <c r="U13" s="33">
        <v>555.14461538458886</v>
      </c>
      <c r="V13" s="5">
        <v>6</v>
      </c>
      <c r="W13" s="5">
        <v>37.5</v>
      </c>
      <c r="X13" s="33">
        <v>1225.1749887524809</v>
      </c>
      <c r="Y13" s="5">
        <v>72.735004235333633</v>
      </c>
      <c r="Z13" s="5">
        <v>6913.4649643749144</v>
      </c>
      <c r="AA13" s="35"/>
    </row>
    <row r="14" spans="2:27" x14ac:dyDescent="0.2">
      <c r="B14" s="46" t="s">
        <v>3</v>
      </c>
      <c r="C14" s="47"/>
      <c r="D14" s="9">
        <f>MIN(D4:D13)</f>
        <v>2727903.0109417448</v>
      </c>
      <c r="E14" s="22">
        <f>INDEX(E4:E13, MATCH($D$14, D4:D13, 0))</f>
        <v>406.80230769230269</v>
      </c>
      <c r="F14" s="9">
        <f>INDEX(F4:F13, MATCH($D$14, D4:D13, 0))</f>
        <v>8</v>
      </c>
      <c r="G14" s="9">
        <f>INDEX(G4:G13, MATCH($D$14, D4:D13, 0))</f>
        <v>57.5</v>
      </c>
      <c r="H14" s="22">
        <f>INDEX(H4:H13, MATCH($D$14, D4:D13, 0))</f>
        <v>1556.9492961743315</v>
      </c>
      <c r="I14" s="22">
        <f>INDEX(I4:I13, MATCH($D$14, D4:D13, 0))</f>
        <v>54.280012699259167</v>
      </c>
      <c r="J14" s="22">
        <f>INDEX(J4:J13, MATCH($D$14, D4:D13, 0))</f>
        <v>6992.2245244003861</v>
      </c>
      <c r="K14" s="32" t="e">
        <f>(D14-$D$15)/$D$15</f>
        <v>#DIV/0!</v>
      </c>
      <c r="L14" s="16">
        <f>MIN(L4:L13)</f>
        <v>2950439.7063127812</v>
      </c>
      <c r="M14" s="21">
        <f>INDEX(M4:M13, MATCH($L$14, L4:L13, 0))</f>
        <v>388.37769230765008</v>
      </c>
      <c r="N14" s="16">
        <f>INDEX(N4:N13, MATCH($L$14, L4:L13, 0))</f>
        <v>14</v>
      </c>
      <c r="O14" s="16">
        <f>INDEX(O4:O13, MATCH($L$14, L4:L13, 0))</f>
        <v>53</v>
      </c>
      <c r="P14" s="21">
        <f>INDEX(P4:P13, MATCH($L$14, L4:L13, 0))</f>
        <v>1656.2441028126768</v>
      </c>
      <c r="Q14" s="21">
        <f>INDEX(Q4:Q13, MATCH($L$14, L4:L13, 0))</f>
        <v>26.002683413293056</v>
      </c>
      <c r="R14" s="21">
        <f>INDEX(R4:R13, MATCH($L$14, L4:L13, 0))</f>
        <v>6846.6143642978504</v>
      </c>
      <c r="S14" s="36" t="e">
        <f>(L14-$D$15)/$D$15</f>
        <v>#DIV/0!</v>
      </c>
      <c r="T14" s="38">
        <f>MIN(T4:T13)</f>
        <v>3094538.1985094352</v>
      </c>
      <c r="U14" s="39">
        <f>INDEX(U4:U13, MATCH($T$14, T4:T13, 0))</f>
        <v>317.68076923075841</v>
      </c>
      <c r="V14" s="38">
        <f>INDEX(V4:V13, MATCH($T$14, T4:T13, 0))</f>
        <v>6</v>
      </c>
      <c r="W14" s="38">
        <f>INDEX(W4:W13, MATCH($T$14, T4:T13, 0))</f>
        <v>39.5</v>
      </c>
      <c r="X14" s="39">
        <f>INDEX(X4:X13, MATCH($T$14, T4:T13, 0))</f>
        <v>1317.727318843758</v>
      </c>
      <c r="Y14" s="39">
        <f>INDEX(Y4:Y13, MATCH($T$14, T4:T13, 0))</f>
        <v>76.847424148098554</v>
      </c>
      <c r="Z14" s="39">
        <f>INDEX(Z4:Z13, MATCH($T$14, T4:T13, 0))</f>
        <v>6958.0926828998954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7:C4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C752-F5BA-43DA-BA80-6248035DDE10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-0.98687236618192764</v>
      </c>
      <c r="J2" s="28" t="e">
        <f>(S14-J14)/J14</f>
        <v>#DIV/0!</v>
      </c>
      <c r="K2" s="28"/>
      <c r="L2" s="1" t="s">
        <v>19</v>
      </c>
      <c r="P2" s="1">
        <f>(P14-H14)/H14</f>
        <v>-0.599755315074182</v>
      </c>
      <c r="R2" s="1">
        <f>(R14-J14)/J14</f>
        <v>-0.29157732278323945</v>
      </c>
      <c r="T2" s="1" t="s">
        <v>20</v>
      </c>
      <c r="X2" s="1">
        <f>(X14-P14)/P14</f>
        <v>1.6069083194874154</v>
      </c>
      <c r="Z2" s="1">
        <f>(Z14-R14)/R14</f>
        <v>0.45611325755443793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180</v>
      </c>
      <c r="D4" s="23">
        <v>3123641.6703693699</v>
      </c>
      <c r="E4" s="33">
        <v>180.13230769232345</v>
      </c>
      <c r="F4" s="5">
        <v>14</v>
      </c>
      <c r="G4" s="23">
        <v>61.5</v>
      </c>
      <c r="H4" s="33">
        <v>3240.8187364594592</v>
      </c>
      <c r="I4" s="23">
        <v>30.555836287416209</v>
      </c>
      <c r="J4" s="5">
        <v>8635.3397278938173</v>
      </c>
      <c r="K4" s="31"/>
      <c r="L4" s="23">
        <v>3422865.6902322611</v>
      </c>
      <c r="M4" s="33">
        <v>326.52692307691228</v>
      </c>
      <c r="N4" s="5">
        <v>7</v>
      </c>
      <c r="O4" s="5">
        <v>21.5</v>
      </c>
      <c r="P4" s="33">
        <v>41.260583496356894</v>
      </c>
      <c r="Q4" s="5">
        <v>18.935815029450534</v>
      </c>
      <c r="R4" s="5">
        <v>3856.2763689821309</v>
      </c>
      <c r="S4" s="31"/>
      <c r="T4" s="23">
        <v>3160047.24856475</v>
      </c>
      <c r="U4" s="33">
        <v>378.41307692301382</v>
      </c>
      <c r="V4" s="5">
        <v>5</v>
      </c>
      <c r="W4" s="5">
        <v>36</v>
      </c>
      <c r="X4" s="33">
        <v>1322.8529857968526</v>
      </c>
      <c r="Y4" s="5">
        <v>79.766269931582002</v>
      </c>
      <c r="Z4" s="5">
        <v>7023.3597987213634</v>
      </c>
      <c r="AA4" s="35"/>
    </row>
    <row r="5" spans="2:27" x14ac:dyDescent="0.2">
      <c r="B5" s="4">
        <v>2</v>
      </c>
      <c r="C5" s="4">
        <v>535</v>
      </c>
      <c r="D5" s="23">
        <v>2647908.8388258158</v>
      </c>
      <c r="E5" s="33">
        <v>404.83230769231267</v>
      </c>
      <c r="F5" s="5">
        <v>8</v>
      </c>
      <c r="G5" s="23">
        <v>59.5</v>
      </c>
      <c r="H5" s="33">
        <v>1495.4412969291313</v>
      </c>
      <c r="I5" s="23">
        <v>47.545852897619646</v>
      </c>
      <c r="J5" s="5">
        <v>6903.0438202161886</v>
      </c>
      <c r="K5" s="31"/>
      <c r="L5" s="23">
        <v>3374566.0532351299</v>
      </c>
      <c r="M5" s="33">
        <v>390.94999999998919</v>
      </c>
      <c r="N5" s="5">
        <v>5</v>
      </c>
      <c r="O5" s="5">
        <v>22</v>
      </c>
      <c r="P5" s="33">
        <v>112.64284087339119</v>
      </c>
      <c r="Q5" s="5">
        <v>25.761612466617976</v>
      </c>
      <c r="R5" s="5">
        <v>3954.2409859941008</v>
      </c>
      <c r="S5" s="31"/>
      <c r="T5" s="23">
        <v>3055781.5580721488</v>
      </c>
      <c r="U5" s="33">
        <v>280.26384615384114</v>
      </c>
      <c r="V5" s="5">
        <v>9</v>
      </c>
      <c r="W5" s="5">
        <v>45</v>
      </c>
      <c r="X5" s="33">
        <v>1755.2918020994341</v>
      </c>
      <c r="Y5" s="5">
        <v>48.89235523138651</v>
      </c>
      <c r="Z5" s="5">
        <v>7112.3234380696304</v>
      </c>
      <c r="AA5" s="35"/>
    </row>
    <row r="6" spans="2:27" x14ac:dyDescent="0.2">
      <c r="B6" s="4">
        <v>3</v>
      </c>
      <c r="C6" s="4">
        <v>544</v>
      </c>
      <c r="D6" s="23">
        <v>2480976.186360389</v>
      </c>
      <c r="E6" s="33">
        <v>451.9115384615277</v>
      </c>
      <c r="F6" s="5">
        <v>10</v>
      </c>
      <c r="G6" s="23">
        <v>70.5</v>
      </c>
      <c r="H6" s="33">
        <v>1763.8501335704054</v>
      </c>
      <c r="I6" s="23">
        <v>47.939452432300143</v>
      </c>
      <c r="J6" s="5">
        <v>7182.657425111367</v>
      </c>
      <c r="K6" s="31"/>
      <c r="L6" s="23">
        <v>3106828.5386855491</v>
      </c>
      <c r="M6" s="33">
        <v>337.34384615386188</v>
      </c>
      <c r="N6" s="5">
        <v>18</v>
      </c>
      <c r="O6" s="5">
        <v>47.5</v>
      </c>
      <c r="P6" s="33">
        <v>1475.8591777633744</v>
      </c>
      <c r="Q6" s="5">
        <v>17.564358576606804</v>
      </c>
      <c r="R6" s="5">
        <v>6287.5645842047661</v>
      </c>
      <c r="S6" s="31"/>
      <c r="T6" s="23">
        <v>3120104.271281153</v>
      </c>
      <c r="U6" s="33">
        <v>566.09307692305617</v>
      </c>
      <c r="V6" s="5">
        <v>5</v>
      </c>
      <c r="W6" s="5">
        <v>36</v>
      </c>
      <c r="X6" s="33">
        <v>967.97576080943611</v>
      </c>
      <c r="Y6" s="5">
        <v>69.581905212032709</v>
      </c>
      <c r="Z6" s="5">
        <v>6627.9009758981083</v>
      </c>
      <c r="AA6" s="35"/>
    </row>
    <row r="7" spans="2:27" x14ac:dyDescent="0.2">
      <c r="B7" s="4">
        <v>4</v>
      </c>
      <c r="C7" s="4">
        <v>648</v>
      </c>
      <c r="D7" s="23">
        <v>3073761.7376397778</v>
      </c>
      <c r="E7" s="33">
        <v>519.90384615384619</v>
      </c>
      <c r="F7" s="5">
        <v>7</v>
      </c>
      <c r="G7" s="23">
        <v>45</v>
      </c>
      <c r="H7" s="33">
        <v>1910.7117712123081</v>
      </c>
      <c r="I7" s="23">
        <v>48.351548766757666</v>
      </c>
      <c r="J7" s="5">
        <v>7470.118960987108</v>
      </c>
      <c r="K7" s="31"/>
      <c r="L7" s="23">
        <v>3577134.8349967529</v>
      </c>
      <c r="M7" s="33">
        <v>311.61076923071124</v>
      </c>
      <c r="N7" s="5">
        <v>29</v>
      </c>
      <c r="O7" s="5">
        <v>50.5</v>
      </c>
      <c r="P7" s="33">
        <v>3171.555354163314</v>
      </c>
      <c r="Q7" s="5">
        <v>12.03592119803246</v>
      </c>
      <c r="R7" s="5">
        <v>8070.4146061880547</v>
      </c>
      <c r="S7" s="31"/>
      <c r="T7" s="23">
        <v>3106977.8003733312</v>
      </c>
      <c r="U7" s="33">
        <v>403.67769230766078</v>
      </c>
      <c r="V7" s="5">
        <v>5</v>
      </c>
      <c r="W7" s="5">
        <v>35</v>
      </c>
      <c r="X7" s="33">
        <v>753.88452196636342</v>
      </c>
      <c r="Y7" s="5">
        <v>72.15144948023557</v>
      </c>
      <c r="Z7" s="5">
        <v>6205.6271422041673</v>
      </c>
      <c r="AA7" s="35"/>
    </row>
    <row r="8" spans="2:27" x14ac:dyDescent="0.2">
      <c r="B8" s="4">
        <v>5</v>
      </c>
      <c r="C8" s="4">
        <v>789</v>
      </c>
      <c r="D8" s="23">
        <v>2725851.2537840721</v>
      </c>
      <c r="E8" s="33">
        <v>253.88153846151766</v>
      </c>
      <c r="F8" s="5">
        <v>8</v>
      </c>
      <c r="G8" s="23">
        <v>58</v>
      </c>
      <c r="H8" s="33">
        <v>1628.7097778657269</v>
      </c>
      <c r="I8" s="23">
        <v>48.467897068573805</v>
      </c>
      <c r="J8" s="5">
        <v>6986.6505166361258</v>
      </c>
      <c r="K8" s="31"/>
      <c r="L8" s="23">
        <v>3271448.8277782751</v>
      </c>
      <c r="M8" s="33">
        <v>448.91846153849303</v>
      </c>
      <c r="N8" s="5">
        <v>7</v>
      </c>
      <c r="O8" s="5">
        <v>27.5</v>
      </c>
      <c r="P8" s="33">
        <v>232.85025071664151</v>
      </c>
      <c r="Q8" s="5">
        <v>23.501290302564634</v>
      </c>
      <c r="R8" s="5">
        <v>4615.535801465332</v>
      </c>
      <c r="S8" s="31"/>
      <c r="T8" s="23">
        <v>3181773.5605753008</v>
      </c>
      <c r="U8" s="33">
        <v>175.76923076923077</v>
      </c>
      <c r="V8" s="5">
        <v>6</v>
      </c>
      <c r="W8" s="5">
        <v>37.5</v>
      </c>
      <c r="X8" s="33">
        <v>1828.187671751348</v>
      </c>
      <c r="Y8" s="5">
        <v>75.582293759592929</v>
      </c>
      <c r="Z8" s="5">
        <v>7389.6135124336179</v>
      </c>
      <c r="AA8" s="35"/>
    </row>
    <row r="9" spans="2:27" x14ac:dyDescent="0.2">
      <c r="B9" s="4">
        <v>6</v>
      </c>
      <c r="C9" s="4">
        <v>902</v>
      </c>
      <c r="D9" s="23">
        <v>2456189.3626541882</v>
      </c>
      <c r="E9" s="33">
        <v>356.55076923072698</v>
      </c>
      <c r="F9" s="5">
        <v>10</v>
      </c>
      <c r="G9" s="23">
        <v>70.5</v>
      </c>
      <c r="H9" s="33">
        <v>1700.5258842717653</v>
      </c>
      <c r="I9" s="23">
        <v>47.032509618327921</v>
      </c>
      <c r="J9" s="5">
        <v>7033.4874639494947</v>
      </c>
      <c r="K9" s="31"/>
      <c r="L9" s="23">
        <v>3124852.3407762428</v>
      </c>
      <c r="M9" s="33">
        <v>332.07923076921497</v>
      </c>
      <c r="N9" s="5">
        <v>13</v>
      </c>
      <c r="O9" s="5">
        <v>40</v>
      </c>
      <c r="P9" s="33">
        <v>819.96984923511286</v>
      </c>
      <c r="Q9" s="5">
        <v>19.29616325723018</v>
      </c>
      <c r="R9" s="5">
        <v>5541.1620097140758</v>
      </c>
      <c r="S9" s="31"/>
      <c r="T9" s="23">
        <v>3040211.4263982628</v>
      </c>
      <c r="U9" s="33">
        <v>196.93538461534237</v>
      </c>
      <c r="V9" s="5">
        <v>7</v>
      </c>
      <c r="W9" s="5">
        <v>43.5</v>
      </c>
      <c r="X9" s="33">
        <v>1774.3307465180244</v>
      </c>
      <c r="Y9" s="5">
        <v>66.422355277750157</v>
      </c>
      <c r="Z9" s="5">
        <v>7255.3493465997026</v>
      </c>
      <c r="AA9" s="35"/>
    </row>
    <row r="10" spans="2:27" x14ac:dyDescent="0.2">
      <c r="B10" s="4">
        <v>7</v>
      </c>
      <c r="C10" s="4">
        <v>957</v>
      </c>
      <c r="D10" s="23">
        <v>2603627.4152914351</v>
      </c>
      <c r="E10" s="33">
        <v>351.62307692306609</v>
      </c>
      <c r="F10" s="5">
        <v>8</v>
      </c>
      <c r="G10" s="23">
        <v>63.5</v>
      </c>
      <c r="H10" s="33">
        <v>1772.1850927745313</v>
      </c>
      <c r="I10" s="23">
        <v>52.495918676947639</v>
      </c>
      <c r="J10" s="5">
        <v>7089.537543939151</v>
      </c>
      <c r="K10" s="31"/>
      <c r="L10" s="23">
        <v>3107600.503024586</v>
      </c>
      <c r="M10" s="33">
        <v>1045.7930769231345</v>
      </c>
      <c r="N10" s="5">
        <v>10</v>
      </c>
      <c r="O10" s="5">
        <v>34.5</v>
      </c>
      <c r="P10" s="33">
        <v>214.66086567312789</v>
      </c>
      <c r="Q10" s="5">
        <v>21.286784863412429</v>
      </c>
      <c r="R10" s="5">
        <v>4533.6940385058806</v>
      </c>
      <c r="S10" s="31"/>
      <c r="T10" s="23">
        <v>3044645.8891289239</v>
      </c>
      <c r="U10" s="33">
        <v>614.26692307693884</v>
      </c>
      <c r="V10" s="5">
        <v>5</v>
      </c>
      <c r="W10" s="5">
        <v>37.5</v>
      </c>
      <c r="X10" s="33">
        <v>713.43656657865711</v>
      </c>
      <c r="Y10" s="5">
        <v>70.235325211871668</v>
      </c>
      <c r="Z10" s="5">
        <v>6262.0657624124742</v>
      </c>
      <c r="AA10" s="35"/>
    </row>
    <row r="11" spans="2:27" x14ac:dyDescent="0.2">
      <c r="B11" s="4">
        <v>8</v>
      </c>
      <c r="C11" s="4">
        <v>199</v>
      </c>
      <c r="D11" s="23">
        <v>2544250.2041242551</v>
      </c>
      <c r="E11" s="33">
        <v>299.44769230769731</v>
      </c>
      <c r="F11" s="5">
        <v>7</v>
      </c>
      <c r="G11" s="23">
        <v>61.5</v>
      </c>
      <c r="H11" s="33">
        <v>1276.4651290189975</v>
      </c>
      <c r="I11" s="23">
        <v>57.042372713723005</v>
      </c>
      <c r="J11" s="5">
        <v>6753.4963967464018</v>
      </c>
      <c r="K11" s="31"/>
      <c r="L11" s="23">
        <v>2999467.942843115</v>
      </c>
      <c r="M11" s="33">
        <v>479.96384615383039</v>
      </c>
      <c r="N11" s="5">
        <v>11</v>
      </c>
      <c r="O11" s="5">
        <v>40.5</v>
      </c>
      <c r="P11" s="33">
        <v>680.62644675855074</v>
      </c>
      <c r="Q11" s="5">
        <v>22.323881106873344</v>
      </c>
      <c r="R11" s="5">
        <v>4982.6820193816247</v>
      </c>
      <c r="S11" s="31"/>
      <c r="T11" s="23">
        <v>3167421.6064720028</v>
      </c>
      <c r="U11" s="33">
        <v>303.00538461538963</v>
      </c>
      <c r="V11" s="5">
        <v>6</v>
      </c>
      <c r="W11" s="5">
        <v>36</v>
      </c>
      <c r="X11" s="33">
        <v>1187.2615238292558</v>
      </c>
      <c r="Y11" s="5">
        <v>53.053012516745675</v>
      </c>
      <c r="Z11" s="5">
        <v>6815.4960284780627</v>
      </c>
      <c r="AA11" s="35"/>
    </row>
    <row r="12" spans="2:27" x14ac:dyDescent="0.2">
      <c r="B12" s="4">
        <v>9</v>
      </c>
      <c r="C12" s="4">
        <v>57</v>
      </c>
      <c r="D12" s="23">
        <v>2831423.2186417892</v>
      </c>
      <c r="E12" s="33">
        <v>365.52846153839846</v>
      </c>
      <c r="F12" s="5">
        <v>14</v>
      </c>
      <c r="G12" s="23">
        <v>64.5</v>
      </c>
      <c r="H12" s="33">
        <v>2393.4419476354301</v>
      </c>
      <c r="I12" s="23">
        <v>31.314586121282737</v>
      </c>
      <c r="J12" s="5">
        <v>7886.5516648101257</v>
      </c>
      <c r="K12" s="31"/>
      <c r="L12" s="23">
        <v>3173405.6881767181</v>
      </c>
      <c r="M12" s="33">
        <v>367.32000000004729</v>
      </c>
      <c r="N12" s="5">
        <v>11</v>
      </c>
      <c r="O12" s="5">
        <v>40</v>
      </c>
      <c r="P12" s="33">
        <v>1315.8717317174594</v>
      </c>
      <c r="Q12" s="5">
        <v>23.448130490144113</v>
      </c>
      <c r="R12" s="5">
        <v>6447.343528235634</v>
      </c>
      <c r="S12" s="31"/>
      <c r="T12" s="23">
        <v>4554218.3133470677</v>
      </c>
      <c r="U12" s="33">
        <v>232.99230769231846</v>
      </c>
      <c r="V12" s="5">
        <v>25</v>
      </c>
      <c r="W12" s="5">
        <v>89</v>
      </c>
      <c r="X12" s="33">
        <v>9091.6349078382809</v>
      </c>
      <c r="Y12" s="5">
        <v>53.293951646858652</v>
      </c>
      <c r="Z12" s="5">
        <v>14778.288630913579</v>
      </c>
      <c r="AA12" s="35"/>
    </row>
    <row r="13" spans="2:27" x14ac:dyDescent="0.2">
      <c r="B13" s="4">
        <v>10</v>
      </c>
      <c r="C13" s="4">
        <v>130</v>
      </c>
      <c r="D13" s="23">
        <v>2738984.9730367232</v>
      </c>
      <c r="E13" s="33">
        <v>175.97307692308769</v>
      </c>
      <c r="F13" s="5">
        <v>8</v>
      </c>
      <c r="G13" s="23">
        <v>55</v>
      </c>
      <c r="H13" s="33">
        <v>1385.6516290720717</v>
      </c>
      <c r="I13" s="23">
        <v>47.500284540093482</v>
      </c>
      <c r="J13" s="5">
        <v>6687.9385196674657</v>
      </c>
      <c r="K13" s="31"/>
      <c r="L13" s="23">
        <v>3227125.1593257361</v>
      </c>
      <c r="M13" s="33">
        <v>435.14461538467839</v>
      </c>
      <c r="N13" s="5">
        <v>7</v>
      </c>
      <c r="O13" s="5">
        <v>29</v>
      </c>
      <c r="P13" s="33">
        <v>443.3768333071356</v>
      </c>
      <c r="Q13" s="5">
        <v>24.539984661684034</v>
      </c>
      <c r="R13" s="5">
        <v>4450.2764041605687</v>
      </c>
      <c r="S13" s="31"/>
      <c r="T13" s="23">
        <v>3220890.8323459821</v>
      </c>
      <c r="U13" s="33">
        <v>408.93000000004224</v>
      </c>
      <c r="V13" s="5">
        <v>16</v>
      </c>
      <c r="W13" s="5">
        <v>52</v>
      </c>
      <c r="X13" s="33">
        <v>2995.1461860088584</v>
      </c>
      <c r="Y13" s="5">
        <v>34.32235532210796</v>
      </c>
      <c r="Z13" s="5">
        <v>8449.3272404119325</v>
      </c>
      <c r="AA13" s="35"/>
    </row>
    <row r="14" spans="2:27" x14ac:dyDescent="0.2">
      <c r="B14" s="46" t="s">
        <v>3</v>
      </c>
      <c r="C14" s="47"/>
      <c r="D14" s="9">
        <f>MIN(D4:D13)</f>
        <v>2456189.3626541882</v>
      </c>
      <c r="E14" s="22">
        <f>INDEX(E4:E13, MATCH($D$14, D4:D13, 0))</f>
        <v>356.55076923072698</v>
      </c>
      <c r="F14" s="9">
        <f>INDEX(F4:F13, MATCH($D$14, D4:D13, 0))</f>
        <v>10</v>
      </c>
      <c r="G14" s="9">
        <f>INDEX(G4:G13, MATCH($D$14, D4:D13, 0))</f>
        <v>70.5</v>
      </c>
      <c r="H14" s="22">
        <f>INDEX(H4:H13, MATCH($D$14, D4:D13, 0))</f>
        <v>1700.5258842717653</v>
      </c>
      <c r="I14" s="22">
        <f>INDEX(I4:I13, MATCH($D$14, D4:D13, 0))</f>
        <v>47.032509618327921</v>
      </c>
      <c r="J14" s="22">
        <f>INDEX(J4:J13, MATCH($D$14, D4:D13, 0))</f>
        <v>7033.4874639494947</v>
      </c>
      <c r="K14" s="32" t="e">
        <f>(D14-$D$15)/$D$15</f>
        <v>#DIV/0!</v>
      </c>
      <c r="L14" s="16">
        <f>MIN(L4:L13)</f>
        <v>2999467.942843115</v>
      </c>
      <c r="M14" s="21">
        <f>INDEX(M4:M13, MATCH($L$14, L4:L13, 0))</f>
        <v>479.96384615383039</v>
      </c>
      <c r="N14" s="16">
        <f>INDEX(N4:N13, MATCH($L$14, L4:L13, 0))</f>
        <v>11</v>
      </c>
      <c r="O14" s="16">
        <f>INDEX(O4:O13, MATCH($L$14, L4:L13, 0))</f>
        <v>40.5</v>
      </c>
      <c r="P14" s="21">
        <f>INDEX(P4:P13, MATCH($L$14, L4:L13, 0))</f>
        <v>680.62644675855074</v>
      </c>
      <c r="Q14" s="21">
        <f>INDEX(Q4:Q13, MATCH($L$14, L4:L13, 0))</f>
        <v>22.323881106873344</v>
      </c>
      <c r="R14" s="21">
        <f>INDEX(R4:R13, MATCH($L$14, L4:L13, 0))</f>
        <v>4982.6820193816247</v>
      </c>
      <c r="S14" s="36" t="e">
        <f>(L14-$D$15)/$D$15</f>
        <v>#DIV/0!</v>
      </c>
      <c r="T14" s="38">
        <f>MIN(T4:T13)</f>
        <v>3040211.4263982628</v>
      </c>
      <c r="U14" s="39">
        <f>INDEX(U4:U13, MATCH($T$14, T4:T13, 0))</f>
        <v>196.93538461534237</v>
      </c>
      <c r="V14" s="38">
        <f>INDEX(V4:V13, MATCH($T$14, T4:T13, 0))</f>
        <v>7</v>
      </c>
      <c r="W14" s="38">
        <f>INDEX(W4:W13, MATCH($T$14, T4:T13, 0))</f>
        <v>43.5</v>
      </c>
      <c r="X14" s="39">
        <f>INDEX(X4:X13, MATCH($T$14, T4:T13, 0))</f>
        <v>1774.3307465180244</v>
      </c>
      <c r="Y14" s="39">
        <f>INDEX(Y4:Y13, MATCH($T$14, T4:T13, 0))</f>
        <v>66.422355277750157</v>
      </c>
      <c r="Z14" s="39">
        <f>INDEX(Z4:Z13, MATCH($T$14, T4:T13, 0))</f>
        <v>7255.3493465997026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69" priority="7"/>
    <cfRule type="duplicateValues" dxfId="68" priority="8"/>
  </conditionalFormatting>
  <conditionalFormatting sqref="C14">
    <cfRule type="duplicateValues" dxfId="67" priority="3"/>
    <cfRule type="duplicateValues" dxfId="66" priority="4"/>
  </conditionalFormatting>
  <conditionalFormatting sqref="C17:C4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08C1-284F-4999-AFAE-C2528CB2BEC4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-0.98214693501542338</v>
      </c>
      <c r="J2" s="28" t="e">
        <f>(S14-J14)/J14</f>
        <v>#DIV/0!</v>
      </c>
      <c r="K2" s="28"/>
      <c r="L2" s="1" t="s">
        <v>19</v>
      </c>
      <c r="P2" s="1">
        <f>(P14-H14)/H14</f>
        <v>-0.67817649971830252</v>
      </c>
      <c r="R2" s="1">
        <f>(R14-J14)/J14</f>
        <v>-0.21905946724310685</v>
      </c>
      <c r="T2" s="1" t="s">
        <v>20</v>
      </c>
      <c r="X2" s="1">
        <f>(X14-P14)/P14</f>
        <v>1.3665510585761627</v>
      </c>
      <c r="Z2" s="1">
        <f>(Z14-R14)/R14</f>
        <v>0.26599293667146112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236</v>
      </c>
      <c r="D4" s="23">
        <v>2904198.5102635012</v>
      </c>
      <c r="E4" s="33">
        <v>272.01923076923077</v>
      </c>
      <c r="F4" s="5">
        <v>7</v>
      </c>
      <c r="G4" s="23">
        <v>48.5</v>
      </c>
      <c r="H4" s="33">
        <v>1290.8251136136587</v>
      </c>
      <c r="I4" s="23">
        <v>50.980074870273164</v>
      </c>
      <c r="J4" s="5">
        <v>6977.9354846281967</v>
      </c>
      <c r="K4" s="31"/>
      <c r="L4" s="23">
        <v>3380992.341370645</v>
      </c>
      <c r="M4" s="33">
        <v>594.24230769231838</v>
      </c>
      <c r="N4" s="5">
        <v>11</v>
      </c>
      <c r="O4" s="5">
        <v>30</v>
      </c>
      <c r="P4" s="33">
        <v>904.85819726548107</v>
      </c>
      <c r="Q4" s="5">
        <v>21.075220520686155</v>
      </c>
      <c r="R4" s="5">
        <v>5852.6074871250448</v>
      </c>
      <c r="S4" s="31"/>
      <c r="T4" s="23">
        <v>3189827.8436740851</v>
      </c>
      <c r="U4" s="33">
        <v>242.85999999999498</v>
      </c>
      <c r="V4" s="5">
        <v>5</v>
      </c>
      <c r="W4" s="5">
        <v>34</v>
      </c>
      <c r="X4" s="33">
        <v>867.12808160515033</v>
      </c>
      <c r="Y4" s="5">
        <v>84.038862790435545</v>
      </c>
      <c r="Z4" s="5">
        <v>6853.861575276871</v>
      </c>
      <c r="AA4" s="35"/>
    </row>
    <row r="5" spans="2:27" x14ac:dyDescent="0.2">
      <c r="B5" s="4">
        <v>2</v>
      </c>
      <c r="C5" s="4">
        <v>737</v>
      </c>
      <c r="D5" s="23">
        <v>2956863.2062424691</v>
      </c>
      <c r="E5" s="33">
        <v>221.74307692303469</v>
      </c>
      <c r="F5" s="5">
        <v>5</v>
      </c>
      <c r="G5" s="23">
        <v>49</v>
      </c>
      <c r="H5" s="33">
        <v>1623.3397222758836</v>
      </c>
      <c r="I5" s="23">
        <v>73.721497324797667</v>
      </c>
      <c r="J5" s="5">
        <v>7548.2225997010091</v>
      </c>
      <c r="K5" s="31"/>
      <c r="L5" s="23">
        <v>3161758.7031592871</v>
      </c>
      <c r="M5" s="33">
        <v>553.34153846148047</v>
      </c>
      <c r="N5" s="5">
        <v>9</v>
      </c>
      <c r="O5" s="5">
        <v>35.5</v>
      </c>
      <c r="P5" s="33">
        <v>747.14723926958584</v>
      </c>
      <c r="Q5" s="5">
        <v>27.000409523124841</v>
      </c>
      <c r="R5" s="5">
        <v>5721.1942423098217</v>
      </c>
      <c r="S5" s="31"/>
      <c r="T5" s="23">
        <v>3101730.186925373</v>
      </c>
      <c r="U5" s="33">
        <v>251.30999999998423</v>
      </c>
      <c r="V5" s="5">
        <v>6</v>
      </c>
      <c r="W5" s="5">
        <v>38</v>
      </c>
      <c r="X5" s="33">
        <v>1040.4450458385884</v>
      </c>
      <c r="Y5" s="5">
        <v>76.9317371182172</v>
      </c>
      <c r="Z5" s="5">
        <v>6775.4933441426865</v>
      </c>
      <c r="AA5" s="35"/>
    </row>
    <row r="6" spans="2:27" x14ac:dyDescent="0.2">
      <c r="B6" s="4">
        <v>3</v>
      </c>
      <c r="C6" s="4">
        <v>915</v>
      </c>
      <c r="D6" s="23">
        <v>2918584.643041431</v>
      </c>
      <c r="E6" s="33">
        <v>266.14230769229687</v>
      </c>
      <c r="F6" s="5">
        <v>6</v>
      </c>
      <c r="G6" s="23">
        <v>47</v>
      </c>
      <c r="H6" s="33">
        <v>1100.1872856402258</v>
      </c>
      <c r="I6" s="23">
        <v>58.429269887333618</v>
      </c>
      <c r="J6" s="5">
        <v>6841.424379040347</v>
      </c>
      <c r="K6" s="31"/>
      <c r="L6" s="23">
        <v>3180930.5374220819</v>
      </c>
      <c r="M6" s="33">
        <v>894.98846153845079</v>
      </c>
      <c r="N6" s="5">
        <v>9</v>
      </c>
      <c r="O6" s="5">
        <v>34</v>
      </c>
      <c r="P6" s="33">
        <v>672.26384561053521</v>
      </c>
      <c r="Q6" s="5">
        <v>27.662126140338746</v>
      </c>
      <c r="R6" s="5">
        <v>5260.0766396144218</v>
      </c>
      <c r="S6" s="31"/>
      <c r="T6" s="23">
        <v>3077488.3771862048</v>
      </c>
      <c r="U6" s="33">
        <v>301.38230769232342</v>
      </c>
      <c r="V6" s="5">
        <v>8</v>
      </c>
      <c r="W6" s="5">
        <v>42.5</v>
      </c>
      <c r="X6" s="33">
        <v>1516.2047832662765</v>
      </c>
      <c r="Y6" s="5">
        <v>66.902505198749722</v>
      </c>
      <c r="Z6" s="5">
        <v>7314.3244588027719</v>
      </c>
      <c r="AA6" s="35"/>
    </row>
    <row r="7" spans="2:27" x14ac:dyDescent="0.2">
      <c r="B7" s="4">
        <v>4</v>
      </c>
      <c r="C7" s="4">
        <v>691</v>
      </c>
      <c r="D7" s="23">
        <v>2828738.7546955911</v>
      </c>
      <c r="E7" s="33">
        <v>510.92538461536884</v>
      </c>
      <c r="F7" s="5">
        <v>5</v>
      </c>
      <c r="G7" s="23">
        <v>46.5</v>
      </c>
      <c r="H7" s="33">
        <v>714.4209360908028</v>
      </c>
      <c r="I7" s="23">
        <v>70.514557036602469</v>
      </c>
      <c r="J7" s="5">
        <v>6333.6672324328547</v>
      </c>
      <c r="K7" s="31"/>
      <c r="L7" s="23">
        <v>3269364.5335584199</v>
      </c>
      <c r="M7" s="33">
        <v>575.22769230767153</v>
      </c>
      <c r="N7" s="5">
        <v>5</v>
      </c>
      <c r="O7" s="5">
        <v>25.5</v>
      </c>
      <c r="P7" s="33">
        <v>44.602442629821908</v>
      </c>
      <c r="Q7" s="5">
        <v>35.970948754940054</v>
      </c>
      <c r="R7" s="5">
        <v>4317.3167627188477</v>
      </c>
      <c r="S7" s="31"/>
      <c r="T7" s="23">
        <v>3124756.6155321882</v>
      </c>
      <c r="U7" s="33">
        <v>185.88923076928876</v>
      </c>
      <c r="V7" s="5">
        <v>6</v>
      </c>
      <c r="W7" s="5">
        <v>39</v>
      </c>
      <c r="X7" s="33">
        <v>1438.9503060511142</v>
      </c>
      <c r="Y7" s="5">
        <v>83.63402312327581</v>
      </c>
      <c r="Z7" s="5">
        <v>7312.2143924021766</v>
      </c>
      <c r="AA7" s="35"/>
    </row>
    <row r="8" spans="2:27" x14ac:dyDescent="0.2">
      <c r="B8" s="4">
        <v>5</v>
      </c>
      <c r="C8" s="4">
        <v>561</v>
      </c>
      <c r="D8" s="23">
        <v>2665447.3908720729</v>
      </c>
      <c r="E8" s="33">
        <v>256.86307692309265</v>
      </c>
      <c r="F8" s="5">
        <v>10</v>
      </c>
      <c r="G8" s="23">
        <v>62</v>
      </c>
      <c r="H8" s="33">
        <v>1516.5431783351266</v>
      </c>
      <c r="I8" s="23">
        <v>46.344909001295072</v>
      </c>
      <c r="J8" s="5">
        <v>7022.1180455205858</v>
      </c>
      <c r="K8" s="31"/>
      <c r="L8" s="23">
        <v>3283364.0027335202</v>
      </c>
      <c r="M8" s="33">
        <v>652.35538461541114</v>
      </c>
      <c r="N8" s="5">
        <v>9</v>
      </c>
      <c r="O8" s="5">
        <v>32</v>
      </c>
      <c r="P8" s="33">
        <v>961.1254955183573</v>
      </c>
      <c r="Q8" s="5">
        <v>24.787630319198652</v>
      </c>
      <c r="R8" s="5">
        <v>5888.6295450609186</v>
      </c>
      <c r="S8" s="31"/>
      <c r="T8" s="23">
        <v>3059030.5273889508</v>
      </c>
      <c r="U8" s="33">
        <v>460.19230769230768</v>
      </c>
      <c r="V8" s="5">
        <v>6</v>
      </c>
      <c r="W8" s="5">
        <v>40</v>
      </c>
      <c r="X8" s="33">
        <v>1014.628840346753</v>
      </c>
      <c r="Y8" s="5">
        <v>77.664756601288147</v>
      </c>
      <c r="Z8" s="5">
        <v>6861.3355535040346</v>
      </c>
      <c r="AA8" s="35"/>
    </row>
    <row r="9" spans="2:27" x14ac:dyDescent="0.2">
      <c r="B9" s="4">
        <v>6</v>
      </c>
      <c r="C9" s="4">
        <v>813</v>
      </c>
      <c r="D9" s="23">
        <v>3072859.1815163018</v>
      </c>
      <c r="E9" s="33">
        <v>348.50923076916769</v>
      </c>
      <c r="F9" s="5">
        <v>10</v>
      </c>
      <c r="G9" s="23">
        <v>46</v>
      </c>
      <c r="H9" s="33">
        <v>1633.6572505211457</v>
      </c>
      <c r="I9" s="23">
        <v>35.418331732030239</v>
      </c>
      <c r="J9" s="5">
        <v>7124.7909017361299</v>
      </c>
      <c r="K9" s="31"/>
      <c r="L9" s="23">
        <v>3094047.9930781042</v>
      </c>
      <c r="M9" s="33">
        <v>960.07230769224998</v>
      </c>
      <c r="N9" s="5">
        <v>9</v>
      </c>
      <c r="O9" s="5">
        <v>37</v>
      </c>
      <c r="P9" s="33">
        <v>521.31988025739497</v>
      </c>
      <c r="Q9" s="5">
        <v>28.920068583681086</v>
      </c>
      <c r="R9" s="5">
        <v>5527.9245540517832</v>
      </c>
      <c r="S9" s="31"/>
      <c r="T9" s="23">
        <v>3196941.995356624</v>
      </c>
      <c r="U9" s="33">
        <v>427.40384615384613</v>
      </c>
      <c r="V9" s="5">
        <v>9</v>
      </c>
      <c r="W9" s="5">
        <v>40.5</v>
      </c>
      <c r="X9" s="33">
        <v>1895.2988951113032</v>
      </c>
      <c r="Y9" s="5">
        <v>51.478529809971263</v>
      </c>
      <c r="Z9" s="5">
        <v>7680.5814973467441</v>
      </c>
      <c r="AA9" s="35"/>
    </row>
    <row r="10" spans="2:27" x14ac:dyDescent="0.2">
      <c r="B10" s="4">
        <v>7</v>
      </c>
      <c r="C10" s="4">
        <v>670</v>
      </c>
      <c r="D10" s="23">
        <v>2914955.9349667178</v>
      </c>
      <c r="E10" s="33">
        <v>289.56769230766577</v>
      </c>
      <c r="F10" s="5">
        <v>8</v>
      </c>
      <c r="G10" s="23">
        <v>49</v>
      </c>
      <c r="H10" s="33">
        <v>1253.5208431825451</v>
      </c>
      <c r="I10" s="23">
        <v>45.110586671199144</v>
      </c>
      <c r="J10" s="5">
        <v>6953.9978094694898</v>
      </c>
      <c r="K10" s="31"/>
      <c r="L10" s="23">
        <v>3249014.5482126791</v>
      </c>
      <c r="M10" s="33">
        <v>532.18769230772386</v>
      </c>
      <c r="N10" s="5">
        <v>21</v>
      </c>
      <c r="O10" s="5">
        <v>43.5</v>
      </c>
      <c r="P10" s="33">
        <v>1353.6654948706364</v>
      </c>
      <c r="Q10" s="5">
        <v>16.786402837731355</v>
      </c>
      <c r="R10" s="5">
        <v>6191.3956377223403</v>
      </c>
      <c r="S10" s="31"/>
      <c r="T10" s="23">
        <v>3126246.1411921009</v>
      </c>
      <c r="U10" s="33">
        <v>292.74076923074267</v>
      </c>
      <c r="V10" s="5">
        <v>5</v>
      </c>
      <c r="W10" s="5">
        <v>35</v>
      </c>
      <c r="X10" s="33">
        <v>708.1271053587119</v>
      </c>
      <c r="Y10" s="5">
        <v>83.445148773466627</v>
      </c>
      <c r="Z10" s="5">
        <v>6495.649933304865</v>
      </c>
      <c r="AA10" s="35"/>
    </row>
    <row r="11" spans="2:27" x14ac:dyDescent="0.2">
      <c r="B11" s="4">
        <v>8</v>
      </c>
      <c r="C11" s="4">
        <v>618</v>
      </c>
      <c r="D11" s="23">
        <v>2541031.9718895899</v>
      </c>
      <c r="E11" s="33">
        <v>331.75538461538963</v>
      </c>
      <c r="F11" s="5">
        <v>11</v>
      </c>
      <c r="G11" s="23">
        <v>67.5</v>
      </c>
      <c r="H11" s="33">
        <v>1619.8937610245214</v>
      </c>
      <c r="I11" s="23">
        <v>45.575506105076123</v>
      </c>
      <c r="J11" s="5">
        <v>7078.5473697171083</v>
      </c>
      <c r="K11" s="31"/>
      <c r="L11" s="23">
        <v>3203992.641801069</v>
      </c>
      <c r="M11" s="33">
        <v>506.0699999999577</v>
      </c>
      <c r="N11" s="5">
        <v>9</v>
      </c>
      <c r="O11" s="5">
        <v>35</v>
      </c>
      <c r="P11" s="33">
        <v>706.50314993433255</v>
      </c>
      <c r="Q11" s="5">
        <v>26.679970141337073</v>
      </c>
      <c r="R11" s="5">
        <v>5922.1564991253226</v>
      </c>
      <c r="S11" s="31"/>
      <c r="T11" s="23">
        <v>3056211.1920209541</v>
      </c>
      <c r="U11" s="33">
        <v>754.36230769228689</v>
      </c>
      <c r="V11" s="5">
        <v>6</v>
      </c>
      <c r="W11" s="5">
        <v>39</v>
      </c>
      <c r="X11" s="33">
        <v>983.86239951118773</v>
      </c>
      <c r="Y11" s="5">
        <v>75.606797398619406</v>
      </c>
      <c r="Z11" s="5">
        <v>6674.9545914064784</v>
      </c>
      <c r="AA11" s="35"/>
    </row>
    <row r="12" spans="2:27" x14ac:dyDescent="0.2">
      <c r="B12" s="4">
        <v>9</v>
      </c>
      <c r="C12" s="4">
        <v>195</v>
      </c>
      <c r="D12" s="23">
        <v>2709984.1361618531</v>
      </c>
      <c r="E12" s="33">
        <v>212.30769230769229</v>
      </c>
      <c r="F12" s="5">
        <v>9</v>
      </c>
      <c r="G12" s="23">
        <v>61</v>
      </c>
      <c r="H12" s="33">
        <v>1638.821439755711</v>
      </c>
      <c r="I12" s="23">
        <v>53.428704234231908</v>
      </c>
      <c r="J12" s="5">
        <v>7243.9964813998395</v>
      </c>
      <c r="K12" s="31"/>
      <c r="L12" s="23">
        <v>3175278.9578427109</v>
      </c>
      <c r="M12" s="33">
        <v>478.00461538458387</v>
      </c>
      <c r="N12" s="5">
        <v>11</v>
      </c>
      <c r="O12" s="5">
        <v>37.5</v>
      </c>
      <c r="P12" s="33">
        <v>940.95812824137954</v>
      </c>
      <c r="Q12" s="5">
        <v>24.051050322288575</v>
      </c>
      <c r="R12" s="5">
        <v>5906.1078079908375</v>
      </c>
      <c r="S12" s="31"/>
      <c r="T12" s="23">
        <v>3050920.4337106911</v>
      </c>
      <c r="U12" s="33">
        <v>511.74230769231843</v>
      </c>
      <c r="V12" s="5">
        <v>7</v>
      </c>
      <c r="W12" s="5">
        <v>42</v>
      </c>
      <c r="X12" s="33">
        <v>1233.7301144799364</v>
      </c>
      <c r="Y12" s="5">
        <v>67.79088257851123</v>
      </c>
      <c r="Z12" s="5">
        <v>6998.313439882294</v>
      </c>
      <c r="AA12" s="35"/>
    </row>
    <row r="13" spans="2:27" x14ac:dyDescent="0.2">
      <c r="B13" s="4">
        <v>10</v>
      </c>
      <c r="C13" s="4">
        <v>515</v>
      </c>
      <c r="D13" s="23">
        <v>2816316.4884292712</v>
      </c>
      <c r="E13" s="33">
        <v>325.76923076923077</v>
      </c>
      <c r="F13" s="5">
        <v>5</v>
      </c>
      <c r="G13" s="23">
        <v>43.5</v>
      </c>
      <c r="H13" s="33">
        <v>299.84458203581727</v>
      </c>
      <c r="I13" s="23">
        <v>65.750143578854846</v>
      </c>
      <c r="J13" s="5">
        <v>5529.9309827323195</v>
      </c>
      <c r="K13" s="31"/>
      <c r="L13" s="23">
        <v>3240794.8128274241</v>
      </c>
      <c r="M13" s="33">
        <v>304.15846153843</v>
      </c>
      <c r="N13" s="5">
        <v>15</v>
      </c>
      <c r="O13" s="5">
        <v>41.5</v>
      </c>
      <c r="P13" s="33">
        <v>1476.8980739216897</v>
      </c>
      <c r="Q13" s="5">
        <v>20.805437836654686</v>
      </c>
      <c r="R13" s="5">
        <v>6650.6375502037035</v>
      </c>
      <c r="S13" s="31"/>
      <c r="T13" s="23">
        <v>3064206.0432056938</v>
      </c>
      <c r="U13" s="33">
        <v>417.53615384616961</v>
      </c>
      <c r="V13" s="5">
        <v>6</v>
      </c>
      <c r="W13" s="5">
        <v>38.5</v>
      </c>
      <c r="X13" s="33">
        <v>889.95525940846767</v>
      </c>
      <c r="Y13" s="5">
        <v>75.165254601707815</v>
      </c>
      <c r="Z13" s="5">
        <v>6665.1142775642547</v>
      </c>
      <c r="AA13" s="35"/>
    </row>
    <row r="14" spans="2:27" x14ac:dyDescent="0.2">
      <c r="B14" s="46" t="s">
        <v>3</v>
      </c>
      <c r="C14" s="47"/>
      <c r="D14" s="9">
        <f>MIN(D4:D13)</f>
        <v>2541031.9718895899</v>
      </c>
      <c r="E14" s="22">
        <f>INDEX(E4:E13, MATCH($D$14, D4:D13, 0))</f>
        <v>331.75538461538963</v>
      </c>
      <c r="F14" s="9">
        <f>INDEX(F4:F13, MATCH($D$14, D4:D13, 0))</f>
        <v>11</v>
      </c>
      <c r="G14" s="9">
        <f>INDEX(G4:G13, MATCH($D$14, D4:D13, 0))</f>
        <v>67.5</v>
      </c>
      <c r="H14" s="22">
        <f>INDEX(H4:H13, MATCH($D$14, D4:D13, 0))</f>
        <v>1619.8937610245214</v>
      </c>
      <c r="I14" s="22">
        <f>INDEX(I4:I13, MATCH($D$14, D4:D13, 0))</f>
        <v>45.575506105076123</v>
      </c>
      <c r="J14" s="22">
        <f>INDEX(J4:J13, MATCH($D$14, D4:D13, 0))</f>
        <v>7078.5473697171083</v>
      </c>
      <c r="K14" s="32" t="e">
        <f>(D14-$D$15)/$D$15</f>
        <v>#DIV/0!</v>
      </c>
      <c r="L14" s="16">
        <f>MIN(L4:L13)</f>
        <v>3094047.9930781042</v>
      </c>
      <c r="M14" s="21">
        <f>INDEX(M4:M13, MATCH($L$14, L4:L13, 0))</f>
        <v>960.07230769224998</v>
      </c>
      <c r="N14" s="16">
        <f>INDEX(N4:N13, MATCH($L$14, L4:L13, 0))</f>
        <v>9</v>
      </c>
      <c r="O14" s="16">
        <f>INDEX(O4:O13, MATCH($L$14, L4:L13, 0))</f>
        <v>37</v>
      </c>
      <c r="P14" s="21">
        <f>INDEX(P4:P13, MATCH($L$14, L4:L13, 0))</f>
        <v>521.31988025739497</v>
      </c>
      <c r="Q14" s="21">
        <f>INDEX(Q4:Q13, MATCH($L$14, L4:L13, 0))</f>
        <v>28.920068583681086</v>
      </c>
      <c r="R14" s="21">
        <f>INDEX(R4:R13, MATCH($L$14, L4:L13, 0))</f>
        <v>5527.9245540517832</v>
      </c>
      <c r="S14" s="36" t="e">
        <f>(L14-$D$15)/$D$15</f>
        <v>#DIV/0!</v>
      </c>
      <c r="T14" s="38">
        <f>MIN(T4:T13)</f>
        <v>3050920.4337106911</v>
      </c>
      <c r="U14" s="39">
        <f>INDEX(U4:U13, MATCH($T$14, T4:T13, 0))</f>
        <v>511.74230769231843</v>
      </c>
      <c r="V14" s="38">
        <f>INDEX(V4:V13, MATCH($T$14, T4:T13, 0))</f>
        <v>7</v>
      </c>
      <c r="W14" s="38">
        <f>INDEX(W4:W13, MATCH($T$14, T4:T13, 0))</f>
        <v>42</v>
      </c>
      <c r="X14" s="39">
        <f>INDEX(X4:X13, MATCH($T$14, T4:T13, 0))</f>
        <v>1233.7301144799364</v>
      </c>
      <c r="Y14" s="39">
        <f>INDEX(Y4:Y13, MATCH($T$14, T4:T13, 0))</f>
        <v>67.79088257851123</v>
      </c>
      <c r="Z14" s="39">
        <f>INDEX(Z4:Z13, MATCH($T$14, T4:T13, 0))</f>
        <v>6998.313439882294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65" priority="7"/>
    <cfRule type="duplicateValues" dxfId="64" priority="8"/>
  </conditionalFormatting>
  <conditionalFormatting sqref="C14">
    <cfRule type="duplicateValues" dxfId="63" priority="3"/>
    <cfRule type="duplicateValues" dxfId="62" priority="4"/>
  </conditionalFormatting>
  <conditionalFormatting sqref="C17:C41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CCAF-D764-440C-BD46-89F50F42BD4C}">
  <dimension ref="B1:AA17"/>
  <sheetViews>
    <sheetView zoomScale="70" zoomScaleNormal="70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-0.98588216387156979</v>
      </c>
      <c r="J2" s="28" t="e">
        <f>(S14-J14)/J14</f>
        <v>#DIV/0!</v>
      </c>
      <c r="K2" s="28"/>
      <c r="L2" s="1" t="s">
        <v>19</v>
      </c>
      <c r="P2" s="1">
        <f>(P14-H14)/H14</f>
        <v>-0.43416839012239578</v>
      </c>
      <c r="R2" s="1">
        <f>(R14-J14)/J14</f>
        <v>-0.17830396572981685</v>
      </c>
      <c r="T2" s="1" t="s">
        <v>20</v>
      </c>
      <c r="X2" s="1">
        <f>(X14-P14)/P14</f>
        <v>0.60510399986584951</v>
      </c>
      <c r="Z2" s="1">
        <f>(Z14-R14)/R14</f>
        <v>0.20567454101245758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3036806.4154355749</v>
      </c>
      <c r="E4" s="33">
        <v>175.829230769215</v>
      </c>
      <c r="F4" s="5">
        <v>9</v>
      </c>
      <c r="G4" s="23">
        <v>53.5</v>
      </c>
      <c r="H4" s="33">
        <v>2315.1045300500496</v>
      </c>
      <c r="I4" s="23">
        <v>38.448874425261103</v>
      </c>
      <c r="J4" s="5">
        <v>7868.7320340909109</v>
      </c>
      <c r="K4" s="31"/>
      <c r="L4" s="23">
        <v>3902513.05947338</v>
      </c>
      <c r="M4" s="33">
        <v>291.57384615382534</v>
      </c>
      <c r="N4" s="5">
        <v>22</v>
      </c>
      <c r="O4" s="5">
        <v>19</v>
      </c>
      <c r="P4" s="33">
        <v>1041.0156646724492</v>
      </c>
      <c r="Q4" s="5">
        <v>5.7473547780336958</v>
      </c>
      <c r="R4" s="5">
        <v>5597.6002274135226</v>
      </c>
      <c r="S4" s="31"/>
      <c r="T4" s="23">
        <v>3887571.076856832</v>
      </c>
      <c r="U4" s="33">
        <v>361.8384615384723</v>
      </c>
      <c r="V4" s="5">
        <v>13</v>
      </c>
      <c r="W4" s="5">
        <v>14.5</v>
      </c>
      <c r="X4" s="33">
        <v>1955.4156354125928</v>
      </c>
      <c r="Y4" s="5">
        <v>14.90418029165545</v>
      </c>
      <c r="Z4" s="5">
        <v>6775.1144350898885</v>
      </c>
      <c r="AA4" s="35"/>
    </row>
    <row r="5" spans="2:27" x14ac:dyDescent="0.2">
      <c r="B5" s="4">
        <v>2</v>
      </c>
      <c r="C5" s="4">
        <v>68</v>
      </c>
      <c r="D5" s="23">
        <v>3135890.8137079971</v>
      </c>
      <c r="E5" s="33">
        <v>502.23615384615886</v>
      </c>
      <c r="F5" s="5">
        <v>5</v>
      </c>
      <c r="G5" s="23">
        <v>35.5</v>
      </c>
      <c r="H5" s="33">
        <v>720.06410011655748</v>
      </c>
      <c r="I5" s="23">
        <v>51.864085170217152</v>
      </c>
      <c r="J5" s="5">
        <v>6353.429822019757</v>
      </c>
      <c r="K5" s="31"/>
      <c r="L5" s="23">
        <v>3485056.1432060609</v>
      </c>
      <c r="M5" s="33">
        <v>449.69923076918349</v>
      </c>
      <c r="N5" s="5">
        <v>5</v>
      </c>
      <c r="O5" s="5">
        <v>19</v>
      </c>
      <c r="P5" s="33">
        <v>30.148749776367225</v>
      </c>
      <c r="Q5" s="5">
        <v>26.115186096839807</v>
      </c>
      <c r="R5" s="5">
        <v>4274.2896921819793</v>
      </c>
      <c r="S5" s="31"/>
      <c r="T5" s="23">
        <v>3527685.429182773</v>
      </c>
      <c r="U5" s="33">
        <v>213.49769230770806</v>
      </c>
      <c r="V5" s="5">
        <v>5</v>
      </c>
      <c r="W5" s="5">
        <v>22.5</v>
      </c>
      <c r="X5" s="33">
        <v>1482.1827457998165</v>
      </c>
      <c r="Y5" s="5">
        <v>55.8818578234375</v>
      </c>
      <c r="Z5" s="5">
        <v>7144.5104703706602</v>
      </c>
      <c r="AA5" s="35"/>
    </row>
    <row r="6" spans="2:27" x14ac:dyDescent="0.2">
      <c r="B6" s="4">
        <v>3</v>
      </c>
      <c r="C6" s="4">
        <v>144</v>
      </c>
      <c r="D6" s="23">
        <v>2895448.1715171868</v>
      </c>
      <c r="E6" s="33">
        <v>360.98538461544257</v>
      </c>
      <c r="F6" s="5">
        <v>6</v>
      </c>
      <c r="G6" s="23">
        <v>47</v>
      </c>
      <c r="H6" s="33">
        <v>1049.6054115646743</v>
      </c>
      <c r="I6" s="23">
        <v>47.602359152300608</v>
      </c>
      <c r="J6" s="5">
        <v>6575.7723914974695</v>
      </c>
      <c r="K6" s="31"/>
      <c r="L6" s="23">
        <v>3499180.7829158232</v>
      </c>
      <c r="M6" s="33">
        <v>461.29846153843499</v>
      </c>
      <c r="N6" s="5">
        <v>8</v>
      </c>
      <c r="O6" s="5">
        <v>24.5</v>
      </c>
      <c r="P6" s="33">
        <v>1169.0128805969321</v>
      </c>
      <c r="Q6" s="5">
        <v>21.240901594249749</v>
      </c>
      <c r="R6" s="5">
        <v>6009.2944322297453</v>
      </c>
      <c r="S6" s="31"/>
      <c r="T6" s="23">
        <v>3294898.611534005</v>
      </c>
      <c r="U6" s="33">
        <v>169.90384615384616</v>
      </c>
      <c r="V6" s="5">
        <v>5</v>
      </c>
      <c r="W6" s="5">
        <v>31</v>
      </c>
      <c r="X6" s="33">
        <v>1257.1173859660896</v>
      </c>
      <c r="Y6" s="5">
        <v>62.110656124637501</v>
      </c>
      <c r="Z6" s="5">
        <v>6982.8817520755483</v>
      </c>
      <c r="AA6" s="35"/>
    </row>
    <row r="7" spans="2:27" x14ac:dyDescent="0.2">
      <c r="B7" s="4">
        <v>4</v>
      </c>
      <c r="C7" s="4">
        <v>408</v>
      </c>
      <c r="D7" s="23">
        <v>2953877.0297607491</v>
      </c>
      <c r="E7" s="33">
        <v>503.91846153849303</v>
      </c>
      <c r="F7" s="5">
        <v>6</v>
      </c>
      <c r="G7" s="23">
        <v>46.5</v>
      </c>
      <c r="H7" s="33">
        <v>1310.5866192440315</v>
      </c>
      <c r="I7" s="23">
        <v>54.087414228416812</v>
      </c>
      <c r="J7" s="5">
        <v>6989.7831862971025</v>
      </c>
      <c r="K7" s="31"/>
      <c r="L7" s="23">
        <v>3212383.7180190678</v>
      </c>
      <c r="M7" s="33">
        <v>744.42307692307691</v>
      </c>
      <c r="N7" s="5">
        <v>11</v>
      </c>
      <c r="O7" s="5">
        <v>36.5</v>
      </c>
      <c r="P7" s="33">
        <v>1078.1701907277723</v>
      </c>
      <c r="Q7" s="5">
        <v>19.862378086717069</v>
      </c>
      <c r="R7" s="5">
        <v>5820.1030107897386</v>
      </c>
      <c r="S7" s="31"/>
      <c r="T7" s="23">
        <v>3317251.4951451272</v>
      </c>
      <c r="U7" s="33">
        <v>253.40153846155422</v>
      </c>
      <c r="V7" s="5">
        <v>5</v>
      </c>
      <c r="W7" s="5">
        <v>30</v>
      </c>
      <c r="X7" s="33">
        <v>1149.9211661044164</v>
      </c>
      <c r="Y7" s="5">
        <v>57.624930967255366</v>
      </c>
      <c r="Z7" s="5">
        <v>6862.4023215434108</v>
      </c>
      <c r="AA7" s="35"/>
    </row>
    <row r="8" spans="2:27" x14ac:dyDescent="0.2">
      <c r="B8" s="4">
        <v>5</v>
      </c>
      <c r="C8" s="4">
        <v>421</v>
      </c>
      <c r="D8" s="23">
        <v>3081413.347842074</v>
      </c>
      <c r="E8" s="33">
        <v>635.10846153841931</v>
      </c>
      <c r="F8" s="5">
        <v>7</v>
      </c>
      <c r="G8" s="23">
        <v>41.5</v>
      </c>
      <c r="H8" s="33">
        <v>1132.7447697261389</v>
      </c>
      <c r="I8" s="23">
        <v>43.009440229555764</v>
      </c>
      <c r="J8" s="5">
        <v>6706.1913951120578</v>
      </c>
      <c r="K8" s="31"/>
      <c r="L8" s="23">
        <v>3975682.005724519</v>
      </c>
      <c r="M8" s="33">
        <v>562.25923076925721</v>
      </c>
      <c r="N8" s="5">
        <v>33</v>
      </c>
      <c r="O8" s="5">
        <v>43</v>
      </c>
      <c r="P8" s="33">
        <v>4129.9326642147626</v>
      </c>
      <c r="Q8" s="5">
        <v>8.9629154335397665</v>
      </c>
      <c r="R8" s="5">
        <v>9263.5239688697548</v>
      </c>
      <c r="S8" s="31"/>
      <c r="T8" s="23">
        <v>3728328.697660516</v>
      </c>
      <c r="U8" s="33">
        <v>243.5938461538619</v>
      </c>
      <c r="V8" s="5">
        <v>12</v>
      </c>
      <c r="W8" s="5">
        <v>36.5</v>
      </c>
      <c r="X8" s="33">
        <v>4958.8267530259709</v>
      </c>
      <c r="Y8" s="5">
        <v>40.993594972508511</v>
      </c>
      <c r="Z8" s="5">
        <v>10646.27720956725</v>
      </c>
      <c r="AA8" s="35"/>
    </row>
    <row r="9" spans="2:27" x14ac:dyDescent="0.2">
      <c r="B9" s="4">
        <v>6</v>
      </c>
      <c r="C9" s="4">
        <v>593</v>
      </c>
      <c r="D9" s="23">
        <v>2884017.9737513121</v>
      </c>
      <c r="E9" s="33">
        <v>375.10846153850883</v>
      </c>
      <c r="F9" s="5">
        <v>5</v>
      </c>
      <c r="G9" s="23">
        <v>46.5</v>
      </c>
      <c r="H9" s="33">
        <v>1007.8959650197374</v>
      </c>
      <c r="I9" s="23">
        <v>65.712628956385714</v>
      </c>
      <c r="J9" s="5">
        <v>6638.9021736223121</v>
      </c>
      <c r="K9" s="31"/>
      <c r="L9" s="23">
        <v>3240717.5786879971</v>
      </c>
      <c r="M9" s="33">
        <v>771.49076923074301</v>
      </c>
      <c r="N9" s="5">
        <v>9</v>
      </c>
      <c r="O9" s="5">
        <v>36</v>
      </c>
      <c r="P9" s="33">
        <v>1235.7678130088318</v>
      </c>
      <c r="Q9" s="5">
        <v>26.109085836486567</v>
      </c>
      <c r="R9" s="5">
        <v>6353.3113798116765</v>
      </c>
      <c r="S9" s="31"/>
      <c r="T9" s="23">
        <v>3389941.087422275</v>
      </c>
      <c r="U9" s="33">
        <v>163.69000000001574</v>
      </c>
      <c r="V9" s="5">
        <v>5</v>
      </c>
      <c r="W9" s="5">
        <v>27</v>
      </c>
      <c r="X9" s="33">
        <v>1253.6027301918236</v>
      </c>
      <c r="Y9" s="5">
        <v>67.053633926423259</v>
      </c>
      <c r="Z9" s="5">
        <v>7009.7611439994571</v>
      </c>
      <c r="AA9" s="35"/>
    </row>
    <row r="10" spans="2:27" x14ac:dyDescent="0.2">
      <c r="B10" s="4">
        <v>7</v>
      </c>
      <c r="C10" s="4">
        <v>632</v>
      </c>
      <c r="D10" s="23">
        <v>2935924.0546543612</v>
      </c>
      <c r="E10" s="33">
        <v>403.58153846150691</v>
      </c>
      <c r="F10" s="5">
        <v>6</v>
      </c>
      <c r="G10" s="23">
        <v>45.5</v>
      </c>
      <c r="H10" s="33">
        <v>1108.0599314103924</v>
      </c>
      <c r="I10" s="23">
        <v>53.676878655807009</v>
      </c>
      <c r="J10" s="5">
        <v>6581.4902032371047</v>
      </c>
      <c r="K10" s="31"/>
      <c r="L10" s="23">
        <v>3201636.9888318251</v>
      </c>
      <c r="M10" s="33">
        <v>432.7646153846469</v>
      </c>
      <c r="N10" s="5">
        <v>10</v>
      </c>
      <c r="O10" s="5">
        <v>35.5</v>
      </c>
      <c r="P10" s="33">
        <v>825.43449401462567</v>
      </c>
      <c r="Q10" s="5">
        <v>20.59508291481437</v>
      </c>
      <c r="R10" s="5">
        <v>5740.6858819990948</v>
      </c>
      <c r="S10" s="31"/>
      <c r="T10" s="23">
        <v>3202881.2951368899</v>
      </c>
      <c r="U10" s="33">
        <v>653.87076923077427</v>
      </c>
      <c r="V10" s="5">
        <v>6</v>
      </c>
      <c r="W10" s="5">
        <v>34.5</v>
      </c>
      <c r="X10" s="33">
        <v>1113.6773206159519</v>
      </c>
      <c r="Y10" s="5">
        <v>63.760333684201591</v>
      </c>
      <c r="Z10" s="5">
        <v>6801.3536981177613</v>
      </c>
      <c r="AA10" s="35"/>
    </row>
    <row r="11" spans="2:27" x14ac:dyDescent="0.2">
      <c r="B11" s="4">
        <v>8</v>
      </c>
      <c r="C11" s="4">
        <v>643</v>
      </c>
      <c r="D11" s="23">
        <v>2741827.763524577</v>
      </c>
      <c r="E11" s="33">
        <v>331.35769230770308</v>
      </c>
      <c r="F11" s="5">
        <v>8</v>
      </c>
      <c r="G11" s="23">
        <v>57</v>
      </c>
      <c r="H11" s="33">
        <v>1458.7988362706999</v>
      </c>
      <c r="I11" s="23">
        <v>46.337191488174746</v>
      </c>
      <c r="J11" s="5">
        <v>6986.3862579036022</v>
      </c>
      <c r="K11" s="31"/>
      <c r="L11" s="23">
        <v>3234071.7571066832</v>
      </c>
      <c r="M11" s="33">
        <v>909.5915384614807</v>
      </c>
      <c r="N11" s="5">
        <v>10</v>
      </c>
      <c r="O11" s="5">
        <v>34</v>
      </c>
      <c r="P11" s="33">
        <v>961.69155135572623</v>
      </c>
      <c r="Q11" s="5">
        <v>21.603426883610915</v>
      </c>
      <c r="R11" s="5">
        <v>5648.3015932308126</v>
      </c>
      <c r="S11" s="31"/>
      <c r="T11" s="23">
        <v>3210282.860131538</v>
      </c>
      <c r="U11" s="33">
        <v>315.21615384612232</v>
      </c>
      <c r="V11" s="5">
        <v>5</v>
      </c>
      <c r="W11" s="5">
        <v>33</v>
      </c>
      <c r="X11" s="33">
        <v>939.69606229655642</v>
      </c>
      <c r="Y11" s="5">
        <v>67.625471654706701</v>
      </c>
      <c r="Z11" s="5">
        <v>6661.6688225541875</v>
      </c>
      <c r="AA11" s="35"/>
    </row>
    <row r="12" spans="2:27" x14ac:dyDescent="0.2">
      <c r="B12" s="4">
        <v>9</v>
      </c>
      <c r="C12" s="4">
        <v>844</v>
      </c>
      <c r="D12" s="23">
        <v>3143644.086398887</v>
      </c>
      <c r="E12" s="33">
        <v>311.64692307688085</v>
      </c>
      <c r="F12" s="5">
        <v>5</v>
      </c>
      <c r="G12" s="23">
        <v>35</v>
      </c>
      <c r="H12" s="33">
        <v>647.80782490728586</v>
      </c>
      <c r="I12" s="23">
        <v>47.632200248019309</v>
      </c>
      <c r="J12" s="5">
        <v>6308.2489914022981</v>
      </c>
      <c r="K12" s="31"/>
      <c r="L12" s="23">
        <v>3469683.8919637492</v>
      </c>
      <c r="M12" s="33">
        <v>231.40615384613807</v>
      </c>
      <c r="N12" s="5">
        <v>12</v>
      </c>
      <c r="O12" s="5">
        <v>30.5</v>
      </c>
      <c r="P12" s="33">
        <v>1487.9133943505542</v>
      </c>
      <c r="Q12" s="5">
        <v>17.572009812255043</v>
      </c>
      <c r="R12" s="5">
        <v>6685.3978951981562</v>
      </c>
      <c r="S12" s="31"/>
      <c r="T12" s="23">
        <v>3399484.3085865951</v>
      </c>
      <c r="U12" s="33">
        <v>203.73846153845074</v>
      </c>
      <c r="V12" s="5">
        <v>5</v>
      </c>
      <c r="W12" s="5">
        <v>27</v>
      </c>
      <c r="X12" s="33">
        <v>1223.7168677413515</v>
      </c>
      <c r="Y12" s="5">
        <v>61.601947466458554</v>
      </c>
      <c r="Z12" s="5">
        <v>6957.6829744249362</v>
      </c>
      <c r="AA12" s="35"/>
    </row>
    <row r="13" spans="2:27" x14ac:dyDescent="0.2">
      <c r="B13" s="4">
        <v>10</v>
      </c>
      <c r="C13" s="4">
        <v>916</v>
      </c>
      <c r="D13" s="23">
        <v>3100919.32961271</v>
      </c>
      <c r="E13" s="33">
        <v>161.83923076918853</v>
      </c>
      <c r="F13" s="5">
        <v>5</v>
      </c>
      <c r="G13" s="23">
        <v>40</v>
      </c>
      <c r="H13" s="33">
        <v>1243.6509145616592</v>
      </c>
      <c r="I13" s="23">
        <v>51.827866594265345</v>
      </c>
      <c r="J13" s="5">
        <v>7002.5092995747891</v>
      </c>
      <c r="K13" s="31"/>
      <c r="L13" s="23">
        <v>3390800.37210233</v>
      </c>
      <c r="M13" s="33">
        <v>362.56000000007379</v>
      </c>
      <c r="N13" s="5">
        <v>11</v>
      </c>
      <c r="O13" s="5">
        <v>32.5</v>
      </c>
      <c r="P13" s="33">
        <v>1545.7431524563251</v>
      </c>
      <c r="Q13" s="5">
        <v>18.276149705553124</v>
      </c>
      <c r="R13" s="5">
        <v>6441.1536893986458</v>
      </c>
      <c r="S13" s="31"/>
      <c r="T13" s="23">
        <v>3179945.3766589682</v>
      </c>
      <c r="U13" s="33">
        <v>601.74307692303466</v>
      </c>
      <c r="V13" s="5">
        <v>6</v>
      </c>
      <c r="W13" s="5">
        <v>36.5</v>
      </c>
      <c r="X13" s="33">
        <v>1324.9082079701193</v>
      </c>
      <c r="Y13" s="5">
        <v>60.456033798667868</v>
      </c>
      <c r="Z13" s="5">
        <v>6921.3988158759539</v>
      </c>
      <c r="AA13" s="35"/>
    </row>
    <row r="14" spans="2:27" x14ac:dyDescent="0.2">
      <c r="B14" s="46" t="s">
        <v>3</v>
      </c>
      <c r="C14" s="47"/>
      <c r="D14" s="9">
        <f>MIN(D4:D13)</f>
        <v>2741827.763524577</v>
      </c>
      <c r="E14" s="22">
        <f>INDEX(E4:E13, MATCH($D$14, D4:D13, 0))</f>
        <v>331.35769230770308</v>
      </c>
      <c r="F14" s="9">
        <f>INDEX(F4:F13, MATCH($D$14, D4:D13, 0))</f>
        <v>8</v>
      </c>
      <c r="G14" s="9">
        <f>INDEX(G4:G13, MATCH($D$14, D4:D13, 0))</f>
        <v>57</v>
      </c>
      <c r="H14" s="22">
        <f>INDEX(H4:H13, MATCH($D$14, D4:D13, 0))</f>
        <v>1458.7988362706999</v>
      </c>
      <c r="I14" s="22">
        <f>INDEX(I4:I13, MATCH($D$14, D4:D13, 0))</f>
        <v>46.337191488174746</v>
      </c>
      <c r="J14" s="22">
        <f>INDEX(J4:J13, MATCH($D$14, D4:D13, 0))</f>
        <v>6986.3862579036022</v>
      </c>
      <c r="K14" s="32" t="e">
        <f>(D14-$D$15)/$D$15</f>
        <v>#DIV/0!</v>
      </c>
      <c r="L14" s="16">
        <f>MIN(L4:L13)</f>
        <v>3201636.9888318251</v>
      </c>
      <c r="M14" s="21">
        <f>INDEX(M4:M13, MATCH($L$14, L4:L13, 0))</f>
        <v>432.7646153846469</v>
      </c>
      <c r="N14" s="16">
        <f>INDEX(N4:N13, MATCH($L$14, L4:L13, 0))</f>
        <v>10</v>
      </c>
      <c r="O14" s="16">
        <f>INDEX(O4:O13, MATCH($L$14, L4:L13, 0))</f>
        <v>35.5</v>
      </c>
      <c r="P14" s="21">
        <f>INDEX(P4:P13, MATCH($L$14, L4:L13, 0))</f>
        <v>825.43449401462567</v>
      </c>
      <c r="Q14" s="21">
        <f>INDEX(Q4:Q13, MATCH($L$14, L4:L13, 0))</f>
        <v>20.59508291481437</v>
      </c>
      <c r="R14" s="21">
        <f>INDEX(R4:R13, MATCH($L$14, L4:L13, 0))</f>
        <v>5740.6858819990948</v>
      </c>
      <c r="S14" s="36" t="e">
        <f>(L14-$D$15)/$D$15</f>
        <v>#DIV/0!</v>
      </c>
      <c r="T14" s="38">
        <f>MIN(T4:T13)</f>
        <v>3179945.3766589682</v>
      </c>
      <c r="U14" s="39">
        <f>INDEX(U4:U13, MATCH($T$14, T4:T13, 0))</f>
        <v>601.74307692303466</v>
      </c>
      <c r="V14" s="38">
        <f>INDEX(V4:V13, MATCH($T$14, T4:T13, 0))</f>
        <v>6</v>
      </c>
      <c r="W14" s="38">
        <f>INDEX(W4:W13, MATCH($T$14, T4:T13, 0))</f>
        <v>36.5</v>
      </c>
      <c r="X14" s="39">
        <f>INDEX(X4:X13, MATCH($T$14, T4:T13, 0))</f>
        <v>1324.9082079701193</v>
      </c>
      <c r="Y14" s="39">
        <f>INDEX(Y4:Y13, MATCH($T$14, T4:T13, 0))</f>
        <v>60.456033798667868</v>
      </c>
      <c r="Z14" s="39">
        <f>INDEX(Z4:Z13, MATCH($T$14, T4:T13, 0))</f>
        <v>6921.3988158759539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7:C41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6A26-11ED-4C6F-A841-B2920654E07C}">
  <dimension ref="B1:AA17"/>
  <sheetViews>
    <sheetView zoomScale="70" zoomScaleNormal="7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-0.9887016964123202</v>
      </c>
      <c r="J2" s="28" t="e">
        <f>(S14-J14)/J14</f>
        <v>#DIV/0!</v>
      </c>
      <c r="K2" s="28"/>
      <c r="L2" s="1" t="s">
        <v>19</v>
      </c>
      <c r="P2" s="1">
        <f>(P14-H14)/H14</f>
        <v>0.21603257282977123</v>
      </c>
      <c r="R2" s="1">
        <f>(R14-J14)/J14</f>
        <v>1.1832778662133402E-2</v>
      </c>
      <c r="T2" s="1" t="s">
        <v>20</v>
      </c>
      <c r="X2" s="1">
        <f>(X14-P14)/P14</f>
        <v>-0.46102180167800216</v>
      </c>
      <c r="Z2" s="1">
        <f>(Z14-R14)/R14</f>
        <v>-3.9876111683160818E-2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229</v>
      </c>
      <c r="D4" s="23">
        <v>2682632.7359057618</v>
      </c>
      <c r="E4" s="33">
        <v>791.62230769226073</v>
      </c>
      <c r="F4" s="5">
        <v>9</v>
      </c>
      <c r="G4" s="23">
        <v>60.5</v>
      </c>
      <c r="H4" s="33">
        <v>1524.9929737273058</v>
      </c>
      <c r="I4" s="23">
        <v>45.062518652596083</v>
      </c>
      <c r="J4" s="5">
        <v>7058.5507512109152</v>
      </c>
      <c r="K4" s="31"/>
      <c r="L4" s="23">
        <v>3527742.7001590319</v>
      </c>
      <c r="M4" s="33">
        <v>268.52153846152271</v>
      </c>
      <c r="N4" s="5">
        <v>12</v>
      </c>
      <c r="O4" s="5">
        <v>28</v>
      </c>
      <c r="P4" s="33">
        <v>1631.8560118153875</v>
      </c>
      <c r="Q4" s="5">
        <v>14.716599806044419</v>
      </c>
      <c r="R4" s="5">
        <v>6564.6583463531988</v>
      </c>
      <c r="S4" s="31"/>
      <c r="T4" s="23">
        <v>3127033.8352908292</v>
      </c>
      <c r="U4" s="33">
        <v>227.3438461538619</v>
      </c>
      <c r="V4" s="5">
        <v>6</v>
      </c>
      <c r="W4" s="5">
        <v>38</v>
      </c>
      <c r="X4" s="33">
        <v>999.5033388122614</v>
      </c>
      <c r="Y4" s="5">
        <v>63.638887012747411</v>
      </c>
      <c r="Z4" s="5">
        <v>6857.2749185335933</v>
      </c>
      <c r="AA4" s="35"/>
    </row>
    <row r="5" spans="2:27" x14ac:dyDescent="0.2">
      <c r="B5" s="4">
        <v>2</v>
      </c>
      <c r="C5" s="4">
        <v>730</v>
      </c>
      <c r="D5" s="23">
        <v>3263032.2849236252</v>
      </c>
      <c r="E5" s="33">
        <v>165.96153846153845</v>
      </c>
      <c r="F5" s="5">
        <v>16</v>
      </c>
      <c r="G5" s="23">
        <v>89</v>
      </c>
      <c r="H5" s="33">
        <v>4975.2681956655933</v>
      </c>
      <c r="I5" s="23">
        <v>42.00007316610197</v>
      </c>
      <c r="J5" s="5">
        <v>10602.114629180707</v>
      </c>
      <c r="K5" s="31"/>
      <c r="L5" s="23">
        <v>3822853.110696963</v>
      </c>
      <c r="M5" s="33">
        <v>591.05769230769226</v>
      </c>
      <c r="N5" s="5">
        <v>27</v>
      </c>
      <c r="O5" s="5">
        <v>48.5</v>
      </c>
      <c r="P5" s="33">
        <v>4499.9535455679816</v>
      </c>
      <c r="Q5" s="5">
        <v>12.175233009116935</v>
      </c>
      <c r="R5" s="5">
        <v>9592.1672354176935</v>
      </c>
      <c r="S5" s="31"/>
      <c r="T5" s="23">
        <v>5102206.826043277</v>
      </c>
      <c r="U5" s="33">
        <v>251.05769230769229</v>
      </c>
      <c r="V5" s="5">
        <v>25</v>
      </c>
      <c r="W5" s="5">
        <v>62</v>
      </c>
      <c r="X5" s="33">
        <v>11403.023073496232</v>
      </c>
      <c r="Y5" s="5">
        <v>40.220152566271459</v>
      </c>
      <c r="Z5" s="5">
        <v>16881.891482962536</v>
      </c>
      <c r="AA5" s="35"/>
    </row>
    <row r="6" spans="2:27" x14ac:dyDescent="0.2">
      <c r="B6" s="4">
        <v>3</v>
      </c>
      <c r="C6" s="4">
        <v>198</v>
      </c>
      <c r="D6" s="23">
        <v>2944556.5518673379</v>
      </c>
      <c r="E6" s="33">
        <v>731.94692307689149</v>
      </c>
      <c r="F6" s="5">
        <v>6</v>
      </c>
      <c r="G6" s="23">
        <v>45</v>
      </c>
      <c r="H6" s="33">
        <v>1015.8804908840059</v>
      </c>
      <c r="I6" s="23">
        <v>53.147963728957542</v>
      </c>
      <c r="J6" s="5">
        <v>6678.8580984622913</v>
      </c>
      <c r="K6" s="31"/>
      <c r="L6" s="23">
        <v>3663436.295611124</v>
      </c>
      <c r="M6" s="33">
        <v>397.1030769231192</v>
      </c>
      <c r="N6" s="5">
        <v>3</v>
      </c>
      <c r="O6" s="5">
        <v>12</v>
      </c>
      <c r="P6" s="33">
        <v>7.2989600709429405</v>
      </c>
      <c r="Q6" s="5">
        <v>27.781847854859802</v>
      </c>
      <c r="R6" s="5">
        <v>3933.6782237201928</v>
      </c>
      <c r="S6" s="31"/>
      <c r="T6" s="23">
        <v>3223530.857700746</v>
      </c>
      <c r="U6" s="33">
        <v>350.03615384616961</v>
      </c>
      <c r="V6" s="5">
        <v>5</v>
      </c>
      <c r="W6" s="5">
        <v>32.5</v>
      </c>
      <c r="X6" s="33">
        <v>818.06492316578704</v>
      </c>
      <c r="Y6" s="5">
        <v>66.729391571289426</v>
      </c>
      <c r="Z6" s="5">
        <v>6708.4095352348959</v>
      </c>
      <c r="AA6" s="35"/>
    </row>
    <row r="7" spans="2:27" x14ac:dyDescent="0.2">
      <c r="B7" s="4">
        <v>4</v>
      </c>
      <c r="C7" s="4">
        <v>190</v>
      </c>
      <c r="D7" s="23">
        <v>2849175.8837293219</v>
      </c>
      <c r="E7" s="33">
        <v>697.41615384620115</v>
      </c>
      <c r="F7" s="5">
        <v>9</v>
      </c>
      <c r="G7" s="23">
        <v>53</v>
      </c>
      <c r="H7" s="33">
        <v>1477.1506712065589</v>
      </c>
      <c r="I7" s="23">
        <v>42.198071712912011</v>
      </c>
      <c r="J7" s="5">
        <v>7041.7357595018339</v>
      </c>
      <c r="K7" s="31"/>
      <c r="L7" s="23">
        <v>3642064.1757074571</v>
      </c>
      <c r="M7" s="33">
        <v>449.54307692304536</v>
      </c>
      <c r="N7" s="5">
        <v>3</v>
      </c>
      <c r="O7" s="5">
        <v>13</v>
      </c>
      <c r="P7" s="33">
        <v>12.929772165905291</v>
      </c>
      <c r="Q7" s="5">
        <v>26.750264319272816</v>
      </c>
      <c r="R7" s="5">
        <v>4356.0678773049203</v>
      </c>
      <c r="S7" s="31"/>
      <c r="T7" s="23">
        <v>3178368.572481364</v>
      </c>
      <c r="U7" s="33">
        <v>275.46923076921996</v>
      </c>
      <c r="V7" s="5">
        <v>5</v>
      </c>
      <c r="W7" s="5">
        <v>34</v>
      </c>
      <c r="X7" s="33">
        <v>740.91566124520318</v>
      </c>
      <c r="Y7" s="5">
        <v>69.317465124892649</v>
      </c>
      <c r="Z7" s="5">
        <v>6596.7676391900923</v>
      </c>
      <c r="AA7" s="35"/>
    </row>
    <row r="8" spans="2:27" x14ac:dyDescent="0.2">
      <c r="B8" s="4">
        <v>5</v>
      </c>
      <c r="C8" s="4">
        <v>941</v>
      </c>
      <c r="D8" s="23">
        <v>3197685.052509747</v>
      </c>
      <c r="E8" s="33">
        <v>432.16384615381963</v>
      </c>
      <c r="F8" s="5">
        <v>16</v>
      </c>
      <c r="G8" s="23">
        <v>62</v>
      </c>
      <c r="H8" s="33">
        <v>3343.6645596457843</v>
      </c>
      <c r="I8" s="23">
        <v>24.216833489229138</v>
      </c>
      <c r="J8" s="5">
        <v>8872.7184209633015</v>
      </c>
      <c r="K8" s="31"/>
      <c r="L8" s="23">
        <v>3440544.927843722</v>
      </c>
      <c r="M8" s="33">
        <v>679.85538461532155</v>
      </c>
      <c r="N8" s="5">
        <v>8</v>
      </c>
      <c r="O8" s="5">
        <v>24.5</v>
      </c>
      <c r="P8" s="33">
        <v>399.6966079238087</v>
      </c>
      <c r="Q8" s="5">
        <v>16.943371144906976</v>
      </c>
      <c r="R8" s="5">
        <v>5375.9797516743702</v>
      </c>
      <c r="S8" s="31"/>
      <c r="T8" s="23">
        <v>3502296.8199867448</v>
      </c>
      <c r="U8" s="33">
        <v>402.45230769228118</v>
      </c>
      <c r="V8" s="5">
        <v>19</v>
      </c>
      <c r="W8" s="5">
        <v>47.5</v>
      </c>
      <c r="X8" s="33">
        <v>3525.2213122093531</v>
      </c>
      <c r="Y8" s="5">
        <v>25.863810797383188</v>
      </c>
      <c r="Z8" s="5">
        <v>9117.7234715514278</v>
      </c>
      <c r="AA8" s="35"/>
    </row>
    <row r="9" spans="2:27" x14ac:dyDescent="0.2">
      <c r="B9" s="4">
        <v>6</v>
      </c>
      <c r="C9" s="4">
        <v>757</v>
      </c>
      <c r="D9" s="23">
        <v>3021430.7521659592</v>
      </c>
      <c r="E9" s="33">
        <v>381.26230769226544</v>
      </c>
      <c r="F9" s="5">
        <v>8</v>
      </c>
      <c r="G9" s="23">
        <v>47</v>
      </c>
      <c r="H9" s="33">
        <v>1579.6557495957675</v>
      </c>
      <c r="I9" s="23">
        <v>36.563715662259582</v>
      </c>
      <c r="J9" s="5">
        <v>7110.935224320644</v>
      </c>
      <c r="K9" s="31"/>
      <c r="L9" s="23">
        <v>3315064.0381483408</v>
      </c>
      <c r="M9" s="33">
        <v>614.83230769231272</v>
      </c>
      <c r="N9" s="5">
        <v>7</v>
      </c>
      <c r="O9" s="5">
        <v>27.5</v>
      </c>
      <c r="P9" s="33">
        <v>208.04178443549549</v>
      </c>
      <c r="Q9" s="5">
        <v>23.502938361164787</v>
      </c>
      <c r="R9" s="5">
        <v>5204.7077267012728</v>
      </c>
      <c r="S9" s="31"/>
      <c r="T9" s="23">
        <v>3183055.5067511159</v>
      </c>
      <c r="U9" s="33">
        <v>637.19923076918349</v>
      </c>
      <c r="V9" s="5">
        <v>7</v>
      </c>
      <c r="W9" s="5">
        <v>36.5</v>
      </c>
      <c r="X9" s="33">
        <v>1325.9331883166296</v>
      </c>
      <c r="Y9" s="5">
        <v>54.710677415873207</v>
      </c>
      <c r="Z9" s="5">
        <v>6939.5631628480642</v>
      </c>
      <c r="AA9" s="35"/>
    </row>
    <row r="10" spans="2:27" x14ac:dyDescent="0.2">
      <c r="B10" s="4">
        <v>7</v>
      </c>
      <c r="C10" s="4">
        <v>471</v>
      </c>
      <c r="D10" s="23">
        <v>2986916.6279867319</v>
      </c>
      <c r="E10" s="33">
        <v>999.71153846153845</v>
      </c>
      <c r="F10" s="5">
        <v>6</v>
      </c>
      <c r="G10" s="23">
        <v>43</v>
      </c>
      <c r="H10" s="33">
        <v>880.25328779608174</v>
      </c>
      <c r="I10" s="23">
        <v>56.008572883334857</v>
      </c>
      <c r="J10" s="5">
        <v>6626.4992473381408</v>
      </c>
      <c r="K10" s="31"/>
      <c r="L10" s="23">
        <v>3441617.2877639481</v>
      </c>
      <c r="M10" s="33">
        <v>450</v>
      </c>
      <c r="N10" s="5">
        <v>6</v>
      </c>
      <c r="O10" s="5">
        <v>23.5</v>
      </c>
      <c r="P10" s="33">
        <v>436.17803813188885</v>
      </c>
      <c r="Q10" s="5">
        <v>22.528689281057989</v>
      </c>
      <c r="R10" s="5">
        <v>5552.8588908881584</v>
      </c>
      <c r="S10" s="31"/>
      <c r="T10" s="23">
        <v>3129616.0028124261</v>
      </c>
      <c r="U10" s="33">
        <v>802.51230769235463</v>
      </c>
      <c r="V10" s="5">
        <v>7</v>
      </c>
      <c r="W10" s="5">
        <v>38.5</v>
      </c>
      <c r="X10" s="33">
        <v>1137.6407114724752</v>
      </c>
      <c r="Y10" s="5">
        <v>58.441578107962286</v>
      </c>
      <c r="Z10" s="5">
        <v>6805.0218532958907</v>
      </c>
      <c r="AA10" s="35"/>
    </row>
    <row r="11" spans="2:27" x14ac:dyDescent="0.2">
      <c r="B11" s="4">
        <v>8</v>
      </c>
      <c r="C11" s="4">
        <v>103</v>
      </c>
      <c r="D11" s="23">
        <v>3074539.9529774021</v>
      </c>
      <c r="E11" s="33">
        <v>317.46384615391992</v>
      </c>
      <c r="F11" s="5">
        <v>9</v>
      </c>
      <c r="G11" s="23">
        <v>47</v>
      </c>
      <c r="H11" s="33">
        <v>1760.4469563039052</v>
      </c>
      <c r="I11" s="23">
        <v>36.838861152015518</v>
      </c>
      <c r="J11" s="5">
        <v>7367.5799013686647</v>
      </c>
      <c r="K11" s="31"/>
      <c r="L11" s="23">
        <v>3431355.7085672799</v>
      </c>
      <c r="M11" s="33">
        <v>265.40923076923576</v>
      </c>
      <c r="N11" s="5">
        <v>8</v>
      </c>
      <c r="O11" s="5">
        <v>27</v>
      </c>
      <c r="P11" s="33">
        <v>1124.515267259186</v>
      </c>
      <c r="Q11" s="5">
        <v>22.477430355780495</v>
      </c>
      <c r="R11" s="5">
        <v>5953.0603152501271</v>
      </c>
      <c r="S11" s="31"/>
      <c r="T11" s="23">
        <v>3295976.5569722578</v>
      </c>
      <c r="U11" s="33">
        <v>666.98384615386692</v>
      </c>
      <c r="V11" s="5">
        <v>7</v>
      </c>
      <c r="W11" s="5">
        <v>33.5</v>
      </c>
      <c r="X11" s="33">
        <v>1438.4095375172403</v>
      </c>
      <c r="Y11" s="5">
        <v>43.721247282263882</v>
      </c>
      <c r="Z11" s="5">
        <v>7057.2290834361902</v>
      </c>
      <c r="AA11" s="35"/>
    </row>
    <row r="12" spans="2:27" x14ac:dyDescent="0.2">
      <c r="B12" s="4">
        <v>9</v>
      </c>
      <c r="C12" s="4">
        <v>203</v>
      </c>
      <c r="D12" s="23">
        <v>2727728.5933654588</v>
      </c>
      <c r="E12" s="33">
        <v>386.22615384618535</v>
      </c>
      <c r="F12" s="5">
        <v>9</v>
      </c>
      <c r="G12" s="23">
        <v>59.5</v>
      </c>
      <c r="H12" s="33">
        <v>1543.5359595219004</v>
      </c>
      <c r="I12" s="23">
        <v>44.595722944874396</v>
      </c>
      <c r="J12" s="5">
        <v>7177.8934170657431</v>
      </c>
      <c r="K12" s="31"/>
      <c r="L12" s="23">
        <v>3562105.027156563</v>
      </c>
      <c r="M12" s="33">
        <v>375.44461538459962</v>
      </c>
      <c r="N12" s="5">
        <v>4</v>
      </c>
      <c r="O12" s="5">
        <v>16.5</v>
      </c>
      <c r="P12" s="33">
        <v>135.14157454573393</v>
      </c>
      <c r="Q12" s="5">
        <v>28.221536821198711</v>
      </c>
      <c r="R12" s="5">
        <v>4533.9721837508669</v>
      </c>
      <c r="S12" s="31"/>
      <c r="T12" s="23">
        <v>3474259.2127684969</v>
      </c>
      <c r="U12" s="33">
        <v>361.32153846153341</v>
      </c>
      <c r="V12" s="5">
        <v>13</v>
      </c>
      <c r="W12" s="5">
        <v>29</v>
      </c>
      <c r="X12" s="33">
        <v>1301.2881857477751</v>
      </c>
      <c r="Y12" s="5">
        <v>22.27128340235382</v>
      </c>
      <c r="Z12" s="5">
        <v>6460.9603823172592</v>
      </c>
      <c r="AA12" s="35"/>
    </row>
    <row r="13" spans="2:27" x14ac:dyDescent="0.2">
      <c r="B13" s="4">
        <v>10</v>
      </c>
      <c r="C13" s="4">
        <v>418</v>
      </c>
      <c r="D13" s="23">
        <v>3195117.2432385739</v>
      </c>
      <c r="E13" s="33">
        <v>206.55076923072701</v>
      </c>
      <c r="F13" s="5">
        <v>15</v>
      </c>
      <c r="G13" s="23">
        <v>55.5</v>
      </c>
      <c r="H13" s="33">
        <v>2787.584632062973</v>
      </c>
      <c r="I13" s="23">
        <v>26.903641802048899</v>
      </c>
      <c r="J13" s="5">
        <v>8371.861667796964</v>
      </c>
      <c r="K13" s="31"/>
      <c r="L13" s="23">
        <v>3313561.4943661839</v>
      </c>
      <c r="M13" s="33">
        <v>390.89000000000499</v>
      </c>
      <c r="N13" s="5">
        <v>16</v>
      </c>
      <c r="O13" s="5">
        <v>42.5</v>
      </c>
      <c r="P13" s="33">
        <v>1854.4411293889393</v>
      </c>
      <c r="Q13" s="5">
        <v>17.229833586249793</v>
      </c>
      <c r="R13" s="5">
        <v>7142.0730199254294</v>
      </c>
      <c r="S13" s="31"/>
      <c r="T13" s="23">
        <v>3283365.5318788262</v>
      </c>
      <c r="U13" s="33">
        <v>677.19923076918349</v>
      </c>
      <c r="V13" s="5">
        <v>5</v>
      </c>
      <c r="W13" s="5">
        <v>30</v>
      </c>
      <c r="X13" s="33">
        <v>796.16415412304002</v>
      </c>
      <c r="Y13" s="5">
        <v>67.838709164019733</v>
      </c>
      <c r="Z13" s="5">
        <v>6650.8183821323873</v>
      </c>
      <c r="AA13" s="35"/>
    </row>
    <row r="14" spans="2:27" x14ac:dyDescent="0.2">
      <c r="B14" s="46" t="s">
        <v>3</v>
      </c>
      <c r="C14" s="47"/>
      <c r="D14" s="9">
        <f>MIN(D4:D13)</f>
        <v>2682632.7359057618</v>
      </c>
      <c r="E14" s="22">
        <f>INDEX(E4:E13, MATCH($D$14, D4:D13, 0))</f>
        <v>791.62230769226073</v>
      </c>
      <c r="F14" s="9">
        <f>INDEX(F4:F13, MATCH($D$14, D4:D13, 0))</f>
        <v>9</v>
      </c>
      <c r="G14" s="9">
        <f>INDEX(G4:G13, MATCH($D$14, D4:D13, 0))</f>
        <v>60.5</v>
      </c>
      <c r="H14" s="22">
        <f>INDEX(H4:H13, MATCH($D$14, D4:D13, 0))</f>
        <v>1524.9929737273058</v>
      </c>
      <c r="I14" s="22">
        <f>INDEX(I4:I13, MATCH($D$14, D4:D13, 0))</f>
        <v>45.062518652596083</v>
      </c>
      <c r="J14" s="22">
        <f>INDEX(J4:J13, MATCH($D$14, D4:D13, 0))</f>
        <v>7058.5507512109152</v>
      </c>
      <c r="K14" s="32" t="e">
        <f>(D14-$D$15)/$D$15</f>
        <v>#DIV/0!</v>
      </c>
      <c r="L14" s="16">
        <f>MIN(L4:L13)</f>
        <v>3313561.4943661839</v>
      </c>
      <c r="M14" s="21">
        <f>INDEX(M4:M13, MATCH($L$14, L4:L13, 0))</f>
        <v>390.89000000000499</v>
      </c>
      <c r="N14" s="16">
        <f>INDEX(N4:N13, MATCH($L$14, L4:L13, 0))</f>
        <v>16</v>
      </c>
      <c r="O14" s="16">
        <f>INDEX(O4:O13, MATCH($L$14, L4:L13, 0))</f>
        <v>42.5</v>
      </c>
      <c r="P14" s="21">
        <f>INDEX(P4:P13, MATCH($L$14, L4:L13, 0))</f>
        <v>1854.4411293889393</v>
      </c>
      <c r="Q14" s="21">
        <f>INDEX(Q4:Q13, MATCH($L$14, L4:L13, 0))</f>
        <v>17.229833586249793</v>
      </c>
      <c r="R14" s="21">
        <f>INDEX(R4:R13, MATCH($L$14, L4:L13, 0))</f>
        <v>7142.0730199254294</v>
      </c>
      <c r="S14" s="36" t="e">
        <f>(L14-$D$15)/$D$15</f>
        <v>#DIV/0!</v>
      </c>
      <c r="T14" s="38">
        <f>MIN(T4:T13)</f>
        <v>3127033.8352908292</v>
      </c>
      <c r="U14" s="39">
        <f>INDEX(U4:U13, MATCH($T$14, T4:T13, 0))</f>
        <v>227.3438461538619</v>
      </c>
      <c r="V14" s="38">
        <f>INDEX(V4:V13, MATCH($T$14, T4:T13, 0))</f>
        <v>6</v>
      </c>
      <c r="W14" s="38">
        <f>INDEX(W4:W13, MATCH($T$14, T4:T13, 0))</f>
        <v>38</v>
      </c>
      <c r="X14" s="39">
        <f>INDEX(X4:X13, MATCH($T$14, T4:T13, 0))</f>
        <v>999.5033388122614</v>
      </c>
      <c r="Y14" s="39">
        <f>INDEX(Y4:Y13, MATCH($T$14, T4:T13, 0))</f>
        <v>63.638887012747411</v>
      </c>
      <c r="Z14" s="39">
        <f>INDEX(Z4:Z13, MATCH($T$14, T4:T13, 0))</f>
        <v>6857.2749185335933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17:C4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D41F-F057-4FE8-97A7-9DDF566A8B4D}">
  <dimension ref="B1:AA17"/>
  <sheetViews>
    <sheetView tabSelected="1" topLeftCell="K1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-0.98578858488227694</v>
      </c>
      <c r="J2" s="28" t="e">
        <f>(S14-J14)/J14</f>
        <v>#DIV/0!</v>
      </c>
      <c r="K2" s="28"/>
      <c r="L2" s="1" t="s">
        <v>19</v>
      </c>
      <c r="P2" s="1">
        <f>(P14-H14)/H14</f>
        <v>-0.47451874689205209</v>
      </c>
      <c r="R2" s="1">
        <f>(R14-J14)/J14</f>
        <v>-0.2099283270148482</v>
      </c>
      <c r="T2" s="1" t="s">
        <v>20</v>
      </c>
      <c r="X2" s="1">
        <f>(X14-P14)/P14</f>
        <v>0.36610026278049307</v>
      </c>
      <c r="Z2" s="1">
        <f>(Z14-R14)/R14</f>
        <v>0.19596128504821353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817</v>
      </c>
      <c r="D4" s="23">
        <v>2457786.45127215</v>
      </c>
      <c r="E4" s="33">
        <v>668.97846153847729</v>
      </c>
      <c r="F4" s="5">
        <v>10</v>
      </c>
      <c r="G4" s="23">
        <v>73.5</v>
      </c>
      <c r="H4" s="33">
        <v>1942.8387488840722</v>
      </c>
      <c r="I4" s="23">
        <v>62.475213679141618</v>
      </c>
      <c r="J4" s="5">
        <v>7404.3678680126695</v>
      </c>
      <c r="K4" s="31"/>
      <c r="L4" s="23">
        <v>3115723.2677239138</v>
      </c>
      <c r="M4" s="33">
        <v>443.18461538462611</v>
      </c>
      <c r="N4" s="5">
        <v>13</v>
      </c>
      <c r="O4" s="5">
        <v>39.5</v>
      </c>
      <c r="P4" s="33">
        <v>842.88117490187506</v>
      </c>
      <c r="Q4" s="5">
        <v>22.795359873635544</v>
      </c>
      <c r="R4" s="5">
        <v>5539.5079302689737</v>
      </c>
      <c r="S4" s="31"/>
      <c r="T4" s="23">
        <v>3223349.986874938</v>
      </c>
      <c r="U4" s="33">
        <v>269.81999999995776</v>
      </c>
      <c r="V4" s="5">
        <v>8</v>
      </c>
      <c r="W4" s="5">
        <v>38</v>
      </c>
      <c r="X4" s="33">
        <v>1924.4287369932952</v>
      </c>
      <c r="Y4" s="5">
        <v>69.352573767928149</v>
      </c>
      <c r="Z4" s="5">
        <v>7550.1697897900867</v>
      </c>
      <c r="AA4" s="35"/>
    </row>
    <row r="5" spans="2:27" x14ac:dyDescent="0.2">
      <c r="B5" s="4">
        <v>2</v>
      </c>
      <c r="C5" s="4">
        <v>253</v>
      </c>
      <c r="D5" s="23">
        <v>2524199.4589602849</v>
      </c>
      <c r="E5" s="33">
        <v>267.68076923075841</v>
      </c>
      <c r="F5" s="5">
        <v>9</v>
      </c>
      <c r="G5" s="23">
        <v>67.5</v>
      </c>
      <c r="H5" s="33">
        <v>1639.335735103341</v>
      </c>
      <c r="I5" s="23">
        <v>60.849505446951071</v>
      </c>
      <c r="J5" s="5">
        <v>7134.7300213058315</v>
      </c>
      <c r="K5" s="31"/>
      <c r="L5" s="23">
        <v>3251219.9547723229</v>
      </c>
      <c r="M5" s="33">
        <v>807.21153846153845</v>
      </c>
      <c r="N5" s="5">
        <v>7</v>
      </c>
      <c r="O5" s="5">
        <v>27</v>
      </c>
      <c r="P5" s="33">
        <v>95.15102994412355</v>
      </c>
      <c r="Q5" s="5">
        <v>31.951476643166327</v>
      </c>
      <c r="R5" s="5">
        <v>4190.7447893203134</v>
      </c>
      <c r="S5" s="31"/>
      <c r="T5" s="23">
        <v>3103997.3090450158</v>
      </c>
      <c r="U5" s="33">
        <v>338.58153846159644</v>
      </c>
      <c r="V5" s="5">
        <v>7</v>
      </c>
      <c r="W5" s="5">
        <v>41.5</v>
      </c>
      <c r="X5" s="33">
        <v>1727.2580676925174</v>
      </c>
      <c r="Y5" s="5">
        <v>87.127534645220479</v>
      </c>
      <c r="Z5" s="5">
        <v>7309.8614619072114</v>
      </c>
      <c r="AA5" s="35"/>
    </row>
    <row r="6" spans="2:27" x14ac:dyDescent="0.2">
      <c r="B6" s="4">
        <v>3</v>
      </c>
      <c r="C6" s="4">
        <v>887</v>
      </c>
      <c r="D6" s="23">
        <v>2701288.342363046</v>
      </c>
      <c r="E6" s="33">
        <v>245.30076923081654</v>
      </c>
      <c r="F6" s="5">
        <v>7</v>
      </c>
      <c r="G6" s="23">
        <v>55</v>
      </c>
      <c r="H6" s="33">
        <v>1238.030607946117</v>
      </c>
      <c r="I6" s="23">
        <v>71.950732756223047</v>
      </c>
      <c r="J6" s="5">
        <v>6650.8356793695566</v>
      </c>
      <c r="K6" s="31"/>
      <c r="L6" s="23">
        <v>3404550.7284257379</v>
      </c>
      <c r="M6" s="33">
        <v>459.63923076919923</v>
      </c>
      <c r="N6" s="5">
        <v>5</v>
      </c>
      <c r="O6" s="5">
        <v>22</v>
      </c>
      <c r="P6" s="33">
        <v>141.81372664064304</v>
      </c>
      <c r="Q6" s="5">
        <v>36.663382093042827</v>
      </c>
      <c r="R6" s="5">
        <v>4809.8216939833374</v>
      </c>
      <c r="S6" s="31"/>
      <c r="T6" s="23">
        <v>3114564.2625806462</v>
      </c>
      <c r="U6" s="33">
        <v>377.6446153845888</v>
      </c>
      <c r="V6" s="5">
        <v>7</v>
      </c>
      <c r="W6" s="5">
        <v>40</v>
      </c>
      <c r="X6" s="33">
        <v>1554.0748155216834</v>
      </c>
      <c r="Y6" s="5">
        <v>83.212852156276213</v>
      </c>
      <c r="Z6" s="5">
        <v>7122.1897503699747</v>
      </c>
      <c r="AA6" s="35"/>
    </row>
    <row r="7" spans="2:27" x14ac:dyDescent="0.2">
      <c r="B7" s="4">
        <v>4</v>
      </c>
      <c r="C7" s="4">
        <v>815</v>
      </c>
      <c r="D7" s="23">
        <v>2566889.060265434</v>
      </c>
      <c r="E7" s="33">
        <v>909.71153846153845</v>
      </c>
      <c r="F7" s="5">
        <v>11</v>
      </c>
      <c r="G7" s="23">
        <v>67</v>
      </c>
      <c r="H7" s="33">
        <v>1697.7131091425645</v>
      </c>
      <c r="I7" s="23">
        <v>50.231064881829113</v>
      </c>
      <c r="J7" s="5">
        <v>7062.082595128204</v>
      </c>
      <c r="K7" s="31"/>
      <c r="L7" s="23">
        <v>3132446.630660702</v>
      </c>
      <c r="M7" s="33">
        <v>763.76230769235497</v>
      </c>
      <c r="N7" s="5">
        <v>10</v>
      </c>
      <c r="O7" s="5">
        <v>36</v>
      </c>
      <c r="P7" s="33">
        <v>633.85240480266543</v>
      </c>
      <c r="Q7" s="5">
        <v>27.414889658544997</v>
      </c>
      <c r="R7" s="5">
        <v>5339.2966940807892</v>
      </c>
      <c r="S7" s="31"/>
      <c r="T7" s="23">
        <v>3179230.1621641889</v>
      </c>
      <c r="U7" s="33">
        <v>487.24692307690231</v>
      </c>
      <c r="V7" s="5">
        <v>10</v>
      </c>
      <c r="W7" s="5">
        <v>44.5</v>
      </c>
      <c r="X7" s="33">
        <v>2373.7749156605073</v>
      </c>
      <c r="Y7" s="5">
        <v>67.158411039477656</v>
      </c>
      <c r="Z7" s="5">
        <v>7939.1063281083443</v>
      </c>
      <c r="AA7" s="35"/>
    </row>
    <row r="8" spans="2:27" x14ac:dyDescent="0.2">
      <c r="B8" s="4">
        <v>5</v>
      </c>
      <c r="C8" s="4">
        <v>274</v>
      </c>
      <c r="D8" s="23">
        <v>2523074.8086939398</v>
      </c>
      <c r="E8" s="33">
        <v>328.34153846157</v>
      </c>
      <c r="F8" s="5">
        <v>11</v>
      </c>
      <c r="G8" s="23">
        <v>70.5</v>
      </c>
      <c r="H8" s="33">
        <v>1787.004584821392</v>
      </c>
      <c r="I8" s="23">
        <v>51.590809092330232</v>
      </c>
      <c r="J8" s="5">
        <v>7187.3661600095002</v>
      </c>
      <c r="K8" s="31"/>
      <c r="L8" s="23">
        <v>3438817.0072084959</v>
      </c>
      <c r="M8" s="33">
        <v>369.0146153846469</v>
      </c>
      <c r="N8" s="5">
        <v>27</v>
      </c>
      <c r="O8" s="5">
        <v>49</v>
      </c>
      <c r="P8" s="33">
        <v>2555.6403634228727</v>
      </c>
      <c r="Q8" s="5">
        <v>15.370195200779548</v>
      </c>
      <c r="R8" s="5">
        <v>7349.2967051151172</v>
      </c>
      <c r="S8" s="31"/>
      <c r="T8" s="23">
        <v>3151201.1812491552</v>
      </c>
      <c r="U8" s="33">
        <v>282.16384615381958</v>
      </c>
      <c r="V8" s="5">
        <v>6</v>
      </c>
      <c r="W8" s="5">
        <v>36</v>
      </c>
      <c r="X8" s="33">
        <v>1219.9498635791876</v>
      </c>
      <c r="Y8" s="5">
        <v>74.533711424848278</v>
      </c>
      <c r="Z8" s="5">
        <v>6655.6740400555609</v>
      </c>
      <c r="AA8" s="35"/>
    </row>
    <row r="9" spans="2:27" x14ac:dyDescent="0.2">
      <c r="B9" s="4">
        <v>6</v>
      </c>
      <c r="C9" s="4">
        <v>456</v>
      </c>
      <c r="D9" s="23">
        <v>2502005.0901599149</v>
      </c>
      <c r="E9" s="33">
        <v>556.2853846153638</v>
      </c>
      <c r="F9" s="5">
        <v>11</v>
      </c>
      <c r="G9" s="23">
        <v>73</v>
      </c>
      <c r="H9" s="33">
        <v>1941.2077478252531</v>
      </c>
      <c r="I9" s="23">
        <v>55.884840799050615</v>
      </c>
      <c r="J9" s="5">
        <v>7411.6193503584273</v>
      </c>
      <c r="K9" s="31"/>
      <c r="L9" s="23">
        <v>3324630.161568711</v>
      </c>
      <c r="M9" s="33">
        <v>387.27153846152271</v>
      </c>
      <c r="N9" s="5">
        <v>8</v>
      </c>
      <c r="O9" s="5">
        <v>29.5</v>
      </c>
      <c r="P9" s="33">
        <v>934.19044639184415</v>
      </c>
      <c r="Q9" s="5">
        <v>29.24696098497698</v>
      </c>
      <c r="R9" s="5">
        <v>5718.7952206011396</v>
      </c>
      <c r="S9" s="31"/>
      <c r="T9" s="23">
        <v>3106407.352857545</v>
      </c>
      <c r="U9" s="33">
        <v>644.9761538461853</v>
      </c>
      <c r="V9" s="5">
        <v>8</v>
      </c>
      <c r="W9" s="5">
        <v>41.5</v>
      </c>
      <c r="X9" s="33">
        <v>1737.4247140629825</v>
      </c>
      <c r="Y9" s="5">
        <v>69.385732743429941</v>
      </c>
      <c r="Z9" s="5">
        <v>7107.0808712608023</v>
      </c>
      <c r="AA9" s="35"/>
    </row>
    <row r="10" spans="2:27" x14ac:dyDescent="0.2">
      <c r="B10" s="4">
        <v>7</v>
      </c>
      <c r="C10" s="4">
        <v>208</v>
      </c>
      <c r="D10" s="23">
        <v>2872760.577053098</v>
      </c>
      <c r="E10" s="33">
        <v>398.12461538464186</v>
      </c>
      <c r="F10" s="5">
        <v>14</v>
      </c>
      <c r="G10" s="23">
        <v>83</v>
      </c>
      <c r="H10" s="33">
        <v>3686.582398795435</v>
      </c>
      <c r="I10" s="23">
        <v>53.673914686992745</v>
      </c>
      <c r="J10" s="5">
        <v>9205.0998337978726</v>
      </c>
      <c r="K10" s="31"/>
      <c r="L10" s="23">
        <v>3201295.0003422541</v>
      </c>
      <c r="M10" s="33">
        <v>690.48076923076917</v>
      </c>
      <c r="N10" s="5">
        <v>11</v>
      </c>
      <c r="O10" s="5">
        <v>34</v>
      </c>
      <c r="P10" s="33">
        <v>466.01700349640726</v>
      </c>
      <c r="Q10" s="5">
        <v>26.44795977917585</v>
      </c>
      <c r="R10" s="5">
        <v>5265.1271956793635</v>
      </c>
      <c r="S10" s="31"/>
      <c r="T10" s="23">
        <v>3037792.3135108468</v>
      </c>
      <c r="U10" s="33">
        <v>482.06692307686001</v>
      </c>
      <c r="V10" s="5">
        <v>7</v>
      </c>
      <c r="W10" s="5">
        <v>41</v>
      </c>
      <c r="X10" s="33">
        <v>1151.4601945261822</v>
      </c>
      <c r="Y10" s="5">
        <v>72.575120108959922</v>
      </c>
      <c r="Z10" s="5">
        <v>6625.0370228192514</v>
      </c>
      <c r="AA10" s="35"/>
    </row>
    <row r="11" spans="2:27" x14ac:dyDescent="0.2">
      <c r="B11" s="4">
        <v>8</v>
      </c>
      <c r="C11" s="4">
        <v>293</v>
      </c>
      <c r="D11" s="23">
        <v>2506184.886802549</v>
      </c>
      <c r="E11" s="33">
        <v>364.0146153846469</v>
      </c>
      <c r="F11" s="5">
        <v>10</v>
      </c>
      <c r="G11" s="23">
        <v>69.5</v>
      </c>
      <c r="H11" s="33">
        <v>1805.6778558296483</v>
      </c>
      <c r="I11" s="23">
        <v>56.580364414088329</v>
      </c>
      <c r="J11" s="5">
        <v>7214.9807446464083</v>
      </c>
      <c r="K11" s="31"/>
      <c r="L11" s="23">
        <v>3335910.8441932392</v>
      </c>
      <c r="M11" s="33">
        <v>458.48615384615886</v>
      </c>
      <c r="N11" s="5">
        <v>5</v>
      </c>
      <c r="O11" s="5">
        <v>23</v>
      </c>
      <c r="P11" s="33">
        <v>0</v>
      </c>
      <c r="Q11" s="5">
        <v>31.225648320989809</v>
      </c>
      <c r="R11" s="5">
        <v>3967.2026682446917</v>
      </c>
      <c r="S11" s="31"/>
      <c r="T11" s="23">
        <v>3212268.307733784</v>
      </c>
      <c r="U11" s="33">
        <v>414.21846153841426</v>
      </c>
      <c r="V11" s="5">
        <v>8</v>
      </c>
      <c r="W11" s="5">
        <v>35.5</v>
      </c>
      <c r="X11" s="33">
        <v>1437.0693802067692</v>
      </c>
      <c r="Y11" s="5">
        <v>62.726781881887902</v>
      </c>
      <c r="Z11" s="5">
        <v>6754.1490258677222</v>
      </c>
      <c r="AA11" s="35"/>
    </row>
    <row r="12" spans="2:27" x14ac:dyDescent="0.2">
      <c r="B12" s="4">
        <v>9</v>
      </c>
      <c r="C12" s="4">
        <v>11</v>
      </c>
      <c r="D12" s="23">
        <v>2460571.792399026</v>
      </c>
      <c r="E12" s="33">
        <v>629.67538461536878</v>
      </c>
      <c r="F12" s="5">
        <v>10</v>
      </c>
      <c r="G12" s="23">
        <v>74.5</v>
      </c>
      <c r="H12" s="33">
        <v>2046.0613662767046</v>
      </c>
      <c r="I12" s="23">
        <v>63.803313744974332</v>
      </c>
      <c r="J12" s="5">
        <v>7455.3823789101652</v>
      </c>
      <c r="K12" s="31"/>
      <c r="L12" s="23">
        <v>3456059.4230198162</v>
      </c>
      <c r="M12" s="33">
        <v>821.1661538462007</v>
      </c>
      <c r="N12" s="5">
        <v>10</v>
      </c>
      <c r="O12" s="5">
        <v>25</v>
      </c>
      <c r="P12" s="33">
        <v>867.80180218531723</v>
      </c>
      <c r="Q12" s="5">
        <v>23.376727582800974</v>
      </c>
      <c r="R12" s="5">
        <v>5215.9438659158013</v>
      </c>
      <c r="S12" s="31"/>
      <c r="T12" s="23">
        <v>3310473.8192565502</v>
      </c>
      <c r="U12" s="33">
        <v>478.25692307687575</v>
      </c>
      <c r="V12" s="5">
        <v>15</v>
      </c>
      <c r="W12" s="5">
        <v>60</v>
      </c>
      <c r="X12" s="33">
        <v>4130.2713475919163</v>
      </c>
      <c r="Y12" s="5">
        <v>58.360614270522028</v>
      </c>
      <c r="Z12" s="5">
        <v>9842.4880694828789</v>
      </c>
      <c r="AA12" s="35"/>
    </row>
    <row r="13" spans="2:27" x14ac:dyDescent="0.2">
      <c r="B13" s="4">
        <v>10</v>
      </c>
      <c r="C13" s="4">
        <v>697</v>
      </c>
      <c r="D13" s="23">
        <v>2437253.8030720912</v>
      </c>
      <c r="E13" s="33">
        <v>238.14923076926229</v>
      </c>
      <c r="F13" s="5">
        <v>9</v>
      </c>
      <c r="G13" s="23">
        <v>70.5</v>
      </c>
      <c r="H13" s="33">
        <v>1604.0175932379545</v>
      </c>
      <c r="I13" s="23">
        <v>63.763820418776199</v>
      </c>
      <c r="J13" s="5">
        <v>7011.3992434874708</v>
      </c>
      <c r="K13" s="31"/>
      <c r="L13" s="23">
        <v>3320978.3081165259</v>
      </c>
      <c r="M13" s="33">
        <v>650.68538461534229</v>
      </c>
      <c r="N13" s="5">
        <v>10</v>
      </c>
      <c r="O13" s="5">
        <v>31.5</v>
      </c>
      <c r="P13" s="33">
        <v>1119.2213756631702</v>
      </c>
      <c r="Q13" s="5">
        <v>23.729792024561533</v>
      </c>
      <c r="R13" s="5">
        <v>5949.9040017742836</v>
      </c>
      <c r="S13" s="31"/>
      <c r="T13" s="23">
        <v>3110770.9026217042</v>
      </c>
      <c r="U13" s="33">
        <v>709.68769230763428</v>
      </c>
      <c r="V13" s="5">
        <v>8</v>
      </c>
      <c r="W13" s="5">
        <v>41</v>
      </c>
      <c r="X13" s="33">
        <v>1675.3050437609902</v>
      </c>
      <c r="Y13" s="5">
        <v>74.679892497169675</v>
      </c>
      <c r="Z13" s="5">
        <v>7153.5783785262183</v>
      </c>
      <c r="AA13" s="35"/>
    </row>
    <row r="14" spans="2:27" x14ac:dyDescent="0.2">
      <c r="B14" s="46" t="s">
        <v>3</v>
      </c>
      <c r="C14" s="47"/>
      <c r="D14" s="9">
        <f>MIN(D4:D13)</f>
        <v>2437253.8030720912</v>
      </c>
      <c r="E14" s="22">
        <f>INDEX(E4:E13, MATCH($D$14, D4:D13, 0))</f>
        <v>238.14923076926229</v>
      </c>
      <c r="F14" s="9">
        <f>INDEX(F4:F13, MATCH($D$14, D4:D13, 0))</f>
        <v>9</v>
      </c>
      <c r="G14" s="9">
        <f>INDEX(G4:G13, MATCH($D$14, D4:D13, 0))</f>
        <v>70.5</v>
      </c>
      <c r="H14" s="22">
        <f>INDEX(H4:H13, MATCH($D$14, D4:D13, 0))</f>
        <v>1604.0175932379545</v>
      </c>
      <c r="I14" s="22">
        <f>INDEX(I4:I13, MATCH($D$14, D4:D13, 0))</f>
        <v>63.763820418776199</v>
      </c>
      <c r="J14" s="22">
        <f>INDEX(J4:J13, MATCH($D$14, D4:D13, 0))</f>
        <v>7011.3992434874708</v>
      </c>
      <c r="K14" s="32" t="e">
        <f>(D14-$D$15)/$D$15</f>
        <v>#DIV/0!</v>
      </c>
      <c r="L14" s="16">
        <f>MIN(L4:L13)</f>
        <v>3115723.2677239138</v>
      </c>
      <c r="M14" s="21">
        <f>INDEX(M4:M13, MATCH($L$14, L4:L13, 0))</f>
        <v>443.18461538462611</v>
      </c>
      <c r="N14" s="16">
        <f>INDEX(N4:N13, MATCH($L$14, L4:L13, 0))</f>
        <v>13</v>
      </c>
      <c r="O14" s="16">
        <f>INDEX(O4:O13, MATCH($L$14, L4:L13, 0))</f>
        <v>39.5</v>
      </c>
      <c r="P14" s="21">
        <f>INDEX(P4:P13, MATCH($L$14, L4:L13, 0))</f>
        <v>842.88117490187506</v>
      </c>
      <c r="Q14" s="21">
        <f>INDEX(Q4:Q13, MATCH($L$14, L4:L13, 0))</f>
        <v>22.795359873635544</v>
      </c>
      <c r="R14" s="21">
        <f>INDEX(R4:R13, MATCH($L$14, L4:L13, 0))</f>
        <v>5539.5079302689737</v>
      </c>
      <c r="S14" s="36" t="e">
        <f>(L14-$D$15)/$D$15</f>
        <v>#DIV/0!</v>
      </c>
      <c r="T14" s="38">
        <f>MIN(T4:T13)</f>
        <v>3037792.3135108468</v>
      </c>
      <c r="U14" s="39">
        <f>INDEX(U4:U13, MATCH($T$14, T4:T13, 0))</f>
        <v>482.06692307686001</v>
      </c>
      <c r="V14" s="38">
        <f>INDEX(V4:V13, MATCH($T$14, T4:T13, 0))</f>
        <v>7</v>
      </c>
      <c r="W14" s="38">
        <f>INDEX(W4:W13, MATCH($T$14, T4:T13, 0))</f>
        <v>41</v>
      </c>
      <c r="X14" s="39">
        <f>INDEX(X4:X13, MATCH($T$14, T4:T13, 0))</f>
        <v>1151.4601945261822</v>
      </c>
      <c r="Y14" s="39">
        <f>INDEX(Y4:Y13, MATCH($T$14, T4:T13, 0))</f>
        <v>72.575120108959922</v>
      </c>
      <c r="Z14" s="39">
        <f>INDEX(Z4:Z13, MATCH($T$14, T4:T13, 0))</f>
        <v>6625.0370228192514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2:C1048576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17:C4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results158</vt:lpstr>
      <vt:lpstr>results174</vt:lpstr>
      <vt:lpstr>results242</vt:lpstr>
      <vt:lpstr>results315</vt:lpstr>
      <vt:lpstr>results465</vt:lpstr>
      <vt:lpstr>results712</vt:lpstr>
      <vt:lpstr>results858</vt:lpstr>
      <vt:lpstr>results945</vt:lpstr>
      <vt:lpstr>results965</vt:lpstr>
      <vt:lpstr>results971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2026-10-22T01:33:11Z</dcterms:modified>
</cp:coreProperties>
</file>