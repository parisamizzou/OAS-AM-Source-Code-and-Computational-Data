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Sensitivity Analysis/Large/150-10-10/Flow cost/"/>
    </mc:Choice>
  </mc:AlternateContent>
  <xr:revisionPtr revIDLastSave="0" documentId="13_ncr:1_{9D04907D-6E9D-4940-836E-44BF826F5F39}" xr6:coauthVersionLast="47" xr6:coauthVersionMax="47" xr10:uidLastSave="{00000000-0000-0000-0000-000000000000}"/>
  <bookViews>
    <workbookView xWindow="0" yWindow="740" windowWidth="34560" windowHeight="21600" tabRatio="842" xr2:uid="{41E620E7-D6DF-9342-B452-EA60AB3B07C5}"/>
  </bookViews>
  <sheets>
    <sheet name="Summary" sheetId="68" r:id="rId1"/>
    <sheet name="results45" sheetId="63" r:id="rId2"/>
    <sheet name="results229" sheetId="69" r:id="rId3"/>
    <sheet name="results268" sheetId="70" r:id="rId4"/>
    <sheet name="results346" sheetId="71" r:id="rId5"/>
    <sheet name="results418" sheetId="72" r:id="rId6"/>
    <sheet name="results464" sheetId="76" r:id="rId7"/>
    <sheet name="results658" sheetId="77" r:id="rId8"/>
    <sheet name="results720" sheetId="73" r:id="rId9"/>
    <sheet name="results846" sheetId="74" r:id="rId10"/>
    <sheet name="results910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75" l="1"/>
  <c r="G14" i="75" s="1"/>
  <c r="D14" i="74"/>
  <c r="K14" i="74" s="1"/>
  <c r="D14" i="73"/>
  <c r="I14" i="73" s="1"/>
  <c r="D14" i="77"/>
  <c r="D14" i="76"/>
  <c r="E14" i="76" s="1"/>
  <c r="D14" i="72"/>
  <c r="K14" i="72" s="1"/>
  <c r="D14" i="71"/>
  <c r="D14" i="70"/>
  <c r="E14" i="70" s="1"/>
  <c r="D14" i="69"/>
  <c r="G14" i="69" s="1"/>
  <c r="H14" i="75" l="1"/>
  <c r="E14" i="75"/>
  <c r="I14" i="75"/>
  <c r="J14" i="75"/>
  <c r="F14" i="75"/>
  <c r="K14" i="75"/>
  <c r="I14" i="74"/>
  <c r="J14" i="74"/>
  <c r="E14" i="74"/>
  <c r="F14" i="74"/>
  <c r="G14" i="74"/>
  <c r="H14" i="74"/>
  <c r="K14" i="73"/>
  <c r="E14" i="73"/>
  <c r="F14" i="73"/>
  <c r="J14" i="73"/>
  <c r="G14" i="73"/>
  <c r="H14" i="73"/>
  <c r="J14" i="77"/>
  <c r="E14" i="77"/>
  <c r="F14" i="77"/>
  <c r="G14" i="77"/>
  <c r="I14" i="77"/>
  <c r="K14" i="77"/>
  <c r="H14" i="77"/>
  <c r="G14" i="76"/>
  <c r="I14" i="76"/>
  <c r="J14" i="76"/>
  <c r="K14" i="76"/>
  <c r="F14" i="76"/>
  <c r="H14" i="76"/>
  <c r="I14" i="72"/>
  <c r="J14" i="72"/>
  <c r="H14" i="72"/>
  <c r="E14" i="72"/>
  <c r="G14" i="72"/>
  <c r="F14" i="72"/>
  <c r="G14" i="71"/>
  <c r="H14" i="71"/>
  <c r="F14" i="71"/>
  <c r="E14" i="71"/>
  <c r="I14" i="71"/>
  <c r="J14" i="71"/>
  <c r="K14" i="71"/>
  <c r="K14" i="70"/>
  <c r="G14" i="70"/>
  <c r="F14" i="70"/>
  <c r="H14" i="70"/>
  <c r="J14" i="70"/>
  <c r="I14" i="70"/>
  <c r="F14" i="69"/>
  <c r="I14" i="69"/>
  <c r="J14" i="69"/>
  <c r="K14" i="69"/>
  <c r="E14" i="69"/>
  <c r="H14" i="69"/>
  <c r="G11" i="68" a="1"/>
  <c r="D5" i="68" a="1"/>
  <c r="H12" i="68" a="1"/>
  <c r="C4" i="68" a="1"/>
  <c r="H4" i="68" a="1"/>
  <c r="G7" i="68" a="1"/>
  <c r="E6" i="68" a="1"/>
  <c r="H9" i="68" a="1"/>
  <c r="I11" i="68" a="1"/>
  <c r="F8" i="68" a="1"/>
  <c r="H6" i="68" a="1"/>
  <c r="F4" i="68" a="1"/>
  <c r="C12" i="68" a="1"/>
  <c r="E12" i="68" a="1"/>
  <c r="E3" i="68" a="1"/>
  <c r="H7" i="68" a="1"/>
  <c r="I5" i="68" a="1"/>
  <c r="F10" i="68" a="1"/>
  <c r="E7" i="68" a="1"/>
  <c r="D10" i="68" a="1"/>
  <c r="C7" i="68" a="1"/>
  <c r="F6" i="68" a="1"/>
  <c r="F7" i="68" a="1"/>
  <c r="H8" i="68" a="1"/>
  <c r="C11" i="68" a="1"/>
  <c r="G9" i="68" a="1"/>
  <c r="C5" i="68" a="1"/>
  <c r="F9" i="68" a="1"/>
  <c r="C10" i="68" a="1"/>
  <c r="D6" i="68" a="1"/>
  <c r="F3" i="68" a="1"/>
  <c r="F12" i="68" a="1"/>
  <c r="E5" i="68" a="1"/>
  <c r="H3" i="68" a="1"/>
  <c r="I8" i="68" a="1"/>
  <c r="D4" i="68" a="1"/>
  <c r="E4" i="68" a="1"/>
  <c r="C6" i="68" a="1"/>
  <c r="C9" i="68" a="1"/>
  <c r="G6" i="68" a="1"/>
  <c r="E11" i="68" a="1"/>
  <c r="I7" i="68" a="1"/>
  <c r="C8" i="68" a="1"/>
  <c r="G3" i="68" a="1"/>
  <c r="D8" i="68" a="1"/>
  <c r="E8" i="68" a="1"/>
  <c r="H11" i="68" a="1"/>
  <c r="F5" i="68" a="1"/>
  <c r="I9" i="68" a="1"/>
  <c r="F11" i="68" a="1"/>
  <c r="H10" i="68" a="1"/>
  <c r="I10" i="68" a="1"/>
  <c r="H5" i="68" a="1"/>
  <c r="G12" i="68" a="1"/>
  <c r="I4" i="68" a="1"/>
  <c r="I12" i="68" a="1"/>
  <c r="I3" i="68" a="1"/>
  <c r="E10" i="68" a="1"/>
  <c r="G5" i="68" a="1"/>
  <c r="D9" i="68" a="1"/>
  <c r="D7" i="68" a="1"/>
  <c r="D12" i="68" a="1"/>
  <c r="D11" i="68" a="1"/>
  <c r="C3" i="68" a="1"/>
  <c r="G4" i="68" a="1"/>
  <c r="I6" i="68" a="1"/>
  <c r="G10" i="68" a="1"/>
  <c r="G8" i="68" a="1"/>
  <c r="E9" i="68" a="1"/>
  <c r="C10" i="68" l="1"/>
  <c r="D10" i="68"/>
  <c r="E3" i="68"/>
  <c r="G9" i="68"/>
  <c r="I3" i="68"/>
  <c r="H3" i="68"/>
  <c r="C4" i="68"/>
  <c r="D7" i="68"/>
  <c r="I10" i="68"/>
  <c r="H5" i="68"/>
  <c r="D6" i="68"/>
  <c r="H11" i="68"/>
  <c r="E8" i="68"/>
  <c r="E11" i="68"/>
  <c r="C3" i="68"/>
  <c r="I7" i="68"/>
  <c r="E7" i="68"/>
  <c r="E5" i="68"/>
  <c r="C7" i="68"/>
  <c r="H4" i="68"/>
  <c r="I6" i="68"/>
  <c r="F8" i="68"/>
  <c r="D8" i="68"/>
  <c r="C9" i="68"/>
  <c r="G7" i="68"/>
  <c r="G3" i="68"/>
  <c r="H6" i="68"/>
  <c r="E6" i="68"/>
  <c r="I12" i="68"/>
  <c r="G6" i="68"/>
  <c r="F9" i="68"/>
  <c r="D4" i="68"/>
  <c r="F12" i="68"/>
  <c r="I8" i="68"/>
  <c r="F10" i="68"/>
  <c r="D9" i="68"/>
  <c r="F4" i="68"/>
  <c r="H7" i="68"/>
  <c r="E9" i="68"/>
  <c r="G12" i="68"/>
  <c r="H10" i="68"/>
  <c r="F3" i="68"/>
  <c r="I4" i="68"/>
  <c r="I11" i="68"/>
  <c r="C12" i="68"/>
  <c r="I9" i="68"/>
  <c r="F5" i="68"/>
  <c r="E4" i="68"/>
  <c r="F6" i="68"/>
  <c r="C5" i="68"/>
  <c r="G11" i="68"/>
  <c r="F11" i="68"/>
  <c r="H12" i="68"/>
  <c r="C6" i="68"/>
  <c r="F7" i="68"/>
  <c r="G5" i="68"/>
  <c r="D11" i="68"/>
  <c r="G4" i="68"/>
  <c r="C8" i="68"/>
  <c r="E12" i="68"/>
  <c r="H9" i="68"/>
  <c r="G8" i="68"/>
  <c r="H8" i="68"/>
  <c r="D5" i="68"/>
  <c r="D12" i="68"/>
  <c r="I5" i="68"/>
  <c r="E10" i="68"/>
  <c r="G10" i="68"/>
  <c r="C11" i="68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T14" i="75" l="1"/>
  <c r="Z14" i="75" s="1"/>
  <c r="L14" i="75"/>
  <c r="T14" i="74"/>
  <c r="W14" i="74" s="1"/>
  <c r="W15" i="74" s="1"/>
  <c r="L14" i="74"/>
  <c r="Q14" i="74" s="1"/>
  <c r="T14" i="73"/>
  <c r="X14" i="73" s="1"/>
  <c r="L14" i="73"/>
  <c r="L14" i="77"/>
  <c r="T14" i="77"/>
  <c r="T15" i="77" s="1"/>
  <c r="T14" i="76"/>
  <c r="AA14" i="76" s="1"/>
  <c r="L14" i="76"/>
  <c r="T14" i="72"/>
  <c r="X14" i="72" s="1"/>
  <c r="L14" i="72"/>
  <c r="S14" i="72" s="1"/>
  <c r="L14" i="71"/>
  <c r="L15" i="71" s="1"/>
  <c r="T14" i="71"/>
  <c r="Y14" i="71" s="1"/>
  <c r="T14" i="70"/>
  <c r="U14" i="70" s="1"/>
  <c r="L14" i="70"/>
  <c r="L14" i="69"/>
  <c r="T14" i="69"/>
  <c r="AA14" i="69" s="1"/>
  <c r="V14" i="71"/>
  <c r="V15" i="71" s="1"/>
  <c r="Q14" i="71"/>
  <c r="Q15" i="71" s="1"/>
  <c r="Q14" i="75"/>
  <c r="R14" i="73"/>
  <c r="R15" i="73" s="1"/>
  <c r="R14" i="77"/>
  <c r="N14" i="69"/>
  <c r="N14" i="76"/>
  <c r="M14" i="69"/>
  <c r="M15" i="69" s="1"/>
  <c r="L15" i="77"/>
  <c r="P14" i="75"/>
  <c r="S14" i="75"/>
  <c r="N14" i="75"/>
  <c r="R14" i="75"/>
  <c r="L15" i="72"/>
  <c r="O14" i="71"/>
  <c r="R14" i="71"/>
  <c r="R2" i="71" s="1"/>
  <c r="M14" i="71"/>
  <c r="R14" i="70"/>
  <c r="P14" i="77"/>
  <c r="M14" i="75"/>
  <c r="O14" i="75"/>
  <c r="L15" i="75"/>
  <c r="N14" i="71"/>
  <c r="P14" i="72"/>
  <c r="Q14" i="73"/>
  <c r="Q14" i="69"/>
  <c r="R14" i="69"/>
  <c r="R15" i="69" s="1"/>
  <c r="L15" i="69"/>
  <c r="O14" i="77"/>
  <c r="Q14" i="72"/>
  <c r="Q14" i="70"/>
  <c r="M14" i="72"/>
  <c r="R14" i="74"/>
  <c r="O14" i="72"/>
  <c r="R14" i="72"/>
  <c r="O14" i="73"/>
  <c r="S14" i="73"/>
  <c r="S14" i="77"/>
  <c r="M14" i="73"/>
  <c r="O14" i="69"/>
  <c r="P14" i="69"/>
  <c r="P15" i="69" s="1"/>
  <c r="M14" i="74"/>
  <c r="O14" i="76"/>
  <c r="P14" i="71"/>
  <c r="S14" i="76"/>
  <c r="P14" i="76"/>
  <c r="R14" i="76"/>
  <c r="O14" i="74"/>
  <c r="Q14" i="76"/>
  <c r="M14" i="76"/>
  <c r="N14" i="74"/>
  <c r="L15" i="76"/>
  <c r="N14" i="70"/>
  <c r="L15" i="74"/>
  <c r="M14" i="70"/>
  <c r="L15" i="70"/>
  <c r="N14" i="77"/>
  <c r="O14" i="70"/>
  <c r="S14" i="70"/>
  <c r="Q14" i="77"/>
  <c r="N14" i="72"/>
  <c r="P14" i="74"/>
  <c r="P14" i="70"/>
  <c r="N14" i="73"/>
  <c r="E13" i="68"/>
  <c r="C13" i="68"/>
  <c r="J13" i="68" s="1"/>
  <c r="G13" i="68"/>
  <c r="F13" i="68"/>
  <c r="H13" i="68"/>
  <c r="I13" i="68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O12" i="68" a="1"/>
  <c r="M11" i="68" a="1"/>
  <c r="M4" i="68" a="1"/>
  <c r="Q9" i="68" a="1"/>
  <c r="L5" i="68" a="1"/>
  <c r="O5" i="68" a="1"/>
  <c r="Q12" i="68" a="1"/>
  <c r="X6" i="68" a="1"/>
  <c r="K8" i="68" a="1"/>
  <c r="W7" i="68" a="1"/>
  <c r="P9" i="68" a="1"/>
  <c r="P11" i="68" a="1"/>
  <c r="P5" i="68" a="1"/>
  <c r="N11" i="68" a="1"/>
  <c r="Q4" i="68" a="1"/>
  <c r="K7" i="68" a="1"/>
  <c r="O7" i="68" a="1"/>
  <c r="P8" i="68" a="1"/>
  <c r="Q6" i="68" a="1"/>
  <c r="O11" i="68" a="1"/>
  <c r="S12" i="68" a="1"/>
  <c r="L7" i="68" a="1"/>
  <c r="Q5" i="68" a="1"/>
  <c r="M6" i="68" a="1"/>
  <c r="N8" i="68" a="1"/>
  <c r="L4" i="68" a="1"/>
  <c r="P4" i="68" a="1"/>
  <c r="K4" i="68" a="1"/>
  <c r="S6" i="68" a="1"/>
  <c r="N5" i="68" a="1"/>
  <c r="Y12" i="68" a="1"/>
  <c r="N10" i="68" a="1"/>
  <c r="O4" i="68" a="1"/>
  <c r="M7" i="68" a="1"/>
  <c r="S9" i="68" a="1"/>
  <c r="K6" i="68" a="1"/>
  <c r="N6" i="68" a="1"/>
  <c r="S8" i="68" a="1"/>
  <c r="O8" i="68" a="1"/>
  <c r="P12" i="68" a="1"/>
  <c r="S10" i="68" a="1"/>
  <c r="K12" i="68" a="1"/>
  <c r="L10" i="68" a="1"/>
  <c r="N7" i="68" a="1"/>
  <c r="N4" i="68" a="1"/>
  <c r="K11" i="68" a="1"/>
  <c r="M10" i="68" a="1"/>
  <c r="V11" i="68" a="1"/>
  <c r="K10" i="68" a="1"/>
  <c r="S7" i="68" a="1"/>
  <c r="L8" i="68" a="1"/>
  <c r="Q8" i="68" a="1"/>
  <c r="S11" i="68" a="1"/>
  <c r="Q10" i="68" a="1"/>
  <c r="L6" i="68" a="1"/>
  <c r="Q11" i="68" a="1"/>
  <c r="M12" i="68" a="1"/>
  <c r="K9" i="68" a="1"/>
  <c r="N9" i="68" a="1"/>
  <c r="M8" i="68" a="1"/>
  <c r="W10" i="68" a="1"/>
  <c r="M9" i="68" a="1"/>
  <c r="S4" i="68" a="1"/>
  <c r="Q7" i="68" a="1"/>
  <c r="P6" i="68" a="1"/>
  <c r="M5" i="68" a="1"/>
  <c r="S5" i="68" a="1"/>
  <c r="N12" i="68" a="1"/>
  <c r="P7" i="68" a="1"/>
  <c r="P10" i="68" a="1"/>
  <c r="O9" i="68" a="1"/>
  <c r="U6" i="68" a="1"/>
  <c r="L11" i="68" a="1"/>
  <c r="T5" i="68" a="1"/>
  <c r="K5" i="68" a="1"/>
  <c r="L12" i="68" a="1"/>
  <c r="O6" i="68" a="1"/>
  <c r="W14" i="73" l="1"/>
  <c r="W15" i="73" s="1"/>
  <c r="U14" i="73"/>
  <c r="U15" i="73" s="1"/>
  <c r="T15" i="74"/>
  <c r="Y14" i="74"/>
  <c r="V14" i="74"/>
  <c r="U14" i="74"/>
  <c r="Z14" i="74"/>
  <c r="Y14" i="73"/>
  <c r="Y15" i="73" s="1"/>
  <c r="W14" i="77"/>
  <c r="W15" i="77" s="1"/>
  <c r="Y14" i="75"/>
  <c r="Y15" i="75" s="1"/>
  <c r="AA14" i="75"/>
  <c r="U14" i="75"/>
  <c r="U15" i="75" s="1"/>
  <c r="V14" i="75"/>
  <c r="V15" i="75" s="1"/>
  <c r="T15" i="75"/>
  <c r="W14" i="75"/>
  <c r="W15" i="75" s="1"/>
  <c r="X14" i="75"/>
  <c r="X15" i="75" s="1"/>
  <c r="Z14" i="77"/>
  <c r="Z15" i="77" s="1"/>
  <c r="U14" i="77"/>
  <c r="U15" i="77" s="1"/>
  <c r="V14" i="77"/>
  <c r="V15" i="77" s="1"/>
  <c r="AA14" i="74"/>
  <c r="K12" i="68"/>
  <c r="S12" i="68"/>
  <c r="Y14" i="77"/>
  <c r="Y15" i="77" s="1"/>
  <c r="X14" i="71"/>
  <c r="AA14" i="77"/>
  <c r="Z14" i="73"/>
  <c r="Z15" i="73" s="1"/>
  <c r="S14" i="74"/>
  <c r="V14" i="72"/>
  <c r="V15" i="72" s="1"/>
  <c r="U14" i="72"/>
  <c r="U15" i="72" s="1"/>
  <c r="Y14" i="72"/>
  <c r="Y15" i="72" s="1"/>
  <c r="K11" i="68"/>
  <c r="S11" i="68"/>
  <c r="X14" i="77"/>
  <c r="X15" i="77" s="1"/>
  <c r="U14" i="71"/>
  <c r="W14" i="71"/>
  <c r="X14" i="74"/>
  <c r="AA14" i="73"/>
  <c r="V14" i="73"/>
  <c r="V15" i="73" s="1"/>
  <c r="T15" i="73"/>
  <c r="K10" i="68"/>
  <c r="S10" i="68"/>
  <c r="P14" i="73"/>
  <c r="L15" i="73"/>
  <c r="T15" i="71"/>
  <c r="AA14" i="72"/>
  <c r="T15" i="72"/>
  <c r="S9" i="68"/>
  <c r="K9" i="68"/>
  <c r="M14" i="77"/>
  <c r="V14" i="76"/>
  <c r="X14" i="76"/>
  <c r="AA14" i="71"/>
  <c r="W14" i="76"/>
  <c r="W15" i="76" s="1"/>
  <c r="Y14" i="70"/>
  <c r="Y15" i="70" s="1"/>
  <c r="X14" i="70"/>
  <c r="X15" i="70" s="1"/>
  <c r="T15" i="70"/>
  <c r="V14" i="70"/>
  <c r="V15" i="70" s="1"/>
  <c r="U14" i="69"/>
  <c r="U15" i="69" s="1"/>
  <c r="Z14" i="76"/>
  <c r="Z15" i="76" s="1"/>
  <c r="U14" i="76"/>
  <c r="U15" i="76" s="1"/>
  <c r="T15" i="76"/>
  <c r="W14" i="70"/>
  <c r="W15" i="70" s="1"/>
  <c r="AA14" i="70"/>
  <c r="Z14" i="72"/>
  <c r="Z15" i="72" s="1"/>
  <c r="K8" i="68"/>
  <c r="S8" i="68"/>
  <c r="X14" i="69"/>
  <c r="X15" i="69" s="1"/>
  <c r="Z14" i="69"/>
  <c r="Z15" i="69" s="1"/>
  <c r="Y14" i="76"/>
  <c r="V14" i="69"/>
  <c r="V15" i="69" s="1"/>
  <c r="Y14" i="69"/>
  <c r="Y15" i="69" s="1"/>
  <c r="K7" i="68"/>
  <c r="S7" i="68"/>
  <c r="W14" i="72"/>
  <c r="T15" i="69"/>
  <c r="S6" i="68"/>
  <c r="K6" i="68"/>
  <c r="Z14" i="71"/>
  <c r="S14" i="71"/>
  <c r="S5" i="68"/>
  <c r="Z14" i="70"/>
  <c r="K5" i="68"/>
  <c r="W14" i="69"/>
  <c r="W15" i="69" s="1"/>
  <c r="S4" i="68"/>
  <c r="K4" i="68"/>
  <c r="S14" i="69"/>
  <c r="U6" i="68"/>
  <c r="V11" i="68"/>
  <c r="P6" i="68"/>
  <c r="M12" i="68"/>
  <c r="O12" i="68"/>
  <c r="Q12" i="68"/>
  <c r="N12" i="68"/>
  <c r="L12" i="68"/>
  <c r="P12" i="68"/>
  <c r="Y12" i="68"/>
  <c r="N15" i="75"/>
  <c r="P15" i="75"/>
  <c r="R15" i="75"/>
  <c r="O15" i="75"/>
  <c r="M15" i="75"/>
  <c r="Q15" i="75"/>
  <c r="Z15" i="75"/>
  <c r="N11" i="68"/>
  <c r="O11" i="68"/>
  <c r="M11" i="68"/>
  <c r="P11" i="68"/>
  <c r="L11" i="68"/>
  <c r="Q11" i="68"/>
  <c r="O15" i="74"/>
  <c r="N15" i="74"/>
  <c r="Q15" i="74"/>
  <c r="M15" i="74"/>
  <c r="R2" i="74"/>
  <c r="P10" i="68"/>
  <c r="W10" i="68"/>
  <c r="M10" i="68"/>
  <c r="Q10" i="68"/>
  <c r="L10" i="68"/>
  <c r="N10" i="68"/>
  <c r="Q15" i="73"/>
  <c r="X15" i="73"/>
  <c r="N15" i="73"/>
  <c r="P2" i="75"/>
  <c r="R2" i="73"/>
  <c r="M15" i="73"/>
  <c r="P2" i="73"/>
  <c r="O15" i="73"/>
  <c r="M9" i="68"/>
  <c r="M4" i="68"/>
  <c r="Q9" i="68"/>
  <c r="P9" i="68"/>
  <c r="N9" i="68"/>
  <c r="O9" i="68"/>
  <c r="N15" i="77"/>
  <c r="R15" i="77"/>
  <c r="R2" i="77"/>
  <c r="N15" i="69"/>
  <c r="Q15" i="77"/>
  <c r="O15" i="77"/>
  <c r="P2" i="77"/>
  <c r="O8" i="68"/>
  <c r="L8" i="68"/>
  <c r="Q8" i="68"/>
  <c r="N8" i="68"/>
  <c r="M8" i="68"/>
  <c r="P8" i="68"/>
  <c r="L4" i="68"/>
  <c r="P2" i="76"/>
  <c r="M15" i="76"/>
  <c r="R2" i="76"/>
  <c r="R2" i="75"/>
  <c r="O15" i="76"/>
  <c r="N15" i="76"/>
  <c r="Q15" i="76"/>
  <c r="N7" i="68"/>
  <c r="O7" i="68"/>
  <c r="M7" i="68"/>
  <c r="L7" i="68"/>
  <c r="P7" i="68"/>
  <c r="Q7" i="68"/>
  <c r="W7" i="68"/>
  <c r="O15" i="72"/>
  <c r="P2" i="72"/>
  <c r="N15" i="72"/>
  <c r="M15" i="72"/>
  <c r="Q15" i="72"/>
  <c r="R2" i="72"/>
  <c r="X15" i="72"/>
  <c r="X6" i="68"/>
  <c r="L6" i="68"/>
  <c r="Q6" i="68"/>
  <c r="N6" i="68"/>
  <c r="O6" i="68"/>
  <c r="M6" i="68"/>
  <c r="P15" i="76"/>
  <c r="Y15" i="71"/>
  <c r="M15" i="71"/>
  <c r="O15" i="71"/>
  <c r="P2" i="71"/>
  <c r="R15" i="71"/>
  <c r="N15" i="71"/>
  <c r="P15" i="77"/>
  <c r="L5" i="68"/>
  <c r="O5" i="68"/>
  <c r="P5" i="68"/>
  <c r="N5" i="68"/>
  <c r="Q5" i="68"/>
  <c r="T5" i="68"/>
  <c r="M5" i="68"/>
  <c r="M15" i="70"/>
  <c r="P2" i="70"/>
  <c r="Q15" i="70"/>
  <c r="O15" i="70"/>
  <c r="R15" i="74"/>
  <c r="R2" i="70"/>
  <c r="R15" i="70"/>
  <c r="U15" i="70"/>
  <c r="P15" i="72"/>
  <c r="N15" i="70"/>
  <c r="P4" i="68"/>
  <c r="O4" i="68"/>
  <c r="N4" i="68"/>
  <c r="Q4" i="68"/>
  <c r="Q15" i="69"/>
  <c r="P15" i="73"/>
  <c r="P2" i="69"/>
  <c r="O15" i="69"/>
  <c r="R2" i="69"/>
  <c r="P15" i="71"/>
  <c r="R15" i="72"/>
  <c r="P15" i="70"/>
  <c r="R15" i="76"/>
  <c r="P2" i="74"/>
  <c r="P15" i="74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Y9" i="68" a="1"/>
  <c r="W6" i="68" a="1"/>
  <c r="X11" i="68" a="1"/>
  <c r="W4" i="68" a="1"/>
  <c r="X4" i="68" a="1"/>
  <c r="U8" i="68" a="1"/>
  <c r="W9" i="68" a="1"/>
  <c r="W11" i="68" a="1"/>
  <c r="V8" i="68" a="1"/>
  <c r="U9" i="68" a="1"/>
  <c r="V4" i="68" a="1"/>
  <c r="T9" i="68" a="1"/>
  <c r="V5" i="68" a="1"/>
  <c r="Y10" i="68" a="1"/>
  <c r="T8" i="68" a="1"/>
  <c r="V7" i="68" a="1"/>
  <c r="Y4" i="68" a="1"/>
  <c r="O10" i="68" a="1"/>
  <c r="V6" i="68" a="1"/>
  <c r="X7" i="68" a="1"/>
  <c r="X5" i="68" a="1"/>
  <c r="X10" i="68" a="1"/>
  <c r="U12" i="68" a="1"/>
  <c r="T12" i="68" a="1"/>
  <c r="Y7" i="68" a="1"/>
  <c r="X12" i="68" a="1"/>
  <c r="T11" i="68" a="1"/>
  <c r="W8" i="68" a="1"/>
  <c r="V10" i="68" a="1"/>
  <c r="U10" i="68" a="1"/>
  <c r="V9" i="68" a="1"/>
  <c r="T6" i="68" a="1"/>
  <c r="U4" i="68" a="1"/>
  <c r="X9" i="68" a="1"/>
  <c r="U5" i="68" a="1"/>
  <c r="W12" i="68" a="1"/>
  <c r="T4" i="68" a="1"/>
  <c r="T7" i="68" a="1"/>
  <c r="Y6" i="68" a="1"/>
  <c r="Y8" i="68" a="1"/>
  <c r="Y5" i="68" a="1"/>
  <c r="U7" i="68" a="1"/>
  <c r="W5" i="68" a="1"/>
  <c r="X8" i="68" a="1"/>
  <c r="U11" i="68" a="1"/>
  <c r="V12" i="68" a="1"/>
  <c r="T10" i="68" a="1"/>
  <c r="Y11" i="68" a="1"/>
  <c r="L9" i="68" a="1"/>
  <c r="V10" i="68" l="1"/>
  <c r="T10" i="68"/>
  <c r="Y11" i="68"/>
  <c r="U11" i="68"/>
  <c r="X11" i="68"/>
  <c r="T11" i="68"/>
  <c r="Z15" i="74"/>
  <c r="V15" i="74"/>
  <c r="Y15" i="74"/>
  <c r="U15" i="74"/>
  <c r="X10" i="68"/>
  <c r="V9" i="68"/>
  <c r="W12" i="68"/>
  <c r="V12" i="68"/>
  <c r="U12" i="68"/>
  <c r="T12" i="68"/>
  <c r="X12" i="68"/>
  <c r="U9" i="68"/>
  <c r="T9" i="68"/>
  <c r="Y9" i="68"/>
  <c r="W6" i="68"/>
  <c r="X9" i="68"/>
  <c r="X15" i="71"/>
  <c r="Y10" i="68"/>
  <c r="X7" i="68"/>
  <c r="T7" i="68"/>
  <c r="U7" i="68"/>
  <c r="W11" i="68"/>
  <c r="V6" i="68"/>
  <c r="W9" i="68"/>
  <c r="T6" i="68"/>
  <c r="X15" i="74"/>
  <c r="W15" i="71"/>
  <c r="U15" i="71"/>
  <c r="U10" i="68"/>
  <c r="O10" i="68"/>
  <c r="L9" i="68"/>
  <c r="M15" i="77"/>
  <c r="W8" i="68"/>
  <c r="U8" i="68"/>
  <c r="V8" i="68"/>
  <c r="X15" i="76"/>
  <c r="V15" i="76"/>
  <c r="X5" i="68"/>
  <c r="T4" i="68"/>
  <c r="U5" i="68"/>
  <c r="W5" i="68"/>
  <c r="T8" i="68"/>
  <c r="Y8" i="68"/>
  <c r="V5" i="68"/>
  <c r="Y7" i="68"/>
  <c r="X8" i="68"/>
  <c r="Y4" i="68"/>
  <c r="W4" i="68"/>
  <c r="Y15" i="76"/>
  <c r="U4" i="68"/>
  <c r="X4" i="68"/>
  <c r="V7" i="68"/>
  <c r="W15" i="72"/>
  <c r="Y6" i="68"/>
  <c r="Z15" i="71"/>
  <c r="Y5" i="68"/>
  <c r="Z15" i="70"/>
  <c r="V4" i="68"/>
  <c r="T14" i="63"/>
  <c r="G14" i="26"/>
  <c r="E14" i="26"/>
  <c r="D14" i="26"/>
  <c r="K14" i="26"/>
  <c r="P14" i="25"/>
  <c r="N14" i="25"/>
  <c r="M14" i="25"/>
  <c r="T14" i="25"/>
  <c r="D14" i="25"/>
  <c r="H4" i="23" a="1"/>
  <c r="I4" i="23" a="1"/>
  <c r="S3" i="68" a="1"/>
  <c r="S3" i="68" l="1"/>
  <c r="S13" i="68" s="1"/>
  <c r="E18" i="68" s="1"/>
  <c r="V14" i="63"/>
  <c r="D14" i="63"/>
  <c r="K14" i="63" s="1"/>
  <c r="L14" i="63"/>
  <c r="U14" i="63"/>
  <c r="W14" i="63"/>
  <c r="Z14" i="63"/>
  <c r="X14" i="63"/>
  <c r="AA14" i="63"/>
  <c r="Y14" i="63"/>
  <c r="H4" i="23"/>
  <c r="I4" i="23"/>
  <c r="G5" i="23" a="1"/>
  <c r="E6" i="23" a="1"/>
  <c r="X3" i="68" a="1"/>
  <c r="E13" i="23" a="1"/>
  <c r="G10" i="23" a="1"/>
  <c r="V3" i="68" a="1"/>
  <c r="D4" i="23" a="1"/>
  <c r="G8" i="23" a="1"/>
  <c r="F6" i="23" a="1"/>
  <c r="Y3" i="68" a="1"/>
  <c r="D9" i="23" a="1"/>
  <c r="E4" i="23" a="1"/>
  <c r="E12" i="23" a="1"/>
  <c r="F5" i="23" a="1"/>
  <c r="D13" i="23" a="1"/>
  <c r="D7" i="23" a="1"/>
  <c r="F8" i="23" a="1"/>
  <c r="G7" i="23" a="1"/>
  <c r="U3" i="68" a="1"/>
  <c r="G6" i="23" a="1"/>
  <c r="T3" i="68" a="1"/>
  <c r="F12" i="23" a="1"/>
  <c r="F11" i="23" a="1"/>
  <c r="E11" i="23" a="1"/>
  <c r="D8" i="23" a="1"/>
  <c r="E5" i="23" a="1"/>
  <c r="D5" i="23" a="1"/>
  <c r="E10" i="23" a="1"/>
  <c r="E9" i="23" a="1"/>
  <c r="G9" i="23" a="1"/>
  <c r="G13" i="23" a="1"/>
  <c r="D10" i="23" a="1"/>
  <c r="G12" i="23" a="1"/>
  <c r="F7" i="23" a="1"/>
  <c r="G4" i="23" a="1"/>
  <c r="F9" i="23" a="1"/>
  <c r="D11" i="23" a="1"/>
  <c r="F13" i="23" a="1"/>
  <c r="K3" i="68" a="1"/>
  <c r="G11" i="23" a="1"/>
  <c r="E7" i="23" a="1"/>
  <c r="D12" i="23" a="1"/>
  <c r="F10" i="23" a="1"/>
  <c r="D6" i="23" a="1"/>
  <c r="F4" i="23" a="1"/>
  <c r="W3" i="68" a="1"/>
  <c r="E8" i="23" a="1"/>
  <c r="T3" i="68" l="1"/>
  <c r="T13" i="68" s="1"/>
  <c r="X3" i="68"/>
  <c r="X13" i="68" s="1"/>
  <c r="V3" i="68"/>
  <c r="V13" i="68" s="1"/>
  <c r="K3" i="68"/>
  <c r="K13" i="68" s="1"/>
  <c r="D18" i="68" s="1"/>
  <c r="W3" i="68"/>
  <c r="W13" i="68" s="1"/>
  <c r="U3" i="68"/>
  <c r="U13" i="68" s="1"/>
  <c r="Y3" i="68"/>
  <c r="Y13" i="68" s="1"/>
  <c r="N14" i="63"/>
  <c r="Z13" i="68"/>
  <c r="S14" i="68"/>
  <c r="M14" i="63"/>
  <c r="Q14" i="63"/>
  <c r="R14" i="63"/>
  <c r="P14" i="63"/>
  <c r="S14" i="63"/>
  <c r="O14" i="63"/>
  <c r="F14" i="63"/>
  <c r="J14" i="63"/>
  <c r="G14" i="63"/>
  <c r="H14" i="63"/>
  <c r="E14" i="63"/>
  <c r="I14" i="63"/>
  <c r="T15" i="63"/>
  <c r="L15" i="63"/>
  <c r="V15" i="63"/>
  <c r="X15" i="63"/>
  <c r="W15" i="63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  <c r="D3" i="68" a="1"/>
  <c r="O3" i="68" a="1"/>
  <c r="P3" i="68" a="1"/>
  <c r="Q3" i="68" a="1"/>
  <c r="M3" i="68" a="1"/>
  <c r="L3" i="68" a="1"/>
  <c r="N3" i="68" a="1"/>
  <c r="D3" i="68" l="1"/>
  <c r="D13" i="68" s="1"/>
  <c r="T14" i="68" s="1"/>
  <c r="V14" i="68"/>
  <c r="E20" i="68"/>
  <c r="X14" i="68"/>
  <c r="E21" i="68"/>
  <c r="Y14" i="68"/>
  <c r="E23" i="68"/>
  <c r="U14" i="68"/>
  <c r="E19" i="68"/>
  <c r="W14" i="68"/>
  <c r="E22" i="68"/>
  <c r="N3" i="68"/>
  <c r="N13" i="68" s="1"/>
  <c r="Q3" i="68"/>
  <c r="Q13" i="68" s="1"/>
  <c r="P3" i="68"/>
  <c r="P13" i="68" s="1"/>
  <c r="O3" i="68"/>
  <c r="O13" i="68" s="1"/>
  <c r="L3" i="68"/>
  <c r="L13" i="68" s="1"/>
  <c r="L14" i="68" s="1"/>
  <c r="M3" i="68"/>
  <c r="M13" i="68" s="1"/>
  <c r="O15" i="63"/>
  <c r="R2" i="63"/>
  <c r="R13" i="68"/>
  <c r="K14" i="68"/>
  <c r="P2" i="63"/>
  <c r="N15" i="63"/>
  <c r="Q15" i="63"/>
  <c r="M15" i="63"/>
  <c r="P15" i="63"/>
  <c r="U15" i="63"/>
  <c r="R15" i="63"/>
  <c r="Z15" i="63"/>
  <c r="Y15" i="63"/>
  <c r="N14" i="68" l="1"/>
  <c r="D20" i="68"/>
  <c r="O14" i="68"/>
  <c r="D22" i="68"/>
  <c r="Q14" i="68"/>
  <c r="D23" i="68"/>
  <c r="M14" i="68"/>
  <c r="D19" i="68"/>
  <c r="P14" i="68"/>
  <c r="D21" i="6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<sst xmlns="http://schemas.openxmlformats.org/spreadsheetml/2006/main" count="662" uniqueCount="27">
  <si>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</si>
  <si>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</si>
  <si>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</si>
  <si>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</si>
  <si>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</si>
  <si>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</si>
  <si>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</si>
  <si>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</si>
  <si>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</si>
  <si>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</si>
  <si>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</si>
  <si>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</si>
  <si>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</si>
  <si>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</si>
  <si>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</si>
  <si>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</si>
  <si>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</si>
  <si>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</si>
  <si>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</si>
  <si>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-50%</t>
  </si>
  <si>
    <t>+50%</t>
  </si>
  <si>
    <t>Changes in total cost</t>
  </si>
  <si>
    <t>Changes in # of batches</t>
  </si>
  <si>
    <t>Acceptance rate</t>
  </si>
  <si>
    <t>Average batch utilization</t>
  </si>
  <si>
    <t>Average tardiness</t>
  </si>
  <si>
    <t>average completion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</si>
</sst>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/>
    <xf numFmtId="49" fontId="5" fillId="0" borderId="0" xfId="0" applyNumberFormat="1" applyFont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CB7B-A94E-4263-BFCA-D4E84F62D125}">
  <dimension ref="B1:Z23"/>
  <sheetViews>
    <sheetView tabSelected="1" zoomScale="85" zoomScaleNormal="85" workbookViewId="0">
      <selection activeCell="E18" sqref="E18:E23"/>
    </sheetView>
  </sheetViews>
  <sheetFormatPr baseColWidth="10" defaultColWidth="11.5" defaultRowHeight="16" x14ac:dyDescent="0.2"/>
  <cols>
    <col min="1" max="1" width="3.5" customWidth="1"/>
    <col min="2" max="2" width="11.5" style="1"/>
    <col min="3" max="3" width="21.1640625" bestFit="1" customWidth="1"/>
    <col min="4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6640625" bestFit="1" customWidth="1"/>
    <col min="9" max="9" width="18" bestFit="1" customWidth="1"/>
    <col min="11" max="11" width="8" bestFit="1" customWidth="1"/>
    <col min="12" max="12" width="9.1640625" bestFit="1" customWidth="1"/>
    <col min="13" max="13" width="8.6640625" bestFit="1" customWidth="1"/>
    <col min="14" max="14" width="17.6640625" bestFit="1" customWidth="1"/>
    <col min="15" max="15" width="12.1640625" bestFit="1" customWidth="1"/>
    <col min="16" max="16" width="23.66406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6640625" bestFit="1" customWidth="1"/>
    <col min="22" max="22" width="17.6640625" bestFit="1" customWidth="1"/>
    <col min="23" max="23" width="12.1640625" bestFit="1" customWidth="1"/>
    <col min="24" max="24" width="23.6640625" bestFit="1" customWidth="1"/>
    <col min="25" max="25" width="17.33203125" bestFit="1" customWidth="1"/>
    <col min="26" max="26" width="5.83203125" bestFit="1" customWidth="1"/>
  </cols>
  <sheetData>
    <row r="1" spans="2:26" x14ac:dyDescent="0.2">
      <c r="B1" s="47">
        <v>0</v>
      </c>
      <c r="K1" s="48">
        <v>-0.5</v>
      </c>
      <c r="S1" s="48">
        <v>0.5</v>
      </c>
    </row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45</v>
      </c>
      <c r="C3" s="5" cm="1">
        <f t="array" aca="1" ref="C3" ca="1">INDIRECT("'results" &amp; $B3 &amp; "'!D$14")</f>
        <v>1109491.730596958</v>
      </c>
      <c r="D3" s="33" cm="1">
        <f t="array" aca="1" ref="D3" ca="1">INDIRECT("'results" &amp; $B3 &amp; "'!E$14")</f>
        <v>175.83051161536085</v>
      </c>
      <c r="E3" s="5" cm="1">
        <f t="array" aca="1" ref="E3" ca="1">INDIRECT("'results" &amp; $B3 &amp; "'!F$14")</f>
        <v>11</v>
      </c>
      <c r="F3" s="5" cm="1">
        <f t="array" aca="1" ref="F3" ca="1">INDIRECT("'results" &amp; $B3 &amp; "'!G$14")</f>
        <v>96</v>
      </c>
      <c r="G3" s="5" cm="1">
        <f t="array" aca="1" ref="G3" ca="1">INDIRECT("'results" &amp; $B3 &amp; "'!H$14")</f>
        <v>419.06882453373214</v>
      </c>
      <c r="H3" s="33" cm="1">
        <f t="array" aca="1" ref="H3" ca="1">INDIRECT("'results" &amp; $B3 &amp; "'!I$14")</f>
        <v>49.007721434937274</v>
      </c>
      <c r="I3" s="5" cm="1">
        <f t="array" aca="1" ref="I3" ca="1">INDIRECT("'results" &amp; $B3 &amp; "'!J$14")</f>
        <v>5556.5358758104085</v>
      </c>
      <c r="J3" s="5"/>
      <c r="K3" s="5" cm="1">
        <f t="array" aca="1" ref="K3" ca="1">INDIRECT("'results" &amp; $B3 &amp; "'!L$14")</f>
        <v>689692.56999910646</v>
      </c>
      <c r="L3" s="5" cm="1">
        <f t="array" aca="1" ref="L3" ca="1">INDIRECT("'results" &amp; $B3 &amp; "'!M$14")</f>
        <v>115.71337638458668</v>
      </c>
      <c r="M3" s="5" cm="1">
        <f t="array" aca="1" ref="M3" ca="1">INDIRECT("'results" &amp; $B3 &amp; "'!N$14")</f>
        <v>10</v>
      </c>
      <c r="N3" s="5" cm="1">
        <f t="array" aca="1" ref="N3" ca="1">INDIRECT("'results" &amp; $B3 &amp; "'!O$14")</f>
        <v>96</v>
      </c>
      <c r="O3" s="5" cm="1">
        <f t="array" aca="1" ref="O3" ca="1">INDIRECT("'results" &amp; $B3 &amp; "'!P$14")</f>
        <v>422.78735300490069</v>
      </c>
      <c r="P3" s="5" cm="1">
        <f t="array" aca="1" ref="P3" ca="1">INDIRECT("'results" &amp; $B3 &amp; "'!Q$14")</f>
        <v>53.170544902010683</v>
      </c>
      <c r="Q3" s="5" cm="1">
        <f t="array" aca="1" ref="Q3" ca="1">INDIRECT("'results" &amp; $B3 &amp; "'!R$14")</f>
        <v>5711.8507512058904</v>
      </c>
      <c r="R3" s="5"/>
      <c r="S3" s="5" cm="1">
        <f t="array" aca="1" ref="S3" ca="1">INDIRECT("'results" &amp; $B3 &amp; "'!T$14")</f>
        <v>1484435.6460834851</v>
      </c>
      <c r="T3" s="5" cm="1">
        <f t="array" aca="1" ref="T3" ca="1">INDIRECT("'results" &amp; $B3 &amp; "'!U$14")</f>
        <v>204.07340246154206</v>
      </c>
      <c r="U3" s="5" cm="1">
        <f t="array" aca="1" ref="U3" ca="1">INDIRECT("'results" &amp; $B3 &amp; "'!V$14")</f>
        <v>16</v>
      </c>
      <c r="V3" s="5" cm="1">
        <f t="array" aca="1" ref="V3" ca="1">INDIRECT("'results" &amp; $B3 &amp; "'!W$14")</f>
        <v>96</v>
      </c>
      <c r="W3" s="5" cm="1">
        <f t="array" aca="1" ref="W3" ca="1">INDIRECT("'results" &amp; $B3 &amp; "'!X$14")</f>
        <v>350.15056189805171</v>
      </c>
      <c r="X3" s="5" cm="1">
        <f t="array" aca="1" ref="X3" ca="1">INDIRECT("'results" &amp; $B3 &amp; "'!Y$14")</f>
        <v>33.301313226815175</v>
      </c>
      <c r="Y3" s="5" cm="1">
        <f t="array" aca="1" ref="Y3" ca="1">INDIRECT("'results" &amp; $B3 &amp; "'!Z$14")</f>
        <v>4952.6851844321682</v>
      </c>
      <c r="Z3" s="5"/>
    </row>
    <row r="4" spans="2:26" x14ac:dyDescent="0.2">
      <c r="B4" s="4">
        <v>229</v>
      </c>
      <c r="C4" s="5" cm="1">
        <f t="array" aca="1" ref="C4" ca="1">INDIRECT("'results" &amp; $B4 &amp; "'!D$14")</f>
        <v>968127.96556841256</v>
      </c>
      <c r="D4" s="33" cm="1">
        <f t="array" aca="1" ref="D4" ca="1">INDIRECT("'results" &amp; $B4 &amp; "'!E$14")</f>
        <v>110.66876407685831</v>
      </c>
      <c r="E4" s="5" cm="1">
        <f t="array" aca="1" ref="E4" ca="1">INDIRECT("'results" &amp; $B4 &amp; "'!F$14")</f>
        <v>11</v>
      </c>
      <c r="F4" s="5" cm="1">
        <f t="array" aca="1" ref="F4" ca="1">INDIRECT("'results" &amp; $B4 &amp; "'!G$14")</f>
        <v>96</v>
      </c>
      <c r="G4" s="5" cm="1">
        <f t="array" aca="1" ref="G4" ca="1">INDIRECT("'results" &amp; $B4 &amp; "'!H$14")</f>
        <v>148.27568864938823</v>
      </c>
      <c r="H4" s="33" cm="1">
        <f t="array" aca="1" ref="H4" ca="1">INDIRECT("'results" &amp; $B4 &amp; "'!I$14")</f>
        <v>41.044499047729481</v>
      </c>
      <c r="I4" s="5" cm="1">
        <f t="array" aca="1" ref="I4" ca="1">INDIRECT("'results" &amp; $B4 &amp; "'!J$14")</f>
        <v>4730.6926525659665</v>
      </c>
      <c r="J4" s="5"/>
      <c r="K4" s="5" cm="1">
        <f t="array" aca="1" ref="K4" ca="1">INDIRECT("'results" &amp; $B4 &amp; "'!L$14")</f>
        <v>617391.02036046097</v>
      </c>
      <c r="L4" s="5" cm="1">
        <f t="array" aca="1" ref="L4" ca="1">INDIRECT("'results" &amp; $B4 &amp; "'!M$14")</f>
        <v>133.93640176921437</v>
      </c>
      <c r="M4" s="5" cm="1">
        <f t="array" aca="1" ref="M4" ca="1">INDIRECT("'results" &amp; $B4 &amp; "'!N$14")</f>
        <v>11</v>
      </c>
      <c r="N4" s="5" cm="1">
        <f t="array" aca="1" ref="N4" ca="1">INDIRECT("'results" &amp; $B4 &amp; "'!O$14")</f>
        <v>96</v>
      </c>
      <c r="O4" s="5" cm="1">
        <f t="array" aca="1" ref="O4" ca="1">INDIRECT("'results" &amp; $B4 &amp; "'!P$14")</f>
        <v>148.27568864938823</v>
      </c>
      <c r="P4" s="5" cm="1">
        <f t="array" aca="1" ref="P4" ca="1">INDIRECT("'results" &amp; $B4 &amp; "'!Q$14")</f>
        <v>41.044499047729481</v>
      </c>
      <c r="Q4" s="5" cm="1">
        <f t="array" aca="1" ref="Q4" ca="1">INDIRECT("'results" &amp; $B4 &amp; "'!R$14")</f>
        <v>4730.6926525659665</v>
      </c>
      <c r="R4" s="5"/>
      <c r="S4" s="5" cm="1">
        <f t="array" aca="1" ref="S4" ca="1">INDIRECT("'results" &amp; $B4 &amp; "'!T$14")</f>
        <v>1295163.094217005</v>
      </c>
      <c r="T4" s="5" cm="1">
        <f t="array" aca="1" ref="T4" ca="1">INDIRECT("'results" &amp; $B4 &amp; "'!U$14")</f>
        <v>229.5445319230202</v>
      </c>
      <c r="U4" s="5" cm="1">
        <f t="array" aca="1" ref="U4" ca="1">INDIRECT("'results" &amp; $B4 &amp; "'!V$14")</f>
        <v>13</v>
      </c>
      <c r="V4" s="5" cm="1">
        <f t="array" aca="1" ref="V4" ca="1">INDIRECT("'results" &amp; $B4 &amp; "'!W$14")</f>
        <v>96</v>
      </c>
      <c r="W4" s="5" cm="1">
        <f t="array" aca="1" ref="W4" ca="1">INDIRECT("'results" &amp; $B4 &amp; "'!X$14")</f>
        <v>107.20985967235805</v>
      </c>
      <c r="X4" s="5" cm="1">
        <f t="array" aca="1" ref="X4" ca="1">INDIRECT("'results" &amp; $B4 &amp; "'!Y$14")</f>
        <v>34.876884286616672</v>
      </c>
      <c r="Y4" s="5" cm="1">
        <f t="array" aca="1" ref="Y4" ca="1">INDIRECT("'results" &amp; $B4 &amp; "'!Z$14")</f>
        <v>4460.5529210680297</v>
      </c>
      <c r="Z4" s="5"/>
    </row>
    <row r="5" spans="2:26" x14ac:dyDescent="0.2">
      <c r="B5" s="4">
        <v>268</v>
      </c>
      <c r="C5" s="5" cm="1">
        <f t="array" aca="1" ref="C5" ca="1">INDIRECT("'results" &amp; $B5 &amp; "'!D$14")</f>
        <v>1171722.7209426111</v>
      </c>
      <c r="D5" s="33" cm="1">
        <f t="array" aca="1" ref="D5" ca="1">INDIRECT("'results" &amp; $B5 &amp; "'!E$14")</f>
        <v>274.61161923075383</v>
      </c>
      <c r="E5" s="5" cm="1">
        <f t="array" aca="1" ref="E5" ca="1">INDIRECT("'results" &amp; $B5 &amp; "'!F$14")</f>
        <v>16</v>
      </c>
      <c r="F5" s="5" cm="1">
        <f t="array" aca="1" ref="F5" ca="1">INDIRECT("'results" &amp; $B5 &amp; "'!G$14")</f>
        <v>97.333333333333329</v>
      </c>
      <c r="G5" s="5" cm="1">
        <f t="array" aca="1" ref="G5" ca="1">INDIRECT("'results" &amp; $B5 &amp; "'!H$14")</f>
        <v>552.87315230917284</v>
      </c>
      <c r="H5" s="33" cm="1">
        <f t="array" aca="1" ref="H5" ca="1">INDIRECT("'results" &amp; $B5 &amp; "'!I$14")</f>
        <v>39.68895058554655</v>
      </c>
      <c r="I5" s="5" cm="1">
        <f t="array" aca="1" ref="I5" ca="1">INDIRECT("'results" &amp; $B5 &amp; "'!J$14")</f>
        <v>5498.4921850503042</v>
      </c>
      <c r="J5" s="5"/>
      <c r="K5" s="5" cm="1">
        <f t="array" aca="1" ref="K5" ca="1">INDIRECT("'results" &amp; $B5 &amp; "'!L$14")</f>
        <v>750558.23664549459</v>
      </c>
      <c r="L5" s="5" cm="1">
        <f t="array" aca="1" ref="L5" ca="1">INDIRECT("'results" &amp; $B5 &amp; "'!M$14")</f>
        <v>266.13561961540159</v>
      </c>
      <c r="M5" s="5" cm="1">
        <f t="array" aca="1" ref="M5" ca="1">INDIRECT("'results" &amp; $B5 &amp; "'!N$14")</f>
        <v>14</v>
      </c>
      <c r="N5" s="5" cm="1">
        <f t="array" aca="1" ref="N5" ca="1">INDIRECT("'results" &amp; $B5 &amp; "'!O$14")</f>
        <v>97.333333333333329</v>
      </c>
      <c r="O5" s="5" cm="1">
        <f t="array" aca="1" ref="O5" ca="1">INDIRECT("'results" &amp; $B5 &amp; "'!P$14")</f>
        <v>716.63273435089206</v>
      </c>
      <c r="P5" s="5" cm="1">
        <f t="array" aca="1" ref="P5" ca="1">INDIRECT("'results" &amp; $B5 &amp; "'!Q$14")</f>
        <v>45.387565513062825</v>
      </c>
      <c r="Q5" s="5" cm="1">
        <f t="array" aca="1" ref="Q5" ca="1">INDIRECT("'results" &amp; $B5 &amp; "'!R$14")</f>
        <v>5770.2479375277098</v>
      </c>
      <c r="R5" s="5"/>
      <c r="S5" s="5" cm="1">
        <f t="array" aca="1" ref="S5" ca="1">INDIRECT("'results" &amp; $B5 &amp; "'!T$14")</f>
        <v>1558985.7318972531</v>
      </c>
      <c r="T5" s="5" cm="1">
        <f t="array" aca="1" ref="T5" ca="1">INDIRECT("'results" &amp; $B5 &amp; "'!U$14")</f>
        <v>838.41850138466395</v>
      </c>
      <c r="U5" s="5" cm="1">
        <f t="array" aca="1" ref="U5" ca="1">INDIRECT("'results" &amp; $B5 &amp; "'!V$14")</f>
        <v>17</v>
      </c>
      <c r="V5" s="5" cm="1">
        <f t="array" aca="1" ref="V5" ca="1">INDIRECT("'results" &amp; $B5 &amp; "'!W$14")</f>
        <v>94</v>
      </c>
      <c r="W5" s="5" cm="1">
        <f t="array" aca="1" ref="W5" ca="1">INDIRECT("'results" &amp; $B5 &amp; "'!X$14")</f>
        <v>388.69346090093563</v>
      </c>
      <c r="X5" s="5" cm="1">
        <f t="array" aca="1" ref="X5" ca="1">INDIRECT("'results" &amp; $B5 &amp; "'!Y$14")</f>
        <v>35.934708184347514</v>
      </c>
      <c r="Y5" s="5" cm="1">
        <f t="array" aca="1" ref="Y5" ca="1">INDIRECT("'results" &amp; $B5 &amp; "'!Z$14")</f>
        <v>5069.2685880337849</v>
      </c>
      <c r="Z5" s="5"/>
    </row>
    <row r="6" spans="2:26" x14ac:dyDescent="0.2">
      <c r="B6" s="4">
        <v>346</v>
      </c>
      <c r="C6" s="5" cm="1">
        <f t="array" aca="1" ref="C6" ca="1">INDIRECT("'results" &amp; $B6 &amp; "'!D$14")</f>
        <v>1141726.937281823</v>
      </c>
      <c r="D6" s="33" cm="1">
        <f t="array" aca="1" ref="D6" ca="1">INDIRECT("'results" &amp; $B6 &amp; "'!E$14")</f>
        <v>371.94766284620312</v>
      </c>
      <c r="E6" s="5" cm="1">
        <f t="array" aca="1" ref="E6" ca="1">INDIRECT("'results" &amp; $B6 &amp; "'!F$14")</f>
        <v>14</v>
      </c>
      <c r="F6" s="5" cm="1">
        <f t="array" aca="1" ref="F6" ca="1">INDIRECT("'results" &amp; $B6 &amp; "'!G$14")</f>
        <v>94</v>
      </c>
      <c r="G6" s="5" cm="1">
        <f t="array" aca="1" ref="G6" ca="1">INDIRECT("'results" &amp; $B6 &amp; "'!H$14")</f>
        <v>284.12843424466513</v>
      </c>
      <c r="H6" s="33" cm="1">
        <f t="array" aca="1" ref="H6" ca="1">INDIRECT("'results" &amp; $B6 &amp; "'!I$14")</f>
        <v>38.423322876589999</v>
      </c>
      <c r="I6" s="5" cm="1">
        <f t="array" aca="1" ref="I6" ca="1">INDIRECT("'results" &amp; $B6 &amp; "'!J$14")</f>
        <v>5202.2457846926009</v>
      </c>
      <c r="J6" s="5"/>
      <c r="K6" s="5" cm="1">
        <f t="array" aca="1" ref="K6" ca="1">INDIRECT("'results" &amp; $B6 &amp; "'!L$14")</f>
        <v>749233.23250826017</v>
      </c>
      <c r="L6" s="5" cm="1">
        <f t="array" aca="1" ref="L6" ca="1">INDIRECT("'results" &amp; $B6 &amp; "'!M$14")</f>
        <v>231.20086992311721</v>
      </c>
      <c r="M6" s="5" cm="1">
        <f t="array" aca="1" ref="M6" ca="1">INDIRECT("'results" &amp; $B6 &amp; "'!N$14")</f>
        <v>12</v>
      </c>
      <c r="N6" s="5" cm="1">
        <f t="array" aca="1" ref="N6" ca="1">INDIRECT("'results" &amp; $B6 &amp; "'!O$14")</f>
        <v>94</v>
      </c>
      <c r="O6" s="5" cm="1">
        <f t="array" aca="1" ref="O6" ca="1">INDIRECT("'results" &amp; $B6 &amp; "'!P$14")</f>
        <v>312.8371057939973</v>
      </c>
      <c r="P6" s="5" cm="1">
        <f t="array" aca="1" ref="P6" ca="1">INDIRECT("'results" &amp; $B6 &amp; "'!Q$14")</f>
        <v>44.780106770700108</v>
      </c>
      <c r="Q6" s="5" cm="1">
        <f t="array" aca="1" ref="Q6" ca="1">INDIRECT("'results" &amp; $B6 &amp; "'!R$14")</f>
        <v>5505.0852360111385</v>
      </c>
      <c r="R6" s="5"/>
      <c r="S6" s="5" cm="1">
        <f t="array" aca="1" ref="S6" ca="1">INDIRECT("'results" &amp; $B6 &amp; "'!T$14")</f>
        <v>1500015.7337337511</v>
      </c>
      <c r="T6" s="5" cm="1">
        <f t="array" aca="1" ref="T6" ca="1">INDIRECT("'results" &amp; $B6 &amp; "'!U$14")</f>
        <v>378.37032892302472</v>
      </c>
      <c r="U6" s="5" cm="1">
        <f t="array" aca="1" ref="U6" ca="1">INDIRECT("'results" &amp; $B6 &amp; "'!V$14")</f>
        <v>15</v>
      </c>
      <c r="V6" s="5" cm="1">
        <f t="array" aca="1" ref="V6" ca="1">INDIRECT("'results" &amp; $B6 &amp; "'!W$14")</f>
        <v>93.333333333333329</v>
      </c>
      <c r="W6" s="5" cm="1">
        <f t="array" aca="1" ref="W6" ca="1">INDIRECT("'results" &amp; $B6 &amp; "'!X$14")</f>
        <v>219.34668292637366</v>
      </c>
      <c r="X6" s="5" cm="1">
        <f t="array" aca="1" ref="X6" ca="1">INDIRECT("'results" &amp; $B6 &amp; "'!Y$14")</f>
        <v>34.519981572539322</v>
      </c>
      <c r="Y6" s="5" cm="1">
        <f t="array" aca="1" ref="Y6" ca="1">INDIRECT("'results" &amp; $B6 &amp; "'!Z$14")</f>
        <v>4972.6939315713735</v>
      </c>
      <c r="Z6" s="5"/>
    </row>
    <row r="7" spans="2:26" x14ac:dyDescent="0.2">
      <c r="B7" s="4">
        <v>418</v>
      </c>
      <c r="C7" s="5" cm="1">
        <f t="array" aca="1" ref="C7" ca="1">INDIRECT("'results" &amp; $B7 &amp; "'!D$14")</f>
        <v>1155075.914594016</v>
      </c>
      <c r="D7" s="33" cm="1">
        <f t="array" aca="1" ref="D7" ca="1">INDIRECT("'results" &amp; $B7 &amp; "'!E$14")</f>
        <v>124.98730038462853</v>
      </c>
      <c r="E7" s="5" cm="1">
        <f t="array" aca="1" ref="E7" ca="1">INDIRECT("'results" &amp; $B7 &amp; "'!F$14")</f>
        <v>13</v>
      </c>
      <c r="F7" s="5" cm="1">
        <f t="array" aca="1" ref="F7" ca="1">INDIRECT("'results" &amp; $B7 &amp; "'!G$14")</f>
        <v>94</v>
      </c>
      <c r="G7" s="5" cm="1">
        <f t="array" aca="1" ref="G7" ca="1">INDIRECT("'results" &amp; $B7 &amp; "'!H$14")</f>
        <v>315.4818009440686</v>
      </c>
      <c r="H7" s="33" cm="1">
        <f t="array" aca="1" ref="H7" ca="1">INDIRECT("'results" &amp; $B7 &amp; "'!I$14")</f>
        <v>43.565165325317544</v>
      </c>
      <c r="I7" s="5" cm="1">
        <f t="array" aca="1" ref="I7" ca="1">INDIRECT("'results" &amp; $B7 &amp; "'!J$14")</f>
        <v>5346.775780707324</v>
      </c>
      <c r="J7" s="5"/>
      <c r="K7" s="5" cm="1">
        <f t="array" aca="1" ref="K7" ca="1">INDIRECT("'results" &amp; $B7 &amp; "'!L$14")</f>
        <v>757996.35077856749</v>
      </c>
      <c r="L7" s="5" cm="1">
        <f t="array" aca="1" ref="L7" ca="1">INDIRECT("'results" &amp; $B7 &amp; "'!M$14")</f>
        <v>172.99843607694268</v>
      </c>
      <c r="M7" s="5" cm="1">
        <f t="array" aca="1" ref="M7" ca="1">INDIRECT("'results" &amp; $B7 &amp; "'!N$14")</f>
        <v>12</v>
      </c>
      <c r="N7" s="5" cm="1">
        <f t="array" aca="1" ref="N7" ca="1">INDIRECT("'results" &amp; $B7 &amp; "'!O$14")</f>
        <v>94</v>
      </c>
      <c r="O7" s="5" cm="1">
        <f t="array" aca="1" ref="O7" ca="1">INDIRECT("'results" &amp; $B7 &amp; "'!P$14")</f>
        <v>473.84136995425985</v>
      </c>
      <c r="P7" s="5" cm="1">
        <f t="array" aca="1" ref="P7" ca="1">INDIRECT("'results" &amp; $B7 &amp; "'!Q$14")</f>
        <v>48.377144062046476</v>
      </c>
      <c r="Q7" s="5" cm="1">
        <f t="array" aca="1" ref="Q7" ca="1">INDIRECT("'results" &amp; $B7 &amp; "'!R$14")</f>
        <v>5415.297251199584</v>
      </c>
      <c r="R7" s="5"/>
      <c r="S7" s="5" cm="1">
        <f t="array" aca="1" ref="S7" ca="1">INDIRECT("'results" &amp; $B7 &amp; "'!T$14")</f>
        <v>1542338.1312739351</v>
      </c>
      <c r="T7" s="5" cm="1">
        <f t="array" aca="1" ref="T7" ca="1">INDIRECT("'results" &amp; $B7 &amp; "'!U$14")</f>
        <v>131.37159653849753</v>
      </c>
      <c r="U7" s="5" cm="1">
        <f t="array" aca="1" ref="U7" ca="1">INDIRECT("'results" &amp; $B7 &amp; "'!V$14")</f>
        <v>13</v>
      </c>
      <c r="V7" s="5" cm="1">
        <f t="array" aca="1" ref="V7" ca="1">INDIRECT("'results" &amp; $B7 &amp; "'!W$14")</f>
        <v>91.333333333333329</v>
      </c>
      <c r="W7" s="5" cm="1">
        <f t="array" aca="1" ref="W7" ca="1">INDIRECT("'results" &amp; $B7 &amp; "'!X$14")</f>
        <v>241.5729622842565</v>
      </c>
      <c r="X7" s="5" cm="1">
        <f t="array" aca="1" ref="X7" ca="1">INDIRECT("'results" &amp; $B7 &amp; "'!Y$14")</f>
        <v>41.623725223768204</v>
      </c>
      <c r="Y7" s="5" cm="1">
        <f t="array" aca="1" ref="Y7" ca="1">INDIRECT("'results" &amp; $B7 &amp; "'!Z$14")</f>
        <v>5119.5412918466373</v>
      </c>
      <c r="Z7" s="5"/>
    </row>
    <row r="8" spans="2:26" x14ac:dyDescent="0.2">
      <c r="B8" s="4">
        <v>464</v>
      </c>
      <c r="C8" s="5" cm="1">
        <f t="array" aca="1" ref="C8" ca="1">INDIRECT("'results" &amp; $B8 &amp; "'!D$14")</f>
        <v>1109461.4547045201</v>
      </c>
      <c r="D8" s="33" cm="1">
        <f t="array" aca="1" ref="D8" ca="1">INDIRECT("'results" &amp; $B8 &amp; "'!E$14")</f>
        <v>267.75269992309256</v>
      </c>
      <c r="E8" s="5" cm="1">
        <f t="array" aca="1" ref="E8" ca="1">INDIRECT("'results" &amp; $B8 &amp; "'!F$14")</f>
        <v>13</v>
      </c>
      <c r="F8" s="5" cm="1">
        <f t="array" aca="1" ref="F8" ca="1">INDIRECT("'results" &amp; $B8 &amp; "'!G$14")</f>
        <v>98.666666666666671</v>
      </c>
      <c r="G8" s="5" cm="1">
        <f t="array" aca="1" ref="G8" ca="1">INDIRECT("'results" &amp; $B8 &amp; "'!H$14")</f>
        <v>556.1484043778413</v>
      </c>
      <c r="H8" s="33" cm="1">
        <f t="array" aca="1" ref="H8" ca="1">INDIRECT("'results" &amp; $B8 &amp; "'!I$14")</f>
        <v>46.079268944698597</v>
      </c>
      <c r="I8" s="5" cm="1">
        <f t="array" aca="1" ref="I8" ca="1">INDIRECT("'results" &amp; $B8 &amp; "'!J$14")</f>
        <v>5662.791341137412</v>
      </c>
      <c r="J8" s="5"/>
      <c r="K8" s="5" cm="1">
        <f t="array" aca="1" ref="K8" ca="1">INDIRECT("'results" &amp; $B8 &amp; "'!L$14")</f>
        <v>677046.11884172983</v>
      </c>
      <c r="L8" s="5" cm="1">
        <f t="array" aca="1" ref="L8" ca="1">INDIRECT("'results" &amp; $B8 &amp; "'!M$14")</f>
        <v>334.55577553849884</v>
      </c>
      <c r="M8" s="5" cm="1">
        <f t="array" aca="1" ref="M8" ca="1">INDIRECT("'results" &amp; $B8 &amp; "'!N$14")</f>
        <v>12</v>
      </c>
      <c r="N8" s="5" cm="1">
        <f t="array" aca="1" ref="N8" ca="1">INDIRECT("'results" &amp; $B8 &amp; "'!O$14")</f>
        <v>98.666666666666671</v>
      </c>
      <c r="O8" s="5" cm="1">
        <f t="array" aca="1" ref="O8" ca="1">INDIRECT("'results" &amp; $B8 &amp; "'!P$14")</f>
        <v>657.66169844615536</v>
      </c>
      <c r="P8" s="5" cm="1">
        <f t="array" aca="1" ref="P8" ca="1">INDIRECT("'results" &amp; $B8 &amp; "'!Q$14")</f>
        <v>49.986034975286593</v>
      </c>
      <c r="Q8" s="5" cm="1">
        <f t="array" aca="1" ref="Q8" ca="1">INDIRECT("'results" &amp; $B8 &amp; "'!R$14")</f>
        <v>5824.330303222433</v>
      </c>
      <c r="R8" s="5"/>
      <c r="S8" s="5" cm="1">
        <f t="array" aca="1" ref="S8" ca="1">INDIRECT("'results" &amp; $B8 &amp; "'!T$14")</f>
        <v>1529546.36768683</v>
      </c>
      <c r="T8" s="5" cm="1">
        <f t="array" aca="1" ref="T8" ca="1">INDIRECT("'results" &amp; $B8 &amp; "'!U$14")</f>
        <v>224.87360707690155</v>
      </c>
      <c r="U8" s="5" cm="1">
        <f t="array" aca="1" ref="U8" ca="1">INDIRECT("'results" &amp; $B8 &amp; "'!V$14")</f>
        <v>13</v>
      </c>
      <c r="V8" s="5" cm="1">
        <f t="array" aca="1" ref="V8" ca="1">INDIRECT("'results" &amp; $B8 &amp; "'!W$14")</f>
        <v>92</v>
      </c>
      <c r="W8" s="5" cm="1">
        <f t="array" aca="1" ref="W8" ca="1">INDIRECT("'results" &amp; $B8 &amp; "'!X$14")</f>
        <v>364.76644279075208</v>
      </c>
      <c r="X8" s="5" cm="1">
        <f t="array" aca="1" ref="X8" ca="1">INDIRECT("'results" &amp; $B8 &amp; "'!Y$14")</f>
        <v>40.786821978356699</v>
      </c>
      <c r="Y8" s="5" cm="1">
        <f t="array" aca="1" ref="Y8" ca="1">INDIRECT("'results" &amp; $B8 &amp; "'!Z$14")</f>
        <v>5206.0675350023539</v>
      </c>
      <c r="Z8" s="5"/>
    </row>
    <row r="9" spans="2:26" x14ac:dyDescent="0.2">
      <c r="B9" s="4">
        <v>658</v>
      </c>
      <c r="C9" s="5" cm="1">
        <f t="array" aca="1" ref="C9" ca="1">INDIRECT("'results" &amp; $B9 &amp; "'!D$14")</f>
        <v>1046045.483747479</v>
      </c>
      <c r="D9" s="33" cm="1">
        <f t="array" aca="1" ref="D9" ca="1">INDIRECT("'results" &amp; $B9 &amp; "'!E$14")</f>
        <v>205.49383246160752</v>
      </c>
      <c r="E9" s="5" cm="1">
        <f t="array" aca="1" ref="E9" ca="1">INDIRECT("'results" &amp; $B9 &amp; "'!F$14")</f>
        <v>14</v>
      </c>
      <c r="F9" s="5" cm="1">
        <f t="array" aca="1" ref="F9" ca="1">INDIRECT("'results" &amp; $B9 &amp; "'!G$14")</f>
        <v>96.666666666666671</v>
      </c>
      <c r="G9" s="5" cm="1">
        <f t="array" aca="1" ref="G9" ca="1">INDIRECT("'results" &amp; $B9 &amp; "'!H$14")</f>
        <v>351.38906290061749</v>
      </c>
      <c r="H9" s="33" cm="1">
        <f t="array" aca="1" ref="H9" ca="1">INDIRECT("'results" &amp; $B9 &amp; "'!I$14")</f>
        <v>37.424531203822959</v>
      </c>
      <c r="I9" s="5" cm="1">
        <f t="array" aca="1" ref="I9" ca="1">INDIRECT("'results" &amp; $B9 &amp; "'!J$14")</f>
        <v>4871.4040777261835</v>
      </c>
      <c r="J9" s="5"/>
      <c r="K9" s="5" cm="1">
        <f t="array" aca="1" ref="K9" ca="1">INDIRECT("'results" &amp; $B9 &amp; "'!L$14")</f>
        <v>682322.85194686649</v>
      </c>
      <c r="L9" s="5" cm="1">
        <f t="array" aca="1" ref="L9" ca="1">INDIRECT("'results" &amp; $B9 &amp; "'!M$14")</f>
        <v>125.04904946151115</v>
      </c>
      <c r="M9" s="5" cm="1">
        <f t="array" aca="1" ref="M9" ca="1">INDIRECT("'results" &amp; $B9 &amp; "'!N$14")</f>
        <v>13</v>
      </c>
      <c r="N9" s="5" cm="1">
        <f t="array" aca="1" ref="N9" ca="1">INDIRECT("'results" &amp; $B9 &amp; "'!O$14")</f>
        <v>96.666666666666671</v>
      </c>
      <c r="O9" s="5" cm="1">
        <f t="array" aca="1" ref="O9" ca="1">INDIRECT("'results" &amp; $B9 &amp; "'!P$14")</f>
        <v>348.53506324893067</v>
      </c>
      <c r="P9" s="5" cm="1">
        <f t="array" aca="1" ref="P9" ca="1">INDIRECT("'results" &amp; $B9 &amp; "'!Q$14")</f>
        <v>40.147721174013263</v>
      </c>
      <c r="Q9" s="5" cm="1">
        <f t="array" aca="1" ref="Q9" ca="1">INDIRECT("'results" &amp; $B9 &amp; "'!R$14")</f>
        <v>5157.1949510724953</v>
      </c>
      <c r="R9" s="5"/>
      <c r="S9" s="5" cm="1">
        <f t="array" aca="1" ref="S9" ca="1">INDIRECT("'results" &amp; $B9 &amp; "'!T$14")</f>
        <v>1408390.2598686691</v>
      </c>
      <c r="T9" s="5" cm="1">
        <f t="array" aca="1" ref="T9" ca="1">INDIRECT("'results" &amp; $B9 &amp; "'!U$14")</f>
        <v>278.93568184611814</v>
      </c>
      <c r="U9" s="5" cm="1">
        <f t="array" aca="1" ref="U9" ca="1">INDIRECT("'results" &amp; $B9 &amp; "'!V$14")</f>
        <v>14</v>
      </c>
      <c r="V9" s="5" cm="1">
        <f t="array" aca="1" ref="V9" ca="1">INDIRECT("'results" &amp; $B9 &amp; "'!W$14")</f>
        <v>96</v>
      </c>
      <c r="W9" s="5" cm="1">
        <f t="array" aca="1" ref="W9" ca="1">INDIRECT("'results" &amp; $B9 &amp; "'!X$14")</f>
        <v>323.52780453366154</v>
      </c>
      <c r="X9" s="5" cm="1">
        <f t="array" aca="1" ref="X9" ca="1">INDIRECT("'results" &amp; $B9 &amp; "'!Y$14")</f>
        <v>37.121341294813142</v>
      </c>
      <c r="Y9" s="5" cm="1">
        <f t="array" aca="1" ref="Y9" ca="1">INDIRECT("'results" &amp; $B9 &amp; "'!Z$14")</f>
        <v>4821.3862315260449</v>
      </c>
      <c r="Z9" s="5"/>
    </row>
    <row r="10" spans="2:26" x14ac:dyDescent="0.2">
      <c r="B10" s="4">
        <v>720</v>
      </c>
      <c r="C10" s="5" cm="1">
        <f t="array" aca="1" ref="C10" ca="1">INDIRECT("'results" &amp; $B10 &amp; "'!D$14")</f>
        <v>1298314.612475632</v>
      </c>
      <c r="D10" s="33" cm="1">
        <f t="array" aca="1" ref="D10" ca="1">INDIRECT("'results" &amp; $B10 &amp; "'!E$14")</f>
        <v>222.78767107690396</v>
      </c>
      <c r="E10" s="5" cm="1">
        <f t="array" aca="1" ref="E10" ca="1">INDIRECT("'results" &amp; $B10 &amp; "'!F$14")</f>
        <v>15</v>
      </c>
      <c r="F10" s="5" cm="1">
        <f t="array" aca="1" ref="F10" ca="1">INDIRECT("'results" &amp; $B10 &amp; "'!G$14")</f>
        <v>93.333333333333329</v>
      </c>
      <c r="G10" s="5" cm="1">
        <f t="array" aca="1" ref="G10" ca="1">INDIRECT("'results" &amp; $B10 &amp; "'!H$14")</f>
        <v>557.2158028380004</v>
      </c>
      <c r="H10" s="33" cm="1">
        <f t="array" aca="1" ref="H10" ca="1">INDIRECT("'results" &amp; $B10 &amp; "'!I$14")</f>
        <v>34.54691388475625</v>
      </c>
      <c r="I10" s="5" cm="1">
        <f t="array" aca="1" ref="I10" ca="1">INDIRECT("'results" &amp; $B10 &amp; "'!J$14")</f>
        <v>5750.2115391621046</v>
      </c>
      <c r="J10" s="5"/>
      <c r="K10" s="5" cm="1">
        <f t="array" aca="1" ref="K10" ca="1">INDIRECT("'results" &amp; $B10 &amp; "'!L$14")</f>
        <v>872963.27388776245</v>
      </c>
      <c r="L10" s="5" cm="1">
        <f t="array" aca="1" ref="L10" ca="1">INDIRECT("'results" &amp; $B10 &amp; "'!M$14")</f>
        <v>219.91813423076215</v>
      </c>
      <c r="M10" s="5" cm="1">
        <f t="array" aca="1" ref="M10" ca="1">INDIRECT("'results" &amp; $B10 &amp; "'!N$14")</f>
        <v>13</v>
      </c>
      <c r="N10" s="5" cm="1">
        <f t="array" aca="1" ref="N10" ca="1">INDIRECT("'results" &amp; $B10 &amp; "'!O$14")</f>
        <v>93.333333333333329</v>
      </c>
      <c r="O10" s="5" cm="1">
        <f t="array" aca="1" ref="O10" ca="1">INDIRECT("'results" &amp; $B10 &amp; "'!P$14")</f>
        <v>667.79538810512349</v>
      </c>
      <c r="P10" s="5" cm="1">
        <f t="array" aca="1" ref="P10" ca="1">INDIRECT("'results" &amp; $B10 &amp; "'!Q$14")</f>
        <v>39.628379031704739</v>
      </c>
      <c r="Q10" s="5" cm="1">
        <f t="array" aca="1" ref="Q10" ca="1">INDIRECT("'results" &amp; $B10 &amp; "'!R$14")</f>
        <v>6060.290804694353</v>
      </c>
      <c r="R10" s="5"/>
      <c r="S10" s="5" cm="1">
        <f t="array" aca="1" ref="S10" ca="1">INDIRECT("'results" &amp; $B10 &amp; "'!T$14")</f>
        <v>1701420.891421546</v>
      </c>
      <c r="T10" s="5" cm="1">
        <f t="array" aca="1" ref="T10" ca="1">INDIRECT("'results" &amp; $B10 &amp; "'!U$14")</f>
        <v>322.81001738460662</v>
      </c>
      <c r="U10" s="5" cm="1">
        <f t="array" aca="1" ref="U10" ca="1">INDIRECT("'results" &amp; $B10 &amp; "'!V$14")</f>
        <v>13</v>
      </c>
      <c r="V10" s="5" cm="1">
        <f t="array" aca="1" ref="V10" ca="1">INDIRECT("'results" &amp; $B10 &amp; "'!W$14")</f>
        <v>84</v>
      </c>
      <c r="W10" s="5" cm="1">
        <f t="array" aca="1" ref="W10" ca="1">INDIRECT("'results" &amp; $B10 &amp; "'!X$14")</f>
        <v>247.0358781792556</v>
      </c>
      <c r="X10" s="5" cm="1">
        <f t="array" aca="1" ref="X10" ca="1">INDIRECT("'results" &amp; $B10 &amp; "'!Y$14")</f>
        <v>33.16692738709726</v>
      </c>
      <c r="Y10" s="5" cm="1">
        <f t="array" aca="1" ref="Y10" ca="1">INDIRECT("'results" &amp; $B10 &amp; "'!Z$14")</f>
        <v>5224.834362274154</v>
      </c>
      <c r="Z10" s="5"/>
    </row>
    <row r="11" spans="2:26" x14ac:dyDescent="0.2">
      <c r="B11" s="4">
        <v>846</v>
      </c>
      <c r="C11" s="5" cm="1">
        <f t="array" aca="1" ref="C11" ca="1">INDIRECT("'results" &amp; $B11 &amp; "'!D$14")</f>
        <v>1168643.226288683</v>
      </c>
      <c r="D11" s="33" cm="1">
        <f t="array" aca="1" ref="D11" ca="1">INDIRECT("'results" &amp; $B11 &amp; "'!E$14")</f>
        <v>309.76703292314107</v>
      </c>
      <c r="E11" s="5" cm="1">
        <f t="array" aca="1" ref="E11" ca="1">INDIRECT("'results" &amp; $B11 &amp; "'!F$14")</f>
        <v>13</v>
      </c>
      <c r="F11" s="5" cm="1">
        <f t="array" aca="1" ref="F11" ca="1">INDIRECT("'results" &amp; $B11 &amp; "'!G$14")</f>
        <v>94</v>
      </c>
      <c r="G11" s="5" cm="1">
        <f t="array" aca="1" ref="G11" ca="1">INDIRECT("'results" &amp; $B11 &amp; "'!H$14")</f>
        <v>362.73205147026351</v>
      </c>
      <c r="H11" s="33" cm="1">
        <f t="array" aca="1" ref="H11" ca="1">INDIRECT("'results" &amp; $B11 &amp; "'!I$14")</f>
        <v>40.263651627371402</v>
      </c>
      <c r="I11" s="5" cm="1">
        <f t="array" aca="1" ref="I11" ca="1">INDIRECT("'results" &amp; $B11 &amp; "'!J$14")</f>
        <v>5415.5349556114834</v>
      </c>
      <c r="J11" s="5"/>
      <c r="K11" s="5" cm="1">
        <f t="array" aca="1" ref="K11" ca="1">INDIRECT("'results" &amp; $B11 &amp; "'!L$14")</f>
        <v>759748.61686672224</v>
      </c>
      <c r="L11" s="5" cm="1">
        <f t="array" aca="1" ref="L11" ca="1">INDIRECT("'results" &amp; $B11 &amp; "'!M$14")</f>
        <v>130.62032269224386</v>
      </c>
      <c r="M11" s="5" cm="1">
        <f t="array" aca="1" ref="M11" ca="1">INDIRECT("'results" &amp; $B11 &amp; "'!N$14")</f>
        <v>12</v>
      </c>
      <c r="N11" s="5" cm="1">
        <f t="array" aca="1" ref="N11" ca="1">INDIRECT("'results" &amp; $B11 &amp; "'!O$14")</f>
        <v>94.666666666666671</v>
      </c>
      <c r="O11" s="5" cm="1">
        <f t="array" aca="1" ref="O11" ca="1">INDIRECT("'results" &amp; $B11 &amp; "'!P$14")</f>
        <v>424.39350944943698</v>
      </c>
      <c r="P11" s="5" cm="1">
        <f t="array" aca="1" ref="P11" ca="1">INDIRECT("'results" &amp; $B11 &amp; "'!Q$14")</f>
        <v>43.998715157302058</v>
      </c>
      <c r="Q11" s="5" cm="1">
        <f t="array" aca="1" ref="Q11" ca="1">INDIRECT("'results" &amp; $B11 &amp; "'!R$14")</f>
        <v>5668.6153040600457</v>
      </c>
      <c r="R11" s="5"/>
      <c r="S11" s="5" cm="1">
        <f t="array" aca="1" ref="S11" ca="1">INDIRECT("'results" &amp; $B11 &amp; "'!T$14")</f>
        <v>1550714.3396446391</v>
      </c>
      <c r="T11" s="5" cm="1">
        <f t="array" aca="1" ref="T11" ca="1">INDIRECT("'results" &amp; $B11 &amp; "'!U$14")</f>
        <v>210.35655061535255</v>
      </c>
      <c r="U11" s="5" cm="1">
        <f t="array" aca="1" ref="U11" ca="1">INDIRECT("'results" &amp; $B11 &amp; "'!V$14")</f>
        <v>12</v>
      </c>
      <c r="V11" s="5" cm="1">
        <f t="array" aca="1" ref="V11" ca="1">INDIRECT("'results" &amp; $B11 &amp; "'!W$14")</f>
        <v>88</v>
      </c>
      <c r="W11" s="5" cm="1">
        <f t="array" aca="1" ref="W11" ca="1">INDIRECT("'results" &amp; $B11 &amp; "'!X$14")</f>
        <v>195.0092887300008</v>
      </c>
      <c r="X11" s="5" cm="1">
        <f t="array" aca="1" ref="X11" ca="1">INDIRECT("'results" &amp; $B11 &amp; "'!Y$14")</f>
        <v>39.940278742502358</v>
      </c>
      <c r="Y11" s="5" cm="1">
        <f t="array" aca="1" ref="Y11" ca="1">INDIRECT("'results" &amp; $B11 &amp; "'!Z$14")</f>
        <v>4994.4703993632302</v>
      </c>
      <c r="Z11" s="5"/>
    </row>
    <row r="12" spans="2:26" x14ac:dyDescent="0.2">
      <c r="B12" s="4">
        <v>910</v>
      </c>
      <c r="C12" s="5" cm="1">
        <f t="array" aca="1" ref="C12" ca="1">INDIRECT("'results" &amp; $B12 &amp; "'!D$14")</f>
        <v>1204846.1049447469</v>
      </c>
      <c r="D12" s="33" cm="1">
        <f t="array" aca="1" ref="D12" ca="1">INDIRECT("'results" &amp; $B12 &amp; "'!E$14")</f>
        <v>167.72226484617792</v>
      </c>
      <c r="E12" s="5" cm="1">
        <f t="array" aca="1" ref="E12" ca="1">INDIRECT("'results" &amp; $B12 &amp; "'!F$14")</f>
        <v>12</v>
      </c>
      <c r="F12" s="5" cm="1">
        <f t="array" aca="1" ref="F12" ca="1">INDIRECT("'results" &amp; $B12 &amp; "'!G$14")</f>
        <v>92.666666666666671</v>
      </c>
      <c r="G12" s="5" cm="1">
        <f t="array" aca="1" ref="G12" ca="1">INDIRECT("'results" &amp; $B12 &amp; "'!H$14")</f>
        <v>381.05739905978987</v>
      </c>
      <c r="H12" s="33" cm="1">
        <f t="array" aca="1" ref="H12" ca="1">INDIRECT("'results" &amp; $B12 &amp; "'!I$14")</f>
        <v>38.403845039915126</v>
      </c>
      <c r="I12" s="5" cm="1">
        <f t="array" aca="1" ref="I12" ca="1">INDIRECT("'results" &amp; $B12 &amp; "'!J$14")</f>
        <v>5454.0471054728532</v>
      </c>
      <c r="J12" s="5"/>
      <c r="K12" s="5" cm="1">
        <f t="array" aca="1" ref="K12" ca="1">INDIRECT("'results" &amp; $B12 &amp; "'!L$14")</f>
        <v>802275.92085367406</v>
      </c>
      <c r="L12" s="5" cm="1">
        <f t="array" aca="1" ref="L12" ca="1">INDIRECT("'results" &amp; $B12 &amp; "'!M$14")</f>
        <v>93.970284000074912</v>
      </c>
      <c r="M12" s="5" cm="1">
        <f t="array" aca="1" ref="M12" ca="1">INDIRECT("'results" &amp; $B12 &amp; "'!N$14")</f>
        <v>11</v>
      </c>
      <c r="N12" s="5" cm="1">
        <f t="array" aca="1" ref="N12" ca="1">INDIRECT("'results" &amp; $B12 &amp; "'!O$14")</f>
        <v>92.666666666666671</v>
      </c>
      <c r="O12" s="5" cm="1">
        <f t="array" aca="1" ref="O12" ca="1">INDIRECT("'results" &amp; $B12 &amp; "'!P$14")</f>
        <v>449.90707474843919</v>
      </c>
      <c r="P12" s="5" cm="1">
        <f t="array" aca="1" ref="P12" ca="1">INDIRECT("'results" &amp; $B12 &amp; "'!Q$14")</f>
        <v>42.327291196803294</v>
      </c>
      <c r="Q12" s="5" cm="1">
        <f t="array" aca="1" ref="Q12" ca="1">INDIRECT("'results" &amp; $B12 &amp; "'!R$14")</f>
        <v>5614.4681838017887</v>
      </c>
      <c r="R12" s="5"/>
      <c r="S12" s="5" cm="1">
        <f t="array" aca="1" ref="S12" ca="1">INDIRECT("'results" &amp; $B12 &amp; "'!T$14")</f>
        <v>1568444.7275634659</v>
      </c>
      <c r="T12" s="5" cm="1">
        <f t="array" aca="1" ref="T12" ca="1">INDIRECT("'results" &amp; $B12 &amp; "'!U$14")</f>
        <v>304.53740453849042</v>
      </c>
      <c r="U12" s="5" cm="1">
        <f t="array" aca="1" ref="U12" ca="1">INDIRECT("'results" &amp; $B12 &amp; "'!V$14")</f>
        <v>14</v>
      </c>
      <c r="V12" s="5" cm="1">
        <f t="array" aca="1" ref="V12" ca="1">INDIRECT("'results" &amp; $B12 &amp; "'!W$14")</f>
        <v>92</v>
      </c>
      <c r="W12" s="5" cm="1">
        <f t="array" aca="1" ref="W12" ca="1">INDIRECT("'results" &amp; $B12 &amp; "'!X$14")</f>
        <v>344.94012288990223</v>
      </c>
      <c r="X12" s="5" cm="1">
        <f t="array" aca="1" ref="X12" ca="1">INDIRECT("'results" &amp; $B12 &amp; "'!Y$14")</f>
        <v>32.704316927190767</v>
      </c>
      <c r="Y12" s="5" cm="1">
        <f t="array" aca="1" ref="Y12" ca="1">INDIRECT("'results" &amp; $B12 &amp; "'!Z$14")</f>
        <v>5118.4757040663926</v>
      </c>
      <c r="Z12" s="5"/>
    </row>
    <row r="13" spans="2:26" x14ac:dyDescent="0.2">
      <c r="B13" s="8" t="s">
        <v>3</v>
      </c>
      <c r="C13" s="9">
        <f ca="1">AVERAGE(C3:C12)</f>
        <v>1137345.6151144882</v>
      </c>
      <c r="D13" s="10">
        <f t="shared" ref="D13:I13" ca="1" si="0">AVERAGE(D3:D12)</f>
        <v>223.15693593847277</v>
      </c>
      <c r="E13" s="9">
        <f t="shared" ca="1" si="0"/>
        <v>13.2</v>
      </c>
      <c r="F13" s="9">
        <f t="shared" ca="1" si="0"/>
        <v>95.266666666666666</v>
      </c>
      <c r="G13" s="9">
        <f t="shared" ca="1" si="0"/>
        <v>392.83706213275394</v>
      </c>
      <c r="H13" s="10">
        <f t="shared" ca="1" si="0"/>
        <v>40.84478699706851</v>
      </c>
      <c r="I13" s="9">
        <f t="shared" ca="1" si="0"/>
        <v>5348.8731297936638</v>
      </c>
      <c r="J13" s="32" t="e">
        <f ca="1">(C13-$D$15)/$D$15</f>
        <v>#DIV/0!</v>
      </c>
      <c r="K13" s="16">
        <f ca="1">AVERAGE(K3:K12)</f>
        <v>735922.81926886458</v>
      </c>
      <c r="L13" s="42">
        <f t="shared" ref="L13:Q13" ca="1" si="1">AVERAGE(L3:L12)</f>
        <v>182.40982696923538</v>
      </c>
      <c r="M13" s="16">
        <f t="shared" ca="1" si="1"/>
        <v>12</v>
      </c>
      <c r="N13" s="16">
        <f ca="1">AVERAGE(N3:N12)</f>
        <v>95.333333333333329</v>
      </c>
      <c r="O13" s="16">
        <f t="shared" ca="1" si="1"/>
        <v>462.26669857515242</v>
      </c>
      <c r="P13" s="42">
        <f t="shared" ca="1" si="1"/>
        <v>44.884800183065956</v>
      </c>
      <c r="Q13" s="16">
        <f t="shared" ca="1" si="1"/>
        <v>5545.80733753614</v>
      </c>
      <c r="R13" s="43" t="e">
        <f ca="1">(K13-$D$15)/$D$15</f>
        <v>#DIV/0!</v>
      </c>
      <c r="S13" s="38">
        <f ca="1">AVERAGE(S3:S12)</f>
        <v>1513945.4923390578</v>
      </c>
      <c r="T13" s="44">
        <f t="shared" ref="T13:Y13" ca="1" si="2">AVERAGE(T3:T12)</f>
        <v>312.3291622692218</v>
      </c>
      <c r="U13" s="38">
        <f t="shared" ca="1" si="2"/>
        <v>14</v>
      </c>
      <c r="V13" s="38">
        <f t="shared" ca="1" si="2"/>
        <v>92.266666666666666</v>
      </c>
      <c r="W13" s="38">
        <f t="shared" ca="1" si="2"/>
        <v>278.22530648055476</v>
      </c>
      <c r="X13" s="44">
        <f t="shared" ca="1" si="2"/>
        <v>36.397629882404708</v>
      </c>
      <c r="Y13" s="38">
        <f t="shared" ca="1" si="2"/>
        <v>4993.9976149184158</v>
      </c>
      <c r="Z13" s="45" t="e">
        <f ca="1">(S13-$D$15)/$D$15</f>
        <v>#DIV/0!</v>
      </c>
    </row>
    <row r="14" spans="2:26" x14ac:dyDescent="0.2">
      <c r="K14" s="46">
        <f ca="1">(K13-C13)/C13</f>
        <v>-0.35294706420898747</v>
      </c>
      <c r="L14" s="46">
        <f t="shared" ref="L14:Q14" ca="1" si="3">(L13-D13)/D13</f>
        <v>-0.1825939615001341</v>
      </c>
      <c r="M14" s="46">
        <f t="shared" ca="1" si="3"/>
        <v>-9.0909090909090856E-2</v>
      </c>
      <c r="N14" s="46">
        <f t="shared" ca="1" si="3"/>
        <v>6.9979006298106594E-4</v>
      </c>
      <c r="O14" s="46">
        <f t="shared" ca="1" si="3"/>
        <v>0.17673901761065425</v>
      </c>
      <c r="P14" s="46">
        <f t="shared" ca="1" si="3"/>
        <v>9.8911354006752508E-2</v>
      </c>
      <c r="Q14" s="46">
        <f t="shared" ca="1" si="3"/>
        <v>3.6817887237881285E-2</v>
      </c>
      <c r="S14" s="46">
        <f ca="1">(S13-C13)/C13</f>
        <v>0.33112175597270854</v>
      </c>
      <c r="T14" s="46">
        <f t="shared" ref="T14:Y14" ca="1" si="4">(T13-D13)/D13</f>
        <v>0.39959424050944559</v>
      </c>
      <c r="U14" s="46">
        <f t="shared" ca="1" si="4"/>
        <v>6.0606060606060663E-2</v>
      </c>
      <c r="V14" s="46">
        <f ca="1">(V13-F13)/F13</f>
        <v>-3.1490552834149754E-2</v>
      </c>
      <c r="W14" s="46">
        <f t="shared" ca="1" si="4"/>
        <v>-0.29175392726429589</v>
      </c>
      <c r="X14" s="46">
        <f t="shared" ca="1" si="4"/>
        <v>-0.1088794297050192</v>
      </c>
      <c r="Y14" s="46">
        <f t="shared" ca="1" si="4"/>
        <v>-6.6345846361276009E-2</v>
      </c>
    </row>
    <row r="17" spans="3:5" ht="22" x14ac:dyDescent="0.2">
      <c r="C17" s="1"/>
      <c r="D17" s="49" t="s">
        <v>19</v>
      </c>
      <c r="E17" s="49" t="s">
        <v>20</v>
      </c>
    </row>
    <row r="18" spans="3:5" x14ac:dyDescent="0.2">
      <c r="C18" t="s">
        <v>21</v>
      </c>
      <c r="D18" s="41">
        <f ca="1">(K13-C13)/C13</f>
        <v>-0.35294706420898747</v>
      </c>
      <c r="E18" s="41">
        <f ca="1">(S13-C13)/C13</f>
        <v>0.33112175597270854</v>
      </c>
    </row>
    <row r="19" spans="3:5" x14ac:dyDescent="0.2">
      <c r="C19" t="s">
        <v>22</v>
      </c>
      <c r="D19" s="41">
        <f ca="1">(M13-E13)/E13</f>
        <v>-9.0909090909090856E-2</v>
      </c>
      <c r="E19" s="41">
        <f ca="1">(U13-E13)/E13</f>
        <v>6.0606060606060663E-2</v>
      </c>
    </row>
    <row r="20" spans="3:5" x14ac:dyDescent="0.2">
      <c r="C20" t="s">
        <v>23</v>
      </c>
      <c r="D20" s="41">
        <f ca="1">(N13-F13)/F13</f>
        <v>6.9979006298106594E-4</v>
      </c>
      <c r="E20" s="41">
        <f ca="1">(V13-F13)/F13</f>
        <v>-3.1490552834149754E-2</v>
      </c>
    </row>
    <row r="21" spans="3:5" x14ac:dyDescent="0.2">
      <c r="C21" t="s">
        <v>24</v>
      </c>
      <c r="D21" s="41">
        <f ca="1">(P13-H13)/H13</f>
        <v>9.8911354006752508E-2</v>
      </c>
      <c r="E21" s="41">
        <f ca="1">(X13-H13)/H13</f>
        <v>-0.1088794297050192</v>
      </c>
    </row>
    <row r="22" spans="3:5" x14ac:dyDescent="0.2">
      <c r="C22" t="s">
        <v>25</v>
      </c>
      <c r="D22" s="41">
        <f ca="1">(O13-G13)/G13</f>
        <v>0.17673901761065425</v>
      </c>
      <c r="E22" s="41">
        <f ca="1">(W13-G13)/G13</f>
        <v>-0.29175392726429589</v>
      </c>
    </row>
    <row r="23" spans="3:5" x14ac:dyDescent="0.2">
      <c r="C23" t="s">
        <v>26</v>
      </c>
      <c r="D23" s="41">
        <f ca="1">(Q13-I13)/I13</f>
        <v>3.6817887237881285E-2</v>
      </c>
      <c r="E23" s="41">
        <f ca="1">(Y13-I13)/I13</f>
        <v>-6.6345846361276009E-2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729E-4C33-4A98-9174-69ED4C08C4CA}">
  <dimension ref="B1:AA40"/>
  <sheetViews>
    <sheetView zoomScale="85" zoomScaleNormal="85" workbookViewId="0">
      <selection activeCell="U20" sqref="U20:U32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8.8733120992855862E-3</v>
      </c>
      <c r="R2" s="1">
        <f>(R14-J14)/J14</f>
        <v>2.7951745272017998E-2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97</v>
      </c>
      <c r="D4" s="23">
        <v>1122021.9334757749</v>
      </c>
      <c r="E4" s="33">
        <v>183.73735515382853</v>
      </c>
      <c r="F4" s="5">
        <v>12</v>
      </c>
      <c r="G4" s="23">
        <v>96</v>
      </c>
      <c r="H4" s="33">
        <v>425.75936971036424</v>
      </c>
      <c r="I4" s="23">
        <v>44.97897523428793</v>
      </c>
      <c r="J4" s="5">
        <v>5517.0558625535232</v>
      </c>
      <c r="K4" s="31"/>
      <c r="L4" s="23">
        <v>689692.56999910646</v>
      </c>
      <c r="M4" s="33">
        <v>115.71337638458668</v>
      </c>
      <c r="N4" s="5">
        <v>10</v>
      </c>
      <c r="O4" s="23">
        <v>96</v>
      </c>
      <c r="P4" s="33">
        <v>422.78735300490069</v>
      </c>
      <c r="Q4" s="23">
        <v>53.170544902010683</v>
      </c>
      <c r="R4" s="5">
        <v>5711.8507512058904</v>
      </c>
      <c r="S4" s="35"/>
      <c r="T4" s="23">
        <v>1521413.434480621</v>
      </c>
      <c r="U4" s="33">
        <v>239.30822615386344</v>
      </c>
      <c r="V4" s="5">
        <v>11</v>
      </c>
      <c r="W4" s="23">
        <v>89.333333333333329</v>
      </c>
      <c r="X4" s="33">
        <v>231.45439044381664</v>
      </c>
      <c r="Y4" s="23">
        <v>43.161918074488774</v>
      </c>
      <c r="Z4" s="5">
        <v>5079.9257201264063</v>
      </c>
      <c r="AA4" s="35"/>
    </row>
    <row r="5" spans="2:27" x14ac:dyDescent="0.2">
      <c r="B5" s="4">
        <v>2</v>
      </c>
      <c r="C5" s="4">
        <v>106</v>
      </c>
      <c r="D5" s="23">
        <v>1126682.9916717601</v>
      </c>
      <c r="E5" s="33">
        <v>271.11431015386745</v>
      </c>
      <c r="F5" s="5">
        <v>11</v>
      </c>
      <c r="G5" s="23">
        <v>94.666666666666671</v>
      </c>
      <c r="H5" s="33">
        <v>336.77922459537626</v>
      </c>
      <c r="I5" s="23">
        <v>48.507401519347461</v>
      </c>
      <c r="J5" s="5">
        <v>5529.4543143216943</v>
      </c>
      <c r="K5" s="31"/>
      <c r="L5" s="23">
        <v>704555.27292757633</v>
      </c>
      <c r="M5" s="33">
        <v>212.26187676925636</v>
      </c>
      <c r="N5" s="5">
        <v>10</v>
      </c>
      <c r="O5" s="23">
        <v>96</v>
      </c>
      <c r="P5" s="33">
        <v>491.43946855979084</v>
      </c>
      <c r="Q5" s="23">
        <v>53.181238533214426</v>
      </c>
      <c r="R5" s="5">
        <v>5812.1340401466114</v>
      </c>
      <c r="S5" s="35"/>
      <c r="T5" s="23">
        <v>1603599.2184835421</v>
      </c>
      <c r="U5" s="33">
        <v>268.43688569237622</v>
      </c>
      <c r="V5" s="5">
        <v>12</v>
      </c>
      <c r="W5" s="23">
        <v>90</v>
      </c>
      <c r="X5" s="33">
        <v>329.19641508210327</v>
      </c>
      <c r="Y5" s="23">
        <v>40.151114527057381</v>
      </c>
      <c r="Z5" s="5">
        <v>5375.4131049396674</v>
      </c>
      <c r="AA5" s="35"/>
    </row>
    <row r="6" spans="2:27" x14ac:dyDescent="0.2">
      <c r="B6" s="4">
        <v>3</v>
      </c>
      <c r="C6" s="4">
        <v>235</v>
      </c>
      <c r="D6" s="23">
        <v>1132146.432679648</v>
      </c>
      <c r="E6" s="33">
        <v>194.98045776916953</v>
      </c>
      <c r="F6" s="5">
        <v>13</v>
      </c>
      <c r="G6" s="23">
        <v>96</v>
      </c>
      <c r="H6" s="33">
        <v>428.84100424297549</v>
      </c>
      <c r="I6" s="23">
        <v>41.453548363962604</v>
      </c>
      <c r="J6" s="5">
        <v>5450.5331439472538</v>
      </c>
      <c r="K6" s="31"/>
      <c r="L6" s="23">
        <v>704555.27292757633</v>
      </c>
      <c r="M6" s="33">
        <v>184.48307623074822</v>
      </c>
      <c r="N6" s="5">
        <v>10</v>
      </c>
      <c r="O6" s="23">
        <v>96</v>
      </c>
      <c r="P6" s="33">
        <v>491.43946855979084</v>
      </c>
      <c r="Q6" s="23">
        <v>53.181238533214426</v>
      </c>
      <c r="R6" s="5">
        <v>5812.1340401466114</v>
      </c>
      <c r="S6" s="35"/>
      <c r="T6" s="23">
        <v>1527407.7147385359</v>
      </c>
      <c r="U6" s="33">
        <v>360.29138730767255</v>
      </c>
      <c r="V6" s="5">
        <v>11</v>
      </c>
      <c r="W6" s="23">
        <v>90.666666666666671</v>
      </c>
      <c r="X6" s="33">
        <v>231.73605406171851</v>
      </c>
      <c r="Y6" s="23">
        <v>45.572119014846493</v>
      </c>
      <c r="Z6" s="5">
        <v>5215.5483773145052</v>
      </c>
      <c r="AA6" s="35"/>
    </row>
    <row r="7" spans="2:27" x14ac:dyDescent="0.2">
      <c r="B7" s="4">
        <v>4</v>
      </c>
      <c r="C7" s="4">
        <v>242</v>
      </c>
      <c r="D7" s="23">
        <v>1116068.431941214</v>
      </c>
      <c r="E7" s="33">
        <v>189.84986530769115</v>
      </c>
      <c r="F7" s="5">
        <v>12</v>
      </c>
      <c r="G7" s="23">
        <v>95.333333333333329</v>
      </c>
      <c r="H7" s="33">
        <v>371.89828653282825</v>
      </c>
      <c r="I7" s="23">
        <v>44.595960762261143</v>
      </c>
      <c r="J7" s="5">
        <v>5398.2298200767509</v>
      </c>
      <c r="K7" s="31"/>
      <c r="L7" s="23">
        <v>795166.23696766433</v>
      </c>
      <c r="M7" s="33">
        <v>227.41644076922407</v>
      </c>
      <c r="N7" s="5">
        <v>13</v>
      </c>
      <c r="O7" s="23">
        <v>96</v>
      </c>
      <c r="P7" s="33">
        <v>755.31671561038991</v>
      </c>
      <c r="Q7" s="23">
        <v>41.721958514084875</v>
      </c>
      <c r="R7" s="5">
        <v>5861.5954842433639</v>
      </c>
      <c r="S7" s="35"/>
      <c r="T7" s="23">
        <v>1517012.459326752</v>
      </c>
      <c r="U7" s="33">
        <v>220.87129092309624</v>
      </c>
      <c r="V7" s="5">
        <v>12</v>
      </c>
      <c r="W7" s="23">
        <v>90.666666666666671</v>
      </c>
      <c r="X7" s="33">
        <v>245.42788466659562</v>
      </c>
      <c r="Y7" s="23">
        <v>40.694038824697543</v>
      </c>
      <c r="Z7" s="5">
        <v>5059.8682564116534</v>
      </c>
      <c r="AA7" s="35"/>
    </row>
    <row r="8" spans="2:27" x14ac:dyDescent="0.2">
      <c r="B8" s="4">
        <v>5</v>
      </c>
      <c r="C8" s="4">
        <v>406</v>
      </c>
      <c r="D8" s="23">
        <v>1127029.214867082</v>
      </c>
      <c r="E8" s="33">
        <v>225.84214153842851</v>
      </c>
      <c r="F8" s="5">
        <v>11</v>
      </c>
      <c r="G8" s="23">
        <v>95.333333333333329</v>
      </c>
      <c r="H8" s="33">
        <v>395.7552910647305</v>
      </c>
      <c r="I8" s="23">
        <v>48.773796022884063</v>
      </c>
      <c r="J8" s="5">
        <v>5589.4329330435912</v>
      </c>
      <c r="K8" s="31"/>
      <c r="L8" s="23">
        <v>708525.95132403832</v>
      </c>
      <c r="M8" s="33">
        <v>167.31327438467324</v>
      </c>
      <c r="N8" s="5">
        <v>12</v>
      </c>
      <c r="O8" s="23">
        <v>96</v>
      </c>
      <c r="P8" s="33">
        <v>446.86777266954357</v>
      </c>
      <c r="Q8" s="23">
        <v>44.637561833004249</v>
      </c>
      <c r="R8" s="5">
        <v>5402.7517782801206</v>
      </c>
      <c r="S8" s="35"/>
      <c r="T8" s="23">
        <v>1527627.240619574</v>
      </c>
      <c r="U8" s="33">
        <v>203.96008207686597</v>
      </c>
      <c r="V8" s="5">
        <v>11</v>
      </c>
      <c r="W8" s="23">
        <v>91.333333333333329</v>
      </c>
      <c r="X8" s="33">
        <v>251.71479658819771</v>
      </c>
      <c r="Y8" s="23">
        <v>45.937833848103878</v>
      </c>
      <c r="Z8" s="5">
        <v>5284.1506696358883</v>
      </c>
      <c r="AA8" s="35"/>
    </row>
    <row r="9" spans="2:27" x14ac:dyDescent="0.2">
      <c r="B9" s="4">
        <v>6</v>
      </c>
      <c r="C9" s="4">
        <v>652</v>
      </c>
      <c r="D9" s="23">
        <v>1133790.4513554031</v>
      </c>
      <c r="E9" s="33">
        <v>189.7263022308023</v>
      </c>
      <c r="F9" s="5">
        <v>12</v>
      </c>
      <c r="G9" s="23">
        <v>95.333333333333329</v>
      </c>
      <c r="H9" s="33">
        <v>383.45350194676695</v>
      </c>
      <c r="I9" s="23">
        <v>44.447138327421811</v>
      </c>
      <c r="J9" s="5">
        <v>5490.5588842943616</v>
      </c>
      <c r="K9" s="31"/>
      <c r="L9" s="23">
        <v>793052.56602399121</v>
      </c>
      <c r="M9" s="33">
        <v>125.5294336153803</v>
      </c>
      <c r="N9" s="5">
        <v>11</v>
      </c>
      <c r="O9" s="23">
        <v>96</v>
      </c>
      <c r="P9" s="33">
        <v>838.04070788491163</v>
      </c>
      <c r="Q9" s="23">
        <v>47.973945343916014</v>
      </c>
      <c r="R9" s="5">
        <v>6205.4435063034944</v>
      </c>
      <c r="S9" s="35"/>
      <c r="T9" s="23">
        <v>1504667.735821635</v>
      </c>
      <c r="U9" s="33">
        <v>206.05024492305415</v>
      </c>
      <c r="V9" s="5">
        <v>12</v>
      </c>
      <c r="W9" s="23">
        <v>91.333333333333329</v>
      </c>
      <c r="X9" s="33">
        <v>227.91208219367084</v>
      </c>
      <c r="Y9" s="23">
        <v>42.200110889675045</v>
      </c>
      <c r="Z9" s="5">
        <v>5102.366408904536</v>
      </c>
      <c r="AA9" s="35"/>
    </row>
    <row r="10" spans="2:27" x14ac:dyDescent="0.2">
      <c r="B10" s="4">
        <v>7</v>
      </c>
      <c r="C10" s="4">
        <v>716</v>
      </c>
      <c r="D10" s="23">
        <v>1140031.934616267</v>
      </c>
      <c r="E10" s="33">
        <v>217.64429946152421</v>
      </c>
      <c r="F10" s="5">
        <v>13</v>
      </c>
      <c r="G10" s="23">
        <v>96</v>
      </c>
      <c r="H10" s="33">
        <v>428.80407814808723</v>
      </c>
      <c r="I10" s="23">
        <v>40.948950980188506</v>
      </c>
      <c r="J10" s="5">
        <v>5479.1543091261265</v>
      </c>
      <c r="K10" s="31"/>
      <c r="L10" s="23">
        <v>706257.21127656312</v>
      </c>
      <c r="M10" s="33">
        <v>94.927927153811851</v>
      </c>
      <c r="N10" s="5">
        <v>11</v>
      </c>
      <c r="O10" s="23">
        <v>96</v>
      </c>
      <c r="P10" s="33">
        <v>497.03988249482853</v>
      </c>
      <c r="Q10" s="23">
        <v>48.252395807002443</v>
      </c>
      <c r="R10" s="5">
        <v>5575.4188768485128</v>
      </c>
      <c r="S10" s="35"/>
      <c r="T10" s="23">
        <v>1484435.6460834851</v>
      </c>
      <c r="U10" s="33">
        <v>204.07340246154206</v>
      </c>
      <c r="V10" s="5">
        <v>16</v>
      </c>
      <c r="W10" s="23">
        <v>96</v>
      </c>
      <c r="X10" s="33">
        <v>350.15056189805171</v>
      </c>
      <c r="Y10" s="23">
        <v>33.301313226815175</v>
      </c>
      <c r="Z10" s="5">
        <v>4952.6851844321682</v>
      </c>
      <c r="AA10" s="35"/>
    </row>
    <row r="11" spans="2:27" x14ac:dyDescent="0.2">
      <c r="B11" s="4">
        <v>8</v>
      </c>
      <c r="C11" s="4">
        <v>719</v>
      </c>
      <c r="D11" s="23">
        <v>1113987.924892782</v>
      </c>
      <c r="E11" s="33">
        <v>406.53136184609207</v>
      </c>
      <c r="F11" s="5">
        <v>13</v>
      </c>
      <c r="G11" s="23">
        <v>96</v>
      </c>
      <c r="H11" s="33">
        <v>383.75046607843046</v>
      </c>
      <c r="I11" s="23">
        <v>40.972053977201611</v>
      </c>
      <c r="J11" s="5">
        <v>5328.7818705660438</v>
      </c>
      <c r="K11" s="31"/>
      <c r="L11" s="23">
        <v>793083.14652356319</v>
      </c>
      <c r="M11" s="33">
        <v>136.95286569230331</v>
      </c>
      <c r="N11" s="5">
        <v>11</v>
      </c>
      <c r="O11" s="23">
        <v>96</v>
      </c>
      <c r="P11" s="33">
        <v>843.7946469323374</v>
      </c>
      <c r="Q11" s="23">
        <v>47.974707538809163</v>
      </c>
      <c r="R11" s="5">
        <v>6204.9036831035473</v>
      </c>
      <c r="S11" s="35"/>
      <c r="T11" s="23">
        <v>1492887.411746284</v>
      </c>
      <c r="U11" s="33">
        <v>236.26143292308998</v>
      </c>
      <c r="V11" s="5">
        <v>12</v>
      </c>
      <c r="W11" s="23">
        <v>91.333333333333329</v>
      </c>
      <c r="X11" s="33">
        <v>256.7556710825117</v>
      </c>
      <c r="Y11" s="23">
        <v>41.111668348775801</v>
      </c>
      <c r="Z11" s="5">
        <v>4989.4390952815211</v>
      </c>
      <c r="AA11" s="35"/>
    </row>
    <row r="12" spans="2:27" x14ac:dyDescent="0.2">
      <c r="B12" s="4">
        <v>9</v>
      </c>
      <c r="C12" s="4">
        <v>851</v>
      </c>
      <c r="D12" s="23">
        <v>1109491.730596958</v>
      </c>
      <c r="E12" s="33">
        <v>175.83051161536085</v>
      </c>
      <c r="F12" s="5">
        <v>11</v>
      </c>
      <c r="G12" s="23">
        <v>96</v>
      </c>
      <c r="H12" s="33">
        <v>419.06882453373214</v>
      </c>
      <c r="I12" s="23">
        <v>49.007721434937274</v>
      </c>
      <c r="J12" s="5">
        <v>5556.5358758104085</v>
      </c>
      <c r="K12" s="31"/>
      <c r="L12" s="23">
        <v>704555.27292757633</v>
      </c>
      <c r="M12" s="33">
        <v>124.60149530769108</v>
      </c>
      <c r="N12" s="5">
        <v>10</v>
      </c>
      <c r="O12" s="23">
        <v>96</v>
      </c>
      <c r="P12" s="33">
        <v>491.43946855979084</v>
      </c>
      <c r="Q12" s="23">
        <v>53.181238533214426</v>
      </c>
      <c r="R12" s="5">
        <v>5812.1340401466114</v>
      </c>
      <c r="S12" s="35"/>
      <c r="T12" s="23">
        <v>1503543.435241634</v>
      </c>
      <c r="U12" s="33">
        <v>159.91038638453645</v>
      </c>
      <c r="V12" s="5">
        <v>12</v>
      </c>
      <c r="W12" s="23">
        <v>91.333333333333329</v>
      </c>
      <c r="X12" s="33">
        <v>269.9529235448212</v>
      </c>
      <c r="Y12" s="23">
        <v>41.638502684958056</v>
      </c>
      <c r="Z12" s="5">
        <v>5062.0385904124832</v>
      </c>
      <c r="AA12" s="35"/>
    </row>
    <row r="13" spans="2:27" x14ac:dyDescent="0.2">
      <c r="B13" s="4">
        <v>10</v>
      </c>
      <c r="C13" s="4">
        <v>949</v>
      </c>
      <c r="D13" s="23">
        <v>1126167.2428744051</v>
      </c>
      <c r="E13" s="33">
        <v>141.45905299998745</v>
      </c>
      <c r="F13" s="5">
        <v>12</v>
      </c>
      <c r="G13" s="23">
        <v>96</v>
      </c>
      <c r="H13" s="33">
        <v>400.44745439680673</v>
      </c>
      <c r="I13" s="23">
        <v>44.619990142235828</v>
      </c>
      <c r="J13" s="5">
        <v>5525.3048096473231</v>
      </c>
      <c r="K13" s="31"/>
      <c r="L13" s="23">
        <v>712648.24045354011</v>
      </c>
      <c r="M13" s="33">
        <v>176.38104715384546</v>
      </c>
      <c r="N13" s="5">
        <v>10</v>
      </c>
      <c r="O13" s="23">
        <v>96</v>
      </c>
      <c r="P13" s="33">
        <v>548.71219887093855</v>
      </c>
      <c r="Q13" s="23">
        <v>52.879595487315541</v>
      </c>
      <c r="R13" s="5">
        <v>5816.4018284667536</v>
      </c>
      <c r="S13" s="35"/>
      <c r="T13" s="23">
        <v>1526281.6604603911</v>
      </c>
      <c r="U13" s="33">
        <v>308.39579684615063</v>
      </c>
      <c r="V13" s="5">
        <v>11</v>
      </c>
      <c r="W13" s="23">
        <v>89.333333333333329</v>
      </c>
      <c r="X13" s="33">
        <v>191.45352499160771</v>
      </c>
      <c r="Y13" s="23">
        <v>43.941694584551477</v>
      </c>
      <c r="Z13" s="5">
        <v>5101.368771962857</v>
      </c>
      <c r="AA13" s="35"/>
    </row>
    <row r="14" spans="2:27" x14ac:dyDescent="0.2">
      <c r="B14" s="50" t="s">
        <v>3</v>
      </c>
      <c r="C14" s="51"/>
      <c r="D14" s="9">
        <f>MIN(D4:D13)</f>
        <v>1109491.730596958</v>
      </c>
      <c r="E14" s="22">
        <f>INDEX(E4:E13, MATCH($D$14, D4:D13, 0))</f>
        <v>175.83051161536085</v>
      </c>
      <c r="F14" s="9">
        <f>INDEX(F4:F13, MATCH($D$14, D4:D13, 0))</f>
        <v>11</v>
      </c>
      <c r="G14" s="9">
        <f>INDEX(G4:G13, MATCH($D$14, D4:D13, 0))</f>
        <v>96</v>
      </c>
      <c r="H14" s="22">
        <f>INDEX(H4:H13, MATCH($D$14, D4:D13, 0))</f>
        <v>419.06882453373214</v>
      </c>
      <c r="I14" s="22">
        <f>INDEX(I4:I13, MATCH($D$14, D4:D13, 0))</f>
        <v>49.007721434937274</v>
      </c>
      <c r="J14" s="22">
        <f>INDEX(J4:J13, MATCH($D$14, D4:D13, 0))</f>
        <v>5556.5358758104085</v>
      </c>
      <c r="K14" s="32" t="e">
        <f>(D14-$D$15)/$D$15</f>
        <v>#DIV/0!</v>
      </c>
      <c r="L14" s="16">
        <f>MIN(L4:L13)</f>
        <v>689692.56999910646</v>
      </c>
      <c r="M14" s="21">
        <f>INDEX(M4:M13, MATCH($L$14, L4:L13, 0))</f>
        <v>115.71337638458668</v>
      </c>
      <c r="N14" s="16">
        <f>INDEX(N4:N13, MATCH($L$14, L4:L13, 0))</f>
        <v>10</v>
      </c>
      <c r="O14" s="16">
        <f>INDEX(O4:O13, MATCH($L$14, L4:L13, 0))</f>
        <v>96</v>
      </c>
      <c r="P14" s="21">
        <f>INDEX(P4:P13, MATCH($L$14, L4:L13, 0))</f>
        <v>422.78735300490069</v>
      </c>
      <c r="Q14" s="21">
        <f>INDEX(Q4:Q13, MATCH($L$14, L4:L13, 0))</f>
        <v>53.170544902010683</v>
      </c>
      <c r="R14" s="21">
        <f>INDEX(R4:R13, MATCH($L$14, L4:L13, 0))</f>
        <v>5711.8507512058904</v>
      </c>
      <c r="S14" s="36" t="e">
        <f>(L14-$D$15)/$D$15</f>
        <v>#DIV/0!</v>
      </c>
      <c r="T14" s="38">
        <f>MIN(T4:T13)</f>
        <v>1484435.6460834851</v>
      </c>
      <c r="U14" s="39">
        <f>INDEX(U4:U13, MATCH($T$14, T4:T13, 0))</f>
        <v>204.07340246154206</v>
      </c>
      <c r="V14" s="38">
        <f>INDEX(V4:V13, MATCH($T$14, T4:T13, 0))</f>
        <v>16</v>
      </c>
      <c r="W14" s="38">
        <f>INDEX(W4:W13, MATCH($T$14, T4:T13, 0))</f>
        <v>96</v>
      </c>
      <c r="X14" s="39">
        <f>INDEX(X4:X13, MATCH($T$14, T4:T13, 0))</f>
        <v>350.15056189805171</v>
      </c>
      <c r="Y14" s="39">
        <f>INDEX(Y4:Y13, MATCH($T$14, T4:T13, 0))</f>
        <v>33.301313226815175</v>
      </c>
      <c r="Z14" s="39">
        <f>INDEX(Z4:Z13, MATCH($T$14, T4:T13, 0))</f>
        <v>4952.6851844321682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-0.37837069806007484</v>
      </c>
      <c r="M15" s="41">
        <f t="shared" ref="M15:R15" si="0">(M14-E14)/E14</f>
        <v>-0.34190388618264267</v>
      </c>
      <c r="N15" s="41">
        <f t="shared" si="0"/>
        <v>-9.0909090909090912E-2</v>
      </c>
      <c r="O15" s="41">
        <f t="shared" si="0"/>
        <v>0</v>
      </c>
      <c r="P15" s="41">
        <f t="shared" si="0"/>
        <v>8.8733120992855862E-3</v>
      </c>
      <c r="Q15" s="41">
        <f t="shared" si="0"/>
        <v>8.4942195743582569E-2</v>
      </c>
      <c r="R15" s="41">
        <f t="shared" si="0"/>
        <v>2.7951745272017998E-2</v>
      </c>
      <c r="T15" s="41">
        <f>(T14-D14)/D14</f>
        <v>0.3379420550388329</v>
      </c>
      <c r="U15" s="41">
        <f t="shared" ref="U15:Z15" si="1">(U14-E14)/E14</f>
        <v>0.16062565357236819</v>
      </c>
      <c r="V15" s="41">
        <f t="shared" si="1"/>
        <v>0.45454545454545453</v>
      </c>
      <c r="W15" s="41">
        <f t="shared" si="1"/>
        <v>0</v>
      </c>
      <c r="X15" s="41">
        <f t="shared" si="1"/>
        <v>-0.16445571371805298</v>
      </c>
      <c r="Y15" s="41">
        <f t="shared" si="1"/>
        <v>-0.3204884403567701</v>
      </c>
      <c r="Z15" s="41">
        <f t="shared" si="1"/>
        <v>-0.10867394809903391</v>
      </c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  <row r="39" s="1" customFormat="1" x14ac:dyDescent="0.2"/>
    <row r="40" s="1" customFormat="1" x14ac:dyDescent="0.2"/>
  </sheetData>
  <mergeCells count="1">
    <mergeCell ref="B14:C14"/>
  </mergeCells>
  <conditionalFormatting sqref="C1 C16:C1048576 C3">
    <cfRule type="duplicateValues" dxfId="149" priority="11"/>
    <cfRule type="duplicateValues" dxfId="148" priority="12"/>
  </conditionalFormatting>
  <conditionalFormatting sqref="C2">
    <cfRule type="duplicateValues" dxfId="147" priority="1"/>
    <cfRule type="duplicateValues" dxfId="146" priority="2"/>
  </conditionalFormatting>
  <conditionalFormatting sqref="C4:C13">
    <cfRule type="duplicateValues" dxfId="145" priority="3"/>
    <cfRule type="duplicateValues" dxfId="144" priority="4"/>
  </conditionalFormatting>
  <conditionalFormatting sqref="C14">
    <cfRule type="duplicateValues" dxfId="143" priority="9"/>
    <cfRule type="duplicateValues" dxfId="142" priority="10"/>
  </conditionalFormatting>
  <conditionalFormatting sqref="C15">
    <cfRule type="duplicateValues" dxfId="141" priority="7"/>
    <cfRule type="duplicateValues" dxfId="140" priority="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C949-B9EE-4AA8-8502-293CCF2F0118}">
  <dimension ref="B1:AA40"/>
  <sheetViews>
    <sheetView zoomScale="90" zoomScaleNormal="90" workbookViewId="0">
      <selection activeCell="U20" sqref="U20:U34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0</v>
      </c>
      <c r="R2" s="1">
        <f>(R14-J14)/J14</f>
        <v>0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34</v>
      </c>
      <c r="D4" s="23">
        <v>968127.96556841256</v>
      </c>
      <c r="E4" s="33">
        <v>110.66876407685831</v>
      </c>
      <c r="F4" s="5">
        <v>11</v>
      </c>
      <c r="G4" s="23">
        <v>96</v>
      </c>
      <c r="H4" s="33">
        <v>148.27568864938823</v>
      </c>
      <c r="I4" s="23">
        <v>41.044499047729481</v>
      </c>
      <c r="J4" s="5">
        <v>4730.6926525659665</v>
      </c>
      <c r="K4" s="31"/>
      <c r="L4" s="23">
        <v>619983.61634900048</v>
      </c>
      <c r="M4" s="33">
        <v>110.15002423073523</v>
      </c>
      <c r="N4" s="5">
        <v>10</v>
      </c>
      <c r="O4" s="23">
        <v>96</v>
      </c>
      <c r="P4" s="33">
        <v>200.44797504472541</v>
      </c>
      <c r="Q4" s="23">
        <v>44.573430423460422</v>
      </c>
      <c r="R4" s="5">
        <v>4927.9575088772144</v>
      </c>
      <c r="S4" s="35"/>
      <c r="T4" s="23">
        <v>1318864.9107763639</v>
      </c>
      <c r="U4" s="33">
        <v>187.17222630771661</v>
      </c>
      <c r="V4" s="5">
        <v>11</v>
      </c>
      <c r="W4" s="23">
        <v>96</v>
      </c>
      <c r="X4" s="33">
        <v>148.27568864938823</v>
      </c>
      <c r="Y4" s="23">
        <v>41.044499047729481</v>
      </c>
      <c r="Z4" s="5">
        <v>4730.6926525659665</v>
      </c>
      <c r="AA4" s="35"/>
    </row>
    <row r="5" spans="2:27" x14ac:dyDescent="0.2">
      <c r="B5" s="4">
        <v>2</v>
      </c>
      <c r="C5" s="4">
        <v>148</v>
      </c>
      <c r="D5" s="23">
        <v>986432.44844475493</v>
      </c>
      <c r="E5" s="33">
        <v>99.406090000053311</v>
      </c>
      <c r="F5" s="5">
        <v>10</v>
      </c>
      <c r="G5" s="23">
        <v>96</v>
      </c>
      <c r="H5" s="33">
        <v>200.44797504472541</v>
      </c>
      <c r="I5" s="23">
        <v>44.573430423460422</v>
      </c>
      <c r="J5" s="5">
        <v>4927.9575088772144</v>
      </c>
      <c r="K5" s="31"/>
      <c r="L5" s="23">
        <v>696162.73096194281</v>
      </c>
      <c r="M5" s="33">
        <v>100.22647776927515</v>
      </c>
      <c r="N5" s="5">
        <v>12</v>
      </c>
      <c r="O5" s="23">
        <v>96</v>
      </c>
      <c r="P5" s="33">
        <v>313.42832568607918</v>
      </c>
      <c r="Q5" s="23">
        <v>38.573493448970858</v>
      </c>
      <c r="R5" s="5">
        <v>5311.5422077249259</v>
      </c>
      <c r="S5" s="35"/>
      <c r="T5" s="23">
        <v>1295163.094217005</v>
      </c>
      <c r="U5" s="33">
        <v>229.5445319230202</v>
      </c>
      <c r="V5" s="5">
        <v>13</v>
      </c>
      <c r="W5" s="23">
        <v>96</v>
      </c>
      <c r="X5" s="33">
        <v>107.20985967235805</v>
      </c>
      <c r="Y5" s="23">
        <v>34.876884286616672</v>
      </c>
      <c r="Z5" s="5">
        <v>4460.5529210680297</v>
      </c>
      <c r="AA5" s="35"/>
    </row>
    <row r="6" spans="2:27" x14ac:dyDescent="0.2">
      <c r="B6" s="4">
        <v>3</v>
      </c>
      <c r="C6" s="4">
        <v>199</v>
      </c>
      <c r="D6" s="23">
        <v>968127.96556841256</v>
      </c>
      <c r="E6" s="33">
        <v>94.729488923017385</v>
      </c>
      <c r="F6" s="5">
        <v>11</v>
      </c>
      <c r="G6" s="23">
        <v>96</v>
      </c>
      <c r="H6" s="33">
        <v>148.27568864938823</v>
      </c>
      <c r="I6" s="23">
        <v>41.044499047729481</v>
      </c>
      <c r="J6" s="5">
        <v>4730.6926525659665</v>
      </c>
      <c r="K6" s="31"/>
      <c r="L6" s="23">
        <v>617391.02036046097</v>
      </c>
      <c r="M6" s="33">
        <v>133.93640176921437</v>
      </c>
      <c r="N6" s="5">
        <v>11</v>
      </c>
      <c r="O6" s="23">
        <v>96</v>
      </c>
      <c r="P6" s="33">
        <v>148.27568864938823</v>
      </c>
      <c r="Q6" s="23">
        <v>41.044499047729481</v>
      </c>
      <c r="R6" s="5">
        <v>4730.6926525659665</v>
      </c>
      <c r="S6" s="35"/>
      <c r="T6" s="23">
        <v>1302069.665423403</v>
      </c>
      <c r="U6" s="33">
        <v>126.26624107692177</v>
      </c>
      <c r="V6" s="5">
        <v>12</v>
      </c>
      <c r="W6" s="23">
        <v>96</v>
      </c>
      <c r="X6" s="33">
        <v>107.20985967235805</v>
      </c>
      <c r="Y6" s="23">
        <v>37.78329131050139</v>
      </c>
      <c r="Z6" s="5">
        <v>4585.4596356402853</v>
      </c>
      <c r="AA6" s="35"/>
    </row>
    <row r="7" spans="2:27" x14ac:dyDescent="0.2">
      <c r="B7" s="4">
        <v>4</v>
      </c>
      <c r="C7" s="4">
        <v>229</v>
      </c>
      <c r="D7" s="23">
        <v>968127.96556841256</v>
      </c>
      <c r="E7" s="33">
        <v>165.76878069237307</v>
      </c>
      <c r="F7" s="5">
        <v>11</v>
      </c>
      <c r="G7" s="23">
        <v>96</v>
      </c>
      <c r="H7" s="33">
        <v>148.27568864938823</v>
      </c>
      <c r="I7" s="23">
        <v>41.044499047729481</v>
      </c>
      <c r="J7" s="5">
        <v>4730.6926525659665</v>
      </c>
      <c r="K7" s="31"/>
      <c r="L7" s="23">
        <v>647056.18983308855</v>
      </c>
      <c r="M7" s="33">
        <v>100.70188676920506</v>
      </c>
      <c r="N7" s="5">
        <v>11</v>
      </c>
      <c r="O7" s="23">
        <v>96</v>
      </c>
      <c r="P7" s="33">
        <v>238.03372115125319</v>
      </c>
      <c r="Q7" s="23">
        <v>41.150973572942952</v>
      </c>
      <c r="R7" s="5">
        <v>4975.6482881247121</v>
      </c>
      <c r="S7" s="35"/>
      <c r="T7" s="23">
        <v>1302069.665423403</v>
      </c>
      <c r="U7" s="33">
        <v>183.08618646159837</v>
      </c>
      <c r="V7" s="5">
        <v>12</v>
      </c>
      <c r="W7" s="23">
        <v>96</v>
      </c>
      <c r="X7" s="33">
        <v>107.20985967235805</v>
      </c>
      <c r="Y7" s="23">
        <v>37.78329131050139</v>
      </c>
      <c r="Z7" s="5">
        <v>4585.4596356402853</v>
      </c>
      <c r="AA7" s="35"/>
    </row>
    <row r="8" spans="2:27" x14ac:dyDescent="0.2">
      <c r="B8" s="4">
        <v>5</v>
      </c>
      <c r="C8" s="4">
        <v>472</v>
      </c>
      <c r="D8" s="23">
        <v>1029035.6278008739</v>
      </c>
      <c r="E8" s="33">
        <v>197.36991199996106</v>
      </c>
      <c r="F8" s="5">
        <v>12</v>
      </c>
      <c r="G8" s="23">
        <v>96</v>
      </c>
      <c r="H8" s="33">
        <v>231.88850890096572</v>
      </c>
      <c r="I8" s="23">
        <v>37.458197806659051</v>
      </c>
      <c r="J8" s="5">
        <v>4944.0919529934436</v>
      </c>
      <c r="K8" s="31"/>
      <c r="L8" s="23">
        <v>617391.02036046097</v>
      </c>
      <c r="M8" s="33">
        <v>167.47630784619383</v>
      </c>
      <c r="N8" s="5">
        <v>11</v>
      </c>
      <c r="O8" s="23">
        <v>96</v>
      </c>
      <c r="P8" s="33">
        <v>148.27568864938823</v>
      </c>
      <c r="Q8" s="23">
        <v>41.044499047729481</v>
      </c>
      <c r="R8" s="5">
        <v>4730.6926525659665</v>
      </c>
      <c r="S8" s="35"/>
      <c r="T8" s="23">
        <v>1405627.546928463</v>
      </c>
      <c r="U8" s="33">
        <v>98.94135584615961</v>
      </c>
      <c r="V8" s="5">
        <v>11</v>
      </c>
      <c r="W8" s="23">
        <v>94.666666666666671</v>
      </c>
      <c r="X8" s="33">
        <v>191.73163416302188</v>
      </c>
      <c r="Y8" s="23">
        <v>40.236530520182043</v>
      </c>
      <c r="Z8" s="5">
        <v>4968.9024882046915</v>
      </c>
      <c r="AA8" s="35"/>
    </row>
    <row r="9" spans="2:27" x14ac:dyDescent="0.2">
      <c r="B9" s="4">
        <v>6</v>
      </c>
      <c r="C9" s="4">
        <v>634</v>
      </c>
      <c r="D9" s="23">
        <v>968127.96556841256</v>
      </c>
      <c r="E9" s="33">
        <v>269.12330561541376</v>
      </c>
      <c r="F9" s="5">
        <v>11</v>
      </c>
      <c r="G9" s="23">
        <v>96</v>
      </c>
      <c r="H9" s="33">
        <v>148.27568864938823</v>
      </c>
      <c r="I9" s="23">
        <v>41.044499047729481</v>
      </c>
      <c r="J9" s="5">
        <v>4730.6926525659665</v>
      </c>
      <c r="K9" s="31"/>
      <c r="L9" s="23">
        <v>619983.61634900048</v>
      </c>
      <c r="M9" s="33">
        <v>137.21201161540546</v>
      </c>
      <c r="N9" s="5">
        <v>10</v>
      </c>
      <c r="O9" s="23">
        <v>96</v>
      </c>
      <c r="P9" s="33">
        <v>200.44797504472541</v>
      </c>
      <c r="Q9" s="23">
        <v>44.573430423460422</v>
      </c>
      <c r="R9" s="5">
        <v>4927.9575088772144</v>
      </c>
      <c r="S9" s="35"/>
      <c r="T9" s="23">
        <v>1302069.665423403</v>
      </c>
      <c r="U9" s="33">
        <v>111.54765484612793</v>
      </c>
      <c r="V9" s="5">
        <v>12</v>
      </c>
      <c r="W9" s="23">
        <v>96</v>
      </c>
      <c r="X9" s="33">
        <v>107.20985967235805</v>
      </c>
      <c r="Y9" s="23">
        <v>37.78329131050139</v>
      </c>
      <c r="Z9" s="5">
        <v>4585.4596356402853</v>
      </c>
      <c r="AA9" s="35"/>
    </row>
    <row r="10" spans="2:27" x14ac:dyDescent="0.2">
      <c r="B10" s="4">
        <v>7</v>
      </c>
      <c r="C10" s="4">
        <v>748</v>
      </c>
      <c r="D10" s="23">
        <v>986432.44844475493</v>
      </c>
      <c r="E10" s="33">
        <v>122.43891207689344</v>
      </c>
      <c r="F10" s="5">
        <v>10</v>
      </c>
      <c r="G10" s="23">
        <v>96</v>
      </c>
      <c r="H10" s="33">
        <v>200.44797504472541</v>
      </c>
      <c r="I10" s="23">
        <v>44.573430423460422</v>
      </c>
      <c r="J10" s="5">
        <v>4927.9575088772144</v>
      </c>
      <c r="K10" s="31"/>
      <c r="L10" s="23">
        <v>666776.17543026875</v>
      </c>
      <c r="M10" s="33">
        <v>108.03643776918761</v>
      </c>
      <c r="N10" s="5">
        <v>12</v>
      </c>
      <c r="O10" s="23">
        <v>96</v>
      </c>
      <c r="P10" s="33">
        <v>192.73452547293257</v>
      </c>
      <c r="Q10" s="23">
        <v>37.54499117626272</v>
      </c>
      <c r="R10" s="5">
        <v>5048.4793578553254</v>
      </c>
      <c r="S10" s="35"/>
      <c r="T10" s="23">
        <v>1318864.9107763639</v>
      </c>
      <c r="U10" s="33">
        <v>92.926600923081153</v>
      </c>
      <c r="V10" s="5">
        <v>11</v>
      </c>
      <c r="W10" s="23">
        <v>96</v>
      </c>
      <c r="X10" s="33">
        <v>148.27568864938823</v>
      </c>
      <c r="Y10" s="23">
        <v>41.044499047729481</v>
      </c>
      <c r="Z10" s="5">
        <v>4730.6926525659665</v>
      </c>
      <c r="AA10" s="35"/>
    </row>
    <row r="11" spans="2:27" x14ac:dyDescent="0.2">
      <c r="B11" s="4">
        <v>8</v>
      </c>
      <c r="C11" s="4">
        <v>767</v>
      </c>
      <c r="D11" s="23">
        <v>1031992.629923077</v>
      </c>
      <c r="E11" s="33">
        <v>117.32684092309614</v>
      </c>
      <c r="F11" s="5">
        <v>12</v>
      </c>
      <c r="G11" s="23">
        <v>96</v>
      </c>
      <c r="H11" s="33">
        <v>226.19872059087209</v>
      </c>
      <c r="I11" s="23">
        <v>37.458197806659051</v>
      </c>
      <c r="J11" s="5">
        <v>4975.6345834017447</v>
      </c>
      <c r="K11" s="31"/>
      <c r="L11" s="23">
        <v>623087.93581273616</v>
      </c>
      <c r="M11" s="33">
        <v>140.00058123071744</v>
      </c>
      <c r="N11" s="5">
        <v>10</v>
      </c>
      <c r="O11" s="23">
        <v>96</v>
      </c>
      <c r="P11" s="33">
        <v>236.67234517267792</v>
      </c>
      <c r="Q11" s="23">
        <v>45.068801274300789</v>
      </c>
      <c r="R11" s="5">
        <v>4930.958031626822</v>
      </c>
      <c r="S11" s="35"/>
      <c r="T11" s="23">
        <v>1318864.9107763639</v>
      </c>
      <c r="U11" s="33">
        <v>137.22767876926807</v>
      </c>
      <c r="V11" s="5">
        <v>11</v>
      </c>
      <c r="W11" s="23">
        <v>96</v>
      </c>
      <c r="X11" s="33">
        <v>148.27568864938823</v>
      </c>
      <c r="Y11" s="23">
        <v>41.044499047729481</v>
      </c>
      <c r="Z11" s="5">
        <v>4730.6926525659665</v>
      </c>
      <c r="AA11" s="35"/>
    </row>
    <row r="12" spans="2:27" x14ac:dyDescent="0.2">
      <c r="B12" s="4">
        <v>9</v>
      </c>
      <c r="C12" s="4">
        <v>930</v>
      </c>
      <c r="D12" s="23">
        <v>1040196.868565167</v>
      </c>
      <c r="E12" s="33">
        <v>144.2765249230433</v>
      </c>
      <c r="F12" s="5">
        <v>12</v>
      </c>
      <c r="G12" s="23">
        <v>96</v>
      </c>
      <c r="H12" s="33">
        <v>220.20657769523217</v>
      </c>
      <c r="I12" s="23">
        <v>37.686447129986611</v>
      </c>
      <c r="J12" s="5">
        <v>5016.5383587650103</v>
      </c>
      <c r="K12" s="31"/>
      <c r="L12" s="23">
        <v>666776.17543026875</v>
      </c>
      <c r="M12" s="33">
        <v>213.10979869225639</v>
      </c>
      <c r="N12" s="5">
        <v>12</v>
      </c>
      <c r="O12" s="23">
        <v>96</v>
      </c>
      <c r="P12" s="33">
        <v>192.73452547293257</v>
      </c>
      <c r="Q12" s="23">
        <v>37.54499117626272</v>
      </c>
      <c r="R12" s="5">
        <v>5048.4793578553254</v>
      </c>
      <c r="S12" s="35"/>
      <c r="T12" s="23">
        <v>1524845.278503302</v>
      </c>
      <c r="U12" s="33">
        <v>138.1554824615327</v>
      </c>
      <c r="V12" s="5">
        <v>12</v>
      </c>
      <c r="W12" s="23">
        <v>90</v>
      </c>
      <c r="X12" s="33">
        <v>223.21357340228664</v>
      </c>
      <c r="Y12" s="23">
        <v>33.786186620275409</v>
      </c>
      <c r="Z12" s="5">
        <v>5012.9422019780977</v>
      </c>
      <c r="AA12" s="35"/>
    </row>
    <row r="13" spans="2:27" x14ac:dyDescent="0.2">
      <c r="B13" s="4">
        <v>10</v>
      </c>
      <c r="C13" s="4">
        <v>996</v>
      </c>
      <c r="D13" s="23">
        <v>1065543.2000822199</v>
      </c>
      <c r="E13" s="33">
        <v>112.03921823081777</v>
      </c>
      <c r="F13" s="5">
        <v>11</v>
      </c>
      <c r="G13" s="23">
        <v>96</v>
      </c>
      <c r="H13" s="33">
        <v>290.95749174819258</v>
      </c>
      <c r="I13" s="23">
        <v>41.369414160292223</v>
      </c>
      <c r="J13" s="5">
        <v>5268.3047633131764</v>
      </c>
      <c r="K13" s="31"/>
      <c r="L13" s="23">
        <v>649595.92330401053</v>
      </c>
      <c r="M13" s="33">
        <v>93.899048615354459</v>
      </c>
      <c r="N13" s="5">
        <v>11</v>
      </c>
      <c r="O13" s="23">
        <v>96</v>
      </c>
      <c r="P13" s="33">
        <v>220.34212446892309</v>
      </c>
      <c r="Q13" s="23">
        <v>40.846430454883944</v>
      </c>
      <c r="R13" s="5">
        <v>5041.1878420313278</v>
      </c>
      <c r="S13" s="35"/>
      <c r="T13" s="23">
        <v>1302069.665423403</v>
      </c>
      <c r="U13" s="33">
        <v>102.13159923074554</v>
      </c>
      <c r="V13" s="5">
        <v>12</v>
      </c>
      <c r="W13" s="23">
        <v>96</v>
      </c>
      <c r="X13" s="33">
        <v>107.20985967235805</v>
      </c>
      <c r="Y13" s="23">
        <v>37.78329131050139</v>
      </c>
      <c r="Z13" s="5">
        <v>4585.4596356402853</v>
      </c>
      <c r="AA13" s="35"/>
    </row>
    <row r="14" spans="2:27" x14ac:dyDescent="0.2">
      <c r="B14" s="50" t="s">
        <v>3</v>
      </c>
      <c r="C14" s="51"/>
      <c r="D14" s="9">
        <f>MIN(D4:D13)</f>
        <v>968127.96556841256</v>
      </c>
      <c r="E14" s="22">
        <f>INDEX(E4:E13, MATCH($D$14, D4:D13, 0))</f>
        <v>110.66876407685831</v>
      </c>
      <c r="F14" s="9">
        <f>INDEX(F4:F13, MATCH($D$14, D4:D13, 0))</f>
        <v>11</v>
      </c>
      <c r="G14" s="9">
        <f>INDEX(G4:G13, MATCH($D$14, D4:D13, 0))</f>
        <v>96</v>
      </c>
      <c r="H14" s="22">
        <f>INDEX(H4:H13, MATCH($D$14, D4:D13, 0))</f>
        <v>148.27568864938823</v>
      </c>
      <c r="I14" s="22">
        <f>INDEX(I4:I13, MATCH($D$14, D4:D13, 0))</f>
        <v>41.044499047729481</v>
      </c>
      <c r="J14" s="22">
        <f>INDEX(J4:J13, MATCH($D$14, D4:D13, 0))</f>
        <v>4730.6926525659665</v>
      </c>
      <c r="K14" s="32" t="e">
        <f>(D14-$D$15)/$D$15</f>
        <v>#DIV/0!</v>
      </c>
      <c r="L14" s="16">
        <f>MIN(L4:L13)</f>
        <v>617391.02036046097</v>
      </c>
      <c r="M14" s="21">
        <f>INDEX(M4:M13, MATCH($L$14, L4:L13, 0))</f>
        <v>133.93640176921437</v>
      </c>
      <c r="N14" s="16">
        <f>INDEX(N4:N13, MATCH($L$14, L4:L13, 0))</f>
        <v>11</v>
      </c>
      <c r="O14" s="16">
        <f>INDEX(O4:O13, MATCH($L$14, L4:L13, 0))</f>
        <v>96</v>
      </c>
      <c r="P14" s="21">
        <f>INDEX(P4:P13, MATCH($L$14, L4:L13, 0))</f>
        <v>148.27568864938823</v>
      </c>
      <c r="Q14" s="21">
        <f>INDEX(Q4:Q13, MATCH($L$14, L4:L13, 0))</f>
        <v>41.044499047729481</v>
      </c>
      <c r="R14" s="21">
        <f>INDEX(R4:R13, MATCH($L$14, L4:L13, 0))</f>
        <v>4730.6926525659665</v>
      </c>
      <c r="S14" s="36" t="e">
        <f>(L14-$D$15)/$D$15</f>
        <v>#DIV/0!</v>
      </c>
      <c r="T14" s="38">
        <f>MIN(T4:T13)</f>
        <v>1295163.094217005</v>
      </c>
      <c r="U14" s="39">
        <f>INDEX(U4:U13, MATCH($T$14, T4:T13, 0))</f>
        <v>229.5445319230202</v>
      </c>
      <c r="V14" s="38">
        <f>INDEX(V4:V13, MATCH($T$14, T4:T13, 0))</f>
        <v>13</v>
      </c>
      <c r="W14" s="38">
        <f>INDEX(W4:W13, MATCH($T$14, T4:T13, 0))</f>
        <v>96</v>
      </c>
      <c r="X14" s="39">
        <f>INDEX(X4:X13, MATCH($T$14, T4:T13, 0))</f>
        <v>107.20985967235805</v>
      </c>
      <c r="Y14" s="39">
        <f>INDEX(Y4:Y13, MATCH($T$14, T4:T13, 0))</f>
        <v>34.876884286616672</v>
      </c>
      <c r="Z14" s="39">
        <f>INDEX(Z4:Z13, MATCH($T$14, T4:T13, 0))</f>
        <v>4460.5529210680297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-0.36228366257556149</v>
      </c>
      <c r="M15" s="41">
        <f t="shared" ref="M15:R15" si="0">(M14-E14)/E14</f>
        <v>0.210245753500933</v>
      </c>
      <c r="N15" s="41">
        <f t="shared" si="0"/>
        <v>0</v>
      </c>
      <c r="O15" s="41">
        <f t="shared" si="0"/>
        <v>0</v>
      </c>
      <c r="P15" s="41">
        <f t="shared" si="0"/>
        <v>0</v>
      </c>
      <c r="Q15" s="41">
        <f t="shared" si="0"/>
        <v>0</v>
      </c>
      <c r="R15" s="41">
        <f t="shared" si="0"/>
        <v>0</v>
      </c>
      <c r="T15" s="41">
        <f>(T14-D14)/D14</f>
        <v>0.33780155132341594</v>
      </c>
      <c r="U15" s="41">
        <f t="shared" ref="U15:Z15" si="1">(U14-E14)/E14</f>
        <v>1.0741582671295029</v>
      </c>
      <c r="V15" s="41">
        <f t="shared" si="1"/>
        <v>0.18181818181818182</v>
      </c>
      <c r="W15" s="41">
        <f t="shared" si="1"/>
        <v>0</v>
      </c>
      <c r="X15" s="41">
        <f t="shared" si="1"/>
        <v>-0.27695591469572722</v>
      </c>
      <c r="Y15" s="41">
        <f t="shared" si="1"/>
        <v>-0.15026653764102871</v>
      </c>
      <c r="Z15" s="41">
        <f t="shared" si="1"/>
        <v>-5.7103631822585377E-2</v>
      </c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  <row r="39" s="1" customFormat="1" x14ac:dyDescent="0.2"/>
    <row r="40" s="1" customFormat="1" x14ac:dyDescent="0.2"/>
  </sheetData>
  <mergeCells count="1">
    <mergeCell ref="B14:C14"/>
  </mergeCells>
  <conditionalFormatting sqref="C1 C16 C3 C41:C1048576">
    <cfRule type="duplicateValues" dxfId="139" priority="11"/>
    <cfRule type="duplicateValues" dxfId="138" priority="12"/>
  </conditionalFormatting>
  <conditionalFormatting sqref="C2">
    <cfRule type="duplicateValues" dxfId="137" priority="3"/>
    <cfRule type="duplicateValues" dxfId="136" priority="4"/>
  </conditionalFormatting>
  <conditionalFormatting sqref="C4:C13">
    <cfRule type="duplicateValues" dxfId="135" priority="5"/>
    <cfRule type="duplicateValues" dxfId="134" priority="6"/>
  </conditionalFormatting>
  <conditionalFormatting sqref="C14">
    <cfRule type="duplicateValues" dxfId="133" priority="9"/>
    <cfRule type="duplicateValues" dxfId="132" priority="10"/>
  </conditionalFormatting>
  <conditionalFormatting sqref="C15">
    <cfRule type="duplicateValues" dxfId="131" priority="7"/>
    <cfRule type="duplicateValues" dxfId="130" priority="8"/>
  </conditionalFormatting>
  <conditionalFormatting sqref="C17:C40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96A0-5A68-4696-AC9B-FD4AB17AC7C4}">
  <dimension ref="B1:AA17"/>
  <sheetViews>
    <sheetView zoomScale="85" zoomScaleNormal="85" workbookViewId="0">
      <selection activeCell="U20" sqref="U20:U3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0.29619738516465899</v>
      </c>
      <c r="R2" s="1">
        <f>(R14-J14)/J14</f>
        <v>4.942368622733969E-2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57</v>
      </c>
      <c r="D4" s="23">
        <v>1280681.1210966869</v>
      </c>
      <c r="E4" s="33">
        <v>114.18495884612915</v>
      </c>
      <c r="F4" s="5">
        <v>16</v>
      </c>
      <c r="G4" s="23">
        <v>95.333333333333329</v>
      </c>
      <c r="H4" s="33">
        <v>733.30132009796887</v>
      </c>
      <c r="I4" s="23">
        <v>38.904873232268478</v>
      </c>
      <c r="J4" s="5">
        <v>5761.4627707720665</v>
      </c>
      <c r="K4" s="31"/>
      <c r="L4" s="23">
        <v>782768.05318774458</v>
      </c>
      <c r="M4" s="33">
        <v>255.78418969230438</v>
      </c>
      <c r="N4" s="5">
        <v>13</v>
      </c>
      <c r="O4" s="23">
        <v>97.333333333333329</v>
      </c>
      <c r="P4" s="33">
        <v>950.86377579513089</v>
      </c>
      <c r="Q4" s="23">
        <v>48.647978017836095</v>
      </c>
      <c r="R4" s="5">
        <v>6040.1804000882503</v>
      </c>
      <c r="S4" s="35"/>
      <c r="T4" s="23">
        <v>1558985.7318972531</v>
      </c>
      <c r="U4" s="33">
        <v>838.41850138466395</v>
      </c>
      <c r="V4" s="5">
        <v>17</v>
      </c>
      <c r="W4" s="23">
        <v>94</v>
      </c>
      <c r="X4" s="33">
        <v>388.69346090093563</v>
      </c>
      <c r="Y4" s="23">
        <v>35.934708184347514</v>
      </c>
      <c r="Z4" s="5">
        <v>5069.2685880337849</v>
      </c>
      <c r="AA4" s="35"/>
    </row>
    <row r="5" spans="2:27" x14ac:dyDescent="0.2">
      <c r="B5" s="4">
        <v>2</v>
      </c>
      <c r="C5" s="4">
        <v>107</v>
      </c>
      <c r="D5" s="23">
        <v>1252153.704625743</v>
      </c>
      <c r="E5" s="33">
        <v>318.13966623077596</v>
      </c>
      <c r="F5" s="5">
        <v>17</v>
      </c>
      <c r="G5" s="23">
        <v>96</v>
      </c>
      <c r="H5" s="33">
        <v>724.07302818045559</v>
      </c>
      <c r="I5" s="23">
        <v>37.032955137792513</v>
      </c>
      <c r="J5" s="5">
        <v>5564.572901666852</v>
      </c>
      <c r="K5" s="31"/>
      <c r="L5" s="23">
        <v>829659.78562136146</v>
      </c>
      <c r="M5" s="33">
        <v>136.09590799995485</v>
      </c>
      <c r="N5" s="5">
        <v>14</v>
      </c>
      <c r="O5" s="23">
        <v>97.333333333333329</v>
      </c>
      <c r="P5" s="33">
        <v>1041.9635013998432</v>
      </c>
      <c r="Q5" s="23">
        <v>45.606829722983505</v>
      </c>
      <c r="R5" s="5">
        <v>6275.0158608410338</v>
      </c>
      <c r="S5" s="35"/>
      <c r="T5" s="23">
        <v>1655736.2780750811</v>
      </c>
      <c r="U5" s="33">
        <v>204.39944469226666</v>
      </c>
      <c r="V5" s="5">
        <v>14</v>
      </c>
      <c r="W5" s="23">
        <v>85.333333333333329</v>
      </c>
      <c r="X5" s="33">
        <v>333.32134873124335</v>
      </c>
      <c r="Y5" s="23">
        <v>39.693951043890152</v>
      </c>
      <c r="Z5" s="5">
        <v>5083.1954787770346</v>
      </c>
      <c r="AA5" s="35"/>
    </row>
    <row r="6" spans="2:27" x14ac:dyDescent="0.2">
      <c r="B6" s="4">
        <v>3</v>
      </c>
      <c r="C6" s="4">
        <v>186</v>
      </c>
      <c r="D6" s="23">
        <v>1200025.2317240629</v>
      </c>
      <c r="E6" s="33">
        <v>173.91398946154644</v>
      </c>
      <c r="F6" s="5">
        <v>16</v>
      </c>
      <c r="G6" s="23">
        <v>96.666666666666671</v>
      </c>
      <c r="H6" s="33">
        <v>611.0755950545755</v>
      </c>
      <c r="I6" s="23">
        <v>40.088398618390023</v>
      </c>
      <c r="J6" s="5">
        <v>5525.7668774636077</v>
      </c>
      <c r="K6" s="31"/>
      <c r="L6" s="23">
        <v>764394.91781196557</v>
      </c>
      <c r="M6" s="33">
        <v>279.14385715383111</v>
      </c>
      <c r="N6" s="5">
        <v>13</v>
      </c>
      <c r="O6" s="23">
        <v>97.333333333333329</v>
      </c>
      <c r="P6" s="33">
        <v>852.91411549403279</v>
      </c>
      <c r="Q6" s="23">
        <v>49.545431131532467</v>
      </c>
      <c r="R6" s="5">
        <v>5986.3317298861857</v>
      </c>
      <c r="S6" s="35"/>
      <c r="T6" s="23">
        <v>1559629.523257002</v>
      </c>
      <c r="U6" s="33">
        <v>492.50503761541597</v>
      </c>
      <c r="V6" s="5">
        <v>17</v>
      </c>
      <c r="W6" s="23">
        <v>94</v>
      </c>
      <c r="X6" s="33">
        <v>382.84843019502358</v>
      </c>
      <c r="Y6" s="23">
        <v>35.93843665641765</v>
      </c>
      <c r="Z6" s="5">
        <v>5073.6402185224906</v>
      </c>
      <c r="AA6" s="35"/>
    </row>
    <row r="7" spans="2:27" x14ac:dyDescent="0.2">
      <c r="B7" s="4">
        <v>4</v>
      </c>
      <c r="C7" s="4">
        <v>202</v>
      </c>
      <c r="D7" s="23">
        <v>1195874.55149322</v>
      </c>
      <c r="E7" s="33">
        <v>269.5518566154015</v>
      </c>
      <c r="F7" s="5">
        <v>15</v>
      </c>
      <c r="G7" s="23">
        <v>97.333333333333329</v>
      </c>
      <c r="H7" s="33">
        <v>687.63202542082661</v>
      </c>
      <c r="I7" s="23">
        <v>43.238451192275349</v>
      </c>
      <c r="J7" s="5">
        <v>5716.7130826593011</v>
      </c>
      <c r="K7" s="31"/>
      <c r="L7" s="23">
        <v>750558.23664549459</v>
      </c>
      <c r="M7" s="33">
        <v>266.13561961540159</v>
      </c>
      <c r="N7" s="5">
        <v>14</v>
      </c>
      <c r="O7" s="23">
        <v>97.333333333333329</v>
      </c>
      <c r="P7" s="33">
        <v>716.63273435089206</v>
      </c>
      <c r="Q7" s="23">
        <v>45.387565513062825</v>
      </c>
      <c r="R7" s="5">
        <v>5770.2479375277098</v>
      </c>
      <c r="S7" s="35"/>
      <c r="T7" s="23">
        <v>1624640.055126251</v>
      </c>
      <c r="U7" s="33">
        <v>256.56449284619436</v>
      </c>
      <c r="V7" s="5">
        <v>15</v>
      </c>
      <c r="W7" s="23">
        <v>90.666666666666671</v>
      </c>
      <c r="X7" s="33">
        <v>355.86342608356557</v>
      </c>
      <c r="Y7" s="23">
        <v>38.574832666871899</v>
      </c>
      <c r="Z7" s="5">
        <v>5277.8544148294404</v>
      </c>
      <c r="AA7" s="35"/>
    </row>
    <row r="8" spans="2:27" x14ac:dyDescent="0.2">
      <c r="B8" s="4">
        <v>5</v>
      </c>
      <c r="C8" s="4">
        <v>232</v>
      </c>
      <c r="D8" s="23">
        <v>1269617.101655937</v>
      </c>
      <c r="E8" s="33">
        <v>176.94212353842045</v>
      </c>
      <c r="F8" s="5">
        <v>15</v>
      </c>
      <c r="G8" s="23">
        <v>97.333333333333329</v>
      </c>
      <c r="H8" s="33">
        <v>886.87303099481744</v>
      </c>
      <c r="I8" s="23">
        <v>42.143685035860436</v>
      </c>
      <c r="J8" s="5">
        <v>6045.4754456061328</v>
      </c>
      <c r="K8" s="31"/>
      <c r="L8" s="23">
        <v>798615.27457195264</v>
      </c>
      <c r="M8" s="33">
        <v>207.13201723079416</v>
      </c>
      <c r="N8" s="5">
        <v>15</v>
      </c>
      <c r="O8" s="23">
        <v>97.333333333333329</v>
      </c>
      <c r="P8" s="33">
        <v>843.46971703038696</v>
      </c>
      <c r="Q8" s="23">
        <v>41.974665441387501</v>
      </c>
      <c r="R8" s="5">
        <v>5965.5394009520469</v>
      </c>
      <c r="S8" s="35"/>
      <c r="T8" s="23">
        <v>1694179.6331457109</v>
      </c>
      <c r="U8" s="33">
        <v>192.11298507692007</v>
      </c>
      <c r="V8" s="5">
        <v>14</v>
      </c>
      <c r="W8" s="23">
        <v>87.333333333333329</v>
      </c>
      <c r="X8" s="33">
        <v>496.66212837865567</v>
      </c>
      <c r="Y8" s="23">
        <v>38.859238565401995</v>
      </c>
      <c r="Z8" s="5">
        <v>5376.1162316046348</v>
      </c>
      <c r="AA8" s="35"/>
    </row>
    <row r="9" spans="2:27" x14ac:dyDescent="0.2">
      <c r="B9" s="4">
        <v>6</v>
      </c>
      <c r="C9" s="4">
        <v>234</v>
      </c>
      <c r="D9" s="23">
        <v>1171722.7209426111</v>
      </c>
      <c r="E9" s="33">
        <v>274.61161923075383</v>
      </c>
      <c r="F9" s="5">
        <v>16</v>
      </c>
      <c r="G9" s="23">
        <v>97.333333333333329</v>
      </c>
      <c r="H9" s="33">
        <v>552.87315230917284</v>
      </c>
      <c r="I9" s="23">
        <v>39.68895058554655</v>
      </c>
      <c r="J9" s="5">
        <v>5498.4921850503042</v>
      </c>
      <c r="K9" s="31"/>
      <c r="L9" s="23">
        <v>806588.2955225273</v>
      </c>
      <c r="M9" s="33">
        <v>334.45897346156505</v>
      </c>
      <c r="N9" s="5">
        <v>15</v>
      </c>
      <c r="O9" s="23">
        <v>97.333333333333329</v>
      </c>
      <c r="P9" s="33">
        <v>872.317191934378</v>
      </c>
      <c r="Q9" s="23">
        <v>42.357601675956161</v>
      </c>
      <c r="R9" s="5">
        <v>5987.7841530242549</v>
      </c>
      <c r="S9" s="35"/>
      <c r="T9" s="23">
        <v>1593683.468723723</v>
      </c>
      <c r="U9" s="33">
        <v>451.9705896153867</v>
      </c>
      <c r="V9" s="5">
        <v>13</v>
      </c>
      <c r="W9" s="23">
        <v>87.333333333333329</v>
      </c>
      <c r="X9" s="33">
        <v>310.44061490432063</v>
      </c>
      <c r="Y9" s="23">
        <v>42.421493373558484</v>
      </c>
      <c r="Z9" s="5">
        <v>5038.4732212444442</v>
      </c>
      <c r="AA9" s="35"/>
    </row>
    <row r="10" spans="2:27" x14ac:dyDescent="0.2">
      <c r="B10" s="4">
        <v>7</v>
      </c>
      <c r="C10" s="4">
        <v>385</v>
      </c>
      <c r="D10" s="23">
        <v>1199176.476264515</v>
      </c>
      <c r="E10" s="33">
        <v>210.84975484615339</v>
      </c>
      <c r="F10" s="5">
        <v>15</v>
      </c>
      <c r="G10" s="23">
        <v>97.333333333333329</v>
      </c>
      <c r="H10" s="33">
        <v>684.88362185811638</v>
      </c>
      <c r="I10" s="23">
        <v>42.229938727119269</v>
      </c>
      <c r="J10" s="5">
        <v>5700.5202672705091</v>
      </c>
      <c r="K10" s="31"/>
      <c r="L10" s="23">
        <v>752125.97263930726</v>
      </c>
      <c r="M10" s="33">
        <v>298.42620715382509</v>
      </c>
      <c r="N10" s="5">
        <v>14</v>
      </c>
      <c r="O10" s="23">
        <v>97.333333333333329</v>
      </c>
      <c r="P10" s="33">
        <v>740.52721922645185</v>
      </c>
      <c r="Q10" s="23">
        <v>45.447754450332937</v>
      </c>
      <c r="R10" s="5">
        <v>5702.2545254483157</v>
      </c>
      <c r="S10" s="35"/>
      <c r="T10" s="23">
        <v>1689228.2886318611</v>
      </c>
      <c r="U10" s="33">
        <v>585.08073407699931</v>
      </c>
      <c r="V10" s="5">
        <v>14</v>
      </c>
      <c r="W10" s="23">
        <v>87.333333333333329</v>
      </c>
      <c r="X10" s="33">
        <v>509.80976894262028</v>
      </c>
      <c r="Y10" s="23">
        <v>39.166156105984598</v>
      </c>
      <c r="Z10" s="5">
        <v>5349.560224154091</v>
      </c>
      <c r="AA10" s="35"/>
    </row>
    <row r="11" spans="2:27" x14ac:dyDescent="0.2">
      <c r="B11" s="4">
        <v>8</v>
      </c>
      <c r="C11" s="4">
        <v>576</v>
      </c>
      <c r="D11" s="23">
        <v>1228006.3899969719</v>
      </c>
      <c r="E11" s="33">
        <v>263.00417484617077</v>
      </c>
      <c r="F11" s="5">
        <v>14</v>
      </c>
      <c r="G11" s="23">
        <v>96</v>
      </c>
      <c r="H11" s="33">
        <v>728.9454375853295</v>
      </c>
      <c r="I11" s="23">
        <v>43.905044641544769</v>
      </c>
      <c r="J11" s="5">
        <v>5806.2910518564559</v>
      </c>
      <c r="K11" s="31"/>
      <c r="L11" s="23">
        <v>805405.32798857684</v>
      </c>
      <c r="M11" s="33">
        <v>214.64179599997945</v>
      </c>
      <c r="N11" s="5">
        <v>15</v>
      </c>
      <c r="O11" s="23">
        <v>97.333333333333329</v>
      </c>
      <c r="P11" s="33">
        <v>848.6649123136998</v>
      </c>
      <c r="Q11" s="23">
        <v>42.452735256664305</v>
      </c>
      <c r="R11" s="5">
        <v>6076.2396981772536</v>
      </c>
      <c r="S11" s="35"/>
      <c r="T11" s="23">
        <v>1596361.3761892859</v>
      </c>
      <c r="U11" s="33">
        <v>366.37445076923962</v>
      </c>
      <c r="V11" s="5">
        <v>15</v>
      </c>
      <c r="W11" s="23">
        <v>91.333333333333329</v>
      </c>
      <c r="X11" s="33">
        <v>452.77534573273641</v>
      </c>
      <c r="Y11" s="23">
        <v>39.140230688105603</v>
      </c>
      <c r="Z11" s="5">
        <v>5189.1530077535108</v>
      </c>
      <c r="AA11" s="35"/>
    </row>
    <row r="12" spans="2:27" x14ac:dyDescent="0.2">
      <c r="B12" s="4">
        <v>9</v>
      </c>
      <c r="C12" s="4">
        <v>594</v>
      </c>
      <c r="D12" s="23">
        <v>1185839.3651102521</v>
      </c>
      <c r="E12" s="33">
        <v>262.34278969224897</v>
      </c>
      <c r="F12" s="5">
        <v>15</v>
      </c>
      <c r="G12" s="23">
        <v>96.666666666666671</v>
      </c>
      <c r="H12" s="33">
        <v>633.10958565160763</v>
      </c>
      <c r="I12" s="23">
        <v>42.066728622129048</v>
      </c>
      <c r="J12" s="5">
        <v>5564.7176633644267</v>
      </c>
      <c r="K12" s="31"/>
      <c r="L12" s="23">
        <v>805533.50096866651</v>
      </c>
      <c r="M12" s="33">
        <v>373.94031169233267</v>
      </c>
      <c r="N12" s="5">
        <v>15</v>
      </c>
      <c r="O12" s="23">
        <v>97.333333333333329</v>
      </c>
      <c r="P12" s="33">
        <v>894.87353032751832</v>
      </c>
      <c r="Q12" s="23">
        <v>42.237182567826032</v>
      </c>
      <c r="R12" s="5">
        <v>5975.8732921842548</v>
      </c>
      <c r="S12" s="35"/>
      <c r="T12" s="23">
        <v>1697173.0469580989</v>
      </c>
      <c r="U12" s="33">
        <v>99.238542230763997</v>
      </c>
      <c r="V12" s="5">
        <v>13</v>
      </c>
      <c r="W12" s="23">
        <v>83.333333333333329</v>
      </c>
      <c r="X12" s="33">
        <v>320.71069519876033</v>
      </c>
      <c r="Y12" s="23">
        <v>40.778658330444202</v>
      </c>
      <c r="Z12" s="5">
        <v>5185.1964578202587</v>
      </c>
      <c r="AA12" s="35"/>
    </row>
    <row r="13" spans="2:27" x14ac:dyDescent="0.2">
      <c r="B13" s="4">
        <v>10</v>
      </c>
      <c r="C13" s="4">
        <v>912</v>
      </c>
      <c r="D13" s="23">
        <v>1261692.9026187391</v>
      </c>
      <c r="E13" s="33">
        <v>118.11249299995747</v>
      </c>
      <c r="F13" s="5">
        <v>16</v>
      </c>
      <c r="G13" s="23">
        <v>96.666666666666671</v>
      </c>
      <c r="H13" s="33">
        <v>807.19655192424</v>
      </c>
      <c r="I13" s="23">
        <v>40.074748015964047</v>
      </c>
      <c r="J13" s="5">
        <v>5813.0611014275755</v>
      </c>
      <c r="K13" s="31"/>
      <c r="L13" s="23">
        <v>826726.73722032411</v>
      </c>
      <c r="M13" s="33">
        <v>90.90403607688269</v>
      </c>
      <c r="N13" s="5">
        <v>15</v>
      </c>
      <c r="O13" s="23">
        <v>97.333333333333329</v>
      </c>
      <c r="P13" s="33">
        <v>978.66443549053508</v>
      </c>
      <c r="Q13" s="23">
        <v>42.508002159814026</v>
      </c>
      <c r="R13" s="5">
        <v>6132.118099187257</v>
      </c>
      <c r="S13" s="35"/>
      <c r="T13" s="23">
        <v>1666535.2193452879</v>
      </c>
      <c r="U13" s="33">
        <v>219.5257470000069</v>
      </c>
      <c r="V13" s="5">
        <v>13</v>
      </c>
      <c r="W13" s="23">
        <v>86</v>
      </c>
      <c r="X13" s="33">
        <v>386.83941958963277</v>
      </c>
      <c r="Y13" s="23">
        <v>41.905134808089059</v>
      </c>
      <c r="Z13" s="5">
        <v>5262.3913307388957</v>
      </c>
      <c r="AA13" s="35"/>
    </row>
    <row r="14" spans="2:27" x14ac:dyDescent="0.2">
      <c r="B14" s="50" t="s">
        <v>3</v>
      </c>
      <c r="C14" s="51"/>
      <c r="D14" s="9">
        <f>MIN(D4:D13)</f>
        <v>1171722.7209426111</v>
      </c>
      <c r="E14" s="22">
        <f>INDEX(E4:E13, MATCH($D$14, D4:D13, 0))</f>
        <v>274.61161923075383</v>
      </c>
      <c r="F14" s="9">
        <f>INDEX(F4:F13, MATCH($D$14, D4:D13, 0))</f>
        <v>16</v>
      </c>
      <c r="G14" s="9">
        <f>INDEX(G4:G13, MATCH($D$14, D4:D13, 0))</f>
        <v>97.333333333333329</v>
      </c>
      <c r="H14" s="22">
        <f>INDEX(H4:H13, MATCH($D$14, D4:D13, 0))</f>
        <v>552.87315230917284</v>
      </c>
      <c r="I14" s="22">
        <f>INDEX(I4:I13, MATCH($D$14, D4:D13, 0))</f>
        <v>39.68895058554655</v>
      </c>
      <c r="J14" s="22">
        <f>INDEX(J4:J13, MATCH($D$14, D4:D13, 0))</f>
        <v>5498.4921850503042</v>
      </c>
      <c r="K14" s="32" t="e">
        <f>(D14-$D$15)/$D$15</f>
        <v>#DIV/0!</v>
      </c>
      <c r="L14" s="16">
        <f>MIN(L4:L13)</f>
        <v>750558.23664549459</v>
      </c>
      <c r="M14" s="21">
        <f>INDEX(M4:M13, MATCH($L$14, L4:L13, 0))</f>
        <v>266.13561961540159</v>
      </c>
      <c r="N14" s="16">
        <f>INDEX(N4:N13, MATCH($L$14, L4:L13, 0))</f>
        <v>14</v>
      </c>
      <c r="O14" s="16">
        <f>INDEX(O4:O13, MATCH($L$14, L4:L13, 0))</f>
        <v>97.333333333333329</v>
      </c>
      <c r="P14" s="21">
        <f>INDEX(P4:P13, MATCH($L$14, L4:L13, 0))</f>
        <v>716.63273435089206</v>
      </c>
      <c r="Q14" s="21">
        <f>INDEX(Q4:Q13, MATCH($L$14, L4:L13, 0))</f>
        <v>45.387565513062825</v>
      </c>
      <c r="R14" s="21">
        <f>INDEX(R4:R13, MATCH($L$14, L4:L13, 0))</f>
        <v>5770.2479375277098</v>
      </c>
      <c r="S14" s="36" t="e">
        <f>(L14-$D$15)/$D$15</f>
        <v>#DIV/0!</v>
      </c>
      <c r="T14" s="38">
        <f>MIN(T4:T13)</f>
        <v>1558985.7318972531</v>
      </c>
      <c r="U14" s="39">
        <f>INDEX(U4:U13, MATCH($T$14, T4:T13, 0))</f>
        <v>838.41850138466395</v>
      </c>
      <c r="V14" s="38">
        <f>INDEX(V4:V13, MATCH($T$14, T4:T13, 0))</f>
        <v>17</v>
      </c>
      <c r="W14" s="38">
        <f>INDEX(W4:W13, MATCH($T$14, T4:T13, 0))</f>
        <v>94</v>
      </c>
      <c r="X14" s="39">
        <f>INDEX(X4:X13, MATCH($T$14, T4:T13, 0))</f>
        <v>388.69346090093563</v>
      </c>
      <c r="Y14" s="39">
        <f>INDEX(Y4:Y13, MATCH($T$14, T4:T13, 0))</f>
        <v>35.934708184347514</v>
      </c>
      <c r="Z14" s="39">
        <f>INDEX(Z4:Z13, MATCH($T$14, T4:T13, 0))</f>
        <v>5069.2685880337849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-0.35944040067628286</v>
      </c>
      <c r="M15" s="41">
        <f t="shared" ref="M15:R15" si="0">(M14-E14)/E14</f>
        <v>-3.0865407804284952E-2</v>
      </c>
      <c r="N15" s="41">
        <f t="shared" si="0"/>
        <v>-0.125</v>
      </c>
      <c r="O15" s="41">
        <f t="shared" si="0"/>
        <v>0</v>
      </c>
      <c r="P15" s="41">
        <f t="shared" si="0"/>
        <v>0.29619738516465899</v>
      </c>
      <c r="Q15" s="41">
        <f t="shared" si="0"/>
        <v>0.14358189983464889</v>
      </c>
      <c r="R15" s="41">
        <f t="shared" si="0"/>
        <v>4.942368622733969E-2</v>
      </c>
      <c r="T15" s="41">
        <f>(T14-D14)/D14</f>
        <v>0.33050738372906352</v>
      </c>
      <c r="U15" s="41">
        <f t="shared" ref="U15:Z15" si="1">(U14-E14)/E14</f>
        <v>2.0531064334905214</v>
      </c>
      <c r="V15" s="41">
        <f t="shared" si="1"/>
        <v>6.25E-2</v>
      </c>
      <c r="W15" s="41">
        <f t="shared" si="1"/>
        <v>-3.424657534246571E-2</v>
      </c>
      <c r="X15" s="41">
        <f t="shared" si="1"/>
        <v>-0.29695725090377711</v>
      </c>
      <c r="Y15" s="41">
        <f t="shared" si="1"/>
        <v>-9.4591626783052607E-2</v>
      </c>
      <c r="Z15" s="41">
        <f t="shared" si="1"/>
        <v>-7.806205457261961E-2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1:C1048576">
    <cfRule type="duplicateValues" dxfId="129" priority="11"/>
    <cfRule type="duplicateValues" dxfId="128" priority="12"/>
  </conditionalFormatting>
  <conditionalFormatting sqref="C2">
    <cfRule type="duplicateValues" dxfId="127" priority="3"/>
    <cfRule type="duplicateValues" dxfId="126" priority="4"/>
  </conditionalFormatting>
  <conditionalFormatting sqref="C4:C13">
    <cfRule type="duplicateValues" dxfId="125" priority="5"/>
    <cfRule type="duplicateValues" dxfId="124" priority="6"/>
  </conditionalFormatting>
  <conditionalFormatting sqref="C14">
    <cfRule type="duplicateValues" dxfId="123" priority="9"/>
    <cfRule type="duplicateValues" dxfId="122" priority="10"/>
  </conditionalFormatting>
  <conditionalFormatting sqref="C15">
    <cfRule type="duplicateValues" dxfId="121" priority="7"/>
    <cfRule type="duplicateValues" dxfId="120" priority="8"/>
  </conditionalFormatting>
  <conditionalFormatting sqref="C17:C40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0BAC-9010-4EB7-A509-C645931A7C55}">
  <dimension ref="B1:AA17"/>
  <sheetViews>
    <sheetView zoomScale="90" zoomScaleNormal="90" workbookViewId="0">
      <selection activeCell="U20" sqref="U20:U3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0.10104117747191368</v>
      </c>
      <c r="R2" s="1">
        <f>(R14-J14)/J14</f>
        <v>5.8213214802274538E-2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41</v>
      </c>
      <c r="D4" s="23">
        <v>1170325.1112011869</v>
      </c>
      <c r="E4" s="33">
        <v>164.01283223083462</v>
      </c>
      <c r="F4" s="5">
        <v>14</v>
      </c>
      <c r="G4" s="23">
        <v>94</v>
      </c>
      <c r="H4" s="33">
        <v>305.01396819264107</v>
      </c>
      <c r="I4" s="23">
        <v>37.38867361217094</v>
      </c>
      <c r="J4" s="5">
        <v>5359.7381602944406</v>
      </c>
      <c r="K4" s="31"/>
      <c r="L4" s="23">
        <v>752150.88268939685</v>
      </c>
      <c r="M4" s="33">
        <v>179.02785676925515</v>
      </c>
      <c r="N4" s="5">
        <v>12</v>
      </c>
      <c r="O4" s="23">
        <v>94</v>
      </c>
      <c r="P4" s="33">
        <v>348.13567434884123</v>
      </c>
      <c r="Q4" s="23">
        <v>45.067299839751307</v>
      </c>
      <c r="R4" s="5">
        <v>5511.1331651604851</v>
      </c>
      <c r="S4" s="35"/>
      <c r="T4" s="23">
        <v>1537241.446902619</v>
      </c>
      <c r="U4" s="33">
        <v>328.59002853842236</v>
      </c>
      <c r="V4" s="5">
        <v>15</v>
      </c>
      <c r="W4" s="23">
        <v>92.666666666666671</v>
      </c>
      <c r="X4" s="33">
        <v>264.2050234293452</v>
      </c>
      <c r="Y4" s="23">
        <v>34.351707156559499</v>
      </c>
      <c r="Z4" s="5">
        <v>5069.2287154070991</v>
      </c>
      <c r="AA4" s="35"/>
    </row>
    <row r="5" spans="2:27" x14ac:dyDescent="0.2">
      <c r="B5" s="4">
        <v>2</v>
      </c>
      <c r="C5" s="4">
        <v>171</v>
      </c>
      <c r="D5" s="23">
        <v>1148316.5899994089</v>
      </c>
      <c r="E5" s="33">
        <v>126.27732507696446</v>
      </c>
      <c r="F5" s="5">
        <v>13</v>
      </c>
      <c r="G5" s="23">
        <v>94</v>
      </c>
      <c r="H5" s="33">
        <v>328.83944130422299</v>
      </c>
      <c r="I5" s="23">
        <v>41.467997513292097</v>
      </c>
      <c r="J5" s="5">
        <v>5347.5358915945953</v>
      </c>
      <c r="K5" s="31"/>
      <c r="L5" s="23">
        <v>749233.23250826017</v>
      </c>
      <c r="M5" s="33">
        <v>231.20086992311721</v>
      </c>
      <c r="N5" s="5">
        <v>12</v>
      </c>
      <c r="O5" s="23">
        <v>94</v>
      </c>
      <c r="P5" s="33">
        <v>312.8371057939973</v>
      </c>
      <c r="Q5" s="23">
        <v>44.780106770700108</v>
      </c>
      <c r="R5" s="5">
        <v>5505.0852360111385</v>
      </c>
      <c r="S5" s="35"/>
      <c r="T5" s="23">
        <v>1546371.5638098989</v>
      </c>
      <c r="U5" s="33">
        <v>146.80102738462244</v>
      </c>
      <c r="V5" s="5">
        <v>12</v>
      </c>
      <c r="W5" s="23">
        <v>88</v>
      </c>
      <c r="X5" s="33">
        <v>129.81377931492244</v>
      </c>
      <c r="Y5" s="23">
        <v>40.73431775753145</v>
      </c>
      <c r="Z5" s="5">
        <v>5066.3559779887291</v>
      </c>
      <c r="AA5" s="35"/>
    </row>
    <row r="6" spans="2:27" x14ac:dyDescent="0.2">
      <c r="B6" s="4">
        <v>3</v>
      </c>
      <c r="C6" s="4">
        <v>263</v>
      </c>
      <c r="D6" s="23">
        <v>1141726.937281823</v>
      </c>
      <c r="E6" s="33">
        <v>371.94766284620312</v>
      </c>
      <c r="F6" s="5">
        <v>14</v>
      </c>
      <c r="G6" s="23">
        <v>94</v>
      </c>
      <c r="H6" s="33">
        <v>284.12843424466513</v>
      </c>
      <c r="I6" s="23">
        <v>38.423322876589999</v>
      </c>
      <c r="J6" s="5">
        <v>5202.2457846926009</v>
      </c>
      <c r="K6" s="31"/>
      <c r="L6" s="23">
        <v>797806.89563700953</v>
      </c>
      <c r="M6" s="33">
        <v>251.35962130770517</v>
      </c>
      <c r="N6" s="5">
        <v>14</v>
      </c>
      <c r="O6" s="23">
        <v>94</v>
      </c>
      <c r="P6" s="33">
        <v>429.80659992404844</v>
      </c>
      <c r="Q6" s="23">
        <v>37.956541719631062</v>
      </c>
      <c r="R6" s="5">
        <v>5443.3172654532691</v>
      </c>
      <c r="S6" s="35"/>
      <c r="T6" s="23">
        <v>1528100.978233997</v>
      </c>
      <c r="U6" s="33">
        <v>436.72818976920098</v>
      </c>
      <c r="V6" s="5">
        <v>15</v>
      </c>
      <c r="W6" s="23">
        <v>92.666666666666671</v>
      </c>
      <c r="X6" s="33">
        <v>274.24753456416022</v>
      </c>
      <c r="Y6" s="23">
        <v>35.321533868411741</v>
      </c>
      <c r="Z6" s="5">
        <v>5048.8787571109287</v>
      </c>
      <c r="AA6" s="35"/>
    </row>
    <row r="7" spans="2:27" x14ac:dyDescent="0.2">
      <c r="B7" s="4">
        <v>4</v>
      </c>
      <c r="C7" s="4">
        <v>299</v>
      </c>
      <c r="D7" s="23">
        <v>1145072.824623574</v>
      </c>
      <c r="E7" s="33">
        <v>307.01109215384344</v>
      </c>
      <c r="F7" s="5">
        <v>13</v>
      </c>
      <c r="G7" s="23">
        <v>94</v>
      </c>
      <c r="H7" s="33">
        <v>308.6668186090148</v>
      </c>
      <c r="I7" s="23">
        <v>41.432112602581164</v>
      </c>
      <c r="J7" s="5">
        <v>5340.9985116472035</v>
      </c>
      <c r="K7" s="31"/>
      <c r="L7" s="23">
        <v>786884.79974097235</v>
      </c>
      <c r="M7" s="33">
        <v>360.70496100001037</v>
      </c>
      <c r="N7" s="5">
        <v>14</v>
      </c>
      <c r="O7" s="23">
        <v>94</v>
      </c>
      <c r="P7" s="33">
        <v>391.15060734387674</v>
      </c>
      <c r="Q7" s="23">
        <v>37.982171840074791</v>
      </c>
      <c r="R7" s="5">
        <v>5357.4553017091657</v>
      </c>
      <c r="S7" s="35"/>
      <c r="T7" s="23">
        <v>1619919.049529677</v>
      </c>
      <c r="U7" s="33">
        <v>117.85434799994201</v>
      </c>
      <c r="V7" s="5">
        <v>12</v>
      </c>
      <c r="W7" s="23">
        <v>83.333333333333329</v>
      </c>
      <c r="X7" s="33">
        <v>206.5240762011982</v>
      </c>
      <c r="Y7" s="23">
        <v>38.3080341648296</v>
      </c>
      <c r="Z7" s="5">
        <v>4963.2781993426552</v>
      </c>
      <c r="AA7" s="35"/>
    </row>
    <row r="8" spans="2:27" x14ac:dyDescent="0.2">
      <c r="B8" s="4">
        <v>5</v>
      </c>
      <c r="C8" s="4">
        <v>407</v>
      </c>
      <c r="D8" s="23">
        <v>1158613.468585192</v>
      </c>
      <c r="E8" s="33">
        <v>113.97056346150261</v>
      </c>
      <c r="F8" s="5">
        <v>13</v>
      </c>
      <c r="G8" s="23">
        <v>94</v>
      </c>
      <c r="H8" s="33">
        <v>276.99255887922419</v>
      </c>
      <c r="I8" s="23">
        <v>40.910058745666142</v>
      </c>
      <c r="J8" s="5">
        <v>5439.6005044727408</v>
      </c>
      <c r="K8" s="31"/>
      <c r="L8" s="23">
        <v>757529.08565272216</v>
      </c>
      <c r="M8" s="33">
        <v>104.86029592306855</v>
      </c>
      <c r="N8" s="5">
        <v>12</v>
      </c>
      <c r="O8" s="23">
        <v>94</v>
      </c>
      <c r="P8" s="33">
        <v>382.7402182097029</v>
      </c>
      <c r="Q8" s="23">
        <v>44.693133366243394</v>
      </c>
      <c r="R8" s="5">
        <v>5537.7570048723492</v>
      </c>
      <c r="S8" s="35"/>
      <c r="T8" s="23">
        <v>1527592.514554881</v>
      </c>
      <c r="U8" s="33">
        <v>494.73803392306974</v>
      </c>
      <c r="V8" s="5">
        <v>14</v>
      </c>
      <c r="W8" s="23">
        <v>92</v>
      </c>
      <c r="X8" s="33">
        <v>209.53038843809568</v>
      </c>
      <c r="Y8" s="23">
        <v>36.962432069997995</v>
      </c>
      <c r="Z8" s="5">
        <v>5110.2650480233187</v>
      </c>
      <c r="AA8" s="35"/>
    </row>
    <row r="9" spans="2:27" x14ac:dyDescent="0.2">
      <c r="B9" s="4">
        <v>6</v>
      </c>
      <c r="C9" s="4">
        <v>501</v>
      </c>
      <c r="D9" s="23">
        <v>1179523.9750385331</v>
      </c>
      <c r="E9" s="33">
        <v>190.68499353839653</v>
      </c>
      <c r="F9" s="5">
        <v>15</v>
      </c>
      <c r="G9" s="23">
        <v>94</v>
      </c>
      <c r="H9" s="33">
        <v>358.06900163112118</v>
      </c>
      <c r="I9" s="23">
        <v>36.081197209071505</v>
      </c>
      <c r="J9" s="5">
        <v>5274.6486469221954</v>
      </c>
      <c r="K9" s="31"/>
      <c r="L9" s="23">
        <v>810435.39305015281</v>
      </c>
      <c r="M9" s="33">
        <v>249.86828807687678</v>
      </c>
      <c r="N9" s="5">
        <v>13</v>
      </c>
      <c r="O9" s="23">
        <v>94</v>
      </c>
      <c r="P9" s="33">
        <v>545.90558615782049</v>
      </c>
      <c r="Q9" s="23">
        <v>41.777494136989766</v>
      </c>
      <c r="R9" s="5">
        <v>5766.3885494022798</v>
      </c>
      <c r="S9" s="35"/>
      <c r="T9" s="23">
        <v>1515361.370043481</v>
      </c>
      <c r="U9" s="33">
        <v>179.20026553839514</v>
      </c>
      <c r="V9" s="5">
        <v>13</v>
      </c>
      <c r="W9" s="23">
        <v>90</v>
      </c>
      <c r="X9" s="33">
        <v>178.85705368466344</v>
      </c>
      <c r="Y9" s="23">
        <v>38.09925238876977</v>
      </c>
      <c r="Z9" s="5">
        <v>4979.598294475325</v>
      </c>
      <c r="AA9" s="35"/>
    </row>
    <row r="10" spans="2:27" x14ac:dyDescent="0.2">
      <c r="B10" s="4">
        <v>7</v>
      </c>
      <c r="C10" s="4">
        <v>503</v>
      </c>
      <c r="D10" s="23">
        <v>1154877.678065887</v>
      </c>
      <c r="E10" s="33">
        <v>101.398167923057</v>
      </c>
      <c r="F10" s="5">
        <v>13</v>
      </c>
      <c r="G10" s="23">
        <v>94</v>
      </c>
      <c r="H10" s="33">
        <v>338.97353268411445</v>
      </c>
      <c r="I10" s="23">
        <v>41.849561469790942</v>
      </c>
      <c r="J10" s="5">
        <v>5392.7221290743882</v>
      </c>
      <c r="K10" s="31"/>
      <c r="L10" s="23">
        <v>759417.05630193744</v>
      </c>
      <c r="M10" s="33">
        <v>103.59760284611883</v>
      </c>
      <c r="N10" s="5">
        <v>12</v>
      </c>
      <c r="O10" s="23">
        <v>94</v>
      </c>
      <c r="P10" s="33">
        <v>405.71558801827359</v>
      </c>
      <c r="Q10" s="23">
        <v>44.845382128140947</v>
      </c>
      <c r="R10" s="5">
        <v>5542.3462398483407</v>
      </c>
      <c r="S10" s="35"/>
      <c r="T10" s="23">
        <v>1587577.8203364189</v>
      </c>
      <c r="U10" s="33">
        <v>476.65767530767391</v>
      </c>
      <c r="V10" s="5">
        <v>14</v>
      </c>
      <c r="W10" s="23">
        <v>89.333333333333329</v>
      </c>
      <c r="X10" s="33">
        <v>304.70566638522024</v>
      </c>
      <c r="Y10" s="23">
        <v>34.789767048945365</v>
      </c>
      <c r="Z10" s="5">
        <v>5124.3389296485229</v>
      </c>
      <c r="AA10" s="35"/>
    </row>
    <row r="11" spans="2:27" x14ac:dyDescent="0.2">
      <c r="B11" s="4">
        <v>8</v>
      </c>
      <c r="C11" s="4">
        <v>599</v>
      </c>
      <c r="D11" s="23">
        <v>1174685.3457871131</v>
      </c>
      <c r="E11" s="33">
        <v>296.92075176916728</v>
      </c>
      <c r="F11" s="5">
        <v>14</v>
      </c>
      <c r="G11" s="23">
        <v>94</v>
      </c>
      <c r="H11" s="33">
        <v>429.42313508461041</v>
      </c>
      <c r="I11" s="23">
        <v>37.882386142464846</v>
      </c>
      <c r="J11" s="5">
        <v>5298.07573068689</v>
      </c>
      <c r="K11" s="31"/>
      <c r="L11" s="23">
        <v>770101.35443967965</v>
      </c>
      <c r="M11" s="33">
        <v>120.90973915388953</v>
      </c>
      <c r="N11" s="5">
        <v>11</v>
      </c>
      <c r="O11" s="23">
        <v>94</v>
      </c>
      <c r="P11" s="33">
        <v>474.5569239182862</v>
      </c>
      <c r="Q11" s="23">
        <v>48.516518124249203</v>
      </c>
      <c r="R11" s="5">
        <v>5814.3750906455853</v>
      </c>
      <c r="S11" s="35"/>
      <c r="T11" s="23">
        <v>1530480.6445275999</v>
      </c>
      <c r="U11" s="33">
        <v>343.39425023072033</v>
      </c>
      <c r="V11" s="5">
        <v>13</v>
      </c>
      <c r="W11" s="23">
        <v>90.666666666666671</v>
      </c>
      <c r="X11" s="33">
        <v>230.63040204925841</v>
      </c>
      <c r="Y11" s="23">
        <v>38.85270874341731</v>
      </c>
      <c r="Z11" s="5">
        <v>5087.491854554677</v>
      </c>
      <c r="AA11" s="35"/>
    </row>
    <row r="12" spans="2:27" x14ac:dyDescent="0.2">
      <c r="B12" s="4">
        <v>9</v>
      </c>
      <c r="C12" s="4">
        <v>663</v>
      </c>
      <c r="D12" s="23">
        <v>1201901.4673412519</v>
      </c>
      <c r="E12" s="33">
        <v>337.01970092307494</v>
      </c>
      <c r="F12" s="5">
        <v>14</v>
      </c>
      <c r="G12" s="23">
        <v>94</v>
      </c>
      <c r="H12" s="33">
        <v>479.43363229327366</v>
      </c>
      <c r="I12" s="23">
        <v>37.805822536630714</v>
      </c>
      <c r="J12" s="5">
        <v>5435.3960991830681</v>
      </c>
      <c r="K12" s="31"/>
      <c r="L12" s="23">
        <v>833389.52386966068</v>
      </c>
      <c r="M12" s="33">
        <v>210.83789523073037</v>
      </c>
      <c r="N12" s="5">
        <v>13</v>
      </c>
      <c r="O12" s="23">
        <v>94</v>
      </c>
      <c r="P12" s="33">
        <v>634.34451511711734</v>
      </c>
      <c r="Q12" s="23">
        <v>41.059928297115157</v>
      </c>
      <c r="R12" s="5">
        <v>5930.6546491702657</v>
      </c>
      <c r="S12" s="35"/>
      <c r="T12" s="23">
        <v>1638547.7487577449</v>
      </c>
      <c r="U12" s="33">
        <v>398.14436561535467</v>
      </c>
      <c r="V12" s="5">
        <v>14</v>
      </c>
      <c r="W12" s="23">
        <v>88</v>
      </c>
      <c r="X12" s="33">
        <v>320.65809265214648</v>
      </c>
      <c r="Y12" s="23">
        <v>35.302259742097746</v>
      </c>
      <c r="Z12" s="5">
        <v>5184.6047603669222</v>
      </c>
      <c r="AA12" s="35"/>
    </row>
    <row r="13" spans="2:27" x14ac:dyDescent="0.2">
      <c r="B13" s="4">
        <v>10</v>
      </c>
      <c r="C13" s="4">
        <v>731</v>
      </c>
      <c r="D13" s="23">
        <v>1183377.9090020419</v>
      </c>
      <c r="E13" s="33">
        <v>94.942989307634832</v>
      </c>
      <c r="F13" s="5">
        <v>14</v>
      </c>
      <c r="G13" s="23">
        <v>94</v>
      </c>
      <c r="H13" s="33">
        <v>422.50210120117367</v>
      </c>
      <c r="I13" s="23">
        <v>37.633366425991447</v>
      </c>
      <c r="J13" s="5">
        <v>5369.8627720996546</v>
      </c>
      <c r="K13" s="31"/>
      <c r="L13" s="23">
        <v>756470.62383987696</v>
      </c>
      <c r="M13" s="33">
        <v>146.9962885384806</v>
      </c>
      <c r="N13" s="5">
        <v>12</v>
      </c>
      <c r="O13" s="23">
        <v>94</v>
      </c>
      <c r="P13" s="33">
        <v>359.72558008954701</v>
      </c>
      <c r="Q13" s="23">
        <v>45.508407345259968</v>
      </c>
      <c r="R13" s="5">
        <v>5576.3355585980162</v>
      </c>
      <c r="S13" s="35"/>
      <c r="T13" s="23">
        <v>1500015.7337337511</v>
      </c>
      <c r="U13" s="33">
        <v>378.37032892302472</v>
      </c>
      <c r="V13" s="5">
        <v>15</v>
      </c>
      <c r="W13" s="23">
        <v>93.333333333333329</v>
      </c>
      <c r="X13" s="33">
        <v>219.34668292637366</v>
      </c>
      <c r="Y13" s="23">
        <v>34.519981572539322</v>
      </c>
      <c r="Z13" s="5">
        <v>4972.6939315713735</v>
      </c>
      <c r="AA13" s="35"/>
    </row>
    <row r="14" spans="2:27" x14ac:dyDescent="0.2">
      <c r="B14" s="50" t="s">
        <v>3</v>
      </c>
      <c r="C14" s="51"/>
      <c r="D14" s="9">
        <f>MIN(D4:D13)</f>
        <v>1141726.937281823</v>
      </c>
      <c r="E14" s="22">
        <f>INDEX(E4:E13, MATCH($D$14, D4:D13, 0))</f>
        <v>371.94766284620312</v>
      </c>
      <c r="F14" s="9">
        <f>INDEX(F4:F13, MATCH($D$14, D4:D13, 0))</f>
        <v>14</v>
      </c>
      <c r="G14" s="9">
        <f>INDEX(G4:G13, MATCH($D$14, D4:D13, 0))</f>
        <v>94</v>
      </c>
      <c r="H14" s="22">
        <f>INDEX(H4:H13, MATCH($D$14, D4:D13, 0))</f>
        <v>284.12843424466513</v>
      </c>
      <c r="I14" s="22">
        <f>INDEX(I4:I13, MATCH($D$14, D4:D13, 0))</f>
        <v>38.423322876589999</v>
      </c>
      <c r="J14" s="22">
        <f>INDEX(J4:J13, MATCH($D$14, D4:D13, 0))</f>
        <v>5202.2457846926009</v>
      </c>
      <c r="K14" s="32" t="e">
        <f>(D14-$D$15)/$D$15</f>
        <v>#DIV/0!</v>
      </c>
      <c r="L14" s="16">
        <f>MIN(L4:L13)</f>
        <v>749233.23250826017</v>
      </c>
      <c r="M14" s="21">
        <f>INDEX(M4:M13, MATCH($L$14, L4:L13, 0))</f>
        <v>231.20086992311721</v>
      </c>
      <c r="N14" s="16">
        <f>INDEX(N4:N13, MATCH($L$14, L4:L13, 0))</f>
        <v>12</v>
      </c>
      <c r="O14" s="16">
        <f>INDEX(O4:O13, MATCH($L$14, L4:L13, 0))</f>
        <v>94</v>
      </c>
      <c r="P14" s="21">
        <f>INDEX(P4:P13, MATCH($L$14, L4:L13, 0))</f>
        <v>312.8371057939973</v>
      </c>
      <c r="Q14" s="21">
        <f>INDEX(Q4:Q13, MATCH($L$14, L4:L13, 0))</f>
        <v>44.780106770700108</v>
      </c>
      <c r="R14" s="21">
        <f>INDEX(R4:R13, MATCH($L$14, L4:L13, 0))</f>
        <v>5505.0852360111385</v>
      </c>
      <c r="S14" s="36" t="e">
        <f>(L14-$D$15)/$D$15</f>
        <v>#DIV/0!</v>
      </c>
      <c r="T14" s="38">
        <f>MIN(T4:T13)</f>
        <v>1500015.7337337511</v>
      </c>
      <c r="U14" s="39">
        <f>INDEX(U4:U13, MATCH($T$14, T4:T13, 0))</f>
        <v>378.37032892302472</v>
      </c>
      <c r="V14" s="38">
        <f>INDEX(V4:V13, MATCH($T$14, T4:T13, 0))</f>
        <v>15</v>
      </c>
      <c r="W14" s="38">
        <f>INDEX(W4:W13, MATCH($T$14, T4:T13, 0))</f>
        <v>93.333333333333329</v>
      </c>
      <c r="X14" s="39">
        <f>INDEX(X4:X13, MATCH($T$14, T4:T13, 0))</f>
        <v>219.34668292637366</v>
      </c>
      <c r="Y14" s="39">
        <f>INDEX(Y4:Y13, MATCH($T$14, T4:T13, 0))</f>
        <v>34.519981572539322</v>
      </c>
      <c r="Z14" s="39">
        <f>INDEX(Z4:Z13, MATCH($T$14, T4:T13, 0))</f>
        <v>4972.6939315713735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-0.34377195803752852</v>
      </c>
      <c r="M15" s="41">
        <f t="shared" ref="M15:R15" si="0">(M14-E14)/E14</f>
        <v>-0.37840483213705095</v>
      </c>
      <c r="N15" s="41">
        <f t="shared" si="0"/>
        <v>-0.14285714285714285</v>
      </c>
      <c r="O15" s="41">
        <f t="shared" si="0"/>
        <v>0</v>
      </c>
      <c r="P15" s="41">
        <f t="shared" si="0"/>
        <v>0.10104117747191368</v>
      </c>
      <c r="Q15" s="41">
        <f t="shared" si="0"/>
        <v>0.16544076405174934</v>
      </c>
      <c r="R15" s="41">
        <f t="shared" si="0"/>
        <v>5.8213214802274538E-2</v>
      </c>
      <c r="T15" s="41">
        <f>(T14-D14)/D14</f>
        <v>0.31381303598295357</v>
      </c>
      <c r="U15" s="41">
        <f t="shared" ref="U15:Z15" si="1">(U14-E14)/E14</f>
        <v>1.7267660798496027E-2</v>
      </c>
      <c r="V15" s="41">
        <f t="shared" si="1"/>
        <v>7.1428571428571425E-2</v>
      </c>
      <c r="W15" s="41">
        <f t="shared" si="1"/>
        <v>-7.0921985815603338E-3</v>
      </c>
      <c r="X15" s="41">
        <f t="shared" si="1"/>
        <v>-0.22800164823527452</v>
      </c>
      <c r="Y15" s="41">
        <f t="shared" si="1"/>
        <v>-0.10158781208454118</v>
      </c>
      <c r="Z15" s="41">
        <f t="shared" si="1"/>
        <v>-4.4125530130981985E-2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1:C1048576">
    <cfRule type="duplicateValues" dxfId="119" priority="11"/>
    <cfRule type="duplicateValues" dxfId="118" priority="12"/>
  </conditionalFormatting>
  <conditionalFormatting sqref="C2">
    <cfRule type="duplicateValues" dxfId="117" priority="3"/>
    <cfRule type="duplicateValues" dxfId="116" priority="4"/>
  </conditionalFormatting>
  <conditionalFormatting sqref="C4:C13">
    <cfRule type="duplicateValues" dxfId="115" priority="5"/>
    <cfRule type="duplicateValues" dxfId="114" priority="6"/>
  </conditionalFormatting>
  <conditionalFormatting sqref="C14">
    <cfRule type="duplicateValues" dxfId="113" priority="9"/>
    <cfRule type="duplicateValues" dxfId="112" priority="10"/>
  </conditionalFormatting>
  <conditionalFormatting sqref="C15">
    <cfRule type="duplicateValues" dxfId="111" priority="7"/>
    <cfRule type="duplicateValues" dxfId="110" priority="8"/>
  </conditionalFormatting>
  <conditionalFormatting sqref="C17:C40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5481-6863-4A2C-ACE5-11B06FC7399E}">
  <dimension ref="B1:AA17"/>
  <sheetViews>
    <sheetView zoomScale="90" zoomScaleNormal="90" workbookViewId="0">
      <selection activeCell="U20" sqref="U20:U3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0.50196102766088446</v>
      </c>
      <c r="R2" s="1">
        <f>(R14-J14)/J14</f>
        <v>1.2815474839903491E-2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88</v>
      </c>
      <c r="D4" s="23">
        <v>1165811.7722223699</v>
      </c>
      <c r="E4" s="33">
        <v>146.44345992307461</v>
      </c>
      <c r="F4" s="5">
        <v>12</v>
      </c>
      <c r="G4" s="23">
        <v>93.333333333333329</v>
      </c>
      <c r="H4" s="33">
        <v>333.17399140428307</v>
      </c>
      <c r="I4" s="23">
        <v>46.56837742252381</v>
      </c>
      <c r="J4" s="5">
        <v>5421.3436955217421</v>
      </c>
      <c r="K4" s="31"/>
      <c r="L4" s="23">
        <v>762280.13901142508</v>
      </c>
      <c r="M4" s="33">
        <v>214.29925100000293</v>
      </c>
      <c r="N4" s="5">
        <v>12</v>
      </c>
      <c r="O4" s="23">
        <v>94</v>
      </c>
      <c r="P4" s="33">
        <v>463.56423162584076</v>
      </c>
      <c r="Q4" s="23">
        <v>47.630935873538789</v>
      </c>
      <c r="R4" s="5">
        <v>5462.2991462496229</v>
      </c>
      <c r="S4" s="35"/>
      <c r="T4" s="23">
        <v>1542678.215132497</v>
      </c>
      <c r="U4" s="33">
        <v>381.19624030776322</v>
      </c>
      <c r="V4" s="5">
        <v>13</v>
      </c>
      <c r="W4" s="23">
        <v>91.333333333333329</v>
      </c>
      <c r="X4" s="33">
        <v>253.56229432040445</v>
      </c>
      <c r="Y4" s="23">
        <v>41.682179453757399</v>
      </c>
      <c r="Z4" s="5">
        <v>5118.3931603661295</v>
      </c>
      <c r="AA4" s="35"/>
    </row>
    <row r="5" spans="2:27" x14ac:dyDescent="0.2">
      <c r="B5" s="4">
        <v>2</v>
      </c>
      <c r="C5" s="4">
        <v>199</v>
      </c>
      <c r="D5" s="23">
        <v>1177420.745513577</v>
      </c>
      <c r="E5" s="33">
        <v>181.57157261533524</v>
      </c>
      <c r="F5" s="5">
        <v>13</v>
      </c>
      <c r="G5" s="23">
        <v>94</v>
      </c>
      <c r="H5" s="33">
        <v>373.33237715219161</v>
      </c>
      <c r="I5" s="23">
        <v>43.243950924027288</v>
      </c>
      <c r="J5" s="5">
        <v>5436.530931383867</v>
      </c>
      <c r="K5" s="31"/>
      <c r="L5" s="23">
        <v>757996.35077856749</v>
      </c>
      <c r="M5" s="33">
        <v>172.99843607694268</v>
      </c>
      <c r="N5" s="5">
        <v>12</v>
      </c>
      <c r="O5" s="23">
        <v>94</v>
      </c>
      <c r="P5" s="33">
        <v>473.84136995425985</v>
      </c>
      <c r="Q5" s="23">
        <v>48.377144062046476</v>
      </c>
      <c r="R5" s="5">
        <v>5415.297251199584</v>
      </c>
      <c r="S5" s="35"/>
      <c r="T5" s="23">
        <v>1577529.3599081801</v>
      </c>
      <c r="U5" s="33">
        <v>252.90674646152183</v>
      </c>
      <c r="V5" s="5">
        <v>13</v>
      </c>
      <c r="W5" s="23">
        <v>89.333333333333329</v>
      </c>
      <c r="X5" s="33">
        <v>263.41648293239729</v>
      </c>
      <c r="Y5" s="23">
        <v>41.08671617162544</v>
      </c>
      <c r="Z5" s="5">
        <v>5084.1601993270006</v>
      </c>
      <c r="AA5" s="35"/>
    </row>
    <row r="6" spans="2:27" x14ac:dyDescent="0.2">
      <c r="B6" s="4">
        <v>3</v>
      </c>
      <c r="C6" s="4">
        <v>221</v>
      </c>
      <c r="D6" s="23">
        <v>1181428.0970732439</v>
      </c>
      <c r="E6" s="33">
        <v>221.80821776927377</v>
      </c>
      <c r="F6" s="5">
        <v>12</v>
      </c>
      <c r="G6" s="23">
        <v>94</v>
      </c>
      <c r="H6" s="33">
        <v>323.89224579221337</v>
      </c>
      <c r="I6" s="23">
        <v>46.327004582394245</v>
      </c>
      <c r="J6" s="5">
        <v>5606.299673098998</v>
      </c>
      <c r="K6" s="31"/>
      <c r="L6" s="23">
        <v>792090.01413520728</v>
      </c>
      <c r="M6" s="33">
        <v>220.52770692308863</v>
      </c>
      <c r="N6" s="5">
        <v>12</v>
      </c>
      <c r="O6" s="23">
        <v>94</v>
      </c>
      <c r="P6" s="33">
        <v>597.95442201815558</v>
      </c>
      <c r="Q6" s="23">
        <v>47.065625981747559</v>
      </c>
      <c r="R6" s="5">
        <v>5644.6107433296229</v>
      </c>
      <c r="S6" s="35"/>
      <c r="T6" s="23">
        <v>1572353.6585491779</v>
      </c>
      <c r="U6" s="33">
        <v>321.94800453851565</v>
      </c>
      <c r="V6" s="5">
        <v>12</v>
      </c>
      <c r="W6" s="23">
        <v>90</v>
      </c>
      <c r="X6" s="33">
        <v>302.82120651051918</v>
      </c>
      <c r="Y6" s="23">
        <v>44.433456678288309</v>
      </c>
      <c r="Z6" s="5">
        <v>5225.4473015378808</v>
      </c>
      <c r="AA6" s="35"/>
    </row>
    <row r="7" spans="2:27" x14ac:dyDescent="0.2">
      <c r="B7" s="4">
        <v>4</v>
      </c>
      <c r="C7" s="4">
        <v>254</v>
      </c>
      <c r="D7" s="23">
        <v>1174184.5602595841</v>
      </c>
      <c r="E7" s="33">
        <v>154.33890084619631</v>
      </c>
      <c r="F7" s="5">
        <v>14</v>
      </c>
      <c r="G7" s="23">
        <v>94</v>
      </c>
      <c r="H7" s="33">
        <v>349.88343846988687</v>
      </c>
      <c r="I7" s="23">
        <v>40.279638286506497</v>
      </c>
      <c r="J7" s="5">
        <v>5312.0648531790848</v>
      </c>
      <c r="K7" s="31"/>
      <c r="L7" s="23">
        <v>772162.50720496336</v>
      </c>
      <c r="M7" s="33">
        <v>138.54435792309229</v>
      </c>
      <c r="N7" s="5">
        <v>12</v>
      </c>
      <c r="O7" s="23">
        <v>94</v>
      </c>
      <c r="P7" s="33">
        <v>430.36205423017049</v>
      </c>
      <c r="Q7" s="23">
        <v>47.198598030573187</v>
      </c>
      <c r="R7" s="5">
        <v>5616.3758193612866</v>
      </c>
      <c r="S7" s="35"/>
      <c r="T7" s="23">
        <v>1548410.296215171</v>
      </c>
      <c r="U7" s="33">
        <v>495.65398792315347</v>
      </c>
      <c r="V7" s="5">
        <v>15</v>
      </c>
      <c r="W7" s="23">
        <v>92</v>
      </c>
      <c r="X7" s="33">
        <v>201.27808399189294</v>
      </c>
      <c r="Y7" s="23">
        <v>35.711246154639028</v>
      </c>
      <c r="Z7" s="5">
        <v>5027.3754012644886</v>
      </c>
      <c r="AA7" s="35"/>
    </row>
    <row r="8" spans="2:27" x14ac:dyDescent="0.2">
      <c r="B8" s="4">
        <v>5</v>
      </c>
      <c r="C8" s="4">
        <v>322</v>
      </c>
      <c r="D8" s="23">
        <v>1183868.953052948</v>
      </c>
      <c r="E8" s="33">
        <v>120.23267007692576</v>
      </c>
      <c r="F8" s="5">
        <v>12</v>
      </c>
      <c r="G8" s="23">
        <v>94</v>
      </c>
      <c r="H8" s="33">
        <v>521.56548228476356</v>
      </c>
      <c r="I8" s="23">
        <v>47.834075658752916</v>
      </c>
      <c r="J8" s="5">
        <v>5524.5107805118623</v>
      </c>
      <c r="K8" s="31"/>
      <c r="L8" s="23">
        <v>763887.62686211918</v>
      </c>
      <c r="M8" s="33">
        <v>182.45064176923523</v>
      </c>
      <c r="N8" s="5">
        <v>11</v>
      </c>
      <c r="O8" s="23">
        <v>94</v>
      </c>
      <c r="P8" s="33">
        <v>410.69356500983986</v>
      </c>
      <c r="Q8" s="23">
        <v>50.3061452549086</v>
      </c>
      <c r="R8" s="5">
        <v>5756.2132072346603</v>
      </c>
      <c r="S8" s="35"/>
      <c r="T8" s="23">
        <v>1554021.499651534</v>
      </c>
      <c r="U8" s="33">
        <v>477.28752861542699</v>
      </c>
      <c r="V8" s="5">
        <v>14</v>
      </c>
      <c r="W8" s="23">
        <v>91.333333333333329</v>
      </c>
      <c r="X8" s="33">
        <v>187.58429476660592</v>
      </c>
      <c r="Y8" s="23">
        <v>37.714938930117746</v>
      </c>
      <c r="Z8" s="5">
        <v>5098.4885181432455</v>
      </c>
      <c r="AA8" s="35"/>
    </row>
    <row r="9" spans="2:27" x14ac:dyDescent="0.2">
      <c r="B9" s="4">
        <v>6</v>
      </c>
      <c r="C9" s="4">
        <v>333</v>
      </c>
      <c r="D9" s="23">
        <v>1155075.914594016</v>
      </c>
      <c r="E9" s="33">
        <v>124.98730038462853</v>
      </c>
      <c r="F9" s="5">
        <v>13</v>
      </c>
      <c r="G9" s="23">
        <v>94</v>
      </c>
      <c r="H9" s="33">
        <v>315.4818009440686</v>
      </c>
      <c r="I9" s="23">
        <v>43.565165325317544</v>
      </c>
      <c r="J9" s="5">
        <v>5346.775780707324</v>
      </c>
      <c r="K9" s="31"/>
      <c r="L9" s="23">
        <v>771584.49813441851</v>
      </c>
      <c r="M9" s="33">
        <v>420.26181123076151</v>
      </c>
      <c r="N9" s="5">
        <v>13</v>
      </c>
      <c r="O9" s="23">
        <v>94</v>
      </c>
      <c r="P9" s="33">
        <v>386.83052224242113</v>
      </c>
      <c r="Q9" s="23">
        <v>43.188477117429898</v>
      </c>
      <c r="R9" s="5">
        <v>5417.6239196863226</v>
      </c>
      <c r="S9" s="35"/>
      <c r="T9" s="23">
        <v>1557485.228081662</v>
      </c>
      <c r="U9" s="33">
        <v>333.4144736153898</v>
      </c>
      <c r="V9" s="5">
        <v>13</v>
      </c>
      <c r="W9" s="23">
        <v>90.666666666666671</v>
      </c>
      <c r="X9" s="33">
        <v>242.17068252534585</v>
      </c>
      <c r="Y9" s="23">
        <v>41.10997580102029</v>
      </c>
      <c r="Z9" s="5">
        <v>5123.39462521326</v>
      </c>
      <c r="AA9" s="35"/>
    </row>
    <row r="10" spans="2:27" x14ac:dyDescent="0.2">
      <c r="B10" s="4">
        <v>7</v>
      </c>
      <c r="C10" s="4">
        <v>475</v>
      </c>
      <c r="D10" s="23">
        <v>1183868.953052948</v>
      </c>
      <c r="E10" s="33">
        <v>177.72703538460729</v>
      </c>
      <c r="F10" s="5">
        <v>12</v>
      </c>
      <c r="G10" s="23">
        <v>94</v>
      </c>
      <c r="H10" s="33">
        <v>521.56548228476356</v>
      </c>
      <c r="I10" s="23">
        <v>47.834075658752916</v>
      </c>
      <c r="J10" s="5">
        <v>5524.5107805118623</v>
      </c>
      <c r="K10" s="31"/>
      <c r="L10" s="23">
        <v>792229.42612649279</v>
      </c>
      <c r="M10" s="33">
        <v>108.74701623079508</v>
      </c>
      <c r="N10" s="5">
        <v>12</v>
      </c>
      <c r="O10" s="23">
        <v>94</v>
      </c>
      <c r="P10" s="33">
        <v>600.49029595945103</v>
      </c>
      <c r="Q10" s="23">
        <v>47.06771584384925</v>
      </c>
      <c r="R10" s="5">
        <v>5645.0094680351986</v>
      </c>
      <c r="S10" s="35"/>
      <c r="T10" s="23">
        <v>1582180.2649403671</v>
      </c>
      <c r="U10" s="33">
        <v>196.26692969235592</v>
      </c>
      <c r="V10" s="5">
        <v>11</v>
      </c>
      <c r="W10" s="23">
        <v>88</v>
      </c>
      <c r="X10" s="33">
        <v>314.44877706909767</v>
      </c>
      <c r="Y10" s="23">
        <v>46.69094569297252</v>
      </c>
      <c r="Z10" s="5">
        <v>5162.6381686372961</v>
      </c>
      <c r="AA10" s="35"/>
    </row>
    <row r="11" spans="2:27" x14ac:dyDescent="0.2">
      <c r="B11" s="4">
        <v>8</v>
      </c>
      <c r="C11" s="4">
        <v>637</v>
      </c>
      <c r="D11" s="23">
        <v>1183868.953052948</v>
      </c>
      <c r="E11" s="33">
        <v>188.87606300001676</v>
      </c>
      <c r="F11" s="5">
        <v>12</v>
      </c>
      <c r="G11" s="23">
        <v>94</v>
      </c>
      <c r="H11" s="33">
        <v>521.56548228476356</v>
      </c>
      <c r="I11" s="23">
        <v>47.834075658752916</v>
      </c>
      <c r="J11" s="5">
        <v>5524.5107805118623</v>
      </c>
      <c r="K11" s="31"/>
      <c r="L11" s="23">
        <v>773105.44201087812</v>
      </c>
      <c r="M11" s="33">
        <v>124.89009453852375</v>
      </c>
      <c r="N11" s="5">
        <v>12</v>
      </c>
      <c r="O11" s="23">
        <v>94</v>
      </c>
      <c r="P11" s="33">
        <v>510.27676224882498</v>
      </c>
      <c r="Q11" s="23">
        <v>47.971761696815101</v>
      </c>
      <c r="R11" s="5">
        <v>5556.5842048809955</v>
      </c>
      <c r="S11" s="35"/>
      <c r="T11" s="23">
        <v>1580115.318384408</v>
      </c>
      <c r="U11" s="33">
        <v>223.21367123074685</v>
      </c>
      <c r="V11" s="5">
        <v>11</v>
      </c>
      <c r="W11" s="23">
        <v>87.333333333333329</v>
      </c>
      <c r="X11" s="33">
        <v>242.00099738083898</v>
      </c>
      <c r="Y11" s="23">
        <v>47.30039178192407</v>
      </c>
      <c r="Z11" s="5">
        <v>5121.1536842975102</v>
      </c>
      <c r="AA11" s="35"/>
    </row>
    <row r="12" spans="2:27" x14ac:dyDescent="0.2">
      <c r="B12" s="4">
        <v>9</v>
      </c>
      <c r="C12" s="4">
        <v>903</v>
      </c>
      <c r="D12" s="23">
        <v>1175236.7998209151</v>
      </c>
      <c r="E12" s="33">
        <v>169.29325138460484</v>
      </c>
      <c r="F12" s="5">
        <v>13</v>
      </c>
      <c r="G12" s="23">
        <v>94</v>
      </c>
      <c r="H12" s="33">
        <v>385.7997171012762</v>
      </c>
      <c r="I12" s="23">
        <v>43.97680808942669</v>
      </c>
      <c r="J12" s="5">
        <v>5432.5516405024864</v>
      </c>
      <c r="K12" s="31"/>
      <c r="L12" s="23">
        <v>785327.55653936754</v>
      </c>
      <c r="M12" s="33">
        <v>132.67024392306877</v>
      </c>
      <c r="N12" s="5">
        <v>12</v>
      </c>
      <c r="O12" s="23">
        <v>94</v>
      </c>
      <c r="P12" s="33">
        <v>470.6343023157491</v>
      </c>
      <c r="Q12" s="23">
        <v>46.500915232001631</v>
      </c>
      <c r="R12" s="5">
        <v>5719.3665023303611</v>
      </c>
      <c r="S12" s="35"/>
      <c r="T12" s="23">
        <v>1542338.1312739351</v>
      </c>
      <c r="U12" s="33">
        <v>131.37159653849753</v>
      </c>
      <c r="V12" s="5">
        <v>13</v>
      </c>
      <c r="W12" s="23">
        <v>91.333333333333329</v>
      </c>
      <c r="X12" s="33">
        <v>241.5729622842565</v>
      </c>
      <c r="Y12" s="23">
        <v>41.623725223768204</v>
      </c>
      <c r="Z12" s="5">
        <v>5119.5412918466373</v>
      </c>
      <c r="AA12" s="35"/>
    </row>
    <row r="13" spans="2:27" x14ac:dyDescent="0.2">
      <c r="B13" s="4">
        <v>10</v>
      </c>
      <c r="C13" s="4">
        <v>998</v>
      </c>
      <c r="D13" s="23">
        <v>1157102.776712934</v>
      </c>
      <c r="E13" s="33">
        <v>180.61401653846798</v>
      </c>
      <c r="F13" s="5">
        <v>13</v>
      </c>
      <c r="G13" s="23">
        <v>94</v>
      </c>
      <c r="H13" s="33">
        <v>310.69270707462476</v>
      </c>
      <c r="I13" s="23">
        <v>43.500701755209576</v>
      </c>
      <c r="J13" s="5">
        <v>5348.9870947343234</v>
      </c>
      <c r="K13" s="31"/>
      <c r="L13" s="23">
        <v>762253.72488004074</v>
      </c>
      <c r="M13" s="33">
        <v>92.620643538494534</v>
      </c>
      <c r="N13" s="5">
        <v>11</v>
      </c>
      <c r="O13" s="23">
        <v>94</v>
      </c>
      <c r="P13" s="33">
        <v>496.99418365501788</v>
      </c>
      <c r="Q13" s="23">
        <v>51.285530665064819</v>
      </c>
      <c r="R13" s="5">
        <v>5654.1912955067755</v>
      </c>
      <c r="S13" s="35"/>
      <c r="T13" s="23">
        <v>1578997.1661808279</v>
      </c>
      <c r="U13" s="33">
        <v>189.73611923077931</v>
      </c>
      <c r="V13" s="5">
        <v>13</v>
      </c>
      <c r="W13" s="23">
        <v>88.666666666666671</v>
      </c>
      <c r="X13" s="33">
        <v>208.17914424976416</v>
      </c>
      <c r="Y13" s="23">
        <v>39.804350383383202</v>
      </c>
      <c r="Z13" s="5">
        <v>5048.7482119054157</v>
      </c>
      <c r="AA13" s="35"/>
    </row>
    <row r="14" spans="2:27" x14ac:dyDescent="0.2">
      <c r="B14" s="50" t="s">
        <v>3</v>
      </c>
      <c r="C14" s="51"/>
      <c r="D14" s="9">
        <f>MIN(D4:D13)</f>
        <v>1155075.914594016</v>
      </c>
      <c r="E14" s="22">
        <f>INDEX(E4:E13, MATCH($D$14, D4:D13, 0))</f>
        <v>124.98730038462853</v>
      </c>
      <c r="F14" s="9">
        <f>INDEX(F4:F13, MATCH($D$14, D4:D13, 0))</f>
        <v>13</v>
      </c>
      <c r="G14" s="9">
        <f>INDEX(G4:G13, MATCH($D$14, D4:D13, 0))</f>
        <v>94</v>
      </c>
      <c r="H14" s="22">
        <f>INDEX(H4:H13, MATCH($D$14, D4:D13, 0))</f>
        <v>315.4818009440686</v>
      </c>
      <c r="I14" s="22">
        <f>INDEX(I4:I13, MATCH($D$14, D4:D13, 0))</f>
        <v>43.565165325317544</v>
      </c>
      <c r="J14" s="22">
        <f>INDEX(J4:J13, MATCH($D$14, D4:D13, 0))</f>
        <v>5346.775780707324</v>
      </c>
      <c r="K14" s="32" t="e">
        <f>(D14-$D$15)/$D$15</f>
        <v>#DIV/0!</v>
      </c>
      <c r="L14" s="16">
        <f>MIN(L4:L13)</f>
        <v>757996.35077856749</v>
      </c>
      <c r="M14" s="21">
        <f>INDEX(M4:M13, MATCH($L$14, L4:L13, 0))</f>
        <v>172.99843607694268</v>
      </c>
      <c r="N14" s="16">
        <f>INDEX(N4:N13, MATCH($L$14, L4:L13, 0))</f>
        <v>12</v>
      </c>
      <c r="O14" s="16">
        <f>INDEX(O4:O13, MATCH($L$14, L4:L13, 0))</f>
        <v>94</v>
      </c>
      <c r="P14" s="21">
        <f>INDEX(P4:P13, MATCH($L$14, L4:L13, 0))</f>
        <v>473.84136995425985</v>
      </c>
      <c r="Q14" s="21">
        <f>INDEX(Q4:Q13, MATCH($L$14, L4:L13, 0))</f>
        <v>48.377144062046476</v>
      </c>
      <c r="R14" s="21">
        <f>INDEX(R4:R13, MATCH($L$14, L4:L13, 0))</f>
        <v>5415.297251199584</v>
      </c>
      <c r="S14" s="36" t="e">
        <f>(L14-$D$15)/$D$15</f>
        <v>#DIV/0!</v>
      </c>
      <c r="T14" s="38">
        <f>MIN(T4:T13)</f>
        <v>1542338.1312739351</v>
      </c>
      <c r="U14" s="39">
        <f>INDEX(U4:U13, MATCH($T$14, T4:T13, 0))</f>
        <v>131.37159653849753</v>
      </c>
      <c r="V14" s="38">
        <f>INDEX(V4:V13, MATCH($T$14, T4:T13, 0))</f>
        <v>13</v>
      </c>
      <c r="W14" s="38">
        <f>INDEX(W4:W13, MATCH($T$14, T4:T13, 0))</f>
        <v>91.333333333333329</v>
      </c>
      <c r="X14" s="39">
        <f>INDEX(X4:X13, MATCH($T$14, T4:T13, 0))</f>
        <v>241.5729622842565</v>
      </c>
      <c r="Y14" s="39">
        <f>INDEX(Y4:Y13, MATCH($T$14, T4:T13, 0))</f>
        <v>41.623725223768204</v>
      </c>
      <c r="Z14" s="39">
        <f>INDEX(Z4:Z13, MATCH($T$14, T4:T13, 0))</f>
        <v>5119.5412918466373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-0.3437692352498003</v>
      </c>
      <c r="M15" s="41">
        <f t="shared" ref="M15:R15" si="0">(M14-E14)/E14</f>
        <v>0.38412811177269629</v>
      </c>
      <c r="N15" s="41">
        <f t="shared" si="0"/>
        <v>-7.6923076923076927E-2</v>
      </c>
      <c r="O15" s="41">
        <f t="shared" si="0"/>
        <v>0</v>
      </c>
      <c r="P15" s="41">
        <f t="shared" si="0"/>
        <v>0.50196102766088446</v>
      </c>
      <c r="Q15" s="41">
        <f t="shared" si="0"/>
        <v>0.11045473374876623</v>
      </c>
      <c r="R15" s="41">
        <f t="shared" si="0"/>
        <v>1.2815474839903491E-2</v>
      </c>
      <c r="T15" s="41">
        <f>(T14-D14)/D14</f>
        <v>0.3352699262334054</v>
      </c>
      <c r="U15" s="41">
        <f t="shared" ref="U15:Z15" si="1">(U14-E14)/E14</f>
        <v>5.107955875694848E-2</v>
      </c>
      <c r="V15" s="41">
        <f t="shared" si="1"/>
        <v>0</v>
      </c>
      <c r="W15" s="41">
        <f t="shared" si="1"/>
        <v>-2.8368794326241186E-2</v>
      </c>
      <c r="X15" s="41">
        <f t="shared" si="1"/>
        <v>-0.23427290714913632</v>
      </c>
      <c r="Y15" s="41">
        <f t="shared" si="1"/>
        <v>-4.4564047606657137E-2</v>
      </c>
      <c r="Z15" s="41">
        <f t="shared" si="1"/>
        <v>-4.2499348800189622E-2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1:C1048576">
    <cfRule type="duplicateValues" dxfId="109" priority="11"/>
    <cfRule type="duplicateValues" dxfId="108" priority="12"/>
  </conditionalFormatting>
  <conditionalFormatting sqref="C2">
    <cfRule type="duplicateValues" dxfId="107" priority="3"/>
    <cfRule type="duplicateValues" dxfId="106" priority="4"/>
  </conditionalFormatting>
  <conditionalFormatting sqref="C4:C13">
    <cfRule type="duplicateValues" dxfId="105" priority="5"/>
    <cfRule type="duplicateValues" dxfId="104" priority="6"/>
  </conditionalFormatting>
  <conditionalFormatting sqref="C14">
    <cfRule type="duplicateValues" dxfId="103" priority="9"/>
    <cfRule type="duplicateValues" dxfId="102" priority="10"/>
  </conditionalFormatting>
  <conditionalFormatting sqref="C15">
    <cfRule type="duplicateValues" dxfId="101" priority="7"/>
    <cfRule type="duplicateValues" dxfId="100" priority="8"/>
  </conditionalFormatting>
  <conditionalFormatting sqref="C17:C40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9C41-71D6-43C7-8DDF-0A8890644F1D}">
  <dimension ref="B1:AA17"/>
  <sheetViews>
    <sheetView zoomScale="85" zoomScaleNormal="85" workbookViewId="0">
      <selection activeCell="U19" sqref="U19:U3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0.18252914738086168</v>
      </c>
      <c r="R2" s="1">
        <f>(R14-J14)/J14</f>
        <v>2.852638431360156E-2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38</v>
      </c>
      <c r="D4" s="23">
        <v>1121786.2826260659</v>
      </c>
      <c r="E4" s="33">
        <v>323.91321707696005</v>
      </c>
      <c r="F4" s="5">
        <v>13</v>
      </c>
      <c r="G4" s="23">
        <v>98.666666666666671</v>
      </c>
      <c r="H4" s="33">
        <v>619.0229855192207</v>
      </c>
      <c r="I4" s="23">
        <v>45.072103264841239</v>
      </c>
      <c r="J4" s="5">
        <v>5694.8610713517592</v>
      </c>
      <c r="K4" s="31"/>
      <c r="L4" s="23">
        <v>677046.11884172983</v>
      </c>
      <c r="M4" s="33">
        <v>334.55577553849884</v>
      </c>
      <c r="N4" s="5">
        <v>12</v>
      </c>
      <c r="O4" s="23">
        <v>98.666666666666671</v>
      </c>
      <c r="P4" s="33">
        <v>657.66169844615536</v>
      </c>
      <c r="Q4" s="23">
        <v>49.986034975286593</v>
      </c>
      <c r="R4" s="5">
        <v>5824.330303222433</v>
      </c>
      <c r="S4" s="35"/>
      <c r="T4" s="23">
        <v>1529546.36768683</v>
      </c>
      <c r="U4" s="33">
        <v>224.87360707690155</v>
      </c>
      <c r="V4" s="5">
        <v>13</v>
      </c>
      <c r="W4" s="23">
        <v>92</v>
      </c>
      <c r="X4" s="33">
        <v>364.76644279075208</v>
      </c>
      <c r="Y4" s="23">
        <v>40.786821978356699</v>
      </c>
      <c r="Z4" s="5">
        <v>5206.0675350023539</v>
      </c>
      <c r="AA4" s="35"/>
    </row>
    <row r="5" spans="2:27" x14ac:dyDescent="0.2">
      <c r="B5" s="4">
        <v>2</v>
      </c>
      <c r="C5" s="4">
        <v>43</v>
      </c>
      <c r="D5" s="23">
        <v>1121786.2826260659</v>
      </c>
      <c r="E5" s="33">
        <v>208.6951060769542</v>
      </c>
      <c r="F5" s="5">
        <v>13</v>
      </c>
      <c r="G5" s="23">
        <v>98.666666666666671</v>
      </c>
      <c r="H5" s="33">
        <v>619.0229855192207</v>
      </c>
      <c r="I5" s="23">
        <v>45.072103264841239</v>
      </c>
      <c r="J5" s="5">
        <v>5694.8610713517592</v>
      </c>
      <c r="K5" s="31"/>
      <c r="L5" s="23">
        <v>708758.80721698562</v>
      </c>
      <c r="M5" s="33">
        <v>242.81860230768172</v>
      </c>
      <c r="N5" s="5">
        <v>12</v>
      </c>
      <c r="O5" s="23">
        <v>98.666666666666671</v>
      </c>
      <c r="P5" s="33">
        <v>770.44678680487687</v>
      </c>
      <c r="Q5" s="23">
        <v>49.165604361843855</v>
      </c>
      <c r="R5" s="5">
        <v>6043.8675219084171</v>
      </c>
      <c r="S5" s="35"/>
      <c r="T5" s="23">
        <v>1560361.0714852461</v>
      </c>
      <c r="U5" s="33">
        <v>184.99444784614471</v>
      </c>
      <c r="V5" s="5">
        <v>12</v>
      </c>
      <c r="W5" s="23">
        <v>87.333333333333329</v>
      </c>
      <c r="X5" s="33">
        <v>223.47677989063382</v>
      </c>
      <c r="Y5" s="23">
        <v>41.298416979886866</v>
      </c>
      <c r="Z5" s="5">
        <v>5068.183842231183</v>
      </c>
      <c r="AA5" s="35"/>
    </row>
    <row r="6" spans="2:27" x14ac:dyDescent="0.2">
      <c r="B6" s="4">
        <v>3</v>
      </c>
      <c r="C6" s="4">
        <v>165</v>
      </c>
      <c r="D6" s="23">
        <v>1146239.0879266439</v>
      </c>
      <c r="E6" s="33">
        <v>145.33956584610183</v>
      </c>
      <c r="F6" s="5">
        <v>14</v>
      </c>
      <c r="G6" s="23">
        <v>98.666666666666671</v>
      </c>
      <c r="H6" s="33">
        <v>647.95799584527902</v>
      </c>
      <c r="I6" s="23">
        <v>42.327934779083762</v>
      </c>
      <c r="J6" s="5">
        <v>5712.7035541894957</v>
      </c>
      <c r="K6" s="31"/>
      <c r="L6" s="23">
        <v>697726.63805966184</v>
      </c>
      <c r="M6" s="33">
        <v>167.35994776916831</v>
      </c>
      <c r="N6" s="5">
        <v>14</v>
      </c>
      <c r="O6" s="23">
        <v>98.666666666666671</v>
      </c>
      <c r="P6" s="33">
        <v>541.32428720382882</v>
      </c>
      <c r="Q6" s="23">
        <v>42.044119107157705</v>
      </c>
      <c r="R6" s="5">
        <v>5700.4153548763225</v>
      </c>
      <c r="S6" s="35"/>
      <c r="T6" s="23">
        <v>1587083.8810483089</v>
      </c>
      <c r="U6" s="33">
        <v>474.04974046154302</v>
      </c>
      <c r="V6" s="5">
        <v>13</v>
      </c>
      <c r="W6" s="23">
        <v>88.666666666666671</v>
      </c>
      <c r="X6" s="33">
        <v>293.18823244979848</v>
      </c>
      <c r="Y6" s="23">
        <v>38.502027111131454</v>
      </c>
      <c r="Z6" s="5">
        <v>5207.3262233663309</v>
      </c>
      <c r="AA6" s="35"/>
    </row>
    <row r="7" spans="2:27" x14ac:dyDescent="0.2">
      <c r="B7" s="4">
        <v>4</v>
      </c>
      <c r="C7" s="4">
        <v>242</v>
      </c>
      <c r="D7" s="23">
        <v>1130331.2847810029</v>
      </c>
      <c r="E7" s="33">
        <v>333.8130008461527</v>
      </c>
      <c r="F7" s="5">
        <v>14</v>
      </c>
      <c r="G7" s="23">
        <v>98.666666666666671</v>
      </c>
      <c r="H7" s="33">
        <v>539.58555323621454</v>
      </c>
      <c r="I7" s="23">
        <v>42.186819433527738</v>
      </c>
      <c r="J7" s="5">
        <v>5683.283563563481</v>
      </c>
      <c r="K7" s="31"/>
      <c r="L7" s="23">
        <v>704535.05892042315</v>
      </c>
      <c r="M7" s="33">
        <v>127.90025484613861</v>
      </c>
      <c r="N7" s="5">
        <v>12</v>
      </c>
      <c r="O7" s="23">
        <v>98.666666666666671</v>
      </c>
      <c r="P7" s="33">
        <v>745.39431961274988</v>
      </c>
      <c r="Q7" s="23">
        <v>48.538708382263586</v>
      </c>
      <c r="R7" s="5">
        <v>6017.7087159940456</v>
      </c>
      <c r="S7" s="35"/>
      <c r="T7" s="23">
        <v>1569113.843745715</v>
      </c>
      <c r="U7" s="33">
        <v>264.68541161542254</v>
      </c>
      <c r="V7" s="5">
        <v>11</v>
      </c>
      <c r="W7" s="23">
        <v>87.333333333333329</v>
      </c>
      <c r="X7" s="33">
        <v>243.62315568501015</v>
      </c>
      <c r="Y7" s="23">
        <v>44.569717175076967</v>
      </c>
      <c r="Z7" s="5">
        <v>5196.8182179762071</v>
      </c>
      <c r="AA7" s="35"/>
    </row>
    <row r="8" spans="2:27" x14ac:dyDescent="0.2">
      <c r="B8" s="4">
        <v>5</v>
      </c>
      <c r="C8" s="4">
        <v>358</v>
      </c>
      <c r="D8" s="23">
        <v>1134322.89888199</v>
      </c>
      <c r="E8" s="33">
        <v>145.86066753845299</v>
      </c>
      <c r="F8" s="5">
        <v>13</v>
      </c>
      <c r="G8" s="23">
        <v>98.666666666666671</v>
      </c>
      <c r="H8" s="33">
        <v>601.82548601251983</v>
      </c>
      <c r="I8" s="23">
        <v>43.954983973877411</v>
      </c>
      <c r="J8" s="5">
        <v>5755.0234233203137</v>
      </c>
      <c r="K8" s="31"/>
      <c r="L8" s="23">
        <v>713801.83549295808</v>
      </c>
      <c r="M8" s="33">
        <v>448.6315727692384</v>
      </c>
      <c r="N8" s="5">
        <v>14</v>
      </c>
      <c r="O8" s="23">
        <v>98.666666666666671</v>
      </c>
      <c r="P8" s="33">
        <v>645.34238331920915</v>
      </c>
      <c r="Q8" s="23">
        <v>41.391599070179929</v>
      </c>
      <c r="R8" s="5">
        <v>5717.2278906200963</v>
      </c>
      <c r="S8" s="35"/>
      <c r="T8" s="23">
        <v>1566166.836963824</v>
      </c>
      <c r="U8" s="33">
        <v>301.72653415383633</v>
      </c>
      <c r="V8" s="5">
        <v>12</v>
      </c>
      <c r="W8" s="23">
        <v>87.333333333333329</v>
      </c>
      <c r="X8" s="33">
        <v>248.39265766260985</v>
      </c>
      <c r="Y8" s="23">
        <v>41.339802192642672</v>
      </c>
      <c r="Z8" s="5">
        <v>5074.509436790936</v>
      </c>
      <c r="AA8" s="35"/>
    </row>
    <row r="9" spans="2:27" x14ac:dyDescent="0.2">
      <c r="B9" s="4">
        <v>6</v>
      </c>
      <c r="C9" s="4">
        <v>479</v>
      </c>
      <c r="D9" s="23">
        <v>1120670.5772736871</v>
      </c>
      <c r="E9" s="33">
        <v>230.17353484613031</v>
      </c>
      <c r="F9" s="5">
        <v>13</v>
      </c>
      <c r="G9" s="23">
        <v>98.666666666666671</v>
      </c>
      <c r="H9" s="33">
        <v>598.59378458235756</v>
      </c>
      <c r="I9" s="23">
        <v>43.835182209102499</v>
      </c>
      <c r="J9" s="5">
        <v>5690.5646683356308</v>
      </c>
      <c r="K9" s="31"/>
      <c r="L9" s="23">
        <v>721275.45981953759</v>
      </c>
      <c r="M9" s="33">
        <v>212.16516861539839</v>
      </c>
      <c r="N9" s="5">
        <v>14</v>
      </c>
      <c r="O9" s="23">
        <v>98.666666666666671</v>
      </c>
      <c r="P9" s="33">
        <v>647.90895766850076</v>
      </c>
      <c r="Q9" s="23">
        <v>40.725193739513728</v>
      </c>
      <c r="R9" s="5">
        <v>5776.46313182009</v>
      </c>
      <c r="S9" s="35"/>
      <c r="T9" s="23">
        <v>1557201.7986972199</v>
      </c>
      <c r="U9" s="33">
        <v>204.88141084618221</v>
      </c>
      <c r="V9" s="5">
        <v>12</v>
      </c>
      <c r="W9" s="23">
        <v>88.666666666666671</v>
      </c>
      <c r="X9" s="33">
        <v>253.92492744516619</v>
      </c>
      <c r="Y9" s="23">
        <v>40.894148575424957</v>
      </c>
      <c r="Z9" s="5">
        <v>5110.5093343462649</v>
      </c>
      <c r="AA9" s="35"/>
    </row>
    <row r="10" spans="2:27" x14ac:dyDescent="0.2">
      <c r="B10" s="4">
        <v>7</v>
      </c>
      <c r="C10" s="4">
        <v>517</v>
      </c>
      <c r="D10" s="23">
        <v>1109461.4547045201</v>
      </c>
      <c r="E10" s="33">
        <v>267.75269992309256</v>
      </c>
      <c r="F10" s="5">
        <v>13</v>
      </c>
      <c r="G10" s="23">
        <v>98.666666666666671</v>
      </c>
      <c r="H10" s="33">
        <v>556.1484043778413</v>
      </c>
      <c r="I10" s="23">
        <v>46.079268944698597</v>
      </c>
      <c r="J10" s="5">
        <v>5662.791341137412</v>
      </c>
      <c r="K10" s="31"/>
      <c r="L10" s="23">
        <v>713911.11444007466</v>
      </c>
      <c r="M10" s="33">
        <v>89.441005076962298</v>
      </c>
      <c r="N10" s="5">
        <v>12</v>
      </c>
      <c r="O10" s="23">
        <v>98.666666666666671</v>
      </c>
      <c r="P10" s="33">
        <v>803.24852048566572</v>
      </c>
      <c r="Q10" s="23">
        <v>49.53551308613941</v>
      </c>
      <c r="R10" s="5">
        <v>6082.6180753373847</v>
      </c>
      <c r="S10" s="35"/>
      <c r="T10" s="23">
        <v>1562375.4760200121</v>
      </c>
      <c r="U10" s="33">
        <v>342.07340707689019</v>
      </c>
      <c r="V10" s="5">
        <v>13</v>
      </c>
      <c r="W10" s="23">
        <v>90.666666666666671</v>
      </c>
      <c r="X10" s="33">
        <v>350.39185722202046</v>
      </c>
      <c r="Y10" s="23">
        <v>40.890682595056248</v>
      </c>
      <c r="Z10" s="5">
        <v>5241.5450632132124</v>
      </c>
      <c r="AA10" s="35"/>
    </row>
    <row r="11" spans="2:27" x14ac:dyDescent="0.2">
      <c r="B11" s="4">
        <v>8</v>
      </c>
      <c r="C11" s="4">
        <v>583</v>
      </c>
      <c r="D11" s="23">
        <v>1208164.084242699</v>
      </c>
      <c r="E11" s="33">
        <v>135.39227392309562</v>
      </c>
      <c r="F11" s="5">
        <v>13</v>
      </c>
      <c r="G11" s="23">
        <v>97.333333333333329</v>
      </c>
      <c r="H11" s="33">
        <v>788.31076836414411</v>
      </c>
      <c r="I11" s="23">
        <v>45.564296915079552</v>
      </c>
      <c r="J11" s="5">
        <v>5997.4604940281197</v>
      </c>
      <c r="K11" s="31"/>
      <c r="L11" s="23">
        <v>701189.3959667692</v>
      </c>
      <c r="M11" s="33">
        <v>125.71172853842229</v>
      </c>
      <c r="N11" s="5">
        <v>12</v>
      </c>
      <c r="O11" s="23">
        <v>98.666666666666671</v>
      </c>
      <c r="P11" s="33">
        <v>759.46711921824931</v>
      </c>
      <c r="Q11" s="23">
        <v>48.337335127809418</v>
      </c>
      <c r="R11" s="5">
        <v>5940.5689839933721</v>
      </c>
      <c r="S11" s="35"/>
      <c r="T11" s="23">
        <v>1546967.3455359431</v>
      </c>
      <c r="U11" s="33">
        <v>331.25536492309311</v>
      </c>
      <c r="V11" s="5">
        <v>13</v>
      </c>
      <c r="W11" s="23">
        <v>92</v>
      </c>
      <c r="X11" s="33">
        <v>413.39620762665902</v>
      </c>
      <c r="Y11" s="23">
        <v>40.08698768173403</v>
      </c>
      <c r="Z11" s="5">
        <v>5245.5873498324599</v>
      </c>
      <c r="AA11" s="35"/>
    </row>
    <row r="12" spans="2:27" x14ac:dyDescent="0.2">
      <c r="B12" s="4">
        <v>9</v>
      </c>
      <c r="C12" s="4">
        <v>614</v>
      </c>
      <c r="D12" s="23">
        <v>1158688.9487574219</v>
      </c>
      <c r="E12" s="33">
        <v>130.9993118461436</v>
      </c>
      <c r="F12" s="5">
        <v>13</v>
      </c>
      <c r="G12" s="23">
        <v>98</v>
      </c>
      <c r="H12" s="33">
        <v>600.50049892048003</v>
      </c>
      <c r="I12" s="23">
        <v>44.082311528140231</v>
      </c>
      <c r="J12" s="5">
        <v>5867.9866836457422</v>
      </c>
      <c r="K12" s="31"/>
      <c r="L12" s="23">
        <v>699474.30931342684</v>
      </c>
      <c r="M12" s="33">
        <v>134.88908330766631</v>
      </c>
      <c r="N12" s="5">
        <v>14</v>
      </c>
      <c r="O12" s="23">
        <v>98.666666666666671</v>
      </c>
      <c r="P12" s="33">
        <v>544.09520346453428</v>
      </c>
      <c r="Q12" s="23">
        <v>42.435883784352981</v>
      </c>
      <c r="R12" s="5">
        <v>5729.2857335464341</v>
      </c>
      <c r="S12" s="35"/>
      <c r="T12" s="23">
        <v>1567772.095279716</v>
      </c>
      <c r="U12" s="33">
        <v>161.33157130769598</v>
      </c>
      <c r="V12" s="5">
        <v>12</v>
      </c>
      <c r="W12" s="23">
        <v>90</v>
      </c>
      <c r="X12" s="33">
        <v>336.36294494782072</v>
      </c>
      <c r="Y12" s="23">
        <v>43.796200453285302</v>
      </c>
      <c r="Z12" s="5">
        <v>5298.263157498086</v>
      </c>
      <c r="AA12" s="35"/>
    </row>
    <row r="13" spans="2:27" x14ac:dyDescent="0.2">
      <c r="B13" s="4">
        <v>10</v>
      </c>
      <c r="C13" s="4">
        <v>945</v>
      </c>
      <c r="D13" s="23">
        <v>1148819.2570402501</v>
      </c>
      <c r="E13" s="33">
        <v>155.96661746152677</v>
      </c>
      <c r="F13" s="5">
        <v>14</v>
      </c>
      <c r="G13" s="23">
        <v>98.666666666666671</v>
      </c>
      <c r="H13" s="33">
        <v>613.47811460885009</v>
      </c>
      <c r="I13" s="23">
        <v>41.600870935938474</v>
      </c>
      <c r="J13" s="5">
        <v>5742.8782596553647</v>
      </c>
      <c r="K13" s="31"/>
      <c r="L13" s="23">
        <v>736077.94085546781</v>
      </c>
      <c r="M13" s="33">
        <v>240.30160330764309</v>
      </c>
      <c r="N13" s="5">
        <v>14</v>
      </c>
      <c r="O13" s="23">
        <v>98.666666666666671</v>
      </c>
      <c r="P13" s="33">
        <v>705.97028271858403</v>
      </c>
      <c r="Q13" s="23">
        <v>41.038715810207528</v>
      </c>
      <c r="R13" s="5">
        <v>5928.797094328309</v>
      </c>
      <c r="S13" s="35"/>
      <c r="T13" s="23">
        <v>1561401.12685189</v>
      </c>
      <c r="U13" s="33">
        <v>175.87682369227807</v>
      </c>
      <c r="V13" s="5">
        <v>12</v>
      </c>
      <c r="W13" s="23">
        <v>92.666666666666671</v>
      </c>
      <c r="X13" s="33">
        <v>435.71160336891194</v>
      </c>
      <c r="Y13" s="23">
        <v>43.333116827967871</v>
      </c>
      <c r="Z13" s="5">
        <v>5444.261696561497</v>
      </c>
      <c r="AA13" s="35"/>
    </row>
    <row r="14" spans="2:27" x14ac:dyDescent="0.2">
      <c r="B14" s="50" t="s">
        <v>3</v>
      </c>
      <c r="C14" s="51"/>
      <c r="D14" s="9">
        <f>MIN(D4:D13)</f>
        <v>1109461.4547045201</v>
      </c>
      <c r="E14" s="22">
        <f>INDEX(E4:E13, MATCH($D$14, D4:D13, 0))</f>
        <v>267.75269992309256</v>
      </c>
      <c r="F14" s="9">
        <f>INDEX(F4:F13, MATCH($D$14, D4:D13, 0))</f>
        <v>13</v>
      </c>
      <c r="G14" s="9">
        <f>INDEX(G4:G13, MATCH($D$14, D4:D13, 0))</f>
        <v>98.666666666666671</v>
      </c>
      <c r="H14" s="22">
        <f>INDEX(H4:H13, MATCH($D$14, D4:D13, 0))</f>
        <v>556.1484043778413</v>
      </c>
      <c r="I14" s="22">
        <f>INDEX(I4:I13, MATCH($D$14, D4:D13, 0))</f>
        <v>46.079268944698597</v>
      </c>
      <c r="J14" s="22">
        <f>INDEX(J4:J13, MATCH($D$14, D4:D13, 0))</f>
        <v>5662.791341137412</v>
      </c>
      <c r="K14" s="32" t="e">
        <f>(D14-$D$15)/$D$15</f>
        <v>#DIV/0!</v>
      </c>
      <c r="L14" s="16">
        <f>MIN(L4:L13)</f>
        <v>677046.11884172983</v>
      </c>
      <c r="M14" s="21">
        <f>INDEX(M4:M13, MATCH($L$14, L4:L13, 0))</f>
        <v>334.55577553849884</v>
      </c>
      <c r="N14" s="16">
        <f>INDEX(N4:N13, MATCH($L$14, L4:L13, 0))</f>
        <v>12</v>
      </c>
      <c r="O14" s="16">
        <f>INDEX(O4:O13, MATCH($L$14, L4:L13, 0))</f>
        <v>98.666666666666671</v>
      </c>
      <c r="P14" s="21">
        <f>INDEX(P4:P13, MATCH($L$14, L4:L13, 0))</f>
        <v>657.66169844615536</v>
      </c>
      <c r="Q14" s="21">
        <f>INDEX(Q4:Q13, MATCH($L$14, L4:L13, 0))</f>
        <v>49.986034975286593</v>
      </c>
      <c r="R14" s="21">
        <f>INDEX(R4:R13, MATCH($L$14, L4:L13, 0))</f>
        <v>5824.330303222433</v>
      </c>
      <c r="S14" s="36" t="e">
        <f>(L14-$D$15)/$D$15</f>
        <v>#DIV/0!</v>
      </c>
      <c r="T14" s="38">
        <f>MIN(T4:T13)</f>
        <v>1529546.36768683</v>
      </c>
      <c r="U14" s="39">
        <f>INDEX(U4:U13, MATCH($T$14, T4:T13, 0))</f>
        <v>224.87360707690155</v>
      </c>
      <c r="V14" s="38">
        <f>INDEX(V4:V13, MATCH($T$14, T4:T13, 0))</f>
        <v>13</v>
      </c>
      <c r="W14" s="38">
        <f>INDEX(W4:W13, MATCH($T$14, T4:T13, 0))</f>
        <v>92</v>
      </c>
      <c r="X14" s="39">
        <f>INDEX(X4:X13, MATCH($T$14, T4:T13, 0))</f>
        <v>364.76644279075208</v>
      </c>
      <c r="Y14" s="39">
        <f>INDEX(Y4:Y13, MATCH($T$14, T4:T13, 0))</f>
        <v>40.786821978356699</v>
      </c>
      <c r="Z14" s="39">
        <f>INDEX(Z4:Z13, MATCH($T$14, T4:T13, 0))</f>
        <v>5206.0675350023539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-0.38975246416105036</v>
      </c>
      <c r="M15" s="41">
        <f t="shared" ref="M15:R15" si="0">(M14-E14)/E14</f>
        <v>0.24949543229477919</v>
      </c>
      <c r="N15" s="41">
        <f t="shared" si="0"/>
        <v>-7.6923076923076927E-2</v>
      </c>
      <c r="O15" s="41">
        <f t="shared" si="0"/>
        <v>0</v>
      </c>
      <c r="P15" s="41">
        <f t="shared" si="0"/>
        <v>0.18252914738086168</v>
      </c>
      <c r="Q15" s="41">
        <f t="shared" si="0"/>
        <v>8.4783594012236757E-2</v>
      </c>
      <c r="R15" s="41">
        <f t="shared" si="0"/>
        <v>2.852638431360156E-2</v>
      </c>
      <c r="T15" s="41">
        <f>(T14-D14)/D14</f>
        <v>0.37863858289172386</v>
      </c>
      <c r="U15" s="41">
        <f t="shared" ref="U15:Z15" si="1">(U14-E14)/E14</f>
        <v>-0.16014439017237664</v>
      </c>
      <c r="V15" s="41">
        <f t="shared" si="1"/>
        <v>0</v>
      </c>
      <c r="W15" s="41">
        <f t="shared" si="1"/>
        <v>-6.7567567567567613E-2</v>
      </c>
      <c r="X15" s="41">
        <f t="shared" si="1"/>
        <v>-0.3441203104793345</v>
      </c>
      <c r="Y15" s="41">
        <f t="shared" si="1"/>
        <v>-0.11485527195957811</v>
      </c>
      <c r="Z15" s="41">
        <f t="shared" si="1"/>
        <v>-8.0653476107654332E-2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1:C1048576">
    <cfRule type="duplicateValues" dxfId="99" priority="11"/>
    <cfRule type="duplicateValues" dxfId="98" priority="12"/>
  </conditionalFormatting>
  <conditionalFormatting sqref="C2">
    <cfRule type="duplicateValues" dxfId="97" priority="3"/>
    <cfRule type="duplicateValues" dxfId="96" priority="4"/>
  </conditionalFormatting>
  <conditionalFormatting sqref="C4:C13">
    <cfRule type="duplicateValues" dxfId="95" priority="5"/>
    <cfRule type="duplicateValues" dxfId="94" priority="6"/>
  </conditionalFormatting>
  <conditionalFormatting sqref="C14">
    <cfRule type="duplicateValues" dxfId="93" priority="9"/>
    <cfRule type="duplicateValues" dxfId="92" priority="10"/>
  </conditionalFormatting>
  <conditionalFormatting sqref="C15">
    <cfRule type="duplicateValues" dxfId="91" priority="7"/>
    <cfRule type="duplicateValues" dxfId="90" priority="8"/>
  </conditionalFormatting>
  <conditionalFormatting sqref="C17:C40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E562-5A4A-4199-8EFE-21B684C6C986}">
  <dimension ref="B1:AA17"/>
  <sheetViews>
    <sheetView zoomScale="85" zoomScaleNormal="85" workbookViewId="0">
      <selection activeCell="U19" sqref="U19:U35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-8.1220503225907462E-3</v>
      </c>
      <c r="R2" s="1">
        <f>(R14-J14)/J14</f>
        <v>5.8667043174071891E-2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16</v>
      </c>
      <c r="D4" s="23">
        <v>1140190.0234291479</v>
      </c>
      <c r="E4" s="33">
        <v>126.30827415376331</v>
      </c>
      <c r="F4" s="5">
        <v>12</v>
      </c>
      <c r="G4" s="23">
        <v>96.666666666666671</v>
      </c>
      <c r="H4" s="33">
        <v>564.16082997875378</v>
      </c>
      <c r="I4" s="23">
        <v>44.547633874464715</v>
      </c>
      <c r="J4" s="5">
        <v>5610.9785466450712</v>
      </c>
      <c r="K4" s="31"/>
      <c r="L4" s="23">
        <v>691902.35554240784</v>
      </c>
      <c r="M4" s="33">
        <v>106.45690592310324</v>
      </c>
      <c r="N4" s="5">
        <v>12</v>
      </c>
      <c r="O4" s="23">
        <v>96.666666666666671</v>
      </c>
      <c r="P4" s="33">
        <v>462.65841286103836</v>
      </c>
      <c r="Q4" s="23">
        <v>44.547021081210097</v>
      </c>
      <c r="R4" s="5">
        <v>5429.207685807698</v>
      </c>
      <c r="S4" s="35"/>
      <c r="T4" s="23">
        <v>1620690.624120035</v>
      </c>
      <c r="U4" s="33">
        <v>231.59923461534515</v>
      </c>
      <c r="V4" s="5">
        <v>11</v>
      </c>
      <c r="W4" s="23">
        <v>88.666666666666671</v>
      </c>
      <c r="X4" s="33">
        <v>351.51546735996067</v>
      </c>
      <c r="Y4" s="23">
        <v>42.395995768604784</v>
      </c>
      <c r="Z4" s="5">
        <v>5416.999991753878</v>
      </c>
      <c r="AA4" s="35"/>
    </row>
    <row r="5" spans="2:27" x14ac:dyDescent="0.2">
      <c r="B5" s="4">
        <v>2</v>
      </c>
      <c r="C5" s="4">
        <v>80</v>
      </c>
      <c r="D5" s="23">
        <v>1082711.424619141</v>
      </c>
      <c r="E5" s="33">
        <v>196.92162207685985</v>
      </c>
      <c r="F5" s="5">
        <v>14</v>
      </c>
      <c r="G5" s="23">
        <v>96.666666666666671</v>
      </c>
      <c r="H5" s="33">
        <v>341.23408527907327</v>
      </c>
      <c r="I5" s="23">
        <v>37.728680826147844</v>
      </c>
      <c r="J5" s="5">
        <v>5124.14575974318</v>
      </c>
      <c r="K5" s="31"/>
      <c r="L5" s="23">
        <v>691676.25036203349</v>
      </c>
      <c r="M5" s="33">
        <v>106.23077884620915</v>
      </c>
      <c r="N5" s="5">
        <v>13</v>
      </c>
      <c r="O5" s="23">
        <v>96.666666666666671</v>
      </c>
      <c r="P5" s="33">
        <v>425.35153025020912</v>
      </c>
      <c r="Q5" s="23">
        <v>40.814939966945772</v>
      </c>
      <c r="R5" s="5">
        <v>5182.317369454212</v>
      </c>
      <c r="S5" s="35"/>
      <c r="T5" s="23">
        <v>1553690.4441573271</v>
      </c>
      <c r="U5" s="33">
        <v>107.76438938462746</v>
      </c>
      <c r="V5" s="5">
        <v>12</v>
      </c>
      <c r="W5" s="23">
        <v>88</v>
      </c>
      <c r="X5" s="33">
        <v>196.28667253887028</v>
      </c>
      <c r="Y5" s="23">
        <v>38.703601648578193</v>
      </c>
      <c r="Z5" s="5">
        <v>5001.5946904519769</v>
      </c>
      <c r="AA5" s="35"/>
    </row>
    <row r="6" spans="2:27" x14ac:dyDescent="0.2">
      <c r="B6" s="4">
        <v>3</v>
      </c>
      <c r="C6" s="4">
        <v>183</v>
      </c>
      <c r="D6" s="23">
        <v>1050417.709782372</v>
      </c>
      <c r="E6" s="33">
        <v>217.86547646150356</v>
      </c>
      <c r="F6" s="5">
        <v>14</v>
      </c>
      <c r="G6" s="23">
        <v>96.666666666666671</v>
      </c>
      <c r="H6" s="33">
        <v>371.24558506965866</v>
      </c>
      <c r="I6" s="23">
        <v>37.439649434799328</v>
      </c>
      <c r="J6" s="5">
        <v>4893.5953189958855</v>
      </c>
      <c r="K6" s="31"/>
      <c r="L6" s="23">
        <v>704625.88239770359</v>
      </c>
      <c r="M6" s="33">
        <v>101.24169561537339</v>
      </c>
      <c r="N6" s="5">
        <v>12</v>
      </c>
      <c r="O6" s="23">
        <v>96.666666666666671</v>
      </c>
      <c r="P6" s="33">
        <v>519.24106402218683</v>
      </c>
      <c r="Q6" s="23">
        <v>43.713408408025174</v>
      </c>
      <c r="R6" s="5">
        <v>5462.3899911310873</v>
      </c>
      <c r="S6" s="35"/>
      <c r="T6" s="23">
        <v>1408390.2598686691</v>
      </c>
      <c r="U6" s="33">
        <v>278.93568184611814</v>
      </c>
      <c r="V6" s="5">
        <v>14</v>
      </c>
      <c r="W6" s="23">
        <v>96</v>
      </c>
      <c r="X6" s="33">
        <v>323.52780453366154</v>
      </c>
      <c r="Y6" s="23">
        <v>37.121341294813142</v>
      </c>
      <c r="Z6" s="5">
        <v>4821.3862315260449</v>
      </c>
      <c r="AA6" s="35"/>
    </row>
    <row r="7" spans="2:27" x14ac:dyDescent="0.2">
      <c r="B7" s="4">
        <v>4</v>
      </c>
      <c r="C7" s="4">
        <v>194</v>
      </c>
      <c r="D7" s="23">
        <v>1093225.2305004499</v>
      </c>
      <c r="E7" s="33">
        <v>174.32775238457208</v>
      </c>
      <c r="F7" s="5">
        <v>14</v>
      </c>
      <c r="G7" s="23">
        <v>96.666666666666671</v>
      </c>
      <c r="H7" s="33">
        <v>390.90742838215931</v>
      </c>
      <c r="I7" s="23">
        <v>37.483494527445018</v>
      </c>
      <c r="J7" s="5">
        <v>5159.4165147039748</v>
      </c>
      <c r="K7" s="31"/>
      <c r="L7" s="23">
        <v>731002.98370023165</v>
      </c>
      <c r="M7" s="33">
        <v>197.95977123081684</v>
      </c>
      <c r="N7" s="5">
        <v>13</v>
      </c>
      <c r="O7" s="23">
        <v>96.666666666666671</v>
      </c>
      <c r="P7" s="33">
        <v>580.12577873233613</v>
      </c>
      <c r="Q7" s="23">
        <v>40.81844742127258</v>
      </c>
      <c r="R7" s="5">
        <v>5469.4182515825451</v>
      </c>
      <c r="S7" s="35"/>
      <c r="T7" s="23">
        <v>1410532.850611008</v>
      </c>
      <c r="U7" s="33">
        <v>297.14801661535881</v>
      </c>
      <c r="V7" s="5">
        <v>14</v>
      </c>
      <c r="W7" s="23">
        <v>95.333333333333329</v>
      </c>
      <c r="X7" s="33">
        <v>306.03872110758653</v>
      </c>
      <c r="Y7" s="23">
        <v>36.767417114885653</v>
      </c>
      <c r="Z7" s="5">
        <v>4783.7466559404338</v>
      </c>
      <c r="AA7" s="35"/>
    </row>
    <row r="8" spans="2:27" x14ac:dyDescent="0.2">
      <c r="B8" s="4">
        <v>5</v>
      </c>
      <c r="C8" s="4">
        <v>323</v>
      </c>
      <c r="D8" s="23">
        <v>1129378.7609582299</v>
      </c>
      <c r="E8" s="33">
        <v>338.10159884617087</v>
      </c>
      <c r="F8" s="5">
        <v>15</v>
      </c>
      <c r="G8" s="23">
        <v>96.666666666666671</v>
      </c>
      <c r="H8" s="33">
        <v>386.83742233253872</v>
      </c>
      <c r="I8" s="23">
        <v>34.229361819244104</v>
      </c>
      <c r="J8" s="5">
        <v>5229.5433522831599</v>
      </c>
      <c r="K8" s="31"/>
      <c r="L8" s="23">
        <v>682322.85194686649</v>
      </c>
      <c r="M8" s="33">
        <v>125.04904946151115</v>
      </c>
      <c r="N8" s="5">
        <v>13</v>
      </c>
      <c r="O8" s="23">
        <v>96.666666666666671</v>
      </c>
      <c r="P8" s="33">
        <v>348.53506324893067</v>
      </c>
      <c r="Q8" s="23">
        <v>40.147721174013263</v>
      </c>
      <c r="R8" s="5">
        <v>5157.1949510724953</v>
      </c>
      <c r="S8" s="35"/>
      <c r="T8" s="23">
        <v>1445331.9282351721</v>
      </c>
      <c r="U8" s="33">
        <v>473.27852684619404</v>
      </c>
      <c r="V8" s="5">
        <v>15</v>
      </c>
      <c r="W8" s="23">
        <v>95.333333333333329</v>
      </c>
      <c r="X8" s="33">
        <v>343.48610188817463</v>
      </c>
      <c r="Y8" s="23">
        <v>35.23735852100603</v>
      </c>
      <c r="Z8" s="5">
        <v>4879.4251628530474</v>
      </c>
      <c r="AA8" s="35"/>
    </row>
    <row r="9" spans="2:27" x14ac:dyDescent="0.2">
      <c r="B9" s="4">
        <v>6</v>
      </c>
      <c r="C9" s="4">
        <v>356</v>
      </c>
      <c r="D9" s="23">
        <v>1046045.483747479</v>
      </c>
      <c r="E9" s="33">
        <v>205.49383246160752</v>
      </c>
      <c r="F9" s="5">
        <v>14</v>
      </c>
      <c r="G9" s="23">
        <v>96.666666666666671</v>
      </c>
      <c r="H9" s="33">
        <v>351.38906290061749</v>
      </c>
      <c r="I9" s="23">
        <v>37.424531203822959</v>
      </c>
      <c r="J9" s="5">
        <v>4871.4040777261835</v>
      </c>
      <c r="K9" s="31"/>
      <c r="L9" s="23">
        <v>691991.88556067226</v>
      </c>
      <c r="M9" s="33">
        <v>145.11212446153738</v>
      </c>
      <c r="N9" s="5">
        <v>13</v>
      </c>
      <c r="O9" s="23">
        <v>96.666666666666671</v>
      </c>
      <c r="P9" s="33">
        <v>446.36729078547199</v>
      </c>
      <c r="Q9" s="23">
        <v>40.984558347487365</v>
      </c>
      <c r="R9" s="5">
        <v>5190.277287544659</v>
      </c>
      <c r="S9" s="35"/>
      <c r="T9" s="23">
        <v>1593997.2677381861</v>
      </c>
      <c r="U9" s="33">
        <v>234.97294792305462</v>
      </c>
      <c r="V9" s="5">
        <v>12</v>
      </c>
      <c r="W9" s="23">
        <v>87.333333333333329</v>
      </c>
      <c r="X9" s="33">
        <v>259.78841333682453</v>
      </c>
      <c r="Y9" s="23">
        <v>39.000848169958658</v>
      </c>
      <c r="Z9" s="5">
        <v>5146.6691093508762</v>
      </c>
      <c r="AA9" s="35"/>
    </row>
    <row r="10" spans="2:27" x14ac:dyDescent="0.2">
      <c r="B10" s="4">
        <v>7</v>
      </c>
      <c r="C10" s="4">
        <v>435</v>
      </c>
      <c r="D10" s="23">
        <v>1106261.1965489159</v>
      </c>
      <c r="E10" s="33">
        <v>163.43257253846298</v>
      </c>
      <c r="F10" s="5">
        <v>14</v>
      </c>
      <c r="G10" s="23">
        <v>96.666666666666671</v>
      </c>
      <c r="H10" s="33">
        <v>458.61522459470422</v>
      </c>
      <c r="I10" s="23">
        <v>38.401762948415197</v>
      </c>
      <c r="J10" s="5">
        <v>5223.9263487252529</v>
      </c>
      <c r="K10" s="31"/>
      <c r="L10" s="23">
        <v>692459.98866311566</v>
      </c>
      <c r="M10" s="33">
        <v>197.40270261536352</v>
      </c>
      <c r="N10" s="5">
        <v>14</v>
      </c>
      <c r="O10" s="23">
        <v>96.666666666666671</v>
      </c>
      <c r="P10" s="33">
        <v>337.01700072425444</v>
      </c>
      <c r="Q10" s="23">
        <v>38.635373378675055</v>
      </c>
      <c r="R10" s="5">
        <v>5102.0978570408715</v>
      </c>
      <c r="S10" s="35"/>
      <c r="T10" s="23">
        <v>1513547.141273553</v>
      </c>
      <c r="U10" s="33">
        <v>241.66781769232608</v>
      </c>
      <c r="V10" s="5">
        <v>14</v>
      </c>
      <c r="W10" s="23">
        <v>94.666666666666671</v>
      </c>
      <c r="X10" s="33">
        <v>392.58649544188251</v>
      </c>
      <c r="Y10" s="23">
        <v>36.313499387011703</v>
      </c>
      <c r="Z10" s="5">
        <v>5131.2482996605586</v>
      </c>
      <c r="AA10" s="35"/>
    </row>
    <row r="11" spans="2:27" x14ac:dyDescent="0.2">
      <c r="B11" s="4">
        <v>8</v>
      </c>
      <c r="C11" s="4">
        <v>785</v>
      </c>
      <c r="D11" s="23">
        <v>1134999.855652645</v>
      </c>
      <c r="E11" s="33">
        <v>165.99049976919423</v>
      </c>
      <c r="F11" s="5">
        <v>12</v>
      </c>
      <c r="G11" s="23">
        <v>96.666666666666671</v>
      </c>
      <c r="H11" s="33">
        <v>529.03309148890014</v>
      </c>
      <c r="I11" s="23">
        <v>43.737179051491232</v>
      </c>
      <c r="J11" s="5">
        <v>5587.2704326917628</v>
      </c>
      <c r="K11" s="31"/>
      <c r="L11" s="23">
        <v>717693.36374597775</v>
      </c>
      <c r="M11" s="33">
        <v>207.02787830762989</v>
      </c>
      <c r="N11" s="5">
        <v>14</v>
      </c>
      <c r="O11" s="23">
        <v>96.666666666666671</v>
      </c>
      <c r="P11" s="33">
        <v>437.11619795913634</v>
      </c>
      <c r="Q11" s="23">
        <v>38.338178249717494</v>
      </c>
      <c r="R11" s="5">
        <v>5270.4632994027834</v>
      </c>
      <c r="S11" s="35"/>
      <c r="T11" s="23">
        <v>1458522.0870036271</v>
      </c>
      <c r="U11" s="33">
        <v>264.92919030769434</v>
      </c>
      <c r="V11" s="5">
        <v>13</v>
      </c>
      <c r="W11" s="23">
        <v>95.333333333333329</v>
      </c>
      <c r="X11" s="33">
        <v>393.27145803876635</v>
      </c>
      <c r="Y11" s="23">
        <v>39.72122739248524</v>
      </c>
      <c r="Z11" s="5">
        <v>5040.0186316755971</v>
      </c>
      <c r="AA11" s="35"/>
    </row>
    <row r="12" spans="2:27" x14ac:dyDescent="0.2">
      <c r="B12" s="4">
        <v>9</v>
      </c>
      <c r="C12" s="4">
        <v>800</v>
      </c>
      <c r="D12" s="23">
        <v>1088715.929915909</v>
      </c>
      <c r="E12" s="33">
        <v>133.22303138467336</v>
      </c>
      <c r="F12" s="5">
        <v>14</v>
      </c>
      <c r="G12" s="23">
        <v>96.666666666666671</v>
      </c>
      <c r="H12" s="33">
        <v>321.74700318718203</v>
      </c>
      <c r="I12" s="23">
        <v>37.137340567116851</v>
      </c>
      <c r="J12" s="5">
        <v>5173.6222561572185</v>
      </c>
      <c r="K12" s="31"/>
      <c r="L12" s="23">
        <v>682322.85194686649</v>
      </c>
      <c r="M12" s="33">
        <v>105.93121507697593</v>
      </c>
      <c r="N12" s="5">
        <v>13</v>
      </c>
      <c r="O12" s="23">
        <v>96.666666666666671</v>
      </c>
      <c r="P12" s="33">
        <v>348.53506324893067</v>
      </c>
      <c r="Q12" s="23">
        <v>40.147721174013263</v>
      </c>
      <c r="R12" s="5">
        <v>5157.1949510724953</v>
      </c>
      <c r="S12" s="35"/>
      <c r="T12" s="23">
        <v>1472254.110888358</v>
      </c>
      <c r="U12" s="33">
        <v>207.35311253838097</v>
      </c>
      <c r="V12" s="5">
        <v>13</v>
      </c>
      <c r="W12" s="23">
        <v>92.666666666666671</v>
      </c>
      <c r="X12" s="33">
        <v>241.24505663998607</v>
      </c>
      <c r="Y12" s="23">
        <v>38.728250844382757</v>
      </c>
      <c r="Z12" s="5">
        <v>4971.6481840922515</v>
      </c>
      <c r="AA12" s="35"/>
    </row>
    <row r="13" spans="2:27" x14ac:dyDescent="0.2">
      <c r="B13" s="4">
        <v>10</v>
      </c>
      <c r="C13" s="4">
        <v>876</v>
      </c>
      <c r="D13" s="23">
        <v>1078172.497278759</v>
      </c>
      <c r="E13" s="33">
        <v>146.12448830766462</v>
      </c>
      <c r="F13" s="5">
        <v>13</v>
      </c>
      <c r="G13" s="23">
        <v>96.666666666666671</v>
      </c>
      <c r="H13" s="33">
        <v>443.58333674363513</v>
      </c>
      <c r="I13" s="23">
        <v>40.349749483757215</v>
      </c>
      <c r="J13" s="5">
        <v>5150.676543416781</v>
      </c>
      <c r="K13" s="31"/>
      <c r="L13" s="23">
        <v>691341.63931828213</v>
      </c>
      <c r="M13" s="33">
        <v>114.74878484616053</v>
      </c>
      <c r="N13" s="5">
        <v>13</v>
      </c>
      <c r="O13" s="23">
        <v>96.666666666666671</v>
      </c>
      <c r="P13" s="33">
        <v>427.4930990388375</v>
      </c>
      <c r="Q13" s="23">
        <v>40.887177189906232</v>
      </c>
      <c r="R13" s="5">
        <v>5184.9072561984694</v>
      </c>
      <c r="S13" s="35"/>
      <c r="T13" s="23">
        <v>1483330.273101453</v>
      </c>
      <c r="U13" s="33">
        <v>176.87775930765869</v>
      </c>
      <c r="V13" s="5">
        <v>14</v>
      </c>
      <c r="W13" s="23">
        <v>95.333333333333329</v>
      </c>
      <c r="X13" s="33">
        <v>378.5952791736425</v>
      </c>
      <c r="Y13" s="23">
        <v>36.204335468128946</v>
      </c>
      <c r="Z13" s="5">
        <v>5083.9396508997543</v>
      </c>
      <c r="AA13" s="35"/>
    </row>
    <row r="14" spans="2:27" x14ac:dyDescent="0.2">
      <c r="B14" s="50" t="s">
        <v>3</v>
      </c>
      <c r="C14" s="51"/>
      <c r="D14" s="9">
        <f>MIN(D4:D13)</f>
        <v>1046045.483747479</v>
      </c>
      <c r="E14" s="22">
        <f>INDEX(E4:E13, MATCH($D$14, D4:D13, 0))</f>
        <v>205.49383246160752</v>
      </c>
      <c r="F14" s="9">
        <f>INDEX(F4:F13, MATCH($D$14, D4:D13, 0))</f>
        <v>14</v>
      </c>
      <c r="G14" s="9">
        <f>INDEX(G4:G13, MATCH($D$14, D4:D13, 0))</f>
        <v>96.666666666666671</v>
      </c>
      <c r="H14" s="22">
        <f>INDEX(H4:H13, MATCH($D$14, D4:D13, 0))</f>
        <v>351.38906290061749</v>
      </c>
      <c r="I14" s="22">
        <f>INDEX(I4:I13, MATCH($D$14, D4:D13, 0))</f>
        <v>37.424531203822959</v>
      </c>
      <c r="J14" s="22">
        <f>INDEX(J4:J13, MATCH($D$14, D4:D13, 0))</f>
        <v>4871.4040777261835</v>
      </c>
      <c r="K14" s="32" t="e">
        <f>(D14-$D$15)/$D$15</f>
        <v>#DIV/0!</v>
      </c>
      <c r="L14" s="16">
        <f>MIN(L4:L13)</f>
        <v>682322.85194686649</v>
      </c>
      <c r="M14" s="21">
        <f>INDEX(M4:M13, MATCH($L$14, L4:L13, 0))</f>
        <v>125.04904946151115</v>
      </c>
      <c r="N14" s="16">
        <f>INDEX(N4:N13, MATCH($L$14, L4:L13, 0))</f>
        <v>13</v>
      </c>
      <c r="O14" s="16">
        <f>INDEX(O4:O13, MATCH($L$14, L4:L13, 0))</f>
        <v>96.666666666666671</v>
      </c>
      <c r="P14" s="21">
        <f>INDEX(P4:P13, MATCH($L$14, L4:L13, 0))</f>
        <v>348.53506324893067</v>
      </c>
      <c r="Q14" s="21">
        <f>INDEX(Q4:Q13, MATCH($L$14, L4:L13, 0))</f>
        <v>40.147721174013263</v>
      </c>
      <c r="R14" s="21">
        <f>INDEX(R4:R13, MATCH($L$14, L4:L13, 0))</f>
        <v>5157.1949510724953</v>
      </c>
      <c r="S14" s="36" t="e">
        <f>(L14-$D$15)/$D$15</f>
        <v>#DIV/0!</v>
      </c>
      <c r="T14" s="38">
        <f>MIN(T4:T13)</f>
        <v>1408390.2598686691</v>
      </c>
      <c r="U14" s="39">
        <f>INDEX(U4:U13, MATCH($T$14, T4:T13, 0))</f>
        <v>278.93568184611814</v>
      </c>
      <c r="V14" s="38">
        <f>INDEX(V4:V13, MATCH($T$14, T4:T13, 0))</f>
        <v>14</v>
      </c>
      <c r="W14" s="38">
        <f>INDEX(W4:W13, MATCH($T$14, T4:T13, 0))</f>
        <v>96</v>
      </c>
      <c r="X14" s="39">
        <f>INDEX(X4:X13, MATCH($T$14, T4:T13, 0))</f>
        <v>323.52780453366154</v>
      </c>
      <c r="Y14" s="39">
        <f>INDEX(Y4:Y13, MATCH($T$14, T4:T13, 0))</f>
        <v>37.121341294813142</v>
      </c>
      <c r="Z14" s="39">
        <f>INDEX(Z4:Z13, MATCH($T$14, T4:T13, 0))</f>
        <v>4821.3862315260449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-0.3477120617141512</v>
      </c>
      <c r="M15" s="41">
        <f t="shared" ref="M15:R15" si="0">(M14-E14)/E14</f>
        <v>-0.39147054700595896</v>
      </c>
      <c r="N15" s="41">
        <f t="shared" si="0"/>
        <v>-7.1428571428571425E-2</v>
      </c>
      <c r="O15" s="41">
        <f t="shared" si="0"/>
        <v>0</v>
      </c>
      <c r="P15" s="41">
        <f t="shared" si="0"/>
        <v>-8.1220503225907462E-3</v>
      </c>
      <c r="Q15" s="41">
        <f t="shared" si="0"/>
        <v>7.2764838532222625E-2</v>
      </c>
      <c r="R15" s="41">
        <f t="shared" si="0"/>
        <v>5.8667043174071891E-2</v>
      </c>
      <c r="T15" s="41">
        <f>(T14-D14)/D14</f>
        <v>0.34639485734700809</v>
      </c>
      <c r="U15" s="41">
        <f t="shared" ref="U15:Z15" si="1">(U14-E14)/E14</f>
        <v>0.35739198838598613</v>
      </c>
      <c r="V15" s="41">
        <f t="shared" si="1"/>
        <v>0</v>
      </c>
      <c r="W15" s="41">
        <f t="shared" si="1"/>
        <v>-6.8965517241379795E-3</v>
      </c>
      <c r="X15" s="41">
        <f t="shared" si="1"/>
        <v>-7.9288917352660693E-2</v>
      </c>
      <c r="Y15" s="41">
        <f t="shared" si="1"/>
        <v>-8.1013682538485683E-3</v>
      </c>
      <c r="Z15" s="41">
        <f t="shared" si="1"/>
        <v>-1.0267644687665766E-2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1:C1048576">
    <cfRule type="duplicateValues" dxfId="89" priority="11"/>
    <cfRule type="duplicateValues" dxfId="88" priority="12"/>
  </conditionalFormatting>
  <conditionalFormatting sqref="C2">
    <cfRule type="duplicateValues" dxfId="87" priority="3"/>
    <cfRule type="duplicateValues" dxfId="86" priority="4"/>
  </conditionalFormatting>
  <conditionalFormatting sqref="C4:C13">
    <cfRule type="duplicateValues" dxfId="85" priority="5"/>
    <cfRule type="duplicateValues" dxfId="84" priority="6"/>
  </conditionalFormatting>
  <conditionalFormatting sqref="C14">
    <cfRule type="duplicateValues" dxfId="83" priority="9"/>
    <cfRule type="duplicateValues" dxfId="82" priority="10"/>
  </conditionalFormatting>
  <conditionalFormatting sqref="C15">
    <cfRule type="duplicateValues" dxfId="81" priority="7"/>
    <cfRule type="duplicateValues" dxfId="80" priority="8"/>
  </conditionalFormatting>
  <conditionalFormatting sqref="C17:C40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DEAD-C54D-4644-92BB-97A76528F3AE}">
  <dimension ref="B1:AA17"/>
  <sheetViews>
    <sheetView zoomScale="90" zoomScaleNormal="90" workbookViewId="0">
      <selection activeCell="U19" sqref="U19:U3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0.19845019596343347</v>
      </c>
      <c r="R2" s="1">
        <f>(R14-J14)/J14</f>
        <v>5.3924844924475912E-2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69</v>
      </c>
      <c r="D4" s="23">
        <v>1318656.474301717</v>
      </c>
      <c r="E4" s="33">
        <v>439.80038330764864</v>
      </c>
      <c r="F4" s="5">
        <v>15</v>
      </c>
      <c r="G4" s="23">
        <v>93.333333333333329</v>
      </c>
      <c r="H4" s="33">
        <v>611.49334131411842</v>
      </c>
      <c r="I4" s="23">
        <v>33.981339648843765</v>
      </c>
      <c r="J4" s="5">
        <v>5812.7765925569047</v>
      </c>
      <c r="K4" s="31"/>
      <c r="L4" s="23">
        <v>904638.71947091981</v>
      </c>
      <c r="M4" s="33">
        <v>204.80459538458558</v>
      </c>
      <c r="N4" s="5">
        <v>14</v>
      </c>
      <c r="O4" s="23">
        <v>93.333333333333329</v>
      </c>
      <c r="P4" s="33">
        <v>758.13992713889661</v>
      </c>
      <c r="Q4" s="23">
        <v>36.428476813265753</v>
      </c>
      <c r="R4" s="5">
        <v>6069.4021507568177</v>
      </c>
      <c r="S4" s="35"/>
      <c r="T4" s="23">
        <v>1737666.2893586271</v>
      </c>
      <c r="U4" s="33">
        <v>428.73553515385049</v>
      </c>
      <c r="V4" s="5">
        <v>14</v>
      </c>
      <c r="W4" s="23">
        <v>83.333333333333329</v>
      </c>
      <c r="X4" s="33">
        <v>345.25586483957454</v>
      </c>
      <c r="Y4" s="23">
        <v>31.384753614026994</v>
      </c>
      <c r="Z4" s="5">
        <v>5161.6949969815505</v>
      </c>
      <c r="AA4" s="35"/>
    </row>
    <row r="5" spans="2:27" x14ac:dyDescent="0.2">
      <c r="B5" s="4">
        <v>2</v>
      </c>
      <c r="C5" s="4">
        <v>114</v>
      </c>
      <c r="D5" s="23">
        <v>1331858.0465048731</v>
      </c>
      <c r="E5" s="33">
        <v>212.70075661533221</v>
      </c>
      <c r="F5" s="5">
        <v>15</v>
      </c>
      <c r="G5" s="23">
        <v>93.333333333333329</v>
      </c>
      <c r="H5" s="33">
        <v>618.58717806284756</v>
      </c>
      <c r="I5" s="23">
        <v>34.525110804306841</v>
      </c>
      <c r="J5" s="5">
        <v>5927.1238187888921</v>
      </c>
      <c r="K5" s="31"/>
      <c r="L5" s="23">
        <v>872963.27388776245</v>
      </c>
      <c r="M5" s="33">
        <v>219.91813423076215</v>
      </c>
      <c r="N5" s="5">
        <v>13</v>
      </c>
      <c r="O5" s="23">
        <v>93.333333333333329</v>
      </c>
      <c r="P5" s="33">
        <v>667.79538810512349</v>
      </c>
      <c r="Q5" s="23">
        <v>39.628379031704739</v>
      </c>
      <c r="R5" s="5">
        <v>6060.290804694353</v>
      </c>
      <c r="S5" s="35"/>
      <c r="T5" s="23">
        <v>1807273.7898558311</v>
      </c>
      <c r="U5" s="33">
        <v>414.76513007700515</v>
      </c>
      <c r="V5" s="5">
        <v>12</v>
      </c>
      <c r="W5" s="23">
        <v>79.333333333333329</v>
      </c>
      <c r="X5" s="33">
        <v>297.6529394653403</v>
      </c>
      <c r="Y5" s="23">
        <v>32.856207571634393</v>
      </c>
      <c r="Z5" s="5">
        <v>5385.730647705901</v>
      </c>
      <c r="AA5" s="35"/>
    </row>
    <row r="6" spans="2:27" x14ac:dyDescent="0.2">
      <c r="B6" s="4">
        <v>3</v>
      </c>
      <c r="C6" s="4">
        <v>155</v>
      </c>
      <c r="D6" s="23">
        <v>1298314.612475632</v>
      </c>
      <c r="E6" s="33">
        <v>222.78767107690396</v>
      </c>
      <c r="F6" s="5">
        <v>15</v>
      </c>
      <c r="G6" s="23">
        <v>93.333333333333329</v>
      </c>
      <c r="H6" s="33">
        <v>557.2158028380004</v>
      </c>
      <c r="I6" s="23">
        <v>34.54691388475625</v>
      </c>
      <c r="J6" s="5">
        <v>5750.2115391621046</v>
      </c>
      <c r="K6" s="31"/>
      <c r="L6" s="23">
        <v>881122.69231930235</v>
      </c>
      <c r="M6" s="33">
        <v>327.0516636922884</v>
      </c>
      <c r="N6" s="5">
        <v>13</v>
      </c>
      <c r="O6" s="23">
        <v>93.333333333333329</v>
      </c>
      <c r="P6" s="33">
        <v>735.11202380483053</v>
      </c>
      <c r="Q6" s="23">
        <v>39.937159258554523</v>
      </c>
      <c r="R6" s="5">
        <v>6113.4636983328628</v>
      </c>
      <c r="S6" s="35"/>
      <c r="T6" s="23">
        <v>1730458.4053256251</v>
      </c>
      <c r="U6" s="33">
        <v>257.45161476930099</v>
      </c>
      <c r="V6" s="5">
        <v>11</v>
      </c>
      <c r="W6" s="23">
        <v>80</v>
      </c>
      <c r="X6" s="33">
        <v>209.05925904585976</v>
      </c>
      <c r="Y6" s="23">
        <v>37.163728936727622</v>
      </c>
      <c r="Z6" s="5">
        <v>5187.2484481065776</v>
      </c>
      <c r="AA6" s="35"/>
    </row>
    <row r="7" spans="2:27" x14ac:dyDescent="0.2">
      <c r="B7" s="4">
        <v>4</v>
      </c>
      <c r="C7" s="4">
        <v>270</v>
      </c>
      <c r="D7" s="23">
        <v>1352309.5085820509</v>
      </c>
      <c r="E7" s="33">
        <v>295.05281261535578</v>
      </c>
      <c r="F7" s="5">
        <v>15</v>
      </c>
      <c r="G7" s="23">
        <v>93.333333333333329</v>
      </c>
      <c r="H7" s="33">
        <v>798.17551819688629</v>
      </c>
      <c r="I7" s="23">
        <v>34.087832887533501</v>
      </c>
      <c r="J7" s="5">
        <v>5904.2385145919625</v>
      </c>
      <c r="K7" s="31"/>
      <c r="L7" s="23">
        <v>876143.87402968877</v>
      </c>
      <c r="M7" s="33">
        <v>193.43230407685039</v>
      </c>
      <c r="N7" s="5">
        <v>13</v>
      </c>
      <c r="O7" s="23">
        <v>93.333333333333329</v>
      </c>
      <c r="P7" s="33">
        <v>722.32620369976598</v>
      </c>
      <c r="Q7" s="23">
        <v>40.000859379919355</v>
      </c>
      <c r="R7" s="5">
        <v>6060.3138466325372</v>
      </c>
      <c r="S7" s="35"/>
      <c r="T7" s="23">
        <v>1718373.296071901</v>
      </c>
      <c r="U7" s="33">
        <v>311.64597553845783</v>
      </c>
      <c r="V7" s="5">
        <v>12</v>
      </c>
      <c r="W7" s="23">
        <v>81.333333333333329</v>
      </c>
      <c r="X7" s="33">
        <v>219.26172737900126</v>
      </c>
      <c r="Y7" s="23">
        <v>35.1406820527477</v>
      </c>
      <c r="Z7" s="5">
        <v>5203.2337414790982</v>
      </c>
      <c r="AA7" s="35"/>
    </row>
    <row r="8" spans="2:27" x14ac:dyDescent="0.2">
      <c r="B8" s="4">
        <v>5</v>
      </c>
      <c r="C8" s="4">
        <v>272</v>
      </c>
      <c r="D8" s="23">
        <v>1330395.726383463</v>
      </c>
      <c r="E8" s="33">
        <v>346.17247461538329</v>
      </c>
      <c r="F8" s="5">
        <v>15</v>
      </c>
      <c r="G8" s="23">
        <v>93.333333333333329</v>
      </c>
      <c r="H8" s="33">
        <v>769.00489567171348</v>
      </c>
      <c r="I8" s="23">
        <v>34.446184128575169</v>
      </c>
      <c r="J8" s="5">
        <v>5825.6334466884691</v>
      </c>
      <c r="K8" s="31"/>
      <c r="L8" s="23">
        <v>933260.01284042536</v>
      </c>
      <c r="M8" s="33">
        <v>245.64323630766015</v>
      </c>
      <c r="N8" s="5">
        <v>14</v>
      </c>
      <c r="O8" s="23">
        <v>93.333333333333329</v>
      </c>
      <c r="P8" s="33">
        <v>886.39720386682905</v>
      </c>
      <c r="Q8" s="23">
        <v>36.840186031950076</v>
      </c>
      <c r="R8" s="5">
        <v>6324.5060814758372</v>
      </c>
      <c r="S8" s="35"/>
      <c r="T8" s="23">
        <v>1753581.985796686</v>
      </c>
      <c r="U8" s="33">
        <v>325.13360215386803</v>
      </c>
      <c r="V8" s="5">
        <v>13</v>
      </c>
      <c r="W8" s="23">
        <v>79.333333333333329</v>
      </c>
      <c r="X8" s="33">
        <v>206.98414416198452</v>
      </c>
      <c r="Y8" s="23">
        <v>29.839753624339664</v>
      </c>
      <c r="Z8" s="5">
        <v>5001.9933075548615</v>
      </c>
      <c r="AA8" s="35"/>
    </row>
    <row r="9" spans="2:27" x14ac:dyDescent="0.2">
      <c r="B9" s="4">
        <v>6</v>
      </c>
      <c r="C9" s="4">
        <v>483</v>
      </c>
      <c r="D9" s="23">
        <v>1323385.3430637461</v>
      </c>
      <c r="E9" s="33">
        <v>244.84482315386859</v>
      </c>
      <c r="F9" s="5">
        <v>15</v>
      </c>
      <c r="G9" s="23">
        <v>93.333333333333329</v>
      </c>
      <c r="H9" s="33">
        <v>624.66099323344724</v>
      </c>
      <c r="I9" s="23">
        <v>34.677709108612028</v>
      </c>
      <c r="J9" s="5">
        <v>5870.1829840585997</v>
      </c>
      <c r="K9" s="31"/>
      <c r="L9" s="23">
        <v>902829.88108193397</v>
      </c>
      <c r="M9" s="33">
        <v>343.90406161537749</v>
      </c>
      <c r="N9" s="5">
        <v>15</v>
      </c>
      <c r="O9" s="23">
        <v>93.333333333333329</v>
      </c>
      <c r="P9" s="33">
        <v>684.08815033637472</v>
      </c>
      <c r="Q9" s="23">
        <v>34.41968378966591</v>
      </c>
      <c r="R9" s="5">
        <v>5869.8884243413777</v>
      </c>
      <c r="S9" s="35"/>
      <c r="T9" s="23">
        <v>1805251.548653662</v>
      </c>
      <c r="U9" s="33">
        <v>182.27822561533407</v>
      </c>
      <c r="V9" s="5">
        <v>11</v>
      </c>
      <c r="W9" s="23">
        <v>77.333333333333329</v>
      </c>
      <c r="X9" s="33">
        <v>198.87822872291952</v>
      </c>
      <c r="Y9" s="23">
        <v>34.515439709380061</v>
      </c>
      <c r="Z9" s="5">
        <v>5334.1998955522467</v>
      </c>
      <c r="AA9" s="35"/>
    </row>
    <row r="10" spans="2:27" x14ac:dyDescent="0.2">
      <c r="B10" s="4">
        <v>7</v>
      </c>
      <c r="C10" s="4">
        <v>530</v>
      </c>
      <c r="D10" s="23">
        <v>1317647.020910942</v>
      </c>
      <c r="E10" s="33">
        <v>190.8173417692216</v>
      </c>
      <c r="F10" s="5">
        <v>14</v>
      </c>
      <c r="G10" s="23">
        <v>93.333333333333329</v>
      </c>
      <c r="H10" s="33">
        <v>664.29440446850401</v>
      </c>
      <c r="I10" s="23">
        <v>37.190397721197243</v>
      </c>
      <c r="J10" s="5">
        <v>5945.0812900184528</v>
      </c>
      <c r="K10" s="31"/>
      <c r="L10" s="23">
        <v>914724.2562173428</v>
      </c>
      <c r="M10" s="33">
        <v>107.79070284611615</v>
      </c>
      <c r="N10" s="5">
        <v>13</v>
      </c>
      <c r="O10" s="23">
        <v>93.333333333333329</v>
      </c>
      <c r="P10" s="33">
        <v>865.35772316240013</v>
      </c>
      <c r="Q10" s="23">
        <v>39.736879878009674</v>
      </c>
      <c r="R10" s="5">
        <v>6354.3355953549662</v>
      </c>
      <c r="S10" s="35"/>
      <c r="T10" s="23">
        <v>1740155.852177894</v>
      </c>
      <c r="U10" s="33">
        <v>210.21338030767555</v>
      </c>
      <c r="V10" s="5">
        <v>11</v>
      </c>
      <c r="W10" s="23">
        <v>82</v>
      </c>
      <c r="X10" s="33">
        <v>305.71461708300734</v>
      </c>
      <c r="Y10" s="23">
        <v>37.647142308605574</v>
      </c>
      <c r="Z10" s="5">
        <v>5344.3825077373549</v>
      </c>
      <c r="AA10" s="35"/>
    </row>
    <row r="11" spans="2:27" x14ac:dyDescent="0.2">
      <c r="B11" s="4">
        <v>8</v>
      </c>
      <c r="C11" s="4">
        <v>552</v>
      </c>
      <c r="D11" s="23">
        <v>1311506.1473503071</v>
      </c>
      <c r="E11" s="33">
        <v>208.09396546154932</v>
      </c>
      <c r="F11" s="5">
        <v>13</v>
      </c>
      <c r="G11" s="23">
        <v>92.666666666666671</v>
      </c>
      <c r="H11" s="33">
        <v>583.33842659823233</v>
      </c>
      <c r="I11" s="23">
        <v>38.564171508025964</v>
      </c>
      <c r="J11" s="5">
        <v>5966.8106890680565</v>
      </c>
      <c r="K11" s="31"/>
      <c r="L11" s="23">
        <v>905173.64314728521</v>
      </c>
      <c r="M11" s="33">
        <v>140.00938630770315</v>
      </c>
      <c r="N11" s="5">
        <v>15</v>
      </c>
      <c r="O11" s="23">
        <v>93.333333333333329</v>
      </c>
      <c r="P11" s="33">
        <v>655.90750348500865</v>
      </c>
      <c r="Q11" s="23">
        <v>34.129183557787648</v>
      </c>
      <c r="R11" s="5">
        <v>5924.7567966036413</v>
      </c>
      <c r="S11" s="35"/>
      <c r="T11" s="23">
        <v>1735844.465340741</v>
      </c>
      <c r="U11" s="33">
        <v>138.09533899999224</v>
      </c>
      <c r="V11" s="5">
        <v>13</v>
      </c>
      <c r="W11" s="23">
        <v>83.333333333333329</v>
      </c>
      <c r="X11" s="33">
        <v>366.11901904442243</v>
      </c>
      <c r="Y11" s="23">
        <v>32.938629653906915</v>
      </c>
      <c r="Z11" s="5">
        <v>5294.8738401123301</v>
      </c>
      <c r="AA11" s="35"/>
    </row>
    <row r="12" spans="2:27" x14ac:dyDescent="0.2">
      <c r="B12" s="4">
        <v>9</v>
      </c>
      <c r="C12" s="4">
        <v>603</v>
      </c>
      <c r="D12" s="23">
        <v>1329535.156040655</v>
      </c>
      <c r="E12" s="33">
        <v>491.55465099996383</v>
      </c>
      <c r="F12" s="5">
        <v>15</v>
      </c>
      <c r="G12" s="23">
        <v>93.333333333333329</v>
      </c>
      <c r="H12" s="33">
        <v>755.46045363842416</v>
      </c>
      <c r="I12" s="23">
        <v>34.456092298980067</v>
      </c>
      <c r="J12" s="5">
        <v>5826.6500093091863</v>
      </c>
      <c r="K12" s="31"/>
      <c r="L12" s="23">
        <v>929819.68055691686</v>
      </c>
      <c r="M12" s="33">
        <v>92.326969153856695</v>
      </c>
      <c r="N12" s="5">
        <v>13</v>
      </c>
      <c r="O12" s="23">
        <v>93.333333333333329</v>
      </c>
      <c r="P12" s="33">
        <v>1033.866058699708</v>
      </c>
      <c r="Q12" s="23">
        <v>39.373493985232685</v>
      </c>
      <c r="R12" s="5">
        <v>6269.2087426966509</v>
      </c>
      <c r="S12" s="35"/>
      <c r="T12" s="23">
        <v>1760204.3428348841</v>
      </c>
      <c r="U12" s="33">
        <v>319.08234284617572</v>
      </c>
      <c r="V12" s="5">
        <v>11</v>
      </c>
      <c r="W12" s="23">
        <v>80.666666666666671</v>
      </c>
      <c r="X12" s="33">
        <v>276.80778229448094</v>
      </c>
      <c r="Y12" s="23">
        <v>36.699714584969527</v>
      </c>
      <c r="Z12" s="5">
        <v>5355.6138131766093</v>
      </c>
      <c r="AA12" s="35"/>
    </row>
    <row r="13" spans="2:27" x14ac:dyDescent="0.2">
      <c r="B13" s="4">
        <v>10</v>
      </c>
      <c r="C13" s="4">
        <v>884</v>
      </c>
      <c r="D13" s="23">
        <v>1329961.296754769</v>
      </c>
      <c r="E13" s="33">
        <v>126.39722792306337</v>
      </c>
      <c r="F13" s="5">
        <v>14</v>
      </c>
      <c r="G13" s="23">
        <v>91.333333333333329</v>
      </c>
      <c r="H13" s="33">
        <v>562.03464641089442</v>
      </c>
      <c r="I13" s="23">
        <v>35.258811173301211</v>
      </c>
      <c r="J13" s="5">
        <v>5787.7386323284072</v>
      </c>
      <c r="K13" s="31"/>
      <c r="L13" s="23">
        <v>899916.64773399162</v>
      </c>
      <c r="M13" s="33">
        <v>110.02339961544538</v>
      </c>
      <c r="N13" s="5">
        <v>13</v>
      </c>
      <c r="O13" s="23">
        <v>93.333333333333329</v>
      </c>
      <c r="P13" s="33">
        <v>872.32489430645046</v>
      </c>
      <c r="Q13" s="23">
        <v>40.265757626492693</v>
      </c>
      <c r="R13" s="5">
        <v>6136.9356501021066</v>
      </c>
      <c r="S13" s="35"/>
      <c r="T13" s="23">
        <v>1701420.891421546</v>
      </c>
      <c r="U13" s="33">
        <v>322.81001738460662</v>
      </c>
      <c r="V13" s="5">
        <v>13</v>
      </c>
      <c r="W13" s="23">
        <v>84</v>
      </c>
      <c r="X13" s="33">
        <v>247.0358781792556</v>
      </c>
      <c r="Y13" s="23">
        <v>33.16692738709726</v>
      </c>
      <c r="Z13" s="5">
        <v>5224.834362274154</v>
      </c>
      <c r="AA13" s="35"/>
    </row>
    <row r="14" spans="2:27" x14ac:dyDescent="0.2">
      <c r="B14" s="50" t="s">
        <v>3</v>
      </c>
      <c r="C14" s="51"/>
      <c r="D14" s="9">
        <f>MIN(D4:D13)</f>
        <v>1298314.612475632</v>
      </c>
      <c r="E14" s="22">
        <f>INDEX(E4:E13, MATCH($D$14, D4:D13, 0))</f>
        <v>222.78767107690396</v>
      </c>
      <c r="F14" s="9">
        <f>INDEX(F4:F13, MATCH($D$14, D4:D13, 0))</f>
        <v>15</v>
      </c>
      <c r="G14" s="9">
        <f>INDEX(G4:G13, MATCH($D$14, D4:D13, 0))</f>
        <v>93.333333333333329</v>
      </c>
      <c r="H14" s="22">
        <f>INDEX(H4:H13, MATCH($D$14, D4:D13, 0))</f>
        <v>557.2158028380004</v>
      </c>
      <c r="I14" s="22">
        <f>INDEX(I4:I13, MATCH($D$14, D4:D13, 0))</f>
        <v>34.54691388475625</v>
      </c>
      <c r="J14" s="22">
        <f>INDEX(J4:J13, MATCH($D$14, D4:D13, 0))</f>
        <v>5750.2115391621046</v>
      </c>
      <c r="K14" s="32" t="e">
        <f>(D14-$D$15)/$D$15</f>
        <v>#DIV/0!</v>
      </c>
      <c r="L14" s="16">
        <f>MIN(L4:L13)</f>
        <v>872963.27388776245</v>
      </c>
      <c r="M14" s="21">
        <f>INDEX(M4:M13, MATCH($L$14, L4:L13, 0))</f>
        <v>219.91813423076215</v>
      </c>
      <c r="N14" s="16">
        <f>INDEX(N4:N13, MATCH($L$14, L4:L13, 0))</f>
        <v>13</v>
      </c>
      <c r="O14" s="16">
        <f>INDEX(O4:O13, MATCH($L$14, L4:L13, 0))</f>
        <v>93.333333333333329</v>
      </c>
      <c r="P14" s="21">
        <f>INDEX(P4:P13, MATCH($L$14, L4:L13, 0))</f>
        <v>667.79538810512349</v>
      </c>
      <c r="Q14" s="21">
        <f>INDEX(Q4:Q13, MATCH($L$14, L4:L13, 0))</f>
        <v>39.628379031704739</v>
      </c>
      <c r="R14" s="21">
        <f>INDEX(R4:R13, MATCH($L$14, L4:L13, 0))</f>
        <v>6060.290804694353</v>
      </c>
      <c r="S14" s="36" t="e">
        <f>(L14-$D$15)/$D$15</f>
        <v>#DIV/0!</v>
      </c>
      <c r="T14" s="38">
        <f>MIN(T4:T13)</f>
        <v>1701420.891421546</v>
      </c>
      <c r="U14" s="39">
        <f>INDEX(U4:U13, MATCH($T$14, T4:T13, 0))</f>
        <v>322.81001738460662</v>
      </c>
      <c r="V14" s="38">
        <f>INDEX(V4:V13, MATCH($T$14, T4:T13, 0))</f>
        <v>13</v>
      </c>
      <c r="W14" s="38">
        <f>INDEX(W4:W13, MATCH($T$14, T4:T13, 0))</f>
        <v>84</v>
      </c>
      <c r="X14" s="39">
        <f>INDEX(X4:X13, MATCH($T$14, T4:T13, 0))</f>
        <v>247.0358781792556</v>
      </c>
      <c r="Y14" s="39">
        <f>INDEX(Y4:Y13, MATCH($T$14, T4:T13, 0))</f>
        <v>33.16692738709726</v>
      </c>
      <c r="Z14" s="39">
        <f>INDEX(Z4:Z13, MATCH($T$14, T4:T13, 0))</f>
        <v>5224.834362274154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-0.32761807846929164</v>
      </c>
      <c r="M15" s="41">
        <f t="shared" ref="M15:R15" si="0">(M14-E14)/E14</f>
        <v>-1.2880142030621069E-2</v>
      </c>
      <c r="N15" s="41">
        <f t="shared" si="0"/>
        <v>-0.13333333333333333</v>
      </c>
      <c r="O15" s="41">
        <f t="shared" si="0"/>
        <v>0</v>
      </c>
      <c r="P15" s="41">
        <f t="shared" si="0"/>
        <v>0.19845019596343347</v>
      </c>
      <c r="Q15" s="41">
        <f t="shared" si="0"/>
        <v>0.14708883010214913</v>
      </c>
      <c r="R15" s="41">
        <f t="shared" si="0"/>
        <v>5.3924844924475912E-2</v>
      </c>
      <c r="T15" s="41">
        <f>(T14-D14)/D14</f>
        <v>0.31048428098430564</v>
      </c>
      <c r="U15" s="41">
        <f t="shared" ref="U15:Z15" si="1">(U14-E14)/E14</f>
        <v>0.44895817539730914</v>
      </c>
      <c r="V15" s="41">
        <f t="shared" si="1"/>
        <v>-0.13333333333333333</v>
      </c>
      <c r="W15" s="41">
        <f t="shared" si="1"/>
        <v>-9.999999999999995E-2</v>
      </c>
      <c r="X15" s="41">
        <f t="shared" si="1"/>
        <v>-0.55666031558857909</v>
      </c>
      <c r="Y15" s="41">
        <f t="shared" si="1"/>
        <v>-3.994529011368237E-2</v>
      </c>
      <c r="Z15" s="41">
        <f t="shared" si="1"/>
        <v>-9.136658248306917E-2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1:C1048576">
    <cfRule type="duplicateValues" dxfId="79" priority="11"/>
    <cfRule type="duplicateValues" dxfId="78" priority="12"/>
  </conditionalFormatting>
  <conditionalFormatting sqref="C2">
    <cfRule type="duplicateValues" dxfId="77" priority="3"/>
    <cfRule type="duplicateValues" dxfId="76" priority="4"/>
  </conditionalFormatting>
  <conditionalFormatting sqref="C4:C13">
    <cfRule type="duplicateValues" dxfId="75" priority="5"/>
    <cfRule type="duplicateValues" dxfId="74" priority="6"/>
  </conditionalFormatting>
  <conditionalFormatting sqref="C14">
    <cfRule type="duplicateValues" dxfId="73" priority="9"/>
    <cfRule type="duplicateValues" dxfId="72" priority="10"/>
  </conditionalFormatting>
  <conditionalFormatting sqref="C15">
    <cfRule type="duplicateValues" dxfId="71" priority="7"/>
    <cfRule type="duplicateValues" dxfId="70" priority="8"/>
  </conditionalFormatting>
  <conditionalFormatting sqref="C17:C40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6D35-3901-4478-9CED-E4E71666CB2D}">
  <dimension ref="B1:AA17"/>
  <sheetViews>
    <sheetView zoomScale="90" zoomScaleNormal="90" workbookViewId="0">
      <selection activeCell="U19" sqref="U19:U3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0.1699917548759223</v>
      </c>
      <c r="R2" s="1">
        <f>(R14-J14)/J14</f>
        <v>4.6732289704145447E-2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51</v>
      </c>
      <c r="D4" s="23">
        <v>1168643.226288683</v>
      </c>
      <c r="E4" s="33">
        <v>309.76703292314107</v>
      </c>
      <c r="F4" s="5">
        <v>13</v>
      </c>
      <c r="G4" s="23">
        <v>94</v>
      </c>
      <c r="H4" s="33">
        <v>362.73205147026351</v>
      </c>
      <c r="I4" s="23">
        <v>40.263651627371402</v>
      </c>
      <c r="J4" s="5">
        <v>5415.5349556114834</v>
      </c>
      <c r="K4" s="31"/>
      <c r="L4" s="23">
        <v>759748.61686672224</v>
      </c>
      <c r="M4" s="33">
        <v>130.62032269224386</v>
      </c>
      <c r="N4" s="5">
        <v>12</v>
      </c>
      <c r="O4" s="23">
        <v>94.666666666666671</v>
      </c>
      <c r="P4" s="33">
        <v>424.39350944943698</v>
      </c>
      <c r="Q4" s="23">
        <v>43.998715157302058</v>
      </c>
      <c r="R4" s="5">
        <v>5668.6153040600457</v>
      </c>
      <c r="S4" s="35"/>
      <c r="T4" s="23">
        <v>1571500.3969917679</v>
      </c>
      <c r="U4" s="33">
        <v>323.25920407696123</v>
      </c>
      <c r="V4" s="5">
        <v>11</v>
      </c>
      <c r="W4" s="23">
        <v>87.333333333333329</v>
      </c>
      <c r="X4" s="33">
        <v>188.34424645613277</v>
      </c>
      <c r="Y4" s="23">
        <v>43.039815898931536</v>
      </c>
      <c r="Z4" s="5">
        <v>5169.4345951123523</v>
      </c>
      <c r="AA4" s="35"/>
    </row>
    <row r="5" spans="2:27" x14ac:dyDescent="0.2">
      <c r="B5" s="4">
        <v>2</v>
      </c>
      <c r="C5" s="4">
        <v>157</v>
      </c>
      <c r="D5" s="23">
        <v>1179422.3932702451</v>
      </c>
      <c r="E5" s="33">
        <v>98.198421076925143</v>
      </c>
      <c r="F5" s="5">
        <v>12</v>
      </c>
      <c r="G5" s="23">
        <v>94.666666666666671</v>
      </c>
      <c r="H5" s="33">
        <v>438.2960408125968</v>
      </c>
      <c r="I5" s="23">
        <v>43.915001104564055</v>
      </c>
      <c r="J5" s="5">
        <v>5646.406472561328</v>
      </c>
      <c r="K5" s="31"/>
      <c r="L5" s="23">
        <v>774908.25113394216</v>
      </c>
      <c r="M5" s="33">
        <v>224.26688153851924</v>
      </c>
      <c r="N5" s="5">
        <v>12</v>
      </c>
      <c r="O5" s="23">
        <v>94.666666666666671</v>
      </c>
      <c r="P5" s="33">
        <v>545.78841886950659</v>
      </c>
      <c r="Q5" s="23">
        <v>44.502114261974384</v>
      </c>
      <c r="R5" s="5">
        <v>5715.3874061351298</v>
      </c>
      <c r="S5" s="35"/>
      <c r="T5" s="23">
        <v>1593360.621599952</v>
      </c>
      <c r="U5" s="33">
        <v>462.05705215384324</v>
      </c>
      <c r="V5" s="5">
        <v>11</v>
      </c>
      <c r="W5" s="23">
        <v>84</v>
      </c>
      <c r="X5" s="33">
        <v>131.89732991064218</v>
      </c>
      <c r="Y5" s="23">
        <v>41.599995970472207</v>
      </c>
      <c r="Z5" s="5">
        <v>4969.2775490190979</v>
      </c>
      <c r="AA5" s="35"/>
    </row>
    <row r="6" spans="2:27" x14ac:dyDescent="0.2">
      <c r="B6" s="4">
        <v>3</v>
      </c>
      <c r="C6" s="4">
        <v>204</v>
      </c>
      <c r="D6" s="23">
        <v>1168814.8782724959</v>
      </c>
      <c r="E6" s="33">
        <v>230.17236007690931</v>
      </c>
      <c r="F6" s="5">
        <v>13</v>
      </c>
      <c r="G6" s="23">
        <v>94</v>
      </c>
      <c r="H6" s="33">
        <v>361.64317955181463</v>
      </c>
      <c r="I6" s="23">
        <v>40.120958464931775</v>
      </c>
      <c r="J6" s="5">
        <v>5405.6134102949354</v>
      </c>
      <c r="K6" s="31"/>
      <c r="L6" s="23">
        <v>780618.79966334137</v>
      </c>
      <c r="M6" s="33">
        <v>220.27418192305893</v>
      </c>
      <c r="N6" s="5">
        <v>13</v>
      </c>
      <c r="O6" s="23">
        <v>94.666666666666671</v>
      </c>
      <c r="P6" s="33">
        <v>486.48410621252202</v>
      </c>
      <c r="Q6" s="23">
        <v>40.234002417076645</v>
      </c>
      <c r="R6" s="5">
        <v>5544.4360632907401</v>
      </c>
      <c r="S6" s="35"/>
      <c r="T6" s="23">
        <v>1616127.7248083211</v>
      </c>
      <c r="U6" s="33">
        <v>146.3920727692759</v>
      </c>
      <c r="V6" s="5">
        <v>11</v>
      </c>
      <c r="W6" s="23">
        <v>86</v>
      </c>
      <c r="X6" s="33">
        <v>176.69253640233623</v>
      </c>
      <c r="Y6" s="23">
        <v>41.190196853317453</v>
      </c>
      <c r="Z6" s="5">
        <v>5223.3076463811394</v>
      </c>
      <c r="AA6" s="35"/>
    </row>
    <row r="7" spans="2:27" x14ac:dyDescent="0.2">
      <c r="B7" s="4">
        <v>4</v>
      </c>
      <c r="C7" s="4">
        <v>223</v>
      </c>
      <c r="D7" s="23">
        <v>1209864.3907835791</v>
      </c>
      <c r="E7" s="33">
        <v>179.55091323076678</v>
      </c>
      <c r="F7" s="5">
        <v>13</v>
      </c>
      <c r="G7" s="23">
        <v>94</v>
      </c>
      <c r="H7" s="33">
        <v>433.02601265982452</v>
      </c>
      <c r="I7" s="23">
        <v>39.336379694786949</v>
      </c>
      <c r="J7" s="5">
        <v>5647.4674768098557</v>
      </c>
      <c r="K7" s="31"/>
      <c r="L7" s="23">
        <v>759911.4599030657</v>
      </c>
      <c r="M7" s="33">
        <v>182.51404146162361</v>
      </c>
      <c r="N7" s="5">
        <v>12</v>
      </c>
      <c r="O7" s="23">
        <v>94.666666666666671</v>
      </c>
      <c r="P7" s="33">
        <v>419.39952363675059</v>
      </c>
      <c r="Q7" s="23">
        <v>43.973150878952531</v>
      </c>
      <c r="R7" s="5">
        <v>5666.8751991972931</v>
      </c>
      <c r="S7" s="35"/>
      <c r="T7" s="23">
        <v>1571296.080487333</v>
      </c>
      <c r="U7" s="33">
        <v>240.72703123074737</v>
      </c>
      <c r="V7" s="5">
        <v>11</v>
      </c>
      <c r="W7" s="23">
        <v>87.333333333333329</v>
      </c>
      <c r="X7" s="33">
        <v>178.49157155707925</v>
      </c>
      <c r="Y7" s="23">
        <v>43.045894118958699</v>
      </c>
      <c r="Z7" s="5">
        <v>5169.8456944604286</v>
      </c>
      <c r="AA7" s="35"/>
    </row>
    <row r="8" spans="2:27" x14ac:dyDescent="0.2">
      <c r="B8" s="4">
        <v>5</v>
      </c>
      <c r="C8" s="4">
        <v>237</v>
      </c>
      <c r="D8" s="23">
        <v>1243711.955503087</v>
      </c>
      <c r="E8" s="33">
        <v>141.27079630772084</v>
      </c>
      <c r="F8" s="5">
        <v>13</v>
      </c>
      <c r="G8" s="23">
        <v>94.666666666666671</v>
      </c>
      <c r="H8" s="33">
        <v>623.91760614343332</v>
      </c>
      <c r="I8" s="23">
        <v>40.118266863383056</v>
      </c>
      <c r="J8" s="5">
        <v>5811.4492872780693</v>
      </c>
      <c r="K8" s="31"/>
      <c r="L8" s="23">
        <v>761875.17657868494</v>
      </c>
      <c r="M8" s="33">
        <v>142.00592007693979</v>
      </c>
      <c r="N8" s="5">
        <v>11</v>
      </c>
      <c r="O8" s="23">
        <v>94.666666666666671</v>
      </c>
      <c r="P8" s="33">
        <v>540.15305269783028</v>
      </c>
      <c r="Q8" s="23">
        <v>47.438021063427954</v>
      </c>
      <c r="R8" s="5">
        <v>5797.8369806507972</v>
      </c>
      <c r="S8" s="35"/>
      <c r="T8" s="23">
        <v>1589417.364308815</v>
      </c>
      <c r="U8" s="33">
        <v>348.36009476915928</v>
      </c>
      <c r="V8" s="5">
        <v>12</v>
      </c>
      <c r="W8" s="23">
        <v>87.333333333333329</v>
      </c>
      <c r="X8" s="33">
        <v>191.84720829307832</v>
      </c>
      <c r="Y8" s="23">
        <v>39.290214341505347</v>
      </c>
      <c r="Z8" s="5">
        <v>5126.1723209722195</v>
      </c>
      <c r="AA8" s="35"/>
    </row>
    <row r="9" spans="2:27" x14ac:dyDescent="0.2">
      <c r="B9" s="4">
        <v>6</v>
      </c>
      <c r="C9" s="4">
        <v>363</v>
      </c>
      <c r="D9" s="23">
        <v>1190772.751406092</v>
      </c>
      <c r="E9" s="33">
        <v>171.87102507692398</v>
      </c>
      <c r="F9" s="5">
        <v>13</v>
      </c>
      <c r="G9" s="23">
        <v>94.666666666666671</v>
      </c>
      <c r="H9" s="33">
        <v>460.59135454137476</v>
      </c>
      <c r="I9" s="23">
        <v>40.837244570789089</v>
      </c>
      <c r="J9" s="5">
        <v>5567.9654675734828</v>
      </c>
      <c r="K9" s="31"/>
      <c r="L9" s="23">
        <v>782080.15536293178</v>
      </c>
      <c r="M9" s="33">
        <v>152.7618006153856</v>
      </c>
      <c r="N9" s="5">
        <v>11</v>
      </c>
      <c r="O9" s="23">
        <v>94.666666666666671</v>
      </c>
      <c r="P9" s="33">
        <v>618.30954401529334</v>
      </c>
      <c r="Q9" s="23">
        <v>47.606873958367856</v>
      </c>
      <c r="R9" s="5">
        <v>5942.7281873548991</v>
      </c>
      <c r="S9" s="35"/>
      <c r="T9" s="23">
        <v>1622529.1820244391</v>
      </c>
      <c r="U9" s="33">
        <v>239.12292069236099</v>
      </c>
      <c r="V9" s="5">
        <v>13</v>
      </c>
      <c r="W9" s="23">
        <v>86.666666666666671</v>
      </c>
      <c r="X9" s="33">
        <v>353.32174384444801</v>
      </c>
      <c r="Y9" s="23">
        <v>37.298756152609357</v>
      </c>
      <c r="Z9" s="5">
        <v>5070.404627509939</v>
      </c>
      <c r="AA9" s="35"/>
    </row>
    <row r="10" spans="2:27" x14ac:dyDescent="0.2">
      <c r="B10" s="4">
        <v>7</v>
      </c>
      <c r="C10" s="4">
        <v>434</v>
      </c>
      <c r="D10" s="23">
        <v>1211151.1259381061</v>
      </c>
      <c r="E10" s="33">
        <v>215.50041484619629</v>
      </c>
      <c r="F10" s="5">
        <v>14</v>
      </c>
      <c r="G10" s="23">
        <v>94.666666666666671</v>
      </c>
      <c r="H10" s="33">
        <v>520.73937083825979</v>
      </c>
      <c r="I10" s="23">
        <v>37.974113345284842</v>
      </c>
      <c r="J10" s="5">
        <v>5556.6362525577761</v>
      </c>
      <c r="K10" s="31"/>
      <c r="L10" s="23">
        <v>761875.17657868494</v>
      </c>
      <c r="M10" s="33">
        <v>193.38885169225529</v>
      </c>
      <c r="N10" s="5">
        <v>11</v>
      </c>
      <c r="O10" s="23">
        <v>94.666666666666671</v>
      </c>
      <c r="P10" s="33">
        <v>540.15305269783028</v>
      </c>
      <c r="Q10" s="23">
        <v>47.438021063427954</v>
      </c>
      <c r="R10" s="5">
        <v>5797.8369806507972</v>
      </c>
      <c r="S10" s="35"/>
      <c r="T10" s="23">
        <v>1556054.2932529619</v>
      </c>
      <c r="U10" s="33">
        <v>150.90800200006922</v>
      </c>
      <c r="V10" s="5">
        <v>12</v>
      </c>
      <c r="W10" s="23">
        <v>88</v>
      </c>
      <c r="X10" s="33">
        <v>206.41576731555571</v>
      </c>
      <c r="Y10" s="23">
        <v>39.863886299328023</v>
      </c>
      <c r="Z10" s="5">
        <v>5012.6906351096031</v>
      </c>
      <c r="AA10" s="35"/>
    </row>
    <row r="11" spans="2:27" x14ac:dyDescent="0.2">
      <c r="B11" s="4">
        <v>8</v>
      </c>
      <c r="C11" s="4">
        <v>486</v>
      </c>
      <c r="D11" s="23">
        <v>1221464.7729007881</v>
      </c>
      <c r="E11" s="33">
        <v>148.57329807691991</v>
      </c>
      <c r="F11" s="5">
        <v>12</v>
      </c>
      <c r="G11" s="23">
        <v>93.333333333333329</v>
      </c>
      <c r="H11" s="33">
        <v>497.96427611527832</v>
      </c>
      <c r="I11" s="23">
        <v>43.330760313874919</v>
      </c>
      <c r="J11" s="5">
        <v>5702.8304282870968</v>
      </c>
      <c r="K11" s="31"/>
      <c r="L11" s="23">
        <v>779750.66895681689</v>
      </c>
      <c r="M11" s="33">
        <v>274.82969430767781</v>
      </c>
      <c r="N11" s="5">
        <v>12</v>
      </c>
      <c r="O11" s="23">
        <v>94.666666666666671</v>
      </c>
      <c r="P11" s="33">
        <v>564.11936482394117</v>
      </c>
      <c r="Q11" s="23">
        <v>43.84525343129669</v>
      </c>
      <c r="R11" s="5">
        <v>5731.5549581868718</v>
      </c>
      <c r="S11" s="35"/>
      <c r="T11" s="23">
        <v>1615781.219205722</v>
      </c>
      <c r="U11" s="33">
        <v>136.41392276917867</v>
      </c>
      <c r="V11" s="5">
        <v>11</v>
      </c>
      <c r="W11" s="23">
        <v>86</v>
      </c>
      <c r="X11" s="33">
        <v>179.23948509589164</v>
      </c>
      <c r="Y11" s="23">
        <v>41.333121478972096</v>
      </c>
      <c r="Z11" s="5">
        <v>5231.4902613190025</v>
      </c>
      <c r="AA11" s="35"/>
    </row>
    <row r="12" spans="2:27" x14ac:dyDescent="0.2">
      <c r="B12" s="4">
        <v>9</v>
      </c>
      <c r="C12" s="4">
        <v>603</v>
      </c>
      <c r="D12" s="23">
        <v>1171192.273408608</v>
      </c>
      <c r="E12" s="33">
        <v>178.29719907693706</v>
      </c>
      <c r="F12" s="5">
        <v>14</v>
      </c>
      <c r="G12" s="23">
        <v>94.666666666666671</v>
      </c>
      <c r="H12" s="33">
        <v>407.82753733113157</v>
      </c>
      <c r="I12" s="23">
        <v>38.041275864139564</v>
      </c>
      <c r="J12" s="5">
        <v>5383.0256376659336</v>
      </c>
      <c r="K12" s="31"/>
      <c r="L12" s="23">
        <v>774908.25113394216</v>
      </c>
      <c r="M12" s="33">
        <v>266.28071738469703</v>
      </c>
      <c r="N12" s="5">
        <v>12</v>
      </c>
      <c r="O12" s="23">
        <v>94.666666666666671</v>
      </c>
      <c r="P12" s="33">
        <v>545.78841886950659</v>
      </c>
      <c r="Q12" s="23">
        <v>44.502114261974384</v>
      </c>
      <c r="R12" s="5">
        <v>5715.3874061351298</v>
      </c>
      <c r="S12" s="35"/>
      <c r="T12" s="23">
        <v>1563889.487209446</v>
      </c>
      <c r="U12" s="33">
        <v>497.17236707685515</v>
      </c>
      <c r="V12" s="5">
        <v>13</v>
      </c>
      <c r="W12" s="23">
        <v>90.666666666666671</v>
      </c>
      <c r="X12" s="33">
        <v>249.72408567395092</v>
      </c>
      <c r="Y12" s="23">
        <v>37.46475582268156</v>
      </c>
      <c r="Z12" s="5">
        <v>5166.3350324289158</v>
      </c>
      <c r="AA12" s="35"/>
    </row>
    <row r="13" spans="2:27" x14ac:dyDescent="0.2">
      <c r="B13" s="4">
        <v>10</v>
      </c>
      <c r="C13" s="4">
        <v>817</v>
      </c>
      <c r="D13" s="23">
        <v>1171164.502807962</v>
      </c>
      <c r="E13" s="33">
        <v>126.49336761544245</v>
      </c>
      <c r="F13" s="5">
        <v>13</v>
      </c>
      <c r="G13" s="23">
        <v>94</v>
      </c>
      <c r="H13" s="33">
        <v>335.11944124890414</v>
      </c>
      <c r="I13" s="23">
        <v>40.259183073031487</v>
      </c>
      <c r="J13" s="5">
        <v>5454.0835218996663</v>
      </c>
      <c r="K13" s="31"/>
      <c r="L13" s="23">
        <v>784580.57974882424</v>
      </c>
      <c r="M13" s="33">
        <v>295.57993507693305</v>
      </c>
      <c r="N13" s="5">
        <v>12</v>
      </c>
      <c r="O13" s="23">
        <v>94.666666666666671</v>
      </c>
      <c r="P13" s="33">
        <v>604.03055102854159</v>
      </c>
      <c r="Q13" s="23">
        <v>43.331365284895604</v>
      </c>
      <c r="R13" s="5">
        <v>5680.5626700182447</v>
      </c>
      <c r="S13" s="35"/>
      <c r="T13" s="23">
        <v>1550714.3396446391</v>
      </c>
      <c r="U13" s="33">
        <v>210.35655061535255</v>
      </c>
      <c r="V13" s="5">
        <v>12</v>
      </c>
      <c r="W13" s="23">
        <v>88</v>
      </c>
      <c r="X13" s="33">
        <v>195.0092887300008</v>
      </c>
      <c r="Y13" s="23">
        <v>39.940278742502358</v>
      </c>
      <c r="Z13" s="5">
        <v>4994.4703993632302</v>
      </c>
      <c r="AA13" s="35"/>
    </row>
    <row r="14" spans="2:27" x14ac:dyDescent="0.2">
      <c r="B14" s="50" t="s">
        <v>3</v>
      </c>
      <c r="C14" s="51"/>
      <c r="D14" s="9">
        <f>MIN(D4:D13)</f>
        <v>1168643.226288683</v>
      </c>
      <c r="E14" s="22">
        <f>INDEX(E4:E13, MATCH($D$14, D4:D13, 0))</f>
        <v>309.76703292314107</v>
      </c>
      <c r="F14" s="9">
        <f>INDEX(F4:F13, MATCH($D$14, D4:D13, 0))</f>
        <v>13</v>
      </c>
      <c r="G14" s="9">
        <f>INDEX(G4:G13, MATCH($D$14, D4:D13, 0))</f>
        <v>94</v>
      </c>
      <c r="H14" s="22">
        <f>INDEX(H4:H13, MATCH($D$14, D4:D13, 0))</f>
        <v>362.73205147026351</v>
      </c>
      <c r="I14" s="22">
        <f>INDEX(I4:I13, MATCH($D$14, D4:D13, 0))</f>
        <v>40.263651627371402</v>
      </c>
      <c r="J14" s="22">
        <f>INDEX(J4:J13, MATCH($D$14, D4:D13, 0))</f>
        <v>5415.5349556114834</v>
      </c>
      <c r="K14" s="32" t="e">
        <f>(D14-$D$15)/$D$15</f>
        <v>#DIV/0!</v>
      </c>
      <c r="L14" s="16">
        <f>MIN(L4:L13)</f>
        <v>759748.61686672224</v>
      </c>
      <c r="M14" s="21">
        <f>INDEX(M4:M13, MATCH($L$14, L4:L13, 0))</f>
        <v>130.62032269224386</v>
      </c>
      <c r="N14" s="16">
        <f>INDEX(N4:N13, MATCH($L$14, L4:L13, 0))</f>
        <v>12</v>
      </c>
      <c r="O14" s="16">
        <f>INDEX(O4:O13, MATCH($L$14, L4:L13, 0))</f>
        <v>94.666666666666671</v>
      </c>
      <c r="P14" s="21">
        <f>INDEX(P4:P13, MATCH($L$14, L4:L13, 0))</f>
        <v>424.39350944943698</v>
      </c>
      <c r="Q14" s="21">
        <f>INDEX(Q4:Q13, MATCH($L$14, L4:L13, 0))</f>
        <v>43.998715157302058</v>
      </c>
      <c r="R14" s="21">
        <f>INDEX(R4:R13, MATCH($L$14, L4:L13, 0))</f>
        <v>5668.6153040600457</v>
      </c>
      <c r="S14" s="36" t="e">
        <f>(L14-$D$15)/$D$15</f>
        <v>#DIV/0!</v>
      </c>
      <c r="T14" s="38">
        <f>MIN(T4:T13)</f>
        <v>1550714.3396446391</v>
      </c>
      <c r="U14" s="39">
        <f>INDEX(U4:U13, MATCH($T$14, T4:T13, 0))</f>
        <v>210.35655061535255</v>
      </c>
      <c r="V14" s="38">
        <f>INDEX(V4:V13, MATCH($T$14, T4:T13, 0))</f>
        <v>12</v>
      </c>
      <c r="W14" s="38">
        <f>INDEX(W4:W13, MATCH($T$14, T4:T13, 0))</f>
        <v>88</v>
      </c>
      <c r="X14" s="39">
        <f>INDEX(X4:X13, MATCH($T$14, T4:T13, 0))</f>
        <v>195.0092887300008</v>
      </c>
      <c r="Y14" s="39">
        <f>INDEX(Y4:Y13, MATCH($T$14, T4:T13, 0))</f>
        <v>39.940278742502358</v>
      </c>
      <c r="Z14" s="39">
        <f>INDEX(Z4:Z13, MATCH($T$14, T4:T13, 0))</f>
        <v>4994.4703993632302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-0.34988831511949736</v>
      </c>
      <c r="M15" s="41">
        <f t="shared" ref="M15:R15" si="0">(M14-E14)/E14</f>
        <v>-0.57832723043625767</v>
      </c>
      <c r="N15" s="41">
        <f t="shared" si="0"/>
        <v>-7.6923076923076927E-2</v>
      </c>
      <c r="O15" s="41">
        <f t="shared" si="0"/>
        <v>7.0921985815603338E-3</v>
      </c>
      <c r="P15" s="41">
        <f t="shared" si="0"/>
        <v>0.1699917548759223</v>
      </c>
      <c r="Q15" s="41">
        <f t="shared" si="0"/>
        <v>9.276514620426389E-2</v>
      </c>
      <c r="R15" s="41">
        <f t="shared" si="0"/>
        <v>4.6732289704145447E-2</v>
      </c>
      <c r="T15" s="41">
        <f>(T14-D14)/D14</f>
        <v>0.32693563335776804</v>
      </c>
      <c r="U15" s="41">
        <f t="shared" ref="U15:Z15" si="1">(U14-E14)/E14</f>
        <v>-0.32092014882827802</v>
      </c>
      <c r="V15" s="41">
        <f t="shared" si="1"/>
        <v>-7.6923076923076927E-2</v>
      </c>
      <c r="W15" s="41">
        <f t="shared" si="1"/>
        <v>-6.3829787234042548E-2</v>
      </c>
      <c r="X15" s="41">
        <f t="shared" si="1"/>
        <v>-0.46238748977497646</v>
      </c>
      <c r="Y15" s="41">
        <f t="shared" si="1"/>
        <v>-8.0313849290612888E-3</v>
      </c>
      <c r="Z15" s="41">
        <f t="shared" si="1"/>
        <v>-7.7751239665059022E-2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1:C1048576">
    <cfRule type="duplicateValues" dxfId="69" priority="11"/>
    <cfRule type="duplicateValues" dxfId="68" priority="12"/>
  </conditionalFormatting>
  <conditionalFormatting sqref="C2">
    <cfRule type="duplicateValues" dxfId="67" priority="3"/>
    <cfRule type="duplicateValues" dxfId="66" priority="4"/>
  </conditionalFormatting>
  <conditionalFormatting sqref="C4:C13">
    <cfRule type="duplicateValues" dxfId="65" priority="5"/>
    <cfRule type="duplicateValues" dxfId="64" priority="6"/>
  </conditionalFormatting>
  <conditionalFormatting sqref="C14">
    <cfRule type="duplicateValues" dxfId="63" priority="9"/>
    <cfRule type="duplicateValues" dxfId="62" priority="10"/>
  </conditionalFormatting>
  <conditionalFormatting sqref="C15">
    <cfRule type="duplicateValues" dxfId="61" priority="7"/>
    <cfRule type="duplicateValues" dxfId="60" priority="8"/>
  </conditionalFormatting>
  <conditionalFormatting sqref="C17:C40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41086-73B8-4522-A718-A32ADBBE88D5}">
  <dimension ref="B1:AA17"/>
  <sheetViews>
    <sheetView zoomScale="90" zoomScaleNormal="90" workbookViewId="0">
      <selection activeCell="U19" sqref="U19:U32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0.18068059000698328</v>
      </c>
      <c r="R2" s="1">
        <f>(R14-J14)/J14</f>
        <v>2.9413218336152836E-2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</v>
      </c>
      <c r="D4" s="23">
        <v>1281702.7336423241</v>
      </c>
      <c r="E4" s="33">
        <v>144.5523972307833</v>
      </c>
      <c r="F4" s="5">
        <v>11</v>
      </c>
      <c r="G4" s="23">
        <v>92</v>
      </c>
      <c r="H4" s="33">
        <v>592.76653159283774</v>
      </c>
      <c r="I4" s="23">
        <v>41.443088648347867</v>
      </c>
      <c r="J4" s="5">
        <v>5860.5421444969725</v>
      </c>
      <c r="K4" s="31"/>
      <c r="L4" s="23">
        <v>802275.92085367406</v>
      </c>
      <c r="M4" s="33">
        <v>93.970284000074912</v>
      </c>
      <c r="N4" s="5">
        <v>11</v>
      </c>
      <c r="O4" s="23">
        <v>92.666666666666671</v>
      </c>
      <c r="P4" s="33">
        <v>449.90707474843919</v>
      </c>
      <c r="Q4" s="23">
        <v>42.327291196803294</v>
      </c>
      <c r="R4" s="5">
        <v>5614.4681838017887</v>
      </c>
      <c r="S4" s="35"/>
      <c r="T4" s="23">
        <v>1699385.580322481</v>
      </c>
      <c r="U4" s="33">
        <v>357.48141853846255</v>
      </c>
      <c r="V4" s="5">
        <v>12</v>
      </c>
      <c r="W4" s="23">
        <v>83.333333333333329</v>
      </c>
      <c r="X4" s="33">
        <v>315.5539082205749</v>
      </c>
      <c r="Y4" s="23">
        <v>33.679806413053974</v>
      </c>
      <c r="Z4" s="5">
        <v>5146.2824550513942</v>
      </c>
      <c r="AA4" s="35"/>
    </row>
    <row r="5" spans="2:27" x14ac:dyDescent="0.2">
      <c r="B5" s="4">
        <v>2</v>
      </c>
      <c r="C5" s="4">
        <v>48</v>
      </c>
      <c r="D5" s="23">
        <v>1239485.4862941881</v>
      </c>
      <c r="E5" s="33">
        <v>177.19669053841454</v>
      </c>
      <c r="F5" s="5">
        <v>12</v>
      </c>
      <c r="G5" s="23">
        <v>92</v>
      </c>
      <c r="H5" s="33">
        <v>488.76502468408506</v>
      </c>
      <c r="I5" s="23">
        <v>38.605788126454136</v>
      </c>
      <c r="J5" s="5">
        <v>5528.7049505883151</v>
      </c>
      <c r="K5" s="31"/>
      <c r="L5" s="23">
        <v>812259.16428591986</v>
      </c>
      <c r="M5" s="33">
        <v>116.03787446152776</v>
      </c>
      <c r="N5" s="5">
        <v>11</v>
      </c>
      <c r="O5" s="23">
        <v>92.666666666666671</v>
      </c>
      <c r="P5" s="33">
        <v>485.38419602831897</v>
      </c>
      <c r="Q5" s="23">
        <v>41.623385064586962</v>
      </c>
      <c r="R5" s="5">
        <v>5662.4129256589513</v>
      </c>
      <c r="S5" s="35"/>
      <c r="T5" s="23">
        <v>1568444.7275634659</v>
      </c>
      <c r="U5" s="33">
        <v>304.53740453849042</v>
      </c>
      <c r="V5" s="5">
        <v>14</v>
      </c>
      <c r="W5" s="23">
        <v>92</v>
      </c>
      <c r="X5" s="33">
        <v>344.94012288990223</v>
      </c>
      <c r="Y5" s="23">
        <v>32.704316927190767</v>
      </c>
      <c r="Z5" s="5">
        <v>5118.4757040663926</v>
      </c>
      <c r="AA5" s="35"/>
    </row>
    <row r="6" spans="2:27" x14ac:dyDescent="0.2">
      <c r="B6" s="4">
        <v>3</v>
      </c>
      <c r="C6" s="4">
        <v>445</v>
      </c>
      <c r="D6" s="23">
        <v>1210876.1857202931</v>
      </c>
      <c r="E6" s="33">
        <v>111.06697430762532</v>
      </c>
      <c r="F6" s="5">
        <v>12</v>
      </c>
      <c r="G6" s="23">
        <v>92.666666666666671</v>
      </c>
      <c r="H6" s="33">
        <v>395.7095551113469</v>
      </c>
      <c r="I6" s="23">
        <v>38.858003489073702</v>
      </c>
      <c r="J6" s="5">
        <v>5502.549474089722</v>
      </c>
      <c r="K6" s="31"/>
      <c r="L6" s="23">
        <v>886846.15956297307</v>
      </c>
      <c r="M6" s="33">
        <v>197.79559476927921</v>
      </c>
      <c r="N6" s="5">
        <v>14</v>
      </c>
      <c r="O6" s="23">
        <v>92.666666666666671</v>
      </c>
      <c r="P6" s="33">
        <v>591.08055473751449</v>
      </c>
      <c r="Q6" s="23">
        <v>33.380599144238843</v>
      </c>
      <c r="R6" s="5">
        <v>5740.7908715385765</v>
      </c>
      <c r="S6" s="35"/>
      <c r="T6" s="23">
        <v>1695834.9724216829</v>
      </c>
      <c r="U6" s="33">
        <v>133.33670076923084</v>
      </c>
      <c r="V6" s="5">
        <v>12</v>
      </c>
      <c r="W6" s="23">
        <v>87.333333333333329</v>
      </c>
      <c r="X6" s="33">
        <v>363.8312863648062</v>
      </c>
      <c r="Y6" s="23">
        <v>35.144218464935527</v>
      </c>
      <c r="Z6" s="5">
        <v>5447.7265168860131</v>
      </c>
      <c r="AA6" s="35"/>
    </row>
    <row r="7" spans="2:27" x14ac:dyDescent="0.2">
      <c r="B7" s="4">
        <v>4</v>
      </c>
      <c r="C7" s="4">
        <v>568</v>
      </c>
      <c r="D7" s="23">
        <v>1254769.981569526</v>
      </c>
      <c r="E7" s="33">
        <v>226.45354630765863</v>
      </c>
      <c r="F7" s="5">
        <v>13</v>
      </c>
      <c r="G7" s="23">
        <v>92.666666666666671</v>
      </c>
      <c r="H7" s="33">
        <v>456.81481322441994</v>
      </c>
      <c r="I7" s="23">
        <v>35.2152440558243</v>
      </c>
      <c r="J7" s="5">
        <v>5592.3213535914902</v>
      </c>
      <c r="K7" s="31"/>
      <c r="L7" s="23">
        <v>852475.47456224961</v>
      </c>
      <c r="M7" s="33">
        <v>186.91110215382653</v>
      </c>
      <c r="N7" s="5">
        <v>12</v>
      </c>
      <c r="O7" s="23">
        <v>92.666666666666671</v>
      </c>
      <c r="P7" s="33">
        <v>607.10699015817477</v>
      </c>
      <c r="Q7" s="23">
        <v>38.717022000898034</v>
      </c>
      <c r="R7" s="5">
        <v>5750.8542446456331</v>
      </c>
      <c r="S7" s="35"/>
      <c r="T7" s="23">
        <v>1615226.6467352861</v>
      </c>
      <c r="U7" s="33">
        <v>408.95943615379599</v>
      </c>
      <c r="V7" s="5">
        <v>13</v>
      </c>
      <c r="W7" s="23">
        <v>88.666666666666671</v>
      </c>
      <c r="X7" s="33">
        <v>319.31534479635479</v>
      </c>
      <c r="Y7" s="23">
        <v>33.267873656579617</v>
      </c>
      <c r="Z7" s="5">
        <v>5143.6894045636309</v>
      </c>
      <c r="AA7" s="35"/>
    </row>
    <row r="8" spans="2:27" x14ac:dyDescent="0.2">
      <c r="B8" s="4">
        <v>5</v>
      </c>
      <c r="C8" s="4">
        <v>612</v>
      </c>
      <c r="D8" s="23">
        <v>1284308.6324758481</v>
      </c>
      <c r="E8" s="33">
        <v>150.23558484614253</v>
      </c>
      <c r="F8" s="5">
        <v>13</v>
      </c>
      <c r="G8" s="23">
        <v>92.666666666666671</v>
      </c>
      <c r="H8" s="33">
        <v>625.07008847448844</v>
      </c>
      <c r="I8" s="23">
        <v>35.288092697441826</v>
      </c>
      <c r="J8" s="5">
        <v>5692.6336826878842</v>
      </c>
      <c r="K8" s="31"/>
      <c r="L8" s="23">
        <v>802329.81406966795</v>
      </c>
      <c r="M8" s="33">
        <v>165.22413200000301</v>
      </c>
      <c r="N8" s="5">
        <v>11</v>
      </c>
      <c r="O8" s="23">
        <v>92.666666666666671</v>
      </c>
      <c r="P8" s="33">
        <v>449.90707474843919</v>
      </c>
      <c r="Q8" s="23">
        <v>42.138755890660498</v>
      </c>
      <c r="R8" s="5">
        <v>5599.1117416827574</v>
      </c>
      <c r="S8" s="35"/>
      <c r="T8" s="23">
        <v>1705012.2715393619</v>
      </c>
      <c r="U8" s="33">
        <v>112.16433615387913</v>
      </c>
      <c r="V8" s="5">
        <v>11</v>
      </c>
      <c r="W8" s="23">
        <v>82</v>
      </c>
      <c r="X8" s="33">
        <v>216.45784759638551</v>
      </c>
      <c r="Y8" s="23">
        <v>34.857239714502903</v>
      </c>
      <c r="Z8" s="5">
        <v>5180.8913769432611</v>
      </c>
      <c r="AA8" s="35"/>
    </row>
    <row r="9" spans="2:27" x14ac:dyDescent="0.2">
      <c r="B9" s="4">
        <v>6</v>
      </c>
      <c r="C9" s="4">
        <v>662</v>
      </c>
      <c r="D9" s="23">
        <v>1234967.8278609221</v>
      </c>
      <c r="E9" s="33">
        <v>128.72566730769063</v>
      </c>
      <c r="F9" s="5">
        <v>13</v>
      </c>
      <c r="G9" s="23">
        <v>92</v>
      </c>
      <c r="H9" s="33">
        <v>478.82561724374682</v>
      </c>
      <c r="I9" s="23">
        <v>35.647182140057424</v>
      </c>
      <c r="J9" s="5">
        <v>5377.3523421048058</v>
      </c>
      <c r="K9" s="31"/>
      <c r="L9" s="23">
        <v>822736.04568557022</v>
      </c>
      <c r="M9" s="33">
        <v>112.41160115388291</v>
      </c>
      <c r="N9" s="5">
        <v>12</v>
      </c>
      <c r="O9" s="23">
        <v>92.666666666666671</v>
      </c>
      <c r="P9" s="33">
        <v>446.48396766307241</v>
      </c>
      <c r="Q9" s="23">
        <v>38.068141374233186</v>
      </c>
      <c r="R9" s="5">
        <v>5574.8253600392045</v>
      </c>
      <c r="S9" s="35"/>
      <c r="T9" s="23">
        <v>1692423.386391643</v>
      </c>
      <c r="U9" s="33">
        <v>257.82758169225417</v>
      </c>
      <c r="V9" s="5">
        <v>11</v>
      </c>
      <c r="W9" s="23">
        <v>84.666666666666671</v>
      </c>
      <c r="X9" s="33">
        <v>295.78230365827551</v>
      </c>
      <c r="Y9" s="23">
        <v>36.56193405059792</v>
      </c>
      <c r="Z9" s="5">
        <v>5321.9554432836376</v>
      </c>
      <c r="AA9" s="35"/>
    </row>
    <row r="10" spans="2:27" x14ac:dyDescent="0.2">
      <c r="B10" s="4">
        <v>7</v>
      </c>
      <c r="C10" s="4">
        <v>718</v>
      </c>
      <c r="D10" s="23">
        <v>1300345.0328045429</v>
      </c>
      <c r="E10" s="33">
        <v>121.58971038458938</v>
      </c>
      <c r="F10" s="5">
        <v>12</v>
      </c>
      <c r="G10" s="23">
        <v>91.333333333333329</v>
      </c>
      <c r="H10" s="33">
        <v>546.76674491528581</v>
      </c>
      <c r="I10" s="23">
        <v>36.973246245291058</v>
      </c>
      <c r="J10" s="5">
        <v>5795.3987995766183</v>
      </c>
      <c r="K10" s="31"/>
      <c r="L10" s="23">
        <v>873456.23677774344</v>
      </c>
      <c r="M10" s="33">
        <v>290.58278430772663</v>
      </c>
      <c r="N10" s="5">
        <v>12</v>
      </c>
      <c r="O10" s="23">
        <v>92.666666666666671</v>
      </c>
      <c r="P10" s="33">
        <v>686.36365739461507</v>
      </c>
      <c r="Q10" s="23">
        <v>38.368821685789293</v>
      </c>
      <c r="R10" s="5">
        <v>5920.5934140729796</v>
      </c>
      <c r="S10" s="35"/>
      <c r="T10" s="23">
        <v>1641823.541303372</v>
      </c>
      <c r="U10" s="33">
        <v>377.55077023077041</v>
      </c>
      <c r="V10" s="5">
        <v>12</v>
      </c>
      <c r="W10" s="23">
        <v>87.333333333333329</v>
      </c>
      <c r="X10" s="33">
        <v>305.5888283711235</v>
      </c>
      <c r="Y10" s="23">
        <v>35.465782406346314</v>
      </c>
      <c r="Z10" s="5">
        <v>5237.3690940738597</v>
      </c>
      <c r="AA10" s="35"/>
    </row>
    <row r="11" spans="2:27" x14ac:dyDescent="0.2">
      <c r="B11" s="4">
        <v>8</v>
      </c>
      <c r="C11" s="4">
        <v>720</v>
      </c>
      <c r="D11" s="23">
        <v>1234202.7726563241</v>
      </c>
      <c r="E11" s="33">
        <v>151.25684261536938</v>
      </c>
      <c r="F11" s="5">
        <v>12</v>
      </c>
      <c r="G11" s="23">
        <v>92.666666666666671</v>
      </c>
      <c r="H11" s="33">
        <v>553.85010705655168</v>
      </c>
      <c r="I11" s="23">
        <v>38.891761396309242</v>
      </c>
      <c r="J11" s="5">
        <v>5524.9167794800851</v>
      </c>
      <c r="K11" s="31"/>
      <c r="L11" s="23">
        <v>832409.6328637246</v>
      </c>
      <c r="M11" s="33">
        <v>233.29111446151867</v>
      </c>
      <c r="N11" s="5">
        <v>13</v>
      </c>
      <c r="O11" s="23">
        <v>92.666666666666671</v>
      </c>
      <c r="P11" s="33">
        <v>418.80997405818022</v>
      </c>
      <c r="Q11" s="23">
        <v>35.45508698764052</v>
      </c>
      <c r="R11" s="5">
        <v>5499.4333381436672</v>
      </c>
      <c r="S11" s="35"/>
      <c r="T11" s="23">
        <v>1610298.8258204639</v>
      </c>
      <c r="U11" s="33">
        <v>214.95554076919615</v>
      </c>
      <c r="V11" s="5">
        <v>13</v>
      </c>
      <c r="W11" s="23">
        <v>90</v>
      </c>
      <c r="X11" s="33">
        <v>381.36988152398857</v>
      </c>
      <c r="Y11" s="23">
        <v>34.378719813003862</v>
      </c>
      <c r="Z11" s="5">
        <v>5219.4992121564455</v>
      </c>
      <c r="AA11" s="35"/>
    </row>
    <row r="12" spans="2:27" x14ac:dyDescent="0.2">
      <c r="B12" s="4">
        <v>9</v>
      </c>
      <c r="C12" s="4">
        <v>740</v>
      </c>
      <c r="D12" s="23">
        <v>1204846.1049447469</v>
      </c>
      <c r="E12" s="33">
        <v>167.72226484617792</v>
      </c>
      <c r="F12" s="5">
        <v>12</v>
      </c>
      <c r="G12" s="23">
        <v>92.666666666666671</v>
      </c>
      <c r="H12" s="33">
        <v>381.05739905978987</v>
      </c>
      <c r="I12" s="23">
        <v>38.403845039915126</v>
      </c>
      <c r="J12" s="5">
        <v>5454.0471054728532</v>
      </c>
      <c r="K12" s="31"/>
      <c r="L12" s="23">
        <v>808860.89100509672</v>
      </c>
      <c r="M12" s="33">
        <v>211.57507715379609</v>
      </c>
      <c r="N12" s="5">
        <v>11</v>
      </c>
      <c r="O12" s="23">
        <v>92.666666666666671</v>
      </c>
      <c r="P12" s="33">
        <v>483.24037404690608</v>
      </c>
      <c r="Q12" s="23">
        <v>41.603359081475396</v>
      </c>
      <c r="R12" s="5">
        <v>5616.8718863495988</v>
      </c>
      <c r="S12" s="35"/>
      <c r="T12" s="23">
        <v>1619385.941379881</v>
      </c>
      <c r="U12" s="33">
        <v>293.53869361534282</v>
      </c>
      <c r="V12" s="5">
        <v>13</v>
      </c>
      <c r="W12" s="23">
        <v>90</v>
      </c>
      <c r="X12" s="33">
        <v>345.41849295804451</v>
      </c>
      <c r="Y12" s="23">
        <v>33.953267959124226</v>
      </c>
      <c r="Z12" s="5">
        <v>5237.056548399758</v>
      </c>
      <c r="AA12" s="35"/>
    </row>
    <row r="13" spans="2:27" x14ac:dyDescent="0.2">
      <c r="B13" s="4">
        <v>10</v>
      </c>
      <c r="C13" s="4">
        <v>867</v>
      </c>
      <c r="D13" s="23">
        <v>1248605.2160460739</v>
      </c>
      <c r="E13" s="33">
        <v>144.23978576920209</v>
      </c>
      <c r="F13" s="5">
        <v>13</v>
      </c>
      <c r="G13" s="23">
        <v>92.666666666666671</v>
      </c>
      <c r="H13" s="33">
        <v>480.96239642334535</v>
      </c>
      <c r="I13" s="23">
        <v>35.62313838826659</v>
      </c>
      <c r="J13" s="5">
        <v>5544.2671744864574</v>
      </c>
      <c r="K13" s="31"/>
      <c r="L13" s="23">
        <v>821328.58463937487</v>
      </c>
      <c r="M13" s="33">
        <v>85.845415615387154</v>
      </c>
      <c r="N13" s="5">
        <v>11</v>
      </c>
      <c r="O13" s="23">
        <v>92.666666666666671</v>
      </c>
      <c r="P13" s="33">
        <v>574.05007154554335</v>
      </c>
      <c r="Q13" s="23">
        <v>42.484413356703115</v>
      </c>
      <c r="R13" s="5">
        <v>5654.2150604305025</v>
      </c>
      <c r="S13" s="35"/>
      <c r="T13" s="23">
        <v>1669937.541652252</v>
      </c>
      <c r="U13" s="33">
        <v>309.01396661540139</v>
      </c>
      <c r="V13" s="5">
        <v>12</v>
      </c>
      <c r="W13" s="23">
        <v>86</v>
      </c>
      <c r="X13" s="33">
        <v>324.34496148049971</v>
      </c>
      <c r="Y13" s="23">
        <v>34.568458629976085</v>
      </c>
      <c r="Z13" s="5">
        <v>5234.8814414159142</v>
      </c>
      <c r="AA13" s="35"/>
    </row>
    <row r="14" spans="2:27" x14ac:dyDescent="0.2">
      <c r="B14" s="50" t="s">
        <v>3</v>
      </c>
      <c r="C14" s="51"/>
      <c r="D14" s="9">
        <f>MIN(D4:D13)</f>
        <v>1204846.1049447469</v>
      </c>
      <c r="E14" s="22">
        <f>INDEX(E4:E13, MATCH($D$14, D4:D13, 0))</f>
        <v>167.72226484617792</v>
      </c>
      <c r="F14" s="9">
        <f>INDEX(F4:F13, MATCH($D$14, D4:D13, 0))</f>
        <v>12</v>
      </c>
      <c r="G14" s="9">
        <f>INDEX(G4:G13, MATCH($D$14, D4:D13, 0))</f>
        <v>92.666666666666671</v>
      </c>
      <c r="H14" s="22">
        <f>INDEX(H4:H13, MATCH($D$14, D4:D13, 0))</f>
        <v>381.05739905978987</v>
      </c>
      <c r="I14" s="22">
        <f>INDEX(I4:I13, MATCH($D$14, D4:D13, 0))</f>
        <v>38.403845039915126</v>
      </c>
      <c r="J14" s="22">
        <f>INDEX(J4:J13, MATCH($D$14, D4:D13, 0))</f>
        <v>5454.0471054728532</v>
      </c>
      <c r="K14" s="32" t="e">
        <f>(D14-$D$15)/$D$15</f>
        <v>#DIV/0!</v>
      </c>
      <c r="L14" s="16">
        <f>MIN(L4:L13)</f>
        <v>802275.92085367406</v>
      </c>
      <c r="M14" s="21">
        <f>INDEX(M4:M13, MATCH($L$14, L4:L13, 0))</f>
        <v>93.970284000074912</v>
      </c>
      <c r="N14" s="16">
        <f>INDEX(N4:N13, MATCH($L$14, L4:L13, 0))</f>
        <v>11</v>
      </c>
      <c r="O14" s="16">
        <f>INDEX(O4:O13, MATCH($L$14, L4:L13, 0))</f>
        <v>92.666666666666671</v>
      </c>
      <c r="P14" s="21">
        <f>INDEX(P4:P13, MATCH($L$14, L4:L13, 0))</f>
        <v>449.90707474843919</v>
      </c>
      <c r="Q14" s="21">
        <f>INDEX(Q4:Q13, MATCH($L$14, L4:L13, 0))</f>
        <v>42.327291196803294</v>
      </c>
      <c r="R14" s="21">
        <f>INDEX(R4:R13, MATCH($L$14, L4:L13, 0))</f>
        <v>5614.4681838017887</v>
      </c>
      <c r="S14" s="36" t="e">
        <f>(L14-$D$15)/$D$15</f>
        <v>#DIV/0!</v>
      </c>
      <c r="T14" s="38">
        <f>MIN(T4:T13)</f>
        <v>1568444.7275634659</v>
      </c>
      <c r="U14" s="39">
        <f>INDEX(U4:U13, MATCH($T$14, T4:T13, 0))</f>
        <v>304.53740453849042</v>
      </c>
      <c r="V14" s="38">
        <f>INDEX(V4:V13, MATCH($T$14, T4:T13, 0))</f>
        <v>14</v>
      </c>
      <c r="W14" s="38">
        <f>INDEX(W4:W13, MATCH($T$14, T4:T13, 0))</f>
        <v>92</v>
      </c>
      <c r="X14" s="39">
        <f>INDEX(X4:X13, MATCH($T$14, T4:T13, 0))</f>
        <v>344.94012288990223</v>
      </c>
      <c r="Y14" s="39">
        <f>INDEX(Y4:Y13, MATCH($T$14, T4:T13, 0))</f>
        <v>32.704316927190767</v>
      </c>
      <c r="Z14" s="39">
        <f>INDEX(Z4:Z13, MATCH($T$14, T4:T13, 0))</f>
        <v>5118.4757040663926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-0.33412581278132142</v>
      </c>
      <c r="M15" s="41">
        <f t="shared" ref="M15:R15" si="0">(M14-E14)/E14</f>
        <v>-0.43972683599129014</v>
      </c>
      <c r="N15" s="41">
        <f t="shared" si="0"/>
        <v>-8.3333333333333329E-2</v>
      </c>
      <c r="O15" s="41">
        <f t="shared" si="0"/>
        <v>0</v>
      </c>
      <c r="P15" s="41">
        <f t="shared" si="0"/>
        <v>0.18068059000698328</v>
      </c>
      <c r="Q15" s="41">
        <f t="shared" si="0"/>
        <v>0.10216284730891725</v>
      </c>
      <c r="R15" s="41">
        <f t="shared" si="0"/>
        <v>2.9413218336152836E-2</v>
      </c>
      <c r="T15" s="41">
        <f>(T14-D14)/D14</f>
        <v>0.30178013700379874</v>
      </c>
      <c r="U15" s="41">
        <f t="shared" ref="U15:Z15" si="1">(U14-E14)/E14</f>
        <v>0.81572437516145468</v>
      </c>
      <c r="V15" s="41">
        <f t="shared" si="1"/>
        <v>0.16666666666666666</v>
      </c>
      <c r="W15" s="41">
        <f t="shared" si="1"/>
        <v>-7.1942446043165974E-3</v>
      </c>
      <c r="X15" s="41">
        <f t="shared" si="1"/>
        <v>-9.4781721228881469E-2</v>
      </c>
      <c r="Y15" s="41">
        <f t="shared" si="1"/>
        <v>-0.14841035075525746</v>
      </c>
      <c r="Z15" s="41">
        <f t="shared" si="1"/>
        <v>-6.1527044947912557E-2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1:C1048576">
    <cfRule type="duplicateValues" dxfId="59" priority="11"/>
    <cfRule type="duplicateValues" dxfId="58" priority="12"/>
  </conditionalFormatting>
  <conditionalFormatting sqref="C2">
    <cfRule type="duplicateValues" dxfId="57" priority="3"/>
    <cfRule type="duplicateValues" dxfId="56" priority="4"/>
  </conditionalFormatting>
  <conditionalFormatting sqref="C4:C13">
    <cfRule type="duplicateValues" dxfId="55" priority="5"/>
    <cfRule type="duplicateValues" dxfId="54" priority="6"/>
  </conditionalFormatting>
  <conditionalFormatting sqref="C14">
    <cfRule type="duplicateValues" dxfId="53" priority="9"/>
    <cfRule type="duplicateValues" dxfId="52" priority="10"/>
  </conditionalFormatting>
  <conditionalFormatting sqref="C15">
    <cfRule type="duplicateValues" dxfId="51" priority="7"/>
    <cfRule type="duplicateValues" dxfId="50" priority="8"/>
  </conditionalFormatting>
  <conditionalFormatting sqref="C17:C40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.5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50" t="s">
        <v>3</v>
      </c>
      <c r="C14" s="51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66406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66406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50" t="s">
        <v>3</v>
      </c>
      <c r="C14" s="51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50" t="s">
        <v>3</v>
      </c>
      <c r="C14" s="51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results45</vt:lpstr>
      <vt:lpstr>results229</vt:lpstr>
      <vt:lpstr>results268</vt:lpstr>
      <vt:lpstr>results346</vt:lpstr>
      <vt:lpstr>results418</vt:lpstr>
      <vt:lpstr>results464</vt:lpstr>
      <vt:lpstr>results658</vt:lpstr>
      <vt:lpstr>results720</vt:lpstr>
      <vt:lpstr>results846</vt:lpstr>
      <vt:lpstr>results910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2026-10-22T15:31:56Z</dcterms:modified>
</cp:coreProperties>
</file>